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4" codeName="{00000000-0000-0000-0000-000000000000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d.docs.live.net/50601367610c8e02/Oscar/PROYECTO_QB/QualityBolcaWeb/src/public/semanal/"/>
    </mc:Choice>
  </mc:AlternateContent>
  <xr:revisionPtr revIDLastSave="3" documentId="13_ncr:1_{160B5048-58E6-4E83-B16F-39C5EC4FB154}" xr6:coauthVersionLast="47" xr6:coauthVersionMax="47" xr10:uidLastSave="{562FF125-4D73-4F83-84F9-1FCC506C309B}"/>
  <bookViews>
    <workbookView xWindow="28680" yWindow="-120" windowWidth="24240" windowHeight="13020" activeTab="2" xr2:uid="{00000000-000D-0000-FFFF-FFFF00000000}"/>
  </bookViews>
  <sheets>
    <sheet name="HORAS" sheetId="1" r:id="rId1"/>
    <sheet name="FIJOS" sheetId="2" r:id="rId2"/>
    <sheet name="CAPTURA" sheetId="3" r:id="rId3"/>
    <sheet name="COMPROBANTE" sheetId="9" r:id="rId4"/>
    <sheet name="RESUMEN" sheetId="4" r:id="rId5"/>
    <sheet name="DISPERSION FISCAL" sheetId="5" r:id="rId6"/>
    <sheet name="VARIABLE" sheetId="6" r:id="rId7"/>
    <sheet name="EFECTIVOS" sheetId="7" r:id="rId8"/>
    <sheet name="INCIDENCIAS" sheetId="8" r:id="rId9"/>
  </sheets>
  <functionGroups builtInGroupCount="19"/>
  <definedNames>
    <definedName name="_xlnm._FilterDatabase" localSheetId="2" hidden="1">CAPTURA!$A$6:$EK$678</definedName>
    <definedName name="_xlnm._FilterDatabase" localSheetId="5" hidden="1">'DISPERSION FISCAL'!$A$1:$G$624</definedName>
    <definedName name="_xlnm._FilterDatabase" localSheetId="1" hidden="1">FIJOS!$B$10:$P$505</definedName>
    <definedName name="_xlnm._FilterDatabase" localSheetId="0" hidden="1">HORAS!$A$3:$DM$3</definedName>
    <definedName name="_xlnm._FilterDatabase" localSheetId="8" hidden="1">INCIDENCIAS!$B$5:$M$468</definedName>
    <definedName name="_xlnm._FilterDatabase" localSheetId="6" hidden="1">VARIABLE!$A$1:$C$259</definedName>
    <definedName name="_xlnm.Print_Area" localSheetId="2">CAPTURA!$A$4:$DW$689</definedName>
    <definedName name="_xlnm.Print_Area" localSheetId="7">EFECTIVOS!$A$1:$G$9</definedName>
    <definedName name="departamento">CAPTURA!$D:$D</definedName>
    <definedName name="domingo">CAPTURA!$CH:$CH</definedName>
    <definedName name="ESTATUS">CAPTURA!$G:$G</definedName>
    <definedName name="jueves">CAPTURA!$AU:$AU</definedName>
    <definedName name="LOCALIDAD">CAPTURA!$D:$D</definedName>
    <definedName name="lunes">CAPTURA!$H:$H</definedName>
    <definedName name="martes">CAPTURA!$U:$U</definedName>
    <definedName name="miércoles">CAPTURA!$AH:$AH</definedName>
    <definedName name="PUESTO">CAPTURA!$EE:$EE</definedName>
    <definedName name="region">CAPTURA!$ED:$ED</definedName>
    <definedName name="sábado">CAPTURA!$BU:$BU</definedName>
    <definedName name="_xlnm.Print_Titles" localSheetId="2">CAPTURA!$4:$6</definedName>
    <definedName name="viernes">CAPTURA!$BH:$BH</definedName>
    <definedName name="Z_0016FB7B_9263_40F2_B6F0_E4AEBF29DAFB_.wvu.FilterData" localSheetId="2" hidden="1">CAPTURA!$A$6:$EK$678</definedName>
    <definedName name="Z_0016FB7B_9263_40F2_B6F0_E4AEBF29DAFB_.wvu.FilterData" localSheetId="5" hidden="1">'DISPERSION FISCAL'!$A$1:$G$624</definedName>
    <definedName name="Z_0016FB7B_9263_40F2_B6F0_E4AEBF29DAFB_.wvu.FilterData" localSheetId="1" hidden="1">FIJOS!$B$10:$P$505</definedName>
    <definedName name="Z_0016FB7B_9263_40F2_B6F0_E4AEBF29DAFB_.wvu.FilterData" localSheetId="0" hidden="1">HORAS!$A$3:$DM$3</definedName>
    <definedName name="Z_0016FB7B_9263_40F2_B6F0_E4AEBF29DAFB_.wvu.FilterData" localSheetId="8" hidden="1">INCIDENCIAS!$B$5:$K$502</definedName>
    <definedName name="Z_0016FB7B_9263_40F2_B6F0_E4AEBF29DAFB_.wvu.FilterData" localSheetId="6" hidden="1">VARIABLE!$A$1:$C$259</definedName>
    <definedName name="Z_0016FB7B_9263_40F2_B6F0_E4AEBF29DAFB_.wvu.PrintArea" localSheetId="2" hidden="1">CAPTURA!$A$4:$DW$689</definedName>
    <definedName name="Z_0016FB7B_9263_40F2_B6F0_E4AEBF29DAFB_.wvu.PrintTitles" localSheetId="2" hidden="1">CAPTURA!$4:$6</definedName>
    <definedName name="Z_0020E39A_47E7_482B_B6B9_7AC214D71F7C_.wvu.FilterData" localSheetId="2" hidden="1">CAPTURA!$A$6:$EK$678</definedName>
    <definedName name="Z_006B1C19_C761_4F93_AEB7_FC647E9B82E3_.wvu.FilterData" localSheetId="2" hidden="1">CAPTURA!$A$6:$EK$678</definedName>
    <definedName name="Z_00794943_8C38_4EA4_8152_5A6A910E6E2B_.wvu.FilterData" localSheetId="2" hidden="1">CAPTURA!$A$6:$EK$678</definedName>
    <definedName name="Z_00B679B4_9A6C_416F_B0A2_59862DA06069_.wvu.FilterData" localSheetId="2" hidden="1">CAPTURA!$A$6:$EK$678</definedName>
    <definedName name="Z_00B679B4_9A6C_416F_B0A2_59862DA06069_.wvu.FilterData" localSheetId="8" hidden="1">INCIDENCIAS!$B$5:$K$284</definedName>
    <definedName name="Z_00C76AAE_6990_46E3_A869_28CA5E501416_.wvu.FilterData" localSheetId="2" hidden="1">CAPTURA!$A$6:$EK$678</definedName>
    <definedName name="Z_00C76AAE_6990_46E3_A869_28CA5E501416_.wvu.FilterData" localSheetId="5" hidden="1">'DISPERSION FISCAL'!$A$1:$G$624</definedName>
    <definedName name="Z_00C76AAE_6990_46E3_A869_28CA5E501416_.wvu.FilterData" localSheetId="1" hidden="1">FIJOS!$B$10:$P$505</definedName>
    <definedName name="Z_00C76AAE_6990_46E3_A869_28CA5E501416_.wvu.FilterData" localSheetId="0" hidden="1">HORAS!$A$3:$DM$3</definedName>
    <definedName name="Z_00C76AAE_6990_46E3_A869_28CA5E501416_.wvu.FilterData" localSheetId="8" hidden="1">INCIDENCIAS!$B$5:$K$494</definedName>
    <definedName name="Z_00C76AAE_6990_46E3_A869_28CA5E501416_.wvu.FilterData" localSheetId="6" hidden="1">VARIABLE!$A$1:$C$259</definedName>
    <definedName name="Z_00C76AAE_6990_46E3_A869_28CA5E501416_.wvu.PrintArea" localSheetId="2" hidden="1">CAPTURA!$A$4:$DW$689</definedName>
    <definedName name="Z_00C76AAE_6990_46E3_A869_28CA5E501416_.wvu.PrintTitles" localSheetId="2" hidden="1">CAPTURA!$4:$6</definedName>
    <definedName name="Z_00F6A8EF_5A3C_4EA5_AB4C_0EF7D43C4603_.wvu.FilterData" localSheetId="2" hidden="1">CAPTURA!$A$6:$EK$678</definedName>
    <definedName name="Z_019B9632_0047_4E8C_B784_F09E2BF8406A_.wvu.FilterData" localSheetId="2" hidden="1">CAPTURA!$A$6:$EK$678</definedName>
    <definedName name="Z_019B9632_0047_4E8C_B784_F09E2BF8406A_.wvu.FilterData" localSheetId="1" hidden="1">FIJOS!$B$10:$P$496</definedName>
    <definedName name="Z_01D7BB4D_955C_4E2B_9C92_BFAB1FDAD596_.wvu.FilterData" localSheetId="2" hidden="1">CAPTURA!$A$6:$EK$678</definedName>
    <definedName name="Z_0229D86A_B640_4238_888C_EDDF1A3F7AE1_.wvu.FilterData" localSheetId="2" hidden="1">CAPTURA!$A$6:$EK$678</definedName>
    <definedName name="Z_023377CA_618E_42AC_AF0A_F365A4046E2F_.wvu.FilterData" localSheetId="2" hidden="1">CAPTURA!$A$6:$EK$678</definedName>
    <definedName name="Z_02401574_E32A_411A_BCE8_E7A84A02A344_.wvu.FilterData" localSheetId="2" hidden="1">CAPTURA!$A$6:$EK$678</definedName>
    <definedName name="Z_02539A58_1B16_4BC0_8EA6_8BD3D01BAEEE_.wvu.FilterData" localSheetId="2" hidden="1">CAPTURA!$A$6:$EK$678</definedName>
    <definedName name="Z_025C5BC2_50ED_4E65_9A83_7C49C2C77DE2_.wvu.FilterData" localSheetId="2" hidden="1">CAPTURA!$A$6:$EK$678</definedName>
    <definedName name="Z_0262520E_4304_4AE4_9BA4_27C73CC1DDEB_.wvu.FilterData" localSheetId="2" hidden="1">CAPTURA!$A$6:$EK$678</definedName>
    <definedName name="Z_0262520E_4304_4AE4_9BA4_27C73CC1DDEB_.wvu.FilterData" localSheetId="5" hidden="1">'DISPERSION FISCAL'!$A$1:$G$624</definedName>
    <definedName name="Z_0262520E_4304_4AE4_9BA4_27C73CC1DDEB_.wvu.FilterData" localSheetId="1" hidden="1">FIJOS!$B$10:$P$496</definedName>
    <definedName name="Z_0262520E_4304_4AE4_9BA4_27C73CC1DDEB_.wvu.FilterData" localSheetId="8" hidden="1">INCIDENCIAS!$B$5:$K$732</definedName>
    <definedName name="Z_0262520E_4304_4AE4_9BA4_27C73CC1DDEB_.wvu.FilterData" localSheetId="6" hidden="1">VARIABLE!$A$1:$C$259</definedName>
    <definedName name="Z_0262520E_4304_4AE4_9BA4_27C73CC1DDEB_.wvu.PrintArea" localSheetId="2" hidden="1">CAPTURA!$A$4:$DW$689</definedName>
    <definedName name="Z_0262520E_4304_4AE4_9BA4_27C73CC1DDEB_.wvu.PrintTitles" localSheetId="2" hidden="1">CAPTURA!$4:$6</definedName>
    <definedName name="Z_02661E46_E107_4876_AA80_AAF28EDC538D_.wvu.FilterData" localSheetId="2" hidden="1">CAPTURA!$A$6:$EK$678</definedName>
    <definedName name="Z_0270C5B0_4C2E_497E_BAF2_13108F238CCD_.wvu.FilterData" localSheetId="2" hidden="1">CAPTURA!$A$6:$EK$678</definedName>
    <definedName name="Z_02992FB9_81E9_42C7_AC5D_255871214EE3_.wvu.FilterData" localSheetId="2" hidden="1">CAPTURA!$A$6:$EK$678</definedName>
    <definedName name="Z_032B5163_8130_43B1_9EBE_373BE6D0541F_.wvu.FilterData" localSheetId="2" hidden="1">CAPTURA!$A$6:$EK$678</definedName>
    <definedName name="Z_0346ABCC_85AB_4E5D_9AFF_91FC0816FF3D_.wvu.FilterData" localSheetId="2" hidden="1">CAPTURA!$A$6:$EK$678</definedName>
    <definedName name="Z_034BF119_9B74_4225_A1AC_85976DD60982_.wvu.FilterData" localSheetId="2" hidden="1">CAPTURA!$A$6:$EK$678</definedName>
    <definedName name="Z_0371B9EB_9E2D_40B1_98C8_5F6568644A04_.wvu.FilterData" localSheetId="2" hidden="1">CAPTURA!$A$6:$EK$678</definedName>
    <definedName name="Z_0372CC72_3C73_4683_8D3C_7AC70BF1904B_.wvu.FilterData" localSheetId="2" hidden="1">CAPTURA!$A$6:$EK$678</definedName>
    <definedName name="Z_0372CC72_3C73_4683_8D3C_7AC70BF1904B_.wvu.FilterData" localSheetId="5" hidden="1">'DISPERSION FISCAL'!$A$1:$E$181</definedName>
    <definedName name="Z_0372CC72_3C73_4683_8D3C_7AC70BF1904B_.wvu.FilterData" localSheetId="1" hidden="1">FIJOS!$B$10:$P$121</definedName>
    <definedName name="Z_0372CC72_3C73_4683_8D3C_7AC70BF1904B_.wvu.FilterData" localSheetId="8" hidden="1">INCIDENCIAS!$B$5:$K$514</definedName>
    <definedName name="Z_0372CC72_3C73_4683_8D3C_7AC70BF1904B_.wvu.FilterData" localSheetId="6" hidden="1">VARIABLE!$A$1:$C$259</definedName>
    <definedName name="Z_0372CC72_3C73_4683_8D3C_7AC70BF1904B_.wvu.PrintArea" localSheetId="2" hidden="1">CAPTURA!$A$4:$DW$689</definedName>
    <definedName name="Z_0372CC72_3C73_4683_8D3C_7AC70BF1904B_.wvu.PrintTitles" localSheetId="2" hidden="1">CAPTURA!$4:$6</definedName>
    <definedName name="Z_0380E413_BCA8_495C_8F38_B3FECE4414F9_.wvu.FilterData" localSheetId="1" hidden="1">FIJOS!$B$10:$P$130</definedName>
    <definedName name="Z_03A44B81_AC87_4C5A_B718_62A1B691F359_.wvu.FilterData" localSheetId="2" hidden="1">CAPTURA!$A$6:$EK$678</definedName>
    <definedName name="Z_03A73C3A_3268_4C85_872F_DD3AE6B9A9B0_.wvu.FilterData" localSheetId="2" hidden="1">CAPTURA!$A$6:$EK$678</definedName>
    <definedName name="Z_042C18A0_A5F0_40F7_825F_75FF057215AB_.wvu.FilterData" localSheetId="2" hidden="1">CAPTURA!$A$6:$EK$678</definedName>
    <definedName name="Z_043F63DB_4483_4B22_9E47_C0F1B8EF8E58_.wvu.FilterData" localSheetId="2" hidden="1">CAPTURA!$A$6:$EK$678</definedName>
    <definedName name="Z_044CDF75_C33A_4BA7_9539_0A266ACEDC12_.wvu.FilterData" localSheetId="2" hidden="1">CAPTURA!$A$6:$EK$678</definedName>
    <definedName name="Z_044CDF75_C33A_4BA7_9539_0A266ACEDC12_.wvu.FilterData" localSheetId="5" hidden="1">'DISPERSION FISCAL'!$A$1:$G$624</definedName>
    <definedName name="Z_044CDF75_C33A_4BA7_9539_0A266ACEDC12_.wvu.FilterData" localSheetId="1" hidden="1">FIJOS!$B$10:$P$496</definedName>
    <definedName name="Z_044CDF75_C33A_4BA7_9539_0A266ACEDC12_.wvu.FilterData" localSheetId="8" hidden="1">INCIDENCIAS!$B$5:$K$732</definedName>
    <definedName name="Z_044CDF75_C33A_4BA7_9539_0A266ACEDC12_.wvu.FilterData" localSheetId="6" hidden="1">VARIABLE!$A$1:$C$259</definedName>
    <definedName name="Z_044CDF75_C33A_4BA7_9539_0A266ACEDC12_.wvu.PrintArea" localSheetId="2" hidden="1">CAPTURA!$A$4:$DW$689</definedName>
    <definedName name="Z_044CDF75_C33A_4BA7_9539_0A266ACEDC12_.wvu.PrintTitles" localSheetId="2" hidden="1">CAPTURA!$4:$6</definedName>
    <definedName name="Z_0453E95C_1443_4E84_BA02_5FDA396A7D86_.wvu.FilterData" localSheetId="2" hidden="1">CAPTURA!$A$6:$EK$678</definedName>
    <definedName name="Z_045E9C64_16AC_4DCE_A09B_618664BBC8A3_.wvu.FilterData" localSheetId="2" hidden="1">CAPTURA!$A$6:$EK$678</definedName>
    <definedName name="Z_045E9C64_16AC_4DCE_A09B_618664BBC8A3_.wvu.FilterData" localSheetId="5" hidden="1">'DISPERSION FISCAL'!$A$1:$G$624</definedName>
    <definedName name="Z_045E9C64_16AC_4DCE_A09B_618664BBC8A3_.wvu.FilterData" localSheetId="1" hidden="1">FIJOS!$B$10:$P$505</definedName>
    <definedName name="Z_045E9C64_16AC_4DCE_A09B_618664BBC8A3_.wvu.FilterData" localSheetId="0" hidden="1">HORAS!$A$3:$DM$3</definedName>
    <definedName name="Z_045E9C64_16AC_4DCE_A09B_618664BBC8A3_.wvu.FilterData" localSheetId="8" hidden="1">INCIDENCIAS!$B$5:$K$373</definedName>
    <definedName name="Z_045E9C64_16AC_4DCE_A09B_618664BBC8A3_.wvu.FilterData" localSheetId="6" hidden="1">VARIABLE!$A$1:$C$259</definedName>
    <definedName name="Z_045E9C64_16AC_4DCE_A09B_618664BBC8A3_.wvu.PrintArea" localSheetId="2" hidden="1">CAPTURA!$A$4:$DW$689</definedName>
    <definedName name="Z_045E9C64_16AC_4DCE_A09B_618664BBC8A3_.wvu.PrintArea" localSheetId="7" hidden="1">EFECTIVOS!$A$1:$G$9</definedName>
    <definedName name="Z_045E9C64_16AC_4DCE_A09B_618664BBC8A3_.wvu.PrintTitles" localSheetId="2" hidden="1">CAPTURA!$4:$6</definedName>
    <definedName name="Z_04809EC8_3AE1_4BF6_A737_62FCBB2EA90B_.wvu.FilterData" localSheetId="2" hidden="1">CAPTURA!$A$6:$EK$678</definedName>
    <definedName name="Z_04815F05_467E_47F8_B208_47C5303A0B1D_.wvu.FilterData" localSheetId="2" hidden="1">CAPTURA!$A$6:$EK$678</definedName>
    <definedName name="Z_0497742B_9E35_4D86_9367_4B5A72242E57_.wvu.FilterData" localSheetId="2" hidden="1">CAPTURA!$A$6:$EK$678</definedName>
    <definedName name="Z_04A1BC1E_886F_4A1E_A021_92CD4C28D4F8_.wvu.FilterData" localSheetId="2" hidden="1">CAPTURA!$A$6:$EK$678</definedName>
    <definedName name="Z_04B9D438_B4AF_4A07_95E1_C65254258E18_.wvu.FilterData" localSheetId="2" hidden="1">CAPTURA!$A$6:$EK$678</definedName>
    <definedName name="Z_04C3C83D_A9DC_4940_85A1_DC1EFC63F9EB_.wvu.FilterData" localSheetId="2" hidden="1">CAPTURA!$A$6:$EK$678</definedName>
    <definedName name="Z_04C7A484_1FC2_4674_A7C4_96371C69AB3A_.wvu.FilterData" localSheetId="2" hidden="1">CAPTURA!$A$6:$EK$678</definedName>
    <definedName name="Z_04C7A720_7410_420F_9CEA_AB05B1F6D150_.wvu.FilterData" localSheetId="2" hidden="1">CAPTURA!$A$6:$EK$678</definedName>
    <definedName name="Z_04D48FF4_1733_4EB7_AC14_428AF25C6427_.wvu.FilterData" localSheetId="2" hidden="1">CAPTURA!$A$6:$EK$678</definedName>
    <definedName name="Z_051613E6_D5B7_43C7_989B_9D44FE4DCB0D_.wvu.FilterData" localSheetId="2" hidden="1">CAPTURA!$A$6:$EK$678</definedName>
    <definedName name="Z_0517D2B6_FC1A_43C4_BCE0_B2864C7A1B78_.wvu.FilterData" localSheetId="2" hidden="1">CAPTURA!$A$6:$EK$678</definedName>
    <definedName name="Z_057736B9_9763_435F_8366_44A47A1F986B_.wvu.FilterData" localSheetId="2" hidden="1">CAPTURA!$A$6:$EK$678</definedName>
    <definedName name="Z_057A69F2_9905_4EE1_8A1F_F0932A26591C_.wvu.FilterData" localSheetId="2" hidden="1">CAPTURA!$A$6:$EK$678</definedName>
    <definedName name="Z_05ADF4CE_43EA_425C_A0D2_6D70A4AAD480_.wvu.FilterData" localSheetId="2" hidden="1">CAPTURA!$A$6:$EK$678</definedName>
    <definedName name="Z_05E89720_BD22_4112_9FC9_9D7B668DCB66_.wvu.FilterData" localSheetId="2" hidden="1">CAPTURA!$A$6:$EK$678</definedName>
    <definedName name="Z_05F2B7D8_C8D2_4FF1_9282_9E43676782E6_.wvu.FilterData" localSheetId="2" hidden="1">CAPTURA!$A$6:$EK$678</definedName>
    <definedName name="Z_060A6224_6326_4655_A141_97C806C0CFEB_.wvu.FilterData" localSheetId="2" hidden="1">CAPTURA!$A$6:$EK$678</definedName>
    <definedName name="Z_0620375A_747C_4A68_B683_BCEB65D79474_.wvu.FilterData" localSheetId="2" hidden="1">CAPTURA!$A$6:$EK$678</definedName>
    <definedName name="Z_0620A58D_8BAB_4414_9E9E_151DB186EBC7_.wvu.FilterData" localSheetId="2" hidden="1">CAPTURA!$A$6:$EK$678</definedName>
    <definedName name="Z_06276261_FBE2_4A84_9C22_8C491C907F6E_.wvu.FilterData" localSheetId="2" hidden="1">CAPTURA!$A$6:$EK$678</definedName>
    <definedName name="Z_065A47B3_1618_48F2_83BA_4FE5AC2D4D4B_.wvu.FilterData" localSheetId="2" hidden="1">CAPTURA!$A$6:$EK$678</definedName>
    <definedName name="Z_066EFA4C_007B_4965_B99E_98C89DCCE6FE_.wvu.FilterData" localSheetId="2" hidden="1">CAPTURA!$A$6:$EK$678</definedName>
    <definedName name="Z_066FCC21_942A_4B9A_9271_1848E0555679_.wvu.FilterData" localSheetId="2" hidden="1">CAPTURA!$A$6:$EK$678</definedName>
    <definedName name="Z_068B6295_5D96_4E63_B94D_0ADB7F8804FC_.wvu.FilterData" localSheetId="2" hidden="1">CAPTURA!$A$6:$EK$678</definedName>
    <definedName name="Z_06A14D69_8ADA_45EB_9170_9D8D6C4EBBE4_.wvu.FilterData" localSheetId="2" hidden="1">CAPTURA!$A$6:$EK$678</definedName>
    <definedName name="Z_06E1AA57_38F2_4077_82F1_7BABD7BBA5B1_.wvu.FilterData" localSheetId="2" hidden="1">CAPTURA!$A$6:$EK$678</definedName>
    <definedName name="Z_06E5A599_CDA6_4685_9D2B_D4D5DA79E200_.wvu.FilterData" localSheetId="2" hidden="1">CAPTURA!$A$6:$EK$678</definedName>
    <definedName name="Z_06F2CC1E_FA77_4179_A968_BF0DDF84E552_.wvu.FilterData" localSheetId="2" hidden="1">CAPTURA!$A$6:$EK$678</definedName>
    <definedName name="Z_07B385E8_F6E0_4A05_A0E7_05333F0F6DDD_.wvu.FilterData" localSheetId="2" hidden="1">CAPTURA!$A$6:$EK$678</definedName>
    <definedName name="Z_07B688C1_6F6F_419F_833C_36DD4F03375B_.wvu.FilterData" localSheetId="2" hidden="1">CAPTURA!$A$6:$EK$678</definedName>
    <definedName name="Z_07B688C1_6F6F_419F_833C_36DD4F03375B_.wvu.FilterData" localSheetId="1" hidden="1">FIJOS!$B$10:$P$505</definedName>
    <definedName name="Z_07E63139_4E96_4043_B62C_95E8BA564DBA_.wvu.FilterData" localSheetId="2" hidden="1">CAPTURA!$A$6:$EK$678</definedName>
    <definedName name="Z_08016736_1E83_4AB6_B778_05DA61B1E6F1_.wvu.FilterData" localSheetId="1" hidden="1">FIJOS!$B$10:$P$108</definedName>
    <definedName name="Z_080E95C7_A4C8_4131_84CE_79DFB50A129B_.wvu.FilterData" localSheetId="2" hidden="1">CAPTURA!$A$6:$EK$678</definedName>
    <definedName name="Z_080E95C7_A4C8_4131_84CE_79DFB50A129B_.wvu.FilterData" localSheetId="1" hidden="1">FIJOS!$B$10:$P$108</definedName>
    <definedName name="Z_08218DC1_08B5_4670_A938_6670C75ADDCC_.wvu.FilterData" localSheetId="2" hidden="1">CAPTURA!$A$6:$EK$678</definedName>
    <definedName name="Z_085EB2C7_05F2_4AE1_984B_DAE40B1D066B_.wvu.FilterData" localSheetId="2" hidden="1">CAPTURA!$A$6:$EK$678</definedName>
    <definedName name="Z_088E1A5E_85A3_4002_AC54_1992D4C3E5E7_.wvu.FilterData" localSheetId="2" hidden="1">CAPTURA!$A$6:$EK$678</definedName>
    <definedName name="Z_089D3B33_C77A_4674_B29A_006008A6EC2E_.wvu.FilterData" localSheetId="2" hidden="1">CAPTURA!$A$6:$EK$678</definedName>
    <definedName name="Z_089D3B33_C77A_4674_B29A_006008A6EC2E_.wvu.FilterData" localSheetId="5" hidden="1">'DISPERSION FISCAL'!$A$1:$G$624</definedName>
    <definedName name="Z_089D3B33_C77A_4674_B29A_006008A6EC2E_.wvu.FilterData" localSheetId="1" hidden="1">FIJOS!$B$10:$P$505</definedName>
    <definedName name="Z_089D3B33_C77A_4674_B29A_006008A6EC2E_.wvu.FilterData" localSheetId="0" hidden="1">HORAS!$A$3:$DM$3</definedName>
    <definedName name="Z_089D3B33_C77A_4674_B29A_006008A6EC2E_.wvu.FilterData" localSheetId="8" hidden="1">INCIDENCIAS!$B$5:$K$494</definedName>
    <definedName name="Z_089D3B33_C77A_4674_B29A_006008A6EC2E_.wvu.FilterData" localSheetId="6" hidden="1">VARIABLE!$A$1:$C$259</definedName>
    <definedName name="Z_089D3B33_C77A_4674_B29A_006008A6EC2E_.wvu.PrintArea" localSheetId="2" hidden="1">CAPTURA!$A$4:$DW$689</definedName>
    <definedName name="Z_089D3B33_C77A_4674_B29A_006008A6EC2E_.wvu.PrintTitles" localSheetId="2" hidden="1">CAPTURA!$4:$6</definedName>
    <definedName name="Z_090BF785_2692_42A9_8AAF_66BD6D47A2AD_.wvu.FilterData" localSheetId="2" hidden="1">CAPTURA!$A$6:$EK$678</definedName>
    <definedName name="Z_0922F4B8_DEC0_4EF1_8283_2A13B2E41AAC_.wvu.FilterData" localSheetId="2" hidden="1">CAPTURA!$A$6:$EK$678</definedName>
    <definedName name="Z_0922F4B8_DEC0_4EF1_8283_2A13B2E41AAC_.wvu.FilterData" localSheetId="5" hidden="1">'DISPERSION FISCAL'!$A$1:$E$181</definedName>
    <definedName name="Z_0922F4B8_DEC0_4EF1_8283_2A13B2E41AAC_.wvu.FilterData" localSheetId="1" hidden="1">FIJOS!$B$10:$P$229</definedName>
    <definedName name="Z_0922F4B8_DEC0_4EF1_8283_2A13B2E41AAC_.wvu.FilterData" localSheetId="8" hidden="1">INCIDENCIAS!$B$5:$K$516</definedName>
    <definedName name="Z_0922F4B8_DEC0_4EF1_8283_2A13B2E41AAC_.wvu.FilterData" localSheetId="6" hidden="1">VARIABLE!$A$1:$C$259</definedName>
    <definedName name="Z_0922F4B8_DEC0_4EF1_8283_2A13B2E41AAC_.wvu.PrintArea" localSheetId="2" hidden="1">CAPTURA!$A$4:$DW$689</definedName>
    <definedName name="Z_0922F4B8_DEC0_4EF1_8283_2A13B2E41AAC_.wvu.PrintTitles" localSheetId="2" hidden="1">CAPTURA!$4:$6</definedName>
    <definedName name="Z_092EDDC3_DCAE_4D7D_A848_3E34A957E4D4_.wvu.FilterData" localSheetId="2" hidden="1">CAPTURA!$A$6:$EK$678</definedName>
    <definedName name="Z_09B23B9F_43E7_436A_8DEC_8B1B7F6C6E53_.wvu.FilterData" localSheetId="2" hidden="1">CAPTURA!$A$6:$EK$678</definedName>
    <definedName name="Z_09B23B9F_43E7_436A_8DEC_8B1B7F6C6E53_.wvu.FilterData" localSheetId="5" hidden="1">'DISPERSION FISCAL'!$A$1:$E$181</definedName>
    <definedName name="Z_09B23B9F_43E7_436A_8DEC_8B1B7F6C6E53_.wvu.FilterData" localSheetId="1" hidden="1">FIJOS!$B$10:$P$121</definedName>
    <definedName name="Z_09B23B9F_43E7_436A_8DEC_8B1B7F6C6E53_.wvu.FilterData" localSheetId="8" hidden="1">INCIDENCIAS!$B$5:$K$514</definedName>
    <definedName name="Z_09B23B9F_43E7_436A_8DEC_8B1B7F6C6E53_.wvu.FilterData" localSheetId="6" hidden="1">VARIABLE!$A$1:$C$259</definedName>
    <definedName name="Z_09B23B9F_43E7_436A_8DEC_8B1B7F6C6E53_.wvu.PrintArea" localSheetId="2" hidden="1">CAPTURA!$A$4:$DW$689</definedName>
    <definedName name="Z_09B23B9F_43E7_436A_8DEC_8B1B7F6C6E53_.wvu.PrintTitles" localSheetId="2" hidden="1">CAPTURA!$4:$6</definedName>
    <definedName name="Z_09CBB837_BE4F_46F4_97F3_CADA09F80668_.wvu.FilterData" localSheetId="2" hidden="1">CAPTURA!$A$6:$EK$678</definedName>
    <definedName name="Z_09E26D55_BEA5_4473_91F0_8E01AB44538C_.wvu.FilterData" localSheetId="2" hidden="1">CAPTURA!$A$6:$EK$678</definedName>
    <definedName name="Z_09F02414_F8C2_4042_87F1_7A33E5375AC0_.wvu.FilterData" localSheetId="2" hidden="1">CAPTURA!$A$6:$EK$678</definedName>
    <definedName name="Z_0A1EA58A_0FF6_4296_B9D0_E8114863B6DD_.wvu.FilterData" localSheetId="2" hidden="1">CAPTURA!$A$6:$EK$678</definedName>
    <definedName name="Z_0A20B57B_EAEC_45A0_AEB6_CD0B843C925B_.wvu.FilterData" localSheetId="2" hidden="1">CAPTURA!$A$6:$EK$678</definedName>
    <definedName name="Z_0A40663B_9E93_43CE_AA2C_57A08C322DA9_.wvu.FilterData" localSheetId="2" hidden="1">CAPTURA!$A$6:$EK$678</definedName>
    <definedName name="Z_0A40663B_9E93_43CE_AA2C_57A08C322DA9_.wvu.FilterData" localSheetId="5" hidden="1">'DISPERSION FISCAL'!$A$1:$E$181</definedName>
    <definedName name="Z_0A40663B_9E93_43CE_AA2C_57A08C322DA9_.wvu.FilterData" localSheetId="1" hidden="1">FIJOS!$B$10:$P$228</definedName>
    <definedName name="Z_0A40663B_9E93_43CE_AA2C_57A08C322DA9_.wvu.FilterData" localSheetId="8" hidden="1">INCIDENCIAS!$B$5:$K$507</definedName>
    <definedName name="Z_0A40663B_9E93_43CE_AA2C_57A08C322DA9_.wvu.FilterData" localSheetId="6" hidden="1">VARIABLE!$A$1:$C$259</definedName>
    <definedName name="Z_0A40663B_9E93_43CE_AA2C_57A08C322DA9_.wvu.PrintArea" localSheetId="2" hidden="1">CAPTURA!$A$4:$DW$689</definedName>
    <definedName name="Z_0A40663B_9E93_43CE_AA2C_57A08C322DA9_.wvu.PrintTitles" localSheetId="2" hidden="1">CAPTURA!$4:$6</definedName>
    <definedName name="Z_0A426838_828D_4B4E_8233_6384D33EC81B_.wvu.FilterData" localSheetId="2" hidden="1">CAPTURA!$A$6:$EK$678</definedName>
    <definedName name="Z_0A962526_B4EB_4E6A_B8B5_5FB2C329FC09_.wvu.FilterData" localSheetId="2" hidden="1">CAPTURA!$A$6:$EK$678</definedName>
    <definedName name="Z_0A962526_B4EB_4E6A_B8B5_5FB2C329FC09_.wvu.FilterData" localSheetId="5" hidden="1">'DISPERSION FISCAL'!$A$1:$E$181</definedName>
    <definedName name="Z_0AC41915_F1E6_4AF8_AA23_7E77B40DE13D_.wvu.FilterData" localSheetId="2" hidden="1">CAPTURA!$A$6:$EK$678</definedName>
    <definedName name="Z_0ACE01F2_6FE4_401D_9ED7_7676F08F26B7_.wvu.FilterData" localSheetId="2" hidden="1">CAPTURA!$A$6:$EK$678</definedName>
    <definedName name="Z_0ADC50E0_010F_4A3C_B733_76792DC2650F_.wvu.FilterData" localSheetId="2" hidden="1">CAPTURA!$A$6:$EK$678</definedName>
    <definedName name="Z_0AFA037A_14AB_40C9_9065_BCC107AF3AC3_.wvu.FilterData" localSheetId="2" hidden="1">CAPTURA!$A$6:$EK$678</definedName>
    <definedName name="Z_0AFCCE91_9112_4465_B7A9_D8B4F3A208F8_.wvu.FilterData" localSheetId="2" hidden="1">CAPTURA!$A$6:$EK$678</definedName>
    <definedName name="Z_0B0C74C1_CBBB_4BD2_AE59_CD0E7CEBC5EB_.wvu.FilterData" localSheetId="2" hidden="1">CAPTURA!$A$6:$EK$678</definedName>
    <definedName name="Z_0B0C74C1_CBBB_4BD2_AE59_CD0E7CEBC5EB_.wvu.FilterData" localSheetId="1" hidden="1">FIJOS!$B$10:$P$505</definedName>
    <definedName name="Z_0B7202D8_1D66_4B92_94C0_5A71682F2EAE_.wvu.FilterData" localSheetId="2" hidden="1">CAPTURA!$A$6:$EK$678</definedName>
    <definedName name="Z_0B98E98E_6924_49FD_BABB_488BD16B3586_.wvu.FilterData" localSheetId="2" hidden="1">CAPTURA!$A$6:$EK$678</definedName>
    <definedName name="Z_0BA855D1_ACCF_4C9D_A16F_7EF3DB2B21C9_.wvu.FilterData" localSheetId="2" hidden="1">CAPTURA!$A$6:$EK$678</definedName>
    <definedName name="Z_0BB8879E_C689_4861_8D3A_6DC7112CF020_.wvu.FilterData" localSheetId="2" hidden="1">CAPTURA!$A$6:$EK$678</definedName>
    <definedName name="Z_0BC8513E_F2B0_40D6_8374_9DF63F4D5479_.wvu.FilterData" localSheetId="2" hidden="1">CAPTURA!$A$6:$EK$678</definedName>
    <definedName name="Z_0C101194_95F6_4349_88A0_767D8827A65A_.wvu.FilterData" localSheetId="2" hidden="1">CAPTURA!$A$6:$EK$678</definedName>
    <definedName name="Z_0C5F7D34_F01A_4250_B7F8_B8D08864DA35_.wvu.FilterData" localSheetId="2" hidden="1">CAPTURA!$A$6:$EK$678</definedName>
    <definedName name="Z_0CA118FA_DAD4_45BA_ACC8_111CA3EDDE32_.wvu.FilterData" localSheetId="1" hidden="1">FIJOS!$B$10:$P$228</definedName>
    <definedName name="Z_0D1CC62A_C917_4A44_9B75_1FE7D98A499B_.wvu.FilterData" localSheetId="2" hidden="1">CAPTURA!$A$6:$EK$678</definedName>
    <definedName name="Z_0D1CC62A_C917_4A44_9B75_1FE7D98A499B_.wvu.FilterData" localSheetId="5" hidden="1">'DISPERSION FISCAL'!$A$1:$G$624</definedName>
    <definedName name="Z_0D1CC62A_C917_4A44_9B75_1FE7D98A499B_.wvu.FilterData" localSheetId="1" hidden="1">FIJOS!$B$10:$P$505</definedName>
    <definedName name="Z_0D1CC62A_C917_4A44_9B75_1FE7D98A499B_.wvu.FilterData" localSheetId="0" hidden="1">HORAS!$A$3:$DM$3</definedName>
    <definedName name="Z_0D1CC62A_C917_4A44_9B75_1FE7D98A499B_.wvu.FilterData" localSheetId="8" hidden="1">INCIDENCIAS!$B$5:$K$467</definedName>
    <definedName name="Z_0D1CC62A_C917_4A44_9B75_1FE7D98A499B_.wvu.FilterData" localSheetId="6" hidden="1">VARIABLE!$A$1:$C$259</definedName>
    <definedName name="Z_0D1CC62A_C917_4A44_9B75_1FE7D98A499B_.wvu.PrintArea" localSheetId="2" hidden="1">CAPTURA!$A$4:$DW$689</definedName>
    <definedName name="Z_0D1CC62A_C917_4A44_9B75_1FE7D98A499B_.wvu.PrintTitles" localSheetId="2" hidden="1">CAPTURA!$4:$6</definedName>
    <definedName name="Z_0D321237_94D2_4363_8569_56CFD9BA0C90_.wvu.FilterData" localSheetId="2" hidden="1">CAPTURA!$A$6:$EK$678</definedName>
    <definedName name="Z_0D38C3AD_8EBA_4BC0_B1C7_BF35F32903CC_.wvu.FilterData" localSheetId="2" hidden="1">CAPTURA!$A$6:$EK$678</definedName>
    <definedName name="Z_0D53796E_8C7D_4AFC_ADD8_6DA60D737857_.wvu.FilterData" localSheetId="2" hidden="1">CAPTURA!$A$6:$EK$678</definedName>
    <definedName name="Z_0D73A710_CD79_4056_98D9_F19971F8DD90_.wvu.FilterData" localSheetId="2" hidden="1">CAPTURA!$A$6:$EK$678</definedName>
    <definedName name="Z_0DCE2C66_69DF_46DB_849F_B36F92C4282A_.wvu.FilterData" localSheetId="2" hidden="1">CAPTURA!$A$6:$EK$678</definedName>
    <definedName name="Z_0E1FFF21_B6F7_440F_AC54_EC3EC48277C7_.wvu.FilterData" localSheetId="2" hidden="1">CAPTURA!$A$6:$EK$678</definedName>
    <definedName name="Z_0E2F7960_BDB1_49A1_82A5_F1476086D6D4_.wvu.FilterData" localSheetId="2" hidden="1">CAPTURA!$A$6:$EK$678</definedName>
    <definedName name="Z_0E49BCDA_BDE2_4BFC_821D_B90D01044F76_.wvu.FilterData" localSheetId="2" hidden="1">CAPTURA!$A$6:$EK$678</definedName>
    <definedName name="Z_0E49BCDA_BDE2_4BFC_821D_B90D01044F76_.wvu.FilterData" localSheetId="5" hidden="1">'DISPERSION FISCAL'!$A$1:$E$181</definedName>
    <definedName name="Z_0E49BCDA_BDE2_4BFC_821D_B90D01044F76_.wvu.FilterData" localSheetId="1" hidden="1">FIJOS!$B$10:$P$121</definedName>
    <definedName name="Z_0E49BCDA_BDE2_4BFC_821D_B90D01044F76_.wvu.FilterData" localSheetId="8" hidden="1">INCIDENCIAS!$B$5:$K$514</definedName>
    <definedName name="Z_0E49BCDA_BDE2_4BFC_821D_B90D01044F76_.wvu.FilterData" localSheetId="6" hidden="1">VARIABLE!$A$1:$C$259</definedName>
    <definedName name="Z_0E49BCDA_BDE2_4BFC_821D_B90D01044F76_.wvu.PrintArea" localSheetId="2" hidden="1">CAPTURA!$A$4:$DW$689</definedName>
    <definedName name="Z_0E49BCDA_BDE2_4BFC_821D_B90D01044F76_.wvu.PrintTitles" localSheetId="2" hidden="1">CAPTURA!$4:$6</definedName>
    <definedName name="Z_0E6D42EB_8E17_4268_9D49_FE3A6E7620E2_.wvu.FilterData" localSheetId="2" hidden="1">CAPTURA!$A$6:$EK$678</definedName>
    <definedName name="Z_0E714195_80B5_47D4_B8E3_7A645E12FB47_.wvu.FilterData" localSheetId="2" hidden="1">CAPTURA!$A$6:$EK$678</definedName>
    <definedName name="Z_0E714195_80B5_47D4_B8E3_7A645E12FB47_.wvu.FilterData" localSheetId="5" hidden="1">'DISPERSION FISCAL'!$A$1:$G$624</definedName>
    <definedName name="Z_0E714195_80B5_47D4_B8E3_7A645E12FB47_.wvu.FilterData" localSheetId="1" hidden="1">FIJOS!$B$10:$P$505</definedName>
    <definedName name="Z_0E714195_80B5_47D4_B8E3_7A645E12FB47_.wvu.FilterData" localSheetId="0" hidden="1">HORAS!$A$3:$DM$3</definedName>
    <definedName name="Z_0E714195_80B5_47D4_B8E3_7A645E12FB47_.wvu.FilterData" localSheetId="8" hidden="1">INCIDENCIAS!$B$5:$K$494</definedName>
    <definedName name="Z_0E714195_80B5_47D4_B8E3_7A645E12FB47_.wvu.FilterData" localSheetId="6" hidden="1">VARIABLE!$A$1:$C$259</definedName>
    <definedName name="Z_0E714195_80B5_47D4_B8E3_7A645E12FB47_.wvu.PrintArea" localSheetId="2" hidden="1">CAPTURA!$A$4:$DW$689</definedName>
    <definedName name="Z_0E714195_80B5_47D4_B8E3_7A645E12FB47_.wvu.PrintTitles" localSheetId="2" hidden="1">CAPTURA!$4:$6</definedName>
    <definedName name="Z_0E7FE29E_2B57_4B7C_8715_FAA4E936271D_.wvu.FilterData" localSheetId="2" hidden="1">CAPTURA!$A$6:$EK$678</definedName>
    <definedName name="Z_0E9559A4_C08D_4DE8_BF1A_215DF28A944B_.wvu.FilterData" localSheetId="2" hidden="1">CAPTURA!$A$6:$EK$678</definedName>
    <definedName name="Z_0ECC4E43_4290_468A_8566_A6BA0E8EE8CD_.wvu.FilterData" localSheetId="2" hidden="1">CAPTURA!$A$6:$EK$678</definedName>
    <definedName name="Z_0EEF16BF_031E_44CD_9435_5C5596B91E52_.wvu.FilterData" localSheetId="2" hidden="1">CAPTURA!$A$6:$EK$678</definedName>
    <definedName name="Z_0F099D7C_1AD2_4682_970B_D15C8AF59496_.wvu.FilterData" localSheetId="2" hidden="1">CAPTURA!$A$6:$EK$678</definedName>
    <definedName name="Z_0F1E5F1B_09D0_41E4_B6D9_BC4820A06B33_.wvu.FilterData" localSheetId="2" hidden="1">CAPTURA!$A$6:$EK$678</definedName>
    <definedName name="Z_0F376D9C_F383_41A5_B8DB_62B1E3D3A463_.wvu.FilterData" localSheetId="2" hidden="1">CAPTURA!$A$6:$EK$678</definedName>
    <definedName name="Z_0F473E12_CDC1_45EA_9649_6C5B21FB3EAC_.wvu.FilterData" localSheetId="2" hidden="1">CAPTURA!$A$6:$EK$678</definedName>
    <definedName name="Z_0F5B04C5_D9E0_4F58_BD34_C3396B6EE0BC_.wvu.FilterData" localSheetId="2" hidden="1">CAPTURA!$A$6:$EK$678</definedName>
    <definedName name="Z_0F5B04C5_D9E0_4F58_BD34_C3396B6EE0BC_.wvu.FilterData" localSheetId="5" hidden="1">'DISPERSION FISCAL'!$A$1:$G$624</definedName>
    <definedName name="Z_0F5B04C5_D9E0_4F58_BD34_C3396B6EE0BC_.wvu.FilterData" localSheetId="1" hidden="1">FIJOS!$B$10:$P$505</definedName>
    <definedName name="Z_0F5B04C5_D9E0_4F58_BD34_C3396B6EE0BC_.wvu.FilterData" localSheetId="0" hidden="1">HORAS!$A$3:$DM$3</definedName>
    <definedName name="Z_0F5B04C5_D9E0_4F58_BD34_C3396B6EE0BC_.wvu.FilterData" localSheetId="8" hidden="1">INCIDENCIAS!$B$5:$K$476</definedName>
    <definedName name="Z_0F5B04C5_D9E0_4F58_BD34_C3396B6EE0BC_.wvu.FilterData" localSheetId="6" hidden="1">VARIABLE!$A$1:$C$259</definedName>
    <definedName name="Z_0F5B04C5_D9E0_4F58_BD34_C3396B6EE0BC_.wvu.PrintArea" localSheetId="2" hidden="1">CAPTURA!$A$4:$DW$689</definedName>
    <definedName name="Z_0F5B04C5_D9E0_4F58_BD34_C3396B6EE0BC_.wvu.PrintTitles" localSheetId="2" hidden="1">CAPTURA!$4:$6</definedName>
    <definedName name="Z_1068BFAB_AFE9_494C_878D_FF2A87EB1777_.wvu.FilterData" localSheetId="2" hidden="1">CAPTURA!$A$6:$EK$678</definedName>
    <definedName name="Z_1082D398_BE9F_4741_BCF4_ED59F97865C0_.wvu.FilterData" localSheetId="2" hidden="1">CAPTURA!$A$6:$EK$678</definedName>
    <definedName name="Z_10AE37B9_1E1A_499B_9405_4B6DEEC62CA3_.wvu.FilterData" localSheetId="2" hidden="1">CAPTURA!$A$6:$EK$678</definedName>
    <definedName name="Z_10AE37B9_1E1A_499B_9405_4B6DEEC62CA3_.wvu.FilterData" localSheetId="5" hidden="1">'DISPERSION FISCAL'!$A$1:$E$181</definedName>
    <definedName name="Z_10AE37B9_1E1A_499B_9405_4B6DEEC62CA3_.wvu.FilterData" localSheetId="1" hidden="1">FIJOS!$B$10:$P$131</definedName>
    <definedName name="Z_10AE37B9_1E1A_499B_9405_4B6DEEC62CA3_.wvu.FilterData" localSheetId="8" hidden="1">INCIDENCIAS!$B$5:$K$507</definedName>
    <definedName name="Z_10AE37B9_1E1A_499B_9405_4B6DEEC62CA3_.wvu.FilterData" localSheetId="6" hidden="1">VARIABLE!$A$1:$C$259</definedName>
    <definedName name="Z_10AE37B9_1E1A_499B_9405_4B6DEEC62CA3_.wvu.PrintArea" localSheetId="2" hidden="1">CAPTURA!$A$4:$DW$689</definedName>
    <definedName name="Z_10AE37B9_1E1A_499B_9405_4B6DEEC62CA3_.wvu.PrintTitles" localSheetId="2" hidden="1">CAPTURA!$4:$6</definedName>
    <definedName name="Z_10B2E7DD_8122_4A79_9AEE_DC0F28C95472_.wvu.FilterData" localSheetId="2" hidden="1">CAPTURA!$A$6:$EK$678</definedName>
    <definedName name="Z_10F83C5F_0F57_4FDB_8DBC_371FC43FECF5_.wvu.FilterData" localSheetId="2" hidden="1">CAPTURA!$A$6:$EK$678</definedName>
    <definedName name="Z_1153F96B_9038_443D_B7B8_3C67A87C3661_.wvu.FilterData" localSheetId="2" hidden="1">CAPTURA!$A$6:$EK$678</definedName>
    <definedName name="Z_118EF70C_2823_4466_BA62_4617923B8148_.wvu.FilterData" localSheetId="2" hidden="1">CAPTURA!$A$6:$EK$678</definedName>
    <definedName name="Z_119E24FF_1D9E_4D12_BD93_94D52B91ACE1_.wvu.FilterData" localSheetId="1" hidden="1">FIJOS!$B$10:$P$496</definedName>
    <definedName name="Z_11C11C64_39AD_459C_8E7D_DF277A59D2EC_.wvu.FilterData" localSheetId="2" hidden="1">CAPTURA!$A$6:$EK$678</definedName>
    <definedName name="Z_11D2A4A6_CB91_4678_A62A_30C1561F420A_.wvu.FilterData" localSheetId="2" hidden="1">CAPTURA!$A$6:$EK$678</definedName>
    <definedName name="Z_1223F7D4_1FB1_414C_9EE1_821CC20570AD_.wvu.FilterData" localSheetId="2" hidden="1">CAPTURA!$A$6:$EK$678</definedName>
    <definedName name="Z_12CAAF05_B4DD_4990_8512_DB4131E46D3A_.wvu.FilterData" localSheetId="2" hidden="1">CAPTURA!$A$6:$EK$678</definedName>
    <definedName name="Z_12FEF0D5_3A24_4004_8AFC_86D9836AF9F0_.wvu.FilterData" localSheetId="2" hidden="1">CAPTURA!$A$6:$EK$678</definedName>
    <definedName name="Z_133BAA42_10BD_4C45_A0A9_D207CFBE880E_.wvu.FilterData" localSheetId="2" hidden="1">CAPTURA!$A$6:$EK$678</definedName>
    <definedName name="Z_139850EE_456F_4E37_AF8D_36C536447A18_.wvu.FilterData" localSheetId="2" hidden="1">CAPTURA!$A$6:$EK$678</definedName>
    <definedName name="Z_139850EE_456F_4E37_AF8D_36C536447A18_.wvu.FilterData" localSheetId="1" hidden="1">FIJOS!$B$10:$P$496</definedName>
    <definedName name="Z_13FAB405_74EC_448A_B134_D614ED6CED4C_.wvu.FilterData" localSheetId="2" hidden="1">CAPTURA!$A$6:$EK$678</definedName>
    <definedName name="Z_14159994_8D8E_4D57_8647_381F3945A161_.wvu.FilterData" localSheetId="2" hidden="1">CAPTURA!$A$6:$EK$678</definedName>
    <definedName name="Z_14173123_8D98_4612_B4CA_1F5CDD0594E1_.wvu.FilterData" localSheetId="2" hidden="1">CAPTURA!$A$6:$EK$678</definedName>
    <definedName name="Z_1455430F_B000_4206_94FE_79EDF4824ADD_.wvu.FilterData" localSheetId="2" hidden="1">CAPTURA!$A$6:$EK$678</definedName>
    <definedName name="Z_14966934_0711_4D24_B42C_A344DA0F2632_.wvu.FilterData" localSheetId="2" hidden="1">CAPTURA!$A$6:$EK$678</definedName>
    <definedName name="Z_14966934_0711_4D24_B42C_A344DA0F2632_.wvu.FilterData" localSheetId="5" hidden="1">'DISPERSION FISCAL'!$A$1:$E$181</definedName>
    <definedName name="Z_14966934_0711_4D24_B42C_A344DA0F2632_.wvu.FilterData" localSheetId="1" hidden="1">FIJOS!$B$10:$P$108</definedName>
    <definedName name="Z_14966934_0711_4D24_B42C_A344DA0F2632_.wvu.FilterData" localSheetId="8" hidden="1">INCIDENCIAS!$B$5:$K$442</definedName>
    <definedName name="Z_14966934_0711_4D24_B42C_A344DA0F2632_.wvu.FilterData" localSheetId="6" hidden="1">VARIABLE!$A$1:$C$259</definedName>
    <definedName name="Z_14966934_0711_4D24_B42C_A344DA0F2632_.wvu.PrintArea" localSheetId="2" hidden="1">CAPTURA!$A$4:$DW$689</definedName>
    <definedName name="Z_14966934_0711_4D24_B42C_A344DA0F2632_.wvu.PrintTitles" localSheetId="2" hidden="1">CAPTURA!$4:$6</definedName>
    <definedName name="Z_14EE1A47_A555_4C5E_BE08_F6F3DF36255A_.wvu.FilterData" localSheetId="2" hidden="1">CAPTURA!$A$6:$EK$678</definedName>
    <definedName name="Z_1511B7F1_9DE4_4561_80BD_7A9B00AF4FDB_.wvu.FilterData" localSheetId="2" hidden="1">CAPTURA!$A$6:$EK$678</definedName>
    <definedName name="Z_1511B7F1_9DE4_4561_80BD_7A9B00AF4FDB_.wvu.FilterData" localSheetId="1" hidden="1">FIJOS!$B$10:$P$108</definedName>
    <definedName name="Z_1512DF0B_0335_41B5_98EA_527192A60AA0_.wvu.FilterData" localSheetId="2" hidden="1">CAPTURA!$A$6:$EK$678</definedName>
    <definedName name="Z_1588DA9C_8F23_4CF9_B1C2_F37F1F3B5EED_.wvu.FilterData" localSheetId="2" hidden="1">CAPTURA!$A$6:$EK$678</definedName>
    <definedName name="Z_15BB2D58_F408_49CF_A435_A3585C78FD33_.wvu.FilterData" localSheetId="2" hidden="1">CAPTURA!$A$6:$EK$678</definedName>
    <definedName name="Z_15BDD07D_746F_4E8B_8A99_3F44C6981353_.wvu.FilterData" localSheetId="2" hidden="1">CAPTURA!$A$6:$EK$678</definedName>
    <definedName name="Z_15CA86BC_58ED_4DD4_9546_701B28D07AEF_.wvu.FilterData" localSheetId="2" hidden="1">CAPTURA!$A$6:$EK$678</definedName>
    <definedName name="Z_15CA86BC_58ED_4DD4_9546_701B28D07AEF_.wvu.FilterData" localSheetId="5" hidden="1">'DISPERSION FISCAL'!$A$1:$E$181</definedName>
    <definedName name="Z_15CA86BC_58ED_4DD4_9546_701B28D07AEF_.wvu.FilterData" localSheetId="1" hidden="1">FIJOS!$B$10:$P$108</definedName>
    <definedName name="Z_15CA86BC_58ED_4DD4_9546_701B28D07AEF_.wvu.FilterData" localSheetId="8" hidden="1">INCIDENCIAS!$B$5:$K$513</definedName>
    <definedName name="Z_15CA86BC_58ED_4DD4_9546_701B28D07AEF_.wvu.FilterData" localSheetId="6" hidden="1">VARIABLE!$A$1:$C$259</definedName>
    <definedName name="Z_15CA86BC_58ED_4DD4_9546_701B28D07AEF_.wvu.PrintArea" localSheetId="2" hidden="1">CAPTURA!$A$4:$DW$689</definedName>
    <definedName name="Z_15CA86BC_58ED_4DD4_9546_701B28D07AEF_.wvu.PrintTitles" localSheetId="2" hidden="1">CAPTURA!$4:$6</definedName>
    <definedName name="Z_15D6D707_BB3E_493B_8A1E_7EDDEEF8F2B4_.wvu.FilterData" localSheetId="2" hidden="1">CAPTURA!$A$6:$EK$678</definedName>
    <definedName name="Z_15FDF881_5554_4CC8_AF47_B1CA2D23A461_.wvu.FilterData" localSheetId="2" hidden="1">CAPTURA!$A$6:$EK$678</definedName>
    <definedName name="Z_16169FC2_ED41_4956_B385_EE86AB01A335_.wvu.FilterData" localSheetId="2" hidden="1">CAPTURA!$A$6:$EK$678</definedName>
    <definedName name="Z_1647B7FD_6294_49D8_A56C_E8150CBCA053_.wvu.FilterData" localSheetId="2" hidden="1">CAPTURA!$A$6:$EK$678</definedName>
    <definedName name="Z_1666F974_D2AB_4E91_BC22_057B2A121F22_.wvu.FilterData" localSheetId="2" hidden="1">CAPTURA!$A$6:$EK$678</definedName>
    <definedName name="Z_166EE787_322B_41DD_8489_65AAF204511C_.wvu.FilterData" localSheetId="2" hidden="1">CAPTURA!$A$6:$EK$678</definedName>
    <definedName name="Z_16846B23_722A_43E1_A613_1F889E0EEA4D_.wvu.FilterData" localSheetId="2" hidden="1">CAPTURA!$A$6:$EK$678</definedName>
    <definedName name="Z_168FC637_6790_4620_987D_78CC0231E9BE_.wvu.FilterData" localSheetId="2" hidden="1">CAPTURA!$A$6:$EK$678</definedName>
    <definedName name="Z_16972FC5_2AD4_4174_8E7E_4C340CA4C277_.wvu.FilterData" localSheetId="2" hidden="1">CAPTURA!$A$6:$EK$678</definedName>
    <definedName name="Z_16AFE9EB_A572_404F_B5BC_14E8E3165FCA_.wvu.FilterData" localSheetId="2" hidden="1">CAPTURA!$A$6:$EK$678</definedName>
    <definedName name="Z_16D7BF72_9654_459D_916C_A5AF5CCD3CC1_.wvu.FilterData" localSheetId="2" hidden="1">CAPTURA!$A$6:$EK$678</definedName>
    <definedName name="Z_16E66275_1FDE_42BC_862B_FE74B07D7E2C_.wvu.FilterData" localSheetId="2" hidden="1">CAPTURA!$A$6:$EK$678</definedName>
    <definedName name="Z_16E66275_1FDE_42BC_862B_FE74B07D7E2C_.wvu.FilterData" localSheetId="1" hidden="1">FIJOS!$B$10:$P$122</definedName>
    <definedName name="Z_16FF8593_0199_4966_AACE_C67A639BA52B_.wvu.FilterData" localSheetId="2" hidden="1">CAPTURA!$A$6:$EK$678</definedName>
    <definedName name="Z_171ADD46_CA4A_4331_8E07_C1F270B1986A_.wvu.FilterData" localSheetId="2" hidden="1">CAPTURA!$A$6:$EK$678</definedName>
    <definedName name="Z_1726151B_DED0_45FF_9FB8_7DB1967CD4B3_.wvu.FilterData" localSheetId="2" hidden="1">CAPTURA!$A$6:$EK$678</definedName>
    <definedName name="Z_1726151B_DED0_45FF_9FB8_7DB1967CD4B3_.wvu.FilterData" localSheetId="5" hidden="1">'DISPERSION FISCAL'!$A$1:$G$624</definedName>
    <definedName name="Z_1726151B_DED0_45FF_9FB8_7DB1967CD4B3_.wvu.FilterData" localSheetId="1" hidden="1">FIJOS!$B$10:$P$505</definedName>
    <definedName name="Z_1726151B_DED0_45FF_9FB8_7DB1967CD4B3_.wvu.FilterData" localSheetId="0" hidden="1">HORAS!$A$3:$DM$3</definedName>
    <definedName name="Z_1726151B_DED0_45FF_9FB8_7DB1967CD4B3_.wvu.FilterData" localSheetId="8" hidden="1">INCIDENCIAS!$B$5:$K$494</definedName>
    <definedName name="Z_1726151B_DED0_45FF_9FB8_7DB1967CD4B3_.wvu.FilterData" localSheetId="6" hidden="1">VARIABLE!$A$1:$C$259</definedName>
    <definedName name="Z_1726151B_DED0_45FF_9FB8_7DB1967CD4B3_.wvu.PrintArea" localSheetId="2" hidden="1">CAPTURA!$A$4:$DW$689</definedName>
    <definedName name="Z_1726151B_DED0_45FF_9FB8_7DB1967CD4B3_.wvu.PrintTitles" localSheetId="2" hidden="1">CAPTURA!$4:$6</definedName>
    <definedName name="Z_172B9288_10CF_42A5_8913_E4440634F7CC_.wvu.FilterData" localSheetId="2" hidden="1">CAPTURA!$A$6:$EK$678</definedName>
    <definedName name="Z_172FB8D0_FD17_44B5_B04D_26DE779360D0_.wvu.FilterData" localSheetId="2" hidden="1">CAPTURA!$A$6:$EK$678</definedName>
    <definedName name="Z_174D9D50_397C_4067_854C_5EB709081B1F_.wvu.FilterData" localSheetId="2" hidden="1">CAPTURA!$A$6:$EK$678</definedName>
    <definedName name="Z_17700310_4F88_45F1_8FA3_5760B6190705_.wvu.FilterData" localSheetId="2" hidden="1">CAPTURA!$A$6:$EK$678</definedName>
    <definedName name="Z_17700310_4F88_45F1_8FA3_5760B6190705_.wvu.FilterData" localSheetId="5" hidden="1">'DISPERSION FISCAL'!$A$1:$G$624</definedName>
    <definedName name="Z_17700310_4F88_45F1_8FA3_5760B6190705_.wvu.FilterData" localSheetId="1" hidden="1">FIJOS!$B$10:$P$505</definedName>
    <definedName name="Z_17700310_4F88_45F1_8FA3_5760B6190705_.wvu.FilterData" localSheetId="0" hidden="1">HORAS!$A$3:$DM$3</definedName>
    <definedName name="Z_17700310_4F88_45F1_8FA3_5760B6190705_.wvu.FilterData" localSheetId="8" hidden="1">INCIDENCIAS!$B$5:$K$467</definedName>
    <definedName name="Z_17700310_4F88_45F1_8FA3_5760B6190705_.wvu.FilterData" localSheetId="6" hidden="1">VARIABLE!$A$1:$C$259</definedName>
    <definedName name="Z_17700310_4F88_45F1_8FA3_5760B6190705_.wvu.PrintArea" localSheetId="2" hidden="1">CAPTURA!$A$4:$DW$689</definedName>
    <definedName name="Z_17700310_4F88_45F1_8FA3_5760B6190705_.wvu.PrintTitles" localSheetId="2" hidden="1">CAPTURA!$4:$6</definedName>
    <definedName name="Z_17984026_52FD_4BC3_94D9_B80798776BDA_.wvu.FilterData" localSheetId="2" hidden="1">CAPTURA!$A$6:$EK$678</definedName>
    <definedName name="Z_17B63415_D9AB_4E16_9AC2_0CC837435C68_.wvu.FilterData" localSheetId="2" hidden="1">CAPTURA!$A$6:$EK$678</definedName>
    <definedName name="Z_17DBFEAF_ADD4_4FD4_8F6D_80577E6D6E61_.wvu.FilterData" localSheetId="2" hidden="1">CAPTURA!$A$6:$EK$678</definedName>
    <definedName name="Z_1802520F_57A9_407E_A6A1_89CD1BB9775C_.wvu.FilterData" localSheetId="2" hidden="1">CAPTURA!$A$6:$EK$678</definedName>
    <definedName name="Z_1802520F_57A9_407E_A6A1_89CD1BB9775C_.wvu.FilterData" localSheetId="5" hidden="1">'DISPERSION FISCAL'!$A$1:$G$624</definedName>
    <definedName name="Z_1802520F_57A9_407E_A6A1_89CD1BB9775C_.wvu.FilterData" localSheetId="1" hidden="1">FIJOS!$B$10:$P$505</definedName>
    <definedName name="Z_1802520F_57A9_407E_A6A1_89CD1BB9775C_.wvu.FilterData" localSheetId="0" hidden="1">HORAS!$A$3:$DM$3</definedName>
    <definedName name="Z_1802520F_57A9_407E_A6A1_89CD1BB9775C_.wvu.FilterData" localSheetId="8" hidden="1">INCIDENCIAS!$B$5:$K$494</definedName>
    <definedName name="Z_1802520F_57A9_407E_A6A1_89CD1BB9775C_.wvu.FilterData" localSheetId="6" hidden="1">VARIABLE!$A$1:$C$259</definedName>
    <definedName name="Z_1802520F_57A9_407E_A6A1_89CD1BB9775C_.wvu.PrintArea" localSheetId="2" hidden="1">CAPTURA!$A$4:$DW$689</definedName>
    <definedName name="Z_1802520F_57A9_407E_A6A1_89CD1BB9775C_.wvu.PrintTitles" localSheetId="2" hidden="1">CAPTURA!$4:$6</definedName>
    <definedName name="Z_1823F9FD_CE05_4F07_9E20_9E91D843CE28_.wvu.FilterData" localSheetId="2" hidden="1">CAPTURA!$A$6:$EK$678</definedName>
    <definedName name="Z_183D0084_E1FC_4779_A2AD_64F334A84662_.wvu.FilterData" localSheetId="2" hidden="1">CAPTURA!$A$6:$EK$678</definedName>
    <definedName name="Z_183D0084_E1FC_4779_A2AD_64F334A84662_.wvu.FilterData" localSheetId="5" hidden="1">'DISPERSION FISCAL'!$A$1:$G$624</definedName>
    <definedName name="Z_183D0084_E1FC_4779_A2AD_64F334A84662_.wvu.FilterData" localSheetId="1" hidden="1">FIJOS!$B$10:$P$496</definedName>
    <definedName name="Z_183D0084_E1FC_4779_A2AD_64F334A84662_.wvu.FilterData" localSheetId="8" hidden="1">INCIDENCIAS!$B$5:$K$732</definedName>
    <definedName name="Z_183D0084_E1FC_4779_A2AD_64F334A84662_.wvu.FilterData" localSheetId="6" hidden="1">VARIABLE!$A$1:$C$259</definedName>
    <definedName name="Z_183D0084_E1FC_4779_A2AD_64F334A84662_.wvu.PrintArea" localSheetId="2" hidden="1">CAPTURA!$A$4:$DW$689</definedName>
    <definedName name="Z_183D0084_E1FC_4779_A2AD_64F334A84662_.wvu.PrintTitles" localSheetId="2" hidden="1">CAPTURA!$4:$6</definedName>
    <definedName name="Z_184557C9_50EC_4318_8122_785C6ACE4249_.wvu.FilterData" localSheetId="2" hidden="1">CAPTURA!$A$6:$EK$678</definedName>
    <definedName name="Z_184557C9_50EC_4318_8122_785C6ACE4249_.wvu.FilterData" localSheetId="5" hidden="1">'DISPERSION FISCAL'!$A$1:$E$181</definedName>
    <definedName name="Z_184557C9_50EC_4318_8122_785C6ACE4249_.wvu.FilterData" localSheetId="1" hidden="1">FIJOS!$B$10:$P$108</definedName>
    <definedName name="Z_184557C9_50EC_4318_8122_785C6ACE4249_.wvu.FilterData" localSheetId="8" hidden="1">INCIDENCIAS!$B$5:$K$284</definedName>
    <definedName name="Z_184557C9_50EC_4318_8122_785C6ACE4249_.wvu.FilterData" localSheetId="6" hidden="1">VARIABLE!$A$1:$C$259</definedName>
    <definedName name="Z_184557C9_50EC_4318_8122_785C6ACE4249_.wvu.PrintArea" localSheetId="2" hidden="1">CAPTURA!$A$4:$DW$689</definedName>
    <definedName name="Z_184557C9_50EC_4318_8122_785C6ACE4249_.wvu.PrintTitles" localSheetId="2" hidden="1">CAPTURA!$4:$6</definedName>
    <definedName name="Z_1856B685_36A9_4B4C_8488_086098170D89_.wvu.FilterData" localSheetId="2" hidden="1">CAPTURA!$A$6:$EK$678</definedName>
    <definedName name="Z_186C3F2F_8470_4B53_8655_256A8FBC9363_.wvu.FilterData" localSheetId="2" hidden="1">CAPTURA!$A$6:$EK$678</definedName>
    <definedName name="Z_18B95CFF_5BB6_4886_973C_AA68BD4BEF48_.wvu.FilterData" localSheetId="2" hidden="1">CAPTURA!$A$6:$EK$678</definedName>
    <definedName name="Z_18BDE4A6_7567_4703_A8D6_1C3DED6814AD_.wvu.FilterData" localSheetId="2" hidden="1">CAPTURA!$A$6:$EK$678</definedName>
    <definedName name="Z_18D491BA_F89D_483C_9C15_FD8E1BFEA4F3_.wvu.FilterData" localSheetId="2" hidden="1">CAPTURA!$A$6:$EK$678</definedName>
    <definedName name="Z_18EA3A01_3BD1_4198_80E3_CE12B2F422BB_.wvu.FilterData" localSheetId="2" hidden="1">CAPTURA!$A$6:$EK$678</definedName>
    <definedName name="Z_18EA6489_9519_4709_B53C_FF93F3504695_.wvu.FilterData" localSheetId="2" hidden="1">CAPTURA!$A$6:$EK$678</definedName>
    <definedName name="Z_191CAD41_ED6C_46C0_BCBC_4555A7EC4400_.wvu.FilterData" localSheetId="2" hidden="1">CAPTURA!$A$6:$EK$678</definedName>
    <definedName name="Z_19326100_5B1B_46A8_B0E2_B7AD3411A651_.wvu.FilterData" localSheetId="2" hidden="1">CAPTURA!$A$6:$EK$678</definedName>
    <definedName name="Z_1932FD62_1AB0_4ED1_B02A_7DAA3B5DAF17_.wvu.FilterData" localSheetId="2" hidden="1">CAPTURA!$A$6:$EK$678</definedName>
    <definedName name="Z_19406D1A_232F_4E2B_89B4_A128E31B3365_.wvu.FilterData" localSheetId="2" hidden="1">CAPTURA!$A$6:$EK$678</definedName>
    <definedName name="Z_196867AC_BE0D_44C3_BA8A_FBC1ED493E3D_.wvu.FilterData" localSheetId="2" hidden="1">CAPTURA!$A$6:$EK$678</definedName>
    <definedName name="Z_19DCE323_7B98_49B3_A168_9E3E8978682C_.wvu.FilterData" localSheetId="2" hidden="1">CAPTURA!$A$6:$EK$678</definedName>
    <definedName name="Z_1A0B494B_9FDF_4EA5_9ACE_A998A36E5A7F_.wvu.FilterData" localSheetId="2" hidden="1">CAPTURA!$A$6:$EK$678</definedName>
    <definedName name="Z_1A0F25F6_CA35_469C_BC19_C815A05696DC_.wvu.FilterData" localSheetId="2" hidden="1">CAPTURA!$A$6:$EK$678</definedName>
    <definedName name="Z_1A156DC9_B6B3_4439_B1BE_D66594027551_.wvu.FilterData" localSheetId="2" hidden="1">CAPTURA!$A$6:$EK$678</definedName>
    <definedName name="Z_1A2376A3_A3EE_48F2_8ABC_69A750EB2A79_.wvu.FilterData" localSheetId="2" hidden="1">CAPTURA!$A$6:$EK$678</definedName>
    <definedName name="Z_1A2376A3_A3EE_48F2_8ABC_69A750EB2A79_.wvu.FilterData" localSheetId="1" hidden="1">FIJOS!$B$10:$P$505</definedName>
    <definedName name="Z_1AC853AC_FE1E_4970_9ED3_058B2F052DD7_.wvu.FilterData" localSheetId="2" hidden="1">CAPTURA!$A$6:$EK$678</definedName>
    <definedName name="Z_1B2A4FDD_FEBD_450E_97B8_2915FCE6EC0D_.wvu.FilterData" localSheetId="2" hidden="1">CAPTURA!$A$6:$EK$678</definedName>
    <definedName name="Z_1B7E499E_716E_43C6_9DB7_8DA103E4AF47_.wvu.FilterData" localSheetId="2" hidden="1">CAPTURA!$A$6:$EK$678</definedName>
    <definedName name="Z_1B7E499E_716E_43C6_9DB7_8DA103E4AF47_.wvu.FilterData" localSheetId="5" hidden="1">'DISPERSION FISCAL'!$A$1:$E$181</definedName>
    <definedName name="Z_1B7E499E_716E_43C6_9DB7_8DA103E4AF47_.wvu.FilterData" localSheetId="1" hidden="1">FIJOS!$B$10:$P$108</definedName>
    <definedName name="Z_1B7E499E_716E_43C6_9DB7_8DA103E4AF47_.wvu.FilterData" localSheetId="8" hidden="1">INCIDENCIAS!$B$5:$K$514</definedName>
    <definedName name="Z_1B7E499E_716E_43C6_9DB7_8DA103E4AF47_.wvu.FilterData" localSheetId="6" hidden="1">VARIABLE!$A$1:$C$259</definedName>
    <definedName name="Z_1B7E499E_716E_43C6_9DB7_8DA103E4AF47_.wvu.PrintArea" localSheetId="2" hidden="1">CAPTURA!$A$4:$DW$689</definedName>
    <definedName name="Z_1B7E499E_716E_43C6_9DB7_8DA103E4AF47_.wvu.PrintTitles" localSheetId="2" hidden="1">CAPTURA!$4:$6</definedName>
    <definedName name="Z_1B8D1B85_7FEC_4DDC_8360_5ADC744E7458_.wvu.FilterData" localSheetId="2" hidden="1">CAPTURA!$A$6:$EK$678</definedName>
    <definedName name="Z_1BA427D0_1533_4BF6_AB1E_9BE58C694499_.wvu.FilterData" localSheetId="2" hidden="1">CAPTURA!$A$6:$EK$678</definedName>
    <definedName name="Z_1BA95AFE_1434_4832_8B5D_B079AC1326C7_.wvu.FilterData" localSheetId="2" hidden="1">CAPTURA!$A$6:$EK$678</definedName>
    <definedName name="Z_1BB60991_22B1_4609_98FC_A20681E06C83_.wvu.FilterData" localSheetId="2" hidden="1">CAPTURA!$A$6:$EK$678</definedName>
    <definedName name="Z_1BB70431_F727_4664_A187_EAC96E0AFC32_.wvu.FilterData" localSheetId="2" hidden="1">CAPTURA!$A$6:$EK$678</definedName>
    <definedName name="Z_1BC8501B_916B_4597_9A60_0595717E9C0F_.wvu.FilterData" localSheetId="2" hidden="1">CAPTURA!$A$6:$EK$678</definedName>
    <definedName name="Z_1C28F20B_693E_49CB_966C_5C8481F81CCD_.wvu.FilterData" localSheetId="2" hidden="1">CAPTURA!$A$6:$EK$678</definedName>
    <definedName name="Z_1C30241C_2A02_4ABD_8590_A7125AE8E3F7_.wvu.FilterData" localSheetId="2" hidden="1">CAPTURA!$A$6:$EK$678</definedName>
    <definedName name="Z_1C39C3DA_5E49_4B64_8B86_03B66A4194C4_.wvu.FilterData" localSheetId="2" hidden="1">CAPTURA!$A$6:$EK$678</definedName>
    <definedName name="Z_1C518014_CA03_4EC8_835D_C138955A52AA_.wvu.FilterData" localSheetId="2" hidden="1">CAPTURA!$A$6:$EK$678</definedName>
    <definedName name="Z_1C6197F9_7DC0_443A_B6C7_2A26C395F163_.wvu.FilterData" localSheetId="2" hidden="1">CAPTURA!$A$6:$EK$678</definedName>
    <definedName name="Z_1C8E8F46_B267_440B_8460_EEEE797D77D6_.wvu.FilterData" localSheetId="2" hidden="1">CAPTURA!$A$6:$EK$678</definedName>
    <definedName name="Z_1C93EB02_8BC9_42BC_8585_4D1EEFD4C140_.wvu.FilterData" localSheetId="2" hidden="1">CAPTURA!$A$6:$EK$678</definedName>
    <definedName name="Z_1CED0ECF_AF63_4C8B_8F0A_0DE67808453E_.wvu.FilterData" localSheetId="2" hidden="1">CAPTURA!$A$6:$EK$678</definedName>
    <definedName name="Z_1CFB8695_EADD_437B_B4DB_3F6CE668B899_.wvu.FilterData" localSheetId="2" hidden="1">CAPTURA!$A$6:$EK$678</definedName>
    <definedName name="Z_1CFB8695_EADD_437B_B4DB_3F6CE668B899_.wvu.FilterData" localSheetId="5" hidden="1">'DISPERSION FISCAL'!$A$1:$E$181</definedName>
    <definedName name="Z_1CFB8695_EADD_437B_B4DB_3F6CE668B899_.wvu.FilterData" localSheetId="1" hidden="1">FIJOS!$B$10:$P$231</definedName>
    <definedName name="Z_1CFB8695_EADD_437B_B4DB_3F6CE668B899_.wvu.FilterData" localSheetId="8" hidden="1">INCIDENCIAS!$B$5:$K$499</definedName>
    <definedName name="Z_1CFB8695_EADD_437B_B4DB_3F6CE668B899_.wvu.FilterData" localSheetId="6" hidden="1">VARIABLE!$A$1:$C$259</definedName>
    <definedName name="Z_1CFB8695_EADD_437B_B4DB_3F6CE668B899_.wvu.PrintArea" localSheetId="2" hidden="1">CAPTURA!$A$4:$DW$689</definedName>
    <definedName name="Z_1CFB8695_EADD_437B_B4DB_3F6CE668B899_.wvu.PrintTitles" localSheetId="2" hidden="1">CAPTURA!$4:$6</definedName>
    <definedName name="Z_1D124C5D_D090_4300_B589_CF7E9C1541AC_.wvu.FilterData" localSheetId="2" hidden="1">CAPTURA!$A$6:$EK$678</definedName>
    <definedName name="Z_1D3D1EDA_2E7C_449E_9F3D_8F4FCD17D024_.wvu.FilterData" localSheetId="2" hidden="1">CAPTURA!$A$6:$EK$678</definedName>
    <definedName name="Z_1D8E4857_CE6D_4218_935F_B86D575A4EDB_.wvu.FilterData" localSheetId="2" hidden="1">CAPTURA!$A$6:$EK$678</definedName>
    <definedName name="Z_1D99FD69_FA8C_41F1_8693_14B1E820D395_.wvu.FilterData" localSheetId="2" hidden="1">CAPTURA!$A$6:$EK$678</definedName>
    <definedName name="Z_1DAC3CBC_42BB_4159_839B_21FD2B28A277_.wvu.FilterData" localSheetId="2" hidden="1">CAPTURA!$A$6:$EK$678</definedName>
    <definedName name="Z_1DB1A0B8_90E7_4D04_90E7_0E73B7B61ACD_.wvu.FilterData" localSheetId="2" hidden="1">CAPTURA!$A$6:$EK$678</definedName>
    <definedName name="Z_1DBD186C_BB73_4835_A69C_73CB36409421_.wvu.FilterData" localSheetId="2" hidden="1">CAPTURA!$A$6:$EK$678</definedName>
    <definedName name="Z_1DBD186C_BB73_4835_A69C_73CB36409421_.wvu.FilterData" localSheetId="5" hidden="1">'DISPERSION FISCAL'!$A$1:$G$624</definedName>
    <definedName name="Z_1DBD186C_BB73_4835_A69C_73CB36409421_.wvu.FilterData" localSheetId="1" hidden="1">FIJOS!$B$10:$P$505</definedName>
    <definedName name="Z_1DBD186C_BB73_4835_A69C_73CB36409421_.wvu.FilterData" localSheetId="0" hidden="1">HORAS!$A$3:$DM$3</definedName>
    <definedName name="Z_1DBD186C_BB73_4835_A69C_73CB36409421_.wvu.FilterData" localSheetId="8" hidden="1">INCIDENCIAS!$B$5:$K$494</definedName>
    <definedName name="Z_1DBD186C_BB73_4835_A69C_73CB36409421_.wvu.FilterData" localSheetId="6" hidden="1">VARIABLE!$A$1:$C$259</definedName>
    <definedName name="Z_1DBD186C_BB73_4835_A69C_73CB36409421_.wvu.PrintArea" localSheetId="2" hidden="1">CAPTURA!$A$4:$DW$689</definedName>
    <definedName name="Z_1DBD186C_BB73_4835_A69C_73CB36409421_.wvu.PrintTitles" localSheetId="2" hidden="1">CAPTURA!$4:$6</definedName>
    <definedName name="Z_1DBEB80A_6A0A_43FC_9C58_A97AA847B44D_.wvu.FilterData" localSheetId="2" hidden="1">CAPTURA!$A$6:$EK$678</definedName>
    <definedName name="Z_1DBEB80A_6A0A_43FC_9C58_A97AA847B44D_.wvu.FilterData" localSheetId="1" hidden="1">FIJOS!$B$10:$P$505</definedName>
    <definedName name="Z_1DBECB1D_DFDC_4CDB_8B23_E63A9BD1DD65_.wvu.FilterData" localSheetId="2" hidden="1">CAPTURA!$A$6:$EK$678</definedName>
    <definedName name="Z_1DD62A24_E619_4A19_AF3D_61DF68202033_.wvu.FilterData" localSheetId="2" hidden="1">CAPTURA!$A$6:$EK$678</definedName>
    <definedName name="Z_1E0C2055_7879_48D3_9BAB_A8A2376E887F_.wvu.FilterData" localSheetId="2" hidden="1">CAPTURA!$A$6:$EK$678</definedName>
    <definedName name="Z_1E115EE7_3F14_4C0B_86BD_2205945F5652_.wvu.FilterData" localSheetId="2" hidden="1">CAPTURA!$A$6:$EK$678</definedName>
    <definedName name="Z_1E627739_DE44_432A_BBA7_F01EC9C2A7CB_.wvu.FilterData" localSheetId="2" hidden="1">CAPTURA!$A$6:$EK$678</definedName>
    <definedName name="Z_1E765E64_4F2F_46DD_8C3F_9B1FDC508856_.wvu.FilterData" localSheetId="2" hidden="1">CAPTURA!$A$6:$EK$678</definedName>
    <definedName name="Z_1E765E64_4F2F_46DD_8C3F_9B1FDC508856_.wvu.FilterData" localSheetId="5" hidden="1">'DISPERSION FISCAL'!$A$1:$G$624</definedName>
    <definedName name="Z_1E765E64_4F2F_46DD_8C3F_9B1FDC508856_.wvu.FilterData" localSheetId="1" hidden="1">FIJOS!$B$10:$P$505</definedName>
    <definedName name="Z_1E765E64_4F2F_46DD_8C3F_9B1FDC508856_.wvu.FilterData" localSheetId="0" hidden="1">HORAS!$A$3:$DM$3</definedName>
    <definedName name="Z_1E765E64_4F2F_46DD_8C3F_9B1FDC508856_.wvu.FilterData" localSheetId="8" hidden="1">INCIDENCIAS!$B$5:$K$494</definedName>
    <definedName name="Z_1E765E64_4F2F_46DD_8C3F_9B1FDC508856_.wvu.FilterData" localSheetId="6" hidden="1">VARIABLE!$A$1:$C$259</definedName>
    <definedName name="Z_1E765E64_4F2F_46DD_8C3F_9B1FDC508856_.wvu.PrintArea" localSheetId="2" hidden="1">CAPTURA!$A$4:$DW$689</definedName>
    <definedName name="Z_1E765E64_4F2F_46DD_8C3F_9B1FDC508856_.wvu.PrintTitles" localSheetId="2" hidden="1">CAPTURA!$4:$6</definedName>
    <definedName name="Z_1E9327FE_8F4A_42E8_B9AF_ABE5E0C0B247_.wvu.FilterData" localSheetId="2" hidden="1">CAPTURA!$A$6:$EK$678</definedName>
    <definedName name="Z_1EBC1831_2614_4C3A_9EEA_7A79DD647FB1_.wvu.FilterData" localSheetId="2" hidden="1">CAPTURA!$A$6:$EK$678</definedName>
    <definedName name="Z_1EC7AD79_BE67_4E9F_AF88_C26F83128CE4_.wvu.FilterData" localSheetId="2" hidden="1">CAPTURA!$A$6:$EK$678</definedName>
    <definedName name="Z_1ED7DA85_CD4A_4F6A_9040_2435720657A7_.wvu.FilterData" localSheetId="2" hidden="1">CAPTURA!$A$6:$EK$678</definedName>
    <definedName name="Z_1EFA7D6A_A9DD_4B50_A265_106F41547B0B_.wvu.FilterData" localSheetId="2" hidden="1">CAPTURA!$A$6:$EK$678</definedName>
    <definedName name="Z_1F0BD29D_F494_4F98_8BF6_C5339EAF8F58_.wvu.FilterData" localSheetId="2" hidden="1">CAPTURA!$A$6:$EK$678</definedName>
    <definedName name="Z_1F65B902_225D_4918_9ABE_B0958457F4B4_.wvu.FilterData" localSheetId="2" hidden="1">CAPTURA!$A$6:$EK$678</definedName>
    <definedName name="Z_1F78A171_4871_40CC_9984_4B96ABEB4DCF_.wvu.FilterData" localSheetId="2" hidden="1">CAPTURA!$A$6:$EK$678</definedName>
    <definedName name="Z_1F9E31B8_924B_498B_9D51_0C291949E96B_.wvu.FilterData" localSheetId="2" hidden="1">CAPTURA!$A$6:$EK$678</definedName>
    <definedName name="Z_1FB3A9A5_11C7_4DD1_B3FD_81FE36F9B052_.wvu.FilterData" localSheetId="1" hidden="1">FIJOS!$B$10:$P$505</definedName>
    <definedName name="Z_1FDE830E_0A8D_4FBA_98B4_6A60908B343E_.wvu.FilterData" localSheetId="2" hidden="1">CAPTURA!$A$6:$EK$678</definedName>
    <definedName name="Z_1FE2C029_28C5_487B_8515_E1165C1EC2CD_.wvu.FilterData" localSheetId="2" hidden="1">CAPTURA!$A$6:$EK$678</definedName>
    <definedName name="Z_1FF1C0D7_2F71_4529_9992_C253B6DA5A68_.wvu.FilterData" localSheetId="2" hidden="1">CAPTURA!$A$6:$EK$678</definedName>
    <definedName name="Z_206EE732_65E2_4C68_B609_026D4D2147EE_.wvu.FilterData" localSheetId="2" hidden="1">CAPTURA!$A$6:$EK$678</definedName>
    <definedName name="Z_20819F04_5B27_460F_A187_3E200E28492B_.wvu.FilterData" localSheetId="2" hidden="1">CAPTURA!$A$6:$EK$678</definedName>
    <definedName name="Z_20819F04_5B27_460F_A187_3E200E28492B_.wvu.FilterData" localSheetId="5" hidden="1">'DISPERSION FISCAL'!$A$1:$E$181</definedName>
    <definedName name="Z_20819F04_5B27_460F_A187_3E200E28492B_.wvu.FilterData" localSheetId="1" hidden="1">FIJOS!$B$10:$P$121</definedName>
    <definedName name="Z_20819F04_5B27_460F_A187_3E200E28492B_.wvu.FilterData" localSheetId="8" hidden="1">INCIDENCIAS!$B$5:$K$514</definedName>
    <definedName name="Z_20819F04_5B27_460F_A187_3E200E28492B_.wvu.FilterData" localSheetId="6" hidden="1">VARIABLE!$A$1:$C$259</definedName>
    <definedName name="Z_20819F04_5B27_460F_A187_3E200E28492B_.wvu.PrintArea" localSheetId="2" hidden="1">CAPTURA!$A$4:$DW$689</definedName>
    <definedName name="Z_20819F04_5B27_460F_A187_3E200E28492B_.wvu.PrintTitles" localSheetId="2" hidden="1">CAPTURA!$4:$6</definedName>
    <definedName name="Z_20952976_C0DD_4A84_AE7E_7E1A4E17A1E1_.wvu.FilterData" localSheetId="2" hidden="1">CAPTURA!$A$6:$EK$678</definedName>
    <definedName name="Z_20952976_C0DD_4A84_AE7E_7E1A4E17A1E1_.wvu.FilterData" localSheetId="5" hidden="1">'DISPERSION FISCAL'!$A$1:$G$624</definedName>
    <definedName name="Z_20952976_C0DD_4A84_AE7E_7E1A4E17A1E1_.wvu.FilterData" localSheetId="1" hidden="1">FIJOS!$B$10:$P$505</definedName>
    <definedName name="Z_20952976_C0DD_4A84_AE7E_7E1A4E17A1E1_.wvu.FilterData" localSheetId="0" hidden="1">HORAS!$A$3:$DM$3</definedName>
    <definedName name="Z_20952976_C0DD_4A84_AE7E_7E1A4E17A1E1_.wvu.FilterData" localSheetId="8" hidden="1">INCIDENCIAS!$B$5:$L$373</definedName>
    <definedName name="Z_20952976_C0DD_4A84_AE7E_7E1A4E17A1E1_.wvu.FilterData" localSheetId="6" hidden="1">VARIABLE!$A$1:$C$259</definedName>
    <definedName name="Z_20952976_C0DD_4A84_AE7E_7E1A4E17A1E1_.wvu.PrintArea" localSheetId="2" hidden="1">CAPTURA!$A$4:$DW$689</definedName>
    <definedName name="Z_20952976_C0DD_4A84_AE7E_7E1A4E17A1E1_.wvu.PrintArea" localSheetId="7" hidden="1">EFECTIVOS!$A$1:$G$9</definedName>
    <definedName name="Z_20952976_C0DD_4A84_AE7E_7E1A4E17A1E1_.wvu.PrintTitles" localSheetId="2" hidden="1">CAPTURA!$4:$6</definedName>
    <definedName name="Z_2095AD53_98DA_4BB2_89E0_278E7044A261_.wvu.FilterData" localSheetId="2" hidden="1">CAPTURA!$A$6:$EK$678</definedName>
    <definedName name="Z_2095AD53_98DA_4BB2_89E0_278E7044A261_.wvu.FilterData" localSheetId="5" hidden="1">'DISPERSION FISCAL'!$A$1:$E$181</definedName>
    <definedName name="Z_2095AD53_98DA_4BB2_89E0_278E7044A261_.wvu.FilterData" localSheetId="1" hidden="1">FIJOS!$B$10:$P$108</definedName>
    <definedName name="Z_2095AD53_98DA_4BB2_89E0_278E7044A261_.wvu.FilterData" localSheetId="8" hidden="1">INCIDENCIAS!$B$5:$K$501</definedName>
    <definedName name="Z_2095AD53_98DA_4BB2_89E0_278E7044A261_.wvu.FilterData" localSheetId="6" hidden="1">VARIABLE!$A$1:$C$259</definedName>
    <definedName name="Z_2095AD53_98DA_4BB2_89E0_278E7044A261_.wvu.PrintArea" localSheetId="2" hidden="1">CAPTURA!$A$4:$DW$689</definedName>
    <definedName name="Z_2095AD53_98DA_4BB2_89E0_278E7044A261_.wvu.PrintTitles" localSheetId="2" hidden="1">CAPTURA!$4:$6</definedName>
    <definedName name="Z_20A2690D_AD6E_415B_A1C9_B8CC436DA54E_.wvu.FilterData" localSheetId="2" hidden="1">CAPTURA!$A$6:$EK$678</definedName>
    <definedName name="Z_20D1B054_5C69_47F3_80FC_AA96D31B15F9_.wvu.FilterData" localSheetId="2" hidden="1">CAPTURA!$A$6:$EK$678</definedName>
    <definedName name="Z_21042793_E8C5_4CC5_94E8_9DC195C7FF2D_.wvu.FilterData" localSheetId="2" hidden="1">CAPTURA!$A$6:$EK$678</definedName>
    <definedName name="Z_21145AF5_FA1F_4346_A2A7_2619701A07C4_.wvu.FilterData" localSheetId="2" hidden="1">CAPTURA!$A$6:$EK$678</definedName>
    <definedName name="Z_212E6E86_EC10_4C24_9018_B87D1F4C59C8_.wvu.FilterData" localSheetId="2" hidden="1">CAPTURA!$A$6:$EK$678</definedName>
    <definedName name="Z_2141C13C_4C3B_456E_97FB_045A35772969_.wvu.FilterData" localSheetId="2" hidden="1">CAPTURA!$A$6:$EK$678</definedName>
    <definedName name="Z_2158E943_01DE_4CA5_9C5C_11A16201942E_.wvu.FilterData" localSheetId="2" hidden="1">CAPTURA!$A$6:$EK$678</definedName>
    <definedName name="Z_217CE4A5_3607_446B_B11B_05B04CA8A317_.wvu.FilterData" localSheetId="2" hidden="1">CAPTURA!$A$6:$EK$678</definedName>
    <definedName name="Z_21BF589F_8C24_4FD1_96AD_337DF332DDCE_.wvu.FilterData" localSheetId="2" hidden="1">CAPTURA!$A$6:$EK$678</definedName>
    <definedName name="Z_21C595A0_1C97_4731_BBD8_6B778FF18BD2_.wvu.FilterData" localSheetId="2" hidden="1">CAPTURA!$A$6:$EK$678</definedName>
    <definedName name="Z_2274283D_E880_4038_BB95_3317FE1397DB_.wvu.FilterData" localSheetId="2" hidden="1">CAPTURA!$A$6:$EK$678</definedName>
    <definedName name="Z_2274283D_E880_4038_BB95_3317FE1397DB_.wvu.FilterData" localSheetId="1" hidden="1">FIJOS!$B$10:$P$108</definedName>
    <definedName name="Z_229F7F4A_83F6_40D6_B171_586FA911AC68_.wvu.FilterData" localSheetId="2" hidden="1">CAPTURA!$A$6:$EK$678</definedName>
    <definedName name="Z_22C1DFD7_38DD_4348_8D46_F66D54B8278E_.wvu.FilterData" localSheetId="2" hidden="1">CAPTURA!$A$6:$EK$678</definedName>
    <definedName name="Z_22C1DFD7_38DD_4348_8D46_F66D54B8278E_.wvu.FilterData" localSheetId="1" hidden="1">FIJOS!$B$10:$P$108</definedName>
    <definedName name="Z_22D3219D_7874_4971_9594_36C184E23613_.wvu.FilterData" localSheetId="2" hidden="1">CAPTURA!$A$6:$EK$678</definedName>
    <definedName name="Z_22EC833B_57C4_48DD_911E_276CAFB5605B_.wvu.FilterData" localSheetId="2" hidden="1">CAPTURA!$A$6:$EK$678</definedName>
    <definedName name="Z_22F65B71_1699_4E9E_AAD4_10AFD00A0AA3_.wvu.FilterData" localSheetId="2" hidden="1">CAPTURA!$A$6:$EK$678</definedName>
    <definedName name="Z_2383C271_B66B_4FD2_87AB_2EC3A93E5BE0_.wvu.FilterData" localSheetId="2" hidden="1">CAPTURA!$A$6:$EK$678</definedName>
    <definedName name="Z_2383C271_B66B_4FD2_87AB_2EC3A93E5BE0_.wvu.FilterData" localSheetId="5" hidden="1">'DISPERSION FISCAL'!$A$1:$E$181</definedName>
    <definedName name="Z_2383C271_B66B_4FD2_87AB_2EC3A93E5BE0_.wvu.FilterData" localSheetId="1" hidden="1">FIJOS!$B$10:$P$320</definedName>
    <definedName name="Z_2383C271_B66B_4FD2_87AB_2EC3A93E5BE0_.wvu.FilterData" localSheetId="8" hidden="1">INCIDENCIAS!$B$5:$K$590</definedName>
    <definedName name="Z_2383C271_B66B_4FD2_87AB_2EC3A93E5BE0_.wvu.FilterData" localSheetId="6" hidden="1">VARIABLE!$A$1:$C$259</definedName>
    <definedName name="Z_2383C271_B66B_4FD2_87AB_2EC3A93E5BE0_.wvu.PrintArea" localSheetId="2" hidden="1">CAPTURA!$A$4:$DW$689</definedName>
    <definedName name="Z_2383C271_B66B_4FD2_87AB_2EC3A93E5BE0_.wvu.PrintTitles" localSheetId="2" hidden="1">CAPTURA!$4:$6</definedName>
    <definedName name="Z_23DF1A82_178A_453D_97B7_E5A1136399C1_.wvu.FilterData" localSheetId="2" hidden="1">CAPTURA!$A$6:$EK$678</definedName>
    <definedName name="Z_2488E0CF_0324_4AFC_A60C_0D655B8AD18A_.wvu.FilterData" localSheetId="2" hidden="1">CAPTURA!$A$6:$EK$678</definedName>
    <definedName name="Z_251DDFF1_CF00_4106_B0BC_0809F456C769_.wvu.FilterData" localSheetId="2" hidden="1">CAPTURA!$A$6:$EK$678</definedName>
    <definedName name="Z_251DDFF1_CF00_4106_B0BC_0809F456C769_.wvu.FilterData" localSheetId="5" hidden="1">'DISPERSION FISCAL'!$A$1:$E$181</definedName>
    <definedName name="Z_251DDFF1_CF00_4106_B0BC_0809F456C769_.wvu.FilterData" localSheetId="1" hidden="1">FIJOS!$B$10:$P$108</definedName>
    <definedName name="Z_251DDFF1_CF00_4106_B0BC_0809F456C769_.wvu.FilterData" localSheetId="8" hidden="1">INCIDENCIAS!$B$5:$K$514</definedName>
    <definedName name="Z_251DDFF1_CF00_4106_B0BC_0809F456C769_.wvu.FilterData" localSheetId="6" hidden="1">VARIABLE!$A$1:$C$259</definedName>
    <definedName name="Z_251DDFF1_CF00_4106_B0BC_0809F456C769_.wvu.PrintArea" localSheetId="2" hidden="1">CAPTURA!$A$4:$DW$689</definedName>
    <definedName name="Z_251DDFF1_CF00_4106_B0BC_0809F456C769_.wvu.PrintTitles" localSheetId="2" hidden="1">CAPTURA!$4:$6</definedName>
    <definedName name="Z_253FEEC1_5F16_41ED_866E_1300257B1023_.wvu.FilterData" localSheetId="2" hidden="1">CAPTURA!$A$6:$EK$678</definedName>
    <definedName name="Z_253FEEC1_5F16_41ED_866E_1300257B1023_.wvu.FilterData" localSheetId="1" hidden="1">FIJOS!$B$10:$P$496</definedName>
    <definedName name="Z_254D5BC5_976C_4222_AC73_999D79A43D24_.wvu.FilterData" localSheetId="2" hidden="1">CAPTURA!$A$6:$EK$678</definedName>
    <definedName name="Z_254D5BC5_976C_4222_AC73_999D79A43D24_.wvu.FilterData" localSheetId="5" hidden="1">'DISPERSION FISCAL'!$A$1:$G$624</definedName>
    <definedName name="Z_254D5BC5_976C_4222_AC73_999D79A43D24_.wvu.FilterData" localSheetId="1" hidden="1">FIJOS!$B$10:$P$505</definedName>
    <definedName name="Z_254D5BC5_976C_4222_AC73_999D79A43D24_.wvu.FilterData" localSheetId="0" hidden="1">HORAS!$A$3:$DM$3</definedName>
    <definedName name="Z_254D5BC5_976C_4222_AC73_999D79A43D24_.wvu.FilterData" localSheetId="8" hidden="1">INCIDENCIAS!$B$5:$K$467</definedName>
    <definedName name="Z_254D5BC5_976C_4222_AC73_999D79A43D24_.wvu.FilterData" localSheetId="6" hidden="1">VARIABLE!$A$1:$C$259</definedName>
    <definedName name="Z_254D5BC5_976C_4222_AC73_999D79A43D24_.wvu.PrintArea" localSheetId="2" hidden="1">CAPTURA!$A$4:$DW$689</definedName>
    <definedName name="Z_254D5BC5_976C_4222_AC73_999D79A43D24_.wvu.PrintArea" localSheetId="7" hidden="1">EFECTIVOS!$A$1:$G$9</definedName>
    <definedName name="Z_254D5BC5_976C_4222_AC73_999D79A43D24_.wvu.PrintTitles" localSheetId="2" hidden="1">CAPTURA!$4:$6</definedName>
    <definedName name="Z_2552FCB9_3A72_4563_9109_7B058ABDBDF0_.wvu.FilterData" localSheetId="2" hidden="1">CAPTURA!$A$6:$EK$678</definedName>
    <definedName name="Z_255ECCA8_7F87_468E_865B_100E687F6F53_.wvu.FilterData" localSheetId="2" hidden="1">CAPTURA!$A$6:$EK$678</definedName>
    <definedName name="Z_2560B4C8_1BCD_49F2_9229_C9542E216CB8_.wvu.FilterData" localSheetId="2" hidden="1">CAPTURA!$A$6:$EK$678</definedName>
    <definedName name="Z_2560B4C8_1BCD_49F2_9229_C9542E216CB8_.wvu.FilterData" localSheetId="5" hidden="1">'DISPERSION FISCAL'!$A$1:$G$624</definedName>
    <definedName name="Z_2560B4C8_1BCD_49F2_9229_C9542E216CB8_.wvu.FilterData" localSheetId="1" hidden="1">FIJOS!$B$10:$P$505</definedName>
    <definedName name="Z_2560B4C8_1BCD_49F2_9229_C9542E216CB8_.wvu.FilterData" localSheetId="0" hidden="1">HORAS!$A$3:$DM$3</definedName>
    <definedName name="Z_2560B4C8_1BCD_49F2_9229_C9542E216CB8_.wvu.FilterData" localSheetId="8" hidden="1">INCIDENCIAS!$B$5:$K$494</definedName>
    <definedName name="Z_2560B4C8_1BCD_49F2_9229_C9542E216CB8_.wvu.FilterData" localSheetId="6" hidden="1">VARIABLE!$A$1:$C$259</definedName>
    <definedName name="Z_2560B4C8_1BCD_49F2_9229_C9542E216CB8_.wvu.PrintArea" localSheetId="2" hidden="1">CAPTURA!$A$4:$DW$689</definedName>
    <definedName name="Z_2560B4C8_1BCD_49F2_9229_C9542E216CB8_.wvu.PrintTitles" localSheetId="2" hidden="1">CAPTURA!$4:$6</definedName>
    <definedName name="Z_258236B0_9FBE_46D0_9E11_E8978C0EFC1A_.wvu.FilterData" localSheetId="2" hidden="1">CAPTURA!$A$6:$EK$678</definedName>
    <definedName name="Z_258598B5_B250_404C_8B7D_FEE0D3B58183_.wvu.FilterData" localSheetId="2" hidden="1">CAPTURA!$A$6:$EK$678</definedName>
    <definedName name="Z_25A72A1D_B2FE_405A_8A27_F3794EA760E2_.wvu.FilterData" localSheetId="2" hidden="1">CAPTURA!$A$6:$EK$678</definedName>
    <definedName name="Z_25C79285_53F2_4F2B_995C_C9C36B3C1F0D_.wvu.FilterData" localSheetId="2" hidden="1">CAPTURA!$A$6:$EK$678</definedName>
    <definedName name="Z_25E2A59E_0C69_405E_A7D3_529FB5D8EE2D_.wvu.FilterData" localSheetId="2" hidden="1">CAPTURA!$A$6:$EK$678</definedName>
    <definedName name="Z_25E2CA32_C796_43A4_AE10_D2E1430B5F9B_.wvu.FilterData" localSheetId="2" hidden="1">CAPTURA!$A$6:$EK$678</definedName>
    <definedName name="Z_2606A36A_CADD_4CB7_BEB9_C7D10E1D5134_.wvu.FilterData" localSheetId="2" hidden="1">CAPTURA!$A$6:$EK$678</definedName>
    <definedName name="Z_260DFE6E_D899_4689_8D13_96A0D690D1D4_.wvu.FilterData" localSheetId="2" hidden="1">CAPTURA!$A$6:$EK$678</definedName>
    <definedName name="Z_260DFE6E_D899_4689_8D13_96A0D690D1D4_.wvu.FilterData" localSheetId="5" hidden="1">'DISPERSION FISCAL'!$A$1:$G$624</definedName>
    <definedName name="Z_260DFE6E_D899_4689_8D13_96A0D690D1D4_.wvu.FilterData" localSheetId="1" hidden="1">FIJOS!$B$10:$P$505</definedName>
    <definedName name="Z_260DFE6E_D899_4689_8D13_96A0D690D1D4_.wvu.FilterData" localSheetId="0" hidden="1">HORAS!$A$3:$DM$3</definedName>
    <definedName name="Z_260DFE6E_D899_4689_8D13_96A0D690D1D4_.wvu.FilterData" localSheetId="8" hidden="1">INCIDENCIAS!$B$5:$K$373</definedName>
    <definedName name="Z_260DFE6E_D899_4689_8D13_96A0D690D1D4_.wvu.FilterData" localSheetId="6" hidden="1">VARIABLE!$A$1:$C$259</definedName>
    <definedName name="Z_260DFE6E_D899_4689_8D13_96A0D690D1D4_.wvu.PrintArea" localSheetId="2" hidden="1">CAPTURA!$A$4:$DW$689</definedName>
    <definedName name="Z_260DFE6E_D899_4689_8D13_96A0D690D1D4_.wvu.PrintArea" localSheetId="7" hidden="1">EFECTIVOS!$A$1:$G$9</definedName>
    <definedName name="Z_260DFE6E_D899_4689_8D13_96A0D690D1D4_.wvu.PrintTitles" localSheetId="2" hidden="1">CAPTURA!$4:$6</definedName>
    <definedName name="Z_26347DE2_DDEF_4425_B36C_56B3F99D50D2_.wvu.FilterData" localSheetId="2" hidden="1">CAPTURA!$A$6:$EK$678</definedName>
    <definedName name="Z_26347DE2_DDEF_4425_B36C_56B3F99D50D2_.wvu.FilterData" localSheetId="5" hidden="1">'DISPERSION FISCAL'!$A$1:$E$181</definedName>
    <definedName name="Z_26347DE2_DDEF_4425_B36C_56B3F99D50D2_.wvu.FilterData" localSheetId="1" hidden="1">FIJOS!$B$10:$P$108</definedName>
    <definedName name="Z_26347DE2_DDEF_4425_B36C_56B3F99D50D2_.wvu.FilterData" localSheetId="8" hidden="1">INCIDENCIAS!$B$5:$K$442</definedName>
    <definedName name="Z_26347DE2_DDEF_4425_B36C_56B3F99D50D2_.wvu.FilterData" localSheetId="6" hidden="1">VARIABLE!$A$1:$C$259</definedName>
    <definedName name="Z_26347DE2_DDEF_4425_B36C_56B3F99D50D2_.wvu.PrintArea" localSheetId="2" hidden="1">CAPTURA!$A$4:$DW$689</definedName>
    <definedName name="Z_26347DE2_DDEF_4425_B36C_56B3F99D50D2_.wvu.PrintTitles" localSheetId="2" hidden="1">CAPTURA!$4:$6</definedName>
    <definedName name="Z_2638C1F9_30FA_430D_BEBB_0ADF49AADC30_.wvu.FilterData" localSheetId="2" hidden="1">CAPTURA!$A$6:$EK$678</definedName>
    <definedName name="Z_26890272_A664_44B7_94FB_34C333019B8C_.wvu.FilterData" localSheetId="2" hidden="1">CAPTURA!$A$6:$EK$678</definedName>
    <definedName name="Z_26893DD0_4DEE_4FBB_AA91_4377AFD13EE7_.wvu.FilterData" localSheetId="2" hidden="1">CAPTURA!$A$6:$EK$678</definedName>
    <definedName name="Z_268EBFB9_B688_4C66_9213_7BD9FD8A76DC_.wvu.FilterData" localSheetId="2" hidden="1">CAPTURA!$A$6:$EK$678</definedName>
    <definedName name="Z_268EBFB9_B688_4C66_9213_7BD9FD8A76DC_.wvu.FilterData" localSheetId="1" hidden="1">FIJOS!$B$10:$P$320</definedName>
    <definedName name="Z_268F94D2_1332_45F4_A34E_12F78E6D026B_.wvu.FilterData" localSheetId="2" hidden="1">CAPTURA!$A$6:$EK$678</definedName>
    <definedName name="Z_26A2A799_7C20_491E_A051_ACAC1AD59B2D_.wvu.FilterData" localSheetId="2" hidden="1">CAPTURA!$A$6:$EK$678</definedName>
    <definedName name="Z_26A4A933_F2E2_49DD_84AA_C9E308FA5A9F_.wvu.FilterData" localSheetId="2" hidden="1">CAPTURA!$A$6:$EK$678</definedName>
    <definedName name="Z_26A4D0DF_707B_4793_97C0_E94E244A34D3_.wvu.FilterData" localSheetId="2" hidden="1">CAPTURA!$A$6:$EK$678</definedName>
    <definedName name="Z_26A4D0DF_707B_4793_97C0_E94E244A34D3_.wvu.FilterData" localSheetId="1" hidden="1">FIJOS!$B$10:$P$121</definedName>
    <definedName name="Z_26A954BF_9D56_4378_85C1_9ECF1551FD49_.wvu.FilterData" localSheetId="2" hidden="1">CAPTURA!$A$6:$EK$678</definedName>
    <definedName name="Z_26A9CFF8_AFF6_45A4_9E45_1C72526E90FB_.wvu.FilterData" localSheetId="2" hidden="1">CAPTURA!$A$6:$EK$678</definedName>
    <definedName name="Z_26E4A9BC_E174_4AA7_A0E2_7B8BB49D239F_.wvu.FilterData" localSheetId="2" hidden="1">CAPTURA!$A$6:$EK$678</definedName>
    <definedName name="Z_2708D5F6_D53A_4434_8ADE_0750E85D4AA7_.wvu.FilterData" localSheetId="2" hidden="1">CAPTURA!$A$6:$EK$678</definedName>
    <definedName name="Z_270FDE0B_09B7_44E3_8DE4_81B254886BA4_.wvu.FilterData" localSheetId="2" hidden="1">CAPTURA!$A$6:$EK$678</definedName>
    <definedName name="Z_2761A152_2CCD_4C34_AC10_5AC0A3ACE859_.wvu.FilterData" localSheetId="2" hidden="1">CAPTURA!$A$6:$EK$678</definedName>
    <definedName name="Z_277EBDF0_54B8_42DD_93D6_6418EB56E185_.wvu.FilterData" localSheetId="2" hidden="1">CAPTURA!$A$6:$EK$678</definedName>
    <definedName name="Z_2785FF47_41ED_43A5_A0C0_E3B2FE7AADC4_.wvu.FilterData" localSheetId="2" hidden="1">CAPTURA!$A$6:$EK$678</definedName>
    <definedName name="Z_2785FF47_41ED_43A5_A0C0_E3B2FE7AADC4_.wvu.FilterData" localSheetId="1" hidden="1">FIJOS!$B$10:$P$505</definedName>
    <definedName name="Z_278982B9_AE5F_45EE_B86E_F18241622250_.wvu.FilterData" localSheetId="2" hidden="1">CAPTURA!$A$6:$EK$678</definedName>
    <definedName name="Z_283C6B34_ADD8_40A6_A5F1_0E5F13C93CC5_.wvu.FilterData" localSheetId="2" hidden="1">CAPTURA!$A$6:$EK$678</definedName>
    <definedName name="Z_286E2B43_C1DE_42B2_B4DD_2210D529F7D8_.wvu.FilterData" localSheetId="2" hidden="1">CAPTURA!$A$6:$EK$678</definedName>
    <definedName name="Z_28BC2C9E_E54E_49C8_9B19_C8CBD22203C8_.wvu.FilterData" localSheetId="2" hidden="1">CAPTURA!$A$6:$EK$678</definedName>
    <definedName name="Z_296F2A84_BE2C_4868_B04C_EAA131C345C1_.wvu.FilterData" localSheetId="2" hidden="1">CAPTURA!$A$6:$EK$678</definedName>
    <definedName name="Z_296F2A84_BE2C_4868_B04C_EAA131C345C1_.wvu.FilterData" localSheetId="5" hidden="1">'DISPERSION FISCAL'!$A$1:$G$624</definedName>
    <definedName name="Z_296F2A84_BE2C_4868_B04C_EAA131C345C1_.wvu.FilterData" localSheetId="1" hidden="1">FIJOS!$B$10:$P$496</definedName>
    <definedName name="Z_296F2A84_BE2C_4868_B04C_EAA131C345C1_.wvu.FilterData" localSheetId="8" hidden="1">INCIDENCIAS!$B$5:$K$732</definedName>
    <definedName name="Z_296F2A84_BE2C_4868_B04C_EAA131C345C1_.wvu.FilterData" localSheetId="6" hidden="1">VARIABLE!$A$1:$C$259</definedName>
    <definedName name="Z_296F2A84_BE2C_4868_B04C_EAA131C345C1_.wvu.PrintArea" localSheetId="2" hidden="1">CAPTURA!$A$4:$DW$689</definedName>
    <definedName name="Z_296F2A84_BE2C_4868_B04C_EAA131C345C1_.wvu.PrintTitles" localSheetId="2" hidden="1">CAPTURA!$4:$6</definedName>
    <definedName name="Z_297D320A_A8CF_45B8_A53D_6FCCFDA6C6B4_.wvu.FilterData" localSheetId="2" hidden="1">CAPTURA!$A$6:$EK$678</definedName>
    <definedName name="Z_29C103A5_81EC_495F_A70E_DFDB5C3F97B1_.wvu.FilterData" localSheetId="2" hidden="1">CAPTURA!$A$6:$EK$678</definedName>
    <definedName name="Z_2A1E9AD5_2C6F_422E_8DCC_48391504D980_.wvu.FilterData" localSheetId="2" hidden="1">CAPTURA!$A$6:$EK$678</definedName>
    <definedName name="Z_2A1FE220_3623_41EB_B2B3_2310E00DD746_.wvu.FilterData" localSheetId="2" hidden="1">CAPTURA!$A$6:$EK$678</definedName>
    <definedName name="Z_2A25C821_284C_430D_9552_7613F7C2586D_.wvu.FilterData" localSheetId="2" hidden="1">CAPTURA!$A$6:$EK$678</definedName>
    <definedName name="Z_2A78798E_7181_4C46_8B26_E0426325A19D_.wvu.FilterData" localSheetId="2" hidden="1">CAPTURA!$A$6:$EK$678</definedName>
    <definedName name="Z_2A78798E_7181_4C46_8B26_E0426325A19D_.wvu.FilterData" localSheetId="1" hidden="1">FIJOS!$B$10:$P$108</definedName>
    <definedName name="Z_2ACFD9AE_C253_40DE_833E_A313DEAA61A9_.wvu.FilterData" localSheetId="2" hidden="1">CAPTURA!$A$6:$EK$678</definedName>
    <definedName name="Z_2B3E082D_7C95_4946_981C_B04E1F75E2D3_.wvu.FilterData" localSheetId="2" hidden="1">CAPTURA!$A$6:$EK$678</definedName>
    <definedName name="Z_2B743BAD_75E8_4D88_BE1A_ABADD0419BFD_.wvu.FilterData" localSheetId="2" hidden="1">CAPTURA!$A$6:$EK$678</definedName>
    <definedName name="Z_2C265CC3_EC98_4551_8EFF_CD54659D755A_.wvu.FilterData" localSheetId="2" hidden="1">CAPTURA!$A$6:$EK$678</definedName>
    <definedName name="Z_2C2E1333_A299_4C58_AA9C_5F5B96ED0624_.wvu.FilterData" localSheetId="2" hidden="1">CAPTURA!$A$6:$EK$678</definedName>
    <definedName name="Z_2C4D93FB_F8B8_4031_AC3E_8DF18F99DD00_.wvu.FilterData" localSheetId="2" hidden="1">CAPTURA!$A$6:$EK$678</definedName>
    <definedName name="Z_2C9294D3_11D6_4D1B_9951_02375F7D2CAF_.wvu.FilterData" localSheetId="2" hidden="1">CAPTURA!$A$6:$EK$678</definedName>
    <definedName name="Z_2D01BD67_FF0A_47B3_91F9_7BFD2A4D97CF_.wvu.FilterData" localSheetId="8" hidden="1">INCIDENCIAS!$B$5:$K$476</definedName>
    <definedName name="Z_2D40BC02_70D4_486C_8384_2511BADFD11F_.wvu.FilterData" localSheetId="2" hidden="1">CAPTURA!$A$6:$EK$678</definedName>
    <definedName name="Z_2D423472_06F7_4EF5_BA68_3B4E059204CE_.wvu.FilterData" localSheetId="2" hidden="1">CAPTURA!$A$6:$EK$678</definedName>
    <definedName name="Z_2D679869_A3BB_49DF_8133_60BA368121C8_.wvu.FilterData" localSheetId="2" hidden="1">CAPTURA!$A$6:$EK$678</definedName>
    <definedName name="Z_2D734D4E_AE67_464B_9D66_83B85FFC7EB1_.wvu.FilterData" localSheetId="2" hidden="1">CAPTURA!$A$6:$EK$678</definedName>
    <definedName name="Z_2E5DCAD7_A687_46A1_A42B_0C126E497A16_.wvu.FilterData" localSheetId="2" hidden="1">CAPTURA!$A$6:$EK$678</definedName>
    <definedName name="Z_2E71426C_AC50_4739_97C7_A6D58A510AE9_.wvu.FilterData" localSheetId="2" hidden="1">CAPTURA!$A$6:$EK$678</definedName>
    <definedName name="Z_2E8787A0_ED8A_4D84_A32F_0DF264EEDE1C_.wvu.FilterData" localSheetId="2" hidden="1">CAPTURA!$A$6:$EK$678</definedName>
    <definedName name="Z_2EC74414_701A_4405_B12A_C756EFF68CDD_.wvu.FilterData" localSheetId="2" hidden="1">CAPTURA!$A$6:$EK$678</definedName>
    <definedName name="Z_2EFBDDC1_007A_4678_BA03_E9EECAF82AA9_.wvu.FilterData" localSheetId="2" hidden="1">CAPTURA!$A$6:$EK$678</definedName>
    <definedName name="Z_2F234C3E_264C_460C_A7D9_65B11E27C5BF_.wvu.FilterData" localSheetId="2" hidden="1">CAPTURA!$A$6:$EK$678</definedName>
    <definedName name="Z_2F6928FA_1F59_45BD_9953_BE2A0C91FC77_.wvu.FilterData" localSheetId="2" hidden="1">CAPTURA!$A$6:$EK$678</definedName>
    <definedName name="Z_2F6C3300_3D9E_4C2C_9FB5_8E125449E3FB_.wvu.FilterData" localSheetId="2" hidden="1">CAPTURA!$A$6:$EK$678</definedName>
    <definedName name="Z_2F7C09CF_BE51_4696_9EEF_17155A063FD1_.wvu.FilterData" localSheetId="2" hidden="1">CAPTURA!$A$6:$EK$678</definedName>
    <definedName name="Z_2F7F32CB_DD8A_4E21_BD9F_C560861B401F_.wvu.FilterData" localSheetId="2" hidden="1">CAPTURA!$A$6:$EK$678</definedName>
    <definedName name="Z_2FE74BE9_1B63_4B34_9EA6_3638A5E85A28_.wvu.FilterData" localSheetId="2" hidden="1">CAPTURA!$A$6:$EK$678</definedName>
    <definedName name="Z_2FFFCFEB_7B3C_499B_B8E8_3DF576012E06_.wvu.FilterData" localSheetId="1" hidden="1">FIJOS!$B$10:$P$108</definedName>
    <definedName name="Z_300AB784_4905_41BA_BB52_42288F80C021_.wvu.FilterData" localSheetId="2" hidden="1">CAPTURA!$A$6:$EK$678</definedName>
    <definedName name="Z_300AB784_4905_41BA_BB52_42288F80C021_.wvu.FilterData" localSheetId="1" hidden="1">FIJOS!$B$10:$P$108</definedName>
    <definedName name="Z_30125F38_38CD_4DFF_A05C_E1781CBDDC8D_.wvu.FilterData" localSheetId="2" hidden="1">CAPTURA!$A$6:$EK$678</definedName>
    <definedName name="Z_30125F38_38CD_4DFF_A05C_E1781CBDDC8D_.wvu.FilterData" localSheetId="1" hidden="1">FIJOS!$B$10:$P$108</definedName>
    <definedName name="Z_301C00C9_65BB_4ED3_B532_E13B4B48C471_.wvu.FilterData" localSheetId="2" hidden="1">CAPTURA!$A$6:$EK$678</definedName>
    <definedName name="Z_305D63B8_2FBF_46FF_B47E_0134DCEEA33D_.wvu.FilterData" localSheetId="2" hidden="1">CAPTURA!$A$6:$EK$678</definedName>
    <definedName name="Z_3079D750_BF32_4AC6_B71E_7ED192DC3DF8_.wvu.FilterData" localSheetId="2" hidden="1">CAPTURA!$A$6:$EK$678</definedName>
    <definedName name="Z_3082F1D8_DDD6_4860_AB03_9E7D2B2F97A7_.wvu.FilterData" localSheetId="2" hidden="1">CAPTURA!$A$6:$EK$678</definedName>
    <definedName name="Z_3082F1D8_DDD6_4860_AB03_9E7D2B2F97A7_.wvu.FilterData" localSheetId="1" hidden="1">FIJOS!$B$10:$P$496</definedName>
    <definedName name="Z_309AA52C_AAE8_4BC6_9FB3_05215EA3A80A_.wvu.FilterData" localSheetId="2" hidden="1">CAPTURA!$A$6:$EK$678</definedName>
    <definedName name="Z_309AA52C_AAE8_4BC6_9FB3_05215EA3A80A_.wvu.FilterData" localSheetId="8" hidden="1">INCIDENCIAS!$B$5:$K$460</definedName>
    <definedName name="Z_30A89893_AF35_491C_B4B5_BC0F6BF8A3BE_.wvu.FilterData" localSheetId="2" hidden="1">CAPTURA!$A$6:$EK$678</definedName>
    <definedName name="Z_30C075B3_4CC5_4C5B_8153_935BCDA619CB_.wvu.FilterData" localSheetId="2" hidden="1">CAPTURA!$A$6:$EK$678</definedName>
    <definedName name="Z_30E9188A_12FE_4E96_B685_A91D85F5937B_.wvu.FilterData" localSheetId="2" hidden="1">CAPTURA!$A$6:$EK$678</definedName>
    <definedName name="Z_31116A8D_83BD_4850_8522_851E2BC2CAF4_.wvu.FilterData" localSheetId="2" hidden="1">CAPTURA!$A$6:$EK$678</definedName>
    <definedName name="Z_312D856C_B15B_4426_8F98_9CC505FBD0FF_.wvu.FilterData" localSheetId="2" hidden="1">CAPTURA!$A$6:$EK$678</definedName>
    <definedName name="Z_31430935_2785_4540_AAB8_B8EE69B403CD_.wvu.FilterData" localSheetId="2" hidden="1">CAPTURA!$A$6:$EK$678</definedName>
    <definedName name="Z_31615079_7566_406B_9E30_DB5B693CDF95_.wvu.FilterData" localSheetId="2" hidden="1">CAPTURA!$A$6:$EK$678</definedName>
    <definedName name="Z_31615079_7566_406B_9E30_DB5B693CDF95_.wvu.FilterData" localSheetId="1" hidden="1">FIJOS!$B$10:$P$130</definedName>
    <definedName name="Z_318D23DB_59AB_4A54_9F7A_CD0F059CE972_.wvu.FilterData" localSheetId="2" hidden="1">CAPTURA!$A$6:$EK$678</definedName>
    <definedName name="Z_318D23DB_59AB_4A54_9F7A_CD0F059CE972_.wvu.FilterData" localSheetId="5" hidden="1">'DISPERSION FISCAL'!$A$1:$E$181</definedName>
    <definedName name="Z_318D23DB_59AB_4A54_9F7A_CD0F059CE972_.wvu.FilterData" localSheetId="1" hidden="1">FIJOS!$B$10:$P$108</definedName>
    <definedName name="Z_318D23DB_59AB_4A54_9F7A_CD0F059CE972_.wvu.FilterData" localSheetId="8" hidden="1">INCIDENCIAS!$B$5:$K$513</definedName>
    <definedName name="Z_318D23DB_59AB_4A54_9F7A_CD0F059CE972_.wvu.FilterData" localSheetId="6" hidden="1">VARIABLE!$A$1:$C$259</definedName>
    <definedName name="Z_318D23DB_59AB_4A54_9F7A_CD0F059CE972_.wvu.PrintArea" localSheetId="2" hidden="1">CAPTURA!$A$4:$DW$689</definedName>
    <definedName name="Z_318D23DB_59AB_4A54_9F7A_CD0F059CE972_.wvu.PrintTitles" localSheetId="2" hidden="1">CAPTURA!$4:$6</definedName>
    <definedName name="Z_3279D185_AF7B_486C_9CA2_7F48F0526FA2_.wvu.FilterData" localSheetId="2" hidden="1">CAPTURA!$A$6:$EK$678</definedName>
    <definedName name="Z_32AC9260_1230_41ED_AD47_D2A3DAF7E842_.wvu.FilterData" localSheetId="2" hidden="1">CAPTURA!$A$6:$EK$678</definedName>
    <definedName name="Z_32AC9260_1230_41ED_AD47_D2A3DAF7E842_.wvu.FilterData" localSheetId="5" hidden="1">'DISPERSION FISCAL'!$A$1:$E$181</definedName>
    <definedName name="Z_32AC9260_1230_41ED_AD47_D2A3DAF7E842_.wvu.FilterData" localSheetId="1" hidden="1">FIJOS!$B$10:$P$131</definedName>
    <definedName name="Z_32AC9260_1230_41ED_AD47_D2A3DAF7E842_.wvu.FilterData" localSheetId="8" hidden="1">INCIDENCIAS!$B$5:$K$507</definedName>
    <definedName name="Z_32AC9260_1230_41ED_AD47_D2A3DAF7E842_.wvu.FilterData" localSheetId="6" hidden="1">VARIABLE!$A$1:$C$259</definedName>
    <definedName name="Z_32AC9260_1230_41ED_AD47_D2A3DAF7E842_.wvu.PrintArea" localSheetId="2" hidden="1">CAPTURA!$A$4:$DW$689</definedName>
    <definedName name="Z_32AC9260_1230_41ED_AD47_D2A3DAF7E842_.wvu.PrintTitles" localSheetId="2" hidden="1">CAPTURA!$4:$6</definedName>
    <definedName name="Z_32BCC477_298C_40B5_A28C_CF96A491B5FE_.wvu.FilterData" localSheetId="2" hidden="1">CAPTURA!$A$6:$EK$678</definedName>
    <definedName name="Z_32D967B1_C530_4040_9F79_EA79A721164A_.wvu.FilterData" localSheetId="2" hidden="1">CAPTURA!$A$6:$EK$678</definedName>
    <definedName name="Z_32E15C2B_D461_484E_922D_495B3B0048A7_.wvu.FilterData" localSheetId="2" hidden="1">CAPTURA!$A$6:$EK$678</definedName>
    <definedName name="Z_3316BD55_1786_4F98_8D76_E830127FA3E2_.wvu.FilterData" localSheetId="2" hidden="1">CAPTURA!$A$6:$EK$678</definedName>
    <definedName name="Z_33197C9B_F8EB_45B2_935B_AD37EFF4BF4F_.wvu.FilterData" localSheetId="2" hidden="1">CAPTURA!$A$6:$EK$678</definedName>
    <definedName name="Z_337CF42D_57C9_4FE4_87FF_977179DAE5CB_.wvu.FilterData" localSheetId="2" hidden="1">CAPTURA!$A$6:$EK$678</definedName>
    <definedName name="Z_33AC654D_37D3_4672_AF30_5C319F76D90D_.wvu.FilterData" localSheetId="2" hidden="1">CAPTURA!$A$6:$EK$678</definedName>
    <definedName name="Z_33C6EAAB_8FC2_468B_B28A_3B527D343B67_.wvu.FilterData" localSheetId="2" hidden="1">CAPTURA!$A$6:$EK$678</definedName>
    <definedName name="Z_33D2E8A2_08DA_4856_A1A4_07D1D79409AA_.wvu.FilterData" localSheetId="2" hidden="1">CAPTURA!$A$6:$EK$678</definedName>
    <definedName name="Z_33F6E00A_54A6_4EC4_BA97_2AEF1C218C6C_.wvu.FilterData" localSheetId="2" hidden="1">CAPTURA!$A$6:$EK$678</definedName>
    <definedName name="Z_33F6E00A_54A6_4EC4_BA97_2AEF1C218C6C_.wvu.FilterData" localSheetId="1" hidden="1">FIJOS!$B$10:$P$108</definedName>
    <definedName name="Z_340EF73D_7602_43AE_BED3_4767F2FEB413_.wvu.FilterData" localSheetId="2" hidden="1">CAPTURA!$A$6:$EK$678</definedName>
    <definedName name="Z_34739917_6C8B_47F7_B73A_00F25C978779_.wvu.FilterData" localSheetId="2" hidden="1">CAPTURA!$A$6:$EK$678</definedName>
    <definedName name="Z_347E39B9_2FEE_4C37_968B_A6E4A493D090_.wvu.FilterData" localSheetId="2" hidden="1">CAPTURA!$A$6:$EK$678</definedName>
    <definedName name="Z_347E39B9_2FEE_4C37_968B_A6E4A493D090_.wvu.FilterData" localSheetId="5" hidden="1">'DISPERSION FISCAL'!$A$1:$E$181</definedName>
    <definedName name="Z_347E39B9_2FEE_4C37_968B_A6E4A493D090_.wvu.FilterData" localSheetId="1" hidden="1">FIJOS!$B$10:$P$108</definedName>
    <definedName name="Z_347E39B9_2FEE_4C37_968B_A6E4A493D090_.wvu.FilterData" localSheetId="8" hidden="1">INCIDENCIAS!$B$5:$K$514</definedName>
    <definedName name="Z_347E39B9_2FEE_4C37_968B_A6E4A493D090_.wvu.FilterData" localSheetId="6" hidden="1">VARIABLE!$A$1:$C$259</definedName>
    <definedName name="Z_347E39B9_2FEE_4C37_968B_A6E4A493D090_.wvu.PrintArea" localSheetId="2" hidden="1">CAPTURA!$A$4:$DW$689</definedName>
    <definedName name="Z_347E39B9_2FEE_4C37_968B_A6E4A493D090_.wvu.PrintTitles" localSheetId="2" hidden="1">CAPTURA!$4:$6</definedName>
    <definedName name="Z_3491DF62_B7E7_4981_A53D_974DE3172730_.wvu.FilterData" localSheetId="2" hidden="1">CAPTURA!$A$6:$EK$678</definedName>
    <definedName name="Z_3491DF62_B7E7_4981_A53D_974DE3172730_.wvu.FilterData" localSheetId="5" hidden="1">'DISPERSION FISCAL'!$A$1:$E$181</definedName>
    <definedName name="Z_3491DF62_B7E7_4981_A53D_974DE3172730_.wvu.FilterData" localSheetId="1" hidden="1">FIJOS!$B$10:$P$121</definedName>
    <definedName name="Z_3491DF62_B7E7_4981_A53D_974DE3172730_.wvu.FilterData" localSheetId="8" hidden="1">INCIDENCIAS!$B$5:$K$514</definedName>
    <definedName name="Z_3491DF62_B7E7_4981_A53D_974DE3172730_.wvu.FilterData" localSheetId="6" hidden="1">VARIABLE!$A$1:$C$259</definedName>
    <definedName name="Z_3491DF62_B7E7_4981_A53D_974DE3172730_.wvu.PrintArea" localSheetId="2" hidden="1">CAPTURA!$A$4:$DW$689</definedName>
    <definedName name="Z_3491DF62_B7E7_4981_A53D_974DE3172730_.wvu.PrintTitles" localSheetId="2" hidden="1">CAPTURA!$4:$6</definedName>
    <definedName name="Z_34BB94E0_C7A8_4F8D_81D7_06F21CED75CD_.wvu.FilterData" localSheetId="2" hidden="1">CAPTURA!$A$6:$EK$678</definedName>
    <definedName name="Z_34CE2FBF_A9A9_44EA_94B9_C91CEB59F247_.wvu.FilterData" localSheetId="2" hidden="1">CAPTURA!$A$6:$EK$678</definedName>
    <definedName name="Z_34CE2FBF_A9A9_44EA_94B9_C91CEB59F247_.wvu.FilterData" localSheetId="1" hidden="1">FIJOS!$B$10:$P$121</definedName>
    <definedName name="Z_34D33E5A_64D2_4F65_84B6_2977768CBD6E_.wvu.FilterData" localSheetId="2" hidden="1">CAPTURA!$A$6:$EK$678</definedName>
    <definedName name="Z_34E730D6_4167_40A4_8A8D_7BAD2E480F27_.wvu.FilterData" localSheetId="2" hidden="1">CAPTURA!$A$6:$EK$678</definedName>
    <definedName name="Z_3514A85A_9913_4EEF_813A_DE22B1680B7D_.wvu.FilterData" localSheetId="2" hidden="1">CAPTURA!$A$6:$EK$678</definedName>
    <definedName name="Z_354B0D5F_ECD7_4A43_89A9_166465A6BFED_.wvu.FilterData" localSheetId="2" hidden="1">CAPTURA!$A$6:$EK$678</definedName>
    <definedName name="Z_35986492_072E_42D9_B325_DEA24228B1BF_.wvu.FilterData" localSheetId="2" hidden="1">CAPTURA!$A$6:$EK$678</definedName>
    <definedName name="Z_3599928A_8E18_4542_B330_E9D62C79245A_.wvu.FilterData" localSheetId="2" hidden="1">CAPTURA!$A$6:$EK$678</definedName>
    <definedName name="Z_359ACC5D_5C85_4D5A_AE07_153C049D903A_.wvu.FilterData" localSheetId="2" hidden="1">CAPTURA!$A$6:$EK$678</definedName>
    <definedName name="Z_36057162_CFE4_4542_9C03_906B14AABE33_.wvu.FilterData" localSheetId="2" hidden="1">CAPTURA!$A$6:$EK$678</definedName>
    <definedName name="Z_36057162_CFE4_4542_9C03_906B14AABE33_.wvu.FilterData" localSheetId="1" hidden="1">FIJOS!$B$10:$P$496</definedName>
    <definedName name="Z_360804E2_FD2E_484F_9596_E9CC833169FC_.wvu.FilterData" localSheetId="2" hidden="1">CAPTURA!$A$6:$EK$678</definedName>
    <definedName name="Z_36107313_3F31_41F7_94B6_73C02E716F7B_.wvu.FilterData" localSheetId="2" hidden="1">CAPTURA!$A$6:$EK$678</definedName>
    <definedName name="Z_3614FD95_BA89_48CA_94B8_5E95B44FF041_.wvu.FilterData" localSheetId="2" hidden="1">CAPTURA!$A$6:$EK$678</definedName>
    <definedName name="Z_3614FD95_BA89_48CA_94B8_5E95B44FF041_.wvu.FilterData" localSheetId="1" hidden="1">FIJOS!$B$10:$P$108</definedName>
    <definedName name="Z_3641EA47_0D52_4C60_9E4C_2B93B2074CDF_.wvu.FilterData" localSheetId="2" hidden="1">CAPTURA!$A$6:$EK$678</definedName>
    <definedName name="Z_36421F64_F9E7_42E4_B0EC_2F1469C05550_.wvu.FilterData" localSheetId="2" hidden="1">CAPTURA!$A$6:$EK$678</definedName>
    <definedName name="Z_36421F64_F9E7_42E4_B0EC_2F1469C05550_.wvu.FilterData" localSheetId="5" hidden="1">'DISPERSION FISCAL'!$A$1:$E$181</definedName>
    <definedName name="Z_36421F64_F9E7_42E4_B0EC_2F1469C05550_.wvu.FilterData" localSheetId="1" hidden="1">FIJOS!$B$10:$P$122</definedName>
    <definedName name="Z_36421F64_F9E7_42E4_B0EC_2F1469C05550_.wvu.FilterData" localSheetId="8" hidden="1">INCIDENCIAS!$B$5:$K$444</definedName>
    <definedName name="Z_36421F64_F9E7_42E4_B0EC_2F1469C05550_.wvu.FilterData" localSheetId="6" hidden="1">VARIABLE!$A$1:$C$259</definedName>
    <definedName name="Z_36421F64_F9E7_42E4_B0EC_2F1469C05550_.wvu.PrintArea" localSheetId="2" hidden="1">CAPTURA!$A$4:$DW$689</definedName>
    <definedName name="Z_36421F64_F9E7_42E4_B0EC_2F1469C05550_.wvu.PrintTitles" localSheetId="2" hidden="1">CAPTURA!$4:$6</definedName>
    <definedName name="Z_364B8F46_D25A_46DF_BCA1_EBA7B34D2995_.wvu.FilterData" localSheetId="2" hidden="1">CAPTURA!$A$6:$EK$678</definedName>
    <definedName name="Z_3677A921_CE8F_49B6_A8D4_830B1DCD9984_.wvu.FilterData" localSheetId="1" hidden="1">FIJOS!$B$10:$P$108</definedName>
    <definedName name="Z_3699A01B_3299_47B1_AE6E_47B8EE4B732F_.wvu.FilterData" localSheetId="2" hidden="1">CAPTURA!$A$6:$EK$678</definedName>
    <definedName name="Z_369FD479_2FBE_425B_AC3D_8C8A1FC20E2D_.wvu.FilterData" localSheetId="2" hidden="1">CAPTURA!$A$6:$EK$678</definedName>
    <definedName name="Z_36CFD23A_B0A6_4654_A5F5_42ADF52FFEE1_.wvu.FilterData" localSheetId="1" hidden="1">FIJOS!$B$10:$P$505</definedName>
    <definedName name="Z_36DD1600_8ECB_4863_B17C_67B755EF1672_.wvu.FilterData" localSheetId="2" hidden="1">CAPTURA!$A$6:$EK$678</definedName>
    <definedName name="Z_36E65691_270A_4615_9952_5A767DCBFC7C_.wvu.FilterData" localSheetId="2" hidden="1">CAPTURA!$A$6:$EK$678</definedName>
    <definedName name="Z_374484D8_5189_4E28_AE52_094F59B8B171_.wvu.FilterData" localSheetId="2" hidden="1">CAPTURA!$A$6:$EK$678</definedName>
    <definedName name="Z_37942A75_B5F7_4931_AFB6_05181D62F0C0_.wvu.FilterData" localSheetId="2" hidden="1">CAPTURA!$A$6:$EK$678</definedName>
    <definedName name="Z_379F3DB7_8528_4842_91B8_F7A1E8530CFA_.wvu.FilterData" localSheetId="2" hidden="1">CAPTURA!$A$6:$EK$678</definedName>
    <definedName name="Z_37A31138_B1B6_4176_8A8B_EAD10837F000_.wvu.FilterData" localSheetId="2" hidden="1">CAPTURA!$A$6:$EK$678</definedName>
    <definedName name="Z_37A31138_B1B6_4176_8A8B_EAD10837F000_.wvu.FilterData" localSheetId="5" hidden="1">'DISPERSION FISCAL'!$A$1:$E$181</definedName>
    <definedName name="Z_37A31138_B1B6_4176_8A8B_EAD10837F000_.wvu.FilterData" localSheetId="1" hidden="1">FIJOS!$B$10:$P$108</definedName>
    <definedName name="Z_37A31138_B1B6_4176_8A8B_EAD10837F000_.wvu.FilterData" localSheetId="8" hidden="1">INCIDENCIAS!$B$5:$K$514</definedName>
    <definedName name="Z_37A31138_B1B6_4176_8A8B_EAD10837F000_.wvu.FilterData" localSheetId="6" hidden="1">VARIABLE!$A$1:$C$259</definedName>
    <definedName name="Z_37A31138_B1B6_4176_8A8B_EAD10837F000_.wvu.PrintArea" localSheetId="2" hidden="1">CAPTURA!$A$4:$DW$689</definedName>
    <definedName name="Z_37A31138_B1B6_4176_8A8B_EAD10837F000_.wvu.PrintTitles" localSheetId="2" hidden="1">CAPTURA!$4:$6</definedName>
    <definedName name="Z_37F5979F_936D_428C_9EC9_9657C2E79D43_.wvu.FilterData" localSheetId="2" hidden="1">CAPTURA!$A$6:$EK$678</definedName>
    <definedName name="Z_381EEEDB_BDC4_4988_BD9D_1AAE05E10F1A_.wvu.FilterData" localSheetId="2" hidden="1">CAPTURA!$A$6:$EK$678</definedName>
    <definedName name="Z_38749A69_F67C_44BA_A7BC_35D6F91E384B_.wvu.FilterData" localSheetId="2" hidden="1">CAPTURA!$A$6:$EK$678</definedName>
    <definedName name="Z_389E6502_04FF_4D57_8E4E_D9F6AD64B2CE_.wvu.FilterData" localSheetId="2" hidden="1">CAPTURA!$A$6:$EK$678</definedName>
    <definedName name="Z_38EBFD62_60DC_48F5_BECC_96FD581E0375_.wvu.FilterData" localSheetId="2" hidden="1">CAPTURA!$A$6:$EK$678</definedName>
    <definedName name="Z_38FE1FE1_2E26_48E4_90D4_F6CB2C3A9F40_.wvu.FilterData" localSheetId="2" hidden="1">CAPTURA!$A$6:$EK$678</definedName>
    <definedName name="Z_38FE1FE1_2E26_48E4_90D4_F6CB2C3A9F40_.wvu.FilterData" localSheetId="1" hidden="1">FIJOS!$B$10:$P$320</definedName>
    <definedName name="Z_38FE9622_6249_49CB_8AB9_CD0158FAB4E7_.wvu.FilterData" localSheetId="2" hidden="1">CAPTURA!$A$6:$EK$678</definedName>
    <definedName name="Z_38FE9622_6249_49CB_8AB9_CD0158FAB4E7_.wvu.FilterData" localSheetId="1" hidden="1">FIJOS!$B$10:$P$496</definedName>
    <definedName name="Z_39056D91_ED18_4F81_B17B_FF14299CEF2D_.wvu.FilterData" localSheetId="2" hidden="1">CAPTURA!$A$6:$EK$678</definedName>
    <definedName name="Z_39056D91_ED18_4F81_B17B_FF14299CEF2D_.wvu.FilterData" localSheetId="5" hidden="1">'DISPERSION FISCAL'!$A$1:$G$624</definedName>
    <definedName name="Z_39056D91_ED18_4F81_B17B_FF14299CEF2D_.wvu.FilterData" localSheetId="1" hidden="1">FIJOS!$B$10:$P$505</definedName>
    <definedName name="Z_39056D91_ED18_4F81_B17B_FF14299CEF2D_.wvu.FilterData" localSheetId="0" hidden="1">HORAS!$A$3:$DM$3</definedName>
    <definedName name="Z_39056D91_ED18_4F81_B17B_FF14299CEF2D_.wvu.FilterData" localSheetId="8" hidden="1">INCIDENCIAS!$B$5:$K$494</definedName>
    <definedName name="Z_39056D91_ED18_4F81_B17B_FF14299CEF2D_.wvu.FilterData" localSheetId="6" hidden="1">VARIABLE!$A$1:$C$259</definedName>
    <definedName name="Z_39056D91_ED18_4F81_B17B_FF14299CEF2D_.wvu.PrintArea" localSheetId="2" hidden="1">CAPTURA!$A$4:$DW$689</definedName>
    <definedName name="Z_39056D91_ED18_4F81_B17B_FF14299CEF2D_.wvu.PrintTitles" localSheetId="2" hidden="1">CAPTURA!$4:$6</definedName>
    <definedName name="Z_3928C46D_B03E_463D_BF5C_739C3BB9403E_.wvu.FilterData" localSheetId="2" hidden="1">CAPTURA!$A$6:$EK$678</definedName>
    <definedName name="Z_393E2AD0_4F00_4AC1_8128_CC4ECC253E02_.wvu.FilterData" localSheetId="2" hidden="1">CAPTURA!$A$6:$EK$678</definedName>
    <definedName name="Z_3985D477_2C65_4681_B648_116DFB294F21_.wvu.FilterData" localSheetId="2" hidden="1">CAPTURA!$A$6:$EK$678</definedName>
    <definedName name="Z_3985D477_2C65_4681_B648_116DFB294F21_.wvu.FilterData" localSheetId="5" hidden="1">'DISPERSION FISCAL'!$A$1:$E$181</definedName>
    <definedName name="Z_3985D477_2C65_4681_B648_116DFB294F21_.wvu.FilterData" localSheetId="1" hidden="1">FIJOS!$B$10:$P$108</definedName>
    <definedName name="Z_3985D477_2C65_4681_B648_116DFB294F21_.wvu.FilterData" localSheetId="8" hidden="1">INCIDENCIAS!$B$5:$K$284</definedName>
    <definedName name="Z_3985D477_2C65_4681_B648_116DFB294F21_.wvu.PrintArea" localSheetId="2" hidden="1">CAPTURA!$A$4:$DW$689</definedName>
    <definedName name="Z_3985D477_2C65_4681_B648_116DFB294F21_.wvu.PrintTitles" localSheetId="2" hidden="1">CAPTURA!$4:$6</definedName>
    <definedName name="Z_3986DB9F_1FDB_4E50_A4DD_7A517949F944_.wvu.FilterData" localSheetId="2" hidden="1">CAPTURA!$A$6:$EK$678</definedName>
    <definedName name="Z_3987E7AC_7354_4CFF_A28A_8BCAAAA27BC7_.wvu.FilterData" localSheetId="2" hidden="1">CAPTURA!$A$6:$EK$678</definedName>
    <definedName name="Z_39A1B783_4669_4A8D_95FD_32AAFD605B88_.wvu.FilterData" localSheetId="2" hidden="1">CAPTURA!$A$6:$EK$678</definedName>
    <definedName name="Z_39BBDE54_EDCA_44C1_9193_01860810B460_.wvu.FilterData" localSheetId="2" hidden="1">CAPTURA!$A$6:$EK$678</definedName>
    <definedName name="Z_39F069D4_D9A6_4707_93A8_1A3BF4DD7A57_.wvu.FilterData" localSheetId="2" hidden="1">CAPTURA!$A$6:$EK$678</definedName>
    <definedName name="Z_3A22CCFB_1A90_417A_B95B_6077D0C9747E_.wvu.FilterData" localSheetId="2" hidden="1">CAPTURA!$A$6:$EK$678</definedName>
    <definedName name="Z_3A22CCFB_1A90_417A_B95B_6077D0C9747E_.wvu.FilterData" localSheetId="1" hidden="1">FIJOS!$B$10:$P$505</definedName>
    <definedName name="Z_3A22CCFB_1A90_417A_B95B_6077D0C9747E_.wvu.FilterData" localSheetId="8" hidden="1">INCIDENCIAS!$B$5:$M$487</definedName>
    <definedName name="Z_3A242831_ACCE_4DC7_BBA0_FE79756F7C4C_.wvu.FilterData" localSheetId="2" hidden="1">CAPTURA!$A$6:$EK$678</definedName>
    <definedName name="Z_3A39067D_4029_4ABC_8D12_AAED94D0061C_.wvu.FilterData" localSheetId="2" hidden="1">CAPTURA!$A$6:$EK$678</definedName>
    <definedName name="Z_3A3C4CFF_8672_453B_B0D9_52C61B956911_.wvu.FilterData" localSheetId="2" hidden="1">CAPTURA!$A$6:$EK$678</definedName>
    <definedName name="Z_3AB8B8BE_DB5B_4426_AA95_CD79D241496C_.wvu.FilterData" localSheetId="2" hidden="1">CAPTURA!$A$6:$EK$678</definedName>
    <definedName name="Z_3AB8B8BE_DB5B_4426_AA95_CD79D241496C_.wvu.FilterData" localSheetId="8" hidden="1">INCIDENCIAS!$B$5:$K$732</definedName>
    <definedName name="Z_3AC14115_05AE_420C_8A0E_605C5D13359F_.wvu.FilterData" localSheetId="2" hidden="1">CAPTURA!$A$6:$EK$678</definedName>
    <definedName name="Z_3B56EE2F_42CB_4E45_9AAB_E83164F9CA98_.wvu.FilterData" localSheetId="2" hidden="1">CAPTURA!$A$6:$EK$678</definedName>
    <definedName name="Z_3B78DE30_7B68_4FDA_866E_DF086CF2EB78_.wvu.FilterData" localSheetId="2" hidden="1">CAPTURA!$A$6:$EK$678</definedName>
    <definedName name="Z_3BAF4227_7568_4534_B9AE_CE19C3602E7C_.wvu.FilterData" localSheetId="2" hidden="1">CAPTURA!$A$6:$EK$678</definedName>
    <definedName name="Z_3BD35696_4688_41CC_ACC5_F0DA857C2863_.wvu.FilterData" localSheetId="2" hidden="1">CAPTURA!$A$6:$EK$678</definedName>
    <definedName name="Z_3C23FC9C_EDE3_48E7_B512_456A84A7D7A0_.wvu.FilterData" localSheetId="2" hidden="1">CAPTURA!$A$6:$EK$678</definedName>
    <definedName name="Z_3C2770CF_BCC7_4222_8FC5_C1785DB3F02E_.wvu.FilterData" localSheetId="2" hidden="1">CAPTURA!$A$6:$EK$678</definedName>
    <definedName name="Z_3C2770CF_BCC7_4222_8FC5_C1785DB3F02E_.wvu.FilterData" localSheetId="5" hidden="1">'DISPERSION FISCAL'!$A$1:$G$624</definedName>
    <definedName name="Z_3C2770CF_BCC7_4222_8FC5_C1785DB3F02E_.wvu.FilterData" localSheetId="1" hidden="1">FIJOS!$B$10:$P$505</definedName>
    <definedName name="Z_3C2770CF_BCC7_4222_8FC5_C1785DB3F02E_.wvu.FilterData" localSheetId="0" hidden="1">HORAS!$A$3:$DM$3</definedName>
    <definedName name="Z_3C2770CF_BCC7_4222_8FC5_C1785DB3F02E_.wvu.FilterData" localSheetId="8" hidden="1">INCIDENCIAS!$B$5:$K$467</definedName>
    <definedName name="Z_3C2770CF_BCC7_4222_8FC5_C1785DB3F02E_.wvu.FilterData" localSheetId="6" hidden="1">VARIABLE!$A$1:$C$259</definedName>
    <definedName name="Z_3C2770CF_BCC7_4222_8FC5_C1785DB3F02E_.wvu.PrintArea" localSheetId="2" hidden="1">CAPTURA!$A$4:$DW$689</definedName>
    <definedName name="Z_3C2770CF_BCC7_4222_8FC5_C1785DB3F02E_.wvu.PrintArea" localSheetId="7" hidden="1">EFECTIVOS!$A$1:$G$9</definedName>
    <definedName name="Z_3C2770CF_BCC7_4222_8FC5_C1785DB3F02E_.wvu.PrintTitles" localSheetId="2" hidden="1">CAPTURA!$4:$6</definedName>
    <definedName name="Z_3C538725_46FC_4805_AC02_223D3CCA7394_.wvu.FilterData" localSheetId="2" hidden="1">CAPTURA!$A$6:$EK$678</definedName>
    <definedName name="Z_3C557079_577A_4BD5_AADB_712ADBBCB2FB_.wvu.FilterData" localSheetId="2" hidden="1">CAPTURA!$A$6:$EK$678</definedName>
    <definedName name="Z_3C68AEDA_781D_4B71_93A4_C58CC7BAB868_.wvu.FilterData" localSheetId="2" hidden="1">CAPTURA!$A$6:$EK$678</definedName>
    <definedName name="Z_3C86F1DF_C5AB_4E15_A3CA_4F09AA1004EE_.wvu.FilterData" localSheetId="2" hidden="1">CAPTURA!$A$6:$EK$678</definedName>
    <definedName name="Z_3C8CC249_5000_4296_8C08_7D352F778123_.wvu.FilterData" localSheetId="2" hidden="1">CAPTURA!$A$6:$EK$678</definedName>
    <definedName name="Z_3C8CC249_5000_4296_8C08_7D352F778123_.wvu.FilterData" localSheetId="1" hidden="1">FIJOS!$B$10:$P$228</definedName>
    <definedName name="Z_3C92CBF6_D0F1_49C9_ACA3_833CD5D31275_.wvu.FilterData" localSheetId="2" hidden="1">CAPTURA!$A$6:$EK$678</definedName>
    <definedName name="Z_3C92CBF6_D0F1_49C9_ACA3_833CD5D31275_.wvu.FilterData" localSheetId="1" hidden="1">FIJOS!$B$10:$P$108</definedName>
    <definedName name="Z_3CC494F4_008E_48FD_B7CE_8841605936C6_.wvu.FilterData" localSheetId="2" hidden="1">CAPTURA!$A$6:$EK$678</definedName>
    <definedName name="Z_3CE9661E_DE0C_4F88_91D4_786E0CD5E7C0_.wvu.FilterData" localSheetId="2" hidden="1">CAPTURA!$A$6:$EK$678</definedName>
    <definedName name="Z_3CE9E7A3_3E4F_4831_8359_E3B9DE7BDEC0_.wvu.FilterData" localSheetId="2" hidden="1">CAPTURA!$A$6:$EK$678</definedName>
    <definedName name="Z_3D00F823_6F7D_451E_BCA0_909332AAAFDB_.wvu.FilterData" localSheetId="2" hidden="1">CAPTURA!$A$6:$EK$678</definedName>
    <definedName name="Z_3D00F823_6F7D_451E_BCA0_909332AAAFDB_.wvu.FilterData" localSheetId="1" hidden="1">FIJOS!$B$10:$P$505</definedName>
    <definedName name="Z_3D4CF592_5917_47D5_8E10_0D866C6F26FA_.wvu.FilterData" localSheetId="2" hidden="1">CAPTURA!$A$6:$EK$678</definedName>
    <definedName name="Z_3D97EFB6_A810_4D97_89B8_5A69051A0CB6_.wvu.FilterData" localSheetId="2" hidden="1">CAPTURA!$A$6:$EK$678</definedName>
    <definedName name="Z_3D97EFB6_A810_4D97_89B8_5A69051A0CB6_.wvu.FilterData" localSheetId="5" hidden="1">'DISPERSION FISCAL'!$A$1:$G$624</definedName>
    <definedName name="Z_3D97EFB6_A810_4D97_89B8_5A69051A0CB6_.wvu.FilterData" localSheetId="1" hidden="1">FIJOS!$B$10:$P$505</definedName>
    <definedName name="Z_3D97EFB6_A810_4D97_89B8_5A69051A0CB6_.wvu.FilterData" localSheetId="0" hidden="1">HORAS!$A$3:$DM$3</definedName>
    <definedName name="Z_3D97EFB6_A810_4D97_89B8_5A69051A0CB6_.wvu.FilterData" localSheetId="8" hidden="1">INCIDENCIAS!$B$5:$K$373</definedName>
    <definedName name="Z_3D97EFB6_A810_4D97_89B8_5A69051A0CB6_.wvu.FilterData" localSheetId="6" hidden="1">VARIABLE!$A$1:$C$259</definedName>
    <definedName name="Z_3D97EFB6_A810_4D97_89B8_5A69051A0CB6_.wvu.PrintArea" localSheetId="2" hidden="1">CAPTURA!$A$4:$DW$689</definedName>
    <definedName name="Z_3D97EFB6_A810_4D97_89B8_5A69051A0CB6_.wvu.PrintArea" localSheetId="7" hidden="1">EFECTIVOS!$A$1:$G$9</definedName>
    <definedName name="Z_3D97EFB6_A810_4D97_89B8_5A69051A0CB6_.wvu.PrintTitles" localSheetId="2" hidden="1">CAPTURA!$4:$6</definedName>
    <definedName name="Z_3DDD4D8F_3EBA_4939_B306_96BAC91F7A81_.wvu.FilterData" localSheetId="2" hidden="1">CAPTURA!$A$6:$EK$678</definedName>
    <definedName name="Z_3DDFAE3C_82FC_46C0_A7E9_A5AD7D12A46A_.wvu.FilterData" localSheetId="2" hidden="1">CAPTURA!$A$6:$EK$678</definedName>
    <definedName name="Z_3DDFAE3C_82FC_46C0_A7E9_A5AD7D12A46A_.wvu.FilterData" localSheetId="8" hidden="1">INCIDENCIAS!$B$5:$K$353</definedName>
    <definedName name="Z_3DFFFB68_5CD5_4EA9_8F21_8F1213F9968B_.wvu.FilterData" localSheetId="2" hidden="1">CAPTURA!$A$6:$EK$678</definedName>
    <definedName name="Z_3DFFFB68_5CD5_4EA9_8F21_8F1213F9968B_.wvu.FilterData" localSheetId="5" hidden="1">'DISPERSION FISCAL'!$A$1:$E$181</definedName>
    <definedName name="Z_3DFFFB68_5CD5_4EA9_8F21_8F1213F9968B_.wvu.FilterData" localSheetId="1" hidden="1">FIJOS!$B$10:$P$229</definedName>
    <definedName name="Z_3DFFFB68_5CD5_4EA9_8F21_8F1213F9968B_.wvu.FilterData" localSheetId="8" hidden="1">INCIDENCIAS!$B$5:$K$460</definedName>
    <definedName name="Z_3DFFFB68_5CD5_4EA9_8F21_8F1213F9968B_.wvu.FilterData" localSheetId="6" hidden="1">VARIABLE!$A$1:$C$259</definedName>
    <definedName name="Z_3DFFFB68_5CD5_4EA9_8F21_8F1213F9968B_.wvu.PrintArea" localSheetId="2" hidden="1">CAPTURA!$A$4:$DW$689</definedName>
    <definedName name="Z_3DFFFB68_5CD5_4EA9_8F21_8F1213F9968B_.wvu.PrintTitles" localSheetId="2" hidden="1">CAPTURA!$4:$6</definedName>
    <definedName name="Z_3E1D51E2_A3C2_4C98_AF2B_3C40D94A3CD4_.wvu.FilterData" localSheetId="2" hidden="1">CAPTURA!$A$6:$EK$678</definedName>
    <definedName name="Z_3E4ABF4B_189E_4DB7_AE19_C407F779DB35_.wvu.FilterData" localSheetId="2" hidden="1">CAPTURA!$A$6:$EK$678</definedName>
    <definedName name="Z_3E5BA3DF_9545_4A81_9E23_27450C26AF6D_.wvu.FilterData" localSheetId="2" hidden="1">CAPTURA!$A$6:$EK$678</definedName>
    <definedName name="Z_3E5D1CC0_18E4_4342_BF4A_EA8CF5EE8857_.wvu.FilterData" localSheetId="2" hidden="1">CAPTURA!$A$6:$EK$678</definedName>
    <definedName name="Z_3E74F7E8_73D8_4932_882B_F0AEAE2CA669_.wvu.FilterData" localSheetId="2" hidden="1">CAPTURA!$A$6:$EK$678</definedName>
    <definedName name="Z_3EB8D204_5B40_4DCC_A2AD_6234F9266B6C_.wvu.FilterData" localSheetId="2" hidden="1">CAPTURA!$A$6:$EK$678</definedName>
    <definedName name="Z_3EB8D204_5B40_4DCC_A2AD_6234F9266B6C_.wvu.FilterData" localSheetId="5" hidden="1">'DISPERSION FISCAL'!$A$1:$E$181</definedName>
    <definedName name="Z_3EB8D204_5B40_4DCC_A2AD_6234F9266B6C_.wvu.FilterData" localSheetId="1" hidden="1">FIJOS!$B$10:$P$122</definedName>
    <definedName name="Z_3EB8D204_5B40_4DCC_A2AD_6234F9266B6C_.wvu.FilterData" localSheetId="8" hidden="1">INCIDENCIAS!$B$5:$K$444</definedName>
    <definedName name="Z_3EB8D204_5B40_4DCC_A2AD_6234F9266B6C_.wvu.FilterData" localSheetId="6" hidden="1">VARIABLE!$A$1:$C$259</definedName>
    <definedName name="Z_3EB8D204_5B40_4DCC_A2AD_6234F9266B6C_.wvu.PrintArea" localSheetId="2" hidden="1">CAPTURA!$A$4:$DW$689</definedName>
    <definedName name="Z_3EB8D204_5B40_4DCC_A2AD_6234F9266B6C_.wvu.PrintTitles" localSheetId="2" hidden="1">CAPTURA!$4:$6</definedName>
    <definedName name="Z_3EC6B170_AB43_4C4A_B508_EAF2FF868C79_.wvu.FilterData" localSheetId="2" hidden="1">CAPTURA!$A$6:$EK$678</definedName>
    <definedName name="Z_3EC71A2F_C892_434D_9FB9_42F5BAD8618E_.wvu.FilterData" localSheetId="2" hidden="1">CAPTURA!$A$6:$EK$678</definedName>
    <definedName name="Z_3EFF8B89_29FE_48DE_BEC9_429165411E5B_.wvu.FilterData" localSheetId="2" hidden="1">CAPTURA!$A$6:$EK$678</definedName>
    <definedName name="Z_3F4713C9_554D_42D2_AA57_C65C4D2EC976_.wvu.FilterData" localSheetId="2" hidden="1">CAPTURA!$A$6:$EK$678</definedName>
    <definedName name="Z_3F517A30_7411_448B_B049_97072EF37FD4_.wvu.FilterData" localSheetId="2" hidden="1">CAPTURA!$A$6:$EK$678</definedName>
    <definedName name="Z_3F5A29DB_3B09_4A7B_A3E6_2C0E7110D0DE_.wvu.FilterData" localSheetId="2" hidden="1">CAPTURA!$A$6:$EK$678</definedName>
    <definedName name="Z_3F77DB69_335D_4C8B_864E_F22B0552D970_.wvu.FilterData" localSheetId="2" hidden="1">CAPTURA!$A$6:$EK$678</definedName>
    <definedName name="Z_3F77DB69_335D_4C8B_864E_F22B0552D970_.wvu.FilterData" localSheetId="5" hidden="1">'DISPERSION FISCAL'!$A$1:$E$181</definedName>
    <definedName name="Z_3F77DB69_335D_4C8B_864E_F22B0552D970_.wvu.FilterData" localSheetId="1" hidden="1">FIJOS!$B$10:$P$131</definedName>
    <definedName name="Z_3F77DB69_335D_4C8B_864E_F22B0552D970_.wvu.FilterData" localSheetId="8" hidden="1">INCIDENCIAS!$B$5:$K$507</definedName>
    <definedName name="Z_3F77DB69_335D_4C8B_864E_F22B0552D970_.wvu.FilterData" localSheetId="6" hidden="1">VARIABLE!$A$1:$C$259</definedName>
    <definedName name="Z_3F77DB69_335D_4C8B_864E_F22B0552D970_.wvu.PrintArea" localSheetId="2" hidden="1">CAPTURA!$A$4:$DW$689</definedName>
    <definedName name="Z_3F77DB69_335D_4C8B_864E_F22B0552D970_.wvu.PrintTitles" localSheetId="2" hidden="1">CAPTURA!$4:$6</definedName>
    <definedName name="Z_3FA1CAA9_4454_4342_8B1E_633F3134496B_.wvu.FilterData" localSheetId="2" hidden="1">CAPTURA!$A$6:$EK$678</definedName>
    <definedName name="Z_3FBB08B1_B3D4_4CE0_8500_284FD0065E60_.wvu.FilterData" localSheetId="2" hidden="1">CAPTURA!$A$6:$EK$678</definedName>
    <definedName name="Z_3FC55992_A6E0_4AFA_9E86_E36859C8D2F5_.wvu.FilterData" localSheetId="2" hidden="1">CAPTURA!$A$6:$EK$678</definedName>
    <definedName name="Z_3FC55992_A6E0_4AFA_9E86_E36859C8D2F5_.wvu.FilterData" localSheetId="1" hidden="1">FIJOS!$B$10:$P$496</definedName>
    <definedName name="Z_3FC7B5C1_13BA_4EC7_850C_65149A9720FB_.wvu.FilterData" localSheetId="2" hidden="1">CAPTURA!$A$6:$EK$678</definedName>
    <definedName name="Z_3FC7B5C1_13BA_4EC7_850C_65149A9720FB_.wvu.FilterData" localSheetId="8" hidden="1">INCIDENCIAS!$B$5:$K$373</definedName>
    <definedName name="Z_402465FE_BD55_43F8_B0C6_A9CB82C6ABC4_.wvu.FilterData" localSheetId="8" hidden="1">INCIDENCIAS!$B$5:$K$494</definedName>
    <definedName name="Z_405524EC_5F67_49F9_9C81_192E91994BF5_.wvu.FilterData" localSheetId="2" hidden="1">CAPTURA!$A$6:$EK$678</definedName>
    <definedName name="Z_405524EC_5F67_49F9_9C81_192E91994BF5_.wvu.FilterData" localSheetId="5" hidden="1">'DISPERSION FISCAL'!$A$1:$E$181</definedName>
    <definedName name="Z_405524EC_5F67_49F9_9C81_192E91994BF5_.wvu.FilterData" localSheetId="1" hidden="1">FIJOS!$B$10:$P$122</definedName>
    <definedName name="Z_405524EC_5F67_49F9_9C81_192E91994BF5_.wvu.FilterData" localSheetId="8" hidden="1">INCIDENCIAS!$B$5:$K$444</definedName>
    <definedName name="Z_405524EC_5F67_49F9_9C81_192E91994BF5_.wvu.FilterData" localSheetId="6" hidden="1">VARIABLE!$A$1:$C$259</definedName>
    <definedName name="Z_405524EC_5F67_49F9_9C81_192E91994BF5_.wvu.PrintArea" localSheetId="2" hidden="1">CAPTURA!$A$4:$DW$689</definedName>
    <definedName name="Z_405524EC_5F67_49F9_9C81_192E91994BF5_.wvu.PrintTitles" localSheetId="2" hidden="1">CAPTURA!$4:$6</definedName>
    <definedName name="Z_40FCB873_295D_4BF3_90D8_A8E609F4BE53_.wvu.FilterData" localSheetId="2" hidden="1">CAPTURA!$A$6:$EK$678</definedName>
    <definedName name="Z_41281C89_0344_4437_ACB4_5C43964DCDE8_.wvu.FilterData" localSheetId="2" hidden="1">CAPTURA!$A$6:$EK$678</definedName>
    <definedName name="Z_4164EF99_834F_4A25_ACE1_71EBD3DDE0B3_.wvu.FilterData" localSheetId="2" hidden="1">CAPTURA!$A$6:$EK$678</definedName>
    <definedName name="Z_4185A0FC_FB56_4546_8CCE_6D61785642EA_.wvu.FilterData" localSheetId="2" hidden="1">CAPTURA!$A$6:$EK$678</definedName>
    <definedName name="Z_41A47F4D_FEBB_432B_99CF_13F24BF57A4F_.wvu.FilterData" localSheetId="2" hidden="1">CAPTURA!$A$6:$EK$678</definedName>
    <definedName name="Z_41A47F4D_FEBB_432B_99CF_13F24BF57A4F_.wvu.FilterData" localSheetId="5" hidden="1">'DISPERSION FISCAL'!$A$1:$E$181</definedName>
    <definedName name="Z_41A47F4D_FEBB_432B_99CF_13F24BF57A4F_.wvu.FilterData" localSheetId="1" hidden="1">FIJOS!$B$10:$P$108</definedName>
    <definedName name="Z_41A47F4D_FEBB_432B_99CF_13F24BF57A4F_.wvu.FilterData" localSheetId="8" hidden="1">INCIDENCIAS!$B$5:$K$514</definedName>
    <definedName name="Z_41A47F4D_FEBB_432B_99CF_13F24BF57A4F_.wvu.FilterData" localSheetId="6" hidden="1">VARIABLE!$A$1:$C$259</definedName>
    <definedName name="Z_41A47F4D_FEBB_432B_99CF_13F24BF57A4F_.wvu.PrintArea" localSheetId="2" hidden="1">CAPTURA!$A$4:$DW$689</definedName>
    <definedName name="Z_41A47F4D_FEBB_432B_99CF_13F24BF57A4F_.wvu.PrintTitles" localSheetId="2" hidden="1">CAPTURA!$4:$6</definedName>
    <definedName name="Z_41CC3A4E_EF62_4FD5_90A4_8303F660BE75_.wvu.FilterData" localSheetId="2" hidden="1">CAPTURA!$A$6:$EK$678</definedName>
    <definedName name="Z_41CEECE6_2D92_4F2B_BEDE_01A2A0A1B939_.wvu.FilterData" localSheetId="2" hidden="1">CAPTURA!$A$6:$EK$678</definedName>
    <definedName name="Z_42717C7A_CE0C_4778_938D_A1C8D70B55C6_.wvu.FilterData" localSheetId="2" hidden="1">CAPTURA!$A$6:$EK$678</definedName>
    <definedName name="Z_42885FE9_B2FE_4D3A_A6DE_842F1A88E902_.wvu.FilterData" localSheetId="2" hidden="1">CAPTURA!$A$6:$EK$678</definedName>
    <definedName name="Z_42885FE9_B2FE_4D3A_A6DE_842F1A88E902_.wvu.FilterData" localSheetId="1" hidden="1">FIJOS!$B$10:$P$108</definedName>
    <definedName name="Z_4291B072_5558_4288_8B81_08E2F8645F4E_.wvu.FilterData" localSheetId="2" hidden="1">CAPTURA!$A$6:$EK$678</definedName>
    <definedName name="Z_4295CEF2_5256_4DE0_9A0A_8196FCD82F94_.wvu.FilterData" localSheetId="2" hidden="1">CAPTURA!$A$6:$EK$678</definedName>
    <definedName name="Z_4295CEF2_5256_4DE0_9A0A_8196FCD82F94_.wvu.FilterData" localSheetId="5" hidden="1">'DISPERSION FISCAL'!$A$1:$G$624</definedName>
    <definedName name="Z_4295CEF2_5256_4DE0_9A0A_8196FCD82F94_.wvu.FilterData" localSheetId="1" hidden="1">FIJOS!$B$10:$P$496</definedName>
    <definedName name="Z_4295CEF2_5256_4DE0_9A0A_8196FCD82F94_.wvu.FilterData" localSheetId="8" hidden="1">INCIDENCIAS!$B$5:$K$732</definedName>
    <definedName name="Z_4295CEF2_5256_4DE0_9A0A_8196FCD82F94_.wvu.FilterData" localSheetId="6" hidden="1">VARIABLE!$A$1:$C$259</definedName>
    <definedName name="Z_4295CEF2_5256_4DE0_9A0A_8196FCD82F94_.wvu.PrintArea" localSheetId="2" hidden="1">CAPTURA!$A$4:$DW$689</definedName>
    <definedName name="Z_4295CEF2_5256_4DE0_9A0A_8196FCD82F94_.wvu.PrintTitles" localSheetId="2" hidden="1">CAPTURA!$4:$6</definedName>
    <definedName name="Z_42B53480_7A7F_4D9D_987A_1ADD5D635313_.wvu.FilterData" localSheetId="2" hidden="1">CAPTURA!$A$6:$EK$678</definedName>
    <definedName name="Z_42DB754C_B66B_43FF_AEF4_C0B2531C33EA_.wvu.FilterData" localSheetId="2" hidden="1">CAPTURA!$A$6:$EK$678</definedName>
    <definedName name="Z_43111432_4298_4C08_B81D_FFB322A902B2_.wvu.FilterData" localSheetId="2" hidden="1">CAPTURA!$A$6:$EK$678</definedName>
    <definedName name="Z_43111432_4298_4C08_B81D_FFB322A902B2_.wvu.FilterData" localSheetId="5" hidden="1">'DISPERSION FISCAL'!$A$1:$E$181</definedName>
    <definedName name="Z_43111432_4298_4C08_B81D_FFB322A902B2_.wvu.FilterData" localSheetId="1" hidden="1">FIJOS!$B$10:$P$308</definedName>
    <definedName name="Z_43111432_4298_4C08_B81D_FFB322A902B2_.wvu.FilterData" localSheetId="8" hidden="1">INCIDENCIAS!$B$5:$K$587</definedName>
    <definedName name="Z_43111432_4298_4C08_B81D_FFB322A902B2_.wvu.FilterData" localSheetId="6" hidden="1">VARIABLE!$A$1:$C$259</definedName>
    <definedName name="Z_43111432_4298_4C08_B81D_FFB322A902B2_.wvu.PrintArea" localSheetId="2" hidden="1">CAPTURA!$A$4:$DW$689</definedName>
    <definedName name="Z_43111432_4298_4C08_B81D_FFB322A902B2_.wvu.PrintTitles" localSheetId="2" hidden="1">CAPTURA!$4:$6</definedName>
    <definedName name="Z_432F8F1D_88C3_4143_AC5C_EB2ACC5D61C2_.wvu.FilterData" localSheetId="2" hidden="1">CAPTURA!$A$6:$EK$678</definedName>
    <definedName name="Z_43646235_E788_48AA_B459_B5D6F3CD654A_.wvu.FilterData" localSheetId="2" hidden="1">CAPTURA!$A$6:$EK$678</definedName>
    <definedName name="Z_438666E2_A8BA_4F20_9AF3_8E1676B9AE70_.wvu.FilterData" localSheetId="2" hidden="1">CAPTURA!$A$6:$EK$678</definedName>
    <definedName name="Z_43F3B624_248D_4968_BA9C_66B8AB2474D1_.wvu.FilterData" localSheetId="2" hidden="1">CAPTURA!$A$6:$EK$678</definedName>
    <definedName name="Z_44529F78_BF49_4982_8044_E8DE1DBAC0CF_.wvu.FilterData" localSheetId="2" hidden="1">CAPTURA!$A$6:$EK$678</definedName>
    <definedName name="Z_44529F78_BF49_4982_8044_E8DE1DBAC0CF_.wvu.FilterData" localSheetId="1" hidden="1">FIJOS!$B$10:$P$108</definedName>
    <definedName name="Z_4476AD83_1624_42C9_8309_B601137F5243_.wvu.FilterData" localSheetId="2" hidden="1">CAPTURA!$A$6:$EK$678</definedName>
    <definedName name="Z_4496507F_A644_4FE0_8A5E_4AA37E5323DE_.wvu.FilterData" localSheetId="2" hidden="1">CAPTURA!$A$6:$EK$678</definedName>
    <definedName name="Z_4564924F_700C_430F_B79B_C64FC869FA32_.wvu.FilterData" localSheetId="2" hidden="1">CAPTURA!$A$6:$EK$678</definedName>
    <definedName name="Z_4564924F_700C_430F_B79B_C64FC869FA32_.wvu.FilterData" localSheetId="1" hidden="1">FIJOS!$B$10:$P$505</definedName>
    <definedName name="Z_45AC3B8C_A1F7_49F2_9A69_AB3B8BFD0B31_.wvu.FilterData" localSheetId="2" hidden="1">CAPTURA!$A$6:$EK$678</definedName>
    <definedName name="Z_45AC3B8C_A1F7_49F2_9A69_AB3B8BFD0B31_.wvu.FilterData" localSheetId="1" hidden="1">FIJOS!$B$10:$P$505</definedName>
    <definedName name="Z_45AC3B8C_A1F7_49F2_9A69_AB3B8BFD0B31_.wvu.FilterData" localSheetId="8" hidden="1">INCIDENCIAS!$B$5:$K$501</definedName>
    <definedName name="Z_45ACAB72_3F7D_4487_8F78_6BD7396404DA_.wvu.FilterData" localSheetId="2" hidden="1">CAPTURA!$A$6:$EK$678</definedName>
    <definedName name="Z_45ACAB72_3F7D_4487_8F78_6BD7396404DA_.wvu.FilterData" localSheetId="1" hidden="1">FIJOS!$B$10:$P$108</definedName>
    <definedName name="Z_45EE7F4C_2B52_4BC3_8A21_5AF1D4D818DE_.wvu.FilterData" localSheetId="2" hidden="1">CAPTURA!$A$6:$EK$678</definedName>
    <definedName name="Z_46162D49_29B4_40C4_9632_6C93A7D037EF_.wvu.FilterData" localSheetId="2" hidden="1">CAPTURA!$A$6:$EK$678</definedName>
    <definedName name="Z_46D7EC39_584A_4FBF_A85E_3C0C5AE07F5B_.wvu.FilterData" localSheetId="2" hidden="1">CAPTURA!$A$6:$EK$678</definedName>
    <definedName name="Z_46D7EC39_584A_4FBF_A85E_3C0C5AE07F5B_.wvu.FilterData" localSheetId="5" hidden="1">'DISPERSION FISCAL'!$A$1:$G$624</definedName>
    <definedName name="Z_46D7EC39_584A_4FBF_A85E_3C0C5AE07F5B_.wvu.FilterData" localSheetId="1" hidden="1">FIJOS!$B$10:$P$505</definedName>
    <definedName name="Z_46D7EC39_584A_4FBF_A85E_3C0C5AE07F5B_.wvu.FilterData" localSheetId="0" hidden="1">HORAS!$A$3:$DM$3</definedName>
    <definedName name="Z_46D7EC39_584A_4FBF_A85E_3C0C5AE07F5B_.wvu.FilterData" localSheetId="8" hidden="1">INCIDENCIAS!$B$5:$K$467</definedName>
    <definedName name="Z_46D7EC39_584A_4FBF_A85E_3C0C5AE07F5B_.wvu.FilterData" localSheetId="6" hidden="1">VARIABLE!$A$1:$C$259</definedName>
    <definedName name="Z_46D7EC39_584A_4FBF_A85E_3C0C5AE07F5B_.wvu.PrintArea" localSheetId="2" hidden="1">CAPTURA!$A$4:$DW$689</definedName>
    <definedName name="Z_46D7EC39_584A_4FBF_A85E_3C0C5AE07F5B_.wvu.PrintArea" localSheetId="7" hidden="1">EFECTIVOS!$A$1:$G$9</definedName>
    <definedName name="Z_46D7EC39_584A_4FBF_A85E_3C0C5AE07F5B_.wvu.PrintTitles" localSheetId="2" hidden="1">CAPTURA!$4:$6</definedName>
    <definedName name="Z_46E9AC4E_200C_43B4_B24A_F16D28EF43D8_.wvu.FilterData" localSheetId="2" hidden="1">CAPTURA!$A$6:$EK$678</definedName>
    <definedName name="Z_46E9AC4E_200C_43B4_B24A_F16D28EF43D8_.wvu.FilterData" localSheetId="8" hidden="1">INCIDENCIAS!$B$5:$K$525</definedName>
    <definedName name="Z_477092C9_FC00_4733_9015_C125AAA42CF9_.wvu.FilterData" localSheetId="2" hidden="1">CAPTURA!$A$6:$EK$678</definedName>
    <definedName name="Z_4788901D_5CFC_4E37_88A1_DDACF3C6AA2D_.wvu.FilterData" localSheetId="2" hidden="1">CAPTURA!$A$6:$EK$678</definedName>
    <definedName name="Z_47C78F89_B1B7_4353_ABCF_183F3795E407_.wvu.FilterData" localSheetId="2" hidden="1">CAPTURA!$A$6:$EK$678</definedName>
    <definedName name="Z_47FEB289_A396_4572_9177_62C18524D7D8_.wvu.FilterData" localSheetId="2" hidden="1">CAPTURA!$A$6:$EK$678</definedName>
    <definedName name="Z_481EAFB2_02A9_4C95_B4F5_60D9551CD5E6_.wvu.FilterData" localSheetId="2" hidden="1">CAPTURA!$A$6:$EK$678</definedName>
    <definedName name="Z_482F4BDB_A2F2_4D9A_AE54_D3A39F8A3C83_.wvu.FilterData" localSheetId="2" hidden="1">CAPTURA!$A$6:$EK$678</definedName>
    <definedName name="Z_482F4BDB_A2F2_4D9A_AE54_D3A39F8A3C83_.wvu.FilterData" localSheetId="1" hidden="1">FIJOS!$B$10:$P$108</definedName>
    <definedName name="Z_486CBBBC_8816_42A2_AC8A_39DC2A0F6990_.wvu.FilterData" localSheetId="2" hidden="1">CAPTURA!$A$6:$EK$678</definedName>
    <definedName name="Z_48719529_E4A2_403C_825F_7A9E49453C81_.wvu.FilterData" localSheetId="2" hidden="1">CAPTURA!$A$6:$EK$678</definedName>
    <definedName name="Z_487834D8_A8C2_4D78_9792_43F13F91DBC6_.wvu.FilterData" localSheetId="2" hidden="1">CAPTURA!$A$6:$EK$678</definedName>
    <definedName name="Z_487834D8_A8C2_4D78_9792_43F13F91DBC6_.wvu.FilterData" localSheetId="5" hidden="1">'DISPERSION FISCAL'!$A$1:$G$624</definedName>
    <definedName name="Z_487834D8_A8C2_4D78_9792_43F13F91DBC6_.wvu.FilterData" localSheetId="1" hidden="1">FIJOS!$B$10:$P$505</definedName>
    <definedName name="Z_487834D8_A8C2_4D78_9792_43F13F91DBC6_.wvu.FilterData" localSheetId="0" hidden="1">HORAS!$A$3:$DM$3</definedName>
    <definedName name="Z_487834D8_A8C2_4D78_9792_43F13F91DBC6_.wvu.FilterData" localSheetId="8" hidden="1">INCIDENCIAS!$B$5:$K$732</definedName>
    <definedName name="Z_487834D8_A8C2_4D78_9792_43F13F91DBC6_.wvu.FilterData" localSheetId="6" hidden="1">VARIABLE!$A$1:$C$259</definedName>
    <definedName name="Z_487834D8_A8C2_4D78_9792_43F13F91DBC6_.wvu.PrintArea" localSheetId="2" hidden="1">CAPTURA!$A$4:$DW$689</definedName>
    <definedName name="Z_487834D8_A8C2_4D78_9792_43F13F91DBC6_.wvu.PrintTitles" localSheetId="2" hidden="1">CAPTURA!$4:$6</definedName>
    <definedName name="Z_4898EFB1_AFFB_4E3E_ADD9_B635D4EDF637_.wvu.FilterData" localSheetId="2" hidden="1">CAPTURA!$A$6:$EK$678</definedName>
    <definedName name="Z_4898EFB1_AFFB_4E3E_ADD9_B635D4EDF637_.wvu.FilterData" localSheetId="1" hidden="1">FIJOS!$B$10:$P$496</definedName>
    <definedName name="Z_48B14F7D_5751_4E2B_8327_ADE0FB23935B_.wvu.FilterData" localSheetId="2" hidden="1">CAPTURA!$A$6:$EK$678</definedName>
    <definedName name="Z_48D09314_4B17_46A4_BD00_921507D1BE5A_.wvu.FilterData" localSheetId="2" hidden="1">CAPTURA!$A$6:$EK$678</definedName>
    <definedName name="Z_48ED5E4D_49A6_4313_A686_6F3069679E3A_.wvu.FilterData" localSheetId="2" hidden="1">CAPTURA!$A$6:$EK$678</definedName>
    <definedName name="Z_48EFE46F_D620_46E9_B2EB_3D1989FBF71F_.wvu.FilterData" localSheetId="2" hidden="1">CAPTURA!$A$6:$EK$678</definedName>
    <definedName name="Z_48F2C396_3358_4556_A8A1_9765C16B1731_.wvu.FilterData" localSheetId="2" hidden="1">CAPTURA!$A$6:$EK$678</definedName>
    <definedName name="Z_48F4B6B2_8020_4474_94D1_06D9E39C42D4_.wvu.FilterData" localSheetId="2" hidden="1">CAPTURA!$A$6:$EK$678</definedName>
    <definedName name="Z_4924E983_89EA_409F_A34E_65BDE4DB5924_.wvu.FilterData" localSheetId="2" hidden="1">CAPTURA!$A$6:$EK$678</definedName>
    <definedName name="Z_492639F9_67D2_473C_A1A2_C1A99D66F266_.wvu.FilterData" localSheetId="2" hidden="1">CAPTURA!$A$6:$EK$678</definedName>
    <definedName name="Z_49417B16_8780_4E7D_A4FE_D5D3425592E5_.wvu.FilterData" localSheetId="2" hidden="1">CAPTURA!$A$6:$EK$678</definedName>
    <definedName name="Z_495DF5D0_2B49_4190_8973_42E4B7C01AD9_.wvu.FilterData" localSheetId="2" hidden="1">CAPTURA!$A$6:$EK$678</definedName>
    <definedName name="Z_49AD5B27_4654_47C0_A3ED_0372CC752CAC_.wvu.FilterData" localSheetId="2" hidden="1">CAPTURA!$A$6:$EK$678</definedName>
    <definedName name="Z_49D6D5A8_7E36_4D18_A530_39BC96468D62_.wvu.FilterData" localSheetId="2" hidden="1">CAPTURA!$A$6:$EK$678</definedName>
    <definedName name="Z_49EC887A_DF43_4D6C_8758_443DB6057BF3_.wvu.FilterData" localSheetId="2" hidden="1">CAPTURA!$A$6:$EK$678</definedName>
    <definedName name="Z_49F5C295_749F_42B9_B001_BF20033C9FD2_.wvu.FilterData" localSheetId="2" hidden="1">CAPTURA!$A$6:$EK$678</definedName>
    <definedName name="Z_49F5C295_749F_42B9_B001_BF20033C9FD2_.wvu.FilterData" localSheetId="8" hidden="1">INCIDENCIAS!$B$5:$K$516</definedName>
    <definedName name="Z_49FFA3CD_FC17_471D_B146_E4FD30883E60_.wvu.FilterData" localSheetId="2" hidden="1">CAPTURA!$A$6:$EK$678</definedName>
    <definedName name="Z_4A0005B3_3EB6_4722_84DD_67AB4DC076A7_.wvu.FilterData" localSheetId="2" hidden="1">CAPTURA!$A$6:$EK$678</definedName>
    <definedName name="Z_4A14DBD3_BAD7_4E5A_B8AD_4C22EE459688_.wvu.FilterData" localSheetId="2" hidden="1">CAPTURA!$A$6:$EK$678</definedName>
    <definedName name="Z_4A14DBD3_BAD7_4E5A_B8AD_4C22EE459688_.wvu.FilterData" localSheetId="8" hidden="1">INCIDENCIAS!$B$5:$K$516</definedName>
    <definedName name="Z_4A1C162E_3560_4292_91F9_FB00B9965F70_.wvu.FilterData" localSheetId="2" hidden="1">CAPTURA!$A$6:$EK$678</definedName>
    <definedName name="Z_4A382B62_ACAC_4D66_BA37_4808E228299D_.wvu.FilterData" localSheetId="2" hidden="1">CAPTURA!$A$6:$EK$678</definedName>
    <definedName name="Z_4A382B62_ACAC_4D66_BA37_4808E228299D_.wvu.FilterData" localSheetId="5" hidden="1">'DISPERSION FISCAL'!$A$1:$E$181</definedName>
    <definedName name="Z_4A382B62_ACAC_4D66_BA37_4808E228299D_.wvu.FilterData" localSheetId="1" hidden="1">FIJOS!$B$10:$P$108</definedName>
    <definedName name="Z_4A382B62_ACAC_4D66_BA37_4808E228299D_.wvu.FilterData" localSheetId="8" hidden="1">INCIDENCIAS!$B$5:$K$514</definedName>
    <definedName name="Z_4A382B62_ACAC_4D66_BA37_4808E228299D_.wvu.FilterData" localSheetId="6" hidden="1">VARIABLE!$A$1:$C$259</definedName>
    <definedName name="Z_4A382B62_ACAC_4D66_BA37_4808E228299D_.wvu.PrintArea" localSheetId="2" hidden="1">CAPTURA!$A$4:$DW$689</definedName>
    <definedName name="Z_4A382B62_ACAC_4D66_BA37_4808E228299D_.wvu.PrintTitles" localSheetId="2" hidden="1">CAPTURA!$4:$6</definedName>
    <definedName name="Z_4A763B6F_C252_4264_99DC_83E1E83FF2B6_.wvu.FilterData" localSheetId="2" hidden="1">CAPTURA!$A$6:$EK$678</definedName>
    <definedName name="Z_4A899AA1_18B6_4E53_9625_B1AA2A80FB00_.wvu.FilterData" localSheetId="2" hidden="1">CAPTURA!$A$6:$EK$678</definedName>
    <definedName name="Z_4A8EA3ED_D050_45A5_944C_E3658D5803B7_.wvu.FilterData" localSheetId="2" hidden="1">CAPTURA!$A$6:$EK$678</definedName>
    <definedName name="Z_4AD0F8B6_1BCA_4AA7_A476_6049A24995C7_.wvu.FilterData" localSheetId="2" hidden="1">CAPTURA!$A$6:$EK$678</definedName>
    <definedName name="Z_4AD6FFF4_6E83_4ABD_93B3_1334ACE8E221_.wvu.FilterData" localSheetId="2" hidden="1">CAPTURA!$A$6:$EK$678</definedName>
    <definedName name="Z_4AD6FFF4_6E83_4ABD_93B3_1334ACE8E221_.wvu.FilterData" localSheetId="1" hidden="1">FIJOS!$B$10:$P$108</definedName>
    <definedName name="Z_4ADC388A_CB62_4236_8443_403C265CE3E8_.wvu.FilterData" localSheetId="2" hidden="1">CAPTURA!$A$6:$EK$678</definedName>
    <definedName name="Z_4AF576BC_B3F6_44BB_A18F_CD3015FD8494_.wvu.FilterData" localSheetId="2" hidden="1">CAPTURA!$A$6:$EK$678</definedName>
    <definedName name="Z_4B1C37A4_2E10_4F9D_9061_4C166367490D_.wvu.FilterData" localSheetId="2" hidden="1">CAPTURA!$A$6:$EK$678</definedName>
    <definedName name="Z_4B4A46D8_94DD_4156_A843_85A972B6CCB9_.wvu.FilterData" localSheetId="2" hidden="1">CAPTURA!$A$6:$EK$678</definedName>
    <definedName name="Z_4B877463_1F9C_4581_9BB3_67E88CE10BAA_.wvu.FilterData" localSheetId="2" hidden="1">CAPTURA!$A$6:$EK$678</definedName>
    <definedName name="Z_4BD5725F_B3D1_4C79_AEB3_32369F713A6D_.wvu.FilterData" localSheetId="2" hidden="1">CAPTURA!$A$6:$EK$678</definedName>
    <definedName name="Z_4BDFB5FD_B6CF_4E1A_A440_05C4865B7C6F_.wvu.FilterData" localSheetId="2" hidden="1">CAPTURA!$A$6:$EK$678</definedName>
    <definedName name="Z_4BEBAF9D_FA38_4001_A22B_2B8FDA9377E1_.wvu.FilterData" localSheetId="2" hidden="1">CAPTURA!$A$6:$EK$678</definedName>
    <definedName name="Z_4C60E89A_E6C4_499B_87FC_CD750863A8EC_.wvu.FilterData" localSheetId="2" hidden="1">CAPTURA!$A$6:$EK$678</definedName>
    <definedName name="Z_4C60E89A_E6C4_499B_87FC_CD750863A8EC_.wvu.FilterData" localSheetId="5" hidden="1">'DISPERSION FISCAL'!$A$1:$E$181</definedName>
    <definedName name="Z_4C60E89A_E6C4_499B_87FC_CD750863A8EC_.wvu.FilterData" localSheetId="1" hidden="1">FIJOS!$B$10:$P$121</definedName>
    <definedName name="Z_4C60E89A_E6C4_499B_87FC_CD750863A8EC_.wvu.FilterData" localSheetId="8" hidden="1">INCIDENCIAS!$B$5:$K$353</definedName>
    <definedName name="Z_4C60E89A_E6C4_499B_87FC_CD750863A8EC_.wvu.FilterData" localSheetId="6" hidden="1">VARIABLE!$A$1:$C$259</definedName>
    <definedName name="Z_4C60E89A_E6C4_499B_87FC_CD750863A8EC_.wvu.PrintArea" localSheetId="2" hidden="1">CAPTURA!$A$4:$DW$689</definedName>
    <definedName name="Z_4C60E89A_E6C4_499B_87FC_CD750863A8EC_.wvu.PrintTitles" localSheetId="2" hidden="1">CAPTURA!$4:$6</definedName>
    <definedName name="Z_4CDD852C_0D93_4482_9D79_CA48AEF5D3DC_.wvu.FilterData" localSheetId="2" hidden="1">CAPTURA!$A$6:$EK$678</definedName>
    <definedName name="Z_4D36DC7E_83BB_4692_AC09_23F95E80F5D4_.wvu.FilterData" localSheetId="2" hidden="1">CAPTURA!$A$6:$EK$678</definedName>
    <definedName name="Z_4D3D5385_1F1F_408B_B63F_45CD55A962D1_.wvu.FilterData" localSheetId="2" hidden="1">CAPTURA!$A$6:$EK$678</definedName>
    <definedName name="Z_4D8B9362_34DA_4445_BF1F_E5D30CC74DEB_.wvu.FilterData" localSheetId="2" hidden="1">CAPTURA!$A$6:$EK$678</definedName>
    <definedName name="Z_4D9904A6_98AC_46EE_9604_531E3E5209F0_.wvu.FilterData" localSheetId="2" hidden="1">CAPTURA!$A$6:$EK$678</definedName>
    <definedName name="Z_4DA86D45_FEF0_41C9_8B7C_D77BA56E7361_.wvu.FilterData" localSheetId="2" hidden="1">CAPTURA!$A$6:$EK$678</definedName>
    <definedName name="Z_4DA86D45_FEF0_41C9_8B7C_D77BA56E7361_.wvu.FilterData" localSheetId="1" hidden="1">FIJOS!$B$10:$P$108</definedName>
    <definedName name="Z_4DCF0296_B5CD_4C02_9163_AE2C17DBBEBA_.wvu.FilterData" localSheetId="2" hidden="1">CAPTURA!$A$6:$EK$678</definedName>
    <definedName name="Z_4DE2102F_FA70_4C0C_ADCD_7209C10B908E_.wvu.FilterData" localSheetId="2" hidden="1">CAPTURA!$A$6:$EK$678</definedName>
    <definedName name="Z_4E0CD8D8_32E3_4197_B703_763D0A3991B0_.wvu.FilterData" localSheetId="2" hidden="1">CAPTURA!$A$6:$EK$678</definedName>
    <definedName name="Z_4E3647D0_FEEC_4209_80E5_1B1F812AC3E8_.wvu.FilterData" localSheetId="2" hidden="1">CAPTURA!$A$6:$EK$678</definedName>
    <definedName name="Z_4E8B3DCB_149F_4CED_AC02_425C2721A69A_.wvu.FilterData" localSheetId="2" hidden="1">CAPTURA!$A$6:$EK$678</definedName>
    <definedName name="Z_4E8B3DCB_149F_4CED_AC02_425C2721A69A_.wvu.FilterData" localSheetId="1" hidden="1">FIJOS!$B$10:$P$229</definedName>
    <definedName name="Z_4EA3C917_1C21_4D03_ADE0_4B47031E5916_.wvu.FilterData" localSheetId="2" hidden="1">CAPTURA!$A$6:$EK$678</definedName>
    <definedName name="Z_4EA4ECD7_EA3A_45F9_888D_A5186482F798_.wvu.FilterData" localSheetId="2" hidden="1">CAPTURA!$A$6:$EK$678</definedName>
    <definedName name="Z_4EA4ECD7_EA3A_45F9_888D_A5186482F798_.wvu.FilterData" localSheetId="8" hidden="1">INCIDENCIAS!$B$5:$K$597</definedName>
    <definedName name="Z_4EA80B00_99A0_4392_8C31_72870AC567F9_.wvu.FilterData" localSheetId="2" hidden="1">CAPTURA!$A$6:$EK$678</definedName>
    <definedName name="Z_4EA80B00_99A0_4392_8C31_72870AC567F9_.wvu.FilterData" localSheetId="5" hidden="1">'DISPERSION FISCAL'!$A$1:$E$181</definedName>
    <definedName name="Z_4EA80B00_99A0_4392_8C31_72870AC567F9_.wvu.FilterData" localSheetId="1" hidden="1">FIJOS!$B$10:$P$121</definedName>
    <definedName name="Z_4EA80B00_99A0_4392_8C31_72870AC567F9_.wvu.FilterData" localSheetId="8" hidden="1">INCIDENCIAS!$B$5:$K$353</definedName>
    <definedName name="Z_4EA80B00_99A0_4392_8C31_72870AC567F9_.wvu.FilterData" localSheetId="6" hidden="1">VARIABLE!$A$1:$C$259</definedName>
    <definedName name="Z_4EA80B00_99A0_4392_8C31_72870AC567F9_.wvu.PrintArea" localSheetId="2" hidden="1">CAPTURA!$A$4:$DW$689</definedName>
    <definedName name="Z_4EA80B00_99A0_4392_8C31_72870AC567F9_.wvu.PrintTitles" localSheetId="2" hidden="1">CAPTURA!$4:$6</definedName>
    <definedName name="Z_4EC2C4B6_377E_4576_88FB_5E08EFAE524E_.wvu.FilterData" localSheetId="2" hidden="1">CAPTURA!$A$6:$EK$678</definedName>
    <definedName name="Z_4EC37C4D_2F97_4E13_AB81_AA8ECEF4CABC_.wvu.FilterData" localSheetId="2" hidden="1">CAPTURA!$A$6:$EK$678</definedName>
    <definedName name="Z_4EDEE0DF_5064_4215_82CF_60E5AD3BE9D9_.wvu.FilterData" localSheetId="2" hidden="1">CAPTURA!$A$6:$EK$678</definedName>
    <definedName name="Z_4EDEE0DF_5064_4215_82CF_60E5AD3BE9D9_.wvu.FilterData" localSheetId="0" hidden="1">HORAS!$A$3:$DM$3</definedName>
    <definedName name="Z_4EF4B4DB_5EDC_445B_A38B_5A42A2B84787_.wvu.FilterData" localSheetId="2" hidden="1">CAPTURA!$A$6:$EK$678</definedName>
    <definedName name="Z_4EFB8107_B416_4B2D_ACED_FA26EA285EA0_.wvu.FilterData" localSheetId="2" hidden="1">CAPTURA!$A$6:$EK$678</definedName>
    <definedName name="Z_4EFB8107_B416_4B2D_ACED_FA26EA285EA0_.wvu.FilterData" localSheetId="1" hidden="1">FIJOS!$B$10:$P$505</definedName>
    <definedName name="Z_4F38DD06_8C57_4700_942A_C1B780F06890_.wvu.FilterData" localSheetId="2" hidden="1">CAPTURA!$A$6:$EK$678</definedName>
    <definedName name="Z_4F38DD06_8C57_4700_942A_C1B780F06890_.wvu.FilterData" localSheetId="8" hidden="1">INCIDENCIAS!$B$5:$K$476</definedName>
    <definedName name="Z_4F42C567_0FF2_4F5E_9FC3_09EA839100AA_.wvu.FilterData" localSheetId="2" hidden="1">CAPTURA!$A$6:$EK$678</definedName>
    <definedName name="Z_4F59BF1D_160E_4F5F_8078_37AE95735FF4_.wvu.FilterData" localSheetId="2" hidden="1">CAPTURA!$A$6:$EK$678</definedName>
    <definedName name="Z_4F668628_5C63_429F_BE02_864A46722201_.wvu.FilterData" localSheetId="2" hidden="1">CAPTURA!$A$6:$EK$678</definedName>
    <definedName name="Z_4FA91E4A_2A12_4661_AEC0_05D3CC5822A1_.wvu.FilterData" localSheetId="2" hidden="1">CAPTURA!$A$6:$EK$678</definedName>
    <definedName name="Z_4FBE1F5F_239B_4217_B87F_D625BFDA4EB0_.wvu.FilterData" localSheetId="2" hidden="1">CAPTURA!$A$6:$EK$678</definedName>
    <definedName name="Z_4FD9FEFB_8F2F_48F8_A8BB_2C4CE3F7C06D_.wvu.FilterData" localSheetId="2" hidden="1">CAPTURA!$A$6:$EK$678</definedName>
    <definedName name="Z_4FED4382_D973_452F_98D1_92DECF04B164_.wvu.FilterData" localSheetId="2" hidden="1">CAPTURA!$A$6:$EK$678</definedName>
    <definedName name="Z_5024F4AB_424E_4CC8_8A2D_D9A33BFD9340_.wvu.FilterData" localSheetId="2" hidden="1">CAPTURA!$A$6:$EK$678</definedName>
    <definedName name="Z_5035D6C8_7F74_4BA6_A995_79E39BC37EED_.wvu.FilterData" localSheetId="2" hidden="1">CAPTURA!$A$6:$EK$678</definedName>
    <definedName name="Z_5035D6C8_7F74_4BA6_A995_79E39BC37EED_.wvu.FilterData" localSheetId="5" hidden="1">'DISPERSION FISCAL'!$A$1:$E$181</definedName>
    <definedName name="Z_5035D6C8_7F74_4BA6_A995_79E39BC37EED_.wvu.FilterData" localSheetId="1" hidden="1">FIJOS!$B$10:$P$108</definedName>
    <definedName name="Z_5035D6C8_7F74_4BA6_A995_79E39BC37EED_.wvu.FilterData" localSheetId="8" hidden="1">INCIDENCIAS!$B$5:$K$514</definedName>
    <definedName name="Z_5035D6C8_7F74_4BA6_A995_79E39BC37EED_.wvu.FilterData" localSheetId="6" hidden="1">VARIABLE!$A$1:$C$259</definedName>
    <definedName name="Z_5035D6C8_7F74_4BA6_A995_79E39BC37EED_.wvu.PrintArea" localSheetId="2" hidden="1">CAPTURA!$A$4:$DW$689</definedName>
    <definedName name="Z_5035D6C8_7F74_4BA6_A995_79E39BC37EED_.wvu.PrintTitles" localSheetId="2" hidden="1">CAPTURA!$4:$6</definedName>
    <definedName name="Z_50A24B50_DC85_4589_82D0_6550AD10CC4D_.wvu.FilterData" localSheetId="2" hidden="1">CAPTURA!$A$6:$EK$678</definedName>
    <definedName name="Z_50C356E9_664E_4941_84F3_D99644FB57C5_.wvu.FilterData" localSheetId="2" hidden="1">CAPTURA!$A$6:$EK$678</definedName>
    <definedName name="Z_516B7B45_610B_48B4_B865_64AF0391B37D_.wvu.FilterData" localSheetId="2" hidden="1">CAPTURA!$A$6:$EK$678</definedName>
    <definedName name="Z_51BAE736_DC2F_4277_8F7F_27F72D2AC75E_.wvu.FilterData" localSheetId="2" hidden="1">CAPTURA!$A$6:$EK$678</definedName>
    <definedName name="Z_51C0DBB9_53AE_4812_8D48_2AD118180361_.wvu.FilterData" localSheetId="2" hidden="1">CAPTURA!$A$6:$EK$678</definedName>
    <definedName name="Z_51F8B6C7_3FE0_4667_85AF_0B819B98D396_.wvu.FilterData" localSheetId="2" hidden="1">CAPTURA!$A$6:$EK$678</definedName>
    <definedName name="Z_52819310_3C41_4369_B88E_BCE9C761261E_.wvu.FilterData" localSheetId="2" hidden="1">CAPTURA!$A$6:$EK$678</definedName>
    <definedName name="Z_52CDA2DD_F19A_4E66_9CC3_32B5B9F7A16C_.wvu.FilterData" localSheetId="2" hidden="1">CAPTURA!$A$6:$EK$678</definedName>
    <definedName name="Z_52CDDA94_0E83_4C82_8298_2F95D8C9D216_.wvu.FilterData" localSheetId="2" hidden="1">CAPTURA!$A$6:$EK$678</definedName>
    <definedName name="Z_53007106_5761_41F4_AAB5_D7D70B62DCC1_.wvu.FilterData" localSheetId="2" hidden="1">CAPTURA!$A$6:$EK$678</definedName>
    <definedName name="Z_537075F0_2AF3_49AE_A783_6FCD07281717_.wvu.FilterData" localSheetId="2" hidden="1">CAPTURA!$A$6:$EK$678</definedName>
    <definedName name="Z_537EAAF8_3E9F_42E1_AEC0_21135E4CCA41_.wvu.FilterData" localSheetId="2" hidden="1">CAPTURA!$A$6:$EK$678</definedName>
    <definedName name="Z_53A1AA75_FCDB_47E5_A17C_B464CD868E23_.wvu.FilterData" localSheetId="2" hidden="1">CAPTURA!$A$6:$EK$678</definedName>
    <definedName name="Z_53ABD23D_7778_4BD6_8635_C289072B29C1_.wvu.FilterData" localSheetId="2" hidden="1">CAPTURA!$A$6:$EK$678</definedName>
    <definedName name="Z_53DB53DE_4FE5_4D1F_BCE7_D60FE2A56352_.wvu.FilterData" localSheetId="2" hidden="1">CAPTURA!$A$6:$EK$678</definedName>
    <definedName name="Z_53DCD96B_DB17_4C09_A7D0_09157ECC300F_.wvu.FilterData" localSheetId="2" hidden="1">CAPTURA!$A$6:$EK$678</definedName>
    <definedName name="Z_541067C8_0F16_4248_AE6E_4869469F93C2_.wvu.Cols" localSheetId="2" hidden="1">CAPTURA!$DJ:$DO</definedName>
    <definedName name="Z_541067C8_0F16_4248_AE6E_4869469F93C2_.wvu.FilterData" localSheetId="2" hidden="1">CAPTURA!$A$6:$EK$678</definedName>
    <definedName name="Z_541067C8_0F16_4248_AE6E_4869469F93C2_.wvu.FilterData" localSheetId="5" hidden="1">'DISPERSION FISCAL'!$A$1:$E$181</definedName>
    <definedName name="Z_541067C8_0F16_4248_AE6E_4869469F93C2_.wvu.FilterData" localSheetId="1" hidden="1">FIJOS!$B$10:$P$108</definedName>
    <definedName name="Z_541067C8_0F16_4248_AE6E_4869469F93C2_.wvu.FilterData" localSheetId="8" hidden="1">INCIDENCIAS!$B$5:$K$514</definedName>
    <definedName name="Z_541067C8_0F16_4248_AE6E_4869469F93C2_.wvu.FilterData" localSheetId="6" hidden="1">VARIABLE!$A$1:$C$259</definedName>
    <definedName name="Z_541067C8_0F16_4248_AE6E_4869469F93C2_.wvu.PrintArea" localSheetId="2" hidden="1">CAPTURA!$A$4:$DW$689</definedName>
    <definedName name="Z_541067C8_0F16_4248_AE6E_4869469F93C2_.wvu.PrintTitles" localSheetId="2" hidden="1">CAPTURA!$4:$6</definedName>
    <definedName name="Z_5416234E_BDDB_45B2_B4DC_92B9BDF76066_.wvu.FilterData" localSheetId="2" hidden="1">CAPTURA!$A$6:$EK$678</definedName>
    <definedName name="Z_541EF805_E7E8_4BD4_B169_BC8CE553D2D9_.wvu.FilterData" localSheetId="2" hidden="1">CAPTURA!$A$6:$EK$678</definedName>
    <definedName name="Z_542D3332_0C42_40DB_9B24_4B81F577D969_.wvu.FilterData" localSheetId="2" hidden="1">CAPTURA!$A$6:$EK$678</definedName>
    <definedName name="Z_546ADD0B_68B8_489C_BE47_23E7F352FAC1_.wvu.FilterData" localSheetId="2" hidden="1">CAPTURA!$A$6:$EK$678</definedName>
    <definedName name="Z_547783CC_04D8_4561_8EA0_718BCCE1670F_.wvu.FilterData" localSheetId="2" hidden="1">CAPTURA!$A$6:$EK$678</definedName>
    <definedName name="Z_547783CC_04D8_4561_8EA0_718BCCE1670F_.wvu.FilterData" localSheetId="5" hidden="1">'DISPERSION FISCAL'!$A$1:$E$181</definedName>
    <definedName name="Z_547783CC_04D8_4561_8EA0_718BCCE1670F_.wvu.FilterData" localSheetId="1" hidden="1">FIJOS!$B$10:$P$229</definedName>
    <definedName name="Z_547783CC_04D8_4561_8EA0_718BCCE1670F_.wvu.FilterData" localSheetId="8" hidden="1">INCIDENCIAS!$B$5:$K$460</definedName>
    <definedName name="Z_547783CC_04D8_4561_8EA0_718BCCE1670F_.wvu.FilterData" localSheetId="6" hidden="1">VARIABLE!$A$1:$C$259</definedName>
    <definedName name="Z_547783CC_04D8_4561_8EA0_718BCCE1670F_.wvu.PrintArea" localSheetId="2" hidden="1">CAPTURA!$A$4:$DW$689</definedName>
    <definedName name="Z_547783CC_04D8_4561_8EA0_718BCCE1670F_.wvu.PrintTitles" localSheetId="2" hidden="1">CAPTURA!$4:$6</definedName>
    <definedName name="Z_5479AF99_F34C_48E1_AA18_13E8BDD79921_.wvu.FilterData" localSheetId="2" hidden="1">CAPTURA!$A$6:$EK$678</definedName>
    <definedName name="Z_5479AF99_F34C_48E1_AA18_13E8BDD79921_.wvu.FilterData" localSheetId="1" hidden="1">FIJOS!$B$10:$P$505</definedName>
    <definedName name="Z_54A38948_36E8_4A9C_9BE7_315B8F759421_.wvu.FilterData" localSheetId="2" hidden="1">CAPTURA!$A$6:$EK$678</definedName>
    <definedName name="Z_54A38948_36E8_4A9C_9BE7_315B8F759421_.wvu.FilterData" localSheetId="5" hidden="1">'DISPERSION FISCAL'!$A$1:$G$624</definedName>
    <definedName name="Z_54A38948_36E8_4A9C_9BE7_315B8F759421_.wvu.FilterData" localSheetId="1" hidden="1">FIJOS!$B$10:$P$505</definedName>
    <definedName name="Z_54A38948_36E8_4A9C_9BE7_315B8F759421_.wvu.FilterData" localSheetId="0" hidden="1">HORAS!$A$3:$DM$3</definedName>
    <definedName name="Z_54A38948_36E8_4A9C_9BE7_315B8F759421_.wvu.FilterData" localSheetId="8" hidden="1">INCIDENCIAS!$B$5:$K$494</definedName>
    <definedName name="Z_54A38948_36E8_4A9C_9BE7_315B8F759421_.wvu.FilterData" localSheetId="6" hidden="1">VARIABLE!$A$1:$C$259</definedName>
    <definedName name="Z_54A38948_36E8_4A9C_9BE7_315B8F759421_.wvu.PrintArea" localSheetId="2" hidden="1">CAPTURA!$A$4:$DW$689</definedName>
    <definedName name="Z_54A38948_36E8_4A9C_9BE7_315B8F759421_.wvu.PrintTitles" localSheetId="2" hidden="1">CAPTURA!$4:$6</definedName>
    <definedName name="Z_54AE5428_ECAC_44F8_B0B7_905FBA43967A_.wvu.FilterData" localSheetId="2" hidden="1">CAPTURA!$A$6:$EK$678</definedName>
    <definedName name="Z_54AE5428_ECAC_44F8_B0B7_905FBA43967A_.wvu.FilterData" localSheetId="5" hidden="1">'DISPERSION FISCAL'!$A$1:$E$181</definedName>
    <definedName name="Z_54AE5428_ECAC_44F8_B0B7_905FBA43967A_.wvu.FilterData" localSheetId="1" hidden="1">FIJOS!$B$10:$P$229</definedName>
    <definedName name="Z_54AE5428_ECAC_44F8_B0B7_905FBA43967A_.wvu.FilterData" localSheetId="8" hidden="1">INCIDENCIAS!$B$5:$K$460</definedName>
    <definedName name="Z_54AE5428_ECAC_44F8_B0B7_905FBA43967A_.wvu.FilterData" localSheetId="6" hidden="1">VARIABLE!$A$1:$C$259</definedName>
    <definedName name="Z_54AE5428_ECAC_44F8_B0B7_905FBA43967A_.wvu.PrintArea" localSheetId="2" hidden="1">CAPTURA!$A$4:$DW$689</definedName>
    <definedName name="Z_54AE5428_ECAC_44F8_B0B7_905FBA43967A_.wvu.PrintTitles" localSheetId="2" hidden="1">CAPTURA!$4:$6</definedName>
    <definedName name="Z_5508232D_8320_4621_95EB_0E7D0F0BB97F_.wvu.FilterData" localSheetId="2" hidden="1">CAPTURA!$A$6:$EK$678</definedName>
    <definedName name="Z_55567F0A_AED2_410D_9603_48A60325C61C_.wvu.FilterData" localSheetId="2" hidden="1">CAPTURA!$A$6:$EK$678</definedName>
    <definedName name="Z_557DFAE9_719E_4A12_A7C9_2C0B3EB68559_.wvu.FilterData" localSheetId="2" hidden="1">CAPTURA!$A$6:$EK$678</definedName>
    <definedName name="Z_55D15ECF_A7BD_45C0_B40C_A594BE98EF5A_.wvu.FilterData" localSheetId="2" hidden="1">CAPTURA!$A$6:$EK$678</definedName>
    <definedName name="Z_55F9A9B5_6B9F_4EB3_9EDA_D2642297D8EE_.wvu.FilterData" localSheetId="2" hidden="1">CAPTURA!$A$6:$EK$678</definedName>
    <definedName name="Z_55F9A9B5_6B9F_4EB3_9EDA_D2642297D8EE_.wvu.FilterData" localSheetId="5" hidden="1">'DISPERSION FISCAL'!$A$1:$E$181</definedName>
    <definedName name="Z_55F9A9B5_6B9F_4EB3_9EDA_D2642297D8EE_.wvu.FilterData" localSheetId="1" hidden="1">FIJOS!$B$10:$P$231</definedName>
    <definedName name="Z_55F9A9B5_6B9F_4EB3_9EDA_D2642297D8EE_.wvu.FilterData" localSheetId="8" hidden="1">INCIDENCIAS!$B$5:$K$499</definedName>
    <definedName name="Z_55F9A9B5_6B9F_4EB3_9EDA_D2642297D8EE_.wvu.FilterData" localSheetId="6" hidden="1">VARIABLE!$A$1:$C$259</definedName>
    <definedName name="Z_55F9A9B5_6B9F_4EB3_9EDA_D2642297D8EE_.wvu.PrintArea" localSheetId="2" hidden="1">CAPTURA!$A$4:$DW$689</definedName>
    <definedName name="Z_55F9A9B5_6B9F_4EB3_9EDA_D2642297D8EE_.wvu.PrintTitles" localSheetId="2" hidden="1">CAPTURA!$4:$6</definedName>
    <definedName name="Z_562F64A1_A672_4608_897C_BACA65C298E3_.wvu.FilterData" localSheetId="2" hidden="1">CAPTURA!$A$6:$EK$678</definedName>
    <definedName name="Z_568D2BDF_D02F_42F5_A326_29DA4ACAF1C8_.wvu.FilterData" localSheetId="2" hidden="1">CAPTURA!$A$6:$EK$678</definedName>
    <definedName name="Z_56B8A29C_A214_4CD8_8875_CE831BD581C8_.wvu.FilterData" localSheetId="2" hidden="1">CAPTURA!$A$6:$EK$678</definedName>
    <definedName name="Z_56DB1DD1_9585_4C12_97AE_F78CE0E4AA89_.wvu.FilterData" localSheetId="2" hidden="1">CAPTURA!$A$6:$EK$678</definedName>
    <definedName name="Z_56DE986C_DB15_4371_B15F_968C827B3240_.wvu.FilterData" localSheetId="2" hidden="1">CAPTURA!$A$6:$EK$678</definedName>
    <definedName name="Z_56E2EB22_BBDA_46D6_A885_D47CF1945DB5_.wvu.FilterData" localSheetId="2" hidden="1">CAPTURA!$A$6:$EK$678</definedName>
    <definedName name="Z_572B528E_DB1E_4FCB_8B91_D00BE39933F8_.wvu.FilterData" localSheetId="2" hidden="1">CAPTURA!$A$6:$EK$678</definedName>
    <definedName name="Z_57414651_5A21_40B9_90A4_5099B61671EE_.wvu.FilterData" localSheetId="2" hidden="1">CAPTURA!$A$6:$EK$678</definedName>
    <definedName name="Z_5744FBC8_839A_475F_93E0_97F08AFD776F_.wvu.FilterData" localSheetId="2" hidden="1">CAPTURA!$A$6:$EK$678</definedName>
    <definedName name="Z_576EE996_D759_47A3_B97B_8B6FC8A2482A_.wvu.FilterData" localSheetId="2" hidden="1">CAPTURA!$A$6:$EK$678</definedName>
    <definedName name="Z_5800DD71_50B5_4CC9_BC7E_0A4B82847B91_.wvu.FilterData" localSheetId="2" hidden="1">CAPTURA!$A$6:$EK$678</definedName>
    <definedName name="Z_582CE4F6_9A29_4BA9_BEAD_032CE72BB8E6_.wvu.FilterData" localSheetId="2" hidden="1">CAPTURA!$A$6:$EK$678</definedName>
    <definedName name="Z_585839F5_FA78_4941_B177_42E045AFF68A_.wvu.FilterData" localSheetId="2" hidden="1">CAPTURA!$A$6:$EK$678</definedName>
    <definedName name="Z_58635124_CDC0_46B3_A0F9_7C7257BA39A2_.wvu.FilterData" localSheetId="2" hidden="1">CAPTURA!$A$6:$EK$678</definedName>
    <definedName name="Z_5863B0BA_1ADE_47B4_BAFE_C654B1541EA9_.wvu.FilterData" localSheetId="2" hidden="1">CAPTURA!$A$6:$EK$678</definedName>
    <definedName name="Z_58BCEABD_4D7D_424D_92F2_279E1344B40D_.wvu.FilterData" localSheetId="2" hidden="1">CAPTURA!$A$6:$EK$678</definedName>
    <definedName name="Z_58E0421C_33FA_4EB7_AD95_0A659537F8FE_.wvu.FilterData" localSheetId="2" hidden="1">CAPTURA!$A$6:$EK$678</definedName>
    <definedName name="Z_59325002_4959_47E8_98EB_E9F5EA15F6C6_.wvu.FilterData" localSheetId="2" hidden="1">CAPTURA!$A$6:$EK$678</definedName>
    <definedName name="Z_59387CAF_23EC_4F15_A606_160C7A590B6A_.wvu.FilterData" localSheetId="2" hidden="1">CAPTURA!$A$6:$EK$678</definedName>
    <definedName name="Z_59782ED7_E2B0_4D1E_995E_EAEC95F3759A_.wvu.FilterData" localSheetId="2" hidden="1">CAPTURA!$A$6:$EK$678</definedName>
    <definedName name="Z_597E3457_5E90_431B_825A_11DB9E7100A0_.wvu.FilterData" localSheetId="2" hidden="1">CAPTURA!$A$6:$EK$678</definedName>
    <definedName name="Z_598A1FA6_D0D0_4954_A4A7_AC7204D44732_.wvu.FilterData" localSheetId="2" hidden="1">CAPTURA!$A$6:$EK$678</definedName>
    <definedName name="Z_59AE9219_2DEA_4795_B974_BF0FA752ACDB_.wvu.FilterData" localSheetId="2" hidden="1">CAPTURA!$A$6:$EK$678</definedName>
    <definedName name="Z_59DAB8CE_3287_4791_B002_8A146B36455A_.wvu.FilterData" localSheetId="2" hidden="1">CAPTURA!$A$6:$EK$678</definedName>
    <definedName name="Z_59E37C52_AAF7_4690_8712_5FB060B77553_.wvu.FilterData" localSheetId="2" hidden="1">CAPTURA!$A$6:$EK$678</definedName>
    <definedName name="Z_59F1DF23_490E_440A_A100_B2AF0935DB5F_.wvu.FilterData" localSheetId="2" hidden="1">CAPTURA!$A$6:$EK$678</definedName>
    <definedName name="Z_59F3AB20_DAF0_492F_AF9B_F03C76980CC3_.wvu.FilterData" localSheetId="2" hidden="1">CAPTURA!$A$6:$EK$678</definedName>
    <definedName name="Z_5A1D1586_E8B1_4944_8170_F2A460169752_.wvu.FilterData" localSheetId="1" hidden="1">FIJOS!$B$10:$P$505</definedName>
    <definedName name="Z_5A36BABF_79B3_47F5_9DE7_ECEF37E68F10_.wvu.FilterData" localSheetId="2" hidden="1">CAPTURA!$A$6:$EK$678</definedName>
    <definedName name="Z_5A7B666F_E305_4A9E_98DD_F5DEC8A780A3_.wvu.FilterData" localSheetId="2" hidden="1">CAPTURA!$A$6:$EK$678</definedName>
    <definedName name="Z_5A7B666F_E305_4A9E_98DD_F5DEC8A780A3_.wvu.FilterData" localSheetId="5" hidden="1">'DISPERSION FISCAL'!$A$1:$G$624</definedName>
    <definedName name="Z_5A7B666F_E305_4A9E_98DD_F5DEC8A780A3_.wvu.FilterData" localSheetId="1" hidden="1">FIJOS!$B$10:$P$505</definedName>
    <definedName name="Z_5A7B666F_E305_4A9E_98DD_F5DEC8A780A3_.wvu.FilterData" localSheetId="0" hidden="1">HORAS!$A$3:$DM$3</definedName>
    <definedName name="Z_5A7B666F_E305_4A9E_98DD_F5DEC8A780A3_.wvu.FilterData" localSheetId="8" hidden="1">INCIDENCIAS!$B$5:$M$487</definedName>
    <definedName name="Z_5A7B666F_E305_4A9E_98DD_F5DEC8A780A3_.wvu.FilterData" localSheetId="6" hidden="1">VARIABLE!$A$1:$C$259</definedName>
    <definedName name="Z_5A7B666F_E305_4A9E_98DD_F5DEC8A780A3_.wvu.PrintArea" localSheetId="2" hidden="1">CAPTURA!$A$4:$DW$689</definedName>
    <definedName name="Z_5A7B666F_E305_4A9E_98DD_F5DEC8A780A3_.wvu.PrintArea" localSheetId="7" hidden="1">EFECTIVOS!$A$1:$G$9</definedName>
    <definedName name="Z_5A7B666F_E305_4A9E_98DD_F5DEC8A780A3_.wvu.PrintTitles" localSheetId="2" hidden="1">CAPTURA!$4:$6</definedName>
    <definedName name="Z_5B0D6B39_A4AD_4410_AB3C_B948C4F0AA9E_.wvu.FilterData" localSheetId="2" hidden="1">CAPTURA!$A$6:$EK$678</definedName>
    <definedName name="Z_5B1F475C_9587_44A3_96B3_95B5A627F57E_.wvu.FilterData" localSheetId="2" hidden="1">CAPTURA!$A$6:$EK$678</definedName>
    <definedName name="Z_5B266240_22E6_4BCD_A090_13CA3412B676_.wvu.FilterData" localSheetId="2" hidden="1">CAPTURA!$A$6:$EK$678</definedName>
    <definedName name="Z_5B3EAF9E_84C2_484D_AABA_EE7454965DF2_.wvu.FilterData" localSheetId="2" hidden="1">CAPTURA!$A$6:$EK$678</definedName>
    <definedName name="Z_5BB29F8D_EF8E_4B39_A405_242AFD4C8DC3_.wvu.FilterData" localSheetId="2" hidden="1">CAPTURA!$A$6:$EK$678</definedName>
    <definedName name="Z_5BBAAB95_B172_4973_B84D_0B69F3EF7559_.wvu.FilterData" localSheetId="1" hidden="1">FIJOS!$B$10:$P$108</definedName>
    <definedName name="Z_5BBB16EA_5BE7_40FA_831E_9369BC9CBB10_.wvu.FilterData" localSheetId="2" hidden="1">CAPTURA!$A$6:$EK$678</definedName>
    <definedName name="Z_5BF8F394_6D81_404A_BC82_F099989D8023_.wvu.FilterData" localSheetId="2" hidden="1">CAPTURA!$A$6:$EK$678</definedName>
    <definedName name="Z_5C0EBE36_3F65_4924_A34F_633A5E4202C4_.wvu.FilterData" localSheetId="6" hidden="1">VARIABLE!$A$1:$C$259</definedName>
    <definedName name="Z_5C30C31B_5404_4B90_94B9_00C25336B072_.wvu.FilterData" localSheetId="2" hidden="1">CAPTURA!$A$6:$EK$678</definedName>
    <definedName name="Z_5C4E670D_5031_47CD_BB16_A0776F457C84_.wvu.FilterData" localSheetId="5" hidden="1">'DISPERSION FISCAL'!$A$1:$E$181</definedName>
    <definedName name="Z_5C4E670D_5031_47CD_BB16_A0776F457C84_.wvu.FilterData" localSheetId="1" hidden="1">FIJOS!$B$10:$P$121</definedName>
    <definedName name="Z_5C4E670D_5031_47CD_BB16_A0776F457C84_.wvu.FilterData" localSheetId="6" hidden="1">VARIABLE!$A$1:$C$259</definedName>
    <definedName name="Z_5C6E0F89_3315_4C03_A5B3_22897287A4C3_.wvu.FilterData" localSheetId="2" hidden="1">CAPTURA!$A$6:$EK$678</definedName>
    <definedName name="Z_5CD85A62_E3A4_43C1_BD05_253A52DF1F99_.wvu.FilterData" localSheetId="2" hidden="1">CAPTURA!$A$6:$EK$678</definedName>
    <definedName name="Z_5CD85A62_E3A4_43C1_BD05_253A52DF1F99_.wvu.FilterData" localSheetId="1" hidden="1">FIJOS!$B$10:$P$505</definedName>
    <definedName name="Z_5CD93ED2_2371_4522_BF43_B52F1553D876_.wvu.FilterData" localSheetId="2" hidden="1">CAPTURA!$A$6:$EK$678</definedName>
    <definedName name="Z_5CE1E827_54FC_481B_9412_FA042494E8FC_.wvu.FilterData" localSheetId="2" hidden="1">CAPTURA!$A$6:$EK$678</definedName>
    <definedName name="Z_5CE1E827_54FC_481B_9412_FA042494E8FC_.wvu.FilterData" localSheetId="5" hidden="1">'DISPERSION FISCAL'!$A$1:$E$181</definedName>
    <definedName name="Z_5CE1E827_54FC_481B_9412_FA042494E8FC_.wvu.FilterData" localSheetId="7" hidden="1">EFECTIVOS!#REF!</definedName>
    <definedName name="Z_5CE1E827_54FC_481B_9412_FA042494E8FC_.wvu.FilterData" localSheetId="1" hidden="1">FIJOS!$B$10:$P$108</definedName>
    <definedName name="Z_5CE1E827_54FC_481B_9412_FA042494E8FC_.wvu.FilterData" localSheetId="8" hidden="1">INCIDENCIAS!$B$5:$K$284</definedName>
    <definedName name="Z_5CE1E827_54FC_481B_9412_FA042494E8FC_.wvu.PrintArea" localSheetId="2" hidden="1">CAPTURA!$A$4:$DW$689</definedName>
    <definedName name="Z_5CE1E827_54FC_481B_9412_FA042494E8FC_.wvu.PrintTitles" localSheetId="2" hidden="1">CAPTURA!$4:$6</definedName>
    <definedName name="Z_5D107522_410E_4E30_80A1_D67A7E95F28B_.wvu.FilterData" localSheetId="2" hidden="1">CAPTURA!$A$6:$EK$678</definedName>
    <definedName name="Z_5D4D99FA_9D77_4D3F_8F76_CD38E6E8C01B_.wvu.FilterData" localSheetId="2" hidden="1">CAPTURA!$A$6:$EK$678</definedName>
    <definedName name="Z_5D5F666D_75B5_43D9_B3B0_1A6A78E6E52A_.wvu.FilterData" localSheetId="2" hidden="1">CAPTURA!$A$6:$EK$678</definedName>
    <definedName name="Z_5D5F85D1_5EC1_4AAE_AF0E_172E57B4522A_.wvu.FilterData" localSheetId="2" hidden="1">CAPTURA!$A$6:$EK$678</definedName>
    <definedName name="Z_5D774D76_5547_4B02_BCDA_3F3D6F4F80CC_.wvu.FilterData" localSheetId="2" hidden="1">CAPTURA!$A$6:$EK$678</definedName>
    <definedName name="Z_5D7AF7B7_A9C5_49BD_BFBD_65BB3078D177_.wvu.FilterData" localSheetId="2" hidden="1">CAPTURA!$A$6:$EK$678</definedName>
    <definedName name="Z_5D7B5CA7_D90E_43B4_813A_B077EFB3DFB5_.wvu.FilterData" localSheetId="2" hidden="1">CAPTURA!$A$6:$EK$678</definedName>
    <definedName name="Z_5D7B5CA7_D90E_43B4_813A_B077EFB3DFB5_.wvu.FilterData" localSheetId="5" hidden="1">'DISPERSION FISCAL'!$A$1:$G$624</definedName>
    <definedName name="Z_5D7B5CA7_D90E_43B4_813A_B077EFB3DFB5_.wvu.FilterData" localSheetId="1" hidden="1">FIJOS!$B$10:$P$505</definedName>
    <definedName name="Z_5D7B5CA7_D90E_43B4_813A_B077EFB3DFB5_.wvu.FilterData" localSheetId="0" hidden="1">HORAS!$A$3:$DM$3</definedName>
    <definedName name="Z_5D7B5CA7_D90E_43B4_813A_B077EFB3DFB5_.wvu.FilterData" localSheetId="8" hidden="1">INCIDENCIAS!$B$5:$K$494</definedName>
    <definedName name="Z_5D7B5CA7_D90E_43B4_813A_B077EFB3DFB5_.wvu.FilterData" localSheetId="6" hidden="1">VARIABLE!$A$1:$C$259</definedName>
    <definedName name="Z_5D7B5CA7_D90E_43B4_813A_B077EFB3DFB5_.wvu.PrintArea" localSheetId="2" hidden="1">CAPTURA!$A$4:$DW$689</definedName>
    <definedName name="Z_5D7B5CA7_D90E_43B4_813A_B077EFB3DFB5_.wvu.PrintTitles" localSheetId="2" hidden="1">CAPTURA!$4:$6</definedName>
    <definedName name="Z_5DBC2BA3_190E_4E27_8C39_2A2E409B107F_.wvu.FilterData" localSheetId="2" hidden="1">CAPTURA!$A$6:$EK$678</definedName>
    <definedName name="Z_5DBC2BA3_190E_4E27_8C39_2A2E409B107F_.wvu.FilterData" localSheetId="5" hidden="1">'DISPERSION FISCAL'!$A$1:$E$181</definedName>
    <definedName name="Z_5DBC2BA3_190E_4E27_8C39_2A2E409B107F_.wvu.FilterData" localSheetId="1" hidden="1">FIJOS!$B$10:$P$229</definedName>
    <definedName name="Z_5DBC2BA3_190E_4E27_8C39_2A2E409B107F_.wvu.FilterData" localSheetId="8" hidden="1">INCIDENCIAS!$B$5:$K$460</definedName>
    <definedName name="Z_5DBC2BA3_190E_4E27_8C39_2A2E409B107F_.wvu.FilterData" localSheetId="6" hidden="1">VARIABLE!$A$1:$C$259</definedName>
    <definedName name="Z_5DBC2BA3_190E_4E27_8C39_2A2E409B107F_.wvu.PrintArea" localSheetId="2" hidden="1">CAPTURA!$A$4:$DW$689</definedName>
    <definedName name="Z_5DBC2BA3_190E_4E27_8C39_2A2E409B107F_.wvu.PrintTitles" localSheetId="2" hidden="1">CAPTURA!$4:$6</definedName>
    <definedName name="Z_5E1D0CC2_1491_41FC_B3D6_16F9FFD74CC1_.wvu.FilterData" localSheetId="2" hidden="1">CAPTURA!$A$6:$EK$678</definedName>
    <definedName name="Z_5E2EA897_3D81_44A3_B596_A8FAD9EA141D_.wvu.FilterData" localSheetId="2" hidden="1">CAPTURA!$A$6:$EK$678</definedName>
    <definedName name="Z_5E2EA897_3D81_44A3_B596_A8FAD9EA141D_.wvu.FilterData" localSheetId="5" hidden="1">'DISPERSION FISCAL'!$A$1:$G$624</definedName>
    <definedName name="Z_5E2EA897_3D81_44A3_B596_A8FAD9EA141D_.wvu.FilterData" localSheetId="1" hidden="1">FIJOS!$B$10:$P$505</definedName>
    <definedName name="Z_5E2EA897_3D81_44A3_B596_A8FAD9EA141D_.wvu.FilterData" localSheetId="0" hidden="1">HORAS!$A$3:$DM$3</definedName>
    <definedName name="Z_5E2EA897_3D81_44A3_B596_A8FAD9EA141D_.wvu.FilterData" localSheetId="8" hidden="1">INCIDENCIAS!$B$5:$K$476</definedName>
    <definedName name="Z_5E2EA897_3D81_44A3_B596_A8FAD9EA141D_.wvu.FilterData" localSheetId="6" hidden="1">VARIABLE!$A$1:$C$259</definedName>
    <definedName name="Z_5E2EA897_3D81_44A3_B596_A8FAD9EA141D_.wvu.PrintArea" localSheetId="2" hidden="1">CAPTURA!$A$4:$DW$689</definedName>
    <definedName name="Z_5E2EA897_3D81_44A3_B596_A8FAD9EA141D_.wvu.PrintTitles" localSheetId="2" hidden="1">CAPTURA!$4:$6</definedName>
    <definedName name="Z_5E33243C_A39F_4804_BA47_4B83E8EC14BC_.wvu.FilterData" localSheetId="2" hidden="1">CAPTURA!$A$6:$EK$678</definedName>
    <definedName name="Z_5E3F8710_A9B1_44DD_AC93_72DDBBC49344_.wvu.FilterData" localSheetId="2" hidden="1">CAPTURA!$A$6:$EK$678</definedName>
    <definedName name="Z_5E42CD39_BD7B_4330_A32A_C2E61C77CBBC_.wvu.FilterData" localSheetId="2" hidden="1">CAPTURA!$A$6:$EK$678</definedName>
    <definedName name="Z_5EA47A8E_B951_4B09_92BD_3377623D27EE_.wvu.FilterData" localSheetId="2" hidden="1">CAPTURA!$A$6:$EK$678</definedName>
    <definedName name="Z_5EF18D19_744F_4BE4_9C8B_00F914077BB2_.wvu.FilterData" localSheetId="2" hidden="1">CAPTURA!$A$6:$EK$678</definedName>
    <definedName name="Z_5F0FC289_0AC7_4ABD_BE59_1BB44E80E7F8_.wvu.FilterData" localSheetId="2" hidden="1">CAPTURA!$A$6:$EK$678</definedName>
    <definedName name="Z_5F0FC289_0AC7_4ABD_BE59_1BB44E80E7F8_.wvu.FilterData" localSheetId="5" hidden="1">'DISPERSION FISCAL'!$A$1:$G$624</definedName>
    <definedName name="Z_5F0FC289_0AC7_4ABD_BE59_1BB44E80E7F8_.wvu.FilterData" localSheetId="1" hidden="1">FIJOS!$B$10:$P$505</definedName>
    <definedName name="Z_5F0FC289_0AC7_4ABD_BE59_1BB44E80E7F8_.wvu.FilterData" localSheetId="0" hidden="1">HORAS!$A$3:$DM$3</definedName>
    <definedName name="Z_5F0FC289_0AC7_4ABD_BE59_1BB44E80E7F8_.wvu.FilterData" localSheetId="8" hidden="1">INCIDENCIAS!$B$5:$K$732</definedName>
    <definedName name="Z_5F0FC289_0AC7_4ABD_BE59_1BB44E80E7F8_.wvu.FilterData" localSheetId="6" hidden="1">VARIABLE!$A$1:$C$259</definedName>
    <definedName name="Z_5F0FC289_0AC7_4ABD_BE59_1BB44E80E7F8_.wvu.PrintArea" localSheetId="2" hidden="1">CAPTURA!$A$4:$DW$689</definedName>
    <definedName name="Z_5F0FC289_0AC7_4ABD_BE59_1BB44E80E7F8_.wvu.PrintTitles" localSheetId="2" hidden="1">CAPTURA!$4:$6</definedName>
    <definedName name="Z_5F636E97_2209_41F9_81E2_251C2877070B_.wvu.FilterData" localSheetId="2" hidden="1">CAPTURA!$A$6:$EK$678</definedName>
    <definedName name="Z_5F687F34_5C85_40B2_8B9C_2960151B89B2_.wvu.FilterData" localSheetId="2" hidden="1">CAPTURA!$A$6:$EK$678</definedName>
    <definedName name="Z_5F8793E8_55C6_4E91_BF9A_7B9F26918DDD_.wvu.FilterData" localSheetId="2" hidden="1">CAPTURA!$A$6:$EK$678</definedName>
    <definedName name="Z_5F8793E8_55C6_4E91_BF9A_7B9F26918DDD_.wvu.FilterData" localSheetId="5" hidden="1">'DISPERSION FISCAL'!$A$1:$E$181</definedName>
    <definedName name="Z_5F8793E8_55C6_4E91_BF9A_7B9F26918DDD_.wvu.FilterData" localSheetId="1" hidden="1">FIJOS!$B$10:$P$308</definedName>
    <definedName name="Z_5F8793E8_55C6_4E91_BF9A_7B9F26918DDD_.wvu.FilterData" localSheetId="8" hidden="1">INCIDENCIAS!$B$5:$K$587</definedName>
    <definedName name="Z_5F8793E8_55C6_4E91_BF9A_7B9F26918DDD_.wvu.FilterData" localSheetId="6" hidden="1">VARIABLE!$A$1:$C$259</definedName>
    <definedName name="Z_5F8793E8_55C6_4E91_BF9A_7B9F26918DDD_.wvu.PrintArea" localSheetId="2" hidden="1">CAPTURA!$A$4:$DW$689</definedName>
    <definedName name="Z_5F8793E8_55C6_4E91_BF9A_7B9F26918DDD_.wvu.PrintTitles" localSheetId="2" hidden="1">CAPTURA!$4:$6</definedName>
    <definedName name="Z_5F8BCA6B_9C99_4266_BEE4_D0527FF4D745_.wvu.FilterData" localSheetId="2" hidden="1">CAPTURA!$A$6:$EK$678</definedName>
    <definedName name="Z_5F8BCA6B_9C99_4266_BEE4_D0527FF4D745_.wvu.FilterData" localSheetId="1" hidden="1">FIJOS!$B$10:$P$122</definedName>
    <definedName name="Z_5FAFC9BC_6578_4A71_95DD_F2644FAF9E04_.wvu.FilterData" localSheetId="2" hidden="1">CAPTURA!$A$6:$EK$678</definedName>
    <definedName name="Z_5FB1D075_BC53_4F8B_A944_EAF1390A062D_.wvu.FilterData" localSheetId="2" hidden="1">CAPTURA!$A$6:$EK$678</definedName>
    <definedName name="Z_5FD15A76_64B9_4A58_88DB_80C2C5954357_.wvu.FilterData" localSheetId="2" hidden="1">CAPTURA!$A$6:$EK$678</definedName>
    <definedName name="Z_5FD8FA8B_E98F_4447_85A3_CBABD71AB7C4_.wvu.FilterData" localSheetId="2" hidden="1">CAPTURA!$A$6:$EK$678</definedName>
    <definedName name="Z_5FD8FA8B_E98F_4447_85A3_CBABD71AB7C4_.wvu.FilterData" localSheetId="5" hidden="1">'DISPERSION FISCAL'!$A$1:$G$624</definedName>
    <definedName name="Z_5FD8FA8B_E98F_4447_85A3_CBABD71AB7C4_.wvu.FilterData" localSheetId="1" hidden="1">FIJOS!$B$10:$P$505</definedName>
    <definedName name="Z_5FD8FA8B_E98F_4447_85A3_CBABD71AB7C4_.wvu.FilterData" localSheetId="0" hidden="1">HORAS!$A$3:$DM$3</definedName>
    <definedName name="Z_5FD8FA8B_E98F_4447_85A3_CBABD71AB7C4_.wvu.FilterData" localSheetId="8" hidden="1">INCIDENCIAS!$B$5:$K$494</definedName>
    <definedName name="Z_5FD8FA8B_E98F_4447_85A3_CBABD71AB7C4_.wvu.FilterData" localSheetId="6" hidden="1">VARIABLE!$A$1:$C$259</definedName>
    <definedName name="Z_5FD8FA8B_E98F_4447_85A3_CBABD71AB7C4_.wvu.PrintArea" localSheetId="2" hidden="1">CAPTURA!$A$4:$DW$689</definedName>
    <definedName name="Z_5FD8FA8B_E98F_4447_85A3_CBABD71AB7C4_.wvu.PrintTitles" localSheetId="2" hidden="1">CAPTURA!$4:$6</definedName>
    <definedName name="Z_5FF3603B_6CEB_4445_BC70_177D1DA00ED2_.wvu.FilterData" localSheetId="2" hidden="1">CAPTURA!$A$6:$EK$678</definedName>
    <definedName name="Z_5FF3603B_6CEB_4445_BC70_177D1DA00ED2_.wvu.FilterData" localSheetId="1" hidden="1">FIJOS!$B$10:$P$505</definedName>
    <definedName name="Z_60062F1D_F28D_43A6_8312_CEA3E3FA6D6D_.wvu.FilterData" localSheetId="2" hidden="1">CAPTURA!$A$6:$EK$678</definedName>
    <definedName name="Z_600C38A3_9BDB_4EC5_A26E_A53826D709BD_.wvu.FilterData" localSheetId="2" hidden="1">CAPTURA!$A$6:$EK$678</definedName>
    <definedName name="Z_600C38A3_9BDB_4EC5_A26E_A53826D709BD_.wvu.FilterData" localSheetId="1" hidden="1">FIJOS!$B$10:$P$228</definedName>
    <definedName name="Z_6010030B_7DAE_4997_AF16_F098A57E8867_.wvu.FilterData" localSheetId="2" hidden="1">CAPTURA!$A$6:$EK$678</definedName>
    <definedName name="Z_60122386_CB87_4D1D_83FB_CA79C7D8CABE_.wvu.FilterData" localSheetId="2" hidden="1">CAPTURA!$A$6:$EK$678</definedName>
    <definedName name="Z_601A5232_2246_41A9_AC7C_6350C92CB80C_.wvu.FilterData" localSheetId="2" hidden="1">CAPTURA!$A$6:$EK$678</definedName>
    <definedName name="Z_601A5232_2246_41A9_AC7C_6350C92CB80C_.wvu.FilterData" localSheetId="5" hidden="1">'DISPERSION FISCAL'!$A$1:$E$181</definedName>
    <definedName name="Z_601A5232_2246_41A9_AC7C_6350C92CB80C_.wvu.FilterData" localSheetId="1" hidden="1">FIJOS!$B$10:$P$108</definedName>
    <definedName name="Z_601A5232_2246_41A9_AC7C_6350C92CB80C_.wvu.FilterData" localSheetId="8" hidden="1">INCIDENCIAS!$B$5:$K$514</definedName>
    <definedName name="Z_601A5232_2246_41A9_AC7C_6350C92CB80C_.wvu.FilterData" localSheetId="6" hidden="1">VARIABLE!$A$1:$C$259</definedName>
    <definedName name="Z_601A5232_2246_41A9_AC7C_6350C92CB80C_.wvu.PrintArea" localSheetId="2" hidden="1">CAPTURA!$A$4:$DW$689</definedName>
    <definedName name="Z_601A5232_2246_41A9_AC7C_6350C92CB80C_.wvu.PrintTitles" localSheetId="2" hidden="1">CAPTURA!$4:$6</definedName>
    <definedName name="Z_60219055_9B36_4D4A_AC38_1D82191E04DA_.wvu.FilterData" localSheetId="2" hidden="1">CAPTURA!$A$6:$EK$678</definedName>
    <definedName name="Z_605147CD_71D8_478E_BDDC_5340445EC6FE_.wvu.FilterData" localSheetId="2" hidden="1">CAPTURA!$A$6:$EK$678</definedName>
    <definedName name="Z_60AD95F3_7F42_4B93_AA48_6C8B7590E31C_.wvu.FilterData" localSheetId="2" hidden="1">CAPTURA!$A$6:$EK$678</definedName>
    <definedName name="Z_60AD95F3_7F42_4B93_AA48_6C8B7590E31C_.wvu.FilterData" localSheetId="1" hidden="1">FIJOS!$B$10:$P$505</definedName>
    <definedName name="Z_60AD95F3_7F42_4B93_AA48_6C8B7590E31C_.wvu.FilterData" localSheetId="8" hidden="1">INCIDENCIAS!$B$5:$K$501</definedName>
    <definedName name="Z_60B802E7_2A07_461F_B0E5_E1E31797CD5E_.wvu.FilterData" localSheetId="2" hidden="1">CAPTURA!$A$6:$EK$678</definedName>
    <definedName name="Z_60EC7734_3440_48B8_83FB_CB82162F50AB_.wvu.FilterData" localSheetId="2" hidden="1">CAPTURA!$A$6:$EK$678</definedName>
    <definedName name="Z_61189956_685E_4B02_95AB_86E2CBC3A599_.wvu.FilterData" localSheetId="2" hidden="1">CAPTURA!$A$6:$EK$678</definedName>
    <definedName name="Z_61214B8F_AF69_4135_B64E_ACE56A8822B9_.wvu.FilterData" localSheetId="2" hidden="1">CAPTURA!$A$6:$EK$678</definedName>
    <definedName name="Z_61214B8F_AF69_4135_B64E_ACE56A8822B9_.wvu.FilterData" localSheetId="1" hidden="1">FIJOS!$B$10:$P$121</definedName>
    <definedName name="Z_6148B5A1_0621_40EC_AE7B_320C75D9B23F_.wvu.FilterData" localSheetId="2" hidden="1">CAPTURA!$A$6:$EK$678</definedName>
    <definedName name="Z_6156A943_625A_460E_B824_F4398BCA304F_.wvu.FilterData" localSheetId="2" hidden="1">CAPTURA!$A$6:$EK$678</definedName>
    <definedName name="Z_61C558F7_A50B_47D3_864B_4E1C16AC6100_.wvu.FilterData" localSheetId="2" hidden="1">CAPTURA!$A$6:$EK$678</definedName>
    <definedName name="Z_61FA3F41_68EA_4328_B900_311E169FCC2C_.wvu.FilterData" localSheetId="2" hidden="1">CAPTURA!$A$6:$EK$678</definedName>
    <definedName name="Z_6223EC72_D4EF_4C47_90DD_1AEF209BD2AC_.wvu.FilterData" localSheetId="2" hidden="1">CAPTURA!$A$6:$EK$678</definedName>
    <definedName name="Z_62798674_F47A_447F_AC34_913035855FFC_.wvu.FilterData" localSheetId="2" hidden="1">CAPTURA!$A$6:$EK$678</definedName>
    <definedName name="Z_62798674_F47A_447F_AC34_913035855FFC_.wvu.FilterData" localSheetId="5" hidden="1">'DISPERSION FISCAL'!$A$1:$E$181</definedName>
    <definedName name="Z_62798674_F47A_447F_AC34_913035855FFC_.wvu.FilterData" localSheetId="1" hidden="1">FIJOS!$B$10:$P$228</definedName>
    <definedName name="Z_62798674_F47A_447F_AC34_913035855FFC_.wvu.FilterData" localSheetId="8" hidden="1">INCIDENCIAS!$B$5:$K$507</definedName>
    <definedName name="Z_62798674_F47A_447F_AC34_913035855FFC_.wvu.FilterData" localSheetId="6" hidden="1">VARIABLE!$A$1:$C$259</definedName>
    <definedName name="Z_62798674_F47A_447F_AC34_913035855FFC_.wvu.PrintArea" localSheetId="2" hidden="1">CAPTURA!$A$4:$DW$689</definedName>
    <definedName name="Z_62798674_F47A_447F_AC34_913035855FFC_.wvu.PrintTitles" localSheetId="2" hidden="1">CAPTURA!$4:$6</definedName>
    <definedName name="Z_62B4A7E5_8467_4A21_B396_6D1A254DF380_.wvu.FilterData" localSheetId="1" hidden="1">FIJOS!$B$10:$P$108</definedName>
    <definedName name="Z_62B4A7E5_8467_4A21_B396_6D1A254DF380_.wvu.FilterData" localSheetId="8" hidden="1">INCIDENCIAS!$B$5:$K$284</definedName>
    <definedName name="Z_6336AEC1_FAD0_48CD_9993_9892E8907B08_.wvu.FilterData" localSheetId="2" hidden="1">CAPTURA!$A$6:$EK$678</definedName>
    <definedName name="Z_6336AEC1_FAD0_48CD_9993_9892E8907B08_.wvu.FilterData" localSheetId="1" hidden="1">FIJOS!$B$10:$P$505</definedName>
    <definedName name="Z_636F5E1B_71CF_4C87_A877_E1F4F05D36C4_.wvu.FilterData" localSheetId="2" hidden="1">CAPTURA!$A$6:$EK$678</definedName>
    <definedName name="Z_63A4B14E_BE78_4C38_BBFF_F7434F04F8B9_.wvu.FilterData" localSheetId="2" hidden="1">CAPTURA!$A$6:$EK$678</definedName>
    <definedName name="Z_63E34AF7_F444_4008_BB83_70991DA4CB19_.wvu.FilterData" localSheetId="2" hidden="1">CAPTURA!$A$6:$EK$678</definedName>
    <definedName name="Z_63F4B0DA_8714_4828_A91C_F3058ABB71B1_.wvu.FilterData" localSheetId="2" hidden="1">CAPTURA!$A$6:$EK$678</definedName>
    <definedName name="Z_640492DB_D5F3_476A_AFA3_C7E947D1C1E9_.wvu.FilterData" localSheetId="2" hidden="1">CAPTURA!$A$6:$EK$678</definedName>
    <definedName name="Z_64DAF9FF_CE67_4786_BC49_77A0BDB68530_.wvu.FilterData" localSheetId="2" hidden="1">CAPTURA!$A$6:$EK$678</definedName>
    <definedName name="Z_65242DB7_C1C5_44AB_91C2_72253356E319_.wvu.FilterData" localSheetId="2" hidden="1">CAPTURA!$A$6:$EK$678</definedName>
    <definedName name="Z_6525F304_8EF8_4C11_999A_3D7A9B59FD79_.wvu.FilterData" localSheetId="2" hidden="1">CAPTURA!$A$6:$EK$678</definedName>
    <definedName name="Z_653E9149_EAD7_4C3F_84BF_97AD9FFEC292_.wvu.FilterData" localSheetId="2" hidden="1">CAPTURA!$A$6:$EK$678</definedName>
    <definedName name="Z_659A7FCD_7CEF_4F49_9977_08819012ACD6_.wvu.FilterData" localSheetId="2" hidden="1">CAPTURA!$A$6:$EK$678</definedName>
    <definedName name="Z_659A7FCD_7CEF_4F49_9977_08819012ACD6_.wvu.FilterData" localSheetId="1" hidden="1">FIJOS!$B$10:$P$505</definedName>
    <definedName name="Z_659C4E5D_BB14_47D7_B6C7_078C6DFB90EF_.wvu.FilterData" localSheetId="2" hidden="1">CAPTURA!$A$6:$EK$678</definedName>
    <definedName name="Z_65BB4F5E_C9C2_49D2_A5EF_118EC367872D_.wvu.FilterData" localSheetId="2" hidden="1">CAPTURA!$A$6:$EK$678</definedName>
    <definedName name="Z_65BB4F5E_C9C2_49D2_A5EF_118EC367872D_.wvu.FilterData" localSheetId="1" hidden="1">FIJOS!$B$10:$P$121</definedName>
    <definedName name="Z_65D52078_4CF7_4F0F_A1B8_E355719CBC50_.wvu.FilterData" localSheetId="2" hidden="1">CAPTURA!$A$6:$EK$678</definedName>
    <definedName name="Z_65F2D124_CC0C_46A3_808F_BC63333D7AE6_.wvu.FilterData" localSheetId="2" hidden="1">CAPTURA!$A$6:$EK$678</definedName>
    <definedName name="Z_65F2D610_1665_458D_B42B_6B485CE66DB9_.wvu.FilterData" localSheetId="2" hidden="1">CAPTURA!$A$6:$EK$678</definedName>
    <definedName name="Z_6607FB6F_B0BF_49D0_8802_DE21B4F12681_.wvu.FilterData" localSheetId="1" hidden="1">FIJOS!$B$10:$P$320</definedName>
    <definedName name="Z_663E28A7_623B_4711_9BA8_D25B5DA37B4B_.wvu.FilterData" localSheetId="2" hidden="1">CAPTURA!$A$6:$EK$678</definedName>
    <definedName name="Z_66C58C3B_23F3_41B9_954E_939C5F556C01_.wvu.FilterData" localSheetId="2" hidden="1">CAPTURA!$A$6:$EK$678</definedName>
    <definedName name="Z_67308734_65AB_4BB8_88D9_0BF94503DABC_.wvu.FilterData" localSheetId="2" hidden="1">CAPTURA!$A$6:$EK$678</definedName>
    <definedName name="Z_67385DCE_92B8_49F8_9603_DBFB94B95D92_.wvu.FilterData" localSheetId="2" hidden="1">CAPTURA!$A$6:$EK$678</definedName>
    <definedName name="Z_676BA235_A815_48A2_8F7B_38B03A180E7A_.wvu.FilterData" localSheetId="2" hidden="1">CAPTURA!$A$6:$EK$678</definedName>
    <definedName name="Z_67BCE9AC_B159_46D5_9624_F6DD2D8548A9_.wvu.FilterData" localSheetId="2" hidden="1">CAPTURA!$A$6:$EK$678</definedName>
    <definedName name="Z_6806930E_5E99_4743_9ECA_8D99BD13F38A_.wvu.FilterData" localSheetId="2" hidden="1">CAPTURA!$A$6:$EK$678</definedName>
    <definedName name="Z_6806930E_5E99_4743_9ECA_8D99BD13F38A_.wvu.FilterData" localSheetId="5" hidden="1">'DISPERSION FISCAL'!$A$1:$E$181</definedName>
    <definedName name="Z_6806930E_5E99_4743_9ECA_8D99BD13F38A_.wvu.FilterData" localSheetId="1" hidden="1">FIJOS!$B$10:$P$229</definedName>
    <definedName name="Z_6806930E_5E99_4743_9ECA_8D99BD13F38A_.wvu.FilterData" localSheetId="8" hidden="1">INCIDENCIAS!$B$5:$K$516</definedName>
    <definedName name="Z_6806930E_5E99_4743_9ECA_8D99BD13F38A_.wvu.FilterData" localSheetId="6" hidden="1">VARIABLE!$A$1:$C$259</definedName>
    <definedName name="Z_6806930E_5E99_4743_9ECA_8D99BD13F38A_.wvu.PrintArea" localSheetId="2" hidden="1">CAPTURA!$A$4:$DW$689</definedName>
    <definedName name="Z_6806930E_5E99_4743_9ECA_8D99BD13F38A_.wvu.PrintTitles" localSheetId="2" hidden="1">CAPTURA!$4:$6</definedName>
    <definedName name="Z_682506E8_9587_44C1_AF3D_EF62E54F7D64_.wvu.FilterData" localSheetId="2" hidden="1">CAPTURA!$A$6:$EK$678</definedName>
    <definedName name="Z_68359894_100F_4A65_A145_526B62A35D39_.wvu.FilterData" localSheetId="2" hidden="1">CAPTURA!$A$6:$EK$678</definedName>
    <definedName name="Z_68359894_100F_4A65_A145_526B62A35D39_.wvu.FilterData" localSheetId="1" hidden="1">FIJOS!$B$10:$P$505</definedName>
    <definedName name="Z_68AB6052_D52E_4140_ACD2_7B56FFB46114_.wvu.FilterData" localSheetId="2" hidden="1">CAPTURA!$A$6:$EK$678</definedName>
    <definedName name="Z_68AB6052_D52E_4140_ACD2_7B56FFB46114_.wvu.FilterData" localSheetId="5" hidden="1">'DISPERSION FISCAL'!$A$1:$G$624</definedName>
    <definedName name="Z_68AB6052_D52E_4140_ACD2_7B56FFB46114_.wvu.FilterData" localSheetId="1" hidden="1">FIJOS!$B$10:$P$505</definedName>
    <definedName name="Z_68AB6052_D52E_4140_ACD2_7B56FFB46114_.wvu.FilterData" localSheetId="0" hidden="1">HORAS!$A$3:$DM$3</definedName>
    <definedName name="Z_68AB6052_D52E_4140_ACD2_7B56FFB46114_.wvu.FilterData" localSheetId="8" hidden="1">INCIDENCIAS!$B$5:$K$494</definedName>
    <definedName name="Z_68AB6052_D52E_4140_ACD2_7B56FFB46114_.wvu.FilterData" localSheetId="6" hidden="1">VARIABLE!$A$1:$C$259</definedName>
    <definedName name="Z_68AB6052_D52E_4140_ACD2_7B56FFB46114_.wvu.PrintArea" localSheetId="2" hidden="1">CAPTURA!$A$4:$DW$689</definedName>
    <definedName name="Z_68AB6052_D52E_4140_ACD2_7B56FFB46114_.wvu.PrintTitles" localSheetId="2" hidden="1">CAPTURA!$4:$6</definedName>
    <definedName name="Z_68CE59E5_5391_41BF_BC22_2F2079954E8F_.wvu.FilterData" localSheetId="2" hidden="1">CAPTURA!$A$6:$EK$678</definedName>
    <definedName name="Z_68F29CB5_B71A_4CC3_9386_9167D2B0D658_.wvu.FilterData" localSheetId="2" hidden="1">CAPTURA!$A$6:$EK$678</definedName>
    <definedName name="Z_691B5C1B_DA8E_43B6_8B6F_44184AA5EF2B_.wvu.FilterData" localSheetId="2" hidden="1">CAPTURA!$A$6:$EK$678</definedName>
    <definedName name="Z_6932DA4A_9DDC_44E6_B106_6F6A02BA4994_.wvu.FilterData" localSheetId="2" hidden="1">CAPTURA!$A$6:$EK$678</definedName>
    <definedName name="Z_6932DA4A_9DDC_44E6_B106_6F6A02BA4994_.wvu.FilterData" localSheetId="1" hidden="1">FIJOS!$B$10:$P$505</definedName>
    <definedName name="Z_69B8B921_4B73_4790_83EF_C3999DCE9E7C_.wvu.FilterData" localSheetId="1" hidden="1">FIJOS!$B$10:$P$320</definedName>
    <definedName name="Z_69EB229F_FE36_4022_98B1_4CB7BD43C247_.wvu.FilterData" localSheetId="5" hidden="1">'DISPERSION FISCAL'!$A$1:$G$624</definedName>
    <definedName name="Z_69F5CC06_1BD2_4B33_B558_FBA243D255C1_.wvu.FilterData" localSheetId="2" hidden="1">CAPTURA!$A$6:$EK$678</definedName>
    <definedName name="Z_6A62ED82_6FDE_45BC_9964_496B0DD19B30_.wvu.FilterData" localSheetId="2" hidden="1">CAPTURA!$A$6:$EK$678</definedName>
    <definedName name="Z_6A7BFA65_3B2F_4E40_A186_B33FD8DED7D3_.wvu.FilterData" localSheetId="2" hidden="1">CAPTURA!$A$6:$EK$678</definedName>
    <definedName name="Z_6A868645_AF0C_4BBA_9AED_6E37DD62745F_.wvu.FilterData" localSheetId="2" hidden="1">CAPTURA!$A$6:$EK$678</definedName>
    <definedName name="Z_6AA1D8A9_1DB7_479A_AF71_0B8F02BD4FA9_.wvu.FilterData" localSheetId="2" hidden="1">CAPTURA!$A$6:$EK$678</definedName>
    <definedName name="Z_6ADBEBD6_FA52_4127_905B_DDDE834AAE32_.wvu.FilterData" localSheetId="2" hidden="1">CAPTURA!$A$6:$EK$6</definedName>
    <definedName name="Z_6B406EF9_7897_4084_B85A_8F752597E497_.wvu.FilterData" localSheetId="2" hidden="1">CAPTURA!$A$6:$EK$678</definedName>
    <definedName name="Z_6B406EF9_7897_4084_B85A_8F752597E497_.wvu.FilterData" localSheetId="5" hidden="1">'DISPERSION FISCAL'!$A$1:$E$181</definedName>
    <definedName name="Z_6B406EF9_7897_4084_B85A_8F752597E497_.wvu.FilterData" localSheetId="1" hidden="1">FIJOS!$B$10:$P$108</definedName>
    <definedName name="Z_6B406EF9_7897_4084_B85A_8F752597E497_.wvu.FilterData" localSheetId="8" hidden="1">INCIDENCIAS!$B$5:$K$514</definedName>
    <definedName name="Z_6B406EF9_7897_4084_B85A_8F752597E497_.wvu.FilterData" localSheetId="6" hidden="1">VARIABLE!$A$1:$C$259</definedName>
    <definedName name="Z_6B406EF9_7897_4084_B85A_8F752597E497_.wvu.PrintArea" localSheetId="2" hidden="1">CAPTURA!$A$4:$DW$689</definedName>
    <definedName name="Z_6B406EF9_7897_4084_B85A_8F752597E497_.wvu.PrintTitles" localSheetId="2" hidden="1">CAPTURA!$4:$6</definedName>
    <definedName name="Z_6B4F8712_F941_4883_A417_D4A83E35A619_.wvu.FilterData" localSheetId="2" hidden="1">CAPTURA!$A$6:$EK$678</definedName>
    <definedName name="Z_6B871ABA_114D_4B6C_BF80_853E76E8B29E_.wvu.FilterData" localSheetId="2" hidden="1">CAPTURA!$A$6:$EK$678</definedName>
    <definedName name="Z_6BA36E73_B296_4D54_8FD3_75760444AD07_.wvu.FilterData" localSheetId="2" hidden="1">CAPTURA!$A$6:$EK$678</definedName>
    <definedName name="Z_6BB56EC3_E34B_4635_836B_A78C5F2606B3_.wvu.FilterData" localSheetId="2" hidden="1">CAPTURA!$A$6:$EK$678</definedName>
    <definedName name="Z_6BE47EA2_DA7D_4102_8BD0_E1196E6B027F_.wvu.FilterData" localSheetId="2" hidden="1">CAPTURA!$A$6:$EK$678</definedName>
    <definedName name="Z_6BF8DCB9_F0B6_430D_B804_7C87CE4CA557_.wvu.FilterData" localSheetId="2" hidden="1">CAPTURA!$A$6:$EK$678</definedName>
    <definedName name="Z_6C11D3C2_92C4_47BE_879E_162D108A31B0_.wvu.FilterData" localSheetId="2" hidden="1">CAPTURA!$A$6:$EK$678</definedName>
    <definedName name="Z_6C1A5674_8D55_47E6_8DE2_104FEE1450F7_.wvu.FilterData" localSheetId="2" hidden="1">CAPTURA!$A$6:$EK$678</definedName>
    <definedName name="Z_6C4B66DA_7514_403D_8E97_CB444DB2DD8B_.wvu.FilterData" localSheetId="2" hidden="1">CAPTURA!$A$6:$EK$678</definedName>
    <definedName name="Z_6C4B66DA_7514_403D_8E97_CB444DB2DD8B_.wvu.FilterData" localSheetId="5" hidden="1">'DISPERSION FISCAL'!$A$1:$G$624</definedName>
    <definedName name="Z_6C4B66DA_7514_403D_8E97_CB444DB2DD8B_.wvu.FilterData" localSheetId="1" hidden="1">FIJOS!$B$10:$P$505</definedName>
    <definedName name="Z_6C4B66DA_7514_403D_8E97_CB444DB2DD8B_.wvu.FilterData" localSheetId="0" hidden="1">HORAS!$A$3:$DM$3</definedName>
    <definedName name="Z_6C4B66DA_7514_403D_8E97_CB444DB2DD8B_.wvu.FilterData" localSheetId="8" hidden="1">INCIDENCIAS!$B$5:$K$732</definedName>
    <definedName name="Z_6C4B66DA_7514_403D_8E97_CB444DB2DD8B_.wvu.FilterData" localSheetId="6" hidden="1">VARIABLE!$A$1:$C$259</definedName>
    <definedName name="Z_6C4B66DA_7514_403D_8E97_CB444DB2DD8B_.wvu.PrintArea" localSheetId="2" hidden="1">CAPTURA!$A$4:$DW$689</definedName>
    <definedName name="Z_6C4B66DA_7514_403D_8E97_CB444DB2DD8B_.wvu.PrintArea" localSheetId="7" hidden="1">EFECTIVOS!$A$2:$H$12</definedName>
    <definedName name="Z_6C4B66DA_7514_403D_8E97_CB444DB2DD8B_.wvu.PrintTitles" localSheetId="2" hidden="1">CAPTURA!$4:$6</definedName>
    <definedName name="Z_6C5A1EC7_D7FB_44F0_86D9_1FE554F8B623_.wvu.FilterData" localSheetId="2" hidden="1">CAPTURA!$A$6:$EK$678</definedName>
    <definedName name="Z_6C5B9F35_F128_421F_968E_537FBA5CB689_.wvu.FilterData" localSheetId="2" hidden="1">CAPTURA!$A$6:$EK$678</definedName>
    <definedName name="Z_6C6BCC44_AB68_4E4A_997F_4A66DEA1F044_.wvu.FilterData" localSheetId="2" hidden="1">CAPTURA!$A$6:$EK$678</definedName>
    <definedName name="Z_6C9BF7D1_723E_4EB5_AAE8_BBAC5EBAED20_.wvu.FilterData" localSheetId="2" hidden="1">CAPTURA!$A$6:$EK$678</definedName>
    <definedName name="Z_6CE0BD1E_F491_46A7_9EB2_286D7920DEF2_.wvu.FilterData" localSheetId="2" hidden="1">CAPTURA!$A$6:$EK$678</definedName>
    <definedName name="Z_6D55D66A_FFE6_4761_A30A_840920A7C89A_.wvu.FilterData" localSheetId="2" hidden="1">CAPTURA!$A$6:$EK$678</definedName>
    <definedName name="Z_6D6329F4_CD78_4F15_B7B4_2E88E99DE8C5_.wvu.FilterData" localSheetId="2" hidden="1">CAPTURA!$A$6:$EK$678</definedName>
    <definedName name="Z_6DF1AB9F_338D_4E85_A7A0_11CA820149C1_.wvu.FilterData" localSheetId="2" hidden="1">CAPTURA!$A$6:$EK$678</definedName>
    <definedName name="Z_6DF3758D_5D1C_4303_A842_59BB386618F4_.wvu.FilterData" localSheetId="2" hidden="1">CAPTURA!$A$6:$EK$678</definedName>
    <definedName name="Z_6E223F5A_4159_4039_AAD7_DCCB3B244373_.wvu.FilterData" localSheetId="2" hidden="1">CAPTURA!$A$6:$EK$678</definedName>
    <definedName name="Z_6E2D9009_F423_4F0E_9CFC_90049C206217_.wvu.FilterData" localSheetId="2" hidden="1">CAPTURA!$A$6:$EK$678</definedName>
    <definedName name="Z_6E44059D_DA38_41CF_B3BC_A5BFC0D4A920_.wvu.FilterData" localSheetId="2" hidden="1">CAPTURA!$A$6:$EK$678</definedName>
    <definedName name="Z_6E497565_ADB8_45D1_AFDC_05FB8BD054BA_.wvu.FilterData" localSheetId="2" hidden="1">CAPTURA!$A$6:$EK$678</definedName>
    <definedName name="Z_6E8C4AD7_A06A_42ED_A26E_0AEAEA26C291_.wvu.FilterData" localSheetId="2" hidden="1">CAPTURA!$A$6:$EK$678</definedName>
    <definedName name="Z_6E9D65A2_993C_4D4D_AA4C_C43A551A15A9_.wvu.FilterData" localSheetId="2" hidden="1">CAPTURA!$A$6:$EK$678</definedName>
    <definedName name="Z_6EA5D8FE_12C2_4765_B56A_8B5F5A06CBAA_.wvu.FilterData" localSheetId="2" hidden="1">CAPTURA!$A$6:$EK$678</definedName>
    <definedName name="Z_6EA9024E_5C58_48B7_B6FC_6AD7D870F2F6_.wvu.FilterData" localSheetId="2" hidden="1">CAPTURA!$A$6:$EK$678</definedName>
    <definedName name="Z_6EAC0E58_D468_45DC_8F51_A6C55B3A4DFE_.wvu.FilterData" localSheetId="2" hidden="1">CAPTURA!$A$6:$EK$678</definedName>
    <definedName name="Z_6ECF07B5_BD02_4F18_BC33_A878CD7266F3_.wvu.FilterData" localSheetId="2" hidden="1">CAPTURA!$A$6:$EK$678</definedName>
    <definedName name="Z_6ED25E07_3C5F_4B94_8760_462285F7A232_.wvu.FilterData" localSheetId="2" hidden="1">CAPTURA!$A$6:$EK$678</definedName>
    <definedName name="Z_6F0EBF34_6BDC_4D80_8FB6_9C76126D31A0_.wvu.FilterData" localSheetId="2" hidden="1">CAPTURA!$A$6:$EK$678</definedName>
    <definedName name="Z_6F1010B5_619E_41A3_A4C7_98A9505E817D_.wvu.FilterData" localSheetId="2" hidden="1">CAPTURA!$A$6:$EK$678</definedName>
    <definedName name="Z_6F8E2B49_EA81_4E21_B30C_988444D9E3A5_.wvu.FilterData" localSheetId="2" hidden="1">CAPTURA!$A$6:$EK$678</definedName>
    <definedName name="Z_6F945C96_562D_48C9_AD30_F2B132879A21_.wvu.FilterData" localSheetId="2" hidden="1">CAPTURA!$A$6:$EK$678</definedName>
    <definedName name="Z_6FA0652F_04A4_4F84_930A_66DD56108482_.wvu.FilterData" localSheetId="2" hidden="1">CAPTURA!$A$6:$EK$678</definedName>
    <definedName name="Z_6FA891AA_5C4B_4634_969D_F0C7705E5D76_.wvu.FilterData" localSheetId="2" hidden="1">CAPTURA!$A$6:$EK$678</definedName>
    <definedName name="Z_6FB1A695_BFC1_41C4_851C_E3A2785C13A3_.wvu.FilterData" localSheetId="2" hidden="1">CAPTURA!$A$6:$EK$678</definedName>
    <definedName name="Z_6FEEAB02_F22E_44E9_9F97_51C16A99DD17_.wvu.FilterData" localSheetId="2" hidden="1">CAPTURA!$A$6:$EK$678</definedName>
    <definedName name="Z_7002270C_5835_4EE9_AD78_7C8F59D85FD8_.wvu.FilterData" localSheetId="2" hidden="1">CAPTURA!$A$6:$EK$678</definedName>
    <definedName name="Z_702CC6FC_D496_4D37_95D7_A5CF7ABB7B8C_.wvu.FilterData" localSheetId="2" hidden="1">CAPTURA!$A$6:$EK$678</definedName>
    <definedName name="Z_703DEF00_92A5_4357_A7C8_9E872120E412_.wvu.FilterData" localSheetId="2" hidden="1">CAPTURA!$A$6:$EK$678</definedName>
    <definedName name="Z_70AC6219_561D_4D9D_9869_71A14CCE8E7F_.wvu.FilterData" localSheetId="2" hidden="1">CAPTURA!$A$6:$EK$678</definedName>
    <definedName name="Z_70F3F8AD_DE7E_4216_9DD0_073AC3A445C1_.wvu.FilterData" localSheetId="2" hidden="1">CAPTURA!$A$6:$EK$678</definedName>
    <definedName name="Z_70F3F8AD_DE7E_4216_9DD0_073AC3A445C1_.wvu.FilterData" localSheetId="5" hidden="1">'DISPERSION FISCAL'!$A$1:$E$181</definedName>
    <definedName name="Z_70F3F8AD_DE7E_4216_9DD0_073AC3A445C1_.wvu.FilterData" localSheetId="1" hidden="1">FIJOS!$B$10:$P$121</definedName>
    <definedName name="Z_70F3F8AD_DE7E_4216_9DD0_073AC3A445C1_.wvu.FilterData" localSheetId="8" hidden="1">INCIDENCIAS!$B$5:$K$514</definedName>
    <definedName name="Z_70F3F8AD_DE7E_4216_9DD0_073AC3A445C1_.wvu.FilterData" localSheetId="6" hidden="1">VARIABLE!$A$1:$C$259</definedName>
    <definedName name="Z_70F3F8AD_DE7E_4216_9DD0_073AC3A445C1_.wvu.PrintArea" localSheetId="2" hidden="1">CAPTURA!$A$4:$DW$689</definedName>
    <definedName name="Z_70F3F8AD_DE7E_4216_9DD0_073AC3A445C1_.wvu.PrintTitles" localSheetId="2" hidden="1">CAPTURA!$4:$6</definedName>
    <definedName name="Z_712C804A_30D4_4F4D_A3AC_6D628D3B3B28_.wvu.FilterData" localSheetId="2" hidden="1">CAPTURA!$A$6:$EK$678</definedName>
    <definedName name="Z_71332766_97BD_4D6E_940D_2E774ECE83F0_.wvu.FilterData" localSheetId="2" hidden="1">CAPTURA!$A$6:$EK$678</definedName>
    <definedName name="Z_715398CA_52A7_44BB_874E_5C01E24CE3BE_.wvu.FilterData" localSheetId="2" hidden="1">CAPTURA!$A$6:$EK$678</definedName>
    <definedName name="Z_716222A7_12B0_4E37_815B_8D502EAD617F_.wvu.FilterData" localSheetId="2" hidden="1">CAPTURA!$A$6:$EK$678</definedName>
    <definedName name="Z_716466C6_487C_4901_8399_537ADD43C713_.wvu.FilterData" localSheetId="1" hidden="1">FIJOS!$B$10:$P$505</definedName>
    <definedName name="Z_71987E9B_29A3_4E50_BB46_C30B7B81EE84_.wvu.FilterData" localSheetId="2" hidden="1">CAPTURA!$A$6:$EK$678</definedName>
    <definedName name="Z_71AA7B79_1C40_4FCA_9C7A_8B8A0C4B5382_.wvu.FilterData" localSheetId="2" hidden="1">CAPTURA!$A$6:$EK$678</definedName>
    <definedName name="Z_71F0A439_DF14_4158_B788_ED65C85E24C3_.wvu.FilterData" localSheetId="2" hidden="1">CAPTURA!$A$6:$EK$678</definedName>
    <definedName name="Z_7219DDB0_0DAE_471F_AA4A_5AB8BB68AF23_.wvu.FilterData" localSheetId="2" hidden="1">CAPTURA!$A$6:$EK$678</definedName>
    <definedName name="Z_7219DDB0_0DAE_471F_AA4A_5AB8BB68AF23_.wvu.FilterData" localSheetId="5" hidden="1">'DISPERSION FISCAL'!$A$1:$E$181</definedName>
    <definedName name="Z_7219DDB0_0DAE_471F_AA4A_5AB8BB68AF23_.wvu.FilterData" localSheetId="1" hidden="1">FIJOS!$B$10:$P$108</definedName>
    <definedName name="Z_7219DDB0_0DAE_471F_AA4A_5AB8BB68AF23_.wvu.FilterData" localSheetId="8" hidden="1">INCIDENCIAS!$B$5:$K$284</definedName>
    <definedName name="Z_7219DDB0_0DAE_471F_AA4A_5AB8BB68AF23_.wvu.PrintArea" localSheetId="2" hidden="1">CAPTURA!$A$4:$DW$689</definedName>
    <definedName name="Z_7219DDB0_0DAE_471F_AA4A_5AB8BB68AF23_.wvu.PrintTitles" localSheetId="2" hidden="1">CAPTURA!$4:$6</definedName>
    <definedName name="Z_721FF6D7_41E9_4E54_B635_8345C0FFA606_.wvu.FilterData" localSheetId="1" hidden="1">FIJOS!$B$10:$P$121</definedName>
    <definedName name="Z_7250B053_5C07_41AF_BB88_4458D9E81E4C_.wvu.FilterData" localSheetId="2" hidden="1">CAPTURA!$A$6:$EK$678</definedName>
    <definedName name="Z_7269A827_D756_4CFF_BC4D_42B7A86EEC7E_.wvu.FilterData" localSheetId="2" hidden="1">CAPTURA!$A$6:$EK$678</definedName>
    <definedName name="Z_72705C2F_52D3_4348_9E2C_532137AC595D_.wvu.FilterData" localSheetId="2" hidden="1">CAPTURA!$A$6:$EK$678</definedName>
    <definedName name="Z_72882768_6F79_42E3_BC3E_7EABFC0F8D32_.wvu.FilterData" localSheetId="2" hidden="1">CAPTURA!$A$6:$EK$678</definedName>
    <definedName name="Z_72A3BA4A_F2A2_48EA_9364_F1701DD6756F_.wvu.Cols" localSheetId="2" hidden="1">CAPTURA!$CW:$DY</definedName>
    <definedName name="Z_72A3BA4A_F2A2_48EA_9364_F1701DD6756F_.wvu.FilterData" localSheetId="2" hidden="1">CAPTURA!$A$6:$EK$678</definedName>
    <definedName name="Z_72A3BA4A_F2A2_48EA_9364_F1701DD6756F_.wvu.FilterData" localSheetId="5" hidden="1">'DISPERSION FISCAL'!$A$1:$E$181</definedName>
    <definedName name="Z_72A3BA4A_F2A2_48EA_9364_F1701DD6756F_.wvu.FilterData" localSheetId="7" hidden="1">EFECTIVOS!#REF!</definedName>
    <definedName name="Z_72A3BA4A_F2A2_48EA_9364_F1701DD6756F_.wvu.FilterData" localSheetId="1" hidden="1">FIJOS!$B$10:$P$108</definedName>
    <definedName name="Z_72A3BA4A_F2A2_48EA_9364_F1701DD6756F_.wvu.FilterData" localSheetId="8" hidden="1">INCIDENCIAS!$B$5:$K$284</definedName>
    <definedName name="Z_72A3BA4A_F2A2_48EA_9364_F1701DD6756F_.wvu.PrintArea" localSheetId="2" hidden="1">CAPTURA!$A$4:$DW$689</definedName>
    <definedName name="Z_72A3BA4A_F2A2_48EA_9364_F1701DD6756F_.wvu.PrintTitles" localSheetId="2" hidden="1">CAPTURA!$4:$6</definedName>
    <definedName name="Z_72C7BD13_C6A8_485B_A607_6E32CA7309B3_.wvu.FilterData" localSheetId="2" hidden="1">CAPTURA!$A$6:$EK$678</definedName>
    <definedName name="Z_72CC3864_BDE7_488C_96E4_77D02E8BA55A_.wvu.FilterData" localSheetId="2" hidden="1">CAPTURA!$A$6:$EK$678</definedName>
    <definedName name="Z_73318E1F_687F_4E68_BB15_B32B5B817FB0_.wvu.FilterData" localSheetId="2" hidden="1">CAPTURA!$A$6:$EK$678</definedName>
    <definedName name="Z_73318E1F_687F_4E68_BB15_B32B5B817FB0_.wvu.FilterData" localSheetId="5" hidden="1">'DISPERSION FISCAL'!$A$1:$E$181</definedName>
    <definedName name="Z_73318E1F_687F_4E68_BB15_B32B5B817FB0_.wvu.FilterData" localSheetId="1" hidden="1">FIJOS!$B$10:$P$121</definedName>
    <definedName name="Z_73318E1F_687F_4E68_BB15_B32B5B817FB0_.wvu.FilterData" localSheetId="8" hidden="1">INCIDENCIAS!$B$5:$K$347</definedName>
    <definedName name="Z_73318E1F_687F_4E68_BB15_B32B5B817FB0_.wvu.FilterData" localSheetId="6" hidden="1">VARIABLE!$A$1:$C$259</definedName>
    <definedName name="Z_73318E1F_687F_4E68_BB15_B32B5B817FB0_.wvu.PrintArea" localSheetId="2" hidden="1">CAPTURA!$A$4:$DW$689</definedName>
    <definedName name="Z_73318E1F_687F_4E68_BB15_B32B5B817FB0_.wvu.PrintTitles" localSheetId="2" hidden="1">CAPTURA!$4:$6</definedName>
    <definedName name="Z_73889E69_9B92_4C0E_A1F2_F6CDC2C619C7_.wvu.FilterData" localSheetId="2" hidden="1">CAPTURA!$A$6:$EK$678</definedName>
    <definedName name="Z_738ACAA0_95D3_453D_B076_501DF827DE0C_.wvu.FilterData" localSheetId="2" hidden="1">CAPTURA!$A$6:$EK$678</definedName>
    <definedName name="Z_73959F8B_485B_4376_9B61_8F3E391275A8_.wvu.FilterData" localSheetId="2" hidden="1">CAPTURA!$A$6:$EK$678</definedName>
    <definedName name="Z_73AA6FD0_E806_478E_81BE_2756A2A462AA_.wvu.FilterData" localSheetId="2" hidden="1">CAPTURA!$A$6:$EK$678</definedName>
    <definedName name="Z_73B5B028_C3DA_48C8_86F1_1E076F35F01E_.wvu.FilterData" localSheetId="2" hidden="1">CAPTURA!$A$6:$EK$678</definedName>
    <definedName name="Z_73B5B028_C3DA_48C8_86F1_1E076F35F01E_.wvu.FilterData" localSheetId="5" hidden="1">'DISPERSION FISCAL'!$A$1:$E$181</definedName>
    <definedName name="Z_73B5B028_C3DA_48C8_86F1_1E076F35F01E_.wvu.FilterData" localSheetId="1" hidden="1">FIJOS!$B$10:$P$131</definedName>
    <definedName name="Z_73B5B028_C3DA_48C8_86F1_1E076F35F01E_.wvu.FilterData" localSheetId="8" hidden="1">INCIDENCIAS!$B$5:$K$507</definedName>
    <definedName name="Z_73B5B028_C3DA_48C8_86F1_1E076F35F01E_.wvu.FilterData" localSheetId="6" hidden="1">VARIABLE!$A$1:$C$259</definedName>
    <definedName name="Z_73B5B028_C3DA_48C8_86F1_1E076F35F01E_.wvu.PrintArea" localSheetId="2" hidden="1">CAPTURA!$A$4:$DW$689</definedName>
    <definedName name="Z_73B5B028_C3DA_48C8_86F1_1E076F35F01E_.wvu.PrintTitles" localSheetId="2" hidden="1">CAPTURA!$4:$6</definedName>
    <definedName name="Z_73C2F95C_7171_4806_8431_E41C6EFC3161_.wvu.FilterData" localSheetId="2" hidden="1">CAPTURA!$A$6:$EK$678</definedName>
    <definedName name="Z_74083090_F515_467A_AA2A_CB3B3E8F6BFD_.wvu.FilterData" localSheetId="2" hidden="1">CAPTURA!$A$6:$EK$678</definedName>
    <definedName name="Z_742A73FC_CB9D_41DF_841E_75B48746F97A_.wvu.FilterData" localSheetId="2" hidden="1">CAPTURA!$A$6:$EK$678</definedName>
    <definedName name="Z_74342577_C54E_4CD8_ACFB_CE7E5C4C4638_.wvu.FilterData" localSheetId="2" hidden="1">CAPTURA!$A$6:$EK$678</definedName>
    <definedName name="Z_74404B3B_5A2E_48A2_8B0E_36AA67EDACE3_.wvu.FilterData" localSheetId="2" hidden="1">CAPTURA!$A$6:$EK$678</definedName>
    <definedName name="Z_748E513B_5DF6_4214_9D47_A14BC23EDF9C_.wvu.FilterData" localSheetId="2" hidden="1">CAPTURA!$A$6:$EK$678</definedName>
    <definedName name="Z_74B0302A_CEE3_42E9_A3FB_FD328A0842BD_.wvu.FilterData" localSheetId="2" hidden="1">CAPTURA!$A$6:$EK$678</definedName>
    <definedName name="Z_74B12631_B7BB_41DF_9225_FC0F3A790C4B_.wvu.FilterData" localSheetId="2" hidden="1">CAPTURA!$A$6:$EK$678</definedName>
    <definedName name="Z_74BF8AB9_4E57_4C5D_8037_EF44E458E314_.wvu.FilterData" localSheetId="2" hidden="1">CAPTURA!$A$6:$EK$678</definedName>
    <definedName name="Z_74D1B208_2700_49F1_9843_F4351CC158C0_.wvu.FilterData" localSheetId="2" hidden="1">CAPTURA!$A$6:$EK$678</definedName>
    <definedName name="Z_74F88E86_62FC_4ED6_B2F5_F9E3750D4E90_.wvu.FilterData" localSheetId="2" hidden="1">CAPTURA!$A$6:$EK$678</definedName>
    <definedName name="Z_75012FE7_3CEF_4081_B082_2137C23C930F_.wvu.FilterData" localSheetId="2" hidden="1">CAPTURA!$A$6:$EK$678</definedName>
    <definedName name="Z_75259DE3_1A9A_4A68_9182_CC79A1DE6942_.wvu.FilterData" localSheetId="2" hidden="1">CAPTURA!$A$6:$EK$678</definedName>
    <definedName name="Z_75288048_82E5_4CD8_B245_9351567E8D0F_.wvu.FilterData" localSheetId="2" hidden="1">CAPTURA!$A$6:$EK$678</definedName>
    <definedName name="Z_7550C7FC_55D2_4CF7_8294_2550B24306AA_.wvu.FilterData" localSheetId="2" hidden="1">CAPTURA!$A$6:$EK$678</definedName>
    <definedName name="Z_75794469_612F_4E08_AF75_B2BC35B9771B_.wvu.FilterData" localSheetId="2" hidden="1">CAPTURA!$A$6:$EK$678</definedName>
    <definedName name="Z_7592BC91_B15D_4103_9EC1_DC2F7CA31155_.wvu.FilterData" localSheetId="2" hidden="1">CAPTURA!$A$6:$EK$678</definedName>
    <definedName name="Z_7597166B_A5C3_47F6_871C_120C0E37D218_.wvu.FilterData" localSheetId="1" hidden="1">FIJOS!$B$10:$P$505</definedName>
    <definedName name="Z_759C81B6_AB60_48FD_A55D_92AECD593EDA_.wvu.FilterData" localSheetId="2" hidden="1">CAPTURA!$A$6:$EK$678</definedName>
    <definedName name="Z_75F6953B_3026_4049_B6C1_C77F8E6B33FB_.wvu.FilterData" localSheetId="2" hidden="1">CAPTURA!$A$6:$EK$678</definedName>
    <definedName name="Z_75F6953B_3026_4049_B6C1_C77F8E6B33FB_.wvu.FilterData" localSheetId="1" hidden="1">FIJOS!$B$10:$P$121</definedName>
    <definedName name="Z_76084836_1F61_403D_BE44_CA4C6B40F9B7_.wvu.FilterData" localSheetId="2" hidden="1">CAPTURA!$A$6:$EK$678</definedName>
    <definedName name="Z_762381C9_8107_44A7_A2A1_978C5F97E04D_.wvu.FilterData" localSheetId="2" hidden="1">CAPTURA!$A$6:$EK$678</definedName>
    <definedName name="Z_76465EAC_3B09_44CD_A8E7_2B4E4D6868F6_.wvu.FilterData" localSheetId="2" hidden="1">CAPTURA!$A$6:$EK$678</definedName>
    <definedName name="Z_765791D3_60AE_436F_A4BC_929D41B2369D_.wvu.FilterData" localSheetId="2" hidden="1">CAPTURA!$A$6:$EK$678</definedName>
    <definedName name="Z_769285AF_ABC6_4C67_BB42_E4697FC02196_.wvu.FilterData" localSheetId="2" hidden="1">CAPTURA!$A$6:$EK$678</definedName>
    <definedName name="Z_769285AF_ABC6_4C67_BB42_E4697FC02196_.wvu.FilterData" localSheetId="1" hidden="1">FIJOS!$B$10:$P$122</definedName>
    <definedName name="Z_76953DA6_34DC_450B_94F1_37A55FC378A9_.wvu.FilterData" localSheetId="2" hidden="1">CAPTURA!$A$6:$EK$678</definedName>
    <definedName name="Z_76B544BA_3494_4BAC_BED8_26DDB896E92C_.wvu.FilterData" localSheetId="2" hidden="1">CAPTURA!$A$6:$EK$678</definedName>
    <definedName name="Z_76C8FE58_64F6_427A_B1F7_2DF07ED13100_.wvu.FilterData" localSheetId="2" hidden="1">CAPTURA!$A$6:$EK$678</definedName>
    <definedName name="Z_76CE2654_0EF3_4899_838A_2F485C5B6965_.wvu.FilterData" localSheetId="2" hidden="1">CAPTURA!$A$6:$EK$678</definedName>
    <definedName name="Z_76CE2654_0EF3_4899_838A_2F485C5B6965_.wvu.FilterData" localSheetId="5" hidden="1">'DISPERSION FISCAL'!$A$1:$E$181</definedName>
    <definedName name="Z_76CE2654_0EF3_4899_838A_2F485C5B6965_.wvu.FilterData" localSheetId="1" hidden="1">FIJOS!$B$10:$P$121</definedName>
    <definedName name="Z_76CE2654_0EF3_4899_838A_2F485C5B6965_.wvu.FilterData" localSheetId="8" hidden="1">INCIDENCIAS!$B$5:$K$353</definedName>
    <definedName name="Z_76CE2654_0EF3_4899_838A_2F485C5B6965_.wvu.FilterData" localSheetId="6" hidden="1">VARIABLE!$A$1:$C$259</definedName>
    <definedName name="Z_76CE2654_0EF3_4899_838A_2F485C5B6965_.wvu.PrintArea" localSheetId="2" hidden="1">CAPTURA!$A$4:$DW$689</definedName>
    <definedName name="Z_76CE2654_0EF3_4899_838A_2F485C5B6965_.wvu.PrintTitles" localSheetId="2" hidden="1">CAPTURA!$4:$6</definedName>
    <definedName name="Z_76F4E23D_B7D3_401D_BBC4_2EB0F5ECFBE9_.wvu.FilterData" localSheetId="2" hidden="1">CAPTURA!$A$6:$EK$678</definedName>
    <definedName name="Z_76F4E23D_B7D3_401D_BBC4_2EB0F5ECFBE9_.wvu.FilterData" localSheetId="1" hidden="1">FIJOS!$B$10:$P$505</definedName>
    <definedName name="Z_76F99F10_8C00_458D_8407_4ADBB7072BB8_.wvu.FilterData" localSheetId="2" hidden="1">CAPTURA!$A$6:$EK$678</definedName>
    <definedName name="Z_77052FFC_2A6C_49A6_9E77_E65C1AC0C17A_.wvu.FilterData" localSheetId="2" hidden="1">CAPTURA!$A$6:$EK$678</definedName>
    <definedName name="Z_7716C30E_760E_40BA_A6F2_7E75C0C7D80D_.wvu.FilterData" localSheetId="1" hidden="1">FIJOS!$B$10:$P$505</definedName>
    <definedName name="Z_773EDF6D_523B_4E39_82F1_A920982A4305_.wvu.FilterData" localSheetId="2" hidden="1">CAPTURA!$A$6:$EK$678</definedName>
    <definedName name="Z_775147A9_9CAC_4035_A630_535B41719839_.wvu.FilterData" localSheetId="2" hidden="1">CAPTURA!$A$6:$EK$678</definedName>
    <definedName name="Z_778E1C72_FE29_4F2E_A08B_88A4047B43AD_.wvu.FilterData" localSheetId="2" hidden="1">CAPTURA!$A$6:$EK$678</definedName>
    <definedName name="Z_779418AC_0D84_4650_90A3_C6174B1647C7_.wvu.FilterData" localSheetId="2" hidden="1">CAPTURA!$A$6:$EK$678</definedName>
    <definedName name="Z_77A844EA_2812_4338_84C7_DACF8CDD66FB_.wvu.FilterData" localSheetId="2" hidden="1">CAPTURA!$A$6:$EK$678</definedName>
    <definedName name="Z_77CA7030_5396_4C40_91E2_1CAAA955CC9A_.wvu.FilterData" localSheetId="2" hidden="1">CAPTURA!$A$6:$EK$678</definedName>
    <definedName name="Z_77E4C116_B60A_4076_82AD_E9FADCCE5630_.wvu.FilterData" localSheetId="2" hidden="1">CAPTURA!$A$6:$EK$678</definedName>
    <definedName name="Z_78033BF7_BE18_43B4_8F30_DD27A55A8400_.wvu.FilterData" localSheetId="2" hidden="1">CAPTURA!$A$6:$EK$678</definedName>
    <definedName name="Z_7812740C_1FA8_4ACC_99FA_9F1D84D4FFB0_.wvu.FilterData" localSheetId="2" hidden="1">CAPTURA!$A$6:$EK$678</definedName>
    <definedName name="Z_787145D8_AE54_448A_A763_4B51D1782E93_.wvu.FilterData" localSheetId="2" hidden="1">CAPTURA!$A$6:$EK$678</definedName>
    <definedName name="Z_78853DD4_5E83_4DF0_8C45_38D31AF71F17_.wvu.FilterData" localSheetId="2" hidden="1">CAPTURA!$A$6:$EK$678</definedName>
    <definedName name="Z_789C13DB_55E7_4A3B_B7A4_83F318784462_.wvu.FilterData" localSheetId="2" hidden="1">CAPTURA!$A$6:$EK$678</definedName>
    <definedName name="Z_78B0C18B_7343_4171_B4C5_D97F0707EA33_.wvu.FilterData" localSheetId="2" hidden="1">CAPTURA!$A$6:$EK$678</definedName>
    <definedName name="Z_78D0C601_1A1B_44B7_923F_3E450B099B43_.wvu.FilterData" localSheetId="2" hidden="1">CAPTURA!$A$6:$EK$678</definedName>
    <definedName name="Z_78D83A98_0369_45C8_A3FD_026377239A76_.wvu.FilterData" localSheetId="2" hidden="1">CAPTURA!$A$6:$EK$678</definedName>
    <definedName name="Z_78E2D318_5336_479E_B99D_21D75984ABCE_.wvu.FilterData" localSheetId="2" hidden="1">CAPTURA!$A$6:$EK$678</definedName>
    <definedName name="Z_790ED3AD_4541_4327_8289_5497CC904B5E_.wvu.FilterData" localSheetId="2" hidden="1">CAPTURA!$A$6:$EK$678</definedName>
    <definedName name="Z_790ED3AD_4541_4327_8289_5497CC904B5E_.wvu.FilterData" localSheetId="5" hidden="1">'DISPERSION FISCAL'!$A$1:$E$181</definedName>
    <definedName name="Z_790ED3AD_4541_4327_8289_5497CC904B5E_.wvu.FilterData" localSheetId="1" hidden="1">FIJOS!$B$10:$P$320</definedName>
    <definedName name="Z_790ED3AD_4541_4327_8289_5497CC904B5E_.wvu.FilterData" localSheetId="8" hidden="1">INCIDENCIAS!$B$5:$K$597</definedName>
    <definedName name="Z_790ED3AD_4541_4327_8289_5497CC904B5E_.wvu.FilterData" localSheetId="6" hidden="1">VARIABLE!$A$1:$C$259</definedName>
    <definedName name="Z_790ED3AD_4541_4327_8289_5497CC904B5E_.wvu.PrintArea" localSheetId="2" hidden="1">CAPTURA!$A$4:$DW$689</definedName>
    <definedName name="Z_790ED3AD_4541_4327_8289_5497CC904B5E_.wvu.PrintTitles" localSheetId="2" hidden="1">CAPTURA!$4:$6</definedName>
    <definedName name="Z_7912C11E_2848_4BA0_9FB2_5F4565ED99EC_.wvu.FilterData" localSheetId="2" hidden="1">CAPTURA!$A$6:$EK$678</definedName>
    <definedName name="Z_79862A77_3655_4B17_91C9_88BA15221899_.wvu.FilterData" localSheetId="2" hidden="1">CAPTURA!$A$6:$EK$678</definedName>
    <definedName name="Z_79984B04_1822_4D60_A580_09105EA35533_.wvu.FilterData" localSheetId="2" hidden="1">CAPTURA!$A$6:$EK$678</definedName>
    <definedName name="Z_79ADCFFA_F5AD_4F47_A5D5_22F70B419BED_.wvu.FilterData" localSheetId="2" hidden="1">CAPTURA!$A$6:$EK$678</definedName>
    <definedName name="Z_79D86F6D_ABB7_4D3C_B2FC_45FD13352DC7_.wvu.FilterData" localSheetId="2" hidden="1">CAPTURA!$A$6:$EK$678</definedName>
    <definedName name="Z_79D86F6D_ABB7_4D3C_B2FC_45FD13352DC7_.wvu.FilterData" localSheetId="5" hidden="1">'DISPERSION FISCAL'!$A$1:$G$624</definedName>
    <definedName name="Z_79D86F6D_ABB7_4D3C_B2FC_45FD13352DC7_.wvu.FilterData" localSheetId="1" hidden="1">FIJOS!$B$10:$P$505</definedName>
    <definedName name="Z_79D86F6D_ABB7_4D3C_B2FC_45FD13352DC7_.wvu.FilterData" localSheetId="0" hidden="1">HORAS!$A$3:$DM$3</definedName>
    <definedName name="Z_79D86F6D_ABB7_4D3C_B2FC_45FD13352DC7_.wvu.FilterData" localSheetId="8" hidden="1">INCIDENCIAS!$B$5:$K$494</definedName>
    <definedName name="Z_79D86F6D_ABB7_4D3C_B2FC_45FD13352DC7_.wvu.FilterData" localSheetId="6" hidden="1">VARIABLE!$A$1:$C$259</definedName>
    <definedName name="Z_79D86F6D_ABB7_4D3C_B2FC_45FD13352DC7_.wvu.PrintArea" localSheetId="2" hidden="1">CAPTURA!$A$4:$DW$689</definedName>
    <definedName name="Z_79D86F6D_ABB7_4D3C_B2FC_45FD13352DC7_.wvu.PrintTitles" localSheetId="2" hidden="1">CAPTURA!$4:$6</definedName>
    <definedName name="Z_7A131D90_F42F_4D7C_AA77_52E84ADF2826_.wvu.FilterData" localSheetId="2" hidden="1">CAPTURA!$A$6:$EK$678</definedName>
    <definedName name="Z_7A506FA4_9498_4C37_81C9_C9FC328997B2_.wvu.FilterData" localSheetId="2" hidden="1">CAPTURA!$A$6:$EK$678</definedName>
    <definedName name="Z_7A6A7382_304B_4C4B_9DF3_723F717182DE_.wvu.FilterData" localSheetId="2" hidden="1">CAPTURA!$A$6:$EK$678</definedName>
    <definedName name="Z_7AA6E889_3B64_4927_A926_0FA2A28521C2_.wvu.FilterData" localSheetId="2" hidden="1">CAPTURA!$A$6:$EK$678</definedName>
    <definedName name="Z_7AD2328D_70A8_4D3B_9410_8B28294DDC93_.wvu.FilterData" localSheetId="2" hidden="1">CAPTURA!$A$6:$EK$678</definedName>
    <definedName name="Z_7AFA795C_7DFE_4D14_9639_F46FA742FB36_.wvu.FilterData" localSheetId="2" hidden="1">CAPTURA!$A$6:$EK$678</definedName>
    <definedName name="Z_7B2DBFB6_5124_4D2B_BFE4_6CFC83514FF2_.wvu.FilterData" localSheetId="2" hidden="1">CAPTURA!$A$6:$EK$678</definedName>
    <definedName name="Z_7B2DBFB6_5124_4D2B_BFE4_6CFC83514FF2_.wvu.FilterData" localSheetId="5" hidden="1">'DISPERSION FISCAL'!$A$1:$E$181</definedName>
    <definedName name="Z_7B2DBFB6_5124_4D2B_BFE4_6CFC83514FF2_.wvu.FilterData" localSheetId="1" hidden="1">FIJOS!$B$10:$P$108</definedName>
    <definedName name="Z_7B2DBFB6_5124_4D2B_BFE4_6CFC83514FF2_.wvu.FilterData" localSheetId="8" hidden="1">INCIDENCIAS!$B$5:$K$514</definedName>
    <definedName name="Z_7B2DBFB6_5124_4D2B_BFE4_6CFC83514FF2_.wvu.FilterData" localSheetId="6" hidden="1">VARIABLE!$A$1:$C$259</definedName>
    <definedName name="Z_7B2DBFB6_5124_4D2B_BFE4_6CFC83514FF2_.wvu.PrintArea" localSheetId="2" hidden="1">CAPTURA!$A$4:$DW$689</definedName>
    <definedName name="Z_7B2DBFB6_5124_4D2B_BFE4_6CFC83514FF2_.wvu.PrintTitles" localSheetId="2" hidden="1">CAPTURA!$4:$6</definedName>
    <definedName name="Z_7B5FB5BC_BFB4_4970_9C23_0B44491A56E5_.wvu.FilterData" localSheetId="2" hidden="1">CAPTURA!$A$6:$EK$678</definedName>
    <definedName name="Z_7B707BA9_5F2F_4BED_98A9_D3EE7991E96D_.wvu.FilterData" localSheetId="2" hidden="1">CAPTURA!$A$6:$EK$678</definedName>
    <definedName name="Z_7B9B7D18_3B77_4C15_B7C3_7DAC2EB8CCC7_.wvu.FilterData" localSheetId="2" hidden="1">CAPTURA!$A$6:$EK$678</definedName>
    <definedName name="Z_7B9E7E06_B308_44BC_844E_9EB7A26F62F9_.wvu.FilterData" localSheetId="2" hidden="1">CAPTURA!$A$6:$EK$678</definedName>
    <definedName name="Z_7B9E7E06_B308_44BC_844E_9EB7A26F62F9_.wvu.FilterData" localSheetId="1" hidden="1">FIJOS!$B$10:$P$505</definedName>
    <definedName name="Z_7BD37485_D7BE_4DD0_8DC1_FA58589D1810_.wvu.FilterData" localSheetId="2" hidden="1">CAPTURA!$A$6:$EK$678</definedName>
    <definedName name="Z_7BF286D9_C18D_436D_90E1_1DA6AD56C606_.wvu.FilterData" localSheetId="2" hidden="1">CAPTURA!$A$6:$EK$678</definedName>
    <definedName name="Z_7BF34D99_AA78_473A_BCED_A54677586F33_.wvu.FilterData" localSheetId="2" hidden="1">CAPTURA!$A$6:$EK$678</definedName>
    <definedName name="Z_7C2A1250_9F42_48C6_85BA_CD8E0451361A_.wvu.FilterData" localSheetId="2" hidden="1">CAPTURA!$A$6:$EK$678</definedName>
    <definedName name="Z_7C47FC8A_4568_40D6_AA6B_88FB9F39C0E8_.wvu.FilterData" localSheetId="2" hidden="1">CAPTURA!$A$6:$EK$678</definedName>
    <definedName name="Z_7C54BF1F_0AEB_4CD4_9A7A_E49B40D0B86D_.wvu.FilterData" localSheetId="2" hidden="1">CAPTURA!$A$6:$EK$678</definedName>
    <definedName name="Z_7CE3AF64_DAB6_4609_A54F_4AB2833BF4C0_.wvu.FilterData" localSheetId="2" hidden="1">CAPTURA!$A$6:$EK$678</definedName>
    <definedName name="Z_7D17E8C4_BCC4_49A8_90D3_8A3A1E2AA025_.wvu.FilterData" localSheetId="2" hidden="1">CAPTURA!$A$6:$EK$678</definedName>
    <definedName name="Z_7D7606E8_D4D0_453D_ACE1_3F2425DB534A_.wvu.FilterData" localSheetId="2" hidden="1">CAPTURA!$A$6:$EK$678</definedName>
    <definedName name="Z_7DE27C5E_9F74_4507_AA37_DD4ABD4D25FE_.wvu.FilterData" localSheetId="2" hidden="1">CAPTURA!$A$6:$EK$678</definedName>
    <definedName name="Z_7DF8E580_BCA0_45D8_A72D_C33DA66C6843_.wvu.FilterData" localSheetId="2" hidden="1">CAPTURA!$A$6:$EK$678</definedName>
    <definedName name="Z_7E085338_B20E_499A_808C_25933C5563BA_.wvu.FilterData" localSheetId="1" hidden="1">FIJOS!$B$10:$P$505</definedName>
    <definedName name="Z_7E2884B4_C348_4E40_B39D_657F7350E59B_.wvu.FilterData" localSheetId="2" hidden="1">CAPTURA!$A$6:$EK$678</definedName>
    <definedName name="Z_7E2884B4_C348_4E40_B39D_657F7350E59B_.wvu.FilterData" localSheetId="5" hidden="1">'DISPERSION FISCAL'!$A$1:$E$181</definedName>
    <definedName name="Z_7E2884B4_C348_4E40_B39D_657F7350E59B_.wvu.FilterData" localSheetId="1" hidden="1">FIJOS!$B$10:$P$231</definedName>
    <definedName name="Z_7E2884B4_C348_4E40_B39D_657F7350E59B_.wvu.FilterData" localSheetId="8" hidden="1">INCIDENCIAS!$B$5:$K$499</definedName>
    <definedName name="Z_7E2884B4_C348_4E40_B39D_657F7350E59B_.wvu.FilterData" localSheetId="6" hidden="1">VARIABLE!$A$1:$C$259</definedName>
    <definedName name="Z_7E2884B4_C348_4E40_B39D_657F7350E59B_.wvu.PrintArea" localSheetId="2" hidden="1">CAPTURA!$A$4:$DW$689</definedName>
    <definedName name="Z_7E2884B4_C348_4E40_B39D_657F7350E59B_.wvu.PrintTitles" localSheetId="2" hidden="1">CAPTURA!$4:$6</definedName>
    <definedName name="Z_7EB04C50_1C72_4DF4_BCBB_7CAC4080A4C7_.wvu.FilterData" localSheetId="2" hidden="1">CAPTURA!$A$6:$EK$678</definedName>
    <definedName name="Z_7EB99A2C_840F_45F6_A2E9_E456CBF42568_.wvu.FilterData" localSheetId="2" hidden="1">CAPTURA!$A$6:$EK$678</definedName>
    <definedName name="Z_7ED6427C_542D_4ABC_B672_A0124E323C45_.wvu.FilterData" localSheetId="2" hidden="1">CAPTURA!$A$6:$EK$678</definedName>
    <definedName name="Z_7ED6427C_542D_4ABC_B672_A0124E323C45_.wvu.FilterData" localSheetId="1" hidden="1">FIJOS!$B$10:$P$122</definedName>
    <definedName name="Z_7F1354AF_74C4_4118_989B_66DC02991B14_.wvu.FilterData" localSheetId="2" hidden="1">CAPTURA!$A$6:$EK$678</definedName>
    <definedName name="Z_7F6B6CFB_45C6_4A86_BE9C_3A397384AC8D_.wvu.FilterData" localSheetId="2" hidden="1">CAPTURA!$A$6:$EK$678</definedName>
    <definedName name="Z_7F6B6CFB_45C6_4A86_BE9C_3A397384AC8D_.wvu.FilterData" localSheetId="1" hidden="1">FIJOS!$B$10:$P$496</definedName>
    <definedName name="Z_7F6B6CFB_45C6_4A86_BE9C_3A397384AC8D_.wvu.FilterData" localSheetId="8" hidden="1">INCIDENCIAS!$B$5:$K$597</definedName>
    <definedName name="Z_7F8A97B8_DE62_483D_8350_B2AC90FE133E_.wvu.FilterData" localSheetId="2" hidden="1">CAPTURA!$A$6:$EK$678</definedName>
    <definedName name="Z_7F95E302_F7F2_4BB7_8F17_416FEB5FFA63_.wvu.FilterData" localSheetId="2" hidden="1">CAPTURA!$A$6:$EK$678</definedName>
    <definedName name="Z_7F95E302_F7F2_4BB7_8F17_416FEB5FFA63_.wvu.FilterData" localSheetId="1" hidden="1">FIJOS!$B$10:$P$505</definedName>
    <definedName name="Z_7FA190D7_EDEB_4732_A2B6_F78C0B65087D_.wvu.FilterData" localSheetId="2" hidden="1">CAPTURA!$A$6:$EK$678</definedName>
    <definedName name="Z_7FB5FEF4_C599_4283_9CD9_B71B33F792D5_.wvu.FilterData" localSheetId="2" hidden="1">CAPTURA!$A$6:$EK$678</definedName>
    <definedName name="Z_8071F15E_F6A7_4A14_8B39_206390367963_.wvu.FilterData" localSheetId="2" hidden="1">CAPTURA!$A$6:$EK$678</definedName>
    <definedName name="Z_80879069_BD42_4EDC_BCAD_B5197FBE1D2A_.wvu.FilterData" localSheetId="2" hidden="1">CAPTURA!$A$6:$EK$678</definedName>
    <definedName name="Z_80CF8990_BC66_479C_A0BA_40C6B0AF308D_.wvu.FilterData" localSheetId="2" hidden="1">CAPTURA!$A$6:$EK$678</definedName>
    <definedName name="Z_80D1D380_AA6A_4585_A2C4_9EC3728B3DB9_.wvu.FilterData" localSheetId="1" hidden="1">FIJOS!$B$10:$P$505</definedName>
    <definedName name="Z_80D1D380_AA6A_4585_A2C4_9EC3728B3DB9_.wvu.FilterData" localSheetId="8" hidden="1">INCIDENCIAS!$B$5:$K$502</definedName>
    <definedName name="Z_80DCAFD2_13E6_466A_8812_3C26D474393E_.wvu.FilterData" localSheetId="2" hidden="1">CAPTURA!$A$6:$EK$678</definedName>
    <definedName name="Z_80DE06E8_301A_4ED2_806B_E4D5BD7453D2_.wvu.FilterData" localSheetId="2" hidden="1">CAPTURA!$A$6:$EK$678</definedName>
    <definedName name="Z_8152E7DC_E0E2_493F_B27D_68F0DEC43A9B_.wvu.FilterData" localSheetId="2" hidden="1">CAPTURA!$A$6:$EK$678</definedName>
    <definedName name="Z_816A2395_CB7B_4A75_BDB7_3C88E880990D_.wvu.FilterData" localSheetId="2" hidden="1">CAPTURA!$A$6:$EK$678</definedName>
    <definedName name="Z_8172B6C9_CD87_4083_95C0_D12A90051BAC_.wvu.FilterData" localSheetId="2" hidden="1">CAPTURA!$A$6:$EK$678</definedName>
    <definedName name="Z_8181CE99_6FEA_47F0_ACF1_A06879715CEB_.wvu.FilterData" localSheetId="2" hidden="1">CAPTURA!$A$6:$EK$678</definedName>
    <definedName name="Z_82425F95_4D1D_4C75_9ED9_232B96995CE5_.wvu.FilterData" localSheetId="2" hidden="1">CAPTURA!$A$6:$EK$678</definedName>
    <definedName name="Z_82562C3F_A866_442D_8FAB_9789CF4D2499_.wvu.FilterData" localSheetId="2" hidden="1">CAPTURA!$A$6:$EK$678</definedName>
    <definedName name="Z_82562C3F_A866_442D_8FAB_9789CF4D2499_.wvu.FilterData" localSheetId="1" hidden="1">FIJOS!$B$10:$P$108</definedName>
    <definedName name="Z_82718829_2DAE_474B_A6A8_CB4677901CD4_.wvu.FilterData" localSheetId="2" hidden="1">CAPTURA!$A$6:$EK$678</definedName>
    <definedName name="Z_82990D3F_7FF8_4C22_A970_D0B39672B2DA_.wvu.FilterData" localSheetId="2" hidden="1">CAPTURA!$A$6:$EK$678</definedName>
    <definedName name="Z_82BEDA9D_C974_4297_B22B_DED29CCC73B2_.wvu.FilterData" localSheetId="2" hidden="1">CAPTURA!$A$6:$EK$678</definedName>
    <definedName name="Z_82BEDA9D_C974_4297_B22B_DED29CCC73B2_.wvu.FilterData" localSheetId="1" hidden="1">FIJOS!$B$10:$P$505</definedName>
    <definedName name="Z_82DCB9B5_C1A8_45B2_AB58_586EED8B8D01_.wvu.FilterData" localSheetId="2" hidden="1">CAPTURA!$A$6:$EK$678</definedName>
    <definedName name="Z_82DE9262_5E49_4023_9072_5F0ADB025D17_.wvu.FilterData" localSheetId="2" hidden="1">CAPTURA!$A$6:$EK$678</definedName>
    <definedName name="Z_82DE9262_5E49_4023_9072_5F0ADB025D17_.wvu.FilterData" localSheetId="1" hidden="1">FIJOS!$B$10:$P$108</definedName>
    <definedName name="Z_82E598AE_FF2E_40EA_8144_281A5A5EADAF_.wvu.FilterData" localSheetId="2" hidden="1">CAPTURA!$A$6:$EK$678</definedName>
    <definedName name="Z_831536D6_D944_4BF1_888F_E7981A6FA3AC_.wvu.FilterData" localSheetId="2" hidden="1">CAPTURA!$A$6:$EK$678</definedName>
    <definedName name="Z_834BE26C_9228_484F_A900_BFAA48DC4B9E_.wvu.FilterData" localSheetId="2" hidden="1">CAPTURA!$A$6:$EK$678</definedName>
    <definedName name="Z_83651DB6_BE07_4A1D_B841_2451B4125329_.wvu.FilterData" localSheetId="2" hidden="1">CAPTURA!$A$6:$EK$678</definedName>
    <definedName name="Z_839BC774_5A0A_4C91_B8FF_9E5F4EBEF16A_.wvu.FilterData" localSheetId="2" hidden="1">CAPTURA!$A$6:$EK$678</definedName>
    <definedName name="Z_841587E9_0E44_4692_931A_56E5E582AD90_.wvu.FilterData" localSheetId="2" hidden="1">CAPTURA!$A$6:$EK$678</definedName>
    <definedName name="Z_8471473F_1AB1_4444_A279_2AE17CDD7E2F_.wvu.FilterData" localSheetId="2" hidden="1">CAPTURA!$A$6:$EK$678</definedName>
    <definedName name="Z_84779349_F6F5_4039_BCF4_A051FE049B13_.wvu.FilterData" localSheetId="2" hidden="1">CAPTURA!$A$6:$EK$678</definedName>
    <definedName name="Z_854AE776_F0D1_43E2_9A5A_3C3C15E50BFA_.wvu.FilterData" localSheetId="2" hidden="1">CAPTURA!$A$6:$EK$678</definedName>
    <definedName name="Z_85579E12_1BD3_4E22_BF67_6EA0D107F08F_.wvu.FilterData" localSheetId="2" hidden="1">CAPTURA!$A$6:$EK$678</definedName>
    <definedName name="Z_85C811AD_D081_463B_877D_A431AF283076_.wvu.FilterData" localSheetId="2" hidden="1">CAPTURA!$A$6:$EK$678</definedName>
    <definedName name="Z_86000FC4_AB43_404B_95B0_E960260C9290_.wvu.FilterData" localSheetId="2" hidden="1">CAPTURA!$A$6:$EK$678</definedName>
    <definedName name="Z_86000FC4_AB43_404B_95B0_E960260C9290_.wvu.FilterData" localSheetId="5" hidden="1">'DISPERSION FISCAL'!$A$1:$G$624</definedName>
    <definedName name="Z_86000FC4_AB43_404B_95B0_E960260C9290_.wvu.FilterData" localSheetId="1" hidden="1">FIJOS!$B$10:$P$505</definedName>
    <definedName name="Z_86000FC4_AB43_404B_95B0_E960260C9290_.wvu.FilterData" localSheetId="0" hidden="1">HORAS!$A$3:$DM$3</definedName>
    <definedName name="Z_86000FC4_AB43_404B_95B0_E960260C9290_.wvu.FilterData" localSheetId="8" hidden="1">INCIDENCIAS!$B$5:$K$467</definedName>
    <definedName name="Z_86000FC4_AB43_404B_95B0_E960260C9290_.wvu.FilterData" localSheetId="6" hidden="1">VARIABLE!$A$1:$C$259</definedName>
    <definedName name="Z_86000FC4_AB43_404B_95B0_E960260C9290_.wvu.PrintArea" localSheetId="2" hidden="1">CAPTURA!$A$4:$DW$689</definedName>
    <definedName name="Z_86000FC4_AB43_404B_95B0_E960260C9290_.wvu.PrintArea" localSheetId="7" hidden="1">EFECTIVOS!$A$1:$G$9</definedName>
    <definedName name="Z_86000FC4_AB43_404B_95B0_E960260C9290_.wvu.PrintTitles" localSheetId="2" hidden="1">CAPTURA!$4:$6</definedName>
    <definedName name="Z_861A1AF7_071B_4986_BE72_AC5CE7A42E66_.wvu.FilterData" localSheetId="2" hidden="1">CAPTURA!$A$6:$EK$678</definedName>
    <definedName name="Z_861A1AF7_071B_4986_BE72_AC5CE7A42E66_.wvu.FilterData" localSheetId="1" hidden="1">FIJOS!$B$10:$P$505</definedName>
    <definedName name="Z_864048A6_2AF9_4539_951C_27F8C6209A40_.wvu.FilterData" localSheetId="2" hidden="1">CAPTURA!$A$6:$EK$678</definedName>
    <definedName name="Z_8663572A_9865_404D_B4CE_85CEC65308A8_.wvu.FilterData" localSheetId="2" hidden="1">CAPTURA!$A$6:$EK$678</definedName>
    <definedName name="Z_867C6F96_28D2_446F_A121_6F4496B91C85_.wvu.FilterData" localSheetId="2" hidden="1">CAPTURA!$A$6:$EK$678</definedName>
    <definedName name="Z_86837029_C507_4EF8_AD77_07A3CC878CA0_.wvu.FilterData" localSheetId="2" hidden="1">CAPTURA!$A$6:$EK$678</definedName>
    <definedName name="Z_86837029_C507_4EF8_AD77_07A3CC878CA0_.wvu.FilterData" localSheetId="5" hidden="1">'DISPERSION FISCAL'!$A$1:$E$181</definedName>
    <definedName name="Z_86837029_C507_4EF8_AD77_07A3CC878CA0_.wvu.FilterData" localSheetId="1" hidden="1">FIJOS!$B$10:$P$228</definedName>
    <definedName name="Z_86837029_C507_4EF8_AD77_07A3CC878CA0_.wvu.FilterData" localSheetId="8" hidden="1">INCIDENCIAS!$B$5:$K$516</definedName>
    <definedName name="Z_86837029_C507_4EF8_AD77_07A3CC878CA0_.wvu.FilterData" localSheetId="6" hidden="1">VARIABLE!$A$1:$C$259</definedName>
    <definedName name="Z_86837029_C507_4EF8_AD77_07A3CC878CA0_.wvu.PrintArea" localSheetId="2" hidden="1">CAPTURA!$A$4:$DW$689</definedName>
    <definedName name="Z_86837029_C507_4EF8_AD77_07A3CC878CA0_.wvu.PrintTitles" localSheetId="2" hidden="1">CAPTURA!$4:$6</definedName>
    <definedName name="Z_8684CC72_748E_49EE_B1E5_B10C3C62302A_.wvu.FilterData" localSheetId="2" hidden="1">CAPTURA!$A$6:$EK$678</definedName>
    <definedName name="Z_869FE69F_6ABD_486B_9DF8_8A6F0F03C605_.wvu.FilterData" localSheetId="2" hidden="1">CAPTURA!$A$6:$EK$678</definedName>
    <definedName name="Z_86A7997B_12CC_47B3_B068_5BB52BAB3E31_.wvu.FilterData" localSheetId="2" hidden="1">CAPTURA!$A$6:$EK$678</definedName>
    <definedName name="Z_86FB0454_2C96_4F8D_B949_4B1DB738F395_.wvu.FilterData" localSheetId="2" hidden="1">CAPTURA!$A$6:$EK$678</definedName>
    <definedName name="Z_870C342A_B067_4087_837A_058FD23A9AE8_.wvu.FilterData" localSheetId="2" hidden="1">CAPTURA!$A$6:$EK$678</definedName>
    <definedName name="Z_8733B538_8038_473B_9B9B_C6FA32577D00_.wvu.FilterData" localSheetId="2" hidden="1">CAPTURA!$A$6:$EK$678</definedName>
    <definedName name="Z_8741FDBE_1A9C_4788_9C8A_49AB3BB19188_.wvu.FilterData" localSheetId="2" hidden="1">CAPTURA!$A$6:$EK$678</definedName>
    <definedName name="Z_8746F6B6_86AA_4DB9_8A09_C9E8235F34EA_.wvu.FilterData" localSheetId="2" hidden="1">CAPTURA!$A$6:$EK$678</definedName>
    <definedName name="Z_8751270B_4249_4E80_A4CB_5F2F6E7395FA_.wvu.FilterData" localSheetId="2" hidden="1">CAPTURA!$A$6:$EK$678</definedName>
    <definedName name="Z_875EC871_2B1A_43EF_98AA_4D0393D83292_.wvu.FilterData" localSheetId="2" hidden="1">CAPTURA!$A$6:$EK$678</definedName>
    <definedName name="Z_87A12ED2_5126_435E_AEAB_FF7D475067F0_.wvu.FilterData" localSheetId="2" hidden="1">CAPTURA!$A$6:$EK$678</definedName>
    <definedName name="Z_87F69B75_178B_49A0_9B6E_2968ED19634A_.wvu.FilterData" localSheetId="2" hidden="1">CAPTURA!$A$6:$EK$678</definedName>
    <definedName name="Z_881475D9_3613_4315_9982_20D9C07AABB8_.wvu.FilterData" localSheetId="2" hidden="1">CAPTURA!$A$6:$EK$678</definedName>
    <definedName name="Z_881475D9_3613_4315_9982_20D9C07AABB8_.wvu.FilterData" localSheetId="5" hidden="1">'DISPERSION FISCAL'!$A$1:$E$181</definedName>
    <definedName name="Z_881475D9_3613_4315_9982_20D9C07AABB8_.wvu.FilterData" localSheetId="1" hidden="1">FIJOS!$B$10:$P$131</definedName>
    <definedName name="Z_881475D9_3613_4315_9982_20D9C07AABB8_.wvu.FilterData" localSheetId="8" hidden="1">INCIDENCIAS!$B$5:$K$507</definedName>
    <definedName name="Z_881475D9_3613_4315_9982_20D9C07AABB8_.wvu.FilterData" localSheetId="6" hidden="1">VARIABLE!$A$1:$C$259</definedName>
    <definedName name="Z_881475D9_3613_4315_9982_20D9C07AABB8_.wvu.PrintArea" localSheetId="2" hidden="1">CAPTURA!$A$4:$DW$689</definedName>
    <definedName name="Z_881475D9_3613_4315_9982_20D9C07AABB8_.wvu.PrintTitles" localSheetId="2" hidden="1">CAPTURA!$4:$6</definedName>
    <definedName name="Z_882B3C1A_3AC1_470C_8887_C41C75FF78F3_.wvu.FilterData" localSheetId="2" hidden="1">CAPTURA!$A$6:$EK$678</definedName>
    <definedName name="Z_887F5A1D_3A47_4DCE_B150_724885CDD56A_.wvu.FilterData" localSheetId="2" hidden="1">CAPTURA!$A$6:$EK$678</definedName>
    <definedName name="Z_887F5A1D_3A47_4DCE_B150_724885CDD56A_.wvu.FilterData" localSheetId="1" hidden="1">FIJOS!$B$10:$P$122</definedName>
    <definedName name="Z_888B8A30_B811_4D55_9A80_48CD2B84C629_.wvu.FilterData" localSheetId="2" hidden="1">CAPTURA!$A$6:$EK$678</definedName>
    <definedName name="Z_88C08A75_4B7C_42F9_96AF_6449509099C3_.wvu.FilterData" localSheetId="2" hidden="1">CAPTURA!$A$6:$EK$678</definedName>
    <definedName name="Z_88FAB56B_C581_49D3_A86D_9F4B0CCA4FCA_.wvu.FilterData" localSheetId="2" hidden="1">CAPTURA!$A$6:$EK$678</definedName>
    <definedName name="Z_88FAB56B_C581_49D3_A86D_9F4B0CCA4FCA_.wvu.FilterData" localSheetId="1" hidden="1">FIJOS!$B$10:$P$496</definedName>
    <definedName name="Z_893A02C1_8DCA_48E5_8603_4F800D976A98_.wvu.FilterData" localSheetId="2" hidden="1">CAPTURA!$A$6:$EK$678</definedName>
    <definedName name="Z_897AC3E0_58AE_4D8F_837E_EDBD4E39EB48_.wvu.FilterData" localSheetId="2" hidden="1">CAPTURA!$A$6:$EK$678</definedName>
    <definedName name="Z_8A25CC36_168D_44F0_9B4E_65BF8E45FEA2_.wvu.FilterData" localSheetId="2" hidden="1">CAPTURA!$A$6:$EK$678</definedName>
    <definedName name="Z_8A38645B_A8DD_47D7_BDF3_9BA2C76FFCC1_.wvu.FilterData" localSheetId="2" hidden="1">CAPTURA!$A$6:$EK$678</definedName>
    <definedName name="Z_8A38645B_A8DD_47D7_BDF3_9BA2C76FFCC1_.wvu.FilterData" localSheetId="1" hidden="1">FIJOS!$B$10:$P$320</definedName>
    <definedName name="Z_8A59628C_1467_4F8C_87A5_F76D837D57D9_.wvu.FilterData" localSheetId="2" hidden="1">CAPTURA!$A$6:$EK$678</definedName>
    <definedName name="Z_8A9F0186_2D2B_42B5_A504_AFA1491E25EA_.wvu.FilterData" localSheetId="2" hidden="1">CAPTURA!$A$6:$EK$678</definedName>
    <definedName name="Z_8AAC182B_3947_435D_A2C2_6BFEC12DFEB1_.wvu.FilterData" localSheetId="2" hidden="1">CAPTURA!$A$6:$EK$678</definedName>
    <definedName name="Z_8AAC182B_3947_435D_A2C2_6BFEC12DFEB1_.wvu.FilterData" localSheetId="5" hidden="1">'DISPERSION FISCAL'!$A$1:$G$624</definedName>
    <definedName name="Z_8AAC182B_3947_435D_A2C2_6BFEC12DFEB1_.wvu.FilterData" localSheetId="1" hidden="1">FIJOS!$B$10:$P$505</definedName>
    <definedName name="Z_8AAC182B_3947_435D_A2C2_6BFEC12DFEB1_.wvu.FilterData" localSheetId="0" hidden="1">HORAS!$A$3:$DM$3</definedName>
    <definedName name="Z_8AAC182B_3947_435D_A2C2_6BFEC12DFEB1_.wvu.FilterData" localSheetId="8" hidden="1">INCIDENCIAS!$B$5:$K$732</definedName>
    <definedName name="Z_8AAC182B_3947_435D_A2C2_6BFEC12DFEB1_.wvu.FilterData" localSheetId="6" hidden="1">VARIABLE!$A$1:$C$259</definedName>
    <definedName name="Z_8AAC182B_3947_435D_A2C2_6BFEC12DFEB1_.wvu.PrintArea" localSheetId="2" hidden="1">CAPTURA!$A$4:$DW$689</definedName>
    <definedName name="Z_8AAC182B_3947_435D_A2C2_6BFEC12DFEB1_.wvu.PrintTitles" localSheetId="2" hidden="1">CAPTURA!$4:$6</definedName>
    <definedName name="Z_8AF4BA1F_3211_4763_9D20_70ECF63CF6FD_.wvu.FilterData" localSheetId="2" hidden="1">CAPTURA!$A$6:$EK$678</definedName>
    <definedName name="Z_8AF4BA1F_3211_4763_9D20_70ECF63CF6FD_.wvu.FilterData" localSheetId="5" hidden="1">'DISPERSION FISCAL'!$A$1:$G$624</definedName>
    <definedName name="Z_8AF4BA1F_3211_4763_9D20_70ECF63CF6FD_.wvu.FilterData" localSheetId="1" hidden="1">FIJOS!$B$10:$P$496</definedName>
    <definedName name="Z_8AF4BA1F_3211_4763_9D20_70ECF63CF6FD_.wvu.FilterData" localSheetId="8" hidden="1">INCIDENCIAS!$B$5:$K$732</definedName>
    <definedName name="Z_8AF4BA1F_3211_4763_9D20_70ECF63CF6FD_.wvu.FilterData" localSheetId="6" hidden="1">VARIABLE!$A$1:$C$259</definedName>
    <definedName name="Z_8AF4BA1F_3211_4763_9D20_70ECF63CF6FD_.wvu.PrintArea" localSheetId="2" hidden="1">CAPTURA!$A$4:$DW$689</definedName>
    <definedName name="Z_8AF4BA1F_3211_4763_9D20_70ECF63CF6FD_.wvu.PrintTitles" localSheetId="2" hidden="1">CAPTURA!$4:$6</definedName>
    <definedName name="Z_8AFA4100_81B9_4964_A515_5D5BD1E05C42_.wvu.FilterData" localSheetId="2" hidden="1">CAPTURA!$A$6:$EK$678</definedName>
    <definedName name="Z_8B5D33BB_E47C_41B2_9E82_4788C96E30E6_.wvu.FilterData" localSheetId="2" hidden="1">CAPTURA!$A$6:$EK$678</definedName>
    <definedName name="Z_8B5D33BB_E47C_41B2_9E82_4788C96E30E6_.wvu.FilterData" localSheetId="5" hidden="1">'DISPERSION FISCAL'!$A$1:$E$181</definedName>
    <definedName name="Z_8B5D33BB_E47C_41B2_9E82_4788C96E30E6_.wvu.FilterData" localSheetId="1" hidden="1">FIJOS!$B$10:$P$229</definedName>
    <definedName name="Z_8B5D33BB_E47C_41B2_9E82_4788C96E30E6_.wvu.FilterData" localSheetId="8" hidden="1">INCIDENCIAS!$B$5:$K$516</definedName>
    <definedName name="Z_8B5D33BB_E47C_41B2_9E82_4788C96E30E6_.wvu.FilterData" localSheetId="6" hidden="1">VARIABLE!$A$1:$C$259</definedName>
    <definedName name="Z_8B5D33BB_E47C_41B2_9E82_4788C96E30E6_.wvu.PrintArea" localSheetId="2" hidden="1">CAPTURA!$A$4:$DW$689</definedName>
    <definedName name="Z_8B5D33BB_E47C_41B2_9E82_4788C96E30E6_.wvu.PrintTitles" localSheetId="2" hidden="1">CAPTURA!$4:$6</definedName>
    <definedName name="Z_8BA819D3_57E2_4A7D_9695_453CD565FEBC_.wvu.FilterData" localSheetId="2" hidden="1">CAPTURA!$A$6:$EK$678</definedName>
    <definedName name="Z_8C68AA37_4561_4E78_9589_B766CF8BEB8C_.wvu.FilterData" localSheetId="2" hidden="1">CAPTURA!$A$6:$EK$678</definedName>
    <definedName name="Z_8C79E62B_706E_4BD2_B7F8_DC21AF3DC836_.wvu.FilterData" localSheetId="2" hidden="1">CAPTURA!$A$6:$EK$678</definedName>
    <definedName name="Z_8C79E62B_706E_4BD2_B7F8_DC21AF3DC836_.wvu.FilterData" localSheetId="5" hidden="1">'DISPERSION FISCAL'!$A$1:$G$624</definedName>
    <definedName name="Z_8C79E62B_706E_4BD2_B7F8_DC21AF3DC836_.wvu.FilterData" localSheetId="1" hidden="1">FIJOS!$B$10:$P$505</definedName>
    <definedName name="Z_8C79E62B_706E_4BD2_B7F8_DC21AF3DC836_.wvu.FilterData" localSheetId="0" hidden="1">HORAS!$A$3:$DM$3</definedName>
    <definedName name="Z_8C79E62B_706E_4BD2_B7F8_DC21AF3DC836_.wvu.FilterData" localSheetId="8" hidden="1">INCIDENCIAS!$B$5:$K$476</definedName>
    <definedName name="Z_8C79E62B_706E_4BD2_B7F8_DC21AF3DC836_.wvu.FilterData" localSheetId="6" hidden="1">VARIABLE!$A$1:$C$259</definedName>
    <definedName name="Z_8C79E62B_706E_4BD2_B7F8_DC21AF3DC836_.wvu.PrintArea" localSheetId="2" hidden="1">CAPTURA!$A$4:$DW$689</definedName>
    <definedName name="Z_8C79E62B_706E_4BD2_B7F8_DC21AF3DC836_.wvu.PrintTitles" localSheetId="2" hidden="1">CAPTURA!$4:$6</definedName>
    <definedName name="Z_8C7DB8B8_BD40_48EF_A93A_280FD5A2AFE6_.wvu.FilterData" localSheetId="2" hidden="1">CAPTURA!$A$6:$EK$678</definedName>
    <definedName name="Z_8CAE5D1B_CFF2_4750_841C_9F4288F7075C_.wvu.FilterData" localSheetId="2" hidden="1">CAPTURA!$A$6:$EK$678</definedName>
    <definedName name="Z_8CB9C7C1_B926_465C_AC61_0EF54AFB9D5C_.wvu.FilterData" localSheetId="2" hidden="1">CAPTURA!$A$6:$EK$678</definedName>
    <definedName name="Z_8CB9C7C1_B926_465C_AC61_0EF54AFB9D5C_.wvu.FilterData" localSheetId="8" hidden="1">INCIDENCIAS!$B$5:$K$353</definedName>
    <definedName name="Z_8CC4BF49_5C2C_410D_885D_C945577F2490_.wvu.FilterData" localSheetId="2" hidden="1">CAPTURA!$A$6:$EK$678</definedName>
    <definedName name="Z_8CCCE501_E2C7_482E_868A_93979AE51962_.wvu.FilterData" localSheetId="2" hidden="1">CAPTURA!$A$6:$EK$678</definedName>
    <definedName name="Z_8D321575_F67C_4219_AEC4_B21BC6C81CA0_.wvu.FilterData" localSheetId="2" hidden="1">CAPTURA!$A$6:$EK$678</definedName>
    <definedName name="Z_8D8BE001_C296_444A_B8AC_56385A059ADB_.wvu.Cols" localSheetId="7" hidden="1">EFECTIVOS!$F:$F</definedName>
    <definedName name="Z_8D8BE001_C296_444A_B8AC_56385A059ADB_.wvu.FilterData" localSheetId="2" hidden="1">CAPTURA!$A$6:$EK$678</definedName>
    <definedName name="Z_8D8BE001_C296_444A_B8AC_56385A059ADB_.wvu.FilterData" localSheetId="5" hidden="1">'DISPERSION FISCAL'!$A$1:$G$624</definedName>
    <definedName name="Z_8D8BE001_C296_444A_B8AC_56385A059ADB_.wvu.FilterData" localSheetId="1" hidden="1">FIJOS!$B$10:$P$505</definedName>
    <definedName name="Z_8D8BE001_C296_444A_B8AC_56385A059ADB_.wvu.FilterData" localSheetId="0" hidden="1">HORAS!$A$3:$DM$3</definedName>
    <definedName name="Z_8D8BE001_C296_444A_B8AC_56385A059ADB_.wvu.FilterData" localSheetId="8" hidden="1">INCIDENCIAS!$B$5:$M$468</definedName>
    <definedName name="Z_8D8BE001_C296_444A_B8AC_56385A059ADB_.wvu.FilterData" localSheetId="6" hidden="1">VARIABLE!$A$1:$C$259</definedName>
    <definedName name="Z_8D8BE001_C296_444A_B8AC_56385A059ADB_.wvu.PrintArea" localSheetId="2" hidden="1">CAPTURA!$A$4:$DW$689</definedName>
    <definedName name="Z_8D8BE001_C296_444A_B8AC_56385A059ADB_.wvu.PrintArea" localSheetId="7" hidden="1">EFECTIVOS!$A$1:$G$9</definedName>
    <definedName name="Z_8D8BE001_C296_444A_B8AC_56385A059ADB_.wvu.PrintTitles" localSheetId="2" hidden="1">CAPTURA!$4:$6</definedName>
    <definedName name="Z_8DBA8A13_98E7_4B95_9552_F9D8A936EE13_.wvu.FilterData" localSheetId="2" hidden="1">CAPTURA!$A$6:$EK$678</definedName>
    <definedName name="Z_8DCA427F_B66F_44D4_AF83_79B12A0DC4F5_.wvu.FilterData" localSheetId="2" hidden="1">CAPTURA!$A$6:$EK$678</definedName>
    <definedName name="Z_8DE4A68C_4FBC_431E_BA8A_9E9935FAE8FE_.wvu.FilterData" localSheetId="2" hidden="1">CAPTURA!$A$6:$EK$678</definedName>
    <definedName name="Z_8E1E7B33_0597_4994_ABDF_128FFDAD3A24_.wvu.FilterData" localSheetId="2" hidden="1">CAPTURA!$A$6:$EK$678</definedName>
    <definedName name="Z_8E21677E_629D_4599_B249_5488A3A6C1A8_.wvu.FilterData" localSheetId="2" hidden="1">CAPTURA!$A$6:$EK$678</definedName>
    <definedName name="Z_8E467FAB_D12F_4E3B_AEB8_A81C84A2AD2C_.wvu.FilterData" localSheetId="2" hidden="1">CAPTURA!$A$6:$EK$678</definedName>
    <definedName name="Z_8E467FAB_D12F_4E3B_AEB8_A81C84A2AD2C_.wvu.FilterData" localSheetId="5" hidden="1">'DISPERSION FISCAL'!$A$1:$E$181</definedName>
    <definedName name="Z_8E467FAB_D12F_4E3B_AEB8_A81C84A2AD2C_.wvu.FilterData" localSheetId="1" hidden="1">FIJOS!$B$10:$P$121</definedName>
    <definedName name="Z_8E467FAB_D12F_4E3B_AEB8_A81C84A2AD2C_.wvu.FilterData" localSheetId="8" hidden="1">INCIDENCIAS!$B$5:$K$514</definedName>
    <definedName name="Z_8E467FAB_D12F_4E3B_AEB8_A81C84A2AD2C_.wvu.FilterData" localSheetId="6" hidden="1">VARIABLE!$A$1:$C$259</definedName>
    <definedName name="Z_8E467FAB_D12F_4E3B_AEB8_A81C84A2AD2C_.wvu.PrintArea" localSheetId="2" hidden="1">CAPTURA!$A$4:$DW$689</definedName>
    <definedName name="Z_8E467FAB_D12F_4E3B_AEB8_A81C84A2AD2C_.wvu.PrintTitles" localSheetId="2" hidden="1">CAPTURA!$4:$6</definedName>
    <definedName name="Z_8E87AEF5_18FA_4D6C_87F2_789D4D240F39_.wvu.FilterData" localSheetId="2" hidden="1">CAPTURA!$A$6:$EK$678</definedName>
    <definedName name="Z_8E8F5873_91A6_4803_A6E5_F692606D672F_.wvu.FilterData" localSheetId="2" hidden="1">CAPTURA!$A$6:$EK$678</definedName>
    <definedName name="Z_8EDDE666_89A6_4A7F_AFDC_BFDF4EDAA4E0_.wvu.FilterData" localSheetId="2" hidden="1">CAPTURA!$A$6:$EK$678</definedName>
    <definedName name="Z_8EDDE666_89A6_4A7F_AFDC_BFDF4EDAA4E0_.wvu.FilterData" localSheetId="1" hidden="1">FIJOS!$B$10:$P$121</definedName>
    <definedName name="Z_8F149018_5231_4378_87A2_FC4F374DE36F_.wvu.FilterData" localSheetId="2" hidden="1">CAPTURA!$A$6:$EK$678</definedName>
    <definedName name="Z_8F1FDD6C_4F78_4C2D_9979_B1EE86F9D792_.wvu.FilterData" localSheetId="2" hidden="1">CAPTURA!$A$6:$EK$678</definedName>
    <definedName name="Z_8F34591D_A3F5_4A3C_87DB_522E682F206D_.wvu.FilterData" localSheetId="2" hidden="1">CAPTURA!$A$6:$EK$678</definedName>
    <definedName name="Z_8F767115_00A2_4EE3_A8FE_CECCC09A51C3_.wvu.FilterData" localSheetId="2" hidden="1">CAPTURA!$A$6:$EK$678</definedName>
    <definedName name="Z_8F7FC48A_37D4_4BAF_9922_93DA31A9FA48_.wvu.FilterData" localSheetId="2" hidden="1">CAPTURA!$A$6:$EK$678</definedName>
    <definedName name="Z_8FCA9B0D_BADF_45B2_A682_C76CD0411AE3_.wvu.FilterData" localSheetId="2" hidden="1">CAPTURA!$A$6:$EK$678</definedName>
    <definedName name="Z_8FDA1E29_8825_40AF_A947_AB685DD9915F_.wvu.FilterData" localSheetId="2" hidden="1">CAPTURA!$A$6:$EK$678</definedName>
    <definedName name="Z_8FEF56A9_D51C_49A9_9CEE_7321C92111A2_.wvu.FilterData" localSheetId="2" hidden="1">CAPTURA!$A$6:$EK$678</definedName>
    <definedName name="Z_8FFE10DB_FCB4_43D7_A814_8AF1C2B3C29E_.wvu.FilterData" localSheetId="2" hidden="1">CAPTURA!$A$6:$EK$678</definedName>
    <definedName name="Z_902F0C49_C67F_43C3_A963_DAD69BFC6B03_.wvu.FilterData" localSheetId="2" hidden="1">CAPTURA!$A$6:$EK$678</definedName>
    <definedName name="Z_9031BF2B_0EC4_4CFE_A201_0A2F866182ED_.wvu.FilterData" localSheetId="2" hidden="1">CAPTURA!$A$6:$EK$678</definedName>
    <definedName name="Z_906226BB_93FF_497C_860C_56BE70C571CC_.wvu.FilterData" localSheetId="2" hidden="1">CAPTURA!$A$6:$EK$678</definedName>
    <definedName name="Z_90B5B84F_FF5A_48AE_BF58_1AE3C0AF6E91_.wvu.FilterData" localSheetId="2" hidden="1">CAPTURA!$A$6:$EK$678</definedName>
    <definedName name="Z_90E455AD_8C84_4F26_A14D_E1FCB8FFE02E_.wvu.FilterData" localSheetId="2" hidden="1">CAPTURA!$A$6:$EK$678</definedName>
    <definedName name="Z_9132979B_3FAF_410E_AE0A_4CC18264248F_.wvu.FilterData" localSheetId="2" hidden="1">CAPTURA!$A$6:$EK$678</definedName>
    <definedName name="Z_917C8A9F_7BF3_4AB0_8504_DCB747130472_.wvu.FilterData" localSheetId="2" hidden="1">CAPTURA!$A$6:$EK$678</definedName>
    <definedName name="Z_91A699A0_B842_45C6_BDCF_90B7EA6A3256_.wvu.FilterData" localSheetId="2" hidden="1">CAPTURA!$A$6:$EK$678</definedName>
    <definedName name="Z_9218875B_A294_40CD_B037_DABA1141A32B_.wvu.FilterData" localSheetId="2" hidden="1">CAPTURA!$A$6:$EK$678</definedName>
    <definedName name="Z_924CE652_AACB_4510_A219_271C8394E98B_.wvu.FilterData" localSheetId="2" hidden="1">CAPTURA!$A$6:$EK$678</definedName>
    <definedName name="Z_924CE652_AACB_4510_A219_271C8394E98B_.wvu.FilterData" localSheetId="5" hidden="1">'DISPERSION FISCAL'!$A$1:$E$181</definedName>
    <definedName name="Z_924CE652_AACB_4510_A219_271C8394E98B_.wvu.FilterData" localSheetId="1" hidden="1">FIJOS!$B$10:$P$121</definedName>
    <definedName name="Z_924CE652_AACB_4510_A219_271C8394E98B_.wvu.FilterData" localSheetId="8" hidden="1">INCIDENCIAS!$B$5:$K$514</definedName>
    <definedName name="Z_924CE652_AACB_4510_A219_271C8394E98B_.wvu.FilterData" localSheetId="6" hidden="1">VARIABLE!$A$1:$C$259</definedName>
    <definedName name="Z_924CE652_AACB_4510_A219_271C8394E98B_.wvu.PrintArea" localSheetId="2" hidden="1">CAPTURA!$A$4:$DW$689</definedName>
    <definedName name="Z_924CE652_AACB_4510_A219_271C8394E98B_.wvu.PrintTitles" localSheetId="2" hidden="1">CAPTURA!$4:$6</definedName>
    <definedName name="Z_9309B189_B740_4F28_AD13_3BE9F97C1D5D_.wvu.FilterData" localSheetId="2" hidden="1">CAPTURA!$A$6:$EK$678</definedName>
    <definedName name="Z_9340B6C2_987E_4CE1_BE14_A6C64C73FA6E_.wvu.FilterData" localSheetId="2" hidden="1">CAPTURA!$A$6:$EK$678</definedName>
    <definedName name="Z_935D2743_E303_4F6E_B52F_B1E0819B5B94_.wvu.FilterData" localSheetId="2" hidden="1">CAPTURA!$A$6:$EK$678</definedName>
    <definedName name="Z_935D2743_E303_4F6E_B52F_B1E0819B5B94_.wvu.FilterData" localSheetId="5" hidden="1">'DISPERSION FISCAL'!$A$1:$E$181</definedName>
    <definedName name="Z_935D2743_E303_4F6E_B52F_B1E0819B5B94_.wvu.FilterData" localSheetId="1" hidden="1">FIJOS!$B$10:$P$108</definedName>
    <definedName name="Z_935D2743_E303_4F6E_B52F_B1E0819B5B94_.wvu.FilterData" localSheetId="8" hidden="1">INCIDENCIAS!$B$5:$K$284</definedName>
    <definedName name="Z_935D2743_E303_4F6E_B52F_B1E0819B5B94_.wvu.PrintArea" localSheetId="2" hidden="1">CAPTURA!$A$4:$DW$689</definedName>
    <definedName name="Z_935D2743_E303_4F6E_B52F_B1E0819B5B94_.wvu.PrintTitles" localSheetId="2" hidden="1">CAPTURA!$4:$6</definedName>
    <definedName name="Z_940E3541_94F9_464B_8184_FE9B70363F04_.wvu.FilterData" localSheetId="2" hidden="1">CAPTURA!$A$6:$EK$678</definedName>
    <definedName name="Z_9446D43E_3BF4_4AB8_890D_58CE9FC7EBAA_.wvu.FilterData" localSheetId="2" hidden="1">CAPTURA!$A$6:$EK$678</definedName>
    <definedName name="Z_945F9052_3B96_4EFB_8F39_A6AE1EFB27B7_.wvu.FilterData" localSheetId="2" hidden="1">CAPTURA!$A$6:$EK$678</definedName>
    <definedName name="Z_9482DC56_C00F_4E15_BE8E_61AE62239ECC_.wvu.FilterData" localSheetId="2" hidden="1">CAPTURA!$A$6:$EK$678</definedName>
    <definedName name="Z_94DA484B_C447_461B_A13A_E05F77B9AB99_.wvu.FilterData" localSheetId="2" hidden="1">CAPTURA!$A$6:$EK$678</definedName>
    <definedName name="Z_94F5D766_4262_4D77_BE83_C3EEE3577B45_.wvu.FilterData" localSheetId="2" hidden="1">CAPTURA!$A$6:$EK$678</definedName>
    <definedName name="Z_94F5D766_4262_4D77_BE83_C3EEE3577B45_.wvu.FilterData" localSheetId="5" hidden="1">'DISPERSION FISCAL'!$A$1:$G$624</definedName>
    <definedName name="Z_94F5D766_4262_4D77_BE83_C3EEE3577B45_.wvu.FilterData" localSheetId="1" hidden="1">FIJOS!$B$10:$P$505</definedName>
    <definedName name="Z_94F5D766_4262_4D77_BE83_C3EEE3577B45_.wvu.FilterData" localSheetId="0" hidden="1">HORAS!$A$3:$DM$3</definedName>
    <definedName name="Z_94F5D766_4262_4D77_BE83_C3EEE3577B45_.wvu.FilterData" localSheetId="8" hidden="1">INCIDENCIAS!$B$5:$K$467</definedName>
    <definedName name="Z_94F5D766_4262_4D77_BE83_C3EEE3577B45_.wvu.FilterData" localSheetId="6" hidden="1">VARIABLE!$A$1:$C$259</definedName>
    <definedName name="Z_94F5D766_4262_4D77_BE83_C3EEE3577B45_.wvu.PrintArea" localSheetId="2" hidden="1">CAPTURA!$A$4:$DW$689</definedName>
    <definedName name="Z_94F5D766_4262_4D77_BE83_C3EEE3577B45_.wvu.PrintArea" localSheetId="7" hidden="1">EFECTIVOS!$A$1:$G$9</definedName>
    <definedName name="Z_94F5D766_4262_4D77_BE83_C3EEE3577B45_.wvu.PrintTitles" localSheetId="2" hidden="1">CAPTURA!$4:$6</definedName>
    <definedName name="Z_951DA949_88F4_4CFF_8970_67B65D67568C_.wvu.FilterData" localSheetId="2" hidden="1">CAPTURA!$A$6:$EK$678</definedName>
    <definedName name="Z_95270CB8_0203_4F3C_875C_3EF85B97EE48_.wvu.FilterData" localSheetId="2" hidden="1">CAPTURA!$A$6:$EK$678</definedName>
    <definedName name="Z_95270CB8_0203_4F3C_875C_3EF85B97EE48_.wvu.FilterData" localSheetId="5" hidden="1">'DISPERSION FISCAL'!$A$1:$G$624</definedName>
    <definedName name="Z_95270CB8_0203_4F3C_875C_3EF85B97EE48_.wvu.FilterData" localSheetId="1" hidden="1">FIJOS!$B$10:$P$505</definedName>
    <definedName name="Z_95270CB8_0203_4F3C_875C_3EF85B97EE48_.wvu.FilterData" localSheetId="0" hidden="1">HORAS!$A$3:$DM$3</definedName>
    <definedName name="Z_95270CB8_0203_4F3C_875C_3EF85B97EE48_.wvu.FilterData" localSheetId="8" hidden="1">INCIDENCIAS!$B$5:$K$494</definedName>
    <definedName name="Z_95270CB8_0203_4F3C_875C_3EF85B97EE48_.wvu.FilterData" localSheetId="6" hidden="1">VARIABLE!$A$1:$C$259</definedName>
    <definedName name="Z_95270CB8_0203_4F3C_875C_3EF85B97EE48_.wvu.PrintArea" localSheetId="2" hidden="1">CAPTURA!$A$4:$DW$689</definedName>
    <definedName name="Z_95270CB8_0203_4F3C_875C_3EF85B97EE48_.wvu.PrintTitles" localSheetId="2" hidden="1">CAPTURA!$4:$6</definedName>
    <definedName name="Z_9541E4F7_0ADB_4901_94D4_3FF5B461F6E9_.wvu.FilterData" localSheetId="8" hidden="1">INCIDENCIAS!$B$5:$K$442</definedName>
    <definedName name="Z_95813697_8D85_4AB3_9629_821B2639A7D7_.wvu.FilterData" localSheetId="2" hidden="1">CAPTURA!$A$6:$EK$678</definedName>
    <definedName name="Z_95813697_8D85_4AB3_9629_821B2639A7D7_.wvu.FilterData" localSheetId="5" hidden="1">'DISPERSION FISCAL'!$A$1:$G$624</definedName>
    <definedName name="Z_95813697_8D85_4AB3_9629_821B2639A7D7_.wvu.FilterData" localSheetId="1" hidden="1">FIJOS!$B$10:$P$505</definedName>
    <definedName name="Z_95813697_8D85_4AB3_9629_821B2639A7D7_.wvu.FilterData" localSheetId="0" hidden="1">HORAS!$A$3:$DM$3</definedName>
    <definedName name="Z_95813697_8D85_4AB3_9629_821B2639A7D7_.wvu.FilterData" localSheetId="8" hidden="1">INCIDENCIAS!$B$5:$K$467</definedName>
    <definedName name="Z_95813697_8D85_4AB3_9629_821B2639A7D7_.wvu.FilterData" localSheetId="6" hidden="1">VARIABLE!$A$1:$C$259</definedName>
    <definedName name="Z_95813697_8D85_4AB3_9629_821B2639A7D7_.wvu.PrintArea" localSheetId="2" hidden="1">CAPTURA!$A$4:$DW$689</definedName>
    <definedName name="Z_95813697_8D85_4AB3_9629_821B2639A7D7_.wvu.PrintArea" localSheetId="7" hidden="1">EFECTIVOS!$A$1:$G$9</definedName>
    <definedName name="Z_95813697_8D85_4AB3_9629_821B2639A7D7_.wvu.PrintTitles" localSheetId="2" hidden="1">CAPTURA!$4:$6</definedName>
    <definedName name="Z_958ACB1C_2CB8_40E8_AA0F_F297503CE752_.wvu.FilterData" localSheetId="1" hidden="1">FIJOS!$B$10:$P$108</definedName>
    <definedName name="Z_95A46C80_E403_4BF5_BBD4_C93A0E86C463_.wvu.FilterData" localSheetId="2" hidden="1">CAPTURA!$A$6:$EK$678</definedName>
    <definedName name="Z_95A46C80_E403_4BF5_BBD4_C93A0E86C463_.wvu.FilterData" localSheetId="5" hidden="1">'DISPERSION FISCAL'!$A$1:$E$181</definedName>
    <definedName name="Z_95A46C80_E403_4BF5_BBD4_C93A0E86C463_.wvu.FilterData" localSheetId="1" hidden="1">FIJOS!$B$10:$P$108</definedName>
    <definedName name="Z_95A46C80_E403_4BF5_BBD4_C93A0E86C463_.wvu.FilterData" localSheetId="8" hidden="1">INCIDENCIAS!$B$5:$K$442</definedName>
    <definedName name="Z_95A46C80_E403_4BF5_BBD4_C93A0E86C463_.wvu.FilterData" localSheetId="6" hidden="1">VARIABLE!$A$1:$C$259</definedName>
    <definedName name="Z_95A46C80_E403_4BF5_BBD4_C93A0E86C463_.wvu.PrintArea" localSheetId="2" hidden="1">CAPTURA!$A$4:$DW$689</definedName>
    <definedName name="Z_95A46C80_E403_4BF5_BBD4_C93A0E86C463_.wvu.PrintTitles" localSheetId="2" hidden="1">CAPTURA!$4:$6</definedName>
    <definedName name="Z_95A7343A_3D5A_4209_BA3B_57A1F49221DB_.wvu.FilterData" localSheetId="2" hidden="1">CAPTURA!$A$6:$EK$678</definedName>
    <definedName name="Z_95C2A7CA_E9CE_40EB_B3D7_78F729861CB8_.wvu.FilterData" localSheetId="2" hidden="1">CAPTURA!$A$6:$EK$678</definedName>
    <definedName name="Z_95C2A7CA_E9CE_40EB_B3D7_78F729861CB8_.wvu.FilterData" localSheetId="1" hidden="1">FIJOS!$B$10:$P$505</definedName>
    <definedName name="Z_95C49644_6024_46A9_852C_E643239D8018_.wvu.FilterData" localSheetId="2" hidden="1">CAPTURA!$A$6:$EK$678</definedName>
    <definedName name="Z_95C63F8D_7303_44D2_B7F5_A58EECA06E73_.wvu.FilterData" localSheetId="2" hidden="1">CAPTURA!$A$6:$EK$678</definedName>
    <definedName name="Z_95D8681E_547F_4777_9520_9B648F28B42C_.wvu.FilterData" localSheetId="2" hidden="1">CAPTURA!$A$6:$EK$678</definedName>
    <definedName name="Z_95DB2C98_6ACB_42CD_A2D1_97C3B984148E_.wvu.FilterData" localSheetId="2" hidden="1">CAPTURA!$A$6:$EK$678</definedName>
    <definedName name="Z_9632A10E_A080_4F9D_B4B4_D1436EACC34C_.wvu.FilterData" localSheetId="2" hidden="1">CAPTURA!$A$6:$EK$678</definedName>
    <definedName name="Z_9632A10E_A080_4F9D_B4B4_D1436EACC34C_.wvu.FilterData" localSheetId="1" hidden="1">FIJOS!$B$10:$P$505</definedName>
    <definedName name="Z_96401F50_8B44_4FF5_B58B_1E5355C81256_.wvu.FilterData" localSheetId="2" hidden="1">CAPTURA!$A$6:$EK$678</definedName>
    <definedName name="Z_965E9531_5F54_4BFF_BA8C_13B1BD0618EA_.wvu.FilterData" localSheetId="2" hidden="1">CAPTURA!$A$6:$EK$678</definedName>
    <definedName name="Z_96D37C2D_F4A9_4DD0_BB71_A8EED7B057BF_.wvu.FilterData" localSheetId="2" hidden="1">CAPTURA!$A$6:$EK$678</definedName>
    <definedName name="Z_96D66CD7_C8C4_481D_A32D_CEEFAB3ACA9A_.wvu.FilterData" localSheetId="2" hidden="1">CAPTURA!$A$6:$EK$678</definedName>
    <definedName name="Z_96E9712C_7C55_4A78_85BA_6899810A6519_.wvu.FilterData" localSheetId="2" hidden="1">CAPTURA!$A$6:$EK$678</definedName>
    <definedName name="Z_972F544F_D69F_4A19_AFAF_D5B1F3017A6A_.wvu.FilterData" localSheetId="2" hidden="1">CAPTURA!$A$6:$EK$678</definedName>
    <definedName name="Z_973ECD18_2EDB_4728_ACA3_BBE9BE53D3A6_.wvu.FilterData" localSheetId="2" hidden="1">CAPTURA!$A$6:$EK$678</definedName>
    <definedName name="Z_97721D01_6B43_4B0E_8775_A4A79B770197_.wvu.FilterData" localSheetId="2" hidden="1">CAPTURA!$A$6:$EK$678</definedName>
    <definedName name="Z_97921880_78A0_4F00_A61E_A3B878EB9ED8_.wvu.FilterData" localSheetId="2" hidden="1">CAPTURA!$A$6:$EK$678</definedName>
    <definedName name="Z_97C6DAE7_F30A_4457_B9DB_12B80BDC635E_.wvu.FilterData" localSheetId="2" hidden="1">CAPTURA!$A$6:$EK$678</definedName>
    <definedName name="Z_97DF07F1_25D7_4119_A010_46D1C65CB0DE_.wvu.FilterData" localSheetId="2" hidden="1">CAPTURA!$A$6:$EK$678</definedName>
    <definedName name="Z_97ECCA50_7A5F_407E_B425_EEC234ED6D95_.wvu.FilterData" localSheetId="2" hidden="1">CAPTURA!$A$6:$EK$678</definedName>
    <definedName name="Z_97F958D3_6AA1_476A_88B1_8C1F83434BCE_.wvu.FilterData" localSheetId="2" hidden="1">CAPTURA!$A$6:$EK$678</definedName>
    <definedName name="Z_9848C973_3582_4190_B77E_DFC055777DDC_.wvu.FilterData" localSheetId="2" hidden="1">CAPTURA!$A$6:$EK$678</definedName>
    <definedName name="Z_9885AF22_CA1E_499B_A788_17D3850A59A6_.wvu.FilterData" localSheetId="2" hidden="1">CAPTURA!$A$6:$EK$678</definedName>
    <definedName name="Z_989311CA_E85C_442D_8A50_8F2F7B623080_.wvu.FilterData" localSheetId="2" hidden="1">CAPTURA!$A$6:$EK$678</definedName>
    <definedName name="Z_98A29BCB_FD69_45BD_B54B_8825A09A6718_.wvu.FilterData" localSheetId="2" hidden="1">CAPTURA!$A$6:$EK$678</definedName>
    <definedName name="Z_98A6C96D_D7D4_4C93_906F_AE5E6FC1E4F8_.wvu.FilterData" localSheetId="2" hidden="1">CAPTURA!$A$6:$EK$678</definedName>
    <definedName name="Z_98AD0C8E_3E27_41E5_B19C_7FF834F109A6_.wvu.FilterData" localSheetId="2" hidden="1">CAPTURA!$A$6:$EK$678</definedName>
    <definedName name="Z_98D1AF32_F9D8_4514_B37D_A151DAF5770E_.wvu.FilterData" localSheetId="2" hidden="1">CAPTURA!$A$6:$EK$678</definedName>
    <definedName name="Z_98E5AE77_FA85_4764_A0F4_00D449B8C3E3_.wvu.FilterData" localSheetId="2" hidden="1">CAPTURA!$A$6:$EK$678</definedName>
    <definedName name="Z_9901301B_65A4_4A07_BC64_80ECC53D9AD2_.wvu.FilterData" localSheetId="2" hidden="1">CAPTURA!$A$6:$EK$678</definedName>
    <definedName name="Z_993916C2_7EB3_4E71_A352_134ACDA06CEE_.wvu.FilterData" localSheetId="2" hidden="1">CAPTURA!$A$6:$EK$678</definedName>
    <definedName name="Z_9944A803_3BF5_4EAE_8167_150CEF6BFC1C_.wvu.FilterData" localSheetId="2" hidden="1">CAPTURA!$A$6:$EK$678</definedName>
    <definedName name="Z_99CE9642_F975_444C_95E0_83A25BC1ADE3_.wvu.FilterData" localSheetId="2" hidden="1">CAPTURA!$A$6:$EK$678</definedName>
    <definedName name="Z_99EC5E10_2FE4_4DC1_B4B8_7F513E4D55C9_.wvu.FilterData" localSheetId="2" hidden="1">CAPTURA!$A$6:$EK$678</definedName>
    <definedName name="Z_99ECCB55_39B0_48BE_B593_FC7C238F074B_.wvu.FilterData" localSheetId="2" hidden="1">CAPTURA!$A$6:$EK$678</definedName>
    <definedName name="Z_99F8AE6A_BA5D_4981_9A7D_8363D30624DE_.wvu.FilterData" localSheetId="2" hidden="1">CAPTURA!$A$6:$EK$678</definedName>
    <definedName name="Z_9A328B78_F934_4A9D_AC49_3375B17F3F00_.wvu.FilterData" localSheetId="2" hidden="1">CAPTURA!$A$6:$EK$678</definedName>
    <definedName name="Z_9A49C2BC_A5DB_4A60_8891_D076385F8576_.wvu.FilterData" localSheetId="2" hidden="1">CAPTURA!$A$6:$EK$678</definedName>
    <definedName name="Z_9A682F24_28A5_4E10_9268_C86091E3557D_.wvu.FilterData" localSheetId="2" hidden="1">CAPTURA!$A$6:$EK$678</definedName>
    <definedName name="Z_9ACAF988_25BE_4FC9_BC23_398D8C8600BD_.wvu.FilterData" localSheetId="2" hidden="1">CAPTURA!$A$6:$EK$678</definedName>
    <definedName name="Z_9AE4086A_4C5B_4F62_AB0C_BB1C7AFBE5CC_.wvu.FilterData" localSheetId="2" hidden="1">CAPTURA!$A$6:$EK$678</definedName>
    <definedName name="Z_9AEE0DA7_6DB6_466E_A5B7_F26D2844235D_.wvu.FilterData" localSheetId="2" hidden="1">CAPTURA!$A$6:$EK$678</definedName>
    <definedName name="Z_9AF8B0EA_9C2E_4F1D_BB4A_6942A853EB4F_.wvu.FilterData" localSheetId="2" hidden="1">CAPTURA!$A$6:$EK$678</definedName>
    <definedName name="Z_9B0B00E9_90C2_4510_B30C_C89A01A3AABA_.wvu.FilterData" localSheetId="2" hidden="1">CAPTURA!$A$6:$EK$678</definedName>
    <definedName name="Z_9B0B00E9_90C2_4510_B30C_C89A01A3AABA_.wvu.FilterData" localSheetId="5" hidden="1">'DISPERSION FISCAL'!$A$1:$E$181</definedName>
    <definedName name="Z_9B0B00E9_90C2_4510_B30C_C89A01A3AABA_.wvu.FilterData" localSheetId="1" hidden="1">FIJOS!$B$10:$P$121</definedName>
    <definedName name="Z_9B0B00E9_90C2_4510_B30C_C89A01A3AABA_.wvu.FilterData" localSheetId="6" hidden="1">VARIABLE!$A$1:$C$259</definedName>
    <definedName name="Z_9B5A4009_69AC_4F74_AF5D_F6E637CEAE61_.wvu.FilterData" localSheetId="2" hidden="1">CAPTURA!$A$6:$EK$678</definedName>
    <definedName name="Z_9BB7F7A7_BE94_4B6C_BFCD_8A9F4403E92A_.wvu.FilterData" localSheetId="2" hidden="1">CAPTURA!$A$6:$EK$678</definedName>
    <definedName name="Z_9BC09F4A_B3EA_4697_816A_2777982502DF_.wvu.FilterData" localSheetId="2" hidden="1">CAPTURA!$A$6:$EK$678</definedName>
    <definedName name="Z_9BF805C1_5C5B_4D6B_B478_0E44FE75C945_.wvu.FilterData" localSheetId="2" hidden="1">CAPTURA!$A$6:$EK$678</definedName>
    <definedName name="Z_9C6206C7_98D6_4475_9019_5299AF074939_.wvu.FilterData" localSheetId="2" hidden="1">CAPTURA!$A$6:$EK$678</definedName>
    <definedName name="Z_9C70FEB4_C716_4A56_A933_5FFE6DB56F04_.wvu.FilterData" localSheetId="2" hidden="1">CAPTURA!$A$6:$EK$678</definedName>
    <definedName name="Z_9C70FEB4_C716_4A56_A933_5FFE6DB56F04_.wvu.FilterData" localSheetId="5" hidden="1">'DISPERSION FISCAL'!$A$1:$G$624</definedName>
    <definedName name="Z_9C70FEB4_C716_4A56_A933_5FFE6DB56F04_.wvu.FilterData" localSheetId="1" hidden="1">FIJOS!$B$10:$P$505</definedName>
    <definedName name="Z_9C70FEB4_C716_4A56_A933_5FFE6DB56F04_.wvu.FilterData" localSheetId="0" hidden="1">HORAS!$A$3:$DM$3</definedName>
    <definedName name="Z_9C70FEB4_C716_4A56_A933_5FFE6DB56F04_.wvu.FilterData" localSheetId="8" hidden="1">INCIDENCIAS!$B$5:$K$494</definedName>
    <definedName name="Z_9C70FEB4_C716_4A56_A933_5FFE6DB56F04_.wvu.FilterData" localSheetId="6" hidden="1">VARIABLE!$A$1:$C$259</definedName>
    <definedName name="Z_9C70FEB4_C716_4A56_A933_5FFE6DB56F04_.wvu.PrintArea" localSheetId="2" hidden="1">CAPTURA!$A$4:$DW$689</definedName>
    <definedName name="Z_9C70FEB4_C716_4A56_A933_5FFE6DB56F04_.wvu.PrintTitles" localSheetId="2" hidden="1">CAPTURA!$4:$6</definedName>
    <definedName name="Z_9C92796A_7AC9_4E34_9E20_C9C71CC0631A_.wvu.FilterData" localSheetId="2" hidden="1">CAPTURA!$A$6:$EK$678</definedName>
    <definedName name="Z_9CB795B3_4D10_4FDA_B282_B41D1A406B73_.wvu.FilterData" localSheetId="2" hidden="1">CAPTURA!$A$6:$EK$678</definedName>
    <definedName name="Z_9D0E8795_3950_4BDC_8160_2429780520CA_.wvu.FilterData" localSheetId="2" hidden="1">CAPTURA!$A$6:$EK$678</definedName>
    <definedName name="Z_9D17DA60_C841_41F1_8655_416299780ADA_.wvu.FilterData" localSheetId="2" hidden="1">CAPTURA!$A$6:$EK$678</definedName>
    <definedName name="Z_9D17DA60_C841_41F1_8655_416299780ADA_.wvu.FilterData" localSheetId="1" hidden="1">FIJOS!$B$10:$P$496</definedName>
    <definedName name="Z_9D4B80C2_6A0E_42CA_934F_D47E7BEBEF9A_.wvu.FilterData" localSheetId="2" hidden="1">CAPTURA!$A$6:$EK$678</definedName>
    <definedName name="Z_9D4D0238_C0F3_433A_A3BF_9EEC3C4C640C_.wvu.FilterData" localSheetId="2" hidden="1">CAPTURA!$A$6:$EK$678</definedName>
    <definedName name="Z_9DA7923E_AA45_4E3F_892B_D86BDB401F78_.wvu.FilterData" localSheetId="2" hidden="1">CAPTURA!$A$6:$EK$678</definedName>
    <definedName name="Z_9DA7923E_AA45_4E3F_892B_D86BDB401F78_.wvu.FilterData" localSheetId="5" hidden="1">'DISPERSION FISCAL'!$A$1:$E$181</definedName>
    <definedName name="Z_9DA7923E_AA45_4E3F_892B_D86BDB401F78_.wvu.FilterData" localSheetId="1" hidden="1">FIJOS!$B$10:$P$231</definedName>
    <definedName name="Z_9DA7923E_AA45_4E3F_892B_D86BDB401F78_.wvu.FilterData" localSheetId="8" hidden="1">INCIDENCIAS!$B$5:$K$499</definedName>
    <definedName name="Z_9DA7923E_AA45_4E3F_892B_D86BDB401F78_.wvu.FilterData" localSheetId="6" hidden="1">VARIABLE!$A$1:$C$259</definedName>
    <definedName name="Z_9DA7923E_AA45_4E3F_892B_D86BDB401F78_.wvu.PrintArea" localSheetId="2" hidden="1">CAPTURA!$A$4:$DW$689</definedName>
    <definedName name="Z_9DA7923E_AA45_4E3F_892B_D86BDB401F78_.wvu.PrintTitles" localSheetId="2" hidden="1">CAPTURA!$4:$6</definedName>
    <definedName name="Z_9E1083CC_41DE_4609_8F8E_8E526620C0A7_.wvu.FilterData" localSheetId="2" hidden="1">CAPTURA!$A$6:$EK$678</definedName>
    <definedName name="Z_9E15C161_893C_4489_852C_20805DE7ACAC_.wvu.FilterData" localSheetId="2" hidden="1">CAPTURA!$A$6:$EK$678</definedName>
    <definedName name="Z_9E244129_7282_4A29_BDDE_8FB25E4A4459_.wvu.FilterData" localSheetId="2" hidden="1">CAPTURA!$A$6:$EK$678</definedName>
    <definedName name="Z_9E29B641_4C5C_4FB9_8FF5_B97BA1839401_.wvu.FilterData" localSheetId="2" hidden="1">CAPTURA!$A$6:$EK$678</definedName>
    <definedName name="Z_9E395FCF_449A_4612_8805_824760BD2E59_.wvu.FilterData" localSheetId="2" hidden="1">CAPTURA!$A$6:$EK$678</definedName>
    <definedName name="Z_9E68D1AF_73D2_46B3_9434_28F992491F00_.wvu.FilterData" localSheetId="2" hidden="1">CAPTURA!$A$6:$EK$678</definedName>
    <definedName name="Z_9E920476_696A_48BC_A84D_B818B79231E2_.wvu.FilterData" localSheetId="2" hidden="1">CAPTURA!$A$6:$EK$678</definedName>
    <definedName name="Z_9EB7565A_AAF3_4081_A1CE_C1953BE3AC93_.wvu.FilterData" localSheetId="2" hidden="1">CAPTURA!$A$6:$EK$678</definedName>
    <definedName name="Z_9EDB9413_4A96_4E80_9876_2E66401C23C6_.wvu.FilterData" localSheetId="2" hidden="1">CAPTURA!$A$6:$EK$678</definedName>
    <definedName name="Z_9EF3785C_4699_4C9E_A462_BA23D523D5DF_.wvu.FilterData" localSheetId="2" hidden="1">CAPTURA!$A$6:$EK$678</definedName>
    <definedName name="Z_9F1E1533_FF3A_4CD8_B3AC_B9F006468F13_.wvu.FilterData" localSheetId="2" hidden="1">CAPTURA!$A$6:$EK$678</definedName>
    <definedName name="Z_9F1E1533_FF3A_4CD8_B3AC_B9F006468F13_.wvu.FilterData" localSheetId="1" hidden="1">FIJOS!$B$10:$P$505</definedName>
    <definedName name="Z_9F296531_EE32_4B3A_AD93_82C2D58F41AF_.wvu.FilterData" localSheetId="2" hidden="1">CAPTURA!$A$6:$EK$678</definedName>
    <definedName name="Z_9F4E2D5D_8753_4D0A_ACE4_A7E5D1B7E15D_.wvu.FilterData" localSheetId="2" hidden="1">CAPTURA!$A$6:$EK$678</definedName>
    <definedName name="Z_9F74972C_5B12_4D41_89BB_DC246BB78401_.wvu.FilterData" localSheetId="2" hidden="1">CAPTURA!$A$6:$EK$678</definedName>
    <definedName name="Z_9F898083_E107_44EB_85E6_CB28B116C1A6_.wvu.FilterData" localSheetId="2" hidden="1">CAPTURA!$A$6:$EK$678</definedName>
    <definedName name="Z_9F8D8AFB_6CF3_49E9_ACD6_2D1791A86FDC_.wvu.FilterData" localSheetId="2" hidden="1">CAPTURA!$A$6:$EK$678</definedName>
    <definedName name="Z_9F8D8AFB_6CF3_49E9_ACD6_2D1791A86FDC_.wvu.FilterData" localSheetId="5" hidden="1">'DISPERSION FISCAL'!$A$1:$E$181</definedName>
    <definedName name="Z_9F8D8AFB_6CF3_49E9_ACD6_2D1791A86FDC_.wvu.FilterData" localSheetId="1" hidden="1">FIJOS!$B$10:$P$108</definedName>
    <definedName name="Z_9F8D8AFB_6CF3_49E9_ACD6_2D1791A86FDC_.wvu.FilterData" localSheetId="8" hidden="1">INCIDENCIAS!$B$5:$K$442</definedName>
    <definedName name="Z_9F8D8AFB_6CF3_49E9_ACD6_2D1791A86FDC_.wvu.FilterData" localSheetId="6" hidden="1">VARIABLE!$A$1:$C$259</definedName>
    <definedName name="Z_9F8D8AFB_6CF3_49E9_ACD6_2D1791A86FDC_.wvu.PrintArea" localSheetId="2" hidden="1">CAPTURA!$A$4:$DW$689</definedName>
    <definedName name="Z_9F8D8AFB_6CF3_49E9_ACD6_2D1791A86FDC_.wvu.PrintTitles" localSheetId="2" hidden="1">CAPTURA!$4:$6</definedName>
    <definedName name="Z_9FAAF4A8_A383_41F4_8C6A_C41EF7AC9229_.wvu.FilterData" localSheetId="2" hidden="1">CAPTURA!$A$6:$EK$678</definedName>
    <definedName name="Z_9FD3DC85_CD72_4E74_AD17_2B6616D4D6DC_.wvu.FilterData" localSheetId="2" hidden="1">CAPTURA!$A$6:$EK$678</definedName>
    <definedName name="Z_A02759A3_07B2_4C8F_AF58_B27D91F3FD70_.wvu.FilterData" localSheetId="2" hidden="1">CAPTURA!$A$6:$EK$678</definedName>
    <definedName name="Z_A0664271_5105_4CDC_B301_05C551009BA8_.wvu.FilterData" localSheetId="2" hidden="1">CAPTURA!$A$6:$EK$678</definedName>
    <definedName name="Z_A06CB54D_E55C_4977_8A73_59D70A666185_.wvu.FilterData" localSheetId="2" hidden="1">CAPTURA!$A$6:$EK$678</definedName>
    <definedName name="Z_A0737FA1_A9C7_43E3_8384_D0411C9D80C9_.wvu.FilterData" localSheetId="2" hidden="1">CAPTURA!$A$6:$EK$678</definedName>
    <definedName name="Z_A0A16E9B_9323_4E71_996F_10BE05E6683C_.wvu.FilterData" localSheetId="2" hidden="1">CAPTURA!$A$6:$EK$678</definedName>
    <definedName name="Z_A0BE3788_832F_4519_92CC_EE3A0F525D70_.wvu.FilterData" localSheetId="2" hidden="1">CAPTURA!$A$6:$EK$678</definedName>
    <definedName name="Z_A0F6ABC8_F31B_49D9_AB4F_DF657FEF980C_.wvu.FilterData" localSheetId="2" hidden="1">CAPTURA!$A$6:$EK$678</definedName>
    <definedName name="Z_A15E3165_78A3_4A7A_B672_099B3A421A1E_.wvu.FilterData" localSheetId="2" hidden="1">CAPTURA!$A$6:$EK$678</definedName>
    <definedName name="Z_A18ADF66_BBBE_4266_BB17_3232D61FA8BE_.wvu.FilterData" localSheetId="2" hidden="1">CAPTURA!$A$6:$EK$678</definedName>
    <definedName name="Z_A18ADF66_BBBE_4266_BB17_3232D61FA8BE_.wvu.FilterData" localSheetId="1" hidden="1">FIJOS!$B$10:$P$496</definedName>
    <definedName name="Z_A1E1C60B_C2F8_41B0_A5D7_ABBC09C4AAEB_.wvu.FilterData" localSheetId="2" hidden="1">CAPTURA!$A$6:$EK$678</definedName>
    <definedName name="Z_A226D198_66B2_45D3_A434_0B3B95CAB0F6_.wvu.FilterData" localSheetId="2" hidden="1">CAPTURA!$A$6:$EK$678</definedName>
    <definedName name="Z_A22A06CB_1B07_446B_9C7F_78A9032CD8C1_.wvu.FilterData" localSheetId="2" hidden="1">CAPTURA!$A$6:$EK$678</definedName>
    <definedName name="Z_A22A06CB_1B07_446B_9C7F_78A9032CD8C1_.wvu.FilterData" localSheetId="5" hidden="1">'DISPERSION FISCAL'!$A$1:$E$181</definedName>
    <definedName name="Z_A22A06CB_1B07_446B_9C7F_78A9032CD8C1_.wvu.FilterData" localSheetId="1" hidden="1">FIJOS!$B$10:$P$108</definedName>
    <definedName name="Z_A22A06CB_1B07_446B_9C7F_78A9032CD8C1_.wvu.FilterData" localSheetId="8" hidden="1">INCIDENCIAS!$B$5:$K$284</definedName>
    <definedName name="Z_A22A06CB_1B07_446B_9C7F_78A9032CD8C1_.wvu.PrintArea" localSheetId="2" hidden="1">CAPTURA!$A$4:$DW$689</definedName>
    <definedName name="Z_A22A06CB_1B07_446B_9C7F_78A9032CD8C1_.wvu.PrintTitles" localSheetId="2" hidden="1">CAPTURA!$4:$6</definedName>
    <definedName name="Z_A2529ECD_F694_4395_BE11_764A184DB798_.wvu.FilterData" localSheetId="2" hidden="1">CAPTURA!$A$6:$EK$678</definedName>
    <definedName name="Z_A2E087D1_9C84_454E_97ED_EC9323F33F99_.wvu.FilterData" localSheetId="2" hidden="1">CAPTURA!$A$6:$EK$678</definedName>
    <definedName name="Z_A2E308D8_D35E_46A3_AF43_6A72C143BB55_.wvu.FilterData" localSheetId="2" hidden="1">CAPTURA!$A$6:$EK$678</definedName>
    <definedName name="Z_A2E308D8_D35E_46A3_AF43_6A72C143BB55_.wvu.FilterData" localSheetId="5" hidden="1">'DISPERSION FISCAL'!$A$1:$E$181</definedName>
    <definedName name="Z_A2E308D8_D35E_46A3_AF43_6A72C143BB55_.wvu.FilterData" localSheetId="1" hidden="1">FIJOS!$B$10:$P$108</definedName>
    <definedName name="Z_A2E308D8_D35E_46A3_AF43_6A72C143BB55_.wvu.FilterData" localSheetId="8" hidden="1">INCIDENCIAS!$B$5:$K$284</definedName>
    <definedName name="Z_A2E308D8_D35E_46A3_AF43_6A72C143BB55_.wvu.PrintArea" localSheetId="2" hidden="1">CAPTURA!$A$4:$DW$689</definedName>
    <definedName name="Z_A2E308D8_D35E_46A3_AF43_6A72C143BB55_.wvu.PrintTitles" localSheetId="2" hidden="1">CAPTURA!$4:$6</definedName>
    <definedName name="Z_A325A29A_BDB7_476F_A469_5178D07CC90A_.wvu.FilterData" localSheetId="2" hidden="1">CAPTURA!$A$6:$EK$678</definedName>
    <definedName name="Z_A362EED9_2CC6_400C_AFAB_E3D898FD3568_.wvu.FilterData" localSheetId="2" hidden="1">CAPTURA!$A$6:$EK$678</definedName>
    <definedName name="Z_A3A3DCA8_D677_4E56_BE6D_2B82997BA385_.wvu.FilterData" localSheetId="2" hidden="1">CAPTURA!$A$6:$EK$678</definedName>
    <definedName name="Z_A3A3DCA8_D677_4E56_BE6D_2B82997BA385_.wvu.FilterData" localSheetId="5" hidden="1">'DISPERSION FISCAL'!$A$1:$G$624</definedName>
    <definedName name="Z_A3A3DCA8_D677_4E56_BE6D_2B82997BA385_.wvu.FilterData" localSheetId="1" hidden="1">FIJOS!$B$10:$P$505</definedName>
    <definedName name="Z_A3A3DCA8_D677_4E56_BE6D_2B82997BA385_.wvu.FilterData" localSheetId="0" hidden="1">HORAS!$A$3:$DM$3</definedName>
    <definedName name="Z_A3A3DCA8_D677_4E56_BE6D_2B82997BA385_.wvu.FilterData" localSheetId="8" hidden="1">INCIDENCIAS!$B$5:$K$494</definedName>
    <definedName name="Z_A3A3DCA8_D677_4E56_BE6D_2B82997BA385_.wvu.FilterData" localSheetId="6" hidden="1">VARIABLE!$A$1:$C$259</definedName>
    <definedName name="Z_A3A3DCA8_D677_4E56_BE6D_2B82997BA385_.wvu.PrintArea" localSheetId="2" hidden="1">CAPTURA!$A$4:$DW$689</definedName>
    <definedName name="Z_A3A3DCA8_D677_4E56_BE6D_2B82997BA385_.wvu.PrintTitles" localSheetId="2" hidden="1">CAPTURA!$4:$6</definedName>
    <definedName name="Z_A3A78364_9C7D_4D3D_897F_1173E36D813C_.wvu.FilterData" localSheetId="2" hidden="1">CAPTURA!$A$6:$EK$678</definedName>
    <definedName name="Z_A3AEC587_4891_45E0_9A4C_E7D927300F17_.wvu.FilterData" localSheetId="2" hidden="1">CAPTURA!$A$6:$EK$678</definedName>
    <definedName name="Z_A3C0FD1E_D6D6_4C30_B334_679490230CF3_.wvu.FilterData" localSheetId="2" hidden="1">CAPTURA!$A$6:$EK$678</definedName>
    <definedName name="Z_A453AA5D_7811_4747_AF46_53BC702C4EFE_.wvu.FilterData" localSheetId="2" hidden="1">CAPTURA!$A$6:$EK$678</definedName>
    <definedName name="Z_A4676C4D_C38E_4006_8EA9_F21428FF9942_.wvu.FilterData" localSheetId="2" hidden="1">CAPTURA!$A$6:$EK$678</definedName>
    <definedName name="Z_A4DACBBC_EBB8_4F11_8D71_6509E0E3EB08_.wvu.FilterData" localSheetId="2" hidden="1">CAPTURA!$A$6:$EK$678</definedName>
    <definedName name="Z_A5043639_8258_4427_8586_3049EE1AC120_.wvu.FilterData" localSheetId="2" hidden="1">CAPTURA!$A$6:$EK$678</definedName>
    <definedName name="Z_A50B0619_D122_4D9C_87FB_DFF96099E25D_.wvu.FilterData" localSheetId="2" hidden="1">CAPTURA!$A$6:$EK$678</definedName>
    <definedName name="Z_A556DE55_62AF_4743_A2FF_D653D489388A_.wvu.FilterData" localSheetId="2" hidden="1">CAPTURA!$A$6:$EK$678</definedName>
    <definedName name="Z_A56B12AE_F77B_4305_98E2_58CF96CBDA91_.wvu.FilterData" localSheetId="2" hidden="1">CAPTURA!$A$6:$EK$678</definedName>
    <definedName name="Z_A56D0B35_240E_42B9_BBA5_C3FEEA339007_.wvu.FilterData" localSheetId="2" hidden="1">CAPTURA!$A$6:$EK$678</definedName>
    <definedName name="Z_A5910EEB_83A2_4133_A0F0_10502B6255F6_.wvu.FilterData" localSheetId="2" hidden="1">CAPTURA!$A$6:$EK$678</definedName>
    <definedName name="Z_A5B032B4_DC2D_494B_A18A_8E52AE3E5C19_.wvu.FilterData" localSheetId="2" hidden="1">CAPTURA!$A$6:$EK$678</definedName>
    <definedName name="Z_A5B9C9CC_6DDB_46B1_828B_77EFEC13D56B_.wvu.FilterData" localSheetId="2" hidden="1">CAPTURA!$A$6:$EK$678</definedName>
    <definedName name="Z_A5CBB904_D467_4EEA_937D_6CF993BCC9F7_.wvu.FilterData" localSheetId="2" hidden="1">CAPTURA!$A$6:$EK$678</definedName>
    <definedName name="Z_A5CBB904_D467_4EEA_937D_6CF993BCC9F7_.wvu.FilterData" localSheetId="5" hidden="1">'DISPERSION FISCAL'!$A$1:$E$181</definedName>
    <definedName name="Z_A5CBB904_D467_4EEA_937D_6CF993BCC9F7_.wvu.FilterData" localSheetId="1" hidden="1">FIJOS!$B$10:$P$108</definedName>
    <definedName name="Z_A5CBB904_D467_4EEA_937D_6CF993BCC9F7_.wvu.FilterData" localSheetId="8" hidden="1">INCIDENCIAS!$B$5:$K$514</definedName>
    <definedName name="Z_A5CBB904_D467_4EEA_937D_6CF993BCC9F7_.wvu.FilterData" localSheetId="6" hidden="1">VARIABLE!$A$1:$C$259</definedName>
    <definedName name="Z_A5CBB904_D467_4EEA_937D_6CF993BCC9F7_.wvu.PrintArea" localSheetId="2" hidden="1">CAPTURA!$A$4:$DW$689</definedName>
    <definedName name="Z_A5CBB904_D467_4EEA_937D_6CF993BCC9F7_.wvu.PrintTitles" localSheetId="2" hidden="1">CAPTURA!$4:$6</definedName>
    <definedName name="Z_A5D74192_63BF_4D42_9776_53F66CC7307D_.wvu.FilterData" localSheetId="2" hidden="1">CAPTURA!$A$6:$EK$678</definedName>
    <definedName name="Z_A60CDFFB_B56B_4A81_BECB_04F0D23D908C_.wvu.FilterData" localSheetId="2" hidden="1">CAPTURA!$A$6:$EK$678</definedName>
    <definedName name="Z_A60CDFFB_B56B_4A81_BECB_04F0D23D908C_.wvu.FilterData" localSheetId="5" hidden="1">'DISPERSION FISCAL'!$A$1:$E$181</definedName>
    <definedName name="Z_A60CDFFB_B56B_4A81_BECB_04F0D23D908C_.wvu.FilterData" localSheetId="1" hidden="1">FIJOS!$B$10:$P$228</definedName>
    <definedName name="Z_A60CDFFB_B56B_4A81_BECB_04F0D23D908C_.wvu.FilterData" localSheetId="8" hidden="1">INCIDENCIAS!$B$5:$K$507</definedName>
    <definedName name="Z_A60CDFFB_B56B_4A81_BECB_04F0D23D908C_.wvu.FilterData" localSheetId="6" hidden="1">VARIABLE!$A$1:$C$259</definedName>
    <definedName name="Z_A60CDFFB_B56B_4A81_BECB_04F0D23D908C_.wvu.PrintArea" localSheetId="2" hidden="1">CAPTURA!$A$4:$DW$689</definedName>
    <definedName name="Z_A60CDFFB_B56B_4A81_BECB_04F0D23D908C_.wvu.PrintTitles" localSheetId="2" hidden="1">CAPTURA!$4:$6</definedName>
    <definedName name="Z_A61022B5_5B96_44D7_B0EF_42CB1A847545_.wvu.FilterData" localSheetId="2" hidden="1">CAPTURA!$A$6:$EK$678</definedName>
    <definedName name="Z_A656EE66_6B7B_41B4_8DE5_D6424ECA178F_.wvu.FilterData" localSheetId="2" hidden="1">CAPTURA!$A$6:$EK$678</definedName>
    <definedName name="Z_A656EE66_6B7B_41B4_8DE5_D6424ECA178F_.wvu.FilterData" localSheetId="5" hidden="1">'DISPERSION FISCAL'!$A$1:$E$181</definedName>
    <definedName name="Z_A656EE66_6B7B_41B4_8DE5_D6424ECA178F_.wvu.FilterData" localSheetId="1" hidden="1">FIJOS!$B$10:$P$108</definedName>
    <definedName name="Z_A656EE66_6B7B_41B4_8DE5_D6424ECA178F_.wvu.FilterData" localSheetId="8" hidden="1">INCIDENCIAS!$B$5:$K$514</definedName>
    <definedName name="Z_A656EE66_6B7B_41B4_8DE5_D6424ECA178F_.wvu.FilterData" localSheetId="6" hidden="1">VARIABLE!$A$1:$C$259</definedName>
    <definedName name="Z_A656EE66_6B7B_41B4_8DE5_D6424ECA178F_.wvu.PrintArea" localSheetId="2" hidden="1">CAPTURA!$A$4:$DW$689</definedName>
    <definedName name="Z_A656EE66_6B7B_41B4_8DE5_D6424ECA178F_.wvu.PrintTitles" localSheetId="2" hidden="1">CAPTURA!$4:$6</definedName>
    <definedName name="Z_A6A88B7F_50BA_4E7A_8F7B_5D8ADFC66D44_.wvu.FilterData" localSheetId="2" hidden="1">CAPTURA!$A$6:$EK$678</definedName>
    <definedName name="Z_A6A88B7F_50BA_4E7A_8F7B_5D8ADFC66D44_.wvu.FilterData" localSheetId="5" hidden="1">'DISPERSION FISCAL'!$A$1:$E$181</definedName>
    <definedName name="Z_A6A88B7F_50BA_4E7A_8F7B_5D8ADFC66D44_.wvu.FilterData" localSheetId="1" hidden="1">FIJOS!$B$10:$P$121</definedName>
    <definedName name="Z_A6A88B7F_50BA_4E7A_8F7B_5D8ADFC66D44_.wvu.FilterData" localSheetId="8" hidden="1">INCIDENCIAS!$B$5:$K$514</definedName>
    <definedName name="Z_A6A88B7F_50BA_4E7A_8F7B_5D8ADFC66D44_.wvu.FilterData" localSheetId="6" hidden="1">VARIABLE!$A$1:$C$259</definedName>
    <definedName name="Z_A6A88B7F_50BA_4E7A_8F7B_5D8ADFC66D44_.wvu.PrintArea" localSheetId="2" hidden="1">CAPTURA!$A$4:$DW$689</definedName>
    <definedName name="Z_A6A88B7F_50BA_4E7A_8F7B_5D8ADFC66D44_.wvu.PrintTitles" localSheetId="2" hidden="1">CAPTURA!$4:$6</definedName>
    <definedName name="Z_A6B42265_95AC_4F12_BB71_6D018297F898_.wvu.FilterData" localSheetId="2" hidden="1">CAPTURA!$A$6:$EK$678</definedName>
    <definedName name="Z_A6BC2067_CACA_45F4_83B9_7D4C1F5C19DB_.wvu.FilterData" localSheetId="2" hidden="1">CAPTURA!$A$6:$EK$678</definedName>
    <definedName name="Z_A70BC28C_C299_47A2_8199_D27741A22845_.wvu.FilterData" localSheetId="2" hidden="1">CAPTURA!$A$6:$EK$678</definedName>
    <definedName name="Z_A713BFB1_8C8B_4A21_9F7B_40CBC28F34F1_.wvu.FilterData" localSheetId="2" hidden="1">CAPTURA!$A$6:$EK$678</definedName>
    <definedName name="Z_A7247387_BCEB_4100_96EC_A552886E6B87_.wvu.FilterData" localSheetId="2" hidden="1">CAPTURA!$A$6:$EK$678</definedName>
    <definedName name="Z_A7389868_4BE9_4634_9E21_432CD0924D4C_.wvu.FilterData" localSheetId="2" hidden="1">CAPTURA!$A$6:$EK$678</definedName>
    <definedName name="Z_A75391B2_A81E_4A16_B22A_00E2C1582817_.wvu.FilterData" localSheetId="2" hidden="1">CAPTURA!$A$6:$EK$678</definedName>
    <definedName name="Z_A80F2012_9B08_4E7F_822F_4E9860C021DD_.wvu.FilterData" localSheetId="2" hidden="1">CAPTURA!$A$6:$EK$678</definedName>
    <definedName name="Z_A80F2012_9B08_4E7F_822F_4E9860C021DD_.wvu.FilterData" localSheetId="5" hidden="1">'DISPERSION FISCAL'!$A$1:$G$624</definedName>
    <definedName name="Z_A80F2012_9B08_4E7F_822F_4E9860C021DD_.wvu.FilterData" localSheetId="8" hidden="1">INCIDENCIAS!$B$5:$K$373</definedName>
    <definedName name="Z_A80F2012_9B08_4E7F_822F_4E9860C021DD_.wvu.FilterData" localSheetId="6" hidden="1">VARIABLE!$A$1:$C$259</definedName>
    <definedName name="Z_A8242A7D_71F2_4734_9238_6DF0CA20BE13_.wvu.FilterData" localSheetId="2" hidden="1">CAPTURA!$A$6:$EK$678</definedName>
    <definedName name="Z_A8242A7D_71F2_4734_9238_6DF0CA20BE13_.wvu.FilterData" localSheetId="5" hidden="1">'DISPERSION FISCAL'!$A$1:$G$624</definedName>
    <definedName name="Z_A8242A7D_71F2_4734_9238_6DF0CA20BE13_.wvu.FilterData" localSheetId="1" hidden="1">FIJOS!$B$10:$P$505</definedName>
    <definedName name="Z_A8242A7D_71F2_4734_9238_6DF0CA20BE13_.wvu.FilterData" localSheetId="0" hidden="1">HORAS!$A$3:$DM$3</definedName>
    <definedName name="Z_A8242A7D_71F2_4734_9238_6DF0CA20BE13_.wvu.FilterData" localSheetId="8" hidden="1">INCIDENCIAS!$B$5:$K$467</definedName>
    <definedName name="Z_A8242A7D_71F2_4734_9238_6DF0CA20BE13_.wvu.FilterData" localSheetId="6" hidden="1">VARIABLE!$A$1:$C$259</definedName>
    <definedName name="Z_A8242A7D_71F2_4734_9238_6DF0CA20BE13_.wvu.PrintArea" localSheetId="2" hidden="1">CAPTURA!$A$4:$DW$689</definedName>
    <definedName name="Z_A8242A7D_71F2_4734_9238_6DF0CA20BE13_.wvu.PrintArea" localSheetId="7" hidden="1">EFECTIVOS!$A$1:$G$9</definedName>
    <definedName name="Z_A8242A7D_71F2_4734_9238_6DF0CA20BE13_.wvu.PrintTitles" localSheetId="2" hidden="1">CAPTURA!$4:$6</definedName>
    <definedName name="Z_A82C7DEA_9C34_4AAC_8B82_9114ECD690E0_.wvu.FilterData" localSheetId="2" hidden="1">CAPTURA!$A$6:$EK$678</definedName>
    <definedName name="Z_A82C7DEA_9C34_4AAC_8B82_9114ECD690E0_.wvu.FilterData" localSheetId="1" hidden="1">FIJOS!$B$10:$P$308</definedName>
    <definedName name="Z_A835392D_622E_4DAC_9986_219EC99F2442_.wvu.FilterData" localSheetId="2" hidden="1">CAPTURA!$A$6:$EK$678</definedName>
    <definedName name="Z_A83D1E56_997B_4117_8AE2_6867D5699250_.wvu.FilterData" localSheetId="2" hidden="1">CAPTURA!$A$6:$EK$678</definedName>
    <definedName name="Z_A87C05B9_871D_454C_A984_BD6C118B2468_.wvu.FilterData" localSheetId="2" hidden="1">CAPTURA!$A$6:$EK$678</definedName>
    <definedName name="Z_A8A528FE_1C4F_4E45_8A31_9EF2A2EEDDB7_.wvu.FilterData" localSheetId="2" hidden="1">CAPTURA!$A$6:$EK$678</definedName>
    <definedName name="Z_A8A6A285_F915_4818_9870_51D5A4739F95_.wvu.FilterData" localSheetId="2" hidden="1">CAPTURA!$A$6:$EK$678</definedName>
    <definedName name="Z_A8B40A82_EBA6_4CC8_BE06_99316A78057B_.wvu.FilterData" localSheetId="2" hidden="1">CAPTURA!$A$6:$EK$678</definedName>
    <definedName name="Z_A8BCBFE8_6A1E_4872_B017_B3136BC584DB_.wvu.FilterData" localSheetId="2" hidden="1">CAPTURA!$A$6:$EK$678</definedName>
    <definedName name="Z_A8BCBFE8_6A1E_4872_B017_B3136BC584DB_.wvu.FilterData" localSheetId="5" hidden="1">'DISPERSION FISCAL'!$A$1:$G$624</definedName>
    <definedName name="Z_A8BCBFE8_6A1E_4872_B017_B3136BC584DB_.wvu.FilterData" localSheetId="1" hidden="1">FIJOS!$B$10:$P$505</definedName>
    <definedName name="Z_A8BCBFE8_6A1E_4872_B017_B3136BC584DB_.wvu.FilterData" localSheetId="0" hidden="1">HORAS!$A$3:$DM$3</definedName>
    <definedName name="Z_A8BCBFE8_6A1E_4872_B017_B3136BC584DB_.wvu.FilterData" localSheetId="8" hidden="1">INCIDENCIAS!$B$5:$M$468</definedName>
    <definedName name="Z_A8BCBFE8_6A1E_4872_B017_B3136BC584DB_.wvu.FilterData" localSheetId="6" hidden="1">VARIABLE!$A$1:$C$259</definedName>
    <definedName name="Z_A8BCBFE8_6A1E_4872_B017_B3136BC584DB_.wvu.PrintArea" localSheetId="2" hidden="1">CAPTURA!$A$4:$DW$689</definedName>
    <definedName name="Z_A8BCBFE8_6A1E_4872_B017_B3136BC584DB_.wvu.PrintArea" localSheetId="7" hidden="1">EFECTIVOS!$A$1:$G$9</definedName>
    <definedName name="Z_A8BCBFE8_6A1E_4872_B017_B3136BC584DB_.wvu.PrintTitles" localSheetId="2" hidden="1">CAPTURA!$4:$6</definedName>
    <definedName name="Z_A8CAAB07_358B_436B_B841_630FF1A91F80_.wvu.FilterData" localSheetId="2" hidden="1">CAPTURA!$A$6:$EK$678</definedName>
    <definedName name="Z_A8F1B0B8_770E_4D87_A2C9_B8E2C9E45B87_.wvu.FilterData" localSheetId="2" hidden="1">CAPTURA!$A$6:$EK$678</definedName>
    <definedName name="Z_A91CEE09_6920_45C0_8F31_D7AFC7DC0248_.wvu.FilterData" localSheetId="2" hidden="1">CAPTURA!$A$6:$EK$678</definedName>
    <definedName name="Z_A91CEE09_6920_45C0_8F31_D7AFC7DC0248_.wvu.FilterData" localSheetId="1" hidden="1">FIJOS!$B$10:$P$108</definedName>
    <definedName name="Z_A9502D28_3227_4694_B3E8_8911F7DAE792_.wvu.FilterData" localSheetId="2" hidden="1">CAPTURA!$A$6:$EK$678</definedName>
    <definedName name="Z_A9502D28_3227_4694_B3E8_8911F7DAE792_.wvu.FilterData" localSheetId="1" hidden="1">FIJOS!$B$10:$P$320</definedName>
    <definedName name="Z_A961C257_1E0B_4507_A743_1D43269C59A6_.wvu.FilterData" localSheetId="2" hidden="1">CAPTURA!$A$6:$EK$678</definedName>
    <definedName name="Z_A96BE8E2_DA7E_44D1_AAB2_C3A0D2307349_.wvu.FilterData" localSheetId="2" hidden="1">CAPTURA!$A$6:$EK$678</definedName>
    <definedName name="Z_A9B67A61_A440_45DD_9C45_714D32798631_.wvu.FilterData" localSheetId="2" hidden="1">CAPTURA!$A$6:$EK$678</definedName>
    <definedName name="Z_A9DD249B_C75C_4545_9031_E481E986C7A9_.wvu.FilterData" localSheetId="2" hidden="1">CAPTURA!$A$6:$EK$678</definedName>
    <definedName name="Z_A9DD249B_C75C_4545_9031_E481E986C7A9_.wvu.FilterData" localSheetId="1" hidden="1">FIJOS!$B$10:$P$122</definedName>
    <definedName name="Z_AA422C72_5B07_41C3_9DEB_DDB329CB472F_.wvu.FilterData" localSheetId="2" hidden="1">CAPTURA!$A$6:$EK$678</definedName>
    <definedName name="Z_AA6D3E87_4EAE_4D01_981A_111F9382D7EA_.wvu.FilterData" localSheetId="2" hidden="1">CAPTURA!$A$6:$EK$678</definedName>
    <definedName name="Z_AA788EDD_E413_4367_BE0C_3021FA941D1F_.wvu.FilterData" localSheetId="2" hidden="1">CAPTURA!$A$6:$EK$678</definedName>
    <definedName name="Z_AA819712_F2C6_4EFB_A8A9_3E3BC69F8E97_.wvu.FilterData" localSheetId="2" hidden="1">CAPTURA!$A$6:$EK$678</definedName>
    <definedName name="Z_AAAFC8D5_102F_4E6E_A5C9_0DB140A713F5_.wvu.FilterData" localSheetId="2" hidden="1">CAPTURA!$A$6:$EK$678</definedName>
    <definedName name="Z_AB1F3BDB_CCDF_49CF_A349_18FF8360A70F_.wvu.FilterData" localSheetId="2" hidden="1">CAPTURA!$A$6:$EK$678</definedName>
    <definedName name="Z_AB1F3BDB_CCDF_49CF_A349_18FF8360A70F_.wvu.FilterData" localSheetId="5" hidden="1">'DISPERSION FISCAL'!$A$1:$E$181</definedName>
    <definedName name="Z_AB1F3BDB_CCDF_49CF_A349_18FF8360A70F_.wvu.FilterData" localSheetId="1" hidden="1">FIJOS!$B$10:$P$108</definedName>
    <definedName name="Z_AB1F3BDB_CCDF_49CF_A349_18FF8360A70F_.wvu.FilterData" localSheetId="8" hidden="1">INCIDENCIAS!$B$5:$K$442</definedName>
    <definedName name="Z_AB1F3BDB_CCDF_49CF_A349_18FF8360A70F_.wvu.FilterData" localSheetId="6" hidden="1">VARIABLE!$A$1:$C$259</definedName>
    <definedName name="Z_AB1F3BDB_CCDF_49CF_A349_18FF8360A70F_.wvu.PrintArea" localSheetId="2" hidden="1">CAPTURA!$A$4:$DW$689</definedName>
    <definedName name="Z_AB1F3BDB_CCDF_49CF_A349_18FF8360A70F_.wvu.PrintTitles" localSheetId="2" hidden="1">CAPTURA!$4:$6</definedName>
    <definedName name="Z_AB279C1B_E1FB_4D71_A30A_30F903ADCB9F_.wvu.FilterData" localSheetId="2" hidden="1">CAPTURA!$A$6:$EK$678</definedName>
    <definedName name="Z_AB4ED536_1D2D_4777_8A49_F654C21E7A81_.wvu.FilterData" localSheetId="2" hidden="1">CAPTURA!$A$6:$EK$678</definedName>
    <definedName name="Z_AB87E2E1_D684_4FB8_8A27_D33E852D4746_.wvu.FilterData" localSheetId="2" hidden="1">CAPTURA!$A$6:$EK$678</definedName>
    <definedName name="Z_AB89128F_F571_4A70_B6FF_E0684ED1F79B_.wvu.FilterData" localSheetId="2" hidden="1">CAPTURA!$A$6:$EK$678</definedName>
    <definedName name="Z_AB89128F_F571_4A70_B6FF_E0684ED1F79B_.wvu.FilterData" localSheetId="5" hidden="1">'DISPERSION FISCAL'!$A$1:$E$181</definedName>
    <definedName name="Z_AB89128F_F571_4A70_B6FF_E0684ED1F79B_.wvu.FilterData" localSheetId="1" hidden="1">FIJOS!$B$10:$P$108</definedName>
    <definedName name="Z_AB89128F_F571_4A70_B6FF_E0684ED1F79B_.wvu.FilterData" localSheetId="8" hidden="1">INCIDENCIAS!$B$5:$K$513</definedName>
    <definedName name="Z_AB89128F_F571_4A70_B6FF_E0684ED1F79B_.wvu.FilterData" localSheetId="6" hidden="1">VARIABLE!$A$1:$C$259</definedName>
    <definedName name="Z_AB89128F_F571_4A70_B6FF_E0684ED1F79B_.wvu.PrintArea" localSheetId="2" hidden="1">CAPTURA!$A$4:$DW$689</definedName>
    <definedName name="Z_AB89128F_F571_4A70_B6FF_E0684ED1F79B_.wvu.PrintTitles" localSheetId="2" hidden="1">CAPTURA!$4:$6</definedName>
    <definedName name="Z_AB8946B4_B7DF_4D5D_840C_E04688C89827_.wvu.FilterData" localSheetId="2" hidden="1">CAPTURA!$A$6:$EK$678</definedName>
    <definedName name="Z_ABA4BBA3_6366_4BD9_8066_18AA503AFC6A_.wvu.FilterData" localSheetId="2" hidden="1">CAPTURA!$A$6:$EK$678</definedName>
    <definedName name="Z_ABA4BBA3_6366_4BD9_8066_18AA503AFC6A_.wvu.FilterData" localSheetId="5" hidden="1">'DISPERSION FISCAL'!$A$1:$E$181</definedName>
    <definedName name="Z_ABA4BBA3_6366_4BD9_8066_18AA503AFC6A_.wvu.FilterData" localSheetId="1" hidden="1">FIJOS!$B$10:$P$108</definedName>
    <definedName name="Z_ABA4BBA3_6366_4BD9_8066_18AA503AFC6A_.wvu.FilterData" localSheetId="8" hidden="1">INCIDENCIAS!$B$5:$K$513</definedName>
    <definedName name="Z_ABA4BBA3_6366_4BD9_8066_18AA503AFC6A_.wvu.FilterData" localSheetId="6" hidden="1">VARIABLE!$A$1:$C$259</definedName>
    <definedName name="Z_ABA4BBA3_6366_4BD9_8066_18AA503AFC6A_.wvu.PrintArea" localSheetId="2" hidden="1">CAPTURA!$A$4:$DW$689</definedName>
    <definedName name="Z_ABA4BBA3_6366_4BD9_8066_18AA503AFC6A_.wvu.PrintTitles" localSheetId="2" hidden="1">CAPTURA!$4:$6</definedName>
    <definedName name="Z_ABB35247_C035_486C_A2EA_FC7C8C96A2EF_.wvu.FilterData" localSheetId="2" hidden="1">CAPTURA!$A$6:$EK$678</definedName>
    <definedName name="Z_ABB64686_4848_4F11_857E_CF3659F2C4DC_.wvu.FilterData" localSheetId="2" hidden="1">CAPTURA!$A$6:$EK$678</definedName>
    <definedName name="Z_ABC8BDE1_8BC6_444E_992D_166069A63C9D_.wvu.FilterData" localSheetId="2" hidden="1">CAPTURA!$A$6:$EK$678</definedName>
    <definedName name="Z_ABCC97CE_3E15_4099_B819_EC00AE011316_.wvu.FilterData" localSheetId="2" hidden="1">CAPTURA!$A$6:$EK$678</definedName>
    <definedName name="Z_ABCC97CE_3E15_4099_B819_EC00AE011316_.wvu.FilterData" localSheetId="5" hidden="1">'DISPERSION FISCAL'!$A$1:$E$181</definedName>
    <definedName name="Z_ABCC97CE_3E15_4099_B819_EC00AE011316_.wvu.FilterData" localSheetId="1" hidden="1">FIJOS!$B$10:$P$108</definedName>
    <definedName name="Z_ABCC97CE_3E15_4099_B819_EC00AE011316_.wvu.FilterData" localSheetId="8" hidden="1">INCIDENCIAS!$B$5:$K$514</definedName>
    <definedName name="Z_ABCC97CE_3E15_4099_B819_EC00AE011316_.wvu.FilterData" localSheetId="6" hidden="1">VARIABLE!$A$1:$C$259</definedName>
    <definedName name="Z_ABCC97CE_3E15_4099_B819_EC00AE011316_.wvu.PrintArea" localSheetId="2" hidden="1">CAPTURA!$A$4:$DW$689</definedName>
    <definedName name="Z_ABCC97CE_3E15_4099_B819_EC00AE011316_.wvu.PrintTitles" localSheetId="2" hidden="1">CAPTURA!$4:$6</definedName>
    <definedName name="Z_ABDCFA84_C629_47FE_9FA7_28B040AD8446_.wvu.FilterData" localSheetId="2" hidden="1">CAPTURA!$A$6:$EK$678</definedName>
    <definedName name="Z_AC378218_61BD_441F_B6BA_C364865DAB90_.wvu.FilterData" localSheetId="8" hidden="1">INCIDENCIAS!$B$5:$K$502</definedName>
    <definedName name="Z_AC591D5F_2314_4E4F_A518_5FB51221B543_.wvu.FilterData" localSheetId="2" hidden="1">CAPTURA!$A$6:$EK$678</definedName>
    <definedName name="Z_AC6946E3_5FCE_4C58_A341_B3D751BE0407_.wvu.FilterData" localSheetId="2" hidden="1">CAPTURA!$A$6:$EK$678</definedName>
    <definedName name="Z_AC698405_4F78_47D0_BF31_C5308D574AF7_.wvu.FilterData" localSheetId="2" hidden="1">CAPTURA!$A$6:$EK$678</definedName>
    <definedName name="Z_AC698405_4F78_47D0_BF31_C5308D574AF7_.wvu.FilterData" localSheetId="8" hidden="1">INCIDENCIAS!$B$5:$K$353</definedName>
    <definedName name="Z_ACA70867_D7D3_4F49_BA8E_45F24461F841_.wvu.FilterData" localSheetId="2" hidden="1">CAPTURA!$A$6:$EK$678</definedName>
    <definedName name="Z_ACB74056_99EC_488F_BA7D_137EF73EEFD6_.wvu.FilterData" localSheetId="2" hidden="1">CAPTURA!$A$6:$EK$678</definedName>
    <definedName name="Z_AD03154D_1431_41C1_BB5D_9BABDD62DB45_.wvu.FilterData" localSheetId="2" hidden="1">CAPTURA!$A$6:$EK$678</definedName>
    <definedName name="Z_AD3246D9_D3B3_4C39_A9BE_52B8734FF772_.wvu.FilterData" localSheetId="2" hidden="1">CAPTURA!$A$6:$EK$678</definedName>
    <definedName name="Z_AD47EECD_D3CC_4069_AD48_B14B9674098A_.wvu.FilterData" localSheetId="2" hidden="1">CAPTURA!$A$6:$EK$678</definedName>
    <definedName name="Z_AD844DDF_B10F_4D94_8BB0_4CA76EA24D06_.wvu.FilterData" localSheetId="2" hidden="1">CAPTURA!$A$6:$EK$678</definedName>
    <definedName name="Z_AD8F2A59_63E4_4EC1_9306_2679ABF157DA_.wvu.FilterData" localSheetId="2" hidden="1">CAPTURA!$A$6:$EK$678</definedName>
    <definedName name="Z_ADDAB61D_9B6B_482E_B4D2_A842C4A5D2AC_.wvu.FilterData" localSheetId="2" hidden="1">CAPTURA!$A$6:$EK$678</definedName>
    <definedName name="Z_ADDAB61D_9B6B_482E_B4D2_A842C4A5D2AC_.wvu.FilterData" localSheetId="5" hidden="1">'DISPERSION FISCAL'!$A$1:$G$624</definedName>
    <definedName name="Z_ADDAB61D_9B6B_482E_B4D2_A842C4A5D2AC_.wvu.FilterData" localSheetId="1" hidden="1">FIJOS!$B$10:$P$505</definedName>
    <definedName name="Z_ADDAB61D_9B6B_482E_B4D2_A842C4A5D2AC_.wvu.FilterData" localSheetId="0" hidden="1">HORAS!$A$3:$DM$3</definedName>
    <definedName name="Z_ADDAB61D_9B6B_482E_B4D2_A842C4A5D2AC_.wvu.FilterData" localSheetId="8" hidden="1">INCIDENCIAS!$B$5:$K$467</definedName>
    <definedName name="Z_ADDAB61D_9B6B_482E_B4D2_A842C4A5D2AC_.wvu.FilterData" localSheetId="6" hidden="1">VARIABLE!$A$1:$C$259</definedName>
    <definedName name="Z_ADDAB61D_9B6B_482E_B4D2_A842C4A5D2AC_.wvu.PrintArea" localSheetId="2" hidden="1">CAPTURA!$A$4:$DW$689</definedName>
    <definedName name="Z_ADDAB61D_9B6B_482E_B4D2_A842C4A5D2AC_.wvu.PrintArea" localSheetId="7" hidden="1">EFECTIVOS!$A$1:$G$9</definedName>
    <definedName name="Z_ADDAB61D_9B6B_482E_B4D2_A842C4A5D2AC_.wvu.PrintTitles" localSheetId="2" hidden="1">CAPTURA!$4:$6</definedName>
    <definedName name="Z_ADF119E9_E8BC_4678_B56E_A6281D52ADCD_.wvu.FilterData" localSheetId="2" hidden="1">CAPTURA!$A$6:$EK$678</definedName>
    <definedName name="Z_ADFB74FE_E606_452E_B30F_EDE06F62D4D4_.wvu.FilterData" localSheetId="2" hidden="1">CAPTURA!$A$6:$EK$678</definedName>
    <definedName name="Z_AE184613_10F5_4D86_B2E8_AAF8DC88E735_.wvu.FilterData" localSheetId="2" hidden="1">CAPTURA!$A$6:$EK$678</definedName>
    <definedName name="Z_AE184613_10F5_4D86_B2E8_AAF8DC88E735_.wvu.FilterData" localSheetId="5" hidden="1">'DISPERSION FISCAL'!$A$1:$G$624</definedName>
    <definedName name="Z_AE184613_10F5_4D86_B2E8_AAF8DC88E735_.wvu.FilterData" localSheetId="1" hidden="1">FIJOS!$B$10:$P$505</definedName>
    <definedName name="Z_AE184613_10F5_4D86_B2E8_AAF8DC88E735_.wvu.FilterData" localSheetId="0" hidden="1">HORAS!$A$3:$DM$3</definedName>
    <definedName name="Z_AE184613_10F5_4D86_B2E8_AAF8DC88E735_.wvu.FilterData" localSheetId="8" hidden="1">INCIDENCIAS!$B$5:$K$494</definedName>
    <definedName name="Z_AE184613_10F5_4D86_B2E8_AAF8DC88E735_.wvu.FilterData" localSheetId="6" hidden="1">VARIABLE!$A$1:$C$259</definedName>
    <definedName name="Z_AE184613_10F5_4D86_B2E8_AAF8DC88E735_.wvu.PrintArea" localSheetId="2" hidden="1">CAPTURA!$A$4:$DW$689</definedName>
    <definedName name="Z_AE184613_10F5_4D86_B2E8_AAF8DC88E735_.wvu.PrintTitles" localSheetId="2" hidden="1">CAPTURA!$4:$6</definedName>
    <definedName name="Z_AE4BA807_1CE0_4613_BD8D_E92313C0FE9F_.wvu.FilterData" localSheetId="2" hidden="1">CAPTURA!$A$6:$EK$678</definedName>
    <definedName name="Z_AE4FE18B_C6AB_4C75_8D4C_C945B0BCA600_.wvu.FilterData" localSheetId="2" hidden="1">CAPTURA!$A$6:$EK$678</definedName>
    <definedName name="Z_AE613080_2843_47DC_807B_8F047A8E95EA_.wvu.FilterData" localSheetId="2" hidden="1">CAPTURA!$A$6:$EK$678</definedName>
    <definedName name="Z_AE7359A5_D0F4_4AB0_BF22_025561B7F253_.wvu.FilterData" localSheetId="2" hidden="1">CAPTURA!$A$6:$EK$678</definedName>
    <definedName name="Z_AE7359A5_D0F4_4AB0_BF22_025561B7F253_.wvu.FilterData" localSheetId="5" hidden="1">'DISPERSION FISCAL'!$A$1:$G$624</definedName>
    <definedName name="Z_AE7359A5_D0F4_4AB0_BF22_025561B7F253_.wvu.FilterData" localSheetId="1" hidden="1">FIJOS!$B$10:$P$505</definedName>
    <definedName name="Z_AE7359A5_D0F4_4AB0_BF22_025561B7F253_.wvu.FilterData" localSheetId="6" hidden="1">VARIABLE!$A$1:$C$259</definedName>
    <definedName name="Z_AE87905D_B1CF_4586_943A_3E77856D8F9E_.wvu.FilterData" localSheetId="2" hidden="1">CAPTURA!$A$6:$EK$678</definedName>
    <definedName name="Z_AE9373EA_6533_4C66_A374_53EF238FC83F_.wvu.FilterData" localSheetId="2" hidden="1">CAPTURA!$A$6:$EK$678</definedName>
    <definedName name="Z_AEE01A07_A484_44FD_A706_121990E88F2E_.wvu.FilterData" localSheetId="2" hidden="1">CAPTURA!$A$6:$EK$678</definedName>
    <definedName name="Z_AEE91309_C24A_4521_B60C_9825D291A616_.wvu.FilterData" localSheetId="2" hidden="1">CAPTURA!$A$6:$EK$678</definedName>
    <definedName name="Z_AF5F480A_B5F8_4DE5_8B80_3DF0AB5B8261_.wvu.FilterData" localSheetId="2" hidden="1">CAPTURA!$A$6:$EK$678</definedName>
    <definedName name="Z_AF5F480A_B5F8_4DE5_8B80_3DF0AB5B8261_.wvu.FilterData" localSheetId="5" hidden="1">'DISPERSION FISCAL'!$A$1:$G$624</definedName>
    <definedName name="Z_AF5F480A_B5F8_4DE5_8B80_3DF0AB5B8261_.wvu.FilterData" localSheetId="1" hidden="1">FIJOS!$B$10:$P$505</definedName>
    <definedName name="Z_AF5F480A_B5F8_4DE5_8B80_3DF0AB5B8261_.wvu.FilterData" localSheetId="0" hidden="1">HORAS!$A$3:$DM$3</definedName>
    <definedName name="Z_AF5F480A_B5F8_4DE5_8B80_3DF0AB5B8261_.wvu.FilterData" localSheetId="8" hidden="1">INCIDENCIAS!$B$5:$K$501</definedName>
    <definedName name="Z_AF5F480A_B5F8_4DE5_8B80_3DF0AB5B8261_.wvu.FilterData" localSheetId="6" hidden="1">VARIABLE!$A$1:$C$259</definedName>
    <definedName name="Z_AF5F480A_B5F8_4DE5_8B80_3DF0AB5B8261_.wvu.PrintArea" localSheetId="2" hidden="1">CAPTURA!$A$4:$DW$689</definedName>
    <definedName name="Z_AF5F480A_B5F8_4DE5_8B80_3DF0AB5B8261_.wvu.PrintTitles" localSheetId="2" hidden="1">CAPTURA!$4:$6</definedName>
    <definedName name="Z_AF72F636_7924_4082_8C80_D3382C2B69DD_.wvu.FilterData" localSheetId="2" hidden="1">CAPTURA!$A$6:$EK$678</definedName>
    <definedName name="Z_AF848E94_94E6_4C55_9B0A_8BFC7A6ADBFC_.wvu.FilterData" localSheetId="2" hidden="1">CAPTURA!$A$6:$EK$678</definedName>
    <definedName name="Z_AF89AF26_9A01_4138_9B33_2DD19136B021_.wvu.FilterData" localSheetId="2" hidden="1">CAPTURA!$A$6:$EK$678</definedName>
    <definedName name="Z_AF9F8D7E_C0E1_4D0C_BEC2_587C7E77D6D6_.wvu.FilterData" localSheetId="2" hidden="1">CAPTURA!$A$6:$EK$678</definedName>
    <definedName name="Z_AFC0D66E_825D_4FA2_B27A_47C27AEF738D_.wvu.FilterData" localSheetId="2" hidden="1">CAPTURA!$A$6:$EK$678</definedName>
    <definedName name="Z_B03167A4_8EB0_4AF8_B42F_7211D9EC40C1_.wvu.FilterData" localSheetId="2" hidden="1">CAPTURA!$A$6:$EK$678</definedName>
    <definedName name="Z_B06CE8B1_6D3A_4C28_A584_E12FBBC0CCAD_.wvu.FilterData" localSheetId="2" hidden="1">CAPTURA!$A$6:$EK$678</definedName>
    <definedName name="Z_B0A71164_A93A_46CF_AFEC_00873B11FBBB_.wvu.FilterData" localSheetId="2" hidden="1">CAPTURA!$A$6:$EK$678</definedName>
    <definedName name="Z_B11FACF7_66B9_4934_A9C8_26906896BADD_.wvu.FilterData" localSheetId="2" hidden="1">CAPTURA!$A$6:$EK$678</definedName>
    <definedName name="Z_B136BCA1_5677_48C5_896B_1C70C670B4EA_.wvu.FilterData" localSheetId="2" hidden="1">CAPTURA!$A$6:$EK$678</definedName>
    <definedName name="Z_B18076D3_78F0_4C9D_8467_36C23CD183DB_.wvu.FilterData" localSheetId="2" hidden="1">CAPTURA!$A$6:$EK$678</definedName>
    <definedName name="Z_B18EB841_0748_4063_8CAE_415BD21C835E_.wvu.FilterData" localSheetId="2" hidden="1">CAPTURA!$A$6:$EK$678</definedName>
    <definedName name="Z_B19A7AD4_1956_4929_AA46_88BBC0AB3A3E_.wvu.FilterData" localSheetId="2" hidden="1">CAPTURA!$A$6:$EK$678</definedName>
    <definedName name="Z_B1DE50BD_9238_4AD6_ADD8_04DC19B4261F_.wvu.FilterData" localSheetId="2" hidden="1">CAPTURA!$A$6:$EK$678</definedName>
    <definedName name="Z_B221E0B9_C60A_4F7C_B4F3_970A0182EFED_.wvu.FilterData" localSheetId="2" hidden="1">CAPTURA!$A$6:$EK$678</definedName>
    <definedName name="Z_B22A67A2_8F37_45E8_8B56_74A50BCAB6B8_.wvu.FilterData" localSheetId="2" hidden="1">CAPTURA!$A$6:$EK$678</definedName>
    <definedName name="Z_B2753759_3103_4852_B3DE_98D2C00007CE_.wvu.FilterData" localSheetId="2" hidden="1">CAPTURA!$A$6:$EK$678</definedName>
    <definedName name="Z_B27C9707_6803_4B65_9C60_A9AD6D72D556_.wvu.FilterData" localSheetId="2" hidden="1">CAPTURA!$A$6:$EK$678</definedName>
    <definedName name="Z_B27C9707_6803_4B65_9C60_A9AD6D72D556_.wvu.FilterData" localSheetId="5" hidden="1">'DISPERSION FISCAL'!$A$1:$E$181</definedName>
    <definedName name="Z_B27C9707_6803_4B65_9C60_A9AD6D72D556_.wvu.FilterData" localSheetId="1" hidden="1">FIJOS!$B$10:$P$121</definedName>
    <definedName name="Z_B27C9707_6803_4B65_9C60_A9AD6D72D556_.wvu.FilterData" localSheetId="8" hidden="1">INCIDENCIAS!$B$5:$K$514</definedName>
    <definedName name="Z_B27C9707_6803_4B65_9C60_A9AD6D72D556_.wvu.FilterData" localSheetId="6" hidden="1">VARIABLE!$A$1:$C$259</definedName>
    <definedName name="Z_B27C9707_6803_4B65_9C60_A9AD6D72D556_.wvu.PrintArea" localSheetId="2" hidden="1">CAPTURA!$A$4:$DW$689</definedName>
    <definedName name="Z_B27C9707_6803_4B65_9C60_A9AD6D72D556_.wvu.PrintTitles" localSheetId="2" hidden="1">CAPTURA!$4:$6</definedName>
    <definedName name="Z_B285EBCE_6DF1_4828_A59B_148A658E54CA_.wvu.FilterData" localSheetId="2" hidden="1">CAPTURA!$A$6:$EK$678</definedName>
    <definedName name="Z_B297E462_0C22_4048_B51F_BFA7C4848074_.wvu.FilterData" localSheetId="2" hidden="1">CAPTURA!$A$6:$EK$678</definedName>
    <definedName name="Z_B2AF5EA3_DEEA_45A1_90A9_EA92B33ED1D1_.wvu.FilterData" localSheetId="2" hidden="1">CAPTURA!$A$6:$EK$678</definedName>
    <definedName name="Z_B2AF5EA3_DEEA_45A1_90A9_EA92B33ED1D1_.wvu.FilterData" localSheetId="8" hidden="1">INCIDENCIAS!$B$5:$K$353</definedName>
    <definedName name="Z_B2C2ABD4_0977_480E_B048_E40FA773568B_.wvu.FilterData" localSheetId="2" hidden="1">CAPTURA!$A$6:$EK$678</definedName>
    <definedName name="Z_B2EE7E15_EDA0_45D7_8B96_8110BEB4C00E_.wvu.FilterData" localSheetId="2" hidden="1">CAPTURA!$A$6:$EK$678</definedName>
    <definedName name="Z_B323BC7F_2957_4B6E_B4A3_FCBA1543D0BC_.wvu.FilterData" localSheetId="2" hidden="1">CAPTURA!$A$6:$EK$678</definedName>
    <definedName name="Z_B3291BDF_5187_4387_9787_86657385300F_.wvu.FilterData" localSheetId="1" hidden="1">FIJOS!$B$10:$P$108</definedName>
    <definedName name="Z_B33EF30F_03AC_4B86_BB3B_BBA3C847F8AF_.wvu.FilterData" localSheetId="2" hidden="1">CAPTURA!$A$6:$EK$678</definedName>
    <definedName name="Z_B3466B94_BDFB_4513_AAD7_59CA01952893_.wvu.FilterData" localSheetId="2" hidden="1">CAPTURA!$A$6:$EK$678</definedName>
    <definedName name="Z_B3540378_51D9_448C_9BB2_E978032F2672_.wvu.FilterData" localSheetId="2" hidden="1">CAPTURA!$A$6:$EK$678</definedName>
    <definedName name="Z_B37AE5D1_D0AD_45F5_BFEE_CD2FE76C98B6_.wvu.FilterData" localSheetId="2" hidden="1">CAPTURA!$A$6:$EK$678</definedName>
    <definedName name="Z_B39FC073_CA69_4F7C_81C1_666CF1B9E554_.wvu.FilterData" localSheetId="1" hidden="1">FIJOS!$B$10:$P$505</definedName>
    <definedName name="Z_B3A42D10_7B22_4B44_AB7D_26FB688B4DFC_.wvu.FilterData" localSheetId="2" hidden="1">CAPTURA!$A$6:$EK$678</definedName>
    <definedName name="Z_B3A42D10_7B22_4B44_AB7D_26FB688B4DFC_.wvu.FilterData" localSheetId="1" hidden="1">FIJOS!$B$10:$P$505</definedName>
    <definedName name="Z_B3B88924_6DAB_4656_9835_A2BAF2F07BE5_.wvu.FilterData" localSheetId="2" hidden="1">CAPTURA!$A$6:$EK$678</definedName>
    <definedName name="Z_B3DDEA48_00D4_4D89_91BC_53ED82C1C9CB_.wvu.FilterData" localSheetId="2" hidden="1">CAPTURA!$A$6:$EK$678</definedName>
    <definedName name="Z_B3E1A107_A898_4309_B758_AE69ED3EE7BF_.wvu.FilterData" localSheetId="2" hidden="1">CAPTURA!$A$6:$EK$678</definedName>
    <definedName name="Z_B407F821_96ED_45B7_88E3_404DB963C634_.wvu.FilterData" localSheetId="2" hidden="1">CAPTURA!$A$6:$EK$678</definedName>
    <definedName name="Z_B421CB72_648D_4CCD_8313_9ED5E968BEF0_.wvu.FilterData" localSheetId="2" hidden="1">CAPTURA!$A$6:$EK$678</definedName>
    <definedName name="Z_B45BA5BC_C103_47DD_A154_85A57C04B345_.wvu.FilterData" localSheetId="2" hidden="1">CAPTURA!$A$6:$EK$678</definedName>
    <definedName name="Z_B4B8A58B_F9F5_4C82_B4AD_7B977BBC5853_.wvu.FilterData" localSheetId="2" hidden="1">CAPTURA!$A$6:$EK$678</definedName>
    <definedName name="Z_B514CFB7_51A8_4585_B31E_954D4B1E5D12_.wvu.FilterData" localSheetId="2" hidden="1">CAPTURA!$A$6:$EK$678</definedName>
    <definedName name="Z_B51850B8_1B4E_492D_B3A9_D3BC299BAAD7_.wvu.Cols" localSheetId="2" hidden="1">CAPTURA!$CQ:$CT</definedName>
    <definedName name="Z_B51850B8_1B4E_492D_B3A9_D3BC299BAAD7_.wvu.FilterData" localSheetId="2" hidden="1">CAPTURA!$A$6:$EK$678</definedName>
    <definedName name="Z_B51850B8_1B4E_492D_B3A9_D3BC299BAAD7_.wvu.FilterData" localSheetId="5" hidden="1">'DISPERSION FISCAL'!$A$1:$E$181</definedName>
    <definedName name="Z_B51850B8_1B4E_492D_B3A9_D3BC299BAAD7_.wvu.FilterData" localSheetId="1" hidden="1">FIJOS!$B$10:$P$108</definedName>
    <definedName name="Z_B51850B8_1B4E_492D_B3A9_D3BC299BAAD7_.wvu.FilterData" localSheetId="8" hidden="1">INCIDENCIAS!$B$5:$K$442</definedName>
    <definedName name="Z_B51850B8_1B4E_492D_B3A9_D3BC299BAAD7_.wvu.FilterData" localSheetId="6" hidden="1">VARIABLE!$A$1:$C$259</definedName>
    <definedName name="Z_B51850B8_1B4E_492D_B3A9_D3BC299BAAD7_.wvu.PrintArea" localSheetId="2" hidden="1">CAPTURA!$A$4:$DW$689</definedName>
    <definedName name="Z_B51850B8_1B4E_492D_B3A9_D3BC299BAAD7_.wvu.PrintTitles" localSheetId="2" hidden="1">CAPTURA!$4:$6</definedName>
    <definedName name="Z_B5198124_3FBC_4048_A804_1329410865E7_.wvu.FilterData" localSheetId="2" hidden="1">CAPTURA!$A$6:$EK$678</definedName>
    <definedName name="Z_B52B2BDD_3E70_445A_8C76_14086E6AADC2_.wvu.FilterData" localSheetId="2" hidden="1">CAPTURA!$A$6:$EK$678</definedName>
    <definedName name="Z_B52B2BDD_3E70_445A_8C76_14086E6AADC2_.wvu.FilterData" localSheetId="5" hidden="1">'DISPERSION FISCAL'!$A$1:$G$624</definedName>
    <definedName name="Z_B52B2BDD_3E70_445A_8C76_14086E6AADC2_.wvu.FilterData" localSheetId="1" hidden="1">FIJOS!$B$10:$P$505</definedName>
    <definedName name="Z_B52B2BDD_3E70_445A_8C76_14086E6AADC2_.wvu.FilterData" localSheetId="0" hidden="1">HORAS!$A$3:$DM$3</definedName>
    <definedName name="Z_B52B2BDD_3E70_445A_8C76_14086E6AADC2_.wvu.FilterData" localSheetId="8" hidden="1">INCIDENCIAS!$B$5:$K$467</definedName>
    <definedName name="Z_B52B2BDD_3E70_445A_8C76_14086E6AADC2_.wvu.FilterData" localSheetId="6" hidden="1">VARIABLE!$A$1:$C$259</definedName>
    <definedName name="Z_B52B2BDD_3E70_445A_8C76_14086E6AADC2_.wvu.PrintArea" localSheetId="2" hidden="1">CAPTURA!$A$4:$DW$689</definedName>
    <definedName name="Z_B52B2BDD_3E70_445A_8C76_14086E6AADC2_.wvu.PrintTitles" localSheetId="2" hidden="1">CAPTURA!$4:$6</definedName>
    <definedName name="Z_B53BEFA5_0B60_47DA_A9B3_1915B7EE4D97_.wvu.FilterData" localSheetId="2" hidden="1">CAPTURA!$A$6:$EK$678</definedName>
    <definedName name="Z_B5449E02_FA77_4A8D_9A09_85086367DCC9_.wvu.FilterData" localSheetId="2" hidden="1">CAPTURA!$A$6:$EK$678</definedName>
    <definedName name="Z_B555455F_E030_4114_A6E8_B6C0659879FB_.wvu.FilterData" localSheetId="2" hidden="1">CAPTURA!$A$6:$EK$678</definedName>
    <definedName name="Z_B58C0E77_7BC0_40A3_9185_C2DB5ED9433F_.wvu.FilterData" localSheetId="2" hidden="1">CAPTURA!$A$6:$EK$678</definedName>
    <definedName name="Z_B58C0E77_7BC0_40A3_9185_C2DB5ED9433F_.wvu.FilterData" localSheetId="5" hidden="1">'DISPERSION FISCAL'!$A$1:$E$181</definedName>
    <definedName name="Z_B58C0E77_7BC0_40A3_9185_C2DB5ED9433F_.wvu.FilterData" localSheetId="1" hidden="1">FIJOS!$B$10:$P$229</definedName>
    <definedName name="Z_B58C0E77_7BC0_40A3_9185_C2DB5ED9433F_.wvu.FilterData" localSheetId="8" hidden="1">INCIDENCIAS!$B$5:$K$460</definedName>
    <definedName name="Z_B58C0E77_7BC0_40A3_9185_C2DB5ED9433F_.wvu.FilterData" localSheetId="6" hidden="1">VARIABLE!$A$1:$C$259</definedName>
    <definedName name="Z_B58C0E77_7BC0_40A3_9185_C2DB5ED9433F_.wvu.PrintArea" localSheetId="2" hidden="1">CAPTURA!$A$4:$DW$689</definedName>
    <definedName name="Z_B58C0E77_7BC0_40A3_9185_C2DB5ED9433F_.wvu.PrintTitles" localSheetId="2" hidden="1">CAPTURA!$4:$6</definedName>
    <definedName name="Z_B5CE6798_9DA3_465D_9D0F_E2EAFB7EAFD3_.wvu.FilterData" localSheetId="2" hidden="1">CAPTURA!$A$6:$EK$678</definedName>
    <definedName name="Z_B5D8A64E_8CB0_4E9C_88F2_58C6F29B2EF1_.wvu.FilterData" localSheetId="2" hidden="1">CAPTURA!$A$6:$EK$678</definedName>
    <definedName name="Z_B5F90D79_0AC3_4275_8AA6_75D1D1EA6C1F_.wvu.FilterData" localSheetId="2" hidden="1">CAPTURA!$A$6:$EK$678</definedName>
    <definedName name="Z_B623FD56_6C44_4161_973B_3C5C71C58C3B_.wvu.FilterData" localSheetId="2" hidden="1">CAPTURA!$A$6:$EK$678</definedName>
    <definedName name="Z_B632A432_D7D9_465F_A561_5399BD6D4887_.wvu.FilterData" localSheetId="2" hidden="1">CAPTURA!$A$6:$EK$678</definedName>
    <definedName name="Z_B6C3EE3B_2FB8_4299_A090_AE1E674B62E9_.wvu.FilterData" localSheetId="2" hidden="1">CAPTURA!$A$6:$EK$678</definedName>
    <definedName name="Z_B6CBD565_68E4_4A3D_8255_2B70CD9CDC89_.wvu.FilterData" localSheetId="2" hidden="1">CAPTURA!$A$6:$EK$678</definedName>
    <definedName name="Z_B6D66AA4_775A_41AF_93DB_61A4BD4A5BD9_.wvu.FilterData" localSheetId="2" hidden="1">CAPTURA!$A$6:$EK$678</definedName>
    <definedName name="Z_B6ECE7FF_30C2_42C5_B0B0_64317E5F8B63_.wvu.FilterData" localSheetId="2" hidden="1">CAPTURA!$A$6:$EK$678</definedName>
    <definedName name="Z_B6ECE7FF_30C2_42C5_B0B0_64317E5F8B63_.wvu.FilterData" localSheetId="1" hidden="1">FIJOS!$B$10:$P$108</definedName>
    <definedName name="Z_B70E46ED_3A71_4EAF_8F54_9A77025AF650_.wvu.FilterData" localSheetId="2" hidden="1">CAPTURA!$A$6:$EK$678</definedName>
    <definedName name="Z_B767EEB4_7088_4C29_B282_8E917AFB6792_.wvu.FilterData" localSheetId="2" hidden="1">CAPTURA!$A$6:$EK$678</definedName>
    <definedName name="Z_B7A7F904_8655_43F6_926F_FD886A63FED2_.wvu.FilterData" localSheetId="2" hidden="1">CAPTURA!$A$6:$EK$678</definedName>
    <definedName name="Z_B7B49DFB_FEBD_4333_82C6_D7310600A098_.wvu.FilterData" localSheetId="2" hidden="1">CAPTURA!$A$6:$EK$678</definedName>
    <definedName name="Z_B7EC8CDF_4B5B_43D8_BCA3_C5C4F6C6BC40_.wvu.FilterData" localSheetId="2" hidden="1">CAPTURA!$A$6:$EK$678</definedName>
    <definedName name="Z_B7EC8CDF_4B5B_43D8_BCA3_C5C4F6C6BC40_.wvu.FilterData" localSheetId="1" hidden="1">FIJOS!$B$10:$P$308</definedName>
    <definedName name="Z_B7F07989_3C8C_410A_8400_583042957414_.wvu.FilterData" localSheetId="2" hidden="1">CAPTURA!$A$6:$EK$678</definedName>
    <definedName name="Z_B7F07989_3C8C_410A_8400_583042957414_.wvu.FilterData" localSheetId="5" hidden="1">'DISPERSION FISCAL'!$A$1:$E$181</definedName>
    <definedName name="Z_B7F07989_3C8C_410A_8400_583042957414_.wvu.FilterData" localSheetId="1" hidden="1">FIJOS!$B$10:$P$121</definedName>
    <definedName name="Z_B7F07989_3C8C_410A_8400_583042957414_.wvu.FilterData" localSheetId="8" hidden="1">INCIDENCIAS!$B$5:$K$514</definedName>
    <definedName name="Z_B7F07989_3C8C_410A_8400_583042957414_.wvu.FilterData" localSheetId="6" hidden="1">VARIABLE!$A$1:$C$259</definedName>
    <definedName name="Z_B7F07989_3C8C_410A_8400_583042957414_.wvu.PrintArea" localSheetId="2" hidden="1">CAPTURA!$A$4:$DW$689</definedName>
    <definedName name="Z_B7F07989_3C8C_410A_8400_583042957414_.wvu.PrintTitles" localSheetId="2" hidden="1">CAPTURA!$4:$6</definedName>
    <definedName name="Z_B8123015_BF1A_4156_96C7_1F5086C10DCF_.wvu.FilterData" localSheetId="2" hidden="1">CAPTURA!$A$6:$EK$678</definedName>
    <definedName name="Z_B849D6AC_092C_420E_B18F_36B7201FB975_.wvu.FilterData" localSheetId="2" hidden="1">CAPTURA!$A$6:$EK$678</definedName>
    <definedName name="Z_B8720FF0_FDF4_4C50_86A8_35590D311FF4_.wvu.FilterData" localSheetId="2" hidden="1">CAPTURA!$A$6:$EK$678</definedName>
    <definedName name="Z_B8771396_E14B_4B98_ACD3_6F1350EE7C1A_.wvu.FilterData" localSheetId="2" hidden="1">CAPTURA!$A$6:$EK$678</definedName>
    <definedName name="Z_B885F83B_D046_4738_86FA_A83BBE0EBF90_.wvu.FilterData" localSheetId="2" hidden="1">CAPTURA!$A$6:$EK$678</definedName>
    <definedName name="Z_B89329DD_BAB6_4DFA_B9FB_CD6454452970_.wvu.FilterData" localSheetId="2" hidden="1">CAPTURA!$A$6:$EK$678</definedName>
    <definedName name="Z_B8C04054_D6DB_46BF_AF59_014FFB06CD22_.wvu.FilterData" localSheetId="2" hidden="1">CAPTURA!$A$6:$EK$678</definedName>
    <definedName name="Z_B8E03E97_CA76_457F_8E72_95174F9A14AA_.wvu.FilterData" localSheetId="2" hidden="1">CAPTURA!$A$6:$EK$678</definedName>
    <definedName name="Z_B90FB6CD_F9A7_45E7_8788_57999B9A26A5_.wvu.FilterData" localSheetId="2" hidden="1">CAPTURA!$A$6:$EK$678</definedName>
    <definedName name="Z_B945ABA2_E3AA_4B7E_AE5C_FD948C80192A_.wvu.FilterData" localSheetId="2" hidden="1">CAPTURA!$A$6:$EK$678</definedName>
    <definedName name="Z_B9A412F7_968E_4FE7_84D6_D174B173AB68_.wvu.FilterData" localSheetId="2" hidden="1">CAPTURA!$A$6:$EK$678</definedName>
    <definedName name="Z_B9B5DF59_8CFE_4E63_9F26_81AFBD1E9B81_.wvu.FilterData" localSheetId="2" hidden="1">CAPTURA!$A$6:$EK$678</definedName>
    <definedName name="Z_B9B5DF59_8CFE_4E63_9F26_81AFBD1E9B81_.wvu.FilterData" localSheetId="5" hidden="1">'DISPERSION FISCAL'!$A$1:$G$624</definedName>
    <definedName name="Z_B9B5DF59_8CFE_4E63_9F26_81AFBD1E9B81_.wvu.FilterData" localSheetId="1" hidden="1">FIJOS!$B$10:$P$496</definedName>
    <definedName name="Z_B9B5DF59_8CFE_4E63_9F26_81AFBD1E9B81_.wvu.FilterData" localSheetId="8" hidden="1">INCIDENCIAS!$B$5:$K$732</definedName>
    <definedName name="Z_B9B5DF59_8CFE_4E63_9F26_81AFBD1E9B81_.wvu.FilterData" localSheetId="6" hidden="1">VARIABLE!$A$1:$C$259</definedName>
    <definedName name="Z_B9B5DF59_8CFE_4E63_9F26_81AFBD1E9B81_.wvu.PrintArea" localSheetId="2" hidden="1">CAPTURA!$A$4:$DW$689</definedName>
    <definedName name="Z_B9B5DF59_8CFE_4E63_9F26_81AFBD1E9B81_.wvu.PrintTitles" localSheetId="2" hidden="1">CAPTURA!$4:$6</definedName>
    <definedName name="Z_BA0A1F98_CE4F_4AA7_9AE8_660BC490C72B_.wvu.FilterData" localSheetId="2" hidden="1">CAPTURA!$A$6:$EK$678</definedName>
    <definedName name="Z_BA1B6A30_06F3_44BE_BD8D_A0DACFBAED07_.wvu.FilterData" localSheetId="2" hidden="1">CAPTURA!$A$6:$EK$678</definedName>
    <definedName name="Z_BA1B6A30_06F3_44BE_BD8D_A0DACFBAED07_.wvu.FilterData" localSheetId="5" hidden="1">'DISPERSION FISCAL'!$A$1:$E$181</definedName>
    <definedName name="Z_BA1B6A30_06F3_44BE_BD8D_A0DACFBAED07_.wvu.FilterData" localSheetId="1" hidden="1">FIJOS!$B$10:$P$229</definedName>
    <definedName name="Z_BA1B6A30_06F3_44BE_BD8D_A0DACFBAED07_.wvu.FilterData" localSheetId="8" hidden="1">INCIDENCIAS!$B$5:$K$460</definedName>
    <definedName name="Z_BA1B6A30_06F3_44BE_BD8D_A0DACFBAED07_.wvu.FilterData" localSheetId="6" hidden="1">VARIABLE!$A$1:$C$259</definedName>
    <definedName name="Z_BA1B6A30_06F3_44BE_BD8D_A0DACFBAED07_.wvu.PrintArea" localSheetId="2" hidden="1">CAPTURA!$A$4:$DW$689</definedName>
    <definedName name="Z_BA1B6A30_06F3_44BE_BD8D_A0DACFBAED07_.wvu.PrintTitles" localSheetId="2" hidden="1">CAPTURA!$4:$6</definedName>
    <definedName name="Z_BA2ABE32_552F_4B23_B19E_615FAAB3837A_.wvu.FilterData" localSheetId="2" hidden="1">CAPTURA!$A$6:$EK$678</definedName>
    <definedName name="Z_BA55494F_CD3C_4410_9C52_DBCED6029EAA_.wvu.Cols" localSheetId="1" hidden="1">FIJOS!$H:$I</definedName>
    <definedName name="Z_BA55494F_CD3C_4410_9C52_DBCED6029EAA_.wvu.FilterData" localSheetId="2" hidden="1">CAPTURA!$A$6:$EK$678</definedName>
    <definedName name="Z_BA55494F_CD3C_4410_9C52_DBCED6029EAA_.wvu.FilterData" localSheetId="5" hidden="1">'DISPERSION FISCAL'!$A$1:$E$181</definedName>
    <definedName name="Z_BA55494F_CD3C_4410_9C52_DBCED6029EAA_.wvu.FilterData" localSheetId="1" hidden="1">FIJOS!$B$10:$P$108</definedName>
    <definedName name="Z_BA55494F_CD3C_4410_9C52_DBCED6029EAA_.wvu.FilterData" localSheetId="8" hidden="1">INCIDENCIAS!$B$5:$K$513</definedName>
    <definedName name="Z_BA55494F_CD3C_4410_9C52_DBCED6029EAA_.wvu.FilterData" localSheetId="6" hidden="1">VARIABLE!$A$1:$C$259</definedName>
    <definedName name="Z_BA55494F_CD3C_4410_9C52_DBCED6029EAA_.wvu.PrintArea" localSheetId="2" hidden="1">CAPTURA!$A$4:$DW$689</definedName>
    <definedName name="Z_BA55494F_CD3C_4410_9C52_DBCED6029EAA_.wvu.PrintTitles" localSheetId="2" hidden="1">CAPTURA!$4:$6</definedName>
    <definedName name="Z_BA5B3ED2_9C67_4726_83DF_F8B1F6BC9409_.wvu.FilterData" localSheetId="2" hidden="1">CAPTURA!$A$6:$EK$678</definedName>
    <definedName name="Z_BA5B3ED2_9C67_4726_83DF_F8B1F6BC9409_.wvu.FilterData" localSheetId="5" hidden="1">'DISPERSION FISCAL'!$A$1:$E$181</definedName>
    <definedName name="Z_BA5B3ED2_9C67_4726_83DF_F8B1F6BC9409_.wvu.FilterData" localSheetId="1" hidden="1">FIJOS!$B$10:$P$131</definedName>
    <definedName name="Z_BA5B3ED2_9C67_4726_83DF_F8B1F6BC9409_.wvu.FilterData" localSheetId="8" hidden="1">INCIDENCIAS!$B$5:$K$507</definedName>
    <definedName name="Z_BA5B3ED2_9C67_4726_83DF_F8B1F6BC9409_.wvu.FilterData" localSheetId="6" hidden="1">VARIABLE!$A$1:$C$259</definedName>
    <definedName name="Z_BA5B3ED2_9C67_4726_83DF_F8B1F6BC9409_.wvu.PrintArea" localSheetId="2" hidden="1">CAPTURA!$A$4:$DW$689</definedName>
    <definedName name="Z_BA5B3ED2_9C67_4726_83DF_F8B1F6BC9409_.wvu.PrintTitles" localSheetId="2" hidden="1">CAPTURA!$4:$6</definedName>
    <definedName name="Z_BA64AD09_52AA_4694_AF10_31C579017965_.wvu.FilterData" localSheetId="2" hidden="1">CAPTURA!$A$6:$EK$678</definedName>
    <definedName name="Z_BA6C0769_31DE_467B_9894_8CACBC72A780_.wvu.FilterData" localSheetId="2" hidden="1">CAPTURA!$A$6:$EK$678</definedName>
    <definedName name="Z_BA6D3FD5_A015_46D6_A101_6A211B256E05_.wvu.FilterData" localSheetId="2" hidden="1">CAPTURA!$A$6:$EK$678</definedName>
    <definedName name="Z_BA6D9DDB_FB42_446A_928F_0BBDE716F880_.wvu.FilterData" localSheetId="2" hidden="1">CAPTURA!$A$6:$EK$678</definedName>
    <definedName name="Z_BAB0656D_54C6_4F45_ADBC_1AE9D9B52A4B_.wvu.FilterData" localSheetId="2" hidden="1">CAPTURA!$A$6:$EK$678</definedName>
    <definedName name="Z_BAE5D920_6027_42D2_96F4_3B6FAFBB7A7A_.wvu.FilterData" localSheetId="2" hidden="1">CAPTURA!$A$6:$EK$678</definedName>
    <definedName name="Z_BAF04559_2564_4DEC_A618_9D32EB799324_.wvu.FilterData" localSheetId="2" hidden="1">CAPTURA!$A$6:$EK$678</definedName>
    <definedName name="Z_BB3AB172_4EAF_4F02_8559_F6E3A5133A99_.wvu.FilterData" localSheetId="2" hidden="1">CAPTURA!$A$6:$EK$678</definedName>
    <definedName name="Z_BBBF84C3_14CB_4C19_9427_C4F347D4955F_.wvu.FilterData" localSheetId="2" hidden="1">CAPTURA!$A$6:$EK$678</definedName>
    <definedName name="Z_BBC43660_9B48_4C16_BEBF_73FD9B0278EC_.wvu.FilterData" localSheetId="2" hidden="1">CAPTURA!$A$6:$EK$678</definedName>
    <definedName name="Z_BBC43660_9B48_4C16_BEBF_73FD9B0278EC_.wvu.FilterData" localSheetId="5" hidden="1">'DISPERSION FISCAL'!$A$1:$E$181</definedName>
    <definedName name="Z_BBC43660_9B48_4C16_BEBF_73FD9B0278EC_.wvu.FilterData" localSheetId="1" hidden="1">FIJOS!$B$10:$P$122</definedName>
    <definedName name="Z_BBC43660_9B48_4C16_BEBF_73FD9B0278EC_.wvu.FilterData" localSheetId="8" hidden="1">INCIDENCIAS!$B$5:$K$444</definedName>
    <definedName name="Z_BBC43660_9B48_4C16_BEBF_73FD9B0278EC_.wvu.FilterData" localSheetId="6" hidden="1">VARIABLE!$A$1:$C$259</definedName>
    <definedName name="Z_BBC43660_9B48_4C16_BEBF_73FD9B0278EC_.wvu.PrintArea" localSheetId="2" hidden="1">CAPTURA!$A$4:$DW$689</definedName>
    <definedName name="Z_BBC43660_9B48_4C16_BEBF_73FD9B0278EC_.wvu.PrintTitles" localSheetId="2" hidden="1">CAPTURA!$4:$6</definedName>
    <definedName name="Z_BBEB6EC5_E1DF_41E3_85AF_360E64DCBF73_.wvu.FilterData" localSheetId="2" hidden="1">CAPTURA!$A$6:$EK$678</definedName>
    <definedName name="Z_BC0A6377_3A95_44E7_BC41_096C21FD33C7_.wvu.FilterData" localSheetId="2" hidden="1">CAPTURA!$A$6:$EK$678</definedName>
    <definedName name="Z_BC3EEBAA_4B7D_4763_A7DD_EC7DFF33CBC0_.wvu.FilterData" localSheetId="2" hidden="1">CAPTURA!$A$6:$EK$678</definedName>
    <definedName name="Z_BCA4D123_E96E_482F_87F8_7818EAEEA121_.wvu.FilterData" localSheetId="2" hidden="1">CAPTURA!$A$6:$EK$678</definedName>
    <definedName name="Z_BCB5CCED_7B18_4231_B517_1F690BB0C74E_.wvu.FilterData" localSheetId="2" hidden="1">CAPTURA!$A$6:$EK$678</definedName>
    <definedName name="Z_BCBCB18B_D11F_4185_87FD_3E6E1547394B_.wvu.FilterData" localSheetId="2" hidden="1">CAPTURA!$A$6:$EK$678</definedName>
    <definedName name="Z_BCC2E1E8_5929_490A_B6AC_2A1DDF5E62DB_.wvu.FilterData" localSheetId="2" hidden="1">CAPTURA!$A$6:$EK$678</definedName>
    <definedName name="Z_BCC2E1E8_5929_490A_B6AC_2A1DDF5E62DB_.wvu.FilterData" localSheetId="5" hidden="1">'DISPERSION FISCAL'!$A$1:$G$624</definedName>
    <definedName name="Z_BCC2E1E8_5929_490A_B6AC_2A1DDF5E62DB_.wvu.FilterData" localSheetId="1" hidden="1">FIJOS!$B$10:$P$496</definedName>
    <definedName name="Z_BCC2E1E8_5929_490A_B6AC_2A1DDF5E62DB_.wvu.FilterData" localSheetId="8" hidden="1">INCIDENCIAS!$B$5:$K$732</definedName>
    <definedName name="Z_BCC2E1E8_5929_490A_B6AC_2A1DDF5E62DB_.wvu.FilterData" localSheetId="6" hidden="1">VARIABLE!$A$1:$C$259</definedName>
    <definedName name="Z_BCC2E1E8_5929_490A_B6AC_2A1DDF5E62DB_.wvu.PrintArea" localSheetId="2" hidden="1">CAPTURA!$A$4:$DW$689</definedName>
    <definedName name="Z_BCC2E1E8_5929_490A_B6AC_2A1DDF5E62DB_.wvu.PrintTitles" localSheetId="2" hidden="1">CAPTURA!$4:$6</definedName>
    <definedName name="Z_BCC7363C_35B1_4C29_8E43_EE1B01066657_.wvu.FilterData" localSheetId="2" hidden="1">CAPTURA!$A$6:$EK$678</definedName>
    <definedName name="Z_BCEB05EE_F2F3_4065_83D1_9911A0B19ED7_.wvu.FilterData" localSheetId="2" hidden="1">CAPTURA!$A$6:$EK$678</definedName>
    <definedName name="Z_BD2A1F7E_2B5F_4AF6_A5B5_03EA707453A9_.wvu.FilterData" localSheetId="2" hidden="1">CAPTURA!$A$6:$EK$678</definedName>
    <definedName name="Z_BD34CCFA_0794_48CB_8B6A_E8EDF9940AA5_.wvu.FilterData" localSheetId="2" hidden="1">CAPTURA!$A$6:$EK$678</definedName>
    <definedName name="Z_BD34CCFA_0794_48CB_8B6A_E8EDF9940AA5_.wvu.FilterData" localSheetId="5" hidden="1">'DISPERSION FISCAL'!$A$1:$G$624</definedName>
    <definedName name="Z_BD34CCFA_0794_48CB_8B6A_E8EDF9940AA5_.wvu.FilterData" localSheetId="1" hidden="1">FIJOS!$B$10:$P$496</definedName>
    <definedName name="Z_BD34CCFA_0794_48CB_8B6A_E8EDF9940AA5_.wvu.FilterData" localSheetId="0" hidden="1">HORAS!$A$3:$DM$3</definedName>
    <definedName name="Z_BD34CCFA_0794_48CB_8B6A_E8EDF9940AA5_.wvu.FilterData" localSheetId="8" hidden="1">INCIDENCIAS!$B$5:$K$732</definedName>
    <definedName name="Z_BD34CCFA_0794_48CB_8B6A_E8EDF9940AA5_.wvu.FilterData" localSheetId="6" hidden="1">VARIABLE!$A$1:$C$259</definedName>
    <definedName name="Z_BD34CCFA_0794_48CB_8B6A_E8EDF9940AA5_.wvu.PrintArea" localSheetId="2" hidden="1">CAPTURA!$A$4:$DW$689</definedName>
    <definedName name="Z_BD34CCFA_0794_48CB_8B6A_E8EDF9940AA5_.wvu.PrintTitles" localSheetId="2" hidden="1">CAPTURA!$4:$6</definedName>
    <definedName name="Z_BD81A5D5_22FE_40E8_89AE_EF4AE843CE64_.wvu.FilterData" localSheetId="2" hidden="1">CAPTURA!$A$6:$EK$678</definedName>
    <definedName name="Z_BD95EB6A_63D2_4194_8547_734A67EC1197_.wvu.FilterData" localSheetId="2" hidden="1">CAPTURA!$A$6:$EK$678</definedName>
    <definedName name="Z_BD9A4461_D336_43AA_84FE_2C6CE4CB9C25_.wvu.FilterData" localSheetId="2" hidden="1">CAPTURA!$A$6:$EK$678</definedName>
    <definedName name="Z_BE145C52_732E_4173_A6A8_B0084E8BF715_.wvu.FilterData" localSheetId="2" hidden="1">CAPTURA!$A$6:$EK$678</definedName>
    <definedName name="Z_BE15C464_218C_426E_8B20_98637C57AD08_.wvu.FilterData" localSheetId="2" hidden="1">CAPTURA!$A$6:$EK$678</definedName>
    <definedName name="Z_BE4C1652_5F49_4FCF_AE98_5EFB5353E224_.wvu.FilterData" localSheetId="2" hidden="1">CAPTURA!$A$6:$EK$678</definedName>
    <definedName name="Z_BE5AAC89_8CBB_48A2_84B8_C83100F9F5A2_.wvu.FilterData" localSheetId="1" hidden="1">FIJOS!$B$10:$P$108</definedName>
    <definedName name="Z_BE777226_7758_483B_B6B1_C9868F9507C4_.wvu.FilterData" localSheetId="2" hidden="1">CAPTURA!$A$6:$EK$678</definedName>
    <definedName name="Z_BE992BA9_FCF5_4DA4_8FFB_98B90F2977DD_.wvu.FilterData" localSheetId="2" hidden="1">CAPTURA!$A$6:$EK$678</definedName>
    <definedName name="Z_BED23851_E7B0_4939_A0A0_E4E842648E32_.wvu.FilterData" localSheetId="2" hidden="1">CAPTURA!$A$6:$EK$678</definedName>
    <definedName name="Z_BF0068B3_A1B7_489E_B405_54F53165D179_.wvu.FilterData" localSheetId="2" hidden="1">CAPTURA!$A$6:$EK$678</definedName>
    <definedName name="Z_BF074A85_1F3C_438A_90A5_A123D77278B6_.wvu.FilterData" localSheetId="2" hidden="1">CAPTURA!$A$6:$EK$678</definedName>
    <definedName name="Z_BF218557_EE64_44C5_A436_ABF532F65474_.wvu.FilterData" localSheetId="2" hidden="1">CAPTURA!$A$6:$EK$678</definedName>
    <definedName name="Z_BF24531C_E91D_4062_95F0_01A676231A84_.wvu.FilterData" localSheetId="2" hidden="1">CAPTURA!$A$6:$EK$678</definedName>
    <definedName name="Z_BF24531C_E91D_4062_95F0_01A676231A84_.wvu.FilterData" localSheetId="5" hidden="1">'DISPERSION FISCAL'!$A$1:$E$181</definedName>
    <definedName name="Z_BF26B1CB_6AD2_4B44_93D6_3B38C094C33F_.wvu.FilterData" localSheetId="2" hidden="1">CAPTURA!$A$6:$EK$678</definedName>
    <definedName name="Z_BF423961_758A_4951_BFCC_C32649B76F0B_.wvu.FilterData" localSheetId="2" hidden="1">CAPTURA!$A$6:$EK$678</definedName>
    <definedName name="Z_BF465640_9BF8_412F_8DE0_0894C25E599D_.wvu.FilterData" localSheetId="2" hidden="1">CAPTURA!$A$6:$EK$678</definedName>
    <definedName name="Z_BF6D8B8E_77D8_41B7_AF32_22DD6681145B_.wvu.FilterData" localSheetId="2" hidden="1">CAPTURA!$A$6:$EK$678</definedName>
    <definedName name="Z_BF6D8B8E_77D8_41B7_AF32_22DD6681145B_.wvu.FilterData" localSheetId="1" hidden="1">FIJOS!$B$10:$P$122</definedName>
    <definedName name="Z_BF743A6F_9F58_4DF7_BAFE_E0EE2460DBD1_.wvu.FilterData" localSheetId="2" hidden="1">CAPTURA!$A$6:$EK$678</definedName>
    <definedName name="Z_BF755BF0_356A_435E_B759_781E31974B67_.wvu.FilterData" localSheetId="2" hidden="1">CAPTURA!$A$6:$EK$678</definedName>
    <definedName name="Z_BF95F90C_98AD_430A_8AED_929F288EA0E8_.wvu.FilterData" localSheetId="2" hidden="1">CAPTURA!$A$6:$EK$678</definedName>
    <definedName name="Z_BFB400E9_EC0C_41D4_822E_D110296D7356_.wvu.FilterData" localSheetId="2" hidden="1">CAPTURA!$A$6:$EK$678</definedName>
    <definedName name="Z_C0110727_97E4_414E_B896_EE9A87C3A235_.wvu.FilterData" localSheetId="2" hidden="1">CAPTURA!$A$6:$EK$678</definedName>
    <definedName name="Z_C02C6E94_4A6A_42A1_A9D3_5219EB48450D_.wvu.FilterData" localSheetId="1" hidden="1">FIJOS!$B$10:$P$108</definedName>
    <definedName name="Z_C0302995_5EC7_45F6_B143_C12D64E71611_.wvu.FilterData" localSheetId="2" hidden="1">CAPTURA!$A$6:$EK$678</definedName>
    <definedName name="Z_C0314335_0BEB_4B7A_9092_D9D513822DF8_.wvu.FilterData" localSheetId="2" hidden="1">CAPTURA!$A$6:$EK$678</definedName>
    <definedName name="Z_C03F560B_B6D1_412C_8D68_72D7B878E609_.wvu.FilterData" localSheetId="2" hidden="1">CAPTURA!$A$6:$EK$678</definedName>
    <definedName name="Z_C066CB46_28EA_48B9_9BA2_01470D6BBE47_.wvu.FilterData" localSheetId="2" hidden="1">CAPTURA!$A$6:$EK$678</definedName>
    <definedName name="Z_C066CB46_28EA_48B9_9BA2_01470D6BBE47_.wvu.FilterData" localSheetId="5" hidden="1">'DISPERSION FISCAL'!$A$1:$E$181</definedName>
    <definedName name="Z_C066CB46_28EA_48B9_9BA2_01470D6BBE47_.wvu.FilterData" localSheetId="1" hidden="1">FIJOS!$B$10:$P$108</definedName>
    <definedName name="Z_C066CB46_28EA_48B9_9BA2_01470D6BBE47_.wvu.FilterData" localSheetId="8" hidden="1">INCIDENCIAS!$B$5:$K$514</definedName>
    <definedName name="Z_C066CB46_28EA_48B9_9BA2_01470D6BBE47_.wvu.FilterData" localSheetId="6" hidden="1">VARIABLE!$A$1:$C$259</definedName>
    <definedName name="Z_C066CB46_28EA_48B9_9BA2_01470D6BBE47_.wvu.PrintArea" localSheetId="2" hidden="1">CAPTURA!$A$4:$DW$689</definedName>
    <definedName name="Z_C066CB46_28EA_48B9_9BA2_01470D6BBE47_.wvu.PrintTitles" localSheetId="2" hidden="1">CAPTURA!$4:$6</definedName>
    <definedName name="Z_C1423059_A8DF_4798_B176_C86383194369_.wvu.FilterData" localSheetId="2" hidden="1">CAPTURA!$A$6:$EK$678</definedName>
    <definedName name="Z_C1478C0C_11C0_427F_A79D_D693553183E6_.wvu.FilterData" localSheetId="2" hidden="1">CAPTURA!$A$6:$EK$678</definedName>
    <definedName name="Z_C16CE1B6_2E6A_44F3_940E_F6DC82A6CB3F_.wvu.FilterData" localSheetId="2" hidden="1">CAPTURA!$A$6:$EK$678</definedName>
    <definedName name="Z_C191307C_CE9C_42C8_AE71_D84B5A215EDC_.wvu.FilterData" localSheetId="2" hidden="1">CAPTURA!$A$6:$EK$678</definedName>
    <definedName name="Z_C1B43154_92E0_46A3_85C8_E50780EE60FE_.wvu.FilterData" localSheetId="2" hidden="1">CAPTURA!$A$6:$EK$678</definedName>
    <definedName name="Z_C1E2BD80_55C3_4AC6_997D_277CD645ABBC_.wvu.FilterData" localSheetId="2" hidden="1">CAPTURA!$A$6:$EK$678</definedName>
    <definedName name="Z_C1E7E969_093B_423C_9797_CAF870EC3DE3_.wvu.FilterData" localSheetId="2" hidden="1">CAPTURA!$A$6:$EK$678</definedName>
    <definedName name="Z_C1F357D6_AFB6_4D73_9527_B90600F7BDF6_.wvu.FilterData" localSheetId="2" hidden="1">CAPTURA!$A$6:$EK$678</definedName>
    <definedName name="Z_C2ACBB4C_8560_41BC_A113_54BF50DBB14C_.wvu.FilterData" localSheetId="2" hidden="1">CAPTURA!$A$6:$EK$678</definedName>
    <definedName name="Z_C2ACBB4C_8560_41BC_A113_54BF50DBB14C_.wvu.FilterData" localSheetId="5" hidden="1">'DISPERSION FISCAL'!$A$1:$E$181</definedName>
    <definedName name="Z_C2ACBB4C_8560_41BC_A113_54BF50DBB14C_.wvu.FilterData" localSheetId="1" hidden="1">FIJOS!$B$10:$P$108</definedName>
    <definedName name="Z_C2ACBB4C_8560_41BC_A113_54BF50DBB14C_.wvu.FilterData" localSheetId="8" hidden="1">INCIDENCIAS!$B$5:$K$514</definedName>
    <definedName name="Z_C2ACBB4C_8560_41BC_A113_54BF50DBB14C_.wvu.FilterData" localSheetId="6" hidden="1">VARIABLE!$A$1:$C$259</definedName>
    <definedName name="Z_C2ACBB4C_8560_41BC_A113_54BF50DBB14C_.wvu.PrintArea" localSheetId="2" hidden="1">CAPTURA!$A$4:$DW$689</definedName>
    <definedName name="Z_C2ACBB4C_8560_41BC_A113_54BF50DBB14C_.wvu.PrintTitles" localSheetId="2" hidden="1">CAPTURA!$4:$6</definedName>
    <definedName name="Z_C2C2CB26_F33C_4DF1_8658_7665B1671EB0_.wvu.FilterData" localSheetId="2" hidden="1">CAPTURA!$A$6:$EK$678</definedName>
    <definedName name="Z_C2C8ED9A_BBA7_40D5_9C58_D4D16EAAA53C_.wvu.FilterData" localSheetId="2" hidden="1">CAPTURA!$A$6:$EK$678</definedName>
    <definedName name="Z_C3196E33_F0E8_4FE3_A0E0_E961843D539E_.wvu.FilterData" localSheetId="2" hidden="1">CAPTURA!$A$6:$EK$678</definedName>
    <definedName name="Z_C31D14CA_BEB7_4782_A324_A7707EC502E3_.wvu.FilterData" localSheetId="2" hidden="1">CAPTURA!$A$6:$EK$678</definedName>
    <definedName name="Z_C32A6E30_8066_49F9_AD6F_C189698E6F87_.wvu.FilterData" localSheetId="2" hidden="1">CAPTURA!$A$6:$EK$678</definedName>
    <definedName name="Z_C32B552D_7C2E_4502_B441_44F1ABBACE4C_.wvu.FilterData" localSheetId="2" hidden="1">CAPTURA!$A$6:$EK$678</definedName>
    <definedName name="Z_C330EDE5_752A_44F2_A1C3_4DA177555BB5_.wvu.FilterData" localSheetId="2" hidden="1">CAPTURA!$A$6:$EK$678</definedName>
    <definedName name="Z_C332C7E7_7543_422A_A45B_275C1CEF9FEA_.wvu.FilterData" localSheetId="2" hidden="1">CAPTURA!$A$6:$EK$678</definedName>
    <definedName name="Z_C3532800_C864_4A4A_933D_4AD9B8628E94_.wvu.FilterData" localSheetId="2" hidden="1">CAPTURA!$A$6:$EK$678</definedName>
    <definedName name="Z_C3BE6C9E_6FB2_4D16_9E38_5963F822D32B_.wvu.FilterData" localSheetId="2" hidden="1">CAPTURA!$A$6:$EK$678</definedName>
    <definedName name="Z_C3F3D025_DF68_4B46_8F2D_3ACC64026F28_.wvu.FilterData" localSheetId="2" hidden="1">CAPTURA!$A$6:$EK$678</definedName>
    <definedName name="Z_C422DF80_C251_4A3B_AD7E_F125FB7DE164_.wvu.FilterData" localSheetId="2" hidden="1">CAPTURA!$A$6:$EK$678</definedName>
    <definedName name="Z_C4412D16_7514_4F74_A2DE_7E133716FEB6_.wvu.FilterData" localSheetId="2" hidden="1">CAPTURA!$A$6:$EK$678</definedName>
    <definedName name="Z_C4B57E1B_6D73_40AA_949A_F3FC5555696A_.wvu.FilterData" localSheetId="2" hidden="1">CAPTURA!$A$6:$EK$678</definedName>
    <definedName name="Z_C4D3C8FD_0898_4F75_9C42_9C098074A058_.wvu.FilterData" localSheetId="2" hidden="1">CAPTURA!$A$6:$EK$678</definedName>
    <definedName name="Z_C4FB95E4_CE0B_40AF_B57A_F93F7252DB9E_.wvu.FilterData" localSheetId="2" hidden="1">CAPTURA!$A$6:$EK$678</definedName>
    <definedName name="Z_C52B6A43_74CA_448D_A4E4_74FC09AAE2F0_.wvu.FilterData" localSheetId="2" hidden="1">CAPTURA!$A$6:$EK$678</definedName>
    <definedName name="Z_C551232B_4D8E_42DE_9CCE_D07D64F1D40C_.wvu.FilterData" localSheetId="2" hidden="1">CAPTURA!$A$6:$EK$678</definedName>
    <definedName name="Z_C5682EC2_DEE0_411B_A8AA_89C64101F899_.wvu.FilterData" localSheetId="2" hidden="1">CAPTURA!$A$6:$EK$678</definedName>
    <definedName name="Z_C576EB12_22F2_451F_9195_5579CB5AAB0D_.wvu.FilterData" localSheetId="2" hidden="1">CAPTURA!$A$6:$EK$678</definedName>
    <definedName name="Z_C57D2392_433C_4DB4_B83D_68E0C8322488_.wvu.FilterData" localSheetId="2" hidden="1">CAPTURA!$A$6:$EK$678</definedName>
    <definedName name="Z_C5941E20_45D5_4DB7_9D0C_EF834090F623_.wvu.FilterData" localSheetId="1" hidden="1">FIJOS!$B$10:$P$505</definedName>
    <definedName name="Z_C5970491_C113_416C_BE3E_8FCE135FDCCB_.wvu.FilterData" localSheetId="2" hidden="1">CAPTURA!$A$6:$EK$678</definedName>
    <definedName name="Z_C5970491_C113_416C_BE3E_8FCE135FDCCB_.wvu.FilterData" localSheetId="5" hidden="1">'DISPERSION FISCAL'!$A$1:$E$181</definedName>
    <definedName name="Z_C5970491_C113_416C_BE3E_8FCE135FDCCB_.wvu.FilterData" localSheetId="1" hidden="1">FIJOS!$B$10:$P$122</definedName>
    <definedName name="Z_C5970491_C113_416C_BE3E_8FCE135FDCCB_.wvu.FilterData" localSheetId="8" hidden="1">INCIDENCIAS!$B$5:$K$444</definedName>
    <definedName name="Z_C5970491_C113_416C_BE3E_8FCE135FDCCB_.wvu.FilterData" localSheetId="6" hidden="1">VARIABLE!$A$1:$C$259</definedName>
    <definedName name="Z_C5970491_C113_416C_BE3E_8FCE135FDCCB_.wvu.PrintArea" localSheetId="2" hidden="1">CAPTURA!$A$4:$DW$689</definedName>
    <definedName name="Z_C5970491_C113_416C_BE3E_8FCE135FDCCB_.wvu.PrintTitles" localSheetId="2" hidden="1">CAPTURA!$4:$6</definedName>
    <definedName name="Z_C5A129BB_24EF_428F_85DB_F8AAA4AD34AE_.wvu.FilterData" localSheetId="2" hidden="1">CAPTURA!$A$6:$EK$678</definedName>
    <definedName name="Z_C5C16313_FB33_4FC3_89A6_CBB65943687B_.wvu.FilterData" localSheetId="2" hidden="1">CAPTURA!$A$6:$EK$678</definedName>
    <definedName name="Z_C5DD4A32_04B8_4510_89DF_DCA1751A3E45_.wvu.FilterData" localSheetId="2" hidden="1">CAPTURA!$A$6:$EK$678</definedName>
    <definedName name="Z_C61A5B83_A2BD_4AC2_B7CA_C708DFCE8CD0_.wvu.FilterData" localSheetId="2" hidden="1">CAPTURA!$A$6:$EK$678</definedName>
    <definedName name="Z_C62C7833_66E2_4286_B0D7_21D0CE6835C6_.wvu.FilterData" localSheetId="2" hidden="1">CAPTURA!$A$6:$EK$678</definedName>
    <definedName name="Z_C659CCB1_5AFB_4D59_BB5E_1AD8C66390D8_.wvu.FilterData" localSheetId="2" hidden="1">CAPTURA!$A$6:$EK$678</definedName>
    <definedName name="Z_C659CCB1_5AFB_4D59_BB5E_1AD8C66390D8_.wvu.FilterData" localSheetId="5" hidden="1">'DISPERSION FISCAL'!$A$1:$E$181</definedName>
    <definedName name="Z_C659CCB1_5AFB_4D59_BB5E_1AD8C66390D8_.wvu.FilterData" localSheetId="6" hidden="1">VARIABLE!$A$1:$C$259</definedName>
    <definedName name="Z_C6A801D3_C8DF_4563_B15B_8AFAE367D0B2_.wvu.FilterData" localSheetId="2" hidden="1">CAPTURA!$A$6:$EK$678</definedName>
    <definedName name="Z_C6AD977B_26BA_423D_838D_2209C464F9B8_.wvu.FilterData" localSheetId="2" hidden="1">CAPTURA!$A$6:$EK$678</definedName>
    <definedName name="Z_C6C334CA_C30A_4D98_BD02_9F8D3A86E371_.wvu.FilterData" localSheetId="2" hidden="1">CAPTURA!$A$6:$EK$678</definedName>
    <definedName name="Z_C6C334CA_C30A_4D98_BD02_9F8D3A86E371_.wvu.FilterData" localSheetId="1" hidden="1">FIJOS!$B$10:$P$108</definedName>
    <definedName name="Z_C6CC4C7C_F610_4B45_9410_296F6A26F5C1_.wvu.FilterData" localSheetId="2" hidden="1">CAPTURA!$A$6:$EK$678</definedName>
    <definedName name="Z_C6E336B8_8A7A_43A2_A63F_2CB44CFD7182_.wvu.FilterData" localSheetId="2" hidden="1">CAPTURA!$A$6:$EK$678</definedName>
    <definedName name="Z_C6E3AC18_0D03_47DE_80FA_77B75D130A15_.wvu.FilterData" localSheetId="2" hidden="1">CAPTURA!$A$6:$EK$678</definedName>
    <definedName name="Z_C71B543D_F0CF_462E_B0AF_43DB16A6286C_.wvu.FilterData" localSheetId="2" hidden="1">CAPTURA!$A$6:$EK$678</definedName>
    <definedName name="Z_C722C0E2_E0C5_402E_868B_A2539CB7FAC7_.wvu.FilterData" localSheetId="2" hidden="1">CAPTURA!$A$6:$EK$678</definedName>
    <definedName name="Z_C73EEF0C_0893_41D7_9D64_ED28E677BEC9_.wvu.FilterData" localSheetId="2" hidden="1">CAPTURA!$A$6:$EK$678</definedName>
    <definedName name="Z_C740B813_A913_4A14_A37A_2D16473145C5_.wvu.FilterData" localSheetId="2" hidden="1">CAPTURA!$A$6:$EK$678</definedName>
    <definedName name="Z_C740EE4C_5BE1_4B3B_A8CA_DC2856029FF0_.wvu.FilterData" localSheetId="2" hidden="1">CAPTURA!$A$6:$EK$678</definedName>
    <definedName name="Z_C741F48C_2E1A_4F00_9A83_63C820F7236E_.wvu.FilterData" localSheetId="2" hidden="1">CAPTURA!$A$6:$EK$678</definedName>
    <definedName name="Z_C745F31A_EBF2_4153_8931_5506101A34CE_.wvu.FilterData" localSheetId="2" hidden="1">CAPTURA!$A$6:$EK$678</definedName>
    <definedName name="Z_C758F291_A0FC_4453_B1E9_FF4E5B08C087_.wvu.FilterData" localSheetId="2" hidden="1">CAPTURA!$A$6:$EK$678</definedName>
    <definedName name="Z_C762D5F2_868B_4E39_B68A_23A742F82DEE_.wvu.FilterData" localSheetId="2" hidden="1">CAPTURA!$A$6:$EK$678</definedName>
    <definedName name="Z_C762D5F2_868B_4E39_B68A_23A742F82DEE_.wvu.FilterData" localSheetId="1" hidden="1">FIJOS!$B$10:$P$320</definedName>
    <definedName name="Z_C7BC0783_B86D_4C36_BAA4_6123E6D54CA3_.wvu.FilterData" localSheetId="2" hidden="1">CAPTURA!$A$6:$EK$678</definedName>
    <definedName name="Z_C7BC0783_B86D_4C36_BAA4_6123E6D54CA3_.wvu.FilterData" localSheetId="1" hidden="1">FIJOS!$B$10:$P$505</definedName>
    <definedName name="Z_C8185844_7FF6_4C28_A77D_B38368AD7F9A_.wvu.FilterData" localSheetId="2" hidden="1">CAPTURA!$A$6:$EK$678</definedName>
    <definedName name="Z_C8E7E6CD_E19F_43DC_A8A9_40F039400ED1_.wvu.FilterData" localSheetId="2" hidden="1">CAPTURA!$A$6:$EK$678</definedName>
    <definedName name="Z_C8E7E6CD_E19F_43DC_A8A9_40F039400ED1_.wvu.FilterData" localSheetId="1" hidden="1">FIJOS!$B$10:$P$496</definedName>
    <definedName name="Z_C9996ED8_4E71_497D_8C5D_022DBA66CCC2_.wvu.FilterData" localSheetId="2" hidden="1">CAPTURA!$A$6:$EK$678</definedName>
    <definedName name="Z_C9B5DC7A_B269_4648_84CF_1FDC2E2A2813_.wvu.FilterData" localSheetId="2" hidden="1">CAPTURA!$A$6:$EK$678</definedName>
    <definedName name="Z_C9CD9B6D_48C9_4C72_9BD1_5B1CE49187DC_.wvu.FilterData" localSheetId="2" hidden="1">CAPTURA!$A$6:$EK$678</definedName>
    <definedName name="Z_C9ED29A3_C444_4265_9234_A608E3EEFE5D_.wvu.FilterData" localSheetId="2" hidden="1">CAPTURA!$A$6:$EK$678</definedName>
    <definedName name="Z_C9FCEEC2_420A_4C36_A4B6_63C54F654670_.wvu.FilterData" localSheetId="2" hidden="1">CAPTURA!$A$6:$EK$678</definedName>
    <definedName name="Z_C9FCEEC2_420A_4C36_A4B6_63C54F654670_.wvu.FilterData" localSheetId="5" hidden="1">'DISPERSION FISCAL'!$A$1:$E$181</definedName>
    <definedName name="Z_C9FCEEC2_420A_4C36_A4B6_63C54F654670_.wvu.FilterData" localSheetId="1" hidden="1">FIJOS!$B$10:$P$228</definedName>
    <definedName name="Z_C9FCEEC2_420A_4C36_A4B6_63C54F654670_.wvu.FilterData" localSheetId="8" hidden="1">INCIDENCIAS!$B$5:$K$507</definedName>
    <definedName name="Z_C9FCEEC2_420A_4C36_A4B6_63C54F654670_.wvu.FilterData" localSheetId="6" hidden="1">VARIABLE!$A$1:$C$259</definedName>
    <definedName name="Z_C9FCEEC2_420A_4C36_A4B6_63C54F654670_.wvu.PrintArea" localSheetId="2" hidden="1">CAPTURA!$A$4:$DW$689</definedName>
    <definedName name="Z_C9FCEEC2_420A_4C36_A4B6_63C54F654670_.wvu.PrintTitles" localSheetId="2" hidden="1">CAPTURA!$4:$6</definedName>
    <definedName name="Z_CA53DFFB_ADD1_4A12_9D9F_000AFEA8BDF0_.wvu.FilterData" localSheetId="2" hidden="1">CAPTURA!$A$6:$EK$678</definedName>
    <definedName name="Z_CA5EE4C4_A04E_40A0_A449_E79E5C74A3AF_.wvu.FilterData" localSheetId="2" hidden="1">CAPTURA!$A$6:$EK$678</definedName>
    <definedName name="Z_CA645935_ED2A_48B4_8C99_D85E10A69F49_.wvu.FilterData" localSheetId="2" hidden="1">CAPTURA!$A$6:$EK$678</definedName>
    <definedName name="Z_CA885A45_32D0_4A09_A28B_D97597EA3320_.wvu.FilterData" localSheetId="2" hidden="1">CAPTURA!$A$6:$EK$678</definedName>
    <definedName name="Z_CA885A45_32D0_4A09_A28B_D97597EA3320_.wvu.FilterData" localSheetId="5" hidden="1">'DISPERSION FISCAL'!$A$1:$E$181</definedName>
    <definedName name="Z_CA885A45_32D0_4A09_A28B_D97597EA3320_.wvu.FilterData" localSheetId="1" hidden="1">FIJOS!$B$10:$P$231</definedName>
    <definedName name="Z_CA885A45_32D0_4A09_A28B_D97597EA3320_.wvu.FilterData" localSheetId="8" hidden="1">INCIDENCIAS!$B$5:$K$499</definedName>
    <definedName name="Z_CA885A45_32D0_4A09_A28B_D97597EA3320_.wvu.FilterData" localSheetId="6" hidden="1">VARIABLE!$A$1:$C$259</definedName>
    <definedName name="Z_CA885A45_32D0_4A09_A28B_D97597EA3320_.wvu.PrintArea" localSheetId="2" hidden="1">CAPTURA!$A$4:$DW$689</definedName>
    <definedName name="Z_CA885A45_32D0_4A09_A28B_D97597EA3320_.wvu.PrintTitles" localSheetId="2" hidden="1">CAPTURA!$4:$6</definedName>
    <definedName name="Z_CAA6A638_A818_4031_A9FB_9398BB0D5111_.wvu.FilterData" localSheetId="2" hidden="1">CAPTURA!$A$6:$EK$678</definedName>
    <definedName name="Z_CAA6A638_A818_4031_A9FB_9398BB0D5111_.wvu.FilterData" localSheetId="5" hidden="1">'DISPERSION FISCAL'!$A$1:$E$181</definedName>
    <definedName name="Z_CAA6A638_A818_4031_A9FB_9398BB0D5111_.wvu.FilterData" localSheetId="1" hidden="1">FIJOS!$B$10:$P$229</definedName>
    <definedName name="Z_CAA6A638_A818_4031_A9FB_9398BB0D5111_.wvu.FilterData" localSheetId="8" hidden="1">INCIDENCIAS!$B$5:$K$460</definedName>
    <definedName name="Z_CAA6A638_A818_4031_A9FB_9398BB0D5111_.wvu.FilterData" localSheetId="6" hidden="1">VARIABLE!$A$1:$C$259</definedName>
    <definedName name="Z_CAA6A638_A818_4031_A9FB_9398BB0D5111_.wvu.PrintArea" localSheetId="2" hidden="1">CAPTURA!$A$4:$DW$689</definedName>
    <definedName name="Z_CAA6A638_A818_4031_A9FB_9398BB0D5111_.wvu.PrintTitles" localSheetId="2" hidden="1">CAPTURA!$4:$6</definedName>
    <definedName name="Z_CAD53CA6_8409_4233_96E8_F1086333B3EE_.wvu.FilterData" localSheetId="2" hidden="1">CAPTURA!$A$6:$EK$678</definedName>
    <definedName name="Z_CAD53CA6_8409_4233_96E8_F1086333B3EE_.wvu.FilterData" localSheetId="5" hidden="1">'DISPERSION FISCAL'!$A$1:$G$624</definedName>
    <definedName name="Z_CAD53CA6_8409_4233_96E8_F1086333B3EE_.wvu.FilterData" localSheetId="1" hidden="1">FIJOS!$B$10:$P$505</definedName>
    <definedName name="Z_CAD53CA6_8409_4233_96E8_F1086333B3EE_.wvu.FilterData" localSheetId="0" hidden="1">HORAS!$A$3:$DM$3</definedName>
    <definedName name="Z_CAD53CA6_8409_4233_96E8_F1086333B3EE_.wvu.FilterData" localSheetId="8" hidden="1">INCIDENCIAS!$B$5:$K$502</definedName>
    <definedName name="Z_CAD53CA6_8409_4233_96E8_F1086333B3EE_.wvu.FilterData" localSheetId="6" hidden="1">VARIABLE!$A$1:$C$259</definedName>
    <definedName name="Z_CAD53CA6_8409_4233_96E8_F1086333B3EE_.wvu.PrintArea" localSheetId="2" hidden="1">CAPTURA!$A$4:$DW$689</definedName>
    <definedName name="Z_CAD53CA6_8409_4233_96E8_F1086333B3EE_.wvu.PrintTitles" localSheetId="2" hidden="1">CAPTURA!$4:$6</definedName>
    <definedName name="Z_CAEC2E79_D34D_4468_8046_6F64B0615522_.wvu.FilterData" localSheetId="2" hidden="1">CAPTURA!$A$6:$EK$678</definedName>
    <definedName name="Z_CAEC2E79_D34D_4468_8046_6F64B0615522_.wvu.FilterData" localSheetId="1" hidden="1">FIJOS!$B$10:$P$496</definedName>
    <definedName name="Z_CB17BA29_1897_43AA_A64B_CC33282C1FB8_.wvu.FilterData" localSheetId="2" hidden="1">CAPTURA!$A$6:$EK$678</definedName>
    <definedName name="Z_CB194791_12F5_4BC5_9009_22D8BDF81483_.wvu.FilterData" localSheetId="2" hidden="1">CAPTURA!$A$6:$EK$678</definedName>
    <definedName name="Z_CB316F6A_83A4_4E87_A89A_FB935EE229B9_.wvu.FilterData" localSheetId="2" hidden="1">CAPTURA!$A$6:$EK$678</definedName>
    <definedName name="Z_CB454DC6_6F0A_4A0E_B16C_E65EF564B138_.wvu.FilterData" localSheetId="2" hidden="1">CAPTURA!$A$6:$EK$678</definedName>
    <definedName name="Z_CB4646CF_CACF_41BC_9D78_089F9B530BD2_.wvu.FilterData" localSheetId="2" hidden="1">CAPTURA!$A$6:$EK$678</definedName>
    <definedName name="Z_CBAC9CA6_CD17_4F8C_9DBF_9FD2C9ADFFCD_.wvu.FilterData" localSheetId="2" hidden="1">CAPTURA!$A$6:$EK$678</definedName>
    <definedName name="Z_CBECF9C2_359F_4C8A_B24C_E48D18BCCB2E_.wvu.FilterData" localSheetId="2" hidden="1">CAPTURA!$A$6:$EK$678</definedName>
    <definedName name="Z_CBFCA314_ECDE_4B07_AEB9_83F082AF2553_.wvu.FilterData" localSheetId="2" hidden="1">CAPTURA!$A$6:$EK$678</definedName>
    <definedName name="Z_CC0EDBEC_C31A_44E3_88A8_3D9F51170081_.wvu.FilterData" localSheetId="2" hidden="1">CAPTURA!$A$6:$EK$678</definedName>
    <definedName name="Z_CC290158_4643_4BC3_BC28_6F1DD6ED0E1D_.wvu.FilterData" localSheetId="2" hidden="1">CAPTURA!$A$6:$EK$678</definedName>
    <definedName name="Z_CC93F469_853F_4669_980A_A8898D41B746_.wvu.FilterData" localSheetId="2" hidden="1">CAPTURA!$A$6:$EK$678</definedName>
    <definedName name="Z_CCE15D8B_C83E_425E_9664_7F7F114ADAFA_.wvu.FilterData" localSheetId="2" hidden="1">CAPTURA!$A$6:$EK$678</definedName>
    <definedName name="Z_CD4910C1_1BA3_4360_AAE6_BC5C503BAD85_.wvu.FilterData" localSheetId="2" hidden="1">CAPTURA!$A$6:$EK$678</definedName>
    <definedName name="Z_CDA57C03_0840_4D57_980D_E966371EA513_.wvu.FilterData" localSheetId="2" hidden="1">CAPTURA!$A$6:$EK$678</definedName>
    <definedName name="Z_CDB0F930_D2FD_4213_85DA_9A778DAC200A_.wvu.FilterData" localSheetId="2" hidden="1">CAPTURA!$A$6:$EK$678</definedName>
    <definedName name="Z_CDB149BA_4B1B_4324_86C9_36896F717A8A_.wvu.FilterData" localSheetId="8" hidden="1">INCIDENCIAS!$B$5:$K$587</definedName>
    <definedName name="Z_CDB4A01F_538D_4485_99C8_A0C9094496FB_.wvu.FilterData" localSheetId="2" hidden="1">CAPTURA!$A$6:$EK$678</definedName>
    <definedName name="Z_CDD7E01F_A07F_454F_B24F_B9310020F3C4_.wvu.FilterData" localSheetId="2" hidden="1">CAPTURA!$A$6:$EK$678</definedName>
    <definedName name="Z_CDD7E01F_A07F_454F_B24F_B9310020F3C4_.wvu.FilterData" localSheetId="1" hidden="1">FIJOS!$B$10:$P$496</definedName>
    <definedName name="Z_CDDDCE75_E63A_4115_AC78_8543BCBC456C_.wvu.FilterData" localSheetId="2" hidden="1">CAPTURA!$A$6:$EK$678</definedName>
    <definedName name="Z_CE2FA0B9_63D8_49C9_A510_F91C37916CC6_.wvu.FilterData" localSheetId="2" hidden="1">CAPTURA!$A$6:$EK$678</definedName>
    <definedName name="Z_CE44C7A5_37A9_428D_9F88_E5F76408AD75_.wvu.FilterData" localSheetId="2" hidden="1">CAPTURA!$A$6:$EK$678</definedName>
    <definedName name="Z_CE45F4EF_843F_4021_A715_E50C0EAD457D_.wvu.FilterData" localSheetId="2" hidden="1">CAPTURA!$A$6:$EK$678</definedName>
    <definedName name="Z_CE4A6958_1711_4B2C_A094_AEADF95EA013_.wvu.FilterData" localSheetId="2" hidden="1">CAPTURA!$A$6:$EK$678</definedName>
    <definedName name="Z_CE4A6958_1711_4B2C_A094_AEADF95EA013_.wvu.FilterData" localSheetId="5" hidden="1">'DISPERSION FISCAL'!$A$1:$E$181</definedName>
    <definedName name="Z_CE4A6958_1711_4B2C_A094_AEADF95EA013_.wvu.FilterData" localSheetId="1" hidden="1">FIJOS!$B$10:$P$121</definedName>
    <definedName name="Z_CE4A6958_1711_4B2C_A094_AEADF95EA013_.wvu.FilterData" localSheetId="8" hidden="1">INCIDENCIAS!$B$5:$K$353</definedName>
    <definedName name="Z_CE4A6958_1711_4B2C_A094_AEADF95EA013_.wvu.FilterData" localSheetId="6" hidden="1">VARIABLE!$A$1:$C$259</definedName>
    <definedName name="Z_CE4A6958_1711_4B2C_A094_AEADF95EA013_.wvu.PrintArea" localSheetId="2" hidden="1">CAPTURA!$A$4:$DW$689</definedName>
    <definedName name="Z_CE4A6958_1711_4B2C_A094_AEADF95EA013_.wvu.PrintTitles" localSheetId="2" hidden="1">CAPTURA!$4:$6</definedName>
    <definedName name="Z_CE4B8381_0A98_4D95_B819_0EF954F15A0A_.wvu.FilterData" localSheetId="2" hidden="1">CAPTURA!$A$6:$EK$678</definedName>
    <definedName name="Z_CE916EE4_B3BC_4265_A390_DDCB4C0F2147_.wvu.FilterData" localSheetId="2" hidden="1">CAPTURA!$A$6:$EK$678</definedName>
    <definedName name="Z_CEA20FE7_B944_469A_AE72_85939330C462_.wvu.FilterData" localSheetId="2" hidden="1">CAPTURA!$A$6:$EK$678</definedName>
    <definedName name="Z_CEBB5D96_9CA4_4592_A82C_74D43846E9C9_.wvu.FilterData" localSheetId="2" hidden="1">CAPTURA!$A$6:$EK$678</definedName>
    <definedName name="Z_CF0A92FC_B8BA_4F95_993D_CE64B73C74F0_.wvu.FilterData" localSheetId="2" hidden="1">CAPTURA!$A$6:$EK$678</definedName>
    <definedName name="Z_CF40E7A8_5528_4936_A136_5D49E3C0BDD1_.wvu.FilterData" localSheetId="2" hidden="1">CAPTURA!$A$6:$EK$678</definedName>
    <definedName name="Z_CF5FC2BB_7415_4DD0_AE27_349970640B93_.wvu.FilterData" localSheetId="2" hidden="1">CAPTURA!$A$6:$EK$678</definedName>
    <definedName name="Z_CF6399F8_CDA0_44F5_8249_E0D0B469936E_.wvu.FilterData" localSheetId="2" hidden="1">CAPTURA!$A$6:$EK$678</definedName>
    <definedName name="Z_CFC2FC9C_E397_4506_9DAE_06C0EEBE09AB_.wvu.FilterData" localSheetId="2" hidden="1">CAPTURA!$A$6:$EK$678</definedName>
    <definedName name="Z_CFCA0769_593C_4122_B2F0_6F116D3542F2_.wvu.FilterData" localSheetId="2" hidden="1">CAPTURA!$A$6:$EK$678</definedName>
    <definedName name="Z_CFCA0769_593C_4122_B2F0_6F116D3542F2_.wvu.FilterData" localSheetId="1" hidden="1">FIJOS!$B$10:$P$505</definedName>
    <definedName name="Z_CFD2B69A_C9AA_4C69_9B59_12B89FD36A07_.wvu.FilterData" localSheetId="2" hidden="1">CAPTURA!$A$6:$EK$678</definedName>
    <definedName name="Z_CFE3C860_E9BD_40F5_9267_BE2974AAF80E_.wvu.FilterData" localSheetId="2" hidden="1">CAPTURA!$A$6:$EK$678</definedName>
    <definedName name="Z_D0042FF3_860F_4272_9BDC_E1E8B995C435_.wvu.FilterData" localSheetId="2" hidden="1">CAPTURA!$A$6:$EK$678</definedName>
    <definedName name="Z_D01C122D_8A1D_4F0E_935A_DB9245EF24F7_.wvu.FilterData" localSheetId="2" hidden="1">CAPTURA!$A$6:$EK$678</definedName>
    <definedName name="Z_D031023C_BB56_41CE_B8B5_069FC8D542DD_.wvu.FilterData" localSheetId="2" hidden="1">CAPTURA!$A$6:$EK$678</definedName>
    <definedName name="Z_D0375082_E890_4A12_9EEC_577C56667A66_.wvu.FilterData" localSheetId="2" hidden="1">CAPTURA!$A$6:$EK$678</definedName>
    <definedName name="Z_D055735B_EBD3_4155_8746_3C523DC6C3C0_.wvu.FilterData" localSheetId="2" hidden="1">CAPTURA!$A$6:$EK$678</definedName>
    <definedName name="Z_D08F62D6_3BC1_46AE_9AE6_EAB72EADFC56_.wvu.FilterData" localSheetId="2" hidden="1">CAPTURA!$A$6:$EK$678</definedName>
    <definedName name="Z_D095EDFE_045A_4F17_B97B_169715D32F28_.wvu.FilterData" localSheetId="2" hidden="1">CAPTURA!$A$6:$EK$678</definedName>
    <definedName name="Z_D0BD104B_2F10_4488_B744_6468EACC69C9_.wvu.FilterData" localSheetId="2" hidden="1">CAPTURA!$A$6:$EK$678</definedName>
    <definedName name="Z_D0C7CE3F_E2A9_4711_9BA7_9025BC6F25F4_.wvu.FilterData" localSheetId="2" hidden="1">CAPTURA!$A$6:$EK$678</definedName>
    <definedName name="Z_D0D21BAF_AEA9_4B3D_9AAD_485AEACBA8EC_.wvu.FilterData" localSheetId="2" hidden="1">CAPTURA!$A$6:$EK$678</definedName>
    <definedName name="Z_D0FCA7D0_15F1_4E14_B05A_C8123D8266C2_.wvu.FilterData" localSheetId="2" hidden="1">CAPTURA!$A$6:$EK$678</definedName>
    <definedName name="Z_D123AF8D_78AB_43A6_B56C_B209B4CBE014_.wvu.FilterData" localSheetId="2" hidden="1">CAPTURA!$A$6:$EK$678</definedName>
    <definedName name="Z_D157E059_32A1_4207_99BC_BB63AE43B14D_.wvu.FilterData" localSheetId="2" hidden="1">CAPTURA!$A$6:$EK$678</definedName>
    <definedName name="Z_D171A13A_CA27_479D_B4B1_012369A87D9E_.wvu.FilterData" localSheetId="2" hidden="1">CAPTURA!$A$6:$EK$678</definedName>
    <definedName name="Z_D171A13A_CA27_479D_B4B1_012369A87D9E_.wvu.FilterData" localSheetId="1" hidden="1">FIJOS!$B$10:$P$505</definedName>
    <definedName name="Z_D19FB106_2009_4801_8E75_2B0FF1B4CE89_.wvu.FilterData" localSheetId="2" hidden="1">CAPTURA!$A$6:$EK$678</definedName>
    <definedName name="Z_D19FB106_2009_4801_8E75_2B0FF1B4CE89_.wvu.FilterData" localSheetId="5" hidden="1">'DISPERSION FISCAL'!$A$1:$G$624</definedName>
    <definedName name="Z_D19FB106_2009_4801_8E75_2B0FF1B4CE89_.wvu.FilterData" localSheetId="1" hidden="1">FIJOS!$B$10:$P$505</definedName>
    <definedName name="Z_D19FB106_2009_4801_8E75_2B0FF1B4CE89_.wvu.FilterData" localSheetId="8" hidden="1">INCIDENCIAS!$B$5:$K$476</definedName>
    <definedName name="Z_D19FB106_2009_4801_8E75_2B0FF1B4CE89_.wvu.FilterData" localSheetId="6" hidden="1">VARIABLE!$A$1:$C$259</definedName>
    <definedName name="Z_D20519A5_58E5_4254_BB6E_3D9BE6CAA95C_.wvu.FilterData" localSheetId="2" hidden="1">CAPTURA!$A$6:$EK$678</definedName>
    <definedName name="Z_D2440F00_AF50_4D14_8C45_41557313F490_.wvu.FilterData" localSheetId="2" hidden="1">CAPTURA!$A$6:$EK$678</definedName>
    <definedName name="Z_D29AE4FC_5977_49A5_B143_BBFB974F7E5D_.wvu.FilterData" localSheetId="2" hidden="1">CAPTURA!$A$6:$EK$678</definedName>
    <definedName name="Z_D2C09461_0021_47FB_B09C_3FA083C013D4_.wvu.FilterData" localSheetId="2" hidden="1">CAPTURA!$A$6:$EK$678</definedName>
    <definedName name="Z_D303C495_A14C_4C29_9AC4_16A212C41969_.wvu.FilterData" localSheetId="2" hidden="1">CAPTURA!$A$6:$EK$678</definedName>
    <definedName name="Z_D32276B1_3D1D_4F5D_972C_14650897B5D2_.wvu.FilterData" localSheetId="2" hidden="1">CAPTURA!$A$6:$EK$678</definedName>
    <definedName name="Z_D32E780F_0814_424D_BBB4_2236E7A05605_.wvu.FilterData" localSheetId="2" hidden="1">CAPTURA!$A$6:$EK$678</definedName>
    <definedName name="Z_D34F70FD_0BA7_4AED_8B12_41168E43E7B6_.wvu.FilterData" localSheetId="2" hidden="1">CAPTURA!$A$6:$EK$678</definedName>
    <definedName name="Z_D38FC989_4DCE_4EF5_BE47_22F34BFE02C9_.wvu.FilterData" localSheetId="2" hidden="1">CAPTURA!$A$6:$EK$678</definedName>
    <definedName name="Z_D452D026_9BFC_4198_A9E7_A13624DB0148_.wvu.FilterData" localSheetId="2" hidden="1">CAPTURA!$A$6:$EK$678</definedName>
    <definedName name="Z_D4689FBD_AC5D_450B_A4F7_164A4CBC7CB8_.wvu.FilterData" localSheetId="2" hidden="1">CAPTURA!$A$6:$EK$678</definedName>
    <definedName name="Z_D47BF5C7_35AE_4871_AD46_CB1C7B1EBAFE_.wvu.FilterData" localSheetId="2" hidden="1">CAPTURA!$A$6:$EK$678</definedName>
    <definedName name="Z_D4B7EA2C_236D_4B5C_A166_56BF02393CB1_.wvu.FilterData" localSheetId="2" hidden="1">CAPTURA!$A$6:$EK$678</definedName>
    <definedName name="Z_D4D15368_6225_4772_A41C_5F754334223E_.wvu.FilterData" localSheetId="2" hidden="1">CAPTURA!$A$6:$EK$678</definedName>
    <definedName name="Z_D4E33B61_E82B_49DF_8230_A9A7EE2A730F_.wvu.FilterData" localSheetId="2" hidden="1">CAPTURA!$A$6:$EK$678</definedName>
    <definedName name="Z_D5267B5B_5980_40F6_BB8A_4E07D38D01C6_.wvu.FilterData" localSheetId="2" hidden="1">CAPTURA!$A$6:$EK$678</definedName>
    <definedName name="Z_D5296BEC_180E_429D_A0AB_D701B4001AE3_.wvu.FilterData" localSheetId="2" hidden="1">CAPTURA!$A$6:$EK$678</definedName>
    <definedName name="Z_D5426329_0B80_41AA_A4DF_ADAE85AEDADD_.wvu.FilterData" localSheetId="2" hidden="1">CAPTURA!$A$6:$EK$678</definedName>
    <definedName name="Z_D5426329_0B80_41AA_A4DF_ADAE85AEDADD_.wvu.FilterData" localSheetId="5" hidden="1">'DISPERSION FISCAL'!$A$1:$G$624</definedName>
    <definedName name="Z_D5426329_0B80_41AA_A4DF_ADAE85AEDADD_.wvu.FilterData" localSheetId="1" hidden="1">FIJOS!$B$10:$P$505</definedName>
    <definedName name="Z_D5426329_0B80_41AA_A4DF_ADAE85AEDADD_.wvu.FilterData" localSheetId="0" hidden="1">HORAS!$A$3:$DM$3</definedName>
    <definedName name="Z_D5426329_0B80_41AA_A4DF_ADAE85AEDADD_.wvu.FilterData" localSheetId="8" hidden="1">INCIDENCIAS!$B$5:$K$494</definedName>
    <definedName name="Z_D5426329_0B80_41AA_A4DF_ADAE85AEDADD_.wvu.FilterData" localSheetId="6" hidden="1">VARIABLE!$A$1:$C$259</definedName>
    <definedName name="Z_D5426329_0B80_41AA_A4DF_ADAE85AEDADD_.wvu.PrintArea" localSheetId="2" hidden="1">CAPTURA!$A$4:$DW$689</definedName>
    <definedName name="Z_D5426329_0B80_41AA_A4DF_ADAE85AEDADD_.wvu.PrintTitles" localSheetId="2" hidden="1">CAPTURA!$4:$6</definedName>
    <definedName name="Z_D58BAF8F_B8B9_4141_8D46_4D6D10F177D7_.wvu.FilterData" localSheetId="2" hidden="1">CAPTURA!$A$6:$EK$678</definedName>
    <definedName name="Z_D5CE319A_048D_44AD_892C_E1D37EBF209A_.wvu.FilterData" localSheetId="2" hidden="1">CAPTURA!$A$6:$EK$678</definedName>
    <definedName name="Z_D5D7814D_B8AA_4217_8DAD_7019157F39FC_.wvu.FilterData" localSheetId="2" hidden="1">CAPTURA!$A$6:$EK$678</definedName>
    <definedName name="Z_D5DF9767_6B5F_4B86_AC19_12892E4121E8_.wvu.FilterData" localSheetId="2" hidden="1">CAPTURA!$A$6:$EK$678</definedName>
    <definedName name="Z_D61CBEF5_5D2E_4911_B6BC_8F7AF33F0169_.wvu.FilterData" localSheetId="2" hidden="1">CAPTURA!$A$6:$EK$678</definedName>
    <definedName name="Z_D639D2DA_6B99_40C1_ABCB_86042DB814A7_.wvu.FilterData" localSheetId="2" hidden="1">CAPTURA!$A$6:$EK$678</definedName>
    <definedName name="Z_D63DDC10_34AD_40E6_8047_1A59FDC668FA_.wvu.FilterData" localSheetId="2" hidden="1">CAPTURA!$A$6:$EK$678</definedName>
    <definedName name="Z_D646A794_42ED_4FB7_8D9C_CD11F9E717C7_.wvu.FilterData" localSheetId="2" hidden="1">CAPTURA!$A$6:$EK$678</definedName>
    <definedName name="Z_D66F1C0F_24E6_4E40_96D8_D7B39B4EFB44_.wvu.FilterData" localSheetId="2" hidden="1">CAPTURA!$A$6:$EK$678</definedName>
    <definedName name="Z_D6770534_4857_4DC8_AACD_935F8264157E_.wvu.FilterData" localSheetId="2" hidden="1">CAPTURA!$A$6:$EK$678</definedName>
    <definedName name="Z_D6BA7C03_E397_4D60_BDE7_1BB97F699F2F_.wvu.FilterData" localSheetId="2" hidden="1">CAPTURA!$A$6:$EK$678</definedName>
    <definedName name="Z_D6C800A0_74F8_4899_BF3A_509DC7746712_.wvu.FilterData" localSheetId="2" hidden="1">CAPTURA!$A$6:$EK$678</definedName>
    <definedName name="Z_D6CFBEC2_7E47_49CB_A47B_54C70A017F0A_.wvu.FilterData" localSheetId="2" hidden="1">CAPTURA!$A$6:$EK$678</definedName>
    <definedName name="Z_D6CFBEC2_7E47_49CB_A47B_54C70A017F0A_.wvu.FilterData" localSheetId="5" hidden="1">'DISPERSION FISCAL'!$A$1:$E$181</definedName>
    <definedName name="Z_D6CFBEC2_7E47_49CB_A47B_54C70A017F0A_.wvu.FilterData" localSheetId="1" hidden="1">FIJOS!$B$10:$P$121</definedName>
    <definedName name="Z_D6CFBEC2_7E47_49CB_A47B_54C70A017F0A_.wvu.FilterData" localSheetId="8" hidden="1">INCIDENCIAS!$B$5:$K$514</definedName>
    <definedName name="Z_D6CFBEC2_7E47_49CB_A47B_54C70A017F0A_.wvu.FilterData" localSheetId="6" hidden="1">VARIABLE!$A$1:$C$259</definedName>
    <definedName name="Z_D6CFBEC2_7E47_49CB_A47B_54C70A017F0A_.wvu.PrintArea" localSheetId="2" hidden="1">CAPTURA!$A$4:$DW$689</definedName>
    <definedName name="Z_D6CFBEC2_7E47_49CB_A47B_54C70A017F0A_.wvu.PrintTitles" localSheetId="2" hidden="1">CAPTURA!$4:$6</definedName>
    <definedName name="Z_D6D81411_98EE_4B97_8A43_864A441BBF0D_.wvu.FilterData" localSheetId="2" hidden="1">CAPTURA!$A$6:$EK$678</definedName>
    <definedName name="Z_D6F18887_A132_4E78_9D41_1C2A5D5B9273_.wvu.FilterData" localSheetId="2" hidden="1">CAPTURA!$A$6:$EK$678</definedName>
    <definedName name="Z_D6FA08F6_C2A9_4A67_8591_57715160EFDC_.wvu.FilterData" localSheetId="2" hidden="1">CAPTURA!$A$6:$EK$678</definedName>
    <definedName name="Z_D6FA08F6_C2A9_4A67_8591_57715160EFDC_.wvu.FilterData" localSheetId="5" hidden="1">'DISPERSION FISCAL'!$A$1:$G$624</definedName>
    <definedName name="Z_D6FA08F6_C2A9_4A67_8591_57715160EFDC_.wvu.FilterData" localSheetId="1" hidden="1">FIJOS!$B$10:$P$505</definedName>
    <definedName name="Z_D6FA08F6_C2A9_4A67_8591_57715160EFDC_.wvu.FilterData" localSheetId="0" hidden="1">HORAS!$A$3:$DM$3</definedName>
    <definedName name="Z_D6FA08F6_C2A9_4A67_8591_57715160EFDC_.wvu.FilterData" localSheetId="8" hidden="1">INCIDENCIAS!$B$5:$K$467</definedName>
    <definedName name="Z_D6FA08F6_C2A9_4A67_8591_57715160EFDC_.wvu.FilterData" localSheetId="6" hidden="1">VARIABLE!$A$1:$C$259</definedName>
    <definedName name="Z_D6FA08F6_C2A9_4A67_8591_57715160EFDC_.wvu.PrintArea" localSheetId="2" hidden="1">CAPTURA!$A$4:$DW$689</definedName>
    <definedName name="Z_D6FA08F6_C2A9_4A67_8591_57715160EFDC_.wvu.PrintArea" localSheetId="7" hidden="1">EFECTIVOS!$A$1:$G$9</definedName>
    <definedName name="Z_D6FA08F6_C2A9_4A67_8591_57715160EFDC_.wvu.PrintTitles" localSheetId="2" hidden="1">CAPTURA!$4:$6</definedName>
    <definedName name="Z_D725E3A7_423A_4D9A_974E_EBF7A5668E12_.wvu.FilterData" localSheetId="2" hidden="1">CAPTURA!$A$6:$EK$678</definedName>
    <definedName name="Z_D76533C6_0A4C_4ABA_9EF5_E8745EC8CB1C_.wvu.FilterData" localSheetId="2" hidden="1">CAPTURA!$A$6:$EK$678</definedName>
    <definedName name="Z_D77F2EFA_E0E6_4726_9A0F_972D5FAAD617_.wvu.FilterData" localSheetId="2" hidden="1">CAPTURA!$A$6:$EK$678</definedName>
    <definedName name="Z_D77F2EFA_E0E6_4726_9A0F_972D5FAAD617_.wvu.FilterData" localSheetId="1" hidden="1">FIJOS!$B$10:$P$130</definedName>
    <definedName name="Z_D7D8DF0C_7AC5_42D5_99BC_8FAAE6C2CEBD_.wvu.FilterData" localSheetId="2" hidden="1">CAPTURA!$A$6:$EK$678</definedName>
    <definedName name="Z_D814D7D0_4BA1_4AE1_91A2_B4E6A2D6C4F3_.wvu.FilterData" localSheetId="2" hidden="1">CAPTURA!$A$6:$EK$678</definedName>
    <definedName name="Z_D822A186_72DC_42DE_BB92_57A68AA0BF88_.wvu.FilterData" localSheetId="2" hidden="1">CAPTURA!$A$6:$EK$678</definedName>
    <definedName name="Z_D822A186_72DC_42DE_BB92_57A68AA0BF88_.wvu.FilterData" localSheetId="1" hidden="1">FIJOS!$B$10:$P$108</definedName>
    <definedName name="Z_D8333325_763F_4345_85B3_BD3C01D94D32_.wvu.FilterData" localSheetId="2" hidden="1">CAPTURA!$A$6:$EK$678</definedName>
    <definedName name="Z_D8667316_1514_4542_935E_3E2AC4C6F555_.wvu.FilterData" localSheetId="2" hidden="1">CAPTURA!$A$6:$EK$678</definedName>
    <definedName name="Z_D8746F37_0FD0_492F_BF54_9D70A89BF39F_.wvu.FilterData" localSheetId="2" hidden="1">CAPTURA!$A$6:$EK$678</definedName>
    <definedName name="Z_D88AC496_EB6D_4444_9453_A661EE247036_.wvu.FilterData" localSheetId="2" hidden="1">CAPTURA!$A$6:$EK$678</definedName>
    <definedName name="Z_D8A2E982_0B2F_4CE9_90C1_FE517FED0582_.wvu.FilterData" localSheetId="2" hidden="1">CAPTURA!$A$6:$EK$678</definedName>
    <definedName name="Z_D8A70095_8EE6_45E0_87DD_29413B7AE4BD_.wvu.FilterData" localSheetId="2" hidden="1">CAPTURA!$A$6:$EK$678</definedName>
    <definedName name="Z_D8A70095_8EE6_45E0_87DD_29413B7AE4BD_.wvu.FilterData" localSheetId="5" hidden="1">'DISPERSION FISCAL'!$A$1:$G$624</definedName>
    <definedName name="Z_D8A70095_8EE6_45E0_87DD_29413B7AE4BD_.wvu.FilterData" localSheetId="1" hidden="1">FIJOS!$B$10:$P$505</definedName>
    <definedName name="Z_D8A70095_8EE6_45E0_87DD_29413B7AE4BD_.wvu.FilterData" localSheetId="0" hidden="1">HORAS!$A$3:$DM$3</definedName>
    <definedName name="Z_D8A70095_8EE6_45E0_87DD_29413B7AE4BD_.wvu.FilterData" localSheetId="8" hidden="1">INCIDENCIAS!$B$5:$K$732</definedName>
    <definedName name="Z_D8A70095_8EE6_45E0_87DD_29413B7AE4BD_.wvu.FilterData" localSheetId="6" hidden="1">VARIABLE!$A$1:$C$259</definedName>
    <definedName name="Z_D8A70095_8EE6_45E0_87DD_29413B7AE4BD_.wvu.PrintArea" localSheetId="2" hidden="1">CAPTURA!$A$4:$DW$689</definedName>
    <definedName name="Z_D8A70095_8EE6_45E0_87DD_29413B7AE4BD_.wvu.PrintTitles" localSheetId="2" hidden="1">CAPTURA!$4:$6</definedName>
    <definedName name="Z_D8F727AB_2FDD_442C_9482_FC71F3B84DD7_.wvu.FilterData" localSheetId="2" hidden="1">CAPTURA!$A$6:$EK$678</definedName>
    <definedName name="Z_D91CD97D_050B_46C3_BBBB_B13C90101C0F_.wvu.FilterData" localSheetId="2" hidden="1">CAPTURA!$A$6:$EK$678</definedName>
    <definedName name="Z_D91CD97D_050B_46C3_BBBB_B13C90101C0F_.wvu.FilterData" localSheetId="1" hidden="1">FIJOS!$B$10:$P$121</definedName>
    <definedName name="Z_D95BA0DA_72BE_4C3C_B1A5_CFCB0C511BE3_.wvu.FilterData" localSheetId="2" hidden="1">CAPTURA!$A$6:$EK$678</definedName>
    <definedName name="Z_D96D7984_2D52_4FBD_902A_B4501BE49DEE_.wvu.FilterData" localSheetId="2" hidden="1">CAPTURA!$A$6:$EK$678</definedName>
    <definedName name="Z_D9884FDF_2654_4C00_B239_02AD62C12136_.wvu.FilterData" localSheetId="2" hidden="1">CAPTURA!$A$6:$EK$678</definedName>
    <definedName name="Z_D9884FDF_2654_4C00_B239_02AD62C12136_.wvu.FilterData" localSheetId="5" hidden="1">'DISPERSION FISCAL'!$A$1:$G$624</definedName>
    <definedName name="Z_D9884FDF_2654_4C00_B239_02AD62C12136_.wvu.FilterData" localSheetId="1" hidden="1">FIJOS!$B$10:$P$505</definedName>
    <definedName name="Z_D9884FDF_2654_4C00_B239_02AD62C12136_.wvu.FilterData" localSheetId="0" hidden="1">HORAS!$A$3:$DM$3</definedName>
    <definedName name="Z_D9884FDF_2654_4C00_B239_02AD62C12136_.wvu.FilterData" localSheetId="8" hidden="1">INCIDENCIAS!$B$5:$K$467</definedName>
    <definedName name="Z_D9884FDF_2654_4C00_B239_02AD62C12136_.wvu.FilterData" localSheetId="6" hidden="1">VARIABLE!$A$1:$C$259</definedName>
    <definedName name="Z_D9884FDF_2654_4C00_B239_02AD62C12136_.wvu.PrintArea" localSheetId="2" hidden="1">CAPTURA!$A$4:$DW$689</definedName>
    <definedName name="Z_D9884FDF_2654_4C00_B239_02AD62C12136_.wvu.PrintArea" localSheetId="7" hidden="1">EFECTIVOS!$A$1:$G$9</definedName>
    <definedName name="Z_D9884FDF_2654_4C00_B239_02AD62C12136_.wvu.PrintTitles" localSheetId="2" hidden="1">CAPTURA!$4:$6</definedName>
    <definedName name="Z_D9AE37F3_D7D8_4191_92B4_EE06609B90CB_.wvu.FilterData" localSheetId="2" hidden="1">CAPTURA!$A$6:$EK$678</definedName>
    <definedName name="Z_D9D5A18C_7A53_4D1E_A005_A31048745733_.wvu.FilterData" localSheetId="2" hidden="1">CAPTURA!$A$6:$EK$678</definedName>
    <definedName name="Z_D9E0C162_3F4B_4FF5_ADE5_2CF6243461B6_.wvu.FilterData" localSheetId="2" hidden="1">CAPTURA!$A$6:$EK$678</definedName>
    <definedName name="Z_D9E0C162_3F4B_4FF5_ADE5_2CF6243461B6_.wvu.FilterData" localSheetId="8" hidden="1">INCIDENCIAS!$B$5:$K$284</definedName>
    <definedName name="Z_D9F36252_F711_48E1_981C_ABFB26DA96F7_.wvu.FilterData" localSheetId="2" hidden="1">CAPTURA!$A$6:$EK$678</definedName>
    <definedName name="Z_DA034CC5_37F2_4998_8098_2BEA6AA3B7A1_.wvu.FilterData" localSheetId="2" hidden="1">CAPTURA!$A$6:$EK$678</definedName>
    <definedName name="Z_DA5B0146_2E74_436A_8106_308AB933EE77_.wvu.FilterData" localSheetId="2" hidden="1">CAPTURA!$A$6:$EK$678</definedName>
    <definedName name="Z_DA6EF1F7_4CC0_48A4_80EA_97BD98A85404_.wvu.FilterData" localSheetId="2" hidden="1">CAPTURA!$A$6:$EK$678</definedName>
    <definedName name="Z_DAD86483_3E85_4B95_8AC2_9F69AAFB0D4B_.wvu.FilterData" localSheetId="2" hidden="1">CAPTURA!$A$6:$EK$678</definedName>
    <definedName name="Z_DAE639AF_5CBC_4847_934B_EF5D29FB5D03_.wvu.FilterData" localSheetId="2" hidden="1">CAPTURA!$A$6:$EK$678</definedName>
    <definedName name="Z_DB043DD5_2961_4845_A17B_E49F3051A745_.wvu.FilterData" localSheetId="2" hidden="1">CAPTURA!$A$6:$EK$678</definedName>
    <definedName name="Z_DB1AB9BC_A700_4652_A61A_EE1F64E62E37_.wvu.Cols" localSheetId="1" hidden="1">FIJOS!$H:$I</definedName>
    <definedName name="Z_DB1AB9BC_A700_4652_A61A_EE1F64E62E37_.wvu.FilterData" localSheetId="2" hidden="1">CAPTURA!$A$6:$EK$678</definedName>
    <definedName name="Z_DB1AB9BC_A700_4652_A61A_EE1F64E62E37_.wvu.FilterData" localSheetId="5" hidden="1">'DISPERSION FISCAL'!$A$1:$E$181</definedName>
    <definedName name="Z_DB1AB9BC_A700_4652_A61A_EE1F64E62E37_.wvu.FilterData" localSheetId="1" hidden="1">FIJOS!$B$10:$P$108</definedName>
    <definedName name="Z_DB1AB9BC_A700_4652_A61A_EE1F64E62E37_.wvu.FilterData" localSheetId="8" hidden="1">INCIDENCIAS!$B$5:$K$513</definedName>
    <definedName name="Z_DB1AB9BC_A700_4652_A61A_EE1F64E62E37_.wvu.FilterData" localSheetId="6" hidden="1">VARIABLE!$A$1:$C$259</definedName>
    <definedName name="Z_DB1AB9BC_A700_4652_A61A_EE1F64E62E37_.wvu.PrintArea" localSheetId="2" hidden="1">CAPTURA!$A$4:$DW$689</definedName>
    <definedName name="Z_DB1AB9BC_A700_4652_A61A_EE1F64E62E37_.wvu.PrintTitles" localSheetId="2" hidden="1">CAPTURA!$4:$6</definedName>
    <definedName name="Z_DB302B69_C907_42A6_953E_60316231C8C0_.wvu.FilterData" localSheetId="2" hidden="1">CAPTURA!$A$6:$EK$678</definedName>
    <definedName name="Z_DB457408_EF07_4FAD_97EF_5744A0BE2000_.wvu.FilterData" localSheetId="2" hidden="1">CAPTURA!$A$6:$EK$678</definedName>
    <definedName name="Z_DB9894F0_96BC_4C04_8D04_FF3607BEBF53_.wvu.FilterData" localSheetId="2" hidden="1">CAPTURA!$A$6:$EK$678</definedName>
    <definedName name="Z_DB9894F0_96BC_4C04_8D04_FF3607BEBF53_.wvu.FilterData" localSheetId="5" hidden="1">'DISPERSION FISCAL'!$A$1:$G$624</definedName>
    <definedName name="Z_DB9894F0_96BC_4C04_8D04_FF3607BEBF53_.wvu.FilterData" localSheetId="1" hidden="1">FIJOS!$B$10:$P$505</definedName>
    <definedName name="Z_DB9894F0_96BC_4C04_8D04_FF3607BEBF53_.wvu.FilterData" localSheetId="0" hidden="1">HORAS!$A$3:$DM$3</definedName>
    <definedName name="Z_DB9894F0_96BC_4C04_8D04_FF3607BEBF53_.wvu.FilterData" localSheetId="8" hidden="1">INCIDENCIAS!$B$5:$M$468</definedName>
    <definedName name="Z_DB9894F0_96BC_4C04_8D04_FF3607BEBF53_.wvu.FilterData" localSheetId="6" hidden="1">VARIABLE!$A$1:$C$259</definedName>
    <definedName name="Z_DB9894F0_96BC_4C04_8D04_FF3607BEBF53_.wvu.PrintArea" localSheetId="2" hidden="1">CAPTURA!$A$4:$DW$689</definedName>
    <definedName name="Z_DB9894F0_96BC_4C04_8D04_FF3607BEBF53_.wvu.PrintArea" localSheetId="7" hidden="1">EFECTIVOS!$A$1:$G$9</definedName>
    <definedName name="Z_DB9894F0_96BC_4C04_8D04_FF3607BEBF53_.wvu.PrintTitles" localSheetId="2" hidden="1">CAPTURA!$4:$6</definedName>
    <definedName name="Z_DBBFC336_0C7A_497D_9436_708A0CE50F6C_.wvu.FilterData" localSheetId="2" hidden="1">CAPTURA!$A$6:$EK$678</definedName>
    <definedName name="Z_DBC89782_89C4_4F4B_BA24_F1A0EB23B376_.wvu.FilterData" localSheetId="2" hidden="1">CAPTURA!$A$6:$EK$678</definedName>
    <definedName name="Z_DBD36C0D_CB64_4840_8832_0601EDEF2C27_.wvu.FilterData" localSheetId="2" hidden="1">CAPTURA!$A$6:$EK$678</definedName>
    <definedName name="Z_DBE6698A_EA4F_4279_B9A8_BA84AD20CEF8_.wvu.FilterData" localSheetId="2" hidden="1">CAPTURA!$A$6:$EK$678</definedName>
    <definedName name="Z_DC06FB4E_B5F9_4DE6_B3D8_43F5530F6ABE_.wvu.FilterData" localSheetId="2" hidden="1">CAPTURA!$A$6:$EK$678</definedName>
    <definedName name="Z_DC0C25AF_EB1E_4360_86B1_AE3A6A11E77F_.wvu.FilterData" localSheetId="2" hidden="1">CAPTURA!$A$6:$EK$678</definedName>
    <definedName name="Z_DC6D1051_7A5C_481F_BD13_CD46DB6F5F79_.wvu.FilterData" localSheetId="2" hidden="1">CAPTURA!$A$6:$EK$678</definedName>
    <definedName name="Z_DCB43FA9_901A_4E08_8637_B8E5EE380CE9_.wvu.FilterData" localSheetId="2" hidden="1">CAPTURA!$A$6:$EK$678</definedName>
    <definedName name="Z_DCF7DF77_8AAB_4998_9FAD_ACFFD88F8203_.wvu.FilterData" localSheetId="2" hidden="1">CAPTURA!$A$6:$EK$678</definedName>
    <definedName name="Z_DD189B2A_676E_46D9_933E_7B8C5893DB19_.wvu.FilterData" localSheetId="2" hidden="1">CAPTURA!$A$6:$EK$678</definedName>
    <definedName name="Z_DD2FF899_040C_4758_A1F7_E94A00CA9AF3_.wvu.FilterData" localSheetId="2" hidden="1">CAPTURA!$A$6:$EK$678</definedName>
    <definedName name="Z_DD70786F_FA44_4BA8_B543_1D25BD7B0FA2_.wvu.FilterData" localSheetId="2" hidden="1">CAPTURA!$A$6:$EK$678</definedName>
    <definedName name="Z_DD70786F_FA44_4BA8_B543_1D25BD7B0FA2_.wvu.FilterData" localSheetId="5" hidden="1">'DISPERSION FISCAL'!$A$1:$G$624</definedName>
    <definedName name="Z_DD70786F_FA44_4BA8_B543_1D25BD7B0FA2_.wvu.FilterData" localSheetId="1" hidden="1">FIJOS!$B$10:$P$505</definedName>
    <definedName name="Z_DD70786F_FA44_4BA8_B543_1D25BD7B0FA2_.wvu.FilterData" localSheetId="0" hidden="1">HORAS!$A$3:$DM$3</definedName>
    <definedName name="Z_DD70786F_FA44_4BA8_B543_1D25BD7B0FA2_.wvu.FilterData" localSheetId="8" hidden="1">INCIDENCIAS!$B$5:$K$467</definedName>
    <definedName name="Z_DD70786F_FA44_4BA8_B543_1D25BD7B0FA2_.wvu.FilterData" localSheetId="6" hidden="1">VARIABLE!$A$1:$C$259</definedName>
    <definedName name="Z_DD70786F_FA44_4BA8_B543_1D25BD7B0FA2_.wvu.PrintArea" localSheetId="2" hidden="1">CAPTURA!$A$4:$DW$689</definedName>
    <definedName name="Z_DD70786F_FA44_4BA8_B543_1D25BD7B0FA2_.wvu.PrintArea" localSheetId="7" hidden="1">EFECTIVOS!$A$1:$G$9</definedName>
    <definedName name="Z_DD70786F_FA44_4BA8_B543_1D25BD7B0FA2_.wvu.PrintTitles" localSheetId="2" hidden="1">CAPTURA!$4:$6</definedName>
    <definedName name="Z_DD805EDA_8C44_42E9_9FC4_DAB03E7D2B31_.wvu.FilterData" localSheetId="2" hidden="1">CAPTURA!$A$6:$EK$678</definedName>
    <definedName name="Z_DDAFA275_9AF9_4756_95A6_AD32370BF7C6_.wvu.FilterData" localSheetId="2" hidden="1">CAPTURA!$A$6:$EK$678</definedName>
    <definedName name="Z_DDAFA275_9AF9_4756_95A6_AD32370BF7C6_.wvu.FilterData" localSheetId="5" hidden="1">'DISPERSION FISCAL'!$A$1:$G$624</definedName>
    <definedName name="Z_DDAFA275_9AF9_4756_95A6_AD32370BF7C6_.wvu.FilterData" localSheetId="1" hidden="1">FIJOS!$B$10:$P$505</definedName>
    <definedName name="Z_DDAFA275_9AF9_4756_95A6_AD32370BF7C6_.wvu.FilterData" localSheetId="0" hidden="1">HORAS!$A$3:$DM$3</definedName>
    <definedName name="Z_DDAFA275_9AF9_4756_95A6_AD32370BF7C6_.wvu.FilterData" localSheetId="8" hidden="1">INCIDENCIAS!$B$5:$K$494</definedName>
    <definedName name="Z_DDAFA275_9AF9_4756_95A6_AD32370BF7C6_.wvu.FilterData" localSheetId="6" hidden="1">VARIABLE!$A$1:$C$259</definedName>
    <definedName name="Z_DDAFA275_9AF9_4756_95A6_AD32370BF7C6_.wvu.PrintArea" localSheetId="2" hidden="1">CAPTURA!$A$4:$DW$689</definedName>
    <definedName name="Z_DDAFA275_9AF9_4756_95A6_AD32370BF7C6_.wvu.PrintTitles" localSheetId="2" hidden="1">CAPTURA!$4:$6</definedName>
    <definedName name="Z_DDC48E0A_0EFD_4662_A318_90AE268D9DBA_.wvu.FilterData" localSheetId="2" hidden="1">CAPTURA!$A$6:$EK$678</definedName>
    <definedName name="Z_DDC48E0A_0EFD_4662_A318_90AE268D9DBA_.wvu.FilterData" localSheetId="5" hidden="1">'DISPERSION FISCAL'!$A$1:$G$624</definedName>
    <definedName name="Z_DDC48E0A_0EFD_4662_A318_90AE268D9DBA_.wvu.FilterData" localSheetId="1" hidden="1">FIJOS!$B$10:$P$496</definedName>
    <definedName name="Z_DDC48E0A_0EFD_4662_A318_90AE268D9DBA_.wvu.FilterData" localSheetId="8" hidden="1">INCIDENCIAS!$B$5:$K$732</definedName>
    <definedName name="Z_DDC48E0A_0EFD_4662_A318_90AE268D9DBA_.wvu.FilterData" localSheetId="6" hidden="1">VARIABLE!$A$1:$C$259</definedName>
    <definedName name="Z_DDC48E0A_0EFD_4662_A318_90AE268D9DBA_.wvu.PrintArea" localSheetId="2" hidden="1">CAPTURA!$A$4:$DW$689</definedName>
    <definedName name="Z_DDC48E0A_0EFD_4662_A318_90AE268D9DBA_.wvu.PrintTitles" localSheetId="2" hidden="1">CAPTURA!$4:$6</definedName>
    <definedName name="Z_DDE340EE_2358_48CB_8DA1_14E5C9E410A1_.wvu.FilterData" localSheetId="2" hidden="1">CAPTURA!$A$6:$EK$678</definedName>
    <definedName name="Z_DE4BD1BA_494A_4957_9FA8_31B6D70D0D12_.wvu.FilterData" localSheetId="2" hidden="1">CAPTURA!$A$6:$EK$678</definedName>
    <definedName name="Z_DE4D7504_1258_45A2_8E39_FB0665B07858_.wvu.FilterData" localSheetId="2" hidden="1">CAPTURA!$A$6:$EK$678</definedName>
    <definedName name="Z_DE4D7504_1258_45A2_8E39_FB0665B07858_.wvu.FilterData" localSheetId="5" hidden="1">'DISPERSION FISCAL'!$A$1:$E$181</definedName>
    <definedName name="Z_DE4D7504_1258_45A2_8E39_FB0665B07858_.wvu.FilterData" localSheetId="1" hidden="1">FIJOS!$B$10:$P$121</definedName>
    <definedName name="Z_DE4D7504_1258_45A2_8E39_FB0665B07858_.wvu.FilterData" localSheetId="8" hidden="1">INCIDENCIAS!$B$5:$K$514</definedName>
    <definedName name="Z_DE4D7504_1258_45A2_8E39_FB0665B07858_.wvu.FilterData" localSheetId="6" hidden="1">VARIABLE!$A$1:$C$259</definedName>
    <definedName name="Z_DE4D7504_1258_45A2_8E39_FB0665B07858_.wvu.PrintArea" localSheetId="2" hidden="1">CAPTURA!$A$4:$DW$689</definedName>
    <definedName name="Z_DE4D7504_1258_45A2_8E39_FB0665B07858_.wvu.PrintTitles" localSheetId="2" hidden="1">CAPTURA!$4:$6</definedName>
    <definedName name="Z_DE6A499E_59D6_448A_BBC6_4BED53817D6D_.wvu.FilterData" localSheetId="2" hidden="1">CAPTURA!$A$6:$EK$678</definedName>
    <definedName name="Z_DEAF440E_22D7_4376_8631_987355C3C8B0_.wvu.FilterData" localSheetId="2" hidden="1">CAPTURA!$A$6:$EK$678</definedName>
    <definedName name="Z_DEAF440E_22D7_4376_8631_987355C3C8B0_.wvu.FilterData" localSheetId="5" hidden="1">'DISPERSION FISCAL'!$A$1:$E$181</definedName>
    <definedName name="Z_DEAF440E_22D7_4376_8631_987355C3C8B0_.wvu.FilterData" localSheetId="1" hidden="1">FIJOS!$B$10:$P$121</definedName>
    <definedName name="Z_DEAF440E_22D7_4376_8631_987355C3C8B0_.wvu.FilterData" localSheetId="8" hidden="1">INCIDENCIAS!$B$5:$K$514</definedName>
    <definedName name="Z_DEAF440E_22D7_4376_8631_987355C3C8B0_.wvu.FilterData" localSheetId="6" hidden="1">VARIABLE!$A$1:$C$259</definedName>
    <definedName name="Z_DEAF440E_22D7_4376_8631_987355C3C8B0_.wvu.PrintArea" localSheetId="2" hidden="1">CAPTURA!$A$4:$DW$689</definedName>
    <definedName name="Z_DEAF440E_22D7_4376_8631_987355C3C8B0_.wvu.PrintTitles" localSheetId="2" hidden="1">CAPTURA!$4:$6</definedName>
    <definedName name="Z_DEB13035_BC67_44BE_9EFB_D53ECDBDF6FA_.wvu.FilterData" localSheetId="2" hidden="1">CAPTURA!$A$6:$EK$678</definedName>
    <definedName name="Z_DEC179BC_C283_4BDF_8B46_C2FA95383A73_.wvu.FilterData" localSheetId="2" hidden="1">CAPTURA!$A$6:$EK$678</definedName>
    <definedName name="Z_DED70600_EB22_4C05_B610_8FAE6E1058C7_.wvu.FilterData" localSheetId="2" hidden="1">CAPTURA!$A$6:$EK$678</definedName>
    <definedName name="Z_DED70600_EB22_4C05_B610_8FAE6E1058C7_.wvu.FilterData" localSheetId="1" hidden="1">FIJOS!$B$10:$P$108</definedName>
    <definedName name="Z_DEEBD49F_2E22_41D9_AAE9_3D4ED3FDDD43_.wvu.FilterData" localSheetId="2" hidden="1">CAPTURA!$A$6:$EK$678</definedName>
    <definedName name="Z_DF180577_C43D_4622_B0D5_4A612D9C979D_.wvu.FilterData" localSheetId="2" hidden="1">CAPTURA!$A$6:$EK$678</definedName>
    <definedName name="Z_DF242F0F_3C22_4C50_81B1_6F1B821CD0AB_.wvu.FilterData" localSheetId="2" hidden="1">CAPTURA!$A$6:$EK$678</definedName>
    <definedName name="Z_DF2CCB2F_96E3_40B0_96F9_6F5D578E7CA2_.wvu.FilterData" localSheetId="2" hidden="1">CAPTURA!$A$6:$EK$678</definedName>
    <definedName name="Z_DF57687D_DF4F_43BB_8F03_B7738892A4DF_.wvu.FilterData" localSheetId="2" hidden="1">CAPTURA!$A$6:$EK$678</definedName>
    <definedName name="Z_DF7BC2BD_83E2_46BE_8503_7EECAA9F8242_.wvu.FilterData" localSheetId="2" hidden="1">CAPTURA!$A$6:$EK$678</definedName>
    <definedName name="Z_DF8745BF_198E_4531_AA76_937CDE143181_.wvu.FilterData" localSheetId="2" hidden="1">CAPTURA!$A$6:$EK$678</definedName>
    <definedName name="Z_DFCC70D9_6C9D_41C4_8844_C095F6E9B96A_.wvu.FilterData" localSheetId="2" hidden="1">CAPTURA!$A$6:$EK$678</definedName>
    <definedName name="Z_DFD9B97F_DEC8_42BB_AAC5_371D7256ADEA_.wvu.FilterData" localSheetId="2" hidden="1">CAPTURA!$A$6:$EK$678</definedName>
    <definedName name="Z_E055DA43_AE83_4C14_BA6F_7A9933373C15_.wvu.FilterData" localSheetId="2" hidden="1">CAPTURA!$A$6:$EK$678</definedName>
    <definedName name="Z_E06ED23C_AC8D_4903_8752_2009EFDA107C_.wvu.FilterData" localSheetId="2" hidden="1">CAPTURA!$A$6:$EK$678</definedName>
    <definedName name="Z_E072FB4D_C204_45EC_B173_C998172A446F_.wvu.FilterData" localSheetId="2" hidden="1">CAPTURA!$A$6:$EK$678</definedName>
    <definedName name="Z_E072FB4D_C204_45EC_B173_C998172A446F_.wvu.FilterData" localSheetId="5" hidden="1">'DISPERSION FISCAL'!$A$1:$E$181</definedName>
    <definedName name="Z_E072FB4D_C204_45EC_B173_C998172A446F_.wvu.FilterData" localSheetId="1" hidden="1">FIJOS!$B$10:$P$228</definedName>
    <definedName name="Z_E072FB4D_C204_45EC_B173_C998172A446F_.wvu.FilterData" localSheetId="8" hidden="1">INCIDENCIAS!$B$5:$K$507</definedName>
    <definedName name="Z_E072FB4D_C204_45EC_B173_C998172A446F_.wvu.FilterData" localSheetId="6" hidden="1">VARIABLE!$A$1:$C$259</definedName>
    <definedName name="Z_E072FB4D_C204_45EC_B173_C998172A446F_.wvu.PrintArea" localSheetId="2" hidden="1">CAPTURA!$A$4:$DW$689</definedName>
    <definedName name="Z_E072FB4D_C204_45EC_B173_C998172A446F_.wvu.PrintTitles" localSheetId="2" hidden="1">CAPTURA!$4:$6</definedName>
    <definedName name="Z_E07859EF_9919_48E7_932B_E1427F1C089D_.wvu.FilterData" localSheetId="2" hidden="1">CAPTURA!$A$6:$EK$678</definedName>
    <definedName name="Z_E0A89DE5_1A27_42A7_B191_B240378C74A0_.wvu.FilterData" localSheetId="2" hidden="1">CAPTURA!$A$6:$EK$678</definedName>
    <definedName name="Z_E0F947E3_1CCC_4F2C_A59C_96497DD8814D_.wvu.FilterData" localSheetId="2" hidden="1">CAPTURA!$A$6:$EK$678</definedName>
    <definedName name="Z_E0F947E3_1CCC_4F2C_A59C_96497DD8814D_.wvu.FilterData" localSheetId="5" hidden="1">'DISPERSION FISCAL'!$A$1:$E$181</definedName>
    <definedName name="Z_E0F947E3_1CCC_4F2C_A59C_96497DD8814D_.wvu.FilterData" localSheetId="1" hidden="1">FIJOS!$B$10:$P$121</definedName>
    <definedName name="Z_E0F947E3_1CCC_4F2C_A59C_96497DD8814D_.wvu.FilterData" localSheetId="8" hidden="1">INCIDENCIAS!$B$5:$K$514</definedName>
    <definedName name="Z_E0F947E3_1CCC_4F2C_A59C_96497DD8814D_.wvu.FilterData" localSheetId="6" hidden="1">VARIABLE!$A$1:$C$259</definedName>
    <definedName name="Z_E0F947E3_1CCC_4F2C_A59C_96497DD8814D_.wvu.PrintArea" localSheetId="2" hidden="1">CAPTURA!$A$4:$DW$689</definedName>
    <definedName name="Z_E0F947E3_1CCC_4F2C_A59C_96497DD8814D_.wvu.PrintTitles" localSheetId="2" hidden="1">CAPTURA!$4:$6</definedName>
    <definedName name="Z_E1128741_1435_417C_AA8D_4F7411D63919_.wvu.FilterData" localSheetId="2" hidden="1">CAPTURA!$A$6:$EK$678</definedName>
    <definedName name="Z_E13ED836_7210_4076_B90B_D16F2F849116_.wvu.FilterData" localSheetId="2" hidden="1">CAPTURA!$A$6:$EK$678</definedName>
    <definedName name="Z_E1526E97_4C0F_4D28_9987_1B287591FF39_.wvu.FilterData" localSheetId="2" hidden="1">CAPTURA!$A$6:$EK$678</definedName>
    <definedName name="Z_E15E8D8B_19FB_4D10_ABCF_0D08FD7475C6_.wvu.FilterData" localSheetId="2" hidden="1">CAPTURA!$A$6:$EK$678</definedName>
    <definedName name="Z_E1C71711_0E3F_4903_AD8D_B6B77C43C1BF_.wvu.FilterData" localSheetId="2" hidden="1">CAPTURA!$A$6:$EK$678</definedName>
    <definedName name="Z_E1E17156_9B33_4BC7_B2F5_F1FB735E848D_.wvu.FilterData" localSheetId="2" hidden="1">CAPTURA!$A$6:$EK$678</definedName>
    <definedName name="Z_E2602E37_3024_4674_9271_0B070DA9BE56_.wvu.FilterData" localSheetId="2" hidden="1">CAPTURA!$A$6:$EK$678</definedName>
    <definedName name="Z_E2705E30_B6AE_481A_A86A_78BBB5F3042B_.wvu.FilterData" localSheetId="2" hidden="1">CAPTURA!$A$6:$EK$678</definedName>
    <definedName name="Z_E2705E30_B6AE_481A_A86A_78BBB5F3042B_.wvu.FilterData" localSheetId="5" hidden="1">'DISPERSION FISCAL'!$A$1:$E$181</definedName>
    <definedName name="Z_E2705E30_B6AE_481A_A86A_78BBB5F3042B_.wvu.FilterData" localSheetId="1" hidden="1">FIJOS!$B$10:$P$121</definedName>
    <definedName name="Z_E2705E30_B6AE_481A_A86A_78BBB5F3042B_.wvu.FilterData" localSheetId="8" hidden="1">INCIDENCIAS!$B$5:$K$514</definedName>
    <definedName name="Z_E2705E30_B6AE_481A_A86A_78BBB5F3042B_.wvu.FilterData" localSheetId="6" hidden="1">VARIABLE!$A$1:$C$259</definedName>
    <definedName name="Z_E2705E30_B6AE_481A_A86A_78BBB5F3042B_.wvu.PrintArea" localSheetId="2" hidden="1">CAPTURA!$A$4:$DW$689</definedName>
    <definedName name="Z_E2705E30_B6AE_481A_A86A_78BBB5F3042B_.wvu.PrintTitles" localSheetId="2" hidden="1">CAPTURA!$4:$6</definedName>
    <definedName name="Z_E2BD01C9_E026_4CE8_81AB_9C38298B0114_.wvu.FilterData" localSheetId="2" hidden="1">CAPTURA!$A$6:$EK$678</definedName>
    <definedName name="Z_E334625C_0FB1_4B2C_BA4E_94BA622AEF0B_.wvu.FilterData" localSheetId="2" hidden="1">CAPTURA!$A$6:$EK$678</definedName>
    <definedName name="Z_E3456B6A_118B_4A88_B4BE_E0B795BF4ABB_.wvu.FilterData" localSheetId="2" hidden="1">CAPTURA!$A$6:$EK$678</definedName>
    <definedName name="Z_E3742402_47E6_4E9B_8E2B_9C3CB00E1ED7_.wvu.FilterData" localSheetId="2" hidden="1">CAPTURA!$A$6:$EK$678</definedName>
    <definedName name="Z_E3742402_47E6_4E9B_8E2B_9C3CB00E1ED7_.wvu.FilterData" localSheetId="5" hidden="1">'DISPERSION FISCAL'!$A$1:$G$624</definedName>
    <definedName name="Z_E3742402_47E6_4E9B_8E2B_9C3CB00E1ED7_.wvu.FilterData" localSheetId="1" hidden="1">FIJOS!$B$10:$P$505</definedName>
    <definedName name="Z_E3742402_47E6_4E9B_8E2B_9C3CB00E1ED7_.wvu.FilterData" localSheetId="0" hidden="1">HORAS!$A$3:$DM$3</definedName>
    <definedName name="Z_E3742402_47E6_4E9B_8E2B_9C3CB00E1ED7_.wvu.FilterData" localSheetId="8" hidden="1">INCIDENCIAS!$B$5:$K$494</definedName>
    <definedName name="Z_E3742402_47E6_4E9B_8E2B_9C3CB00E1ED7_.wvu.FilterData" localSheetId="6" hidden="1">VARIABLE!$A$1:$C$259</definedName>
    <definedName name="Z_E3742402_47E6_4E9B_8E2B_9C3CB00E1ED7_.wvu.PrintArea" localSheetId="2" hidden="1">CAPTURA!$A$4:$DW$689</definedName>
    <definedName name="Z_E3742402_47E6_4E9B_8E2B_9C3CB00E1ED7_.wvu.PrintTitles" localSheetId="2" hidden="1">CAPTURA!$4:$6</definedName>
    <definedName name="Z_E39703F6_2B89_4144_B9A0_BE801A097D75_.wvu.FilterData" localSheetId="2" hidden="1">CAPTURA!$A$6:$EK$678</definedName>
    <definedName name="Z_E39703F6_2B89_4144_B9A0_BE801A097D75_.wvu.FilterData" localSheetId="5" hidden="1">'DISPERSION FISCAL'!$A$1:$G$624</definedName>
    <definedName name="Z_E39703F6_2B89_4144_B9A0_BE801A097D75_.wvu.FilterData" localSheetId="1" hidden="1">FIJOS!$B$10:$P$505</definedName>
    <definedName name="Z_E39703F6_2B89_4144_B9A0_BE801A097D75_.wvu.FilterData" localSheetId="0" hidden="1">HORAS!$A$3:$DM$3</definedName>
    <definedName name="Z_E39703F6_2B89_4144_B9A0_BE801A097D75_.wvu.FilterData" localSheetId="8" hidden="1">INCIDENCIAS!$B$5:$K$501</definedName>
    <definedName name="Z_E39703F6_2B89_4144_B9A0_BE801A097D75_.wvu.FilterData" localSheetId="6" hidden="1">VARIABLE!$A$1:$C$259</definedName>
    <definedName name="Z_E39703F6_2B89_4144_B9A0_BE801A097D75_.wvu.PrintArea" localSheetId="2" hidden="1">CAPTURA!$A$4:$DW$689</definedName>
    <definedName name="Z_E39703F6_2B89_4144_B9A0_BE801A097D75_.wvu.PrintTitles" localSheetId="2" hidden="1">CAPTURA!$4:$6</definedName>
    <definedName name="Z_E3A10BCA_1F67_44E6_88D6_A08E240BDA09_.wvu.FilterData" localSheetId="2" hidden="1">CAPTURA!$A$6:$EK$678</definedName>
    <definedName name="Z_E3A10BCA_1F67_44E6_88D6_A08E240BDA09_.wvu.FilterData" localSheetId="1" hidden="1">FIJOS!$B$10:$P$308</definedName>
    <definedName name="Z_E3AD1432_0E6C_4A18_BCD0_CE3227552D79_.wvu.FilterData" localSheetId="2" hidden="1">CAPTURA!$A$6:$EK$678</definedName>
    <definedName name="Z_E3BD1BBA_C1B6_407C_8F82_13BDF577E19E_.wvu.FilterData" localSheetId="2" hidden="1">CAPTURA!$A$6:$EK$678</definedName>
    <definedName name="Z_E3DB4892_707D_4751_AA6E_3B0F07F98F86_.wvu.FilterData" localSheetId="2" hidden="1">CAPTURA!$A$6:$EK$678</definedName>
    <definedName name="Z_E3FFEF4E_10A4_44F6_87A3_9B06E3009030_.wvu.FilterData" localSheetId="2" hidden="1">CAPTURA!$A$6:$EK$678</definedName>
    <definedName name="Z_E4011F8B_05FA_4C60_947E_30A57EC8DC82_.wvu.FilterData" localSheetId="1" hidden="1">FIJOS!$B$10:$P$108</definedName>
    <definedName name="Z_E4A863A2_02F3_4C15_AD40_22D959BD2D6E_.wvu.FilterData" localSheetId="2" hidden="1">CAPTURA!$A$6:$EK$678</definedName>
    <definedName name="Z_E4A863A2_02F3_4C15_AD40_22D959BD2D6E_.wvu.FilterData" localSheetId="5" hidden="1">'DISPERSION FISCAL'!$A$1:$G$624</definedName>
    <definedName name="Z_E4A863A2_02F3_4C15_AD40_22D959BD2D6E_.wvu.FilterData" localSheetId="1" hidden="1">FIJOS!$B$10:$P$505</definedName>
    <definedName name="Z_E4A863A2_02F3_4C15_AD40_22D959BD2D6E_.wvu.FilterData" localSheetId="0" hidden="1">HORAS!$A$3:$DM$3</definedName>
    <definedName name="Z_E4A863A2_02F3_4C15_AD40_22D959BD2D6E_.wvu.FilterData" localSheetId="8" hidden="1">INCIDENCIAS!$B$5:$K$494</definedName>
    <definedName name="Z_E4A863A2_02F3_4C15_AD40_22D959BD2D6E_.wvu.FilterData" localSheetId="6" hidden="1">VARIABLE!$A$1:$C$259</definedName>
    <definedName name="Z_E4A863A2_02F3_4C15_AD40_22D959BD2D6E_.wvu.PrintArea" localSheetId="2" hidden="1">CAPTURA!$A$4:$DW$689</definedName>
    <definedName name="Z_E4A863A2_02F3_4C15_AD40_22D959BD2D6E_.wvu.PrintTitles" localSheetId="2" hidden="1">CAPTURA!$4:$6</definedName>
    <definedName name="Z_E4CFA28E_9EE3_441D_8164_0C09D422BA15_.wvu.FilterData" localSheetId="2" hidden="1">CAPTURA!$A$6:$EK$678</definedName>
    <definedName name="Z_E54BCB68_9172_4BDE_846C_486B9C37F4CE_.wvu.FilterData" localSheetId="2" hidden="1">CAPTURA!$A$6:$EK$678</definedName>
    <definedName name="Z_E54BCB68_9172_4BDE_846C_486B9C37F4CE_.wvu.FilterData" localSheetId="1" hidden="1">FIJOS!$B$10:$P$308</definedName>
    <definedName name="Z_E54BCB68_9172_4BDE_846C_486B9C37F4CE_.wvu.FilterData" localSheetId="8" hidden="1">INCIDENCIAS!$B$5:$K$499</definedName>
    <definedName name="Z_E59A40EA_A862_4D7F_BA2E_FD74CDDB1820_.wvu.FilterData" localSheetId="2" hidden="1">CAPTURA!$A$6:$EK$678</definedName>
    <definedName name="Z_E59E4D71_827E_4F70_A86E_476B737C02F5_.wvu.FilterData" localSheetId="2" hidden="1">CAPTURA!$A$6:$EK$678</definedName>
    <definedName name="Z_E5AEAC5B_7084_4D19_8B4F_260CD33B15CC_.wvu.FilterData" localSheetId="2" hidden="1">CAPTURA!$A$6:$EK$678</definedName>
    <definedName name="Z_E5AEAC5B_7084_4D19_8B4F_260CD33B15CC_.wvu.FilterData" localSheetId="0" hidden="1">HORAS!$A$3:$DM$3</definedName>
    <definedName name="Z_E61FCE92_1222_4038_BA91_A5369756A549_.wvu.FilterData" localSheetId="2" hidden="1">CAPTURA!$A$6:$EK$678</definedName>
    <definedName name="Z_E6201D80_C33D_44AE_A339_B76A2CAE0EF1_.wvu.FilterData" localSheetId="2" hidden="1">CAPTURA!$A$6:$EK$678</definedName>
    <definedName name="Z_E6712E80_1339_4D1E_A0B5_CD52CAFE5FAC_.wvu.FilterData" localSheetId="2" hidden="1">CAPTURA!$A$6:$EK$678</definedName>
    <definedName name="Z_E696A927_0B41_47E7_AF7D_E41DC6981015_.wvu.FilterData" localSheetId="2" hidden="1">CAPTURA!$A$6:$EK$678</definedName>
    <definedName name="Z_E6D8D5C0_D513_469E_8C98_42ABA2D47B32_.wvu.FilterData" localSheetId="2" hidden="1">CAPTURA!$A$6:$EK$678</definedName>
    <definedName name="Z_E6F99456_1BAD_4E96_8A9F_75922AD0E545_.wvu.FilterData" localSheetId="2" hidden="1">CAPTURA!$A$6:$EK$678</definedName>
    <definedName name="Z_E6F99456_1BAD_4E96_8A9F_75922AD0E545_.wvu.FilterData" localSheetId="8" hidden="1">INCIDENCIAS!$B$5:$K$514</definedName>
    <definedName name="Z_E74DC2A1_E07E_4378_94BD_67DAFA6259E4_.wvu.FilterData" localSheetId="2" hidden="1">CAPTURA!$A$6:$EK$678</definedName>
    <definedName name="Z_E755E48D_180D_415D_87B3_6D5313548FBC_.wvu.FilterData" localSheetId="2" hidden="1">CAPTURA!$A$6:$EK$678</definedName>
    <definedName name="Z_E75A716A_CF9A_40D7_A62E_F4584AB81F4F_.wvu.FilterData" localSheetId="2" hidden="1">CAPTURA!$A$6:$EK$678</definedName>
    <definedName name="Z_E7EA00FB_564E_41FE_AC7C_3C1BA11BF23D_.wvu.FilterData" localSheetId="2" hidden="1">CAPTURA!$A$6:$EK$678</definedName>
    <definedName name="Z_E7EA00FB_564E_41FE_AC7C_3C1BA11BF23D_.wvu.FilterData" localSheetId="1" hidden="1">FIJOS!$B$10:$P$108</definedName>
    <definedName name="Z_E82251E5_C4CB_4AF2_9DB0_F8C6BAEEF179_.wvu.FilterData" localSheetId="2" hidden="1">CAPTURA!$A$6:$EK$678</definedName>
    <definedName name="Z_E83E2592_2020_4423_8071_3DB07CF930A4_.wvu.FilterData" localSheetId="2" hidden="1">CAPTURA!$A$6:$EK$678</definedName>
    <definedName name="Z_E8408360_D2C5_4776_B462_6F598442B7AD_.wvu.FilterData" localSheetId="2" hidden="1">CAPTURA!$A$6:$EK$678</definedName>
    <definedName name="Z_E8500ABD_8295_41B5_A08F_4FC4192A9441_.wvu.FilterData" localSheetId="2" hidden="1">CAPTURA!$A$6:$EK$678</definedName>
    <definedName name="Z_E873116E_6096_4BB3_BE47_3640C53383EC_.wvu.FilterData" localSheetId="2" hidden="1">CAPTURA!$A$6:$EK$678</definedName>
    <definedName name="Z_E873116E_6096_4BB3_BE47_3640C53383EC_.wvu.FilterData" localSheetId="5" hidden="1">'DISPERSION FISCAL'!$A$1:$E$181</definedName>
    <definedName name="Z_E873116E_6096_4BB3_BE47_3640C53383EC_.wvu.FilterData" localSheetId="1" hidden="1">FIJOS!$B$10:$P$121</definedName>
    <definedName name="Z_E873116E_6096_4BB3_BE47_3640C53383EC_.wvu.FilterData" localSheetId="8" hidden="1">INCIDENCIAS!$B$5:$K$514</definedName>
    <definedName name="Z_E873116E_6096_4BB3_BE47_3640C53383EC_.wvu.FilterData" localSheetId="6" hidden="1">VARIABLE!$A$1:$C$259</definedName>
    <definedName name="Z_E873116E_6096_4BB3_BE47_3640C53383EC_.wvu.PrintArea" localSheetId="2" hidden="1">CAPTURA!$A$4:$DW$689</definedName>
    <definedName name="Z_E873116E_6096_4BB3_BE47_3640C53383EC_.wvu.PrintTitles" localSheetId="2" hidden="1">CAPTURA!$4:$6</definedName>
    <definedName name="Z_E879DA3D_3539_414A_948D_925F3EE05AD3_.wvu.FilterData" localSheetId="2" hidden="1">CAPTURA!$A$6:$EK$678</definedName>
    <definedName name="Z_E8A16F38_927D_4021_8808_633F62EDB82A_.wvu.FilterData" localSheetId="2" hidden="1">CAPTURA!$A$6:$EK$678</definedName>
    <definedName name="Z_E8A53032_E53B_4B48_A7A2_509372EFEAE7_.wvu.FilterData" localSheetId="2" hidden="1">CAPTURA!$A$6:$EK$678</definedName>
    <definedName name="Z_E8CE19F4_E447_456B_B560_E1933EF77CB5_.wvu.FilterData" localSheetId="2" hidden="1">CAPTURA!$A$6:$EK$678</definedName>
    <definedName name="Z_E9123D90_BB7F_421A_9948_DD41AECA749D_.wvu.FilterData" localSheetId="2" hidden="1">CAPTURA!$A$6:$EK$678</definedName>
    <definedName name="Z_E939C613_390B_4A87_AED2_943146B87ED6_.wvu.FilterData" localSheetId="2" hidden="1">CAPTURA!$A$6:$EK$678</definedName>
    <definedName name="Z_E939C613_390B_4A87_AED2_943146B87ED6_.wvu.FilterData" localSheetId="5" hidden="1">'DISPERSION FISCAL'!$A$1:$G$624</definedName>
    <definedName name="Z_E939C613_390B_4A87_AED2_943146B87ED6_.wvu.FilterData" localSheetId="1" hidden="1">FIJOS!$B$10:$P$505</definedName>
    <definedName name="Z_E939C613_390B_4A87_AED2_943146B87ED6_.wvu.FilterData" localSheetId="0" hidden="1">HORAS!$A$3:$DM$3</definedName>
    <definedName name="Z_E939C613_390B_4A87_AED2_943146B87ED6_.wvu.FilterData" localSheetId="8" hidden="1">INCIDENCIAS!$B$5:$K$467</definedName>
    <definedName name="Z_E939C613_390B_4A87_AED2_943146B87ED6_.wvu.FilterData" localSheetId="6" hidden="1">VARIABLE!$A$1:$C$259</definedName>
    <definedName name="Z_E939C613_390B_4A87_AED2_943146B87ED6_.wvu.PrintArea" localSheetId="2" hidden="1">CAPTURA!$A$4:$DW$689</definedName>
    <definedName name="Z_E939C613_390B_4A87_AED2_943146B87ED6_.wvu.PrintTitles" localSheetId="2" hidden="1">CAPTURA!$4:$6</definedName>
    <definedName name="Z_E9429B5D_D174_4D5F_A667_5CDC2F7FF40B_.wvu.FilterData" localSheetId="2" hidden="1">CAPTURA!$A$6:$EK$678</definedName>
    <definedName name="Z_E967064C_56D2_4AFA_B02F_0F48ECB58800_.wvu.FilterData" localSheetId="2" hidden="1">CAPTURA!$A$6:$EK$678</definedName>
    <definedName name="Z_E99E4084_A25B_4DC3_9041_5B9A69DF2B92_.wvu.FilterData" localSheetId="2" hidden="1">CAPTURA!$A$6:$EK$678</definedName>
    <definedName name="Z_E9C4E855_6789_46D2_8420_DB5638490A65_.wvu.FilterData" localSheetId="2" hidden="1">CAPTURA!$A$6:$EK$678</definedName>
    <definedName name="Z_E9E4AEB4_DC8C_4FD1_A0F3_15CFAE2A60BA_.wvu.FilterData" localSheetId="2" hidden="1">CAPTURA!$A$6:$EK$678</definedName>
    <definedName name="Z_E9E4AEB4_DC8C_4FD1_A0F3_15CFAE2A60BA_.wvu.FilterData" localSheetId="5" hidden="1">'DISPERSION FISCAL'!$A$1:$E$181</definedName>
    <definedName name="Z_E9E4AEB4_DC8C_4FD1_A0F3_15CFAE2A60BA_.wvu.FilterData" localSheetId="1" hidden="1">FIJOS!$B$10:$P$229</definedName>
    <definedName name="Z_E9E4AEB4_DC8C_4FD1_A0F3_15CFAE2A60BA_.wvu.FilterData" localSheetId="8" hidden="1">INCIDENCIAS!$B$5:$K$516</definedName>
    <definedName name="Z_E9E4AEB4_DC8C_4FD1_A0F3_15CFAE2A60BA_.wvu.FilterData" localSheetId="6" hidden="1">VARIABLE!$A$1:$C$259</definedName>
    <definedName name="Z_E9E4AEB4_DC8C_4FD1_A0F3_15CFAE2A60BA_.wvu.PrintArea" localSheetId="2" hidden="1">CAPTURA!$A$4:$DW$689</definedName>
    <definedName name="Z_E9E4AEB4_DC8C_4FD1_A0F3_15CFAE2A60BA_.wvu.PrintTitles" localSheetId="2" hidden="1">CAPTURA!$4:$6</definedName>
    <definedName name="Z_EA2E3138_96A9_423C_88D9_E407F55B80CD_.wvu.FilterData" localSheetId="2" hidden="1">CAPTURA!$A$6:$EK$678</definedName>
    <definedName name="Z_EA3FA5B3_7AD7_4066_A722_0F7CBB76933E_.wvu.FilterData" localSheetId="2" hidden="1">CAPTURA!$A$6:$EK$678</definedName>
    <definedName name="Z_EA4D27C4_06AC_4991_A9B2_EA720E881AE1_.wvu.FilterData" localSheetId="2" hidden="1">CAPTURA!$A$6:$EK$678</definedName>
    <definedName name="Z_EA71FEBE_714C_4F5D_B5E8_06DFB4677BB1_.wvu.FilterData" localSheetId="2" hidden="1">CAPTURA!$A$6:$EK$678</definedName>
    <definedName name="Z_EAF19161_2325_4807_87E7_1D76B7AD4A24_.wvu.FilterData" localSheetId="2" hidden="1">CAPTURA!$A$6:$EK$678</definedName>
    <definedName name="Z_EAF19161_2325_4807_87E7_1D76B7AD4A24_.wvu.FilterData" localSheetId="5" hidden="1">'DISPERSION FISCAL'!$A$1:$G$624</definedName>
    <definedName name="Z_EAF19161_2325_4807_87E7_1D76B7AD4A24_.wvu.FilterData" localSheetId="1" hidden="1">FIJOS!$B$10:$P$505</definedName>
    <definedName name="Z_EAF19161_2325_4807_87E7_1D76B7AD4A24_.wvu.FilterData" localSheetId="0" hidden="1">HORAS!$A$3:$DM$3</definedName>
    <definedName name="Z_EAF19161_2325_4807_87E7_1D76B7AD4A24_.wvu.FilterData" localSheetId="8" hidden="1">INCIDENCIAS!$B$5:$K$494</definedName>
    <definedName name="Z_EAF19161_2325_4807_87E7_1D76B7AD4A24_.wvu.FilterData" localSheetId="6" hidden="1">VARIABLE!$A$1:$C$259</definedName>
    <definedName name="Z_EAF19161_2325_4807_87E7_1D76B7AD4A24_.wvu.PrintArea" localSheetId="2" hidden="1">CAPTURA!$A$4:$DW$689</definedName>
    <definedName name="Z_EAF19161_2325_4807_87E7_1D76B7AD4A24_.wvu.PrintTitles" localSheetId="2" hidden="1">CAPTURA!$4:$6</definedName>
    <definedName name="Z_EB0B903E_D205_4D4E_9C7C_53B5A5CCCA93_.wvu.FilterData" localSheetId="2" hidden="1">CAPTURA!$A$6:$EK$678</definedName>
    <definedName name="Z_EB105D54_6706_4976_AB67_91EC5C89D74B_.wvu.FilterData" localSheetId="2" hidden="1">CAPTURA!$A$6:$EK$678</definedName>
    <definedName name="Z_EB1D325C_BDAD_4B88_84A3_71B643D43D26_.wvu.FilterData" localSheetId="2" hidden="1">CAPTURA!$A$6:$EK$678</definedName>
    <definedName name="Z_EB28F18F_3882_4B5C_96EC_E8CD3EBF07F1_.wvu.FilterData" localSheetId="2" hidden="1">CAPTURA!$A$6:$EK$678</definedName>
    <definedName name="Z_EB2BEBA1_B8BB_49C8_8AF0_53B806A5D3E9_.wvu.FilterData" localSheetId="2" hidden="1">CAPTURA!$A$6:$EK$678</definedName>
    <definedName name="Z_EB4CF5E5_4592_4509_9ADD_B73D692F2979_.wvu.FilterData" localSheetId="2" hidden="1">CAPTURA!$A$6:$EK$678</definedName>
    <definedName name="Z_EB73308A_FE22_4AD3_97F7_F44B2D724771_.wvu.FilterData" localSheetId="2" hidden="1">CAPTURA!$A$6:$EK$678</definedName>
    <definedName name="Z_EB9BF68B_BD08_410E_BE6E_E4E51D1EAA62_.wvu.FilterData" localSheetId="2" hidden="1">CAPTURA!$A$6:$EK$678</definedName>
    <definedName name="Z_EB9BF68B_BD08_410E_BE6E_E4E51D1EAA62_.wvu.FilterData" localSheetId="1" hidden="1">FIJOS!$B$10:$P$496</definedName>
    <definedName name="Z_EBA4596B_91BE_4943_9E8B_A29393C3009A_.wvu.FilterData" localSheetId="2" hidden="1">CAPTURA!$A$6:$EK$678</definedName>
    <definedName name="Z_EBA47E91_47C1_4807_972D_792E0ED4C10E_.wvu.FilterData" localSheetId="2" hidden="1">CAPTURA!$A$6:$EK$678</definedName>
    <definedName name="Z_EBA47E91_47C1_4807_972D_792E0ED4C10E_.wvu.FilterData" localSheetId="1" hidden="1">FIJOS!$B$10:$P$496</definedName>
    <definedName name="Z_EBBE6CE5_2A9F_4077_BEC9_E063D71A4BD3_.wvu.FilterData" localSheetId="2" hidden="1">CAPTURA!$A$6:$EK$678</definedName>
    <definedName name="Z_EBBE6CE5_2A9F_4077_BEC9_E063D71A4BD3_.wvu.FilterData" localSheetId="5" hidden="1">'DISPERSION FISCAL'!$A$1:$E$181</definedName>
    <definedName name="Z_EBBE6CE5_2A9F_4077_BEC9_E063D71A4BD3_.wvu.FilterData" localSheetId="1" hidden="1">FIJOS!$B$10:$P$228</definedName>
    <definedName name="Z_EBBE6CE5_2A9F_4077_BEC9_E063D71A4BD3_.wvu.FilterData" localSheetId="8" hidden="1">INCIDENCIAS!$B$5:$K$516</definedName>
    <definedName name="Z_EBBE6CE5_2A9F_4077_BEC9_E063D71A4BD3_.wvu.FilterData" localSheetId="6" hidden="1">VARIABLE!$A$1:$C$259</definedName>
    <definedName name="Z_EBBE6CE5_2A9F_4077_BEC9_E063D71A4BD3_.wvu.PrintArea" localSheetId="2" hidden="1">CAPTURA!$A$4:$DW$689</definedName>
    <definedName name="Z_EBBE6CE5_2A9F_4077_BEC9_E063D71A4BD3_.wvu.PrintTitles" localSheetId="2" hidden="1">CAPTURA!$4:$6</definedName>
    <definedName name="Z_EBD925AE_2F00_473A_8602_6E6D9C4133B4_.wvu.FilterData" localSheetId="2" hidden="1">CAPTURA!$A$6:$EK$678</definedName>
    <definedName name="Z_EBE2C818_49F5_45A7_A57A_9D4A530E660F_.wvu.FilterData" localSheetId="2" hidden="1">CAPTURA!$A$6:$EK$678</definedName>
    <definedName name="Z_EBEB737F_5795_4A37_96A0_DCEC3352B415_.wvu.FilterData" localSheetId="2" hidden="1">CAPTURA!$A$6:$EK$678</definedName>
    <definedName name="Z_EBFAF133_884F_4F09_B908_121380164F0A_.wvu.FilterData" localSheetId="2" hidden="1">CAPTURA!$A$6:$EK$678</definedName>
    <definedName name="Z_EC22C945_1106_4256_8B71_67F161885CC6_.wvu.FilterData" localSheetId="2" hidden="1">CAPTURA!$A$6:$EK$678</definedName>
    <definedName name="Z_EC22C945_1106_4256_8B71_67F161885CC6_.wvu.FilterData" localSheetId="5" hidden="1">'DISPERSION FISCAL'!$A$1:$G$624</definedName>
    <definedName name="Z_EC22C945_1106_4256_8B71_67F161885CC6_.wvu.FilterData" localSheetId="1" hidden="1">FIJOS!$B$10:$P$496</definedName>
    <definedName name="Z_EC22C945_1106_4256_8B71_67F161885CC6_.wvu.FilterData" localSheetId="8" hidden="1">INCIDENCIAS!$B$5:$K$732</definedName>
    <definedName name="Z_EC22C945_1106_4256_8B71_67F161885CC6_.wvu.FilterData" localSheetId="6" hidden="1">VARIABLE!$A$1:$C$259</definedName>
    <definedName name="Z_EC22C945_1106_4256_8B71_67F161885CC6_.wvu.PrintArea" localSheetId="2" hidden="1">CAPTURA!$A$4:$DW$689</definedName>
    <definedName name="Z_EC22C945_1106_4256_8B71_67F161885CC6_.wvu.PrintTitles" localSheetId="2" hidden="1">CAPTURA!$4:$6</definedName>
    <definedName name="Z_EC27E153_BBBC_4782_888B_48739B5C14B5_.wvu.FilterData" localSheetId="2" hidden="1">CAPTURA!$A$6:$EK$678</definedName>
    <definedName name="Z_EC35DAF0_5D91_4069_826B_7029966C04DC_.wvu.FilterData" localSheetId="2" hidden="1">CAPTURA!$A$6:$EK$678</definedName>
    <definedName name="Z_EC413ED5_0D3A_4157_A9FD_22FD898330C9_.wvu.FilterData" localSheetId="2" hidden="1">CAPTURA!$A$6:$EK$678</definedName>
    <definedName name="Z_EC7F3E19_3050_498F_8DAD_9909CF60AA10_.wvu.FilterData" localSheetId="2" hidden="1">CAPTURA!$A$6:$EK$678</definedName>
    <definedName name="Z_EC8195C4_44D5_450C_BEE9_29E7DF5EC2B9_.wvu.FilterData" localSheetId="2" hidden="1">CAPTURA!$A$6:$EK$678</definedName>
    <definedName name="Z_EC8195C4_44D5_450C_BEE9_29E7DF5EC2B9_.wvu.FilterData" localSheetId="5" hidden="1">'DISPERSION FISCAL'!$A$1:$E$181</definedName>
    <definedName name="Z_EC8195C4_44D5_450C_BEE9_29E7DF5EC2B9_.wvu.FilterData" localSheetId="6" hidden="1">VARIABLE!$A$1:$C$259</definedName>
    <definedName name="Z_ED4698CF_EB51_4F8F_9BCF_DA20893F65B5_.wvu.FilterData" localSheetId="2" hidden="1">CAPTURA!$A$6:$EK$678</definedName>
    <definedName name="Z_ED5E2548_7432_4E23_B549_74C13D4BC2D8_.wvu.FilterData" localSheetId="2" hidden="1">CAPTURA!$A$6:$EK$678</definedName>
    <definedName name="Z_ED713388_9E1E_4C5A_9A6E_AB036C242973_.wvu.FilterData" localSheetId="2" hidden="1">CAPTURA!$A$6:$EK$678</definedName>
    <definedName name="Z_ED87BC44_191F_4F01_80AA_0F1D44C1BE38_.wvu.FilterData" localSheetId="2" hidden="1">CAPTURA!$A$6:$EK$678</definedName>
    <definedName name="Z_ED96B73D_5E71_4CBC_A1C8_B6B5982EC980_.wvu.FilterData" localSheetId="2" hidden="1">CAPTURA!$A$6:$EK$678</definedName>
    <definedName name="Z_ED96B73D_5E71_4CBC_A1C8_B6B5982EC980_.wvu.FilterData" localSheetId="8" hidden="1">INCIDENCIAS!$B$5:$K$353</definedName>
    <definedName name="Z_EDE8D3C3_1D70_45B3_B950_9F3A59D0B67F_.wvu.FilterData" localSheetId="2" hidden="1">CAPTURA!$A$6:$EK$678</definedName>
    <definedName name="Z_EE0EAB34_755F_4D3D_B8EC_74D099EE232D_.wvu.FilterData" localSheetId="2" hidden="1">CAPTURA!$A$6:$EK$678</definedName>
    <definedName name="Z_EE15CD7D_A2BA_41AD_9ED4_656004B0FF4F_.wvu.FilterData" localSheetId="2" hidden="1">CAPTURA!$A$6:$EK$678</definedName>
    <definedName name="Z_EE254E78_030A_4E87_AA96_2AC48B89F4F3_.wvu.FilterData" localSheetId="2" hidden="1">CAPTURA!$A$6:$EK$678</definedName>
    <definedName name="Z_EE2BB95A_A022_4157_8D94_D1C0D9B17486_.wvu.FilterData" localSheetId="2" hidden="1">CAPTURA!$A$6:$EK$678</definedName>
    <definedName name="Z_EE2DBB5E_39CB_4B86_AE11_63B01F669FA0_.wvu.FilterData" localSheetId="2" hidden="1">CAPTURA!$A$6:$EK$678</definedName>
    <definedName name="Z_EE8E30C7_F141_4C05_8111_2C1B9EDD2F9F_.wvu.FilterData" localSheetId="1" hidden="1">FIJOS!$B$10:$P$505</definedName>
    <definedName name="Z_EE9D630C_AB93_4480_A933_D634B00621EF_.wvu.FilterData" localSheetId="2" hidden="1">CAPTURA!$A$6:$EK$678</definedName>
    <definedName name="Z_EEC332B6_3F7C_412F_A96B_5FB5D668EBA6_.wvu.FilterData" localSheetId="2" hidden="1">CAPTURA!$A$6:$EK$678</definedName>
    <definedName name="Z_EED9F1C7_0977_4A95_BE3C_3BA68B72505F_.wvu.FilterData" localSheetId="2" hidden="1">CAPTURA!$A$6:$EK$678</definedName>
    <definedName name="Z_EF097EFB_28D0_4DD2_A615_1C4673C83CEE_.wvu.FilterData" localSheetId="2" hidden="1">CAPTURA!$A$6:$EK$678</definedName>
    <definedName name="Z_EF097EFB_28D0_4DD2_A615_1C4673C83CEE_.wvu.FilterData" localSheetId="5" hidden="1">'DISPERSION FISCAL'!$A$1:$G$624</definedName>
    <definedName name="Z_EF097EFB_28D0_4DD2_A615_1C4673C83CEE_.wvu.FilterData" localSheetId="1" hidden="1">FIJOS!$B$10:$P$505</definedName>
    <definedName name="Z_EF097EFB_28D0_4DD2_A615_1C4673C83CEE_.wvu.FilterData" localSheetId="0" hidden="1">HORAS!$A$3:$DM$3</definedName>
    <definedName name="Z_EF097EFB_28D0_4DD2_A615_1C4673C83CEE_.wvu.FilterData" localSheetId="8" hidden="1">INCIDENCIAS!$B$5:$K$494</definedName>
    <definedName name="Z_EF097EFB_28D0_4DD2_A615_1C4673C83CEE_.wvu.FilterData" localSheetId="6" hidden="1">VARIABLE!$A$1:$C$259</definedName>
    <definedName name="Z_EF097EFB_28D0_4DD2_A615_1C4673C83CEE_.wvu.PrintArea" localSheetId="2" hidden="1">CAPTURA!$A$4:$DW$689</definedName>
    <definedName name="Z_EF097EFB_28D0_4DD2_A615_1C4673C83CEE_.wvu.PrintTitles" localSheetId="2" hidden="1">CAPTURA!$4:$6</definedName>
    <definedName name="Z_EF801E4F_BE97_415E_8D03_31325BBC3779_.wvu.FilterData" localSheetId="2" hidden="1">CAPTURA!$A$6:$EK$678</definedName>
    <definedName name="Z_EF9FF72F_D4C6_4B1C_BC93_CFBC30ADB4C8_.wvu.FilterData" localSheetId="2" hidden="1">CAPTURA!$A$6:$EK$678</definedName>
    <definedName name="Z_EFA4368F_1749_45C1_B2C6_4C3C9755BE6B_.wvu.FilterData" localSheetId="1" hidden="1">FIJOS!$B$10:$P$121</definedName>
    <definedName name="Z_EFC153DC_BD45_4F60_A6B7_54D28BCDD16D_.wvu.FilterData" localSheetId="2" hidden="1">CAPTURA!$A$6:$EK$678</definedName>
    <definedName name="Z_EFC23276_63C5_462C_8D63_D5A18F31E582_.wvu.FilterData" localSheetId="2" hidden="1">CAPTURA!$A$6:$EK$678</definedName>
    <definedName name="Z_F00B7B49_D90F_4040_9532_EABEE1A5F541_.wvu.FilterData" localSheetId="2" hidden="1">CAPTURA!$A$6:$EK$678</definedName>
    <definedName name="Z_F0332060_4F38_4B91_98DE_B05F53160F11_.wvu.FilterData" localSheetId="2" hidden="1">CAPTURA!$A$6:$EK$678</definedName>
    <definedName name="Z_F0409C45_6A18_48AA_B86E_715916670427_.wvu.Cols" localSheetId="2" hidden="1">CAPTURA!$CQ:$CT</definedName>
    <definedName name="Z_F0409C45_6A18_48AA_B86E_715916670427_.wvu.FilterData" localSheetId="2" hidden="1">CAPTURA!$A$6:$EK$678</definedName>
    <definedName name="Z_F0409C45_6A18_48AA_B86E_715916670427_.wvu.FilterData" localSheetId="5" hidden="1">'DISPERSION FISCAL'!$A$1:$E$181</definedName>
    <definedName name="Z_F0409C45_6A18_48AA_B86E_715916670427_.wvu.FilterData" localSheetId="1" hidden="1">FIJOS!$B$10:$P$108</definedName>
    <definedName name="Z_F0409C45_6A18_48AA_B86E_715916670427_.wvu.FilterData" localSheetId="8" hidden="1">INCIDENCIAS!$B$5:$K$442</definedName>
    <definedName name="Z_F0409C45_6A18_48AA_B86E_715916670427_.wvu.FilterData" localSheetId="6" hidden="1">VARIABLE!$A$1:$C$259</definedName>
    <definedName name="Z_F0409C45_6A18_48AA_B86E_715916670427_.wvu.PrintArea" localSheetId="2" hidden="1">CAPTURA!$A$4:$DW$689</definedName>
    <definedName name="Z_F0409C45_6A18_48AA_B86E_715916670427_.wvu.PrintTitles" localSheetId="2" hidden="1">CAPTURA!$4:$6</definedName>
    <definedName name="Z_F0C88CA6_C563_48EA_BAA8_9452151AB2BF_.wvu.FilterData" localSheetId="2" hidden="1">CAPTURA!$A$6:$EK$678</definedName>
    <definedName name="Z_F0DEE019_D1ED_4BBC_A983_CD683B29C642_.wvu.FilterData" localSheetId="2" hidden="1">CAPTURA!$A$6:$EK$678</definedName>
    <definedName name="Z_F0E548C2_BD6B_4D43_B0D6_C111BDFCE996_.wvu.FilterData" localSheetId="1" hidden="1">FIJOS!$B$10:$P$229</definedName>
    <definedName name="Z_F108BEF0_75F2_43DE_9474_75BAF30DEDE6_.wvu.FilterData" localSheetId="2" hidden="1">CAPTURA!$A$6:$EK$678</definedName>
    <definedName name="Z_F108BEF0_75F2_43DE_9474_75BAF30DEDE6_.wvu.FilterData" localSheetId="5" hidden="1">'DISPERSION FISCAL'!$A$1:$E$181</definedName>
    <definedName name="Z_F108BEF0_75F2_43DE_9474_75BAF30DEDE6_.wvu.FilterData" localSheetId="1" hidden="1">FIJOS!$B$10:$P$108</definedName>
    <definedName name="Z_F108BEF0_75F2_43DE_9474_75BAF30DEDE6_.wvu.FilterData" localSheetId="8" hidden="1">INCIDENCIAS!$B$5:$K$513</definedName>
    <definedName name="Z_F108BEF0_75F2_43DE_9474_75BAF30DEDE6_.wvu.FilterData" localSheetId="6" hidden="1">VARIABLE!$A$1:$C$259</definedName>
    <definedName name="Z_F108BEF0_75F2_43DE_9474_75BAF30DEDE6_.wvu.PrintArea" localSheetId="2" hidden="1">CAPTURA!$A$4:$DW$689</definedName>
    <definedName name="Z_F108BEF0_75F2_43DE_9474_75BAF30DEDE6_.wvu.PrintTitles" localSheetId="2" hidden="1">CAPTURA!$4:$6</definedName>
    <definedName name="Z_F11D7F8D_B447_4EDA_8E29_1B0B5018299A_.wvu.FilterData" localSheetId="2" hidden="1">CAPTURA!$A$6:$EK$678</definedName>
    <definedName name="Z_F1255B0E_D3F6_4973_83DE_2D636B45414A_.wvu.FilterData" localSheetId="2" hidden="1">CAPTURA!$A$6:$EK$678</definedName>
    <definedName name="Z_F1255B0E_D3F6_4973_83DE_2D636B45414A_.wvu.FilterData" localSheetId="1" hidden="1">FIJOS!$B$10:$P$308</definedName>
    <definedName name="Z_F12F4447_BA83_4409_A9B8_DB660ECAC51F_.wvu.FilterData" localSheetId="2" hidden="1">CAPTURA!$A$6:$EK$678</definedName>
    <definedName name="Z_F12F4447_BA83_4409_A9B8_DB660ECAC51F_.wvu.FilterData" localSheetId="5" hidden="1">'DISPERSION FISCAL'!$A$1:$E$181</definedName>
    <definedName name="Z_F12F4447_BA83_4409_A9B8_DB660ECAC51F_.wvu.FilterData" localSheetId="1" hidden="1">FIJOS!$B$10:$P$308</definedName>
    <definedName name="Z_F12F4447_BA83_4409_A9B8_DB660ECAC51F_.wvu.FilterData" localSheetId="6" hidden="1">VARIABLE!$A$1:$C$259</definedName>
    <definedName name="Z_F138EBD4_F964_4A76_8869_ADF4CAA8EEFF_.wvu.FilterData" localSheetId="2" hidden="1">CAPTURA!$A$6:$EK$678</definedName>
    <definedName name="Z_F138EBD4_F964_4A76_8869_ADF4CAA8EEFF_.wvu.FilterData" localSheetId="5" hidden="1">'DISPERSION FISCAL'!$A$1:$G$624</definedName>
    <definedName name="Z_F138EBD4_F964_4A76_8869_ADF4CAA8EEFF_.wvu.FilterData" localSheetId="1" hidden="1">FIJOS!$B$10:$P$505</definedName>
    <definedName name="Z_F138EBD4_F964_4A76_8869_ADF4CAA8EEFF_.wvu.FilterData" localSheetId="0" hidden="1">HORAS!$A$3:$DM$3</definedName>
    <definedName name="Z_F138EBD4_F964_4A76_8869_ADF4CAA8EEFF_.wvu.FilterData" localSheetId="8" hidden="1">INCIDENCIAS!$B$5:$K$494</definedName>
    <definedName name="Z_F138EBD4_F964_4A76_8869_ADF4CAA8EEFF_.wvu.FilterData" localSheetId="6" hidden="1">VARIABLE!$A$1:$C$259</definedName>
    <definedName name="Z_F138EBD4_F964_4A76_8869_ADF4CAA8EEFF_.wvu.PrintArea" localSheetId="2" hidden="1">CAPTURA!$A$4:$DW$689</definedName>
    <definedName name="Z_F138EBD4_F964_4A76_8869_ADF4CAA8EEFF_.wvu.PrintTitles" localSheetId="2" hidden="1">CAPTURA!$4:$6</definedName>
    <definedName name="Z_F14277A3_77DE_47EF_933C_55E4D2FC9D31_.wvu.FilterData" localSheetId="2" hidden="1">CAPTURA!$A$6:$EK$678</definedName>
    <definedName name="Z_F1870290_3679_4F79_84AB_9E4F33CCE3D2_.wvu.FilterData" localSheetId="2" hidden="1">CAPTURA!$A$6:$EK$678</definedName>
    <definedName name="Z_F1870290_3679_4F79_84AB_9E4F33CCE3D2_.wvu.FilterData" localSheetId="1" hidden="1">FIJOS!$B$10:$P$320</definedName>
    <definedName name="Z_F1A7BF20_BF77_487A_AAD3_661EB8720C7F_.wvu.FilterData" localSheetId="2" hidden="1">CAPTURA!$A$6:$EK$678</definedName>
    <definedName name="Z_F1BE3906_0DA8_4AD8_9ED6_058B1D2E90CB_.wvu.FilterData" localSheetId="2" hidden="1">CAPTURA!$A$6:$EK$678</definedName>
    <definedName name="Z_F1FE51E8_3A6F_40DB_B908_B5C56EAB7AA9_.wvu.FilterData" localSheetId="2" hidden="1">CAPTURA!$A$6:$EK$678</definedName>
    <definedName name="Z_F2425F5F_EA97_40D4_8996_D3E6D7B0271A_.wvu.FilterData" localSheetId="2" hidden="1">CAPTURA!$A$6:$EK$678</definedName>
    <definedName name="Z_F27D2B37_2C57_4C9B_9621_5D426CAF7BE5_.wvu.FilterData" localSheetId="2" hidden="1">CAPTURA!$A$6:$EK$678</definedName>
    <definedName name="Z_F27E3571_B5EA_442E_8C1F_50ED5C6FD39E_.wvu.FilterData" localSheetId="2" hidden="1">CAPTURA!$A$6:$EK$678</definedName>
    <definedName name="Z_F2BE442C_7B5E_4A82_9AFE_D7863ABCF597_.wvu.FilterData" localSheetId="2" hidden="1">CAPTURA!$A$6:$EK$678</definedName>
    <definedName name="Z_F2F48F35_6F87_4CBA_9158_55E36FE5FCB0_.wvu.FilterData" localSheetId="2" hidden="1">CAPTURA!$A$6:$EK$678</definedName>
    <definedName name="Z_F327E01A_89B1_4151_AE4E_2B1238A05CB8_.wvu.FilterData" localSheetId="2" hidden="1">CAPTURA!$A$6:$EK$678</definedName>
    <definedName name="Z_F338A883_2616_45FE_9F11_672E54D4F32B_.wvu.FilterData" localSheetId="2" hidden="1">CAPTURA!$A$6:$EK$678</definedName>
    <definedName name="Z_F34E27CB_0F23_41BE_B651_9F09830C81E6_.wvu.FilterData" localSheetId="2" hidden="1">CAPTURA!$A$6:$EK$678</definedName>
    <definedName name="Z_F377BABE_8BE4_4021_AE69_B202119E8C44_.wvu.FilterData" localSheetId="2" hidden="1">CAPTURA!$A$6:$EK$678</definedName>
    <definedName name="Z_F382292A_1385_4B75_9F40_18137645BC4A_.wvu.FilterData" localSheetId="2" hidden="1">CAPTURA!$A$6:$EK$678</definedName>
    <definedName name="Z_F38D1728_A0C4_40FA_AB9F_0C7ACBCA36B5_.wvu.FilterData" localSheetId="2" hidden="1">CAPTURA!$A$6:$EK$678</definedName>
    <definedName name="Z_F3DEF96E_E04F_4363_ABAC_BD0E77AF6FC6_.wvu.FilterData" localSheetId="2" hidden="1">CAPTURA!$A$6:$EK$678</definedName>
    <definedName name="Z_F3F94688_E20B_4326_9735_3FBA515906AE_.wvu.FilterData" localSheetId="2" hidden="1">CAPTURA!$A$6:$EK$678</definedName>
    <definedName name="Z_F401343B_FCC2_4215_B539_6E963DF018E4_.wvu.FilterData" localSheetId="2" hidden="1">CAPTURA!$A$6:$EK$678</definedName>
    <definedName name="Z_F401343B_FCC2_4215_B539_6E963DF018E4_.wvu.FilterData" localSheetId="5" hidden="1">'DISPERSION FISCAL'!$A$1:$E$181</definedName>
    <definedName name="Z_F401343B_FCC2_4215_B539_6E963DF018E4_.wvu.FilterData" localSheetId="1" hidden="1">FIJOS!$B$10:$P$229</definedName>
    <definedName name="Z_F401343B_FCC2_4215_B539_6E963DF018E4_.wvu.FilterData" localSheetId="8" hidden="1">INCIDENCIAS!$B$5:$K$460</definedName>
    <definedName name="Z_F401343B_FCC2_4215_B539_6E963DF018E4_.wvu.FilterData" localSheetId="6" hidden="1">VARIABLE!$A$1:$C$259</definedName>
    <definedName name="Z_F401343B_FCC2_4215_B539_6E963DF018E4_.wvu.PrintArea" localSheetId="2" hidden="1">CAPTURA!$A$4:$DW$689</definedName>
    <definedName name="Z_F401343B_FCC2_4215_B539_6E963DF018E4_.wvu.PrintTitles" localSheetId="2" hidden="1">CAPTURA!$4:$6</definedName>
    <definedName name="Z_F42727DA_667E_4540_AA32_91786FCBC9F6_.wvu.FilterData" localSheetId="5" hidden="1">'DISPERSION FISCAL'!$A$1:$G$624</definedName>
    <definedName name="Z_F42727DA_667E_4540_AA32_91786FCBC9F6_.wvu.FilterData" localSheetId="6" hidden="1">VARIABLE!$A$1:$C$259</definedName>
    <definedName name="Z_F435E66A_89B3_4D8D_9AAC_10C5E9D9698C_.wvu.FilterData" localSheetId="2" hidden="1">CAPTURA!$A$6:$EK$678</definedName>
    <definedName name="Z_F4822395_AC7A_4BF3_9B9B_C62FA042A187_.wvu.FilterData" localSheetId="2" hidden="1">CAPTURA!$A$6:$EK$678</definedName>
    <definedName name="Z_F488DE82_D153_423B_825D_72D79C564114_.wvu.FilterData" localSheetId="2" hidden="1">CAPTURA!$A$6:$EK$678</definedName>
    <definedName name="Z_F491A6B6_6763_4C06_AAB3_0178C536A22D_.wvu.FilterData" localSheetId="2" hidden="1">CAPTURA!$A$6:$EK$678</definedName>
    <definedName name="Z_F49BB586_6905_421F_AEB2_5F9084256D94_.wvu.FilterData" localSheetId="2" hidden="1">CAPTURA!$A$6:$EK$678</definedName>
    <definedName name="Z_F511CE1C_E3A7_4143_BA58_05125C242693_.wvu.FilterData" localSheetId="2" hidden="1">CAPTURA!$A$6:$EK$678</definedName>
    <definedName name="Z_F516D5EE_5A18_4CFE_9198_DD2E144AFE0A_.wvu.FilterData" localSheetId="2" hidden="1">CAPTURA!$A$6:$EK$678</definedName>
    <definedName name="Z_F586F470_EF69_43E2_A9E1_6332A5A21E36_.wvu.FilterData" localSheetId="2" hidden="1">CAPTURA!$A$6:$EK$678</definedName>
    <definedName name="Z_F5B2C184_FAD2_47D6_BC70_7B4EBDE5148D_.wvu.FilterData" localSheetId="2" hidden="1">CAPTURA!$A$6:$EK$678</definedName>
    <definedName name="Z_F5FFEF82_2550_4894_A2F3_DA50CB90B5A7_.wvu.FilterData" localSheetId="2" hidden="1">CAPTURA!$A$6:$EK$678</definedName>
    <definedName name="Z_F62CD57F_1B1C_4A01_A73B_A0859810182A_.wvu.FilterData" localSheetId="2" hidden="1">CAPTURA!$A$6:$EK$678</definedName>
    <definedName name="Z_F6457CED_6BEE_44C7_A9A8_7023DBCD352D_.wvu.FilterData" localSheetId="2" hidden="1">CAPTURA!$A$6:$EK$678</definedName>
    <definedName name="Z_F6457CED_6BEE_44C7_A9A8_7023DBCD352D_.wvu.FilterData" localSheetId="5" hidden="1">'DISPERSION FISCAL'!$A$1:$E$181</definedName>
    <definedName name="Z_F6457CED_6BEE_44C7_A9A8_7023DBCD352D_.wvu.FilterData" localSheetId="1" hidden="1">FIJOS!$B$10:$P$108</definedName>
    <definedName name="Z_F6457CED_6BEE_44C7_A9A8_7023DBCD352D_.wvu.FilterData" localSheetId="8" hidden="1">INCIDENCIAS!$B$5:$K$284</definedName>
    <definedName name="Z_F6457CED_6BEE_44C7_A9A8_7023DBCD352D_.wvu.PrintArea" localSheetId="2" hidden="1">CAPTURA!$A$4:$DW$689</definedName>
    <definedName name="Z_F6457CED_6BEE_44C7_A9A8_7023DBCD352D_.wvu.PrintTitles" localSheetId="2" hidden="1">CAPTURA!$4:$6</definedName>
    <definedName name="Z_F65D621C_846C_4CF4_ACD1_2EA549DF25C6_.wvu.FilterData" localSheetId="2" hidden="1">CAPTURA!$A$6:$EK$678</definedName>
    <definedName name="Z_F65D621C_846C_4CF4_ACD1_2EA549DF25C6_.wvu.FilterData" localSheetId="1" hidden="1">FIJOS!$B$10:$P$496</definedName>
    <definedName name="Z_F65E592C_4717_4D9E_817E_2BE461679C2A_.wvu.FilterData" localSheetId="2" hidden="1">CAPTURA!$A$6:$EK$678</definedName>
    <definedName name="Z_F6612B27_ADDF_43B4_A1F6_2623F41675BA_.wvu.FilterData" localSheetId="2" hidden="1">CAPTURA!$A$6:$EK$678</definedName>
    <definedName name="Z_F6891DF9_6B3F_4A0D_BD5D_90E4D83E39F2_.wvu.FilterData" localSheetId="2" hidden="1">CAPTURA!$A$6:$EK$678</definedName>
    <definedName name="Z_F6DF9074_F386_43B9_B5E3_66EF86FE5642_.wvu.FilterData" localSheetId="2" hidden="1">CAPTURA!$A$6:$EK$678</definedName>
    <definedName name="Z_F70E38D8_860E_4DDC_9E6B_5B92055ABC0D_.wvu.FilterData" localSheetId="2" hidden="1">CAPTURA!$A$6:$EK$678</definedName>
    <definedName name="Z_F70E38D8_860E_4DDC_9E6B_5B92055ABC0D_.wvu.FilterData" localSheetId="7" hidden="1">EFECTIVOS!#REF!</definedName>
    <definedName name="Z_F70E38D8_860E_4DDC_9E6B_5B92055ABC0D_.wvu.FilterData" localSheetId="8" hidden="1">INCIDENCIAS!$B$5:$K$284</definedName>
    <definedName name="Z_F7632377_6176_4D84_9756_CDF406E01692_.wvu.FilterData" localSheetId="2" hidden="1">CAPTURA!$A$6:$EK$678</definedName>
    <definedName name="Z_F778FA5F_5442_4041_A88F_53A5DFBC6838_.wvu.FilterData" localSheetId="2" hidden="1">CAPTURA!$A$6:$EK$678</definedName>
    <definedName name="Z_F77E6508_8971_4901_9B45_B410AD2FB922_.wvu.FilterData" localSheetId="2" hidden="1">CAPTURA!$A$6:$EK$678</definedName>
    <definedName name="Z_F7A19F10_22B9_417C_B96E_8EF707BD0615_.wvu.FilterData" localSheetId="2" hidden="1">CAPTURA!$A$6:$EK$678</definedName>
    <definedName name="Z_F7D77AB8_779D_4284_A2EB_E7D41CC8D593_.wvu.FilterData" localSheetId="2" hidden="1">CAPTURA!$A$6:$EK$678</definedName>
    <definedName name="Z_F8210992_8723_4D1D_88E9_76B8C4DF3375_.wvu.FilterData" localSheetId="2" hidden="1">CAPTURA!$A$6:$EK$678</definedName>
    <definedName name="Z_F85ED7B8_31DD_4571_B396_BFDA8FD547AC_.wvu.FilterData" localSheetId="2" hidden="1">CAPTURA!$A$6:$EK$678</definedName>
    <definedName name="Z_F877CD2F_FB15_4119_B6BA_75129042B8D3_.wvu.FilterData" localSheetId="2" hidden="1">CAPTURA!$A$6:$EK$678</definedName>
    <definedName name="Z_F8AD9C6E_585F_4213_BDDB_B7E023994FD8_.wvu.FilterData" localSheetId="2" hidden="1">CAPTURA!$A$6:$EK$678</definedName>
    <definedName name="Z_F8D8A506_893F_46C9_9C58_0C24418C755F_.wvu.FilterData" localSheetId="2" hidden="1">CAPTURA!$A$6:$EK$678</definedName>
    <definedName name="Z_F8D8A506_893F_46C9_9C58_0C24418C755F_.wvu.FilterData" localSheetId="5" hidden="1">'DISPERSION FISCAL'!$A$1:$G$624</definedName>
    <definedName name="Z_F8D8A506_893F_46C9_9C58_0C24418C755F_.wvu.FilterData" localSheetId="1" hidden="1">FIJOS!$B$10:$P$505</definedName>
    <definedName name="Z_F8D8A506_893F_46C9_9C58_0C24418C755F_.wvu.FilterData" localSheetId="0" hidden="1">HORAS!$A$3:$DM$3</definedName>
    <definedName name="Z_F8D8A506_893F_46C9_9C58_0C24418C755F_.wvu.FilterData" localSheetId="8" hidden="1">INCIDENCIAS!$B$5:$K$494</definedName>
    <definedName name="Z_F8D8A506_893F_46C9_9C58_0C24418C755F_.wvu.FilterData" localSheetId="6" hidden="1">VARIABLE!$A$1:$C$259</definedName>
    <definedName name="Z_F8D8A506_893F_46C9_9C58_0C24418C755F_.wvu.PrintArea" localSheetId="2" hidden="1">CAPTURA!$A$4:$DW$689</definedName>
    <definedName name="Z_F8D8A506_893F_46C9_9C58_0C24418C755F_.wvu.PrintTitles" localSheetId="2" hidden="1">CAPTURA!$4:$6</definedName>
    <definedName name="Z_F8DE51AE_974F_4BF9_A839_137D4752E567_.wvu.FilterData" localSheetId="2" hidden="1">CAPTURA!$A$6:$EK$678</definedName>
    <definedName name="Z_F91DA326_0D64_4457_8114_E9EFF2428B86_.wvu.FilterData" localSheetId="2" hidden="1">CAPTURA!$A$6:$EK$678</definedName>
    <definedName name="Z_F91DA326_0D64_4457_8114_E9EFF2428B86_.wvu.FilterData" localSheetId="5" hidden="1">'DISPERSION FISCAL'!$A$1:$G$624</definedName>
    <definedName name="Z_F91DA326_0D64_4457_8114_E9EFF2428B86_.wvu.FilterData" localSheetId="1" hidden="1">FIJOS!$B$10:$P$505</definedName>
    <definedName name="Z_F91DA326_0D64_4457_8114_E9EFF2428B86_.wvu.FilterData" localSheetId="0" hidden="1">HORAS!$A$3:$DM$3</definedName>
    <definedName name="Z_F91DA326_0D64_4457_8114_E9EFF2428B86_.wvu.FilterData" localSheetId="8" hidden="1">INCIDENCIAS!$B$5:$K$732</definedName>
    <definedName name="Z_F91DA326_0D64_4457_8114_E9EFF2428B86_.wvu.FilterData" localSheetId="6" hidden="1">VARIABLE!$A$1:$C$259</definedName>
    <definedName name="Z_F91DA326_0D64_4457_8114_E9EFF2428B86_.wvu.PrintArea" localSheetId="2" hidden="1">CAPTURA!$A$4:$DW$689</definedName>
    <definedName name="Z_F91DA326_0D64_4457_8114_E9EFF2428B86_.wvu.PrintTitles" localSheetId="2" hidden="1">CAPTURA!$4:$6</definedName>
    <definedName name="Z_F91DD39F_27A2_4FE3_B0C4_19B058A6BA36_.wvu.FilterData" localSheetId="2" hidden="1">CAPTURA!$A$6:$EK$678</definedName>
    <definedName name="Z_F94A3636_4AED_4D90_A55F_C2CA9AEEE16C_.wvu.FilterData" localSheetId="2" hidden="1">CAPTURA!$A$6:$EK$678</definedName>
    <definedName name="Z_F94A8E38_47F5_417A_B42B_074B295E40CE_.wvu.FilterData" localSheetId="2" hidden="1">CAPTURA!$A$6:$EK$678</definedName>
    <definedName name="Z_F96112B9_48B6_4914_9A4A_EA45DEF9BD46_.wvu.FilterData" localSheetId="2" hidden="1">CAPTURA!$A$6:$EK$678</definedName>
    <definedName name="Z_F97938E7_F583_419F_ACF2_3719D1742D29_.wvu.FilterData" localSheetId="2" hidden="1">CAPTURA!$A$6:$EK$678</definedName>
    <definedName name="Z_F98AC1DF_AA1B_46C5_B88D_E366751A79DD_.wvu.FilterData" localSheetId="2" hidden="1">CAPTURA!$A$6:$EK$678</definedName>
    <definedName name="Z_F9980471_284C_4791_ADF1_971F1EA4B8F7_.wvu.FilterData" localSheetId="2" hidden="1">CAPTURA!$A$6:$EK$678</definedName>
    <definedName name="Z_F9AD3196_049B_4E20_8537_94BFBB47AD54_.wvu.FilterData" localSheetId="2" hidden="1">CAPTURA!$A$6:$EK$678</definedName>
    <definedName name="Z_F9E66322_7212_4D63_84CE_5C2CE2DC24FE_.wvu.FilterData" localSheetId="2" hidden="1">CAPTURA!$A$6:$EK$678</definedName>
    <definedName name="Z_F9E88DB2_10F2_49E8_8CA1_BD2692B5D603_.wvu.FilterData" localSheetId="2" hidden="1">CAPTURA!$A$6:$EK$678</definedName>
    <definedName name="Z_FA3BE7CD_2617_482C_ABBB_78EBC1E46187_.wvu.FilterData" localSheetId="2" hidden="1">CAPTURA!$A$6:$EK$678</definedName>
    <definedName name="Z_FAB175BD_B85D_4142_8A68_B3EA61A91F6B_.wvu.FilterData" localSheetId="2" hidden="1">CAPTURA!$A$6:$EK$678</definedName>
    <definedName name="Z_FACA83CF_7E5F_4EE5_BA4A_A2A6D22C7123_.wvu.FilterData" localSheetId="2" hidden="1">CAPTURA!$A$6:$EK$678</definedName>
    <definedName name="Z_FAD59F70_CB5E_419C_9B43_4D40A23BDD35_.wvu.FilterData" localSheetId="2" hidden="1">CAPTURA!$A$6:$EK$678</definedName>
    <definedName name="Z_FB59ECE4_F176_46F8_879B_11BD082F564A_.wvu.FilterData" localSheetId="2" hidden="1">CAPTURA!$A$6:$EK$678</definedName>
    <definedName name="Z_FB602143_B129_4064_82EA_74F54D8602DB_.wvu.FilterData" localSheetId="2" hidden="1">CAPTURA!$A$6:$EK$678</definedName>
    <definedName name="Z_FB602143_B129_4064_82EA_74F54D8602DB_.wvu.FilterData" localSheetId="5" hidden="1">'DISPERSION FISCAL'!$A$1:$E$181</definedName>
    <definedName name="Z_FB602143_B129_4064_82EA_74F54D8602DB_.wvu.FilterData" localSheetId="1" hidden="1">FIJOS!$B$10:$P$228</definedName>
    <definedName name="Z_FB602143_B129_4064_82EA_74F54D8602DB_.wvu.FilterData" localSheetId="8" hidden="1">INCIDENCIAS!$B$5:$K$516</definedName>
    <definedName name="Z_FB602143_B129_4064_82EA_74F54D8602DB_.wvu.FilterData" localSheetId="6" hidden="1">VARIABLE!$A$1:$C$259</definedName>
    <definedName name="Z_FB602143_B129_4064_82EA_74F54D8602DB_.wvu.PrintArea" localSheetId="2" hidden="1">CAPTURA!$A$4:$DW$689</definedName>
    <definedName name="Z_FB602143_B129_4064_82EA_74F54D8602DB_.wvu.PrintTitles" localSheetId="2" hidden="1">CAPTURA!$4:$6</definedName>
    <definedName name="Z_FB7D9F83_E892_402F_8A81_0203B5BFC803_.wvu.FilterData" localSheetId="1" hidden="1">FIJOS!$B$10:$P$505</definedName>
    <definedName name="Z_FBA10800_1DBF_4E8B_8348_5F18D37CC75A_.wvu.FilterData" localSheetId="2" hidden="1">CAPTURA!$A$6:$EK$678</definedName>
    <definedName name="Z_FBD7126A_AE78_484C_A19D_0450E0338FB6_.wvu.FilterData" localSheetId="2" hidden="1">CAPTURA!$A$6:$EK$678</definedName>
    <definedName name="Z_FBD7126A_AE78_484C_A19D_0450E0338FB6_.wvu.FilterData" localSheetId="5" hidden="1">'DISPERSION FISCAL'!$A$1:$G$624</definedName>
    <definedName name="Z_FBD7126A_AE78_484C_A19D_0450E0338FB6_.wvu.FilterData" localSheetId="1" hidden="1">FIJOS!$B$10:$P$505</definedName>
    <definedName name="Z_FBD7126A_AE78_484C_A19D_0450E0338FB6_.wvu.FilterData" localSheetId="0" hidden="1">HORAS!$A$3:$DM$3</definedName>
    <definedName name="Z_FBD7126A_AE78_484C_A19D_0450E0338FB6_.wvu.FilterData" localSheetId="8" hidden="1">INCIDENCIAS!$B$5:$K$494</definedName>
    <definedName name="Z_FBD7126A_AE78_484C_A19D_0450E0338FB6_.wvu.FilterData" localSheetId="6" hidden="1">VARIABLE!$A$1:$C$259</definedName>
    <definedName name="Z_FBD7126A_AE78_484C_A19D_0450E0338FB6_.wvu.PrintArea" localSheetId="2" hidden="1">CAPTURA!$A$4:$DW$689</definedName>
    <definedName name="Z_FBD7126A_AE78_484C_A19D_0450E0338FB6_.wvu.PrintTitles" localSheetId="2" hidden="1">CAPTURA!$4:$6</definedName>
    <definedName name="Z_FBD86B19_3E30_439F_85EA_545D4ACFCB83_.wvu.FilterData" localSheetId="2" hidden="1">CAPTURA!$A$6:$EK$678</definedName>
    <definedName name="Z_FC0DDD42_868C_4C60_B2CA_4C08ECFB0B39_.wvu.FilterData" localSheetId="2" hidden="1">CAPTURA!$A$6:$EK$678</definedName>
    <definedName name="Z_FC3B150F_2466_40FC_BE4B_C9B752BE1E76_.wvu.FilterData" localSheetId="2" hidden="1">CAPTURA!$A$6:$EK$678</definedName>
    <definedName name="Z_FC7E9B1D_6637_4205_935C_F4958FE6B07B_.wvu.FilterData" localSheetId="2" hidden="1">CAPTURA!$A$6:$EK$678</definedName>
    <definedName name="Z_FC8DDCBC_9189_4821_9408_16C1E9DC60A0_.wvu.FilterData" localSheetId="2" hidden="1">CAPTURA!$A$6:$EK$678</definedName>
    <definedName name="Z_FD1DF460_6B2E_4552_9B14_D1BACF6C10CB_.wvu.FilterData" localSheetId="2" hidden="1">CAPTURA!$A$6:$EK$678</definedName>
    <definedName name="Z_FDB0528C_DE13_40FB_84E6_67E4B31F6FDC_.wvu.FilterData" localSheetId="2" hidden="1">CAPTURA!$A$6:$EK$678</definedName>
    <definedName name="Z_FDB329D0_BB5D_407F_ADF1_B72B9D344988_.wvu.FilterData" localSheetId="2" hidden="1">CAPTURA!$A$6:$EK$678</definedName>
    <definedName name="Z_FE01B5D2_94D1_4E43_B719_D5EEBBAE9512_.wvu.FilterData" localSheetId="2" hidden="1">CAPTURA!$A$6:$EK$678</definedName>
    <definedName name="Z_FE050B4D_A2B5_46EC_A82F_EA28168A1716_.wvu.FilterData" localSheetId="2" hidden="1">CAPTURA!$A$6:$EK$678</definedName>
    <definedName name="Z_FE0D3040_87C6_4983_B1D0_49E34B3D2A21_.wvu.FilterData" localSheetId="2" hidden="1">CAPTURA!$A$6:$EK$678</definedName>
    <definedName name="Z_FE4A7615_6B5C_47E3_B97C_D8E16F3AF095_.wvu.FilterData" localSheetId="2" hidden="1">CAPTURA!$A$6:$EK$678</definedName>
    <definedName name="Z_FE577F03_8466_438A_AD53_14B880B4FB04_.wvu.FilterData" localSheetId="2" hidden="1">CAPTURA!$A$6:$EK$678</definedName>
    <definedName name="Z_FE603389_11A4_4CF6_9E1D_1204B27A350C_.wvu.FilterData" localSheetId="2" hidden="1">CAPTURA!$A$6:$EK$678</definedName>
    <definedName name="Z_FE6F3192_0B58_400C_A018_E147AA78731E_.wvu.FilterData" localSheetId="2" hidden="1">CAPTURA!$A$6:$EK$678</definedName>
    <definedName name="Z_FEFD29CC_E401_49AC_AFFB_F5514472C98D_.wvu.FilterData" localSheetId="2" hidden="1">CAPTURA!$A$6:$EK$678</definedName>
    <definedName name="Z_FF2EB149_01FE_4694_9B5A_36DA58EDC592_.wvu.FilterData" localSheetId="2" hidden="1">CAPTURA!$A$6:$EK$678</definedName>
    <definedName name="Z_FF2EB149_01FE_4694_9B5A_36DA58EDC592_.wvu.FilterData" localSheetId="1" hidden="1">FIJOS!$B$10:$P$228</definedName>
    <definedName name="Z_FF463A79_948D_46B3_A919_430E6A836F6A_.wvu.FilterData" localSheetId="2" hidden="1">CAPTURA!$A$6:$EK$678</definedName>
    <definedName name="Z_FF463A79_948D_46B3_A919_430E6A836F6A_.wvu.FilterData" localSheetId="5" hidden="1">'DISPERSION FISCAL'!$A$1:$G$624</definedName>
    <definedName name="Z_FF463A79_948D_46B3_A919_430E6A836F6A_.wvu.FilterData" localSheetId="1" hidden="1">FIJOS!$B$10:$P$505</definedName>
    <definedName name="Z_FF463A79_948D_46B3_A919_430E6A836F6A_.wvu.FilterData" localSheetId="0" hidden="1">HORAS!$A$3:$DM$3</definedName>
    <definedName name="Z_FF463A79_948D_46B3_A919_430E6A836F6A_.wvu.FilterData" localSheetId="8" hidden="1">INCIDENCIAS!$B$5:$K$494</definedName>
    <definedName name="Z_FF463A79_948D_46B3_A919_430E6A836F6A_.wvu.FilterData" localSheetId="6" hidden="1">VARIABLE!$A$1:$C$259</definedName>
    <definedName name="Z_FF463A79_948D_46B3_A919_430E6A836F6A_.wvu.PrintArea" localSheetId="2" hidden="1">CAPTURA!$A$4:$DW$689</definedName>
    <definedName name="Z_FF463A79_948D_46B3_A919_430E6A836F6A_.wvu.PrintTitles" localSheetId="2" hidden="1">CAPTURA!$4:$6</definedName>
    <definedName name="Z_FF5694F8_CD2F_448E_8BB8_7BFC7945FDC9_.wvu.FilterData" localSheetId="2" hidden="1">CAPTURA!$A$6:$EK$678</definedName>
    <definedName name="Z_FF581062_0EB8_486B_9CB8_1951817DB044_.wvu.FilterData" localSheetId="2" hidden="1">CAPTURA!$A$6:$EK$678</definedName>
    <definedName name="Z_FF581062_0EB8_486B_9CB8_1951817DB044_.wvu.FilterData" localSheetId="1" hidden="1">FIJOS!$B$10:$P$121</definedName>
    <definedName name="Z_FF80AA03_4A8F_46B9_B1EC_7B996B2E36F5_.wvu.FilterData" localSheetId="2" hidden="1">CAPTURA!$A$6:$EK$678</definedName>
    <definedName name="Z_FFA3C864_F60C_4134_B5F7_690B83C5AA82_.wvu.FilterData" localSheetId="2" hidden="1">CAPTURA!$A$6:$EK$678</definedName>
    <definedName name="Z_FFC43E4D_EB5E_4DEE_929E_E0AA0234BC79_.wvu.FilterData" localSheetId="2" hidden="1">CAPTURA!$A$6:$EK$678</definedName>
    <definedName name="Z_FFC43E4D_EB5E_4DEE_929E_E0AA0234BC79_.wvu.FilterData" localSheetId="5" hidden="1">'DISPERSION FISCAL'!$A$1:$E$181</definedName>
    <definedName name="Z_FFC43E4D_EB5E_4DEE_929E_E0AA0234BC79_.wvu.FilterData" localSheetId="1" hidden="1">FIJOS!$B$10:$P$320</definedName>
    <definedName name="Z_FFC43E4D_EB5E_4DEE_929E_E0AA0234BC79_.wvu.FilterData" localSheetId="8" hidden="1">INCIDENCIAS!$B$5:$K$590</definedName>
    <definedName name="Z_FFC43E4D_EB5E_4DEE_929E_E0AA0234BC79_.wvu.FilterData" localSheetId="6" hidden="1">VARIABLE!$A$1:$C$259</definedName>
    <definedName name="Z_FFC43E4D_EB5E_4DEE_929E_E0AA0234BC79_.wvu.PrintArea" localSheetId="2" hidden="1">CAPTURA!$A$4:$DW$689</definedName>
    <definedName name="Z_FFC43E4D_EB5E_4DEE_929E_E0AA0234BC79_.wvu.PrintTitles" localSheetId="2" hidden="1">CAPTURA!$4:$6</definedName>
    <definedName name="Z_FFD4C90E_C9D3_42BF_94A2_09E17AB507CC_.wvu.FilterData" localSheetId="2" hidden="1">CAPTURA!$A$6:$EK$678</definedName>
    <definedName name="Z_FFD4C90E_C9D3_42BF_94A2_09E17AB507CC_.wvu.FilterData" localSheetId="5" hidden="1">'DISPERSION FISCAL'!$A$1:$E$181</definedName>
    <definedName name="Z_FFD4C90E_C9D3_42BF_94A2_09E17AB507CC_.wvu.FilterData" localSheetId="1" hidden="1">FIJOS!$B$10:$P$231</definedName>
    <definedName name="Z_FFD4C90E_C9D3_42BF_94A2_09E17AB507CC_.wvu.FilterData" localSheetId="8" hidden="1">INCIDENCIAS!$B$5:$K$499</definedName>
    <definedName name="Z_FFD4C90E_C9D3_42BF_94A2_09E17AB507CC_.wvu.FilterData" localSheetId="6" hidden="1">VARIABLE!$A$1:$C$259</definedName>
    <definedName name="Z_FFD4C90E_C9D3_42BF_94A2_09E17AB507CC_.wvu.PrintArea" localSheetId="2" hidden="1">CAPTURA!$A$4:$DW$689</definedName>
    <definedName name="Z_FFD4C90E_C9D3_42BF_94A2_09E17AB507CC_.wvu.PrintTitles" localSheetId="2" hidden="1">CAPTURA!$4:$6</definedName>
    <definedName name="Z_FFE4C485_B87B_412A_B254_C55841199991_.wvu.FilterData" localSheetId="2" hidden="1">CAPTURA!$A$6:$EK$678</definedName>
  </definedNames>
  <calcPr calcId="191029"/>
  <customWorkbookViews>
    <customWorkbookView name="Josafat Sánchez - Vista personalizada" guid="{DB9894F0-96BC-4C04-8D04-FF3607BEBF53}" mergeInterval="0" personalView="1" maximized="1" xWindow="-8" yWindow="-8" windowWidth="1382" windowHeight="736" activeSheetId="3"/>
    <customWorkbookView name="Karen Muñoz - Vista personalizada" guid="{8D8BE001-C296-444A-B8AC-56385A059ADB}" mergeInterval="0" personalView="1" maximized="1" xWindow="-8" yWindow="-8" windowWidth="1382" windowHeight="744" activeSheetId="3"/>
    <customWorkbookView name="Josafat Sanchez - Vista personalizada" guid="{5A7B666F-E305-4A9E-98DD-F5DEC8A780A3}" mergeInterval="0" personalView="1" maximized="1" xWindow="-8" yWindow="-8" windowWidth="1382" windowHeight="744" activeSheetId="3"/>
    <customWorkbookView name="RRHH6 - Vista personalizada" guid="{A8BCBFE8-6A1E-4872-B017-B3136BC584DB}" mergeInterval="0" personalView="1" maximized="1" xWindow="-8" yWindow="-8" windowWidth="1382" windowHeight="744" activeSheetId="3"/>
  </customWorkbookView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9" i="3" l="1"/>
  <c r="A10" i="3"/>
  <c r="A11" i="3"/>
  <c r="A8" i="3"/>
  <c r="EB421" i="3"/>
  <c r="EC421" i="3" s="1"/>
  <c r="ED421" i="3"/>
  <c r="EE421" i="3"/>
  <c r="EB422" i="3"/>
  <c r="EC422" i="3" s="1"/>
  <c r="ED422" i="3"/>
  <c r="EE422" i="3"/>
  <c r="EB423" i="3"/>
  <c r="EC423" i="3" s="1"/>
  <c r="ED423" i="3"/>
  <c r="EE423" i="3" s="1"/>
  <c r="EB424" i="3"/>
  <c r="EC424" i="3" s="1"/>
  <c r="ED424" i="3"/>
  <c r="EE424" i="3"/>
  <c r="EB425" i="3"/>
  <c r="EC425" i="3" s="1"/>
  <c r="ED425" i="3"/>
  <c r="EE425" i="3"/>
  <c r="EB426" i="3"/>
  <c r="EC426" i="3" s="1"/>
  <c r="ED426" i="3"/>
  <c r="EE426" i="3"/>
  <c r="EB427" i="3"/>
  <c r="EC427" i="3" s="1"/>
  <c r="ED427" i="3"/>
  <c r="EE427" i="3" s="1"/>
  <c r="EB428" i="3"/>
  <c r="EC428" i="3" s="1"/>
  <c r="ED428" i="3"/>
  <c r="EE428" i="3"/>
  <c r="EB429" i="3"/>
  <c r="EC429" i="3" s="1"/>
  <c r="ED429" i="3"/>
  <c r="EE429" i="3"/>
  <c r="EB430" i="3"/>
  <c r="EC430" i="3" s="1"/>
  <c r="ED430" i="3"/>
  <c r="EE430" i="3"/>
  <c r="EB431" i="3"/>
  <c r="EC431" i="3" s="1"/>
  <c r="ED431" i="3"/>
  <c r="EE431" i="3" s="1"/>
  <c r="EB432" i="3"/>
  <c r="EC432" i="3" s="1"/>
  <c r="ED432" i="3"/>
  <c r="EE432" i="3" s="1"/>
  <c r="EB433" i="3"/>
  <c r="EC433" i="3" s="1"/>
  <c r="ED433" i="3"/>
  <c r="EE433" i="3"/>
  <c r="EB434" i="3"/>
  <c r="EC434" i="3" s="1"/>
  <c r="ED434" i="3"/>
  <c r="EE434" i="3"/>
  <c r="EB435" i="3"/>
  <c r="EC435" i="3" s="1"/>
  <c r="ED435" i="3"/>
  <c r="EE435" i="3" s="1"/>
  <c r="EB436" i="3"/>
  <c r="EC436" i="3" s="1"/>
  <c r="ED436" i="3"/>
  <c r="EE436" i="3"/>
  <c r="EB437" i="3"/>
  <c r="EC437" i="3" s="1"/>
  <c r="ED437" i="3"/>
  <c r="EE437" i="3"/>
  <c r="EB438" i="3"/>
  <c r="EC438" i="3" s="1"/>
  <c r="ED438" i="3"/>
  <c r="EE438" i="3"/>
  <c r="EB439" i="3"/>
  <c r="EC439" i="3" s="1"/>
  <c r="ED439" i="3"/>
  <c r="EE439" i="3" s="1"/>
  <c r="EB440" i="3"/>
  <c r="EC440" i="3" s="1"/>
  <c r="ED440" i="3"/>
  <c r="EE440" i="3"/>
  <c r="EB441" i="3"/>
  <c r="EC441" i="3" s="1"/>
  <c r="ED441" i="3"/>
  <c r="EE441" i="3"/>
  <c r="EB442" i="3"/>
  <c r="EC442" i="3" s="1"/>
  <c r="ED442" i="3"/>
  <c r="EE442" i="3"/>
  <c r="EB443" i="3"/>
  <c r="EC443" i="3" s="1"/>
  <c r="ED443" i="3"/>
  <c r="EE443" i="3" s="1"/>
  <c r="EB444" i="3"/>
  <c r="EC444" i="3" s="1"/>
  <c r="ED444" i="3"/>
  <c r="EE444" i="3"/>
  <c r="EB445" i="3"/>
  <c r="EC445" i="3" s="1"/>
  <c r="ED445" i="3"/>
  <c r="EE445" i="3"/>
  <c r="EB446" i="3"/>
  <c r="EC446" i="3" s="1"/>
  <c r="ED446" i="3"/>
  <c r="EE446" i="3"/>
  <c r="EB447" i="3"/>
  <c r="EC447" i="3" s="1"/>
  <c r="ED447" i="3"/>
  <c r="EE447" i="3" s="1"/>
  <c r="EB448" i="3"/>
  <c r="EC448" i="3" s="1"/>
  <c r="ED448" i="3"/>
  <c r="EE448" i="3" s="1"/>
  <c r="EB449" i="3"/>
  <c r="EC449" i="3" s="1"/>
  <c r="ED449" i="3"/>
  <c r="EE449" i="3"/>
  <c r="EB450" i="3"/>
  <c r="EC450" i="3" s="1"/>
  <c r="ED450" i="3"/>
  <c r="EE450" i="3"/>
  <c r="EB451" i="3"/>
  <c r="EC451" i="3" s="1"/>
  <c r="ED451" i="3"/>
  <c r="EE451" i="3" s="1"/>
  <c r="EB452" i="3"/>
  <c r="EC452" i="3" s="1"/>
  <c r="ED452" i="3"/>
  <c r="EE452" i="3"/>
  <c r="EB453" i="3"/>
  <c r="EC453" i="3" s="1"/>
  <c r="ED453" i="3"/>
  <c r="EE453" i="3"/>
  <c r="EB454" i="3"/>
  <c r="EC454" i="3" s="1"/>
  <c r="ED454" i="3"/>
  <c r="EE454" i="3"/>
  <c r="EB455" i="3"/>
  <c r="EC455" i="3" s="1"/>
  <c r="ED455" i="3"/>
  <c r="EE455" i="3" s="1"/>
  <c r="EB456" i="3"/>
  <c r="EC456" i="3" s="1"/>
  <c r="ED456" i="3"/>
  <c r="EE456" i="3"/>
  <c r="EB457" i="3"/>
  <c r="EC457" i="3" s="1"/>
  <c r="ED457" i="3"/>
  <c r="EE457" i="3"/>
  <c r="EB458" i="3"/>
  <c r="EC458" i="3" s="1"/>
  <c r="ED458" i="3"/>
  <c r="EE458" i="3"/>
  <c r="EB459" i="3"/>
  <c r="EC459" i="3" s="1"/>
  <c r="ED459" i="3"/>
  <c r="EE459" i="3" s="1"/>
  <c r="EB460" i="3"/>
  <c r="EC460" i="3" s="1"/>
  <c r="ED460" i="3"/>
  <c r="EE460" i="3"/>
  <c r="EB461" i="3"/>
  <c r="EC461" i="3" s="1"/>
  <c r="ED461" i="3"/>
  <c r="EE461" i="3"/>
  <c r="EB462" i="3"/>
  <c r="EC462" i="3" s="1"/>
  <c r="ED462" i="3"/>
  <c r="EE462" i="3"/>
  <c r="EB463" i="3"/>
  <c r="EC463" i="3" s="1"/>
  <c r="ED463" i="3"/>
  <c r="EE463" i="3" s="1"/>
  <c r="EB464" i="3"/>
  <c r="EC464" i="3" s="1"/>
  <c r="ED464" i="3"/>
  <c r="EE464" i="3" s="1"/>
  <c r="EB465" i="3"/>
  <c r="EC465" i="3" s="1"/>
  <c r="ED465" i="3"/>
  <c r="EE465" i="3"/>
  <c r="EB466" i="3"/>
  <c r="EC466" i="3" s="1"/>
  <c r="ED466" i="3"/>
  <c r="EE466" i="3"/>
  <c r="EB467" i="3"/>
  <c r="EC467" i="3" s="1"/>
  <c r="ED467" i="3"/>
  <c r="EE467" i="3" s="1"/>
  <c r="EB468" i="3"/>
  <c r="EC468" i="3" s="1"/>
  <c r="ED468" i="3"/>
  <c r="EE468" i="3" s="1"/>
  <c r="EB469" i="3"/>
  <c r="EC469" i="3" s="1"/>
  <c r="ED469" i="3"/>
  <c r="EE469" i="3"/>
  <c r="EB470" i="3"/>
  <c r="EC470" i="3" s="1"/>
  <c r="ED470" i="3"/>
  <c r="EE470" i="3"/>
  <c r="EB471" i="3"/>
  <c r="EC471" i="3" s="1"/>
  <c r="ED471" i="3"/>
  <c r="EE471" i="3" s="1"/>
  <c r="EB472" i="3"/>
  <c r="EC472" i="3" s="1"/>
  <c r="ED472" i="3"/>
  <c r="EE472" i="3"/>
  <c r="EB473" i="3"/>
  <c r="EC473" i="3" s="1"/>
  <c r="ED473" i="3"/>
  <c r="EE473" i="3"/>
  <c r="EB474" i="3"/>
  <c r="EC474" i="3" s="1"/>
  <c r="ED474" i="3"/>
  <c r="EE474" i="3"/>
  <c r="EB475" i="3"/>
  <c r="EC475" i="3" s="1"/>
  <c r="ED475" i="3"/>
  <c r="EE475" i="3" s="1"/>
  <c r="EB476" i="3"/>
  <c r="EC476" i="3" s="1"/>
  <c r="ED476" i="3"/>
  <c r="EE476" i="3"/>
  <c r="EB477" i="3"/>
  <c r="EC477" i="3" s="1"/>
  <c r="ED477" i="3"/>
  <c r="EE477" i="3"/>
  <c r="EB478" i="3"/>
  <c r="EC478" i="3" s="1"/>
  <c r="ED478" i="3"/>
  <c r="EE478" i="3"/>
  <c r="EB479" i="3"/>
  <c r="EC479" i="3" s="1"/>
  <c r="ED479" i="3"/>
  <c r="EE479" i="3" s="1"/>
  <c r="EB480" i="3"/>
  <c r="EC480" i="3" s="1"/>
  <c r="ED480" i="3"/>
  <c r="EE480" i="3" s="1"/>
  <c r="EB481" i="3"/>
  <c r="EC481" i="3" s="1"/>
  <c r="ED481" i="3"/>
  <c r="EE481" i="3"/>
  <c r="EB482" i="3"/>
  <c r="EC482" i="3" s="1"/>
  <c r="ED482" i="3"/>
  <c r="EE482" i="3"/>
  <c r="EB483" i="3"/>
  <c r="EC483" i="3" s="1"/>
  <c r="ED483" i="3"/>
  <c r="EE483" i="3" s="1"/>
  <c r="EB484" i="3"/>
  <c r="EC484" i="3" s="1"/>
  <c r="ED484" i="3"/>
  <c r="EE484" i="3"/>
  <c r="EB485" i="3"/>
  <c r="EC485" i="3" s="1"/>
  <c r="ED485" i="3"/>
  <c r="EE485" i="3"/>
  <c r="EB486" i="3"/>
  <c r="EC486" i="3" s="1"/>
  <c r="ED486" i="3"/>
  <c r="EE486" i="3" s="1"/>
  <c r="EB487" i="3"/>
  <c r="EC487" i="3" s="1"/>
  <c r="ED487" i="3"/>
  <c r="EE487" i="3" s="1"/>
  <c r="EB488" i="3"/>
  <c r="EC488" i="3" s="1"/>
  <c r="ED488" i="3"/>
  <c r="EE488" i="3" s="1"/>
  <c r="EB489" i="3"/>
  <c r="EC489" i="3" s="1"/>
  <c r="ED489" i="3"/>
  <c r="EE489" i="3"/>
  <c r="EB490" i="3"/>
  <c r="EC490" i="3" s="1"/>
  <c r="ED490" i="3"/>
  <c r="EE490" i="3" s="1"/>
  <c r="EB491" i="3"/>
  <c r="EC491" i="3" s="1"/>
  <c r="ED491" i="3"/>
  <c r="EE491" i="3" s="1"/>
  <c r="EB492" i="3"/>
  <c r="EC492" i="3" s="1"/>
  <c r="ED492" i="3"/>
  <c r="EE492" i="3"/>
  <c r="EB493" i="3"/>
  <c r="EC493" i="3" s="1"/>
  <c r="ED493" i="3"/>
  <c r="EE493" i="3"/>
  <c r="EB494" i="3"/>
  <c r="EC494" i="3" s="1"/>
  <c r="ED494" i="3"/>
  <c r="EE494" i="3" s="1"/>
  <c r="EB495" i="3"/>
  <c r="EC495" i="3" s="1"/>
  <c r="ED495" i="3"/>
  <c r="EE495" i="3" s="1"/>
  <c r="EB496" i="3"/>
  <c r="EC496" i="3" s="1"/>
  <c r="ED496" i="3"/>
  <c r="EE496" i="3" s="1"/>
  <c r="EB497" i="3"/>
  <c r="EC497" i="3" s="1"/>
  <c r="ED497" i="3"/>
  <c r="EE497" i="3"/>
  <c r="EB498" i="3"/>
  <c r="EC498" i="3" s="1"/>
  <c r="ED498" i="3"/>
  <c r="EE498" i="3" s="1"/>
  <c r="EB499" i="3"/>
  <c r="EC499" i="3" s="1"/>
  <c r="ED499" i="3"/>
  <c r="EE499" i="3" s="1"/>
  <c r="EB500" i="3"/>
  <c r="EC500" i="3" s="1"/>
  <c r="ED500" i="3"/>
  <c r="EE500" i="3"/>
  <c r="EB501" i="3"/>
  <c r="EC501" i="3" s="1"/>
  <c r="ED501" i="3"/>
  <c r="EE501" i="3"/>
  <c r="EB502" i="3"/>
  <c r="EC502" i="3" s="1"/>
  <c r="ED502" i="3"/>
  <c r="EE502" i="3" s="1"/>
  <c r="EB503" i="3"/>
  <c r="EC503" i="3" s="1"/>
  <c r="ED503" i="3"/>
  <c r="EE503" i="3" s="1"/>
  <c r="EB504" i="3"/>
  <c r="EC504" i="3" s="1"/>
  <c r="ED504" i="3"/>
  <c r="EE504" i="3" s="1"/>
  <c r="EB505" i="3"/>
  <c r="EC505" i="3" s="1"/>
  <c r="ED505" i="3"/>
  <c r="EE505" i="3"/>
  <c r="EB506" i="3"/>
  <c r="EC506" i="3" s="1"/>
  <c r="ED506" i="3"/>
  <c r="EE506" i="3"/>
  <c r="EB507" i="3"/>
  <c r="EC507" i="3" s="1"/>
  <c r="ED507" i="3"/>
  <c r="EE507" i="3"/>
  <c r="EB508" i="3"/>
  <c r="EC508" i="3" s="1"/>
  <c r="ED508" i="3"/>
  <c r="EE508" i="3"/>
  <c r="EB509" i="3"/>
  <c r="EC509" i="3" s="1"/>
  <c r="ED509" i="3"/>
  <c r="EE509" i="3"/>
  <c r="EB510" i="3"/>
  <c r="EC510" i="3" s="1"/>
  <c r="ED510" i="3"/>
  <c r="EE510" i="3"/>
  <c r="EB511" i="3"/>
  <c r="EC511" i="3" s="1"/>
  <c r="ED511" i="3"/>
  <c r="EE511" i="3"/>
  <c r="EB512" i="3"/>
  <c r="EC512" i="3" s="1"/>
  <c r="ED512" i="3"/>
  <c r="EE512" i="3"/>
  <c r="EB513" i="3"/>
  <c r="EC513" i="3" s="1"/>
  <c r="ED513" i="3"/>
  <c r="EE513" i="3"/>
  <c r="EB514" i="3"/>
  <c r="EC514" i="3" s="1"/>
  <c r="ED514" i="3"/>
  <c r="EE514" i="3"/>
  <c r="EB515" i="3"/>
  <c r="EC515" i="3" s="1"/>
  <c r="ED515" i="3"/>
  <c r="EE515" i="3"/>
  <c r="EB516" i="3"/>
  <c r="EC516" i="3" s="1"/>
  <c r="ED516" i="3"/>
  <c r="EE516" i="3"/>
  <c r="EB517" i="3"/>
  <c r="EC517" i="3" s="1"/>
  <c r="ED517" i="3"/>
  <c r="EE517" i="3"/>
  <c r="EB518" i="3"/>
  <c r="EC518" i="3" s="1"/>
  <c r="ED518" i="3"/>
  <c r="EE518" i="3"/>
  <c r="EB519" i="3"/>
  <c r="EC519" i="3" s="1"/>
  <c r="ED519" i="3"/>
  <c r="EE519" i="3"/>
  <c r="EB520" i="3"/>
  <c r="EC520" i="3" s="1"/>
  <c r="ED520" i="3"/>
  <c r="EE520" i="3"/>
  <c r="EB521" i="3"/>
  <c r="EC521" i="3" s="1"/>
  <c r="ED521" i="3"/>
  <c r="EE521" i="3"/>
  <c r="EB522" i="3"/>
  <c r="EC522" i="3" s="1"/>
  <c r="ED522" i="3"/>
  <c r="EE522" i="3"/>
  <c r="EB523" i="3"/>
  <c r="EC523" i="3" s="1"/>
  <c r="ED523" i="3"/>
  <c r="EE523" i="3"/>
  <c r="EB524" i="3"/>
  <c r="EC524" i="3" s="1"/>
  <c r="ED524" i="3"/>
  <c r="EE524" i="3"/>
  <c r="EB525" i="3"/>
  <c r="EC525" i="3" s="1"/>
  <c r="ED525" i="3"/>
  <c r="EE525" i="3"/>
  <c r="EB526" i="3"/>
  <c r="EC526" i="3" s="1"/>
  <c r="ED526" i="3"/>
  <c r="EE526" i="3"/>
  <c r="EB527" i="3"/>
  <c r="EC527" i="3" s="1"/>
  <c r="ED527" i="3"/>
  <c r="EE527" i="3"/>
  <c r="EB528" i="3"/>
  <c r="EC528" i="3" s="1"/>
  <c r="ED528" i="3"/>
  <c r="EE528" i="3"/>
  <c r="EB529" i="3"/>
  <c r="EC529" i="3" s="1"/>
  <c r="ED529" i="3"/>
  <c r="EE529" i="3"/>
  <c r="EB530" i="3"/>
  <c r="EC530" i="3" s="1"/>
  <c r="ED530" i="3"/>
  <c r="EE530" i="3"/>
  <c r="EB531" i="3"/>
  <c r="EC531" i="3" s="1"/>
  <c r="ED531" i="3"/>
  <c r="EE531" i="3"/>
  <c r="EB532" i="3"/>
  <c r="EC532" i="3" s="1"/>
  <c r="ED532" i="3"/>
  <c r="EE532" i="3"/>
  <c r="EB533" i="3"/>
  <c r="EC533" i="3" s="1"/>
  <c r="ED533" i="3"/>
  <c r="EE533" i="3"/>
  <c r="EB534" i="3"/>
  <c r="EC534" i="3" s="1"/>
  <c r="ED534" i="3"/>
  <c r="EE534" i="3"/>
  <c r="EB535" i="3"/>
  <c r="EC535" i="3" s="1"/>
  <c r="ED535" i="3"/>
  <c r="EE535" i="3"/>
  <c r="EB536" i="3"/>
  <c r="EC536" i="3" s="1"/>
  <c r="ED536" i="3"/>
  <c r="EE536" i="3"/>
  <c r="EB537" i="3"/>
  <c r="EC537" i="3" s="1"/>
  <c r="ED537" i="3"/>
  <c r="EE537" i="3"/>
  <c r="EB538" i="3"/>
  <c r="EC538" i="3" s="1"/>
  <c r="ED538" i="3"/>
  <c r="EE538" i="3"/>
  <c r="EB539" i="3"/>
  <c r="EC539" i="3" s="1"/>
  <c r="ED539" i="3"/>
  <c r="EE539" i="3"/>
  <c r="EB540" i="3"/>
  <c r="EC540" i="3" s="1"/>
  <c r="ED540" i="3"/>
  <c r="EE540" i="3"/>
  <c r="EB541" i="3"/>
  <c r="EC541" i="3" s="1"/>
  <c r="ED541" i="3"/>
  <c r="EE541" i="3" s="1"/>
  <c r="EB542" i="3"/>
  <c r="EC542" i="3" s="1"/>
  <c r="ED542" i="3"/>
  <c r="EE542" i="3"/>
  <c r="EB543" i="3"/>
  <c r="EC543" i="3" s="1"/>
  <c r="ED543" i="3"/>
  <c r="EE543" i="3"/>
  <c r="EB544" i="3"/>
  <c r="EC544" i="3" s="1"/>
  <c r="ED544" i="3"/>
  <c r="EE544" i="3" s="1"/>
  <c r="EB545" i="3"/>
  <c r="EC545" i="3" s="1"/>
  <c r="ED545" i="3"/>
  <c r="EE545" i="3" s="1"/>
  <c r="EB546" i="3"/>
  <c r="EC546" i="3" s="1"/>
  <c r="ED546" i="3"/>
  <c r="EE546" i="3" s="1"/>
  <c r="EB547" i="3"/>
  <c r="EC547" i="3" s="1"/>
  <c r="ED547" i="3"/>
  <c r="EE547" i="3"/>
  <c r="EB548" i="3"/>
  <c r="EC548" i="3" s="1"/>
  <c r="ED548" i="3"/>
  <c r="EE548" i="3" s="1"/>
  <c r="EB549" i="3"/>
  <c r="EC549" i="3" s="1"/>
  <c r="ED549" i="3"/>
  <c r="EE549" i="3" s="1"/>
  <c r="EB550" i="3"/>
  <c r="EC550" i="3" s="1"/>
  <c r="ED550" i="3"/>
  <c r="EE550" i="3"/>
  <c r="EB551" i="3"/>
  <c r="EC551" i="3" s="1"/>
  <c r="ED551" i="3"/>
  <c r="EE551" i="3"/>
  <c r="EB552" i="3"/>
  <c r="EC552" i="3" s="1"/>
  <c r="ED552" i="3"/>
  <c r="EE552" i="3" s="1"/>
  <c r="EB553" i="3"/>
  <c r="EC553" i="3" s="1"/>
  <c r="ED553" i="3"/>
  <c r="EE553" i="3" s="1"/>
  <c r="EB554" i="3"/>
  <c r="EC554" i="3" s="1"/>
  <c r="ED554" i="3"/>
  <c r="EE554" i="3" s="1"/>
  <c r="EB555" i="3"/>
  <c r="EC555" i="3" s="1"/>
  <c r="ED555" i="3"/>
  <c r="EE555" i="3"/>
  <c r="EB556" i="3"/>
  <c r="EC556" i="3" s="1"/>
  <c r="ED556" i="3"/>
  <c r="EE556" i="3" s="1"/>
  <c r="EB557" i="3"/>
  <c r="EC557" i="3" s="1"/>
  <c r="ED557" i="3"/>
  <c r="EE557" i="3" s="1"/>
  <c r="EB558" i="3"/>
  <c r="EC558" i="3" s="1"/>
  <c r="ED558" i="3"/>
  <c r="EE558" i="3" s="1"/>
  <c r="EB559" i="3"/>
  <c r="EC559" i="3" s="1"/>
  <c r="ED559" i="3"/>
  <c r="EE559" i="3"/>
  <c r="EB560" i="3"/>
  <c r="EC560" i="3" s="1"/>
  <c r="ED560" i="3"/>
  <c r="EE560" i="3" s="1"/>
  <c r="EB561" i="3"/>
  <c r="EC561" i="3" s="1"/>
  <c r="ED561" i="3"/>
  <c r="EE561" i="3" s="1"/>
  <c r="EB562" i="3"/>
  <c r="EC562" i="3" s="1"/>
  <c r="ED562" i="3"/>
  <c r="EE562" i="3" s="1"/>
  <c r="EB563" i="3"/>
  <c r="EC563" i="3" s="1"/>
  <c r="ED563" i="3"/>
  <c r="EE563" i="3"/>
  <c r="EB564" i="3"/>
  <c r="EC564" i="3" s="1"/>
  <c r="ED564" i="3"/>
  <c r="EE564" i="3" s="1"/>
  <c r="EB565" i="3"/>
  <c r="EC565" i="3" s="1"/>
  <c r="ED565" i="3"/>
  <c r="EE565" i="3" s="1"/>
  <c r="EB566" i="3"/>
  <c r="EC566" i="3" s="1"/>
  <c r="ED566" i="3"/>
  <c r="EE566" i="3"/>
  <c r="EB567" i="3"/>
  <c r="EC567" i="3" s="1"/>
  <c r="ED567" i="3"/>
  <c r="EE567" i="3"/>
  <c r="EB568" i="3"/>
  <c r="EC568" i="3" s="1"/>
  <c r="ED568" i="3"/>
  <c r="EE568" i="3" s="1"/>
  <c r="EB569" i="3"/>
  <c r="EC569" i="3" s="1"/>
  <c r="ED569" i="3"/>
  <c r="EE569" i="3" s="1"/>
  <c r="EB570" i="3"/>
  <c r="EC570" i="3"/>
  <c r="ED570" i="3"/>
  <c r="EE570" i="3" s="1"/>
  <c r="EB571" i="3"/>
  <c r="EC571" i="3"/>
  <c r="ED571" i="3"/>
  <c r="EE571" i="3" s="1"/>
  <c r="EB572" i="3"/>
  <c r="EC572" i="3"/>
  <c r="ED572" i="3"/>
  <c r="EE572" i="3" s="1"/>
  <c r="EB573" i="3"/>
  <c r="EC573" i="3"/>
  <c r="ED573" i="3"/>
  <c r="EE573" i="3" s="1"/>
  <c r="EB574" i="3"/>
  <c r="EC574" i="3"/>
  <c r="ED574" i="3"/>
  <c r="EE574" i="3" s="1"/>
  <c r="EB575" i="3"/>
  <c r="EC575" i="3"/>
  <c r="ED575" i="3"/>
  <c r="EE575" i="3" s="1"/>
  <c r="EB576" i="3"/>
  <c r="EC576" i="3"/>
  <c r="ED576" i="3"/>
  <c r="EE576" i="3" s="1"/>
  <c r="EB577" i="3"/>
  <c r="EC577" i="3"/>
  <c r="ED577" i="3"/>
  <c r="EE577" i="3" s="1"/>
  <c r="EB578" i="3"/>
  <c r="EC578" i="3"/>
  <c r="ED578" i="3"/>
  <c r="EE578" i="3" s="1"/>
  <c r="EB579" i="3"/>
  <c r="EC579" i="3"/>
  <c r="ED579" i="3"/>
  <c r="EE579" i="3" s="1"/>
  <c r="EB580" i="3"/>
  <c r="EC580" i="3"/>
  <c r="ED580" i="3"/>
  <c r="EE580" i="3" s="1"/>
  <c r="EB581" i="3"/>
  <c r="EC581" i="3"/>
  <c r="ED581" i="3"/>
  <c r="EE581" i="3" s="1"/>
  <c r="EB582" i="3"/>
  <c r="EC582" i="3"/>
  <c r="ED582" i="3"/>
  <c r="EE582" i="3" s="1"/>
  <c r="EB583" i="3"/>
  <c r="EC583" i="3"/>
  <c r="ED583" i="3"/>
  <c r="EE583" i="3" s="1"/>
  <c r="EB584" i="3"/>
  <c r="EC584" i="3"/>
  <c r="ED584" i="3"/>
  <c r="EE584" i="3" s="1"/>
  <c r="EB585" i="3"/>
  <c r="EC585" i="3"/>
  <c r="ED585" i="3"/>
  <c r="EE585" i="3" s="1"/>
  <c r="EB586" i="3"/>
  <c r="EC586" i="3"/>
  <c r="ED586" i="3"/>
  <c r="EE586" i="3" s="1"/>
  <c r="EB587" i="3"/>
  <c r="EC587" i="3"/>
  <c r="ED587" i="3"/>
  <c r="EE587" i="3" s="1"/>
  <c r="EB588" i="3"/>
  <c r="EC588" i="3"/>
  <c r="ED588" i="3"/>
  <c r="EE588" i="3" s="1"/>
  <c r="EB589" i="3"/>
  <c r="EC589" i="3"/>
  <c r="ED589" i="3"/>
  <c r="EE589" i="3" s="1"/>
  <c r="EB590" i="3"/>
  <c r="EC590" i="3"/>
  <c r="ED590" i="3"/>
  <c r="EE590" i="3" s="1"/>
  <c r="EB591" i="3"/>
  <c r="EC591" i="3"/>
  <c r="ED591" i="3"/>
  <c r="EE591" i="3" s="1"/>
  <c r="EB592" i="3"/>
  <c r="EC592" i="3"/>
  <c r="ED592" i="3"/>
  <c r="EE592" i="3" s="1"/>
  <c r="EB593" i="3"/>
  <c r="EC593" i="3"/>
  <c r="ED593" i="3"/>
  <c r="EE593" i="3" s="1"/>
  <c r="EB594" i="3"/>
  <c r="EC594" i="3"/>
  <c r="ED594" i="3"/>
  <c r="EE594" i="3" s="1"/>
  <c r="EB595" i="3"/>
  <c r="EC595" i="3"/>
  <c r="ED595" i="3"/>
  <c r="EE595" i="3" s="1"/>
  <c r="EB596" i="3"/>
  <c r="EC596" i="3"/>
  <c r="ED596" i="3"/>
  <c r="EE596" i="3" s="1"/>
  <c r="EB597" i="3"/>
  <c r="EC597" i="3"/>
  <c r="ED597" i="3"/>
  <c r="EE597" i="3" s="1"/>
  <c r="EB598" i="3"/>
  <c r="EC598" i="3"/>
  <c r="ED598" i="3"/>
  <c r="EE598" i="3" s="1"/>
  <c r="EB599" i="3"/>
  <c r="EC599" i="3"/>
  <c r="ED599" i="3"/>
  <c r="EE599" i="3" s="1"/>
  <c r="EB600" i="3"/>
  <c r="EC600" i="3"/>
  <c r="ED600" i="3"/>
  <c r="EE600" i="3" s="1"/>
  <c r="EB601" i="3"/>
  <c r="EC601" i="3"/>
  <c r="ED601" i="3"/>
  <c r="EE601" i="3" s="1"/>
  <c r="EB602" i="3"/>
  <c r="EC602" i="3"/>
  <c r="ED602" i="3"/>
  <c r="EE602" i="3" s="1"/>
  <c r="EB603" i="3"/>
  <c r="EC603" i="3"/>
  <c r="ED603" i="3"/>
  <c r="EE603" i="3" s="1"/>
  <c r="EB604" i="3"/>
  <c r="EC604" i="3"/>
  <c r="ED604" i="3"/>
  <c r="EE604" i="3" s="1"/>
  <c r="EB605" i="3"/>
  <c r="EC605" i="3"/>
  <c r="ED605" i="3"/>
  <c r="EE605" i="3" s="1"/>
  <c r="EB606" i="3"/>
  <c r="EC606" i="3"/>
  <c r="ED606" i="3"/>
  <c r="EE606" i="3" s="1"/>
  <c r="EB607" i="3"/>
  <c r="EC607" i="3"/>
  <c r="ED607" i="3"/>
  <c r="EE607" i="3" s="1"/>
  <c r="EB608" i="3"/>
  <c r="EC608" i="3"/>
  <c r="ED608" i="3"/>
  <c r="EE608" i="3" s="1"/>
  <c r="EB609" i="3"/>
  <c r="EC609" i="3"/>
  <c r="ED609" i="3"/>
  <c r="EE609" i="3" s="1"/>
  <c r="EB610" i="3"/>
  <c r="EC610" i="3"/>
  <c r="ED610" i="3"/>
  <c r="EE610" i="3" s="1"/>
  <c r="EB611" i="3"/>
  <c r="EC611" i="3"/>
  <c r="ED611" i="3"/>
  <c r="EE611" i="3" s="1"/>
  <c r="EB612" i="3"/>
  <c r="EC612" i="3"/>
  <c r="ED612" i="3"/>
  <c r="EE612" i="3" s="1"/>
  <c r="EB613" i="3"/>
  <c r="EC613" i="3"/>
  <c r="ED613" i="3"/>
  <c r="EE613" i="3" s="1"/>
  <c r="EB614" i="3"/>
  <c r="EC614" i="3"/>
  <c r="ED614" i="3"/>
  <c r="EE614" i="3" s="1"/>
  <c r="EB615" i="3"/>
  <c r="EC615" i="3"/>
  <c r="ED615" i="3"/>
  <c r="EE615" i="3" s="1"/>
  <c r="EB616" i="3"/>
  <c r="EC616" i="3"/>
  <c r="ED616" i="3"/>
  <c r="EE616" i="3" s="1"/>
  <c r="EB617" i="3"/>
  <c r="EC617" i="3"/>
  <c r="ED617" i="3"/>
  <c r="EE617" i="3" s="1"/>
  <c r="EB618" i="3"/>
  <c r="EC618" i="3"/>
  <c r="ED618" i="3"/>
  <c r="EE618" i="3" s="1"/>
  <c r="EB619" i="3"/>
  <c r="EC619" i="3"/>
  <c r="ED619" i="3"/>
  <c r="EE619" i="3" s="1"/>
  <c r="EB620" i="3"/>
  <c r="EC620" i="3"/>
  <c r="ED620" i="3"/>
  <c r="EE620" i="3" s="1"/>
  <c r="EB621" i="3"/>
  <c r="EC621" i="3"/>
  <c r="ED621" i="3"/>
  <c r="EE621" i="3" s="1"/>
  <c r="EB622" i="3"/>
  <c r="EC622" i="3"/>
  <c r="ED622" i="3"/>
  <c r="EE622" i="3" s="1"/>
  <c r="EB623" i="3"/>
  <c r="EC623" i="3"/>
  <c r="ED623" i="3"/>
  <c r="EE623" i="3" s="1"/>
  <c r="EB624" i="3"/>
  <c r="EC624" i="3"/>
  <c r="ED624" i="3"/>
  <c r="EE624" i="3" s="1"/>
  <c r="EB625" i="3"/>
  <c r="EC625" i="3"/>
  <c r="ED625" i="3"/>
  <c r="EE625" i="3" s="1"/>
  <c r="EB626" i="3"/>
  <c r="EC626" i="3"/>
  <c r="ED626" i="3"/>
  <c r="EE626" i="3" s="1"/>
  <c r="EB627" i="3"/>
  <c r="EC627" i="3"/>
  <c r="ED627" i="3"/>
  <c r="EE627" i="3" s="1"/>
  <c r="EB628" i="3"/>
  <c r="EC628" i="3"/>
  <c r="ED628" i="3"/>
  <c r="EE628" i="3" s="1"/>
  <c r="EB629" i="3"/>
  <c r="EC629" i="3"/>
  <c r="ED629" i="3"/>
  <c r="EE629" i="3" s="1"/>
  <c r="EB630" i="3"/>
  <c r="EC630" i="3"/>
  <c r="ED630" i="3"/>
  <c r="EE630" i="3" s="1"/>
  <c r="EB631" i="3"/>
  <c r="EC631" i="3"/>
  <c r="ED631" i="3"/>
  <c r="EE631" i="3" s="1"/>
  <c r="EB632" i="3"/>
  <c r="EC632" i="3"/>
  <c r="ED632" i="3"/>
  <c r="EE632" i="3" s="1"/>
  <c r="EB633" i="3"/>
  <c r="EC633" i="3"/>
  <c r="ED633" i="3"/>
  <c r="EE633" i="3" s="1"/>
  <c r="EB634" i="3"/>
  <c r="EC634" i="3"/>
  <c r="ED634" i="3"/>
  <c r="EE634" i="3" s="1"/>
  <c r="EB635" i="3"/>
  <c r="EC635" i="3"/>
  <c r="ED635" i="3"/>
  <c r="EE635" i="3" s="1"/>
  <c r="EB636" i="3"/>
  <c r="EC636" i="3"/>
  <c r="ED636" i="3"/>
  <c r="EE636" i="3" s="1"/>
  <c r="EB637" i="3"/>
  <c r="EC637" i="3"/>
  <c r="ED637" i="3"/>
  <c r="EE637" i="3" s="1"/>
  <c r="EB638" i="3"/>
  <c r="EC638" i="3"/>
  <c r="ED638" i="3"/>
  <c r="EE638" i="3" s="1"/>
  <c r="EB639" i="3"/>
  <c r="EC639" i="3"/>
  <c r="ED639" i="3"/>
  <c r="EE639" i="3" s="1"/>
  <c r="EB640" i="3"/>
  <c r="EC640" i="3"/>
  <c r="ED640" i="3"/>
  <c r="EE640" i="3" s="1"/>
  <c r="EB641" i="3"/>
  <c r="EC641" i="3"/>
  <c r="ED641" i="3"/>
  <c r="EE641" i="3" s="1"/>
  <c r="EB642" i="3"/>
  <c r="EC642" i="3"/>
  <c r="ED642" i="3"/>
  <c r="EE642" i="3" s="1"/>
  <c r="EB643" i="3"/>
  <c r="EC643" i="3"/>
  <c r="ED643" i="3"/>
  <c r="EE643" i="3" s="1"/>
  <c r="EB644" i="3"/>
  <c r="EC644" i="3"/>
  <c r="ED644" i="3"/>
  <c r="EE644" i="3" s="1"/>
  <c r="EB645" i="3"/>
  <c r="EC645" i="3"/>
  <c r="ED645" i="3"/>
  <c r="EE645" i="3" s="1"/>
  <c r="EB646" i="3"/>
  <c r="EC646" i="3"/>
  <c r="ED646" i="3"/>
  <c r="EE646" i="3" s="1"/>
  <c r="EB647" i="3"/>
  <c r="EC647" i="3"/>
  <c r="ED647" i="3"/>
  <c r="EE647" i="3" s="1"/>
  <c r="EB648" i="3"/>
  <c r="EC648" i="3"/>
  <c r="ED648" i="3"/>
  <c r="EE648" i="3" s="1"/>
  <c r="EB649" i="3"/>
  <c r="EC649" i="3"/>
  <c r="ED649" i="3"/>
  <c r="EE649" i="3" s="1"/>
  <c r="EB650" i="3"/>
  <c r="EC650" i="3"/>
  <c r="ED650" i="3"/>
  <c r="EE650" i="3" s="1"/>
  <c r="EB651" i="3"/>
  <c r="EC651" i="3"/>
  <c r="ED651" i="3"/>
  <c r="EE651" i="3" s="1"/>
  <c r="EB652" i="3"/>
  <c r="EC652" i="3"/>
  <c r="ED652" i="3"/>
  <c r="EE652" i="3" s="1"/>
  <c r="EB653" i="3"/>
  <c r="EC653" i="3"/>
  <c r="ED653" i="3"/>
  <c r="EE653" i="3" s="1"/>
  <c r="EB654" i="3"/>
  <c r="EC654" i="3"/>
  <c r="ED654" i="3"/>
  <c r="EE654" i="3" s="1"/>
  <c r="EB655" i="3"/>
  <c r="EC655" i="3"/>
  <c r="ED655" i="3"/>
  <c r="EE655" i="3" s="1"/>
  <c r="EB656" i="3"/>
  <c r="EC656" i="3"/>
  <c r="ED656" i="3"/>
  <c r="EE656" i="3" s="1"/>
  <c r="EB657" i="3"/>
  <c r="EC657" i="3"/>
  <c r="ED657" i="3"/>
  <c r="EE657" i="3" s="1"/>
  <c r="EB658" i="3"/>
  <c r="EC658" i="3"/>
  <c r="ED658" i="3"/>
  <c r="EE658" i="3" s="1"/>
  <c r="EB659" i="3"/>
  <c r="EC659" i="3"/>
  <c r="ED659" i="3"/>
  <c r="EE659" i="3" s="1"/>
  <c r="EB660" i="3"/>
  <c r="EC660" i="3"/>
  <c r="ED660" i="3"/>
  <c r="EE660" i="3" s="1"/>
  <c r="EB661" i="3"/>
  <c r="EC661" i="3"/>
  <c r="ED661" i="3"/>
  <c r="EE661" i="3" s="1"/>
  <c r="EB662" i="3"/>
  <c r="EC662" i="3"/>
  <c r="ED662" i="3"/>
  <c r="EE662" i="3" s="1"/>
  <c r="EB663" i="3"/>
  <c r="EC663" i="3"/>
  <c r="ED663" i="3"/>
  <c r="EE663" i="3" s="1"/>
  <c r="EB664" i="3"/>
  <c r="EC664" i="3"/>
  <c r="ED664" i="3"/>
  <c r="EE664" i="3" s="1"/>
  <c r="EB665" i="3"/>
  <c r="EC665" i="3"/>
  <c r="ED665" i="3"/>
  <c r="EE665" i="3" s="1"/>
  <c r="EB666" i="3"/>
  <c r="EC666" i="3"/>
  <c r="ED666" i="3"/>
  <c r="EE666" i="3" s="1"/>
  <c r="EB667" i="3"/>
  <c r="EC667" i="3"/>
  <c r="ED667" i="3"/>
  <c r="EE667" i="3" s="1"/>
  <c r="EB668" i="3"/>
  <c r="EC668" i="3"/>
  <c r="ED668" i="3"/>
  <c r="EE668" i="3" s="1"/>
  <c r="EB669" i="3"/>
  <c r="EC669" i="3"/>
  <c r="ED669" i="3"/>
  <c r="EE669" i="3" s="1"/>
  <c r="EB670" i="3"/>
  <c r="EC670" i="3"/>
  <c r="ED670" i="3"/>
  <c r="EE670" i="3" s="1"/>
  <c r="EB671" i="3"/>
  <c r="EC671" i="3"/>
  <c r="ED671" i="3"/>
  <c r="EE671" i="3" s="1"/>
  <c r="EB672" i="3"/>
  <c r="EC672" i="3"/>
  <c r="ED672" i="3"/>
  <c r="EE672" i="3" s="1"/>
  <c r="EB673" i="3"/>
  <c r="EC673" i="3"/>
  <c r="ED673" i="3"/>
  <c r="EE673" i="3" s="1"/>
  <c r="EB674" i="3"/>
  <c r="EC674" i="3"/>
  <c r="ED674" i="3"/>
  <c r="EE674" i="3" s="1"/>
  <c r="EB675" i="3"/>
  <c r="EC675" i="3"/>
  <c r="ED675" i="3"/>
  <c r="EE675" i="3" s="1"/>
  <c r="EB676" i="3"/>
  <c r="EC676" i="3"/>
  <c r="ED676" i="3"/>
  <c r="EE676" i="3" s="1"/>
  <c r="EB677" i="3"/>
  <c r="EC677" i="3"/>
  <c r="ED677" i="3"/>
  <c r="EE677" i="3" s="1"/>
  <c r="DW421" i="3"/>
  <c r="DU421" i="3" s="1"/>
  <c r="DW444" i="3"/>
  <c r="DU444" i="3" s="1"/>
  <c r="DV459" i="3"/>
  <c r="DU459" i="3" s="1"/>
  <c r="DV468" i="3"/>
  <c r="DW473" i="3"/>
  <c r="DU473" i="3" s="1"/>
  <c r="DV492" i="3"/>
  <c r="DW492" i="3"/>
  <c r="DU492" i="3" s="1"/>
  <c r="DW497" i="3"/>
  <c r="DU497" i="3" s="1"/>
  <c r="DW506" i="3"/>
  <c r="DU506" i="3" s="1"/>
  <c r="DV529" i="3"/>
  <c r="DV532" i="3"/>
  <c r="DW532" i="3"/>
  <c r="DU532" i="3" s="1"/>
  <c r="DV575" i="3"/>
  <c r="DU575" i="3" s="1"/>
  <c r="DW603" i="3"/>
  <c r="DV632" i="3"/>
  <c r="DV643" i="3"/>
  <c r="DU643" i="3" s="1"/>
  <c r="DW671" i="3"/>
  <c r="DS423" i="3"/>
  <c r="DS429" i="3"/>
  <c r="DS433" i="3"/>
  <c r="DV433" i="3" s="1"/>
  <c r="DS439" i="3"/>
  <c r="DS445" i="3"/>
  <c r="DW445" i="3" s="1"/>
  <c r="DS449" i="3"/>
  <c r="DV449" i="3" s="1"/>
  <c r="DS461" i="3"/>
  <c r="DS465" i="3"/>
  <c r="DS477" i="3"/>
  <c r="DS481" i="3"/>
  <c r="DS493" i="3"/>
  <c r="DS497" i="3"/>
  <c r="DV497" i="3" s="1"/>
  <c r="DS509" i="3"/>
  <c r="DS523" i="3"/>
  <c r="DV523" i="3" s="1"/>
  <c r="DS525" i="3"/>
  <c r="DV525" i="3" s="1"/>
  <c r="DS529" i="3"/>
  <c r="DW529" i="3" s="1"/>
  <c r="DS535" i="3"/>
  <c r="DS541" i="3"/>
  <c r="DS545" i="3"/>
  <c r="DS551" i="3"/>
  <c r="DS562" i="3"/>
  <c r="DS565" i="3"/>
  <c r="DS569" i="3"/>
  <c r="DS570" i="3"/>
  <c r="DS578" i="3"/>
  <c r="DV578" i="3" s="1"/>
  <c r="DS581" i="3"/>
  <c r="DS585" i="3"/>
  <c r="DS586" i="3"/>
  <c r="DS594" i="3"/>
  <c r="DS602" i="3"/>
  <c r="DS610" i="3"/>
  <c r="DV610" i="3" s="1"/>
  <c r="DS618" i="3"/>
  <c r="DS626" i="3"/>
  <c r="DS634" i="3"/>
  <c r="DS642" i="3"/>
  <c r="DS650" i="3"/>
  <c r="DW650" i="3" s="1"/>
  <c r="DS658" i="3"/>
  <c r="DS666" i="3"/>
  <c r="DS674" i="3"/>
  <c r="DW674" i="3" s="1"/>
  <c r="DM421" i="3"/>
  <c r="DN421" i="3"/>
  <c r="DO421" i="3"/>
  <c r="DM422" i="3"/>
  <c r="DN422" i="3"/>
  <c r="DO422" i="3"/>
  <c r="DM423" i="3"/>
  <c r="DN423" i="3"/>
  <c r="DO423" i="3"/>
  <c r="DM424" i="3"/>
  <c r="DN424" i="3"/>
  <c r="DO424" i="3"/>
  <c r="DM425" i="3"/>
  <c r="DN425" i="3"/>
  <c r="DO425" i="3"/>
  <c r="DM426" i="3"/>
  <c r="DN426" i="3"/>
  <c r="DO426" i="3"/>
  <c r="DM427" i="3"/>
  <c r="DN427" i="3"/>
  <c r="DO427" i="3"/>
  <c r="DM428" i="3"/>
  <c r="DN428" i="3"/>
  <c r="DO428" i="3"/>
  <c r="DM429" i="3"/>
  <c r="DN429" i="3"/>
  <c r="DO429" i="3"/>
  <c r="DM430" i="3"/>
  <c r="DN430" i="3"/>
  <c r="DO430" i="3"/>
  <c r="DM431" i="3"/>
  <c r="DN431" i="3"/>
  <c r="DO431" i="3"/>
  <c r="DM432" i="3"/>
  <c r="DN432" i="3"/>
  <c r="DO432" i="3"/>
  <c r="DM433" i="3"/>
  <c r="DN433" i="3"/>
  <c r="DO433" i="3"/>
  <c r="DM434" i="3"/>
  <c r="DN434" i="3"/>
  <c r="DO434" i="3"/>
  <c r="DM435" i="3"/>
  <c r="DN435" i="3"/>
  <c r="DO435" i="3"/>
  <c r="DM436" i="3"/>
  <c r="DN436" i="3"/>
  <c r="DO436" i="3"/>
  <c r="DM437" i="3"/>
  <c r="DN437" i="3"/>
  <c r="DO437" i="3"/>
  <c r="DM438" i="3"/>
  <c r="DN438" i="3"/>
  <c r="DO438" i="3"/>
  <c r="DM439" i="3"/>
  <c r="DN439" i="3"/>
  <c r="DO439" i="3"/>
  <c r="DM440" i="3"/>
  <c r="DN440" i="3"/>
  <c r="DO440" i="3"/>
  <c r="DM441" i="3"/>
  <c r="DN441" i="3"/>
  <c r="DO441" i="3"/>
  <c r="DM442" i="3"/>
  <c r="DN442" i="3"/>
  <c r="DO442" i="3"/>
  <c r="DM443" i="3"/>
  <c r="DN443" i="3"/>
  <c r="DO443" i="3"/>
  <c r="DM444" i="3"/>
  <c r="DN444" i="3"/>
  <c r="DO444" i="3"/>
  <c r="DM445" i="3"/>
  <c r="DN445" i="3"/>
  <c r="DO445" i="3"/>
  <c r="DM446" i="3"/>
  <c r="DN446" i="3"/>
  <c r="DO446" i="3"/>
  <c r="DM447" i="3"/>
  <c r="DN447" i="3"/>
  <c r="DO447" i="3"/>
  <c r="DM448" i="3"/>
  <c r="DN448" i="3"/>
  <c r="DO448" i="3"/>
  <c r="DM449" i="3"/>
  <c r="DN449" i="3"/>
  <c r="DO449" i="3"/>
  <c r="DM450" i="3"/>
  <c r="DN450" i="3"/>
  <c r="DO450" i="3"/>
  <c r="DM451" i="3"/>
  <c r="DN451" i="3"/>
  <c r="DO451" i="3"/>
  <c r="DM452" i="3"/>
  <c r="DN452" i="3"/>
  <c r="DO452" i="3"/>
  <c r="DM453" i="3"/>
  <c r="DN453" i="3"/>
  <c r="DO453" i="3"/>
  <c r="DM454" i="3"/>
  <c r="DN454" i="3"/>
  <c r="DO454" i="3"/>
  <c r="DM455" i="3"/>
  <c r="DN455" i="3"/>
  <c r="DO455" i="3"/>
  <c r="DM456" i="3"/>
  <c r="DN456" i="3"/>
  <c r="DO456" i="3"/>
  <c r="DM457" i="3"/>
  <c r="DN457" i="3"/>
  <c r="DO457" i="3"/>
  <c r="DM458" i="3"/>
  <c r="DN458" i="3"/>
  <c r="DO458" i="3"/>
  <c r="DM459" i="3"/>
  <c r="DN459" i="3"/>
  <c r="DO459" i="3"/>
  <c r="DM460" i="3"/>
  <c r="DN460" i="3"/>
  <c r="DO460" i="3"/>
  <c r="DM461" i="3"/>
  <c r="DN461" i="3"/>
  <c r="DO461" i="3"/>
  <c r="DM462" i="3"/>
  <c r="DN462" i="3"/>
  <c r="DO462" i="3"/>
  <c r="DM463" i="3"/>
  <c r="DN463" i="3"/>
  <c r="DO463" i="3"/>
  <c r="DM464" i="3"/>
  <c r="DN464" i="3"/>
  <c r="DO464" i="3"/>
  <c r="DM465" i="3"/>
  <c r="DN465" i="3"/>
  <c r="DO465" i="3"/>
  <c r="DM466" i="3"/>
  <c r="DN466" i="3"/>
  <c r="DO466" i="3"/>
  <c r="DM467" i="3"/>
  <c r="DN467" i="3"/>
  <c r="DO467" i="3"/>
  <c r="DM468" i="3"/>
  <c r="DN468" i="3"/>
  <c r="DO468" i="3"/>
  <c r="DM469" i="3"/>
  <c r="DN469" i="3"/>
  <c r="DO469" i="3"/>
  <c r="DM470" i="3"/>
  <c r="DN470" i="3"/>
  <c r="DO470" i="3"/>
  <c r="DM471" i="3"/>
  <c r="DN471" i="3"/>
  <c r="DO471" i="3"/>
  <c r="DM472" i="3"/>
  <c r="DN472" i="3"/>
  <c r="DO472" i="3"/>
  <c r="DM473" i="3"/>
  <c r="DN473" i="3"/>
  <c r="DO473" i="3"/>
  <c r="DM474" i="3"/>
  <c r="DN474" i="3"/>
  <c r="DO474" i="3"/>
  <c r="DM475" i="3"/>
  <c r="DN475" i="3"/>
  <c r="DO475" i="3"/>
  <c r="DM476" i="3"/>
  <c r="DN476" i="3"/>
  <c r="DO476" i="3"/>
  <c r="DM477" i="3"/>
  <c r="DN477" i="3"/>
  <c r="DO477" i="3"/>
  <c r="DM478" i="3"/>
  <c r="DN478" i="3"/>
  <c r="DO478" i="3"/>
  <c r="DM479" i="3"/>
  <c r="DN479" i="3"/>
  <c r="DO479" i="3"/>
  <c r="DM480" i="3"/>
  <c r="DN480" i="3"/>
  <c r="DO480" i="3"/>
  <c r="DM481" i="3"/>
  <c r="DN481" i="3"/>
  <c r="DO481" i="3"/>
  <c r="DM482" i="3"/>
  <c r="DN482" i="3"/>
  <c r="DO482" i="3"/>
  <c r="DM483" i="3"/>
  <c r="DN483" i="3"/>
  <c r="DO483" i="3"/>
  <c r="DM484" i="3"/>
  <c r="DN484" i="3"/>
  <c r="DO484" i="3"/>
  <c r="DM485" i="3"/>
  <c r="DN485" i="3"/>
  <c r="DO485" i="3"/>
  <c r="DM486" i="3"/>
  <c r="DN486" i="3"/>
  <c r="DO486" i="3"/>
  <c r="DM487" i="3"/>
  <c r="DN487" i="3"/>
  <c r="DO487" i="3"/>
  <c r="DM488" i="3"/>
  <c r="DN488" i="3"/>
  <c r="DO488" i="3"/>
  <c r="DM489" i="3"/>
  <c r="DN489" i="3"/>
  <c r="DO489" i="3"/>
  <c r="DM490" i="3"/>
  <c r="DN490" i="3"/>
  <c r="DO490" i="3"/>
  <c r="DM491" i="3"/>
  <c r="DN491" i="3"/>
  <c r="DO491" i="3"/>
  <c r="DM492" i="3"/>
  <c r="DN492" i="3"/>
  <c r="DO492" i="3"/>
  <c r="DM493" i="3"/>
  <c r="DN493" i="3"/>
  <c r="DO493" i="3"/>
  <c r="DM494" i="3"/>
  <c r="DN494" i="3"/>
  <c r="DO494" i="3"/>
  <c r="DM495" i="3"/>
  <c r="DN495" i="3"/>
  <c r="DO495" i="3"/>
  <c r="DM496" i="3"/>
  <c r="DN496" i="3"/>
  <c r="DO496" i="3"/>
  <c r="DM497" i="3"/>
  <c r="DN497" i="3"/>
  <c r="DO497" i="3"/>
  <c r="DM498" i="3"/>
  <c r="DN498" i="3"/>
  <c r="DO498" i="3"/>
  <c r="DM499" i="3"/>
  <c r="DN499" i="3"/>
  <c r="DO499" i="3"/>
  <c r="DM500" i="3"/>
  <c r="DN500" i="3"/>
  <c r="DO500" i="3"/>
  <c r="DM501" i="3"/>
  <c r="DN501" i="3"/>
  <c r="DO501" i="3"/>
  <c r="DM502" i="3"/>
  <c r="DN502" i="3"/>
  <c r="DO502" i="3"/>
  <c r="DM503" i="3"/>
  <c r="DN503" i="3"/>
  <c r="DO503" i="3"/>
  <c r="DM504" i="3"/>
  <c r="DN504" i="3"/>
  <c r="DO504" i="3"/>
  <c r="DM505" i="3"/>
  <c r="DN505" i="3"/>
  <c r="DO505" i="3"/>
  <c r="DM506" i="3"/>
  <c r="DN506" i="3"/>
  <c r="DO506" i="3"/>
  <c r="DM507" i="3"/>
  <c r="DN507" i="3"/>
  <c r="DO507" i="3"/>
  <c r="DM508" i="3"/>
  <c r="DN508" i="3"/>
  <c r="DO508" i="3"/>
  <c r="DM509" i="3"/>
  <c r="DN509" i="3"/>
  <c r="DO509" i="3"/>
  <c r="DM510" i="3"/>
  <c r="DN510" i="3"/>
  <c r="DO510" i="3"/>
  <c r="DM511" i="3"/>
  <c r="DN511" i="3"/>
  <c r="DO511" i="3"/>
  <c r="DM512" i="3"/>
  <c r="DN512" i="3"/>
  <c r="DO512" i="3"/>
  <c r="DM513" i="3"/>
  <c r="DN513" i="3"/>
  <c r="DO513" i="3"/>
  <c r="DM514" i="3"/>
  <c r="DN514" i="3"/>
  <c r="DO514" i="3"/>
  <c r="DM515" i="3"/>
  <c r="DN515" i="3"/>
  <c r="DO515" i="3"/>
  <c r="DM516" i="3"/>
  <c r="DN516" i="3"/>
  <c r="DO516" i="3"/>
  <c r="DM517" i="3"/>
  <c r="DN517" i="3"/>
  <c r="DO517" i="3"/>
  <c r="DM518" i="3"/>
  <c r="DN518" i="3"/>
  <c r="DO518" i="3"/>
  <c r="DM519" i="3"/>
  <c r="DN519" i="3"/>
  <c r="DO519" i="3"/>
  <c r="DM520" i="3"/>
  <c r="DN520" i="3"/>
  <c r="DO520" i="3"/>
  <c r="DM521" i="3"/>
  <c r="DN521" i="3"/>
  <c r="DO521" i="3"/>
  <c r="DM522" i="3"/>
  <c r="DN522" i="3"/>
  <c r="DO522" i="3"/>
  <c r="DM523" i="3"/>
  <c r="DN523" i="3"/>
  <c r="DO523" i="3"/>
  <c r="DM524" i="3"/>
  <c r="DN524" i="3"/>
  <c r="DO524" i="3"/>
  <c r="DM525" i="3"/>
  <c r="DN525" i="3"/>
  <c r="DO525" i="3"/>
  <c r="DM526" i="3"/>
  <c r="DN526" i="3"/>
  <c r="DO526" i="3"/>
  <c r="DM527" i="3"/>
  <c r="DN527" i="3"/>
  <c r="DO527" i="3"/>
  <c r="DM528" i="3"/>
  <c r="DN528" i="3"/>
  <c r="DO528" i="3"/>
  <c r="DM529" i="3"/>
  <c r="DN529" i="3"/>
  <c r="DO529" i="3"/>
  <c r="DM530" i="3"/>
  <c r="DN530" i="3"/>
  <c r="DO530" i="3"/>
  <c r="DM531" i="3"/>
  <c r="DN531" i="3"/>
  <c r="DO531" i="3"/>
  <c r="DM532" i="3"/>
  <c r="DN532" i="3"/>
  <c r="DO532" i="3"/>
  <c r="DM533" i="3"/>
  <c r="DN533" i="3"/>
  <c r="DO533" i="3"/>
  <c r="DM534" i="3"/>
  <c r="DN534" i="3"/>
  <c r="DO534" i="3"/>
  <c r="DM535" i="3"/>
  <c r="DN535" i="3"/>
  <c r="DO535" i="3"/>
  <c r="DM536" i="3"/>
  <c r="DN536" i="3"/>
  <c r="DO536" i="3"/>
  <c r="DM537" i="3"/>
  <c r="DN537" i="3"/>
  <c r="DO537" i="3"/>
  <c r="DM538" i="3"/>
  <c r="DN538" i="3"/>
  <c r="DO538" i="3"/>
  <c r="DM539" i="3"/>
  <c r="DN539" i="3"/>
  <c r="DO539" i="3"/>
  <c r="DM540" i="3"/>
  <c r="DN540" i="3"/>
  <c r="DO540" i="3"/>
  <c r="DM541" i="3"/>
  <c r="DN541" i="3"/>
  <c r="DO541" i="3"/>
  <c r="DM542" i="3"/>
  <c r="DN542" i="3"/>
  <c r="DO542" i="3"/>
  <c r="DM543" i="3"/>
  <c r="DN543" i="3"/>
  <c r="DO543" i="3"/>
  <c r="DM544" i="3"/>
  <c r="DN544" i="3"/>
  <c r="DO544" i="3"/>
  <c r="DM545" i="3"/>
  <c r="DN545" i="3"/>
  <c r="DO545" i="3"/>
  <c r="DM546" i="3"/>
  <c r="DN546" i="3"/>
  <c r="DO546" i="3"/>
  <c r="DM547" i="3"/>
  <c r="DN547" i="3"/>
  <c r="DO547" i="3"/>
  <c r="DM548" i="3"/>
  <c r="DN548" i="3"/>
  <c r="DO548" i="3"/>
  <c r="DM549" i="3"/>
  <c r="DN549" i="3"/>
  <c r="DO549" i="3"/>
  <c r="DM550" i="3"/>
  <c r="DN550" i="3"/>
  <c r="DO550" i="3"/>
  <c r="DM551" i="3"/>
  <c r="DN551" i="3"/>
  <c r="DO551" i="3"/>
  <c r="DM552" i="3"/>
  <c r="DN552" i="3"/>
  <c r="DO552" i="3"/>
  <c r="DM553" i="3"/>
  <c r="DN553" i="3"/>
  <c r="DO553" i="3"/>
  <c r="DM554" i="3"/>
  <c r="DN554" i="3"/>
  <c r="DO554" i="3"/>
  <c r="DM555" i="3"/>
  <c r="DN555" i="3"/>
  <c r="DO555" i="3"/>
  <c r="DM556" i="3"/>
  <c r="DN556" i="3"/>
  <c r="DO556" i="3"/>
  <c r="DM557" i="3"/>
  <c r="DN557" i="3"/>
  <c r="DO557" i="3"/>
  <c r="DM558" i="3"/>
  <c r="DN558" i="3"/>
  <c r="DO558" i="3"/>
  <c r="DM559" i="3"/>
  <c r="DN559" i="3"/>
  <c r="DO559" i="3"/>
  <c r="DM560" i="3"/>
  <c r="DN560" i="3"/>
  <c r="DO560" i="3"/>
  <c r="DM561" i="3"/>
  <c r="DN561" i="3"/>
  <c r="DO561" i="3"/>
  <c r="DM562" i="3"/>
  <c r="DN562" i="3"/>
  <c r="DO562" i="3"/>
  <c r="DM563" i="3"/>
  <c r="DN563" i="3"/>
  <c r="DO563" i="3"/>
  <c r="DM564" i="3"/>
  <c r="DN564" i="3"/>
  <c r="DO564" i="3"/>
  <c r="DM565" i="3"/>
  <c r="DN565" i="3"/>
  <c r="DO565" i="3"/>
  <c r="DM566" i="3"/>
  <c r="DN566" i="3"/>
  <c r="DO566" i="3"/>
  <c r="DM567" i="3"/>
  <c r="DN567" i="3"/>
  <c r="DO567" i="3"/>
  <c r="DM568" i="3"/>
  <c r="DN568" i="3"/>
  <c r="DO568" i="3"/>
  <c r="DM569" i="3"/>
  <c r="DN569" i="3"/>
  <c r="DO569" i="3"/>
  <c r="DM570" i="3"/>
  <c r="DN570" i="3"/>
  <c r="DO570" i="3"/>
  <c r="DM571" i="3"/>
  <c r="DN571" i="3"/>
  <c r="DO571" i="3"/>
  <c r="DM572" i="3"/>
  <c r="DN572" i="3"/>
  <c r="DO572" i="3"/>
  <c r="DM573" i="3"/>
  <c r="DN573" i="3"/>
  <c r="DO573" i="3"/>
  <c r="DM574" i="3"/>
  <c r="DN574" i="3"/>
  <c r="DO574" i="3"/>
  <c r="DM575" i="3"/>
  <c r="DN575" i="3"/>
  <c r="DO575" i="3"/>
  <c r="DM576" i="3"/>
  <c r="DN576" i="3"/>
  <c r="DO576" i="3"/>
  <c r="DM577" i="3"/>
  <c r="DN577" i="3"/>
  <c r="DO577" i="3"/>
  <c r="DM578" i="3"/>
  <c r="DN578" i="3"/>
  <c r="DO578" i="3"/>
  <c r="DM579" i="3"/>
  <c r="DN579" i="3"/>
  <c r="DO579" i="3"/>
  <c r="DM580" i="3"/>
  <c r="DN580" i="3"/>
  <c r="DO580" i="3"/>
  <c r="DM581" i="3"/>
  <c r="DN581" i="3"/>
  <c r="DO581" i="3"/>
  <c r="DM582" i="3"/>
  <c r="DN582" i="3"/>
  <c r="DO582" i="3"/>
  <c r="DM583" i="3"/>
  <c r="DN583" i="3"/>
  <c r="DO583" i="3"/>
  <c r="DM584" i="3"/>
  <c r="DN584" i="3"/>
  <c r="DO584" i="3"/>
  <c r="DM585" i="3"/>
  <c r="DN585" i="3"/>
  <c r="DO585" i="3"/>
  <c r="DM586" i="3"/>
  <c r="DN586" i="3"/>
  <c r="DO586" i="3"/>
  <c r="DM587" i="3"/>
  <c r="DN587" i="3"/>
  <c r="DO587" i="3"/>
  <c r="DM588" i="3"/>
  <c r="DN588" i="3"/>
  <c r="DO588" i="3"/>
  <c r="DM589" i="3"/>
  <c r="DN589" i="3"/>
  <c r="DO589" i="3"/>
  <c r="DM590" i="3"/>
  <c r="DN590" i="3"/>
  <c r="DO590" i="3"/>
  <c r="DM591" i="3"/>
  <c r="DN591" i="3"/>
  <c r="DO591" i="3"/>
  <c r="DM592" i="3"/>
  <c r="DN592" i="3"/>
  <c r="DO592" i="3"/>
  <c r="DM593" i="3"/>
  <c r="DN593" i="3"/>
  <c r="DO593" i="3"/>
  <c r="DM594" i="3"/>
  <c r="DN594" i="3"/>
  <c r="DO594" i="3"/>
  <c r="DM595" i="3"/>
  <c r="DN595" i="3"/>
  <c r="DO595" i="3"/>
  <c r="DM596" i="3"/>
  <c r="DN596" i="3"/>
  <c r="DO596" i="3"/>
  <c r="DM597" i="3"/>
  <c r="DN597" i="3"/>
  <c r="DO597" i="3"/>
  <c r="DM598" i="3"/>
  <c r="DN598" i="3"/>
  <c r="DO598" i="3"/>
  <c r="DM599" i="3"/>
  <c r="DN599" i="3"/>
  <c r="DO599" i="3"/>
  <c r="DM600" i="3"/>
  <c r="DN600" i="3"/>
  <c r="DO600" i="3"/>
  <c r="DM601" i="3"/>
  <c r="DN601" i="3"/>
  <c r="DO601" i="3"/>
  <c r="DM602" i="3"/>
  <c r="DN602" i="3"/>
  <c r="DO602" i="3"/>
  <c r="DM603" i="3"/>
  <c r="DN603" i="3"/>
  <c r="DO603" i="3"/>
  <c r="DM604" i="3"/>
  <c r="DN604" i="3"/>
  <c r="DO604" i="3"/>
  <c r="DM605" i="3"/>
  <c r="DN605" i="3"/>
  <c r="DO605" i="3"/>
  <c r="DM606" i="3"/>
  <c r="DN606" i="3"/>
  <c r="DO606" i="3"/>
  <c r="DM607" i="3"/>
  <c r="DN607" i="3"/>
  <c r="DO607" i="3"/>
  <c r="DM608" i="3"/>
  <c r="DN608" i="3"/>
  <c r="DO608" i="3"/>
  <c r="DM609" i="3"/>
  <c r="DN609" i="3"/>
  <c r="DO609" i="3"/>
  <c r="DM610" i="3"/>
  <c r="DN610" i="3"/>
  <c r="DO610" i="3"/>
  <c r="DM611" i="3"/>
  <c r="DN611" i="3"/>
  <c r="DO611" i="3"/>
  <c r="DM612" i="3"/>
  <c r="DN612" i="3"/>
  <c r="DO612" i="3"/>
  <c r="DM613" i="3"/>
  <c r="DN613" i="3"/>
  <c r="DO613" i="3"/>
  <c r="DM614" i="3"/>
  <c r="DN614" i="3"/>
  <c r="DO614" i="3"/>
  <c r="DM615" i="3"/>
  <c r="DN615" i="3"/>
  <c r="DO615" i="3"/>
  <c r="DM616" i="3"/>
  <c r="DN616" i="3"/>
  <c r="DO616" i="3"/>
  <c r="DM617" i="3"/>
  <c r="DN617" i="3"/>
  <c r="DO617" i="3"/>
  <c r="DM618" i="3"/>
  <c r="DN618" i="3"/>
  <c r="DO618" i="3"/>
  <c r="DM619" i="3"/>
  <c r="DN619" i="3"/>
  <c r="DO619" i="3"/>
  <c r="DM620" i="3"/>
  <c r="DN620" i="3"/>
  <c r="DO620" i="3"/>
  <c r="DM621" i="3"/>
  <c r="DN621" i="3"/>
  <c r="DO621" i="3"/>
  <c r="DM622" i="3"/>
  <c r="DN622" i="3"/>
  <c r="DO622" i="3"/>
  <c r="DM623" i="3"/>
  <c r="DN623" i="3"/>
  <c r="DO623" i="3"/>
  <c r="DM624" i="3"/>
  <c r="DN624" i="3"/>
  <c r="DO624" i="3"/>
  <c r="DM625" i="3"/>
  <c r="DN625" i="3"/>
  <c r="DO625" i="3"/>
  <c r="DM626" i="3"/>
  <c r="DN626" i="3"/>
  <c r="DO626" i="3"/>
  <c r="DM627" i="3"/>
  <c r="DN627" i="3"/>
  <c r="DO627" i="3"/>
  <c r="DM628" i="3"/>
  <c r="DN628" i="3"/>
  <c r="DO628" i="3"/>
  <c r="DM629" i="3"/>
  <c r="DN629" i="3"/>
  <c r="DO629" i="3"/>
  <c r="DM630" i="3"/>
  <c r="DN630" i="3"/>
  <c r="DO630" i="3"/>
  <c r="DM631" i="3"/>
  <c r="DN631" i="3"/>
  <c r="DO631" i="3"/>
  <c r="DM632" i="3"/>
  <c r="DN632" i="3"/>
  <c r="DO632" i="3"/>
  <c r="DM633" i="3"/>
  <c r="DN633" i="3"/>
  <c r="DO633" i="3"/>
  <c r="DM634" i="3"/>
  <c r="DN634" i="3"/>
  <c r="DO634" i="3"/>
  <c r="DM635" i="3"/>
  <c r="DN635" i="3"/>
  <c r="DO635" i="3"/>
  <c r="DM636" i="3"/>
  <c r="DN636" i="3"/>
  <c r="DO636" i="3"/>
  <c r="DM637" i="3"/>
  <c r="DN637" i="3"/>
  <c r="DO637" i="3"/>
  <c r="DM638" i="3"/>
  <c r="DN638" i="3"/>
  <c r="DO638" i="3"/>
  <c r="DM639" i="3"/>
  <c r="DN639" i="3"/>
  <c r="DO639" i="3"/>
  <c r="DM640" i="3"/>
  <c r="DN640" i="3"/>
  <c r="DO640" i="3"/>
  <c r="DM641" i="3"/>
  <c r="DN641" i="3"/>
  <c r="DO641" i="3"/>
  <c r="DM642" i="3"/>
  <c r="DN642" i="3"/>
  <c r="DO642" i="3"/>
  <c r="DM643" i="3"/>
  <c r="DN643" i="3"/>
  <c r="DO643" i="3"/>
  <c r="DM644" i="3"/>
  <c r="DN644" i="3"/>
  <c r="DO644" i="3"/>
  <c r="DM645" i="3"/>
  <c r="DN645" i="3"/>
  <c r="DO645" i="3"/>
  <c r="DM646" i="3"/>
  <c r="DN646" i="3"/>
  <c r="DO646" i="3"/>
  <c r="DM647" i="3"/>
  <c r="DN647" i="3"/>
  <c r="DO647" i="3"/>
  <c r="DM648" i="3"/>
  <c r="DN648" i="3"/>
  <c r="DO648" i="3"/>
  <c r="DM649" i="3"/>
  <c r="DN649" i="3"/>
  <c r="DO649" i="3"/>
  <c r="DM650" i="3"/>
  <c r="DN650" i="3"/>
  <c r="DO650" i="3"/>
  <c r="DM651" i="3"/>
  <c r="DN651" i="3"/>
  <c r="DO651" i="3"/>
  <c r="DM652" i="3"/>
  <c r="DN652" i="3"/>
  <c r="DO652" i="3"/>
  <c r="DM653" i="3"/>
  <c r="DN653" i="3"/>
  <c r="DO653" i="3"/>
  <c r="DM654" i="3"/>
  <c r="DN654" i="3"/>
  <c r="DO654" i="3"/>
  <c r="DM655" i="3"/>
  <c r="DN655" i="3"/>
  <c r="DO655" i="3"/>
  <c r="DM656" i="3"/>
  <c r="DN656" i="3"/>
  <c r="DO656" i="3"/>
  <c r="DM657" i="3"/>
  <c r="DN657" i="3"/>
  <c r="DO657" i="3"/>
  <c r="DM658" i="3"/>
  <c r="DN658" i="3"/>
  <c r="DO658" i="3"/>
  <c r="DM659" i="3"/>
  <c r="DN659" i="3"/>
  <c r="DO659" i="3"/>
  <c r="DM660" i="3"/>
  <c r="DN660" i="3"/>
  <c r="DO660" i="3"/>
  <c r="DM661" i="3"/>
  <c r="DN661" i="3"/>
  <c r="DO661" i="3"/>
  <c r="DM662" i="3"/>
  <c r="DN662" i="3"/>
  <c r="DO662" i="3"/>
  <c r="DM663" i="3"/>
  <c r="DN663" i="3"/>
  <c r="DO663" i="3"/>
  <c r="DM664" i="3"/>
  <c r="DN664" i="3"/>
  <c r="DO664" i="3"/>
  <c r="DM665" i="3"/>
  <c r="DN665" i="3"/>
  <c r="DO665" i="3"/>
  <c r="DM666" i="3"/>
  <c r="DN666" i="3"/>
  <c r="DO666" i="3"/>
  <c r="DM667" i="3"/>
  <c r="DN667" i="3"/>
  <c r="DO667" i="3"/>
  <c r="DM668" i="3"/>
  <c r="DN668" i="3"/>
  <c r="DO668" i="3"/>
  <c r="DM669" i="3"/>
  <c r="DN669" i="3"/>
  <c r="DO669" i="3"/>
  <c r="DM670" i="3"/>
  <c r="DN670" i="3"/>
  <c r="DO670" i="3"/>
  <c r="DM671" i="3"/>
  <c r="DN671" i="3"/>
  <c r="DO671" i="3"/>
  <c r="DM672" i="3"/>
  <c r="DN672" i="3"/>
  <c r="DO672" i="3"/>
  <c r="DM673" i="3"/>
  <c r="DN673" i="3"/>
  <c r="DO673" i="3"/>
  <c r="DM674" i="3"/>
  <c r="DN674" i="3"/>
  <c r="DO674" i="3"/>
  <c r="DM675" i="3"/>
  <c r="DN675" i="3"/>
  <c r="DO675" i="3"/>
  <c r="DM676" i="3"/>
  <c r="DN676" i="3"/>
  <c r="DO676" i="3"/>
  <c r="DM677" i="3"/>
  <c r="DN677" i="3"/>
  <c r="DO677" i="3"/>
  <c r="DF421" i="3"/>
  <c r="DG421" i="3"/>
  <c r="DH421" i="3"/>
  <c r="DI421" i="3"/>
  <c r="DJ421" i="3"/>
  <c r="DS421" i="3" s="1"/>
  <c r="DV421" i="3" s="1"/>
  <c r="DK421" i="3"/>
  <c r="DF422" i="3"/>
  <c r="DG422" i="3"/>
  <c r="DI422" i="3"/>
  <c r="DJ422" i="3"/>
  <c r="DS422" i="3" s="1"/>
  <c r="DK422" i="3"/>
  <c r="DF423" i="3"/>
  <c r="DG423" i="3"/>
  <c r="DH423" i="3"/>
  <c r="DI423" i="3"/>
  <c r="DJ423" i="3"/>
  <c r="DK423" i="3"/>
  <c r="DF424" i="3"/>
  <c r="DG424" i="3"/>
  <c r="DI424" i="3"/>
  <c r="DJ424" i="3"/>
  <c r="DS424" i="3" s="1"/>
  <c r="DK424" i="3"/>
  <c r="DF425" i="3"/>
  <c r="DG425" i="3"/>
  <c r="DH425" i="3"/>
  <c r="DI425" i="3"/>
  <c r="DJ425" i="3"/>
  <c r="DS425" i="3" s="1"/>
  <c r="DK425" i="3"/>
  <c r="DF426" i="3"/>
  <c r="DG426" i="3"/>
  <c r="DI426" i="3"/>
  <c r="DJ426" i="3"/>
  <c r="DS426" i="3" s="1"/>
  <c r="DW426" i="3" s="1"/>
  <c r="DK426" i="3"/>
  <c r="DF427" i="3"/>
  <c r="DG427" i="3"/>
  <c r="DH427" i="3"/>
  <c r="DI427" i="3"/>
  <c r="DJ427" i="3"/>
  <c r="DS427" i="3" s="1"/>
  <c r="DK427" i="3"/>
  <c r="DF428" i="3"/>
  <c r="DH428" i="3" s="1"/>
  <c r="DG428" i="3"/>
  <c r="DI428" i="3"/>
  <c r="DJ428" i="3"/>
  <c r="DS428" i="3" s="1"/>
  <c r="DV428" i="3" s="1"/>
  <c r="DK428" i="3"/>
  <c r="DF429" i="3"/>
  <c r="DG429" i="3"/>
  <c r="DH429" i="3"/>
  <c r="DI429" i="3"/>
  <c r="DJ429" i="3"/>
  <c r="DK429" i="3"/>
  <c r="DF430" i="3"/>
  <c r="DG430" i="3"/>
  <c r="DI430" i="3"/>
  <c r="DJ430" i="3"/>
  <c r="DS430" i="3" s="1"/>
  <c r="DV430" i="3" s="1"/>
  <c r="DK430" i="3"/>
  <c r="DF431" i="3"/>
  <c r="DG431" i="3"/>
  <c r="DH431" i="3"/>
  <c r="DI431" i="3"/>
  <c r="DJ431" i="3"/>
  <c r="DS431" i="3" s="1"/>
  <c r="DK431" i="3"/>
  <c r="DF432" i="3"/>
  <c r="DG432" i="3"/>
  <c r="DI432" i="3"/>
  <c r="DJ432" i="3"/>
  <c r="DK432" i="3"/>
  <c r="DF433" i="3"/>
  <c r="DG433" i="3"/>
  <c r="DH433" i="3"/>
  <c r="DI433" i="3"/>
  <c r="DJ433" i="3"/>
  <c r="DK433" i="3"/>
  <c r="DF434" i="3"/>
  <c r="DG434" i="3"/>
  <c r="DI434" i="3"/>
  <c r="DJ434" i="3"/>
  <c r="DK434" i="3"/>
  <c r="DS434" i="3" s="1"/>
  <c r="DF435" i="3"/>
  <c r="DG435" i="3"/>
  <c r="DH435" i="3"/>
  <c r="DI435" i="3"/>
  <c r="DJ435" i="3"/>
  <c r="DS435" i="3" s="1"/>
  <c r="DV435" i="3" s="1"/>
  <c r="DK435" i="3"/>
  <c r="DF436" i="3"/>
  <c r="DH436" i="3" s="1"/>
  <c r="DG436" i="3"/>
  <c r="DI436" i="3"/>
  <c r="DJ436" i="3"/>
  <c r="DS436" i="3" s="1"/>
  <c r="DK436" i="3"/>
  <c r="DF437" i="3"/>
  <c r="DG437" i="3"/>
  <c r="DH437" i="3"/>
  <c r="DI437" i="3"/>
  <c r="DJ437" i="3"/>
  <c r="DK437" i="3"/>
  <c r="DF438" i="3"/>
  <c r="DG438" i="3"/>
  <c r="DI438" i="3"/>
  <c r="DJ438" i="3"/>
  <c r="DS438" i="3" s="1"/>
  <c r="DK438" i="3"/>
  <c r="DF439" i="3"/>
  <c r="DG439" i="3"/>
  <c r="DH439" i="3"/>
  <c r="DI439" i="3"/>
  <c r="DJ439" i="3"/>
  <c r="DK439" i="3"/>
  <c r="DF440" i="3"/>
  <c r="DG440" i="3"/>
  <c r="DI440" i="3"/>
  <c r="DJ440" i="3"/>
  <c r="DK440" i="3"/>
  <c r="DF441" i="3"/>
  <c r="DG441" i="3"/>
  <c r="DH441" i="3"/>
  <c r="DI441" i="3"/>
  <c r="DJ441" i="3"/>
  <c r="DS441" i="3" s="1"/>
  <c r="DK441" i="3"/>
  <c r="DF442" i="3"/>
  <c r="DG442" i="3"/>
  <c r="DI442" i="3"/>
  <c r="DJ442" i="3"/>
  <c r="DS442" i="3" s="1"/>
  <c r="DK442" i="3"/>
  <c r="DF443" i="3"/>
  <c r="DG443" i="3"/>
  <c r="DH443" i="3"/>
  <c r="DI443" i="3"/>
  <c r="DJ443" i="3"/>
  <c r="DS443" i="3" s="1"/>
  <c r="DK443" i="3"/>
  <c r="DF444" i="3"/>
  <c r="DH444" i="3" s="1"/>
  <c r="DG444" i="3"/>
  <c r="DI444" i="3"/>
  <c r="DJ444" i="3"/>
  <c r="DS444" i="3" s="1"/>
  <c r="DV444" i="3" s="1"/>
  <c r="DK444" i="3"/>
  <c r="DF445" i="3"/>
  <c r="DG445" i="3"/>
  <c r="DH445" i="3"/>
  <c r="DI445" i="3"/>
  <c r="DJ445" i="3"/>
  <c r="DK445" i="3"/>
  <c r="DF446" i="3"/>
  <c r="DG446" i="3"/>
  <c r="DI446" i="3"/>
  <c r="DJ446" i="3"/>
  <c r="DS446" i="3" s="1"/>
  <c r="DK446" i="3"/>
  <c r="DF447" i="3"/>
  <c r="DG447" i="3"/>
  <c r="DH447" i="3"/>
  <c r="DI447" i="3"/>
  <c r="DJ447" i="3"/>
  <c r="DS447" i="3" s="1"/>
  <c r="DK447" i="3"/>
  <c r="DF448" i="3"/>
  <c r="DG448" i="3"/>
  <c r="DI448" i="3"/>
  <c r="DJ448" i="3"/>
  <c r="DK448" i="3"/>
  <c r="DF449" i="3"/>
  <c r="DG449" i="3"/>
  <c r="DH449" i="3"/>
  <c r="DI449" i="3"/>
  <c r="DJ449" i="3"/>
  <c r="DK449" i="3"/>
  <c r="DF450" i="3"/>
  <c r="DG450" i="3"/>
  <c r="DI450" i="3"/>
  <c r="DJ450" i="3"/>
  <c r="DK450" i="3"/>
  <c r="DS450" i="3" s="1"/>
  <c r="DF451" i="3"/>
  <c r="DG451" i="3"/>
  <c r="DH451" i="3"/>
  <c r="DI451" i="3"/>
  <c r="DJ451" i="3"/>
  <c r="DS451" i="3" s="1"/>
  <c r="DK451" i="3"/>
  <c r="DF452" i="3"/>
  <c r="DH452" i="3" s="1"/>
  <c r="DG452" i="3"/>
  <c r="DI452" i="3"/>
  <c r="DJ452" i="3"/>
  <c r="DS452" i="3" s="1"/>
  <c r="DW452" i="3" s="1"/>
  <c r="DK452" i="3"/>
  <c r="DF453" i="3"/>
  <c r="DG453" i="3"/>
  <c r="DH453" i="3"/>
  <c r="DI453" i="3"/>
  <c r="DJ453" i="3"/>
  <c r="DK453" i="3"/>
  <c r="DF454" i="3"/>
  <c r="DG454" i="3"/>
  <c r="DI454" i="3"/>
  <c r="DJ454" i="3"/>
  <c r="DS454" i="3" s="1"/>
  <c r="DV454" i="3" s="1"/>
  <c r="DK454" i="3"/>
  <c r="DF455" i="3"/>
  <c r="DG455" i="3"/>
  <c r="DH455" i="3"/>
  <c r="DI455" i="3"/>
  <c r="DJ455" i="3"/>
  <c r="DK455" i="3"/>
  <c r="DS455" i="3" s="1"/>
  <c r="DF456" i="3"/>
  <c r="DG456" i="3"/>
  <c r="DI456" i="3"/>
  <c r="DJ456" i="3"/>
  <c r="DK456" i="3"/>
  <c r="DF457" i="3"/>
  <c r="DG457" i="3"/>
  <c r="DH457" i="3"/>
  <c r="DI457" i="3"/>
  <c r="DJ457" i="3"/>
  <c r="DS457" i="3" s="1"/>
  <c r="DK457" i="3"/>
  <c r="DF458" i="3"/>
  <c r="DG458" i="3"/>
  <c r="DI458" i="3"/>
  <c r="DJ458" i="3"/>
  <c r="DS458" i="3" s="1"/>
  <c r="DK458" i="3"/>
  <c r="DF459" i="3"/>
  <c r="DG459" i="3"/>
  <c r="DH459" i="3"/>
  <c r="DI459" i="3"/>
  <c r="DJ459" i="3"/>
  <c r="DS459" i="3" s="1"/>
  <c r="DW459" i="3" s="1"/>
  <c r="DK459" i="3"/>
  <c r="DF460" i="3"/>
  <c r="DH460" i="3" s="1"/>
  <c r="DG460" i="3"/>
  <c r="DI460" i="3"/>
  <c r="DJ460" i="3"/>
  <c r="DS460" i="3" s="1"/>
  <c r="DK460" i="3"/>
  <c r="DF461" i="3"/>
  <c r="DG461" i="3"/>
  <c r="DH461" i="3"/>
  <c r="DI461" i="3"/>
  <c r="DJ461" i="3"/>
  <c r="DK461" i="3"/>
  <c r="DF462" i="3"/>
  <c r="DG462" i="3"/>
  <c r="DI462" i="3"/>
  <c r="DJ462" i="3"/>
  <c r="DS462" i="3" s="1"/>
  <c r="DK462" i="3"/>
  <c r="DF463" i="3"/>
  <c r="DG463" i="3"/>
  <c r="DH463" i="3"/>
  <c r="DI463" i="3"/>
  <c r="DJ463" i="3"/>
  <c r="DS463" i="3" s="1"/>
  <c r="DK463" i="3"/>
  <c r="DF464" i="3"/>
  <c r="DG464" i="3"/>
  <c r="DI464" i="3"/>
  <c r="DJ464" i="3"/>
  <c r="DK464" i="3"/>
  <c r="DF465" i="3"/>
  <c r="DG465" i="3"/>
  <c r="DH465" i="3"/>
  <c r="DI465" i="3"/>
  <c r="DJ465" i="3"/>
  <c r="DK465" i="3"/>
  <c r="DF466" i="3"/>
  <c r="DG466" i="3"/>
  <c r="DI466" i="3"/>
  <c r="DJ466" i="3"/>
  <c r="DK466" i="3"/>
  <c r="DS466" i="3" s="1"/>
  <c r="DF467" i="3"/>
  <c r="DG467" i="3"/>
  <c r="DH467" i="3"/>
  <c r="DI467" i="3"/>
  <c r="DJ467" i="3"/>
  <c r="DS467" i="3" s="1"/>
  <c r="DK467" i="3"/>
  <c r="DF468" i="3"/>
  <c r="DH468" i="3" s="1"/>
  <c r="DG468" i="3"/>
  <c r="DI468" i="3"/>
  <c r="DJ468" i="3"/>
  <c r="DS468" i="3" s="1"/>
  <c r="DW468" i="3" s="1"/>
  <c r="DK468" i="3"/>
  <c r="DF469" i="3"/>
  <c r="DG469" i="3"/>
  <c r="DH469" i="3"/>
  <c r="DI469" i="3"/>
  <c r="DJ469" i="3"/>
  <c r="DK469" i="3"/>
  <c r="DF470" i="3"/>
  <c r="DG470" i="3"/>
  <c r="DI470" i="3"/>
  <c r="DJ470" i="3"/>
  <c r="DS470" i="3" s="1"/>
  <c r="DK470" i="3"/>
  <c r="DF471" i="3"/>
  <c r="DG471" i="3"/>
  <c r="DH471" i="3"/>
  <c r="DI471" i="3"/>
  <c r="DJ471" i="3"/>
  <c r="DK471" i="3"/>
  <c r="DS471" i="3" s="1"/>
  <c r="DF472" i="3"/>
  <c r="DG472" i="3"/>
  <c r="DI472" i="3"/>
  <c r="DJ472" i="3"/>
  <c r="DK472" i="3"/>
  <c r="DF473" i="3"/>
  <c r="DG473" i="3"/>
  <c r="DH473" i="3"/>
  <c r="DI473" i="3"/>
  <c r="DJ473" i="3"/>
  <c r="DS473" i="3" s="1"/>
  <c r="DV473" i="3" s="1"/>
  <c r="DK473" i="3"/>
  <c r="DF474" i="3"/>
  <c r="DG474" i="3"/>
  <c r="DI474" i="3"/>
  <c r="DJ474" i="3"/>
  <c r="DS474" i="3" s="1"/>
  <c r="DK474" i="3"/>
  <c r="DF475" i="3"/>
  <c r="DG475" i="3"/>
  <c r="DH475" i="3"/>
  <c r="DI475" i="3"/>
  <c r="DJ475" i="3"/>
  <c r="DS475" i="3" s="1"/>
  <c r="DK475" i="3"/>
  <c r="DF476" i="3"/>
  <c r="DH476" i="3" s="1"/>
  <c r="DG476" i="3"/>
  <c r="DI476" i="3"/>
  <c r="DJ476" i="3"/>
  <c r="DS476" i="3" s="1"/>
  <c r="DW476" i="3" s="1"/>
  <c r="DK476" i="3"/>
  <c r="DF477" i="3"/>
  <c r="DG477" i="3"/>
  <c r="DH477" i="3"/>
  <c r="DI477" i="3"/>
  <c r="DJ477" i="3"/>
  <c r="DK477" i="3"/>
  <c r="DF478" i="3"/>
  <c r="DG478" i="3"/>
  <c r="DI478" i="3"/>
  <c r="DJ478" i="3"/>
  <c r="DS478" i="3" s="1"/>
  <c r="DW478" i="3" s="1"/>
  <c r="DK478" i="3"/>
  <c r="DF479" i="3"/>
  <c r="DG479" i="3"/>
  <c r="DH479" i="3"/>
  <c r="DI479" i="3"/>
  <c r="DJ479" i="3"/>
  <c r="DS479" i="3" s="1"/>
  <c r="DK479" i="3"/>
  <c r="DF480" i="3"/>
  <c r="DG480" i="3"/>
  <c r="DI480" i="3"/>
  <c r="DJ480" i="3"/>
  <c r="DK480" i="3"/>
  <c r="DF481" i="3"/>
  <c r="DG481" i="3"/>
  <c r="DH481" i="3"/>
  <c r="DI481" i="3"/>
  <c r="DJ481" i="3"/>
  <c r="DK481" i="3"/>
  <c r="DF482" i="3"/>
  <c r="DG482" i="3"/>
  <c r="DI482" i="3"/>
  <c r="DJ482" i="3"/>
  <c r="DK482" i="3"/>
  <c r="DS482" i="3" s="1"/>
  <c r="DF483" i="3"/>
  <c r="DG483" i="3"/>
  <c r="DH483" i="3"/>
  <c r="DI483" i="3"/>
  <c r="DJ483" i="3"/>
  <c r="DS483" i="3" s="1"/>
  <c r="DW483" i="3" s="1"/>
  <c r="DK483" i="3"/>
  <c r="DF484" i="3"/>
  <c r="DH484" i="3" s="1"/>
  <c r="DG484" i="3"/>
  <c r="DI484" i="3"/>
  <c r="DJ484" i="3"/>
  <c r="DS484" i="3" s="1"/>
  <c r="DK484" i="3"/>
  <c r="DF485" i="3"/>
  <c r="DG485" i="3"/>
  <c r="DH485" i="3"/>
  <c r="DI485" i="3"/>
  <c r="DJ485" i="3"/>
  <c r="DK485" i="3"/>
  <c r="DF486" i="3"/>
  <c r="DG486" i="3"/>
  <c r="DI486" i="3"/>
  <c r="DJ486" i="3"/>
  <c r="DS486" i="3" s="1"/>
  <c r="DK486" i="3"/>
  <c r="DF487" i="3"/>
  <c r="DG487" i="3"/>
  <c r="DH487" i="3"/>
  <c r="DI487" i="3"/>
  <c r="DJ487" i="3"/>
  <c r="DK487" i="3"/>
  <c r="DS487" i="3" s="1"/>
  <c r="DF488" i="3"/>
  <c r="DG488" i="3"/>
  <c r="DI488" i="3"/>
  <c r="DJ488" i="3"/>
  <c r="DK488" i="3"/>
  <c r="DF489" i="3"/>
  <c r="DG489" i="3"/>
  <c r="DH489" i="3"/>
  <c r="DI489" i="3"/>
  <c r="DJ489" i="3"/>
  <c r="DS489" i="3" s="1"/>
  <c r="DK489" i="3"/>
  <c r="DF490" i="3"/>
  <c r="DG490" i="3"/>
  <c r="DI490" i="3"/>
  <c r="DJ490" i="3"/>
  <c r="DS490" i="3" s="1"/>
  <c r="DK490" i="3"/>
  <c r="DF491" i="3"/>
  <c r="DG491" i="3"/>
  <c r="DH491" i="3"/>
  <c r="DI491" i="3"/>
  <c r="DJ491" i="3"/>
  <c r="DS491" i="3" s="1"/>
  <c r="DK491" i="3"/>
  <c r="DF492" i="3"/>
  <c r="DH492" i="3" s="1"/>
  <c r="DG492" i="3"/>
  <c r="DI492" i="3"/>
  <c r="DJ492" i="3"/>
  <c r="DS492" i="3" s="1"/>
  <c r="DK492" i="3"/>
  <c r="DF493" i="3"/>
  <c r="DG493" i="3"/>
  <c r="DH493" i="3"/>
  <c r="DI493" i="3"/>
  <c r="DJ493" i="3"/>
  <c r="DK493" i="3"/>
  <c r="DF494" i="3"/>
  <c r="DG494" i="3"/>
  <c r="DI494" i="3"/>
  <c r="DJ494" i="3"/>
  <c r="DS494" i="3" s="1"/>
  <c r="DK494" i="3"/>
  <c r="DF495" i="3"/>
  <c r="DG495" i="3"/>
  <c r="DH495" i="3"/>
  <c r="DI495" i="3"/>
  <c r="DJ495" i="3"/>
  <c r="DS495" i="3" s="1"/>
  <c r="DK495" i="3"/>
  <c r="DF496" i="3"/>
  <c r="DG496" i="3"/>
  <c r="DI496" i="3"/>
  <c r="DJ496" i="3"/>
  <c r="DK496" i="3"/>
  <c r="DF497" i="3"/>
  <c r="DG497" i="3"/>
  <c r="DH497" i="3"/>
  <c r="DI497" i="3"/>
  <c r="DJ497" i="3"/>
  <c r="DK497" i="3"/>
  <c r="DF498" i="3"/>
  <c r="DG498" i="3"/>
  <c r="DI498" i="3"/>
  <c r="DJ498" i="3"/>
  <c r="DK498" i="3"/>
  <c r="DS498" i="3" s="1"/>
  <c r="DF499" i="3"/>
  <c r="DG499" i="3"/>
  <c r="DH499" i="3"/>
  <c r="DI499" i="3"/>
  <c r="DJ499" i="3"/>
  <c r="DS499" i="3" s="1"/>
  <c r="DK499" i="3"/>
  <c r="DF500" i="3"/>
  <c r="DH500" i="3" s="1"/>
  <c r="DG500" i="3"/>
  <c r="DI500" i="3"/>
  <c r="DJ500" i="3"/>
  <c r="DS500" i="3" s="1"/>
  <c r="DK500" i="3"/>
  <c r="DF501" i="3"/>
  <c r="DG501" i="3"/>
  <c r="DH501" i="3"/>
  <c r="DI501" i="3"/>
  <c r="DJ501" i="3"/>
  <c r="DK501" i="3"/>
  <c r="DF502" i="3"/>
  <c r="DG502" i="3"/>
  <c r="DI502" i="3"/>
  <c r="DJ502" i="3"/>
  <c r="DS502" i="3" s="1"/>
  <c r="DK502" i="3"/>
  <c r="DF503" i="3"/>
  <c r="DG503" i="3"/>
  <c r="DH503" i="3"/>
  <c r="DI503" i="3"/>
  <c r="DJ503" i="3"/>
  <c r="DK503" i="3"/>
  <c r="DS503" i="3" s="1"/>
  <c r="DF504" i="3"/>
  <c r="DG504" i="3"/>
  <c r="DI504" i="3"/>
  <c r="DJ504" i="3"/>
  <c r="DK504" i="3"/>
  <c r="DF505" i="3"/>
  <c r="DG505" i="3"/>
  <c r="DH505" i="3" s="1"/>
  <c r="DI505" i="3"/>
  <c r="DJ505" i="3"/>
  <c r="DS505" i="3" s="1"/>
  <c r="DK505" i="3"/>
  <c r="DF506" i="3"/>
  <c r="DG506" i="3"/>
  <c r="DI506" i="3"/>
  <c r="DJ506" i="3"/>
  <c r="DS506" i="3" s="1"/>
  <c r="DV506" i="3" s="1"/>
  <c r="DK506" i="3"/>
  <c r="DF507" i="3"/>
  <c r="DG507" i="3"/>
  <c r="DH507" i="3"/>
  <c r="DI507" i="3"/>
  <c r="DJ507" i="3"/>
  <c r="DK507" i="3"/>
  <c r="DF508" i="3"/>
  <c r="DH508" i="3" s="1"/>
  <c r="DG508" i="3"/>
  <c r="DI508" i="3"/>
  <c r="DJ508" i="3"/>
  <c r="DS508" i="3" s="1"/>
  <c r="DK508" i="3"/>
  <c r="DF509" i="3"/>
  <c r="DG509" i="3"/>
  <c r="DH509" i="3"/>
  <c r="DI509" i="3"/>
  <c r="DJ509" i="3"/>
  <c r="DK509" i="3"/>
  <c r="DF510" i="3"/>
  <c r="DG510" i="3"/>
  <c r="DI510" i="3"/>
  <c r="DJ510" i="3"/>
  <c r="DK510" i="3"/>
  <c r="DF511" i="3"/>
  <c r="DG511" i="3"/>
  <c r="DH511" i="3"/>
  <c r="DI511" i="3"/>
  <c r="DJ511" i="3"/>
  <c r="DS511" i="3" s="1"/>
  <c r="DW511" i="3" s="1"/>
  <c r="DK511" i="3"/>
  <c r="DF512" i="3"/>
  <c r="DG512" i="3"/>
  <c r="DI512" i="3"/>
  <c r="DJ512" i="3"/>
  <c r="DK512" i="3"/>
  <c r="DF513" i="3"/>
  <c r="DG513" i="3"/>
  <c r="DH513" i="3" s="1"/>
  <c r="DI513" i="3"/>
  <c r="DJ513" i="3"/>
  <c r="DK513" i="3"/>
  <c r="DF514" i="3"/>
  <c r="DG514" i="3"/>
  <c r="DI514" i="3"/>
  <c r="DJ514" i="3"/>
  <c r="DS514" i="3" s="1"/>
  <c r="DK514" i="3"/>
  <c r="DF515" i="3"/>
  <c r="DG515" i="3"/>
  <c r="DH515" i="3"/>
  <c r="DI515" i="3"/>
  <c r="DJ515" i="3"/>
  <c r="DS515" i="3" s="1"/>
  <c r="DK515" i="3"/>
  <c r="DF516" i="3"/>
  <c r="DH516" i="3" s="1"/>
  <c r="DG516" i="3"/>
  <c r="DI516" i="3"/>
  <c r="DJ516" i="3"/>
  <c r="DK516" i="3"/>
  <c r="DF517" i="3"/>
  <c r="DG517" i="3"/>
  <c r="DH517" i="3"/>
  <c r="DI517" i="3"/>
  <c r="DJ517" i="3"/>
  <c r="DS517" i="3" s="1"/>
  <c r="DK517" i="3"/>
  <c r="DF518" i="3"/>
  <c r="DG518" i="3"/>
  <c r="DI518" i="3"/>
  <c r="DJ518" i="3"/>
  <c r="DK518" i="3"/>
  <c r="DS518" i="3" s="1"/>
  <c r="DW518" i="3" s="1"/>
  <c r="DF519" i="3"/>
  <c r="DG519" i="3"/>
  <c r="DH519" i="3"/>
  <c r="DI519" i="3"/>
  <c r="DJ519" i="3"/>
  <c r="DS519" i="3" s="1"/>
  <c r="DK519" i="3"/>
  <c r="DF520" i="3"/>
  <c r="DG520" i="3"/>
  <c r="DI520" i="3"/>
  <c r="DJ520" i="3"/>
  <c r="DS520" i="3" s="1"/>
  <c r="DW520" i="3" s="1"/>
  <c r="DK520" i="3"/>
  <c r="DF521" i="3"/>
  <c r="DG521" i="3"/>
  <c r="DH521" i="3" s="1"/>
  <c r="DI521" i="3"/>
  <c r="DJ521" i="3"/>
  <c r="DS521" i="3" s="1"/>
  <c r="DK521" i="3"/>
  <c r="DF522" i="3"/>
  <c r="DG522" i="3"/>
  <c r="DI522" i="3"/>
  <c r="DJ522" i="3"/>
  <c r="DS522" i="3" s="1"/>
  <c r="DK522" i="3"/>
  <c r="DF523" i="3"/>
  <c r="DG523" i="3"/>
  <c r="DH523" i="3"/>
  <c r="DI523" i="3"/>
  <c r="DJ523" i="3"/>
  <c r="DK523" i="3"/>
  <c r="DF524" i="3"/>
  <c r="DH524" i="3" s="1"/>
  <c r="DG524" i="3"/>
  <c r="DI524" i="3"/>
  <c r="DJ524" i="3"/>
  <c r="DK524" i="3"/>
  <c r="DF525" i="3"/>
  <c r="DG525" i="3"/>
  <c r="DH525" i="3"/>
  <c r="DI525" i="3"/>
  <c r="DJ525" i="3"/>
  <c r="DK525" i="3"/>
  <c r="DF526" i="3"/>
  <c r="DG526" i="3"/>
  <c r="DI526" i="3"/>
  <c r="DJ526" i="3"/>
  <c r="DS526" i="3" s="1"/>
  <c r="DK526" i="3"/>
  <c r="DF527" i="3"/>
  <c r="DG527" i="3"/>
  <c r="DH527" i="3"/>
  <c r="DI527" i="3"/>
  <c r="DJ527" i="3"/>
  <c r="DS527" i="3" s="1"/>
  <c r="DK527" i="3"/>
  <c r="DF528" i="3"/>
  <c r="DG528" i="3"/>
  <c r="DI528" i="3"/>
  <c r="DJ528" i="3"/>
  <c r="DS528" i="3" s="1"/>
  <c r="DK528" i="3"/>
  <c r="DF529" i="3"/>
  <c r="DG529" i="3"/>
  <c r="DH529" i="3" s="1"/>
  <c r="DI529" i="3"/>
  <c r="DJ529" i="3"/>
  <c r="DK529" i="3"/>
  <c r="DF530" i="3"/>
  <c r="DG530" i="3"/>
  <c r="DI530" i="3"/>
  <c r="DJ530" i="3"/>
  <c r="DK530" i="3"/>
  <c r="DS530" i="3" s="1"/>
  <c r="DF531" i="3"/>
  <c r="DG531" i="3"/>
  <c r="DH531" i="3"/>
  <c r="DI531" i="3"/>
  <c r="DJ531" i="3"/>
  <c r="DS531" i="3" s="1"/>
  <c r="DK531" i="3"/>
  <c r="DF532" i="3"/>
  <c r="DH532" i="3" s="1"/>
  <c r="DG532" i="3"/>
  <c r="DI532" i="3"/>
  <c r="DJ532" i="3"/>
  <c r="DS532" i="3" s="1"/>
  <c r="DK532" i="3"/>
  <c r="DF533" i="3"/>
  <c r="DG533" i="3"/>
  <c r="DH533" i="3"/>
  <c r="DI533" i="3"/>
  <c r="DJ533" i="3"/>
  <c r="DK533" i="3"/>
  <c r="DF534" i="3"/>
  <c r="DG534" i="3"/>
  <c r="DI534" i="3"/>
  <c r="DJ534" i="3"/>
  <c r="DS534" i="3" s="1"/>
  <c r="DK534" i="3"/>
  <c r="DF535" i="3"/>
  <c r="DG535" i="3"/>
  <c r="DH535" i="3" s="1"/>
  <c r="DI535" i="3"/>
  <c r="DJ535" i="3"/>
  <c r="DK535" i="3"/>
  <c r="DF536" i="3"/>
  <c r="DG536" i="3"/>
  <c r="DI536" i="3"/>
  <c r="DJ536" i="3"/>
  <c r="DK536" i="3"/>
  <c r="DF537" i="3"/>
  <c r="DG537" i="3"/>
  <c r="DH537" i="3" s="1"/>
  <c r="DI537" i="3"/>
  <c r="DJ537" i="3"/>
  <c r="DS537" i="3" s="1"/>
  <c r="DK537" i="3"/>
  <c r="DF538" i="3"/>
  <c r="DG538" i="3"/>
  <c r="DI538" i="3"/>
  <c r="DJ538" i="3"/>
  <c r="DS538" i="3" s="1"/>
  <c r="DK538" i="3"/>
  <c r="DF539" i="3"/>
  <c r="DG539" i="3"/>
  <c r="DH539" i="3"/>
  <c r="DI539" i="3"/>
  <c r="DJ539" i="3"/>
  <c r="DK539" i="3"/>
  <c r="DS539" i="3" s="1"/>
  <c r="DV539" i="3" s="1"/>
  <c r="DF540" i="3"/>
  <c r="DH540" i="3" s="1"/>
  <c r="DG540" i="3"/>
  <c r="DI540" i="3"/>
  <c r="DJ540" i="3"/>
  <c r="DS540" i="3" s="1"/>
  <c r="DK540" i="3"/>
  <c r="DF541" i="3"/>
  <c r="DG541" i="3"/>
  <c r="DH541" i="3"/>
  <c r="DI541" i="3"/>
  <c r="DJ541" i="3"/>
  <c r="DK541" i="3"/>
  <c r="DF542" i="3"/>
  <c r="DG542" i="3"/>
  <c r="DI542" i="3"/>
  <c r="DJ542" i="3"/>
  <c r="DS542" i="3" s="1"/>
  <c r="DK542" i="3"/>
  <c r="DF543" i="3"/>
  <c r="DG543" i="3"/>
  <c r="DH543" i="3" s="1"/>
  <c r="DI543" i="3"/>
  <c r="DJ543" i="3"/>
  <c r="DS543" i="3" s="1"/>
  <c r="DW543" i="3" s="1"/>
  <c r="DK543" i="3"/>
  <c r="DF544" i="3"/>
  <c r="DG544" i="3"/>
  <c r="DI544" i="3"/>
  <c r="DJ544" i="3"/>
  <c r="DS544" i="3" s="1"/>
  <c r="DK544" i="3"/>
  <c r="DF545" i="3"/>
  <c r="DG545" i="3"/>
  <c r="DH545" i="3" s="1"/>
  <c r="DI545" i="3"/>
  <c r="DJ545" i="3"/>
  <c r="DK545" i="3"/>
  <c r="DF546" i="3"/>
  <c r="DG546" i="3"/>
  <c r="DI546" i="3"/>
  <c r="DJ546" i="3"/>
  <c r="DK546" i="3"/>
  <c r="DS546" i="3" s="1"/>
  <c r="DF547" i="3"/>
  <c r="DG547" i="3"/>
  <c r="DH547" i="3"/>
  <c r="DI547" i="3"/>
  <c r="DJ547" i="3"/>
  <c r="DS547" i="3" s="1"/>
  <c r="DK547" i="3"/>
  <c r="DF548" i="3"/>
  <c r="DH548" i="3" s="1"/>
  <c r="DG548" i="3"/>
  <c r="DI548" i="3"/>
  <c r="DJ548" i="3"/>
  <c r="DS548" i="3" s="1"/>
  <c r="DV548" i="3" s="1"/>
  <c r="DK548" i="3"/>
  <c r="DF549" i="3"/>
  <c r="DG549" i="3"/>
  <c r="DH549" i="3"/>
  <c r="DI549" i="3"/>
  <c r="DJ549" i="3"/>
  <c r="DS549" i="3" s="1"/>
  <c r="DK549" i="3"/>
  <c r="DF550" i="3"/>
  <c r="DG550" i="3"/>
  <c r="DI550" i="3"/>
  <c r="DJ550" i="3"/>
  <c r="DS550" i="3" s="1"/>
  <c r="DK550" i="3"/>
  <c r="DF551" i="3"/>
  <c r="DG551" i="3"/>
  <c r="DH551" i="3"/>
  <c r="DI551" i="3"/>
  <c r="DJ551" i="3"/>
  <c r="DK551" i="3"/>
  <c r="DF552" i="3"/>
  <c r="DG552" i="3"/>
  <c r="DI552" i="3"/>
  <c r="DJ552" i="3"/>
  <c r="DS552" i="3" s="1"/>
  <c r="DK552" i="3"/>
  <c r="DF553" i="3"/>
  <c r="DG553" i="3"/>
  <c r="DH553" i="3" s="1"/>
  <c r="DI553" i="3"/>
  <c r="DJ553" i="3"/>
  <c r="DS553" i="3" s="1"/>
  <c r="DK553" i="3"/>
  <c r="DF554" i="3"/>
  <c r="DG554" i="3"/>
  <c r="DI554" i="3"/>
  <c r="DJ554" i="3"/>
  <c r="DS554" i="3" s="1"/>
  <c r="DK554" i="3"/>
  <c r="DF555" i="3"/>
  <c r="DG555" i="3"/>
  <c r="DH555" i="3"/>
  <c r="DI555" i="3"/>
  <c r="DJ555" i="3"/>
  <c r="DS555" i="3" s="1"/>
  <c r="DK555" i="3"/>
  <c r="DF556" i="3"/>
  <c r="DH556" i="3" s="1"/>
  <c r="DG556" i="3"/>
  <c r="DI556" i="3"/>
  <c r="DJ556" i="3"/>
  <c r="DS556" i="3" s="1"/>
  <c r="DK556" i="3"/>
  <c r="DF557" i="3"/>
  <c r="DG557" i="3"/>
  <c r="DH557" i="3"/>
  <c r="DI557" i="3"/>
  <c r="DJ557" i="3"/>
  <c r="DK557" i="3"/>
  <c r="DS557" i="3" s="1"/>
  <c r="DF558" i="3"/>
  <c r="DG558" i="3"/>
  <c r="DI558" i="3"/>
  <c r="DJ558" i="3"/>
  <c r="DK558" i="3"/>
  <c r="DF559" i="3"/>
  <c r="DG559" i="3"/>
  <c r="DH559" i="3"/>
  <c r="DI559" i="3"/>
  <c r="DJ559" i="3"/>
  <c r="DS559" i="3" s="1"/>
  <c r="DK559" i="3"/>
  <c r="DF560" i="3"/>
  <c r="DG560" i="3"/>
  <c r="DI560" i="3"/>
  <c r="DJ560" i="3"/>
  <c r="DK560" i="3"/>
  <c r="DF561" i="3"/>
  <c r="DG561" i="3"/>
  <c r="DH561" i="3" s="1"/>
  <c r="DI561" i="3"/>
  <c r="DJ561" i="3"/>
  <c r="DS561" i="3" s="1"/>
  <c r="DK561" i="3"/>
  <c r="DF562" i="3"/>
  <c r="DG562" i="3"/>
  <c r="DI562" i="3"/>
  <c r="DJ562" i="3"/>
  <c r="DK562" i="3"/>
  <c r="DF563" i="3"/>
  <c r="DG563" i="3"/>
  <c r="DH563" i="3"/>
  <c r="DI563" i="3"/>
  <c r="DJ563" i="3"/>
  <c r="DS563" i="3" s="1"/>
  <c r="DK563" i="3"/>
  <c r="DF564" i="3"/>
  <c r="DH564" i="3" s="1"/>
  <c r="DG564" i="3"/>
  <c r="DI564" i="3"/>
  <c r="DJ564" i="3"/>
  <c r="DS564" i="3" s="1"/>
  <c r="DV564" i="3" s="1"/>
  <c r="DK564" i="3"/>
  <c r="DF565" i="3"/>
  <c r="DG565" i="3"/>
  <c r="DH565" i="3"/>
  <c r="DI565" i="3"/>
  <c r="DJ565" i="3"/>
  <c r="DK565" i="3"/>
  <c r="DF566" i="3"/>
  <c r="DG566" i="3"/>
  <c r="DI566" i="3"/>
  <c r="DJ566" i="3"/>
  <c r="DK566" i="3"/>
  <c r="DS566" i="3" s="1"/>
  <c r="DF567" i="3"/>
  <c r="DG567" i="3"/>
  <c r="DH567" i="3" s="1"/>
  <c r="DI567" i="3"/>
  <c r="DJ567" i="3"/>
  <c r="DS567" i="3" s="1"/>
  <c r="DK567" i="3"/>
  <c r="DF568" i="3"/>
  <c r="DG568" i="3"/>
  <c r="DI568" i="3"/>
  <c r="DJ568" i="3"/>
  <c r="DS568" i="3" s="1"/>
  <c r="DW568" i="3" s="1"/>
  <c r="DK568" i="3"/>
  <c r="DF569" i="3"/>
  <c r="DG569" i="3"/>
  <c r="DH569" i="3" s="1"/>
  <c r="DI569" i="3"/>
  <c r="DJ569" i="3"/>
  <c r="DK569" i="3"/>
  <c r="DF570" i="3"/>
  <c r="DG570" i="3"/>
  <c r="DI570" i="3"/>
  <c r="DJ570" i="3"/>
  <c r="DK570" i="3"/>
  <c r="DF571" i="3"/>
  <c r="DG571" i="3"/>
  <c r="DH571" i="3"/>
  <c r="DI571" i="3"/>
  <c r="DJ571" i="3"/>
  <c r="DS571" i="3" s="1"/>
  <c r="DV571" i="3" s="1"/>
  <c r="DK571" i="3"/>
  <c r="DF572" i="3"/>
  <c r="DH572" i="3" s="1"/>
  <c r="DG572" i="3"/>
  <c r="DI572" i="3"/>
  <c r="DJ572" i="3"/>
  <c r="DS572" i="3" s="1"/>
  <c r="DK572" i="3"/>
  <c r="DF573" i="3"/>
  <c r="DG573" i="3"/>
  <c r="DH573" i="3"/>
  <c r="DI573" i="3"/>
  <c r="DJ573" i="3"/>
  <c r="DS573" i="3" s="1"/>
  <c r="DK573" i="3"/>
  <c r="DF574" i="3"/>
  <c r="DG574" i="3"/>
  <c r="DI574" i="3"/>
  <c r="DJ574" i="3"/>
  <c r="DS574" i="3" s="1"/>
  <c r="DK574" i="3"/>
  <c r="DF575" i="3"/>
  <c r="DG575" i="3"/>
  <c r="DH575" i="3" s="1"/>
  <c r="DI575" i="3"/>
  <c r="DJ575" i="3"/>
  <c r="DS575" i="3" s="1"/>
  <c r="DW575" i="3" s="1"/>
  <c r="DK575" i="3"/>
  <c r="DF576" i="3"/>
  <c r="DG576" i="3"/>
  <c r="DI576" i="3"/>
  <c r="DJ576" i="3"/>
  <c r="DS576" i="3" s="1"/>
  <c r="DK576" i="3"/>
  <c r="DF577" i="3"/>
  <c r="DG577" i="3"/>
  <c r="DH577" i="3" s="1"/>
  <c r="DI577" i="3"/>
  <c r="DJ577" i="3"/>
  <c r="DS577" i="3" s="1"/>
  <c r="DK577" i="3"/>
  <c r="DF578" i="3"/>
  <c r="DH578" i="3" s="1"/>
  <c r="DG578" i="3"/>
  <c r="DI578" i="3"/>
  <c r="DJ578" i="3"/>
  <c r="DK578" i="3"/>
  <c r="DF579" i="3"/>
  <c r="DG579" i="3"/>
  <c r="DH579" i="3"/>
  <c r="DI579" i="3"/>
  <c r="DJ579" i="3"/>
  <c r="DS579" i="3" s="1"/>
  <c r="DK579" i="3"/>
  <c r="DF580" i="3"/>
  <c r="DH580" i="3" s="1"/>
  <c r="DG580" i="3"/>
  <c r="DI580" i="3"/>
  <c r="DJ580" i="3"/>
  <c r="DS580" i="3" s="1"/>
  <c r="DK580" i="3"/>
  <c r="DF581" i="3"/>
  <c r="DG581" i="3"/>
  <c r="DH581" i="3"/>
  <c r="DI581" i="3"/>
  <c r="DJ581" i="3"/>
  <c r="DK581" i="3"/>
  <c r="DF582" i="3"/>
  <c r="DG582" i="3"/>
  <c r="DI582" i="3"/>
  <c r="DJ582" i="3"/>
  <c r="DK582" i="3"/>
  <c r="DS582" i="3" s="1"/>
  <c r="DF583" i="3"/>
  <c r="DG583" i="3"/>
  <c r="DH583" i="3" s="1"/>
  <c r="DI583" i="3"/>
  <c r="DJ583" i="3"/>
  <c r="DS583" i="3" s="1"/>
  <c r="DK583" i="3"/>
  <c r="DF584" i="3"/>
  <c r="DG584" i="3"/>
  <c r="DI584" i="3"/>
  <c r="DJ584" i="3"/>
  <c r="DS584" i="3" s="1"/>
  <c r="DK584" i="3"/>
  <c r="DF585" i="3"/>
  <c r="DG585" i="3"/>
  <c r="DH585" i="3" s="1"/>
  <c r="DI585" i="3"/>
  <c r="DJ585" i="3"/>
  <c r="DK585" i="3"/>
  <c r="DF586" i="3"/>
  <c r="DH586" i="3" s="1"/>
  <c r="DG586" i="3"/>
  <c r="DI586" i="3"/>
  <c r="DJ586" i="3"/>
  <c r="DK586" i="3"/>
  <c r="DF587" i="3"/>
  <c r="DG587" i="3"/>
  <c r="DH587" i="3"/>
  <c r="DI587" i="3"/>
  <c r="DJ587" i="3"/>
  <c r="DS587" i="3" s="1"/>
  <c r="DK587" i="3"/>
  <c r="DF588" i="3"/>
  <c r="DH588" i="3" s="1"/>
  <c r="DG588" i="3"/>
  <c r="DI588" i="3"/>
  <c r="DJ588" i="3"/>
  <c r="DS588" i="3" s="1"/>
  <c r="DK588" i="3"/>
  <c r="DF589" i="3"/>
  <c r="DG589" i="3"/>
  <c r="DH589" i="3"/>
  <c r="DI589" i="3"/>
  <c r="DJ589" i="3"/>
  <c r="DS589" i="3" s="1"/>
  <c r="DK589" i="3"/>
  <c r="DF590" i="3"/>
  <c r="DG590" i="3"/>
  <c r="DI590" i="3"/>
  <c r="DJ590" i="3"/>
  <c r="DS590" i="3" s="1"/>
  <c r="DK590" i="3"/>
  <c r="DF591" i="3"/>
  <c r="DH591" i="3" s="1"/>
  <c r="DG591" i="3"/>
  <c r="DI591" i="3"/>
  <c r="DJ591" i="3"/>
  <c r="DS591" i="3" s="1"/>
  <c r="DK591" i="3"/>
  <c r="DF592" i="3"/>
  <c r="DG592" i="3"/>
  <c r="DH592" i="3"/>
  <c r="DI592" i="3"/>
  <c r="DJ592" i="3"/>
  <c r="DK592" i="3"/>
  <c r="DF593" i="3"/>
  <c r="DH593" i="3" s="1"/>
  <c r="DG593" i="3"/>
  <c r="DI593" i="3"/>
  <c r="DJ593" i="3"/>
  <c r="DS593" i="3" s="1"/>
  <c r="DK593" i="3"/>
  <c r="DF594" i="3"/>
  <c r="DG594" i="3"/>
  <c r="DH594" i="3"/>
  <c r="DI594" i="3"/>
  <c r="DJ594" i="3"/>
  <c r="DK594" i="3"/>
  <c r="DF595" i="3"/>
  <c r="DH595" i="3" s="1"/>
  <c r="DG595" i="3"/>
  <c r="DI595" i="3"/>
  <c r="DJ595" i="3"/>
  <c r="DK595" i="3"/>
  <c r="DF596" i="3"/>
  <c r="DG596" i="3"/>
  <c r="DH596" i="3"/>
  <c r="DI596" i="3"/>
  <c r="DJ596" i="3"/>
  <c r="DS596" i="3" s="1"/>
  <c r="DV596" i="3" s="1"/>
  <c r="DK596" i="3"/>
  <c r="DF597" i="3"/>
  <c r="DH597" i="3" s="1"/>
  <c r="DG597" i="3"/>
  <c r="DI597" i="3"/>
  <c r="DJ597" i="3"/>
  <c r="DK597" i="3"/>
  <c r="DS597" i="3" s="1"/>
  <c r="DF598" i="3"/>
  <c r="DG598" i="3"/>
  <c r="DH598" i="3"/>
  <c r="DI598" i="3"/>
  <c r="DJ598" i="3"/>
  <c r="DS598" i="3" s="1"/>
  <c r="DK598" i="3"/>
  <c r="DF599" i="3"/>
  <c r="DH599" i="3" s="1"/>
  <c r="DG599" i="3"/>
  <c r="DI599" i="3"/>
  <c r="DJ599" i="3"/>
  <c r="DS599" i="3" s="1"/>
  <c r="DK599" i="3"/>
  <c r="DF600" i="3"/>
  <c r="DG600" i="3"/>
  <c r="DH600" i="3"/>
  <c r="DI600" i="3"/>
  <c r="DJ600" i="3"/>
  <c r="DK600" i="3"/>
  <c r="DF601" i="3"/>
  <c r="DH601" i="3" s="1"/>
  <c r="DG601" i="3"/>
  <c r="DI601" i="3"/>
  <c r="DJ601" i="3"/>
  <c r="DS601" i="3" s="1"/>
  <c r="DK601" i="3"/>
  <c r="DF602" i="3"/>
  <c r="DG602" i="3"/>
  <c r="DH602" i="3"/>
  <c r="DI602" i="3"/>
  <c r="DJ602" i="3"/>
  <c r="DK602" i="3"/>
  <c r="DF603" i="3"/>
  <c r="DH603" i="3" s="1"/>
  <c r="DG603" i="3"/>
  <c r="DI603" i="3"/>
  <c r="DJ603" i="3"/>
  <c r="DS603" i="3" s="1"/>
  <c r="DV603" i="3" s="1"/>
  <c r="DK603" i="3"/>
  <c r="DF604" i="3"/>
  <c r="DG604" i="3"/>
  <c r="DH604" i="3"/>
  <c r="DI604" i="3"/>
  <c r="DJ604" i="3"/>
  <c r="DS604" i="3" s="1"/>
  <c r="DK604" i="3"/>
  <c r="DF605" i="3"/>
  <c r="DH605" i="3" s="1"/>
  <c r="DG605" i="3"/>
  <c r="DI605" i="3"/>
  <c r="DJ605" i="3"/>
  <c r="DK605" i="3"/>
  <c r="DS605" i="3" s="1"/>
  <c r="DF606" i="3"/>
  <c r="DG606" i="3"/>
  <c r="DH606" i="3"/>
  <c r="DI606" i="3"/>
  <c r="DJ606" i="3"/>
  <c r="DS606" i="3" s="1"/>
  <c r="DK606" i="3"/>
  <c r="DF607" i="3"/>
  <c r="DH607" i="3" s="1"/>
  <c r="DG607" i="3"/>
  <c r="DI607" i="3"/>
  <c r="DJ607" i="3"/>
  <c r="DS607" i="3" s="1"/>
  <c r="DW607" i="3" s="1"/>
  <c r="DK607" i="3"/>
  <c r="DF608" i="3"/>
  <c r="DG608" i="3"/>
  <c r="DH608" i="3"/>
  <c r="DI608" i="3"/>
  <c r="DJ608" i="3"/>
  <c r="DS608" i="3" s="1"/>
  <c r="DK608" i="3"/>
  <c r="DF609" i="3"/>
  <c r="DH609" i="3" s="1"/>
  <c r="DG609" i="3"/>
  <c r="DI609" i="3"/>
  <c r="DJ609" i="3"/>
  <c r="DS609" i="3" s="1"/>
  <c r="DK609" i="3"/>
  <c r="DF610" i="3"/>
  <c r="DG610" i="3"/>
  <c r="DH610" i="3"/>
  <c r="DI610" i="3"/>
  <c r="DJ610" i="3"/>
  <c r="DK610" i="3"/>
  <c r="DF611" i="3"/>
  <c r="DH611" i="3" s="1"/>
  <c r="DG611" i="3"/>
  <c r="DI611" i="3"/>
  <c r="DJ611" i="3"/>
  <c r="DS611" i="3" s="1"/>
  <c r="DK611" i="3"/>
  <c r="DF612" i="3"/>
  <c r="DG612" i="3"/>
  <c r="DH612" i="3"/>
  <c r="DI612" i="3"/>
  <c r="DJ612" i="3"/>
  <c r="DS612" i="3" s="1"/>
  <c r="DK612" i="3"/>
  <c r="DF613" i="3"/>
  <c r="DH613" i="3" s="1"/>
  <c r="DG613" i="3"/>
  <c r="DI613" i="3"/>
  <c r="DJ613" i="3"/>
  <c r="DK613" i="3"/>
  <c r="DS613" i="3" s="1"/>
  <c r="DF614" i="3"/>
  <c r="DG614" i="3"/>
  <c r="DH614" i="3"/>
  <c r="DI614" i="3"/>
  <c r="DJ614" i="3"/>
  <c r="DS614" i="3" s="1"/>
  <c r="DK614" i="3"/>
  <c r="DF615" i="3"/>
  <c r="DH615" i="3" s="1"/>
  <c r="DG615" i="3"/>
  <c r="DI615" i="3"/>
  <c r="DJ615" i="3"/>
  <c r="DS615" i="3" s="1"/>
  <c r="DK615" i="3"/>
  <c r="DF616" i="3"/>
  <c r="DG616" i="3"/>
  <c r="DH616" i="3"/>
  <c r="DI616" i="3"/>
  <c r="DJ616" i="3"/>
  <c r="DS616" i="3" s="1"/>
  <c r="DK616" i="3"/>
  <c r="DF617" i="3"/>
  <c r="DH617" i="3" s="1"/>
  <c r="DG617" i="3"/>
  <c r="DI617" i="3"/>
  <c r="DJ617" i="3"/>
  <c r="DS617" i="3" s="1"/>
  <c r="DK617" i="3"/>
  <c r="DF618" i="3"/>
  <c r="DG618" i="3"/>
  <c r="DH618" i="3"/>
  <c r="DI618" i="3"/>
  <c r="DJ618" i="3"/>
  <c r="DK618" i="3"/>
  <c r="DF619" i="3"/>
  <c r="DH619" i="3" s="1"/>
  <c r="DG619" i="3"/>
  <c r="DI619" i="3"/>
  <c r="DJ619" i="3"/>
  <c r="DS619" i="3" s="1"/>
  <c r="DK619" i="3"/>
  <c r="DF620" i="3"/>
  <c r="DG620" i="3"/>
  <c r="DH620" i="3"/>
  <c r="DI620" i="3"/>
  <c r="DJ620" i="3"/>
  <c r="DS620" i="3" s="1"/>
  <c r="DK620" i="3"/>
  <c r="DF621" i="3"/>
  <c r="DH621" i="3" s="1"/>
  <c r="DG621" i="3"/>
  <c r="DI621" i="3"/>
  <c r="DJ621" i="3"/>
  <c r="DK621" i="3"/>
  <c r="DS621" i="3" s="1"/>
  <c r="DF622" i="3"/>
  <c r="DG622" i="3"/>
  <c r="DH622" i="3"/>
  <c r="DI622" i="3"/>
  <c r="DJ622" i="3"/>
  <c r="DS622" i="3" s="1"/>
  <c r="DK622" i="3"/>
  <c r="DF623" i="3"/>
  <c r="DH623" i="3" s="1"/>
  <c r="DG623" i="3"/>
  <c r="DI623" i="3"/>
  <c r="DJ623" i="3"/>
  <c r="DS623" i="3" s="1"/>
  <c r="DK623" i="3"/>
  <c r="DF624" i="3"/>
  <c r="DG624" i="3"/>
  <c r="DH624" i="3"/>
  <c r="DI624" i="3"/>
  <c r="DJ624" i="3"/>
  <c r="DS624" i="3" s="1"/>
  <c r="DK624" i="3"/>
  <c r="DF625" i="3"/>
  <c r="DH625" i="3" s="1"/>
  <c r="DG625" i="3"/>
  <c r="DI625" i="3"/>
  <c r="DJ625" i="3"/>
  <c r="DS625" i="3" s="1"/>
  <c r="DK625" i="3"/>
  <c r="DF626" i="3"/>
  <c r="DG626" i="3"/>
  <c r="DH626" i="3"/>
  <c r="DI626" i="3"/>
  <c r="DJ626" i="3"/>
  <c r="DK626" i="3"/>
  <c r="DF627" i="3"/>
  <c r="DH627" i="3" s="1"/>
  <c r="DG627" i="3"/>
  <c r="DI627" i="3"/>
  <c r="DJ627" i="3"/>
  <c r="DS627" i="3" s="1"/>
  <c r="DK627" i="3"/>
  <c r="DF628" i="3"/>
  <c r="DG628" i="3"/>
  <c r="DH628" i="3"/>
  <c r="DI628" i="3"/>
  <c r="DJ628" i="3"/>
  <c r="DS628" i="3" s="1"/>
  <c r="DV628" i="3" s="1"/>
  <c r="DK628" i="3"/>
  <c r="DF629" i="3"/>
  <c r="DH629" i="3" s="1"/>
  <c r="DG629" i="3"/>
  <c r="DI629" i="3"/>
  <c r="DJ629" i="3"/>
  <c r="DK629" i="3"/>
  <c r="DS629" i="3" s="1"/>
  <c r="DF630" i="3"/>
  <c r="DG630" i="3"/>
  <c r="DH630" i="3"/>
  <c r="DI630" i="3"/>
  <c r="DJ630" i="3"/>
  <c r="DS630" i="3" s="1"/>
  <c r="DK630" i="3"/>
  <c r="DF631" i="3"/>
  <c r="DH631" i="3" s="1"/>
  <c r="DG631" i="3"/>
  <c r="DI631" i="3"/>
  <c r="DJ631" i="3"/>
  <c r="DS631" i="3" s="1"/>
  <c r="DK631" i="3"/>
  <c r="DF632" i="3"/>
  <c r="DG632" i="3"/>
  <c r="DH632" i="3"/>
  <c r="DI632" i="3"/>
  <c r="DJ632" i="3"/>
  <c r="DS632" i="3" s="1"/>
  <c r="DW632" i="3" s="1"/>
  <c r="DK632" i="3"/>
  <c r="DF633" i="3"/>
  <c r="DH633" i="3" s="1"/>
  <c r="DG633" i="3"/>
  <c r="DI633" i="3"/>
  <c r="DJ633" i="3"/>
  <c r="DS633" i="3" s="1"/>
  <c r="DK633" i="3"/>
  <c r="DF634" i="3"/>
  <c r="DG634" i="3"/>
  <c r="DH634" i="3"/>
  <c r="DI634" i="3"/>
  <c r="DJ634" i="3"/>
  <c r="DK634" i="3"/>
  <c r="DF635" i="3"/>
  <c r="DH635" i="3" s="1"/>
  <c r="DG635" i="3"/>
  <c r="DI635" i="3"/>
  <c r="DJ635" i="3"/>
  <c r="DS635" i="3" s="1"/>
  <c r="DV635" i="3" s="1"/>
  <c r="DK635" i="3"/>
  <c r="DF636" i="3"/>
  <c r="DG636" i="3"/>
  <c r="DH636" i="3"/>
  <c r="DI636" i="3"/>
  <c r="DJ636" i="3"/>
  <c r="DS636" i="3" s="1"/>
  <c r="DK636" i="3"/>
  <c r="DF637" i="3"/>
  <c r="DH637" i="3" s="1"/>
  <c r="DG637" i="3"/>
  <c r="DI637" i="3"/>
  <c r="DJ637" i="3"/>
  <c r="DK637" i="3"/>
  <c r="DS637" i="3" s="1"/>
  <c r="DF638" i="3"/>
  <c r="DG638" i="3"/>
  <c r="DH638" i="3"/>
  <c r="DI638" i="3"/>
  <c r="DJ638" i="3"/>
  <c r="DS638" i="3" s="1"/>
  <c r="DK638" i="3"/>
  <c r="DF639" i="3"/>
  <c r="DH639" i="3" s="1"/>
  <c r="DG639" i="3"/>
  <c r="DI639" i="3"/>
  <c r="DJ639" i="3"/>
  <c r="DS639" i="3" s="1"/>
  <c r="DK639" i="3"/>
  <c r="DF640" i="3"/>
  <c r="DG640" i="3"/>
  <c r="DH640" i="3"/>
  <c r="DI640" i="3"/>
  <c r="DJ640" i="3"/>
  <c r="DS640" i="3" s="1"/>
  <c r="DK640" i="3"/>
  <c r="DF641" i="3"/>
  <c r="DH641" i="3" s="1"/>
  <c r="DG641" i="3"/>
  <c r="DI641" i="3"/>
  <c r="DJ641" i="3"/>
  <c r="DS641" i="3" s="1"/>
  <c r="DK641" i="3"/>
  <c r="DF642" i="3"/>
  <c r="DG642" i="3"/>
  <c r="DH642" i="3"/>
  <c r="DI642" i="3"/>
  <c r="DJ642" i="3"/>
  <c r="DK642" i="3"/>
  <c r="DF643" i="3"/>
  <c r="DH643" i="3" s="1"/>
  <c r="DG643" i="3"/>
  <c r="DI643" i="3"/>
  <c r="DJ643" i="3"/>
  <c r="DS643" i="3" s="1"/>
  <c r="DW643" i="3" s="1"/>
  <c r="DK643" i="3"/>
  <c r="DF644" i="3"/>
  <c r="DG644" i="3"/>
  <c r="DH644" i="3"/>
  <c r="DI644" i="3"/>
  <c r="DJ644" i="3"/>
  <c r="DS644" i="3" s="1"/>
  <c r="DK644" i="3"/>
  <c r="DF645" i="3"/>
  <c r="DH645" i="3" s="1"/>
  <c r="DG645" i="3"/>
  <c r="DI645" i="3"/>
  <c r="DJ645" i="3"/>
  <c r="DK645" i="3"/>
  <c r="DS645" i="3" s="1"/>
  <c r="DF646" i="3"/>
  <c r="DG646" i="3"/>
  <c r="DH646" i="3"/>
  <c r="DI646" i="3"/>
  <c r="DJ646" i="3"/>
  <c r="DS646" i="3" s="1"/>
  <c r="DK646" i="3"/>
  <c r="DF647" i="3"/>
  <c r="DH647" i="3" s="1"/>
  <c r="DG647" i="3"/>
  <c r="DI647" i="3"/>
  <c r="DJ647" i="3"/>
  <c r="DS647" i="3" s="1"/>
  <c r="DK647" i="3"/>
  <c r="DF648" i="3"/>
  <c r="DG648" i="3"/>
  <c r="DH648" i="3"/>
  <c r="DI648" i="3"/>
  <c r="DJ648" i="3"/>
  <c r="DS648" i="3" s="1"/>
  <c r="DW648" i="3" s="1"/>
  <c r="DK648" i="3"/>
  <c r="DF649" i="3"/>
  <c r="DH649" i="3" s="1"/>
  <c r="DG649" i="3"/>
  <c r="DI649" i="3"/>
  <c r="DJ649" i="3"/>
  <c r="DS649" i="3" s="1"/>
  <c r="DK649" i="3"/>
  <c r="DF650" i="3"/>
  <c r="DG650" i="3"/>
  <c r="DH650" i="3"/>
  <c r="DI650" i="3"/>
  <c r="DJ650" i="3"/>
  <c r="DK650" i="3"/>
  <c r="DF651" i="3"/>
  <c r="DH651" i="3" s="1"/>
  <c r="DG651" i="3"/>
  <c r="DI651" i="3"/>
  <c r="DJ651" i="3"/>
  <c r="DS651" i="3" s="1"/>
  <c r="DK651" i="3"/>
  <c r="DF652" i="3"/>
  <c r="DG652" i="3"/>
  <c r="DH652" i="3"/>
  <c r="DI652" i="3"/>
  <c r="DJ652" i="3"/>
  <c r="DS652" i="3" s="1"/>
  <c r="DK652" i="3"/>
  <c r="DF653" i="3"/>
  <c r="DH653" i="3" s="1"/>
  <c r="DG653" i="3"/>
  <c r="DI653" i="3"/>
  <c r="DJ653" i="3"/>
  <c r="DK653" i="3"/>
  <c r="DS653" i="3" s="1"/>
  <c r="DF654" i="3"/>
  <c r="DG654" i="3"/>
  <c r="DH654" i="3"/>
  <c r="DI654" i="3"/>
  <c r="DJ654" i="3"/>
  <c r="DS654" i="3" s="1"/>
  <c r="DK654" i="3"/>
  <c r="DF655" i="3"/>
  <c r="DH655" i="3" s="1"/>
  <c r="DG655" i="3"/>
  <c r="DI655" i="3"/>
  <c r="DJ655" i="3"/>
  <c r="DS655" i="3" s="1"/>
  <c r="DW655" i="3" s="1"/>
  <c r="DK655" i="3"/>
  <c r="DF656" i="3"/>
  <c r="DG656" i="3"/>
  <c r="DH656" i="3"/>
  <c r="DI656" i="3"/>
  <c r="DJ656" i="3"/>
  <c r="DS656" i="3" s="1"/>
  <c r="DK656" i="3"/>
  <c r="DF657" i="3"/>
  <c r="DH657" i="3" s="1"/>
  <c r="DG657" i="3"/>
  <c r="DI657" i="3"/>
  <c r="DJ657" i="3"/>
  <c r="DS657" i="3" s="1"/>
  <c r="DK657" i="3"/>
  <c r="DF658" i="3"/>
  <c r="DG658" i="3"/>
  <c r="DH658" i="3"/>
  <c r="DI658" i="3"/>
  <c r="DJ658" i="3"/>
  <c r="DK658" i="3"/>
  <c r="DF659" i="3"/>
  <c r="DH659" i="3" s="1"/>
  <c r="DG659" i="3"/>
  <c r="DI659" i="3"/>
  <c r="DJ659" i="3"/>
  <c r="DS659" i="3" s="1"/>
  <c r="DK659" i="3"/>
  <c r="DF660" i="3"/>
  <c r="DG660" i="3"/>
  <c r="DH660" i="3"/>
  <c r="DI660" i="3"/>
  <c r="DJ660" i="3"/>
  <c r="DS660" i="3" s="1"/>
  <c r="DW660" i="3" s="1"/>
  <c r="DK660" i="3"/>
  <c r="DF661" i="3"/>
  <c r="DH661" i="3" s="1"/>
  <c r="DG661" i="3"/>
  <c r="DI661" i="3"/>
  <c r="DJ661" i="3"/>
  <c r="DK661" i="3"/>
  <c r="DS661" i="3" s="1"/>
  <c r="DF662" i="3"/>
  <c r="DG662" i="3"/>
  <c r="DH662" i="3"/>
  <c r="DI662" i="3"/>
  <c r="DJ662" i="3"/>
  <c r="DS662" i="3" s="1"/>
  <c r="DK662" i="3"/>
  <c r="DF663" i="3"/>
  <c r="DH663" i="3" s="1"/>
  <c r="DG663" i="3"/>
  <c r="DI663" i="3"/>
  <c r="DJ663" i="3"/>
  <c r="DS663" i="3" s="1"/>
  <c r="DK663" i="3"/>
  <c r="DF664" i="3"/>
  <c r="DG664" i="3"/>
  <c r="DH664" i="3"/>
  <c r="DI664" i="3"/>
  <c r="DJ664" i="3"/>
  <c r="DS664" i="3" s="1"/>
  <c r="DV664" i="3" s="1"/>
  <c r="DK664" i="3"/>
  <c r="DF665" i="3"/>
  <c r="DH665" i="3" s="1"/>
  <c r="DG665" i="3"/>
  <c r="DI665" i="3"/>
  <c r="DJ665" i="3"/>
  <c r="DS665" i="3" s="1"/>
  <c r="DK665" i="3"/>
  <c r="DF666" i="3"/>
  <c r="DG666" i="3"/>
  <c r="DH666" i="3"/>
  <c r="DI666" i="3"/>
  <c r="DJ666" i="3"/>
  <c r="DK666" i="3"/>
  <c r="DF667" i="3"/>
  <c r="DH667" i="3" s="1"/>
  <c r="DG667" i="3"/>
  <c r="DI667" i="3"/>
  <c r="DJ667" i="3"/>
  <c r="DS667" i="3" s="1"/>
  <c r="DW667" i="3" s="1"/>
  <c r="DK667" i="3"/>
  <c r="DF668" i="3"/>
  <c r="DG668" i="3"/>
  <c r="DH668" i="3"/>
  <c r="DI668" i="3"/>
  <c r="DJ668" i="3"/>
  <c r="DS668" i="3" s="1"/>
  <c r="DK668" i="3"/>
  <c r="DF669" i="3"/>
  <c r="DH669" i="3" s="1"/>
  <c r="DG669" i="3"/>
  <c r="DI669" i="3"/>
  <c r="DJ669" i="3"/>
  <c r="DK669" i="3"/>
  <c r="DS669" i="3" s="1"/>
  <c r="DF670" i="3"/>
  <c r="DG670" i="3"/>
  <c r="DH670" i="3"/>
  <c r="DI670" i="3"/>
  <c r="DJ670" i="3"/>
  <c r="DS670" i="3" s="1"/>
  <c r="DK670" i="3"/>
  <c r="DF671" i="3"/>
  <c r="DH671" i="3" s="1"/>
  <c r="DG671" i="3"/>
  <c r="DI671" i="3"/>
  <c r="DJ671" i="3"/>
  <c r="DS671" i="3" s="1"/>
  <c r="DV671" i="3" s="1"/>
  <c r="DK671" i="3"/>
  <c r="DF672" i="3"/>
  <c r="DG672" i="3"/>
  <c r="DH672" i="3"/>
  <c r="DI672" i="3"/>
  <c r="DJ672" i="3"/>
  <c r="DS672" i="3" s="1"/>
  <c r="DK672" i="3"/>
  <c r="DF673" i="3"/>
  <c r="DH673" i="3" s="1"/>
  <c r="DG673" i="3"/>
  <c r="DI673" i="3"/>
  <c r="DJ673" i="3"/>
  <c r="DS673" i="3" s="1"/>
  <c r="DK673" i="3"/>
  <c r="DF674" i="3"/>
  <c r="DG674" i="3"/>
  <c r="DH674" i="3"/>
  <c r="DI674" i="3"/>
  <c r="DJ674" i="3"/>
  <c r="DK674" i="3"/>
  <c r="DF675" i="3"/>
  <c r="DH675" i="3" s="1"/>
  <c r="DG675" i="3"/>
  <c r="DI675" i="3"/>
  <c r="DJ675" i="3"/>
  <c r="DS675" i="3" s="1"/>
  <c r="DK675" i="3"/>
  <c r="DF676" i="3"/>
  <c r="DG676" i="3"/>
  <c r="DH676" i="3"/>
  <c r="DI676" i="3"/>
  <c r="DJ676" i="3"/>
  <c r="DS676" i="3" s="1"/>
  <c r="DV676" i="3" s="1"/>
  <c r="DK676" i="3"/>
  <c r="DF677" i="3"/>
  <c r="DH677" i="3" s="1"/>
  <c r="DG677" i="3"/>
  <c r="DI677" i="3"/>
  <c r="DJ677" i="3"/>
  <c r="DK677" i="3"/>
  <c r="DS677" i="3" s="1"/>
  <c r="CX421" i="3"/>
  <c r="CY421" i="3"/>
  <c r="CX422" i="3"/>
  <c r="CY422" i="3"/>
  <c r="CX423" i="3"/>
  <c r="CY423" i="3"/>
  <c r="CX424" i="3"/>
  <c r="CY424" i="3"/>
  <c r="CX425" i="3"/>
  <c r="CY425" i="3"/>
  <c r="CX426" i="3"/>
  <c r="CY426" i="3"/>
  <c r="CX427" i="3"/>
  <c r="CY427" i="3"/>
  <c r="CX428" i="3"/>
  <c r="CY428" i="3"/>
  <c r="CX429" i="3"/>
  <c r="CY429" i="3"/>
  <c r="CX430" i="3"/>
  <c r="CY430" i="3"/>
  <c r="CX431" i="3"/>
  <c r="CY431" i="3"/>
  <c r="CX432" i="3"/>
  <c r="CY432" i="3"/>
  <c r="CX433" i="3"/>
  <c r="CY433" i="3"/>
  <c r="CX434" i="3"/>
  <c r="CY434" i="3"/>
  <c r="CX435" i="3"/>
  <c r="CY435" i="3"/>
  <c r="CX436" i="3"/>
  <c r="CY436" i="3"/>
  <c r="CX437" i="3"/>
  <c r="CY437" i="3"/>
  <c r="CX438" i="3"/>
  <c r="CY438" i="3"/>
  <c r="CX439" i="3"/>
  <c r="CY439" i="3"/>
  <c r="CX440" i="3"/>
  <c r="CY440" i="3"/>
  <c r="CX441" i="3"/>
  <c r="CY441" i="3"/>
  <c r="CX442" i="3"/>
  <c r="CY442" i="3"/>
  <c r="CX443" i="3"/>
  <c r="CY443" i="3"/>
  <c r="CX444" i="3"/>
  <c r="CY444" i="3"/>
  <c r="CX445" i="3"/>
  <c r="CY445" i="3"/>
  <c r="CX446" i="3"/>
  <c r="CY446" i="3"/>
  <c r="CX447" i="3"/>
  <c r="CY447" i="3"/>
  <c r="CX448" i="3"/>
  <c r="CY448" i="3"/>
  <c r="CX449" i="3"/>
  <c r="CY449" i="3"/>
  <c r="CX450" i="3"/>
  <c r="CY450" i="3"/>
  <c r="CX451" i="3"/>
  <c r="CY451" i="3"/>
  <c r="CX452" i="3"/>
  <c r="CY452" i="3"/>
  <c r="CX453" i="3"/>
  <c r="CY453" i="3"/>
  <c r="CX454" i="3"/>
  <c r="CY454" i="3"/>
  <c r="CX455" i="3"/>
  <c r="CY455" i="3"/>
  <c r="CX456" i="3"/>
  <c r="CY456" i="3"/>
  <c r="CX457" i="3"/>
  <c r="CY457" i="3"/>
  <c r="CX458" i="3"/>
  <c r="CY458" i="3"/>
  <c r="CX459" i="3"/>
  <c r="CY459" i="3"/>
  <c r="CX460" i="3"/>
  <c r="CY460" i="3"/>
  <c r="CX461" i="3"/>
  <c r="CY461" i="3"/>
  <c r="CX462" i="3"/>
  <c r="CY462" i="3"/>
  <c r="CX463" i="3"/>
  <c r="CY463" i="3"/>
  <c r="CX464" i="3"/>
  <c r="CY464" i="3"/>
  <c r="CX465" i="3"/>
  <c r="CY465" i="3"/>
  <c r="CX466" i="3"/>
  <c r="CY466" i="3"/>
  <c r="CX467" i="3"/>
  <c r="CY467" i="3"/>
  <c r="CX468" i="3"/>
  <c r="CY468" i="3"/>
  <c r="CX469" i="3"/>
  <c r="CY469" i="3"/>
  <c r="CX470" i="3"/>
  <c r="CY470" i="3"/>
  <c r="CX471" i="3"/>
  <c r="CY471" i="3"/>
  <c r="CX472" i="3"/>
  <c r="CY472" i="3"/>
  <c r="CX473" i="3"/>
  <c r="CY473" i="3"/>
  <c r="CX474" i="3"/>
  <c r="CY474" i="3"/>
  <c r="CX475" i="3"/>
  <c r="CY475" i="3"/>
  <c r="CX476" i="3"/>
  <c r="CY476" i="3"/>
  <c r="CX477" i="3"/>
  <c r="CY477" i="3"/>
  <c r="CX478" i="3"/>
  <c r="CY478" i="3"/>
  <c r="CX479" i="3"/>
  <c r="CY479" i="3"/>
  <c r="CX480" i="3"/>
  <c r="CY480" i="3"/>
  <c r="CX481" i="3"/>
  <c r="CY481" i="3"/>
  <c r="CX482" i="3"/>
  <c r="CY482" i="3"/>
  <c r="CX483" i="3"/>
  <c r="CY483" i="3"/>
  <c r="CX484" i="3"/>
  <c r="CY484" i="3"/>
  <c r="CX485" i="3"/>
  <c r="CY485" i="3"/>
  <c r="CX486" i="3"/>
  <c r="CY486" i="3"/>
  <c r="CX487" i="3"/>
  <c r="CY487" i="3"/>
  <c r="CX488" i="3"/>
  <c r="CY488" i="3"/>
  <c r="CX489" i="3"/>
  <c r="CY489" i="3"/>
  <c r="CX490" i="3"/>
  <c r="CY490" i="3"/>
  <c r="CX491" i="3"/>
  <c r="CY491" i="3"/>
  <c r="CX492" i="3"/>
  <c r="CY492" i="3"/>
  <c r="CX493" i="3"/>
  <c r="CY493" i="3"/>
  <c r="CX494" i="3"/>
  <c r="CY494" i="3"/>
  <c r="CX495" i="3"/>
  <c r="CY495" i="3"/>
  <c r="CX496" i="3"/>
  <c r="CY496" i="3"/>
  <c r="CX497" i="3"/>
  <c r="CY497" i="3"/>
  <c r="CX498" i="3"/>
  <c r="CY498" i="3"/>
  <c r="CX499" i="3"/>
  <c r="CY499" i="3"/>
  <c r="CX500" i="3"/>
  <c r="CY500" i="3"/>
  <c r="CX501" i="3"/>
  <c r="CY501" i="3"/>
  <c r="CX502" i="3"/>
  <c r="CY502" i="3"/>
  <c r="CX503" i="3"/>
  <c r="CY503" i="3"/>
  <c r="CX504" i="3"/>
  <c r="CY504" i="3"/>
  <c r="CX505" i="3"/>
  <c r="CY505" i="3"/>
  <c r="CX506" i="3"/>
  <c r="CY506" i="3"/>
  <c r="CX507" i="3"/>
  <c r="CY507" i="3"/>
  <c r="CX508" i="3"/>
  <c r="CY508" i="3"/>
  <c r="CX509" i="3"/>
  <c r="CY509" i="3"/>
  <c r="CX510" i="3"/>
  <c r="CY510" i="3"/>
  <c r="CX511" i="3"/>
  <c r="CY511" i="3"/>
  <c r="CX512" i="3"/>
  <c r="CY512" i="3"/>
  <c r="CX513" i="3"/>
  <c r="CY513" i="3"/>
  <c r="CX514" i="3"/>
  <c r="CY514" i="3"/>
  <c r="CX515" i="3"/>
  <c r="CY515" i="3"/>
  <c r="CX516" i="3"/>
  <c r="CY516" i="3"/>
  <c r="CX517" i="3"/>
  <c r="CY517" i="3"/>
  <c r="CX518" i="3"/>
  <c r="CY518" i="3"/>
  <c r="CX519" i="3"/>
  <c r="CY519" i="3"/>
  <c r="CX520" i="3"/>
  <c r="CY520" i="3"/>
  <c r="CX521" i="3"/>
  <c r="CY521" i="3"/>
  <c r="CX522" i="3"/>
  <c r="CY522" i="3"/>
  <c r="CX523" i="3"/>
  <c r="CY523" i="3"/>
  <c r="CX524" i="3"/>
  <c r="CY524" i="3"/>
  <c r="CX525" i="3"/>
  <c r="CY525" i="3"/>
  <c r="CX526" i="3"/>
  <c r="CY526" i="3"/>
  <c r="CX527" i="3"/>
  <c r="CY527" i="3"/>
  <c r="CX528" i="3"/>
  <c r="CY528" i="3"/>
  <c r="CX529" i="3"/>
  <c r="CY529" i="3"/>
  <c r="CX530" i="3"/>
  <c r="CY530" i="3"/>
  <c r="CX531" i="3"/>
  <c r="CY531" i="3"/>
  <c r="CX532" i="3"/>
  <c r="CY532" i="3"/>
  <c r="CX533" i="3"/>
  <c r="CY533" i="3"/>
  <c r="CX534" i="3"/>
  <c r="CY534" i="3"/>
  <c r="CX535" i="3"/>
  <c r="CY535" i="3"/>
  <c r="CX536" i="3"/>
  <c r="CY536" i="3"/>
  <c r="CX537" i="3"/>
  <c r="CY537" i="3"/>
  <c r="CX538" i="3"/>
  <c r="CY538" i="3"/>
  <c r="CX539" i="3"/>
  <c r="CY539" i="3"/>
  <c r="CX540" i="3"/>
  <c r="CY540" i="3"/>
  <c r="CX541" i="3"/>
  <c r="CY541" i="3"/>
  <c r="CX542" i="3"/>
  <c r="CY542" i="3"/>
  <c r="CX543" i="3"/>
  <c r="CY543" i="3"/>
  <c r="CX544" i="3"/>
  <c r="CY544" i="3"/>
  <c r="CX545" i="3"/>
  <c r="CY545" i="3"/>
  <c r="CX546" i="3"/>
  <c r="CY546" i="3"/>
  <c r="CX547" i="3"/>
  <c r="CY547" i="3"/>
  <c r="CX548" i="3"/>
  <c r="CY548" i="3"/>
  <c r="CX549" i="3"/>
  <c r="CY549" i="3"/>
  <c r="CX550" i="3"/>
  <c r="CY550" i="3"/>
  <c r="CX551" i="3"/>
  <c r="CY551" i="3"/>
  <c r="CX552" i="3"/>
  <c r="CY552" i="3"/>
  <c r="CX553" i="3"/>
  <c r="CY553" i="3"/>
  <c r="CX554" i="3"/>
  <c r="CY554" i="3"/>
  <c r="CX555" i="3"/>
  <c r="CY555" i="3"/>
  <c r="CX556" i="3"/>
  <c r="CY556" i="3"/>
  <c r="CX557" i="3"/>
  <c r="CY557" i="3"/>
  <c r="CX558" i="3"/>
  <c r="CY558" i="3"/>
  <c r="CX559" i="3"/>
  <c r="CY559" i="3"/>
  <c r="CX560" i="3"/>
  <c r="CY560" i="3"/>
  <c r="CX561" i="3"/>
  <c r="CY561" i="3"/>
  <c r="CX562" i="3"/>
  <c r="CY562" i="3"/>
  <c r="CX563" i="3"/>
  <c r="CY563" i="3"/>
  <c r="CX564" i="3"/>
  <c r="CY564" i="3"/>
  <c r="CX565" i="3"/>
  <c r="CY565" i="3"/>
  <c r="CX566" i="3"/>
  <c r="CY566" i="3"/>
  <c r="CX567" i="3"/>
  <c r="CY567" i="3"/>
  <c r="CX568" i="3"/>
  <c r="CY568" i="3"/>
  <c r="CX569" i="3"/>
  <c r="CY569" i="3"/>
  <c r="CX570" i="3"/>
  <c r="CY570" i="3"/>
  <c r="CX571" i="3"/>
  <c r="CY571" i="3"/>
  <c r="CX572" i="3"/>
  <c r="CY572" i="3"/>
  <c r="CX573" i="3"/>
  <c r="CY573" i="3"/>
  <c r="CX574" i="3"/>
  <c r="CY574" i="3"/>
  <c r="CX575" i="3"/>
  <c r="CY575" i="3"/>
  <c r="CX576" i="3"/>
  <c r="CY576" i="3"/>
  <c r="CX577" i="3"/>
  <c r="CY577" i="3"/>
  <c r="CX578" i="3"/>
  <c r="CY578" i="3"/>
  <c r="CX579" i="3"/>
  <c r="CY579" i="3"/>
  <c r="CX580" i="3"/>
  <c r="CY580" i="3"/>
  <c r="CX581" i="3"/>
  <c r="CY581" i="3"/>
  <c r="CX582" i="3"/>
  <c r="CY582" i="3"/>
  <c r="CX583" i="3"/>
  <c r="CY583" i="3"/>
  <c r="CX584" i="3"/>
  <c r="CY584" i="3"/>
  <c r="CX585" i="3"/>
  <c r="CY585" i="3"/>
  <c r="CX586" i="3"/>
  <c r="CY586" i="3"/>
  <c r="CX587" i="3"/>
  <c r="CY587" i="3"/>
  <c r="CX588" i="3"/>
  <c r="CY588" i="3"/>
  <c r="CX589" i="3"/>
  <c r="CY589" i="3"/>
  <c r="CX590" i="3"/>
  <c r="CY590" i="3"/>
  <c r="CX591" i="3"/>
  <c r="CY591" i="3"/>
  <c r="CX592" i="3"/>
  <c r="CY592" i="3"/>
  <c r="CX593" i="3"/>
  <c r="CY593" i="3"/>
  <c r="CX594" i="3"/>
  <c r="CY594" i="3"/>
  <c r="CX595" i="3"/>
  <c r="CY595" i="3"/>
  <c r="CX596" i="3"/>
  <c r="CY596" i="3"/>
  <c r="CX597" i="3"/>
  <c r="CY597" i="3"/>
  <c r="CX598" i="3"/>
  <c r="CY598" i="3"/>
  <c r="CX599" i="3"/>
  <c r="CY599" i="3"/>
  <c r="CX600" i="3"/>
  <c r="CY600" i="3"/>
  <c r="CX601" i="3"/>
  <c r="CY601" i="3"/>
  <c r="CX602" i="3"/>
  <c r="CY602" i="3"/>
  <c r="CX603" i="3"/>
  <c r="CY603" i="3"/>
  <c r="CX604" i="3"/>
  <c r="CY604" i="3"/>
  <c r="CX605" i="3"/>
  <c r="CY605" i="3"/>
  <c r="CX606" i="3"/>
  <c r="CY606" i="3"/>
  <c r="CX607" i="3"/>
  <c r="CY607" i="3"/>
  <c r="CX608" i="3"/>
  <c r="CY608" i="3"/>
  <c r="CX609" i="3"/>
  <c r="CY609" i="3"/>
  <c r="CX610" i="3"/>
  <c r="CY610" i="3"/>
  <c r="CX611" i="3"/>
  <c r="CY611" i="3"/>
  <c r="CX612" i="3"/>
  <c r="CY612" i="3"/>
  <c r="CX613" i="3"/>
  <c r="CY613" i="3"/>
  <c r="CX614" i="3"/>
  <c r="CY614" i="3"/>
  <c r="CX615" i="3"/>
  <c r="CY615" i="3"/>
  <c r="CX616" i="3"/>
  <c r="CY616" i="3"/>
  <c r="CX617" i="3"/>
  <c r="CY617" i="3"/>
  <c r="CX618" i="3"/>
  <c r="CY618" i="3"/>
  <c r="CX619" i="3"/>
  <c r="CY619" i="3"/>
  <c r="CX620" i="3"/>
  <c r="CY620" i="3"/>
  <c r="CX621" i="3"/>
  <c r="CY621" i="3"/>
  <c r="CX622" i="3"/>
  <c r="CY622" i="3"/>
  <c r="CX623" i="3"/>
  <c r="CY623" i="3"/>
  <c r="CX624" i="3"/>
  <c r="CY624" i="3"/>
  <c r="CX625" i="3"/>
  <c r="CY625" i="3"/>
  <c r="CX626" i="3"/>
  <c r="CY626" i="3"/>
  <c r="CX627" i="3"/>
  <c r="CY627" i="3"/>
  <c r="CX628" i="3"/>
  <c r="CY628" i="3"/>
  <c r="CX629" i="3"/>
  <c r="CY629" i="3"/>
  <c r="CX630" i="3"/>
  <c r="CY630" i="3"/>
  <c r="CX631" i="3"/>
  <c r="CY631" i="3"/>
  <c r="CX632" i="3"/>
  <c r="CY632" i="3"/>
  <c r="CX633" i="3"/>
  <c r="CY633" i="3"/>
  <c r="CX634" i="3"/>
  <c r="CY634" i="3"/>
  <c r="CX635" i="3"/>
  <c r="CY635" i="3"/>
  <c r="CX636" i="3"/>
  <c r="CY636" i="3"/>
  <c r="CX637" i="3"/>
  <c r="CY637" i="3"/>
  <c r="CX638" i="3"/>
  <c r="CY638" i="3"/>
  <c r="CX639" i="3"/>
  <c r="CY639" i="3"/>
  <c r="CX640" i="3"/>
  <c r="CY640" i="3"/>
  <c r="CX641" i="3"/>
  <c r="CY641" i="3"/>
  <c r="CX642" i="3"/>
  <c r="CY642" i="3"/>
  <c r="CX643" i="3"/>
  <c r="CY643" i="3"/>
  <c r="CX644" i="3"/>
  <c r="CY644" i="3"/>
  <c r="CX645" i="3"/>
  <c r="CY645" i="3"/>
  <c r="CX646" i="3"/>
  <c r="CY646" i="3"/>
  <c r="CX647" i="3"/>
  <c r="CY647" i="3"/>
  <c r="CX648" i="3"/>
  <c r="CY648" i="3"/>
  <c r="CX649" i="3"/>
  <c r="CY649" i="3"/>
  <c r="CX650" i="3"/>
  <c r="CY650" i="3"/>
  <c r="CX651" i="3"/>
  <c r="CY651" i="3"/>
  <c r="CX652" i="3"/>
  <c r="CY652" i="3"/>
  <c r="CX653" i="3"/>
  <c r="CY653" i="3"/>
  <c r="CX654" i="3"/>
  <c r="CY654" i="3"/>
  <c r="CX655" i="3"/>
  <c r="CY655" i="3"/>
  <c r="CX656" i="3"/>
  <c r="CY656" i="3"/>
  <c r="CX657" i="3"/>
  <c r="CY657" i="3"/>
  <c r="CX658" i="3"/>
  <c r="CY658" i="3"/>
  <c r="CX659" i="3"/>
  <c r="CY659" i="3"/>
  <c r="CX660" i="3"/>
  <c r="CY660" i="3"/>
  <c r="CX661" i="3"/>
  <c r="CY661" i="3"/>
  <c r="CX662" i="3"/>
  <c r="CY662" i="3"/>
  <c r="CX663" i="3"/>
  <c r="CY663" i="3"/>
  <c r="CX664" i="3"/>
  <c r="CY664" i="3"/>
  <c r="CX665" i="3"/>
  <c r="CY665" i="3"/>
  <c r="CX666" i="3"/>
  <c r="CY666" i="3"/>
  <c r="CX667" i="3"/>
  <c r="CY667" i="3"/>
  <c r="CX668" i="3"/>
  <c r="CY668" i="3"/>
  <c r="CX669" i="3"/>
  <c r="CY669" i="3"/>
  <c r="CX670" i="3"/>
  <c r="CY670" i="3"/>
  <c r="CX671" i="3"/>
  <c r="CY671" i="3"/>
  <c r="CX672" i="3"/>
  <c r="CY672" i="3"/>
  <c r="CX673" i="3"/>
  <c r="CY673" i="3"/>
  <c r="CX674" i="3"/>
  <c r="CY674" i="3"/>
  <c r="CX675" i="3"/>
  <c r="CY675" i="3"/>
  <c r="CX676" i="3"/>
  <c r="CY676" i="3"/>
  <c r="CX677" i="3"/>
  <c r="CY677" i="3"/>
  <c r="CV421" i="3"/>
  <c r="CV422" i="3"/>
  <c r="CV423" i="3"/>
  <c r="CV424" i="3"/>
  <c r="CV425" i="3"/>
  <c r="CV426" i="3"/>
  <c r="CV427" i="3"/>
  <c r="CV428" i="3"/>
  <c r="CV429" i="3"/>
  <c r="CV430" i="3"/>
  <c r="CV431" i="3"/>
  <c r="CV432" i="3"/>
  <c r="CV433" i="3"/>
  <c r="CV434" i="3"/>
  <c r="CV435" i="3"/>
  <c r="CV436" i="3"/>
  <c r="CV437" i="3"/>
  <c r="CV438" i="3"/>
  <c r="CV439" i="3"/>
  <c r="CV440" i="3"/>
  <c r="CV441" i="3"/>
  <c r="CV442" i="3"/>
  <c r="CV443" i="3"/>
  <c r="CV444" i="3"/>
  <c r="CV445" i="3"/>
  <c r="CV446" i="3"/>
  <c r="CV447" i="3"/>
  <c r="CV448" i="3"/>
  <c r="CV449" i="3"/>
  <c r="CV450" i="3"/>
  <c r="CV451" i="3"/>
  <c r="CV452" i="3"/>
  <c r="CV453" i="3"/>
  <c r="CV454" i="3"/>
  <c r="CV455" i="3"/>
  <c r="CV456" i="3"/>
  <c r="CV457" i="3"/>
  <c r="CV458" i="3"/>
  <c r="CV459" i="3"/>
  <c r="CV460" i="3"/>
  <c r="CV461" i="3"/>
  <c r="CV462" i="3"/>
  <c r="CV463" i="3"/>
  <c r="CV464" i="3"/>
  <c r="CV465" i="3"/>
  <c r="CV466" i="3"/>
  <c r="CV467" i="3"/>
  <c r="CV468" i="3"/>
  <c r="CV469" i="3"/>
  <c r="CV470" i="3"/>
  <c r="CV471" i="3"/>
  <c r="CV472" i="3"/>
  <c r="CV473" i="3"/>
  <c r="CV474" i="3"/>
  <c r="CV475" i="3"/>
  <c r="CV476" i="3"/>
  <c r="CV477" i="3"/>
  <c r="CV478" i="3"/>
  <c r="CV479" i="3"/>
  <c r="CV480" i="3"/>
  <c r="CV481" i="3"/>
  <c r="CV482" i="3"/>
  <c r="CV483" i="3"/>
  <c r="CV484" i="3"/>
  <c r="CV485" i="3"/>
  <c r="CV486" i="3"/>
  <c r="CV487" i="3"/>
  <c r="CV488" i="3"/>
  <c r="CV489" i="3"/>
  <c r="CV490" i="3"/>
  <c r="CV491" i="3"/>
  <c r="CV492" i="3"/>
  <c r="CV493" i="3"/>
  <c r="CV494" i="3"/>
  <c r="CV495" i="3"/>
  <c r="CV496" i="3"/>
  <c r="CV497" i="3"/>
  <c r="CV498" i="3"/>
  <c r="CV499" i="3"/>
  <c r="CV500" i="3"/>
  <c r="CV501" i="3"/>
  <c r="CV502" i="3"/>
  <c r="CV503" i="3"/>
  <c r="CV504" i="3"/>
  <c r="CV505" i="3"/>
  <c r="CV506" i="3"/>
  <c r="CV507" i="3"/>
  <c r="CV508" i="3"/>
  <c r="CV509" i="3"/>
  <c r="CV510" i="3"/>
  <c r="CV511" i="3"/>
  <c r="CV512" i="3"/>
  <c r="CV513" i="3"/>
  <c r="CV514" i="3"/>
  <c r="CV515" i="3"/>
  <c r="CV516" i="3"/>
  <c r="CV517" i="3"/>
  <c r="CV518" i="3"/>
  <c r="CV519" i="3"/>
  <c r="CV520" i="3"/>
  <c r="CV521" i="3"/>
  <c r="CV522" i="3"/>
  <c r="CV523" i="3"/>
  <c r="CV524" i="3"/>
  <c r="CV525" i="3"/>
  <c r="CV526" i="3"/>
  <c r="CV527" i="3"/>
  <c r="CV528" i="3"/>
  <c r="CV529" i="3"/>
  <c r="CV530" i="3"/>
  <c r="CV531" i="3"/>
  <c r="CV532" i="3"/>
  <c r="CV533" i="3"/>
  <c r="CV534" i="3"/>
  <c r="CV535" i="3"/>
  <c r="CV536" i="3"/>
  <c r="CV537" i="3"/>
  <c r="CV538" i="3"/>
  <c r="CV539" i="3"/>
  <c r="CV540" i="3"/>
  <c r="CV541" i="3"/>
  <c r="CV542" i="3"/>
  <c r="CV543" i="3"/>
  <c r="CV544" i="3"/>
  <c r="CV545" i="3"/>
  <c r="CV546" i="3"/>
  <c r="CV547" i="3"/>
  <c r="CV548" i="3"/>
  <c r="CV549" i="3"/>
  <c r="CV550" i="3"/>
  <c r="CV551" i="3"/>
  <c r="CV552" i="3"/>
  <c r="CV553" i="3"/>
  <c r="CV554" i="3"/>
  <c r="CV555" i="3"/>
  <c r="CV556" i="3"/>
  <c r="CV557" i="3"/>
  <c r="CV558" i="3"/>
  <c r="CV559" i="3"/>
  <c r="CV560" i="3"/>
  <c r="CV561" i="3"/>
  <c r="CV562" i="3"/>
  <c r="CV563" i="3"/>
  <c r="CV564" i="3"/>
  <c r="CV565" i="3"/>
  <c r="CV566" i="3"/>
  <c r="CV567" i="3"/>
  <c r="CV568" i="3"/>
  <c r="CV569" i="3"/>
  <c r="CV570" i="3"/>
  <c r="CV571" i="3"/>
  <c r="CV572" i="3"/>
  <c r="CV573" i="3"/>
  <c r="CV574" i="3"/>
  <c r="CV575" i="3"/>
  <c r="CV576" i="3"/>
  <c r="CV577" i="3"/>
  <c r="CV578" i="3"/>
  <c r="CV579" i="3"/>
  <c r="CV580" i="3"/>
  <c r="CV581" i="3"/>
  <c r="CV582" i="3"/>
  <c r="CV583" i="3"/>
  <c r="CV584" i="3"/>
  <c r="CV585" i="3"/>
  <c r="CV586" i="3"/>
  <c r="CV587" i="3"/>
  <c r="CV588" i="3"/>
  <c r="CV589" i="3"/>
  <c r="CV590" i="3"/>
  <c r="CV591" i="3"/>
  <c r="CV592" i="3"/>
  <c r="CV593" i="3"/>
  <c r="CV594" i="3"/>
  <c r="CV595" i="3"/>
  <c r="CV596" i="3"/>
  <c r="CV597" i="3"/>
  <c r="CV598" i="3"/>
  <c r="CV599" i="3"/>
  <c r="CV600" i="3"/>
  <c r="CV601" i="3"/>
  <c r="CV602" i="3"/>
  <c r="CV603" i="3"/>
  <c r="CV604" i="3"/>
  <c r="CV605" i="3"/>
  <c r="CV606" i="3"/>
  <c r="CV607" i="3"/>
  <c r="CV608" i="3"/>
  <c r="CV609" i="3"/>
  <c r="CV610" i="3"/>
  <c r="CV611" i="3"/>
  <c r="CV612" i="3"/>
  <c r="CV613" i="3"/>
  <c r="CV614" i="3"/>
  <c r="CV615" i="3"/>
  <c r="CV616" i="3"/>
  <c r="CV617" i="3"/>
  <c r="CV618" i="3"/>
  <c r="CV619" i="3"/>
  <c r="CV620" i="3"/>
  <c r="CV621" i="3"/>
  <c r="CV622" i="3"/>
  <c r="CV623" i="3"/>
  <c r="CV624" i="3"/>
  <c r="CV625" i="3"/>
  <c r="CV626" i="3"/>
  <c r="CV627" i="3"/>
  <c r="CV628" i="3"/>
  <c r="CV629" i="3"/>
  <c r="CV630" i="3"/>
  <c r="CV631" i="3"/>
  <c r="CV632" i="3"/>
  <c r="CV633" i="3"/>
  <c r="CV634" i="3"/>
  <c r="CV635" i="3"/>
  <c r="CV636" i="3"/>
  <c r="CV637" i="3"/>
  <c r="CV638" i="3"/>
  <c r="CV639" i="3"/>
  <c r="CV640" i="3"/>
  <c r="CV641" i="3"/>
  <c r="CV642" i="3"/>
  <c r="CV643" i="3"/>
  <c r="CV644" i="3"/>
  <c r="CV645" i="3"/>
  <c r="CV646" i="3"/>
  <c r="CV647" i="3"/>
  <c r="CV648" i="3"/>
  <c r="CV649" i="3"/>
  <c r="CV650" i="3"/>
  <c r="CV651" i="3"/>
  <c r="CV652" i="3"/>
  <c r="CV653" i="3"/>
  <c r="CV654" i="3"/>
  <c r="CV655" i="3"/>
  <c r="CV656" i="3"/>
  <c r="CV657" i="3"/>
  <c r="CV658" i="3"/>
  <c r="CV659" i="3"/>
  <c r="CV660" i="3"/>
  <c r="CV661" i="3"/>
  <c r="CV662" i="3"/>
  <c r="CV663" i="3"/>
  <c r="CV664" i="3"/>
  <c r="CV665" i="3"/>
  <c r="CV666" i="3"/>
  <c r="CV667" i="3"/>
  <c r="CV668" i="3"/>
  <c r="CV669" i="3"/>
  <c r="CV670" i="3"/>
  <c r="CV671" i="3"/>
  <c r="CV672" i="3"/>
  <c r="CV673" i="3"/>
  <c r="CV674" i="3"/>
  <c r="CV675" i="3"/>
  <c r="CV676" i="3"/>
  <c r="CV677" i="3"/>
  <c r="CU421" i="3"/>
  <c r="CU422" i="3"/>
  <c r="CU423" i="3"/>
  <c r="CU424" i="3"/>
  <c r="CU425" i="3"/>
  <c r="CU426" i="3"/>
  <c r="CU427" i="3"/>
  <c r="CU428" i="3"/>
  <c r="CU429" i="3"/>
  <c r="CU430" i="3"/>
  <c r="CU431" i="3"/>
  <c r="CU432" i="3"/>
  <c r="CU433" i="3"/>
  <c r="CU434" i="3"/>
  <c r="CU435" i="3"/>
  <c r="CU436" i="3"/>
  <c r="CU437" i="3"/>
  <c r="CU438" i="3"/>
  <c r="CU439" i="3"/>
  <c r="CU440" i="3"/>
  <c r="CU441" i="3"/>
  <c r="CU442" i="3"/>
  <c r="CU443" i="3"/>
  <c r="CU444" i="3"/>
  <c r="CU445" i="3"/>
  <c r="CU446" i="3"/>
  <c r="CU447" i="3"/>
  <c r="CU448" i="3"/>
  <c r="CU449" i="3"/>
  <c r="CU450" i="3"/>
  <c r="CU451" i="3"/>
  <c r="CU452" i="3"/>
  <c r="CU453" i="3"/>
  <c r="CU454" i="3"/>
  <c r="CU455" i="3"/>
  <c r="CU456" i="3"/>
  <c r="CU457" i="3"/>
  <c r="CU458" i="3"/>
  <c r="CU459" i="3"/>
  <c r="CU460" i="3"/>
  <c r="CU461" i="3"/>
  <c r="CU462" i="3"/>
  <c r="CU463" i="3"/>
  <c r="CU464" i="3"/>
  <c r="CU465" i="3"/>
  <c r="CU466" i="3"/>
  <c r="CU467" i="3"/>
  <c r="CU468" i="3"/>
  <c r="CU469" i="3"/>
  <c r="CU470" i="3"/>
  <c r="CU471" i="3"/>
  <c r="CU472" i="3"/>
  <c r="CU473" i="3"/>
  <c r="CU474" i="3"/>
  <c r="CU475" i="3"/>
  <c r="CU476" i="3"/>
  <c r="CU477" i="3"/>
  <c r="CU478" i="3"/>
  <c r="CU479" i="3"/>
  <c r="CU480" i="3"/>
  <c r="CU481" i="3"/>
  <c r="CU482" i="3"/>
  <c r="CU483" i="3"/>
  <c r="CU484" i="3"/>
  <c r="CU485" i="3"/>
  <c r="CU486" i="3"/>
  <c r="CU487" i="3"/>
  <c r="CU488" i="3"/>
  <c r="CU489" i="3"/>
  <c r="CU490" i="3"/>
  <c r="CU491" i="3"/>
  <c r="CU492" i="3"/>
  <c r="CU493" i="3"/>
  <c r="CU494" i="3"/>
  <c r="CU495" i="3"/>
  <c r="CU496" i="3"/>
  <c r="CU497" i="3"/>
  <c r="CU498" i="3"/>
  <c r="CU499" i="3"/>
  <c r="CU500" i="3"/>
  <c r="CU501" i="3"/>
  <c r="CU502" i="3"/>
  <c r="CU503" i="3"/>
  <c r="CU504" i="3"/>
  <c r="CU505" i="3"/>
  <c r="CU506" i="3"/>
  <c r="CU507" i="3"/>
  <c r="CU508" i="3"/>
  <c r="CU509" i="3"/>
  <c r="CU510" i="3"/>
  <c r="CU511" i="3"/>
  <c r="CU512" i="3"/>
  <c r="CU513" i="3"/>
  <c r="CU514" i="3"/>
  <c r="CU515" i="3"/>
  <c r="CU516" i="3"/>
  <c r="CU517" i="3"/>
  <c r="CU518" i="3"/>
  <c r="CU519" i="3"/>
  <c r="CU520" i="3"/>
  <c r="CU521" i="3"/>
  <c r="CU522" i="3"/>
  <c r="CU523" i="3"/>
  <c r="CU524" i="3"/>
  <c r="CU525" i="3"/>
  <c r="CU526" i="3"/>
  <c r="CU527" i="3"/>
  <c r="CU528" i="3"/>
  <c r="CU529" i="3"/>
  <c r="CU530" i="3"/>
  <c r="CU531" i="3"/>
  <c r="CU532" i="3"/>
  <c r="CU533" i="3"/>
  <c r="CU534" i="3"/>
  <c r="CU535" i="3"/>
  <c r="CU536" i="3"/>
  <c r="CU537" i="3"/>
  <c r="CU538" i="3"/>
  <c r="CU539" i="3"/>
  <c r="CU540" i="3"/>
  <c r="CU541" i="3"/>
  <c r="CU542" i="3"/>
  <c r="CU543" i="3"/>
  <c r="CU544" i="3"/>
  <c r="CU545" i="3"/>
  <c r="CU546" i="3"/>
  <c r="CU547" i="3"/>
  <c r="CU548" i="3"/>
  <c r="CU549" i="3"/>
  <c r="CU550" i="3"/>
  <c r="CU551" i="3"/>
  <c r="CU552" i="3"/>
  <c r="CU553" i="3"/>
  <c r="CU554" i="3"/>
  <c r="CU555" i="3"/>
  <c r="CU556" i="3"/>
  <c r="CU557" i="3"/>
  <c r="CU558" i="3"/>
  <c r="CU559" i="3"/>
  <c r="CU560" i="3"/>
  <c r="CU561" i="3"/>
  <c r="CU562" i="3"/>
  <c r="CU563" i="3"/>
  <c r="CU564" i="3"/>
  <c r="CU565" i="3"/>
  <c r="CU566" i="3"/>
  <c r="CU567" i="3"/>
  <c r="CU568" i="3"/>
  <c r="CU569" i="3"/>
  <c r="CU570" i="3"/>
  <c r="CU571" i="3"/>
  <c r="CU572" i="3"/>
  <c r="CU573" i="3"/>
  <c r="CU574" i="3"/>
  <c r="CU575" i="3"/>
  <c r="CU576" i="3"/>
  <c r="CU577" i="3"/>
  <c r="CU578" i="3"/>
  <c r="CU579" i="3"/>
  <c r="CU580" i="3"/>
  <c r="CU581" i="3"/>
  <c r="CU582" i="3"/>
  <c r="CU583" i="3"/>
  <c r="CU584" i="3"/>
  <c r="CU585" i="3"/>
  <c r="CU586" i="3"/>
  <c r="CU587" i="3"/>
  <c r="CU588" i="3"/>
  <c r="CU589" i="3"/>
  <c r="CU590" i="3"/>
  <c r="CU591" i="3"/>
  <c r="CU592" i="3"/>
  <c r="CU593" i="3"/>
  <c r="CU594" i="3"/>
  <c r="CU595" i="3"/>
  <c r="CU596" i="3"/>
  <c r="CU597" i="3"/>
  <c r="CU598" i="3"/>
  <c r="CU599" i="3"/>
  <c r="CU600" i="3"/>
  <c r="CU601" i="3"/>
  <c r="CU602" i="3"/>
  <c r="CU603" i="3"/>
  <c r="CU604" i="3"/>
  <c r="CU605" i="3"/>
  <c r="CU606" i="3"/>
  <c r="CU607" i="3"/>
  <c r="CU608" i="3"/>
  <c r="CU609" i="3"/>
  <c r="CU610" i="3"/>
  <c r="CU611" i="3"/>
  <c r="CU612" i="3"/>
  <c r="CU613" i="3"/>
  <c r="CU614" i="3"/>
  <c r="CU615" i="3"/>
  <c r="CU616" i="3"/>
  <c r="CU617" i="3"/>
  <c r="CU618" i="3"/>
  <c r="CU619" i="3"/>
  <c r="CU620" i="3"/>
  <c r="CU621" i="3"/>
  <c r="CU622" i="3"/>
  <c r="CU623" i="3"/>
  <c r="CU624" i="3"/>
  <c r="CU625" i="3"/>
  <c r="CU626" i="3"/>
  <c r="CU627" i="3"/>
  <c r="CU628" i="3"/>
  <c r="CU629" i="3"/>
  <c r="CU630" i="3"/>
  <c r="CU631" i="3"/>
  <c r="CU632" i="3"/>
  <c r="CU633" i="3"/>
  <c r="CU634" i="3"/>
  <c r="CU635" i="3"/>
  <c r="CU636" i="3"/>
  <c r="CU637" i="3"/>
  <c r="CU638" i="3"/>
  <c r="CU639" i="3"/>
  <c r="CU640" i="3"/>
  <c r="CU641" i="3"/>
  <c r="CU642" i="3"/>
  <c r="CU643" i="3"/>
  <c r="CU644" i="3"/>
  <c r="CU645" i="3"/>
  <c r="CU646" i="3"/>
  <c r="CU647" i="3"/>
  <c r="CU648" i="3"/>
  <c r="CU649" i="3"/>
  <c r="CU650" i="3"/>
  <c r="CU651" i="3"/>
  <c r="CU652" i="3"/>
  <c r="CU653" i="3"/>
  <c r="CU654" i="3"/>
  <c r="CU655" i="3"/>
  <c r="CU656" i="3"/>
  <c r="CU657" i="3"/>
  <c r="CU658" i="3"/>
  <c r="CU659" i="3"/>
  <c r="CU660" i="3"/>
  <c r="CU661" i="3"/>
  <c r="CU662" i="3"/>
  <c r="CU663" i="3"/>
  <c r="CU664" i="3"/>
  <c r="CU665" i="3"/>
  <c r="CU666" i="3"/>
  <c r="CU667" i="3"/>
  <c r="CU668" i="3"/>
  <c r="CU669" i="3"/>
  <c r="CU670" i="3"/>
  <c r="CU671" i="3"/>
  <c r="CU672" i="3"/>
  <c r="CU673" i="3"/>
  <c r="CU674" i="3"/>
  <c r="CU675" i="3"/>
  <c r="CU676" i="3"/>
  <c r="CU677" i="3"/>
  <c r="CT421" i="3"/>
  <c r="CT422" i="3"/>
  <c r="CT423" i="3"/>
  <c r="CT424" i="3"/>
  <c r="CT425" i="3"/>
  <c r="CT426" i="3"/>
  <c r="CT427" i="3"/>
  <c r="CT428" i="3"/>
  <c r="CT429" i="3"/>
  <c r="CT430" i="3"/>
  <c r="CT431" i="3"/>
  <c r="CT432" i="3"/>
  <c r="CT433" i="3"/>
  <c r="CT434" i="3"/>
  <c r="CT435" i="3"/>
  <c r="CT436" i="3"/>
  <c r="CT437" i="3"/>
  <c r="CT438" i="3"/>
  <c r="CT439" i="3"/>
  <c r="CT440" i="3"/>
  <c r="CT441" i="3"/>
  <c r="CT442" i="3"/>
  <c r="CT443" i="3"/>
  <c r="CT444" i="3"/>
  <c r="CT445" i="3"/>
  <c r="CT446" i="3"/>
  <c r="CT447" i="3"/>
  <c r="CT448" i="3"/>
  <c r="CT449" i="3"/>
  <c r="CT450" i="3"/>
  <c r="CT451" i="3"/>
  <c r="CT452" i="3"/>
  <c r="CT453" i="3"/>
  <c r="CT454" i="3"/>
  <c r="CT455" i="3"/>
  <c r="CT456" i="3"/>
  <c r="CT457" i="3"/>
  <c r="CT458" i="3"/>
  <c r="CT459" i="3"/>
  <c r="CT460" i="3"/>
  <c r="CT461" i="3"/>
  <c r="CT462" i="3"/>
  <c r="CT463" i="3"/>
  <c r="CT464" i="3"/>
  <c r="CT465" i="3"/>
  <c r="CT466" i="3"/>
  <c r="CT467" i="3"/>
  <c r="CT468" i="3"/>
  <c r="CT469" i="3"/>
  <c r="CT470" i="3"/>
  <c r="CT471" i="3"/>
  <c r="CT472" i="3"/>
  <c r="CT473" i="3"/>
  <c r="CT474" i="3"/>
  <c r="CT475" i="3"/>
  <c r="CT476" i="3"/>
  <c r="CT477" i="3"/>
  <c r="CT478" i="3"/>
  <c r="CT479" i="3"/>
  <c r="CT480" i="3"/>
  <c r="CT481" i="3"/>
  <c r="CT482" i="3"/>
  <c r="CT483" i="3"/>
  <c r="CT484" i="3"/>
  <c r="CT485" i="3"/>
  <c r="CT486" i="3"/>
  <c r="CT487" i="3"/>
  <c r="CT488" i="3"/>
  <c r="CT489" i="3"/>
  <c r="CT490" i="3"/>
  <c r="CT491" i="3"/>
  <c r="CT492" i="3"/>
  <c r="CT493" i="3"/>
  <c r="CT494" i="3"/>
  <c r="CT495" i="3"/>
  <c r="CT496" i="3"/>
  <c r="CT497" i="3"/>
  <c r="CT498" i="3"/>
  <c r="CT499" i="3"/>
  <c r="CT500" i="3"/>
  <c r="CT501" i="3"/>
  <c r="CT502" i="3"/>
  <c r="CT503" i="3"/>
  <c r="CT504" i="3"/>
  <c r="CT505" i="3"/>
  <c r="CT506" i="3"/>
  <c r="CT507" i="3"/>
  <c r="CT508" i="3"/>
  <c r="CT509" i="3"/>
  <c r="CT510" i="3"/>
  <c r="CT511" i="3"/>
  <c r="CT512" i="3"/>
  <c r="CT513" i="3"/>
  <c r="CT514" i="3"/>
  <c r="CT515" i="3"/>
  <c r="CT516" i="3"/>
  <c r="CT517" i="3"/>
  <c r="CT518" i="3"/>
  <c r="CT519" i="3"/>
  <c r="CT520" i="3"/>
  <c r="CT521" i="3"/>
  <c r="CT522" i="3"/>
  <c r="CT523" i="3"/>
  <c r="CT524" i="3"/>
  <c r="CT525" i="3"/>
  <c r="CT526" i="3"/>
  <c r="CT527" i="3"/>
  <c r="CT528" i="3"/>
  <c r="CT529" i="3"/>
  <c r="CT530" i="3"/>
  <c r="CT531" i="3"/>
  <c r="CT532" i="3"/>
  <c r="CT533" i="3"/>
  <c r="CT534" i="3"/>
  <c r="CT535" i="3"/>
  <c r="CT536" i="3"/>
  <c r="CT537" i="3"/>
  <c r="CT538" i="3"/>
  <c r="CT539" i="3"/>
  <c r="CT540" i="3"/>
  <c r="CT541" i="3"/>
  <c r="CT542" i="3"/>
  <c r="CT543" i="3"/>
  <c r="CT544" i="3"/>
  <c r="CT545" i="3"/>
  <c r="CT546" i="3"/>
  <c r="CT547" i="3"/>
  <c r="CT548" i="3"/>
  <c r="CT549" i="3"/>
  <c r="CT550" i="3"/>
  <c r="CT551" i="3"/>
  <c r="CT552" i="3"/>
  <c r="CT553" i="3"/>
  <c r="CT554" i="3"/>
  <c r="CT555" i="3"/>
  <c r="CT556" i="3"/>
  <c r="CT557" i="3"/>
  <c r="CT558" i="3"/>
  <c r="CT559" i="3"/>
  <c r="CT560" i="3"/>
  <c r="CT561" i="3"/>
  <c r="CT562" i="3"/>
  <c r="CT563" i="3"/>
  <c r="CT564" i="3"/>
  <c r="CT565" i="3"/>
  <c r="CT566" i="3"/>
  <c r="CT567" i="3"/>
  <c r="CT568" i="3"/>
  <c r="CT569" i="3"/>
  <c r="CT570" i="3"/>
  <c r="CT571" i="3"/>
  <c r="CT572" i="3"/>
  <c r="CT573" i="3"/>
  <c r="CT574" i="3"/>
  <c r="CT575" i="3"/>
  <c r="CT576" i="3"/>
  <c r="CT577" i="3"/>
  <c r="CT578" i="3"/>
  <c r="CT579" i="3"/>
  <c r="CT580" i="3"/>
  <c r="CT581" i="3"/>
  <c r="CT582" i="3"/>
  <c r="CT583" i="3"/>
  <c r="CT584" i="3"/>
  <c r="CT585" i="3"/>
  <c r="CT586" i="3"/>
  <c r="CT587" i="3"/>
  <c r="CT588" i="3"/>
  <c r="CT589" i="3"/>
  <c r="CT590" i="3"/>
  <c r="CT591" i="3"/>
  <c r="CT592" i="3"/>
  <c r="CT593" i="3"/>
  <c r="CT594" i="3"/>
  <c r="CT595" i="3"/>
  <c r="CT596" i="3"/>
  <c r="CT597" i="3"/>
  <c r="CT598" i="3"/>
  <c r="CT599" i="3"/>
  <c r="CT600" i="3"/>
  <c r="CT601" i="3"/>
  <c r="CT602" i="3"/>
  <c r="CT603" i="3"/>
  <c r="CT604" i="3"/>
  <c r="CT605" i="3"/>
  <c r="CT606" i="3"/>
  <c r="CT607" i="3"/>
  <c r="CT608" i="3"/>
  <c r="CT609" i="3"/>
  <c r="CT610" i="3"/>
  <c r="CT611" i="3"/>
  <c r="CT612" i="3"/>
  <c r="CT613" i="3"/>
  <c r="CT614" i="3"/>
  <c r="CT615" i="3"/>
  <c r="CT616" i="3"/>
  <c r="CT617" i="3"/>
  <c r="CT618" i="3"/>
  <c r="CT619" i="3"/>
  <c r="CT620" i="3"/>
  <c r="CT621" i="3"/>
  <c r="CT622" i="3"/>
  <c r="CT623" i="3"/>
  <c r="CT624" i="3"/>
  <c r="CT625" i="3"/>
  <c r="CT626" i="3"/>
  <c r="CT627" i="3"/>
  <c r="CT628" i="3"/>
  <c r="CT629" i="3"/>
  <c r="CT630" i="3"/>
  <c r="CT631" i="3"/>
  <c r="CT632" i="3"/>
  <c r="CT633" i="3"/>
  <c r="CT634" i="3"/>
  <c r="CT635" i="3"/>
  <c r="CT636" i="3"/>
  <c r="CT637" i="3"/>
  <c r="CT638" i="3"/>
  <c r="CT639" i="3"/>
  <c r="CT640" i="3"/>
  <c r="CT641" i="3"/>
  <c r="CT642" i="3"/>
  <c r="CT643" i="3"/>
  <c r="CT644" i="3"/>
  <c r="CT645" i="3"/>
  <c r="CT646" i="3"/>
  <c r="CT647" i="3"/>
  <c r="CT648" i="3"/>
  <c r="CT649" i="3"/>
  <c r="CT650" i="3"/>
  <c r="CT651" i="3"/>
  <c r="CT652" i="3"/>
  <c r="CT653" i="3"/>
  <c r="CT654" i="3"/>
  <c r="CT655" i="3"/>
  <c r="CT656" i="3"/>
  <c r="CT657" i="3"/>
  <c r="CT658" i="3"/>
  <c r="CT659" i="3"/>
  <c r="CT660" i="3"/>
  <c r="CT661" i="3"/>
  <c r="CT662" i="3"/>
  <c r="CT663" i="3"/>
  <c r="CT664" i="3"/>
  <c r="CT665" i="3"/>
  <c r="CT666" i="3"/>
  <c r="CT667" i="3"/>
  <c r="CT668" i="3"/>
  <c r="CT669" i="3"/>
  <c r="CT670" i="3"/>
  <c r="CT671" i="3"/>
  <c r="CT672" i="3"/>
  <c r="CT673" i="3"/>
  <c r="CT674" i="3"/>
  <c r="CT675" i="3"/>
  <c r="CT676" i="3"/>
  <c r="CT677" i="3"/>
  <c r="CP421" i="3"/>
  <c r="CP422" i="3"/>
  <c r="CP423" i="3"/>
  <c r="CP424" i="3"/>
  <c r="CP425" i="3"/>
  <c r="CP426" i="3"/>
  <c r="CP427" i="3"/>
  <c r="CP428" i="3"/>
  <c r="CP429" i="3"/>
  <c r="CP430" i="3"/>
  <c r="CP431" i="3"/>
  <c r="CP432" i="3"/>
  <c r="CP433" i="3"/>
  <c r="CP434" i="3"/>
  <c r="CP435" i="3"/>
  <c r="CP436" i="3"/>
  <c r="CP437" i="3"/>
  <c r="CP438" i="3"/>
  <c r="CP439" i="3"/>
  <c r="CP440" i="3"/>
  <c r="CP441" i="3"/>
  <c r="CP442" i="3"/>
  <c r="CP443" i="3"/>
  <c r="CP444" i="3"/>
  <c r="CP445" i="3"/>
  <c r="CP446" i="3"/>
  <c r="CP447" i="3"/>
  <c r="CP448" i="3"/>
  <c r="CP449" i="3"/>
  <c r="CP450" i="3"/>
  <c r="CP451" i="3"/>
  <c r="CP452" i="3"/>
  <c r="CP453" i="3"/>
  <c r="CP454" i="3"/>
  <c r="CP455" i="3"/>
  <c r="CP456" i="3"/>
  <c r="CP457" i="3"/>
  <c r="CP458" i="3"/>
  <c r="CP459" i="3"/>
  <c r="CP460" i="3"/>
  <c r="CP461" i="3"/>
  <c r="CP462" i="3"/>
  <c r="CP463" i="3"/>
  <c r="CP464" i="3"/>
  <c r="CP465" i="3"/>
  <c r="CP466" i="3"/>
  <c r="CP467" i="3"/>
  <c r="CP468" i="3"/>
  <c r="CP469" i="3"/>
  <c r="CP470" i="3"/>
  <c r="CP471" i="3"/>
  <c r="CP472" i="3"/>
  <c r="CP473" i="3"/>
  <c r="CP474" i="3"/>
  <c r="CP475" i="3"/>
  <c r="CP476" i="3"/>
  <c r="CP477" i="3"/>
  <c r="CP478" i="3"/>
  <c r="CP479" i="3"/>
  <c r="CP480" i="3"/>
  <c r="CP481" i="3"/>
  <c r="CP482" i="3"/>
  <c r="CP483" i="3"/>
  <c r="CP484" i="3"/>
  <c r="CP485" i="3"/>
  <c r="CP486" i="3"/>
  <c r="CP487" i="3"/>
  <c r="CP488" i="3"/>
  <c r="CP489" i="3"/>
  <c r="CP490" i="3"/>
  <c r="CP491" i="3"/>
  <c r="CP492" i="3"/>
  <c r="CP493" i="3"/>
  <c r="CP494" i="3"/>
  <c r="CP495" i="3"/>
  <c r="CP496" i="3"/>
  <c r="CP497" i="3"/>
  <c r="CP498" i="3"/>
  <c r="CP499" i="3"/>
  <c r="CP500" i="3"/>
  <c r="CP501" i="3"/>
  <c r="CP502" i="3"/>
  <c r="CP503" i="3"/>
  <c r="CP504" i="3"/>
  <c r="CP505" i="3"/>
  <c r="CP506" i="3"/>
  <c r="CP507" i="3"/>
  <c r="CP508" i="3"/>
  <c r="CP509" i="3"/>
  <c r="CP510" i="3"/>
  <c r="CP511" i="3"/>
  <c r="CP512" i="3"/>
  <c r="CP513" i="3"/>
  <c r="CP514" i="3"/>
  <c r="CP515" i="3"/>
  <c r="CP516" i="3"/>
  <c r="CP517" i="3"/>
  <c r="CP518" i="3"/>
  <c r="CP519" i="3"/>
  <c r="CP520" i="3"/>
  <c r="CP521" i="3"/>
  <c r="CP522" i="3"/>
  <c r="CP523" i="3"/>
  <c r="CP524" i="3"/>
  <c r="CP525" i="3"/>
  <c r="CP526" i="3"/>
  <c r="CP527" i="3"/>
  <c r="CP528" i="3"/>
  <c r="CP529" i="3"/>
  <c r="CP530" i="3"/>
  <c r="CP531" i="3"/>
  <c r="CP532" i="3"/>
  <c r="CP533" i="3"/>
  <c r="CP534" i="3"/>
  <c r="CP535" i="3"/>
  <c r="CP536" i="3"/>
  <c r="CP537" i="3"/>
  <c r="CP538" i="3"/>
  <c r="CP539" i="3"/>
  <c r="CP540" i="3"/>
  <c r="CP541" i="3"/>
  <c r="CP542" i="3"/>
  <c r="CP543" i="3"/>
  <c r="CP544" i="3"/>
  <c r="CP545" i="3"/>
  <c r="CP546" i="3"/>
  <c r="CP547" i="3"/>
  <c r="CP548" i="3"/>
  <c r="CP549" i="3"/>
  <c r="CP550" i="3"/>
  <c r="CP551" i="3"/>
  <c r="CP552" i="3"/>
  <c r="CP553" i="3"/>
  <c r="CP554" i="3"/>
  <c r="CP555" i="3"/>
  <c r="CP556" i="3"/>
  <c r="CP557" i="3"/>
  <c r="CP558" i="3"/>
  <c r="CP559" i="3"/>
  <c r="CP560" i="3"/>
  <c r="CP561" i="3"/>
  <c r="CP562" i="3"/>
  <c r="CP563" i="3"/>
  <c r="CP564" i="3"/>
  <c r="CP565" i="3"/>
  <c r="CP566" i="3"/>
  <c r="CP567" i="3"/>
  <c r="CP568" i="3"/>
  <c r="CP569" i="3"/>
  <c r="CP570" i="3"/>
  <c r="CP571" i="3"/>
  <c r="CP572" i="3"/>
  <c r="CP573" i="3"/>
  <c r="CP574" i="3"/>
  <c r="CP575" i="3"/>
  <c r="CP576" i="3"/>
  <c r="CP577" i="3"/>
  <c r="CP578" i="3"/>
  <c r="CP579" i="3"/>
  <c r="CP580" i="3"/>
  <c r="CP581" i="3"/>
  <c r="CP582" i="3"/>
  <c r="CP583" i="3"/>
  <c r="CP584" i="3"/>
  <c r="CP585" i="3"/>
  <c r="CP586" i="3"/>
  <c r="CP587" i="3"/>
  <c r="CP588" i="3"/>
  <c r="CP589" i="3"/>
  <c r="CP590" i="3"/>
  <c r="CP591" i="3"/>
  <c r="CP592" i="3"/>
  <c r="CP593" i="3"/>
  <c r="CP594" i="3"/>
  <c r="CP595" i="3"/>
  <c r="CP596" i="3"/>
  <c r="CP597" i="3"/>
  <c r="CP598" i="3"/>
  <c r="CP599" i="3"/>
  <c r="CP600" i="3"/>
  <c r="CP601" i="3"/>
  <c r="CP602" i="3"/>
  <c r="CP603" i="3"/>
  <c r="CP604" i="3"/>
  <c r="CP605" i="3"/>
  <c r="CP606" i="3"/>
  <c r="CP607" i="3"/>
  <c r="CP608" i="3"/>
  <c r="CP609" i="3"/>
  <c r="CP610" i="3"/>
  <c r="CP611" i="3"/>
  <c r="CP612" i="3"/>
  <c r="CP613" i="3"/>
  <c r="CP614" i="3"/>
  <c r="CP615" i="3"/>
  <c r="CP616" i="3"/>
  <c r="CP617" i="3"/>
  <c r="CP618" i="3"/>
  <c r="CP619" i="3"/>
  <c r="CP620" i="3"/>
  <c r="CP621" i="3"/>
  <c r="CP622" i="3"/>
  <c r="CP623" i="3"/>
  <c r="CP624" i="3"/>
  <c r="CP625" i="3"/>
  <c r="CP626" i="3"/>
  <c r="CP627" i="3"/>
  <c r="CP628" i="3"/>
  <c r="CP629" i="3"/>
  <c r="CP630" i="3"/>
  <c r="CP631" i="3"/>
  <c r="CP632" i="3"/>
  <c r="CP633" i="3"/>
  <c r="CP634" i="3"/>
  <c r="CP635" i="3"/>
  <c r="CP636" i="3"/>
  <c r="CP637" i="3"/>
  <c r="CP638" i="3"/>
  <c r="CP639" i="3"/>
  <c r="CP640" i="3"/>
  <c r="CP641" i="3"/>
  <c r="CP642" i="3"/>
  <c r="CP643" i="3"/>
  <c r="CP644" i="3"/>
  <c r="CP645" i="3"/>
  <c r="CP646" i="3"/>
  <c r="CP647" i="3"/>
  <c r="CP648" i="3"/>
  <c r="CP649" i="3"/>
  <c r="CP650" i="3"/>
  <c r="CP651" i="3"/>
  <c r="CP652" i="3"/>
  <c r="CP653" i="3"/>
  <c r="CP654" i="3"/>
  <c r="CP655" i="3"/>
  <c r="CP656" i="3"/>
  <c r="CP657" i="3"/>
  <c r="CP658" i="3"/>
  <c r="CP659" i="3"/>
  <c r="CP660" i="3"/>
  <c r="CP661" i="3"/>
  <c r="CP662" i="3"/>
  <c r="CP663" i="3"/>
  <c r="CP664" i="3"/>
  <c r="CP665" i="3"/>
  <c r="CP666" i="3"/>
  <c r="CP667" i="3"/>
  <c r="CP668" i="3"/>
  <c r="CP669" i="3"/>
  <c r="CP670" i="3"/>
  <c r="CP671" i="3"/>
  <c r="CP672" i="3"/>
  <c r="CP673" i="3"/>
  <c r="CP674" i="3"/>
  <c r="CP675" i="3"/>
  <c r="CP676" i="3"/>
  <c r="CP677" i="3"/>
  <c r="CL421" i="3"/>
  <c r="CL422" i="3"/>
  <c r="CL423" i="3"/>
  <c r="CL424" i="3"/>
  <c r="CL425" i="3"/>
  <c r="CL426" i="3"/>
  <c r="CL427" i="3"/>
  <c r="CL428" i="3"/>
  <c r="CL429" i="3"/>
  <c r="CL430" i="3"/>
  <c r="CL431" i="3"/>
  <c r="CL432" i="3"/>
  <c r="CL433" i="3"/>
  <c r="CL434" i="3"/>
  <c r="CL435" i="3"/>
  <c r="CL436" i="3"/>
  <c r="CL437" i="3"/>
  <c r="CL438" i="3"/>
  <c r="CL439" i="3"/>
  <c r="CL440" i="3"/>
  <c r="CL441" i="3"/>
  <c r="CL442" i="3"/>
  <c r="CL443" i="3"/>
  <c r="CL444" i="3"/>
  <c r="CL445" i="3"/>
  <c r="CL446" i="3"/>
  <c r="CL447" i="3"/>
  <c r="CL448" i="3"/>
  <c r="CL449" i="3"/>
  <c r="CL450" i="3"/>
  <c r="CL451" i="3"/>
  <c r="CL452" i="3"/>
  <c r="CL453" i="3"/>
  <c r="CL454" i="3"/>
  <c r="CL455" i="3"/>
  <c r="CL456" i="3"/>
  <c r="CL457" i="3"/>
  <c r="CL458" i="3"/>
  <c r="CL459" i="3"/>
  <c r="CL460" i="3"/>
  <c r="CL461" i="3"/>
  <c r="CL462" i="3"/>
  <c r="CL463" i="3"/>
  <c r="CL464" i="3"/>
  <c r="CL465" i="3"/>
  <c r="CL466" i="3"/>
  <c r="CL467" i="3"/>
  <c r="CL468" i="3"/>
  <c r="CL469" i="3"/>
  <c r="CL470" i="3"/>
  <c r="CL471" i="3"/>
  <c r="CL472" i="3"/>
  <c r="CL473" i="3"/>
  <c r="CL474" i="3"/>
  <c r="CL475" i="3"/>
  <c r="CL476" i="3"/>
  <c r="CL477" i="3"/>
  <c r="CL478" i="3"/>
  <c r="CL479" i="3"/>
  <c r="CL480" i="3"/>
  <c r="CL481" i="3"/>
  <c r="CL482" i="3"/>
  <c r="CL483" i="3"/>
  <c r="CL484" i="3"/>
  <c r="CL485" i="3"/>
  <c r="CL486" i="3"/>
  <c r="CL487" i="3"/>
  <c r="CL488" i="3"/>
  <c r="CL489" i="3"/>
  <c r="CL490" i="3"/>
  <c r="CL491" i="3"/>
  <c r="CL492" i="3"/>
  <c r="CL493" i="3"/>
  <c r="CL494" i="3"/>
  <c r="CL495" i="3"/>
  <c r="CL496" i="3"/>
  <c r="CL497" i="3"/>
  <c r="CL498" i="3"/>
  <c r="CL499" i="3"/>
  <c r="CL500" i="3"/>
  <c r="CL501" i="3"/>
  <c r="CL502" i="3"/>
  <c r="CL503" i="3"/>
  <c r="CL504" i="3"/>
  <c r="CL505" i="3"/>
  <c r="CL506" i="3"/>
  <c r="CL507" i="3"/>
  <c r="CL508" i="3"/>
  <c r="CL509" i="3"/>
  <c r="CL510" i="3"/>
  <c r="CL511" i="3"/>
  <c r="CL512" i="3"/>
  <c r="CL513" i="3"/>
  <c r="CL514" i="3"/>
  <c r="CL515" i="3"/>
  <c r="CL516" i="3"/>
  <c r="CL517" i="3"/>
  <c r="CL518" i="3"/>
  <c r="CL519" i="3"/>
  <c r="CL520" i="3"/>
  <c r="CL521" i="3"/>
  <c r="CL522" i="3"/>
  <c r="CL523" i="3"/>
  <c r="CL524" i="3"/>
  <c r="CL525" i="3"/>
  <c r="CL526" i="3"/>
  <c r="CL527" i="3"/>
  <c r="CL528" i="3"/>
  <c r="CL529" i="3"/>
  <c r="CL530" i="3"/>
  <c r="CL531" i="3"/>
  <c r="CL532" i="3"/>
  <c r="CL533" i="3"/>
  <c r="CL534" i="3"/>
  <c r="CL535" i="3"/>
  <c r="CL536" i="3"/>
  <c r="CL537" i="3"/>
  <c r="CL538" i="3"/>
  <c r="CL539" i="3"/>
  <c r="CL540" i="3"/>
  <c r="CL541" i="3"/>
  <c r="CL542" i="3"/>
  <c r="CL543" i="3"/>
  <c r="CL544" i="3"/>
  <c r="CL545" i="3"/>
  <c r="CL546" i="3"/>
  <c r="CL547" i="3"/>
  <c r="CL548" i="3"/>
  <c r="CL549" i="3"/>
  <c r="CL550" i="3"/>
  <c r="CL551" i="3"/>
  <c r="CL552" i="3"/>
  <c r="CL553" i="3"/>
  <c r="CL554" i="3"/>
  <c r="CL555" i="3"/>
  <c r="CL556" i="3"/>
  <c r="CL557" i="3"/>
  <c r="CL558" i="3"/>
  <c r="CL559" i="3"/>
  <c r="CL560" i="3"/>
  <c r="CL561" i="3"/>
  <c r="CL562" i="3"/>
  <c r="CL563" i="3"/>
  <c r="CL564" i="3"/>
  <c r="CL565" i="3"/>
  <c r="CL566" i="3"/>
  <c r="CL567" i="3"/>
  <c r="CL568" i="3"/>
  <c r="CL569" i="3"/>
  <c r="CL570" i="3"/>
  <c r="CL571" i="3"/>
  <c r="CL572" i="3"/>
  <c r="CL573" i="3"/>
  <c r="CL574" i="3"/>
  <c r="CL575" i="3"/>
  <c r="CL576" i="3"/>
  <c r="CL577" i="3"/>
  <c r="CL578" i="3"/>
  <c r="CL579" i="3"/>
  <c r="CL580" i="3"/>
  <c r="CL581" i="3"/>
  <c r="CL582" i="3"/>
  <c r="CL583" i="3"/>
  <c r="CL584" i="3"/>
  <c r="CL585" i="3"/>
  <c r="CL586" i="3"/>
  <c r="CL587" i="3"/>
  <c r="CL588" i="3"/>
  <c r="CL589" i="3"/>
  <c r="CL590" i="3"/>
  <c r="CL591" i="3"/>
  <c r="CL592" i="3"/>
  <c r="CL593" i="3"/>
  <c r="CL594" i="3"/>
  <c r="CL595" i="3"/>
  <c r="CL596" i="3"/>
  <c r="CL597" i="3"/>
  <c r="CL598" i="3"/>
  <c r="CL599" i="3"/>
  <c r="CL600" i="3"/>
  <c r="CL601" i="3"/>
  <c r="CL602" i="3"/>
  <c r="CL603" i="3"/>
  <c r="CL604" i="3"/>
  <c r="CL605" i="3"/>
  <c r="CL606" i="3"/>
  <c r="CL607" i="3"/>
  <c r="CL608" i="3"/>
  <c r="CL609" i="3"/>
  <c r="CL610" i="3"/>
  <c r="CL611" i="3"/>
  <c r="CL612" i="3"/>
  <c r="CL613" i="3"/>
  <c r="CL614" i="3"/>
  <c r="CL615" i="3"/>
  <c r="CL616" i="3"/>
  <c r="CL617" i="3"/>
  <c r="CL618" i="3"/>
  <c r="CL619" i="3"/>
  <c r="CL620" i="3"/>
  <c r="CL621" i="3"/>
  <c r="CL622" i="3"/>
  <c r="CL623" i="3"/>
  <c r="CL624" i="3"/>
  <c r="CL625" i="3"/>
  <c r="CL626" i="3"/>
  <c r="CL627" i="3"/>
  <c r="CL628" i="3"/>
  <c r="CL629" i="3"/>
  <c r="CL630" i="3"/>
  <c r="CL631" i="3"/>
  <c r="CL632" i="3"/>
  <c r="CL633" i="3"/>
  <c r="CL634" i="3"/>
  <c r="CL635" i="3"/>
  <c r="CL636" i="3"/>
  <c r="CL637" i="3"/>
  <c r="CL638" i="3"/>
  <c r="CL639" i="3"/>
  <c r="CL640" i="3"/>
  <c r="CL641" i="3"/>
  <c r="CL642" i="3"/>
  <c r="CL643" i="3"/>
  <c r="CL644" i="3"/>
  <c r="CL645" i="3"/>
  <c r="CL646" i="3"/>
  <c r="CL647" i="3"/>
  <c r="CL648" i="3"/>
  <c r="CL649" i="3"/>
  <c r="CL650" i="3"/>
  <c r="CL651" i="3"/>
  <c r="CL652" i="3"/>
  <c r="CL653" i="3"/>
  <c r="CL654" i="3"/>
  <c r="CL655" i="3"/>
  <c r="CL656" i="3"/>
  <c r="CL657" i="3"/>
  <c r="CL658" i="3"/>
  <c r="CL659" i="3"/>
  <c r="CL660" i="3"/>
  <c r="CL661" i="3"/>
  <c r="CL662" i="3"/>
  <c r="CL663" i="3"/>
  <c r="CL664" i="3"/>
  <c r="CL665" i="3"/>
  <c r="CL666" i="3"/>
  <c r="CL667" i="3"/>
  <c r="CL668" i="3"/>
  <c r="CL669" i="3"/>
  <c r="CL670" i="3"/>
  <c r="CL671" i="3"/>
  <c r="CL672" i="3"/>
  <c r="CL673" i="3"/>
  <c r="CL674" i="3"/>
  <c r="CL675" i="3"/>
  <c r="CL676" i="3"/>
  <c r="CL677" i="3"/>
  <c r="CG421" i="3"/>
  <c r="CG422" i="3"/>
  <c r="CG423" i="3"/>
  <c r="CG424" i="3"/>
  <c r="CG425" i="3"/>
  <c r="CG426" i="3"/>
  <c r="CG427" i="3"/>
  <c r="CG428" i="3"/>
  <c r="CG429" i="3"/>
  <c r="CG430" i="3"/>
  <c r="CG431" i="3"/>
  <c r="CG432" i="3"/>
  <c r="CG433" i="3"/>
  <c r="CG434" i="3"/>
  <c r="CG435" i="3"/>
  <c r="CG436" i="3"/>
  <c r="CG437" i="3"/>
  <c r="CG438" i="3"/>
  <c r="CG439" i="3"/>
  <c r="CG440" i="3"/>
  <c r="CG441" i="3"/>
  <c r="CG442" i="3"/>
  <c r="CG443" i="3"/>
  <c r="CG444" i="3"/>
  <c r="CG445" i="3"/>
  <c r="CG446" i="3"/>
  <c r="CG447" i="3"/>
  <c r="CG448" i="3"/>
  <c r="CG449" i="3"/>
  <c r="CG450" i="3"/>
  <c r="CG451" i="3"/>
  <c r="CG452" i="3"/>
  <c r="CG453" i="3"/>
  <c r="CG454" i="3"/>
  <c r="CG455" i="3"/>
  <c r="CG456" i="3"/>
  <c r="CG457" i="3"/>
  <c r="CG458" i="3"/>
  <c r="CG459" i="3"/>
  <c r="CG460" i="3"/>
  <c r="CG461" i="3"/>
  <c r="CG462" i="3"/>
  <c r="CG463" i="3"/>
  <c r="CG464" i="3"/>
  <c r="CG465" i="3"/>
  <c r="CG466" i="3"/>
  <c r="CG467" i="3"/>
  <c r="CG468" i="3"/>
  <c r="CG469" i="3"/>
  <c r="CG470" i="3"/>
  <c r="CG471" i="3"/>
  <c r="CG472" i="3"/>
  <c r="CG473" i="3"/>
  <c r="CG474" i="3"/>
  <c r="CG475" i="3"/>
  <c r="CG476" i="3"/>
  <c r="CG477" i="3"/>
  <c r="CG478" i="3"/>
  <c r="CG479" i="3"/>
  <c r="CG480" i="3"/>
  <c r="CG481" i="3"/>
  <c r="CG482" i="3"/>
  <c r="CG483" i="3"/>
  <c r="CG484" i="3"/>
  <c r="CG485" i="3"/>
  <c r="CG486" i="3"/>
  <c r="CG487" i="3"/>
  <c r="CG488" i="3"/>
  <c r="CG489" i="3"/>
  <c r="CG490" i="3"/>
  <c r="CG491" i="3"/>
  <c r="CG492" i="3"/>
  <c r="CG493" i="3"/>
  <c r="CG494" i="3"/>
  <c r="CG495" i="3"/>
  <c r="CG496" i="3"/>
  <c r="CG497" i="3"/>
  <c r="CG498" i="3"/>
  <c r="CG499" i="3"/>
  <c r="CG500" i="3"/>
  <c r="CG501" i="3"/>
  <c r="CG502" i="3"/>
  <c r="CG503" i="3"/>
  <c r="CG504" i="3"/>
  <c r="CG505" i="3"/>
  <c r="CG506" i="3"/>
  <c r="CG507" i="3"/>
  <c r="CG508" i="3"/>
  <c r="CG509" i="3"/>
  <c r="CG510" i="3"/>
  <c r="CG511" i="3"/>
  <c r="CG512" i="3"/>
  <c r="CG513" i="3"/>
  <c r="CG514" i="3"/>
  <c r="CG515" i="3"/>
  <c r="CG516" i="3"/>
  <c r="CG517" i="3"/>
  <c r="CG518" i="3"/>
  <c r="CG519" i="3"/>
  <c r="CG520" i="3"/>
  <c r="CG521" i="3"/>
  <c r="CG522" i="3"/>
  <c r="CG523" i="3"/>
  <c r="CG524" i="3"/>
  <c r="CG525" i="3"/>
  <c r="CG526" i="3"/>
  <c r="CG527" i="3"/>
  <c r="CG528" i="3"/>
  <c r="CG529" i="3"/>
  <c r="CG530" i="3"/>
  <c r="CG531" i="3"/>
  <c r="CG532" i="3"/>
  <c r="CG533" i="3"/>
  <c r="CG534" i="3"/>
  <c r="CG535" i="3"/>
  <c r="CG536" i="3"/>
  <c r="CG537" i="3"/>
  <c r="CG538" i="3"/>
  <c r="CG539" i="3"/>
  <c r="CG540" i="3"/>
  <c r="CG541" i="3"/>
  <c r="CG542" i="3"/>
  <c r="CG543" i="3"/>
  <c r="CG544" i="3"/>
  <c r="CG545" i="3"/>
  <c r="CG546" i="3"/>
  <c r="CG547" i="3"/>
  <c r="CG548" i="3"/>
  <c r="CG549" i="3"/>
  <c r="CG550" i="3"/>
  <c r="CG551" i="3"/>
  <c r="CG552" i="3"/>
  <c r="CG553" i="3"/>
  <c r="CG554" i="3"/>
  <c r="CG555" i="3"/>
  <c r="CG556" i="3"/>
  <c r="CG557" i="3"/>
  <c r="CG558" i="3"/>
  <c r="CG559" i="3"/>
  <c r="CG560" i="3"/>
  <c r="CG561" i="3"/>
  <c r="CG562" i="3"/>
  <c r="CG563" i="3"/>
  <c r="CG564" i="3"/>
  <c r="CG565" i="3"/>
  <c r="CG566" i="3"/>
  <c r="CG567" i="3"/>
  <c r="CG568" i="3"/>
  <c r="CG569" i="3"/>
  <c r="CG570" i="3"/>
  <c r="CG571" i="3"/>
  <c r="CG572" i="3"/>
  <c r="CG573" i="3"/>
  <c r="CG574" i="3"/>
  <c r="CG575" i="3"/>
  <c r="CG576" i="3"/>
  <c r="CG577" i="3"/>
  <c r="CG578" i="3"/>
  <c r="CG579" i="3"/>
  <c r="CG580" i="3"/>
  <c r="CG581" i="3"/>
  <c r="CG582" i="3"/>
  <c r="CG583" i="3"/>
  <c r="CG584" i="3"/>
  <c r="CG585" i="3"/>
  <c r="CG586" i="3"/>
  <c r="CG587" i="3"/>
  <c r="CG588" i="3"/>
  <c r="CG589" i="3"/>
  <c r="CG590" i="3"/>
  <c r="CG591" i="3"/>
  <c r="CG592" i="3"/>
  <c r="CG593" i="3"/>
  <c r="CG594" i="3"/>
  <c r="CG595" i="3"/>
  <c r="CG596" i="3"/>
  <c r="CG597" i="3"/>
  <c r="CG598" i="3"/>
  <c r="CG599" i="3"/>
  <c r="CG600" i="3"/>
  <c r="CG601" i="3"/>
  <c r="CG602" i="3"/>
  <c r="CG603" i="3"/>
  <c r="CG604" i="3"/>
  <c r="CG605" i="3"/>
  <c r="CG606" i="3"/>
  <c r="CG607" i="3"/>
  <c r="CG608" i="3"/>
  <c r="CG609" i="3"/>
  <c r="CG610" i="3"/>
  <c r="CG611" i="3"/>
  <c r="CG612" i="3"/>
  <c r="CG613" i="3"/>
  <c r="CG614" i="3"/>
  <c r="CG615" i="3"/>
  <c r="CG616" i="3"/>
  <c r="CG617" i="3"/>
  <c r="CG618" i="3"/>
  <c r="CG619" i="3"/>
  <c r="CG620" i="3"/>
  <c r="CG621" i="3"/>
  <c r="CG622" i="3"/>
  <c r="CG623" i="3"/>
  <c r="CG624" i="3"/>
  <c r="CG625" i="3"/>
  <c r="CG626" i="3"/>
  <c r="CG627" i="3"/>
  <c r="CG628" i="3"/>
  <c r="CG629" i="3"/>
  <c r="CG630" i="3"/>
  <c r="CG631" i="3"/>
  <c r="CG632" i="3"/>
  <c r="CG633" i="3"/>
  <c r="CG634" i="3"/>
  <c r="CG635" i="3"/>
  <c r="CG636" i="3"/>
  <c r="CG637" i="3"/>
  <c r="CG638" i="3"/>
  <c r="CG639" i="3"/>
  <c r="CG640" i="3"/>
  <c r="CG641" i="3"/>
  <c r="CG642" i="3"/>
  <c r="CG643" i="3"/>
  <c r="CG644" i="3"/>
  <c r="CG645" i="3"/>
  <c r="CG646" i="3"/>
  <c r="CG647" i="3"/>
  <c r="CG648" i="3"/>
  <c r="CG649" i="3"/>
  <c r="CG650" i="3"/>
  <c r="CG651" i="3"/>
  <c r="CG652" i="3"/>
  <c r="CG653" i="3"/>
  <c r="CG654" i="3"/>
  <c r="CG655" i="3"/>
  <c r="CG656" i="3"/>
  <c r="CG657" i="3"/>
  <c r="CG658" i="3"/>
  <c r="CG659" i="3"/>
  <c r="CG660" i="3"/>
  <c r="CG661" i="3"/>
  <c r="CG662" i="3"/>
  <c r="CG663" i="3"/>
  <c r="CG664" i="3"/>
  <c r="CG665" i="3"/>
  <c r="CG666" i="3"/>
  <c r="CG667" i="3"/>
  <c r="CG668" i="3"/>
  <c r="CG669" i="3"/>
  <c r="CG670" i="3"/>
  <c r="CG671" i="3"/>
  <c r="CG672" i="3"/>
  <c r="CG673" i="3"/>
  <c r="CG674" i="3"/>
  <c r="CG675" i="3"/>
  <c r="CG676" i="3"/>
  <c r="CG677" i="3"/>
  <c r="CC421" i="3"/>
  <c r="CC422" i="3"/>
  <c r="CC423" i="3"/>
  <c r="CC424" i="3"/>
  <c r="CC425" i="3"/>
  <c r="CC426" i="3"/>
  <c r="CC427" i="3"/>
  <c r="CC428" i="3"/>
  <c r="CC429" i="3"/>
  <c r="CC430" i="3"/>
  <c r="CC431" i="3"/>
  <c r="CC432" i="3"/>
  <c r="CC433" i="3"/>
  <c r="CC434" i="3"/>
  <c r="CC435" i="3"/>
  <c r="CC436" i="3"/>
  <c r="CC437" i="3"/>
  <c r="CC438" i="3"/>
  <c r="CC439" i="3"/>
  <c r="CC440" i="3"/>
  <c r="CC441" i="3"/>
  <c r="CC442" i="3"/>
  <c r="CC443" i="3"/>
  <c r="CC444" i="3"/>
  <c r="CC445" i="3"/>
  <c r="CC446" i="3"/>
  <c r="CC447" i="3"/>
  <c r="CC448" i="3"/>
  <c r="CC449" i="3"/>
  <c r="CC450" i="3"/>
  <c r="CC451" i="3"/>
  <c r="CC452" i="3"/>
  <c r="CC453" i="3"/>
  <c r="CC454" i="3"/>
  <c r="CC455" i="3"/>
  <c r="CC456" i="3"/>
  <c r="CC457" i="3"/>
  <c r="CC458" i="3"/>
  <c r="CC459" i="3"/>
  <c r="CC460" i="3"/>
  <c r="CC461" i="3"/>
  <c r="CC462" i="3"/>
  <c r="CC463" i="3"/>
  <c r="CC464" i="3"/>
  <c r="CC465" i="3"/>
  <c r="CC466" i="3"/>
  <c r="CC467" i="3"/>
  <c r="CC468" i="3"/>
  <c r="CC469" i="3"/>
  <c r="CC470" i="3"/>
  <c r="CC471" i="3"/>
  <c r="CC472" i="3"/>
  <c r="CC473" i="3"/>
  <c r="CC474" i="3"/>
  <c r="CC475" i="3"/>
  <c r="CC476" i="3"/>
  <c r="CC477" i="3"/>
  <c r="CC478" i="3"/>
  <c r="CC479" i="3"/>
  <c r="CC480" i="3"/>
  <c r="CC481" i="3"/>
  <c r="CC482" i="3"/>
  <c r="CC483" i="3"/>
  <c r="CC484" i="3"/>
  <c r="CC485" i="3"/>
  <c r="CC486" i="3"/>
  <c r="CC487" i="3"/>
  <c r="CC488" i="3"/>
  <c r="CC489" i="3"/>
  <c r="CC490" i="3"/>
  <c r="CC491" i="3"/>
  <c r="CC492" i="3"/>
  <c r="CC493" i="3"/>
  <c r="CC494" i="3"/>
  <c r="CC495" i="3"/>
  <c r="CC496" i="3"/>
  <c r="CC497" i="3"/>
  <c r="CC498" i="3"/>
  <c r="CC499" i="3"/>
  <c r="CC500" i="3"/>
  <c r="CC501" i="3"/>
  <c r="CC502" i="3"/>
  <c r="CC503" i="3"/>
  <c r="CC504" i="3"/>
  <c r="CC505" i="3"/>
  <c r="CC506" i="3"/>
  <c r="CC507" i="3"/>
  <c r="CC508" i="3"/>
  <c r="CC509" i="3"/>
  <c r="CC510" i="3"/>
  <c r="CC511" i="3"/>
  <c r="CC512" i="3"/>
  <c r="CC513" i="3"/>
  <c r="CC514" i="3"/>
  <c r="CC515" i="3"/>
  <c r="CC516" i="3"/>
  <c r="CC517" i="3"/>
  <c r="CC518" i="3"/>
  <c r="CC519" i="3"/>
  <c r="CC520" i="3"/>
  <c r="CC521" i="3"/>
  <c r="CC522" i="3"/>
  <c r="CC523" i="3"/>
  <c r="CC524" i="3"/>
  <c r="CC525" i="3"/>
  <c r="CC526" i="3"/>
  <c r="CC527" i="3"/>
  <c r="CC528" i="3"/>
  <c r="CC529" i="3"/>
  <c r="CC530" i="3"/>
  <c r="CC531" i="3"/>
  <c r="CC532" i="3"/>
  <c r="CC533" i="3"/>
  <c r="CC534" i="3"/>
  <c r="CC535" i="3"/>
  <c r="CC536" i="3"/>
  <c r="CC537" i="3"/>
  <c r="CC538" i="3"/>
  <c r="CC539" i="3"/>
  <c r="CC540" i="3"/>
  <c r="CC541" i="3"/>
  <c r="CC542" i="3"/>
  <c r="CC543" i="3"/>
  <c r="CC544" i="3"/>
  <c r="CC545" i="3"/>
  <c r="CC546" i="3"/>
  <c r="CC547" i="3"/>
  <c r="CC548" i="3"/>
  <c r="CC549" i="3"/>
  <c r="CC550" i="3"/>
  <c r="CC551" i="3"/>
  <c r="CC552" i="3"/>
  <c r="CC553" i="3"/>
  <c r="CC554" i="3"/>
  <c r="CC555" i="3"/>
  <c r="CC556" i="3"/>
  <c r="CC557" i="3"/>
  <c r="CC558" i="3"/>
  <c r="CC559" i="3"/>
  <c r="CC560" i="3"/>
  <c r="CC561" i="3"/>
  <c r="CC562" i="3"/>
  <c r="CC563" i="3"/>
  <c r="CC564" i="3"/>
  <c r="CC565" i="3"/>
  <c r="CC566" i="3"/>
  <c r="CC567" i="3"/>
  <c r="CC568" i="3"/>
  <c r="CC569" i="3"/>
  <c r="CC570" i="3"/>
  <c r="CC571" i="3"/>
  <c r="CC572" i="3"/>
  <c r="CC573" i="3"/>
  <c r="CC574" i="3"/>
  <c r="CC575" i="3"/>
  <c r="CC576" i="3"/>
  <c r="CC577" i="3"/>
  <c r="CC578" i="3"/>
  <c r="CC579" i="3"/>
  <c r="CC580" i="3"/>
  <c r="CC581" i="3"/>
  <c r="CC582" i="3"/>
  <c r="CC583" i="3"/>
  <c r="CC584" i="3"/>
  <c r="CC585" i="3"/>
  <c r="CC586" i="3"/>
  <c r="CC587" i="3"/>
  <c r="CC588" i="3"/>
  <c r="CC589" i="3"/>
  <c r="CC590" i="3"/>
  <c r="CC591" i="3"/>
  <c r="CC592" i="3"/>
  <c r="CC593" i="3"/>
  <c r="CC594" i="3"/>
  <c r="CC595" i="3"/>
  <c r="CC596" i="3"/>
  <c r="CC597" i="3"/>
  <c r="CC598" i="3"/>
  <c r="CC599" i="3"/>
  <c r="CC600" i="3"/>
  <c r="CC601" i="3"/>
  <c r="CC602" i="3"/>
  <c r="CC603" i="3"/>
  <c r="CC604" i="3"/>
  <c r="CC605" i="3"/>
  <c r="CC606" i="3"/>
  <c r="CC607" i="3"/>
  <c r="CC608" i="3"/>
  <c r="CC609" i="3"/>
  <c r="CC610" i="3"/>
  <c r="CC611" i="3"/>
  <c r="CC612" i="3"/>
  <c r="CC613" i="3"/>
  <c r="CC614" i="3"/>
  <c r="CC615" i="3"/>
  <c r="CC616" i="3"/>
  <c r="CC617" i="3"/>
  <c r="CC618" i="3"/>
  <c r="CC619" i="3"/>
  <c r="CC620" i="3"/>
  <c r="CC621" i="3"/>
  <c r="CC622" i="3"/>
  <c r="CC623" i="3"/>
  <c r="CC624" i="3"/>
  <c r="CC625" i="3"/>
  <c r="CC626" i="3"/>
  <c r="CC627" i="3"/>
  <c r="CC628" i="3"/>
  <c r="CC629" i="3"/>
  <c r="CC630" i="3"/>
  <c r="CC631" i="3"/>
  <c r="CC632" i="3"/>
  <c r="CC633" i="3"/>
  <c r="CC634" i="3"/>
  <c r="CC635" i="3"/>
  <c r="CC636" i="3"/>
  <c r="CC637" i="3"/>
  <c r="CC638" i="3"/>
  <c r="CC639" i="3"/>
  <c r="CC640" i="3"/>
  <c r="CC641" i="3"/>
  <c r="CC642" i="3"/>
  <c r="CC643" i="3"/>
  <c r="CC644" i="3"/>
  <c r="CC645" i="3"/>
  <c r="CC646" i="3"/>
  <c r="CC647" i="3"/>
  <c r="CC648" i="3"/>
  <c r="CC649" i="3"/>
  <c r="CC650" i="3"/>
  <c r="CC651" i="3"/>
  <c r="CC652" i="3"/>
  <c r="CC653" i="3"/>
  <c r="CC654" i="3"/>
  <c r="CC655" i="3"/>
  <c r="CC656" i="3"/>
  <c r="CC657" i="3"/>
  <c r="CC658" i="3"/>
  <c r="CC659" i="3"/>
  <c r="CC660" i="3"/>
  <c r="CC661" i="3"/>
  <c r="CC662" i="3"/>
  <c r="CC663" i="3"/>
  <c r="CC664" i="3"/>
  <c r="CC665" i="3"/>
  <c r="CC666" i="3"/>
  <c r="CC667" i="3"/>
  <c r="CC668" i="3"/>
  <c r="CC669" i="3"/>
  <c r="CC670" i="3"/>
  <c r="CC671" i="3"/>
  <c r="CC672" i="3"/>
  <c r="CC673" i="3"/>
  <c r="CC674" i="3"/>
  <c r="CC675" i="3"/>
  <c r="CC676" i="3"/>
  <c r="CC677" i="3"/>
  <c r="BY421" i="3"/>
  <c r="BY422" i="3"/>
  <c r="BY423" i="3"/>
  <c r="BY424" i="3"/>
  <c r="BY425" i="3"/>
  <c r="BY426" i="3"/>
  <c r="BY427" i="3"/>
  <c r="BY428" i="3"/>
  <c r="BY429" i="3"/>
  <c r="BY430" i="3"/>
  <c r="BY431" i="3"/>
  <c r="BY432" i="3"/>
  <c r="BY433" i="3"/>
  <c r="BY434" i="3"/>
  <c r="BY435" i="3"/>
  <c r="BY436" i="3"/>
  <c r="BY437" i="3"/>
  <c r="BY438" i="3"/>
  <c r="BY439" i="3"/>
  <c r="BY440" i="3"/>
  <c r="BY441" i="3"/>
  <c r="BY442" i="3"/>
  <c r="BY443" i="3"/>
  <c r="BY444" i="3"/>
  <c r="BY445" i="3"/>
  <c r="BY446" i="3"/>
  <c r="BY447" i="3"/>
  <c r="BY448" i="3"/>
  <c r="BY449" i="3"/>
  <c r="BY450" i="3"/>
  <c r="BY451" i="3"/>
  <c r="BY452" i="3"/>
  <c r="BY453" i="3"/>
  <c r="BY454" i="3"/>
  <c r="BY455" i="3"/>
  <c r="BY456" i="3"/>
  <c r="BY457" i="3"/>
  <c r="BY458" i="3"/>
  <c r="BY459" i="3"/>
  <c r="BY460" i="3"/>
  <c r="BY461" i="3"/>
  <c r="BY462" i="3"/>
  <c r="BY463" i="3"/>
  <c r="BY464" i="3"/>
  <c r="BY465" i="3"/>
  <c r="BY466" i="3"/>
  <c r="BY467" i="3"/>
  <c r="BY468" i="3"/>
  <c r="BY469" i="3"/>
  <c r="BY470" i="3"/>
  <c r="BY471" i="3"/>
  <c r="BY472" i="3"/>
  <c r="BY473" i="3"/>
  <c r="BY474" i="3"/>
  <c r="BY475" i="3"/>
  <c r="BY476" i="3"/>
  <c r="BY477" i="3"/>
  <c r="BY478" i="3"/>
  <c r="BY479" i="3"/>
  <c r="BY480" i="3"/>
  <c r="BY481" i="3"/>
  <c r="BY482" i="3"/>
  <c r="BY483" i="3"/>
  <c r="BY484" i="3"/>
  <c r="BY485" i="3"/>
  <c r="BY486" i="3"/>
  <c r="BY487" i="3"/>
  <c r="BY488" i="3"/>
  <c r="BY489" i="3"/>
  <c r="BY490" i="3"/>
  <c r="BY491" i="3"/>
  <c r="BY492" i="3"/>
  <c r="BY493" i="3"/>
  <c r="BY494" i="3"/>
  <c r="BY495" i="3"/>
  <c r="BY496" i="3"/>
  <c r="BY497" i="3"/>
  <c r="BY498" i="3"/>
  <c r="BY499" i="3"/>
  <c r="BY500" i="3"/>
  <c r="BY501" i="3"/>
  <c r="BY502" i="3"/>
  <c r="BY503" i="3"/>
  <c r="BY504" i="3"/>
  <c r="BY505" i="3"/>
  <c r="BY506" i="3"/>
  <c r="BY507" i="3"/>
  <c r="BY508" i="3"/>
  <c r="BY509" i="3"/>
  <c r="BY510" i="3"/>
  <c r="BY511" i="3"/>
  <c r="BY512" i="3"/>
  <c r="BY513" i="3"/>
  <c r="BY514" i="3"/>
  <c r="BY515" i="3"/>
  <c r="BY516" i="3"/>
  <c r="BY517" i="3"/>
  <c r="BY518" i="3"/>
  <c r="BY519" i="3"/>
  <c r="BY520" i="3"/>
  <c r="BY521" i="3"/>
  <c r="BY522" i="3"/>
  <c r="BY523" i="3"/>
  <c r="BY524" i="3"/>
  <c r="BY525" i="3"/>
  <c r="BY526" i="3"/>
  <c r="BY527" i="3"/>
  <c r="BY528" i="3"/>
  <c r="BY529" i="3"/>
  <c r="BY530" i="3"/>
  <c r="BY531" i="3"/>
  <c r="BY532" i="3"/>
  <c r="BY533" i="3"/>
  <c r="BY534" i="3"/>
  <c r="BY535" i="3"/>
  <c r="BY536" i="3"/>
  <c r="BY537" i="3"/>
  <c r="BY538" i="3"/>
  <c r="BY539" i="3"/>
  <c r="BY540" i="3"/>
  <c r="BY541" i="3"/>
  <c r="BY542" i="3"/>
  <c r="BY543" i="3"/>
  <c r="BY544" i="3"/>
  <c r="BY545" i="3"/>
  <c r="BY546" i="3"/>
  <c r="BY547" i="3"/>
  <c r="BY548" i="3"/>
  <c r="BY549" i="3"/>
  <c r="BY550" i="3"/>
  <c r="BY551" i="3"/>
  <c r="BY552" i="3"/>
  <c r="BY553" i="3"/>
  <c r="BY554" i="3"/>
  <c r="BY555" i="3"/>
  <c r="BY556" i="3"/>
  <c r="BY557" i="3"/>
  <c r="BY558" i="3"/>
  <c r="BY559" i="3"/>
  <c r="BY560" i="3"/>
  <c r="BY561" i="3"/>
  <c r="BY562" i="3"/>
  <c r="BY563" i="3"/>
  <c r="BY564" i="3"/>
  <c r="BY565" i="3"/>
  <c r="BY566" i="3"/>
  <c r="BY567" i="3"/>
  <c r="BY568" i="3"/>
  <c r="BY569" i="3"/>
  <c r="BY570" i="3"/>
  <c r="BY571" i="3"/>
  <c r="BY572" i="3"/>
  <c r="BY573" i="3"/>
  <c r="BY574" i="3"/>
  <c r="BY575" i="3"/>
  <c r="BY576" i="3"/>
  <c r="BY577" i="3"/>
  <c r="BY578" i="3"/>
  <c r="BY579" i="3"/>
  <c r="BY580" i="3"/>
  <c r="BY581" i="3"/>
  <c r="BY582" i="3"/>
  <c r="BY583" i="3"/>
  <c r="BY584" i="3"/>
  <c r="BY585" i="3"/>
  <c r="BY586" i="3"/>
  <c r="BY587" i="3"/>
  <c r="BY588" i="3"/>
  <c r="BY589" i="3"/>
  <c r="BY590" i="3"/>
  <c r="BY591" i="3"/>
  <c r="BY592" i="3"/>
  <c r="BY593" i="3"/>
  <c r="BY594" i="3"/>
  <c r="BY595" i="3"/>
  <c r="BY596" i="3"/>
  <c r="BY597" i="3"/>
  <c r="BY598" i="3"/>
  <c r="BY599" i="3"/>
  <c r="BY600" i="3"/>
  <c r="BY601" i="3"/>
  <c r="BY602" i="3"/>
  <c r="BY603" i="3"/>
  <c r="BY604" i="3"/>
  <c r="BY605" i="3"/>
  <c r="BY606" i="3"/>
  <c r="BY607" i="3"/>
  <c r="BY608" i="3"/>
  <c r="BY609" i="3"/>
  <c r="BY610" i="3"/>
  <c r="BY611" i="3"/>
  <c r="BY612" i="3"/>
  <c r="BY613" i="3"/>
  <c r="BY614" i="3"/>
  <c r="BY615" i="3"/>
  <c r="BY616" i="3"/>
  <c r="BY617" i="3"/>
  <c r="BY618" i="3"/>
  <c r="BY619" i="3"/>
  <c r="BY620" i="3"/>
  <c r="BY621" i="3"/>
  <c r="BY622" i="3"/>
  <c r="BY623" i="3"/>
  <c r="BY624" i="3"/>
  <c r="BY625" i="3"/>
  <c r="BY626" i="3"/>
  <c r="BY627" i="3"/>
  <c r="BY628" i="3"/>
  <c r="BY629" i="3"/>
  <c r="BY630" i="3"/>
  <c r="BY631" i="3"/>
  <c r="BY632" i="3"/>
  <c r="BY633" i="3"/>
  <c r="BY634" i="3"/>
  <c r="BY635" i="3"/>
  <c r="BY636" i="3"/>
  <c r="BY637" i="3"/>
  <c r="BY638" i="3"/>
  <c r="BY639" i="3"/>
  <c r="BY640" i="3"/>
  <c r="BY641" i="3"/>
  <c r="BY642" i="3"/>
  <c r="BY643" i="3"/>
  <c r="BY644" i="3"/>
  <c r="BY645" i="3"/>
  <c r="BY646" i="3"/>
  <c r="BY647" i="3"/>
  <c r="BY648" i="3"/>
  <c r="BY649" i="3"/>
  <c r="BY650" i="3"/>
  <c r="BY651" i="3"/>
  <c r="BY652" i="3"/>
  <c r="BY653" i="3"/>
  <c r="BY654" i="3"/>
  <c r="BY655" i="3"/>
  <c r="BY656" i="3"/>
  <c r="BY657" i="3"/>
  <c r="BY658" i="3"/>
  <c r="BY659" i="3"/>
  <c r="BY660" i="3"/>
  <c r="BY661" i="3"/>
  <c r="BY662" i="3"/>
  <c r="BY663" i="3"/>
  <c r="BY664" i="3"/>
  <c r="BY665" i="3"/>
  <c r="BY666" i="3"/>
  <c r="BY667" i="3"/>
  <c r="BY668" i="3"/>
  <c r="BY669" i="3"/>
  <c r="BY670" i="3"/>
  <c r="BY671" i="3"/>
  <c r="BY672" i="3"/>
  <c r="BY673" i="3"/>
  <c r="BY674" i="3"/>
  <c r="BY675" i="3"/>
  <c r="BY676" i="3"/>
  <c r="BY677" i="3"/>
  <c r="BT421" i="3"/>
  <c r="BT422" i="3"/>
  <c r="BT423" i="3"/>
  <c r="BT424" i="3"/>
  <c r="BT425" i="3"/>
  <c r="BT426" i="3"/>
  <c r="BT427" i="3"/>
  <c r="BT428" i="3"/>
  <c r="BT429" i="3"/>
  <c r="BT430" i="3"/>
  <c r="BT431" i="3"/>
  <c r="BT432" i="3"/>
  <c r="BT433" i="3"/>
  <c r="BT434" i="3"/>
  <c r="BT435" i="3"/>
  <c r="BT436" i="3"/>
  <c r="BT437" i="3"/>
  <c r="BT438" i="3"/>
  <c r="BT439" i="3"/>
  <c r="BT440" i="3"/>
  <c r="BT441" i="3"/>
  <c r="BT442" i="3"/>
  <c r="BT443" i="3"/>
  <c r="BT444" i="3"/>
  <c r="BT445" i="3"/>
  <c r="BT446" i="3"/>
  <c r="BT447" i="3"/>
  <c r="BT448" i="3"/>
  <c r="BT449" i="3"/>
  <c r="BT450" i="3"/>
  <c r="BT451" i="3"/>
  <c r="BT452" i="3"/>
  <c r="BT453" i="3"/>
  <c r="BT454" i="3"/>
  <c r="BT455" i="3"/>
  <c r="BT456" i="3"/>
  <c r="BT457" i="3"/>
  <c r="BT458" i="3"/>
  <c r="BT459" i="3"/>
  <c r="BT460" i="3"/>
  <c r="BT461" i="3"/>
  <c r="BT462" i="3"/>
  <c r="BT463" i="3"/>
  <c r="BT464" i="3"/>
  <c r="BT465" i="3"/>
  <c r="BT466" i="3"/>
  <c r="BT467" i="3"/>
  <c r="BT468" i="3"/>
  <c r="BT469" i="3"/>
  <c r="BT470" i="3"/>
  <c r="BT471" i="3"/>
  <c r="BT472" i="3"/>
  <c r="BT473" i="3"/>
  <c r="BT474" i="3"/>
  <c r="BT475" i="3"/>
  <c r="BT476" i="3"/>
  <c r="BT477" i="3"/>
  <c r="BT478" i="3"/>
  <c r="BT479" i="3"/>
  <c r="BT480" i="3"/>
  <c r="BT481" i="3"/>
  <c r="BT482" i="3"/>
  <c r="BT483" i="3"/>
  <c r="BT484" i="3"/>
  <c r="BT485" i="3"/>
  <c r="BT486" i="3"/>
  <c r="BT487" i="3"/>
  <c r="BT488" i="3"/>
  <c r="BT489" i="3"/>
  <c r="BT490" i="3"/>
  <c r="BT491" i="3"/>
  <c r="BT492" i="3"/>
  <c r="BT493" i="3"/>
  <c r="BT494" i="3"/>
  <c r="BT495" i="3"/>
  <c r="BT496" i="3"/>
  <c r="BT497" i="3"/>
  <c r="BT498" i="3"/>
  <c r="BT499" i="3"/>
  <c r="BT500" i="3"/>
  <c r="BT501" i="3"/>
  <c r="BT502" i="3"/>
  <c r="BT503" i="3"/>
  <c r="BT504" i="3"/>
  <c r="BT505" i="3"/>
  <c r="BT506" i="3"/>
  <c r="BT507" i="3"/>
  <c r="BT508" i="3"/>
  <c r="BT509" i="3"/>
  <c r="BT510" i="3"/>
  <c r="BT511" i="3"/>
  <c r="BT512" i="3"/>
  <c r="BT513" i="3"/>
  <c r="BT514" i="3"/>
  <c r="BT515" i="3"/>
  <c r="BT516" i="3"/>
  <c r="BT517" i="3"/>
  <c r="BT518" i="3"/>
  <c r="BT519" i="3"/>
  <c r="BT520" i="3"/>
  <c r="BT521" i="3"/>
  <c r="BT522" i="3"/>
  <c r="BT523" i="3"/>
  <c r="BT524" i="3"/>
  <c r="BT525" i="3"/>
  <c r="BT526" i="3"/>
  <c r="BT527" i="3"/>
  <c r="BT528" i="3"/>
  <c r="BT529" i="3"/>
  <c r="BT530" i="3"/>
  <c r="BT531" i="3"/>
  <c r="BT532" i="3"/>
  <c r="BT533" i="3"/>
  <c r="BT534" i="3"/>
  <c r="BT535" i="3"/>
  <c r="BT536" i="3"/>
  <c r="BT537" i="3"/>
  <c r="BT538" i="3"/>
  <c r="BT539" i="3"/>
  <c r="BT540" i="3"/>
  <c r="BT541" i="3"/>
  <c r="BT542" i="3"/>
  <c r="BT543" i="3"/>
  <c r="BT544" i="3"/>
  <c r="BT545" i="3"/>
  <c r="BT546" i="3"/>
  <c r="BT547" i="3"/>
  <c r="BT548" i="3"/>
  <c r="BT549" i="3"/>
  <c r="BT550" i="3"/>
  <c r="BT551" i="3"/>
  <c r="BT552" i="3"/>
  <c r="BT553" i="3"/>
  <c r="BT554" i="3"/>
  <c r="BT555" i="3"/>
  <c r="BT556" i="3"/>
  <c r="BT557" i="3"/>
  <c r="BT558" i="3"/>
  <c r="BT559" i="3"/>
  <c r="BT560" i="3"/>
  <c r="BT561" i="3"/>
  <c r="BT562" i="3"/>
  <c r="BT563" i="3"/>
  <c r="BT564" i="3"/>
  <c r="BT565" i="3"/>
  <c r="BT566" i="3"/>
  <c r="BT567" i="3"/>
  <c r="BT568" i="3"/>
  <c r="BT569" i="3"/>
  <c r="BT570" i="3"/>
  <c r="BT571" i="3"/>
  <c r="BT572" i="3"/>
  <c r="BT573" i="3"/>
  <c r="BT574" i="3"/>
  <c r="BT575" i="3"/>
  <c r="BT576" i="3"/>
  <c r="BT577" i="3"/>
  <c r="BT578" i="3"/>
  <c r="BT579" i="3"/>
  <c r="BT580" i="3"/>
  <c r="BT581" i="3"/>
  <c r="BT582" i="3"/>
  <c r="BT583" i="3"/>
  <c r="BT584" i="3"/>
  <c r="BT585" i="3"/>
  <c r="BT586" i="3"/>
  <c r="BT587" i="3"/>
  <c r="BT588" i="3"/>
  <c r="BT589" i="3"/>
  <c r="BT590" i="3"/>
  <c r="BT591" i="3"/>
  <c r="BT592" i="3"/>
  <c r="BT593" i="3"/>
  <c r="BT594" i="3"/>
  <c r="BT595" i="3"/>
  <c r="BT596" i="3"/>
  <c r="BT597" i="3"/>
  <c r="BT598" i="3"/>
  <c r="BT599" i="3"/>
  <c r="BT600" i="3"/>
  <c r="BT601" i="3"/>
  <c r="BT602" i="3"/>
  <c r="BT603" i="3"/>
  <c r="BT604" i="3"/>
  <c r="BT605" i="3"/>
  <c r="BT606" i="3"/>
  <c r="BT607" i="3"/>
  <c r="BT608" i="3"/>
  <c r="BT609" i="3"/>
  <c r="BT610" i="3"/>
  <c r="BT611" i="3"/>
  <c r="BT612" i="3"/>
  <c r="BT613" i="3"/>
  <c r="BT614" i="3"/>
  <c r="BT615" i="3"/>
  <c r="BT616" i="3"/>
  <c r="BT617" i="3"/>
  <c r="BT618" i="3"/>
  <c r="BT619" i="3"/>
  <c r="BT620" i="3"/>
  <c r="BT621" i="3"/>
  <c r="BT622" i="3"/>
  <c r="BT623" i="3"/>
  <c r="BT624" i="3"/>
  <c r="BT625" i="3"/>
  <c r="BT626" i="3"/>
  <c r="BT627" i="3"/>
  <c r="BT628" i="3"/>
  <c r="BT629" i="3"/>
  <c r="BT630" i="3"/>
  <c r="BT631" i="3"/>
  <c r="BT632" i="3"/>
  <c r="BT633" i="3"/>
  <c r="BT634" i="3"/>
  <c r="BT635" i="3"/>
  <c r="BT636" i="3"/>
  <c r="BT637" i="3"/>
  <c r="BT638" i="3"/>
  <c r="BT639" i="3"/>
  <c r="BT640" i="3"/>
  <c r="BT641" i="3"/>
  <c r="BT642" i="3"/>
  <c r="BT643" i="3"/>
  <c r="BT644" i="3"/>
  <c r="BT645" i="3"/>
  <c r="BT646" i="3"/>
  <c r="BT647" i="3"/>
  <c r="BT648" i="3"/>
  <c r="BT649" i="3"/>
  <c r="BT650" i="3"/>
  <c r="BT651" i="3"/>
  <c r="BT652" i="3"/>
  <c r="BT653" i="3"/>
  <c r="BT654" i="3"/>
  <c r="BT655" i="3"/>
  <c r="BT656" i="3"/>
  <c r="BT657" i="3"/>
  <c r="BT658" i="3"/>
  <c r="BT659" i="3"/>
  <c r="BT660" i="3"/>
  <c r="BT661" i="3"/>
  <c r="BT662" i="3"/>
  <c r="BT663" i="3"/>
  <c r="BT664" i="3"/>
  <c r="BT665" i="3"/>
  <c r="BT666" i="3"/>
  <c r="BT667" i="3"/>
  <c r="BT668" i="3"/>
  <c r="BT669" i="3"/>
  <c r="BT670" i="3"/>
  <c r="BT671" i="3"/>
  <c r="BT672" i="3"/>
  <c r="BT673" i="3"/>
  <c r="BT674" i="3"/>
  <c r="BT675" i="3"/>
  <c r="BT676" i="3"/>
  <c r="BT677" i="3"/>
  <c r="BP421" i="3"/>
  <c r="BP422" i="3"/>
  <c r="BP423" i="3"/>
  <c r="BP424" i="3"/>
  <c r="BP425" i="3"/>
  <c r="BP426" i="3"/>
  <c r="BP427" i="3"/>
  <c r="BP428" i="3"/>
  <c r="BP429" i="3"/>
  <c r="BP430" i="3"/>
  <c r="BP431" i="3"/>
  <c r="BP432" i="3"/>
  <c r="BP433" i="3"/>
  <c r="BP434" i="3"/>
  <c r="BP435" i="3"/>
  <c r="BP436" i="3"/>
  <c r="BP437" i="3"/>
  <c r="BP438" i="3"/>
  <c r="BP439" i="3"/>
  <c r="BP440" i="3"/>
  <c r="BP441" i="3"/>
  <c r="BP442" i="3"/>
  <c r="BP443" i="3"/>
  <c r="BP444" i="3"/>
  <c r="BP445" i="3"/>
  <c r="BP446" i="3"/>
  <c r="BP447" i="3"/>
  <c r="BP448" i="3"/>
  <c r="BP449" i="3"/>
  <c r="BP450" i="3"/>
  <c r="BP451" i="3"/>
  <c r="BP452" i="3"/>
  <c r="BP453" i="3"/>
  <c r="BP454" i="3"/>
  <c r="BP455" i="3"/>
  <c r="BP456" i="3"/>
  <c r="BP457" i="3"/>
  <c r="BP458" i="3"/>
  <c r="BP459" i="3"/>
  <c r="BP460" i="3"/>
  <c r="BP461" i="3"/>
  <c r="BP462" i="3"/>
  <c r="BP463" i="3"/>
  <c r="BP464" i="3"/>
  <c r="BP465" i="3"/>
  <c r="BP466" i="3"/>
  <c r="BP467" i="3"/>
  <c r="BP468" i="3"/>
  <c r="BP469" i="3"/>
  <c r="BP470" i="3"/>
  <c r="BP471" i="3"/>
  <c r="BP472" i="3"/>
  <c r="BP473" i="3"/>
  <c r="BP474" i="3"/>
  <c r="BP475" i="3"/>
  <c r="BP476" i="3"/>
  <c r="BP477" i="3"/>
  <c r="BP478" i="3"/>
  <c r="BP479" i="3"/>
  <c r="BP480" i="3"/>
  <c r="BP481" i="3"/>
  <c r="BP482" i="3"/>
  <c r="BP483" i="3"/>
  <c r="BP484" i="3"/>
  <c r="BP485" i="3"/>
  <c r="BP486" i="3"/>
  <c r="BP487" i="3"/>
  <c r="BP488" i="3"/>
  <c r="BP489" i="3"/>
  <c r="BP490" i="3"/>
  <c r="BP491" i="3"/>
  <c r="BP492" i="3"/>
  <c r="BP493" i="3"/>
  <c r="BP494" i="3"/>
  <c r="BP495" i="3"/>
  <c r="BP496" i="3"/>
  <c r="BP497" i="3"/>
  <c r="BP498" i="3"/>
  <c r="BP499" i="3"/>
  <c r="BP500" i="3"/>
  <c r="BP501" i="3"/>
  <c r="BP502" i="3"/>
  <c r="BP503" i="3"/>
  <c r="BP504" i="3"/>
  <c r="BP505" i="3"/>
  <c r="BP506" i="3"/>
  <c r="BP507" i="3"/>
  <c r="BP508" i="3"/>
  <c r="BP509" i="3"/>
  <c r="BP510" i="3"/>
  <c r="BP511" i="3"/>
  <c r="BP512" i="3"/>
  <c r="BP513" i="3"/>
  <c r="BP514" i="3"/>
  <c r="BP515" i="3"/>
  <c r="BP516" i="3"/>
  <c r="BP517" i="3"/>
  <c r="BP518" i="3"/>
  <c r="BP519" i="3"/>
  <c r="BP520" i="3"/>
  <c r="BP521" i="3"/>
  <c r="BP522" i="3"/>
  <c r="BP523" i="3"/>
  <c r="BP524" i="3"/>
  <c r="BP525" i="3"/>
  <c r="BP526" i="3"/>
  <c r="BP527" i="3"/>
  <c r="BP528" i="3"/>
  <c r="BP529" i="3"/>
  <c r="BP530" i="3"/>
  <c r="BP531" i="3"/>
  <c r="BP532" i="3"/>
  <c r="BP533" i="3"/>
  <c r="BP534" i="3"/>
  <c r="BP535" i="3"/>
  <c r="BP536" i="3"/>
  <c r="BP537" i="3"/>
  <c r="BP538" i="3"/>
  <c r="BP539" i="3"/>
  <c r="BP540" i="3"/>
  <c r="BP541" i="3"/>
  <c r="BP542" i="3"/>
  <c r="BP543" i="3"/>
  <c r="BP544" i="3"/>
  <c r="BP545" i="3"/>
  <c r="BP546" i="3"/>
  <c r="BP547" i="3"/>
  <c r="BP548" i="3"/>
  <c r="BP549" i="3"/>
  <c r="BP550" i="3"/>
  <c r="BP551" i="3"/>
  <c r="BP552" i="3"/>
  <c r="BP553" i="3"/>
  <c r="BP554" i="3"/>
  <c r="BP555" i="3"/>
  <c r="BP556" i="3"/>
  <c r="BP557" i="3"/>
  <c r="BP558" i="3"/>
  <c r="BP559" i="3"/>
  <c r="BP560" i="3"/>
  <c r="BP561" i="3"/>
  <c r="BP562" i="3"/>
  <c r="BP563" i="3"/>
  <c r="BP564" i="3"/>
  <c r="BP565" i="3"/>
  <c r="BP566" i="3"/>
  <c r="BP567" i="3"/>
  <c r="BP568" i="3"/>
  <c r="BP569" i="3"/>
  <c r="BP570" i="3"/>
  <c r="BP571" i="3"/>
  <c r="BP572" i="3"/>
  <c r="BP573" i="3"/>
  <c r="BP574" i="3"/>
  <c r="BP575" i="3"/>
  <c r="BP576" i="3"/>
  <c r="BP577" i="3"/>
  <c r="BP578" i="3"/>
  <c r="BP579" i="3"/>
  <c r="BP580" i="3"/>
  <c r="BP581" i="3"/>
  <c r="BP582" i="3"/>
  <c r="BP583" i="3"/>
  <c r="BP584" i="3"/>
  <c r="BP585" i="3"/>
  <c r="BP586" i="3"/>
  <c r="BP587" i="3"/>
  <c r="BP588" i="3"/>
  <c r="BP589" i="3"/>
  <c r="BP590" i="3"/>
  <c r="BP591" i="3"/>
  <c r="BP592" i="3"/>
  <c r="BP593" i="3"/>
  <c r="BP594" i="3"/>
  <c r="BP595" i="3"/>
  <c r="BP596" i="3"/>
  <c r="BP597" i="3"/>
  <c r="BP598" i="3"/>
  <c r="BP599" i="3"/>
  <c r="BP600" i="3"/>
  <c r="BP601" i="3"/>
  <c r="BP602" i="3"/>
  <c r="BP603" i="3"/>
  <c r="BP604" i="3"/>
  <c r="BP605" i="3"/>
  <c r="BP606" i="3"/>
  <c r="BP607" i="3"/>
  <c r="BP608" i="3"/>
  <c r="BP609" i="3"/>
  <c r="BP610" i="3"/>
  <c r="BP611" i="3"/>
  <c r="BP612" i="3"/>
  <c r="BP613" i="3"/>
  <c r="BP614" i="3"/>
  <c r="BP615" i="3"/>
  <c r="BP616" i="3"/>
  <c r="BP617" i="3"/>
  <c r="BP618" i="3"/>
  <c r="BP619" i="3"/>
  <c r="BP620" i="3"/>
  <c r="BP621" i="3"/>
  <c r="BP622" i="3"/>
  <c r="BP623" i="3"/>
  <c r="BP624" i="3"/>
  <c r="BP625" i="3"/>
  <c r="BP626" i="3"/>
  <c r="BP627" i="3"/>
  <c r="BP628" i="3"/>
  <c r="BP629" i="3"/>
  <c r="BP630" i="3"/>
  <c r="BP631" i="3"/>
  <c r="BP632" i="3"/>
  <c r="BP633" i="3"/>
  <c r="BP634" i="3"/>
  <c r="BP635" i="3"/>
  <c r="BP636" i="3"/>
  <c r="BP637" i="3"/>
  <c r="BP638" i="3"/>
  <c r="BP639" i="3"/>
  <c r="BP640" i="3"/>
  <c r="BP641" i="3"/>
  <c r="BP642" i="3"/>
  <c r="BP643" i="3"/>
  <c r="BP644" i="3"/>
  <c r="BP645" i="3"/>
  <c r="BP646" i="3"/>
  <c r="BP647" i="3"/>
  <c r="BP648" i="3"/>
  <c r="BP649" i="3"/>
  <c r="BP650" i="3"/>
  <c r="BP651" i="3"/>
  <c r="BP652" i="3"/>
  <c r="BP653" i="3"/>
  <c r="BP654" i="3"/>
  <c r="BP655" i="3"/>
  <c r="BP656" i="3"/>
  <c r="BP657" i="3"/>
  <c r="BP658" i="3"/>
  <c r="BP659" i="3"/>
  <c r="BP660" i="3"/>
  <c r="BP661" i="3"/>
  <c r="BP662" i="3"/>
  <c r="BP663" i="3"/>
  <c r="BP664" i="3"/>
  <c r="BP665" i="3"/>
  <c r="BP666" i="3"/>
  <c r="BP667" i="3"/>
  <c r="BP668" i="3"/>
  <c r="BP669" i="3"/>
  <c r="BP670" i="3"/>
  <c r="BP671" i="3"/>
  <c r="BP672" i="3"/>
  <c r="BP673" i="3"/>
  <c r="BP674" i="3"/>
  <c r="BP675" i="3"/>
  <c r="BP676" i="3"/>
  <c r="BP677" i="3"/>
  <c r="BL421" i="3"/>
  <c r="BL422" i="3"/>
  <c r="BL423" i="3"/>
  <c r="BL424" i="3"/>
  <c r="BL425" i="3"/>
  <c r="BL426" i="3"/>
  <c r="BL427" i="3"/>
  <c r="BL428" i="3"/>
  <c r="BL429" i="3"/>
  <c r="BL430" i="3"/>
  <c r="BL431" i="3"/>
  <c r="BL432" i="3"/>
  <c r="BL433" i="3"/>
  <c r="BL434" i="3"/>
  <c r="BL435" i="3"/>
  <c r="BL436" i="3"/>
  <c r="BL437" i="3"/>
  <c r="BL438" i="3"/>
  <c r="BL439" i="3"/>
  <c r="BL440" i="3"/>
  <c r="BL441" i="3"/>
  <c r="BL442" i="3"/>
  <c r="BL443" i="3"/>
  <c r="BL444" i="3"/>
  <c r="BL445" i="3"/>
  <c r="BL446" i="3"/>
  <c r="BL447" i="3"/>
  <c r="BL448" i="3"/>
  <c r="BL449" i="3"/>
  <c r="BL450" i="3"/>
  <c r="BL451" i="3"/>
  <c r="BL452" i="3"/>
  <c r="BL453" i="3"/>
  <c r="BL454" i="3"/>
  <c r="BL455" i="3"/>
  <c r="BL456" i="3"/>
  <c r="BL457" i="3"/>
  <c r="BL458" i="3"/>
  <c r="BL459" i="3"/>
  <c r="BL460" i="3"/>
  <c r="BL461" i="3"/>
  <c r="BL462" i="3"/>
  <c r="BL463" i="3"/>
  <c r="BL464" i="3"/>
  <c r="BL465" i="3"/>
  <c r="BL466" i="3"/>
  <c r="BL467" i="3"/>
  <c r="BL468" i="3"/>
  <c r="BL469" i="3"/>
  <c r="BL470" i="3"/>
  <c r="BL471" i="3"/>
  <c r="BL472" i="3"/>
  <c r="BL473" i="3"/>
  <c r="BL474" i="3"/>
  <c r="BL475" i="3"/>
  <c r="BL476" i="3"/>
  <c r="BL477" i="3"/>
  <c r="BL478" i="3"/>
  <c r="BL479" i="3"/>
  <c r="BL480" i="3"/>
  <c r="BL481" i="3"/>
  <c r="BL482" i="3"/>
  <c r="BL483" i="3"/>
  <c r="BL484" i="3"/>
  <c r="BL485" i="3"/>
  <c r="BL486" i="3"/>
  <c r="BL487" i="3"/>
  <c r="BL488" i="3"/>
  <c r="BL489" i="3"/>
  <c r="BL490" i="3"/>
  <c r="BL491" i="3"/>
  <c r="BL492" i="3"/>
  <c r="BL493" i="3"/>
  <c r="BL494" i="3"/>
  <c r="BL495" i="3"/>
  <c r="BL496" i="3"/>
  <c r="BL497" i="3"/>
  <c r="BL498" i="3"/>
  <c r="BL499" i="3"/>
  <c r="BL500" i="3"/>
  <c r="BL501" i="3"/>
  <c r="BL502" i="3"/>
  <c r="BL503" i="3"/>
  <c r="BL504" i="3"/>
  <c r="BL505" i="3"/>
  <c r="BL506" i="3"/>
  <c r="BL507" i="3"/>
  <c r="BL508" i="3"/>
  <c r="BL509" i="3"/>
  <c r="BL510" i="3"/>
  <c r="BL511" i="3"/>
  <c r="BL512" i="3"/>
  <c r="BL513" i="3"/>
  <c r="BL514" i="3"/>
  <c r="BL515" i="3"/>
  <c r="BL516" i="3"/>
  <c r="BL517" i="3"/>
  <c r="BL518" i="3"/>
  <c r="BL519" i="3"/>
  <c r="BL520" i="3"/>
  <c r="BL521" i="3"/>
  <c r="BL522" i="3"/>
  <c r="BL523" i="3"/>
  <c r="BL524" i="3"/>
  <c r="BL525" i="3"/>
  <c r="BL526" i="3"/>
  <c r="BL527" i="3"/>
  <c r="BL528" i="3"/>
  <c r="BL529" i="3"/>
  <c r="BL530" i="3"/>
  <c r="BL531" i="3"/>
  <c r="BL532" i="3"/>
  <c r="BL533" i="3"/>
  <c r="BL534" i="3"/>
  <c r="BL535" i="3"/>
  <c r="BL536" i="3"/>
  <c r="BL537" i="3"/>
  <c r="BL538" i="3"/>
  <c r="BL539" i="3"/>
  <c r="BL540" i="3"/>
  <c r="BL541" i="3"/>
  <c r="BL542" i="3"/>
  <c r="BL543" i="3"/>
  <c r="BL544" i="3"/>
  <c r="BL545" i="3"/>
  <c r="BL546" i="3"/>
  <c r="BL547" i="3"/>
  <c r="BL548" i="3"/>
  <c r="BL549" i="3"/>
  <c r="BL550" i="3"/>
  <c r="BL551" i="3"/>
  <c r="BL552" i="3"/>
  <c r="BL553" i="3"/>
  <c r="BL554" i="3"/>
  <c r="BL555" i="3"/>
  <c r="BL556" i="3"/>
  <c r="BL557" i="3"/>
  <c r="BL558" i="3"/>
  <c r="BL559" i="3"/>
  <c r="BL560" i="3"/>
  <c r="BL561" i="3"/>
  <c r="BL562" i="3"/>
  <c r="BL563" i="3"/>
  <c r="BL564" i="3"/>
  <c r="BL565" i="3"/>
  <c r="BL566" i="3"/>
  <c r="BL567" i="3"/>
  <c r="BL568" i="3"/>
  <c r="BL569" i="3"/>
  <c r="BL570" i="3"/>
  <c r="BL571" i="3"/>
  <c r="BL572" i="3"/>
  <c r="BL573" i="3"/>
  <c r="BL574" i="3"/>
  <c r="BL575" i="3"/>
  <c r="BL576" i="3"/>
  <c r="BL577" i="3"/>
  <c r="BL578" i="3"/>
  <c r="BL579" i="3"/>
  <c r="BL580" i="3"/>
  <c r="BL581" i="3"/>
  <c r="BL582" i="3"/>
  <c r="BL583" i="3"/>
  <c r="BL584" i="3"/>
  <c r="BL585" i="3"/>
  <c r="BL586" i="3"/>
  <c r="BL587" i="3"/>
  <c r="BL588" i="3"/>
  <c r="BL589" i="3"/>
  <c r="BL590" i="3"/>
  <c r="BL591" i="3"/>
  <c r="BL592" i="3"/>
  <c r="BL593" i="3"/>
  <c r="BL594" i="3"/>
  <c r="BL595" i="3"/>
  <c r="BL596" i="3"/>
  <c r="BL597" i="3"/>
  <c r="BL598" i="3"/>
  <c r="BL599" i="3"/>
  <c r="BL600" i="3"/>
  <c r="BL601" i="3"/>
  <c r="BL602" i="3"/>
  <c r="BL603" i="3"/>
  <c r="BL604" i="3"/>
  <c r="BL605" i="3"/>
  <c r="BL606" i="3"/>
  <c r="BL607" i="3"/>
  <c r="BL608" i="3"/>
  <c r="BL609" i="3"/>
  <c r="BL610" i="3"/>
  <c r="BL611" i="3"/>
  <c r="BL612" i="3"/>
  <c r="BL613" i="3"/>
  <c r="BL614" i="3"/>
  <c r="BL615" i="3"/>
  <c r="BL616" i="3"/>
  <c r="BL617" i="3"/>
  <c r="BL618" i="3"/>
  <c r="BL619" i="3"/>
  <c r="BL620" i="3"/>
  <c r="BL621" i="3"/>
  <c r="BL622" i="3"/>
  <c r="BL623" i="3"/>
  <c r="BL624" i="3"/>
  <c r="BL625" i="3"/>
  <c r="BL626" i="3"/>
  <c r="BL627" i="3"/>
  <c r="BL628" i="3"/>
  <c r="BL629" i="3"/>
  <c r="BL630" i="3"/>
  <c r="BL631" i="3"/>
  <c r="BL632" i="3"/>
  <c r="BL633" i="3"/>
  <c r="BL634" i="3"/>
  <c r="BL635" i="3"/>
  <c r="BL636" i="3"/>
  <c r="BL637" i="3"/>
  <c r="BL638" i="3"/>
  <c r="BL639" i="3"/>
  <c r="BL640" i="3"/>
  <c r="BL641" i="3"/>
  <c r="BL642" i="3"/>
  <c r="BL643" i="3"/>
  <c r="BL644" i="3"/>
  <c r="BL645" i="3"/>
  <c r="BL646" i="3"/>
  <c r="BL647" i="3"/>
  <c r="BL648" i="3"/>
  <c r="BL649" i="3"/>
  <c r="BL650" i="3"/>
  <c r="BL651" i="3"/>
  <c r="BL652" i="3"/>
  <c r="BL653" i="3"/>
  <c r="BL654" i="3"/>
  <c r="BL655" i="3"/>
  <c r="BL656" i="3"/>
  <c r="BL657" i="3"/>
  <c r="BL658" i="3"/>
  <c r="BL659" i="3"/>
  <c r="BL660" i="3"/>
  <c r="BL661" i="3"/>
  <c r="BL662" i="3"/>
  <c r="BL663" i="3"/>
  <c r="BL664" i="3"/>
  <c r="BL665" i="3"/>
  <c r="BL666" i="3"/>
  <c r="BL667" i="3"/>
  <c r="BL668" i="3"/>
  <c r="BL669" i="3"/>
  <c r="BL670" i="3"/>
  <c r="BL671" i="3"/>
  <c r="BL672" i="3"/>
  <c r="BL673" i="3"/>
  <c r="BL674" i="3"/>
  <c r="BL675" i="3"/>
  <c r="BL676" i="3"/>
  <c r="BL677" i="3"/>
  <c r="BG421" i="3"/>
  <c r="BG422" i="3"/>
  <c r="BG423" i="3"/>
  <c r="BG424" i="3"/>
  <c r="BG425" i="3"/>
  <c r="BG426" i="3"/>
  <c r="BG427" i="3"/>
  <c r="BG428" i="3"/>
  <c r="BG429" i="3"/>
  <c r="BG430" i="3"/>
  <c r="BG431" i="3"/>
  <c r="BG432" i="3"/>
  <c r="BG433" i="3"/>
  <c r="BG434" i="3"/>
  <c r="BG435" i="3"/>
  <c r="BG436" i="3"/>
  <c r="BG437" i="3"/>
  <c r="BG438" i="3"/>
  <c r="BG439" i="3"/>
  <c r="BG440" i="3"/>
  <c r="BG441" i="3"/>
  <c r="BG442" i="3"/>
  <c r="BG443" i="3"/>
  <c r="BG444" i="3"/>
  <c r="BG445" i="3"/>
  <c r="BG446" i="3"/>
  <c r="BG447" i="3"/>
  <c r="BG448" i="3"/>
  <c r="BG449" i="3"/>
  <c r="BG450" i="3"/>
  <c r="BG451" i="3"/>
  <c r="BG452" i="3"/>
  <c r="BG453" i="3"/>
  <c r="BG454" i="3"/>
  <c r="BG455" i="3"/>
  <c r="BG456" i="3"/>
  <c r="BG457" i="3"/>
  <c r="BG458" i="3"/>
  <c r="BG459" i="3"/>
  <c r="BG460" i="3"/>
  <c r="BG461" i="3"/>
  <c r="BG462" i="3"/>
  <c r="BG463" i="3"/>
  <c r="BG464" i="3"/>
  <c r="BG465" i="3"/>
  <c r="BG466" i="3"/>
  <c r="BG467" i="3"/>
  <c r="BG468" i="3"/>
  <c r="BG469" i="3"/>
  <c r="BG470" i="3"/>
  <c r="BG471" i="3"/>
  <c r="BG472" i="3"/>
  <c r="BG473" i="3"/>
  <c r="BG474" i="3"/>
  <c r="BG475" i="3"/>
  <c r="BG476" i="3"/>
  <c r="BG477" i="3"/>
  <c r="BG478" i="3"/>
  <c r="BG479" i="3"/>
  <c r="BG480" i="3"/>
  <c r="BG481" i="3"/>
  <c r="BG482" i="3"/>
  <c r="BG483" i="3"/>
  <c r="BG484" i="3"/>
  <c r="BG485" i="3"/>
  <c r="BG486" i="3"/>
  <c r="BG487" i="3"/>
  <c r="BG488" i="3"/>
  <c r="BG489" i="3"/>
  <c r="BG490" i="3"/>
  <c r="BG491" i="3"/>
  <c r="BG492" i="3"/>
  <c r="BG493" i="3"/>
  <c r="BG494" i="3"/>
  <c r="BG495" i="3"/>
  <c r="BG496" i="3"/>
  <c r="BG497" i="3"/>
  <c r="BG498" i="3"/>
  <c r="BG499" i="3"/>
  <c r="BG500" i="3"/>
  <c r="BG501" i="3"/>
  <c r="BG502" i="3"/>
  <c r="BG503" i="3"/>
  <c r="BG504" i="3"/>
  <c r="BG505" i="3"/>
  <c r="BG506" i="3"/>
  <c r="BG507" i="3"/>
  <c r="BG508" i="3"/>
  <c r="BG509" i="3"/>
  <c r="BG510" i="3"/>
  <c r="BG511" i="3"/>
  <c r="BG512" i="3"/>
  <c r="BG513" i="3"/>
  <c r="BG514" i="3"/>
  <c r="BG515" i="3"/>
  <c r="BG516" i="3"/>
  <c r="BG517" i="3"/>
  <c r="BG518" i="3"/>
  <c r="BG519" i="3"/>
  <c r="BG520" i="3"/>
  <c r="BG521" i="3"/>
  <c r="BG522" i="3"/>
  <c r="BG523" i="3"/>
  <c r="BG524" i="3"/>
  <c r="BG525" i="3"/>
  <c r="BG526" i="3"/>
  <c r="BG527" i="3"/>
  <c r="BG528" i="3"/>
  <c r="BG529" i="3"/>
  <c r="BG530" i="3"/>
  <c r="BG531" i="3"/>
  <c r="BG532" i="3"/>
  <c r="BG533" i="3"/>
  <c r="BG534" i="3"/>
  <c r="BG535" i="3"/>
  <c r="BG536" i="3"/>
  <c r="BG537" i="3"/>
  <c r="BG538" i="3"/>
  <c r="BG539" i="3"/>
  <c r="BG540" i="3"/>
  <c r="BG541" i="3"/>
  <c r="BG542" i="3"/>
  <c r="BG543" i="3"/>
  <c r="BG544" i="3"/>
  <c r="BG545" i="3"/>
  <c r="BG546" i="3"/>
  <c r="BG547" i="3"/>
  <c r="BG548" i="3"/>
  <c r="BG549" i="3"/>
  <c r="BG550" i="3"/>
  <c r="BG551" i="3"/>
  <c r="BG552" i="3"/>
  <c r="BG553" i="3"/>
  <c r="BG554" i="3"/>
  <c r="BG555" i="3"/>
  <c r="BG556" i="3"/>
  <c r="BG557" i="3"/>
  <c r="BG558" i="3"/>
  <c r="BG559" i="3"/>
  <c r="BG560" i="3"/>
  <c r="BG561" i="3"/>
  <c r="BG562" i="3"/>
  <c r="BG563" i="3"/>
  <c r="BG564" i="3"/>
  <c r="BG565" i="3"/>
  <c r="BG566" i="3"/>
  <c r="BG567" i="3"/>
  <c r="BG568" i="3"/>
  <c r="BG569" i="3"/>
  <c r="BG570" i="3"/>
  <c r="BG571" i="3"/>
  <c r="BG572" i="3"/>
  <c r="BG573" i="3"/>
  <c r="BG574" i="3"/>
  <c r="BG575" i="3"/>
  <c r="BG576" i="3"/>
  <c r="BG577" i="3"/>
  <c r="BG578" i="3"/>
  <c r="BG579" i="3"/>
  <c r="BG580" i="3"/>
  <c r="BG581" i="3"/>
  <c r="BG582" i="3"/>
  <c r="BG583" i="3"/>
  <c r="BG584" i="3"/>
  <c r="BG585" i="3"/>
  <c r="BG586" i="3"/>
  <c r="BG587" i="3"/>
  <c r="BG588" i="3"/>
  <c r="BG589" i="3"/>
  <c r="BG590" i="3"/>
  <c r="BG591" i="3"/>
  <c r="BG592" i="3"/>
  <c r="BG593" i="3"/>
  <c r="BG594" i="3"/>
  <c r="BG595" i="3"/>
  <c r="BG596" i="3"/>
  <c r="BG597" i="3"/>
  <c r="BG598" i="3"/>
  <c r="BG599" i="3"/>
  <c r="BG600" i="3"/>
  <c r="BG601" i="3"/>
  <c r="BG602" i="3"/>
  <c r="BG603" i="3"/>
  <c r="BG604" i="3"/>
  <c r="BG605" i="3"/>
  <c r="BG606" i="3"/>
  <c r="BG607" i="3"/>
  <c r="BG608" i="3"/>
  <c r="BG609" i="3"/>
  <c r="BG610" i="3"/>
  <c r="BG611" i="3"/>
  <c r="BG612" i="3"/>
  <c r="BG613" i="3"/>
  <c r="BG614" i="3"/>
  <c r="BG615" i="3"/>
  <c r="BG616" i="3"/>
  <c r="BG617" i="3"/>
  <c r="BG618" i="3"/>
  <c r="BG619" i="3"/>
  <c r="BG620" i="3"/>
  <c r="BG621" i="3"/>
  <c r="BG622" i="3"/>
  <c r="BG623" i="3"/>
  <c r="BG624" i="3"/>
  <c r="BG625" i="3"/>
  <c r="BG626" i="3"/>
  <c r="BG627" i="3"/>
  <c r="BG628" i="3"/>
  <c r="BG629" i="3"/>
  <c r="BG630" i="3"/>
  <c r="BG631" i="3"/>
  <c r="BG632" i="3"/>
  <c r="BG633" i="3"/>
  <c r="BG634" i="3"/>
  <c r="BG635" i="3"/>
  <c r="BG636" i="3"/>
  <c r="BG637" i="3"/>
  <c r="BG638" i="3"/>
  <c r="BG639" i="3"/>
  <c r="BG640" i="3"/>
  <c r="BG641" i="3"/>
  <c r="BG642" i="3"/>
  <c r="BG643" i="3"/>
  <c r="BG644" i="3"/>
  <c r="BG645" i="3"/>
  <c r="BG646" i="3"/>
  <c r="BG647" i="3"/>
  <c r="BG648" i="3"/>
  <c r="BG649" i="3"/>
  <c r="BG650" i="3"/>
  <c r="BG651" i="3"/>
  <c r="BG652" i="3"/>
  <c r="BG653" i="3"/>
  <c r="BG654" i="3"/>
  <c r="BG655" i="3"/>
  <c r="BG656" i="3"/>
  <c r="BG657" i="3"/>
  <c r="BG658" i="3"/>
  <c r="BG659" i="3"/>
  <c r="BG660" i="3"/>
  <c r="BG661" i="3"/>
  <c r="BG662" i="3"/>
  <c r="BG663" i="3"/>
  <c r="BG664" i="3"/>
  <c r="BG665" i="3"/>
  <c r="BG666" i="3"/>
  <c r="BG667" i="3"/>
  <c r="BG668" i="3"/>
  <c r="BG669" i="3"/>
  <c r="BG670" i="3"/>
  <c r="BG671" i="3"/>
  <c r="BG672" i="3"/>
  <c r="BG673" i="3"/>
  <c r="BG674" i="3"/>
  <c r="BG675" i="3"/>
  <c r="BG676" i="3"/>
  <c r="BG677" i="3"/>
  <c r="BC421" i="3"/>
  <c r="BC422" i="3"/>
  <c r="BC423" i="3"/>
  <c r="BC424" i="3"/>
  <c r="BC425" i="3"/>
  <c r="BC426" i="3"/>
  <c r="BC427" i="3"/>
  <c r="BC428" i="3"/>
  <c r="BC429" i="3"/>
  <c r="BC430" i="3"/>
  <c r="BC431" i="3"/>
  <c r="BC432" i="3"/>
  <c r="BC433" i="3"/>
  <c r="BC434" i="3"/>
  <c r="BC435" i="3"/>
  <c r="BC436" i="3"/>
  <c r="BC437" i="3"/>
  <c r="BC438" i="3"/>
  <c r="BC439" i="3"/>
  <c r="BC440" i="3"/>
  <c r="BC441" i="3"/>
  <c r="BC442" i="3"/>
  <c r="BC443" i="3"/>
  <c r="BC444" i="3"/>
  <c r="BC445" i="3"/>
  <c r="BC446" i="3"/>
  <c r="BC447" i="3"/>
  <c r="BC448" i="3"/>
  <c r="BC449" i="3"/>
  <c r="BC450" i="3"/>
  <c r="BC451" i="3"/>
  <c r="BC452" i="3"/>
  <c r="BC453" i="3"/>
  <c r="BC454" i="3"/>
  <c r="BC455" i="3"/>
  <c r="BC456" i="3"/>
  <c r="BC457" i="3"/>
  <c r="BC458" i="3"/>
  <c r="BC459" i="3"/>
  <c r="BC460" i="3"/>
  <c r="BC461" i="3"/>
  <c r="BC462" i="3"/>
  <c r="BC463" i="3"/>
  <c r="BC464" i="3"/>
  <c r="BC465" i="3"/>
  <c r="BC466" i="3"/>
  <c r="BC467" i="3"/>
  <c r="BC468" i="3"/>
  <c r="BC469" i="3"/>
  <c r="BC470" i="3"/>
  <c r="BC471" i="3"/>
  <c r="BC472" i="3"/>
  <c r="BC473" i="3"/>
  <c r="BC474" i="3"/>
  <c r="BC475" i="3"/>
  <c r="BC476" i="3"/>
  <c r="BC477" i="3"/>
  <c r="BC478" i="3"/>
  <c r="BC479" i="3"/>
  <c r="BC480" i="3"/>
  <c r="BC481" i="3"/>
  <c r="BC482" i="3"/>
  <c r="BC483" i="3"/>
  <c r="BC484" i="3"/>
  <c r="BC485" i="3"/>
  <c r="BC486" i="3"/>
  <c r="BC487" i="3"/>
  <c r="BC488" i="3"/>
  <c r="BC489" i="3"/>
  <c r="BC490" i="3"/>
  <c r="BC491" i="3"/>
  <c r="BC492" i="3"/>
  <c r="BC493" i="3"/>
  <c r="BC494" i="3"/>
  <c r="BC495" i="3"/>
  <c r="BC496" i="3"/>
  <c r="BC497" i="3"/>
  <c r="BC498" i="3"/>
  <c r="BC499" i="3"/>
  <c r="BC500" i="3"/>
  <c r="BC501" i="3"/>
  <c r="BC502" i="3"/>
  <c r="BC503" i="3"/>
  <c r="BC504" i="3"/>
  <c r="BC505" i="3"/>
  <c r="BC506" i="3"/>
  <c r="BC507" i="3"/>
  <c r="BC508" i="3"/>
  <c r="BC509" i="3"/>
  <c r="BC510" i="3"/>
  <c r="BC511" i="3"/>
  <c r="BC512" i="3"/>
  <c r="BC513" i="3"/>
  <c r="BC514" i="3"/>
  <c r="BC515" i="3"/>
  <c r="BC516" i="3"/>
  <c r="BC517" i="3"/>
  <c r="BC518" i="3"/>
  <c r="BC519" i="3"/>
  <c r="BC520" i="3"/>
  <c r="BC521" i="3"/>
  <c r="BC522" i="3"/>
  <c r="BC523" i="3"/>
  <c r="BC524" i="3"/>
  <c r="BC525" i="3"/>
  <c r="BC526" i="3"/>
  <c r="BC527" i="3"/>
  <c r="BC528" i="3"/>
  <c r="BC529" i="3"/>
  <c r="BC530" i="3"/>
  <c r="BC531" i="3"/>
  <c r="BC532" i="3"/>
  <c r="BC533" i="3"/>
  <c r="BC534" i="3"/>
  <c r="BC535" i="3"/>
  <c r="BC536" i="3"/>
  <c r="BC537" i="3"/>
  <c r="BC538" i="3"/>
  <c r="BC539" i="3"/>
  <c r="BC540" i="3"/>
  <c r="BC541" i="3"/>
  <c r="BC542" i="3"/>
  <c r="BC543" i="3"/>
  <c r="BC544" i="3"/>
  <c r="BC545" i="3"/>
  <c r="BC546" i="3"/>
  <c r="BC547" i="3"/>
  <c r="BC548" i="3"/>
  <c r="BC549" i="3"/>
  <c r="BC550" i="3"/>
  <c r="BC551" i="3"/>
  <c r="BC552" i="3"/>
  <c r="BC553" i="3"/>
  <c r="BC554" i="3"/>
  <c r="BC555" i="3"/>
  <c r="BC556" i="3"/>
  <c r="BC557" i="3"/>
  <c r="BC558" i="3"/>
  <c r="BC559" i="3"/>
  <c r="BC560" i="3"/>
  <c r="BC561" i="3"/>
  <c r="BC562" i="3"/>
  <c r="BC563" i="3"/>
  <c r="BC564" i="3"/>
  <c r="BC565" i="3"/>
  <c r="BC566" i="3"/>
  <c r="BC567" i="3"/>
  <c r="BC568" i="3"/>
  <c r="BC569" i="3"/>
  <c r="BC570" i="3"/>
  <c r="BC571" i="3"/>
  <c r="BC572" i="3"/>
  <c r="BC573" i="3"/>
  <c r="BC574" i="3"/>
  <c r="BC575" i="3"/>
  <c r="BC576" i="3"/>
  <c r="BC577" i="3"/>
  <c r="BC578" i="3"/>
  <c r="BC579" i="3"/>
  <c r="BC580" i="3"/>
  <c r="BC581" i="3"/>
  <c r="BC582" i="3"/>
  <c r="BC583" i="3"/>
  <c r="BC584" i="3"/>
  <c r="BC585" i="3"/>
  <c r="BC586" i="3"/>
  <c r="BC587" i="3"/>
  <c r="BC588" i="3"/>
  <c r="BC589" i="3"/>
  <c r="BC590" i="3"/>
  <c r="BC591" i="3"/>
  <c r="BC592" i="3"/>
  <c r="BC593" i="3"/>
  <c r="BC594" i="3"/>
  <c r="BC595" i="3"/>
  <c r="BC596" i="3"/>
  <c r="BC597" i="3"/>
  <c r="BC598" i="3"/>
  <c r="BC599" i="3"/>
  <c r="BC600" i="3"/>
  <c r="BC601" i="3"/>
  <c r="BC602" i="3"/>
  <c r="BC603" i="3"/>
  <c r="BC604" i="3"/>
  <c r="BC605" i="3"/>
  <c r="BC606" i="3"/>
  <c r="BC607" i="3"/>
  <c r="BC608" i="3"/>
  <c r="BC609" i="3"/>
  <c r="BC610" i="3"/>
  <c r="BC611" i="3"/>
  <c r="BC612" i="3"/>
  <c r="BC613" i="3"/>
  <c r="BC614" i="3"/>
  <c r="BC615" i="3"/>
  <c r="BC616" i="3"/>
  <c r="BC617" i="3"/>
  <c r="BC618" i="3"/>
  <c r="BC619" i="3"/>
  <c r="BC620" i="3"/>
  <c r="BC621" i="3"/>
  <c r="BC622" i="3"/>
  <c r="BC623" i="3"/>
  <c r="BC624" i="3"/>
  <c r="BC625" i="3"/>
  <c r="BC626" i="3"/>
  <c r="BC627" i="3"/>
  <c r="BC628" i="3"/>
  <c r="BC629" i="3"/>
  <c r="BC630" i="3"/>
  <c r="BC631" i="3"/>
  <c r="BC632" i="3"/>
  <c r="BC633" i="3"/>
  <c r="BC634" i="3"/>
  <c r="BC635" i="3"/>
  <c r="BC636" i="3"/>
  <c r="BC637" i="3"/>
  <c r="BC638" i="3"/>
  <c r="BC639" i="3"/>
  <c r="BC640" i="3"/>
  <c r="BC641" i="3"/>
  <c r="BC642" i="3"/>
  <c r="BC643" i="3"/>
  <c r="BC644" i="3"/>
  <c r="BC645" i="3"/>
  <c r="BC646" i="3"/>
  <c r="BC647" i="3"/>
  <c r="BC648" i="3"/>
  <c r="BC649" i="3"/>
  <c r="BC650" i="3"/>
  <c r="BC651" i="3"/>
  <c r="BC652" i="3"/>
  <c r="BC653" i="3"/>
  <c r="BC654" i="3"/>
  <c r="BC655" i="3"/>
  <c r="BC656" i="3"/>
  <c r="BC657" i="3"/>
  <c r="BC658" i="3"/>
  <c r="BC659" i="3"/>
  <c r="BC660" i="3"/>
  <c r="BC661" i="3"/>
  <c r="BC662" i="3"/>
  <c r="BC663" i="3"/>
  <c r="BC664" i="3"/>
  <c r="BC665" i="3"/>
  <c r="BC666" i="3"/>
  <c r="BC667" i="3"/>
  <c r="BC668" i="3"/>
  <c r="BC669" i="3"/>
  <c r="BC670" i="3"/>
  <c r="BC671" i="3"/>
  <c r="BC672" i="3"/>
  <c r="BC673" i="3"/>
  <c r="BC674" i="3"/>
  <c r="BC675" i="3"/>
  <c r="BC676" i="3"/>
  <c r="BC677" i="3"/>
  <c r="AY421" i="3"/>
  <c r="AY422" i="3"/>
  <c r="AY423" i="3"/>
  <c r="AY424" i="3"/>
  <c r="AY425" i="3"/>
  <c r="AY426" i="3"/>
  <c r="AY427" i="3"/>
  <c r="AY428" i="3"/>
  <c r="AY429" i="3"/>
  <c r="AY430" i="3"/>
  <c r="AY431" i="3"/>
  <c r="AY432" i="3"/>
  <c r="AY433" i="3"/>
  <c r="AY434" i="3"/>
  <c r="AY435" i="3"/>
  <c r="AY436" i="3"/>
  <c r="AY437" i="3"/>
  <c r="AY438" i="3"/>
  <c r="AY439" i="3"/>
  <c r="AY440" i="3"/>
  <c r="AY441" i="3"/>
  <c r="AY442" i="3"/>
  <c r="AY443" i="3"/>
  <c r="AY444" i="3"/>
  <c r="AY445" i="3"/>
  <c r="AY446" i="3"/>
  <c r="AY447" i="3"/>
  <c r="AY448" i="3"/>
  <c r="AY449" i="3"/>
  <c r="AY450" i="3"/>
  <c r="AY451" i="3"/>
  <c r="AY452" i="3"/>
  <c r="AY453" i="3"/>
  <c r="AY454" i="3"/>
  <c r="AY455" i="3"/>
  <c r="AY456" i="3"/>
  <c r="AY457" i="3"/>
  <c r="AY458" i="3"/>
  <c r="AY459" i="3"/>
  <c r="AY460" i="3"/>
  <c r="AY461" i="3"/>
  <c r="AY462" i="3"/>
  <c r="AY463" i="3"/>
  <c r="AY464" i="3"/>
  <c r="AY465" i="3"/>
  <c r="AY466" i="3"/>
  <c r="AY467" i="3"/>
  <c r="AY468" i="3"/>
  <c r="AY469" i="3"/>
  <c r="AY470" i="3"/>
  <c r="AY471" i="3"/>
  <c r="AY472" i="3"/>
  <c r="AY473" i="3"/>
  <c r="AY474" i="3"/>
  <c r="AY475" i="3"/>
  <c r="AY476" i="3"/>
  <c r="AY477" i="3"/>
  <c r="AY478" i="3"/>
  <c r="AY479" i="3"/>
  <c r="AY480" i="3"/>
  <c r="AY481" i="3"/>
  <c r="AY482" i="3"/>
  <c r="AY483" i="3"/>
  <c r="AY484" i="3"/>
  <c r="AY485" i="3"/>
  <c r="AY486" i="3"/>
  <c r="AY487" i="3"/>
  <c r="AY488" i="3"/>
  <c r="AY489" i="3"/>
  <c r="AY490" i="3"/>
  <c r="AY491" i="3"/>
  <c r="AY492" i="3"/>
  <c r="AY493" i="3"/>
  <c r="AY494" i="3"/>
  <c r="AY495" i="3"/>
  <c r="AY496" i="3"/>
  <c r="AY497" i="3"/>
  <c r="AY498" i="3"/>
  <c r="AY499" i="3"/>
  <c r="AY500" i="3"/>
  <c r="AY501" i="3"/>
  <c r="AY502" i="3"/>
  <c r="AY503" i="3"/>
  <c r="AY504" i="3"/>
  <c r="AY505" i="3"/>
  <c r="AY506" i="3"/>
  <c r="AY507" i="3"/>
  <c r="AY508" i="3"/>
  <c r="AY509" i="3"/>
  <c r="AY510" i="3"/>
  <c r="AY511" i="3"/>
  <c r="AY512" i="3"/>
  <c r="AY513" i="3"/>
  <c r="AY514" i="3"/>
  <c r="AY515" i="3"/>
  <c r="AY516" i="3"/>
  <c r="AY517" i="3"/>
  <c r="AY518" i="3"/>
  <c r="AY519" i="3"/>
  <c r="AY520" i="3"/>
  <c r="AY521" i="3"/>
  <c r="AY522" i="3"/>
  <c r="AY523" i="3"/>
  <c r="AY524" i="3"/>
  <c r="AY525" i="3"/>
  <c r="AY526" i="3"/>
  <c r="AY527" i="3"/>
  <c r="AY528" i="3"/>
  <c r="AY529" i="3"/>
  <c r="AY530" i="3"/>
  <c r="AY531" i="3"/>
  <c r="AY532" i="3"/>
  <c r="AY533" i="3"/>
  <c r="AY534" i="3"/>
  <c r="AY535" i="3"/>
  <c r="AY536" i="3"/>
  <c r="AY537" i="3"/>
  <c r="AY538" i="3"/>
  <c r="AY539" i="3"/>
  <c r="AY540" i="3"/>
  <c r="AY541" i="3"/>
  <c r="AY542" i="3"/>
  <c r="AY543" i="3"/>
  <c r="AY544" i="3"/>
  <c r="AY545" i="3"/>
  <c r="AY546" i="3"/>
  <c r="AY547" i="3"/>
  <c r="AY548" i="3"/>
  <c r="AY549" i="3"/>
  <c r="AY550" i="3"/>
  <c r="AY551" i="3"/>
  <c r="AY552" i="3"/>
  <c r="AY553" i="3"/>
  <c r="AY554" i="3"/>
  <c r="AY555" i="3"/>
  <c r="AY556" i="3"/>
  <c r="AY557" i="3"/>
  <c r="AY558" i="3"/>
  <c r="AY559" i="3"/>
  <c r="AY560" i="3"/>
  <c r="AY561" i="3"/>
  <c r="AY562" i="3"/>
  <c r="AY563" i="3"/>
  <c r="AY564" i="3"/>
  <c r="AY565" i="3"/>
  <c r="AY566" i="3"/>
  <c r="AY567" i="3"/>
  <c r="AY568" i="3"/>
  <c r="AY569" i="3"/>
  <c r="AY570" i="3"/>
  <c r="AY571" i="3"/>
  <c r="AY572" i="3"/>
  <c r="AY573" i="3"/>
  <c r="AY574" i="3"/>
  <c r="AY575" i="3"/>
  <c r="AY576" i="3"/>
  <c r="AY577" i="3"/>
  <c r="AY578" i="3"/>
  <c r="AY579" i="3"/>
  <c r="AY580" i="3"/>
  <c r="AY581" i="3"/>
  <c r="AY582" i="3"/>
  <c r="AY583" i="3"/>
  <c r="AY584" i="3"/>
  <c r="AY585" i="3"/>
  <c r="AY586" i="3"/>
  <c r="AY587" i="3"/>
  <c r="AY588" i="3"/>
  <c r="AY589" i="3"/>
  <c r="AY590" i="3"/>
  <c r="AY591" i="3"/>
  <c r="AY592" i="3"/>
  <c r="AY593" i="3"/>
  <c r="AY594" i="3"/>
  <c r="AY595" i="3"/>
  <c r="AY596" i="3"/>
  <c r="AY597" i="3"/>
  <c r="AY598" i="3"/>
  <c r="AY599" i="3"/>
  <c r="AY600" i="3"/>
  <c r="AY601" i="3"/>
  <c r="AY602" i="3"/>
  <c r="AY603" i="3"/>
  <c r="AY604" i="3"/>
  <c r="AY605" i="3"/>
  <c r="AY606" i="3"/>
  <c r="AY607" i="3"/>
  <c r="AY608" i="3"/>
  <c r="AY609" i="3"/>
  <c r="AY610" i="3"/>
  <c r="AY611" i="3"/>
  <c r="AY612" i="3"/>
  <c r="AY613" i="3"/>
  <c r="AY614" i="3"/>
  <c r="AY615" i="3"/>
  <c r="AY616" i="3"/>
  <c r="AY617" i="3"/>
  <c r="AY618" i="3"/>
  <c r="AY619" i="3"/>
  <c r="AY620" i="3"/>
  <c r="AY621" i="3"/>
  <c r="AY622" i="3"/>
  <c r="AY623" i="3"/>
  <c r="AY624" i="3"/>
  <c r="AY625" i="3"/>
  <c r="AY626" i="3"/>
  <c r="AY627" i="3"/>
  <c r="AY628" i="3"/>
  <c r="AY629" i="3"/>
  <c r="AY630" i="3"/>
  <c r="AY631" i="3"/>
  <c r="AY632" i="3"/>
  <c r="AY633" i="3"/>
  <c r="AY634" i="3"/>
  <c r="AY635" i="3"/>
  <c r="AY636" i="3"/>
  <c r="AY637" i="3"/>
  <c r="AY638" i="3"/>
  <c r="AY639" i="3"/>
  <c r="AY640" i="3"/>
  <c r="AY641" i="3"/>
  <c r="AY642" i="3"/>
  <c r="AY643" i="3"/>
  <c r="AY644" i="3"/>
  <c r="AY645" i="3"/>
  <c r="AY646" i="3"/>
  <c r="AY647" i="3"/>
  <c r="AY648" i="3"/>
  <c r="AY649" i="3"/>
  <c r="AY650" i="3"/>
  <c r="AY651" i="3"/>
  <c r="AY652" i="3"/>
  <c r="AY653" i="3"/>
  <c r="AY654" i="3"/>
  <c r="AY655" i="3"/>
  <c r="AY656" i="3"/>
  <c r="AY657" i="3"/>
  <c r="AY658" i="3"/>
  <c r="AY659" i="3"/>
  <c r="AY660" i="3"/>
  <c r="AY661" i="3"/>
  <c r="AY662" i="3"/>
  <c r="AY663" i="3"/>
  <c r="AY664" i="3"/>
  <c r="AY665" i="3"/>
  <c r="AY666" i="3"/>
  <c r="AY667" i="3"/>
  <c r="AY668" i="3"/>
  <c r="AY669" i="3"/>
  <c r="AY670" i="3"/>
  <c r="AY671" i="3"/>
  <c r="AY672" i="3"/>
  <c r="AY673" i="3"/>
  <c r="AY674" i="3"/>
  <c r="AY675" i="3"/>
  <c r="AY676" i="3"/>
  <c r="AY677" i="3"/>
  <c r="AT421" i="3"/>
  <c r="AT422" i="3"/>
  <c r="AT423" i="3"/>
  <c r="AT424" i="3"/>
  <c r="AT425" i="3"/>
  <c r="AT426" i="3"/>
  <c r="AT427" i="3"/>
  <c r="AT428" i="3"/>
  <c r="AT429" i="3"/>
  <c r="AT430" i="3"/>
  <c r="AT431" i="3"/>
  <c r="AT432" i="3"/>
  <c r="AT433" i="3"/>
  <c r="AT434" i="3"/>
  <c r="AT435" i="3"/>
  <c r="AT436" i="3"/>
  <c r="AT437" i="3"/>
  <c r="AT438" i="3"/>
  <c r="AT439" i="3"/>
  <c r="AT440" i="3"/>
  <c r="AT441" i="3"/>
  <c r="AT442" i="3"/>
  <c r="AT443" i="3"/>
  <c r="AT444" i="3"/>
  <c r="AT445" i="3"/>
  <c r="AT446" i="3"/>
  <c r="AT447" i="3"/>
  <c r="AT448" i="3"/>
  <c r="AT449" i="3"/>
  <c r="AT450" i="3"/>
  <c r="AT451" i="3"/>
  <c r="AT452" i="3"/>
  <c r="AT453" i="3"/>
  <c r="AT454" i="3"/>
  <c r="AT455" i="3"/>
  <c r="AT456" i="3"/>
  <c r="AT457" i="3"/>
  <c r="AT458" i="3"/>
  <c r="AT459" i="3"/>
  <c r="AT460" i="3"/>
  <c r="AT461" i="3"/>
  <c r="AT462" i="3"/>
  <c r="AT463" i="3"/>
  <c r="AT464" i="3"/>
  <c r="AT465" i="3"/>
  <c r="AT466" i="3"/>
  <c r="AT467" i="3"/>
  <c r="AT468" i="3"/>
  <c r="AT469" i="3"/>
  <c r="AT470" i="3"/>
  <c r="AT471" i="3"/>
  <c r="AT472" i="3"/>
  <c r="AT473" i="3"/>
  <c r="AT474" i="3"/>
  <c r="AT475" i="3"/>
  <c r="AT476" i="3"/>
  <c r="AT477" i="3"/>
  <c r="AT478" i="3"/>
  <c r="AT479" i="3"/>
  <c r="AT480" i="3"/>
  <c r="AT481" i="3"/>
  <c r="AT482" i="3"/>
  <c r="AT483" i="3"/>
  <c r="AT484" i="3"/>
  <c r="AT485" i="3"/>
  <c r="AT486" i="3"/>
  <c r="AT487" i="3"/>
  <c r="AT488" i="3"/>
  <c r="AT489" i="3"/>
  <c r="AT490" i="3"/>
  <c r="AT491" i="3"/>
  <c r="AT492" i="3"/>
  <c r="AT493" i="3"/>
  <c r="AT494" i="3"/>
  <c r="AT495" i="3"/>
  <c r="AT496" i="3"/>
  <c r="AT497" i="3"/>
  <c r="AT498" i="3"/>
  <c r="AT499" i="3"/>
  <c r="AT500" i="3"/>
  <c r="AT501" i="3"/>
  <c r="AT502" i="3"/>
  <c r="AT503" i="3"/>
  <c r="AT504" i="3"/>
  <c r="AT505" i="3"/>
  <c r="AT506" i="3"/>
  <c r="AT507" i="3"/>
  <c r="AT508" i="3"/>
  <c r="AT509" i="3"/>
  <c r="AT510" i="3"/>
  <c r="AT511" i="3"/>
  <c r="AT512" i="3"/>
  <c r="AT513" i="3"/>
  <c r="AT514" i="3"/>
  <c r="AT515" i="3"/>
  <c r="AT516" i="3"/>
  <c r="AT517" i="3"/>
  <c r="AT518" i="3"/>
  <c r="AT519" i="3"/>
  <c r="AT520" i="3"/>
  <c r="AT521" i="3"/>
  <c r="AT522" i="3"/>
  <c r="AT523" i="3"/>
  <c r="AT524" i="3"/>
  <c r="AT525" i="3"/>
  <c r="AT526" i="3"/>
  <c r="AT527" i="3"/>
  <c r="AT528" i="3"/>
  <c r="AT529" i="3"/>
  <c r="AT530" i="3"/>
  <c r="AT531" i="3"/>
  <c r="AT532" i="3"/>
  <c r="AT533" i="3"/>
  <c r="AT534" i="3"/>
  <c r="AT535" i="3"/>
  <c r="AT536" i="3"/>
  <c r="AT537" i="3"/>
  <c r="AT538" i="3"/>
  <c r="AT539" i="3"/>
  <c r="AT540" i="3"/>
  <c r="AT541" i="3"/>
  <c r="AT542" i="3"/>
  <c r="AT543" i="3"/>
  <c r="AT544" i="3"/>
  <c r="AT545" i="3"/>
  <c r="AT546" i="3"/>
  <c r="AT547" i="3"/>
  <c r="AT548" i="3"/>
  <c r="AT549" i="3"/>
  <c r="AT550" i="3"/>
  <c r="AT551" i="3"/>
  <c r="AT552" i="3"/>
  <c r="AT553" i="3"/>
  <c r="AT554" i="3"/>
  <c r="AT555" i="3"/>
  <c r="AT556" i="3"/>
  <c r="AT557" i="3"/>
  <c r="AT558" i="3"/>
  <c r="AT559" i="3"/>
  <c r="AT560" i="3"/>
  <c r="AT561" i="3"/>
  <c r="AT562" i="3"/>
  <c r="AT563" i="3"/>
  <c r="AT564" i="3"/>
  <c r="AT565" i="3"/>
  <c r="AT566" i="3"/>
  <c r="AT567" i="3"/>
  <c r="AT568" i="3"/>
  <c r="AT569" i="3"/>
  <c r="AT570" i="3"/>
  <c r="AT571" i="3"/>
  <c r="AT572" i="3"/>
  <c r="AT573" i="3"/>
  <c r="AT574" i="3"/>
  <c r="AT575" i="3"/>
  <c r="AT576" i="3"/>
  <c r="AT577" i="3"/>
  <c r="AT578" i="3"/>
  <c r="AT579" i="3"/>
  <c r="AT580" i="3"/>
  <c r="AT581" i="3"/>
  <c r="AT582" i="3"/>
  <c r="AT583" i="3"/>
  <c r="AT584" i="3"/>
  <c r="AT585" i="3"/>
  <c r="AT586" i="3"/>
  <c r="AT587" i="3"/>
  <c r="AT588" i="3"/>
  <c r="AT589" i="3"/>
  <c r="AT590" i="3"/>
  <c r="AT591" i="3"/>
  <c r="AT592" i="3"/>
  <c r="AT593" i="3"/>
  <c r="AT594" i="3"/>
  <c r="AT595" i="3"/>
  <c r="AT596" i="3"/>
  <c r="AT597" i="3"/>
  <c r="AT598" i="3"/>
  <c r="AT599" i="3"/>
  <c r="AT600" i="3"/>
  <c r="AT601" i="3"/>
  <c r="AT602" i="3"/>
  <c r="AT603" i="3"/>
  <c r="AT604" i="3"/>
  <c r="AT605" i="3"/>
  <c r="AT606" i="3"/>
  <c r="AT607" i="3"/>
  <c r="AT608" i="3"/>
  <c r="AT609" i="3"/>
  <c r="AT610" i="3"/>
  <c r="AT611" i="3"/>
  <c r="AT612" i="3"/>
  <c r="AT613" i="3"/>
  <c r="AT614" i="3"/>
  <c r="AT615" i="3"/>
  <c r="AT616" i="3"/>
  <c r="AT617" i="3"/>
  <c r="AT618" i="3"/>
  <c r="AT619" i="3"/>
  <c r="AT620" i="3"/>
  <c r="AT621" i="3"/>
  <c r="AT622" i="3"/>
  <c r="AT623" i="3"/>
  <c r="AT624" i="3"/>
  <c r="AT625" i="3"/>
  <c r="AT626" i="3"/>
  <c r="AT627" i="3"/>
  <c r="AT628" i="3"/>
  <c r="AT629" i="3"/>
  <c r="AT630" i="3"/>
  <c r="AT631" i="3"/>
  <c r="AT632" i="3"/>
  <c r="AT633" i="3"/>
  <c r="AT634" i="3"/>
  <c r="AT635" i="3"/>
  <c r="AT636" i="3"/>
  <c r="AT637" i="3"/>
  <c r="AT638" i="3"/>
  <c r="AT639" i="3"/>
  <c r="AT640" i="3"/>
  <c r="AT641" i="3"/>
  <c r="AT642" i="3"/>
  <c r="AT643" i="3"/>
  <c r="AT644" i="3"/>
  <c r="AT645" i="3"/>
  <c r="AT646" i="3"/>
  <c r="AT647" i="3"/>
  <c r="AT648" i="3"/>
  <c r="AT649" i="3"/>
  <c r="AT650" i="3"/>
  <c r="AT651" i="3"/>
  <c r="AT652" i="3"/>
  <c r="AT653" i="3"/>
  <c r="AT654" i="3"/>
  <c r="AT655" i="3"/>
  <c r="AT656" i="3"/>
  <c r="AT657" i="3"/>
  <c r="AT658" i="3"/>
  <c r="AT659" i="3"/>
  <c r="AT660" i="3"/>
  <c r="AT661" i="3"/>
  <c r="AT662" i="3"/>
  <c r="AT663" i="3"/>
  <c r="AT664" i="3"/>
  <c r="AT665" i="3"/>
  <c r="AT666" i="3"/>
  <c r="AT667" i="3"/>
  <c r="AT668" i="3"/>
  <c r="AT669" i="3"/>
  <c r="AT670" i="3"/>
  <c r="AT671" i="3"/>
  <c r="AT672" i="3"/>
  <c r="AT673" i="3"/>
  <c r="AT674" i="3"/>
  <c r="AT675" i="3"/>
  <c r="AT676" i="3"/>
  <c r="AT677" i="3"/>
  <c r="AP421" i="3"/>
  <c r="AP422" i="3"/>
  <c r="AP423" i="3"/>
  <c r="AP424" i="3"/>
  <c r="AP425" i="3"/>
  <c r="AP426" i="3"/>
  <c r="AP427" i="3"/>
  <c r="AP428" i="3"/>
  <c r="AP429" i="3"/>
  <c r="AP430" i="3"/>
  <c r="AP431" i="3"/>
  <c r="AP432" i="3"/>
  <c r="AP433" i="3"/>
  <c r="AP434" i="3"/>
  <c r="AP435" i="3"/>
  <c r="AP436" i="3"/>
  <c r="AP437" i="3"/>
  <c r="AP438" i="3"/>
  <c r="AP439" i="3"/>
  <c r="AP440" i="3"/>
  <c r="AP441" i="3"/>
  <c r="AP442" i="3"/>
  <c r="AP443" i="3"/>
  <c r="AP444" i="3"/>
  <c r="AP445" i="3"/>
  <c r="AP446" i="3"/>
  <c r="AP447" i="3"/>
  <c r="AP448" i="3"/>
  <c r="AP449" i="3"/>
  <c r="AP450" i="3"/>
  <c r="AP451" i="3"/>
  <c r="AP452" i="3"/>
  <c r="AP453" i="3"/>
  <c r="AP454" i="3"/>
  <c r="AP455" i="3"/>
  <c r="AP456" i="3"/>
  <c r="AP457" i="3"/>
  <c r="AP458" i="3"/>
  <c r="AP459" i="3"/>
  <c r="AP460" i="3"/>
  <c r="AP461" i="3"/>
  <c r="AP462" i="3"/>
  <c r="AP463" i="3"/>
  <c r="AP464" i="3"/>
  <c r="AP465" i="3"/>
  <c r="AP466" i="3"/>
  <c r="AP467" i="3"/>
  <c r="AP468" i="3"/>
  <c r="AP469" i="3"/>
  <c r="AP470" i="3"/>
  <c r="AP471" i="3"/>
  <c r="AP472" i="3"/>
  <c r="AP473" i="3"/>
  <c r="AP474" i="3"/>
  <c r="AP475" i="3"/>
  <c r="AP476" i="3"/>
  <c r="AP477" i="3"/>
  <c r="AP478" i="3"/>
  <c r="AP479" i="3"/>
  <c r="AP480" i="3"/>
  <c r="AP481" i="3"/>
  <c r="AP482" i="3"/>
  <c r="AP483" i="3"/>
  <c r="AP484" i="3"/>
  <c r="AP485" i="3"/>
  <c r="AP486" i="3"/>
  <c r="AP487" i="3"/>
  <c r="AP488" i="3"/>
  <c r="AP489" i="3"/>
  <c r="AP490" i="3"/>
  <c r="AP491" i="3"/>
  <c r="AP492" i="3"/>
  <c r="AP493" i="3"/>
  <c r="AP494" i="3"/>
  <c r="AP495" i="3"/>
  <c r="AP496" i="3"/>
  <c r="AP497" i="3"/>
  <c r="AP498" i="3"/>
  <c r="AP499" i="3"/>
  <c r="AP500" i="3"/>
  <c r="AP501" i="3"/>
  <c r="AP502" i="3"/>
  <c r="AP503" i="3"/>
  <c r="AP504" i="3"/>
  <c r="AP505" i="3"/>
  <c r="AP506" i="3"/>
  <c r="AP507" i="3"/>
  <c r="AP508" i="3"/>
  <c r="AP509" i="3"/>
  <c r="AP510" i="3"/>
  <c r="AP511" i="3"/>
  <c r="AP512" i="3"/>
  <c r="AP513" i="3"/>
  <c r="AP514" i="3"/>
  <c r="AP515" i="3"/>
  <c r="AP516" i="3"/>
  <c r="AP517" i="3"/>
  <c r="AP518" i="3"/>
  <c r="AP519" i="3"/>
  <c r="AP520" i="3"/>
  <c r="AP521" i="3"/>
  <c r="AP522" i="3"/>
  <c r="AP523" i="3"/>
  <c r="AP524" i="3"/>
  <c r="AP525" i="3"/>
  <c r="AP526" i="3"/>
  <c r="AP527" i="3"/>
  <c r="AP528" i="3"/>
  <c r="AP529" i="3"/>
  <c r="AP530" i="3"/>
  <c r="AP531" i="3"/>
  <c r="AP532" i="3"/>
  <c r="AP533" i="3"/>
  <c r="AP534" i="3"/>
  <c r="AP535" i="3"/>
  <c r="AP536" i="3"/>
  <c r="AP537" i="3"/>
  <c r="AP538" i="3"/>
  <c r="AP539" i="3"/>
  <c r="AP540" i="3"/>
  <c r="AP541" i="3"/>
  <c r="AP542" i="3"/>
  <c r="AP543" i="3"/>
  <c r="AP544" i="3"/>
  <c r="AP545" i="3"/>
  <c r="AP546" i="3"/>
  <c r="AP547" i="3"/>
  <c r="AP548" i="3"/>
  <c r="AP549" i="3"/>
  <c r="AP550" i="3"/>
  <c r="AP551" i="3"/>
  <c r="AP552" i="3"/>
  <c r="AP553" i="3"/>
  <c r="AP554" i="3"/>
  <c r="AP555" i="3"/>
  <c r="AP556" i="3"/>
  <c r="AP557" i="3"/>
  <c r="AP558" i="3"/>
  <c r="AP559" i="3"/>
  <c r="AP560" i="3"/>
  <c r="AP561" i="3"/>
  <c r="AP562" i="3"/>
  <c r="AP563" i="3"/>
  <c r="AP564" i="3"/>
  <c r="AP565" i="3"/>
  <c r="AP566" i="3"/>
  <c r="AP567" i="3"/>
  <c r="AP568" i="3"/>
  <c r="AP569" i="3"/>
  <c r="AP570" i="3"/>
  <c r="AP571" i="3"/>
  <c r="AP572" i="3"/>
  <c r="AP573" i="3"/>
  <c r="AP574" i="3"/>
  <c r="AP575" i="3"/>
  <c r="AP576" i="3"/>
  <c r="AP577" i="3"/>
  <c r="AP578" i="3"/>
  <c r="AP579" i="3"/>
  <c r="AP580" i="3"/>
  <c r="AP581" i="3"/>
  <c r="AP582" i="3"/>
  <c r="AP583" i="3"/>
  <c r="AP584" i="3"/>
  <c r="AP585" i="3"/>
  <c r="AP586" i="3"/>
  <c r="AP587" i="3"/>
  <c r="AP588" i="3"/>
  <c r="AP589" i="3"/>
  <c r="AP590" i="3"/>
  <c r="AP591" i="3"/>
  <c r="AP592" i="3"/>
  <c r="AP593" i="3"/>
  <c r="AP594" i="3"/>
  <c r="AP595" i="3"/>
  <c r="AP596" i="3"/>
  <c r="AP597" i="3"/>
  <c r="AP598" i="3"/>
  <c r="AP599" i="3"/>
  <c r="AP600" i="3"/>
  <c r="AP601" i="3"/>
  <c r="AP602" i="3"/>
  <c r="AP603" i="3"/>
  <c r="AP604" i="3"/>
  <c r="AP605" i="3"/>
  <c r="AP606" i="3"/>
  <c r="AP607" i="3"/>
  <c r="AP608" i="3"/>
  <c r="AP609" i="3"/>
  <c r="AP610" i="3"/>
  <c r="AP611" i="3"/>
  <c r="AP612" i="3"/>
  <c r="AP613" i="3"/>
  <c r="AP614" i="3"/>
  <c r="AP615" i="3"/>
  <c r="AP616" i="3"/>
  <c r="AP617" i="3"/>
  <c r="AP618" i="3"/>
  <c r="AP619" i="3"/>
  <c r="AP620" i="3"/>
  <c r="AP621" i="3"/>
  <c r="AP622" i="3"/>
  <c r="AP623" i="3"/>
  <c r="AP624" i="3"/>
  <c r="AP625" i="3"/>
  <c r="AP626" i="3"/>
  <c r="AP627" i="3"/>
  <c r="AP628" i="3"/>
  <c r="AP629" i="3"/>
  <c r="AP630" i="3"/>
  <c r="AP631" i="3"/>
  <c r="AP632" i="3"/>
  <c r="AP633" i="3"/>
  <c r="AP634" i="3"/>
  <c r="AP635" i="3"/>
  <c r="AP636" i="3"/>
  <c r="AP637" i="3"/>
  <c r="AP638" i="3"/>
  <c r="AP639" i="3"/>
  <c r="AP640" i="3"/>
  <c r="AP641" i="3"/>
  <c r="AP642" i="3"/>
  <c r="AP643" i="3"/>
  <c r="AP644" i="3"/>
  <c r="AP645" i="3"/>
  <c r="AP646" i="3"/>
  <c r="AP647" i="3"/>
  <c r="AP648" i="3"/>
  <c r="AP649" i="3"/>
  <c r="AP650" i="3"/>
  <c r="AP651" i="3"/>
  <c r="AP652" i="3"/>
  <c r="AP653" i="3"/>
  <c r="AP654" i="3"/>
  <c r="AP655" i="3"/>
  <c r="AP656" i="3"/>
  <c r="AP657" i="3"/>
  <c r="AP658" i="3"/>
  <c r="AP659" i="3"/>
  <c r="AP660" i="3"/>
  <c r="AP661" i="3"/>
  <c r="AP662" i="3"/>
  <c r="AP663" i="3"/>
  <c r="AP664" i="3"/>
  <c r="AP665" i="3"/>
  <c r="AP666" i="3"/>
  <c r="AP667" i="3"/>
  <c r="AP668" i="3"/>
  <c r="AP669" i="3"/>
  <c r="AP670" i="3"/>
  <c r="AP671" i="3"/>
  <c r="AP672" i="3"/>
  <c r="AP673" i="3"/>
  <c r="AP674" i="3"/>
  <c r="AP675" i="3"/>
  <c r="AP676" i="3"/>
  <c r="AP677" i="3"/>
  <c r="AL421" i="3"/>
  <c r="AL422" i="3"/>
  <c r="AL423" i="3"/>
  <c r="AL424" i="3"/>
  <c r="AL425" i="3"/>
  <c r="AL426" i="3"/>
  <c r="AL427" i="3"/>
  <c r="AL428" i="3"/>
  <c r="AL429" i="3"/>
  <c r="AL430" i="3"/>
  <c r="AL431" i="3"/>
  <c r="AL432" i="3"/>
  <c r="AL433" i="3"/>
  <c r="AL434" i="3"/>
  <c r="AL435" i="3"/>
  <c r="AL436" i="3"/>
  <c r="AL437" i="3"/>
  <c r="AL438" i="3"/>
  <c r="AL439" i="3"/>
  <c r="AL440" i="3"/>
  <c r="AL441" i="3"/>
  <c r="AL442" i="3"/>
  <c r="AL443" i="3"/>
  <c r="AL444" i="3"/>
  <c r="AL445" i="3"/>
  <c r="AL446" i="3"/>
  <c r="AL447" i="3"/>
  <c r="AL448" i="3"/>
  <c r="AL449" i="3"/>
  <c r="AL450" i="3"/>
  <c r="AL451" i="3"/>
  <c r="AL452" i="3"/>
  <c r="AL453" i="3"/>
  <c r="AL454" i="3"/>
  <c r="AL455" i="3"/>
  <c r="AL456" i="3"/>
  <c r="AL457" i="3"/>
  <c r="AL458" i="3"/>
  <c r="AL459" i="3"/>
  <c r="AL460" i="3"/>
  <c r="AL461" i="3"/>
  <c r="AL462" i="3"/>
  <c r="AL463" i="3"/>
  <c r="AL464" i="3"/>
  <c r="AL465" i="3"/>
  <c r="AL466" i="3"/>
  <c r="AL467" i="3"/>
  <c r="AL468" i="3"/>
  <c r="AL469" i="3"/>
  <c r="AL470" i="3"/>
  <c r="AL471" i="3"/>
  <c r="AL472" i="3"/>
  <c r="AL473" i="3"/>
  <c r="AL474" i="3"/>
  <c r="AL475" i="3"/>
  <c r="AL476" i="3"/>
  <c r="AL477" i="3"/>
  <c r="AL478" i="3"/>
  <c r="AL479" i="3"/>
  <c r="AL480" i="3"/>
  <c r="AL481" i="3"/>
  <c r="AL482" i="3"/>
  <c r="AL483" i="3"/>
  <c r="AL484" i="3"/>
  <c r="AL485" i="3"/>
  <c r="AL486" i="3"/>
  <c r="AL487" i="3"/>
  <c r="AL488" i="3"/>
  <c r="AL489" i="3"/>
  <c r="AL490" i="3"/>
  <c r="AL491" i="3"/>
  <c r="AL492" i="3"/>
  <c r="AL493" i="3"/>
  <c r="AL494" i="3"/>
  <c r="AL495" i="3"/>
  <c r="AL496" i="3"/>
  <c r="AL497" i="3"/>
  <c r="AL498" i="3"/>
  <c r="AL499" i="3"/>
  <c r="AL500" i="3"/>
  <c r="AL501" i="3"/>
  <c r="AL502" i="3"/>
  <c r="AL503" i="3"/>
  <c r="AL504" i="3"/>
  <c r="AL505" i="3"/>
  <c r="AL506" i="3"/>
  <c r="AL507" i="3"/>
  <c r="AL508" i="3"/>
  <c r="AL509" i="3"/>
  <c r="AL510" i="3"/>
  <c r="AL511" i="3"/>
  <c r="AL512" i="3"/>
  <c r="AL513" i="3"/>
  <c r="AL514" i="3"/>
  <c r="AL515" i="3"/>
  <c r="AL516" i="3"/>
  <c r="AL517" i="3"/>
  <c r="AL518" i="3"/>
  <c r="AL519" i="3"/>
  <c r="AL520" i="3"/>
  <c r="AL521" i="3"/>
  <c r="AL522" i="3"/>
  <c r="AL523" i="3"/>
  <c r="AL524" i="3"/>
  <c r="AL525" i="3"/>
  <c r="AL526" i="3"/>
  <c r="AL527" i="3"/>
  <c r="AL528" i="3"/>
  <c r="AL529" i="3"/>
  <c r="AL530" i="3"/>
  <c r="AL531" i="3"/>
  <c r="AL532" i="3"/>
  <c r="AL533" i="3"/>
  <c r="AL534" i="3"/>
  <c r="AL535" i="3"/>
  <c r="AL536" i="3"/>
  <c r="AL537" i="3"/>
  <c r="AL538" i="3"/>
  <c r="AL539" i="3"/>
  <c r="AL540" i="3"/>
  <c r="AL541" i="3"/>
  <c r="AL542" i="3"/>
  <c r="AL543" i="3"/>
  <c r="AL544" i="3"/>
  <c r="AL545" i="3"/>
  <c r="AL546" i="3"/>
  <c r="AL547" i="3"/>
  <c r="AL548" i="3"/>
  <c r="AL549" i="3"/>
  <c r="AL550" i="3"/>
  <c r="AL551" i="3"/>
  <c r="AL552" i="3"/>
  <c r="AL553" i="3"/>
  <c r="AL554" i="3"/>
  <c r="AL555" i="3"/>
  <c r="AL556" i="3"/>
  <c r="AL557" i="3"/>
  <c r="AL558" i="3"/>
  <c r="AL559" i="3"/>
  <c r="AL560" i="3"/>
  <c r="AL561" i="3"/>
  <c r="AL562" i="3"/>
  <c r="AL563" i="3"/>
  <c r="AL564" i="3"/>
  <c r="AL565" i="3"/>
  <c r="AL566" i="3"/>
  <c r="AL567" i="3"/>
  <c r="AL568" i="3"/>
  <c r="AL569" i="3"/>
  <c r="AL570" i="3"/>
  <c r="AL571" i="3"/>
  <c r="AL572" i="3"/>
  <c r="AL573" i="3"/>
  <c r="AL574" i="3"/>
  <c r="AL575" i="3"/>
  <c r="AL576" i="3"/>
  <c r="AL577" i="3"/>
  <c r="AL578" i="3"/>
  <c r="AL579" i="3"/>
  <c r="AL580" i="3"/>
  <c r="AL581" i="3"/>
  <c r="AL582" i="3"/>
  <c r="AL583" i="3"/>
  <c r="AL584" i="3"/>
  <c r="AL585" i="3"/>
  <c r="AL586" i="3"/>
  <c r="AL587" i="3"/>
  <c r="AL588" i="3"/>
  <c r="AL589" i="3"/>
  <c r="AL590" i="3"/>
  <c r="AL591" i="3"/>
  <c r="AL592" i="3"/>
  <c r="AL593" i="3"/>
  <c r="AL594" i="3"/>
  <c r="AL595" i="3"/>
  <c r="AL596" i="3"/>
  <c r="AL597" i="3"/>
  <c r="AL598" i="3"/>
  <c r="AL599" i="3"/>
  <c r="AL600" i="3"/>
  <c r="AL601" i="3"/>
  <c r="AL602" i="3"/>
  <c r="AL603" i="3"/>
  <c r="AL604" i="3"/>
  <c r="AL605" i="3"/>
  <c r="AL606" i="3"/>
  <c r="AL607" i="3"/>
  <c r="AL608" i="3"/>
  <c r="AL609" i="3"/>
  <c r="AL610" i="3"/>
  <c r="AL611" i="3"/>
  <c r="AL612" i="3"/>
  <c r="AL613" i="3"/>
  <c r="AL614" i="3"/>
  <c r="AL615" i="3"/>
  <c r="AL616" i="3"/>
  <c r="AL617" i="3"/>
  <c r="AL618" i="3"/>
  <c r="AL619" i="3"/>
  <c r="AL620" i="3"/>
  <c r="AL621" i="3"/>
  <c r="AL622" i="3"/>
  <c r="AL623" i="3"/>
  <c r="AL624" i="3"/>
  <c r="AL625" i="3"/>
  <c r="AL626" i="3"/>
  <c r="AL627" i="3"/>
  <c r="AL628" i="3"/>
  <c r="AL629" i="3"/>
  <c r="AL630" i="3"/>
  <c r="AL631" i="3"/>
  <c r="AL632" i="3"/>
  <c r="AL633" i="3"/>
  <c r="AL634" i="3"/>
  <c r="AL635" i="3"/>
  <c r="AL636" i="3"/>
  <c r="AL637" i="3"/>
  <c r="AL638" i="3"/>
  <c r="AL639" i="3"/>
  <c r="AL640" i="3"/>
  <c r="AL641" i="3"/>
  <c r="AL642" i="3"/>
  <c r="AL643" i="3"/>
  <c r="AL644" i="3"/>
  <c r="AL645" i="3"/>
  <c r="AL646" i="3"/>
  <c r="AL647" i="3"/>
  <c r="AL648" i="3"/>
  <c r="AL649" i="3"/>
  <c r="AL650" i="3"/>
  <c r="AL651" i="3"/>
  <c r="AL652" i="3"/>
  <c r="AL653" i="3"/>
  <c r="AL654" i="3"/>
  <c r="AL655" i="3"/>
  <c r="AL656" i="3"/>
  <c r="AL657" i="3"/>
  <c r="AL658" i="3"/>
  <c r="AL659" i="3"/>
  <c r="AL660" i="3"/>
  <c r="AL661" i="3"/>
  <c r="AL662" i="3"/>
  <c r="AL663" i="3"/>
  <c r="AL664" i="3"/>
  <c r="AL665" i="3"/>
  <c r="AL666" i="3"/>
  <c r="AL667" i="3"/>
  <c r="AL668" i="3"/>
  <c r="AL669" i="3"/>
  <c r="AL670" i="3"/>
  <c r="AL671" i="3"/>
  <c r="AL672" i="3"/>
  <c r="AL673" i="3"/>
  <c r="AL674" i="3"/>
  <c r="AL675" i="3"/>
  <c r="AL676" i="3"/>
  <c r="AL677" i="3"/>
  <c r="AG421" i="3"/>
  <c r="AG422" i="3"/>
  <c r="AG423" i="3"/>
  <c r="AG424" i="3"/>
  <c r="AG425" i="3"/>
  <c r="AG426" i="3"/>
  <c r="AG427" i="3"/>
  <c r="AG428" i="3"/>
  <c r="AG429" i="3"/>
  <c r="AG430" i="3"/>
  <c r="AG431" i="3"/>
  <c r="AG432" i="3"/>
  <c r="AG433" i="3"/>
  <c r="AG434" i="3"/>
  <c r="AG435" i="3"/>
  <c r="AG436" i="3"/>
  <c r="AG437" i="3"/>
  <c r="AG438" i="3"/>
  <c r="AG439" i="3"/>
  <c r="AG440" i="3"/>
  <c r="AG441" i="3"/>
  <c r="AG442" i="3"/>
  <c r="AG443" i="3"/>
  <c r="AG444" i="3"/>
  <c r="AG445" i="3"/>
  <c r="AG446" i="3"/>
  <c r="AG447" i="3"/>
  <c r="AG448" i="3"/>
  <c r="AG449" i="3"/>
  <c r="AG450" i="3"/>
  <c r="AG451" i="3"/>
  <c r="AG452" i="3"/>
  <c r="AG453" i="3"/>
  <c r="AG454" i="3"/>
  <c r="AG455" i="3"/>
  <c r="AG456" i="3"/>
  <c r="AG457" i="3"/>
  <c r="AG458" i="3"/>
  <c r="AG459" i="3"/>
  <c r="AG460" i="3"/>
  <c r="AG461" i="3"/>
  <c r="AG462" i="3"/>
  <c r="AG463" i="3"/>
  <c r="AG464" i="3"/>
  <c r="AG465" i="3"/>
  <c r="AG466" i="3"/>
  <c r="AG467" i="3"/>
  <c r="AG468" i="3"/>
  <c r="AG469" i="3"/>
  <c r="AG470" i="3"/>
  <c r="AG471" i="3"/>
  <c r="AG472" i="3"/>
  <c r="AG473" i="3"/>
  <c r="AG474" i="3"/>
  <c r="AG475" i="3"/>
  <c r="AG476" i="3"/>
  <c r="AG477" i="3"/>
  <c r="AG478" i="3"/>
  <c r="AG479" i="3"/>
  <c r="AG480" i="3"/>
  <c r="AG481" i="3"/>
  <c r="AG482" i="3"/>
  <c r="AG483" i="3"/>
  <c r="AG484" i="3"/>
  <c r="AG485" i="3"/>
  <c r="AG486" i="3"/>
  <c r="AG487" i="3"/>
  <c r="AG488" i="3"/>
  <c r="AG489" i="3"/>
  <c r="AG490" i="3"/>
  <c r="AG491" i="3"/>
  <c r="AG492" i="3"/>
  <c r="AG493" i="3"/>
  <c r="AG494" i="3"/>
  <c r="AG495" i="3"/>
  <c r="AG496" i="3"/>
  <c r="AG497" i="3"/>
  <c r="AG498" i="3"/>
  <c r="AG499" i="3"/>
  <c r="AG500" i="3"/>
  <c r="AG501" i="3"/>
  <c r="AG502" i="3"/>
  <c r="AG503" i="3"/>
  <c r="AG504" i="3"/>
  <c r="AG505" i="3"/>
  <c r="AG506" i="3"/>
  <c r="AG507" i="3"/>
  <c r="AG508" i="3"/>
  <c r="AG509" i="3"/>
  <c r="AG510" i="3"/>
  <c r="AG511" i="3"/>
  <c r="AG512" i="3"/>
  <c r="AG513" i="3"/>
  <c r="AG514" i="3"/>
  <c r="AG515" i="3"/>
  <c r="AG516" i="3"/>
  <c r="AG517" i="3"/>
  <c r="AG518" i="3"/>
  <c r="AG519" i="3"/>
  <c r="AG520" i="3"/>
  <c r="AG521" i="3"/>
  <c r="AG522" i="3"/>
  <c r="AG523" i="3"/>
  <c r="AG524" i="3"/>
  <c r="AG525" i="3"/>
  <c r="AG526" i="3"/>
  <c r="AG527" i="3"/>
  <c r="AG528" i="3"/>
  <c r="AG529" i="3"/>
  <c r="AG530" i="3"/>
  <c r="AG531" i="3"/>
  <c r="AG532" i="3"/>
  <c r="AG533" i="3"/>
  <c r="AG534" i="3"/>
  <c r="AG535" i="3"/>
  <c r="AG536" i="3"/>
  <c r="AG537" i="3"/>
  <c r="AG538" i="3"/>
  <c r="AG539" i="3"/>
  <c r="AG540" i="3"/>
  <c r="AG541" i="3"/>
  <c r="AG542" i="3"/>
  <c r="AG543" i="3"/>
  <c r="AG544" i="3"/>
  <c r="AG545" i="3"/>
  <c r="AG546" i="3"/>
  <c r="AG547" i="3"/>
  <c r="AG548" i="3"/>
  <c r="AG549" i="3"/>
  <c r="AG550" i="3"/>
  <c r="AG551" i="3"/>
  <c r="AG552" i="3"/>
  <c r="AG553" i="3"/>
  <c r="AG554" i="3"/>
  <c r="AG555" i="3"/>
  <c r="AG556" i="3"/>
  <c r="AG557" i="3"/>
  <c r="AG558" i="3"/>
  <c r="AG559" i="3"/>
  <c r="AG560" i="3"/>
  <c r="AG561" i="3"/>
  <c r="AG562" i="3"/>
  <c r="AG563" i="3"/>
  <c r="AG564" i="3"/>
  <c r="AG565" i="3"/>
  <c r="AG566" i="3"/>
  <c r="AG567" i="3"/>
  <c r="AG568" i="3"/>
  <c r="AG569" i="3"/>
  <c r="AG570" i="3"/>
  <c r="AG571" i="3"/>
  <c r="AG572" i="3"/>
  <c r="AG573" i="3"/>
  <c r="AG574" i="3"/>
  <c r="AG575" i="3"/>
  <c r="AG576" i="3"/>
  <c r="AG577" i="3"/>
  <c r="AG578" i="3"/>
  <c r="AG579" i="3"/>
  <c r="AG580" i="3"/>
  <c r="AG581" i="3"/>
  <c r="AG582" i="3"/>
  <c r="AG583" i="3"/>
  <c r="AG584" i="3"/>
  <c r="AG585" i="3"/>
  <c r="AG586" i="3"/>
  <c r="AG587" i="3"/>
  <c r="AG588" i="3"/>
  <c r="AG589" i="3"/>
  <c r="AG590" i="3"/>
  <c r="AG591" i="3"/>
  <c r="AG592" i="3"/>
  <c r="AG593" i="3"/>
  <c r="AG594" i="3"/>
  <c r="AG595" i="3"/>
  <c r="AG596" i="3"/>
  <c r="AG597" i="3"/>
  <c r="AG598" i="3"/>
  <c r="AG599" i="3"/>
  <c r="AG600" i="3"/>
  <c r="AG601" i="3"/>
  <c r="AG602" i="3"/>
  <c r="AG603" i="3"/>
  <c r="AG604" i="3"/>
  <c r="AG605" i="3"/>
  <c r="AG606" i="3"/>
  <c r="AG607" i="3"/>
  <c r="AG608" i="3"/>
  <c r="AG609" i="3"/>
  <c r="AG610" i="3"/>
  <c r="AG611" i="3"/>
  <c r="AG612" i="3"/>
  <c r="AG613" i="3"/>
  <c r="AG614" i="3"/>
  <c r="AG615" i="3"/>
  <c r="AG616" i="3"/>
  <c r="AG617" i="3"/>
  <c r="AG618" i="3"/>
  <c r="AG619" i="3"/>
  <c r="AG620" i="3"/>
  <c r="AG621" i="3"/>
  <c r="AG622" i="3"/>
  <c r="AG623" i="3"/>
  <c r="AG624" i="3"/>
  <c r="AG625" i="3"/>
  <c r="AG626" i="3"/>
  <c r="AG627" i="3"/>
  <c r="AG628" i="3"/>
  <c r="AG629" i="3"/>
  <c r="AG630" i="3"/>
  <c r="AG631" i="3"/>
  <c r="AG632" i="3"/>
  <c r="AG633" i="3"/>
  <c r="AG634" i="3"/>
  <c r="AG635" i="3"/>
  <c r="AG636" i="3"/>
  <c r="AG637" i="3"/>
  <c r="AG638" i="3"/>
  <c r="AG639" i="3"/>
  <c r="AG640" i="3"/>
  <c r="AG641" i="3"/>
  <c r="AG642" i="3"/>
  <c r="AG643" i="3"/>
  <c r="AG644" i="3"/>
  <c r="AG645" i="3"/>
  <c r="AG646" i="3"/>
  <c r="AG647" i="3"/>
  <c r="AG648" i="3"/>
  <c r="AG649" i="3"/>
  <c r="AG650" i="3"/>
  <c r="AG651" i="3"/>
  <c r="AG652" i="3"/>
  <c r="AG653" i="3"/>
  <c r="AG654" i="3"/>
  <c r="AG655" i="3"/>
  <c r="AG656" i="3"/>
  <c r="AG657" i="3"/>
  <c r="AG658" i="3"/>
  <c r="AG659" i="3"/>
  <c r="AG660" i="3"/>
  <c r="AG661" i="3"/>
  <c r="AG662" i="3"/>
  <c r="AG663" i="3"/>
  <c r="AG664" i="3"/>
  <c r="AG665" i="3"/>
  <c r="AG666" i="3"/>
  <c r="AG667" i="3"/>
  <c r="AG668" i="3"/>
  <c r="AG669" i="3"/>
  <c r="AG670" i="3"/>
  <c r="AG671" i="3"/>
  <c r="AG672" i="3"/>
  <c r="AG673" i="3"/>
  <c r="AG674" i="3"/>
  <c r="AG675" i="3"/>
  <c r="AG676" i="3"/>
  <c r="AG677" i="3"/>
  <c r="AC421" i="3"/>
  <c r="AC422" i="3"/>
  <c r="AC423" i="3"/>
  <c r="AC424" i="3"/>
  <c r="AC425" i="3"/>
  <c r="AC426" i="3"/>
  <c r="AC427" i="3"/>
  <c r="AC428" i="3"/>
  <c r="AC429" i="3"/>
  <c r="AC430" i="3"/>
  <c r="AC431" i="3"/>
  <c r="AC432" i="3"/>
  <c r="AC433" i="3"/>
  <c r="AC434" i="3"/>
  <c r="AC435" i="3"/>
  <c r="AC436" i="3"/>
  <c r="AC437" i="3"/>
  <c r="AC438" i="3"/>
  <c r="AC439" i="3"/>
  <c r="AC440" i="3"/>
  <c r="AC441" i="3"/>
  <c r="AC442" i="3"/>
  <c r="AC443" i="3"/>
  <c r="AC444" i="3"/>
  <c r="AC445" i="3"/>
  <c r="AC446" i="3"/>
  <c r="AC447" i="3"/>
  <c r="AC448" i="3"/>
  <c r="AC449" i="3"/>
  <c r="AC450" i="3"/>
  <c r="AC451" i="3"/>
  <c r="AC452" i="3"/>
  <c r="AC453" i="3"/>
  <c r="AC454" i="3"/>
  <c r="AC455" i="3"/>
  <c r="AC456" i="3"/>
  <c r="AC457" i="3"/>
  <c r="AC458" i="3"/>
  <c r="AC459" i="3"/>
  <c r="AC460" i="3"/>
  <c r="AC461" i="3"/>
  <c r="AC462" i="3"/>
  <c r="AC463" i="3"/>
  <c r="AC464" i="3"/>
  <c r="AC465" i="3"/>
  <c r="AC466" i="3"/>
  <c r="AC467" i="3"/>
  <c r="AC468" i="3"/>
  <c r="AC469" i="3"/>
  <c r="AC470" i="3"/>
  <c r="AC471" i="3"/>
  <c r="AC472" i="3"/>
  <c r="AC473" i="3"/>
  <c r="AC474" i="3"/>
  <c r="AC475" i="3"/>
  <c r="AC476" i="3"/>
  <c r="AC477" i="3"/>
  <c r="AC478" i="3"/>
  <c r="AC479" i="3"/>
  <c r="AC480" i="3"/>
  <c r="AC481" i="3"/>
  <c r="AC482" i="3"/>
  <c r="AC483" i="3"/>
  <c r="AC484" i="3"/>
  <c r="AC485" i="3"/>
  <c r="AC486" i="3"/>
  <c r="AC487" i="3"/>
  <c r="AC488" i="3"/>
  <c r="AC489" i="3"/>
  <c r="AC490" i="3"/>
  <c r="AC491" i="3"/>
  <c r="AC492" i="3"/>
  <c r="AC493" i="3"/>
  <c r="AC494" i="3"/>
  <c r="AC495" i="3"/>
  <c r="AC496" i="3"/>
  <c r="AC497" i="3"/>
  <c r="AC498" i="3"/>
  <c r="AC499" i="3"/>
  <c r="AC500" i="3"/>
  <c r="AC501" i="3"/>
  <c r="AC502" i="3"/>
  <c r="AC503" i="3"/>
  <c r="AC504" i="3"/>
  <c r="AC505" i="3"/>
  <c r="AC506" i="3"/>
  <c r="AC507" i="3"/>
  <c r="AC508" i="3"/>
  <c r="AC509" i="3"/>
  <c r="AC510" i="3"/>
  <c r="AC511" i="3"/>
  <c r="AC512" i="3"/>
  <c r="AC513" i="3"/>
  <c r="AC514" i="3"/>
  <c r="AC515" i="3"/>
  <c r="AC516" i="3"/>
  <c r="AC517" i="3"/>
  <c r="AC518" i="3"/>
  <c r="AC519" i="3"/>
  <c r="AC520" i="3"/>
  <c r="AC521" i="3"/>
  <c r="AC522" i="3"/>
  <c r="AC523" i="3"/>
  <c r="AC524" i="3"/>
  <c r="AC525" i="3"/>
  <c r="AC526" i="3"/>
  <c r="AC527" i="3"/>
  <c r="AC528" i="3"/>
  <c r="AC529" i="3"/>
  <c r="AC530" i="3"/>
  <c r="AC531" i="3"/>
  <c r="AC532" i="3"/>
  <c r="AC533" i="3"/>
  <c r="AC534" i="3"/>
  <c r="AC535" i="3"/>
  <c r="AC536" i="3"/>
  <c r="AC537" i="3"/>
  <c r="AC538" i="3"/>
  <c r="AC539" i="3"/>
  <c r="AC540" i="3"/>
  <c r="AC541" i="3"/>
  <c r="AC542" i="3"/>
  <c r="AC543" i="3"/>
  <c r="AC544" i="3"/>
  <c r="AC545" i="3"/>
  <c r="AC546" i="3"/>
  <c r="AC547" i="3"/>
  <c r="AC548" i="3"/>
  <c r="AC549" i="3"/>
  <c r="AC550" i="3"/>
  <c r="AC551" i="3"/>
  <c r="AC552" i="3"/>
  <c r="AC553" i="3"/>
  <c r="AC554" i="3"/>
  <c r="AC555" i="3"/>
  <c r="AC556" i="3"/>
  <c r="AC557" i="3"/>
  <c r="AC558" i="3"/>
  <c r="AC559" i="3"/>
  <c r="AC560" i="3"/>
  <c r="AC561" i="3"/>
  <c r="AC562" i="3"/>
  <c r="AC563" i="3"/>
  <c r="AC564" i="3"/>
  <c r="AC565" i="3"/>
  <c r="AC566" i="3"/>
  <c r="AC567" i="3"/>
  <c r="AC568" i="3"/>
  <c r="AC569" i="3"/>
  <c r="AC570" i="3"/>
  <c r="AC571" i="3"/>
  <c r="AC572" i="3"/>
  <c r="AC573" i="3"/>
  <c r="AC574" i="3"/>
  <c r="AC575" i="3"/>
  <c r="AC576" i="3"/>
  <c r="AC577" i="3"/>
  <c r="AC578" i="3"/>
  <c r="AC579" i="3"/>
  <c r="AC580" i="3"/>
  <c r="AC581" i="3"/>
  <c r="AC582" i="3"/>
  <c r="AC583" i="3"/>
  <c r="AC584" i="3"/>
  <c r="AC585" i="3"/>
  <c r="AC586" i="3"/>
  <c r="AC587" i="3"/>
  <c r="AC588" i="3"/>
  <c r="AC589" i="3"/>
  <c r="AC590" i="3"/>
  <c r="AC591" i="3"/>
  <c r="AC592" i="3"/>
  <c r="AC593" i="3"/>
  <c r="AC594" i="3"/>
  <c r="AC595" i="3"/>
  <c r="AC596" i="3"/>
  <c r="AC597" i="3"/>
  <c r="AC598" i="3"/>
  <c r="AC599" i="3"/>
  <c r="AC600" i="3"/>
  <c r="AC601" i="3"/>
  <c r="AC602" i="3"/>
  <c r="AC603" i="3"/>
  <c r="AC604" i="3"/>
  <c r="AC605" i="3"/>
  <c r="AC606" i="3"/>
  <c r="AC607" i="3"/>
  <c r="AC608" i="3"/>
  <c r="AC609" i="3"/>
  <c r="AC610" i="3"/>
  <c r="AC611" i="3"/>
  <c r="AC612" i="3"/>
  <c r="AC613" i="3"/>
  <c r="AC614" i="3"/>
  <c r="AC615" i="3"/>
  <c r="AC616" i="3"/>
  <c r="AC617" i="3"/>
  <c r="AC618" i="3"/>
  <c r="AC619" i="3"/>
  <c r="AC620" i="3"/>
  <c r="AC621" i="3"/>
  <c r="AC622" i="3"/>
  <c r="AC623" i="3"/>
  <c r="AC624" i="3"/>
  <c r="AC625" i="3"/>
  <c r="AC626" i="3"/>
  <c r="AC627" i="3"/>
  <c r="AC628" i="3"/>
  <c r="AC629" i="3"/>
  <c r="AC630" i="3"/>
  <c r="AC631" i="3"/>
  <c r="AC632" i="3"/>
  <c r="AC633" i="3"/>
  <c r="AC634" i="3"/>
  <c r="AC635" i="3"/>
  <c r="AC636" i="3"/>
  <c r="AC637" i="3"/>
  <c r="AC638" i="3"/>
  <c r="AC639" i="3"/>
  <c r="AC640" i="3"/>
  <c r="AC641" i="3"/>
  <c r="AC642" i="3"/>
  <c r="AC643" i="3"/>
  <c r="AC644" i="3"/>
  <c r="AC645" i="3"/>
  <c r="AC646" i="3"/>
  <c r="AC647" i="3"/>
  <c r="AC648" i="3"/>
  <c r="AC649" i="3"/>
  <c r="AC650" i="3"/>
  <c r="AC651" i="3"/>
  <c r="AC652" i="3"/>
  <c r="AC653" i="3"/>
  <c r="AC654" i="3"/>
  <c r="AC655" i="3"/>
  <c r="AC656" i="3"/>
  <c r="AC657" i="3"/>
  <c r="AC658" i="3"/>
  <c r="AC659" i="3"/>
  <c r="AC660" i="3"/>
  <c r="AC661" i="3"/>
  <c r="AC662" i="3"/>
  <c r="AC663" i="3"/>
  <c r="AC664" i="3"/>
  <c r="AC665" i="3"/>
  <c r="AC666" i="3"/>
  <c r="AC667" i="3"/>
  <c r="AC668" i="3"/>
  <c r="AC669" i="3"/>
  <c r="AC670" i="3"/>
  <c r="AC671" i="3"/>
  <c r="AC672" i="3"/>
  <c r="AC673" i="3"/>
  <c r="AC674" i="3"/>
  <c r="AC675" i="3"/>
  <c r="AC676" i="3"/>
  <c r="AC677" i="3"/>
  <c r="Y421" i="3"/>
  <c r="Y422" i="3"/>
  <c r="Y423" i="3"/>
  <c r="Y424" i="3"/>
  <c r="Y425" i="3"/>
  <c r="Y426" i="3"/>
  <c r="Y427" i="3"/>
  <c r="Y428" i="3"/>
  <c r="Y429" i="3"/>
  <c r="Y430" i="3"/>
  <c r="Y431" i="3"/>
  <c r="Y432" i="3"/>
  <c r="Y433" i="3"/>
  <c r="Y434" i="3"/>
  <c r="Y435" i="3"/>
  <c r="Y436" i="3"/>
  <c r="Y437" i="3"/>
  <c r="Y438" i="3"/>
  <c r="Y439" i="3"/>
  <c r="Y440" i="3"/>
  <c r="Y441" i="3"/>
  <c r="Y442" i="3"/>
  <c r="Y443" i="3"/>
  <c r="Y444" i="3"/>
  <c r="Y445" i="3"/>
  <c r="Y446" i="3"/>
  <c r="Y447" i="3"/>
  <c r="Y448" i="3"/>
  <c r="Y449" i="3"/>
  <c r="Y450" i="3"/>
  <c r="Y451" i="3"/>
  <c r="Y452" i="3"/>
  <c r="Y453" i="3"/>
  <c r="Y454" i="3"/>
  <c r="Y455" i="3"/>
  <c r="Y456" i="3"/>
  <c r="Y457" i="3"/>
  <c r="Y458" i="3"/>
  <c r="Y459" i="3"/>
  <c r="Y460" i="3"/>
  <c r="Y461" i="3"/>
  <c r="Y462" i="3"/>
  <c r="Y463" i="3"/>
  <c r="Y464" i="3"/>
  <c r="Y465" i="3"/>
  <c r="Y466" i="3"/>
  <c r="Y467" i="3"/>
  <c r="Y468" i="3"/>
  <c r="Y469" i="3"/>
  <c r="Y470" i="3"/>
  <c r="Y471" i="3"/>
  <c r="Y472" i="3"/>
  <c r="Y473" i="3"/>
  <c r="Y474" i="3"/>
  <c r="Y475" i="3"/>
  <c r="Y476" i="3"/>
  <c r="Y477" i="3"/>
  <c r="Y478" i="3"/>
  <c r="Y479" i="3"/>
  <c r="Y480" i="3"/>
  <c r="Y481" i="3"/>
  <c r="Y482" i="3"/>
  <c r="Y483" i="3"/>
  <c r="Y484" i="3"/>
  <c r="Y485" i="3"/>
  <c r="Y486" i="3"/>
  <c r="Y487" i="3"/>
  <c r="Y488" i="3"/>
  <c r="Y489" i="3"/>
  <c r="Y490" i="3"/>
  <c r="Y491" i="3"/>
  <c r="Y492" i="3"/>
  <c r="Y493" i="3"/>
  <c r="Y494" i="3"/>
  <c r="Y495" i="3"/>
  <c r="Y496" i="3"/>
  <c r="Y497" i="3"/>
  <c r="Y498" i="3"/>
  <c r="Y499" i="3"/>
  <c r="Y500" i="3"/>
  <c r="Y501" i="3"/>
  <c r="Y502" i="3"/>
  <c r="Y503" i="3"/>
  <c r="Y504" i="3"/>
  <c r="Y505" i="3"/>
  <c r="Y506" i="3"/>
  <c r="Y507" i="3"/>
  <c r="Y508" i="3"/>
  <c r="Y509" i="3"/>
  <c r="Y510" i="3"/>
  <c r="Y511" i="3"/>
  <c r="Y512" i="3"/>
  <c r="Y513" i="3"/>
  <c r="Y514" i="3"/>
  <c r="Y515" i="3"/>
  <c r="Y516" i="3"/>
  <c r="Y517" i="3"/>
  <c r="Y518" i="3"/>
  <c r="Y519" i="3"/>
  <c r="Y520" i="3"/>
  <c r="Y521" i="3"/>
  <c r="Y522" i="3"/>
  <c r="Y523" i="3"/>
  <c r="Y524" i="3"/>
  <c r="Y525" i="3"/>
  <c r="Y526" i="3"/>
  <c r="Y527" i="3"/>
  <c r="Y528" i="3"/>
  <c r="Y529" i="3"/>
  <c r="Y530" i="3"/>
  <c r="Y531" i="3"/>
  <c r="Y532" i="3"/>
  <c r="Y533" i="3"/>
  <c r="Y534" i="3"/>
  <c r="Y535" i="3"/>
  <c r="Y536" i="3"/>
  <c r="Y537" i="3"/>
  <c r="Y538" i="3"/>
  <c r="Y539" i="3"/>
  <c r="Y540" i="3"/>
  <c r="Y541" i="3"/>
  <c r="Y542" i="3"/>
  <c r="Y543" i="3"/>
  <c r="Y544" i="3"/>
  <c r="Y545" i="3"/>
  <c r="Y546" i="3"/>
  <c r="Y547" i="3"/>
  <c r="Y548" i="3"/>
  <c r="Y549" i="3"/>
  <c r="Y550" i="3"/>
  <c r="Y551" i="3"/>
  <c r="Y552" i="3"/>
  <c r="Y553" i="3"/>
  <c r="Y554" i="3"/>
  <c r="Y555" i="3"/>
  <c r="Y556" i="3"/>
  <c r="Y557" i="3"/>
  <c r="Y558" i="3"/>
  <c r="Y559" i="3"/>
  <c r="Y560" i="3"/>
  <c r="Y561" i="3"/>
  <c r="Y562" i="3"/>
  <c r="Y563" i="3"/>
  <c r="Y564" i="3"/>
  <c r="Y565" i="3"/>
  <c r="Y566" i="3"/>
  <c r="Y567" i="3"/>
  <c r="Y568" i="3"/>
  <c r="Y569" i="3"/>
  <c r="Y570" i="3"/>
  <c r="Y571" i="3"/>
  <c r="Y572" i="3"/>
  <c r="Y573" i="3"/>
  <c r="Y574" i="3"/>
  <c r="Y575" i="3"/>
  <c r="Y576" i="3"/>
  <c r="Y577" i="3"/>
  <c r="Y578" i="3"/>
  <c r="Y579" i="3"/>
  <c r="Y580" i="3"/>
  <c r="Y581" i="3"/>
  <c r="Y582" i="3"/>
  <c r="Y583" i="3"/>
  <c r="Y584" i="3"/>
  <c r="Y585" i="3"/>
  <c r="Y586" i="3"/>
  <c r="Y587" i="3"/>
  <c r="Y588" i="3"/>
  <c r="Y589" i="3"/>
  <c r="Y590" i="3"/>
  <c r="Y591" i="3"/>
  <c r="Y592" i="3"/>
  <c r="Y593" i="3"/>
  <c r="Y594" i="3"/>
  <c r="Y595" i="3"/>
  <c r="Y596" i="3"/>
  <c r="Y597" i="3"/>
  <c r="Y598" i="3"/>
  <c r="Y599" i="3"/>
  <c r="Y600" i="3"/>
  <c r="Y601" i="3"/>
  <c r="Y602" i="3"/>
  <c r="Y603" i="3"/>
  <c r="Y604" i="3"/>
  <c r="Y605" i="3"/>
  <c r="Y606" i="3"/>
  <c r="Y607" i="3"/>
  <c r="Y608" i="3"/>
  <c r="Y609" i="3"/>
  <c r="Y610" i="3"/>
  <c r="Y611" i="3"/>
  <c r="Y612" i="3"/>
  <c r="Y613" i="3"/>
  <c r="Y614" i="3"/>
  <c r="Y615" i="3"/>
  <c r="Y616" i="3"/>
  <c r="Y617" i="3"/>
  <c r="Y618" i="3"/>
  <c r="Y619" i="3"/>
  <c r="Y620" i="3"/>
  <c r="Y621" i="3"/>
  <c r="Y622" i="3"/>
  <c r="Y623" i="3"/>
  <c r="Y624" i="3"/>
  <c r="Y625" i="3"/>
  <c r="Y626" i="3"/>
  <c r="Y627" i="3"/>
  <c r="Y628" i="3"/>
  <c r="Y629" i="3"/>
  <c r="Y630" i="3"/>
  <c r="Y631" i="3"/>
  <c r="Y632" i="3"/>
  <c r="Y633" i="3"/>
  <c r="Y634" i="3"/>
  <c r="Y635" i="3"/>
  <c r="Y636" i="3"/>
  <c r="Y637" i="3"/>
  <c r="Y638" i="3"/>
  <c r="Y639" i="3"/>
  <c r="Y640" i="3"/>
  <c r="Y641" i="3"/>
  <c r="Y642" i="3"/>
  <c r="Y643" i="3"/>
  <c r="Y644" i="3"/>
  <c r="Y645" i="3"/>
  <c r="Y646" i="3"/>
  <c r="Y647" i="3"/>
  <c r="Y648" i="3"/>
  <c r="Y649" i="3"/>
  <c r="Y650" i="3"/>
  <c r="Y651" i="3"/>
  <c r="Y652" i="3"/>
  <c r="Y653" i="3"/>
  <c r="Y654" i="3"/>
  <c r="Y655" i="3"/>
  <c r="Y656" i="3"/>
  <c r="Y657" i="3"/>
  <c r="Y658" i="3"/>
  <c r="Y659" i="3"/>
  <c r="Y660" i="3"/>
  <c r="Y661" i="3"/>
  <c r="Y662" i="3"/>
  <c r="Y663" i="3"/>
  <c r="Y664" i="3"/>
  <c r="Y665" i="3"/>
  <c r="Y666" i="3"/>
  <c r="Y667" i="3"/>
  <c r="Y668" i="3"/>
  <c r="Y669" i="3"/>
  <c r="Y670" i="3"/>
  <c r="Y671" i="3"/>
  <c r="Y672" i="3"/>
  <c r="Y673" i="3"/>
  <c r="Y674" i="3"/>
  <c r="Y675" i="3"/>
  <c r="Y676" i="3"/>
  <c r="Y677" i="3"/>
  <c r="T421" i="3"/>
  <c r="T422" i="3"/>
  <c r="T423" i="3"/>
  <c r="T424" i="3"/>
  <c r="T425" i="3"/>
  <c r="T426" i="3"/>
  <c r="T427" i="3"/>
  <c r="T428" i="3"/>
  <c r="T429" i="3"/>
  <c r="T430" i="3"/>
  <c r="T431" i="3"/>
  <c r="T432" i="3"/>
  <c r="T433" i="3"/>
  <c r="T434" i="3"/>
  <c r="T435" i="3"/>
  <c r="T436" i="3"/>
  <c r="T437" i="3"/>
  <c r="T438" i="3"/>
  <c r="T439" i="3"/>
  <c r="T440" i="3"/>
  <c r="T441" i="3"/>
  <c r="T442" i="3"/>
  <c r="T443" i="3"/>
  <c r="T444" i="3"/>
  <c r="T445" i="3"/>
  <c r="T446" i="3"/>
  <c r="T447" i="3"/>
  <c r="T448" i="3"/>
  <c r="T449" i="3"/>
  <c r="T450" i="3"/>
  <c r="T451" i="3"/>
  <c r="T452" i="3"/>
  <c r="T453" i="3"/>
  <c r="T454" i="3"/>
  <c r="T455" i="3"/>
  <c r="T456" i="3"/>
  <c r="T457" i="3"/>
  <c r="T458" i="3"/>
  <c r="T459" i="3"/>
  <c r="T460" i="3"/>
  <c r="T461" i="3"/>
  <c r="T462" i="3"/>
  <c r="T463" i="3"/>
  <c r="T464" i="3"/>
  <c r="T465" i="3"/>
  <c r="T466" i="3"/>
  <c r="T467" i="3"/>
  <c r="T468" i="3"/>
  <c r="T469" i="3"/>
  <c r="T470" i="3"/>
  <c r="T471" i="3"/>
  <c r="T472" i="3"/>
  <c r="T473" i="3"/>
  <c r="T474" i="3"/>
  <c r="T475" i="3"/>
  <c r="T476" i="3"/>
  <c r="T477" i="3"/>
  <c r="T478" i="3"/>
  <c r="T479" i="3"/>
  <c r="T480" i="3"/>
  <c r="T481" i="3"/>
  <c r="T482" i="3"/>
  <c r="T483" i="3"/>
  <c r="T484" i="3"/>
  <c r="T485" i="3"/>
  <c r="T486" i="3"/>
  <c r="T487" i="3"/>
  <c r="T488" i="3"/>
  <c r="T489" i="3"/>
  <c r="T490" i="3"/>
  <c r="T491" i="3"/>
  <c r="T492" i="3"/>
  <c r="T493" i="3"/>
  <c r="T494" i="3"/>
  <c r="T495" i="3"/>
  <c r="T496" i="3"/>
  <c r="T497" i="3"/>
  <c r="T498" i="3"/>
  <c r="T499" i="3"/>
  <c r="T500" i="3"/>
  <c r="T501" i="3"/>
  <c r="T502" i="3"/>
  <c r="T503" i="3"/>
  <c r="T504" i="3"/>
  <c r="T505" i="3"/>
  <c r="T506" i="3"/>
  <c r="T507" i="3"/>
  <c r="T508" i="3"/>
  <c r="T509" i="3"/>
  <c r="T510" i="3"/>
  <c r="T511" i="3"/>
  <c r="T512" i="3"/>
  <c r="T513" i="3"/>
  <c r="T514" i="3"/>
  <c r="T515" i="3"/>
  <c r="T516" i="3"/>
  <c r="T517" i="3"/>
  <c r="T518" i="3"/>
  <c r="T519" i="3"/>
  <c r="T520" i="3"/>
  <c r="T521" i="3"/>
  <c r="T522" i="3"/>
  <c r="T523" i="3"/>
  <c r="T524" i="3"/>
  <c r="T525" i="3"/>
  <c r="T526" i="3"/>
  <c r="T527" i="3"/>
  <c r="T528" i="3"/>
  <c r="T529" i="3"/>
  <c r="T530" i="3"/>
  <c r="T531" i="3"/>
  <c r="T532" i="3"/>
  <c r="T533" i="3"/>
  <c r="T534" i="3"/>
  <c r="T535" i="3"/>
  <c r="T536" i="3"/>
  <c r="T537" i="3"/>
  <c r="T538" i="3"/>
  <c r="T539" i="3"/>
  <c r="T540" i="3"/>
  <c r="T541" i="3"/>
  <c r="T542" i="3"/>
  <c r="T543" i="3"/>
  <c r="T544" i="3"/>
  <c r="T545" i="3"/>
  <c r="T546" i="3"/>
  <c r="T547" i="3"/>
  <c r="T548" i="3"/>
  <c r="T549" i="3"/>
  <c r="T550" i="3"/>
  <c r="T551" i="3"/>
  <c r="T552" i="3"/>
  <c r="T553" i="3"/>
  <c r="T554" i="3"/>
  <c r="T555" i="3"/>
  <c r="T556" i="3"/>
  <c r="T557" i="3"/>
  <c r="T558" i="3"/>
  <c r="T559" i="3"/>
  <c r="T560" i="3"/>
  <c r="T561" i="3"/>
  <c r="T562" i="3"/>
  <c r="T563" i="3"/>
  <c r="T564" i="3"/>
  <c r="T565" i="3"/>
  <c r="T566" i="3"/>
  <c r="T567" i="3"/>
  <c r="T568" i="3"/>
  <c r="T569" i="3"/>
  <c r="T570" i="3"/>
  <c r="T571" i="3"/>
  <c r="T572" i="3"/>
  <c r="T573" i="3"/>
  <c r="T574" i="3"/>
  <c r="T575" i="3"/>
  <c r="T576" i="3"/>
  <c r="T577" i="3"/>
  <c r="T578" i="3"/>
  <c r="T579" i="3"/>
  <c r="T580" i="3"/>
  <c r="T581" i="3"/>
  <c r="T582" i="3"/>
  <c r="T583" i="3"/>
  <c r="T584" i="3"/>
  <c r="T585" i="3"/>
  <c r="T586" i="3"/>
  <c r="T587" i="3"/>
  <c r="T588" i="3"/>
  <c r="T589" i="3"/>
  <c r="T590" i="3"/>
  <c r="T591" i="3"/>
  <c r="T592" i="3"/>
  <c r="T593" i="3"/>
  <c r="T594" i="3"/>
  <c r="T595" i="3"/>
  <c r="T596" i="3"/>
  <c r="T597" i="3"/>
  <c r="T598" i="3"/>
  <c r="T599" i="3"/>
  <c r="T600" i="3"/>
  <c r="T601" i="3"/>
  <c r="T602" i="3"/>
  <c r="T603" i="3"/>
  <c r="T604" i="3"/>
  <c r="T605" i="3"/>
  <c r="T606" i="3"/>
  <c r="T607" i="3"/>
  <c r="T608" i="3"/>
  <c r="T609" i="3"/>
  <c r="T610" i="3"/>
  <c r="T611" i="3"/>
  <c r="T612" i="3"/>
  <c r="T613" i="3"/>
  <c r="T614" i="3"/>
  <c r="T615" i="3"/>
  <c r="T616" i="3"/>
  <c r="T617" i="3"/>
  <c r="T618" i="3"/>
  <c r="T619" i="3"/>
  <c r="T620" i="3"/>
  <c r="T621" i="3"/>
  <c r="T622" i="3"/>
  <c r="T623" i="3"/>
  <c r="T624" i="3"/>
  <c r="T625" i="3"/>
  <c r="T626" i="3"/>
  <c r="T627" i="3"/>
  <c r="T628" i="3"/>
  <c r="T629" i="3"/>
  <c r="T630" i="3"/>
  <c r="T631" i="3"/>
  <c r="T632" i="3"/>
  <c r="T633" i="3"/>
  <c r="T634" i="3"/>
  <c r="T635" i="3"/>
  <c r="T636" i="3"/>
  <c r="T637" i="3"/>
  <c r="T638" i="3"/>
  <c r="T639" i="3"/>
  <c r="T640" i="3"/>
  <c r="T641" i="3"/>
  <c r="T642" i="3"/>
  <c r="T643" i="3"/>
  <c r="T644" i="3"/>
  <c r="T645" i="3"/>
  <c r="T646" i="3"/>
  <c r="T647" i="3"/>
  <c r="T648" i="3"/>
  <c r="T649" i="3"/>
  <c r="T650" i="3"/>
  <c r="T651" i="3"/>
  <c r="T652" i="3"/>
  <c r="T653" i="3"/>
  <c r="T654" i="3"/>
  <c r="T655" i="3"/>
  <c r="T656" i="3"/>
  <c r="T657" i="3"/>
  <c r="T658" i="3"/>
  <c r="T659" i="3"/>
  <c r="T660" i="3"/>
  <c r="T661" i="3"/>
  <c r="T662" i="3"/>
  <c r="T663" i="3"/>
  <c r="T664" i="3"/>
  <c r="T665" i="3"/>
  <c r="T666" i="3"/>
  <c r="T667" i="3"/>
  <c r="T668" i="3"/>
  <c r="T669" i="3"/>
  <c r="T670" i="3"/>
  <c r="T671" i="3"/>
  <c r="T672" i="3"/>
  <c r="T673" i="3"/>
  <c r="T674" i="3"/>
  <c r="T675" i="3"/>
  <c r="T676" i="3"/>
  <c r="T677" i="3"/>
  <c r="P421" i="3"/>
  <c r="P422" i="3"/>
  <c r="P423" i="3"/>
  <c r="P424" i="3"/>
  <c r="P425" i="3"/>
  <c r="P426" i="3"/>
  <c r="P427" i="3"/>
  <c r="P428" i="3"/>
  <c r="P429" i="3"/>
  <c r="P430" i="3"/>
  <c r="P431" i="3"/>
  <c r="P432" i="3"/>
  <c r="P433" i="3"/>
  <c r="P434" i="3"/>
  <c r="P435" i="3"/>
  <c r="P436" i="3"/>
  <c r="P437" i="3"/>
  <c r="P438" i="3"/>
  <c r="P439" i="3"/>
  <c r="P440" i="3"/>
  <c r="P441" i="3"/>
  <c r="P442" i="3"/>
  <c r="P443" i="3"/>
  <c r="P444" i="3"/>
  <c r="P445" i="3"/>
  <c r="P446" i="3"/>
  <c r="P447" i="3"/>
  <c r="P448" i="3"/>
  <c r="P449" i="3"/>
  <c r="P450" i="3"/>
  <c r="P451" i="3"/>
  <c r="P452" i="3"/>
  <c r="P453" i="3"/>
  <c r="P454" i="3"/>
  <c r="P455" i="3"/>
  <c r="P456" i="3"/>
  <c r="P457" i="3"/>
  <c r="P458" i="3"/>
  <c r="P459" i="3"/>
  <c r="P460" i="3"/>
  <c r="P461" i="3"/>
  <c r="P462" i="3"/>
  <c r="P463" i="3"/>
  <c r="P464" i="3"/>
  <c r="P465" i="3"/>
  <c r="P466" i="3"/>
  <c r="P467" i="3"/>
  <c r="P468" i="3"/>
  <c r="P469" i="3"/>
  <c r="P470" i="3"/>
  <c r="P471" i="3"/>
  <c r="P472" i="3"/>
  <c r="P473" i="3"/>
  <c r="P474" i="3"/>
  <c r="P475" i="3"/>
  <c r="P476" i="3"/>
  <c r="P477" i="3"/>
  <c r="P478" i="3"/>
  <c r="P479" i="3"/>
  <c r="P480" i="3"/>
  <c r="P481" i="3"/>
  <c r="P482" i="3"/>
  <c r="P483" i="3"/>
  <c r="P484" i="3"/>
  <c r="P485" i="3"/>
  <c r="P486" i="3"/>
  <c r="P487" i="3"/>
  <c r="P488" i="3"/>
  <c r="P489" i="3"/>
  <c r="P490" i="3"/>
  <c r="P491" i="3"/>
  <c r="P492" i="3"/>
  <c r="P493" i="3"/>
  <c r="P494" i="3"/>
  <c r="P495" i="3"/>
  <c r="P496" i="3"/>
  <c r="P497" i="3"/>
  <c r="P498" i="3"/>
  <c r="P499" i="3"/>
  <c r="P500" i="3"/>
  <c r="P501" i="3"/>
  <c r="P502" i="3"/>
  <c r="P503" i="3"/>
  <c r="P504" i="3"/>
  <c r="P505" i="3"/>
  <c r="P506" i="3"/>
  <c r="P507" i="3"/>
  <c r="P508" i="3"/>
  <c r="P509" i="3"/>
  <c r="P510" i="3"/>
  <c r="P511" i="3"/>
  <c r="P512" i="3"/>
  <c r="P513" i="3"/>
  <c r="P514" i="3"/>
  <c r="P515" i="3"/>
  <c r="P516" i="3"/>
  <c r="P517" i="3"/>
  <c r="P518" i="3"/>
  <c r="P519" i="3"/>
  <c r="P520" i="3"/>
  <c r="P521" i="3"/>
  <c r="P522" i="3"/>
  <c r="P523" i="3"/>
  <c r="P524" i="3"/>
  <c r="P525" i="3"/>
  <c r="P526" i="3"/>
  <c r="P527" i="3"/>
  <c r="P528" i="3"/>
  <c r="P529" i="3"/>
  <c r="P530" i="3"/>
  <c r="P531" i="3"/>
  <c r="P532" i="3"/>
  <c r="P533" i="3"/>
  <c r="P534" i="3"/>
  <c r="P535" i="3"/>
  <c r="P536" i="3"/>
  <c r="P537" i="3"/>
  <c r="P538" i="3"/>
  <c r="P539" i="3"/>
  <c r="P540" i="3"/>
  <c r="P541" i="3"/>
  <c r="P542" i="3"/>
  <c r="P543" i="3"/>
  <c r="P544" i="3"/>
  <c r="P545" i="3"/>
  <c r="P546" i="3"/>
  <c r="P547" i="3"/>
  <c r="P548" i="3"/>
  <c r="P549" i="3"/>
  <c r="P550" i="3"/>
  <c r="P551" i="3"/>
  <c r="P552" i="3"/>
  <c r="P553" i="3"/>
  <c r="P554" i="3"/>
  <c r="P555" i="3"/>
  <c r="P556" i="3"/>
  <c r="P557" i="3"/>
  <c r="P558" i="3"/>
  <c r="P559" i="3"/>
  <c r="P560" i="3"/>
  <c r="P561" i="3"/>
  <c r="P562" i="3"/>
  <c r="P563" i="3"/>
  <c r="P564" i="3"/>
  <c r="P565" i="3"/>
  <c r="P566" i="3"/>
  <c r="P567" i="3"/>
  <c r="P568" i="3"/>
  <c r="P569" i="3"/>
  <c r="P570" i="3"/>
  <c r="P571" i="3"/>
  <c r="P572" i="3"/>
  <c r="P573" i="3"/>
  <c r="P574" i="3"/>
  <c r="P575" i="3"/>
  <c r="P576" i="3"/>
  <c r="P577" i="3"/>
  <c r="P578" i="3"/>
  <c r="P579" i="3"/>
  <c r="P580" i="3"/>
  <c r="P581" i="3"/>
  <c r="P582" i="3"/>
  <c r="P583" i="3"/>
  <c r="P584" i="3"/>
  <c r="P585" i="3"/>
  <c r="P586" i="3"/>
  <c r="P587" i="3"/>
  <c r="P588" i="3"/>
  <c r="P589" i="3"/>
  <c r="P590" i="3"/>
  <c r="P591" i="3"/>
  <c r="P592" i="3"/>
  <c r="P593" i="3"/>
  <c r="P594" i="3"/>
  <c r="P595" i="3"/>
  <c r="P596" i="3"/>
  <c r="P597" i="3"/>
  <c r="P598" i="3"/>
  <c r="P599" i="3"/>
  <c r="P600" i="3"/>
  <c r="P601" i="3"/>
  <c r="P602" i="3"/>
  <c r="P603" i="3"/>
  <c r="P604" i="3"/>
  <c r="P605" i="3"/>
  <c r="P606" i="3"/>
  <c r="P607" i="3"/>
  <c r="P608" i="3"/>
  <c r="P609" i="3"/>
  <c r="P610" i="3"/>
  <c r="P611" i="3"/>
  <c r="P612" i="3"/>
  <c r="P613" i="3"/>
  <c r="P614" i="3"/>
  <c r="P615" i="3"/>
  <c r="P616" i="3"/>
  <c r="P617" i="3"/>
  <c r="P618" i="3"/>
  <c r="P619" i="3"/>
  <c r="P620" i="3"/>
  <c r="P621" i="3"/>
  <c r="P622" i="3"/>
  <c r="P623" i="3"/>
  <c r="P624" i="3"/>
  <c r="P625" i="3"/>
  <c r="P626" i="3"/>
  <c r="P627" i="3"/>
  <c r="P628" i="3"/>
  <c r="P629" i="3"/>
  <c r="P630" i="3"/>
  <c r="P631" i="3"/>
  <c r="P632" i="3"/>
  <c r="P633" i="3"/>
  <c r="P634" i="3"/>
  <c r="P635" i="3"/>
  <c r="P636" i="3"/>
  <c r="P637" i="3"/>
  <c r="P638" i="3"/>
  <c r="P639" i="3"/>
  <c r="P640" i="3"/>
  <c r="P641" i="3"/>
  <c r="P642" i="3"/>
  <c r="P643" i="3"/>
  <c r="P644" i="3"/>
  <c r="P645" i="3"/>
  <c r="P646" i="3"/>
  <c r="P647" i="3"/>
  <c r="P648" i="3"/>
  <c r="P649" i="3"/>
  <c r="P650" i="3"/>
  <c r="P651" i="3"/>
  <c r="P652" i="3"/>
  <c r="P653" i="3"/>
  <c r="P654" i="3"/>
  <c r="P655" i="3"/>
  <c r="P656" i="3"/>
  <c r="P657" i="3"/>
  <c r="P658" i="3"/>
  <c r="P659" i="3"/>
  <c r="P660" i="3"/>
  <c r="P661" i="3"/>
  <c r="P662" i="3"/>
  <c r="P663" i="3"/>
  <c r="P664" i="3"/>
  <c r="P665" i="3"/>
  <c r="P666" i="3"/>
  <c r="P667" i="3"/>
  <c r="P668" i="3"/>
  <c r="P669" i="3"/>
  <c r="P670" i="3"/>
  <c r="P671" i="3"/>
  <c r="P672" i="3"/>
  <c r="P673" i="3"/>
  <c r="P674" i="3"/>
  <c r="P675" i="3"/>
  <c r="P676" i="3"/>
  <c r="P677" i="3"/>
  <c r="L421" i="3"/>
  <c r="L422" i="3"/>
  <c r="L423" i="3"/>
  <c r="L424" i="3"/>
  <c r="L425" i="3"/>
  <c r="L426" i="3"/>
  <c r="L427" i="3"/>
  <c r="L428" i="3"/>
  <c r="L429" i="3"/>
  <c r="L430" i="3"/>
  <c r="L431" i="3"/>
  <c r="L432" i="3"/>
  <c r="L433" i="3"/>
  <c r="L434" i="3"/>
  <c r="L435" i="3"/>
  <c r="L436" i="3"/>
  <c r="L437" i="3"/>
  <c r="L438" i="3"/>
  <c r="L439" i="3"/>
  <c r="L440" i="3"/>
  <c r="L441" i="3"/>
  <c r="L442" i="3"/>
  <c r="L443" i="3"/>
  <c r="L444" i="3"/>
  <c r="L445" i="3"/>
  <c r="L446" i="3"/>
  <c r="L447" i="3"/>
  <c r="L448" i="3"/>
  <c r="L449" i="3"/>
  <c r="L450" i="3"/>
  <c r="L451" i="3"/>
  <c r="L452" i="3"/>
  <c r="L453" i="3"/>
  <c r="L454" i="3"/>
  <c r="L455" i="3"/>
  <c r="L456" i="3"/>
  <c r="L457" i="3"/>
  <c r="L458" i="3"/>
  <c r="L459" i="3"/>
  <c r="L460" i="3"/>
  <c r="L461" i="3"/>
  <c r="L462" i="3"/>
  <c r="L463" i="3"/>
  <c r="L464" i="3"/>
  <c r="L465" i="3"/>
  <c r="L466" i="3"/>
  <c r="L467" i="3"/>
  <c r="L468" i="3"/>
  <c r="L469" i="3"/>
  <c r="L470" i="3"/>
  <c r="L471" i="3"/>
  <c r="L472" i="3"/>
  <c r="L473" i="3"/>
  <c r="L474" i="3"/>
  <c r="L475" i="3"/>
  <c r="L476" i="3"/>
  <c r="L477" i="3"/>
  <c r="L478" i="3"/>
  <c r="L479" i="3"/>
  <c r="L480" i="3"/>
  <c r="L481" i="3"/>
  <c r="L482" i="3"/>
  <c r="L483" i="3"/>
  <c r="L484" i="3"/>
  <c r="L485" i="3"/>
  <c r="L486" i="3"/>
  <c r="L487" i="3"/>
  <c r="L488" i="3"/>
  <c r="L489" i="3"/>
  <c r="L490" i="3"/>
  <c r="L491" i="3"/>
  <c r="L492" i="3"/>
  <c r="L493" i="3"/>
  <c r="L494" i="3"/>
  <c r="L495" i="3"/>
  <c r="L496" i="3"/>
  <c r="L497" i="3"/>
  <c r="L498" i="3"/>
  <c r="L499" i="3"/>
  <c r="L500" i="3"/>
  <c r="L501" i="3"/>
  <c r="L502" i="3"/>
  <c r="L503" i="3"/>
  <c r="L504" i="3"/>
  <c r="L505" i="3"/>
  <c r="L506" i="3"/>
  <c r="L507" i="3"/>
  <c r="L508" i="3"/>
  <c r="L509" i="3"/>
  <c r="L510" i="3"/>
  <c r="L511" i="3"/>
  <c r="L512" i="3"/>
  <c r="L513" i="3"/>
  <c r="L514" i="3"/>
  <c r="L515" i="3"/>
  <c r="L516" i="3"/>
  <c r="L517" i="3"/>
  <c r="L518" i="3"/>
  <c r="L519" i="3"/>
  <c r="L520" i="3"/>
  <c r="L521" i="3"/>
  <c r="L522" i="3"/>
  <c r="L523" i="3"/>
  <c r="L524" i="3"/>
  <c r="L525" i="3"/>
  <c r="L526" i="3"/>
  <c r="L527" i="3"/>
  <c r="L528" i="3"/>
  <c r="L529" i="3"/>
  <c r="L530" i="3"/>
  <c r="L531" i="3"/>
  <c r="L532" i="3"/>
  <c r="L533" i="3"/>
  <c r="L534" i="3"/>
  <c r="L535" i="3"/>
  <c r="L536" i="3"/>
  <c r="L537" i="3"/>
  <c r="L538" i="3"/>
  <c r="L539" i="3"/>
  <c r="L540" i="3"/>
  <c r="L541" i="3"/>
  <c r="L542" i="3"/>
  <c r="L543" i="3"/>
  <c r="L544" i="3"/>
  <c r="L545" i="3"/>
  <c r="L546" i="3"/>
  <c r="L547" i="3"/>
  <c r="L548" i="3"/>
  <c r="L549" i="3"/>
  <c r="L550" i="3"/>
  <c r="L551" i="3"/>
  <c r="L552" i="3"/>
  <c r="L553" i="3"/>
  <c r="L554" i="3"/>
  <c r="L555" i="3"/>
  <c r="L556" i="3"/>
  <c r="L557" i="3"/>
  <c r="L558" i="3"/>
  <c r="L559" i="3"/>
  <c r="L560" i="3"/>
  <c r="L561" i="3"/>
  <c r="L562" i="3"/>
  <c r="L563" i="3"/>
  <c r="L564" i="3"/>
  <c r="L565" i="3"/>
  <c r="L566" i="3"/>
  <c r="L567" i="3"/>
  <c r="L568" i="3"/>
  <c r="L569" i="3"/>
  <c r="L570" i="3"/>
  <c r="L571" i="3"/>
  <c r="L572" i="3"/>
  <c r="L573" i="3"/>
  <c r="L574" i="3"/>
  <c r="L575" i="3"/>
  <c r="L576" i="3"/>
  <c r="L577" i="3"/>
  <c r="L578" i="3"/>
  <c r="L579" i="3"/>
  <c r="L580" i="3"/>
  <c r="L581" i="3"/>
  <c r="L582" i="3"/>
  <c r="L583" i="3"/>
  <c r="L584" i="3"/>
  <c r="L585" i="3"/>
  <c r="L586" i="3"/>
  <c r="L587" i="3"/>
  <c r="L588" i="3"/>
  <c r="L589" i="3"/>
  <c r="L590" i="3"/>
  <c r="L591" i="3"/>
  <c r="L592" i="3"/>
  <c r="L593" i="3"/>
  <c r="L594" i="3"/>
  <c r="L595" i="3"/>
  <c r="L596" i="3"/>
  <c r="L597" i="3"/>
  <c r="L598" i="3"/>
  <c r="L599" i="3"/>
  <c r="L600" i="3"/>
  <c r="L601" i="3"/>
  <c r="L602" i="3"/>
  <c r="L603" i="3"/>
  <c r="L604" i="3"/>
  <c r="L605" i="3"/>
  <c r="L606" i="3"/>
  <c r="L607" i="3"/>
  <c r="L608" i="3"/>
  <c r="L609" i="3"/>
  <c r="L610" i="3"/>
  <c r="L611" i="3"/>
  <c r="L612" i="3"/>
  <c r="L613" i="3"/>
  <c r="L614" i="3"/>
  <c r="L615" i="3"/>
  <c r="L616" i="3"/>
  <c r="L617" i="3"/>
  <c r="L618" i="3"/>
  <c r="L619" i="3"/>
  <c r="L620" i="3"/>
  <c r="L621" i="3"/>
  <c r="L622" i="3"/>
  <c r="L623" i="3"/>
  <c r="L624" i="3"/>
  <c r="L625" i="3"/>
  <c r="L626" i="3"/>
  <c r="L627" i="3"/>
  <c r="L628" i="3"/>
  <c r="L629" i="3"/>
  <c r="L630" i="3"/>
  <c r="L631" i="3"/>
  <c r="L632" i="3"/>
  <c r="L633" i="3"/>
  <c r="L634" i="3"/>
  <c r="L635" i="3"/>
  <c r="L636" i="3"/>
  <c r="L637" i="3"/>
  <c r="L638" i="3"/>
  <c r="L639" i="3"/>
  <c r="L640" i="3"/>
  <c r="L641" i="3"/>
  <c r="L642" i="3"/>
  <c r="L643" i="3"/>
  <c r="L644" i="3"/>
  <c r="L645" i="3"/>
  <c r="L646" i="3"/>
  <c r="L647" i="3"/>
  <c r="L648" i="3"/>
  <c r="L649" i="3"/>
  <c r="L650" i="3"/>
  <c r="L651" i="3"/>
  <c r="L652" i="3"/>
  <c r="L653" i="3"/>
  <c r="L654" i="3"/>
  <c r="L655" i="3"/>
  <c r="L656" i="3"/>
  <c r="L657" i="3"/>
  <c r="L658" i="3"/>
  <c r="L659" i="3"/>
  <c r="L660" i="3"/>
  <c r="L661" i="3"/>
  <c r="L662" i="3"/>
  <c r="L663" i="3"/>
  <c r="L664" i="3"/>
  <c r="L665" i="3"/>
  <c r="L666" i="3"/>
  <c r="L667" i="3"/>
  <c r="L668" i="3"/>
  <c r="L669" i="3"/>
  <c r="L670" i="3"/>
  <c r="L671" i="3"/>
  <c r="L672" i="3"/>
  <c r="L673" i="3"/>
  <c r="L674" i="3"/>
  <c r="L675" i="3"/>
  <c r="L676" i="3"/>
  <c r="L677" i="3"/>
  <c r="DM374" i="3"/>
  <c r="DM375" i="3"/>
  <c r="DM376" i="3"/>
  <c r="DM377" i="3"/>
  <c r="DM378" i="3"/>
  <c r="DM379" i="3"/>
  <c r="DM380" i="3"/>
  <c r="DM381" i="3"/>
  <c r="DM382" i="3"/>
  <c r="DM383" i="3"/>
  <c r="DM384" i="3"/>
  <c r="DM385" i="3"/>
  <c r="DM386" i="3"/>
  <c r="DM387" i="3"/>
  <c r="DM388" i="3"/>
  <c r="DM389" i="3"/>
  <c r="DM390" i="3"/>
  <c r="DM391" i="3"/>
  <c r="DM392" i="3"/>
  <c r="DM393" i="3"/>
  <c r="DM394" i="3"/>
  <c r="DM395" i="3"/>
  <c r="DM396" i="3"/>
  <c r="DM397" i="3"/>
  <c r="DM398" i="3"/>
  <c r="DM399" i="3"/>
  <c r="DM400" i="3"/>
  <c r="DM401" i="3"/>
  <c r="DM402" i="3"/>
  <c r="DM403" i="3"/>
  <c r="DM404" i="3"/>
  <c r="DM405" i="3"/>
  <c r="DM406" i="3"/>
  <c r="DM407" i="3"/>
  <c r="DM408" i="3"/>
  <c r="DM409" i="3"/>
  <c r="DM410" i="3"/>
  <c r="DM411" i="3"/>
  <c r="DM412" i="3"/>
  <c r="DM413" i="3"/>
  <c r="DM414" i="3"/>
  <c r="DM415" i="3"/>
  <c r="DM416" i="3"/>
  <c r="DM417" i="3"/>
  <c r="DM418" i="3"/>
  <c r="DM419" i="3"/>
  <c r="DM420" i="3"/>
  <c r="DF374" i="3"/>
  <c r="DG374" i="3"/>
  <c r="DJ374" i="3"/>
  <c r="DK374" i="3"/>
  <c r="DF375" i="3"/>
  <c r="DG375" i="3"/>
  <c r="DJ375" i="3"/>
  <c r="DK375" i="3"/>
  <c r="DF376" i="3"/>
  <c r="DG376" i="3"/>
  <c r="DJ376" i="3"/>
  <c r="DK376" i="3"/>
  <c r="DF377" i="3"/>
  <c r="DG377" i="3"/>
  <c r="DJ377" i="3"/>
  <c r="DK377" i="3"/>
  <c r="DF378" i="3"/>
  <c r="DG378" i="3"/>
  <c r="DJ378" i="3"/>
  <c r="DK378" i="3"/>
  <c r="DF379" i="3"/>
  <c r="DG379" i="3"/>
  <c r="DJ379" i="3"/>
  <c r="DK379" i="3"/>
  <c r="DF380" i="3"/>
  <c r="DG380" i="3"/>
  <c r="DJ380" i="3"/>
  <c r="DK380" i="3"/>
  <c r="DF381" i="3"/>
  <c r="DG381" i="3"/>
  <c r="DJ381" i="3"/>
  <c r="DK381" i="3"/>
  <c r="DF382" i="3"/>
  <c r="DG382" i="3"/>
  <c r="DJ382" i="3"/>
  <c r="DK382" i="3"/>
  <c r="DF383" i="3"/>
  <c r="DG383" i="3"/>
  <c r="DJ383" i="3"/>
  <c r="DK383" i="3"/>
  <c r="DF384" i="3"/>
  <c r="DG384" i="3"/>
  <c r="DJ384" i="3"/>
  <c r="DK384" i="3"/>
  <c r="DF385" i="3"/>
  <c r="DG385" i="3"/>
  <c r="DJ385" i="3"/>
  <c r="DK385" i="3"/>
  <c r="DF386" i="3"/>
  <c r="DG386" i="3"/>
  <c r="DJ386" i="3"/>
  <c r="DK386" i="3"/>
  <c r="DF387" i="3"/>
  <c r="DG387" i="3"/>
  <c r="DJ387" i="3"/>
  <c r="DK387" i="3"/>
  <c r="DF388" i="3"/>
  <c r="DG388" i="3"/>
  <c r="DJ388" i="3"/>
  <c r="DK388" i="3"/>
  <c r="DF389" i="3"/>
  <c r="DG389" i="3"/>
  <c r="DJ389" i="3"/>
  <c r="DK389" i="3"/>
  <c r="DF390" i="3"/>
  <c r="DG390" i="3"/>
  <c r="DJ390" i="3"/>
  <c r="DK390" i="3"/>
  <c r="DF391" i="3"/>
  <c r="DG391" i="3"/>
  <c r="DJ391" i="3"/>
  <c r="DK391" i="3"/>
  <c r="DF392" i="3"/>
  <c r="DG392" i="3"/>
  <c r="DJ392" i="3"/>
  <c r="DK392" i="3"/>
  <c r="DF393" i="3"/>
  <c r="DG393" i="3"/>
  <c r="DJ393" i="3"/>
  <c r="DK393" i="3"/>
  <c r="DF394" i="3"/>
  <c r="DG394" i="3"/>
  <c r="DJ394" i="3"/>
  <c r="DK394" i="3"/>
  <c r="DF395" i="3"/>
  <c r="DG395" i="3"/>
  <c r="DJ395" i="3"/>
  <c r="DK395" i="3"/>
  <c r="DF396" i="3"/>
  <c r="DG396" i="3"/>
  <c r="DJ396" i="3"/>
  <c r="DK396" i="3"/>
  <c r="DF397" i="3"/>
  <c r="DG397" i="3"/>
  <c r="DJ397" i="3"/>
  <c r="DK397" i="3"/>
  <c r="DF398" i="3"/>
  <c r="DG398" i="3"/>
  <c r="DJ398" i="3"/>
  <c r="DK398" i="3"/>
  <c r="DF399" i="3"/>
  <c r="DG399" i="3"/>
  <c r="DJ399" i="3"/>
  <c r="DK399" i="3"/>
  <c r="DF400" i="3"/>
  <c r="DG400" i="3"/>
  <c r="DJ400" i="3"/>
  <c r="DK400" i="3"/>
  <c r="DF401" i="3"/>
  <c r="DG401" i="3"/>
  <c r="DJ401" i="3"/>
  <c r="DK401" i="3"/>
  <c r="DF402" i="3"/>
  <c r="DG402" i="3"/>
  <c r="DJ402" i="3"/>
  <c r="DK402" i="3"/>
  <c r="DF403" i="3"/>
  <c r="DG403" i="3"/>
  <c r="DJ403" i="3"/>
  <c r="DK403" i="3"/>
  <c r="DF404" i="3"/>
  <c r="DG404" i="3"/>
  <c r="DJ404" i="3"/>
  <c r="DK404" i="3"/>
  <c r="DF405" i="3"/>
  <c r="DG405" i="3"/>
  <c r="DJ405" i="3"/>
  <c r="DK405" i="3"/>
  <c r="DF406" i="3"/>
  <c r="DG406" i="3"/>
  <c r="DJ406" i="3"/>
  <c r="DK406" i="3"/>
  <c r="DF407" i="3"/>
  <c r="DG407" i="3"/>
  <c r="DJ407" i="3"/>
  <c r="DK407" i="3"/>
  <c r="DF408" i="3"/>
  <c r="DG408" i="3"/>
  <c r="DJ408" i="3"/>
  <c r="DK408" i="3"/>
  <c r="DF409" i="3"/>
  <c r="DG409" i="3"/>
  <c r="DJ409" i="3"/>
  <c r="DK409" i="3"/>
  <c r="DF410" i="3"/>
  <c r="DG410" i="3"/>
  <c r="DJ410" i="3"/>
  <c r="DK410" i="3"/>
  <c r="DF411" i="3"/>
  <c r="DG411" i="3"/>
  <c r="DJ411" i="3"/>
  <c r="DK411" i="3"/>
  <c r="DF412" i="3"/>
  <c r="DG412" i="3"/>
  <c r="DJ412" i="3"/>
  <c r="DK412" i="3"/>
  <c r="DF413" i="3"/>
  <c r="DG413" i="3"/>
  <c r="DJ413" i="3"/>
  <c r="DK413" i="3"/>
  <c r="DF414" i="3"/>
  <c r="DG414" i="3"/>
  <c r="DJ414" i="3"/>
  <c r="DK414" i="3"/>
  <c r="DF415" i="3"/>
  <c r="DG415" i="3"/>
  <c r="DJ415" i="3"/>
  <c r="DK415" i="3"/>
  <c r="DF416" i="3"/>
  <c r="DG416" i="3"/>
  <c r="DJ416" i="3"/>
  <c r="DK416" i="3"/>
  <c r="DF417" i="3"/>
  <c r="DG417" i="3"/>
  <c r="DJ417" i="3"/>
  <c r="DK417" i="3"/>
  <c r="DF418" i="3"/>
  <c r="DG418" i="3"/>
  <c r="DJ418" i="3"/>
  <c r="DK418" i="3"/>
  <c r="DF419" i="3"/>
  <c r="DG419" i="3"/>
  <c r="DJ419" i="3"/>
  <c r="DK419" i="3"/>
  <c r="DF420" i="3"/>
  <c r="DG420" i="3"/>
  <c r="DJ420" i="3"/>
  <c r="DK420" i="3"/>
  <c r="CX374" i="3"/>
  <c r="CY374" i="3"/>
  <c r="CX375" i="3"/>
  <c r="CY375" i="3"/>
  <c r="CX376" i="3"/>
  <c r="CY376" i="3"/>
  <c r="CX377" i="3"/>
  <c r="CY377" i="3"/>
  <c r="CX378" i="3"/>
  <c r="CY378" i="3"/>
  <c r="CX379" i="3"/>
  <c r="CY379" i="3"/>
  <c r="CX380" i="3"/>
  <c r="CY380" i="3"/>
  <c r="CX381" i="3"/>
  <c r="CY381" i="3"/>
  <c r="CX382" i="3"/>
  <c r="CY382" i="3"/>
  <c r="CX383" i="3"/>
  <c r="CY383" i="3"/>
  <c r="CX384" i="3"/>
  <c r="CY384" i="3"/>
  <c r="CX385" i="3"/>
  <c r="CY385" i="3"/>
  <c r="CX386" i="3"/>
  <c r="CY386" i="3"/>
  <c r="CX387" i="3"/>
  <c r="CY387" i="3"/>
  <c r="CX388" i="3"/>
  <c r="CY388" i="3"/>
  <c r="CX389" i="3"/>
  <c r="CY389" i="3"/>
  <c r="CX390" i="3"/>
  <c r="CY390" i="3"/>
  <c r="CX391" i="3"/>
  <c r="CY391" i="3"/>
  <c r="CX392" i="3"/>
  <c r="CY392" i="3"/>
  <c r="CX393" i="3"/>
  <c r="CY393" i="3"/>
  <c r="CX394" i="3"/>
  <c r="CY394" i="3"/>
  <c r="CX395" i="3"/>
  <c r="CY395" i="3"/>
  <c r="CX396" i="3"/>
  <c r="CY396" i="3"/>
  <c r="CX397" i="3"/>
  <c r="CY397" i="3"/>
  <c r="CX398" i="3"/>
  <c r="CY398" i="3"/>
  <c r="CX399" i="3"/>
  <c r="CY399" i="3"/>
  <c r="CX400" i="3"/>
  <c r="CY400" i="3"/>
  <c r="CX401" i="3"/>
  <c r="CY401" i="3"/>
  <c r="CX402" i="3"/>
  <c r="CY402" i="3"/>
  <c r="CX403" i="3"/>
  <c r="CY403" i="3"/>
  <c r="CX404" i="3"/>
  <c r="CY404" i="3"/>
  <c r="CX405" i="3"/>
  <c r="CY405" i="3"/>
  <c r="CX406" i="3"/>
  <c r="CY406" i="3"/>
  <c r="CX407" i="3"/>
  <c r="CY407" i="3"/>
  <c r="CX408" i="3"/>
  <c r="CY408" i="3"/>
  <c r="CX409" i="3"/>
  <c r="CY409" i="3"/>
  <c r="CX410" i="3"/>
  <c r="CY410" i="3"/>
  <c r="CX411" i="3"/>
  <c r="CY411" i="3"/>
  <c r="CX412" i="3"/>
  <c r="CY412" i="3"/>
  <c r="CX413" i="3"/>
  <c r="CY413" i="3"/>
  <c r="CX414" i="3"/>
  <c r="CY414" i="3"/>
  <c r="CX415" i="3"/>
  <c r="CY415" i="3"/>
  <c r="CX416" i="3"/>
  <c r="CY416" i="3"/>
  <c r="CX417" i="3"/>
  <c r="CY417" i="3"/>
  <c r="CX418" i="3"/>
  <c r="CY418" i="3"/>
  <c r="CX419" i="3"/>
  <c r="CY419" i="3"/>
  <c r="CX420" i="3"/>
  <c r="CY420" i="3"/>
  <c r="CT374" i="3"/>
  <c r="CT375" i="3"/>
  <c r="CT376" i="3"/>
  <c r="CT377" i="3"/>
  <c r="CT378" i="3"/>
  <c r="CT379" i="3"/>
  <c r="CT380" i="3"/>
  <c r="CT381" i="3"/>
  <c r="CT382" i="3"/>
  <c r="CT383" i="3"/>
  <c r="CT384" i="3"/>
  <c r="CT385" i="3"/>
  <c r="CT386" i="3"/>
  <c r="CT387" i="3"/>
  <c r="CT388" i="3"/>
  <c r="CT389" i="3"/>
  <c r="CT390" i="3"/>
  <c r="CT391" i="3"/>
  <c r="CT392" i="3"/>
  <c r="CT393" i="3"/>
  <c r="CT394" i="3"/>
  <c r="CT395" i="3"/>
  <c r="CT396" i="3"/>
  <c r="CT397" i="3"/>
  <c r="CT398" i="3"/>
  <c r="CT399" i="3"/>
  <c r="CT400" i="3"/>
  <c r="CT401" i="3"/>
  <c r="CT402" i="3"/>
  <c r="CT403" i="3"/>
  <c r="CT404" i="3"/>
  <c r="CT405" i="3"/>
  <c r="CT406" i="3"/>
  <c r="CT407" i="3"/>
  <c r="CT408" i="3"/>
  <c r="CT409" i="3"/>
  <c r="CT410" i="3"/>
  <c r="CT411" i="3"/>
  <c r="CT412" i="3"/>
  <c r="CT413" i="3"/>
  <c r="CT414" i="3"/>
  <c r="CT415" i="3"/>
  <c r="CT416" i="3"/>
  <c r="CT417" i="3"/>
  <c r="CT418" i="3"/>
  <c r="CT419" i="3"/>
  <c r="CT420" i="3"/>
  <c r="CP374" i="3"/>
  <c r="CP375" i="3"/>
  <c r="CP376" i="3"/>
  <c r="CP377" i="3"/>
  <c r="CP378" i="3"/>
  <c r="CP379" i="3"/>
  <c r="CP380" i="3"/>
  <c r="CP381" i="3"/>
  <c r="CP382" i="3"/>
  <c r="CP383" i="3"/>
  <c r="CP384" i="3"/>
  <c r="CP385" i="3"/>
  <c r="CP386" i="3"/>
  <c r="CP387" i="3"/>
  <c r="CP388" i="3"/>
  <c r="CP389" i="3"/>
  <c r="CP390" i="3"/>
  <c r="CP391" i="3"/>
  <c r="CP392" i="3"/>
  <c r="CP393" i="3"/>
  <c r="CP394" i="3"/>
  <c r="CP395" i="3"/>
  <c r="CP396" i="3"/>
  <c r="CP397" i="3"/>
  <c r="CP398" i="3"/>
  <c r="CP399" i="3"/>
  <c r="CP400" i="3"/>
  <c r="CP401" i="3"/>
  <c r="CP402" i="3"/>
  <c r="CP403" i="3"/>
  <c r="CP404" i="3"/>
  <c r="CP405" i="3"/>
  <c r="CP406" i="3"/>
  <c r="CP407" i="3"/>
  <c r="CP408" i="3"/>
  <c r="CP409" i="3"/>
  <c r="CP410" i="3"/>
  <c r="CP411" i="3"/>
  <c r="CP412" i="3"/>
  <c r="CP413" i="3"/>
  <c r="CP414" i="3"/>
  <c r="CP415" i="3"/>
  <c r="CP416" i="3"/>
  <c r="CP417" i="3"/>
  <c r="CP418" i="3"/>
  <c r="CP419" i="3"/>
  <c r="CP420" i="3"/>
  <c r="CL374" i="3"/>
  <c r="CL375" i="3"/>
  <c r="CL376" i="3"/>
  <c r="CL377" i="3"/>
  <c r="CL378" i="3"/>
  <c r="CL379" i="3"/>
  <c r="CL380" i="3"/>
  <c r="CL381" i="3"/>
  <c r="CL382" i="3"/>
  <c r="CL383" i="3"/>
  <c r="CL384" i="3"/>
  <c r="CL385" i="3"/>
  <c r="CL386" i="3"/>
  <c r="CL387" i="3"/>
  <c r="CL388" i="3"/>
  <c r="CL389" i="3"/>
  <c r="CL390" i="3"/>
  <c r="CL391" i="3"/>
  <c r="CL392" i="3"/>
  <c r="CL393" i="3"/>
  <c r="CL394" i="3"/>
  <c r="CL395" i="3"/>
  <c r="CL396" i="3"/>
  <c r="CL397" i="3"/>
  <c r="CL398" i="3"/>
  <c r="CL399" i="3"/>
  <c r="CL400" i="3"/>
  <c r="CL401" i="3"/>
  <c r="CL402" i="3"/>
  <c r="CL403" i="3"/>
  <c r="CL404" i="3"/>
  <c r="CL405" i="3"/>
  <c r="CL406" i="3"/>
  <c r="CL407" i="3"/>
  <c r="CL408" i="3"/>
  <c r="CL409" i="3"/>
  <c r="CL410" i="3"/>
  <c r="CL411" i="3"/>
  <c r="CL412" i="3"/>
  <c r="CL413" i="3"/>
  <c r="CL414" i="3"/>
  <c r="CL415" i="3"/>
  <c r="CL416" i="3"/>
  <c r="CL417" i="3"/>
  <c r="CL418" i="3"/>
  <c r="CL419" i="3"/>
  <c r="CL420" i="3"/>
  <c r="CG374" i="3"/>
  <c r="CG375" i="3"/>
  <c r="CG376" i="3"/>
  <c r="CG377" i="3"/>
  <c r="CG378" i="3"/>
  <c r="CG379" i="3"/>
  <c r="CG380" i="3"/>
  <c r="CG381" i="3"/>
  <c r="CG382" i="3"/>
  <c r="CG383" i="3"/>
  <c r="CG384" i="3"/>
  <c r="CG385" i="3"/>
  <c r="CG386" i="3"/>
  <c r="CG387" i="3"/>
  <c r="CG388" i="3"/>
  <c r="CG389" i="3"/>
  <c r="CG390" i="3"/>
  <c r="CG391" i="3"/>
  <c r="CG392" i="3"/>
  <c r="CG393" i="3"/>
  <c r="CG394" i="3"/>
  <c r="CG395" i="3"/>
  <c r="CG396" i="3"/>
  <c r="CG397" i="3"/>
  <c r="CG398" i="3"/>
  <c r="CG399" i="3"/>
  <c r="CG400" i="3"/>
  <c r="CG401" i="3"/>
  <c r="CG402" i="3"/>
  <c r="CG403" i="3"/>
  <c r="CG404" i="3"/>
  <c r="CG405" i="3"/>
  <c r="CG406" i="3"/>
  <c r="CG407" i="3"/>
  <c r="CG408" i="3"/>
  <c r="CG409" i="3"/>
  <c r="CG410" i="3"/>
  <c r="CG411" i="3"/>
  <c r="CG412" i="3"/>
  <c r="CG413" i="3"/>
  <c r="CG414" i="3"/>
  <c r="CG415" i="3"/>
  <c r="CG416" i="3"/>
  <c r="CG417" i="3"/>
  <c r="CG418" i="3"/>
  <c r="CG419" i="3"/>
  <c r="CG420" i="3"/>
  <c r="CC374" i="3"/>
  <c r="CC375" i="3"/>
  <c r="CC376" i="3"/>
  <c r="CC377" i="3"/>
  <c r="CC378" i="3"/>
  <c r="CC379" i="3"/>
  <c r="CC380" i="3"/>
  <c r="CC381" i="3"/>
  <c r="CC382" i="3"/>
  <c r="CC383" i="3"/>
  <c r="CC384" i="3"/>
  <c r="CC385" i="3"/>
  <c r="CC386" i="3"/>
  <c r="CC387" i="3"/>
  <c r="CC388" i="3"/>
  <c r="CC389" i="3"/>
  <c r="CC390" i="3"/>
  <c r="CC391" i="3"/>
  <c r="CC392" i="3"/>
  <c r="CC393" i="3"/>
  <c r="CC394" i="3"/>
  <c r="CC395" i="3"/>
  <c r="CC396" i="3"/>
  <c r="CC397" i="3"/>
  <c r="CC398" i="3"/>
  <c r="CC399" i="3"/>
  <c r="CC400" i="3"/>
  <c r="CC401" i="3"/>
  <c r="CC402" i="3"/>
  <c r="CC403" i="3"/>
  <c r="CC404" i="3"/>
  <c r="CC405" i="3"/>
  <c r="CC406" i="3"/>
  <c r="CC407" i="3"/>
  <c r="CC408" i="3"/>
  <c r="CC409" i="3"/>
  <c r="CC410" i="3"/>
  <c r="CC411" i="3"/>
  <c r="CC412" i="3"/>
  <c r="CC413" i="3"/>
  <c r="CC414" i="3"/>
  <c r="CC415" i="3"/>
  <c r="CC416" i="3"/>
  <c r="CC417" i="3"/>
  <c r="CC418" i="3"/>
  <c r="CC419" i="3"/>
  <c r="CC420" i="3"/>
  <c r="BY374" i="3"/>
  <c r="BY375" i="3"/>
  <c r="BY376" i="3"/>
  <c r="BY377" i="3"/>
  <c r="BY378" i="3"/>
  <c r="BY379" i="3"/>
  <c r="BY380" i="3"/>
  <c r="BY381" i="3"/>
  <c r="BY382" i="3"/>
  <c r="BY383" i="3"/>
  <c r="BY384" i="3"/>
  <c r="BY385" i="3"/>
  <c r="BY386" i="3"/>
  <c r="BY387" i="3"/>
  <c r="BY388" i="3"/>
  <c r="BY389" i="3"/>
  <c r="BY390" i="3"/>
  <c r="BY391" i="3"/>
  <c r="BY392" i="3"/>
  <c r="BY393" i="3"/>
  <c r="BY394" i="3"/>
  <c r="BY395" i="3"/>
  <c r="BY396" i="3"/>
  <c r="BY397" i="3"/>
  <c r="BY398" i="3"/>
  <c r="BY399" i="3"/>
  <c r="BY400" i="3"/>
  <c r="BY401" i="3"/>
  <c r="BY402" i="3"/>
  <c r="BY403" i="3"/>
  <c r="BY404" i="3"/>
  <c r="BY405" i="3"/>
  <c r="BY406" i="3"/>
  <c r="BY407" i="3"/>
  <c r="BY408" i="3"/>
  <c r="BY409" i="3"/>
  <c r="BY410" i="3"/>
  <c r="BY411" i="3"/>
  <c r="BY412" i="3"/>
  <c r="BY413" i="3"/>
  <c r="BY414" i="3"/>
  <c r="BY415" i="3"/>
  <c r="BY416" i="3"/>
  <c r="BY417" i="3"/>
  <c r="BY418" i="3"/>
  <c r="BY419" i="3"/>
  <c r="BY420" i="3"/>
  <c r="BT374" i="3"/>
  <c r="BT375" i="3"/>
  <c r="BT376" i="3"/>
  <c r="BT377" i="3"/>
  <c r="BT378" i="3"/>
  <c r="BT379" i="3"/>
  <c r="BT380" i="3"/>
  <c r="BT381" i="3"/>
  <c r="BT382" i="3"/>
  <c r="BT383" i="3"/>
  <c r="BT384" i="3"/>
  <c r="BT385" i="3"/>
  <c r="BT386" i="3"/>
  <c r="BT387" i="3"/>
  <c r="BT388" i="3"/>
  <c r="BT389" i="3"/>
  <c r="BT390" i="3"/>
  <c r="BT391" i="3"/>
  <c r="BT392" i="3"/>
  <c r="BT393" i="3"/>
  <c r="BT394" i="3"/>
  <c r="BT395" i="3"/>
  <c r="BT396" i="3"/>
  <c r="BT397" i="3"/>
  <c r="BT398" i="3"/>
  <c r="BT399" i="3"/>
  <c r="BT400" i="3"/>
  <c r="BT401" i="3"/>
  <c r="BT402" i="3"/>
  <c r="BT403" i="3"/>
  <c r="BT404" i="3"/>
  <c r="BT405" i="3"/>
  <c r="BT406" i="3"/>
  <c r="BT407" i="3"/>
  <c r="BT408" i="3"/>
  <c r="BT409" i="3"/>
  <c r="BT410" i="3"/>
  <c r="BT411" i="3"/>
  <c r="BT412" i="3"/>
  <c r="BT413" i="3"/>
  <c r="BT414" i="3"/>
  <c r="BT415" i="3"/>
  <c r="BT416" i="3"/>
  <c r="BT417" i="3"/>
  <c r="BT418" i="3"/>
  <c r="BT419" i="3"/>
  <c r="BT420" i="3"/>
  <c r="BP374" i="3"/>
  <c r="BP375" i="3"/>
  <c r="BP376" i="3"/>
  <c r="BP377" i="3"/>
  <c r="BP378" i="3"/>
  <c r="BP379" i="3"/>
  <c r="BP380" i="3"/>
  <c r="BP381" i="3"/>
  <c r="BP382" i="3"/>
  <c r="BP383" i="3"/>
  <c r="BP384" i="3"/>
  <c r="BP385" i="3"/>
  <c r="BP386" i="3"/>
  <c r="BP387" i="3"/>
  <c r="BP388" i="3"/>
  <c r="BP389" i="3"/>
  <c r="BP390" i="3"/>
  <c r="BP391" i="3"/>
  <c r="BP392" i="3"/>
  <c r="BP393" i="3"/>
  <c r="BP394" i="3"/>
  <c r="BP395" i="3"/>
  <c r="BP396" i="3"/>
  <c r="BP397" i="3"/>
  <c r="BP398" i="3"/>
  <c r="BP399" i="3"/>
  <c r="BP400" i="3"/>
  <c r="BP401" i="3"/>
  <c r="BP402" i="3"/>
  <c r="BP403" i="3"/>
  <c r="BP404" i="3"/>
  <c r="BP405" i="3"/>
  <c r="BP406" i="3"/>
  <c r="BP407" i="3"/>
  <c r="BP408" i="3"/>
  <c r="BP409" i="3"/>
  <c r="BP410" i="3"/>
  <c r="BP411" i="3"/>
  <c r="BP412" i="3"/>
  <c r="BP413" i="3"/>
  <c r="BP414" i="3"/>
  <c r="BP415" i="3"/>
  <c r="BP416" i="3"/>
  <c r="BP417" i="3"/>
  <c r="BP418" i="3"/>
  <c r="BP419" i="3"/>
  <c r="BP420" i="3"/>
  <c r="BL374" i="3"/>
  <c r="BL375" i="3"/>
  <c r="BL376" i="3"/>
  <c r="BL377" i="3"/>
  <c r="BL378" i="3"/>
  <c r="BL379" i="3"/>
  <c r="BL380" i="3"/>
  <c r="BL381" i="3"/>
  <c r="BL382" i="3"/>
  <c r="BL383" i="3"/>
  <c r="BL384" i="3"/>
  <c r="BL385" i="3"/>
  <c r="BL386" i="3"/>
  <c r="BL387" i="3"/>
  <c r="BL388" i="3"/>
  <c r="BL389" i="3"/>
  <c r="BL390" i="3"/>
  <c r="BL391" i="3"/>
  <c r="BL392" i="3"/>
  <c r="BL393" i="3"/>
  <c r="BL394" i="3"/>
  <c r="BL395" i="3"/>
  <c r="BL396" i="3"/>
  <c r="BL397" i="3"/>
  <c r="BL398" i="3"/>
  <c r="BL399" i="3"/>
  <c r="BL400" i="3"/>
  <c r="BL401" i="3"/>
  <c r="BL402" i="3"/>
  <c r="BL403" i="3"/>
  <c r="BL404" i="3"/>
  <c r="BL405" i="3"/>
  <c r="BL406" i="3"/>
  <c r="BL407" i="3"/>
  <c r="BL408" i="3"/>
  <c r="BL409" i="3"/>
  <c r="BL410" i="3"/>
  <c r="BL411" i="3"/>
  <c r="BL412" i="3"/>
  <c r="BL413" i="3"/>
  <c r="BL414" i="3"/>
  <c r="BL415" i="3"/>
  <c r="BL416" i="3"/>
  <c r="BL417" i="3"/>
  <c r="BL418" i="3"/>
  <c r="BL419" i="3"/>
  <c r="BL420" i="3"/>
  <c r="BG374" i="3"/>
  <c r="BG375" i="3"/>
  <c r="BG376" i="3"/>
  <c r="BG377" i="3"/>
  <c r="BG378" i="3"/>
  <c r="BG379" i="3"/>
  <c r="BG380" i="3"/>
  <c r="BG381" i="3"/>
  <c r="BG382" i="3"/>
  <c r="BG383" i="3"/>
  <c r="BG384" i="3"/>
  <c r="BG385" i="3"/>
  <c r="BG386" i="3"/>
  <c r="BG387" i="3"/>
  <c r="BG388" i="3"/>
  <c r="BG389" i="3"/>
  <c r="BG390" i="3"/>
  <c r="BG391" i="3"/>
  <c r="BG392" i="3"/>
  <c r="BG393" i="3"/>
  <c r="BG394" i="3"/>
  <c r="BG395" i="3"/>
  <c r="BG396" i="3"/>
  <c r="BG397" i="3"/>
  <c r="BG398" i="3"/>
  <c r="BG399" i="3"/>
  <c r="BG400" i="3"/>
  <c r="BG401" i="3"/>
  <c r="BG402" i="3"/>
  <c r="BG403" i="3"/>
  <c r="BG404" i="3"/>
  <c r="BG405" i="3"/>
  <c r="BG406" i="3"/>
  <c r="BG407" i="3"/>
  <c r="BG408" i="3"/>
  <c r="BG409" i="3"/>
  <c r="BG410" i="3"/>
  <c r="BG411" i="3"/>
  <c r="BG412" i="3"/>
  <c r="BG413" i="3"/>
  <c r="BG414" i="3"/>
  <c r="BG415" i="3"/>
  <c r="BG416" i="3"/>
  <c r="BG417" i="3"/>
  <c r="BG418" i="3"/>
  <c r="BG419" i="3"/>
  <c r="BG420" i="3"/>
  <c r="BC374" i="3"/>
  <c r="BC375" i="3"/>
  <c r="BC376" i="3"/>
  <c r="BC377" i="3"/>
  <c r="BC378" i="3"/>
  <c r="BC379" i="3"/>
  <c r="BC380" i="3"/>
  <c r="BC381" i="3"/>
  <c r="BC382" i="3"/>
  <c r="BC383" i="3"/>
  <c r="BC384" i="3"/>
  <c r="BC385" i="3"/>
  <c r="BC386" i="3"/>
  <c r="BC387" i="3"/>
  <c r="BC388" i="3"/>
  <c r="BC389" i="3"/>
  <c r="BC390" i="3"/>
  <c r="BC391" i="3"/>
  <c r="BC392" i="3"/>
  <c r="BC393" i="3"/>
  <c r="BC394" i="3"/>
  <c r="BC395" i="3"/>
  <c r="BC396" i="3"/>
  <c r="BC397" i="3"/>
  <c r="BC398" i="3"/>
  <c r="BC399" i="3"/>
  <c r="BC400" i="3"/>
  <c r="BC401" i="3"/>
  <c r="BC402" i="3"/>
  <c r="BC403" i="3"/>
  <c r="BC404" i="3"/>
  <c r="BC405" i="3"/>
  <c r="BC406" i="3"/>
  <c r="BC407" i="3"/>
  <c r="BC408" i="3"/>
  <c r="BC409" i="3"/>
  <c r="BC410" i="3"/>
  <c r="BC411" i="3"/>
  <c r="BC412" i="3"/>
  <c r="BC413" i="3"/>
  <c r="BC414" i="3"/>
  <c r="BC415" i="3"/>
  <c r="BC416" i="3"/>
  <c r="BC417" i="3"/>
  <c r="BC418" i="3"/>
  <c r="BC419" i="3"/>
  <c r="BC420" i="3"/>
  <c r="AY374" i="3"/>
  <c r="AY375" i="3"/>
  <c r="AY376" i="3"/>
  <c r="AY377" i="3"/>
  <c r="AY378" i="3"/>
  <c r="AY379" i="3"/>
  <c r="AY380" i="3"/>
  <c r="AY381" i="3"/>
  <c r="AY382" i="3"/>
  <c r="AY383" i="3"/>
  <c r="AY384" i="3"/>
  <c r="AY385" i="3"/>
  <c r="AY386" i="3"/>
  <c r="AY387" i="3"/>
  <c r="AY388" i="3"/>
  <c r="AY389" i="3"/>
  <c r="AY390" i="3"/>
  <c r="AY391" i="3"/>
  <c r="AY392" i="3"/>
  <c r="AY393" i="3"/>
  <c r="AY394" i="3"/>
  <c r="AY395" i="3"/>
  <c r="AY396" i="3"/>
  <c r="AY397" i="3"/>
  <c r="AY398" i="3"/>
  <c r="AY399" i="3"/>
  <c r="AY400" i="3"/>
  <c r="AY401" i="3"/>
  <c r="AY402" i="3"/>
  <c r="AY403" i="3"/>
  <c r="AY404" i="3"/>
  <c r="AY405" i="3"/>
  <c r="AY406" i="3"/>
  <c r="AY407" i="3"/>
  <c r="AY408" i="3"/>
  <c r="AY409" i="3"/>
  <c r="AY410" i="3"/>
  <c r="AY411" i="3"/>
  <c r="AY412" i="3"/>
  <c r="AY413" i="3"/>
  <c r="AY414" i="3"/>
  <c r="AY415" i="3"/>
  <c r="AY416" i="3"/>
  <c r="AY417" i="3"/>
  <c r="AY418" i="3"/>
  <c r="AY419" i="3"/>
  <c r="AY420" i="3"/>
  <c r="AT374" i="3"/>
  <c r="AT375" i="3"/>
  <c r="AT376" i="3"/>
  <c r="AT377" i="3"/>
  <c r="AT378" i="3"/>
  <c r="AT379" i="3"/>
  <c r="AT380" i="3"/>
  <c r="AT381" i="3"/>
  <c r="AT382" i="3"/>
  <c r="AT383" i="3"/>
  <c r="AT384" i="3"/>
  <c r="AT385" i="3"/>
  <c r="AT386" i="3"/>
  <c r="AT387" i="3"/>
  <c r="AT388" i="3"/>
  <c r="AT389" i="3"/>
  <c r="AT390" i="3"/>
  <c r="AT391" i="3"/>
  <c r="AT392" i="3"/>
  <c r="AT393" i="3"/>
  <c r="AT394" i="3"/>
  <c r="AT395" i="3"/>
  <c r="AT396" i="3"/>
  <c r="AT397" i="3"/>
  <c r="AT398" i="3"/>
  <c r="AT399" i="3"/>
  <c r="AT400" i="3"/>
  <c r="AT401" i="3"/>
  <c r="AT402" i="3"/>
  <c r="AT403" i="3"/>
  <c r="AT404" i="3"/>
  <c r="AT405" i="3"/>
  <c r="AT406" i="3"/>
  <c r="AT407" i="3"/>
  <c r="AT408" i="3"/>
  <c r="AT409" i="3"/>
  <c r="AT410" i="3"/>
  <c r="AT411" i="3"/>
  <c r="AT412" i="3"/>
  <c r="AT413" i="3"/>
  <c r="AT414" i="3"/>
  <c r="AT415" i="3"/>
  <c r="AT416" i="3"/>
  <c r="AT417" i="3"/>
  <c r="AT418" i="3"/>
  <c r="AT419" i="3"/>
  <c r="AT420" i="3"/>
  <c r="AP374" i="3"/>
  <c r="AP375" i="3"/>
  <c r="AP376" i="3"/>
  <c r="AP377" i="3"/>
  <c r="AP378" i="3"/>
  <c r="AP379" i="3"/>
  <c r="AP380" i="3"/>
  <c r="AP381" i="3"/>
  <c r="AP382" i="3"/>
  <c r="AP383" i="3"/>
  <c r="AP384" i="3"/>
  <c r="AP385" i="3"/>
  <c r="AP386" i="3"/>
  <c r="AP387" i="3"/>
  <c r="AP388" i="3"/>
  <c r="AP389" i="3"/>
  <c r="AP390" i="3"/>
  <c r="AP391" i="3"/>
  <c r="AP392" i="3"/>
  <c r="AP393" i="3"/>
  <c r="AP394" i="3"/>
  <c r="AP395" i="3"/>
  <c r="AP396" i="3"/>
  <c r="AP397" i="3"/>
  <c r="AP398" i="3"/>
  <c r="AP399" i="3"/>
  <c r="AP400" i="3"/>
  <c r="AP401" i="3"/>
  <c r="AP402" i="3"/>
  <c r="AP403" i="3"/>
  <c r="AP404" i="3"/>
  <c r="AP405" i="3"/>
  <c r="AP406" i="3"/>
  <c r="AP407" i="3"/>
  <c r="AP408" i="3"/>
  <c r="AP409" i="3"/>
  <c r="AP410" i="3"/>
  <c r="AP411" i="3"/>
  <c r="AP412" i="3"/>
  <c r="AP413" i="3"/>
  <c r="AP414" i="3"/>
  <c r="AP415" i="3"/>
  <c r="AP416" i="3"/>
  <c r="AP417" i="3"/>
  <c r="AP418" i="3"/>
  <c r="AP419" i="3"/>
  <c r="AP420" i="3"/>
  <c r="AL374" i="3"/>
  <c r="AL375" i="3"/>
  <c r="AL376" i="3"/>
  <c r="AL377" i="3"/>
  <c r="AL378" i="3"/>
  <c r="AL379" i="3"/>
  <c r="AL380" i="3"/>
  <c r="AL381" i="3"/>
  <c r="AL382" i="3"/>
  <c r="AL383" i="3"/>
  <c r="AL384" i="3"/>
  <c r="AL385" i="3"/>
  <c r="AL386" i="3"/>
  <c r="AL387" i="3"/>
  <c r="AL388" i="3"/>
  <c r="AL389" i="3"/>
  <c r="AL390" i="3"/>
  <c r="AL391" i="3"/>
  <c r="AL392" i="3"/>
  <c r="AL393" i="3"/>
  <c r="AL394" i="3"/>
  <c r="AL395" i="3"/>
  <c r="AL396" i="3"/>
  <c r="AL397" i="3"/>
  <c r="AL398" i="3"/>
  <c r="AL399" i="3"/>
  <c r="AL400" i="3"/>
  <c r="AL401" i="3"/>
  <c r="AL402" i="3"/>
  <c r="AL403" i="3"/>
  <c r="AL404" i="3"/>
  <c r="AL405" i="3"/>
  <c r="AL406" i="3"/>
  <c r="AL407" i="3"/>
  <c r="AL408" i="3"/>
  <c r="AL409" i="3"/>
  <c r="AL410" i="3"/>
  <c r="AL411" i="3"/>
  <c r="AL412" i="3"/>
  <c r="AL413" i="3"/>
  <c r="AL414" i="3"/>
  <c r="AL415" i="3"/>
  <c r="AL416" i="3"/>
  <c r="AL417" i="3"/>
  <c r="AL418" i="3"/>
  <c r="AL419" i="3"/>
  <c r="AL420" i="3"/>
  <c r="AG374" i="3"/>
  <c r="AG375" i="3"/>
  <c r="AG376" i="3"/>
  <c r="AG377" i="3"/>
  <c r="AG378" i="3"/>
  <c r="AG379" i="3"/>
  <c r="AG380" i="3"/>
  <c r="AG381" i="3"/>
  <c r="AG382" i="3"/>
  <c r="AG383" i="3"/>
  <c r="AG384" i="3"/>
  <c r="AG385" i="3"/>
  <c r="AG386" i="3"/>
  <c r="AG387" i="3"/>
  <c r="AG388" i="3"/>
  <c r="AG389" i="3"/>
  <c r="AG390" i="3"/>
  <c r="AG391" i="3"/>
  <c r="AG392" i="3"/>
  <c r="AG393" i="3"/>
  <c r="AG394" i="3"/>
  <c r="AG395" i="3"/>
  <c r="AG396" i="3"/>
  <c r="AG397" i="3"/>
  <c r="AG398" i="3"/>
  <c r="AG399" i="3"/>
  <c r="AG400" i="3"/>
  <c r="AG401" i="3"/>
  <c r="AG402" i="3"/>
  <c r="AG403" i="3"/>
  <c r="AG404" i="3"/>
  <c r="AG405" i="3"/>
  <c r="AG406" i="3"/>
  <c r="AG407" i="3"/>
  <c r="AG408" i="3"/>
  <c r="AG409" i="3"/>
  <c r="AG410" i="3"/>
  <c r="AG411" i="3"/>
  <c r="AG412" i="3"/>
  <c r="AG413" i="3"/>
  <c r="AG414" i="3"/>
  <c r="AG415" i="3"/>
  <c r="AG416" i="3"/>
  <c r="AG417" i="3"/>
  <c r="AG418" i="3"/>
  <c r="AG419" i="3"/>
  <c r="AG420" i="3"/>
  <c r="AC374" i="3"/>
  <c r="AC375" i="3"/>
  <c r="AC376" i="3"/>
  <c r="AC377" i="3"/>
  <c r="AC378" i="3"/>
  <c r="AC379" i="3"/>
  <c r="AC380" i="3"/>
  <c r="AC381" i="3"/>
  <c r="AC382" i="3"/>
  <c r="AC383" i="3"/>
  <c r="AC384" i="3"/>
  <c r="AC385" i="3"/>
  <c r="AC386" i="3"/>
  <c r="AC387" i="3"/>
  <c r="AC388" i="3"/>
  <c r="AC389" i="3"/>
  <c r="AC390" i="3"/>
  <c r="AC391" i="3"/>
  <c r="AC392" i="3"/>
  <c r="AC393" i="3"/>
  <c r="AC394" i="3"/>
  <c r="AC395" i="3"/>
  <c r="AC396" i="3"/>
  <c r="AC397" i="3"/>
  <c r="AC398" i="3"/>
  <c r="AC399" i="3"/>
  <c r="AC400" i="3"/>
  <c r="AC401" i="3"/>
  <c r="AC402" i="3"/>
  <c r="AC403" i="3"/>
  <c r="AC404" i="3"/>
  <c r="AC405" i="3"/>
  <c r="AC406" i="3"/>
  <c r="AC407" i="3"/>
  <c r="AC408" i="3"/>
  <c r="AC409" i="3"/>
  <c r="AC410" i="3"/>
  <c r="AC411" i="3"/>
  <c r="AC412" i="3"/>
  <c r="AC413" i="3"/>
  <c r="AC414" i="3"/>
  <c r="AC415" i="3"/>
  <c r="AC416" i="3"/>
  <c r="AC417" i="3"/>
  <c r="AC418" i="3"/>
  <c r="AC419" i="3"/>
  <c r="AC420" i="3"/>
  <c r="Y374" i="3"/>
  <c r="Y375" i="3"/>
  <c r="Y376" i="3"/>
  <c r="Y377" i="3"/>
  <c r="Y378" i="3"/>
  <c r="Y379" i="3"/>
  <c r="Y380" i="3"/>
  <c r="Y381" i="3"/>
  <c r="Y382" i="3"/>
  <c r="Y383" i="3"/>
  <c r="Y384" i="3"/>
  <c r="Y385" i="3"/>
  <c r="Y386" i="3"/>
  <c r="Y387" i="3"/>
  <c r="Y388" i="3"/>
  <c r="Y389" i="3"/>
  <c r="Y390" i="3"/>
  <c r="Y391" i="3"/>
  <c r="Y392" i="3"/>
  <c r="Y393" i="3"/>
  <c r="Y394" i="3"/>
  <c r="Y395" i="3"/>
  <c r="Y396" i="3"/>
  <c r="Y397" i="3"/>
  <c r="Y398" i="3"/>
  <c r="Y399" i="3"/>
  <c r="Y400" i="3"/>
  <c r="Y401" i="3"/>
  <c r="Y402" i="3"/>
  <c r="Y403" i="3"/>
  <c r="Y404" i="3"/>
  <c r="Y405" i="3"/>
  <c r="Y406" i="3"/>
  <c r="Y407" i="3"/>
  <c r="Y408" i="3"/>
  <c r="Y409" i="3"/>
  <c r="Y410" i="3"/>
  <c r="Y411" i="3"/>
  <c r="Y412" i="3"/>
  <c r="Y413" i="3"/>
  <c r="Y414" i="3"/>
  <c r="Y415" i="3"/>
  <c r="Y416" i="3"/>
  <c r="Y417" i="3"/>
  <c r="Y418" i="3"/>
  <c r="Y419" i="3"/>
  <c r="Y420" i="3"/>
  <c r="T374" i="3"/>
  <c r="T375" i="3"/>
  <c r="T376" i="3"/>
  <c r="T377" i="3"/>
  <c r="T378" i="3"/>
  <c r="T379" i="3"/>
  <c r="T380" i="3"/>
  <c r="T381" i="3"/>
  <c r="T382" i="3"/>
  <c r="T383" i="3"/>
  <c r="T384" i="3"/>
  <c r="T385" i="3"/>
  <c r="T386" i="3"/>
  <c r="T387" i="3"/>
  <c r="T388" i="3"/>
  <c r="T389" i="3"/>
  <c r="T390" i="3"/>
  <c r="T391" i="3"/>
  <c r="T392" i="3"/>
  <c r="T393" i="3"/>
  <c r="T394" i="3"/>
  <c r="T395" i="3"/>
  <c r="T396" i="3"/>
  <c r="T397" i="3"/>
  <c r="T398" i="3"/>
  <c r="T399" i="3"/>
  <c r="T400" i="3"/>
  <c r="T401" i="3"/>
  <c r="T402" i="3"/>
  <c r="T403" i="3"/>
  <c r="T404" i="3"/>
  <c r="T405" i="3"/>
  <c r="T406" i="3"/>
  <c r="T407" i="3"/>
  <c r="T408" i="3"/>
  <c r="T409" i="3"/>
  <c r="T410" i="3"/>
  <c r="T411" i="3"/>
  <c r="T412" i="3"/>
  <c r="T413" i="3"/>
  <c r="T414" i="3"/>
  <c r="T415" i="3"/>
  <c r="T416" i="3"/>
  <c r="T417" i="3"/>
  <c r="T418" i="3"/>
  <c r="T419" i="3"/>
  <c r="T420" i="3"/>
  <c r="P374" i="3"/>
  <c r="P375" i="3"/>
  <c r="P376" i="3"/>
  <c r="P377" i="3"/>
  <c r="P378" i="3"/>
  <c r="P379" i="3"/>
  <c r="P380" i="3"/>
  <c r="P381" i="3"/>
  <c r="P382" i="3"/>
  <c r="P383" i="3"/>
  <c r="P384" i="3"/>
  <c r="P385" i="3"/>
  <c r="P386" i="3"/>
  <c r="P387" i="3"/>
  <c r="P388" i="3"/>
  <c r="P389" i="3"/>
  <c r="P390" i="3"/>
  <c r="P391" i="3"/>
  <c r="P392" i="3"/>
  <c r="P393" i="3"/>
  <c r="P394" i="3"/>
  <c r="P395" i="3"/>
  <c r="P396" i="3"/>
  <c r="P397" i="3"/>
  <c r="P398" i="3"/>
  <c r="P399" i="3"/>
  <c r="P400" i="3"/>
  <c r="P401" i="3"/>
  <c r="P402" i="3"/>
  <c r="P403" i="3"/>
  <c r="P404" i="3"/>
  <c r="P405" i="3"/>
  <c r="P406" i="3"/>
  <c r="P407" i="3"/>
  <c r="P408" i="3"/>
  <c r="P409" i="3"/>
  <c r="P410" i="3"/>
  <c r="P411" i="3"/>
  <c r="P412" i="3"/>
  <c r="P413" i="3"/>
  <c r="P414" i="3"/>
  <c r="P415" i="3"/>
  <c r="P416" i="3"/>
  <c r="P417" i="3"/>
  <c r="P418" i="3"/>
  <c r="P419" i="3"/>
  <c r="P420" i="3"/>
  <c r="L374" i="3"/>
  <c r="L375" i="3"/>
  <c r="L376" i="3"/>
  <c r="L377" i="3"/>
  <c r="L378" i="3"/>
  <c r="L379" i="3"/>
  <c r="L380" i="3"/>
  <c r="L381" i="3"/>
  <c r="L382" i="3"/>
  <c r="L383" i="3"/>
  <c r="L384" i="3"/>
  <c r="L385" i="3"/>
  <c r="L386" i="3"/>
  <c r="L387" i="3"/>
  <c r="L388" i="3"/>
  <c r="L389" i="3"/>
  <c r="L390" i="3"/>
  <c r="L391" i="3"/>
  <c r="L392" i="3"/>
  <c r="L393" i="3"/>
  <c r="L394" i="3"/>
  <c r="L395" i="3"/>
  <c r="L396" i="3"/>
  <c r="L397" i="3"/>
  <c r="L398" i="3"/>
  <c r="L399" i="3"/>
  <c r="L400" i="3"/>
  <c r="L401" i="3"/>
  <c r="L402" i="3"/>
  <c r="L403" i="3"/>
  <c r="L404" i="3"/>
  <c r="L405" i="3"/>
  <c r="L406" i="3"/>
  <c r="L407" i="3"/>
  <c r="L408" i="3"/>
  <c r="L409" i="3"/>
  <c r="L410" i="3"/>
  <c r="L411" i="3"/>
  <c r="L412" i="3"/>
  <c r="L413" i="3"/>
  <c r="L414" i="3"/>
  <c r="L415" i="3"/>
  <c r="L416" i="3"/>
  <c r="L417" i="3"/>
  <c r="L418" i="3"/>
  <c r="L419" i="3"/>
  <c r="L420" i="3"/>
  <c r="W5" i="3"/>
  <c r="AD4" i="3" s="1"/>
  <c r="J5" i="3"/>
  <c r="R4" i="3" s="1"/>
  <c r="B3" i="3"/>
  <c r="B4" i="3" s="1"/>
  <c r="DM372" i="3"/>
  <c r="DM371" i="3"/>
  <c r="DM370" i="3"/>
  <c r="DM369" i="3"/>
  <c r="DM368" i="3"/>
  <c r="DM367" i="3"/>
  <c r="DM366" i="3"/>
  <c r="DM365" i="3"/>
  <c r="DM364" i="3"/>
  <c r="DM363" i="3"/>
  <c r="DM362" i="3"/>
  <c r="DM361" i="3"/>
  <c r="DM360" i="3"/>
  <c r="DM359" i="3"/>
  <c r="DM358" i="3"/>
  <c r="DM357" i="3"/>
  <c r="DM356" i="3"/>
  <c r="DM355" i="3"/>
  <c r="DM354" i="3"/>
  <c r="DM353" i="3"/>
  <c r="DM352" i="3"/>
  <c r="DM351" i="3"/>
  <c r="DM350" i="3"/>
  <c r="DM349" i="3"/>
  <c r="DM348" i="3"/>
  <c r="DM347" i="3"/>
  <c r="DM346" i="3"/>
  <c r="DM345" i="3"/>
  <c r="DM344" i="3"/>
  <c r="DM343" i="3"/>
  <c r="DM342" i="3"/>
  <c r="DM341" i="3"/>
  <c r="DM340" i="3"/>
  <c r="DM339" i="3"/>
  <c r="DM338" i="3"/>
  <c r="DM337" i="3"/>
  <c r="DM336" i="3"/>
  <c r="DM335" i="3"/>
  <c r="DM334" i="3"/>
  <c r="DM333" i="3"/>
  <c r="DM332" i="3"/>
  <c r="DM331" i="3"/>
  <c r="DM330" i="3"/>
  <c r="DM329" i="3"/>
  <c r="DM328" i="3"/>
  <c r="DM327" i="3"/>
  <c r="DM326" i="3"/>
  <c r="DM325" i="3"/>
  <c r="DM324" i="3"/>
  <c r="DM323" i="3"/>
  <c r="DM322" i="3"/>
  <c r="DM321" i="3"/>
  <c r="DK372" i="3"/>
  <c r="DJ372" i="3"/>
  <c r="DG372" i="3"/>
  <c r="DF372" i="3"/>
  <c r="DK371" i="3"/>
  <c r="DJ371" i="3"/>
  <c r="DG371" i="3"/>
  <c r="DF371" i="3"/>
  <c r="DK370" i="3"/>
  <c r="DJ370" i="3"/>
  <c r="DG370" i="3"/>
  <c r="DF370" i="3"/>
  <c r="DK369" i="3"/>
  <c r="DJ369" i="3"/>
  <c r="DG369" i="3"/>
  <c r="DF369" i="3"/>
  <c r="DK368" i="3"/>
  <c r="DJ368" i="3"/>
  <c r="DG368" i="3"/>
  <c r="DF368" i="3"/>
  <c r="DK367" i="3"/>
  <c r="DJ367" i="3"/>
  <c r="DG367" i="3"/>
  <c r="DF367" i="3"/>
  <c r="DK366" i="3"/>
  <c r="DJ366" i="3"/>
  <c r="DG366" i="3"/>
  <c r="DF366" i="3"/>
  <c r="DK365" i="3"/>
  <c r="DJ365" i="3"/>
  <c r="DG365" i="3"/>
  <c r="DF365" i="3"/>
  <c r="DK364" i="3"/>
  <c r="DJ364" i="3"/>
  <c r="DG364" i="3"/>
  <c r="DF364" i="3"/>
  <c r="DK363" i="3"/>
  <c r="DJ363" i="3"/>
  <c r="DG363" i="3"/>
  <c r="DF363" i="3"/>
  <c r="DK362" i="3"/>
  <c r="DJ362" i="3"/>
  <c r="DG362" i="3"/>
  <c r="DF362" i="3"/>
  <c r="DK361" i="3"/>
  <c r="DJ361" i="3"/>
  <c r="DG361" i="3"/>
  <c r="DF361" i="3"/>
  <c r="DK360" i="3"/>
  <c r="DJ360" i="3"/>
  <c r="DG360" i="3"/>
  <c r="DF360" i="3"/>
  <c r="DK359" i="3"/>
  <c r="DJ359" i="3"/>
  <c r="DG359" i="3"/>
  <c r="DF359" i="3"/>
  <c r="DK358" i="3"/>
  <c r="DJ358" i="3"/>
  <c r="DG358" i="3"/>
  <c r="DF358" i="3"/>
  <c r="DK357" i="3"/>
  <c r="DJ357" i="3"/>
  <c r="DG357" i="3"/>
  <c r="DF357" i="3"/>
  <c r="DK356" i="3"/>
  <c r="DJ356" i="3"/>
  <c r="DG356" i="3"/>
  <c r="DF356" i="3"/>
  <c r="DK355" i="3"/>
  <c r="DJ355" i="3"/>
  <c r="DG355" i="3"/>
  <c r="DF355" i="3"/>
  <c r="DK354" i="3"/>
  <c r="DJ354" i="3"/>
  <c r="DG354" i="3"/>
  <c r="DF354" i="3"/>
  <c r="DK353" i="3"/>
  <c r="DJ353" i="3"/>
  <c r="DG353" i="3"/>
  <c r="DF353" i="3"/>
  <c r="DK352" i="3"/>
  <c r="DJ352" i="3"/>
  <c r="DG352" i="3"/>
  <c r="DF352" i="3"/>
  <c r="DK351" i="3"/>
  <c r="DJ351" i="3"/>
  <c r="DG351" i="3"/>
  <c r="DF351" i="3"/>
  <c r="DK350" i="3"/>
  <c r="DJ350" i="3"/>
  <c r="DG350" i="3"/>
  <c r="DF350" i="3"/>
  <c r="DK349" i="3"/>
  <c r="DJ349" i="3"/>
  <c r="DG349" i="3"/>
  <c r="DF349" i="3"/>
  <c r="DK348" i="3"/>
  <c r="DJ348" i="3"/>
  <c r="DG348" i="3"/>
  <c r="DF348" i="3"/>
  <c r="DK347" i="3"/>
  <c r="DJ347" i="3"/>
  <c r="DG347" i="3"/>
  <c r="DF347" i="3"/>
  <c r="DK346" i="3"/>
  <c r="DJ346" i="3"/>
  <c r="DG346" i="3"/>
  <c r="DF346" i="3"/>
  <c r="DK345" i="3"/>
  <c r="DJ345" i="3"/>
  <c r="DG345" i="3"/>
  <c r="DF345" i="3"/>
  <c r="DK344" i="3"/>
  <c r="DJ344" i="3"/>
  <c r="DG344" i="3"/>
  <c r="DF344" i="3"/>
  <c r="DK343" i="3"/>
  <c r="DJ343" i="3"/>
  <c r="DG343" i="3"/>
  <c r="DF343" i="3"/>
  <c r="DK342" i="3"/>
  <c r="DJ342" i="3"/>
  <c r="DG342" i="3"/>
  <c r="DF342" i="3"/>
  <c r="DK341" i="3"/>
  <c r="DJ341" i="3"/>
  <c r="DG341" i="3"/>
  <c r="DF341" i="3"/>
  <c r="DK340" i="3"/>
  <c r="DJ340" i="3"/>
  <c r="DG340" i="3"/>
  <c r="DF340" i="3"/>
  <c r="DK339" i="3"/>
  <c r="DJ339" i="3"/>
  <c r="DG339" i="3"/>
  <c r="DF339" i="3"/>
  <c r="DK338" i="3"/>
  <c r="DJ338" i="3"/>
  <c r="DG338" i="3"/>
  <c r="DF338" i="3"/>
  <c r="DK337" i="3"/>
  <c r="DJ337" i="3"/>
  <c r="DG337" i="3"/>
  <c r="DF337" i="3"/>
  <c r="DK336" i="3"/>
  <c r="DJ336" i="3"/>
  <c r="DG336" i="3"/>
  <c r="DF336" i="3"/>
  <c r="DK335" i="3"/>
  <c r="DJ335" i="3"/>
  <c r="DG335" i="3"/>
  <c r="DF335" i="3"/>
  <c r="DK334" i="3"/>
  <c r="DJ334" i="3"/>
  <c r="DG334" i="3"/>
  <c r="DF334" i="3"/>
  <c r="DK333" i="3"/>
  <c r="DJ333" i="3"/>
  <c r="DG333" i="3"/>
  <c r="DF333" i="3"/>
  <c r="DK332" i="3"/>
  <c r="DJ332" i="3"/>
  <c r="DG332" i="3"/>
  <c r="DF332" i="3"/>
  <c r="DK331" i="3"/>
  <c r="DJ331" i="3"/>
  <c r="DG331" i="3"/>
  <c r="DF331" i="3"/>
  <c r="DK330" i="3"/>
  <c r="DJ330" i="3"/>
  <c r="DG330" i="3"/>
  <c r="DF330" i="3"/>
  <c r="DK329" i="3"/>
  <c r="DJ329" i="3"/>
  <c r="DG329" i="3"/>
  <c r="DF329" i="3"/>
  <c r="DK328" i="3"/>
  <c r="DJ328" i="3"/>
  <c r="DG328" i="3"/>
  <c r="DF328" i="3"/>
  <c r="DK327" i="3"/>
  <c r="DJ327" i="3"/>
  <c r="DG327" i="3"/>
  <c r="DF327" i="3"/>
  <c r="DK326" i="3"/>
  <c r="DJ326" i="3"/>
  <c r="DG326" i="3"/>
  <c r="DF326" i="3"/>
  <c r="DK325" i="3"/>
  <c r="DJ325" i="3"/>
  <c r="DG325" i="3"/>
  <c r="DF325" i="3"/>
  <c r="DK324" i="3"/>
  <c r="DJ324" i="3"/>
  <c r="DG324" i="3"/>
  <c r="DF324" i="3"/>
  <c r="DK323" i="3"/>
  <c r="DJ323" i="3"/>
  <c r="DG323" i="3"/>
  <c r="DF323" i="3"/>
  <c r="DK322" i="3"/>
  <c r="DJ322" i="3"/>
  <c r="DG322" i="3"/>
  <c r="DF322" i="3"/>
  <c r="DK321" i="3"/>
  <c r="DJ321" i="3"/>
  <c r="DG321" i="3"/>
  <c r="DF321" i="3"/>
  <c r="CY372" i="3"/>
  <c r="CX372" i="3"/>
  <c r="CY371" i="3"/>
  <c r="CX371" i="3"/>
  <c r="CY370" i="3"/>
  <c r="CX370" i="3"/>
  <c r="CY369" i="3"/>
  <c r="CX369" i="3"/>
  <c r="CY368" i="3"/>
  <c r="CX368" i="3"/>
  <c r="CY367" i="3"/>
  <c r="CX367" i="3"/>
  <c r="CY366" i="3"/>
  <c r="CX366" i="3"/>
  <c r="CY365" i="3"/>
  <c r="CX365" i="3"/>
  <c r="CY364" i="3"/>
  <c r="CX364" i="3"/>
  <c r="CY363" i="3"/>
  <c r="CX363" i="3"/>
  <c r="CY362" i="3"/>
  <c r="CX362" i="3"/>
  <c r="CY361" i="3"/>
  <c r="CX361" i="3"/>
  <c r="CY360" i="3"/>
  <c r="CX360" i="3"/>
  <c r="CY359" i="3"/>
  <c r="CX359" i="3"/>
  <c r="CY358" i="3"/>
  <c r="CX358" i="3"/>
  <c r="CY357" i="3"/>
  <c r="CX357" i="3"/>
  <c r="CY356" i="3"/>
  <c r="CX356" i="3"/>
  <c r="CY355" i="3"/>
  <c r="CX355" i="3"/>
  <c r="CY354" i="3"/>
  <c r="CX354" i="3"/>
  <c r="CY353" i="3"/>
  <c r="CX353" i="3"/>
  <c r="CY352" i="3"/>
  <c r="CX352" i="3"/>
  <c r="CY351" i="3"/>
  <c r="CX351" i="3"/>
  <c r="CY350" i="3"/>
  <c r="CX350" i="3"/>
  <c r="CY349" i="3"/>
  <c r="CX349" i="3"/>
  <c r="CY348" i="3"/>
  <c r="CX348" i="3"/>
  <c r="CY347" i="3"/>
  <c r="CX347" i="3"/>
  <c r="CY346" i="3"/>
  <c r="CX346" i="3"/>
  <c r="CY345" i="3"/>
  <c r="CX345" i="3"/>
  <c r="CY344" i="3"/>
  <c r="CX344" i="3"/>
  <c r="CY343" i="3"/>
  <c r="CX343" i="3"/>
  <c r="CY342" i="3"/>
  <c r="CX342" i="3"/>
  <c r="CY341" i="3"/>
  <c r="CX341" i="3"/>
  <c r="CY340" i="3"/>
  <c r="CX340" i="3"/>
  <c r="CY339" i="3"/>
  <c r="CX339" i="3"/>
  <c r="CY338" i="3"/>
  <c r="CX338" i="3"/>
  <c r="CY337" i="3"/>
  <c r="CX337" i="3"/>
  <c r="CY336" i="3"/>
  <c r="CX336" i="3"/>
  <c r="CY335" i="3"/>
  <c r="CX335" i="3"/>
  <c r="CY334" i="3"/>
  <c r="CX334" i="3"/>
  <c r="CY333" i="3"/>
  <c r="CX333" i="3"/>
  <c r="CY332" i="3"/>
  <c r="CX332" i="3"/>
  <c r="CY331" i="3"/>
  <c r="CX331" i="3"/>
  <c r="CY330" i="3"/>
  <c r="CX330" i="3"/>
  <c r="CY329" i="3"/>
  <c r="CX329" i="3"/>
  <c r="CY328" i="3"/>
  <c r="CX328" i="3"/>
  <c r="CY327" i="3"/>
  <c r="CX327" i="3"/>
  <c r="CY326" i="3"/>
  <c r="CX326" i="3"/>
  <c r="CY325" i="3"/>
  <c r="CX325" i="3"/>
  <c r="CY324" i="3"/>
  <c r="CX324" i="3"/>
  <c r="CY323" i="3"/>
  <c r="CX323" i="3"/>
  <c r="CY322" i="3"/>
  <c r="CX322" i="3"/>
  <c r="CY321" i="3"/>
  <c r="CX321" i="3"/>
  <c r="CT372" i="3"/>
  <c r="CT371" i="3"/>
  <c r="CT370" i="3"/>
  <c r="CT369" i="3"/>
  <c r="CT368" i="3"/>
  <c r="CT367" i="3"/>
  <c r="CT366" i="3"/>
  <c r="CT365" i="3"/>
  <c r="CT364" i="3"/>
  <c r="CT363" i="3"/>
  <c r="CT362" i="3"/>
  <c r="CT361" i="3"/>
  <c r="CT360" i="3"/>
  <c r="CT359" i="3"/>
  <c r="CT358" i="3"/>
  <c r="CT357" i="3"/>
  <c r="CT356" i="3"/>
  <c r="CT355" i="3"/>
  <c r="CT354" i="3"/>
  <c r="CT353" i="3"/>
  <c r="CT352" i="3"/>
  <c r="CT351" i="3"/>
  <c r="CT350" i="3"/>
  <c r="CT349" i="3"/>
  <c r="CT348" i="3"/>
  <c r="CT347" i="3"/>
  <c r="CT346" i="3"/>
  <c r="CT345" i="3"/>
  <c r="CT344" i="3"/>
  <c r="CT343" i="3"/>
  <c r="CT342" i="3"/>
  <c r="CT341" i="3"/>
  <c r="CT340" i="3"/>
  <c r="CT339" i="3"/>
  <c r="CT338" i="3"/>
  <c r="CT337" i="3"/>
  <c r="CT336" i="3"/>
  <c r="CT335" i="3"/>
  <c r="CT334" i="3"/>
  <c r="CT333" i="3"/>
  <c r="CT332" i="3"/>
  <c r="CT331" i="3"/>
  <c r="CT330" i="3"/>
  <c r="CT329" i="3"/>
  <c r="CT328" i="3"/>
  <c r="CT327" i="3"/>
  <c r="CT326" i="3"/>
  <c r="CT325" i="3"/>
  <c r="CT324" i="3"/>
  <c r="CT323" i="3"/>
  <c r="CT322" i="3"/>
  <c r="CT321" i="3"/>
  <c r="CP372" i="3"/>
  <c r="CP371" i="3"/>
  <c r="CP370" i="3"/>
  <c r="CP369" i="3"/>
  <c r="CP368" i="3"/>
  <c r="CP367" i="3"/>
  <c r="CP366" i="3"/>
  <c r="CP365" i="3"/>
  <c r="CP364" i="3"/>
  <c r="CP363" i="3"/>
  <c r="CP362" i="3"/>
  <c r="CP361" i="3"/>
  <c r="CP360" i="3"/>
  <c r="CP359" i="3"/>
  <c r="CP358" i="3"/>
  <c r="CP357" i="3"/>
  <c r="CP356" i="3"/>
  <c r="CP355" i="3"/>
  <c r="CP354" i="3"/>
  <c r="CP353" i="3"/>
  <c r="CP352" i="3"/>
  <c r="CP351" i="3"/>
  <c r="CP350" i="3"/>
  <c r="CP349" i="3"/>
  <c r="CP348" i="3"/>
  <c r="CP347" i="3"/>
  <c r="CP346" i="3"/>
  <c r="CP345" i="3"/>
  <c r="CP344" i="3"/>
  <c r="CP343" i="3"/>
  <c r="CP342" i="3"/>
  <c r="CP341" i="3"/>
  <c r="CP340" i="3"/>
  <c r="CP339" i="3"/>
  <c r="CP338" i="3"/>
  <c r="CP337" i="3"/>
  <c r="CP336" i="3"/>
  <c r="CP335" i="3"/>
  <c r="CP334" i="3"/>
  <c r="CP333" i="3"/>
  <c r="CP332" i="3"/>
  <c r="CP331" i="3"/>
  <c r="CP330" i="3"/>
  <c r="CP329" i="3"/>
  <c r="CP328" i="3"/>
  <c r="CP327" i="3"/>
  <c r="CP326" i="3"/>
  <c r="CP325" i="3"/>
  <c r="CP324" i="3"/>
  <c r="CP323" i="3"/>
  <c r="CP322" i="3"/>
  <c r="CP321" i="3"/>
  <c r="CL372" i="3"/>
  <c r="CL371" i="3"/>
  <c r="CL370" i="3"/>
  <c r="CL369" i="3"/>
  <c r="CL368" i="3"/>
  <c r="CL367" i="3"/>
  <c r="CL366" i="3"/>
  <c r="CL365" i="3"/>
  <c r="CL364" i="3"/>
  <c r="CL363" i="3"/>
  <c r="CL362" i="3"/>
  <c r="CL361" i="3"/>
  <c r="CL360" i="3"/>
  <c r="CL359" i="3"/>
  <c r="CL358" i="3"/>
  <c r="CL357" i="3"/>
  <c r="CL356" i="3"/>
  <c r="CL355" i="3"/>
  <c r="CL354" i="3"/>
  <c r="CL353" i="3"/>
  <c r="CL352" i="3"/>
  <c r="CL351" i="3"/>
  <c r="CL350" i="3"/>
  <c r="CL349" i="3"/>
  <c r="CL348" i="3"/>
  <c r="CL347" i="3"/>
  <c r="CL346" i="3"/>
  <c r="CL345" i="3"/>
  <c r="CL344" i="3"/>
  <c r="CL343" i="3"/>
  <c r="CL342" i="3"/>
  <c r="CL341" i="3"/>
  <c r="CL340" i="3"/>
  <c r="CL339" i="3"/>
  <c r="CL338" i="3"/>
  <c r="CL337" i="3"/>
  <c r="CL336" i="3"/>
  <c r="CL335" i="3"/>
  <c r="CL334" i="3"/>
  <c r="CL333" i="3"/>
  <c r="CL332" i="3"/>
  <c r="CL331" i="3"/>
  <c r="CL330" i="3"/>
  <c r="CL329" i="3"/>
  <c r="CL328" i="3"/>
  <c r="CL327" i="3"/>
  <c r="CL326" i="3"/>
  <c r="CL325" i="3"/>
  <c r="CL324" i="3"/>
  <c r="CL323" i="3"/>
  <c r="CL322" i="3"/>
  <c r="CL321" i="3"/>
  <c r="CG372" i="3"/>
  <c r="CG371" i="3"/>
  <c r="CG370" i="3"/>
  <c r="CG369" i="3"/>
  <c r="CG368" i="3"/>
  <c r="CG367" i="3"/>
  <c r="CG366" i="3"/>
  <c r="CG365" i="3"/>
  <c r="CG364" i="3"/>
  <c r="CG363" i="3"/>
  <c r="CG362" i="3"/>
  <c r="CG361" i="3"/>
  <c r="CG360" i="3"/>
  <c r="CG359" i="3"/>
  <c r="CG358" i="3"/>
  <c r="CG357" i="3"/>
  <c r="CG356" i="3"/>
  <c r="CG355" i="3"/>
  <c r="CG354" i="3"/>
  <c r="CG353" i="3"/>
  <c r="CG352" i="3"/>
  <c r="CG351" i="3"/>
  <c r="CG350" i="3"/>
  <c r="CG349" i="3"/>
  <c r="CG348" i="3"/>
  <c r="CG347" i="3"/>
  <c r="CG346" i="3"/>
  <c r="CG345" i="3"/>
  <c r="CG344" i="3"/>
  <c r="CG343" i="3"/>
  <c r="CG342" i="3"/>
  <c r="CG341" i="3"/>
  <c r="CG340" i="3"/>
  <c r="CG339" i="3"/>
  <c r="CG338" i="3"/>
  <c r="CG337" i="3"/>
  <c r="CG336" i="3"/>
  <c r="CG335" i="3"/>
  <c r="CG334" i="3"/>
  <c r="CG333" i="3"/>
  <c r="CG332" i="3"/>
  <c r="CG331" i="3"/>
  <c r="CG330" i="3"/>
  <c r="CG329" i="3"/>
  <c r="CG328" i="3"/>
  <c r="CG327" i="3"/>
  <c r="CG326" i="3"/>
  <c r="CG325" i="3"/>
  <c r="CG324" i="3"/>
  <c r="CG323" i="3"/>
  <c r="CG322" i="3"/>
  <c r="CG321" i="3"/>
  <c r="CC372" i="3"/>
  <c r="CC371" i="3"/>
  <c r="CC370" i="3"/>
  <c r="CC369" i="3"/>
  <c r="CC368" i="3"/>
  <c r="CC367" i="3"/>
  <c r="CC366" i="3"/>
  <c r="CC365" i="3"/>
  <c r="CC364" i="3"/>
  <c r="CC363" i="3"/>
  <c r="CC362" i="3"/>
  <c r="CC361" i="3"/>
  <c r="CC360" i="3"/>
  <c r="CC359" i="3"/>
  <c r="CC358" i="3"/>
  <c r="CC357" i="3"/>
  <c r="CC356" i="3"/>
  <c r="CC355" i="3"/>
  <c r="CC354" i="3"/>
  <c r="CC353" i="3"/>
  <c r="CC352" i="3"/>
  <c r="CC351" i="3"/>
  <c r="CC350" i="3"/>
  <c r="CC349" i="3"/>
  <c r="CC348" i="3"/>
  <c r="CC347" i="3"/>
  <c r="CC346" i="3"/>
  <c r="CC345" i="3"/>
  <c r="CC344" i="3"/>
  <c r="CC343" i="3"/>
  <c r="CC342" i="3"/>
  <c r="CC341" i="3"/>
  <c r="CC340" i="3"/>
  <c r="CC339" i="3"/>
  <c r="CC338" i="3"/>
  <c r="CC337" i="3"/>
  <c r="CC336" i="3"/>
  <c r="CC335" i="3"/>
  <c r="CC334" i="3"/>
  <c r="CC333" i="3"/>
  <c r="CC332" i="3"/>
  <c r="CC331" i="3"/>
  <c r="CC330" i="3"/>
  <c r="CC329" i="3"/>
  <c r="CC328" i="3"/>
  <c r="CC327" i="3"/>
  <c r="CC326" i="3"/>
  <c r="CC325" i="3"/>
  <c r="CC324" i="3"/>
  <c r="CC323" i="3"/>
  <c r="CC322" i="3"/>
  <c r="CC321" i="3"/>
  <c r="BY372" i="3"/>
  <c r="BY371" i="3"/>
  <c r="BY370" i="3"/>
  <c r="BY369" i="3"/>
  <c r="BY368" i="3"/>
  <c r="BY367" i="3"/>
  <c r="BY366" i="3"/>
  <c r="BY365" i="3"/>
  <c r="BY364" i="3"/>
  <c r="BY363" i="3"/>
  <c r="BY362" i="3"/>
  <c r="BY361" i="3"/>
  <c r="BY360" i="3"/>
  <c r="BY359" i="3"/>
  <c r="BY358" i="3"/>
  <c r="BY357" i="3"/>
  <c r="BY356" i="3"/>
  <c r="BY355" i="3"/>
  <c r="BY354" i="3"/>
  <c r="BY353" i="3"/>
  <c r="BY352" i="3"/>
  <c r="BY351" i="3"/>
  <c r="BY350" i="3"/>
  <c r="BY349" i="3"/>
  <c r="BY348" i="3"/>
  <c r="BY347" i="3"/>
  <c r="BY346" i="3"/>
  <c r="BY345" i="3"/>
  <c r="BY344" i="3"/>
  <c r="BY343" i="3"/>
  <c r="BY342" i="3"/>
  <c r="BY341" i="3"/>
  <c r="BY340" i="3"/>
  <c r="BY339" i="3"/>
  <c r="BY338" i="3"/>
  <c r="BY337" i="3"/>
  <c r="BY336" i="3"/>
  <c r="BY335" i="3"/>
  <c r="BY334" i="3"/>
  <c r="BY333" i="3"/>
  <c r="BY332" i="3"/>
  <c r="BY331" i="3"/>
  <c r="BY330" i="3"/>
  <c r="BY329" i="3"/>
  <c r="BY328" i="3"/>
  <c r="BY327" i="3"/>
  <c r="BY326" i="3"/>
  <c r="BY325" i="3"/>
  <c r="BY324" i="3"/>
  <c r="BY323" i="3"/>
  <c r="BY322" i="3"/>
  <c r="BY321" i="3"/>
  <c r="BT372" i="3"/>
  <c r="BT371" i="3"/>
  <c r="BT370" i="3"/>
  <c r="BT369" i="3"/>
  <c r="BT368" i="3"/>
  <c r="BT367" i="3"/>
  <c r="BT366" i="3"/>
  <c r="BT365" i="3"/>
  <c r="BT364" i="3"/>
  <c r="BT363" i="3"/>
  <c r="BT362" i="3"/>
  <c r="BT361" i="3"/>
  <c r="BT360" i="3"/>
  <c r="BT359" i="3"/>
  <c r="BT358" i="3"/>
  <c r="BT357" i="3"/>
  <c r="BT356" i="3"/>
  <c r="BT355" i="3"/>
  <c r="BT354" i="3"/>
  <c r="BT353" i="3"/>
  <c r="BT352" i="3"/>
  <c r="BT351" i="3"/>
  <c r="BT350" i="3"/>
  <c r="BT349" i="3"/>
  <c r="BT348" i="3"/>
  <c r="BT347" i="3"/>
  <c r="BT346" i="3"/>
  <c r="BT345" i="3"/>
  <c r="BT344" i="3"/>
  <c r="BT343" i="3"/>
  <c r="BT342" i="3"/>
  <c r="BT341" i="3"/>
  <c r="BT340" i="3"/>
  <c r="BT339" i="3"/>
  <c r="BT338" i="3"/>
  <c r="BT337" i="3"/>
  <c r="BT336" i="3"/>
  <c r="BT335" i="3"/>
  <c r="BT334" i="3"/>
  <c r="BT333" i="3"/>
  <c r="BT332" i="3"/>
  <c r="BT331" i="3"/>
  <c r="BT330" i="3"/>
  <c r="BT329" i="3"/>
  <c r="BT328" i="3"/>
  <c r="BT327" i="3"/>
  <c r="BT326" i="3"/>
  <c r="BT325" i="3"/>
  <c r="BT324" i="3"/>
  <c r="BT323" i="3"/>
  <c r="BT322" i="3"/>
  <c r="BT321" i="3"/>
  <c r="BP372" i="3"/>
  <c r="BP371" i="3"/>
  <c r="BP370" i="3"/>
  <c r="BP369" i="3"/>
  <c r="BP368" i="3"/>
  <c r="BP367" i="3"/>
  <c r="BP366" i="3"/>
  <c r="BP365" i="3"/>
  <c r="BP364" i="3"/>
  <c r="BP363" i="3"/>
  <c r="BP362" i="3"/>
  <c r="BP361" i="3"/>
  <c r="BP360" i="3"/>
  <c r="BP359" i="3"/>
  <c r="BP358" i="3"/>
  <c r="BP357" i="3"/>
  <c r="BP356" i="3"/>
  <c r="BP355" i="3"/>
  <c r="BP354" i="3"/>
  <c r="BP353" i="3"/>
  <c r="BP352" i="3"/>
  <c r="BP351" i="3"/>
  <c r="BP350" i="3"/>
  <c r="BP349" i="3"/>
  <c r="BP348" i="3"/>
  <c r="BP347" i="3"/>
  <c r="BP346" i="3"/>
  <c r="BP345" i="3"/>
  <c r="BP344" i="3"/>
  <c r="BP343" i="3"/>
  <c r="BP342" i="3"/>
  <c r="BP341" i="3"/>
  <c r="BP340" i="3"/>
  <c r="BP339" i="3"/>
  <c r="BP338" i="3"/>
  <c r="BP337" i="3"/>
  <c r="BP336" i="3"/>
  <c r="BP335" i="3"/>
  <c r="BP334" i="3"/>
  <c r="BP333" i="3"/>
  <c r="BP332" i="3"/>
  <c r="BP331" i="3"/>
  <c r="BP330" i="3"/>
  <c r="BP329" i="3"/>
  <c r="BP328" i="3"/>
  <c r="BP327" i="3"/>
  <c r="BP326" i="3"/>
  <c r="BP325" i="3"/>
  <c r="BP324" i="3"/>
  <c r="BP323" i="3"/>
  <c r="BP322" i="3"/>
  <c r="BP321" i="3"/>
  <c r="BL372" i="3"/>
  <c r="BL371" i="3"/>
  <c r="BL370" i="3"/>
  <c r="BL369" i="3"/>
  <c r="BL368" i="3"/>
  <c r="BL367" i="3"/>
  <c r="BL366" i="3"/>
  <c r="BL365" i="3"/>
  <c r="BL364" i="3"/>
  <c r="BL363" i="3"/>
  <c r="BL362" i="3"/>
  <c r="BL361" i="3"/>
  <c r="BL360" i="3"/>
  <c r="BL359" i="3"/>
  <c r="BL358" i="3"/>
  <c r="BL357" i="3"/>
  <c r="BL356" i="3"/>
  <c r="BL355" i="3"/>
  <c r="BL354" i="3"/>
  <c r="BL353" i="3"/>
  <c r="BL352" i="3"/>
  <c r="BL351" i="3"/>
  <c r="BL350" i="3"/>
  <c r="BL349" i="3"/>
  <c r="BL348" i="3"/>
  <c r="BL347" i="3"/>
  <c r="BL346" i="3"/>
  <c r="BL345" i="3"/>
  <c r="BL344" i="3"/>
  <c r="BL343" i="3"/>
  <c r="BL342" i="3"/>
  <c r="BL341" i="3"/>
  <c r="BL340" i="3"/>
  <c r="BL339" i="3"/>
  <c r="BL338" i="3"/>
  <c r="BL337" i="3"/>
  <c r="BL336" i="3"/>
  <c r="BL335" i="3"/>
  <c r="BL334" i="3"/>
  <c r="BL333" i="3"/>
  <c r="BL332" i="3"/>
  <c r="BL331" i="3"/>
  <c r="BL330" i="3"/>
  <c r="BL329" i="3"/>
  <c r="BL328" i="3"/>
  <c r="BL327" i="3"/>
  <c r="BL326" i="3"/>
  <c r="BL325" i="3"/>
  <c r="BL324" i="3"/>
  <c r="BL323" i="3"/>
  <c r="BL322" i="3"/>
  <c r="BL321" i="3"/>
  <c r="BG372" i="3"/>
  <c r="BG371" i="3"/>
  <c r="BG370" i="3"/>
  <c r="BG369" i="3"/>
  <c r="BG368" i="3"/>
  <c r="BG367" i="3"/>
  <c r="BG366" i="3"/>
  <c r="BG365" i="3"/>
  <c r="BG364" i="3"/>
  <c r="BG363" i="3"/>
  <c r="BG362" i="3"/>
  <c r="BG361" i="3"/>
  <c r="BG360" i="3"/>
  <c r="BG359" i="3"/>
  <c r="BG358" i="3"/>
  <c r="BG357" i="3"/>
  <c r="BG356" i="3"/>
  <c r="BG355" i="3"/>
  <c r="BG354" i="3"/>
  <c r="BG353" i="3"/>
  <c r="BG352" i="3"/>
  <c r="BG351" i="3"/>
  <c r="BG350" i="3"/>
  <c r="BG349" i="3"/>
  <c r="BG348" i="3"/>
  <c r="BG347" i="3"/>
  <c r="BG346" i="3"/>
  <c r="BG345" i="3"/>
  <c r="BG344" i="3"/>
  <c r="BG343" i="3"/>
  <c r="BG342" i="3"/>
  <c r="BG341" i="3"/>
  <c r="BG340" i="3"/>
  <c r="BG339" i="3"/>
  <c r="BG338" i="3"/>
  <c r="BG337" i="3"/>
  <c r="BG336" i="3"/>
  <c r="BG335" i="3"/>
  <c r="BG334" i="3"/>
  <c r="BG333" i="3"/>
  <c r="BG332" i="3"/>
  <c r="BG331" i="3"/>
  <c r="BG330" i="3"/>
  <c r="BG329" i="3"/>
  <c r="BG328" i="3"/>
  <c r="BG327" i="3"/>
  <c r="BG326" i="3"/>
  <c r="BG325" i="3"/>
  <c r="BG324" i="3"/>
  <c r="BG323" i="3"/>
  <c r="BG322" i="3"/>
  <c r="BG321" i="3"/>
  <c r="BC372" i="3"/>
  <c r="BC371" i="3"/>
  <c r="BC370" i="3"/>
  <c r="BC369" i="3"/>
  <c r="BC368" i="3"/>
  <c r="BC367" i="3"/>
  <c r="BC366" i="3"/>
  <c r="BC365" i="3"/>
  <c r="BC364" i="3"/>
  <c r="BC363" i="3"/>
  <c r="BC362" i="3"/>
  <c r="BC361" i="3"/>
  <c r="BC360" i="3"/>
  <c r="BC359" i="3"/>
  <c r="BC358" i="3"/>
  <c r="BC357" i="3"/>
  <c r="BC356" i="3"/>
  <c r="BC355" i="3"/>
  <c r="BC354" i="3"/>
  <c r="BC353" i="3"/>
  <c r="BC352" i="3"/>
  <c r="BC351" i="3"/>
  <c r="BC350" i="3"/>
  <c r="BC349" i="3"/>
  <c r="BC348" i="3"/>
  <c r="BC347" i="3"/>
  <c r="BC346" i="3"/>
  <c r="BC345" i="3"/>
  <c r="BC344" i="3"/>
  <c r="BC343" i="3"/>
  <c r="BC342" i="3"/>
  <c r="BC341" i="3"/>
  <c r="BC340" i="3"/>
  <c r="BC339" i="3"/>
  <c r="BC338" i="3"/>
  <c r="BC337" i="3"/>
  <c r="BC336" i="3"/>
  <c r="BC335" i="3"/>
  <c r="BC334" i="3"/>
  <c r="BC333" i="3"/>
  <c r="BC332" i="3"/>
  <c r="BC331" i="3"/>
  <c r="BC330" i="3"/>
  <c r="BC329" i="3"/>
  <c r="BC328" i="3"/>
  <c r="BC327" i="3"/>
  <c r="BC326" i="3"/>
  <c r="BC325" i="3"/>
  <c r="BC324" i="3"/>
  <c r="BC323" i="3"/>
  <c r="BC322" i="3"/>
  <c r="BC321" i="3"/>
  <c r="AY372" i="3"/>
  <c r="AY371" i="3"/>
  <c r="AY370" i="3"/>
  <c r="AY369" i="3"/>
  <c r="AY368" i="3"/>
  <c r="AY367" i="3"/>
  <c r="AY366" i="3"/>
  <c r="AY365" i="3"/>
  <c r="AY364" i="3"/>
  <c r="AY363" i="3"/>
  <c r="AY362" i="3"/>
  <c r="AY361" i="3"/>
  <c r="AY360" i="3"/>
  <c r="AY359" i="3"/>
  <c r="AY358" i="3"/>
  <c r="AY357" i="3"/>
  <c r="AY356" i="3"/>
  <c r="AY355" i="3"/>
  <c r="AY354" i="3"/>
  <c r="AY353" i="3"/>
  <c r="AY352" i="3"/>
  <c r="AY351" i="3"/>
  <c r="AY350" i="3"/>
  <c r="AY349" i="3"/>
  <c r="AY348" i="3"/>
  <c r="AY347" i="3"/>
  <c r="AY346" i="3"/>
  <c r="AY345" i="3"/>
  <c r="AY344" i="3"/>
  <c r="AY343" i="3"/>
  <c r="AY342" i="3"/>
  <c r="AY341" i="3"/>
  <c r="AY340" i="3"/>
  <c r="AY339" i="3"/>
  <c r="AY338" i="3"/>
  <c r="AY337" i="3"/>
  <c r="AY336" i="3"/>
  <c r="AY335" i="3"/>
  <c r="AY334" i="3"/>
  <c r="AY333" i="3"/>
  <c r="AY332" i="3"/>
  <c r="AY331" i="3"/>
  <c r="AY330" i="3"/>
  <c r="AY329" i="3"/>
  <c r="AY328" i="3"/>
  <c r="AY327" i="3"/>
  <c r="AY326" i="3"/>
  <c r="AY325" i="3"/>
  <c r="AY324" i="3"/>
  <c r="AY323" i="3"/>
  <c r="AY322" i="3"/>
  <c r="AY321" i="3"/>
  <c r="AT372" i="3"/>
  <c r="AT371" i="3"/>
  <c r="AT370" i="3"/>
  <c r="AT369" i="3"/>
  <c r="AT368" i="3"/>
  <c r="AT367" i="3"/>
  <c r="AT366" i="3"/>
  <c r="AT365" i="3"/>
  <c r="AT364" i="3"/>
  <c r="AT363" i="3"/>
  <c r="AT362" i="3"/>
  <c r="AT361" i="3"/>
  <c r="AT360" i="3"/>
  <c r="AT359" i="3"/>
  <c r="AT358" i="3"/>
  <c r="AT357" i="3"/>
  <c r="AT356" i="3"/>
  <c r="AT355" i="3"/>
  <c r="AT354" i="3"/>
  <c r="AT353" i="3"/>
  <c r="AT352" i="3"/>
  <c r="AT351" i="3"/>
  <c r="AT350" i="3"/>
  <c r="AT349" i="3"/>
  <c r="AT348" i="3"/>
  <c r="AT347" i="3"/>
  <c r="AT346" i="3"/>
  <c r="AT345" i="3"/>
  <c r="AT344" i="3"/>
  <c r="AT343" i="3"/>
  <c r="AT342" i="3"/>
  <c r="AT341" i="3"/>
  <c r="AT340" i="3"/>
  <c r="AT339" i="3"/>
  <c r="AT338" i="3"/>
  <c r="AT337" i="3"/>
  <c r="AT336" i="3"/>
  <c r="AT335" i="3"/>
  <c r="AT334" i="3"/>
  <c r="AT333" i="3"/>
  <c r="AT332" i="3"/>
  <c r="AT331" i="3"/>
  <c r="AT330" i="3"/>
  <c r="AT329" i="3"/>
  <c r="AT328" i="3"/>
  <c r="AT327" i="3"/>
  <c r="AT326" i="3"/>
  <c r="AT325" i="3"/>
  <c r="AT324" i="3"/>
  <c r="AT323" i="3"/>
  <c r="AT322" i="3"/>
  <c r="AT321" i="3"/>
  <c r="AP372" i="3"/>
  <c r="AP371" i="3"/>
  <c r="AP370" i="3"/>
  <c r="AP369" i="3"/>
  <c r="AP368" i="3"/>
  <c r="AP367" i="3"/>
  <c r="AP366" i="3"/>
  <c r="AP365" i="3"/>
  <c r="AP364" i="3"/>
  <c r="AP363" i="3"/>
  <c r="AP362" i="3"/>
  <c r="AP361" i="3"/>
  <c r="AP360" i="3"/>
  <c r="AP359" i="3"/>
  <c r="AP358" i="3"/>
  <c r="AP357" i="3"/>
  <c r="AP356" i="3"/>
  <c r="AP355" i="3"/>
  <c r="AP354" i="3"/>
  <c r="AP353" i="3"/>
  <c r="AP352" i="3"/>
  <c r="AP351" i="3"/>
  <c r="AP350" i="3"/>
  <c r="AP349" i="3"/>
  <c r="AP348" i="3"/>
  <c r="AP347" i="3"/>
  <c r="AP346" i="3"/>
  <c r="AP345" i="3"/>
  <c r="AP344" i="3"/>
  <c r="AP343" i="3"/>
  <c r="AP342" i="3"/>
  <c r="AP341" i="3"/>
  <c r="AP340" i="3"/>
  <c r="AP339" i="3"/>
  <c r="AP338" i="3"/>
  <c r="AP337" i="3"/>
  <c r="AP336" i="3"/>
  <c r="AP335" i="3"/>
  <c r="AP334" i="3"/>
  <c r="AP333" i="3"/>
  <c r="AP332" i="3"/>
  <c r="AP331" i="3"/>
  <c r="AP330" i="3"/>
  <c r="AP329" i="3"/>
  <c r="AP328" i="3"/>
  <c r="AP327" i="3"/>
  <c r="AP326" i="3"/>
  <c r="AP325" i="3"/>
  <c r="AP324" i="3"/>
  <c r="AP323" i="3"/>
  <c r="AP322" i="3"/>
  <c r="AP321" i="3"/>
  <c r="AL372" i="3"/>
  <c r="AL371" i="3"/>
  <c r="AL370" i="3"/>
  <c r="AL369" i="3"/>
  <c r="AL368" i="3"/>
  <c r="AL367" i="3"/>
  <c r="AL366" i="3"/>
  <c r="AL365" i="3"/>
  <c r="AL364" i="3"/>
  <c r="AL363" i="3"/>
  <c r="AL362" i="3"/>
  <c r="AL361" i="3"/>
  <c r="AL360" i="3"/>
  <c r="AL359" i="3"/>
  <c r="AL358" i="3"/>
  <c r="AL357" i="3"/>
  <c r="AL356" i="3"/>
  <c r="AL355" i="3"/>
  <c r="AL354" i="3"/>
  <c r="AL353" i="3"/>
  <c r="AL352" i="3"/>
  <c r="AL351" i="3"/>
  <c r="AL350" i="3"/>
  <c r="AL349" i="3"/>
  <c r="AL348" i="3"/>
  <c r="AL347" i="3"/>
  <c r="AL346" i="3"/>
  <c r="AL345" i="3"/>
  <c r="AL344" i="3"/>
  <c r="AL343" i="3"/>
  <c r="AL342" i="3"/>
  <c r="AL341" i="3"/>
  <c r="AL340" i="3"/>
  <c r="AL339" i="3"/>
  <c r="AL338" i="3"/>
  <c r="AL337" i="3"/>
  <c r="AL336" i="3"/>
  <c r="AL335" i="3"/>
  <c r="AL334" i="3"/>
  <c r="AL333" i="3"/>
  <c r="AL332" i="3"/>
  <c r="AL331" i="3"/>
  <c r="AL330" i="3"/>
  <c r="AL329" i="3"/>
  <c r="AL328" i="3"/>
  <c r="AL327" i="3"/>
  <c r="AL326" i="3"/>
  <c r="AL325" i="3"/>
  <c r="AL324" i="3"/>
  <c r="AL323" i="3"/>
  <c r="AL322" i="3"/>
  <c r="AL321" i="3"/>
  <c r="AG372" i="3"/>
  <c r="AG371" i="3"/>
  <c r="AG370" i="3"/>
  <c r="AG369" i="3"/>
  <c r="AG368" i="3"/>
  <c r="AG367" i="3"/>
  <c r="AG366" i="3"/>
  <c r="AG365" i="3"/>
  <c r="AG364" i="3"/>
  <c r="AG363" i="3"/>
  <c r="AG362" i="3"/>
  <c r="AG361" i="3"/>
  <c r="AG360" i="3"/>
  <c r="AG359" i="3"/>
  <c r="AG358" i="3"/>
  <c r="AG357" i="3"/>
  <c r="AG356" i="3"/>
  <c r="AG355" i="3"/>
  <c r="AG354" i="3"/>
  <c r="AG353" i="3"/>
  <c r="AG352" i="3"/>
  <c r="AG351" i="3"/>
  <c r="AG350" i="3"/>
  <c r="AG349" i="3"/>
  <c r="AG348" i="3"/>
  <c r="AG347" i="3"/>
  <c r="AG346" i="3"/>
  <c r="AG345" i="3"/>
  <c r="AG344" i="3"/>
  <c r="AG343" i="3"/>
  <c r="AG342" i="3"/>
  <c r="AG341" i="3"/>
  <c r="AG340" i="3"/>
  <c r="AG339" i="3"/>
  <c r="AG338" i="3"/>
  <c r="AG337" i="3"/>
  <c r="AG336" i="3"/>
  <c r="AG335" i="3"/>
  <c r="AG334" i="3"/>
  <c r="AG333" i="3"/>
  <c r="AG332" i="3"/>
  <c r="AG331" i="3"/>
  <c r="AG330" i="3"/>
  <c r="AG329" i="3"/>
  <c r="AG328" i="3"/>
  <c r="AG327" i="3"/>
  <c r="AG326" i="3"/>
  <c r="AG325" i="3"/>
  <c r="AG324" i="3"/>
  <c r="AG323" i="3"/>
  <c r="AG322" i="3"/>
  <c r="AG321" i="3"/>
  <c r="AC372" i="3"/>
  <c r="AC371" i="3"/>
  <c r="AC370" i="3"/>
  <c r="AC369" i="3"/>
  <c r="AC368" i="3"/>
  <c r="AC367" i="3"/>
  <c r="AC366" i="3"/>
  <c r="AC365" i="3"/>
  <c r="AC364" i="3"/>
  <c r="AC363" i="3"/>
  <c r="AC362" i="3"/>
  <c r="AC361" i="3"/>
  <c r="AC360" i="3"/>
  <c r="AC359" i="3"/>
  <c r="AC358" i="3"/>
  <c r="AC357" i="3"/>
  <c r="AC356" i="3"/>
  <c r="AC355" i="3"/>
  <c r="AC354" i="3"/>
  <c r="AC353" i="3"/>
  <c r="AC352" i="3"/>
  <c r="AC351" i="3"/>
  <c r="AC350" i="3"/>
  <c r="AC349" i="3"/>
  <c r="AC348" i="3"/>
  <c r="AC347" i="3"/>
  <c r="AC346" i="3"/>
  <c r="AC345" i="3"/>
  <c r="AC344" i="3"/>
  <c r="AC343" i="3"/>
  <c r="AC342" i="3"/>
  <c r="AC341" i="3"/>
  <c r="AC340" i="3"/>
  <c r="AC339" i="3"/>
  <c r="AC338" i="3"/>
  <c r="AC337" i="3"/>
  <c r="AC336" i="3"/>
  <c r="AC335" i="3"/>
  <c r="AC334" i="3"/>
  <c r="AC333" i="3"/>
  <c r="AC332" i="3"/>
  <c r="AC331" i="3"/>
  <c r="AC330" i="3"/>
  <c r="AC329" i="3"/>
  <c r="AC328" i="3"/>
  <c r="AC327" i="3"/>
  <c r="AC326" i="3"/>
  <c r="AC325" i="3"/>
  <c r="AC324" i="3"/>
  <c r="AC323" i="3"/>
  <c r="AC322" i="3"/>
  <c r="AC321" i="3"/>
  <c r="Y372" i="3"/>
  <c r="Y371" i="3"/>
  <c r="Y370" i="3"/>
  <c r="Y369" i="3"/>
  <c r="Y368" i="3"/>
  <c r="Y367" i="3"/>
  <c r="Y366" i="3"/>
  <c r="Y365" i="3"/>
  <c r="Y364" i="3"/>
  <c r="Y363" i="3"/>
  <c r="Y362" i="3"/>
  <c r="Y361" i="3"/>
  <c r="Y360" i="3"/>
  <c r="Y359" i="3"/>
  <c r="Y358" i="3"/>
  <c r="Y357" i="3"/>
  <c r="Y356" i="3"/>
  <c r="Y355" i="3"/>
  <c r="Y354" i="3"/>
  <c r="Y353" i="3"/>
  <c r="Y352" i="3"/>
  <c r="Y351" i="3"/>
  <c r="Y350" i="3"/>
  <c r="Y349" i="3"/>
  <c r="Y348" i="3"/>
  <c r="Y347" i="3"/>
  <c r="Y346" i="3"/>
  <c r="Y345" i="3"/>
  <c r="Y344" i="3"/>
  <c r="Y343" i="3"/>
  <c r="Y342" i="3"/>
  <c r="Y341" i="3"/>
  <c r="Y340" i="3"/>
  <c r="Y339" i="3"/>
  <c r="Y338" i="3"/>
  <c r="Y337" i="3"/>
  <c r="Y336" i="3"/>
  <c r="Y335" i="3"/>
  <c r="Y334" i="3"/>
  <c r="Y333" i="3"/>
  <c r="Y332" i="3"/>
  <c r="Y331" i="3"/>
  <c r="Y330" i="3"/>
  <c r="Y329" i="3"/>
  <c r="Y328" i="3"/>
  <c r="Y327" i="3"/>
  <c r="Y326" i="3"/>
  <c r="Y325" i="3"/>
  <c r="Y324" i="3"/>
  <c r="Y323" i="3"/>
  <c r="Y322" i="3"/>
  <c r="Y321" i="3"/>
  <c r="T372" i="3"/>
  <c r="T371" i="3"/>
  <c r="T370" i="3"/>
  <c r="T369" i="3"/>
  <c r="T368" i="3"/>
  <c r="T367" i="3"/>
  <c r="T366" i="3"/>
  <c r="T365" i="3"/>
  <c r="T364" i="3"/>
  <c r="T363" i="3"/>
  <c r="T362" i="3"/>
  <c r="T361" i="3"/>
  <c r="T360" i="3"/>
  <c r="T359" i="3"/>
  <c r="T358" i="3"/>
  <c r="T357" i="3"/>
  <c r="T356" i="3"/>
  <c r="T355" i="3"/>
  <c r="T354" i="3"/>
  <c r="T353" i="3"/>
  <c r="T352" i="3"/>
  <c r="T351" i="3"/>
  <c r="T350" i="3"/>
  <c r="T349" i="3"/>
  <c r="T348" i="3"/>
  <c r="T347" i="3"/>
  <c r="T346" i="3"/>
  <c r="T345" i="3"/>
  <c r="T344" i="3"/>
  <c r="T343" i="3"/>
  <c r="T342" i="3"/>
  <c r="T341" i="3"/>
  <c r="T340" i="3"/>
  <c r="T339" i="3"/>
  <c r="T338" i="3"/>
  <c r="T337" i="3"/>
  <c r="T336" i="3"/>
  <c r="T335" i="3"/>
  <c r="T334" i="3"/>
  <c r="T333" i="3"/>
  <c r="T332" i="3"/>
  <c r="T331" i="3"/>
  <c r="T330" i="3"/>
  <c r="T329" i="3"/>
  <c r="T328" i="3"/>
  <c r="T327" i="3"/>
  <c r="T326" i="3"/>
  <c r="T325" i="3"/>
  <c r="T324" i="3"/>
  <c r="T323" i="3"/>
  <c r="T322" i="3"/>
  <c r="T321" i="3"/>
  <c r="P372" i="3"/>
  <c r="P371" i="3"/>
  <c r="P370" i="3"/>
  <c r="P369" i="3"/>
  <c r="P368" i="3"/>
  <c r="P367" i="3"/>
  <c r="P366" i="3"/>
  <c r="P365" i="3"/>
  <c r="P364" i="3"/>
  <c r="P363" i="3"/>
  <c r="P362" i="3"/>
  <c r="P361" i="3"/>
  <c r="P360" i="3"/>
  <c r="P359" i="3"/>
  <c r="P358" i="3"/>
  <c r="P357" i="3"/>
  <c r="P356" i="3"/>
  <c r="P355" i="3"/>
  <c r="P354" i="3"/>
  <c r="P353" i="3"/>
  <c r="P352" i="3"/>
  <c r="P351" i="3"/>
  <c r="P350" i="3"/>
  <c r="P349" i="3"/>
  <c r="P348" i="3"/>
  <c r="P347" i="3"/>
  <c r="P346" i="3"/>
  <c r="P345" i="3"/>
  <c r="P344" i="3"/>
  <c r="P343" i="3"/>
  <c r="P342" i="3"/>
  <c r="P341" i="3"/>
  <c r="P340" i="3"/>
  <c r="P339" i="3"/>
  <c r="P338" i="3"/>
  <c r="P337" i="3"/>
  <c r="P336" i="3"/>
  <c r="P335" i="3"/>
  <c r="P334" i="3"/>
  <c r="P333" i="3"/>
  <c r="P332" i="3"/>
  <c r="P331" i="3"/>
  <c r="P330" i="3"/>
  <c r="P329" i="3"/>
  <c r="P328" i="3"/>
  <c r="P327" i="3"/>
  <c r="P326" i="3"/>
  <c r="P325" i="3"/>
  <c r="P324" i="3"/>
  <c r="P323" i="3"/>
  <c r="P322" i="3"/>
  <c r="P321" i="3"/>
  <c r="L372" i="3"/>
  <c r="L371" i="3"/>
  <c r="CU371" i="3" s="1"/>
  <c r="L370" i="3"/>
  <c r="CU370" i="3" s="1"/>
  <c r="L369" i="3"/>
  <c r="L368" i="3"/>
  <c r="L367" i="3"/>
  <c r="CU367" i="3" s="1"/>
  <c r="L366" i="3"/>
  <c r="L365" i="3"/>
  <c r="L364" i="3"/>
  <c r="L363" i="3"/>
  <c r="CU363" i="3" s="1"/>
  <c r="L362" i="3"/>
  <c r="CU362" i="3" s="1"/>
  <c r="L361" i="3"/>
  <c r="L360" i="3"/>
  <c r="L359" i="3"/>
  <c r="CU359" i="3" s="1"/>
  <c r="L358" i="3"/>
  <c r="DN358" i="3" s="1"/>
  <c r="L357" i="3"/>
  <c r="L356" i="3"/>
  <c r="L355" i="3"/>
  <c r="CU355" i="3" s="1"/>
  <c r="L354" i="3"/>
  <c r="CU354" i="3" s="1"/>
  <c r="L353" i="3"/>
  <c r="L352" i="3"/>
  <c r="L351" i="3"/>
  <c r="CU351" i="3" s="1"/>
  <c r="L350" i="3"/>
  <c r="L349" i="3"/>
  <c r="L348" i="3"/>
  <c r="L347" i="3"/>
  <c r="CU347" i="3" s="1"/>
  <c r="L346" i="3"/>
  <c r="CU346" i="3" s="1"/>
  <c r="L345" i="3"/>
  <c r="L344" i="3"/>
  <c r="L343" i="3"/>
  <c r="CU343" i="3" s="1"/>
  <c r="L342" i="3"/>
  <c r="CU342" i="3" s="1"/>
  <c r="L341" i="3"/>
  <c r="L340" i="3"/>
  <c r="L339" i="3"/>
  <c r="DN339" i="3" s="1"/>
  <c r="L338" i="3"/>
  <c r="CU338" i="3" s="1"/>
  <c r="L337" i="3"/>
  <c r="L336" i="3"/>
  <c r="L335" i="3"/>
  <c r="CU335" i="3" s="1"/>
  <c r="L334" i="3"/>
  <c r="L333" i="3"/>
  <c r="L332" i="3"/>
  <c r="L331" i="3"/>
  <c r="CU331" i="3" s="1"/>
  <c r="L330" i="3"/>
  <c r="CU330" i="3" s="1"/>
  <c r="L329" i="3"/>
  <c r="L328" i="3"/>
  <c r="L327" i="3"/>
  <c r="CU327" i="3" s="1"/>
  <c r="L326" i="3"/>
  <c r="CU326" i="3" s="1"/>
  <c r="L325" i="3"/>
  <c r="L324" i="3"/>
  <c r="L323" i="3"/>
  <c r="DN323" i="3" s="1"/>
  <c r="L322" i="3"/>
  <c r="CU322" i="3" s="1"/>
  <c r="L321" i="3"/>
  <c r="CV321" i="3" s="1"/>
  <c r="E457" i="6"/>
  <c r="DM12" i="3"/>
  <c r="DM13" i="3"/>
  <c r="DM14" i="3"/>
  <c r="DM15" i="3"/>
  <c r="DM16" i="3"/>
  <c r="DM17" i="3"/>
  <c r="DM18" i="3"/>
  <c r="DM19" i="3"/>
  <c r="DM20" i="3"/>
  <c r="DM21" i="3"/>
  <c r="DM22" i="3"/>
  <c r="DM23" i="3"/>
  <c r="DM24" i="3"/>
  <c r="DM25" i="3"/>
  <c r="DM26" i="3"/>
  <c r="DM27" i="3"/>
  <c r="DM28" i="3"/>
  <c r="DM29" i="3"/>
  <c r="DM30" i="3"/>
  <c r="DM31" i="3"/>
  <c r="DM32" i="3"/>
  <c r="DM33" i="3"/>
  <c r="DM34" i="3"/>
  <c r="DM35" i="3"/>
  <c r="DM36" i="3"/>
  <c r="DM37" i="3"/>
  <c r="DM38" i="3"/>
  <c r="DM39" i="3"/>
  <c r="DM40" i="3"/>
  <c r="DM41" i="3"/>
  <c r="DM42" i="3"/>
  <c r="DM43" i="3"/>
  <c r="DM44" i="3"/>
  <c r="DM45" i="3"/>
  <c r="DM46" i="3"/>
  <c r="DM47" i="3"/>
  <c r="DM48" i="3"/>
  <c r="DM49" i="3"/>
  <c r="DM50" i="3"/>
  <c r="DM51" i="3"/>
  <c r="DM52" i="3"/>
  <c r="DM53" i="3"/>
  <c r="DM54" i="3"/>
  <c r="DM55" i="3"/>
  <c r="DM56" i="3"/>
  <c r="DM57" i="3"/>
  <c r="DM58" i="3"/>
  <c r="DM59" i="3"/>
  <c r="DM60" i="3"/>
  <c r="DM61" i="3"/>
  <c r="DM62" i="3"/>
  <c r="DM63" i="3"/>
  <c r="DM64" i="3"/>
  <c r="DM65" i="3"/>
  <c r="DM66" i="3"/>
  <c r="DM67" i="3"/>
  <c r="DM68" i="3"/>
  <c r="DM69" i="3"/>
  <c r="DM70" i="3"/>
  <c r="DM71" i="3"/>
  <c r="DM72" i="3"/>
  <c r="DM73" i="3"/>
  <c r="DM74" i="3"/>
  <c r="DM75" i="3"/>
  <c r="DM76" i="3"/>
  <c r="DM77" i="3"/>
  <c r="DM78" i="3"/>
  <c r="DM79" i="3"/>
  <c r="DM80" i="3"/>
  <c r="DM81" i="3"/>
  <c r="DM82" i="3"/>
  <c r="DM83" i="3"/>
  <c r="DM84" i="3"/>
  <c r="DM85" i="3"/>
  <c r="DM86" i="3"/>
  <c r="DM87" i="3"/>
  <c r="DM88" i="3"/>
  <c r="DM89" i="3"/>
  <c r="DM90" i="3"/>
  <c r="DM91" i="3"/>
  <c r="DM92" i="3"/>
  <c r="DM93" i="3"/>
  <c r="DM94" i="3"/>
  <c r="DM95" i="3"/>
  <c r="DM96" i="3"/>
  <c r="DM97" i="3"/>
  <c r="DM98" i="3"/>
  <c r="DM99" i="3"/>
  <c r="DM100" i="3"/>
  <c r="DM101" i="3"/>
  <c r="DM102" i="3"/>
  <c r="DM103" i="3"/>
  <c r="DM104" i="3"/>
  <c r="DM105" i="3"/>
  <c r="DM106" i="3"/>
  <c r="DM107" i="3"/>
  <c r="DM108" i="3"/>
  <c r="DM109" i="3"/>
  <c r="DM110" i="3"/>
  <c r="DM111" i="3"/>
  <c r="DM112" i="3"/>
  <c r="DM113" i="3"/>
  <c r="DM114" i="3"/>
  <c r="DM115" i="3"/>
  <c r="DM116" i="3"/>
  <c r="DM117" i="3"/>
  <c r="DM118" i="3"/>
  <c r="DM119" i="3"/>
  <c r="DM120" i="3"/>
  <c r="DM121" i="3"/>
  <c r="DM122" i="3"/>
  <c r="DM123" i="3"/>
  <c r="DM124" i="3"/>
  <c r="DM125" i="3"/>
  <c r="DM126" i="3"/>
  <c r="DM127" i="3"/>
  <c r="DM128" i="3"/>
  <c r="DM129" i="3"/>
  <c r="DM130" i="3"/>
  <c r="DM131" i="3"/>
  <c r="DM132" i="3"/>
  <c r="DM133" i="3"/>
  <c r="DM134" i="3"/>
  <c r="DM135" i="3"/>
  <c r="DM136" i="3"/>
  <c r="DM137" i="3"/>
  <c r="DM138" i="3"/>
  <c r="DM139" i="3"/>
  <c r="DM140" i="3"/>
  <c r="DM141" i="3"/>
  <c r="DM142" i="3"/>
  <c r="DM143" i="3"/>
  <c r="DM144" i="3"/>
  <c r="DM145" i="3"/>
  <c r="DM146" i="3"/>
  <c r="DM147" i="3"/>
  <c r="DM148" i="3"/>
  <c r="DM149" i="3"/>
  <c r="DM150" i="3"/>
  <c r="DM151" i="3"/>
  <c r="DM152" i="3"/>
  <c r="DM153" i="3"/>
  <c r="DM154" i="3"/>
  <c r="DM155" i="3"/>
  <c r="DM156" i="3"/>
  <c r="DM157" i="3"/>
  <c r="DM158" i="3"/>
  <c r="DM159" i="3"/>
  <c r="DM160" i="3"/>
  <c r="DM161" i="3"/>
  <c r="DM162" i="3"/>
  <c r="DM163" i="3"/>
  <c r="DM164" i="3"/>
  <c r="DM165" i="3"/>
  <c r="DM166" i="3"/>
  <c r="DM167" i="3"/>
  <c r="DM168" i="3"/>
  <c r="DM169" i="3"/>
  <c r="DM170" i="3"/>
  <c r="DM171" i="3"/>
  <c r="DM172" i="3"/>
  <c r="DM173" i="3"/>
  <c r="DM174" i="3"/>
  <c r="DM175" i="3"/>
  <c r="DM176" i="3"/>
  <c r="DM177" i="3"/>
  <c r="DM178" i="3"/>
  <c r="DM179" i="3"/>
  <c r="DM180" i="3"/>
  <c r="DM181" i="3"/>
  <c r="DM182" i="3"/>
  <c r="DM183" i="3"/>
  <c r="DM184" i="3"/>
  <c r="DM185" i="3"/>
  <c r="DM186" i="3"/>
  <c r="DM187" i="3"/>
  <c r="DM188" i="3"/>
  <c r="DM189" i="3"/>
  <c r="DM190" i="3"/>
  <c r="DM191" i="3"/>
  <c r="DM192" i="3"/>
  <c r="DM193" i="3"/>
  <c r="DM194" i="3"/>
  <c r="DM195" i="3"/>
  <c r="DM196" i="3"/>
  <c r="DM197" i="3"/>
  <c r="DM198" i="3"/>
  <c r="DM199" i="3"/>
  <c r="DM200" i="3"/>
  <c r="DM201" i="3"/>
  <c r="DM202" i="3"/>
  <c r="DM203" i="3"/>
  <c r="DM204" i="3"/>
  <c r="DM205" i="3"/>
  <c r="DM206" i="3"/>
  <c r="DM207" i="3"/>
  <c r="DM208" i="3"/>
  <c r="DM209" i="3"/>
  <c r="DM210" i="3"/>
  <c r="DM211" i="3"/>
  <c r="DM212" i="3"/>
  <c r="DM213" i="3"/>
  <c r="DM214" i="3"/>
  <c r="DM215" i="3"/>
  <c r="DM216" i="3"/>
  <c r="DM217" i="3"/>
  <c r="DM218" i="3"/>
  <c r="DM219" i="3"/>
  <c r="DM220" i="3"/>
  <c r="DM221" i="3"/>
  <c r="DM222" i="3"/>
  <c r="DM223" i="3"/>
  <c r="DM224" i="3"/>
  <c r="DM225" i="3"/>
  <c r="DM226" i="3"/>
  <c r="DM227" i="3"/>
  <c r="DM228" i="3"/>
  <c r="DM229" i="3"/>
  <c r="DM230" i="3"/>
  <c r="DM231" i="3"/>
  <c r="DM232" i="3"/>
  <c r="DM233" i="3"/>
  <c r="DM234" i="3"/>
  <c r="DM235" i="3"/>
  <c r="DM236" i="3"/>
  <c r="DM237" i="3"/>
  <c r="DM238" i="3"/>
  <c r="DM239" i="3"/>
  <c r="DM240" i="3"/>
  <c r="DM241" i="3"/>
  <c r="DM242" i="3"/>
  <c r="DM243" i="3"/>
  <c r="DM244" i="3"/>
  <c r="DM245" i="3"/>
  <c r="DM246" i="3"/>
  <c r="DM247" i="3"/>
  <c r="DM248" i="3"/>
  <c r="DM249" i="3"/>
  <c r="DM250" i="3"/>
  <c r="DM251" i="3"/>
  <c r="DM252" i="3"/>
  <c r="DM253" i="3"/>
  <c r="DM254" i="3"/>
  <c r="DM255" i="3"/>
  <c r="DM256" i="3"/>
  <c r="DM257" i="3"/>
  <c r="DM258" i="3"/>
  <c r="DM259" i="3"/>
  <c r="DM260" i="3"/>
  <c r="DM261" i="3"/>
  <c r="DM262" i="3"/>
  <c r="DM263" i="3"/>
  <c r="DM264" i="3"/>
  <c r="DM265" i="3"/>
  <c r="DM266" i="3"/>
  <c r="DM267" i="3"/>
  <c r="DM268" i="3"/>
  <c r="DM269" i="3"/>
  <c r="DM270" i="3"/>
  <c r="DM271" i="3"/>
  <c r="DM272" i="3"/>
  <c r="DM273" i="3"/>
  <c r="DM274" i="3"/>
  <c r="DM275" i="3"/>
  <c r="DM276" i="3"/>
  <c r="DM277" i="3"/>
  <c r="DM278" i="3"/>
  <c r="DM279" i="3"/>
  <c r="DM280" i="3"/>
  <c r="DM281" i="3"/>
  <c r="DM282" i="3"/>
  <c r="DM283" i="3"/>
  <c r="DM284" i="3"/>
  <c r="DM285" i="3"/>
  <c r="DM286" i="3"/>
  <c r="DM287" i="3"/>
  <c r="DM288" i="3"/>
  <c r="DM289" i="3"/>
  <c r="DM290" i="3"/>
  <c r="DM291" i="3"/>
  <c r="DM292" i="3"/>
  <c r="DM293" i="3"/>
  <c r="DM294" i="3"/>
  <c r="DM295" i="3"/>
  <c r="DM296" i="3"/>
  <c r="DM297" i="3"/>
  <c r="DM298" i="3"/>
  <c r="DM299" i="3"/>
  <c r="DM300" i="3"/>
  <c r="DM301" i="3"/>
  <c r="DM302" i="3"/>
  <c r="DM303" i="3"/>
  <c r="DM304" i="3"/>
  <c r="DM305" i="3"/>
  <c r="DM306" i="3"/>
  <c r="DM307" i="3"/>
  <c r="DM308" i="3"/>
  <c r="DM309" i="3"/>
  <c r="DM310" i="3"/>
  <c r="DM311" i="3"/>
  <c r="DM312" i="3"/>
  <c r="DM313" i="3"/>
  <c r="DM314" i="3"/>
  <c r="DM315" i="3"/>
  <c r="DM316" i="3"/>
  <c r="DM317" i="3"/>
  <c r="DM318" i="3"/>
  <c r="DM319" i="3"/>
  <c r="DM320" i="3"/>
  <c r="DM373" i="3"/>
  <c r="DM678" i="3"/>
  <c r="DK12" i="3"/>
  <c r="DK13" i="3"/>
  <c r="DK14" i="3"/>
  <c r="DK15" i="3"/>
  <c r="DK16" i="3"/>
  <c r="DK17" i="3"/>
  <c r="DK18" i="3"/>
  <c r="DK19" i="3"/>
  <c r="DK20" i="3"/>
  <c r="DK21" i="3"/>
  <c r="DK22" i="3"/>
  <c r="DK23" i="3"/>
  <c r="DK24" i="3"/>
  <c r="DK25" i="3"/>
  <c r="DK26" i="3"/>
  <c r="DK27" i="3"/>
  <c r="DK28" i="3"/>
  <c r="DK29" i="3"/>
  <c r="DK30" i="3"/>
  <c r="DK31" i="3"/>
  <c r="DK32" i="3"/>
  <c r="DK33" i="3"/>
  <c r="DK34" i="3"/>
  <c r="DK35" i="3"/>
  <c r="DK36" i="3"/>
  <c r="DK37" i="3"/>
  <c r="DK38" i="3"/>
  <c r="DK39" i="3"/>
  <c r="DK40" i="3"/>
  <c r="DK41" i="3"/>
  <c r="DK42" i="3"/>
  <c r="DK43" i="3"/>
  <c r="DK44" i="3"/>
  <c r="DK45" i="3"/>
  <c r="DK46" i="3"/>
  <c r="DK47" i="3"/>
  <c r="DK48" i="3"/>
  <c r="DK49" i="3"/>
  <c r="DK50" i="3"/>
  <c r="DK51" i="3"/>
  <c r="DK52" i="3"/>
  <c r="DK53" i="3"/>
  <c r="DK54" i="3"/>
  <c r="DK55" i="3"/>
  <c r="DK56" i="3"/>
  <c r="DK57" i="3"/>
  <c r="DK58" i="3"/>
  <c r="DK59" i="3"/>
  <c r="DK60" i="3"/>
  <c r="DK61" i="3"/>
  <c r="DK62" i="3"/>
  <c r="DK63" i="3"/>
  <c r="DK64" i="3"/>
  <c r="DK65" i="3"/>
  <c r="DK66" i="3"/>
  <c r="DK67" i="3"/>
  <c r="DK68" i="3"/>
  <c r="DK69" i="3"/>
  <c r="DK70" i="3"/>
  <c r="DK71" i="3"/>
  <c r="DK72" i="3"/>
  <c r="DK73" i="3"/>
  <c r="DK74" i="3"/>
  <c r="DK75" i="3"/>
  <c r="DK76" i="3"/>
  <c r="DK77" i="3"/>
  <c r="DK78" i="3"/>
  <c r="DK79" i="3"/>
  <c r="DK80" i="3"/>
  <c r="DK81" i="3"/>
  <c r="DK82" i="3"/>
  <c r="DK83" i="3"/>
  <c r="DK84" i="3"/>
  <c r="DK85" i="3"/>
  <c r="DK86" i="3"/>
  <c r="DK87" i="3"/>
  <c r="DK88" i="3"/>
  <c r="DK89" i="3"/>
  <c r="DK90" i="3"/>
  <c r="DK91" i="3"/>
  <c r="DK92" i="3"/>
  <c r="DK93" i="3"/>
  <c r="DK94" i="3"/>
  <c r="DK95" i="3"/>
  <c r="DK96" i="3"/>
  <c r="DK97" i="3"/>
  <c r="DK98" i="3"/>
  <c r="DK99" i="3"/>
  <c r="DK100" i="3"/>
  <c r="DK101" i="3"/>
  <c r="DK102" i="3"/>
  <c r="DK103" i="3"/>
  <c r="DK104" i="3"/>
  <c r="DK105" i="3"/>
  <c r="DK106" i="3"/>
  <c r="DK107" i="3"/>
  <c r="DK108" i="3"/>
  <c r="DK109" i="3"/>
  <c r="DK110" i="3"/>
  <c r="DK111" i="3"/>
  <c r="DK112" i="3"/>
  <c r="DK113" i="3"/>
  <c r="DK114" i="3"/>
  <c r="DK115" i="3"/>
  <c r="DK116" i="3"/>
  <c r="DK117" i="3"/>
  <c r="DK118" i="3"/>
  <c r="DK119" i="3"/>
  <c r="DK120" i="3"/>
  <c r="DK121" i="3"/>
  <c r="DK122" i="3"/>
  <c r="DK123" i="3"/>
  <c r="DK124" i="3"/>
  <c r="DK125" i="3"/>
  <c r="DK126" i="3"/>
  <c r="DK127" i="3"/>
  <c r="DK128" i="3"/>
  <c r="DK129" i="3"/>
  <c r="DK130" i="3"/>
  <c r="DK131" i="3"/>
  <c r="DK132" i="3"/>
  <c r="DK133" i="3"/>
  <c r="DK134" i="3"/>
  <c r="DK135" i="3"/>
  <c r="DK136" i="3"/>
  <c r="DK137" i="3"/>
  <c r="DK138" i="3"/>
  <c r="DK139" i="3"/>
  <c r="DK140" i="3"/>
  <c r="DK141" i="3"/>
  <c r="DK142" i="3"/>
  <c r="DK143" i="3"/>
  <c r="DK144" i="3"/>
  <c r="DK145" i="3"/>
  <c r="DK146" i="3"/>
  <c r="DK147" i="3"/>
  <c r="DK148" i="3"/>
  <c r="DK149" i="3"/>
  <c r="DK150" i="3"/>
  <c r="DK151" i="3"/>
  <c r="DK152" i="3"/>
  <c r="DK153" i="3"/>
  <c r="DK154" i="3"/>
  <c r="DK155" i="3"/>
  <c r="DK156" i="3"/>
  <c r="DK157" i="3"/>
  <c r="DK158" i="3"/>
  <c r="DK159" i="3"/>
  <c r="DK160" i="3"/>
  <c r="DK161" i="3"/>
  <c r="DK162" i="3"/>
  <c r="DK163" i="3"/>
  <c r="DK164" i="3"/>
  <c r="DK165" i="3"/>
  <c r="DK166" i="3"/>
  <c r="DK167" i="3"/>
  <c r="DK168" i="3"/>
  <c r="DK169" i="3"/>
  <c r="DK170" i="3"/>
  <c r="DK171" i="3"/>
  <c r="DK172" i="3"/>
  <c r="DK173" i="3"/>
  <c r="DK174" i="3"/>
  <c r="DK175" i="3"/>
  <c r="DK176" i="3"/>
  <c r="DK177" i="3"/>
  <c r="DK178" i="3"/>
  <c r="DK179" i="3"/>
  <c r="DK180" i="3"/>
  <c r="DK181" i="3"/>
  <c r="DK182" i="3"/>
  <c r="DK183" i="3"/>
  <c r="DK184" i="3"/>
  <c r="DK185" i="3"/>
  <c r="DK186" i="3"/>
  <c r="DK187" i="3"/>
  <c r="DK188" i="3"/>
  <c r="DK189" i="3"/>
  <c r="DK190" i="3"/>
  <c r="DK191" i="3"/>
  <c r="DK192" i="3"/>
  <c r="DK193" i="3"/>
  <c r="DK194" i="3"/>
  <c r="DK195" i="3"/>
  <c r="DK196" i="3"/>
  <c r="DK197" i="3"/>
  <c r="DK198" i="3"/>
  <c r="DK199" i="3"/>
  <c r="DK200" i="3"/>
  <c r="DK201" i="3"/>
  <c r="DK202" i="3"/>
  <c r="DK203" i="3"/>
  <c r="DK204" i="3"/>
  <c r="DK205" i="3"/>
  <c r="DK206" i="3"/>
  <c r="DK207" i="3"/>
  <c r="DK208" i="3"/>
  <c r="DK209" i="3"/>
  <c r="DK210" i="3"/>
  <c r="DK211" i="3"/>
  <c r="DK212" i="3"/>
  <c r="DK213" i="3"/>
  <c r="DK214" i="3"/>
  <c r="DK215" i="3"/>
  <c r="DK216" i="3"/>
  <c r="DK217" i="3"/>
  <c r="DK218" i="3"/>
  <c r="DK219" i="3"/>
  <c r="DK220" i="3"/>
  <c r="DK221" i="3"/>
  <c r="DK222" i="3"/>
  <c r="DK223" i="3"/>
  <c r="DK224" i="3"/>
  <c r="DK225" i="3"/>
  <c r="DK226" i="3"/>
  <c r="DK227" i="3"/>
  <c r="DK228" i="3"/>
  <c r="DK229" i="3"/>
  <c r="DK230" i="3"/>
  <c r="DK231" i="3"/>
  <c r="DK232" i="3"/>
  <c r="DK233" i="3"/>
  <c r="DK234" i="3"/>
  <c r="DK235" i="3"/>
  <c r="DK236" i="3"/>
  <c r="DK237" i="3"/>
  <c r="DK238" i="3"/>
  <c r="DK239" i="3"/>
  <c r="DK240" i="3"/>
  <c r="DK241" i="3"/>
  <c r="DK242" i="3"/>
  <c r="DK243" i="3"/>
  <c r="DK244" i="3"/>
  <c r="DK245" i="3"/>
  <c r="DK246" i="3"/>
  <c r="DK247" i="3"/>
  <c r="DK248" i="3"/>
  <c r="DK249" i="3"/>
  <c r="DK250" i="3"/>
  <c r="DK251" i="3"/>
  <c r="DK252" i="3"/>
  <c r="DK253" i="3"/>
  <c r="DK254" i="3"/>
  <c r="DK255" i="3"/>
  <c r="DK256" i="3"/>
  <c r="DK257" i="3"/>
  <c r="DK258" i="3"/>
  <c r="DK259" i="3"/>
  <c r="DK260" i="3"/>
  <c r="DK261" i="3"/>
  <c r="DK262" i="3"/>
  <c r="DK263" i="3"/>
  <c r="DK264" i="3"/>
  <c r="DK265" i="3"/>
  <c r="DK266" i="3"/>
  <c r="DK267" i="3"/>
  <c r="DK268" i="3"/>
  <c r="DK269" i="3"/>
  <c r="DK270" i="3"/>
  <c r="DK271" i="3"/>
  <c r="DK272" i="3"/>
  <c r="DK273" i="3"/>
  <c r="DK274" i="3"/>
  <c r="DK275" i="3"/>
  <c r="DK276" i="3"/>
  <c r="DK277" i="3"/>
  <c r="DK278" i="3"/>
  <c r="DK279" i="3"/>
  <c r="DK280" i="3"/>
  <c r="DK281" i="3"/>
  <c r="DK282" i="3"/>
  <c r="DK283" i="3"/>
  <c r="DK284" i="3"/>
  <c r="DK285" i="3"/>
  <c r="DK286" i="3"/>
  <c r="DK287" i="3"/>
  <c r="DK288" i="3"/>
  <c r="DK289" i="3"/>
  <c r="DK290" i="3"/>
  <c r="DK291" i="3"/>
  <c r="DK292" i="3"/>
  <c r="DK293" i="3"/>
  <c r="DK294" i="3"/>
  <c r="DK295" i="3"/>
  <c r="DK296" i="3"/>
  <c r="DK297" i="3"/>
  <c r="DK298" i="3"/>
  <c r="DK299" i="3"/>
  <c r="DK300" i="3"/>
  <c r="DK301" i="3"/>
  <c r="DK302" i="3"/>
  <c r="DK303" i="3"/>
  <c r="DK304" i="3"/>
  <c r="DK305" i="3"/>
  <c r="DK306" i="3"/>
  <c r="DK307" i="3"/>
  <c r="DK308" i="3"/>
  <c r="DK309" i="3"/>
  <c r="DK310" i="3"/>
  <c r="DK311" i="3"/>
  <c r="DK312" i="3"/>
  <c r="DK313" i="3"/>
  <c r="DK314" i="3"/>
  <c r="DK315" i="3"/>
  <c r="DK316" i="3"/>
  <c r="DK317" i="3"/>
  <c r="DK318" i="3"/>
  <c r="DK319" i="3"/>
  <c r="DK320" i="3"/>
  <c r="DK373" i="3"/>
  <c r="DK678" i="3"/>
  <c r="DJ12" i="3"/>
  <c r="DJ13" i="3"/>
  <c r="DJ14" i="3"/>
  <c r="DJ15" i="3"/>
  <c r="DJ16" i="3"/>
  <c r="DJ17" i="3"/>
  <c r="DJ18" i="3"/>
  <c r="DJ19" i="3"/>
  <c r="DJ20" i="3"/>
  <c r="DJ21" i="3"/>
  <c r="DJ22" i="3"/>
  <c r="DJ23" i="3"/>
  <c r="DJ24" i="3"/>
  <c r="DJ25" i="3"/>
  <c r="DJ26" i="3"/>
  <c r="DJ27" i="3"/>
  <c r="DJ28" i="3"/>
  <c r="DJ29" i="3"/>
  <c r="DJ30" i="3"/>
  <c r="DJ31" i="3"/>
  <c r="DJ32" i="3"/>
  <c r="DJ33" i="3"/>
  <c r="DJ34" i="3"/>
  <c r="DJ35" i="3"/>
  <c r="DJ36" i="3"/>
  <c r="DJ37" i="3"/>
  <c r="DJ38" i="3"/>
  <c r="DJ39" i="3"/>
  <c r="DJ40" i="3"/>
  <c r="DJ41" i="3"/>
  <c r="DJ42" i="3"/>
  <c r="DJ43" i="3"/>
  <c r="DJ44" i="3"/>
  <c r="DJ45" i="3"/>
  <c r="DJ46" i="3"/>
  <c r="DJ47" i="3"/>
  <c r="DJ48" i="3"/>
  <c r="DJ49" i="3"/>
  <c r="DJ50" i="3"/>
  <c r="DJ51" i="3"/>
  <c r="DJ52" i="3"/>
  <c r="DJ53" i="3"/>
  <c r="DJ54" i="3"/>
  <c r="DJ55" i="3"/>
  <c r="DJ56" i="3"/>
  <c r="DJ57" i="3"/>
  <c r="DJ58" i="3"/>
  <c r="DJ59" i="3"/>
  <c r="DJ60" i="3"/>
  <c r="DJ61" i="3"/>
  <c r="DJ62" i="3"/>
  <c r="DJ63" i="3"/>
  <c r="DJ64" i="3"/>
  <c r="DJ65" i="3"/>
  <c r="DJ66" i="3"/>
  <c r="DJ67" i="3"/>
  <c r="DJ68" i="3"/>
  <c r="DJ69" i="3"/>
  <c r="DJ70" i="3"/>
  <c r="DJ71" i="3"/>
  <c r="DJ72" i="3"/>
  <c r="DJ73" i="3"/>
  <c r="DJ74" i="3"/>
  <c r="DJ75" i="3"/>
  <c r="DJ76" i="3"/>
  <c r="DJ77" i="3"/>
  <c r="DJ78" i="3"/>
  <c r="DJ79" i="3"/>
  <c r="DJ80" i="3"/>
  <c r="DJ81" i="3"/>
  <c r="DJ82" i="3"/>
  <c r="DJ83" i="3"/>
  <c r="DJ84" i="3"/>
  <c r="DJ85" i="3"/>
  <c r="DJ86" i="3"/>
  <c r="DJ87" i="3"/>
  <c r="DJ88" i="3"/>
  <c r="DJ89" i="3"/>
  <c r="DJ90" i="3"/>
  <c r="DJ91" i="3"/>
  <c r="DJ92" i="3"/>
  <c r="DJ93" i="3"/>
  <c r="DJ94" i="3"/>
  <c r="DJ95" i="3"/>
  <c r="DJ96" i="3"/>
  <c r="DJ97" i="3"/>
  <c r="DJ98" i="3"/>
  <c r="DJ99" i="3"/>
  <c r="DJ100" i="3"/>
  <c r="DJ101" i="3"/>
  <c r="DJ102" i="3"/>
  <c r="DJ103" i="3"/>
  <c r="DJ104" i="3"/>
  <c r="DJ105" i="3"/>
  <c r="DJ106" i="3"/>
  <c r="DJ107" i="3"/>
  <c r="DJ108" i="3"/>
  <c r="DJ109" i="3"/>
  <c r="DJ110" i="3"/>
  <c r="DJ111" i="3"/>
  <c r="DJ112" i="3"/>
  <c r="DJ113" i="3"/>
  <c r="DJ114" i="3"/>
  <c r="DJ115" i="3"/>
  <c r="DJ116" i="3"/>
  <c r="DJ117" i="3"/>
  <c r="DJ118" i="3"/>
  <c r="DJ119" i="3"/>
  <c r="DJ120" i="3"/>
  <c r="DJ121" i="3"/>
  <c r="DJ122" i="3"/>
  <c r="DJ123" i="3"/>
  <c r="DJ124" i="3"/>
  <c r="DJ125" i="3"/>
  <c r="DJ126" i="3"/>
  <c r="DJ127" i="3"/>
  <c r="DJ128" i="3"/>
  <c r="DJ129" i="3"/>
  <c r="DJ130" i="3"/>
  <c r="DJ131" i="3"/>
  <c r="DJ132" i="3"/>
  <c r="DJ133" i="3"/>
  <c r="DJ134" i="3"/>
  <c r="DJ135" i="3"/>
  <c r="DJ136" i="3"/>
  <c r="DJ137" i="3"/>
  <c r="DJ138" i="3"/>
  <c r="DJ139" i="3"/>
  <c r="DJ140" i="3"/>
  <c r="DJ141" i="3"/>
  <c r="DJ142" i="3"/>
  <c r="DJ143" i="3"/>
  <c r="DJ144" i="3"/>
  <c r="DJ145" i="3"/>
  <c r="DJ146" i="3"/>
  <c r="DJ147" i="3"/>
  <c r="DJ148" i="3"/>
  <c r="DJ149" i="3"/>
  <c r="DJ150" i="3"/>
  <c r="DJ151" i="3"/>
  <c r="DJ152" i="3"/>
  <c r="DJ153" i="3"/>
  <c r="DJ154" i="3"/>
  <c r="DJ155" i="3"/>
  <c r="DJ156" i="3"/>
  <c r="DJ157" i="3"/>
  <c r="DJ158" i="3"/>
  <c r="DJ159" i="3"/>
  <c r="DJ160" i="3"/>
  <c r="DJ161" i="3"/>
  <c r="DJ162" i="3"/>
  <c r="DJ163" i="3"/>
  <c r="DJ164" i="3"/>
  <c r="DJ165" i="3"/>
  <c r="DJ166" i="3"/>
  <c r="DJ167" i="3"/>
  <c r="DJ168" i="3"/>
  <c r="DJ169" i="3"/>
  <c r="DJ170" i="3"/>
  <c r="DJ171" i="3"/>
  <c r="DJ172" i="3"/>
  <c r="DJ173" i="3"/>
  <c r="DJ174" i="3"/>
  <c r="DJ175" i="3"/>
  <c r="DJ176" i="3"/>
  <c r="DJ177" i="3"/>
  <c r="DJ178" i="3"/>
  <c r="DJ179" i="3"/>
  <c r="DJ180" i="3"/>
  <c r="DJ181" i="3"/>
  <c r="DJ182" i="3"/>
  <c r="DJ183" i="3"/>
  <c r="DJ184" i="3"/>
  <c r="DJ185" i="3"/>
  <c r="DJ186" i="3"/>
  <c r="DJ187" i="3"/>
  <c r="DJ188" i="3"/>
  <c r="DJ189" i="3"/>
  <c r="DJ190" i="3"/>
  <c r="DJ191" i="3"/>
  <c r="DJ192" i="3"/>
  <c r="DJ193" i="3"/>
  <c r="DJ194" i="3"/>
  <c r="DJ195" i="3"/>
  <c r="DJ196" i="3"/>
  <c r="DJ197" i="3"/>
  <c r="DJ198" i="3"/>
  <c r="DJ199" i="3"/>
  <c r="DJ200" i="3"/>
  <c r="DJ201" i="3"/>
  <c r="DJ202" i="3"/>
  <c r="DJ203" i="3"/>
  <c r="DJ204" i="3"/>
  <c r="DJ205" i="3"/>
  <c r="DJ206" i="3"/>
  <c r="DJ207" i="3"/>
  <c r="DJ208" i="3"/>
  <c r="DJ209" i="3"/>
  <c r="DJ210" i="3"/>
  <c r="DJ211" i="3"/>
  <c r="DJ212" i="3"/>
  <c r="DJ213" i="3"/>
  <c r="DJ214" i="3"/>
  <c r="DJ215" i="3"/>
  <c r="DJ216" i="3"/>
  <c r="DJ217" i="3"/>
  <c r="DJ218" i="3"/>
  <c r="DJ219" i="3"/>
  <c r="DJ220" i="3"/>
  <c r="DJ221" i="3"/>
  <c r="DJ222" i="3"/>
  <c r="DJ223" i="3"/>
  <c r="DJ224" i="3"/>
  <c r="DJ225" i="3"/>
  <c r="DJ226" i="3"/>
  <c r="DJ227" i="3"/>
  <c r="DJ228" i="3"/>
  <c r="DJ229" i="3"/>
  <c r="DJ230" i="3"/>
  <c r="DJ231" i="3"/>
  <c r="DJ232" i="3"/>
  <c r="DJ233" i="3"/>
  <c r="DJ234" i="3"/>
  <c r="DJ235" i="3"/>
  <c r="DJ236" i="3"/>
  <c r="DJ237" i="3"/>
  <c r="DJ238" i="3"/>
  <c r="DJ239" i="3"/>
  <c r="DJ240" i="3"/>
  <c r="DJ241" i="3"/>
  <c r="DJ242" i="3"/>
  <c r="DJ243" i="3"/>
  <c r="DJ244" i="3"/>
  <c r="DJ245" i="3"/>
  <c r="DJ246" i="3"/>
  <c r="DJ247" i="3"/>
  <c r="DJ248" i="3"/>
  <c r="DJ249" i="3"/>
  <c r="DJ250" i="3"/>
  <c r="DJ251" i="3"/>
  <c r="DJ252" i="3"/>
  <c r="DJ253" i="3"/>
  <c r="DJ254" i="3"/>
  <c r="DJ255" i="3"/>
  <c r="DJ256" i="3"/>
  <c r="DJ257" i="3"/>
  <c r="DJ258" i="3"/>
  <c r="DJ259" i="3"/>
  <c r="DJ260" i="3"/>
  <c r="DJ261" i="3"/>
  <c r="DJ262" i="3"/>
  <c r="DJ263" i="3"/>
  <c r="DJ264" i="3"/>
  <c r="DJ265" i="3"/>
  <c r="DJ266" i="3"/>
  <c r="DJ267" i="3"/>
  <c r="DJ268" i="3"/>
  <c r="DJ269" i="3"/>
  <c r="DJ270" i="3"/>
  <c r="DJ271" i="3"/>
  <c r="DJ272" i="3"/>
  <c r="DJ273" i="3"/>
  <c r="DJ274" i="3"/>
  <c r="DJ275" i="3"/>
  <c r="DJ276" i="3"/>
  <c r="DJ277" i="3"/>
  <c r="DJ278" i="3"/>
  <c r="DJ279" i="3"/>
  <c r="DJ280" i="3"/>
  <c r="DJ281" i="3"/>
  <c r="DJ282" i="3"/>
  <c r="DJ283" i="3"/>
  <c r="DJ284" i="3"/>
  <c r="DJ285" i="3"/>
  <c r="DJ286" i="3"/>
  <c r="DJ287" i="3"/>
  <c r="DJ288" i="3"/>
  <c r="DJ289" i="3"/>
  <c r="DJ290" i="3"/>
  <c r="DJ291" i="3"/>
  <c r="DJ292" i="3"/>
  <c r="DJ293" i="3"/>
  <c r="DJ294" i="3"/>
  <c r="DJ295" i="3"/>
  <c r="DJ296" i="3"/>
  <c r="DJ297" i="3"/>
  <c r="DJ298" i="3"/>
  <c r="DJ299" i="3"/>
  <c r="DJ300" i="3"/>
  <c r="DJ301" i="3"/>
  <c r="DJ302" i="3"/>
  <c r="DJ303" i="3"/>
  <c r="DJ304" i="3"/>
  <c r="DJ305" i="3"/>
  <c r="DJ306" i="3"/>
  <c r="DJ307" i="3"/>
  <c r="DJ308" i="3"/>
  <c r="DJ309" i="3"/>
  <c r="DJ310" i="3"/>
  <c r="DJ311" i="3"/>
  <c r="DJ312" i="3"/>
  <c r="DJ313" i="3"/>
  <c r="DJ314" i="3"/>
  <c r="DJ315" i="3"/>
  <c r="DJ316" i="3"/>
  <c r="DJ317" i="3"/>
  <c r="DJ318" i="3"/>
  <c r="DJ319" i="3"/>
  <c r="DJ320" i="3"/>
  <c r="DJ373" i="3"/>
  <c r="DJ678" i="3"/>
  <c r="DG12" i="3"/>
  <c r="DG13" i="3"/>
  <c r="DG14" i="3"/>
  <c r="DG15" i="3"/>
  <c r="DG16" i="3"/>
  <c r="DG17" i="3"/>
  <c r="DG18" i="3"/>
  <c r="DG19" i="3"/>
  <c r="DG20" i="3"/>
  <c r="DG21" i="3"/>
  <c r="DG22" i="3"/>
  <c r="DG23" i="3"/>
  <c r="DG24" i="3"/>
  <c r="DG25" i="3"/>
  <c r="DG26" i="3"/>
  <c r="DG27" i="3"/>
  <c r="DG28" i="3"/>
  <c r="DG29" i="3"/>
  <c r="DG30" i="3"/>
  <c r="DG31" i="3"/>
  <c r="DG32" i="3"/>
  <c r="DG33" i="3"/>
  <c r="DG34" i="3"/>
  <c r="DG35" i="3"/>
  <c r="DG36" i="3"/>
  <c r="DG37" i="3"/>
  <c r="DG38" i="3"/>
  <c r="DG39" i="3"/>
  <c r="DG40" i="3"/>
  <c r="DG41" i="3"/>
  <c r="DG42" i="3"/>
  <c r="DG43" i="3"/>
  <c r="DG44" i="3"/>
  <c r="DG45" i="3"/>
  <c r="DG46" i="3"/>
  <c r="DG47" i="3"/>
  <c r="DG48" i="3"/>
  <c r="DG49" i="3"/>
  <c r="DG50" i="3"/>
  <c r="DG51" i="3"/>
  <c r="DG52" i="3"/>
  <c r="DG53" i="3"/>
  <c r="DG54" i="3"/>
  <c r="DG55" i="3"/>
  <c r="DG56" i="3"/>
  <c r="DG57" i="3"/>
  <c r="DG58" i="3"/>
  <c r="DG59" i="3"/>
  <c r="DG60" i="3"/>
  <c r="DG61" i="3"/>
  <c r="DG62" i="3"/>
  <c r="DG63" i="3"/>
  <c r="DG64" i="3"/>
  <c r="DG65" i="3"/>
  <c r="DG66" i="3"/>
  <c r="DG67" i="3"/>
  <c r="DG68" i="3"/>
  <c r="DG69" i="3"/>
  <c r="DG70" i="3"/>
  <c r="DG71" i="3"/>
  <c r="DG72" i="3"/>
  <c r="DG73" i="3"/>
  <c r="DG74" i="3"/>
  <c r="DG75" i="3"/>
  <c r="DG76" i="3"/>
  <c r="DG77" i="3"/>
  <c r="DG78" i="3"/>
  <c r="DG79" i="3"/>
  <c r="DG80" i="3"/>
  <c r="DG81" i="3"/>
  <c r="DG82" i="3"/>
  <c r="DG83" i="3"/>
  <c r="DG84" i="3"/>
  <c r="DG85" i="3"/>
  <c r="DG86" i="3"/>
  <c r="DG87" i="3"/>
  <c r="DG88" i="3"/>
  <c r="DG89" i="3"/>
  <c r="DG90" i="3"/>
  <c r="DG91" i="3"/>
  <c r="DG92" i="3"/>
  <c r="DG93" i="3"/>
  <c r="DG94" i="3"/>
  <c r="DG95" i="3"/>
  <c r="DG96" i="3"/>
  <c r="DG97" i="3"/>
  <c r="DG98" i="3"/>
  <c r="DG99" i="3"/>
  <c r="DG100" i="3"/>
  <c r="DG101" i="3"/>
  <c r="DG102" i="3"/>
  <c r="DG103" i="3"/>
  <c r="DG104" i="3"/>
  <c r="DG105" i="3"/>
  <c r="DG106" i="3"/>
  <c r="DG107" i="3"/>
  <c r="DG108" i="3"/>
  <c r="DG109" i="3"/>
  <c r="DG110" i="3"/>
  <c r="DG111" i="3"/>
  <c r="DG112" i="3"/>
  <c r="DG113" i="3"/>
  <c r="DG114" i="3"/>
  <c r="DG115" i="3"/>
  <c r="DG116" i="3"/>
  <c r="DG117" i="3"/>
  <c r="DG118" i="3"/>
  <c r="DG119" i="3"/>
  <c r="DG120" i="3"/>
  <c r="DG121" i="3"/>
  <c r="DG122" i="3"/>
  <c r="DG123" i="3"/>
  <c r="DG124" i="3"/>
  <c r="DG125" i="3"/>
  <c r="DG126" i="3"/>
  <c r="DG127" i="3"/>
  <c r="DG128" i="3"/>
  <c r="DG129" i="3"/>
  <c r="DG130" i="3"/>
  <c r="DG131" i="3"/>
  <c r="DG132" i="3"/>
  <c r="DG133" i="3"/>
  <c r="DG134" i="3"/>
  <c r="DG135" i="3"/>
  <c r="DG136" i="3"/>
  <c r="DG137" i="3"/>
  <c r="DG138" i="3"/>
  <c r="DG139" i="3"/>
  <c r="DG140" i="3"/>
  <c r="DG141" i="3"/>
  <c r="DG142" i="3"/>
  <c r="DG143" i="3"/>
  <c r="DG144" i="3"/>
  <c r="DG145" i="3"/>
  <c r="DG146" i="3"/>
  <c r="DG147" i="3"/>
  <c r="DG148" i="3"/>
  <c r="DG149" i="3"/>
  <c r="DG150" i="3"/>
  <c r="DG151" i="3"/>
  <c r="DG152" i="3"/>
  <c r="DG153" i="3"/>
  <c r="DG154" i="3"/>
  <c r="DG155" i="3"/>
  <c r="DG156" i="3"/>
  <c r="DG157" i="3"/>
  <c r="DG158" i="3"/>
  <c r="DG159" i="3"/>
  <c r="DG160" i="3"/>
  <c r="DG161" i="3"/>
  <c r="DG162" i="3"/>
  <c r="DG163" i="3"/>
  <c r="DG164" i="3"/>
  <c r="DG165" i="3"/>
  <c r="DG166" i="3"/>
  <c r="DG167" i="3"/>
  <c r="DG168" i="3"/>
  <c r="DG169" i="3"/>
  <c r="DG170" i="3"/>
  <c r="DG171" i="3"/>
  <c r="DG172" i="3"/>
  <c r="DG173" i="3"/>
  <c r="DG174" i="3"/>
  <c r="DG175" i="3"/>
  <c r="DG176" i="3"/>
  <c r="DG177" i="3"/>
  <c r="DG178" i="3"/>
  <c r="DG179" i="3"/>
  <c r="DG180" i="3"/>
  <c r="DG181" i="3"/>
  <c r="DG182" i="3"/>
  <c r="DG183" i="3"/>
  <c r="DG184" i="3"/>
  <c r="DG185" i="3"/>
  <c r="DG186" i="3"/>
  <c r="DG187" i="3"/>
  <c r="DG188" i="3"/>
  <c r="DG189" i="3"/>
  <c r="DG190" i="3"/>
  <c r="DG191" i="3"/>
  <c r="DG192" i="3"/>
  <c r="DG193" i="3"/>
  <c r="DG194" i="3"/>
  <c r="DG195" i="3"/>
  <c r="DG196" i="3"/>
  <c r="DG197" i="3"/>
  <c r="DG198" i="3"/>
  <c r="DG199" i="3"/>
  <c r="DG200" i="3"/>
  <c r="DG201" i="3"/>
  <c r="DG202" i="3"/>
  <c r="DG203" i="3"/>
  <c r="DG204" i="3"/>
  <c r="DG205" i="3"/>
  <c r="DG206" i="3"/>
  <c r="DG207" i="3"/>
  <c r="DG208" i="3"/>
  <c r="DG209" i="3"/>
  <c r="DG210" i="3"/>
  <c r="DG211" i="3"/>
  <c r="DG212" i="3"/>
  <c r="DG213" i="3"/>
  <c r="DG214" i="3"/>
  <c r="DG215" i="3"/>
  <c r="DG216" i="3"/>
  <c r="DG217" i="3"/>
  <c r="DG218" i="3"/>
  <c r="DG219" i="3"/>
  <c r="DG220" i="3"/>
  <c r="DG221" i="3"/>
  <c r="DG222" i="3"/>
  <c r="DG223" i="3"/>
  <c r="DG224" i="3"/>
  <c r="DG225" i="3"/>
  <c r="DG226" i="3"/>
  <c r="DG227" i="3"/>
  <c r="DG228" i="3"/>
  <c r="DG229" i="3"/>
  <c r="DG230" i="3"/>
  <c r="DG231" i="3"/>
  <c r="DG232" i="3"/>
  <c r="DG233" i="3"/>
  <c r="DG234" i="3"/>
  <c r="DG235" i="3"/>
  <c r="DG236" i="3"/>
  <c r="DG237" i="3"/>
  <c r="DG238" i="3"/>
  <c r="DG239" i="3"/>
  <c r="DG240" i="3"/>
  <c r="DG241" i="3"/>
  <c r="DG242" i="3"/>
  <c r="DG243" i="3"/>
  <c r="DG244" i="3"/>
  <c r="DG245" i="3"/>
  <c r="DG246" i="3"/>
  <c r="DG247" i="3"/>
  <c r="DG248" i="3"/>
  <c r="DG249" i="3"/>
  <c r="DG250" i="3"/>
  <c r="DG251" i="3"/>
  <c r="DG252" i="3"/>
  <c r="DG253" i="3"/>
  <c r="DG254" i="3"/>
  <c r="DG255" i="3"/>
  <c r="DG256" i="3"/>
  <c r="DG257" i="3"/>
  <c r="DG258" i="3"/>
  <c r="DG259" i="3"/>
  <c r="DG260" i="3"/>
  <c r="DG261" i="3"/>
  <c r="DG262" i="3"/>
  <c r="DG263" i="3"/>
  <c r="DG264" i="3"/>
  <c r="DG265" i="3"/>
  <c r="DG266" i="3"/>
  <c r="DG267" i="3"/>
  <c r="DG268" i="3"/>
  <c r="DG269" i="3"/>
  <c r="DG270" i="3"/>
  <c r="DG271" i="3"/>
  <c r="DG272" i="3"/>
  <c r="DG273" i="3"/>
  <c r="DG274" i="3"/>
  <c r="DG275" i="3"/>
  <c r="DG276" i="3"/>
  <c r="DG277" i="3"/>
  <c r="DG278" i="3"/>
  <c r="DG279" i="3"/>
  <c r="DG280" i="3"/>
  <c r="DG281" i="3"/>
  <c r="DG282" i="3"/>
  <c r="DG283" i="3"/>
  <c r="DG284" i="3"/>
  <c r="DG285" i="3"/>
  <c r="DG286" i="3"/>
  <c r="DG287" i="3"/>
  <c r="DG288" i="3"/>
  <c r="DG289" i="3"/>
  <c r="DG290" i="3"/>
  <c r="DG291" i="3"/>
  <c r="DG292" i="3"/>
  <c r="DG293" i="3"/>
  <c r="DG294" i="3"/>
  <c r="DG295" i="3"/>
  <c r="DG296" i="3"/>
  <c r="DG297" i="3"/>
  <c r="DG298" i="3"/>
  <c r="DG299" i="3"/>
  <c r="DG300" i="3"/>
  <c r="DG301" i="3"/>
  <c r="DG302" i="3"/>
  <c r="DG303" i="3"/>
  <c r="DG304" i="3"/>
  <c r="DG305" i="3"/>
  <c r="DG306" i="3"/>
  <c r="DG307" i="3"/>
  <c r="DG308" i="3"/>
  <c r="DG309" i="3"/>
  <c r="DG310" i="3"/>
  <c r="DG311" i="3"/>
  <c r="DG312" i="3"/>
  <c r="DG313" i="3"/>
  <c r="DG314" i="3"/>
  <c r="DG315" i="3"/>
  <c r="DG316" i="3"/>
  <c r="DG317" i="3"/>
  <c r="DG318" i="3"/>
  <c r="DG319" i="3"/>
  <c r="DG320" i="3"/>
  <c r="DG373" i="3"/>
  <c r="DG678" i="3"/>
  <c r="DF12" i="3"/>
  <c r="DF13" i="3"/>
  <c r="DF14" i="3"/>
  <c r="DF15" i="3"/>
  <c r="DF16" i="3"/>
  <c r="DF17" i="3"/>
  <c r="DF18" i="3"/>
  <c r="DF19" i="3"/>
  <c r="DF20" i="3"/>
  <c r="DF21" i="3"/>
  <c r="DF22" i="3"/>
  <c r="DF23" i="3"/>
  <c r="DF24" i="3"/>
  <c r="DF25" i="3"/>
  <c r="DF26" i="3"/>
  <c r="DF27" i="3"/>
  <c r="DF28" i="3"/>
  <c r="DF29" i="3"/>
  <c r="DF30" i="3"/>
  <c r="DF31" i="3"/>
  <c r="DF32" i="3"/>
  <c r="DF33" i="3"/>
  <c r="DF34" i="3"/>
  <c r="DF35" i="3"/>
  <c r="DF36" i="3"/>
  <c r="DF37" i="3"/>
  <c r="DF38" i="3"/>
  <c r="DF39" i="3"/>
  <c r="DF40" i="3"/>
  <c r="DF41" i="3"/>
  <c r="DF42" i="3"/>
  <c r="DF43" i="3"/>
  <c r="DF44" i="3"/>
  <c r="DF45" i="3"/>
  <c r="DF46" i="3"/>
  <c r="DF47" i="3"/>
  <c r="DF48" i="3"/>
  <c r="DF49" i="3"/>
  <c r="DF50" i="3"/>
  <c r="DF51" i="3"/>
  <c r="DF52" i="3"/>
  <c r="DF53" i="3"/>
  <c r="DF54" i="3"/>
  <c r="DF55" i="3"/>
  <c r="DF56" i="3"/>
  <c r="DF57" i="3"/>
  <c r="DF58" i="3"/>
  <c r="DF59" i="3"/>
  <c r="DF60" i="3"/>
  <c r="DF61" i="3"/>
  <c r="DF62" i="3"/>
  <c r="DF63" i="3"/>
  <c r="DF64" i="3"/>
  <c r="DF65" i="3"/>
  <c r="DF66" i="3"/>
  <c r="DF67" i="3"/>
  <c r="DF68" i="3"/>
  <c r="DF69" i="3"/>
  <c r="DF70" i="3"/>
  <c r="DF71" i="3"/>
  <c r="DF72" i="3"/>
  <c r="DF73" i="3"/>
  <c r="DF74" i="3"/>
  <c r="DF75" i="3"/>
  <c r="DF76" i="3"/>
  <c r="DF77" i="3"/>
  <c r="DF78" i="3"/>
  <c r="DF79" i="3"/>
  <c r="DF80" i="3"/>
  <c r="DF81" i="3"/>
  <c r="DF82" i="3"/>
  <c r="DF83" i="3"/>
  <c r="DF84" i="3"/>
  <c r="DF85" i="3"/>
  <c r="DF86" i="3"/>
  <c r="DF87" i="3"/>
  <c r="DF88" i="3"/>
  <c r="DF89" i="3"/>
  <c r="DF90" i="3"/>
  <c r="DF91" i="3"/>
  <c r="DF92" i="3"/>
  <c r="DF93" i="3"/>
  <c r="DF94" i="3"/>
  <c r="DF95" i="3"/>
  <c r="DF96" i="3"/>
  <c r="DF97" i="3"/>
  <c r="DF98" i="3"/>
  <c r="DF99" i="3"/>
  <c r="DF100" i="3"/>
  <c r="DF101" i="3"/>
  <c r="DF102" i="3"/>
  <c r="DF103" i="3"/>
  <c r="DF104" i="3"/>
  <c r="DF105" i="3"/>
  <c r="DF106" i="3"/>
  <c r="DF107" i="3"/>
  <c r="DF108" i="3"/>
  <c r="DF109" i="3"/>
  <c r="DF110" i="3"/>
  <c r="DF111" i="3"/>
  <c r="DF112" i="3"/>
  <c r="DF113" i="3"/>
  <c r="DF114" i="3"/>
  <c r="DF115" i="3"/>
  <c r="DF116" i="3"/>
  <c r="DF117" i="3"/>
  <c r="DF118" i="3"/>
  <c r="DF119" i="3"/>
  <c r="DF120" i="3"/>
  <c r="DF121" i="3"/>
  <c r="DF122" i="3"/>
  <c r="DF123" i="3"/>
  <c r="DF124" i="3"/>
  <c r="DF125" i="3"/>
  <c r="DF126" i="3"/>
  <c r="DF127" i="3"/>
  <c r="DF128" i="3"/>
  <c r="DF129" i="3"/>
  <c r="DF130" i="3"/>
  <c r="DF131" i="3"/>
  <c r="DF132" i="3"/>
  <c r="DF133" i="3"/>
  <c r="DF134" i="3"/>
  <c r="DF135" i="3"/>
  <c r="DF136" i="3"/>
  <c r="DF137" i="3"/>
  <c r="DF138" i="3"/>
  <c r="DF139" i="3"/>
  <c r="DF140" i="3"/>
  <c r="DF141" i="3"/>
  <c r="DF142" i="3"/>
  <c r="DF143" i="3"/>
  <c r="DF144" i="3"/>
  <c r="DF145" i="3"/>
  <c r="DF146" i="3"/>
  <c r="DF147" i="3"/>
  <c r="DF148" i="3"/>
  <c r="DF149" i="3"/>
  <c r="DF150" i="3"/>
  <c r="DF151" i="3"/>
  <c r="DF152" i="3"/>
  <c r="DF153" i="3"/>
  <c r="DF154" i="3"/>
  <c r="DF155" i="3"/>
  <c r="DF156" i="3"/>
  <c r="DF157" i="3"/>
  <c r="DF158" i="3"/>
  <c r="DF159" i="3"/>
  <c r="DF160" i="3"/>
  <c r="DF161" i="3"/>
  <c r="DF162" i="3"/>
  <c r="DF163" i="3"/>
  <c r="DF164" i="3"/>
  <c r="DF165" i="3"/>
  <c r="DF166" i="3"/>
  <c r="DF167" i="3"/>
  <c r="DF168" i="3"/>
  <c r="DF169" i="3"/>
  <c r="DF170" i="3"/>
  <c r="DF171" i="3"/>
  <c r="DF172" i="3"/>
  <c r="DF173" i="3"/>
  <c r="DF174" i="3"/>
  <c r="DF175" i="3"/>
  <c r="DF176" i="3"/>
  <c r="DF177" i="3"/>
  <c r="DF178" i="3"/>
  <c r="DF179" i="3"/>
  <c r="DF180" i="3"/>
  <c r="DF181" i="3"/>
  <c r="DF182" i="3"/>
  <c r="DF183" i="3"/>
  <c r="DF184" i="3"/>
  <c r="DF185" i="3"/>
  <c r="DF186" i="3"/>
  <c r="DF187" i="3"/>
  <c r="DF188" i="3"/>
  <c r="DF189" i="3"/>
  <c r="DF190" i="3"/>
  <c r="DF191" i="3"/>
  <c r="DF192" i="3"/>
  <c r="DF193" i="3"/>
  <c r="DF194" i="3"/>
  <c r="DF195" i="3"/>
  <c r="DF196" i="3"/>
  <c r="DF197" i="3"/>
  <c r="DF198" i="3"/>
  <c r="DF199" i="3"/>
  <c r="DF200" i="3"/>
  <c r="DF201" i="3"/>
  <c r="DF202" i="3"/>
  <c r="DF203" i="3"/>
  <c r="DF204" i="3"/>
  <c r="DF205" i="3"/>
  <c r="DF206" i="3"/>
  <c r="DF207" i="3"/>
  <c r="DF208" i="3"/>
  <c r="DF209" i="3"/>
  <c r="DF210" i="3"/>
  <c r="DF211" i="3"/>
  <c r="DF212" i="3"/>
  <c r="DF213" i="3"/>
  <c r="DF214" i="3"/>
  <c r="DF215" i="3"/>
  <c r="DF216" i="3"/>
  <c r="DF217" i="3"/>
  <c r="DF218" i="3"/>
  <c r="DF219" i="3"/>
  <c r="DF220" i="3"/>
  <c r="DF221" i="3"/>
  <c r="DF222" i="3"/>
  <c r="DF223" i="3"/>
  <c r="DF224" i="3"/>
  <c r="DF225" i="3"/>
  <c r="DF226" i="3"/>
  <c r="DF227" i="3"/>
  <c r="DF228" i="3"/>
  <c r="DF229" i="3"/>
  <c r="DF230" i="3"/>
  <c r="DF231" i="3"/>
  <c r="DF232" i="3"/>
  <c r="DF233" i="3"/>
  <c r="DF234" i="3"/>
  <c r="DF235" i="3"/>
  <c r="DF236" i="3"/>
  <c r="DF237" i="3"/>
  <c r="DF238" i="3"/>
  <c r="DF239" i="3"/>
  <c r="DF240" i="3"/>
  <c r="DF241" i="3"/>
  <c r="DF242" i="3"/>
  <c r="DF243" i="3"/>
  <c r="DF244" i="3"/>
  <c r="DF245" i="3"/>
  <c r="DF246" i="3"/>
  <c r="DF247" i="3"/>
  <c r="DF248" i="3"/>
  <c r="DF249" i="3"/>
  <c r="DF250" i="3"/>
  <c r="DF251" i="3"/>
  <c r="DF252" i="3"/>
  <c r="DF253" i="3"/>
  <c r="DF254" i="3"/>
  <c r="DF255" i="3"/>
  <c r="DF256" i="3"/>
  <c r="DF257" i="3"/>
  <c r="DF258" i="3"/>
  <c r="DF259" i="3"/>
  <c r="DF260" i="3"/>
  <c r="DF261" i="3"/>
  <c r="DF262" i="3"/>
  <c r="DF263" i="3"/>
  <c r="DF264" i="3"/>
  <c r="DF265" i="3"/>
  <c r="DF266" i="3"/>
  <c r="DF267" i="3"/>
  <c r="DF268" i="3"/>
  <c r="DF269" i="3"/>
  <c r="DF270" i="3"/>
  <c r="DF271" i="3"/>
  <c r="DF272" i="3"/>
  <c r="DF273" i="3"/>
  <c r="DF274" i="3"/>
  <c r="DF275" i="3"/>
  <c r="DF276" i="3"/>
  <c r="DF277" i="3"/>
  <c r="DF278" i="3"/>
  <c r="DF279" i="3"/>
  <c r="DF280" i="3"/>
  <c r="DF281" i="3"/>
  <c r="DF282" i="3"/>
  <c r="DF283" i="3"/>
  <c r="DF284" i="3"/>
  <c r="DF285" i="3"/>
  <c r="DF286" i="3"/>
  <c r="DF287" i="3"/>
  <c r="DF288" i="3"/>
  <c r="DF289" i="3"/>
  <c r="DF290" i="3"/>
  <c r="DF291" i="3"/>
  <c r="DF292" i="3"/>
  <c r="DF293" i="3"/>
  <c r="DF294" i="3"/>
  <c r="DF295" i="3"/>
  <c r="DF296" i="3"/>
  <c r="DF297" i="3"/>
  <c r="DF298" i="3"/>
  <c r="DF299" i="3"/>
  <c r="DF300" i="3"/>
  <c r="DF301" i="3"/>
  <c r="DF302" i="3"/>
  <c r="DF303" i="3"/>
  <c r="DF304" i="3"/>
  <c r="DF305" i="3"/>
  <c r="DF306" i="3"/>
  <c r="DF307" i="3"/>
  <c r="DF308" i="3"/>
  <c r="DF309" i="3"/>
  <c r="DF310" i="3"/>
  <c r="DF311" i="3"/>
  <c r="DF312" i="3"/>
  <c r="DF313" i="3"/>
  <c r="DF314" i="3"/>
  <c r="DF315" i="3"/>
  <c r="DF316" i="3"/>
  <c r="DF317" i="3"/>
  <c r="DF318" i="3"/>
  <c r="DF319" i="3"/>
  <c r="DF320" i="3"/>
  <c r="DF373" i="3"/>
  <c r="DF678" i="3"/>
  <c r="CY12" i="3"/>
  <c r="CY13" i="3"/>
  <c r="CY14" i="3"/>
  <c r="CY15" i="3"/>
  <c r="CY16" i="3"/>
  <c r="CY17" i="3"/>
  <c r="CY18" i="3"/>
  <c r="CY19" i="3"/>
  <c r="CY20" i="3"/>
  <c r="CY21" i="3"/>
  <c r="CY22" i="3"/>
  <c r="CY23" i="3"/>
  <c r="CY24" i="3"/>
  <c r="CY25" i="3"/>
  <c r="CY26" i="3"/>
  <c r="CY27" i="3"/>
  <c r="CY28" i="3"/>
  <c r="CY29" i="3"/>
  <c r="CY30" i="3"/>
  <c r="CY31" i="3"/>
  <c r="CY32" i="3"/>
  <c r="CY33" i="3"/>
  <c r="CY34" i="3"/>
  <c r="CY35" i="3"/>
  <c r="CY36" i="3"/>
  <c r="CY37" i="3"/>
  <c r="CY38" i="3"/>
  <c r="CY39" i="3"/>
  <c r="CY40" i="3"/>
  <c r="CY41" i="3"/>
  <c r="CY42" i="3"/>
  <c r="CY43" i="3"/>
  <c r="CY44" i="3"/>
  <c r="CY45" i="3"/>
  <c r="CY46" i="3"/>
  <c r="CY47" i="3"/>
  <c r="CY48" i="3"/>
  <c r="CY49" i="3"/>
  <c r="CY50" i="3"/>
  <c r="CY51" i="3"/>
  <c r="CY52" i="3"/>
  <c r="CY53" i="3"/>
  <c r="CY54" i="3"/>
  <c r="CY55" i="3"/>
  <c r="CY56" i="3"/>
  <c r="CY57" i="3"/>
  <c r="CY58" i="3"/>
  <c r="CY59" i="3"/>
  <c r="CY60" i="3"/>
  <c r="CY61" i="3"/>
  <c r="CY62" i="3"/>
  <c r="CY63" i="3"/>
  <c r="CY64" i="3"/>
  <c r="CY65" i="3"/>
  <c r="CY66" i="3"/>
  <c r="CY67" i="3"/>
  <c r="CY68" i="3"/>
  <c r="CY69" i="3"/>
  <c r="CY70" i="3"/>
  <c r="CY71" i="3"/>
  <c r="CY72" i="3"/>
  <c r="CY73" i="3"/>
  <c r="CY74" i="3"/>
  <c r="CY75" i="3"/>
  <c r="CY76" i="3"/>
  <c r="CY77" i="3"/>
  <c r="CY78" i="3"/>
  <c r="CY79" i="3"/>
  <c r="CY80" i="3"/>
  <c r="CY81" i="3"/>
  <c r="CY82" i="3"/>
  <c r="CY83" i="3"/>
  <c r="CY84" i="3"/>
  <c r="CY85" i="3"/>
  <c r="CY86" i="3"/>
  <c r="CY87" i="3"/>
  <c r="CY88" i="3"/>
  <c r="CY89" i="3"/>
  <c r="CY90" i="3"/>
  <c r="CY91" i="3"/>
  <c r="CY92" i="3"/>
  <c r="CY93" i="3"/>
  <c r="CY94" i="3"/>
  <c r="CY95" i="3"/>
  <c r="CY96" i="3"/>
  <c r="CY97" i="3"/>
  <c r="CY98" i="3"/>
  <c r="CY99" i="3"/>
  <c r="CY100" i="3"/>
  <c r="CY101" i="3"/>
  <c r="CY102" i="3"/>
  <c r="CY103" i="3"/>
  <c r="CY104" i="3"/>
  <c r="CY105" i="3"/>
  <c r="CY106" i="3"/>
  <c r="CY107" i="3"/>
  <c r="CY108" i="3"/>
  <c r="CY109" i="3"/>
  <c r="CY110" i="3"/>
  <c r="CY111" i="3"/>
  <c r="CY112" i="3"/>
  <c r="CY113" i="3"/>
  <c r="CY114" i="3"/>
  <c r="CY115" i="3"/>
  <c r="CY116" i="3"/>
  <c r="CY117" i="3"/>
  <c r="CY118" i="3"/>
  <c r="CY119" i="3"/>
  <c r="CY120" i="3"/>
  <c r="CY121" i="3"/>
  <c r="CY122" i="3"/>
  <c r="CY123" i="3"/>
  <c r="CY124" i="3"/>
  <c r="CY125" i="3"/>
  <c r="CY126" i="3"/>
  <c r="CY127" i="3"/>
  <c r="CY128" i="3"/>
  <c r="CY129" i="3"/>
  <c r="CY130" i="3"/>
  <c r="CY131" i="3"/>
  <c r="CY132" i="3"/>
  <c r="CY133" i="3"/>
  <c r="CY134" i="3"/>
  <c r="CY135" i="3"/>
  <c r="CY136" i="3"/>
  <c r="CY137" i="3"/>
  <c r="CY138" i="3"/>
  <c r="CY139" i="3"/>
  <c r="CY140" i="3"/>
  <c r="CY141" i="3"/>
  <c r="CY142" i="3"/>
  <c r="CY143" i="3"/>
  <c r="CY144" i="3"/>
  <c r="CY145" i="3"/>
  <c r="CY146" i="3"/>
  <c r="CY147" i="3"/>
  <c r="CY148" i="3"/>
  <c r="CY149" i="3"/>
  <c r="CY150" i="3"/>
  <c r="CY151" i="3"/>
  <c r="CY152" i="3"/>
  <c r="CY153" i="3"/>
  <c r="CY154" i="3"/>
  <c r="CY155" i="3"/>
  <c r="CY156" i="3"/>
  <c r="CY157" i="3"/>
  <c r="CY158" i="3"/>
  <c r="CY159" i="3"/>
  <c r="CY160" i="3"/>
  <c r="CY161" i="3"/>
  <c r="CY162" i="3"/>
  <c r="CY163" i="3"/>
  <c r="CY164" i="3"/>
  <c r="CY165" i="3"/>
  <c r="CY166" i="3"/>
  <c r="CY167" i="3"/>
  <c r="CY168" i="3"/>
  <c r="CY169" i="3"/>
  <c r="CY170" i="3"/>
  <c r="CY171" i="3"/>
  <c r="CY172" i="3"/>
  <c r="CY173" i="3"/>
  <c r="CY174" i="3"/>
  <c r="CY175" i="3"/>
  <c r="CY176" i="3"/>
  <c r="CY177" i="3"/>
  <c r="CY178" i="3"/>
  <c r="CY179" i="3"/>
  <c r="CY180" i="3"/>
  <c r="CY181" i="3"/>
  <c r="CY182" i="3"/>
  <c r="CY183" i="3"/>
  <c r="CY184" i="3"/>
  <c r="CY185" i="3"/>
  <c r="CY186" i="3"/>
  <c r="CY187" i="3"/>
  <c r="CY188" i="3"/>
  <c r="CY189" i="3"/>
  <c r="CY190" i="3"/>
  <c r="CY191" i="3"/>
  <c r="CY192" i="3"/>
  <c r="CY193" i="3"/>
  <c r="CY194" i="3"/>
  <c r="CY195" i="3"/>
  <c r="CY196" i="3"/>
  <c r="CY197" i="3"/>
  <c r="CY198" i="3"/>
  <c r="CY199" i="3"/>
  <c r="CY200" i="3"/>
  <c r="CY201" i="3"/>
  <c r="CY202" i="3"/>
  <c r="CY203" i="3"/>
  <c r="CY204" i="3"/>
  <c r="CY205" i="3"/>
  <c r="CY206" i="3"/>
  <c r="CY207" i="3"/>
  <c r="CY208" i="3"/>
  <c r="CY209" i="3"/>
  <c r="CY210" i="3"/>
  <c r="CY211" i="3"/>
  <c r="CY212" i="3"/>
  <c r="CY213" i="3"/>
  <c r="CY214" i="3"/>
  <c r="CY215" i="3"/>
  <c r="CY216" i="3"/>
  <c r="CY217" i="3"/>
  <c r="CY218" i="3"/>
  <c r="CY219" i="3"/>
  <c r="CY220" i="3"/>
  <c r="CY221" i="3"/>
  <c r="CY222" i="3"/>
  <c r="CY223" i="3"/>
  <c r="CY224" i="3"/>
  <c r="CY225" i="3"/>
  <c r="CY226" i="3"/>
  <c r="CY227" i="3"/>
  <c r="CY228" i="3"/>
  <c r="CY229" i="3"/>
  <c r="CY230" i="3"/>
  <c r="CY231" i="3"/>
  <c r="CY232" i="3"/>
  <c r="CY233" i="3"/>
  <c r="CY234" i="3"/>
  <c r="CY235" i="3"/>
  <c r="CY236" i="3"/>
  <c r="CY237" i="3"/>
  <c r="CY238" i="3"/>
  <c r="CY239" i="3"/>
  <c r="CY240" i="3"/>
  <c r="CY241" i="3"/>
  <c r="CY242" i="3"/>
  <c r="CY243" i="3"/>
  <c r="CY244" i="3"/>
  <c r="CY245" i="3"/>
  <c r="CY246" i="3"/>
  <c r="CY247" i="3"/>
  <c r="CY248" i="3"/>
  <c r="CY249" i="3"/>
  <c r="CY250" i="3"/>
  <c r="CY251" i="3"/>
  <c r="CY252" i="3"/>
  <c r="CY253" i="3"/>
  <c r="CY254" i="3"/>
  <c r="CY255" i="3"/>
  <c r="CY256" i="3"/>
  <c r="CY257" i="3"/>
  <c r="CY258" i="3"/>
  <c r="CY259" i="3"/>
  <c r="CY260" i="3"/>
  <c r="CY261" i="3"/>
  <c r="CY262" i="3"/>
  <c r="CY263" i="3"/>
  <c r="CY264" i="3"/>
  <c r="CY265" i="3"/>
  <c r="CY266" i="3"/>
  <c r="CY267" i="3"/>
  <c r="CY268" i="3"/>
  <c r="CY269" i="3"/>
  <c r="CY270" i="3"/>
  <c r="CY271" i="3"/>
  <c r="CY272" i="3"/>
  <c r="CY273" i="3"/>
  <c r="CY274" i="3"/>
  <c r="CY275" i="3"/>
  <c r="CY276" i="3"/>
  <c r="CY277" i="3"/>
  <c r="CY278" i="3"/>
  <c r="CY279" i="3"/>
  <c r="CY280" i="3"/>
  <c r="CY281" i="3"/>
  <c r="CY282" i="3"/>
  <c r="CY283" i="3"/>
  <c r="CY284" i="3"/>
  <c r="CY285" i="3"/>
  <c r="CY286" i="3"/>
  <c r="CY287" i="3"/>
  <c r="CY288" i="3"/>
  <c r="CY289" i="3"/>
  <c r="CY290" i="3"/>
  <c r="CY291" i="3"/>
  <c r="CY292" i="3"/>
  <c r="CY293" i="3"/>
  <c r="CY294" i="3"/>
  <c r="CY295" i="3"/>
  <c r="CY296" i="3"/>
  <c r="CY297" i="3"/>
  <c r="CY298" i="3"/>
  <c r="CY299" i="3"/>
  <c r="CY300" i="3"/>
  <c r="CY301" i="3"/>
  <c r="CY302" i="3"/>
  <c r="CY303" i="3"/>
  <c r="CY304" i="3"/>
  <c r="CY305" i="3"/>
  <c r="CY306" i="3"/>
  <c r="CY307" i="3"/>
  <c r="CY308" i="3"/>
  <c r="CY309" i="3"/>
  <c r="CY310" i="3"/>
  <c r="CY311" i="3"/>
  <c r="CY312" i="3"/>
  <c r="CY313" i="3"/>
  <c r="CY314" i="3"/>
  <c r="CY315" i="3"/>
  <c r="CY316" i="3"/>
  <c r="CY317" i="3"/>
  <c r="CY318" i="3"/>
  <c r="CY319" i="3"/>
  <c r="CY320" i="3"/>
  <c r="CY373" i="3"/>
  <c r="CY678" i="3"/>
  <c r="CX12" i="3"/>
  <c r="CX13" i="3"/>
  <c r="CX14" i="3"/>
  <c r="CX15" i="3"/>
  <c r="CX16" i="3"/>
  <c r="CX17" i="3"/>
  <c r="CX18" i="3"/>
  <c r="CX19" i="3"/>
  <c r="CX20" i="3"/>
  <c r="CX21" i="3"/>
  <c r="CX22" i="3"/>
  <c r="CX23" i="3"/>
  <c r="CX24" i="3"/>
  <c r="CX25" i="3"/>
  <c r="CX26" i="3"/>
  <c r="CX27" i="3"/>
  <c r="CX28" i="3"/>
  <c r="CX29" i="3"/>
  <c r="CX30" i="3"/>
  <c r="CX31" i="3"/>
  <c r="CX32" i="3"/>
  <c r="CX33" i="3"/>
  <c r="CX34" i="3"/>
  <c r="CX35" i="3"/>
  <c r="CX36" i="3"/>
  <c r="CX37" i="3"/>
  <c r="CX38" i="3"/>
  <c r="CX39" i="3"/>
  <c r="CX40" i="3"/>
  <c r="CX41" i="3"/>
  <c r="CX42" i="3"/>
  <c r="CX43" i="3"/>
  <c r="CX44" i="3"/>
  <c r="CX45" i="3"/>
  <c r="CX46" i="3"/>
  <c r="CX47" i="3"/>
  <c r="CX48" i="3"/>
  <c r="CX49" i="3"/>
  <c r="CX50" i="3"/>
  <c r="CX51" i="3"/>
  <c r="CX52" i="3"/>
  <c r="CX53" i="3"/>
  <c r="CX54" i="3"/>
  <c r="CX55" i="3"/>
  <c r="CX56" i="3"/>
  <c r="CX57" i="3"/>
  <c r="CX58" i="3"/>
  <c r="CX59" i="3"/>
  <c r="CX60" i="3"/>
  <c r="CX61" i="3"/>
  <c r="CX62" i="3"/>
  <c r="CX63" i="3"/>
  <c r="CX64" i="3"/>
  <c r="CX65" i="3"/>
  <c r="CX66" i="3"/>
  <c r="CX67" i="3"/>
  <c r="CX68" i="3"/>
  <c r="CX69" i="3"/>
  <c r="CX70" i="3"/>
  <c r="CX71" i="3"/>
  <c r="CX72" i="3"/>
  <c r="CX73" i="3"/>
  <c r="CX74" i="3"/>
  <c r="CX75" i="3"/>
  <c r="CX76" i="3"/>
  <c r="CX77" i="3"/>
  <c r="CX78" i="3"/>
  <c r="CX79" i="3"/>
  <c r="CX80" i="3"/>
  <c r="CX81" i="3"/>
  <c r="CX82" i="3"/>
  <c r="CX83" i="3"/>
  <c r="CX84" i="3"/>
  <c r="CX85" i="3"/>
  <c r="CX86" i="3"/>
  <c r="CX87" i="3"/>
  <c r="CX88" i="3"/>
  <c r="CX89" i="3"/>
  <c r="CX90" i="3"/>
  <c r="CX91" i="3"/>
  <c r="CX92" i="3"/>
  <c r="CX93" i="3"/>
  <c r="CX94" i="3"/>
  <c r="CX95" i="3"/>
  <c r="CX96" i="3"/>
  <c r="CX97" i="3"/>
  <c r="CX98" i="3"/>
  <c r="CX99" i="3"/>
  <c r="CX100" i="3"/>
  <c r="CX101" i="3"/>
  <c r="CX102" i="3"/>
  <c r="CX103" i="3"/>
  <c r="CX104" i="3"/>
  <c r="CX105" i="3"/>
  <c r="CX106" i="3"/>
  <c r="CX107" i="3"/>
  <c r="CX108" i="3"/>
  <c r="CX109" i="3"/>
  <c r="CX110" i="3"/>
  <c r="CX111" i="3"/>
  <c r="CX112" i="3"/>
  <c r="CX113" i="3"/>
  <c r="CX114" i="3"/>
  <c r="CX115" i="3"/>
  <c r="CX116" i="3"/>
  <c r="CX117" i="3"/>
  <c r="CX118" i="3"/>
  <c r="CX119" i="3"/>
  <c r="CX120" i="3"/>
  <c r="CX121" i="3"/>
  <c r="CX122" i="3"/>
  <c r="CX123" i="3"/>
  <c r="CX124" i="3"/>
  <c r="CX125" i="3"/>
  <c r="CX126" i="3"/>
  <c r="CX127" i="3"/>
  <c r="CX128" i="3"/>
  <c r="CX129" i="3"/>
  <c r="CX130" i="3"/>
  <c r="CX131" i="3"/>
  <c r="CX132" i="3"/>
  <c r="CX133" i="3"/>
  <c r="CX134" i="3"/>
  <c r="CX135" i="3"/>
  <c r="CX136" i="3"/>
  <c r="CX137" i="3"/>
  <c r="CX138" i="3"/>
  <c r="CX139" i="3"/>
  <c r="CX140" i="3"/>
  <c r="CX141" i="3"/>
  <c r="CX142" i="3"/>
  <c r="CX143" i="3"/>
  <c r="CX144" i="3"/>
  <c r="CX145" i="3"/>
  <c r="CX146" i="3"/>
  <c r="CX147" i="3"/>
  <c r="CX148" i="3"/>
  <c r="CX149" i="3"/>
  <c r="CX150" i="3"/>
  <c r="CX151" i="3"/>
  <c r="CX152" i="3"/>
  <c r="CX153" i="3"/>
  <c r="CX154" i="3"/>
  <c r="CX155" i="3"/>
  <c r="CX156" i="3"/>
  <c r="CX157" i="3"/>
  <c r="CX158" i="3"/>
  <c r="CX159" i="3"/>
  <c r="CX160" i="3"/>
  <c r="CX161" i="3"/>
  <c r="CX162" i="3"/>
  <c r="CX163" i="3"/>
  <c r="CX164" i="3"/>
  <c r="CX165" i="3"/>
  <c r="CX166" i="3"/>
  <c r="CX167" i="3"/>
  <c r="CX168" i="3"/>
  <c r="CX169" i="3"/>
  <c r="CX170" i="3"/>
  <c r="CX171" i="3"/>
  <c r="CX172" i="3"/>
  <c r="CX173" i="3"/>
  <c r="CX174" i="3"/>
  <c r="CX175" i="3"/>
  <c r="CX176" i="3"/>
  <c r="CX177" i="3"/>
  <c r="CX178" i="3"/>
  <c r="CX179" i="3"/>
  <c r="CX180" i="3"/>
  <c r="CX181" i="3"/>
  <c r="CX182" i="3"/>
  <c r="CX183" i="3"/>
  <c r="CX184" i="3"/>
  <c r="CX185" i="3"/>
  <c r="CX186" i="3"/>
  <c r="CX187" i="3"/>
  <c r="CX188" i="3"/>
  <c r="CX189" i="3"/>
  <c r="CX190" i="3"/>
  <c r="CX191" i="3"/>
  <c r="CX192" i="3"/>
  <c r="CX193" i="3"/>
  <c r="CX194" i="3"/>
  <c r="CX195" i="3"/>
  <c r="CX196" i="3"/>
  <c r="CX197" i="3"/>
  <c r="CX198" i="3"/>
  <c r="CX199" i="3"/>
  <c r="CX200" i="3"/>
  <c r="CX201" i="3"/>
  <c r="CX202" i="3"/>
  <c r="CX203" i="3"/>
  <c r="CX204" i="3"/>
  <c r="CX205" i="3"/>
  <c r="CX206" i="3"/>
  <c r="CX207" i="3"/>
  <c r="CX208" i="3"/>
  <c r="CX209" i="3"/>
  <c r="CX210" i="3"/>
  <c r="CX211" i="3"/>
  <c r="CX212" i="3"/>
  <c r="CX213" i="3"/>
  <c r="CX214" i="3"/>
  <c r="CX215" i="3"/>
  <c r="CX216" i="3"/>
  <c r="CX217" i="3"/>
  <c r="CX218" i="3"/>
  <c r="CX219" i="3"/>
  <c r="CX220" i="3"/>
  <c r="CX221" i="3"/>
  <c r="CX222" i="3"/>
  <c r="CX223" i="3"/>
  <c r="CX224" i="3"/>
  <c r="CX225" i="3"/>
  <c r="CX226" i="3"/>
  <c r="CX227" i="3"/>
  <c r="CX228" i="3"/>
  <c r="CX229" i="3"/>
  <c r="CX230" i="3"/>
  <c r="CX231" i="3"/>
  <c r="CX232" i="3"/>
  <c r="CX233" i="3"/>
  <c r="CX234" i="3"/>
  <c r="CX235" i="3"/>
  <c r="CX236" i="3"/>
  <c r="CX237" i="3"/>
  <c r="CX238" i="3"/>
  <c r="CX239" i="3"/>
  <c r="CX240" i="3"/>
  <c r="CX241" i="3"/>
  <c r="CX242" i="3"/>
  <c r="CX243" i="3"/>
  <c r="CX244" i="3"/>
  <c r="CX245" i="3"/>
  <c r="CX246" i="3"/>
  <c r="CX247" i="3"/>
  <c r="CX248" i="3"/>
  <c r="CX249" i="3"/>
  <c r="CX250" i="3"/>
  <c r="CX251" i="3"/>
  <c r="CX252" i="3"/>
  <c r="CX253" i="3"/>
  <c r="CX254" i="3"/>
  <c r="CX255" i="3"/>
  <c r="CX256" i="3"/>
  <c r="CX257" i="3"/>
  <c r="CX258" i="3"/>
  <c r="CX259" i="3"/>
  <c r="CX260" i="3"/>
  <c r="CX261" i="3"/>
  <c r="CX262" i="3"/>
  <c r="CX263" i="3"/>
  <c r="CX264" i="3"/>
  <c r="CX265" i="3"/>
  <c r="CX266" i="3"/>
  <c r="CX267" i="3"/>
  <c r="CX268" i="3"/>
  <c r="CX269" i="3"/>
  <c r="CX270" i="3"/>
  <c r="CX271" i="3"/>
  <c r="CX272" i="3"/>
  <c r="CX273" i="3"/>
  <c r="CX274" i="3"/>
  <c r="CX275" i="3"/>
  <c r="CX276" i="3"/>
  <c r="CX277" i="3"/>
  <c r="CX278" i="3"/>
  <c r="CX279" i="3"/>
  <c r="CX280" i="3"/>
  <c r="CX281" i="3"/>
  <c r="CX282" i="3"/>
  <c r="CX283" i="3"/>
  <c r="CX284" i="3"/>
  <c r="CX285" i="3"/>
  <c r="CX286" i="3"/>
  <c r="CX287" i="3"/>
  <c r="CX288" i="3"/>
  <c r="CX289" i="3"/>
  <c r="CX290" i="3"/>
  <c r="CX291" i="3"/>
  <c r="CX292" i="3"/>
  <c r="CX293" i="3"/>
  <c r="CX294" i="3"/>
  <c r="CX295" i="3"/>
  <c r="CX296" i="3"/>
  <c r="CX297" i="3"/>
  <c r="CX298" i="3"/>
  <c r="CX299" i="3"/>
  <c r="CX300" i="3"/>
  <c r="CX301" i="3"/>
  <c r="CX302" i="3"/>
  <c r="CX303" i="3"/>
  <c r="CX304" i="3"/>
  <c r="CX305" i="3"/>
  <c r="CX306" i="3"/>
  <c r="CX307" i="3"/>
  <c r="CX308" i="3"/>
  <c r="CX309" i="3"/>
  <c r="CX310" i="3"/>
  <c r="CX311" i="3"/>
  <c r="CX312" i="3"/>
  <c r="CX313" i="3"/>
  <c r="CX314" i="3"/>
  <c r="CX315" i="3"/>
  <c r="CX316" i="3"/>
  <c r="CX317" i="3"/>
  <c r="CX318" i="3"/>
  <c r="CX319" i="3"/>
  <c r="CX320" i="3"/>
  <c r="CX373" i="3"/>
  <c r="CX678" i="3"/>
  <c r="CT12" i="3"/>
  <c r="CT13" i="3"/>
  <c r="CT14" i="3"/>
  <c r="CT15" i="3"/>
  <c r="CT16" i="3"/>
  <c r="CT17" i="3"/>
  <c r="CT18" i="3"/>
  <c r="CT19" i="3"/>
  <c r="CT20" i="3"/>
  <c r="CT21" i="3"/>
  <c r="CT22" i="3"/>
  <c r="CT23" i="3"/>
  <c r="CT24" i="3"/>
  <c r="CT25" i="3"/>
  <c r="CT26" i="3"/>
  <c r="CT27" i="3"/>
  <c r="CT28" i="3"/>
  <c r="CT29" i="3"/>
  <c r="CT30" i="3"/>
  <c r="CT31" i="3"/>
  <c r="CT32" i="3"/>
  <c r="CT33" i="3"/>
  <c r="CT34" i="3"/>
  <c r="CT35" i="3"/>
  <c r="CT36" i="3"/>
  <c r="CT37" i="3"/>
  <c r="CT38" i="3"/>
  <c r="CT39" i="3"/>
  <c r="CT40" i="3"/>
  <c r="CT41" i="3"/>
  <c r="CT42" i="3"/>
  <c r="CT43" i="3"/>
  <c r="CT44" i="3"/>
  <c r="CT45" i="3"/>
  <c r="CT46" i="3"/>
  <c r="CT47" i="3"/>
  <c r="CT48" i="3"/>
  <c r="CT49" i="3"/>
  <c r="CT50" i="3"/>
  <c r="CT51" i="3"/>
  <c r="CT52" i="3"/>
  <c r="CT53" i="3"/>
  <c r="CT54" i="3"/>
  <c r="CT55" i="3"/>
  <c r="CT56" i="3"/>
  <c r="CT57" i="3"/>
  <c r="CT58" i="3"/>
  <c r="CT59" i="3"/>
  <c r="CT60" i="3"/>
  <c r="CT61" i="3"/>
  <c r="CT62" i="3"/>
  <c r="CT63" i="3"/>
  <c r="CT64" i="3"/>
  <c r="CT65" i="3"/>
  <c r="CT66" i="3"/>
  <c r="CT67" i="3"/>
  <c r="CT68" i="3"/>
  <c r="CT69" i="3"/>
  <c r="CT70" i="3"/>
  <c r="CT71" i="3"/>
  <c r="CT72" i="3"/>
  <c r="CT73" i="3"/>
  <c r="CT74" i="3"/>
  <c r="CT75" i="3"/>
  <c r="CT76" i="3"/>
  <c r="CT77" i="3"/>
  <c r="CT78" i="3"/>
  <c r="CT79" i="3"/>
  <c r="CT80" i="3"/>
  <c r="CT81" i="3"/>
  <c r="CT82" i="3"/>
  <c r="CT83" i="3"/>
  <c r="CT84" i="3"/>
  <c r="CT85" i="3"/>
  <c r="CT86" i="3"/>
  <c r="CT87" i="3"/>
  <c r="CT88" i="3"/>
  <c r="CT89" i="3"/>
  <c r="CT90" i="3"/>
  <c r="CT91" i="3"/>
  <c r="CT92" i="3"/>
  <c r="CT93" i="3"/>
  <c r="CT94" i="3"/>
  <c r="CT95" i="3"/>
  <c r="CT96" i="3"/>
  <c r="CT97" i="3"/>
  <c r="CT98" i="3"/>
  <c r="CT99" i="3"/>
  <c r="CT100" i="3"/>
  <c r="CT101" i="3"/>
  <c r="CT102" i="3"/>
  <c r="CT103" i="3"/>
  <c r="CT104" i="3"/>
  <c r="CT105" i="3"/>
  <c r="CT106" i="3"/>
  <c r="CT107" i="3"/>
  <c r="CT108" i="3"/>
  <c r="CT109" i="3"/>
  <c r="CT110" i="3"/>
  <c r="CT111" i="3"/>
  <c r="CT112" i="3"/>
  <c r="CT113" i="3"/>
  <c r="CT114" i="3"/>
  <c r="CT115" i="3"/>
  <c r="CT116" i="3"/>
  <c r="CT117" i="3"/>
  <c r="CT118" i="3"/>
  <c r="CT119" i="3"/>
  <c r="CT120" i="3"/>
  <c r="CT121" i="3"/>
  <c r="CT122" i="3"/>
  <c r="CT123" i="3"/>
  <c r="CT124" i="3"/>
  <c r="CT125" i="3"/>
  <c r="CT126" i="3"/>
  <c r="CT127" i="3"/>
  <c r="CT128" i="3"/>
  <c r="CT129" i="3"/>
  <c r="CT130" i="3"/>
  <c r="CT131" i="3"/>
  <c r="CT132" i="3"/>
  <c r="CT133" i="3"/>
  <c r="CT134" i="3"/>
  <c r="CT135" i="3"/>
  <c r="CT136" i="3"/>
  <c r="CT137" i="3"/>
  <c r="CT138" i="3"/>
  <c r="CT139" i="3"/>
  <c r="CT140" i="3"/>
  <c r="CT141" i="3"/>
  <c r="CT142" i="3"/>
  <c r="CT143" i="3"/>
  <c r="CT144" i="3"/>
  <c r="CT145" i="3"/>
  <c r="CT146" i="3"/>
  <c r="CT147" i="3"/>
  <c r="CT148" i="3"/>
  <c r="CT149" i="3"/>
  <c r="CT150" i="3"/>
  <c r="CT151" i="3"/>
  <c r="CT152" i="3"/>
  <c r="CT153" i="3"/>
  <c r="CT154" i="3"/>
  <c r="CT155" i="3"/>
  <c r="CT156" i="3"/>
  <c r="CT157" i="3"/>
  <c r="CT158" i="3"/>
  <c r="CT159" i="3"/>
  <c r="CT160" i="3"/>
  <c r="CT161" i="3"/>
  <c r="CT162" i="3"/>
  <c r="CT163" i="3"/>
  <c r="CT164" i="3"/>
  <c r="CT165" i="3"/>
  <c r="CT166" i="3"/>
  <c r="CT167" i="3"/>
  <c r="CT168" i="3"/>
  <c r="CT169" i="3"/>
  <c r="CT170" i="3"/>
  <c r="CT171" i="3"/>
  <c r="CT172" i="3"/>
  <c r="CT173" i="3"/>
  <c r="CT174" i="3"/>
  <c r="CT175" i="3"/>
  <c r="CT176" i="3"/>
  <c r="CT177" i="3"/>
  <c r="CT178" i="3"/>
  <c r="CT179" i="3"/>
  <c r="CT180" i="3"/>
  <c r="CT181" i="3"/>
  <c r="CT182" i="3"/>
  <c r="CT183" i="3"/>
  <c r="CT184" i="3"/>
  <c r="CT185" i="3"/>
  <c r="CT186" i="3"/>
  <c r="CT187" i="3"/>
  <c r="CT188" i="3"/>
  <c r="CT189" i="3"/>
  <c r="CT190" i="3"/>
  <c r="CT191" i="3"/>
  <c r="CT192" i="3"/>
  <c r="CT193" i="3"/>
  <c r="CT194" i="3"/>
  <c r="CT195" i="3"/>
  <c r="CT196" i="3"/>
  <c r="CT197" i="3"/>
  <c r="CT198" i="3"/>
  <c r="CT199" i="3"/>
  <c r="CT200" i="3"/>
  <c r="CT201" i="3"/>
  <c r="CT202" i="3"/>
  <c r="CT203" i="3"/>
  <c r="CT204" i="3"/>
  <c r="CT205" i="3"/>
  <c r="CT206" i="3"/>
  <c r="CT207" i="3"/>
  <c r="CT208" i="3"/>
  <c r="CT209" i="3"/>
  <c r="CT210" i="3"/>
  <c r="CT211" i="3"/>
  <c r="CT212" i="3"/>
  <c r="CT213" i="3"/>
  <c r="CT214" i="3"/>
  <c r="CT215" i="3"/>
  <c r="CT216" i="3"/>
  <c r="CT217" i="3"/>
  <c r="CT218" i="3"/>
  <c r="CT219" i="3"/>
  <c r="CT220" i="3"/>
  <c r="CT221" i="3"/>
  <c r="CT222" i="3"/>
  <c r="CT223" i="3"/>
  <c r="CT224" i="3"/>
  <c r="CT225" i="3"/>
  <c r="CT226" i="3"/>
  <c r="CT227" i="3"/>
  <c r="CT228" i="3"/>
  <c r="CT229" i="3"/>
  <c r="CT230" i="3"/>
  <c r="CT231" i="3"/>
  <c r="CT232" i="3"/>
  <c r="CT233" i="3"/>
  <c r="CT234" i="3"/>
  <c r="CT235" i="3"/>
  <c r="CT236" i="3"/>
  <c r="CT237" i="3"/>
  <c r="CT238" i="3"/>
  <c r="CT239" i="3"/>
  <c r="CT240" i="3"/>
  <c r="CT241" i="3"/>
  <c r="CT242" i="3"/>
  <c r="CT243" i="3"/>
  <c r="CT244" i="3"/>
  <c r="CT245" i="3"/>
  <c r="CT246" i="3"/>
  <c r="CT247" i="3"/>
  <c r="CT248" i="3"/>
  <c r="CT249" i="3"/>
  <c r="CT250" i="3"/>
  <c r="CT251" i="3"/>
  <c r="CT252" i="3"/>
  <c r="CT253" i="3"/>
  <c r="CT254" i="3"/>
  <c r="CT255" i="3"/>
  <c r="CT256" i="3"/>
  <c r="CT257" i="3"/>
  <c r="CT258" i="3"/>
  <c r="CT259" i="3"/>
  <c r="CT260" i="3"/>
  <c r="CT261" i="3"/>
  <c r="CT262" i="3"/>
  <c r="CT263" i="3"/>
  <c r="CT264" i="3"/>
  <c r="CT265" i="3"/>
  <c r="CT266" i="3"/>
  <c r="CT267" i="3"/>
  <c r="CT268" i="3"/>
  <c r="CT269" i="3"/>
  <c r="CT270" i="3"/>
  <c r="CT271" i="3"/>
  <c r="CT272" i="3"/>
  <c r="CT273" i="3"/>
  <c r="CT274" i="3"/>
  <c r="CT275" i="3"/>
  <c r="CT276" i="3"/>
  <c r="CT277" i="3"/>
  <c r="CT278" i="3"/>
  <c r="CT279" i="3"/>
  <c r="CT280" i="3"/>
  <c r="CT281" i="3"/>
  <c r="CT282" i="3"/>
  <c r="CT283" i="3"/>
  <c r="CT284" i="3"/>
  <c r="CT285" i="3"/>
  <c r="CT286" i="3"/>
  <c r="CT287" i="3"/>
  <c r="CT288" i="3"/>
  <c r="CT289" i="3"/>
  <c r="CT290" i="3"/>
  <c r="CT291" i="3"/>
  <c r="CT292" i="3"/>
  <c r="CT293" i="3"/>
  <c r="CT294" i="3"/>
  <c r="CT295" i="3"/>
  <c r="CT296" i="3"/>
  <c r="CT297" i="3"/>
  <c r="CT298" i="3"/>
  <c r="CT299" i="3"/>
  <c r="CT300" i="3"/>
  <c r="CT301" i="3"/>
  <c r="CT302" i="3"/>
  <c r="CT303" i="3"/>
  <c r="CT304" i="3"/>
  <c r="CT305" i="3"/>
  <c r="CT306" i="3"/>
  <c r="CT307" i="3"/>
  <c r="CT308" i="3"/>
  <c r="CT309" i="3"/>
  <c r="CT310" i="3"/>
  <c r="CT311" i="3"/>
  <c r="CT312" i="3"/>
  <c r="CT313" i="3"/>
  <c r="CT314" i="3"/>
  <c r="CT315" i="3"/>
  <c r="CT316" i="3"/>
  <c r="CT317" i="3"/>
  <c r="CT318" i="3"/>
  <c r="CT319" i="3"/>
  <c r="CT320" i="3"/>
  <c r="CT373" i="3"/>
  <c r="CT678" i="3"/>
  <c r="CP12" i="3"/>
  <c r="CP13" i="3"/>
  <c r="CP14" i="3"/>
  <c r="CP15" i="3"/>
  <c r="CP16" i="3"/>
  <c r="CP17" i="3"/>
  <c r="CP18" i="3"/>
  <c r="CP19" i="3"/>
  <c r="CP20" i="3"/>
  <c r="CP21" i="3"/>
  <c r="CP22" i="3"/>
  <c r="CP23" i="3"/>
  <c r="CP24" i="3"/>
  <c r="CP25" i="3"/>
  <c r="CP26" i="3"/>
  <c r="CP27" i="3"/>
  <c r="CP28" i="3"/>
  <c r="CP29" i="3"/>
  <c r="CP30" i="3"/>
  <c r="CP31" i="3"/>
  <c r="CP32" i="3"/>
  <c r="CP33" i="3"/>
  <c r="CP34" i="3"/>
  <c r="CP35" i="3"/>
  <c r="CP36" i="3"/>
  <c r="CP37" i="3"/>
  <c r="CP38" i="3"/>
  <c r="CP39" i="3"/>
  <c r="CP40" i="3"/>
  <c r="CP41" i="3"/>
  <c r="CP42" i="3"/>
  <c r="CP43" i="3"/>
  <c r="CP44" i="3"/>
  <c r="CP45" i="3"/>
  <c r="CP46" i="3"/>
  <c r="CP47" i="3"/>
  <c r="CP48" i="3"/>
  <c r="CP49" i="3"/>
  <c r="CP50" i="3"/>
  <c r="CP51" i="3"/>
  <c r="CP52" i="3"/>
  <c r="CP53" i="3"/>
  <c r="CP54" i="3"/>
  <c r="CP55" i="3"/>
  <c r="CP56" i="3"/>
  <c r="CP57" i="3"/>
  <c r="CP58" i="3"/>
  <c r="CP59" i="3"/>
  <c r="CP60" i="3"/>
  <c r="CP61" i="3"/>
  <c r="CP62" i="3"/>
  <c r="CP63" i="3"/>
  <c r="CP64" i="3"/>
  <c r="CP65" i="3"/>
  <c r="CP66" i="3"/>
  <c r="CP67" i="3"/>
  <c r="CP68" i="3"/>
  <c r="CP69" i="3"/>
  <c r="CP70" i="3"/>
  <c r="CP71" i="3"/>
  <c r="CP72" i="3"/>
  <c r="CP73" i="3"/>
  <c r="CP74" i="3"/>
  <c r="CP75" i="3"/>
  <c r="CP76" i="3"/>
  <c r="CP77" i="3"/>
  <c r="CP78" i="3"/>
  <c r="CP79" i="3"/>
  <c r="CP80" i="3"/>
  <c r="CP81" i="3"/>
  <c r="CP82" i="3"/>
  <c r="CP83" i="3"/>
  <c r="CP84" i="3"/>
  <c r="CP85" i="3"/>
  <c r="CP86" i="3"/>
  <c r="CP87" i="3"/>
  <c r="CP88" i="3"/>
  <c r="CP89" i="3"/>
  <c r="CP90" i="3"/>
  <c r="CP91" i="3"/>
  <c r="CP92" i="3"/>
  <c r="CP93" i="3"/>
  <c r="CP94" i="3"/>
  <c r="CP95" i="3"/>
  <c r="CP96" i="3"/>
  <c r="CP97" i="3"/>
  <c r="CP98" i="3"/>
  <c r="CP99" i="3"/>
  <c r="CP100" i="3"/>
  <c r="CP101" i="3"/>
  <c r="CP102" i="3"/>
  <c r="CP103" i="3"/>
  <c r="CP104" i="3"/>
  <c r="CP105" i="3"/>
  <c r="CP106" i="3"/>
  <c r="CP107" i="3"/>
  <c r="CP108" i="3"/>
  <c r="CP109" i="3"/>
  <c r="CP110" i="3"/>
  <c r="CP111" i="3"/>
  <c r="CP112" i="3"/>
  <c r="CP113" i="3"/>
  <c r="CP114" i="3"/>
  <c r="CP115" i="3"/>
  <c r="CP116" i="3"/>
  <c r="CP117" i="3"/>
  <c r="CP118" i="3"/>
  <c r="CP119" i="3"/>
  <c r="CP120" i="3"/>
  <c r="CP121" i="3"/>
  <c r="CP122" i="3"/>
  <c r="CP123" i="3"/>
  <c r="CP124" i="3"/>
  <c r="CP125" i="3"/>
  <c r="CP126" i="3"/>
  <c r="CP127" i="3"/>
  <c r="CP128" i="3"/>
  <c r="CP129" i="3"/>
  <c r="CP130" i="3"/>
  <c r="CP131" i="3"/>
  <c r="CP132" i="3"/>
  <c r="CP133" i="3"/>
  <c r="CP134" i="3"/>
  <c r="CP135" i="3"/>
  <c r="CP136" i="3"/>
  <c r="CP137" i="3"/>
  <c r="CP138" i="3"/>
  <c r="CP139" i="3"/>
  <c r="CP140" i="3"/>
  <c r="CP141" i="3"/>
  <c r="CP142" i="3"/>
  <c r="CP143" i="3"/>
  <c r="CP144" i="3"/>
  <c r="CP145" i="3"/>
  <c r="CP146" i="3"/>
  <c r="CP147" i="3"/>
  <c r="CP148" i="3"/>
  <c r="CP149" i="3"/>
  <c r="CP150" i="3"/>
  <c r="CP151" i="3"/>
  <c r="CP152" i="3"/>
  <c r="CP153" i="3"/>
  <c r="CP154" i="3"/>
  <c r="CP155" i="3"/>
  <c r="CP156" i="3"/>
  <c r="CP157" i="3"/>
  <c r="CP158" i="3"/>
  <c r="CP159" i="3"/>
  <c r="CP160" i="3"/>
  <c r="CP161" i="3"/>
  <c r="CP162" i="3"/>
  <c r="CP163" i="3"/>
  <c r="CP164" i="3"/>
  <c r="CP165" i="3"/>
  <c r="CP166" i="3"/>
  <c r="CP167" i="3"/>
  <c r="CP168" i="3"/>
  <c r="CP169" i="3"/>
  <c r="CP170" i="3"/>
  <c r="CP171" i="3"/>
  <c r="CP172" i="3"/>
  <c r="CP173" i="3"/>
  <c r="CP174" i="3"/>
  <c r="CP175" i="3"/>
  <c r="CP176" i="3"/>
  <c r="CP177" i="3"/>
  <c r="CP178" i="3"/>
  <c r="CP179" i="3"/>
  <c r="CP180" i="3"/>
  <c r="CP181" i="3"/>
  <c r="CP182" i="3"/>
  <c r="CP183" i="3"/>
  <c r="CP184" i="3"/>
  <c r="CP185" i="3"/>
  <c r="CP186" i="3"/>
  <c r="CP187" i="3"/>
  <c r="CP188" i="3"/>
  <c r="CP189" i="3"/>
  <c r="CP190" i="3"/>
  <c r="CP191" i="3"/>
  <c r="CP192" i="3"/>
  <c r="CP193" i="3"/>
  <c r="CP194" i="3"/>
  <c r="CP195" i="3"/>
  <c r="CP196" i="3"/>
  <c r="CP197" i="3"/>
  <c r="CP198" i="3"/>
  <c r="CP199" i="3"/>
  <c r="CP200" i="3"/>
  <c r="CP201" i="3"/>
  <c r="CP202" i="3"/>
  <c r="CP203" i="3"/>
  <c r="CP204" i="3"/>
  <c r="CP205" i="3"/>
  <c r="CP206" i="3"/>
  <c r="CP207" i="3"/>
  <c r="CP208" i="3"/>
  <c r="CP209" i="3"/>
  <c r="CP210" i="3"/>
  <c r="CP211" i="3"/>
  <c r="CP212" i="3"/>
  <c r="CP213" i="3"/>
  <c r="CP214" i="3"/>
  <c r="CP215" i="3"/>
  <c r="CP216" i="3"/>
  <c r="CP217" i="3"/>
  <c r="CP218" i="3"/>
  <c r="CP219" i="3"/>
  <c r="CP220" i="3"/>
  <c r="CP221" i="3"/>
  <c r="CP222" i="3"/>
  <c r="CP223" i="3"/>
  <c r="CP224" i="3"/>
  <c r="CP225" i="3"/>
  <c r="CP226" i="3"/>
  <c r="CP227" i="3"/>
  <c r="CP228" i="3"/>
  <c r="CP229" i="3"/>
  <c r="CP230" i="3"/>
  <c r="CP231" i="3"/>
  <c r="CP232" i="3"/>
  <c r="CP233" i="3"/>
  <c r="CP234" i="3"/>
  <c r="CP235" i="3"/>
  <c r="CP236" i="3"/>
  <c r="CP237" i="3"/>
  <c r="CP238" i="3"/>
  <c r="CP239" i="3"/>
  <c r="CP240" i="3"/>
  <c r="CP241" i="3"/>
  <c r="CP242" i="3"/>
  <c r="CP243" i="3"/>
  <c r="CP244" i="3"/>
  <c r="CP245" i="3"/>
  <c r="CP246" i="3"/>
  <c r="CP247" i="3"/>
  <c r="CP248" i="3"/>
  <c r="CP249" i="3"/>
  <c r="CP250" i="3"/>
  <c r="CP251" i="3"/>
  <c r="CP252" i="3"/>
  <c r="CP253" i="3"/>
  <c r="CP254" i="3"/>
  <c r="CP255" i="3"/>
  <c r="CP256" i="3"/>
  <c r="CP257" i="3"/>
  <c r="CP258" i="3"/>
  <c r="CP259" i="3"/>
  <c r="CP260" i="3"/>
  <c r="CP261" i="3"/>
  <c r="CP262" i="3"/>
  <c r="CP263" i="3"/>
  <c r="CP264" i="3"/>
  <c r="CP265" i="3"/>
  <c r="CP266" i="3"/>
  <c r="CP267" i="3"/>
  <c r="CP268" i="3"/>
  <c r="CP269" i="3"/>
  <c r="CP270" i="3"/>
  <c r="CP271" i="3"/>
  <c r="CP272" i="3"/>
  <c r="CP273" i="3"/>
  <c r="CP274" i="3"/>
  <c r="CP275" i="3"/>
  <c r="CP276" i="3"/>
  <c r="CP277" i="3"/>
  <c r="CP278" i="3"/>
  <c r="CP279" i="3"/>
  <c r="CP280" i="3"/>
  <c r="CP281" i="3"/>
  <c r="CP282" i="3"/>
  <c r="CP283" i="3"/>
  <c r="CP284" i="3"/>
  <c r="CP285" i="3"/>
  <c r="CP286" i="3"/>
  <c r="CP287" i="3"/>
  <c r="CP288" i="3"/>
  <c r="CP289" i="3"/>
  <c r="CP290" i="3"/>
  <c r="CP291" i="3"/>
  <c r="CP292" i="3"/>
  <c r="CP293" i="3"/>
  <c r="CP294" i="3"/>
  <c r="CP295" i="3"/>
  <c r="CP296" i="3"/>
  <c r="CP297" i="3"/>
  <c r="CP298" i="3"/>
  <c r="CP299" i="3"/>
  <c r="CP300" i="3"/>
  <c r="CP301" i="3"/>
  <c r="CP302" i="3"/>
  <c r="CP303" i="3"/>
  <c r="CP304" i="3"/>
  <c r="CP305" i="3"/>
  <c r="CP306" i="3"/>
  <c r="CP307" i="3"/>
  <c r="CP308" i="3"/>
  <c r="CP309" i="3"/>
  <c r="CP310" i="3"/>
  <c r="CP311" i="3"/>
  <c r="CP312" i="3"/>
  <c r="CP313" i="3"/>
  <c r="CP314" i="3"/>
  <c r="CP315" i="3"/>
  <c r="CP316" i="3"/>
  <c r="CP317" i="3"/>
  <c r="CP318" i="3"/>
  <c r="CP319" i="3"/>
  <c r="CP320" i="3"/>
  <c r="CP373" i="3"/>
  <c r="CP678" i="3"/>
  <c r="CL12" i="3"/>
  <c r="CL13" i="3"/>
  <c r="CL14" i="3"/>
  <c r="CL15" i="3"/>
  <c r="CL16" i="3"/>
  <c r="CL17" i="3"/>
  <c r="CL18" i="3"/>
  <c r="CL19" i="3"/>
  <c r="CL20" i="3"/>
  <c r="CL21" i="3"/>
  <c r="CL22" i="3"/>
  <c r="CL23" i="3"/>
  <c r="CL24" i="3"/>
  <c r="CL25" i="3"/>
  <c r="CL26" i="3"/>
  <c r="CL27" i="3"/>
  <c r="CL28" i="3"/>
  <c r="CL29" i="3"/>
  <c r="CL30" i="3"/>
  <c r="CL31" i="3"/>
  <c r="CL32" i="3"/>
  <c r="CL33" i="3"/>
  <c r="CL34" i="3"/>
  <c r="CL35" i="3"/>
  <c r="CL36" i="3"/>
  <c r="CL37" i="3"/>
  <c r="CL38" i="3"/>
  <c r="CL39" i="3"/>
  <c r="CL40" i="3"/>
  <c r="CL41" i="3"/>
  <c r="CL42" i="3"/>
  <c r="CL43" i="3"/>
  <c r="CL44" i="3"/>
  <c r="CL45" i="3"/>
  <c r="CL46" i="3"/>
  <c r="CL47" i="3"/>
  <c r="CL48" i="3"/>
  <c r="CL49" i="3"/>
  <c r="CL50" i="3"/>
  <c r="CL51" i="3"/>
  <c r="CL52" i="3"/>
  <c r="CL53" i="3"/>
  <c r="CL54" i="3"/>
  <c r="CL55" i="3"/>
  <c r="CL56" i="3"/>
  <c r="CL57" i="3"/>
  <c r="CL58" i="3"/>
  <c r="CL59" i="3"/>
  <c r="CL60" i="3"/>
  <c r="CL61" i="3"/>
  <c r="CL62" i="3"/>
  <c r="CL63" i="3"/>
  <c r="CL64" i="3"/>
  <c r="CL65" i="3"/>
  <c r="CL66" i="3"/>
  <c r="CL67" i="3"/>
  <c r="CL68" i="3"/>
  <c r="CL69" i="3"/>
  <c r="CL70" i="3"/>
  <c r="CL71" i="3"/>
  <c r="CL72" i="3"/>
  <c r="CL73" i="3"/>
  <c r="CL74" i="3"/>
  <c r="CL75" i="3"/>
  <c r="CL76" i="3"/>
  <c r="CL77" i="3"/>
  <c r="CL78" i="3"/>
  <c r="CL79" i="3"/>
  <c r="CL80" i="3"/>
  <c r="CL81" i="3"/>
  <c r="CL82" i="3"/>
  <c r="CL83" i="3"/>
  <c r="CL84" i="3"/>
  <c r="CL85" i="3"/>
  <c r="CL86" i="3"/>
  <c r="CL87" i="3"/>
  <c r="CL88" i="3"/>
  <c r="CL89" i="3"/>
  <c r="CL90" i="3"/>
  <c r="CL91" i="3"/>
  <c r="CL92" i="3"/>
  <c r="CL93" i="3"/>
  <c r="CL94" i="3"/>
  <c r="CL95" i="3"/>
  <c r="CL96" i="3"/>
  <c r="CL97" i="3"/>
  <c r="CL98" i="3"/>
  <c r="CL99" i="3"/>
  <c r="CL100" i="3"/>
  <c r="CL101" i="3"/>
  <c r="CL102" i="3"/>
  <c r="CL103" i="3"/>
  <c r="CL104" i="3"/>
  <c r="CL105" i="3"/>
  <c r="CL106" i="3"/>
  <c r="CL107" i="3"/>
  <c r="CL108" i="3"/>
  <c r="CL109" i="3"/>
  <c r="CL110" i="3"/>
  <c r="CL111" i="3"/>
  <c r="CL112" i="3"/>
  <c r="CL113" i="3"/>
  <c r="CL114" i="3"/>
  <c r="CL115" i="3"/>
  <c r="CL116" i="3"/>
  <c r="CL117" i="3"/>
  <c r="CL118" i="3"/>
  <c r="CL119" i="3"/>
  <c r="CL120" i="3"/>
  <c r="CL121" i="3"/>
  <c r="CL122" i="3"/>
  <c r="CL123" i="3"/>
  <c r="CL124" i="3"/>
  <c r="CL125" i="3"/>
  <c r="CL126" i="3"/>
  <c r="CL127" i="3"/>
  <c r="CL128" i="3"/>
  <c r="CL129" i="3"/>
  <c r="CL130" i="3"/>
  <c r="CL131" i="3"/>
  <c r="CL132" i="3"/>
  <c r="CL133" i="3"/>
  <c r="CL134" i="3"/>
  <c r="CL135" i="3"/>
  <c r="CL136" i="3"/>
  <c r="CL137" i="3"/>
  <c r="CL138" i="3"/>
  <c r="CL139" i="3"/>
  <c r="CL140" i="3"/>
  <c r="CL141" i="3"/>
  <c r="CL142" i="3"/>
  <c r="CL143" i="3"/>
  <c r="CL144" i="3"/>
  <c r="CL145" i="3"/>
  <c r="CL146" i="3"/>
  <c r="CL147" i="3"/>
  <c r="CL148" i="3"/>
  <c r="CL149" i="3"/>
  <c r="CL150" i="3"/>
  <c r="CL151" i="3"/>
  <c r="CL152" i="3"/>
  <c r="CL153" i="3"/>
  <c r="CL154" i="3"/>
  <c r="CL155" i="3"/>
  <c r="CL156" i="3"/>
  <c r="CL157" i="3"/>
  <c r="CL158" i="3"/>
  <c r="CL159" i="3"/>
  <c r="CL160" i="3"/>
  <c r="CL161" i="3"/>
  <c r="CL162" i="3"/>
  <c r="CL163" i="3"/>
  <c r="CL164" i="3"/>
  <c r="CL165" i="3"/>
  <c r="CL166" i="3"/>
  <c r="CL167" i="3"/>
  <c r="CL168" i="3"/>
  <c r="CL169" i="3"/>
  <c r="CL170" i="3"/>
  <c r="CL171" i="3"/>
  <c r="CL172" i="3"/>
  <c r="CL173" i="3"/>
  <c r="CL174" i="3"/>
  <c r="CL175" i="3"/>
  <c r="CL176" i="3"/>
  <c r="CL177" i="3"/>
  <c r="CL178" i="3"/>
  <c r="CL179" i="3"/>
  <c r="CL180" i="3"/>
  <c r="CL181" i="3"/>
  <c r="CL182" i="3"/>
  <c r="CL183" i="3"/>
  <c r="CL184" i="3"/>
  <c r="CL185" i="3"/>
  <c r="CL186" i="3"/>
  <c r="CL187" i="3"/>
  <c r="CL188" i="3"/>
  <c r="CL189" i="3"/>
  <c r="CL190" i="3"/>
  <c r="CL191" i="3"/>
  <c r="CL192" i="3"/>
  <c r="CL193" i="3"/>
  <c r="CL194" i="3"/>
  <c r="CL195" i="3"/>
  <c r="CL196" i="3"/>
  <c r="CL197" i="3"/>
  <c r="CL198" i="3"/>
  <c r="CL199" i="3"/>
  <c r="CL200" i="3"/>
  <c r="CL201" i="3"/>
  <c r="CL202" i="3"/>
  <c r="CL203" i="3"/>
  <c r="CL204" i="3"/>
  <c r="CL205" i="3"/>
  <c r="CL206" i="3"/>
  <c r="CL207" i="3"/>
  <c r="CL208" i="3"/>
  <c r="CL209" i="3"/>
  <c r="CL210" i="3"/>
  <c r="CL211" i="3"/>
  <c r="CL212" i="3"/>
  <c r="CL213" i="3"/>
  <c r="CL214" i="3"/>
  <c r="CL215" i="3"/>
  <c r="CL216" i="3"/>
  <c r="CL217" i="3"/>
  <c r="CL218" i="3"/>
  <c r="CL219" i="3"/>
  <c r="CL220" i="3"/>
  <c r="CL221" i="3"/>
  <c r="CL222" i="3"/>
  <c r="CL223" i="3"/>
  <c r="CL224" i="3"/>
  <c r="CL225" i="3"/>
  <c r="CL226" i="3"/>
  <c r="CL227" i="3"/>
  <c r="CL228" i="3"/>
  <c r="CL229" i="3"/>
  <c r="CL230" i="3"/>
  <c r="CL231" i="3"/>
  <c r="CL232" i="3"/>
  <c r="CL233" i="3"/>
  <c r="CL234" i="3"/>
  <c r="CL235" i="3"/>
  <c r="CL236" i="3"/>
  <c r="CL237" i="3"/>
  <c r="CL238" i="3"/>
  <c r="CL239" i="3"/>
  <c r="CL240" i="3"/>
  <c r="CL241" i="3"/>
  <c r="CL242" i="3"/>
  <c r="CL243" i="3"/>
  <c r="CL244" i="3"/>
  <c r="CL245" i="3"/>
  <c r="CL246" i="3"/>
  <c r="CL247" i="3"/>
  <c r="CL248" i="3"/>
  <c r="CL249" i="3"/>
  <c r="CL250" i="3"/>
  <c r="CL251" i="3"/>
  <c r="CL252" i="3"/>
  <c r="CL253" i="3"/>
  <c r="CL254" i="3"/>
  <c r="CL255" i="3"/>
  <c r="CL256" i="3"/>
  <c r="CL257" i="3"/>
  <c r="CL258" i="3"/>
  <c r="CL259" i="3"/>
  <c r="CL260" i="3"/>
  <c r="CL261" i="3"/>
  <c r="CL262" i="3"/>
  <c r="CL263" i="3"/>
  <c r="CL264" i="3"/>
  <c r="CL265" i="3"/>
  <c r="CL266" i="3"/>
  <c r="CL267" i="3"/>
  <c r="CL268" i="3"/>
  <c r="CL269" i="3"/>
  <c r="CL270" i="3"/>
  <c r="CL271" i="3"/>
  <c r="CL272" i="3"/>
  <c r="CL273" i="3"/>
  <c r="CL274" i="3"/>
  <c r="CL275" i="3"/>
  <c r="CL276" i="3"/>
  <c r="CL277" i="3"/>
  <c r="CL278" i="3"/>
  <c r="CL279" i="3"/>
  <c r="CL280" i="3"/>
  <c r="CL281" i="3"/>
  <c r="CL282" i="3"/>
  <c r="CL283" i="3"/>
  <c r="CL284" i="3"/>
  <c r="CL285" i="3"/>
  <c r="CL286" i="3"/>
  <c r="CL287" i="3"/>
  <c r="CL288" i="3"/>
  <c r="CL289" i="3"/>
  <c r="CL290" i="3"/>
  <c r="CL291" i="3"/>
  <c r="CL292" i="3"/>
  <c r="CL293" i="3"/>
  <c r="CL294" i="3"/>
  <c r="CL295" i="3"/>
  <c r="CL296" i="3"/>
  <c r="CL297" i="3"/>
  <c r="CL298" i="3"/>
  <c r="CL299" i="3"/>
  <c r="CL300" i="3"/>
  <c r="CL301" i="3"/>
  <c r="CL302" i="3"/>
  <c r="CL303" i="3"/>
  <c r="CL304" i="3"/>
  <c r="CL305" i="3"/>
  <c r="CL306" i="3"/>
  <c r="CL307" i="3"/>
  <c r="CL308" i="3"/>
  <c r="CL309" i="3"/>
  <c r="CL310" i="3"/>
  <c r="CL311" i="3"/>
  <c r="CL312" i="3"/>
  <c r="CL313" i="3"/>
  <c r="CL314" i="3"/>
  <c r="CL315" i="3"/>
  <c r="CL316" i="3"/>
  <c r="CL317" i="3"/>
  <c r="CL318" i="3"/>
  <c r="CL319" i="3"/>
  <c r="CL320" i="3"/>
  <c r="CL373" i="3"/>
  <c r="CL678" i="3"/>
  <c r="CG12" i="3"/>
  <c r="CG13" i="3"/>
  <c r="CG14" i="3"/>
  <c r="CG15" i="3"/>
  <c r="CG16" i="3"/>
  <c r="CG17" i="3"/>
  <c r="CG18" i="3"/>
  <c r="CG19" i="3"/>
  <c r="CG20" i="3"/>
  <c r="CG21" i="3"/>
  <c r="CG22" i="3"/>
  <c r="CG23" i="3"/>
  <c r="CG24" i="3"/>
  <c r="CG25" i="3"/>
  <c r="CG26" i="3"/>
  <c r="CG27" i="3"/>
  <c r="CG28" i="3"/>
  <c r="CG29" i="3"/>
  <c r="CG30" i="3"/>
  <c r="CG31" i="3"/>
  <c r="CG32" i="3"/>
  <c r="CG33" i="3"/>
  <c r="CG34" i="3"/>
  <c r="CG35" i="3"/>
  <c r="CG36" i="3"/>
  <c r="CG37" i="3"/>
  <c r="CG38" i="3"/>
  <c r="CG39" i="3"/>
  <c r="CG40" i="3"/>
  <c r="CG41" i="3"/>
  <c r="CG42" i="3"/>
  <c r="CG43" i="3"/>
  <c r="CG44" i="3"/>
  <c r="CG45" i="3"/>
  <c r="CG46" i="3"/>
  <c r="CG47" i="3"/>
  <c r="CG48" i="3"/>
  <c r="CG49" i="3"/>
  <c r="CG50" i="3"/>
  <c r="CG51" i="3"/>
  <c r="CG52" i="3"/>
  <c r="CG53" i="3"/>
  <c r="CG54" i="3"/>
  <c r="CG55" i="3"/>
  <c r="CG56" i="3"/>
  <c r="CG57" i="3"/>
  <c r="CG58" i="3"/>
  <c r="CG59" i="3"/>
  <c r="CG60" i="3"/>
  <c r="CG61" i="3"/>
  <c r="CG62" i="3"/>
  <c r="CG63" i="3"/>
  <c r="CG64" i="3"/>
  <c r="CG65" i="3"/>
  <c r="CG66" i="3"/>
  <c r="CG67" i="3"/>
  <c r="CG68" i="3"/>
  <c r="CG69" i="3"/>
  <c r="CG70" i="3"/>
  <c r="CG71" i="3"/>
  <c r="CG72" i="3"/>
  <c r="CG73" i="3"/>
  <c r="CG74" i="3"/>
  <c r="CG75" i="3"/>
  <c r="CG76" i="3"/>
  <c r="CG77" i="3"/>
  <c r="CG78" i="3"/>
  <c r="CG79" i="3"/>
  <c r="CG80" i="3"/>
  <c r="CG81" i="3"/>
  <c r="CG82" i="3"/>
  <c r="CG83" i="3"/>
  <c r="CG84" i="3"/>
  <c r="CG85" i="3"/>
  <c r="CG86" i="3"/>
  <c r="CG87" i="3"/>
  <c r="CG88" i="3"/>
  <c r="CG89" i="3"/>
  <c r="CG90" i="3"/>
  <c r="CG91" i="3"/>
  <c r="CG92" i="3"/>
  <c r="CG93" i="3"/>
  <c r="CG94" i="3"/>
  <c r="CG95" i="3"/>
  <c r="CG96" i="3"/>
  <c r="CG97" i="3"/>
  <c r="CG98" i="3"/>
  <c r="CG99" i="3"/>
  <c r="CG100" i="3"/>
  <c r="CG101" i="3"/>
  <c r="CG102" i="3"/>
  <c r="CG103" i="3"/>
  <c r="CG104" i="3"/>
  <c r="CG105" i="3"/>
  <c r="CG106" i="3"/>
  <c r="CG107" i="3"/>
  <c r="CG108" i="3"/>
  <c r="CG109" i="3"/>
  <c r="CG110" i="3"/>
  <c r="CG111" i="3"/>
  <c r="CG112" i="3"/>
  <c r="CG113" i="3"/>
  <c r="CG114" i="3"/>
  <c r="CG115" i="3"/>
  <c r="CG116" i="3"/>
  <c r="CG117" i="3"/>
  <c r="CG118" i="3"/>
  <c r="CG119" i="3"/>
  <c r="CG120" i="3"/>
  <c r="CG121" i="3"/>
  <c r="CG122" i="3"/>
  <c r="CG123" i="3"/>
  <c r="CG124" i="3"/>
  <c r="CG125" i="3"/>
  <c r="CG126" i="3"/>
  <c r="CG127" i="3"/>
  <c r="CG128" i="3"/>
  <c r="CG129" i="3"/>
  <c r="CG130" i="3"/>
  <c r="CG131" i="3"/>
  <c r="CG132" i="3"/>
  <c r="CG133" i="3"/>
  <c r="CG134" i="3"/>
  <c r="CG135" i="3"/>
  <c r="CG136" i="3"/>
  <c r="CG137" i="3"/>
  <c r="CG138" i="3"/>
  <c r="CG139" i="3"/>
  <c r="CG140" i="3"/>
  <c r="CG141" i="3"/>
  <c r="CG142" i="3"/>
  <c r="CG143" i="3"/>
  <c r="CG144" i="3"/>
  <c r="CG145" i="3"/>
  <c r="CG146" i="3"/>
  <c r="CG147" i="3"/>
  <c r="CG148" i="3"/>
  <c r="CG149" i="3"/>
  <c r="CG150" i="3"/>
  <c r="CG151" i="3"/>
  <c r="CG152" i="3"/>
  <c r="CG153" i="3"/>
  <c r="CG154" i="3"/>
  <c r="CG155" i="3"/>
  <c r="CG156" i="3"/>
  <c r="CG157" i="3"/>
  <c r="CG158" i="3"/>
  <c r="CG159" i="3"/>
  <c r="CG160" i="3"/>
  <c r="CG161" i="3"/>
  <c r="CG162" i="3"/>
  <c r="CG163" i="3"/>
  <c r="CG164" i="3"/>
  <c r="CG165" i="3"/>
  <c r="CG166" i="3"/>
  <c r="CG167" i="3"/>
  <c r="CG168" i="3"/>
  <c r="CG169" i="3"/>
  <c r="CG170" i="3"/>
  <c r="CG171" i="3"/>
  <c r="CG172" i="3"/>
  <c r="CG173" i="3"/>
  <c r="CG174" i="3"/>
  <c r="CG175" i="3"/>
  <c r="CG176" i="3"/>
  <c r="CG177" i="3"/>
  <c r="CG178" i="3"/>
  <c r="CG179" i="3"/>
  <c r="CG180" i="3"/>
  <c r="CG181" i="3"/>
  <c r="CG182" i="3"/>
  <c r="CG183" i="3"/>
  <c r="CG184" i="3"/>
  <c r="CG185" i="3"/>
  <c r="CG186" i="3"/>
  <c r="CG187" i="3"/>
  <c r="CG188" i="3"/>
  <c r="CG189" i="3"/>
  <c r="CG190" i="3"/>
  <c r="CG191" i="3"/>
  <c r="CG192" i="3"/>
  <c r="CG193" i="3"/>
  <c r="CG194" i="3"/>
  <c r="CG195" i="3"/>
  <c r="CG196" i="3"/>
  <c r="CG197" i="3"/>
  <c r="CG198" i="3"/>
  <c r="CG199" i="3"/>
  <c r="CG200" i="3"/>
  <c r="CG201" i="3"/>
  <c r="CG202" i="3"/>
  <c r="CG203" i="3"/>
  <c r="CG204" i="3"/>
  <c r="CG205" i="3"/>
  <c r="CG206" i="3"/>
  <c r="CG207" i="3"/>
  <c r="CG208" i="3"/>
  <c r="CG209" i="3"/>
  <c r="CG210" i="3"/>
  <c r="CG211" i="3"/>
  <c r="CG212" i="3"/>
  <c r="CG213" i="3"/>
  <c r="CG214" i="3"/>
  <c r="CG215" i="3"/>
  <c r="CG216" i="3"/>
  <c r="CG217" i="3"/>
  <c r="CG218" i="3"/>
  <c r="CG219" i="3"/>
  <c r="CG220" i="3"/>
  <c r="CG221" i="3"/>
  <c r="CG222" i="3"/>
  <c r="CG223" i="3"/>
  <c r="CG224" i="3"/>
  <c r="CG225" i="3"/>
  <c r="CG226" i="3"/>
  <c r="CG227" i="3"/>
  <c r="CG228" i="3"/>
  <c r="CG229" i="3"/>
  <c r="CG230" i="3"/>
  <c r="CG231" i="3"/>
  <c r="CG232" i="3"/>
  <c r="CG233" i="3"/>
  <c r="CG234" i="3"/>
  <c r="CG235" i="3"/>
  <c r="CG236" i="3"/>
  <c r="CG237" i="3"/>
  <c r="CG238" i="3"/>
  <c r="CG239" i="3"/>
  <c r="CG240" i="3"/>
  <c r="CG241" i="3"/>
  <c r="CG242" i="3"/>
  <c r="CG243" i="3"/>
  <c r="CG244" i="3"/>
  <c r="CG245" i="3"/>
  <c r="CG246" i="3"/>
  <c r="CG247" i="3"/>
  <c r="CG248" i="3"/>
  <c r="CG249" i="3"/>
  <c r="CG250" i="3"/>
  <c r="CG251" i="3"/>
  <c r="CG252" i="3"/>
  <c r="CG253" i="3"/>
  <c r="CG254" i="3"/>
  <c r="CG255" i="3"/>
  <c r="CG256" i="3"/>
  <c r="CG257" i="3"/>
  <c r="CG258" i="3"/>
  <c r="CG259" i="3"/>
  <c r="CG260" i="3"/>
  <c r="CG261" i="3"/>
  <c r="CG262" i="3"/>
  <c r="CG263" i="3"/>
  <c r="CG264" i="3"/>
  <c r="CG265" i="3"/>
  <c r="CG266" i="3"/>
  <c r="CG267" i="3"/>
  <c r="CG268" i="3"/>
  <c r="CG269" i="3"/>
  <c r="CG270" i="3"/>
  <c r="CG271" i="3"/>
  <c r="CG272" i="3"/>
  <c r="CG273" i="3"/>
  <c r="CG274" i="3"/>
  <c r="CG275" i="3"/>
  <c r="CG276" i="3"/>
  <c r="CG277" i="3"/>
  <c r="CG278" i="3"/>
  <c r="CG279" i="3"/>
  <c r="CG280" i="3"/>
  <c r="CG281" i="3"/>
  <c r="CG282" i="3"/>
  <c r="CG283" i="3"/>
  <c r="CG284" i="3"/>
  <c r="CG285" i="3"/>
  <c r="CG286" i="3"/>
  <c r="CG287" i="3"/>
  <c r="CG288" i="3"/>
  <c r="CG289" i="3"/>
  <c r="CG290" i="3"/>
  <c r="CG291" i="3"/>
  <c r="CG292" i="3"/>
  <c r="CG293" i="3"/>
  <c r="CG294" i="3"/>
  <c r="CG295" i="3"/>
  <c r="CG296" i="3"/>
  <c r="CG297" i="3"/>
  <c r="CG298" i="3"/>
  <c r="CG299" i="3"/>
  <c r="CG300" i="3"/>
  <c r="CG301" i="3"/>
  <c r="CG302" i="3"/>
  <c r="CG303" i="3"/>
  <c r="CG304" i="3"/>
  <c r="CG305" i="3"/>
  <c r="CG306" i="3"/>
  <c r="CG307" i="3"/>
  <c r="CG308" i="3"/>
  <c r="CG309" i="3"/>
  <c r="CG310" i="3"/>
  <c r="CG311" i="3"/>
  <c r="CG312" i="3"/>
  <c r="CG313" i="3"/>
  <c r="CG314" i="3"/>
  <c r="CG315" i="3"/>
  <c r="CG316" i="3"/>
  <c r="CG317" i="3"/>
  <c r="CG318" i="3"/>
  <c r="CG319" i="3"/>
  <c r="CG320" i="3"/>
  <c r="CG373" i="3"/>
  <c r="CG678" i="3"/>
  <c r="CC12" i="3"/>
  <c r="CC13" i="3"/>
  <c r="CC14" i="3"/>
  <c r="CC15" i="3"/>
  <c r="CC16" i="3"/>
  <c r="CC17" i="3"/>
  <c r="CC18" i="3"/>
  <c r="CC19" i="3"/>
  <c r="CC20" i="3"/>
  <c r="CC21" i="3"/>
  <c r="CC22" i="3"/>
  <c r="CC23" i="3"/>
  <c r="CC24" i="3"/>
  <c r="CC25" i="3"/>
  <c r="CC26" i="3"/>
  <c r="CC27" i="3"/>
  <c r="CC28" i="3"/>
  <c r="CC29" i="3"/>
  <c r="CC30" i="3"/>
  <c r="CC31" i="3"/>
  <c r="CC32" i="3"/>
  <c r="CC33" i="3"/>
  <c r="CC34" i="3"/>
  <c r="CC35" i="3"/>
  <c r="CC36" i="3"/>
  <c r="CC37" i="3"/>
  <c r="CC38" i="3"/>
  <c r="CC39" i="3"/>
  <c r="CC40" i="3"/>
  <c r="CC41" i="3"/>
  <c r="CC42" i="3"/>
  <c r="CC43" i="3"/>
  <c r="CC44" i="3"/>
  <c r="CC45" i="3"/>
  <c r="CC46" i="3"/>
  <c r="CC47" i="3"/>
  <c r="CC48" i="3"/>
  <c r="CC49" i="3"/>
  <c r="CC50" i="3"/>
  <c r="CC51" i="3"/>
  <c r="CC52" i="3"/>
  <c r="CC53" i="3"/>
  <c r="CC54" i="3"/>
  <c r="CC55" i="3"/>
  <c r="CC56" i="3"/>
  <c r="CC57" i="3"/>
  <c r="CC58" i="3"/>
  <c r="CC59" i="3"/>
  <c r="CC60" i="3"/>
  <c r="CC61" i="3"/>
  <c r="CC62" i="3"/>
  <c r="CC63" i="3"/>
  <c r="CC64" i="3"/>
  <c r="CC65" i="3"/>
  <c r="CC66" i="3"/>
  <c r="CC67" i="3"/>
  <c r="CC68" i="3"/>
  <c r="CC69" i="3"/>
  <c r="CC70" i="3"/>
  <c r="CC71" i="3"/>
  <c r="CC72" i="3"/>
  <c r="CC73" i="3"/>
  <c r="CC74" i="3"/>
  <c r="CC75" i="3"/>
  <c r="CC76" i="3"/>
  <c r="CC77" i="3"/>
  <c r="CC78" i="3"/>
  <c r="CC79" i="3"/>
  <c r="CC80" i="3"/>
  <c r="CC81" i="3"/>
  <c r="CC82" i="3"/>
  <c r="CC83" i="3"/>
  <c r="CC84" i="3"/>
  <c r="CC85" i="3"/>
  <c r="CC86" i="3"/>
  <c r="CC87" i="3"/>
  <c r="CC88" i="3"/>
  <c r="CC89" i="3"/>
  <c r="CC90" i="3"/>
  <c r="CC91" i="3"/>
  <c r="CC92" i="3"/>
  <c r="CC93" i="3"/>
  <c r="CC94" i="3"/>
  <c r="CC95" i="3"/>
  <c r="CC96" i="3"/>
  <c r="CC97" i="3"/>
  <c r="CC98" i="3"/>
  <c r="CC99" i="3"/>
  <c r="CC100" i="3"/>
  <c r="CC101" i="3"/>
  <c r="CC102" i="3"/>
  <c r="CC103" i="3"/>
  <c r="CC104" i="3"/>
  <c r="CC105" i="3"/>
  <c r="CC106" i="3"/>
  <c r="CC107" i="3"/>
  <c r="CC108" i="3"/>
  <c r="CC109" i="3"/>
  <c r="CC110" i="3"/>
  <c r="CC111" i="3"/>
  <c r="CC112" i="3"/>
  <c r="CC113" i="3"/>
  <c r="CC114" i="3"/>
  <c r="CC115" i="3"/>
  <c r="CC116" i="3"/>
  <c r="CC117" i="3"/>
  <c r="CC118" i="3"/>
  <c r="CC119" i="3"/>
  <c r="CC120" i="3"/>
  <c r="CC121" i="3"/>
  <c r="CC122" i="3"/>
  <c r="CC123" i="3"/>
  <c r="CC124" i="3"/>
  <c r="CC125" i="3"/>
  <c r="CC126" i="3"/>
  <c r="CC127" i="3"/>
  <c r="CC128" i="3"/>
  <c r="CC129" i="3"/>
  <c r="CC130" i="3"/>
  <c r="CC131" i="3"/>
  <c r="CC132" i="3"/>
  <c r="CC133" i="3"/>
  <c r="CC134" i="3"/>
  <c r="CC135" i="3"/>
  <c r="CC136" i="3"/>
  <c r="CC137" i="3"/>
  <c r="CC138" i="3"/>
  <c r="CC139" i="3"/>
  <c r="CC140" i="3"/>
  <c r="CC141" i="3"/>
  <c r="CC142" i="3"/>
  <c r="CC143" i="3"/>
  <c r="CC144" i="3"/>
  <c r="CC145" i="3"/>
  <c r="CC146" i="3"/>
  <c r="CC147" i="3"/>
  <c r="CC148" i="3"/>
  <c r="CC149" i="3"/>
  <c r="CC150" i="3"/>
  <c r="CC151" i="3"/>
  <c r="CC152" i="3"/>
  <c r="CC153" i="3"/>
  <c r="CC154" i="3"/>
  <c r="CC155" i="3"/>
  <c r="CC156" i="3"/>
  <c r="CC157" i="3"/>
  <c r="CC158" i="3"/>
  <c r="CC159" i="3"/>
  <c r="CC160" i="3"/>
  <c r="CC161" i="3"/>
  <c r="CC162" i="3"/>
  <c r="CC163" i="3"/>
  <c r="CC164" i="3"/>
  <c r="CC165" i="3"/>
  <c r="CC166" i="3"/>
  <c r="CC167" i="3"/>
  <c r="CC168" i="3"/>
  <c r="CC169" i="3"/>
  <c r="CC170" i="3"/>
  <c r="CC171" i="3"/>
  <c r="CC172" i="3"/>
  <c r="CC173" i="3"/>
  <c r="CC174" i="3"/>
  <c r="CC175" i="3"/>
  <c r="CC176" i="3"/>
  <c r="CC177" i="3"/>
  <c r="CC178" i="3"/>
  <c r="CC179" i="3"/>
  <c r="CC180" i="3"/>
  <c r="CC181" i="3"/>
  <c r="CC182" i="3"/>
  <c r="CC183" i="3"/>
  <c r="CC184" i="3"/>
  <c r="CC185" i="3"/>
  <c r="CC186" i="3"/>
  <c r="CC187" i="3"/>
  <c r="CC188" i="3"/>
  <c r="CC189" i="3"/>
  <c r="CC190" i="3"/>
  <c r="CC191" i="3"/>
  <c r="CC192" i="3"/>
  <c r="CC193" i="3"/>
  <c r="CC194" i="3"/>
  <c r="CC195" i="3"/>
  <c r="CC196" i="3"/>
  <c r="CC197" i="3"/>
  <c r="CC198" i="3"/>
  <c r="CC199" i="3"/>
  <c r="CC200" i="3"/>
  <c r="CC201" i="3"/>
  <c r="CC202" i="3"/>
  <c r="CC203" i="3"/>
  <c r="CC204" i="3"/>
  <c r="CC205" i="3"/>
  <c r="CC206" i="3"/>
  <c r="CC207" i="3"/>
  <c r="CC208" i="3"/>
  <c r="CC209" i="3"/>
  <c r="CC210" i="3"/>
  <c r="CC211" i="3"/>
  <c r="CC212" i="3"/>
  <c r="CC213" i="3"/>
  <c r="CC214" i="3"/>
  <c r="CC215" i="3"/>
  <c r="CC216" i="3"/>
  <c r="CC217" i="3"/>
  <c r="CC218" i="3"/>
  <c r="CC219" i="3"/>
  <c r="CC220" i="3"/>
  <c r="CC221" i="3"/>
  <c r="CC222" i="3"/>
  <c r="CC223" i="3"/>
  <c r="CC224" i="3"/>
  <c r="CC225" i="3"/>
  <c r="CC226" i="3"/>
  <c r="CC227" i="3"/>
  <c r="CC228" i="3"/>
  <c r="CC229" i="3"/>
  <c r="CC230" i="3"/>
  <c r="CC231" i="3"/>
  <c r="CC232" i="3"/>
  <c r="CC233" i="3"/>
  <c r="CC234" i="3"/>
  <c r="CC235" i="3"/>
  <c r="CC236" i="3"/>
  <c r="CC237" i="3"/>
  <c r="CC238" i="3"/>
  <c r="CC239" i="3"/>
  <c r="CC240" i="3"/>
  <c r="CC241" i="3"/>
  <c r="CC242" i="3"/>
  <c r="CC243" i="3"/>
  <c r="CC244" i="3"/>
  <c r="CC245" i="3"/>
  <c r="CC246" i="3"/>
  <c r="CC247" i="3"/>
  <c r="CC248" i="3"/>
  <c r="CC249" i="3"/>
  <c r="CC250" i="3"/>
  <c r="CC251" i="3"/>
  <c r="CC252" i="3"/>
  <c r="CC253" i="3"/>
  <c r="CC254" i="3"/>
  <c r="CC255" i="3"/>
  <c r="CC256" i="3"/>
  <c r="CC257" i="3"/>
  <c r="CC258" i="3"/>
  <c r="CC259" i="3"/>
  <c r="CC260" i="3"/>
  <c r="CC261" i="3"/>
  <c r="CC262" i="3"/>
  <c r="CC263" i="3"/>
  <c r="CC264" i="3"/>
  <c r="CC265" i="3"/>
  <c r="CC266" i="3"/>
  <c r="CC267" i="3"/>
  <c r="CC268" i="3"/>
  <c r="CC269" i="3"/>
  <c r="CC270" i="3"/>
  <c r="CC271" i="3"/>
  <c r="CC272" i="3"/>
  <c r="CC273" i="3"/>
  <c r="CC274" i="3"/>
  <c r="CC275" i="3"/>
  <c r="CC276" i="3"/>
  <c r="CC277" i="3"/>
  <c r="CC278" i="3"/>
  <c r="CC279" i="3"/>
  <c r="CC280" i="3"/>
  <c r="CC281" i="3"/>
  <c r="CC282" i="3"/>
  <c r="CC283" i="3"/>
  <c r="CC284" i="3"/>
  <c r="CC285" i="3"/>
  <c r="CC286" i="3"/>
  <c r="CC287" i="3"/>
  <c r="CC288" i="3"/>
  <c r="CC289" i="3"/>
  <c r="CC290" i="3"/>
  <c r="CC291" i="3"/>
  <c r="CC292" i="3"/>
  <c r="CC293" i="3"/>
  <c r="CC294" i="3"/>
  <c r="CC295" i="3"/>
  <c r="CC296" i="3"/>
  <c r="CC297" i="3"/>
  <c r="CC298" i="3"/>
  <c r="CC299" i="3"/>
  <c r="CC300" i="3"/>
  <c r="CC301" i="3"/>
  <c r="CC302" i="3"/>
  <c r="CC303" i="3"/>
  <c r="CC304" i="3"/>
  <c r="CC305" i="3"/>
  <c r="CC306" i="3"/>
  <c r="CC307" i="3"/>
  <c r="CC308" i="3"/>
  <c r="CC309" i="3"/>
  <c r="CC310" i="3"/>
  <c r="CC311" i="3"/>
  <c r="CC312" i="3"/>
  <c r="CC313" i="3"/>
  <c r="CC314" i="3"/>
  <c r="CC315" i="3"/>
  <c r="CC316" i="3"/>
  <c r="CC317" i="3"/>
  <c r="CC318" i="3"/>
  <c r="CC319" i="3"/>
  <c r="CC320" i="3"/>
  <c r="CC373" i="3"/>
  <c r="CC678" i="3"/>
  <c r="BY12" i="3"/>
  <c r="BY13" i="3"/>
  <c r="BY14" i="3"/>
  <c r="BY15" i="3"/>
  <c r="BY16" i="3"/>
  <c r="BY17" i="3"/>
  <c r="BY18" i="3"/>
  <c r="BY19" i="3"/>
  <c r="BY20" i="3"/>
  <c r="BY21" i="3"/>
  <c r="BY22" i="3"/>
  <c r="BY23" i="3"/>
  <c r="BY24" i="3"/>
  <c r="BY25" i="3"/>
  <c r="BY26" i="3"/>
  <c r="BY27" i="3"/>
  <c r="BY28" i="3"/>
  <c r="BY29" i="3"/>
  <c r="BY30" i="3"/>
  <c r="BY31" i="3"/>
  <c r="BY32" i="3"/>
  <c r="BY33" i="3"/>
  <c r="BY34" i="3"/>
  <c r="BY35" i="3"/>
  <c r="BY36" i="3"/>
  <c r="BY37" i="3"/>
  <c r="BY38" i="3"/>
  <c r="BY39" i="3"/>
  <c r="BY40" i="3"/>
  <c r="BY41" i="3"/>
  <c r="BY42" i="3"/>
  <c r="BY43" i="3"/>
  <c r="BY44" i="3"/>
  <c r="BY45" i="3"/>
  <c r="BY46" i="3"/>
  <c r="BY47" i="3"/>
  <c r="BY48" i="3"/>
  <c r="BY49" i="3"/>
  <c r="BY50" i="3"/>
  <c r="BY51" i="3"/>
  <c r="BY52" i="3"/>
  <c r="BY53" i="3"/>
  <c r="BY54" i="3"/>
  <c r="BY55" i="3"/>
  <c r="BY56" i="3"/>
  <c r="BY57" i="3"/>
  <c r="BY58" i="3"/>
  <c r="BY59" i="3"/>
  <c r="BY60" i="3"/>
  <c r="BY61" i="3"/>
  <c r="BY62" i="3"/>
  <c r="BY63" i="3"/>
  <c r="BY64" i="3"/>
  <c r="BY65" i="3"/>
  <c r="BY66" i="3"/>
  <c r="BY67" i="3"/>
  <c r="BY68" i="3"/>
  <c r="BY69" i="3"/>
  <c r="BY70" i="3"/>
  <c r="BY71" i="3"/>
  <c r="BY72" i="3"/>
  <c r="BY73" i="3"/>
  <c r="BY74" i="3"/>
  <c r="BY75" i="3"/>
  <c r="BY76" i="3"/>
  <c r="BY77" i="3"/>
  <c r="BY78" i="3"/>
  <c r="BY79" i="3"/>
  <c r="BY80" i="3"/>
  <c r="BY81" i="3"/>
  <c r="BY82" i="3"/>
  <c r="BY83" i="3"/>
  <c r="BY84" i="3"/>
  <c r="BY85" i="3"/>
  <c r="BY86" i="3"/>
  <c r="BY87" i="3"/>
  <c r="BY88" i="3"/>
  <c r="BY89" i="3"/>
  <c r="BY90" i="3"/>
  <c r="BY91" i="3"/>
  <c r="BY92" i="3"/>
  <c r="BY93" i="3"/>
  <c r="BY94" i="3"/>
  <c r="BY95" i="3"/>
  <c r="BY96" i="3"/>
  <c r="BY97" i="3"/>
  <c r="BY98" i="3"/>
  <c r="BY99" i="3"/>
  <c r="BY100" i="3"/>
  <c r="BY101" i="3"/>
  <c r="BY102" i="3"/>
  <c r="BY103" i="3"/>
  <c r="BY104" i="3"/>
  <c r="BY105" i="3"/>
  <c r="BY106" i="3"/>
  <c r="BY107" i="3"/>
  <c r="BY108" i="3"/>
  <c r="BY109" i="3"/>
  <c r="BY110" i="3"/>
  <c r="BY111" i="3"/>
  <c r="BY112" i="3"/>
  <c r="BY113" i="3"/>
  <c r="BY114" i="3"/>
  <c r="BY115" i="3"/>
  <c r="BY116" i="3"/>
  <c r="BY117" i="3"/>
  <c r="BY118" i="3"/>
  <c r="BY119" i="3"/>
  <c r="BY120" i="3"/>
  <c r="BY121" i="3"/>
  <c r="BY122" i="3"/>
  <c r="BY123" i="3"/>
  <c r="BY124" i="3"/>
  <c r="BY125" i="3"/>
  <c r="BY126" i="3"/>
  <c r="BY127" i="3"/>
  <c r="BY128" i="3"/>
  <c r="BY129" i="3"/>
  <c r="BY130" i="3"/>
  <c r="BY131" i="3"/>
  <c r="BY132" i="3"/>
  <c r="BY133" i="3"/>
  <c r="BY134" i="3"/>
  <c r="BY135" i="3"/>
  <c r="BY136" i="3"/>
  <c r="BY137" i="3"/>
  <c r="BY138" i="3"/>
  <c r="BY139" i="3"/>
  <c r="BY140" i="3"/>
  <c r="BY141" i="3"/>
  <c r="BY142" i="3"/>
  <c r="BY143" i="3"/>
  <c r="BY144" i="3"/>
  <c r="BY145" i="3"/>
  <c r="BY146" i="3"/>
  <c r="BY147" i="3"/>
  <c r="BY148" i="3"/>
  <c r="BY149" i="3"/>
  <c r="BY150" i="3"/>
  <c r="BY151" i="3"/>
  <c r="BY152" i="3"/>
  <c r="BY153" i="3"/>
  <c r="BY154" i="3"/>
  <c r="BY155" i="3"/>
  <c r="BY156" i="3"/>
  <c r="BY157" i="3"/>
  <c r="BY158" i="3"/>
  <c r="BY159" i="3"/>
  <c r="BY160" i="3"/>
  <c r="BY161" i="3"/>
  <c r="BY162" i="3"/>
  <c r="BY163" i="3"/>
  <c r="BY164" i="3"/>
  <c r="BY165" i="3"/>
  <c r="BY166" i="3"/>
  <c r="BY167" i="3"/>
  <c r="BY168" i="3"/>
  <c r="BY169" i="3"/>
  <c r="BY170" i="3"/>
  <c r="BY171" i="3"/>
  <c r="BY172" i="3"/>
  <c r="BY173" i="3"/>
  <c r="BY174" i="3"/>
  <c r="BY175" i="3"/>
  <c r="BY176" i="3"/>
  <c r="BY177" i="3"/>
  <c r="BY178" i="3"/>
  <c r="BY179" i="3"/>
  <c r="BY180" i="3"/>
  <c r="BY181" i="3"/>
  <c r="BY182" i="3"/>
  <c r="BY183" i="3"/>
  <c r="BY184" i="3"/>
  <c r="BY185" i="3"/>
  <c r="BY186" i="3"/>
  <c r="BY187" i="3"/>
  <c r="BY188" i="3"/>
  <c r="BY189" i="3"/>
  <c r="BY190" i="3"/>
  <c r="BY191" i="3"/>
  <c r="BY192" i="3"/>
  <c r="BY193" i="3"/>
  <c r="BY194" i="3"/>
  <c r="BY195" i="3"/>
  <c r="BY196" i="3"/>
  <c r="BY197" i="3"/>
  <c r="BY198" i="3"/>
  <c r="BY199" i="3"/>
  <c r="BY200" i="3"/>
  <c r="BY201" i="3"/>
  <c r="BY202" i="3"/>
  <c r="BY203" i="3"/>
  <c r="BY204" i="3"/>
  <c r="BY205" i="3"/>
  <c r="BY206" i="3"/>
  <c r="BY207" i="3"/>
  <c r="BY208" i="3"/>
  <c r="BY209" i="3"/>
  <c r="BY210" i="3"/>
  <c r="BY211" i="3"/>
  <c r="BY212" i="3"/>
  <c r="BY213" i="3"/>
  <c r="BY214" i="3"/>
  <c r="BY215" i="3"/>
  <c r="BY216" i="3"/>
  <c r="BY217" i="3"/>
  <c r="BY218" i="3"/>
  <c r="BY219" i="3"/>
  <c r="BY220" i="3"/>
  <c r="BY221" i="3"/>
  <c r="BY222" i="3"/>
  <c r="BY223" i="3"/>
  <c r="BY224" i="3"/>
  <c r="BY225" i="3"/>
  <c r="BY226" i="3"/>
  <c r="BY227" i="3"/>
  <c r="BY228" i="3"/>
  <c r="BY229" i="3"/>
  <c r="BY230" i="3"/>
  <c r="BY231" i="3"/>
  <c r="BY232" i="3"/>
  <c r="BY233" i="3"/>
  <c r="BY234" i="3"/>
  <c r="BY235" i="3"/>
  <c r="BY236" i="3"/>
  <c r="BY237" i="3"/>
  <c r="BY238" i="3"/>
  <c r="BY239" i="3"/>
  <c r="BY240" i="3"/>
  <c r="BY241" i="3"/>
  <c r="BY242" i="3"/>
  <c r="BY243" i="3"/>
  <c r="BY244" i="3"/>
  <c r="BY245" i="3"/>
  <c r="BY246" i="3"/>
  <c r="BY247" i="3"/>
  <c r="BY248" i="3"/>
  <c r="BY249" i="3"/>
  <c r="BY250" i="3"/>
  <c r="BY251" i="3"/>
  <c r="BY252" i="3"/>
  <c r="BY253" i="3"/>
  <c r="BY254" i="3"/>
  <c r="BY255" i="3"/>
  <c r="BY256" i="3"/>
  <c r="BY257" i="3"/>
  <c r="BY258" i="3"/>
  <c r="BY259" i="3"/>
  <c r="BY260" i="3"/>
  <c r="BY261" i="3"/>
  <c r="BY262" i="3"/>
  <c r="BY263" i="3"/>
  <c r="BY264" i="3"/>
  <c r="BY265" i="3"/>
  <c r="BY266" i="3"/>
  <c r="BY267" i="3"/>
  <c r="BY268" i="3"/>
  <c r="BY269" i="3"/>
  <c r="BY270" i="3"/>
  <c r="BY271" i="3"/>
  <c r="BY272" i="3"/>
  <c r="BY273" i="3"/>
  <c r="BY274" i="3"/>
  <c r="BY275" i="3"/>
  <c r="BY276" i="3"/>
  <c r="BY277" i="3"/>
  <c r="BY278" i="3"/>
  <c r="BY279" i="3"/>
  <c r="BY280" i="3"/>
  <c r="BY281" i="3"/>
  <c r="BY282" i="3"/>
  <c r="BY283" i="3"/>
  <c r="BY284" i="3"/>
  <c r="BY285" i="3"/>
  <c r="BY286" i="3"/>
  <c r="BY287" i="3"/>
  <c r="BY288" i="3"/>
  <c r="BY289" i="3"/>
  <c r="BY290" i="3"/>
  <c r="BY291" i="3"/>
  <c r="BY292" i="3"/>
  <c r="BY293" i="3"/>
  <c r="BY294" i="3"/>
  <c r="BY295" i="3"/>
  <c r="BY296" i="3"/>
  <c r="BY297" i="3"/>
  <c r="BY298" i="3"/>
  <c r="BY299" i="3"/>
  <c r="BY300" i="3"/>
  <c r="BY301" i="3"/>
  <c r="BY302" i="3"/>
  <c r="BY303" i="3"/>
  <c r="BY304" i="3"/>
  <c r="BY305" i="3"/>
  <c r="BY306" i="3"/>
  <c r="BY307" i="3"/>
  <c r="BY308" i="3"/>
  <c r="BY309" i="3"/>
  <c r="BY310" i="3"/>
  <c r="BY311" i="3"/>
  <c r="BY312" i="3"/>
  <c r="BY313" i="3"/>
  <c r="BY314" i="3"/>
  <c r="BY315" i="3"/>
  <c r="BY316" i="3"/>
  <c r="BY317" i="3"/>
  <c r="BY318" i="3"/>
  <c r="BY319" i="3"/>
  <c r="BY320" i="3"/>
  <c r="BY373" i="3"/>
  <c r="BY678" i="3"/>
  <c r="BT12" i="3"/>
  <c r="BT13" i="3"/>
  <c r="BT14" i="3"/>
  <c r="BT15" i="3"/>
  <c r="BT16" i="3"/>
  <c r="BT17" i="3"/>
  <c r="BT18" i="3"/>
  <c r="BT19" i="3"/>
  <c r="BT20" i="3"/>
  <c r="BT21" i="3"/>
  <c r="BT22" i="3"/>
  <c r="BT23" i="3"/>
  <c r="BT24" i="3"/>
  <c r="BT25" i="3"/>
  <c r="BT26" i="3"/>
  <c r="BT27" i="3"/>
  <c r="BT28" i="3"/>
  <c r="BT29" i="3"/>
  <c r="BT30" i="3"/>
  <c r="BT31" i="3"/>
  <c r="BT32" i="3"/>
  <c r="BT33" i="3"/>
  <c r="BT34" i="3"/>
  <c r="BT35" i="3"/>
  <c r="BT36" i="3"/>
  <c r="BT37" i="3"/>
  <c r="BT38" i="3"/>
  <c r="BT39" i="3"/>
  <c r="BT40" i="3"/>
  <c r="BT41" i="3"/>
  <c r="BT42" i="3"/>
  <c r="BT43" i="3"/>
  <c r="BT44" i="3"/>
  <c r="BT45" i="3"/>
  <c r="BT46" i="3"/>
  <c r="BT47" i="3"/>
  <c r="BT48" i="3"/>
  <c r="BT49" i="3"/>
  <c r="BT50" i="3"/>
  <c r="BT51" i="3"/>
  <c r="BT52" i="3"/>
  <c r="BT53" i="3"/>
  <c r="BT54" i="3"/>
  <c r="BT55" i="3"/>
  <c r="BT56" i="3"/>
  <c r="BT57" i="3"/>
  <c r="BT58" i="3"/>
  <c r="BT59" i="3"/>
  <c r="BT60" i="3"/>
  <c r="BT61" i="3"/>
  <c r="BT62" i="3"/>
  <c r="BT63" i="3"/>
  <c r="BT64" i="3"/>
  <c r="BT65" i="3"/>
  <c r="BT66" i="3"/>
  <c r="BT67" i="3"/>
  <c r="BT68" i="3"/>
  <c r="BT69" i="3"/>
  <c r="BT70" i="3"/>
  <c r="BT71" i="3"/>
  <c r="BT72" i="3"/>
  <c r="BT73" i="3"/>
  <c r="BT74" i="3"/>
  <c r="BT75" i="3"/>
  <c r="BT76" i="3"/>
  <c r="BT77" i="3"/>
  <c r="BT78" i="3"/>
  <c r="BT79" i="3"/>
  <c r="BT80" i="3"/>
  <c r="BT81" i="3"/>
  <c r="BT82" i="3"/>
  <c r="BT83" i="3"/>
  <c r="BT84" i="3"/>
  <c r="BT85" i="3"/>
  <c r="BT86" i="3"/>
  <c r="BT87" i="3"/>
  <c r="BT88" i="3"/>
  <c r="BT89" i="3"/>
  <c r="BT90" i="3"/>
  <c r="BT91" i="3"/>
  <c r="BT92" i="3"/>
  <c r="BT93" i="3"/>
  <c r="BT94" i="3"/>
  <c r="BT95" i="3"/>
  <c r="BT96" i="3"/>
  <c r="BT97" i="3"/>
  <c r="BT98" i="3"/>
  <c r="BT99" i="3"/>
  <c r="BT100" i="3"/>
  <c r="BT101" i="3"/>
  <c r="BT102" i="3"/>
  <c r="BT103" i="3"/>
  <c r="BT104" i="3"/>
  <c r="BT105" i="3"/>
  <c r="BT106" i="3"/>
  <c r="BT107" i="3"/>
  <c r="BT108" i="3"/>
  <c r="BT109" i="3"/>
  <c r="BT110" i="3"/>
  <c r="BT111" i="3"/>
  <c r="BT112" i="3"/>
  <c r="BT113" i="3"/>
  <c r="BT114" i="3"/>
  <c r="BT115" i="3"/>
  <c r="BT116" i="3"/>
  <c r="BT117" i="3"/>
  <c r="BT118" i="3"/>
  <c r="BT119" i="3"/>
  <c r="BT120" i="3"/>
  <c r="BT121" i="3"/>
  <c r="BT122" i="3"/>
  <c r="BT123" i="3"/>
  <c r="BT124" i="3"/>
  <c r="BT125" i="3"/>
  <c r="BT126" i="3"/>
  <c r="BT127" i="3"/>
  <c r="BT128" i="3"/>
  <c r="BT129" i="3"/>
  <c r="BT130" i="3"/>
  <c r="BT131" i="3"/>
  <c r="BT132" i="3"/>
  <c r="BT133" i="3"/>
  <c r="BT134" i="3"/>
  <c r="BT135" i="3"/>
  <c r="BT136" i="3"/>
  <c r="BT137" i="3"/>
  <c r="BT138" i="3"/>
  <c r="BT139" i="3"/>
  <c r="BT140" i="3"/>
  <c r="BT141" i="3"/>
  <c r="BT142" i="3"/>
  <c r="BT143" i="3"/>
  <c r="BT144" i="3"/>
  <c r="BT145" i="3"/>
  <c r="BT146" i="3"/>
  <c r="BT147" i="3"/>
  <c r="BT148" i="3"/>
  <c r="BT149" i="3"/>
  <c r="BT150" i="3"/>
  <c r="BT151" i="3"/>
  <c r="BT152" i="3"/>
  <c r="BT153" i="3"/>
  <c r="BT154" i="3"/>
  <c r="BT155" i="3"/>
  <c r="BT156" i="3"/>
  <c r="BT157" i="3"/>
  <c r="BT158" i="3"/>
  <c r="BT159" i="3"/>
  <c r="BT160" i="3"/>
  <c r="BT161" i="3"/>
  <c r="BT162" i="3"/>
  <c r="BT163" i="3"/>
  <c r="BT164" i="3"/>
  <c r="BT165" i="3"/>
  <c r="BT166" i="3"/>
  <c r="BT167" i="3"/>
  <c r="BT168" i="3"/>
  <c r="BT169" i="3"/>
  <c r="BT170" i="3"/>
  <c r="BT171" i="3"/>
  <c r="BT172" i="3"/>
  <c r="BT173" i="3"/>
  <c r="BT174" i="3"/>
  <c r="BT175" i="3"/>
  <c r="BT176" i="3"/>
  <c r="BT177" i="3"/>
  <c r="BT178" i="3"/>
  <c r="BT179" i="3"/>
  <c r="BT180" i="3"/>
  <c r="BT181" i="3"/>
  <c r="BT182" i="3"/>
  <c r="BT183" i="3"/>
  <c r="BT184" i="3"/>
  <c r="BT185" i="3"/>
  <c r="BT186" i="3"/>
  <c r="BT187" i="3"/>
  <c r="BT188" i="3"/>
  <c r="BT189" i="3"/>
  <c r="BT190" i="3"/>
  <c r="BT191" i="3"/>
  <c r="BT192" i="3"/>
  <c r="BT193" i="3"/>
  <c r="BT194" i="3"/>
  <c r="BT195" i="3"/>
  <c r="BT196" i="3"/>
  <c r="BT197" i="3"/>
  <c r="BT198" i="3"/>
  <c r="BT199" i="3"/>
  <c r="BT200" i="3"/>
  <c r="BT201" i="3"/>
  <c r="BT202" i="3"/>
  <c r="BT203" i="3"/>
  <c r="BT204" i="3"/>
  <c r="BT205" i="3"/>
  <c r="BT206" i="3"/>
  <c r="BT207" i="3"/>
  <c r="BT208" i="3"/>
  <c r="BT209" i="3"/>
  <c r="BT210" i="3"/>
  <c r="BT211" i="3"/>
  <c r="BT212" i="3"/>
  <c r="BT213" i="3"/>
  <c r="BT214" i="3"/>
  <c r="BT215" i="3"/>
  <c r="BT216" i="3"/>
  <c r="BT217" i="3"/>
  <c r="BT218" i="3"/>
  <c r="BT219" i="3"/>
  <c r="BT220" i="3"/>
  <c r="BT221" i="3"/>
  <c r="BT222" i="3"/>
  <c r="BT223" i="3"/>
  <c r="BT224" i="3"/>
  <c r="BT225" i="3"/>
  <c r="BT226" i="3"/>
  <c r="BT227" i="3"/>
  <c r="BT228" i="3"/>
  <c r="BT229" i="3"/>
  <c r="BT230" i="3"/>
  <c r="BT231" i="3"/>
  <c r="BT232" i="3"/>
  <c r="BT233" i="3"/>
  <c r="BT234" i="3"/>
  <c r="BT235" i="3"/>
  <c r="BT236" i="3"/>
  <c r="BT237" i="3"/>
  <c r="BT238" i="3"/>
  <c r="BT239" i="3"/>
  <c r="BT240" i="3"/>
  <c r="BT241" i="3"/>
  <c r="BT242" i="3"/>
  <c r="BT243" i="3"/>
  <c r="BT244" i="3"/>
  <c r="BT245" i="3"/>
  <c r="BT246" i="3"/>
  <c r="BT247" i="3"/>
  <c r="BT248" i="3"/>
  <c r="BT249" i="3"/>
  <c r="BT250" i="3"/>
  <c r="BT251" i="3"/>
  <c r="BT252" i="3"/>
  <c r="BT253" i="3"/>
  <c r="BT254" i="3"/>
  <c r="BT255" i="3"/>
  <c r="BT256" i="3"/>
  <c r="BT257" i="3"/>
  <c r="BT258" i="3"/>
  <c r="BT259" i="3"/>
  <c r="BT260" i="3"/>
  <c r="BT261" i="3"/>
  <c r="BT262" i="3"/>
  <c r="BT263" i="3"/>
  <c r="BT264" i="3"/>
  <c r="BT265" i="3"/>
  <c r="BT266" i="3"/>
  <c r="BT267" i="3"/>
  <c r="BT268" i="3"/>
  <c r="BT269" i="3"/>
  <c r="BT270" i="3"/>
  <c r="BT271" i="3"/>
  <c r="BT272" i="3"/>
  <c r="BT273" i="3"/>
  <c r="BT274" i="3"/>
  <c r="BT275" i="3"/>
  <c r="BT276" i="3"/>
  <c r="BT277" i="3"/>
  <c r="BT278" i="3"/>
  <c r="BT279" i="3"/>
  <c r="BT280" i="3"/>
  <c r="BT281" i="3"/>
  <c r="BT282" i="3"/>
  <c r="BT283" i="3"/>
  <c r="BT284" i="3"/>
  <c r="BT285" i="3"/>
  <c r="BT286" i="3"/>
  <c r="BT287" i="3"/>
  <c r="BT288" i="3"/>
  <c r="BT289" i="3"/>
  <c r="BT290" i="3"/>
  <c r="BT291" i="3"/>
  <c r="BT292" i="3"/>
  <c r="BT293" i="3"/>
  <c r="BT294" i="3"/>
  <c r="BT295" i="3"/>
  <c r="BT296" i="3"/>
  <c r="BT297" i="3"/>
  <c r="BT298" i="3"/>
  <c r="BT299" i="3"/>
  <c r="BT300" i="3"/>
  <c r="BT301" i="3"/>
  <c r="BT302" i="3"/>
  <c r="BT303" i="3"/>
  <c r="BT304" i="3"/>
  <c r="BT305" i="3"/>
  <c r="BT306" i="3"/>
  <c r="BT307" i="3"/>
  <c r="BT308" i="3"/>
  <c r="BT309" i="3"/>
  <c r="BT310" i="3"/>
  <c r="BT311" i="3"/>
  <c r="BT312" i="3"/>
  <c r="BT313" i="3"/>
  <c r="BT314" i="3"/>
  <c r="BT315" i="3"/>
  <c r="BT316" i="3"/>
  <c r="BT317" i="3"/>
  <c r="BT318" i="3"/>
  <c r="BT319" i="3"/>
  <c r="BT320" i="3"/>
  <c r="BT373" i="3"/>
  <c r="BT678" i="3"/>
  <c r="BP12" i="3"/>
  <c r="BP13" i="3"/>
  <c r="BP14" i="3"/>
  <c r="BP15" i="3"/>
  <c r="BP16" i="3"/>
  <c r="BP17" i="3"/>
  <c r="BP18" i="3"/>
  <c r="BP19" i="3"/>
  <c r="BP20" i="3"/>
  <c r="BP21" i="3"/>
  <c r="BP22" i="3"/>
  <c r="BP23" i="3"/>
  <c r="BP24" i="3"/>
  <c r="BP25" i="3"/>
  <c r="BP26" i="3"/>
  <c r="BP27" i="3"/>
  <c r="BP28" i="3"/>
  <c r="BP29" i="3"/>
  <c r="BP30" i="3"/>
  <c r="BP31" i="3"/>
  <c r="BP32" i="3"/>
  <c r="BP33" i="3"/>
  <c r="BP34" i="3"/>
  <c r="BP35" i="3"/>
  <c r="BP36" i="3"/>
  <c r="BP37" i="3"/>
  <c r="BP38" i="3"/>
  <c r="BP39" i="3"/>
  <c r="BP40" i="3"/>
  <c r="BP41" i="3"/>
  <c r="BP42" i="3"/>
  <c r="BP43" i="3"/>
  <c r="BP44" i="3"/>
  <c r="BP45" i="3"/>
  <c r="BP46" i="3"/>
  <c r="BP47" i="3"/>
  <c r="BP48" i="3"/>
  <c r="BP49" i="3"/>
  <c r="BP50" i="3"/>
  <c r="BP51" i="3"/>
  <c r="BP52" i="3"/>
  <c r="BP53" i="3"/>
  <c r="BP54" i="3"/>
  <c r="BP55" i="3"/>
  <c r="BP56" i="3"/>
  <c r="BP57" i="3"/>
  <c r="BP58" i="3"/>
  <c r="BP59" i="3"/>
  <c r="BP60" i="3"/>
  <c r="BP61" i="3"/>
  <c r="BP62" i="3"/>
  <c r="BP63" i="3"/>
  <c r="BP64" i="3"/>
  <c r="BP65" i="3"/>
  <c r="BP66" i="3"/>
  <c r="BP67" i="3"/>
  <c r="BP68" i="3"/>
  <c r="BP69" i="3"/>
  <c r="BP70" i="3"/>
  <c r="BP71" i="3"/>
  <c r="BP72" i="3"/>
  <c r="BP73" i="3"/>
  <c r="BP74" i="3"/>
  <c r="BP75" i="3"/>
  <c r="BP76" i="3"/>
  <c r="BP77" i="3"/>
  <c r="BP78" i="3"/>
  <c r="BP79" i="3"/>
  <c r="BP80" i="3"/>
  <c r="BP81" i="3"/>
  <c r="BP82" i="3"/>
  <c r="BP83" i="3"/>
  <c r="BP84" i="3"/>
  <c r="BP85" i="3"/>
  <c r="BP86" i="3"/>
  <c r="BP87" i="3"/>
  <c r="BP88" i="3"/>
  <c r="BP89" i="3"/>
  <c r="BP90" i="3"/>
  <c r="BP91" i="3"/>
  <c r="BP92" i="3"/>
  <c r="BP93" i="3"/>
  <c r="BP94" i="3"/>
  <c r="BP95" i="3"/>
  <c r="BP96" i="3"/>
  <c r="BP97" i="3"/>
  <c r="BP98" i="3"/>
  <c r="BP99" i="3"/>
  <c r="BP100" i="3"/>
  <c r="BP101" i="3"/>
  <c r="BP102" i="3"/>
  <c r="BP103" i="3"/>
  <c r="BP104" i="3"/>
  <c r="BP105" i="3"/>
  <c r="BP106" i="3"/>
  <c r="BP107" i="3"/>
  <c r="BP108" i="3"/>
  <c r="BP109" i="3"/>
  <c r="BP110" i="3"/>
  <c r="BP111" i="3"/>
  <c r="BP112" i="3"/>
  <c r="BP113" i="3"/>
  <c r="BP114" i="3"/>
  <c r="BP115" i="3"/>
  <c r="BP116" i="3"/>
  <c r="BP117" i="3"/>
  <c r="BP118" i="3"/>
  <c r="BP119" i="3"/>
  <c r="BP120" i="3"/>
  <c r="BP121" i="3"/>
  <c r="BP122" i="3"/>
  <c r="BP123" i="3"/>
  <c r="BP124" i="3"/>
  <c r="BP125" i="3"/>
  <c r="BP126" i="3"/>
  <c r="BP127" i="3"/>
  <c r="BP128" i="3"/>
  <c r="BP129" i="3"/>
  <c r="BP130" i="3"/>
  <c r="BP131" i="3"/>
  <c r="BP132" i="3"/>
  <c r="BP133" i="3"/>
  <c r="BP134" i="3"/>
  <c r="BP135" i="3"/>
  <c r="BP136" i="3"/>
  <c r="BP137" i="3"/>
  <c r="BP138" i="3"/>
  <c r="BP139" i="3"/>
  <c r="BP140" i="3"/>
  <c r="BP141" i="3"/>
  <c r="BP142" i="3"/>
  <c r="BP143" i="3"/>
  <c r="BP144" i="3"/>
  <c r="BP145" i="3"/>
  <c r="BP146" i="3"/>
  <c r="BP147" i="3"/>
  <c r="BP148" i="3"/>
  <c r="BP149" i="3"/>
  <c r="BP150" i="3"/>
  <c r="BP151" i="3"/>
  <c r="BP152" i="3"/>
  <c r="BP153" i="3"/>
  <c r="BP154" i="3"/>
  <c r="BP155" i="3"/>
  <c r="BP156" i="3"/>
  <c r="BP157" i="3"/>
  <c r="BP158" i="3"/>
  <c r="BP159" i="3"/>
  <c r="BP160" i="3"/>
  <c r="BP161" i="3"/>
  <c r="BP162" i="3"/>
  <c r="BP163" i="3"/>
  <c r="BP164" i="3"/>
  <c r="BP165" i="3"/>
  <c r="BP166" i="3"/>
  <c r="BP167" i="3"/>
  <c r="BP168" i="3"/>
  <c r="BP169" i="3"/>
  <c r="BP170" i="3"/>
  <c r="BP171" i="3"/>
  <c r="BP172" i="3"/>
  <c r="BP173" i="3"/>
  <c r="BP174" i="3"/>
  <c r="BP175" i="3"/>
  <c r="BP176" i="3"/>
  <c r="BP177" i="3"/>
  <c r="BP178" i="3"/>
  <c r="BP179" i="3"/>
  <c r="BP180" i="3"/>
  <c r="BP181" i="3"/>
  <c r="BP182" i="3"/>
  <c r="BP183" i="3"/>
  <c r="BP184" i="3"/>
  <c r="BP185" i="3"/>
  <c r="BP186" i="3"/>
  <c r="BP187" i="3"/>
  <c r="BP188" i="3"/>
  <c r="BP189" i="3"/>
  <c r="BP190" i="3"/>
  <c r="BP191" i="3"/>
  <c r="BP192" i="3"/>
  <c r="BP193" i="3"/>
  <c r="BP194" i="3"/>
  <c r="BP195" i="3"/>
  <c r="BP196" i="3"/>
  <c r="BP197" i="3"/>
  <c r="BP198" i="3"/>
  <c r="BP199" i="3"/>
  <c r="BP200" i="3"/>
  <c r="BP201" i="3"/>
  <c r="BP202" i="3"/>
  <c r="BP203" i="3"/>
  <c r="BP204" i="3"/>
  <c r="BP205" i="3"/>
  <c r="BP206" i="3"/>
  <c r="BP207" i="3"/>
  <c r="BP208" i="3"/>
  <c r="BP209" i="3"/>
  <c r="BP210" i="3"/>
  <c r="BP211" i="3"/>
  <c r="BP212" i="3"/>
  <c r="BP213" i="3"/>
  <c r="BP214" i="3"/>
  <c r="BP215" i="3"/>
  <c r="BP216" i="3"/>
  <c r="BP217" i="3"/>
  <c r="BP218" i="3"/>
  <c r="BP219" i="3"/>
  <c r="BP220" i="3"/>
  <c r="BP221" i="3"/>
  <c r="BP222" i="3"/>
  <c r="BP223" i="3"/>
  <c r="BP224" i="3"/>
  <c r="BP225" i="3"/>
  <c r="BP226" i="3"/>
  <c r="BP227" i="3"/>
  <c r="BP228" i="3"/>
  <c r="BP229" i="3"/>
  <c r="BP230" i="3"/>
  <c r="BP231" i="3"/>
  <c r="BP232" i="3"/>
  <c r="BP233" i="3"/>
  <c r="BP234" i="3"/>
  <c r="BP235" i="3"/>
  <c r="BP236" i="3"/>
  <c r="BP237" i="3"/>
  <c r="BP238" i="3"/>
  <c r="BP239" i="3"/>
  <c r="BP240" i="3"/>
  <c r="BP241" i="3"/>
  <c r="BP242" i="3"/>
  <c r="BP243" i="3"/>
  <c r="BP244" i="3"/>
  <c r="BP245" i="3"/>
  <c r="BP246" i="3"/>
  <c r="BP247" i="3"/>
  <c r="BP248" i="3"/>
  <c r="BP249" i="3"/>
  <c r="BP250" i="3"/>
  <c r="BP251" i="3"/>
  <c r="BP252" i="3"/>
  <c r="BP253" i="3"/>
  <c r="BP254" i="3"/>
  <c r="BP255" i="3"/>
  <c r="BP256" i="3"/>
  <c r="BP257" i="3"/>
  <c r="BP258" i="3"/>
  <c r="BP259" i="3"/>
  <c r="BP260" i="3"/>
  <c r="BP261" i="3"/>
  <c r="BP262" i="3"/>
  <c r="BP263" i="3"/>
  <c r="BP264" i="3"/>
  <c r="BP265" i="3"/>
  <c r="BP266" i="3"/>
  <c r="BP267" i="3"/>
  <c r="BP268" i="3"/>
  <c r="BP269" i="3"/>
  <c r="BP270" i="3"/>
  <c r="BP271" i="3"/>
  <c r="BP272" i="3"/>
  <c r="BP273" i="3"/>
  <c r="BP274" i="3"/>
  <c r="BP275" i="3"/>
  <c r="BP276" i="3"/>
  <c r="BP277" i="3"/>
  <c r="BP278" i="3"/>
  <c r="BP279" i="3"/>
  <c r="BP280" i="3"/>
  <c r="BP281" i="3"/>
  <c r="BP282" i="3"/>
  <c r="BP283" i="3"/>
  <c r="BP284" i="3"/>
  <c r="BP285" i="3"/>
  <c r="BP286" i="3"/>
  <c r="BP287" i="3"/>
  <c r="BP288" i="3"/>
  <c r="BP289" i="3"/>
  <c r="BP290" i="3"/>
  <c r="BP291" i="3"/>
  <c r="BP292" i="3"/>
  <c r="BP293" i="3"/>
  <c r="BP294" i="3"/>
  <c r="BP295" i="3"/>
  <c r="BP296" i="3"/>
  <c r="BP297" i="3"/>
  <c r="BP298" i="3"/>
  <c r="BP299" i="3"/>
  <c r="BP300" i="3"/>
  <c r="BP301" i="3"/>
  <c r="BP302" i="3"/>
  <c r="BP303" i="3"/>
  <c r="BP304" i="3"/>
  <c r="BP305" i="3"/>
  <c r="BP306" i="3"/>
  <c r="BP307" i="3"/>
  <c r="BP308" i="3"/>
  <c r="BP309" i="3"/>
  <c r="BP310" i="3"/>
  <c r="BP311" i="3"/>
  <c r="BP312" i="3"/>
  <c r="BP313" i="3"/>
  <c r="BP314" i="3"/>
  <c r="BP315" i="3"/>
  <c r="BP316" i="3"/>
  <c r="BP317" i="3"/>
  <c r="BP318" i="3"/>
  <c r="BP319" i="3"/>
  <c r="BP320" i="3"/>
  <c r="BP373" i="3"/>
  <c r="BP678" i="3"/>
  <c r="BL12" i="3"/>
  <c r="BL13" i="3"/>
  <c r="BL14" i="3"/>
  <c r="BL15" i="3"/>
  <c r="BL16" i="3"/>
  <c r="BL17" i="3"/>
  <c r="BL18" i="3"/>
  <c r="BL19" i="3"/>
  <c r="BL20" i="3"/>
  <c r="BL21" i="3"/>
  <c r="BL22" i="3"/>
  <c r="BL23" i="3"/>
  <c r="BL24" i="3"/>
  <c r="BL25" i="3"/>
  <c r="BL26" i="3"/>
  <c r="BL27" i="3"/>
  <c r="BL28" i="3"/>
  <c r="BL29" i="3"/>
  <c r="BL30" i="3"/>
  <c r="BL31" i="3"/>
  <c r="BL32" i="3"/>
  <c r="BL33" i="3"/>
  <c r="BL34" i="3"/>
  <c r="BL35" i="3"/>
  <c r="BL36" i="3"/>
  <c r="BL37" i="3"/>
  <c r="BL38" i="3"/>
  <c r="BL39" i="3"/>
  <c r="BL40" i="3"/>
  <c r="BL41" i="3"/>
  <c r="BL42" i="3"/>
  <c r="BL43" i="3"/>
  <c r="BL44" i="3"/>
  <c r="BL45" i="3"/>
  <c r="BL46" i="3"/>
  <c r="BL47" i="3"/>
  <c r="BL48" i="3"/>
  <c r="BL49" i="3"/>
  <c r="BL50" i="3"/>
  <c r="BL51" i="3"/>
  <c r="BL52" i="3"/>
  <c r="BL53" i="3"/>
  <c r="BL54" i="3"/>
  <c r="BL55" i="3"/>
  <c r="BL56" i="3"/>
  <c r="BL57" i="3"/>
  <c r="BL58" i="3"/>
  <c r="BL59" i="3"/>
  <c r="BL60" i="3"/>
  <c r="BL61" i="3"/>
  <c r="BL62" i="3"/>
  <c r="BL63" i="3"/>
  <c r="BL64" i="3"/>
  <c r="BL65" i="3"/>
  <c r="BL66" i="3"/>
  <c r="BL67" i="3"/>
  <c r="BL68" i="3"/>
  <c r="BL69" i="3"/>
  <c r="BL70" i="3"/>
  <c r="BL71" i="3"/>
  <c r="BL72" i="3"/>
  <c r="BL73" i="3"/>
  <c r="BL74" i="3"/>
  <c r="BL75" i="3"/>
  <c r="BL76" i="3"/>
  <c r="BL77" i="3"/>
  <c r="BL78" i="3"/>
  <c r="BL79" i="3"/>
  <c r="BL80" i="3"/>
  <c r="BL81" i="3"/>
  <c r="BL82" i="3"/>
  <c r="BL83" i="3"/>
  <c r="BL84" i="3"/>
  <c r="BL85" i="3"/>
  <c r="BL86" i="3"/>
  <c r="BL87" i="3"/>
  <c r="BL88" i="3"/>
  <c r="BL89" i="3"/>
  <c r="BL90" i="3"/>
  <c r="BL91" i="3"/>
  <c r="BL92" i="3"/>
  <c r="BL93" i="3"/>
  <c r="BL94" i="3"/>
  <c r="BL95" i="3"/>
  <c r="BL96" i="3"/>
  <c r="BL97" i="3"/>
  <c r="BL98" i="3"/>
  <c r="BL99" i="3"/>
  <c r="BL100" i="3"/>
  <c r="BL101" i="3"/>
  <c r="BL102" i="3"/>
  <c r="BL103" i="3"/>
  <c r="BL104" i="3"/>
  <c r="BL105" i="3"/>
  <c r="BL106" i="3"/>
  <c r="BL107" i="3"/>
  <c r="BL108" i="3"/>
  <c r="BL109" i="3"/>
  <c r="BL110" i="3"/>
  <c r="BL111" i="3"/>
  <c r="BL112" i="3"/>
  <c r="BL113" i="3"/>
  <c r="BL114" i="3"/>
  <c r="BL115" i="3"/>
  <c r="BL116" i="3"/>
  <c r="BL117" i="3"/>
  <c r="BL118" i="3"/>
  <c r="BL119" i="3"/>
  <c r="BL120" i="3"/>
  <c r="BL121" i="3"/>
  <c r="BL122" i="3"/>
  <c r="BL123" i="3"/>
  <c r="BL124" i="3"/>
  <c r="BL125" i="3"/>
  <c r="BL126" i="3"/>
  <c r="BL127" i="3"/>
  <c r="BL128" i="3"/>
  <c r="BL129" i="3"/>
  <c r="BL130" i="3"/>
  <c r="BL131" i="3"/>
  <c r="BL132" i="3"/>
  <c r="BL133" i="3"/>
  <c r="BL134" i="3"/>
  <c r="BL135" i="3"/>
  <c r="BL136" i="3"/>
  <c r="BL137" i="3"/>
  <c r="BL138" i="3"/>
  <c r="BL139" i="3"/>
  <c r="BL140" i="3"/>
  <c r="BL141" i="3"/>
  <c r="BL142" i="3"/>
  <c r="BL143" i="3"/>
  <c r="BL144" i="3"/>
  <c r="BL145" i="3"/>
  <c r="BL146" i="3"/>
  <c r="BL147" i="3"/>
  <c r="BL148" i="3"/>
  <c r="BL149" i="3"/>
  <c r="BL150" i="3"/>
  <c r="BL151" i="3"/>
  <c r="BL152" i="3"/>
  <c r="BL153" i="3"/>
  <c r="BL154" i="3"/>
  <c r="BL155" i="3"/>
  <c r="BL156" i="3"/>
  <c r="BL157" i="3"/>
  <c r="BL158" i="3"/>
  <c r="BL159" i="3"/>
  <c r="BL160" i="3"/>
  <c r="BL161" i="3"/>
  <c r="BL162" i="3"/>
  <c r="BL163" i="3"/>
  <c r="BL164" i="3"/>
  <c r="BL165" i="3"/>
  <c r="BL166" i="3"/>
  <c r="BL167" i="3"/>
  <c r="BL168" i="3"/>
  <c r="BL169" i="3"/>
  <c r="BL170" i="3"/>
  <c r="BL171" i="3"/>
  <c r="BL172" i="3"/>
  <c r="BL173" i="3"/>
  <c r="BL174" i="3"/>
  <c r="BL175" i="3"/>
  <c r="BL176" i="3"/>
  <c r="BL177" i="3"/>
  <c r="BL178" i="3"/>
  <c r="BL179" i="3"/>
  <c r="BL180" i="3"/>
  <c r="BL181" i="3"/>
  <c r="BL182" i="3"/>
  <c r="BL183" i="3"/>
  <c r="BL184" i="3"/>
  <c r="BL185" i="3"/>
  <c r="BL186" i="3"/>
  <c r="BL187" i="3"/>
  <c r="BL188" i="3"/>
  <c r="BL189" i="3"/>
  <c r="BL190" i="3"/>
  <c r="BL191" i="3"/>
  <c r="BL192" i="3"/>
  <c r="BL193" i="3"/>
  <c r="BL194" i="3"/>
  <c r="BL195" i="3"/>
  <c r="BL196" i="3"/>
  <c r="BL197" i="3"/>
  <c r="BL198" i="3"/>
  <c r="BL199" i="3"/>
  <c r="BL200" i="3"/>
  <c r="BL201" i="3"/>
  <c r="BL202" i="3"/>
  <c r="BL203" i="3"/>
  <c r="BL204" i="3"/>
  <c r="BL205" i="3"/>
  <c r="BL206" i="3"/>
  <c r="BL207" i="3"/>
  <c r="BL208" i="3"/>
  <c r="BL209" i="3"/>
  <c r="BL210" i="3"/>
  <c r="BL211" i="3"/>
  <c r="BL212" i="3"/>
  <c r="BL213" i="3"/>
  <c r="BL214" i="3"/>
  <c r="BL215" i="3"/>
  <c r="BL216" i="3"/>
  <c r="BL217" i="3"/>
  <c r="BL218" i="3"/>
  <c r="BL219" i="3"/>
  <c r="BL220" i="3"/>
  <c r="BL221" i="3"/>
  <c r="BL222" i="3"/>
  <c r="BL223" i="3"/>
  <c r="BL224" i="3"/>
  <c r="BL225" i="3"/>
  <c r="BL226" i="3"/>
  <c r="BL227" i="3"/>
  <c r="BL228" i="3"/>
  <c r="BL229" i="3"/>
  <c r="BL230" i="3"/>
  <c r="BL231" i="3"/>
  <c r="BL232" i="3"/>
  <c r="BL233" i="3"/>
  <c r="BL234" i="3"/>
  <c r="BL235" i="3"/>
  <c r="BL236" i="3"/>
  <c r="BL237" i="3"/>
  <c r="BL238" i="3"/>
  <c r="BL239" i="3"/>
  <c r="BL240" i="3"/>
  <c r="BL241" i="3"/>
  <c r="BL242" i="3"/>
  <c r="BL243" i="3"/>
  <c r="BL244" i="3"/>
  <c r="BL245" i="3"/>
  <c r="BL246" i="3"/>
  <c r="BL247" i="3"/>
  <c r="BL248" i="3"/>
  <c r="BL249" i="3"/>
  <c r="BL250" i="3"/>
  <c r="BL251" i="3"/>
  <c r="BL252" i="3"/>
  <c r="BL253" i="3"/>
  <c r="BL254" i="3"/>
  <c r="BL255" i="3"/>
  <c r="BL256" i="3"/>
  <c r="BL257" i="3"/>
  <c r="BL258" i="3"/>
  <c r="BL259" i="3"/>
  <c r="BL260" i="3"/>
  <c r="BL261" i="3"/>
  <c r="BL262" i="3"/>
  <c r="BL263" i="3"/>
  <c r="BL264" i="3"/>
  <c r="BL265" i="3"/>
  <c r="BL266" i="3"/>
  <c r="BL267" i="3"/>
  <c r="BL268" i="3"/>
  <c r="BL269" i="3"/>
  <c r="BL270" i="3"/>
  <c r="BL271" i="3"/>
  <c r="BL272" i="3"/>
  <c r="BL273" i="3"/>
  <c r="BL274" i="3"/>
  <c r="BL275" i="3"/>
  <c r="BL276" i="3"/>
  <c r="BL277" i="3"/>
  <c r="BL278" i="3"/>
  <c r="BL279" i="3"/>
  <c r="BL280" i="3"/>
  <c r="BL281" i="3"/>
  <c r="BL282" i="3"/>
  <c r="BL283" i="3"/>
  <c r="BL284" i="3"/>
  <c r="BL285" i="3"/>
  <c r="BL286" i="3"/>
  <c r="BL287" i="3"/>
  <c r="BL288" i="3"/>
  <c r="BL289" i="3"/>
  <c r="BL290" i="3"/>
  <c r="BL291" i="3"/>
  <c r="BL292" i="3"/>
  <c r="BL293" i="3"/>
  <c r="BL294" i="3"/>
  <c r="BL295" i="3"/>
  <c r="BL296" i="3"/>
  <c r="BL297" i="3"/>
  <c r="BL298" i="3"/>
  <c r="BL299" i="3"/>
  <c r="BL300" i="3"/>
  <c r="BL301" i="3"/>
  <c r="BL302" i="3"/>
  <c r="BL303" i="3"/>
  <c r="BL304" i="3"/>
  <c r="BL305" i="3"/>
  <c r="BL306" i="3"/>
  <c r="BL307" i="3"/>
  <c r="BL308" i="3"/>
  <c r="BL309" i="3"/>
  <c r="BL310" i="3"/>
  <c r="BL311" i="3"/>
  <c r="BL312" i="3"/>
  <c r="BL313" i="3"/>
  <c r="BL314" i="3"/>
  <c r="BL315" i="3"/>
  <c r="BL316" i="3"/>
  <c r="BL317" i="3"/>
  <c r="BL318" i="3"/>
  <c r="BL319" i="3"/>
  <c r="BL320" i="3"/>
  <c r="BL373" i="3"/>
  <c r="BL678" i="3"/>
  <c r="BG12" i="3"/>
  <c r="BG13" i="3"/>
  <c r="BG14" i="3"/>
  <c r="BG15" i="3"/>
  <c r="BG16" i="3"/>
  <c r="BG17" i="3"/>
  <c r="BG18" i="3"/>
  <c r="BG19" i="3"/>
  <c r="BG20" i="3"/>
  <c r="BG21" i="3"/>
  <c r="BG22" i="3"/>
  <c r="BG23" i="3"/>
  <c r="BG24" i="3"/>
  <c r="BG25" i="3"/>
  <c r="BG26" i="3"/>
  <c r="BG27" i="3"/>
  <c r="BG28" i="3"/>
  <c r="BG29" i="3"/>
  <c r="BG30" i="3"/>
  <c r="BG31" i="3"/>
  <c r="BG32" i="3"/>
  <c r="BG33" i="3"/>
  <c r="BG34" i="3"/>
  <c r="BG35" i="3"/>
  <c r="BG36" i="3"/>
  <c r="BG37" i="3"/>
  <c r="BG38" i="3"/>
  <c r="BG39" i="3"/>
  <c r="BG40" i="3"/>
  <c r="BG41" i="3"/>
  <c r="BG42" i="3"/>
  <c r="BG43" i="3"/>
  <c r="BG44" i="3"/>
  <c r="BG45" i="3"/>
  <c r="BG46" i="3"/>
  <c r="BG47" i="3"/>
  <c r="BG48" i="3"/>
  <c r="BG49" i="3"/>
  <c r="BG50" i="3"/>
  <c r="BG51" i="3"/>
  <c r="BG52" i="3"/>
  <c r="BG53" i="3"/>
  <c r="BG54" i="3"/>
  <c r="BG55" i="3"/>
  <c r="BG56" i="3"/>
  <c r="BG57" i="3"/>
  <c r="BG58" i="3"/>
  <c r="BG59" i="3"/>
  <c r="BG60" i="3"/>
  <c r="BG61" i="3"/>
  <c r="BG62" i="3"/>
  <c r="BG63" i="3"/>
  <c r="BG64" i="3"/>
  <c r="BG65" i="3"/>
  <c r="BG66" i="3"/>
  <c r="BG67" i="3"/>
  <c r="BG68" i="3"/>
  <c r="BG69" i="3"/>
  <c r="BG70" i="3"/>
  <c r="BG71" i="3"/>
  <c r="BG72" i="3"/>
  <c r="BG73" i="3"/>
  <c r="BG74" i="3"/>
  <c r="BG75" i="3"/>
  <c r="BG76" i="3"/>
  <c r="BG77" i="3"/>
  <c r="BG78" i="3"/>
  <c r="BG79" i="3"/>
  <c r="BG80" i="3"/>
  <c r="BG81" i="3"/>
  <c r="BG82" i="3"/>
  <c r="BG83" i="3"/>
  <c r="BG84" i="3"/>
  <c r="BG85" i="3"/>
  <c r="BG86" i="3"/>
  <c r="BG87" i="3"/>
  <c r="BG88" i="3"/>
  <c r="BG89" i="3"/>
  <c r="BG90" i="3"/>
  <c r="BG91" i="3"/>
  <c r="BG92" i="3"/>
  <c r="BG93" i="3"/>
  <c r="BG94" i="3"/>
  <c r="BG95" i="3"/>
  <c r="BG96" i="3"/>
  <c r="BG97" i="3"/>
  <c r="BG98" i="3"/>
  <c r="BG99" i="3"/>
  <c r="BG100" i="3"/>
  <c r="BG101" i="3"/>
  <c r="BG102" i="3"/>
  <c r="BG103" i="3"/>
  <c r="BG104" i="3"/>
  <c r="BG105" i="3"/>
  <c r="BG106" i="3"/>
  <c r="BG107" i="3"/>
  <c r="BG108" i="3"/>
  <c r="BG109" i="3"/>
  <c r="BG110" i="3"/>
  <c r="BG111" i="3"/>
  <c r="BG112" i="3"/>
  <c r="BG113" i="3"/>
  <c r="BG114" i="3"/>
  <c r="BG115" i="3"/>
  <c r="BG116" i="3"/>
  <c r="BG117" i="3"/>
  <c r="BG118" i="3"/>
  <c r="BG119" i="3"/>
  <c r="BG120" i="3"/>
  <c r="BG121" i="3"/>
  <c r="BG122" i="3"/>
  <c r="BG123" i="3"/>
  <c r="BG124" i="3"/>
  <c r="BG125" i="3"/>
  <c r="BG126" i="3"/>
  <c r="BG127" i="3"/>
  <c r="BG128" i="3"/>
  <c r="BG129" i="3"/>
  <c r="BG130" i="3"/>
  <c r="BG131" i="3"/>
  <c r="BG132" i="3"/>
  <c r="BG133" i="3"/>
  <c r="BG134" i="3"/>
  <c r="BG135" i="3"/>
  <c r="BG136" i="3"/>
  <c r="BG137" i="3"/>
  <c r="BG138" i="3"/>
  <c r="BG139" i="3"/>
  <c r="BG140" i="3"/>
  <c r="BG141" i="3"/>
  <c r="BG142" i="3"/>
  <c r="BG143" i="3"/>
  <c r="BG144" i="3"/>
  <c r="BG145" i="3"/>
  <c r="BG146" i="3"/>
  <c r="BG147" i="3"/>
  <c r="BG148" i="3"/>
  <c r="BG149" i="3"/>
  <c r="BG150" i="3"/>
  <c r="BG151" i="3"/>
  <c r="BG152" i="3"/>
  <c r="BG153" i="3"/>
  <c r="BG154" i="3"/>
  <c r="BG155" i="3"/>
  <c r="BG156" i="3"/>
  <c r="BG157" i="3"/>
  <c r="BG158" i="3"/>
  <c r="BG159" i="3"/>
  <c r="BG160" i="3"/>
  <c r="BG161" i="3"/>
  <c r="BG162" i="3"/>
  <c r="BG163" i="3"/>
  <c r="BG164" i="3"/>
  <c r="BG165" i="3"/>
  <c r="BG166" i="3"/>
  <c r="BG167" i="3"/>
  <c r="BG168" i="3"/>
  <c r="BG169" i="3"/>
  <c r="BG170" i="3"/>
  <c r="BG171" i="3"/>
  <c r="BG172" i="3"/>
  <c r="BG173" i="3"/>
  <c r="BG174" i="3"/>
  <c r="BG175" i="3"/>
  <c r="BG176" i="3"/>
  <c r="BG177" i="3"/>
  <c r="BG178" i="3"/>
  <c r="BG179" i="3"/>
  <c r="BG180" i="3"/>
  <c r="BG181" i="3"/>
  <c r="BG182" i="3"/>
  <c r="BG183" i="3"/>
  <c r="BG184" i="3"/>
  <c r="BG185" i="3"/>
  <c r="BG186" i="3"/>
  <c r="BG187" i="3"/>
  <c r="BG188" i="3"/>
  <c r="BG189" i="3"/>
  <c r="BG190" i="3"/>
  <c r="BG191" i="3"/>
  <c r="BG192" i="3"/>
  <c r="BG193" i="3"/>
  <c r="BG194" i="3"/>
  <c r="BG195" i="3"/>
  <c r="BG196" i="3"/>
  <c r="BG197" i="3"/>
  <c r="BG198" i="3"/>
  <c r="BG199" i="3"/>
  <c r="BG200" i="3"/>
  <c r="BG201" i="3"/>
  <c r="BG202" i="3"/>
  <c r="BG203" i="3"/>
  <c r="BG204" i="3"/>
  <c r="BG205" i="3"/>
  <c r="BG206" i="3"/>
  <c r="BG207" i="3"/>
  <c r="BG208" i="3"/>
  <c r="BG209" i="3"/>
  <c r="BG210" i="3"/>
  <c r="BG211" i="3"/>
  <c r="BG212" i="3"/>
  <c r="BG213" i="3"/>
  <c r="BG214" i="3"/>
  <c r="BG215" i="3"/>
  <c r="BG216" i="3"/>
  <c r="BG217" i="3"/>
  <c r="BG218" i="3"/>
  <c r="BG219" i="3"/>
  <c r="BG220" i="3"/>
  <c r="BG221" i="3"/>
  <c r="BG222" i="3"/>
  <c r="BG223" i="3"/>
  <c r="BG224" i="3"/>
  <c r="BG225" i="3"/>
  <c r="BG226" i="3"/>
  <c r="BG227" i="3"/>
  <c r="BG228" i="3"/>
  <c r="BG229" i="3"/>
  <c r="BG230" i="3"/>
  <c r="BG231" i="3"/>
  <c r="BG232" i="3"/>
  <c r="BG233" i="3"/>
  <c r="BG234" i="3"/>
  <c r="BG235" i="3"/>
  <c r="BG236" i="3"/>
  <c r="BG237" i="3"/>
  <c r="BG238" i="3"/>
  <c r="BG239" i="3"/>
  <c r="BG240" i="3"/>
  <c r="BG241" i="3"/>
  <c r="BG242" i="3"/>
  <c r="BG243" i="3"/>
  <c r="BG244" i="3"/>
  <c r="BG245" i="3"/>
  <c r="BG246" i="3"/>
  <c r="BG247" i="3"/>
  <c r="BG248" i="3"/>
  <c r="BG249" i="3"/>
  <c r="BG250" i="3"/>
  <c r="BG251" i="3"/>
  <c r="BG252" i="3"/>
  <c r="BG253" i="3"/>
  <c r="BG254" i="3"/>
  <c r="BG255" i="3"/>
  <c r="BG256" i="3"/>
  <c r="BG257" i="3"/>
  <c r="BG258" i="3"/>
  <c r="BG259" i="3"/>
  <c r="BG260" i="3"/>
  <c r="BG261" i="3"/>
  <c r="BG262" i="3"/>
  <c r="BG263" i="3"/>
  <c r="BG264" i="3"/>
  <c r="BG265" i="3"/>
  <c r="BG266" i="3"/>
  <c r="BG267" i="3"/>
  <c r="BG268" i="3"/>
  <c r="BG269" i="3"/>
  <c r="BG270" i="3"/>
  <c r="BG271" i="3"/>
  <c r="BG272" i="3"/>
  <c r="BG273" i="3"/>
  <c r="BG274" i="3"/>
  <c r="BG275" i="3"/>
  <c r="BG276" i="3"/>
  <c r="BG277" i="3"/>
  <c r="BG278" i="3"/>
  <c r="BG279" i="3"/>
  <c r="BG280" i="3"/>
  <c r="BG281" i="3"/>
  <c r="BG282" i="3"/>
  <c r="BG283" i="3"/>
  <c r="BG284" i="3"/>
  <c r="BG285" i="3"/>
  <c r="BG286" i="3"/>
  <c r="BG287" i="3"/>
  <c r="BG288" i="3"/>
  <c r="BG289" i="3"/>
  <c r="BG290" i="3"/>
  <c r="BG291" i="3"/>
  <c r="BG292" i="3"/>
  <c r="BG293" i="3"/>
  <c r="BG294" i="3"/>
  <c r="BG295" i="3"/>
  <c r="BG296" i="3"/>
  <c r="BG297" i="3"/>
  <c r="BG298" i="3"/>
  <c r="BG299" i="3"/>
  <c r="BG300" i="3"/>
  <c r="BG301" i="3"/>
  <c r="BG302" i="3"/>
  <c r="BG303" i="3"/>
  <c r="BG304" i="3"/>
  <c r="BG305" i="3"/>
  <c r="BG306" i="3"/>
  <c r="BG307" i="3"/>
  <c r="BG308" i="3"/>
  <c r="BG309" i="3"/>
  <c r="BG310" i="3"/>
  <c r="BG311" i="3"/>
  <c r="BG312" i="3"/>
  <c r="BG313" i="3"/>
  <c r="BG314" i="3"/>
  <c r="BG315" i="3"/>
  <c r="BG316" i="3"/>
  <c r="BG317" i="3"/>
  <c r="BG318" i="3"/>
  <c r="BG319" i="3"/>
  <c r="BG320" i="3"/>
  <c r="BG373" i="3"/>
  <c r="BG678" i="3"/>
  <c r="BC12" i="3"/>
  <c r="BC13" i="3"/>
  <c r="BC14" i="3"/>
  <c r="BC15" i="3"/>
  <c r="BC16" i="3"/>
  <c r="BC17" i="3"/>
  <c r="BC18" i="3"/>
  <c r="BC19" i="3"/>
  <c r="BC20" i="3"/>
  <c r="BC21" i="3"/>
  <c r="BC22" i="3"/>
  <c r="BC23" i="3"/>
  <c r="BC24" i="3"/>
  <c r="BC25" i="3"/>
  <c r="BC26" i="3"/>
  <c r="BC27" i="3"/>
  <c r="BC28" i="3"/>
  <c r="BC29" i="3"/>
  <c r="BC30" i="3"/>
  <c r="BC31" i="3"/>
  <c r="BC32" i="3"/>
  <c r="BC33" i="3"/>
  <c r="BC34" i="3"/>
  <c r="BC35" i="3"/>
  <c r="BC36" i="3"/>
  <c r="BC37" i="3"/>
  <c r="BC38" i="3"/>
  <c r="BC39" i="3"/>
  <c r="BC40" i="3"/>
  <c r="BC41" i="3"/>
  <c r="BC42" i="3"/>
  <c r="BC43" i="3"/>
  <c r="BC44" i="3"/>
  <c r="BC45" i="3"/>
  <c r="BC46" i="3"/>
  <c r="BC47" i="3"/>
  <c r="BC48" i="3"/>
  <c r="BC49" i="3"/>
  <c r="BC50" i="3"/>
  <c r="BC51" i="3"/>
  <c r="BC52" i="3"/>
  <c r="BC53" i="3"/>
  <c r="BC54" i="3"/>
  <c r="BC55" i="3"/>
  <c r="BC56" i="3"/>
  <c r="BC57" i="3"/>
  <c r="BC58" i="3"/>
  <c r="BC59" i="3"/>
  <c r="BC60" i="3"/>
  <c r="BC61" i="3"/>
  <c r="BC62" i="3"/>
  <c r="BC63" i="3"/>
  <c r="BC64" i="3"/>
  <c r="BC65" i="3"/>
  <c r="BC66" i="3"/>
  <c r="BC67" i="3"/>
  <c r="BC68" i="3"/>
  <c r="BC69" i="3"/>
  <c r="BC70" i="3"/>
  <c r="BC71" i="3"/>
  <c r="BC72" i="3"/>
  <c r="BC73" i="3"/>
  <c r="BC74" i="3"/>
  <c r="BC75" i="3"/>
  <c r="BC76" i="3"/>
  <c r="BC77" i="3"/>
  <c r="BC78" i="3"/>
  <c r="BC79" i="3"/>
  <c r="BC80" i="3"/>
  <c r="BC81" i="3"/>
  <c r="BC82" i="3"/>
  <c r="BC83" i="3"/>
  <c r="BC84" i="3"/>
  <c r="BC85" i="3"/>
  <c r="BC86" i="3"/>
  <c r="BC87" i="3"/>
  <c r="BC88" i="3"/>
  <c r="BC89" i="3"/>
  <c r="BC90" i="3"/>
  <c r="BC91" i="3"/>
  <c r="BC92" i="3"/>
  <c r="BC93" i="3"/>
  <c r="BC94" i="3"/>
  <c r="BC95" i="3"/>
  <c r="BC96" i="3"/>
  <c r="BC97" i="3"/>
  <c r="BC98" i="3"/>
  <c r="BC99" i="3"/>
  <c r="BC100" i="3"/>
  <c r="BC101" i="3"/>
  <c r="BC102" i="3"/>
  <c r="BC103" i="3"/>
  <c r="BC104" i="3"/>
  <c r="BC105" i="3"/>
  <c r="BC106" i="3"/>
  <c r="BC107" i="3"/>
  <c r="BC108" i="3"/>
  <c r="BC109" i="3"/>
  <c r="BC110" i="3"/>
  <c r="BC111" i="3"/>
  <c r="BC112" i="3"/>
  <c r="BC113" i="3"/>
  <c r="BC114" i="3"/>
  <c r="BC115" i="3"/>
  <c r="BC116" i="3"/>
  <c r="BC117" i="3"/>
  <c r="BC118" i="3"/>
  <c r="BC119" i="3"/>
  <c r="BC120" i="3"/>
  <c r="BC121" i="3"/>
  <c r="BC122" i="3"/>
  <c r="BC123" i="3"/>
  <c r="BC124" i="3"/>
  <c r="BC125" i="3"/>
  <c r="BC126" i="3"/>
  <c r="BC127" i="3"/>
  <c r="BC128" i="3"/>
  <c r="BC129" i="3"/>
  <c r="BC130" i="3"/>
  <c r="BC131" i="3"/>
  <c r="BC132" i="3"/>
  <c r="BC133" i="3"/>
  <c r="BC134" i="3"/>
  <c r="BC135" i="3"/>
  <c r="BC136" i="3"/>
  <c r="BC137" i="3"/>
  <c r="BC138" i="3"/>
  <c r="BC139" i="3"/>
  <c r="BC140" i="3"/>
  <c r="BC141" i="3"/>
  <c r="BC142" i="3"/>
  <c r="BC143" i="3"/>
  <c r="BC144" i="3"/>
  <c r="BC145" i="3"/>
  <c r="BC146" i="3"/>
  <c r="BC147" i="3"/>
  <c r="BC148" i="3"/>
  <c r="BC149" i="3"/>
  <c r="BC150" i="3"/>
  <c r="BC151" i="3"/>
  <c r="BC152" i="3"/>
  <c r="BC153" i="3"/>
  <c r="BC154" i="3"/>
  <c r="BC155" i="3"/>
  <c r="BC156" i="3"/>
  <c r="BC157" i="3"/>
  <c r="BC158" i="3"/>
  <c r="BC159" i="3"/>
  <c r="BC160" i="3"/>
  <c r="BC161" i="3"/>
  <c r="BC162" i="3"/>
  <c r="BC163" i="3"/>
  <c r="BC164" i="3"/>
  <c r="BC165" i="3"/>
  <c r="BC166" i="3"/>
  <c r="BC167" i="3"/>
  <c r="BC168" i="3"/>
  <c r="BC169" i="3"/>
  <c r="BC170" i="3"/>
  <c r="BC171" i="3"/>
  <c r="BC172" i="3"/>
  <c r="BC173" i="3"/>
  <c r="BC174" i="3"/>
  <c r="BC175" i="3"/>
  <c r="BC176" i="3"/>
  <c r="BC177" i="3"/>
  <c r="BC178" i="3"/>
  <c r="BC179" i="3"/>
  <c r="BC180" i="3"/>
  <c r="BC181" i="3"/>
  <c r="BC182" i="3"/>
  <c r="BC183" i="3"/>
  <c r="BC184" i="3"/>
  <c r="BC185" i="3"/>
  <c r="BC186" i="3"/>
  <c r="BC187" i="3"/>
  <c r="BC188" i="3"/>
  <c r="BC189" i="3"/>
  <c r="BC190" i="3"/>
  <c r="BC191" i="3"/>
  <c r="BC192" i="3"/>
  <c r="BC193" i="3"/>
  <c r="BC194" i="3"/>
  <c r="BC195" i="3"/>
  <c r="BC196" i="3"/>
  <c r="BC197" i="3"/>
  <c r="BC198" i="3"/>
  <c r="BC199" i="3"/>
  <c r="BC200" i="3"/>
  <c r="BC201" i="3"/>
  <c r="BC202" i="3"/>
  <c r="BC203" i="3"/>
  <c r="BC204" i="3"/>
  <c r="BC205" i="3"/>
  <c r="BC206" i="3"/>
  <c r="BC207" i="3"/>
  <c r="BC208" i="3"/>
  <c r="BC209" i="3"/>
  <c r="BC210" i="3"/>
  <c r="BC211" i="3"/>
  <c r="BC212" i="3"/>
  <c r="BC213" i="3"/>
  <c r="BC214" i="3"/>
  <c r="BC215" i="3"/>
  <c r="BC216" i="3"/>
  <c r="BC217" i="3"/>
  <c r="BC218" i="3"/>
  <c r="BC219" i="3"/>
  <c r="BC220" i="3"/>
  <c r="BC221" i="3"/>
  <c r="BC222" i="3"/>
  <c r="BC223" i="3"/>
  <c r="BC224" i="3"/>
  <c r="BC225" i="3"/>
  <c r="BC226" i="3"/>
  <c r="BC227" i="3"/>
  <c r="BC228" i="3"/>
  <c r="BC229" i="3"/>
  <c r="BC230" i="3"/>
  <c r="BC231" i="3"/>
  <c r="BC232" i="3"/>
  <c r="BC233" i="3"/>
  <c r="BC234" i="3"/>
  <c r="BC235" i="3"/>
  <c r="BC236" i="3"/>
  <c r="BC237" i="3"/>
  <c r="BC238" i="3"/>
  <c r="BC239" i="3"/>
  <c r="BC240" i="3"/>
  <c r="BC241" i="3"/>
  <c r="BC242" i="3"/>
  <c r="BC243" i="3"/>
  <c r="BC244" i="3"/>
  <c r="BC245" i="3"/>
  <c r="BC246" i="3"/>
  <c r="BC247" i="3"/>
  <c r="BC248" i="3"/>
  <c r="BC249" i="3"/>
  <c r="BC250" i="3"/>
  <c r="BC251" i="3"/>
  <c r="BC252" i="3"/>
  <c r="BC253" i="3"/>
  <c r="BC254" i="3"/>
  <c r="BC255" i="3"/>
  <c r="BC256" i="3"/>
  <c r="BC257" i="3"/>
  <c r="BC258" i="3"/>
  <c r="BC259" i="3"/>
  <c r="BC260" i="3"/>
  <c r="BC261" i="3"/>
  <c r="BC262" i="3"/>
  <c r="BC263" i="3"/>
  <c r="BC264" i="3"/>
  <c r="BC265" i="3"/>
  <c r="BC266" i="3"/>
  <c r="BC267" i="3"/>
  <c r="BC268" i="3"/>
  <c r="BC269" i="3"/>
  <c r="BC270" i="3"/>
  <c r="BC271" i="3"/>
  <c r="BC272" i="3"/>
  <c r="BC273" i="3"/>
  <c r="BC274" i="3"/>
  <c r="BC275" i="3"/>
  <c r="BC276" i="3"/>
  <c r="BC277" i="3"/>
  <c r="BC278" i="3"/>
  <c r="BC279" i="3"/>
  <c r="BC280" i="3"/>
  <c r="BC281" i="3"/>
  <c r="BC282" i="3"/>
  <c r="BC283" i="3"/>
  <c r="BC284" i="3"/>
  <c r="BC285" i="3"/>
  <c r="BC286" i="3"/>
  <c r="BC287" i="3"/>
  <c r="BC288" i="3"/>
  <c r="BC289" i="3"/>
  <c r="BC290" i="3"/>
  <c r="BC291" i="3"/>
  <c r="BC292" i="3"/>
  <c r="BC293" i="3"/>
  <c r="BC294" i="3"/>
  <c r="BC295" i="3"/>
  <c r="BC296" i="3"/>
  <c r="BC297" i="3"/>
  <c r="BC298" i="3"/>
  <c r="BC299" i="3"/>
  <c r="BC300" i="3"/>
  <c r="BC301" i="3"/>
  <c r="BC302" i="3"/>
  <c r="BC303" i="3"/>
  <c r="BC304" i="3"/>
  <c r="BC305" i="3"/>
  <c r="BC306" i="3"/>
  <c r="BC307" i="3"/>
  <c r="BC308" i="3"/>
  <c r="BC309" i="3"/>
  <c r="BC310" i="3"/>
  <c r="BC311" i="3"/>
  <c r="BC312" i="3"/>
  <c r="BC313" i="3"/>
  <c r="BC314" i="3"/>
  <c r="BC315" i="3"/>
  <c r="BC316" i="3"/>
  <c r="BC317" i="3"/>
  <c r="BC318" i="3"/>
  <c r="BC319" i="3"/>
  <c r="BC320" i="3"/>
  <c r="BC373" i="3"/>
  <c r="BC678" i="3"/>
  <c r="AY12" i="3"/>
  <c r="AY13" i="3"/>
  <c r="AY14" i="3"/>
  <c r="AY15" i="3"/>
  <c r="AY16" i="3"/>
  <c r="AY17" i="3"/>
  <c r="AY18" i="3"/>
  <c r="AY19" i="3"/>
  <c r="AY20" i="3"/>
  <c r="AY21" i="3"/>
  <c r="AY22" i="3"/>
  <c r="AY23" i="3"/>
  <c r="AY24" i="3"/>
  <c r="AY25" i="3"/>
  <c r="AY26" i="3"/>
  <c r="AY27" i="3"/>
  <c r="AY28" i="3"/>
  <c r="AY29" i="3"/>
  <c r="AY30" i="3"/>
  <c r="AY31" i="3"/>
  <c r="AY32" i="3"/>
  <c r="AY33" i="3"/>
  <c r="AY34" i="3"/>
  <c r="AY35" i="3"/>
  <c r="AY36" i="3"/>
  <c r="AY37" i="3"/>
  <c r="AY38" i="3"/>
  <c r="AY39" i="3"/>
  <c r="AY40" i="3"/>
  <c r="AY41" i="3"/>
  <c r="AY42" i="3"/>
  <c r="AY43" i="3"/>
  <c r="AY44" i="3"/>
  <c r="AY45" i="3"/>
  <c r="AY46" i="3"/>
  <c r="AY47" i="3"/>
  <c r="AY48" i="3"/>
  <c r="AY49" i="3"/>
  <c r="AY50" i="3"/>
  <c r="AY51" i="3"/>
  <c r="AY52" i="3"/>
  <c r="AY53" i="3"/>
  <c r="AY54" i="3"/>
  <c r="AY55" i="3"/>
  <c r="AY56" i="3"/>
  <c r="AY57" i="3"/>
  <c r="AY58" i="3"/>
  <c r="AY59" i="3"/>
  <c r="AY60" i="3"/>
  <c r="AY61" i="3"/>
  <c r="AY62" i="3"/>
  <c r="AY63" i="3"/>
  <c r="AY64" i="3"/>
  <c r="AY65" i="3"/>
  <c r="AY66" i="3"/>
  <c r="AY67" i="3"/>
  <c r="AY68" i="3"/>
  <c r="AY69" i="3"/>
  <c r="AY70" i="3"/>
  <c r="AY71" i="3"/>
  <c r="AY72" i="3"/>
  <c r="AY73" i="3"/>
  <c r="AY74" i="3"/>
  <c r="AY75" i="3"/>
  <c r="AY76" i="3"/>
  <c r="AY77" i="3"/>
  <c r="AY78" i="3"/>
  <c r="AY79" i="3"/>
  <c r="AY80" i="3"/>
  <c r="AY81" i="3"/>
  <c r="AY82" i="3"/>
  <c r="AY83" i="3"/>
  <c r="AY84" i="3"/>
  <c r="AY85" i="3"/>
  <c r="AY86" i="3"/>
  <c r="AY87" i="3"/>
  <c r="AY88" i="3"/>
  <c r="AY89" i="3"/>
  <c r="AY90" i="3"/>
  <c r="AY91" i="3"/>
  <c r="AY92" i="3"/>
  <c r="AY93" i="3"/>
  <c r="AY94" i="3"/>
  <c r="AY95" i="3"/>
  <c r="AY96" i="3"/>
  <c r="AY97" i="3"/>
  <c r="AY98" i="3"/>
  <c r="AY99" i="3"/>
  <c r="AY100" i="3"/>
  <c r="AY101" i="3"/>
  <c r="AY102" i="3"/>
  <c r="AY103" i="3"/>
  <c r="AY104" i="3"/>
  <c r="AY105" i="3"/>
  <c r="AY106" i="3"/>
  <c r="AY107" i="3"/>
  <c r="AY108" i="3"/>
  <c r="AY109" i="3"/>
  <c r="AY110" i="3"/>
  <c r="AY111" i="3"/>
  <c r="AY112" i="3"/>
  <c r="AY113" i="3"/>
  <c r="AY114" i="3"/>
  <c r="AY115" i="3"/>
  <c r="AY116" i="3"/>
  <c r="AY117" i="3"/>
  <c r="AY118" i="3"/>
  <c r="AY119" i="3"/>
  <c r="AY120" i="3"/>
  <c r="AY121" i="3"/>
  <c r="AY122" i="3"/>
  <c r="AY123" i="3"/>
  <c r="AY124" i="3"/>
  <c r="AY125" i="3"/>
  <c r="AY126" i="3"/>
  <c r="AY127" i="3"/>
  <c r="AY128" i="3"/>
  <c r="AY129" i="3"/>
  <c r="AY130" i="3"/>
  <c r="AY131" i="3"/>
  <c r="AY132" i="3"/>
  <c r="AY133" i="3"/>
  <c r="AY134" i="3"/>
  <c r="AY135" i="3"/>
  <c r="AY136" i="3"/>
  <c r="AY137" i="3"/>
  <c r="AY138" i="3"/>
  <c r="AY139" i="3"/>
  <c r="AY140" i="3"/>
  <c r="AY141" i="3"/>
  <c r="AY142" i="3"/>
  <c r="AY143" i="3"/>
  <c r="AY144" i="3"/>
  <c r="AY145" i="3"/>
  <c r="AY146" i="3"/>
  <c r="AY147" i="3"/>
  <c r="AY148" i="3"/>
  <c r="AY149" i="3"/>
  <c r="AY150" i="3"/>
  <c r="AY151" i="3"/>
  <c r="AY152" i="3"/>
  <c r="AY153" i="3"/>
  <c r="AY154" i="3"/>
  <c r="AY155" i="3"/>
  <c r="AY156" i="3"/>
  <c r="AY157" i="3"/>
  <c r="AY158" i="3"/>
  <c r="AY159" i="3"/>
  <c r="AY160" i="3"/>
  <c r="AY161" i="3"/>
  <c r="AY162" i="3"/>
  <c r="AY163" i="3"/>
  <c r="AY164" i="3"/>
  <c r="AY165" i="3"/>
  <c r="AY166" i="3"/>
  <c r="AY167" i="3"/>
  <c r="AY168" i="3"/>
  <c r="AY169" i="3"/>
  <c r="AY170" i="3"/>
  <c r="AY171" i="3"/>
  <c r="AY172" i="3"/>
  <c r="AY173" i="3"/>
  <c r="AY174" i="3"/>
  <c r="AY175" i="3"/>
  <c r="AY176" i="3"/>
  <c r="AY177" i="3"/>
  <c r="AY178" i="3"/>
  <c r="AY179" i="3"/>
  <c r="AY180" i="3"/>
  <c r="AY181" i="3"/>
  <c r="AY182" i="3"/>
  <c r="AY183" i="3"/>
  <c r="AY184" i="3"/>
  <c r="AY185" i="3"/>
  <c r="AY186" i="3"/>
  <c r="AY187" i="3"/>
  <c r="AY188" i="3"/>
  <c r="AY189" i="3"/>
  <c r="AY190" i="3"/>
  <c r="AY191" i="3"/>
  <c r="AY192" i="3"/>
  <c r="AY193" i="3"/>
  <c r="AY194" i="3"/>
  <c r="AY195" i="3"/>
  <c r="AY196" i="3"/>
  <c r="AY197" i="3"/>
  <c r="AY198" i="3"/>
  <c r="AY199" i="3"/>
  <c r="AY200" i="3"/>
  <c r="AY201" i="3"/>
  <c r="AY202" i="3"/>
  <c r="AY203" i="3"/>
  <c r="AY204" i="3"/>
  <c r="AY205" i="3"/>
  <c r="AY206" i="3"/>
  <c r="AY207" i="3"/>
  <c r="AY208" i="3"/>
  <c r="AY209" i="3"/>
  <c r="AY210" i="3"/>
  <c r="AY211" i="3"/>
  <c r="AY212" i="3"/>
  <c r="AY213" i="3"/>
  <c r="AY214" i="3"/>
  <c r="AY215" i="3"/>
  <c r="AY216" i="3"/>
  <c r="AY217" i="3"/>
  <c r="AY218" i="3"/>
  <c r="AY219" i="3"/>
  <c r="AY220" i="3"/>
  <c r="AY221" i="3"/>
  <c r="AY222" i="3"/>
  <c r="AY223" i="3"/>
  <c r="AY224" i="3"/>
  <c r="AY225" i="3"/>
  <c r="AY226" i="3"/>
  <c r="AY227" i="3"/>
  <c r="AY228" i="3"/>
  <c r="AY229" i="3"/>
  <c r="AY230" i="3"/>
  <c r="AY231" i="3"/>
  <c r="AY232" i="3"/>
  <c r="AY233" i="3"/>
  <c r="AY234" i="3"/>
  <c r="AY235" i="3"/>
  <c r="AY236" i="3"/>
  <c r="AY237" i="3"/>
  <c r="AY238" i="3"/>
  <c r="AY239" i="3"/>
  <c r="AY240" i="3"/>
  <c r="AY241" i="3"/>
  <c r="AY242" i="3"/>
  <c r="AY243" i="3"/>
  <c r="AY244" i="3"/>
  <c r="AY245" i="3"/>
  <c r="AY246" i="3"/>
  <c r="AY247" i="3"/>
  <c r="AY248" i="3"/>
  <c r="AY249" i="3"/>
  <c r="AY250" i="3"/>
  <c r="AY251" i="3"/>
  <c r="AY252" i="3"/>
  <c r="AY253" i="3"/>
  <c r="AY254" i="3"/>
  <c r="AY255" i="3"/>
  <c r="AY256" i="3"/>
  <c r="AY257" i="3"/>
  <c r="AY258" i="3"/>
  <c r="AY259" i="3"/>
  <c r="AY260" i="3"/>
  <c r="AY261" i="3"/>
  <c r="AY262" i="3"/>
  <c r="AY263" i="3"/>
  <c r="AY264" i="3"/>
  <c r="AY265" i="3"/>
  <c r="AY266" i="3"/>
  <c r="AY267" i="3"/>
  <c r="AY268" i="3"/>
  <c r="AY269" i="3"/>
  <c r="AY270" i="3"/>
  <c r="AY271" i="3"/>
  <c r="AY272" i="3"/>
  <c r="AY273" i="3"/>
  <c r="AY274" i="3"/>
  <c r="AY275" i="3"/>
  <c r="AY276" i="3"/>
  <c r="AY277" i="3"/>
  <c r="AY278" i="3"/>
  <c r="AY279" i="3"/>
  <c r="AY280" i="3"/>
  <c r="AY281" i="3"/>
  <c r="AY282" i="3"/>
  <c r="AY283" i="3"/>
  <c r="AY284" i="3"/>
  <c r="AY285" i="3"/>
  <c r="AY286" i="3"/>
  <c r="AY287" i="3"/>
  <c r="AY288" i="3"/>
  <c r="AY289" i="3"/>
  <c r="AY290" i="3"/>
  <c r="AY291" i="3"/>
  <c r="AY292" i="3"/>
  <c r="AY293" i="3"/>
  <c r="AY294" i="3"/>
  <c r="AY295" i="3"/>
  <c r="AY296" i="3"/>
  <c r="AY297" i="3"/>
  <c r="AY298" i="3"/>
  <c r="AY299" i="3"/>
  <c r="AY300" i="3"/>
  <c r="AY301" i="3"/>
  <c r="AY302" i="3"/>
  <c r="AY303" i="3"/>
  <c r="AY304" i="3"/>
  <c r="AY305" i="3"/>
  <c r="AY306" i="3"/>
  <c r="AY307" i="3"/>
  <c r="AY308" i="3"/>
  <c r="AY309" i="3"/>
  <c r="AY310" i="3"/>
  <c r="AY311" i="3"/>
  <c r="AY312" i="3"/>
  <c r="AY313" i="3"/>
  <c r="AY314" i="3"/>
  <c r="AY315" i="3"/>
  <c r="AY316" i="3"/>
  <c r="AY317" i="3"/>
  <c r="AY318" i="3"/>
  <c r="AY319" i="3"/>
  <c r="AY320" i="3"/>
  <c r="AY373" i="3"/>
  <c r="AY678" i="3"/>
  <c r="AT12" i="3"/>
  <c r="AT13" i="3"/>
  <c r="AT14" i="3"/>
  <c r="AT15" i="3"/>
  <c r="AT16" i="3"/>
  <c r="AT17" i="3"/>
  <c r="AT18" i="3"/>
  <c r="AT19" i="3"/>
  <c r="AT20" i="3"/>
  <c r="AT21" i="3"/>
  <c r="AT22" i="3"/>
  <c r="AT23" i="3"/>
  <c r="AT24" i="3"/>
  <c r="AT25" i="3"/>
  <c r="AT26" i="3"/>
  <c r="AT27" i="3"/>
  <c r="AT28" i="3"/>
  <c r="AT29" i="3"/>
  <c r="AT30" i="3"/>
  <c r="AT31" i="3"/>
  <c r="AT32" i="3"/>
  <c r="AT33" i="3"/>
  <c r="AT34" i="3"/>
  <c r="AT35" i="3"/>
  <c r="AT36" i="3"/>
  <c r="AT37" i="3"/>
  <c r="AT38" i="3"/>
  <c r="AT39" i="3"/>
  <c r="AT40" i="3"/>
  <c r="AT41" i="3"/>
  <c r="AT42" i="3"/>
  <c r="AT43" i="3"/>
  <c r="AT44" i="3"/>
  <c r="AT45" i="3"/>
  <c r="AT46" i="3"/>
  <c r="AT47" i="3"/>
  <c r="AT48" i="3"/>
  <c r="AT49" i="3"/>
  <c r="AT50" i="3"/>
  <c r="AT51" i="3"/>
  <c r="AT52" i="3"/>
  <c r="AT53" i="3"/>
  <c r="AT54" i="3"/>
  <c r="AT55" i="3"/>
  <c r="AT56" i="3"/>
  <c r="AT57" i="3"/>
  <c r="AT58" i="3"/>
  <c r="AT59" i="3"/>
  <c r="AT60" i="3"/>
  <c r="AT61" i="3"/>
  <c r="AT62" i="3"/>
  <c r="AT63" i="3"/>
  <c r="AT64" i="3"/>
  <c r="AT65" i="3"/>
  <c r="AT66" i="3"/>
  <c r="AT67" i="3"/>
  <c r="AT68" i="3"/>
  <c r="AT69" i="3"/>
  <c r="AT70" i="3"/>
  <c r="AT71" i="3"/>
  <c r="AT72" i="3"/>
  <c r="AT73" i="3"/>
  <c r="AT74" i="3"/>
  <c r="AT75" i="3"/>
  <c r="AT76" i="3"/>
  <c r="AT77" i="3"/>
  <c r="AT78" i="3"/>
  <c r="AT79" i="3"/>
  <c r="AT80" i="3"/>
  <c r="AT81" i="3"/>
  <c r="AT82" i="3"/>
  <c r="AT83" i="3"/>
  <c r="AT84" i="3"/>
  <c r="AT85" i="3"/>
  <c r="AT86" i="3"/>
  <c r="AT87" i="3"/>
  <c r="AT88" i="3"/>
  <c r="AT89" i="3"/>
  <c r="AT90" i="3"/>
  <c r="AT91" i="3"/>
  <c r="AT92" i="3"/>
  <c r="AT93" i="3"/>
  <c r="AT94" i="3"/>
  <c r="AT95" i="3"/>
  <c r="AT96" i="3"/>
  <c r="AT97" i="3"/>
  <c r="AT98" i="3"/>
  <c r="AT99" i="3"/>
  <c r="AT100" i="3"/>
  <c r="AT101" i="3"/>
  <c r="AT102" i="3"/>
  <c r="AT103" i="3"/>
  <c r="AT104" i="3"/>
  <c r="AT105" i="3"/>
  <c r="AT106" i="3"/>
  <c r="AT107" i="3"/>
  <c r="AT108" i="3"/>
  <c r="AT109" i="3"/>
  <c r="AT110" i="3"/>
  <c r="AT111" i="3"/>
  <c r="AT112" i="3"/>
  <c r="AT113" i="3"/>
  <c r="AT114" i="3"/>
  <c r="AT115" i="3"/>
  <c r="AT116" i="3"/>
  <c r="AT117" i="3"/>
  <c r="AT118" i="3"/>
  <c r="AT119" i="3"/>
  <c r="AT120" i="3"/>
  <c r="AT121" i="3"/>
  <c r="AT122" i="3"/>
  <c r="AT123" i="3"/>
  <c r="AT124" i="3"/>
  <c r="AT125" i="3"/>
  <c r="AT126" i="3"/>
  <c r="AT127" i="3"/>
  <c r="AT128" i="3"/>
  <c r="AT129" i="3"/>
  <c r="AT130" i="3"/>
  <c r="AT131" i="3"/>
  <c r="AT132" i="3"/>
  <c r="AT133" i="3"/>
  <c r="AT134" i="3"/>
  <c r="AT135" i="3"/>
  <c r="AT136" i="3"/>
  <c r="AT137" i="3"/>
  <c r="AT138" i="3"/>
  <c r="AT139" i="3"/>
  <c r="AT140" i="3"/>
  <c r="AT141" i="3"/>
  <c r="AT142" i="3"/>
  <c r="AT143" i="3"/>
  <c r="AT144" i="3"/>
  <c r="AT145" i="3"/>
  <c r="AT146" i="3"/>
  <c r="AT147" i="3"/>
  <c r="AT148" i="3"/>
  <c r="AT149" i="3"/>
  <c r="AT150" i="3"/>
  <c r="AT151" i="3"/>
  <c r="AT152" i="3"/>
  <c r="AT153" i="3"/>
  <c r="AT154" i="3"/>
  <c r="AT155" i="3"/>
  <c r="AT156" i="3"/>
  <c r="AT157" i="3"/>
  <c r="AT158" i="3"/>
  <c r="AT159" i="3"/>
  <c r="AT160" i="3"/>
  <c r="AT161" i="3"/>
  <c r="AT162" i="3"/>
  <c r="AT163" i="3"/>
  <c r="AT164" i="3"/>
  <c r="AT165" i="3"/>
  <c r="AT166" i="3"/>
  <c r="AT167" i="3"/>
  <c r="AT168" i="3"/>
  <c r="AT169" i="3"/>
  <c r="AT170" i="3"/>
  <c r="AT171" i="3"/>
  <c r="AT172" i="3"/>
  <c r="AT173" i="3"/>
  <c r="AT174" i="3"/>
  <c r="AT175" i="3"/>
  <c r="AT176" i="3"/>
  <c r="AT177" i="3"/>
  <c r="AT178" i="3"/>
  <c r="AT179" i="3"/>
  <c r="AT180" i="3"/>
  <c r="AT181" i="3"/>
  <c r="AT182" i="3"/>
  <c r="AT183" i="3"/>
  <c r="AT184" i="3"/>
  <c r="AT185" i="3"/>
  <c r="AT186" i="3"/>
  <c r="AT187" i="3"/>
  <c r="AT188" i="3"/>
  <c r="AT189" i="3"/>
  <c r="AT190" i="3"/>
  <c r="AT191" i="3"/>
  <c r="AT192" i="3"/>
  <c r="AT193" i="3"/>
  <c r="AT194" i="3"/>
  <c r="AT195" i="3"/>
  <c r="AT196" i="3"/>
  <c r="AT197" i="3"/>
  <c r="AT198" i="3"/>
  <c r="AT199" i="3"/>
  <c r="AT200" i="3"/>
  <c r="AT201" i="3"/>
  <c r="AT202" i="3"/>
  <c r="AT203" i="3"/>
  <c r="AT204" i="3"/>
  <c r="AT205" i="3"/>
  <c r="AT206" i="3"/>
  <c r="AT207" i="3"/>
  <c r="AT208" i="3"/>
  <c r="AT209" i="3"/>
  <c r="AT210" i="3"/>
  <c r="AT211" i="3"/>
  <c r="AT212" i="3"/>
  <c r="AT213" i="3"/>
  <c r="AT214" i="3"/>
  <c r="AT215" i="3"/>
  <c r="AT216" i="3"/>
  <c r="AT217" i="3"/>
  <c r="AT218" i="3"/>
  <c r="AT219" i="3"/>
  <c r="AT220" i="3"/>
  <c r="AT221" i="3"/>
  <c r="AT222" i="3"/>
  <c r="AT223" i="3"/>
  <c r="AT224" i="3"/>
  <c r="AT225" i="3"/>
  <c r="AT226" i="3"/>
  <c r="AT227" i="3"/>
  <c r="AT228" i="3"/>
  <c r="AT229" i="3"/>
  <c r="AT230" i="3"/>
  <c r="AT231" i="3"/>
  <c r="AT232" i="3"/>
  <c r="AT233" i="3"/>
  <c r="AT234" i="3"/>
  <c r="AT235" i="3"/>
  <c r="AT236" i="3"/>
  <c r="AT237" i="3"/>
  <c r="AT238" i="3"/>
  <c r="AT239" i="3"/>
  <c r="AT240" i="3"/>
  <c r="AT241" i="3"/>
  <c r="AT242" i="3"/>
  <c r="AT243" i="3"/>
  <c r="AT244" i="3"/>
  <c r="AT245" i="3"/>
  <c r="AT246" i="3"/>
  <c r="AT247" i="3"/>
  <c r="AT248" i="3"/>
  <c r="AT249" i="3"/>
  <c r="AT250" i="3"/>
  <c r="AT251" i="3"/>
  <c r="AT252" i="3"/>
  <c r="AT253" i="3"/>
  <c r="AT254" i="3"/>
  <c r="AT255" i="3"/>
  <c r="AT256" i="3"/>
  <c r="AT257" i="3"/>
  <c r="AT258" i="3"/>
  <c r="AT259" i="3"/>
  <c r="AT260" i="3"/>
  <c r="AT261" i="3"/>
  <c r="AT262" i="3"/>
  <c r="AT263" i="3"/>
  <c r="AT264" i="3"/>
  <c r="AT265" i="3"/>
  <c r="AT266" i="3"/>
  <c r="AT267" i="3"/>
  <c r="AT268" i="3"/>
  <c r="AT269" i="3"/>
  <c r="AT270" i="3"/>
  <c r="AT271" i="3"/>
  <c r="AT272" i="3"/>
  <c r="AT273" i="3"/>
  <c r="AT274" i="3"/>
  <c r="AT275" i="3"/>
  <c r="AT276" i="3"/>
  <c r="AT277" i="3"/>
  <c r="AT278" i="3"/>
  <c r="AT279" i="3"/>
  <c r="AT280" i="3"/>
  <c r="AT281" i="3"/>
  <c r="AT282" i="3"/>
  <c r="AT283" i="3"/>
  <c r="AT284" i="3"/>
  <c r="AT285" i="3"/>
  <c r="AT286" i="3"/>
  <c r="AT287" i="3"/>
  <c r="AT288" i="3"/>
  <c r="AT289" i="3"/>
  <c r="AT290" i="3"/>
  <c r="AT291" i="3"/>
  <c r="AT292" i="3"/>
  <c r="AT293" i="3"/>
  <c r="AT294" i="3"/>
  <c r="AT295" i="3"/>
  <c r="AT296" i="3"/>
  <c r="AT297" i="3"/>
  <c r="AT298" i="3"/>
  <c r="AT299" i="3"/>
  <c r="AT300" i="3"/>
  <c r="AT301" i="3"/>
  <c r="AT302" i="3"/>
  <c r="AT303" i="3"/>
  <c r="AT304" i="3"/>
  <c r="AT305" i="3"/>
  <c r="AT306" i="3"/>
  <c r="AT307" i="3"/>
  <c r="AT308" i="3"/>
  <c r="AT309" i="3"/>
  <c r="AT310" i="3"/>
  <c r="AT311" i="3"/>
  <c r="AT312" i="3"/>
  <c r="AT313" i="3"/>
  <c r="AT314" i="3"/>
  <c r="AT315" i="3"/>
  <c r="AT316" i="3"/>
  <c r="AT317" i="3"/>
  <c r="AT318" i="3"/>
  <c r="AT319" i="3"/>
  <c r="AT320" i="3"/>
  <c r="AT373" i="3"/>
  <c r="AT678" i="3"/>
  <c r="AP12" i="3"/>
  <c r="AP13" i="3"/>
  <c r="AP14" i="3"/>
  <c r="AP15" i="3"/>
  <c r="AP16" i="3"/>
  <c r="AP17" i="3"/>
  <c r="AP18" i="3"/>
  <c r="AP19" i="3"/>
  <c r="AP20" i="3"/>
  <c r="AP21" i="3"/>
  <c r="AP22" i="3"/>
  <c r="AP23" i="3"/>
  <c r="AP24" i="3"/>
  <c r="AP25" i="3"/>
  <c r="AP26" i="3"/>
  <c r="AP27" i="3"/>
  <c r="AP28" i="3"/>
  <c r="AP29" i="3"/>
  <c r="AP30" i="3"/>
  <c r="AP31" i="3"/>
  <c r="AP32" i="3"/>
  <c r="AP33" i="3"/>
  <c r="AP34" i="3"/>
  <c r="AP35" i="3"/>
  <c r="AP36" i="3"/>
  <c r="AP37" i="3"/>
  <c r="AP38" i="3"/>
  <c r="AP39" i="3"/>
  <c r="AP40" i="3"/>
  <c r="AP41" i="3"/>
  <c r="AP42" i="3"/>
  <c r="AP43" i="3"/>
  <c r="AP44" i="3"/>
  <c r="AP45" i="3"/>
  <c r="AP46" i="3"/>
  <c r="AP47" i="3"/>
  <c r="AP48" i="3"/>
  <c r="AP49" i="3"/>
  <c r="AP50" i="3"/>
  <c r="AP51" i="3"/>
  <c r="AP52" i="3"/>
  <c r="AP53" i="3"/>
  <c r="AP54" i="3"/>
  <c r="AP55" i="3"/>
  <c r="AP56" i="3"/>
  <c r="AP57" i="3"/>
  <c r="AP58" i="3"/>
  <c r="AP59" i="3"/>
  <c r="AP60" i="3"/>
  <c r="AP61" i="3"/>
  <c r="AP62" i="3"/>
  <c r="AP63" i="3"/>
  <c r="AP64" i="3"/>
  <c r="AP65" i="3"/>
  <c r="AP66" i="3"/>
  <c r="AP67" i="3"/>
  <c r="AP68" i="3"/>
  <c r="AP69" i="3"/>
  <c r="AP70" i="3"/>
  <c r="AP71" i="3"/>
  <c r="AP72" i="3"/>
  <c r="AP73" i="3"/>
  <c r="AP74" i="3"/>
  <c r="AP75" i="3"/>
  <c r="AP76" i="3"/>
  <c r="AP77" i="3"/>
  <c r="AP78" i="3"/>
  <c r="AP79" i="3"/>
  <c r="AP80" i="3"/>
  <c r="AP81" i="3"/>
  <c r="AP82" i="3"/>
  <c r="AP83" i="3"/>
  <c r="AP84" i="3"/>
  <c r="AP85" i="3"/>
  <c r="AP86" i="3"/>
  <c r="AP87" i="3"/>
  <c r="AP88" i="3"/>
  <c r="AP89" i="3"/>
  <c r="AP90" i="3"/>
  <c r="AP91" i="3"/>
  <c r="AP92" i="3"/>
  <c r="AP93" i="3"/>
  <c r="AP94" i="3"/>
  <c r="AP95" i="3"/>
  <c r="AP96" i="3"/>
  <c r="AP97" i="3"/>
  <c r="AP98" i="3"/>
  <c r="AP99" i="3"/>
  <c r="AP100" i="3"/>
  <c r="AP101" i="3"/>
  <c r="AP102" i="3"/>
  <c r="AP103" i="3"/>
  <c r="AP104" i="3"/>
  <c r="AP105" i="3"/>
  <c r="AP106" i="3"/>
  <c r="AP107" i="3"/>
  <c r="AP108" i="3"/>
  <c r="AP109" i="3"/>
  <c r="AP110" i="3"/>
  <c r="AP111" i="3"/>
  <c r="AP112" i="3"/>
  <c r="AP113" i="3"/>
  <c r="AP114" i="3"/>
  <c r="AP115" i="3"/>
  <c r="AP116" i="3"/>
  <c r="AP117" i="3"/>
  <c r="AP118" i="3"/>
  <c r="AP119" i="3"/>
  <c r="AP120" i="3"/>
  <c r="AP121" i="3"/>
  <c r="AP122" i="3"/>
  <c r="AP123" i="3"/>
  <c r="AP124" i="3"/>
  <c r="AP125" i="3"/>
  <c r="AP126" i="3"/>
  <c r="AP127" i="3"/>
  <c r="AP128" i="3"/>
  <c r="AP129" i="3"/>
  <c r="AP130" i="3"/>
  <c r="AP131" i="3"/>
  <c r="AP132" i="3"/>
  <c r="AP133" i="3"/>
  <c r="AP134" i="3"/>
  <c r="AP135" i="3"/>
  <c r="AP136" i="3"/>
  <c r="AP137" i="3"/>
  <c r="AP138" i="3"/>
  <c r="AP139" i="3"/>
  <c r="AP140" i="3"/>
  <c r="AP141" i="3"/>
  <c r="AP142" i="3"/>
  <c r="AP143" i="3"/>
  <c r="AP144" i="3"/>
  <c r="AP145" i="3"/>
  <c r="AP146" i="3"/>
  <c r="AP147" i="3"/>
  <c r="AP148" i="3"/>
  <c r="AP149" i="3"/>
  <c r="AP150" i="3"/>
  <c r="AP151" i="3"/>
  <c r="AP152" i="3"/>
  <c r="AP153" i="3"/>
  <c r="AP154" i="3"/>
  <c r="AP155" i="3"/>
  <c r="AP156" i="3"/>
  <c r="AP157" i="3"/>
  <c r="AP158" i="3"/>
  <c r="AP159" i="3"/>
  <c r="AP160" i="3"/>
  <c r="AP161" i="3"/>
  <c r="AP162" i="3"/>
  <c r="AP163" i="3"/>
  <c r="AP164" i="3"/>
  <c r="AP165" i="3"/>
  <c r="AP166" i="3"/>
  <c r="AP167" i="3"/>
  <c r="AP168" i="3"/>
  <c r="AP169" i="3"/>
  <c r="AP170" i="3"/>
  <c r="AP171" i="3"/>
  <c r="AP172" i="3"/>
  <c r="AP173" i="3"/>
  <c r="AP174" i="3"/>
  <c r="AP175" i="3"/>
  <c r="AP176" i="3"/>
  <c r="AP177" i="3"/>
  <c r="AP178" i="3"/>
  <c r="AP179" i="3"/>
  <c r="AP180" i="3"/>
  <c r="AP181" i="3"/>
  <c r="AP182" i="3"/>
  <c r="AP183" i="3"/>
  <c r="AP184" i="3"/>
  <c r="AP185" i="3"/>
  <c r="AP186" i="3"/>
  <c r="AP187" i="3"/>
  <c r="AP188" i="3"/>
  <c r="AP189" i="3"/>
  <c r="AP190" i="3"/>
  <c r="AP191" i="3"/>
  <c r="AP192" i="3"/>
  <c r="AP193" i="3"/>
  <c r="AP194" i="3"/>
  <c r="AP195" i="3"/>
  <c r="AP196" i="3"/>
  <c r="AP197" i="3"/>
  <c r="AP198" i="3"/>
  <c r="AP199" i="3"/>
  <c r="AP200" i="3"/>
  <c r="AP201" i="3"/>
  <c r="AP202" i="3"/>
  <c r="AP203" i="3"/>
  <c r="AP204" i="3"/>
  <c r="AP205" i="3"/>
  <c r="AP206" i="3"/>
  <c r="AP207" i="3"/>
  <c r="AP208" i="3"/>
  <c r="AP209" i="3"/>
  <c r="AP210" i="3"/>
  <c r="AP211" i="3"/>
  <c r="AP212" i="3"/>
  <c r="AP213" i="3"/>
  <c r="AP214" i="3"/>
  <c r="AP215" i="3"/>
  <c r="AP216" i="3"/>
  <c r="AP217" i="3"/>
  <c r="AP218" i="3"/>
  <c r="AP219" i="3"/>
  <c r="AP220" i="3"/>
  <c r="AP221" i="3"/>
  <c r="AP222" i="3"/>
  <c r="AP223" i="3"/>
  <c r="AP224" i="3"/>
  <c r="AP225" i="3"/>
  <c r="AP226" i="3"/>
  <c r="AP227" i="3"/>
  <c r="AP228" i="3"/>
  <c r="AP229" i="3"/>
  <c r="AP230" i="3"/>
  <c r="AP231" i="3"/>
  <c r="AP232" i="3"/>
  <c r="AP233" i="3"/>
  <c r="AP234" i="3"/>
  <c r="AP235" i="3"/>
  <c r="AP236" i="3"/>
  <c r="AP237" i="3"/>
  <c r="AP238" i="3"/>
  <c r="AP239" i="3"/>
  <c r="AP240" i="3"/>
  <c r="AP241" i="3"/>
  <c r="AP242" i="3"/>
  <c r="AP243" i="3"/>
  <c r="AP244" i="3"/>
  <c r="AP245" i="3"/>
  <c r="AP246" i="3"/>
  <c r="AP247" i="3"/>
  <c r="AP248" i="3"/>
  <c r="AP249" i="3"/>
  <c r="AP250" i="3"/>
  <c r="AP251" i="3"/>
  <c r="AP252" i="3"/>
  <c r="AP253" i="3"/>
  <c r="AP254" i="3"/>
  <c r="AP255" i="3"/>
  <c r="AP256" i="3"/>
  <c r="AP257" i="3"/>
  <c r="AP258" i="3"/>
  <c r="AP259" i="3"/>
  <c r="AP260" i="3"/>
  <c r="AP261" i="3"/>
  <c r="AP262" i="3"/>
  <c r="AP263" i="3"/>
  <c r="AP264" i="3"/>
  <c r="AP265" i="3"/>
  <c r="AP266" i="3"/>
  <c r="AP267" i="3"/>
  <c r="AP268" i="3"/>
  <c r="AP269" i="3"/>
  <c r="AP270" i="3"/>
  <c r="AP271" i="3"/>
  <c r="AP272" i="3"/>
  <c r="AP273" i="3"/>
  <c r="AP274" i="3"/>
  <c r="AP275" i="3"/>
  <c r="AP276" i="3"/>
  <c r="AP277" i="3"/>
  <c r="AP278" i="3"/>
  <c r="AP279" i="3"/>
  <c r="AP280" i="3"/>
  <c r="AP281" i="3"/>
  <c r="AP282" i="3"/>
  <c r="AP283" i="3"/>
  <c r="AP284" i="3"/>
  <c r="AP285" i="3"/>
  <c r="AP286" i="3"/>
  <c r="AP287" i="3"/>
  <c r="AP288" i="3"/>
  <c r="AP289" i="3"/>
  <c r="AP290" i="3"/>
  <c r="AP291" i="3"/>
  <c r="AP292" i="3"/>
  <c r="AP293" i="3"/>
  <c r="AP294" i="3"/>
  <c r="AP295" i="3"/>
  <c r="AP296" i="3"/>
  <c r="AP297" i="3"/>
  <c r="AP298" i="3"/>
  <c r="AP299" i="3"/>
  <c r="AP300" i="3"/>
  <c r="AP301" i="3"/>
  <c r="AP302" i="3"/>
  <c r="AP303" i="3"/>
  <c r="AP304" i="3"/>
  <c r="AP305" i="3"/>
  <c r="AP306" i="3"/>
  <c r="AP307" i="3"/>
  <c r="AP308" i="3"/>
  <c r="AP309" i="3"/>
  <c r="AP310" i="3"/>
  <c r="AP311" i="3"/>
  <c r="AP312" i="3"/>
  <c r="AP313" i="3"/>
  <c r="AP314" i="3"/>
  <c r="AP315" i="3"/>
  <c r="AP316" i="3"/>
  <c r="AP317" i="3"/>
  <c r="AP318" i="3"/>
  <c r="AP319" i="3"/>
  <c r="AP320" i="3"/>
  <c r="AP373" i="3"/>
  <c r="AP678" i="3"/>
  <c r="AL12" i="3"/>
  <c r="AL13" i="3"/>
  <c r="AL14" i="3"/>
  <c r="AL15" i="3"/>
  <c r="AL16" i="3"/>
  <c r="AL17" i="3"/>
  <c r="AL18" i="3"/>
  <c r="AL19" i="3"/>
  <c r="AL20" i="3"/>
  <c r="AL21" i="3"/>
  <c r="AL22" i="3"/>
  <c r="AL23" i="3"/>
  <c r="AL24" i="3"/>
  <c r="AL25" i="3"/>
  <c r="AL26" i="3"/>
  <c r="AL27" i="3"/>
  <c r="AL28" i="3"/>
  <c r="AL29" i="3"/>
  <c r="AL30" i="3"/>
  <c r="AL31" i="3"/>
  <c r="AL32" i="3"/>
  <c r="AL33" i="3"/>
  <c r="AL34" i="3"/>
  <c r="AL35" i="3"/>
  <c r="AL36" i="3"/>
  <c r="AL37" i="3"/>
  <c r="AL38" i="3"/>
  <c r="AL39" i="3"/>
  <c r="AL40" i="3"/>
  <c r="AL41" i="3"/>
  <c r="AL42" i="3"/>
  <c r="AL43" i="3"/>
  <c r="AL44" i="3"/>
  <c r="AL45" i="3"/>
  <c r="AL46" i="3"/>
  <c r="AL47" i="3"/>
  <c r="AL48" i="3"/>
  <c r="AL49" i="3"/>
  <c r="AL50" i="3"/>
  <c r="AL51" i="3"/>
  <c r="AL52" i="3"/>
  <c r="AL53" i="3"/>
  <c r="AL54" i="3"/>
  <c r="AL55" i="3"/>
  <c r="AL56" i="3"/>
  <c r="AL57" i="3"/>
  <c r="AL58" i="3"/>
  <c r="AL59" i="3"/>
  <c r="AL60" i="3"/>
  <c r="AL61" i="3"/>
  <c r="AL62" i="3"/>
  <c r="AL63" i="3"/>
  <c r="AL64" i="3"/>
  <c r="AL65" i="3"/>
  <c r="AL66" i="3"/>
  <c r="AL67" i="3"/>
  <c r="AL68" i="3"/>
  <c r="AL69" i="3"/>
  <c r="AL70" i="3"/>
  <c r="AL71" i="3"/>
  <c r="AL72" i="3"/>
  <c r="AL73" i="3"/>
  <c r="AL74" i="3"/>
  <c r="AL75" i="3"/>
  <c r="AL76" i="3"/>
  <c r="AL77" i="3"/>
  <c r="AL78" i="3"/>
  <c r="AL79" i="3"/>
  <c r="AL80" i="3"/>
  <c r="AL81" i="3"/>
  <c r="AL82" i="3"/>
  <c r="AL83" i="3"/>
  <c r="AL84" i="3"/>
  <c r="AL85" i="3"/>
  <c r="AL86" i="3"/>
  <c r="AL87" i="3"/>
  <c r="AL88" i="3"/>
  <c r="AL89" i="3"/>
  <c r="AL90" i="3"/>
  <c r="AL91" i="3"/>
  <c r="AL92" i="3"/>
  <c r="AL93" i="3"/>
  <c r="AL94" i="3"/>
  <c r="AL95" i="3"/>
  <c r="AL96" i="3"/>
  <c r="AL97" i="3"/>
  <c r="AL98" i="3"/>
  <c r="AL99" i="3"/>
  <c r="AL100" i="3"/>
  <c r="AL101" i="3"/>
  <c r="AL102" i="3"/>
  <c r="AL103" i="3"/>
  <c r="AL104" i="3"/>
  <c r="AL105" i="3"/>
  <c r="AL106" i="3"/>
  <c r="AL107" i="3"/>
  <c r="AL108" i="3"/>
  <c r="AL109" i="3"/>
  <c r="AL110" i="3"/>
  <c r="AL111" i="3"/>
  <c r="AL112" i="3"/>
  <c r="AL113" i="3"/>
  <c r="AL114" i="3"/>
  <c r="AL115" i="3"/>
  <c r="AL116" i="3"/>
  <c r="AL117" i="3"/>
  <c r="AL118" i="3"/>
  <c r="AL119" i="3"/>
  <c r="AL120" i="3"/>
  <c r="AL121" i="3"/>
  <c r="AL122" i="3"/>
  <c r="AL123" i="3"/>
  <c r="AL124" i="3"/>
  <c r="AL125" i="3"/>
  <c r="AL126" i="3"/>
  <c r="AL127" i="3"/>
  <c r="AL128" i="3"/>
  <c r="AL129" i="3"/>
  <c r="AL130" i="3"/>
  <c r="AL131" i="3"/>
  <c r="AL132" i="3"/>
  <c r="AL133" i="3"/>
  <c r="AL134" i="3"/>
  <c r="AL135" i="3"/>
  <c r="AL136" i="3"/>
  <c r="AL137" i="3"/>
  <c r="AL138" i="3"/>
  <c r="AL139" i="3"/>
  <c r="AL140" i="3"/>
  <c r="AL141" i="3"/>
  <c r="AL142" i="3"/>
  <c r="AL143" i="3"/>
  <c r="AL144" i="3"/>
  <c r="AL145" i="3"/>
  <c r="AL146" i="3"/>
  <c r="AL147" i="3"/>
  <c r="AL148" i="3"/>
  <c r="AL149" i="3"/>
  <c r="AL150" i="3"/>
  <c r="AL151" i="3"/>
  <c r="AL152" i="3"/>
  <c r="AL153" i="3"/>
  <c r="AL154" i="3"/>
  <c r="AL155" i="3"/>
  <c r="AL156" i="3"/>
  <c r="AL157" i="3"/>
  <c r="AL158" i="3"/>
  <c r="AL159" i="3"/>
  <c r="AL160" i="3"/>
  <c r="AL161" i="3"/>
  <c r="AL162" i="3"/>
  <c r="AL163" i="3"/>
  <c r="AL164" i="3"/>
  <c r="AL165" i="3"/>
  <c r="AL166" i="3"/>
  <c r="AL167" i="3"/>
  <c r="AL168" i="3"/>
  <c r="AL169" i="3"/>
  <c r="AL170" i="3"/>
  <c r="AL171" i="3"/>
  <c r="AL172" i="3"/>
  <c r="AL173" i="3"/>
  <c r="AL174" i="3"/>
  <c r="AL175" i="3"/>
  <c r="AL176" i="3"/>
  <c r="AL177" i="3"/>
  <c r="AL178" i="3"/>
  <c r="AL179" i="3"/>
  <c r="AL180" i="3"/>
  <c r="AL181" i="3"/>
  <c r="AL182" i="3"/>
  <c r="AL183" i="3"/>
  <c r="AL184" i="3"/>
  <c r="AL185" i="3"/>
  <c r="AL186" i="3"/>
  <c r="AL187" i="3"/>
  <c r="AL188" i="3"/>
  <c r="AL189" i="3"/>
  <c r="AL190" i="3"/>
  <c r="AL191" i="3"/>
  <c r="AL192" i="3"/>
  <c r="AL193" i="3"/>
  <c r="AL194" i="3"/>
  <c r="AL195" i="3"/>
  <c r="AL196" i="3"/>
  <c r="AL197" i="3"/>
  <c r="AL198" i="3"/>
  <c r="AL199" i="3"/>
  <c r="AL200" i="3"/>
  <c r="AL201" i="3"/>
  <c r="AL202" i="3"/>
  <c r="AL203" i="3"/>
  <c r="AL204" i="3"/>
  <c r="AL205" i="3"/>
  <c r="AL206" i="3"/>
  <c r="AL207" i="3"/>
  <c r="AL208" i="3"/>
  <c r="AL209" i="3"/>
  <c r="AL210" i="3"/>
  <c r="AL211" i="3"/>
  <c r="AL212" i="3"/>
  <c r="AL213" i="3"/>
  <c r="AL214" i="3"/>
  <c r="AL215" i="3"/>
  <c r="AL216" i="3"/>
  <c r="AL217" i="3"/>
  <c r="AL218" i="3"/>
  <c r="AL219" i="3"/>
  <c r="AL220" i="3"/>
  <c r="AL221" i="3"/>
  <c r="AL222" i="3"/>
  <c r="AL223" i="3"/>
  <c r="AL224" i="3"/>
  <c r="AL225" i="3"/>
  <c r="AL226" i="3"/>
  <c r="AL227" i="3"/>
  <c r="AL228" i="3"/>
  <c r="AL229" i="3"/>
  <c r="AL230" i="3"/>
  <c r="AL231" i="3"/>
  <c r="AL232" i="3"/>
  <c r="AL233" i="3"/>
  <c r="AL234" i="3"/>
  <c r="AL235" i="3"/>
  <c r="AL236" i="3"/>
  <c r="AL237" i="3"/>
  <c r="AL238" i="3"/>
  <c r="AL239" i="3"/>
  <c r="AL240" i="3"/>
  <c r="AL241" i="3"/>
  <c r="AL242" i="3"/>
  <c r="AL243" i="3"/>
  <c r="AL244" i="3"/>
  <c r="AL245" i="3"/>
  <c r="AL246" i="3"/>
  <c r="AL247" i="3"/>
  <c r="AL248" i="3"/>
  <c r="AL249" i="3"/>
  <c r="AL250" i="3"/>
  <c r="AL251" i="3"/>
  <c r="AL252" i="3"/>
  <c r="AL253" i="3"/>
  <c r="AL254" i="3"/>
  <c r="AL255" i="3"/>
  <c r="AL256" i="3"/>
  <c r="AL257" i="3"/>
  <c r="AL258" i="3"/>
  <c r="AL259" i="3"/>
  <c r="AL260" i="3"/>
  <c r="AL261" i="3"/>
  <c r="AL262" i="3"/>
  <c r="AL263" i="3"/>
  <c r="AL264" i="3"/>
  <c r="AL265" i="3"/>
  <c r="AL266" i="3"/>
  <c r="AL267" i="3"/>
  <c r="AL268" i="3"/>
  <c r="AL269" i="3"/>
  <c r="AL270" i="3"/>
  <c r="AL271" i="3"/>
  <c r="AL272" i="3"/>
  <c r="AL273" i="3"/>
  <c r="AL274" i="3"/>
  <c r="AL275" i="3"/>
  <c r="AL276" i="3"/>
  <c r="AL277" i="3"/>
  <c r="AL278" i="3"/>
  <c r="AL279" i="3"/>
  <c r="AL280" i="3"/>
  <c r="AL281" i="3"/>
  <c r="AL282" i="3"/>
  <c r="AL283" i="3"/>
  <c r="AL284" i="3"/>
  <c r="AL285" i="3"/>
  <c r="AL286" i="3"/>
  <c r="AL287" i="3"/>
  <c r="AL288" i="3"/>
  <c r="AL289" i="3"/>
  <c r="AL290" i="3"/>
  <c r="AL291" i="3"/>
  <c r="AL292" i="3"/>
  <c r="AL293" i="3"/>
  <c r="AL294" i="3"/>
  <c r="AL295" i="3"/>
  <c r="AL296" i="3"/>
  <c r="AL297" i="3"/>
  <c r="AL298" i="3"/>
  <c r="AL299" i="3"/>
  <c r="AL300" i="3"/>
  <c r="AL301" i="3"/>
  <c r="AL302" i="3"/>
  <c r="AL303" i="3"/>
  <c r="AL304" i="3"/>
  <c r="AL305" i="3"/>
  <c r="AL306" i="3"/>
  <c r="AL307" i="3"/>
  <c r="AL308" i="3"/>
  <c r="AL309" i="3"/>
  <c r="AL310" i="3"/>
  <c r="AL311" i="3"/>
  <c r="AL312" i="3"/>
  <c r="AL313" i="3"/>
  <c r="AL314" i="3"/>
  <c r="AL315" i="3"/>
  <c r="AL316" i="3"/>
  <c r="AL317" i="3"/>
  <c r="AL318" i="3"/>
  <c r="AL319" i="3"/>
  <c r="AL320" i="3"/>
  <c r="AL373" i="3"/>
  <c r="AL678" i="3"/>
  <c r="AG12" i="3"/>
  <c r="AG13" i="3"/>
  <c r="AG14" i="3"/>
  <c r="AG15" i="3"/>
  <c r="AG16" i="3"/>
  <c r="AG17" i="3"/>
  <c r="AG18" i="3"/>
  <c r="AG19" i="3"/>
  <c r="AG20" i="3"/>
  <c r="AG21" i="3"/>
  <c r="AG22" i="3"/>
  <c r="AG23" i="3"/>
  <c r="AG24" i="3"/>
  <c r="AG25" i="3"/>
  <c r="AG26" i="3"/>
  <c r="AG27" i="3"/>
  <c r="AG28" i="3"/>
  <c r="AG29" i="3"/>
  <c r="AG30" i="3"/>
  <c r="AG31" i="3"/>
  <c r="AG32" i="3"/>
  <c r="AG33" i="3"/>
  <c r="AG34" i="3"/>
  <c r="AG35" i="3"/>
  <c r="AG36" i="3"/>
  <c r="AG37" i="3"/>
  <c r="AG38" i="3"/>
  <c r="AG39" i="3"/>
  <c r="AG40" i="3"/>
  <c r="AG41" i="3"/>
  <c r="AG42" i="3"/>
  <c r="AG43" i="3"/>
  <c r="AG44" i="3"/>
  <c r="AG45" i="3"/>
  <c r="AG46" i="3"/>
  <c r="AG47" i="3"/>
  <c r="AG48" i="3"/>
  <c r="AG49" i="3"/>
  <c r="AG50" i="3"/>
  <c r="AG51" i="3"/>
  <c r="AG52" i="3"/>
  <c r="AG53" i="3"/>
  <c r="AG54" i="3"/>
  <c r="AG55" i="3"/>
  <c r="AG56" i="3"/>
  <c r="AG57" i="3"/>
  <c r="AG58" i="3"/>
  <c r="AG59" i="3"/>
  <c r="AG60" i="3"/>
  <c r="AG61" i="3"/>
  <c r="AG62" i="3"/>
  <c r="AG63" i="3"/>
  <c r="AG64" i="3"/>
  <c r="AG65" i="3"/>
  <c r="AG66" i="3"/>
  <c r="AG67" i="3"/>
  <c r="AG68" i="3"/>
  <c r="AG69" i="3"/>
  <c r="AG70" i="3"/>
  <c r="AG71" i="3"/>
  <c r="AG72" i="3"/>
  <c r="AG73" i="3"/>
  <c r="AG74" i="3"/>
  <c r="AG75" i="3"/>
  <c r="AG76" i="3"/>
  <c r="AG77" i="3"/>
  <c r="AG78" i="3"/>
  <c r="AG79" i="3"/>
  <c r="AG80" i="3"/>
  <c r="AG81" i="3"/>
  <c r="AG82" i="3"/>
  <c r="AG83" i="3"/>
  <c r="AG84" i="3"/>
  <c r="AG85" i="3"/>
  <c r="AG86" i="3"/>
  <c r="AG87" i="3"/>
  <c r="AG88" i="3"/>
  <c r="AG89" i="3"/>
  <c r="AG90" i="3"/>
  <c r="AG91" i="3"/>
  <c r="AG92" i="3"/>
  <c r="AG93" i="3"/>
  <c r="AG94" i="3"/>
  <c r="AG95" i="3"/>
  <c r="AG96" i="3"/>
  <c r="AG97" i="3"/>
  <c r="AG98" i="3"/>
  <c r="AG99" i="3"/>
  <c r="AG100" i="3"/>
  <c r="AG101" i="3"/>
  <c r="AG102" i="3"/>
  <c r="AG103" i="3"/>
  <c r="AG104" i="3"/>
  <c r="AG105" i="3"/>
  <c r="AG106" i="3"/>
  <c r="AG107" i="3"/>
  <c r="AG108" i="3"/>
  <c r="AG109" i="3"/>
  <c r="AG110" i="3"/>
  <c r="AG111" i="3"/>
  <c r="AG112" i="3"/>
  <c r="AG113" i="3"/>
  <c r="AG114" i="3"/>
  <c r="AG115" i="3"/>
  <c r="AG116" i="3"/>
  <c r="AG117" i="3"/>
  <c r="AG118" i="3"/>
  <c r="AG119" i="3"/>
  <c r="AG120" i="3"/>
  <c r="AG121" i="3"/>
  <c r="AG122" i="3"/>
  <c r="AG123" i="3"/>
  <c r="AG124" i="3"/>
  <c r="AG125" i="3"/>
  <c r="AG126" i="3"/>
  <c r="AG127" i="3"/>
  <c r="AG128" i="3"/>
  <c r="AG129" i="3"/>
  <c r="AG130" i="3"/>
  <c r="AG131" i="3"/>
  <c r="AG132" i="3"/>
  <c r="AG133" i="3"/>
  <c r="AG134" i="3"/>
  <c r="AG135" i="3"/>
  <c r="AG136" i="3"/>
  <c r="AG137" i="3"/>
  <c r="AG138" i="3"/>
  <c r="AG139" i="3"/>
  <c r="AG140" i="3"/>
  <c r="AG141" i="3"/>
  <c r="AG142" i="3"/>
  <c r="AG143" i="3"/>
  <c r="AG144" i="3"/>
  <c r="AG145" i="3"/>
  <c r="AG146" i="3"/>
  <c r="AG147" i="3"/>
  <c r="AG148" i="3"/>
  <c r="AG149" i="3"/>
  <c r="AG150" i="3"/>
  <c r="AG151" i="3"/>
  <c r="AG152" i="3"/>
  <c r="AG153" i="3"/>
  <c r="AG154" i="3"/>
  <c r="AG155" i="3"/>
  <c r="AG156" i="3"/>
  <c r="AG157" i="3"/>
  <c r="AG158" i="3"/>
  <c r="AG159" i="3"/>
  <c r="AG160" i="3"/>
  <c r="AG161" i="3"/>
  <c r="AG162" i="3"/>
  <c r="AG163" i="3"/>
  <c r="AG164" i="3"/>
  <c r="AG165" i="3"/>
  <c r="AG166" i="3"/>
  <c r="AG167" i="3"/>
  <c r="AG168" i="3"/>
  <c r="AG169" i="3"/>
  <c r="AG170" i="3"/>
  <c r="AG171" i="3"/>
  <c r="AG172" i="3"/>
  <c r="AG173" i="3"/>
  <c r="AG174" i="3"/>
  <c r="AG175" i="3"/>
  <c r="AG176" i="3"/>
  <c r="AG177" i="3"/>
  <c r="AG178" i="3"/>
  <c r="AG179" i="3"/>
  <c r="AG180" i="3"/>
  <c r="AG181" i="3"/>
  <c r="AG182" i="3"/>
  <c r="AG183" i="3"/>
  <c r="AG184" i="3"/>
  <c r="AG185" i="3"/>
  <c r="AG186" i="3"/>
  <c r="AG187" i="3"/>
  <c r="AG188" i="3"/>
  <c r="AG189" i="3"/>
  <c r="AG190" i="3"/>
  <c r="AG191" i="3"/>
  <c r="AG192" i="3"/>
  <c r="AG193" i="3"/>
  <c r="AG194" i="3"/>
  <c r="AG195" i="3"/>
  <c r="AG196" i="3"/>
  <c r="AG197" i="3"/>
  <c r="AG198" i="3"/>
  <c r="AG199" i="3"/>
  <c r="AG200" i="3"/>
  <c r="AG201" i="3"/>
  <c r="AG202" i="3"/>
  <c r="AG203" i="3"/>
  <c r="AG204" i="3"/>
  <c r="AG205" i="3"/>
  <c r="AG206" i="3"/>
  <c r="AG207" i="3"/>
  <c r="AG208" i="3"/>
  <c r="AG209" i="3"/>
  <c r="AG210" i="3"/>
  <c r="AG211" i="3"/>
  <c r="AG212" i="3"/>
  <c r="AG213" i="3"/>
  <c r="AG214" i="3"/>
  <c r="AG215" i="3"/>
  <c r="AG216" i="3"/>
  <c r="AG217" i="3"/>
  <c r="AG218" i="3"/>
  <c r="AG219" i="3"/>
  <c r="AG220" i="3"/>
  <c r="AG221" i="3"/>
  <c r="AG222" i="3"/>
  <c r="AG223" i="3"/>
  <c r="AG224" i="3"/>
  <c r="AG225" i="3"/>
  <c r="AG226" i="3"/>
  <c r="AG227" i="3"/>
  <c r="AG228" i="3"/>
  <c r="AG229" i="3"/>
  <c r="AG230" i="3"/>
  <c r="AG231" i="3"/>
  <c r="AG232" i="3"/>
  <c r="AG233" i="3"/>
  <c r="AG234" i="3"/>
  <c r="AG235" i="3"/>
  <c r="AG236" i="3"/>
  <c r="AG237" i="3"/>
  <c r="AG238" i="3"/>
  <c r="AG239" i="3"/>
  <c r="AG240" i="3"/>
  <c r="AG241" i="3"/>
  <c r="AG242" i="3"/>
  <c r="AG243" i="3"/>
  <c r="AG244" i="3"/>
  <c r="AG245" i="3"/>
  <c r="AG246" i="3"/>
  <c r="AG247" i="3"/>
  <c r="AG248" i="3"/>
  <c r="AG249" i="3"/>
  <c r="AG250" i="3"/>
  <c r="AG251" i="3"/>
  <c r="AG252" i="3"/>
  <c r="AG253" i="3"/>
  <c r="AG254" i="3"/>
  <c r="AG255" i="3"/>
  <c r="AG256" i="3"/>
  <c r="AG257" i="3"/>
  <c r="AG258" i="3"/>
  <c r="AG259" i="3"/>
  <c r="AG260" i="3"/>
  <c r="AG261" i="3"/>
  <c r="AG262" i="3"/>
  <c r="AG263" i="3"/>
  <c r="AG264" i="3"/>
  <c r="AG265" i="3"/>
  <c r="AG266" i="3"/>
  <c r="AG267" i="3"/>
  <c r="AG268" i="3"/>
  <c r="AG269" i="3"/>
  <c r="AG270" i="3"/>
  <c r="AG271" i="3"/>
  <c r="AG272" i="3"/>
  <c r="AG273" i="3"/>
  <c r="AG274" i="3"/>
  <c r="AG275" i="3"/>
  <c r="AG276" i="3"/>
  <c r="AG277" i="3"/>
  <c r="AG278" i="3"/>
  <c r="AG279" i="3"/>
  <c r="AG280" i="3"/>
  <c r="AG281" i="3"/>
  <c r="AG282" i="3"/>
  <c r="AG283" i="3"/>
  <c r="AG284" i="3"/>
  <c r="AG285" i="3"/>
  <c r="AG286" i="3"/>
  <c r="AG287" i="3"/>
  <c r="AG288" i="3"/>
  <c r="AG289" i="3"/>
  <c r="AG290" i="3"/>
  <c r="AG291" i="3"/>
  <c r="AG292" i="3"/>
  <c r="AG293" i="3"/>
  <c r="AG294" i="3"/>
  <c r="AG295" i="3"/>
  <c r="AG296" i="3"/>
  <c r="AG297" i="3"/>
  <c r="AG298" i="3"/>
  <c r="AG299" i="3"/>
  <c r="AG300" i="3"/>
  <c r="AG301" i="3"/>
  <c r="AG302" i="3"/>
  <c r="AG303" i="3"/>
  <c r="AG304" i="3"/>
  <c r="AG305" i="3"/>
  <c r="AG306" i="3"/>
  <c r="AG307" i="3"/>
  <c r="AG308" i="3"/>
  <c r="AG309" i="3"/>
  <c r="AG310" i="3"/>
  <c r="AG311" i="3"/>
  <c r="AG312" i="3"/>
  <c r="AG313" i="3"/>
  <c r="AG314" i="3"/>
  <c r="AG315" i="3"/>
  <c r="AG316" i="3"/>
  <c r="AG317" i="3"/>
  <c r="AG318" i="3"/>
  <c r="AG319" i="3"/>
  <c r="AG320" i="3"/>
  <c r="AG373" i="3"/>
  <c r="AG678" i="3"/>
  <c r="AC12" i="3"/>
  <c r="AC13" i="3"/>
  <c r="AC14" i="3"/>
  <c r="AC15" i="3"/>
  <c r="AC16" i="3"/>
  <c r="AC17" i="3"/>
  <c r="AC18" i="3"/>
  <c r="AC19" i="3"/>
  <c r="AC20" i="3"/>
  <c r="AC21" i="3"/>
  <c r="AC22" i="3"/>
  <c r="AC23" i="3"/>
  <c r="AC24" i="3"/>
  <c r="AC25" i="3"/>
  <c r="AC26" i="3"/>
  <c r="AC27" i="3"/>
  <c r="AC28" i="3"/>
  <c r="AC29" i="3"/>
  <c r="AC30" i="3"/>
  <c r="AC31" i="3"/>
  <c r="AC32" i="3"/>
  <c r="AC33" i="3"/>
  <c r="AC34" i="3"/>
  <c r="AC35" i="3"/>
  <c r="AC36" i="3"/>
  <c r="AC37" i="3"/>
  <c r="AC38" i="3"/>
  <c r="AC39" i="3"/>
  <c r="AC40" i="3"/>
  <c r="AC41" i="3"/>
  <c r="AC42" i="3"/>
  <c r="AC43" i="3"/>
  <c r="AC44" i="3"/>
  <c r="AC45" i="3"/>
  <c r="AC46" i="3"/>
  <c r="AC47" i="3"/>
  <c r="AC48" i="3"/>
  <c r="AC49" i="3"/>
  <c r="AC50" i="3"/>
  <c r="AC51" i="3"/>
  <c r="AC52" i="3"/>
  <c r="AC53" i="3"/>
  <c r="AC54" i="3"/>
  <c r="AC55" i="3"/>
  <c r="AC56" i="3"/>
  <c r="AC57" i="3"/>
  <c r="AC58" i="3"/>
  <c r="AC59" i="3"/>
  <c r="AC60" i="3"/>
  <c r="AC61" i="3"/>
  <c r="AC62" i="3"/>
  <c r="AC63" i="3"/>
  <c r="AC64" i="3"/>
  <c r="AC65" i="3"/>
  <c r="AC66" i="3"/>
  <c r="AC67" i="3"/>
  <c r="AC68" i="3"/>
  <c r="AC69" i="3"/>
  <c r="AC70" i="3"/>
  <c r="AC71" i="3"/>
  <c r="AC72" i="3"/>
  <c r="AC73" i="3"/>
  <c r="AC74" i="3"/>
  <c r="AC75" i="3"/>
  <c r="AC76" i="3"/>
  <c r="AC77" i="3"/>
  <c r="AC78" i="3"/>
  <c r="AC79" i="3"/>
  <c r="AC80" i="3"/>
  <c r="AC81" i="3"/>
  <c r="AC82" i="3"/>
  <c r="AC83" i="3"/>
  <c r="AC84" i="3"/>
  <c r="AC85" i="3"/>
  <c r="AC86" i="3"/>
  <c r="AC87" i="3"/>
  <c r="AC88" i="3"/>
  <c r="AC89" i="3"/>
  <c r="AC90" i="3"/>
  <c r="AC91" i="3"/>
  <c r="AC92" i="3"/>
  <c r="AC93" i="3"/>
  <c r="AC94" i="3"/>
  <c r="AC95" i="3"/>
  <c r="AC96" i="3"/>
  <c r="AC97" i="3"/>
  <c r="AC98" i="3"/>
  <c r="AC99" i="3"/>
  <c r="AC100" i="3"/>
  <c r="AC101" i="3"/>
  <c r="AC102" i="3"/>
  <c r="AC103" i="3"/>
  <c r="AC104" i="3"/>
  <c r="AC105" i="3"/>
  <c r="AC106" i="3"/>
  <c r="AC107" i="3"/>
  <c r="AC108" i="3"/>
  <c r="AC109" i="3"/>
  <c r="AC110" i="3"/>
  <c r="AC111" i="3"/>
  <c r="AC112" i="3"/>
  <c r="AC113" i="3"/>
  <c r="AC114" i="3"/>
  <c r="AC115" i="3"/>
  <c r="AC116" i="3"/>
  <c r="AC117" i="3"/>
  <c r="AC118" i="3"/>
  <c r="AC119" i="3"/>
  <c r="AC120" i="3"/>
  <c r="AC121" i="3"/>
  <c r="AC122" i="3"/>
  <c r="AC123" i="3"/>
  <c r="AC124" i="3"/>
  <c r="AC125" i="3"/>
  <c r="AC126" i="3"/>
  <c r="AC127" i="3"/>
  <c r="AC128" i="3"/>
  <c r="AC129" i="3"/>
  <c r="AC130" i="3"/>
  <c r="AC131" i="3"/>
  <c r="AC132" i="3"/>
  <c r="AC133" i="3"/>
  <c r="AC134" i="3"/>
  <c r="AC135" i="3"/>
  <c r="AC136" i="3"/>
  <c r="AC137" i="3"/>
  <c r="AC138" i="3"/>
  <c r="AC139" i="3"/>
  <c r="AC140" i="3"/>
  <c r="AC141" i="3"/>
  <c r="AC142" i="3"/>
  <c r="AC143" i="3"/>
  <c r="AC144" i="3"/>
  <c r="AC145" i="3"/>
  <c r="AC146" i="3"/>
  <c r="AC147" i="3"/>
  <c r="AC148" i="3"/>
  <c r="AC149" i="3"/>
  <c r="AC150" i="3"/>
  <c r="AC151" i="3"/>
  <c r="AC152" i="3"/>
  <c r="AC153" i="3"/>
  <c r="AC154" i="3"/>
  <c r="AC155" i="3"/>
  <c r="AC156" i="3"/>
  <c r="AC157" i="3"/>
  <c r="AC158" i="3"/>
  <c r="AC159" i="3"/>
  <c r="AC160" i="3"/>
  <c r="AC161" i="3"/>
  <c r="AC162" i="3"/>
  <c r="AC163" i="3"/>
  <c r="AC164" i="3"/>
  <c r="AC165" i="3"/>
  <c r="AC166" i="3"/>
  <c r="AC167" i="3"/>
  <c r="AC168" i="3"/>
  <c r="AC169" i="3"/>
  <c r="AC170" i="3"/>
  <c r="AC171" i="3"/>
  <c r="AC172" i="3"/>
  <c r="AC173" i="3"/>
  <c r="AC174" i="3"/>
  <c r="AC175" i="3"/>
  <c r="AC176" i="3"/>
  <c r="AC177" i="3"/>
  <c r="AC178" i="3"/>
  <c r="AC179" i="3"/>
  <c r="AC180" i="3"/>
  <c r="AC181" i="3"/>
  <c r="AC182" i="3"/>
  <c r="AC183" i="3"/>
  <c r="AC184" i="3"/>
  <c r="AC185" i="3"/>
  <c r="AC186" i="3"/>
  <c r="AC187" i="3"/>
  <c r="AC188" i="3"/>
  <c r="AC189" i="3"/>
  <c r="AC190" i="3"/>
  <c r="AC191" i="3"/>
  <c r="AC192" i="3"/>
  <c r="AC193" i="3"/>
  <c r="AC194" i="3"/>
  <c r="AC195" i="3"/>
  <c r="AC196" i="3"/>
  <c r="AC197" i="3"/>
  <c r="AC198" i="3"/>
  <c r="AC199" i="3"/>
  <c r="AC200" i="3"/>
  <c r="AC201" i="3"/>
  <c r="AC202" i="3"/>
  <c r="AC203" i="3"/>
  <c r="AC204" i="3"/>
  <c r="AC205" i="3"/>
  <c r="AC206" i="3"/>
  <c r="AC207" i="3"/>
  <c r="AC208" i="3"/>
  <c r="AC209" i="3"/>
  <c r="AC210" i="3"/>
  <c r="AC211" i="3"/>
  <c r="AC212" i="3"/>
  <c r="AC213" i="3"/>
  <c r="AC214" i="3"/>
  <c r="AC215" i="3"/>
  <c r="AC216" i="3"/>
  <c r="AC217" i="3"/>
  <c r="AC218" i="3"/>
  <c r="AC219" i="3"/>
  <c r="AC220" i="3"/>
  <c r="AC221" i="3"/>
  <c r="AC222" i="3"/>
  <c r="AC223" i="3"/>
  <c r="AC224" i="3"/>
  <c r="AC225" i="3"/>
  <c r="AC226" i="3"/>
  <c r="AC227" i="3"/>
  <c r="AC228" i="3"/>
  <c r="AC229" i="3"/>
  <c r="AC230" i="3"/>
  <c r="AC231" i="3"/>
  <c r="AC232" i="3"/>
  <c r="AC233" i="3"/>
  <c r="AC234" i="3"/>
  <c r="AC235" i="3"/>
  <c r="AC236" i="3"/>
  <c r="AC237" i="3"/>
  <c r="AC238" i="3"/>
  <c r="AC239" i="3"/>
  <c r="AC240" i="3"/>
  <c r="AC241" i="3"/>
  <c r="AC242" i="3"/>
  <c r="AC243" i="3"/>
  <c r="AC244" i="3"/>
  <c r="AC245" i="3"/>
  <c r="AC246" i="3"/>
  <c r="AC247" i="3"/>
  <c r="AC248" i="3"/>
  <c r="AC249" i="3"/>
  <c r="AC250" i="3"/>
  <c r="AC251" i="3"/>
  <c r="AC252" i="3"/>
  <c r="AC253" i="3"/>
  <c r="AC254" i="3"/>
  <c r="AC255" i="3"/>
  <c r="AC256" i="3"/>
  <c r="AC257" i="3"/>
  <c r="AC258" i="3"/>
  <c r="AC259" i="3"/>
  <c r="AC260" i="3"/>
  <c r="AC261" i="3"/>
  <c r="AC262" i="3"/>
  <c r="AC263" i="3"/>
  <c r="AC264" i="3"/>
  <c r="AC265" i="3"/>
  <c r="AC266" i="3"/>
  <c r="AC267" i="3"/>
  <c r="AC268" i="3"/>
  <c r="AC269" i="3"/>
  <c r="AC270" i="3"/>
  <c r="AC271" i="3"/>
  <c r="AC272" i="3"/>
  <c r="AC273" i="3"/>
  <c r="AC274" i="3"/>
  <c r="AC275" i="3"/>
  <c r="AC276" i="3"/>
  <c r="AC277" i="3"/>
  <c r="AC278" i="3"/>
  <c r="AC279" i="3"/>
  <c r="AC280" i="3"/>
  <c r="AC281" i="3"/>
  <c r="AC282" i="3"/>
  <c r="AC283" i="3"/>
  <c r="AC284" i="3"/>
  <c r="AC285" i="3"/>
  <c r="AC286" i="3"/>
  <c r="AC287" i="3"/>
  <c r="AC288" i="3"/>
  <c r="AC289" i="3"/>
  <c r="AC290" i="3"/>
  <c r="AC291" i="3"/>
  <c r="AC292" i="3"/>
  <c r="AC293" i="3"/>
  <c r="AC294" i="3"/>
  <c r="AC295" i="3"/>
  <c r="AC296" i="3"/>
  <c r="AC297" i="3"/>
  <c r="AC298" i="3"/>
  <c r="AC299" i="3"/>
  <c r="AC300" i="3"/>
  <c r="AC301" i="3"/>
  <c r="AC302" i="3"/>
  <c r="AC303" i="3"/>
  <c r="AC304" i="3"/>
  <c r="AC305" i="3"/>
  <c r="AC306" i="3"/>
  <c r="AC307" i="3"/>
  <c r="AC308" i="3"/>
  <c r="AC309" i="3"/>
  <c r="AC310" i="3"/>
  <c r="AC311" i="3"/>
  <c r="AC312" i="3"/>
  <c r="AC313" i="3"/>
  <c r="AC314" i="3"/>
  <c r="AC315" i="3"/>
  <c r="AC316" i="3"/>
  <c r="AC317" i="3"/>
  <c r="AC318" i="3"/>
  <c r="AC319" i="3"/>
  <c r="AC320" i="3"/>
  <c r="AC373" i="3"/>
  <c r="AC678" i="3"/>
  <c r="Y12" i="3"/>
  <c r="Y13" i="3"/>
  <c r="Y14" i="3"/>
  <c r="Y15" i="3"/>
  <c r="Y16" i="3"/>
  <c r="Y17" i="3"/>
  <c r="Y18" i="3"/>
  <c r="Y19" i="3"/>
  <c r="Y20" i="3"/>
  <c r="Y21" i="3"/>
  <c r="Y22" i="3"/>
  <c r="Y23" i="3"/>
  <c r="Y24" i="3"/>
  <c r="Y25" i="3"/>
  <c r="Y26" i="3"/>
  <c r="Y27" i="3"/>
  <c r="Y28" i="3"/>
  <c r="Y29" i="3"/>
  <c r="Y30" i="3"/>
  <c r="Y31" i="3"/>
  <c r="Y32" i="3"/>
  <c r="Y33" i="3"/>
  <c r="Y34" i="3"/>
  <c r="Y35" i="3"/>
  <c r="Y36" i="3"/>
  <c r="Y37" i="3"/>
  <c r="Y38" i="3"/>
  <c r="Y39" i="3"/>
  <c r="Y40" i="3"/>
  <c r="Y41" i="3"/>
  <c r="Y42" i="3"/>
  <c r="Y43" i="3"/>
  <c r="Y44" i="3"/>
  <c r="Y45" i="3"/>
  <c r="Y46" i="3"/>
  <c r="Y47" i="3"/>
  <c r="Y48" i="3"/>
  <c r="Y49" i="3"/>
  <c r="Y50" i="3"/>
  <c r="Y51" i="3"/>
  <c r="Y52" i="3"/>
  <c r="Y53" i="3"/>
  <c r="Y54" i="3"/>
  <c r="Y55" i="3"/>
  <c r="Y56" i="3"/>
  <c r="Y57" i="3"/>
  <c r="Y58" i="3"/>
  <c r="Y59" i="3"/>
  <c r="Y60" i="3"/>
  <c r="Y61" i="3"/>
  <c r="Y62" i="3"/>
  <c r="Y63" i="3"/>
  <c r="Y64" i="3"/>
  <c r="Y65" i="3"/>
  <c r="Y66" i="3"/>
  <c r="Y67" i="3"/>
  <c r="Y68" i="3"/>
  <c r="Y69" i="3"/>
  <c r="Y70" i="3"/>
  <c r="Y71" i="3"/>
  <c r="Y72" i="3"/>
  <c r="Y73" i="3"/>
  <c r="Y74" i="3"/>
  <c r="Y75" i="3"/>
  <c r="Y76" i="3"/>
  <c r="Y77" i="3"/>
  <c r="Y78" i="3"/>
  <c r="Y79" i="3"/>
  <c r="Y80" i="3"/>
  <c r="Y81" i="3"/>
  <c r="Y82" i="3"/>
  <c r="Y83" i="3"/>
  <c r="Y84" i="3"/>
  <c r="Y85" i="3"/>
  <c r="Y86" i="3"/>
  <c r="Y87" i="3"/>
  <c r="Y88" i="3"/>
  <c r="Y89" i="3"/>
  <c r="Y90" i="3"/>
  <c r="Y91" i="3"/>
  <c r="Y92" i="3"/>
  <c r="Y93" i="3"/>
  <c r="Y94" i="3"/>
  <c r="Y95" i="3"/>
  <c r="Y96" i="3"/>
  <c r="Y97" i="3"/>
  <c r="Y98" i="3"/>
  <c r="Y99" i="3"/>
  <c r="Y100" i="3"/>
  <c r="Y101" i="3"/>
  <c r="Y102" i="3"/>
  <c r="Y103" i="3"/>
  <c r="Y104" i="3"/>
  <c r="Y105" i="3"/>
  <c r="Y106" i="3"/>
  <c r="Y107" i="3"/>
  <c r="Y108" i="3"/>
  <c r="Y109" i="3"/>
  <c r="Y110" i="3"/>
  <c r="Y111" i="3"/>
  <c r="Y112" i="3"/>
  <c r="Y113" i="3"/>
  <c r="Y114" i="3"/>
  <c r="Y115" i="3"/>
  <c r="Y116" i="3"/>
  <c r="Y117" i="3"/>
  <c r="Y118" i="3"/>
  <c r="Y119" i="3"/>
  <c r="Y120" i="3"/>
  <c r="Y121" i="3"/>
  <c r="Y122" i="3"/>
  <c r="Y123" i="3"/>
  <c r="Y124" i="3"/>
  <c r="Y125" i="3"/>
  <c r="Y126" i="3"/>
  <c r="Y127" i="3"/>
  <c r="Y128" i="3"/>
  <c r="Y129" i="3"/>
  <c r="Y130" i="3"/>
  <c r="Y131" i="3"/>
  <c r="Y132" i="3"/>
  <c r="Y133" i="3"/>
  <c r="Y134" i="3"/>
  <c r="Y135" i="3"/>
  <c r="Y136" i="3"/>
  <c r="Y137" i="3"/>
  <c r="Y138" i="3"/>
  <c r="Y139" i="3"/>
  <c r="Y140" i="3"/>
  <c r="Y141" i="3"/>
  <c r="Y142" i="3"/>
  <c r="Y143" i="3"/>
  <c r="Y144" i="3"/>
  <c r="Y145" i="3"/>
  <c r="Y146" i="3"/>
  <c r="Y147" i="3"/>
  <c r="Y148" i="3"/>
  <c r="Y149" i="3"/>
  <c r="Y150" i="3"/>
  <c r="Y151" i="3"/>
  <c r="Y152" i="3"/>
  <c r="Y153" i="3"/>
  <c r="Y154" i="3"/>
  <c r="Y155" i="3"/>
  <c r="Y156" i="3"/>
  <c r="Y157" i="3"/>
  <c r="Y158" i="3"/>
  <c r="Y159" i="3"/>
  <c r="Y160" i="3"/>
  <c r="Y161" i="3"/>
  <c r="Y162" i="3"/>
  <c r="Y163" i="3"/>
  <c r="Y164" i="3"/>
  <c r="Y165" i="3"/>
  <c r="Y166" i="3"/>
  <c r="Y167" i="3"/>
  <c r="Y168" i="3"/>
  <c r="Y169" i="3"/>
  <c r="Y170" i="3"/>
  <c r="Y171" i="3"/>
  <c r="Y172" i="3"/>
  <c r="Y173" i="3"/>
  <c r="Y174" i="3"/>
  <c r="Y175" i="3"/>
  <c r="Y176" i="3"/>
  <c r="Y177" i="3"/>
  <c r="Y178" i="3"/>
  <c r="Y179" i="3"/>
  <c r="Y180" i="3"/>
  <c r="Y181" i="3"/>
  <c r="Y182" i="3"/>
  <c r="Y183" i="3"/>
  <c r="Y184" i="3"/>
  <c r="Y185" i="3"/>
  <c r="Y186" i="3"/>
  <c r="Y187" i="3"/>
  <c r="Y188" i="3"/>
  <c r="Y189" i="3"/>
  <c r="Y190" i="3"/>
  <c r="Y191" i="3"/>
  <c r="Y192" i="3"/>
  <c r="Y193" i="3"/>
  <c r="Y194" i="3"/>
  <c r="Y195" i="3"/>
  <c r="Y196" i="3"/>
  <c r="Y197" i="3"/>
  <c r="Y198" i="3"/>
  <c r="Y199" i="3"/>
  <c r="Y200" i="3"/>
  <c r="Y201" i="3"/>
  <c r="Y202" i="3"/>
  <c r="Y203" i="3"/>
  <c r="Y204" i="3"/>
  <c r="Y205" i="3"/>
  <c r="Y206" i="3"/>
  <c r="Y207" i="3"/>
  <c r="Y208" i="3"/>
  <c r="Y209" i="3"/>
  <c r="Y210" i="3"/>
  <c r="Y211" i="3"/>
  <c r="Y212" i="3"/>
  <c r="Y213" i="3"/>
  <c r="Y214" i="3"/>
  <c r="Y215" i="3"/>
  <c r="Y216" i="3"/>
  <c r="Y217" i="3"/>
  <c r="Y218" i="3"/>
  <c r="Y219" i="3"/>
  <c r="Y220" i="3"/>
  <c r="Y221" i="3"/>
  <c r="Y222" i="3"/>
  <c r="Y223" i="3"/>
  <c r="Y224" i="3"/>
  <c r="Y225" i="3"/>
  <c r="Y226" i="3"/>
  <c r="Y227" i="3"/>
  <c r="Y228" i="3"/>
  <c r="Y229" i="3"/>
  <c r="Y230" i="3"/>
  <c r="Y231" i="3"/>
  <c r="Y232" i="3"/>
  <c r="Y233" i="3"/>
  <c r="Y234" i="3"/>
  <c r="Y235" i="3"/>
  <c r="Y236" i="3"/>
  <c r="Y237" i="3"/>
  <c r="Y238" i="3"/>
  <c r="Y239" i="3"/>
  <c r="Y240" i="3"/>
  <c r="Y241" i="3"/>
  <c r="Y242" i="3"/>
  <c r="Y243" i="3"/>
  <c r="Y244" i="3"/>
  <c r="Y245" i="3"/>
  <c r="Y246" i="3"/>
  <c r="Y247" i="3"/>
  <c r="Y248" i="3"/>
  <c r="Y249" i="3"/>
  <c r="Y250" i="3"/>
  <c r="Y251" i="3"/>
  <c r="Y252" i="3"/>
  <c r="Y253" i="3"/>
  <c r="Y254" i="3"/>
  <c r="Y255" i="3"/>
  <c r="Y256" i="3"/>
  <c r="Y257" i="3"/>
  <c r="Y258" i="3"/>
  <c r="Y259" i="3"/>
  <c r="Y260" i="3"/>
  <c r="Y261" i="3"/>
  <c r="Y262" i="3"/>
  <c r="Y263" i="3"/>
  <c r="Y264" i="3"/>
  <c r="Y265" i="3"/>
  <c r="Y266" i="3"/>
  <c r="Y267" i="3"/>
  <c r="Y268" i="3"/>
  <c r="Y269" i="3"/>
  <c r="Y270" i="3"/>
  <c r="Y271" i="3"/>
  <c r="Y272" i="3"/>
  <c r="Y273" i="3"/>
  <c r="Y274" i="3"/>
  <c r="Y275" i="3"/>
  <c r="Y276" i="3"/>
  <c r="Y277" i="3"/>
  <c r="Y278" i="3"/>
  <c r="Y279" i="3"/>
  <c r="Y280" i="3"/>
  <c r="Y281" i="3"/>
  <c r="Y282" i="3"/>
  <c r="Y283" i="3"/>
  <c r="Y284" i="3"/>
  <c r="Y285" i="3"/>
  <c r="Y286" i="3"/>
  <c r="Y287" i="3"/>
  <c r="Y288" i="3"/>
  <c r="Y289" i="3"/>
  <c r="Y290" i="3"/>
  <c r="Y291" i="3"/>
  <c r="Y292" i="3"/>
  <c r="Y293" i="3"/>
  <c r="Y294" i="3"/>
  <c r="Y295" i="3"/>
  <c r="Y296" i="3"/>
  <c r="Y297" i="3"/>
  <c r="Y298" i="3"/>
  <c r="Y299" i="3"/>
  <c r="Y300" i="3"/>
  <c r="Y301" i="3"/>
  <c r="Y302" i="3"/>
  <c r="Y303" i="3"/>
  <c r="Y304" i="3"/>
  <c r="Y305" i="3"/>
  <c r="Y306" i="3"/>
  <c r="Y307" i="3"/>
  <c r="Y308" i="3"/>
  <c r="Y309" i="3"/>
  <c r="Y310" i="3"/>
  <c r="Y311" i="3"/>
  <c r="Y312" i="3"/>
  <c r="Y313" i="3"/>
  <c r="Y314" i="3"/>
  <c r="Y315" i="3"/>
  <c r="Y316" i="3"/>
  <c r="Y317" i="3"/>
  <c r="Y318" i="3"/>
  <c r="Y319" i="3"/>
  <c r="Y320" i="3"/>
  <c r="Y373" i="3"/>
  <c r="Y678" i="3"/>
  <c r="T12" i="3"/>
  <c r="T13" i="3"/>
  <c r="T14" i="3"/>
  <c r="T15" i="3"/>
  <c r="T16" i="3"/>
  <c r="T17" i="3"/>
  <c r="T18" i="3"/>
  <c r="T19" i="3"/>
  <c r="T20" i="3"/>
  <c r="T21" i="3"/>
  <c r="T22" i="3"/>
  <c r="T23" i="3"/>
  <c r="T24" i="3"/>
  <c r="T25" i="3"/>
  <c r="T26" i="3"/>
  <c r="T27" i="3"/>
  <c r="T28" i="3"/>
  <c r="T29" i="3"/>
  <c r="T30" i="3"/>
  <c r="T31" i="3"/>
  <c r="T32" i="3"/>
  <c r="T33" i="3"/>
  <c r="T34" i="3"/>
  <c r="T35" i="3"/>
  <c r="T36" i="3"/>
  <c r="T37" i="3"/>
  <c r="T38" i="3"/>
  <c r="T39" i="3"/>
  <c r="T40" i="3"/>
  <c r="T41" i="3"/>
  <c r="T42" i="3"/>
  <c r="T43" i="3"/>
  <c r="T44" i="3"/>
  <c r="T45" i="3"/>
  <c r="T46" i="3"/>
  <c r="T47" i="3"/>
  <c r="T48" i="3"/>
  <c r="T49" i="3"/>
  <c r="T50" i="3"/>
  <c r="T51" i="3"/>
  <c r="T52" i="3"/>
  <c r="T53" i="3"/>
  <c r="T54" i="3"/>
  <c r="T55" i="3"/>
  <c r="T56" i="3"/>
  <c r="T57" i="3"/>
  <c r="T58" i="3"/>
  <c r="T59" i="3"/>
  <c r="T60" i="3"/>
  <c r="T61" i="3"/>
  <c r="T62" i="3"/>
  <c r="T63" i="3"/>
  <c r="T64" i="3"/>
  <c r="T65" i="3"/>
  <c r="T66" i="3"/>
  <c r="T67" i="3"/>
  <c r="T68" i="3"/>
  <c r="T69" i="3"/>
  <c r="T70" i="3"/>
  <c r="T71" i="3"/>
  <c r="T72" i="3"/>
  <c r="T73" i="3"/>
  <c r="T74" i="3"/>
  <c r="T75" i="3"/>
  <c r="T76" i="3"/>
  <c r="T77" i="3"/>
  <c r="T78" i="3"/>
  <c r="T79" i="3"/>
  <c r="T80" i="3"/>
  <c r="T81" i="3"/>
  <c r="T82" i="3"/>
  <c r="T83" i="3"/>
  <c r="T84" i="3"/>
  <c r="T85" i="3"/>
  <c r="T86" i="3"/>
  <c r="T87" i="3"/>
  <c r="T88" i="3"/>
  <c r="T89" i="3"/>
  <c r="T90" i="3"/>
  <c r="T91" i="3"/>
  <c r="T92" i="3"/>
  <c r="T93" i="3"/>
  <c r="T94" i="3"/>
  <c r="T95" i="3"/>
  <c r="T96" i="3"/>
  <c r="T97" i="3"/>
  <c r="T98" i="3"/>
  <c r="T99" i="3"/>
  <c r="T100" i="3"/>
  <c r="T101" i="3"/>
  <c r="T102" i="3"/>
  <c r="T103" i="3"/>
  <c r="T104" i="3"/>
  <c r="T105" i="3"/>
  <c r="T106" i="3"/>
  <c r="T107" i="3"/>
  <c r="T108" i="3"/>
  <c r="T109" i="3"/>
  <c r="T110" i="3"/>
  <c r="T111" i="3"/>
  <c r="T112" i="3"/>
  <c r="T113" i="3"/>
  <c r="T114" i="3"/>
  <c r="T115" i="3"/>
  <c r="T116" i="3"/>
  <c r="T117" i="3"/>
  <c r="T118" i="3"/>
  <c r="T119" i="3"/>
  <c r="T120" i="3"/>
  <c r="T121" i="3"/>
  <c r="T122" i="3"/>
  <c r="T123" i="3"/>
  <c r="T124" i="3"/>
  <c r="T125" i="3"/>
  <c r="T126" i="3"/>
  <c r="T127" i="3"/>
  <c r="T128" i="3"/>
  <c r="T129" i="3"/>
  <c r="T130" i="3"/>
  <c r="T131" i="3"/>
  <c r="T132" i="3"/>
  <c r="T133" i="3"/>
  <c r="T134" i="3"/>
  <c r="T135" i="3"/>
  <c r="T136" i="3"/>
  <c r="T137" i="3"/>
  <c r="T138" i="3"/>
  <c r="T139" i="3"/>
  <c r="T140" i="3"/>
  <c r="T141" i="3"/>
  <c r="T142" i="3"/>
  <c r="T143" i="3"/>
  <c r="T144" i="3"/>
  <c r="T145" i="3"/>
  <c r="T146" i="3"/>
  <c r="T147" i="3"/>
  <c r="T148" i="3"/>
  <c r="T149" i="3"/>
  <c r="T150" i="3"/>
  <c r="T151" i="3"/>
  <c r="T152" i="3"/>
  <c r="T153" i="3"/>
  <c r="T154" i="3"/>
  <c r="T155" i="3"/>
  <c r="T156" i="3"/>
  <c r="T157" i="3"/>
  <c r="T158" i="3"/>
  <c r="T159" i="3"/>
  <c r="T160" i="3"/>
  <c r="T161" i="3"/>
  <c r="T162" i="3"/>
  <c r="T163" i="3"/>
  <c r="T164" i="3"/>
  <c r="T165" i="3"/>
  <c r="T166" i="3"/>
  <c r="T167" i="3"/>
  <c r="T168" i="3"/>
  <c r="T169" i="3"/>
  <c r="T170" i="3"/>
  <c r="T171" i="3"/>
  <c r="T172" i="3"/>
  <c r="T173" i="3"/>
  <c r="T174" i="3"/>
  <c r="T175" i="3"/>
  <c r="T176" i="3"/>
  <c r="T177" i="3"/>
  <c r="T178" i="3"/>
  <c r="T179" i="3"/>
  <c r="T180" i="3"/>
  <c r="T181" i="3"/>
  <c r="T182" i="3"/>
  <c r="T183" i="3"/>
  <c r="T184" i="3"/>
  <c r="T185" i="3"/>
  <c r="T186" i="3"/>
  <c r="T187" i="3"/>
  <c r="T188" i="3"/>
  <c r="T189" i="3"/>
  <c r="T190" i="3"/>
  <c r="T191" i="3"/>
  <c r="T192" i="3"/>
  <c r="T193" i="3"/>
  <c r="T194" i="3"/>
  <c r="T195" i="3"/>
  <c r="T196" i="3"/>
  <c r="T197" i="3"/>
  <c r="T198" i="3"/>
  <c r="T199" i="3"/>
  <c r="T200" i="3"/>
  <c r="T201" i="3"/>
  <c r="T202" i="3"/>
  <c r="T203" i="3"/>
  <c r="T204" i="3"/>
  <c r="T205" i="3"/>
  <c r="T206" i="3"/>
  <c r="T207" i="3"/>
  <c r="T208" i="3"/>
  <c r="T209" i="3"/>
  <c r="T210" i="3"/>
  <c r="T211" i="3"/>
  <c r="T212" i="3"/>
  <c r="T213" i="3"/>
  <c r="T214" i="3"/>
  <c r="T215" i="3"/>
  <c r="T216" i="3"/>
  <c r="T217" i="3"/>
  <c r="T218" i="3"/>
  <c r="T219" i="3"/>
  <c r="T220" i="3"/>
  <c r="T221" i="3"/>
  <c r="T222" i="3"/>
  <c r="T223" i="3"/>
  <c r="T224" i="3"/>
  <c r="T225" i="3"/>
  <c r="T226" i="3"/>
  <c r="T227" i="3"/>
  <c r="T228" i="3"/>
  <c r="T229" i="3"/>
  <c r="T230" i="3"/>
  <c r="T231" i="3"/>
  <c r="T232" i="3"/>
  <c r="T233" i="3"/>
  <c r="T234" i="3"/>
  <c r="T235" i="3"/>
  <c r="T236" i="3"/>
  <c r="T237" i="3"/>
  <c r="T238" i="3"/>
  <c r="T239" i="3"/>
  <c r="T240" i="3"/>
  <c r="T241" i="3"/>
  <c r="T242" i="3"/>
  <c r="T243" i="3"/>
  <c r="T244" i="3"/>
  <c r="T245" i="3"/>
  <c r="T246" i="3"/>
  <c r="T247" i="3"/>
  <c r="T248" i="3"/>
  <c r="T249" i="3"/>
  <c r="T250" i="3"/>
  <c r="T251" i="3"/>
  <c r="T252" i="3"/>
  <c r="T253" i="3"/>
  <c r="T254" i="3"/>
  <c r="T255" i="3"/>
  <c r="T256" i="3"/>
  <c r="T257" i="3"/>
  <c r="T258" i="3"/>
  <c r="T259" i="3"/>
  <c r="T260" i="3"/>
  <c r="T261" i="3"/>
  <c r="T262" i="3"/>
  <c r="T263" i="3"/>
  <c r="T264" i="3"/>
  <c r="T265" i="3"/>
  <c r="T266" i="3"/>
  <c r="T267" i="3"/>
  <c r="T268" i="3"/>
  <c r="T269" i="3"/>
  <c r="T270" i="3"/>
  <c r="T271" i="3"/>
  <c r="T272" i="3"/>
  <c r="T273" i="3"/>
  <c r="T274" i="3"/>
  <c r="T275" i="3"/>
  <c r="T276" i="3"/>
  <c r="T277" i="3"/>
  <c r="T278" i="3"/>
  <c r="T279" i="3"/>
  <c r="T280" i="3"/>
  <c r="T281" i="3"/>
  <c r="T282" i="3"/>
  <c r="T283" i="3"/>
  <c r="T284" i="3"/>
  <c r="T285" i="3"/>
  <c r="T286" i="3"/>
  <c r="T287" i="3"/>
  <c r="T288" i="3"/>
  <c r="T289" i="3"/>
  <c r="T290" i="3"/>
  <c r="T291" i="3"/>
  <c r="T292" i="3"/>
  <c r="T293" i="3"/>
  <c r="T294" i="3"/>
  <c r="T295" i="3"/>
  <c r="T296" i="3"/>
  <c r="T297" i="3"/>
  <c r="T298" i="3"/>
  <c r="T299" i="3"/>
  <c r="T300" i="3"/>
  <c r="T301" i="3"/>
  <c r="T302" i="3"/>
  <c r="T303" i="3"/>
  <c r="T304" i="3"/>
  <c r="T305" i="3"/>
  <c r="T306" i="3"/>
  <c r="T307" i="3"/>
  <c r="T308" i="3"/>
  <c r="T309" i="3"/>
  <c r="T310" i="3"/>
  <c r="T311" i="3"/>
  <c r="T312" i="3"/>
  <c r="T313" i="3"/>
  <c r="T314" i="3"/>
  <c r="T315" i="3"/>
  <c r="T316" i="3"/>
  <c r="T317" i="3"/>
  <c r="T318" i="3"/>
  <c r="T319" i="3"/>
  <c r="T320" i="3"/>
  <c r="T373" i="3"/>
  <c r="T678" i="3"/>
  <c r="P12" i="3"/>
  <c r="P13" i="3"/>
  <c r="P14" i="3"/>
  <c r="P15" i="3"/>
  <c r="P16" i="3"/>
  <c r="P17" i="3"/>
  <c r="P18" i="3"/>
  <c r="P19" i="3"/>
  <c r="P20" i="3"/>
  <c r="P21" i="3"/>
  <c r="P22" i="3"/>
  <c r="P23" i="3"/>
  <c r="P24" i="3"/>
  <c r="P25" i="3"/>
  <c r="P26" i="3"/>
  <c r="P27" i="3"/>
  <c r="P28" i="3"/>
  <c r="P29" i="3"/>
  <c r="P30" i="3"/>
  <c r="P31" i="3"/>
  <c r="P32" i="3"/>
  <c r="P33" i="3"/>
  <c r="P34" i="3"/>
  <c r="P35" i="3"/>
  <c r="P36" i="3"/>
  <c r="P37" i="3"/>
  <c r="P38" i="3"/>
  <c r="P39" i="3"/>
  <c r="P40" i="3"/>
  <c r="P41" i="3"/>
  <c r="P42" i="3"/>
  <c r="P43" i="3"/>
  <c r="P44" i="3"/>
  <c r="P45" i="3"/>
  <c r="P46" i="3"/>
  <c r="P47" i="3"/>
  <c r="P48" i="3"/>
  <c r="P49" i="3"/>
  <c r="P50" i="3"/>
  <c r="P51" i="3"/>
  <c r="P52" i="3"/>
  <c r="P53" i="3"/>
  <c r="P54" i="3"/>
  <c r="P55" i="3"/>
  <c r="P56" i="3"/>
  <c r="P57" i="3"/>
  <c r="P58" i="3"/>
  <c r="P59" i="3"/>
  <c r="P60" i="3"/>
  <c r="P61" i="3"/>
  <c r="P62" i="3"/>
  <c r="P63" i="3"/>
  <c r="P64" i="3"/>
  <c r="P65" i="3"/>
  <c r="P66" i="3"/>
  <c r="P67" i="3"/>
  <c r="P68" i="3"/>
  <c r="P69" i="3"/>
  <c r="P70" i="3"/>
  <c r="P71" i="3"/>
  <c r="P72" i="3"/>
  <c r="P73" i="3"/>
  <c r="P74" i="3"/>
  <c r="P75" i="3"/>
  <c r="P76" i="3"/>
  <c r="P77" i="3"/>
  <c r="P78" i="3"/>
  <c r="P79" i="3"/>
  <c r="P80" i="3"/>
  <c r="P81" i="3"/>
  <c r="P82" i="3"/>
  <c r="P83" i="3"/>
  <c r="P84" i="3"/>
  <c r="P85" i="3"/>
  <c r="P86" i="3"/>
  <c r="P87" i="3"/>
  <c r="P88" i="3"/>
  <c r="P89" i="3"/>
  <c r="P90" i="3"/>
  <c r="P91" i="3"/>
  <c r="P92" i="3"/>
  <c r="P93" i="3"/>
  <c r="P94" i="3"/>
  <c r="P95" i="3"/>
  <c r="P96" i="3"/>
  <c r="P97" i="3"/>
  <c r="P98" i="3"/>
  <c r="P99" i="3"/>
  <c r="P100" i="3"/>
  <c r="P101" i="3"/>
  <c r="P102" i="3"/>
  <c r="P103" i="3"/>
  <c r="P104" i="3"/>
  <c r="P105" i="3"/>
  <c r="P106" i="3"/>
  <c r="P107" i="3"/>
  <c r="P108" i="3"/>
  <c r="P109" i="3"/>
  <c r="P110" i="3"/>
  <c r="P111" i="3"/>
  <c r="P112" i="3"/>
  <c r="P113" i="3"/>
  <c r="P114" i="3"/>
  <c r="P115" i="3"/>
  <c r="P116" i="3"/>
  <c r="P117" i="3"/>
  <c r="P118" i="3"/>
  <c r="P119" i="3"/>
  <c r="P120" i="3"/>
  <c r="P121" i="3"/>
  <c r="P122" i="3"/>
  <c r="P123" i="3"/>
  <c r="P124" i="3"/>
  <c r="P125" i="3"/>
  <c r="P126" i="3"/>
  <c r="P127" i="3"/>
  <c r="P128" i="3"/>
  <c r="P129" i="3"/>
  <c r="P130" i="3"/>
  <c r="P131" i="3"/>
  <c r="P132" i="3"/>
  <c r="P133" i="3"/>
  <c r="P134" i="3"/>
  <c r="P135" i="3"/>
  <c r="P136" i="3"/>
  <c r="P137" i="3"/>
  <c r="P138" i="3"/>
  <c r="P139" i="3"/>
  <c r="P140" i="3"/>
  <c r="P141" i="3"/>
  <c r="P142" i="3"/>
  <c r="P143" i="3"/>
  <c r="P144" i="3"/>
  <c r="P145" i="3"/>
  <c r="P146" i="3"/>
  <c r="P147" i="3"/>
  <c r="P148" i="3"/>
  <c r="P149" i="3"/>
  <c r="P150" i="3"/>
  <c r="P151" i="3"/>
  <c r="P152" i="3"/>
  <c r="P153" i="3"/>
  <c r="P154" i="3"/>
  <c r="P155" i="3"/>
  <c r="P156" i="3"/>
  <c r="P157" i="3"/>
  <c r="P158" i="3"/>
  <c r="P159" i="3"/>
  <c r="P160" i="3"/>
  <c r="P161" i="3"/>
  <c r="P162" i="3"/>
  <c r="P163" i="3"/>
  <c r="P164" i="3"/>
  <c r="P165" i="3"/>
  <c r="P166" i="3"/>
  <c r="P167" i="3"/>
  <c r="P168" i="3"/>
  <c r="P169" i="3"/>
  <c r="P170" i="3"/>
  <c r="P171" i="3"/>
  <c r="P172" i="3"/>
  <c r="P173" i="3"/>
  <c r="P174" i="3"/>
  <c r="P175" i="3"/>
  <c r="P176" i="3"/>
  <c r="P177" i="3"/>
  <c r="P178" i="3"/>
  <c r="P179" i="3"/>
  <c r="P180" i="3"/>
  <c r="P181" i="3"/>
  <c r="P182" i="3"/>
  <c r="P183" i="3"/>
  <c r="P184" i="3"/>
  <c r="P185" i="3"/>
  <c r="P186" i="3"/>
  <c r="P187" i="3"/>
  <c r="P188" i="3"/>
  <c r="P189" i="3"/>
  <c r="P190" i="3"/>
  <c r="P191" i="3"/>
  <c r="P192" i="3"/>
  <c r="P193" i="3"/>
  <c r="P194" i="3"/>
  <c r="P195" i="3"/>
  <c r="P196" i="3"/>
  <c r="P197" i="3"/>
  <c r="P198" i="3"/>
  <c r="P199" i="3"/>
  <c r="P200" i="3"/>
  <c r="P201" i="3"/>
  <c r="P202" i="3"/>
  <c r="P203" i="3"/>
  <c r="P204" i="3"/>
  <c r="P205" i="3"/>
  <c r="P206" i="3"/>
  <c r="P207" i="3"/>
  <c r="P208" i="3"/>
  <c r="P209" i="3"/>
  <c r="P210" i="3"/>
  <c r="P211" i="3"/>
  <c r="P212" i="3"/>
  <c r="P213" i="3"/>
  <c r="P214" i="3"/>
  <c r="P215" i="3"/>
  <c r="P216" i="3"/>
  <c r="P217" i="3"/>
  <c r="P218" i="3"/>
  <c r="P219" i="3"/>
  <c r="P220" i="3"/>
  <c r="P221" i="3"/>
  <c r="P222" i="3"/>
  <c r="P223" i="3"/>
  <c r="P224" i="3"/>
  <c r="P225" i="3"/>
  <c r="P226" i="3"/>
  <c r="P227" i="3"/>
  <c r="P228" i="3"/>
  <c r="P229" i="3"/>
  <c r="P230" i="3"/>
  <c r="P231" i="3"/>
  <c r="P232" i="3"/>
  <c r="P233" i="3"/>
  <c r="P234" i="3"/>
  <c r="P235" i="3"/>
  <c r="P236" i="3"/>
  <c r="P237" i="3"/>
  <c r="P238" i="3"/>
  <c r="P239" i="3"/>
  <c r="P240" i="3"/>
  <c r="P241" i="3"/>
  <c r="P242" i="3"/>
  <c r="P243" i="3"/>
  <c r="P244" i="3"/>
  <c r="P245" i="3"/>
  <c r="P246" i="3"/>
  <c r="P247" i="3"/>
  <c r="P248" i="3"/>
  <c r="P249" i="3"/>
  <c r="P250" i="3"/>
  <c r="P251" i="3"/>
  <c r="P252" i="3"/>
  <c r="P253" i="3"/>
  <c r="P254" i="3"/>
  <c r="P255" i="3"/>
  <c r="P256" i="3"/>
  <c r="P257" i="3"/>
  <c r="P258" i="3"/>
  <c r="P259" i="3"/>
  <c r="P260" i="3"/>
  <c r="P261" i="3"/>
  <c r="P262" i="3"/>
  <c r="P263" i="3"/>
  <c r="P264" i="3"/>
  <c r="P265" i="3"/>
  <c r="P266" i="3"/>
  <c r="P267" i="3"/>
  <c r="P268" i="3"/>
  <c r="P269" i="3"/>
  <c r="P270" i="3"/>
  <c r="P271" i="3"/>
  <c r="P272" i="3"/>
  <c r="P273" i="3"/>
  <c r="P274" i="3"/>
  <c r="P275" i="3"/>
  <c r="P276" i="3"/>
  <c r="P277" i="3"/>
  <c r="P278" i="3"/>
  <c r="P279" i="3"/>
  <c r="P280" i="3"/>
  <c r="P281" i="3"/>
  <c r="P282" i="3"/>
  <c r="P283" i="3"/>
  <c r="P284" i="3"/>
  <c r="P285" i="3"/>
  <c r="P286" i="3"/>
  <c r="P287" i="3"/>
  <c r="P288" i="3"/>
  <c r="P289" i="3"/>
  <c r="P290" i="3"/>
  <c r="P291" i="3"/>
  <c r="P292" i="3"/>
  <c r="P293" i="3"/>
  <c r="P294" i="3"/>
  <c r="P295" i="3"/>
  <c r="P296" i="3"/>
  <c r="P297" i="3"/>
  <c r="P298" i="3"/>
  <c r="P299" i="3"/>
  <c r="P300" i="3"/>
  <c r="P301" i="3"/>
  <c r="P302" i="3"/>
  <c r="P303" i="3"/>
  <c r="P304" i="3"/>
  <c r="P305" i="3"/>
  <c r="P306" i="3"/>
  <c r="P307" i="3"/>
  <c r="P308" i="3"/>
  <c r="P309" i="3"/>
  <c r="P310" i="3"/>
  <c r="P311" i="3"/>
  <c r="P312" i="3"/>
  <c r="P313" i="3"/>
  <c r="P314" i="3"/>
  <c r="P315" i="3"/>
  <c r="P316" i="3"/>
  <c r="P317" i="3"/>
  <c r="P318" i="3"/>
  <c r="P319" i="3"/>
  <c r="P320" i="3"/>
  <c r="P373" i="3"/>
  <c r="P678" i="3"/>
  <c r="L12" i="3"/>
  <c r="L13" i="3"/>
  <c r="L14" i="3"/>
  <c r="L15" i="3"/>
  <c r="L16" i="3"/>
  <c r="L17" i="3"/>
  <c r="L18" i="3"/>
  <c r="L19" i="3"/>
  <c r="L20" i="3"/>
  <c r="L21" i="3"/>
  <c r="L22" i="3"/>
  <c r="L23" i="3"/>
  <c r="L24" i="3"/>
  <c r="L25" i="3"/>
  <c r="L26" i="3"/>
  <c r="L27" i="3"/>
  <c r="L28" i="3"/>
  <c r="L29" i="3"/>
  <c r="L30" i="3"/>
  <c r="L31" i="3"/>
  <c r="L32" i="3"/>
  <c r="L33" i="3"/>
  <c r="L34" i="3"/>
  <c r="L35" i="3"/>
  <c r="L36" i="3"/>
  <c r="L37" i="3"/>
  <c r="L38" i="3"/>
  <c r="L39" i="3"/>
  <c r="L40" i="3"/>
  <c r="L41" i="3"/>
  <c r="L42" i="3"/>
  <c r="L43" i="3"/>
  <c r="L44" i="3"/>
  <c r="L45" i="3"/>
  <c r="L46" i="3"/>
  <c r="L47" i="3"/>
  <c r="L48" i="3"/>
  <c r="L49" i="3"/>
  <c r="L50" i="3"/>
  <c r="L51" i="3"/>
  <c r="L52" i="3"/>
  <c r="L53" i="3"/>
  <c r="L54" i="3"/>
  <c r="L55" i="3"/>
  <c r="L56" i="3"/>
  <c r="L57" i="3"/>
  <c r="L58" i="3"/>
  <c r="L59" i="3"/>
  <c r="L60" i="3"/>
  <c r="L61" i="3"/>
  <c r="L62" i="3"/>
  <c r="L63" i="3"/>
  <c r="L64" i="3"/>
  <c r="L65" i="3"/>
  <c r="L66" i="3"/>
  <c r="L67" i="3"/>
  <c r="L68" i="3"/>
  <c r="L69" i="3"/>
  <c r="L70" i="3"/>
  <c r="L71" i="3"/>
  <c r="L72" i="3"/>
  <c r="L73" i="3"/>
  <c r="L74" i="3"/>
  <c r="L75" i="3"/>
  <c r="L76" i="3"/>
  <c r="L77" i="3"/>
  <c r="L78" i="3"/>
  <c r="L79" i="3"/>
  <c r="L80" i="3"/>
  <c r="L81" i="3"/>
  <c r="L82" i="3"/>
  <c r="L83" i="3"/>
  <c r="L84" i="3"/>
  <c r="L85" i="3"/>
  <c r="L86" i="3"/>
  <c r="L87" i="3"/>
  <c r="L88" i="3"/>
  <c r="L89" i="3"/>
  <c r="L90" i="3"/>
  <c r="L91" i="3"/>
  <c r="L92" i="3"/>
  <c r="L93" i="3"/>
  <c r="L94" i="3"/>
  <c r="L95" i="3"/>
  <c r="L96" i="3"/>
  <c r="L97" i="3"/>
  <c r="L98" i="3"/>
  <c r="L99" i="3"/>
  <c r="L100" i="3"/>
  <c r="L101" i="3"/>
  <c r="L102" i="3"/>
  <c r="L103" i="3"/>
  <c r="L104" i="3"/>
  <c r="L105" i="3"/>
  <c r="L106" i="3"/>
  <c r="L107" i="3"/>
  <c r="L108" i="3"/>
  <c r="L109" i="3"/>
  <c r="L110" i="3"/>
  <c r="L111" i="3"/>
  <c r="L112" i="3"/>
  <c r="L113" i="3"/>
  <c r="L114" i="3"/>
  <c r="L115" i="3"/>
  <c r="L116" i="3"/>
  <c r="L117" i="3"/>
  <c r="L118" i="3"/>
  <c r="L119" i="3"/>
  <c r="L120" i="3"/>
  <c r="L121" i="3"/>
  <c r="L122" i="3"/>
  <c r="L123" i="3"/>
  <c r="L124" i="3"/>
  <c r="L125" i="3"/>
  <c r="L126" i="3"/>
  <c r="L127" i="3"/>
  <c r="L128" i="3"/>
  <c r="L129" i="3"/>
  <c r="L130" i="3"/>
  <c r="L131" i="3"/>
  <c r="L132" i="3"/>
  <c r="L133" i="3"/>
  <c r="L134" i="3"/>
  <c r="L135" i="3"/>
  <c r="L136" i="3"/>
  <c r="L137" i="3"/>
  <c r="L138" i="3"/>
  <c r="L139" i="3"/>
  <c r="L140" i="3"/>
  <c r="L141" i="3"/>
  <c r="L142" i="3"/>
  <c r="L143" i="3"/>
  <c r="L144" i="3"/>
  <c r="L145" i="3"/>
  <c r="L146" i="3"/>
  <c r="L147" i="3"/>
  <c r="L148" i="3"/>
  <c r="L149" i="3"/>
  <c r="L150" i="3"/>
  <c r="L151" i="3"/>
  <c r="L152" i="3"/>
  <c r="L153" i="3"/>
  <c r="L154" i="3"/>
  <c r="L155" i="3"/>
  <c r="L156" i="3"/>
  <c r="L157" i="3"/>
  <c r="L158" i="3"/>
  <c r="L159" i="3"/>
  <c r="L160" i="3"/>
  <c r="L161" i="3"/>
  <c r="L162" i="3"/>
  <c r="L163" i="3"/>
  <c r="L164" i="3"/>
  <c r="L165" i="3"/>
  <c r="L166" i="3"/>
  <c r="L167" i="3"/>
  <c r="L168" i="3"/>
  <c r="L169" i="3"/>
  <c r="L170" i="3"/>
  <c r="L171" i="3"/>
  <c r="L172" i="3"/>
  <c r="L173" i="3"/>
  <c r="L174" i="3"/>
  <c r="L175" i="3"/>
  <c r="L176" i="3"/>
  <c r="L177" i="3"/>
  <c r="L178" i="3"/>
  <c r="L179" i="3"/>
  <c r="L180" i="3"/>
  <c r="L181" i="3"/>
  <c r="L182" i="3"/>
  <c r="L183" i="3"/>
  <c r="L184" i="3"/>
  <c r="L185" i="3"/>
  <c r="L186" i="3"/>
  <c r="L187" i="3"/>
  <c r="L188" i="3"/>
  <c r="L189" i="3"/>
  <c r="L190" i="3"/>
  <c r="L191" i="3"/>
  <c r="L192" i="3"/>
  <c r="L193" i="3"/>
  <c r="L194" i="3"/>
  <c r="L195" i="3"/>
  <c r="L196" i="3"/>
  <c r="L197" i="3"/>
  <c r="L198" i="3"/>
  <c r="L199" i="3"/>
  <c r="L200" i="3"/>
  <c r="L201" i="3"/>
  <c r="L202" i="3"/>
  <c r="L203" i="3"/>
  <c r="L204" i="3"/>
  <c r="L205" i="3"/>
  <c r="L206" i="3"/>
  <c r="L207" i="3"/>
  <c r="L208" i="3"/>
  <c r="L209" i="3"/>
  <c r="L210" i="3"/>
  <c r="L211" i="3"/>
  <c r="L212" i="3"/>
  <c r="L213" i="3"/>
  <c r="L214" i="3"/>
  <c r="L215" i="3"/>
  <c r="L216" i="3"/>
  <c r="L217" i="3"/>
  <c r="L218" i="3"/>
  <c r="L219" i="3"/>
  <c r="L220" i="3"/>
  <c r="L221" i="3"/>
  <c r="L222" i="3"/>
  <c r="L223" i="3"/>
  <c r="L224" i="3"/>
  <c r="L225" i="3"/>
  <c r="L226" i="3"/>
  <c r="L227" i="3"/>
  <c r="L228" i="3"/>
  <c r="L229" i="3"/>
  <c r="L230" i="3"/>
  <c r="L231" i="3"/>
  <c r="L232" i="3"/>
  <c r="L233" i="3"/>
  <c r="L234" i="3"/>
  <c r="L235" i="3"/>
  <c r="L236" i="3"/>
  <c r="L237" i="3"/>
  <c r="L238" i="3"/>
  <c r="L239" i="3"/>
  <c r="L240" i="3"/>
  <c r="L241" i="3"/>
  <c r="L242" i="3"/>
  <c r="L243" i="3"/>
  <c r="L244" i="3"/>
  <c r="L245" i="3"/>
  <c r="L246" i="3"/>
  <c r="L247" i="3"/>
  <c r="L248" i="3"/>
  <c r="L249" i="3"/>
  <c r="L250" i="3"/>
  <c r="L251" i="3"/>
  <c r="L252" i="3"/>
  <c r="L253" i="3"/>
  <c r="L254" i="3"/>
  <c r="L255" i="3"/>
  <c r="L256" i="3"/>
  <c r="L257" i="3"/>
  <c r="L258" i="3"/>
  <c r="L259" i="3"/>
  <c r="L260" i="3"/>
  <c r="L261" i="3"/>
  <c r="L262" i="3"/>
  <c r="L263" i="3"/>
  <c r="L264" i="3"/>
  <c r="L265" i="3"/>
  <c r="L266" i="3"/>
  <c r="L267" i="3"/>
  <c r="L268" i="3"/>
  <c r="L269" i="3"/>
  <c r="L270" i="3"/>
  <c r="L271" i="3"/>
  <c r="L272" i="3"/>
  <c r="L273" i="3"/>
  <c r="L274" i="3"/>
  <c r="L275" i="3"/>
  <c r="L276" i="3"/>
  <c r="L277" i="3"/>
  <c r="L278" i="3"/>
  <c r="L279" i="3"/>
  <c r="L280" i="3"/>
  <c r="L281" i="3"/>
  <c r="L282" i="3"/>
  <c r="L283" i="3"/>
  <c r="L284" i="3"/>
  <c r="L285" i="3"/>
  <c r="L286" i="3"/>
  <c r="L287" i="3"/>
  <c r="L288" i="3"/>
  <c r="L289" i="3"/>
  <c r="L290" i="3"/>
  <c r="L291" i="3"/>
  <c r="L292" i="3"/>
  <c r="L293" i="3"/>
  <c r="L294" i="3"/>
  <c r="L295" i="3"/>
  <c r="L296" i="3"/>
  <c r="L297" i="3"/>
  <c r="L298" i="3"/>
  <c r="L299" i="3"/>
  <c r="L300" i="3"/>
  <c r="L301" i="3"/>
  <c r="L302" i="3"/>
  <c r="L303" i="3"/>
  <c r="L304" i="3"/>
  <c r="L305" i="3"/>
  <c r="L306" i="3"/>
  <c r="L307" i="3"/>
  <c r="L308" i="3"/>
  <c r="L309" i="3"/>
  <c r="L310" i="3"/>
  <c r="L311" i="3"/>
  <c r="L312" i="3"/>
  <c r="L313" i="3"/>
  <c r="L314" i="3"/>
  <c r="L315" i="3"/>
  <c r="L316" i="3"/>
  <c r="L317" i="3"/>
  <c r="L318" i="3"/>
  <c r="L319" i="3"/>
  <c r="L320" i="3"/>
  <c r="L373" i="3"/>
  <c r="L678" i="3"/>
  <c r="DV673" i="3" l="1"/>
  <c r="DW673" i="3"/>
  <c r="DU673" i="3" s="1"/>
  <c r="DV670" i="3"/>
  <c r="DW670" i="3"/>
  <c r="DV665" i="3"/>
  <c r="DW665" i="3"/>
  <c r="DU665" i="3" s="1"/>
  <c r="DW662" i="3"/>
  <c r="DU662" i="3" s="1"/>
  <c r="DV662" i="3"/>
  <c r="DV657" i="3"/>
  <c r="DW657" i="3"/>
  <c r="DU657" i="3" s="1"/>
  <c r="DV654" i="3"/>
  <c r="DW654" i="3"/>
  <c r="DV649" i="3"/>
  <c r="DW649" i="3"/>
  <c r="DU649" i="3" s="1"/>
  <c r="DV646" i="3"/>
  <c r="DW646" i="3"/>
  <c r="DW641" i="3"/>
  <c r="DV641" i="3"/>
  <c r="DV638" i="3"/>
  <c r="DW638" i="3"/>
  <c r="DV633" i="3"/>
  <c r="DW633" i="3"/>
  <c r="DU633" i="3" s="1"/>
  <c r="DW630" i="3"/>
  <c r="DU630" i="3" s="1"/>
  <c r="DV630" i="3"/>
  <c r="DW625" i="3"/>
  <c r="DV625" i="3"/>
  <c r="DV622" i="3"/>
  <c r="DW622" i="3"/>
  <c r="DV617" i="3"/>
  <c r="DW617" i="3"/>
  <c r="DU617" i="3" s="1"/>
  <c r="DW614" i="3"/>
  <c r="DU614" i="3" s="1"/>
  <c r="DV614" i="3"/>
  <c r="DW609" i="3"/>
  <c r="DV609" i="3"/>
  <c r="DV606" i="3"/>
  <c r="DW606" i="3"/>
  <c r="DV601" i="3"/>
  <c r="DW601" i="3"/>
  <c r="DU601" i="3" s="1"/>
  <c r="DW598" i="3"/>
  <c r="DU598" i="3" s="1"/>
  <c r="DV598" i="3"/>
  <c r="DW593" i="3"/>
  <c r="DV593" i="3"/>
  <c r="DV590" i="3"/>
  <c r="DW590" i="3"/>
  <c r="DV574" i="3"/>
  <c r="DW574" i="3"/>
  <c r="DU574" i="3" s="1"/>
  <c r="DW550" i="3"/>
  <c r="DU550" i="3" s="1"/>
  <c r="DV550" i="3"/>
  <c r="DV519" i="3"/>
  <c r="DW519" i="3"/>
  <c r="DV514" i="3"/>
  <c r="DW514" i="3"/>
  <c r="DW677" i="3"/>
  <c r="DV677" i="3"/>
  <c r="DV669" i="3"/>
  <c r="DW669" i="3"/>
  <c r="DW661" i="3"/>
  <c r="DV661" i="3"/>
  <c r="DW653" i="3"/>
  <c r="DU653" i="3" s="1"/>
  <c r="DV653" i="3"/>
  <c r="DW645" i="3"/>
  <c r="DV645" i="3"/>
  <c r="DV637" i="3"/>
  <c r="DW637" i="3"/>
  <c r="DV629" i="3"/>
  <c r="DW629" i="3"/>
  <c r="DU629" i="3" s="1"/>
  <c r="DV621" i="3"/>
  <c r="DW621" i="3"/>
  <c r="DV613" i="3"/>
  <c r="DW613" i="3"/>
  <c r="DU613" i="3" s="1"/>
  <c r="DV605" i="3"/>
  <c r="DW605" i="3"/>
  <c r="DV597" i="3"/>
  <c r="DW597" i="3"/>
  <c r="DU597" i="3" s="1"/>
  <c r="DV589" i="3"/>
  <c r="DW589" i="3"/>
  <c r="DW582" i="3"/>
  <c r="DV582" i="3"/>
  <c r="DW577" i="3"/>
  <c r="DU577" i="3" s="1"/>
  <c r="DV577" i="3"/>
  <c r="DV573" i="3"/>
  <c r="DW573" i="3"/>
  <c r="DU573" i="3" s="1"/>
  <c r="DW566" i="3"/>
  <c r="DU566" i="3" s="1"/>
  <c r="DV566" i="3"/>
  <c r="DW561" i="3"/>
  <c r="DV561" i="3"/>
  <c r="DV557" i="3"/>
  <c r="DW557" i="3"/>
  <c r="DV555" i="3"/>
  <c r="DW555" i="3"/>
  <c r="DV546" i="3"/>
  <c r="DW546" i="3"/>
  <c r="DV530" i="3"/>
  <c r="DW530" i="3"/>
  <c r="DU530" i="3" s="1"/>
  <c r="DV503" i="3"/>
  <c r="DU503" i="3" s="1"/>
  <c r="DW503" i="3"/>
  <c r="DW498" i="3"/>
  <c r="DV498" i="3"/>
  <c r="DV487" i="3"/>
  <c r="DU487" i="3" s="1"/>
  <c r="DW487" i="3"/>
  <c r="DW482" i="3"/>
  <c r="DV482" i="3"/>
  <c r="DW471" i="3"/>
  <c r="DV471" i="3"/>
  <c r="DW466" i="3"/>
  <c r="DV466" i="3"/>
  <c r="DV455" i="3"/>
  <c r="DU455" i="3" s="1"/>
  <c r="DW455" i="3"/>
  <c r="DW450" i="3"/>
  <c r="DV450" i="3"/>
  <c r="DW434" i="3"/>
  <c r="DU434" i="3" s="1"/>
  <c r="DV434" i="3"/>
  <c r="DV579" i="3"/>
  <c r="DW579" i="3"/>
  <c r="DV576" i="3"/>
  <c r="DW576" i="3"/>
  <c r="DV563" i="3"/>
  <c r="DW563" i="3"/>
  <c r="DV542" i="3"/>
  <c r="DW542" i="3"/>
  <c r="DV521" i="3"/>
  <c r="DW521" i="3"/>
  <c r="DU521" i="3" s="1"/>
  <c r="DV515" i="3"/>
  <c r="DU515" i="3" s="1"/>
  <c r="DW515" i="3"/>
  <c r="DV495" i="3"/>
  <c r="DW495" i="3"/>
  <c r="DW490" i="3"/>
  <c r="DU490" i="3" s="1"/>
  <c r="DV490" i="3"/>
  <c r="DV479" i="3"/>
  <c r="DW479" i="3"/>
  <c r="DV474" i="3"/>
  <c r="DW474" i="3"/>
  <c r="DV463" i="3"/>
  <c r="DW463" i="3"/>
  <c r="DV458" i="3"/>
  <c r="DW458" i="3"/>
  <c r="DV447" i="3"/>
  <c r="DW447" i="3"/>
  <c r="DV442" i="3"/>
  <c r="DW442" i="3"/>
  <c r="DV431" i="3"/>
  <c r="DW431" i="3"/>
  <c r="DW666" i="3"/>
  <c r="DV666" i="3"/>
  <c r="DV658" i="3"/>
  <c r="DW658" i="3"/>
  <c r="DU650" i="3"/>
  <c r="DV642" i="3"/>
  <c r="DW642" i="3"/>
  <c r="DU642" i="3" s="1"/>
  <c r="DV634" i="3"/>
  <c r="DW634" i="3"/>
  <c r="DU634" i="3" s="1"/>
  <c r="DV626" i="3"/>
  <c r="DW626" i="3"/>
  <c r="DU626" i="3" s="1"/>
  <c r="DV618" i="3"/>
  <c r="DW618" i="3"/>
  <c r="DU618" i="3" s="1"/>
  <c r="DV602" i="3"/>
  <c r="DW602" i="3"/>
  <c r="DU602" i="3" s="1"/>
  <c r="DV594" i="3"/>
  <c r="DW594" i="3"/>
  <c r="DU594" i="3" s="1"/>
  <c r="DV586" i="3"/>
  <c r="DW586" i="3"/>
  <c r="DU586" i="3" s="1"/>
  <c r="DV570" i="3"/>
  <c r="DW570" i="3"/>
  <c r="DU570" i="3" s="1"/>
  <c r="DV562" i="3"/>
  <c r="DW562" i="3"/>
  <c r="DU562" i="3" s="1"/>
  <c r="DV551" i="3"/>
  <c r="DW551" i="3"/>
  <c r="DV541" i="3"/>
  <c r="DW541" i="3"/>
  <c r="DU541" i="3" s="1"/>
  <c r="DW509" i="3"/>
  <c r="DV509" i="3"/>
  <c r="DW493" i="3"/>
  <c r="DV493" i="3"/>
  <c r="DW477" i="3"/>
  <c r="DV477" i="3"/>
  <c r="DW461" i="3"/>
  <c r="DV461" i="3"/>
  <c r="DW429" i="3"/>
  <c r="DV429" i="3"/>
  <c r="DV426" i="3"/>
  <c r="DU426" i="3" s="1"/>
  <c r="DU671" i="3"/>
  <c r="DW668" i="3"/>
  <c r="DV668" i="3"/>
  <c r="DV663" i="3"/>
  <c r="DU663" i="3" s="1"/>
  <c r="DW663" i="3"/>
  <c r="DW652" i="3"/>
  <c r="DV652" i="3"/>
  <c r="DV647" i="3"/>
  <c r="DW647" i="3"/>
  <c r="DV644" i="3"/>
  <c r="DW644" i="3"/>
  <c r="DU644" i="3" s="1"/>
  <c r="DV639" i="3"/>
  <c r="DW639" i="3"/>
  <c r="DV636" i="3"/>
  <c r="DW636" i="3"/>
  <c r="DU636" i="3" s="1"/>
  <c r="DV631" i="3"/>
  <c r="DW631" i="3"/>
  <c r="DW623" i="3"/>
  <c r="DV623" i="3"/>
  <c r="DU623" i="3" s="1"/>
  <c r="DV620" i="3"/>
  <c r="DW620" i="3"/>
  <c r="DU620" i="3" s="1"/>
  <c r="DV615" i="3"/>
  <c r="DW615" i="3"/>
  <c r="DV612" i="3"/>
  <c r="DW612" i="3"/>
  <c r="DU612" i="3" s="1"/>
  <c r="DV604" i="3"/>
  <c r="DW604" i="3"/>
  <c r="DU604" i="3" s="1"/>
  <c r="DV599" i="3"/>
  <c r="DW599" i="3"/>
  <c r="DW591" i="3"/>
  <c r="DV591" i="3"/>
  <c r="DU591" i="3" s="1"/>
  <c r="DV588" i="3"/>
  <c r="DW588" i="3"/>
  <c r="DU588" i="3" s="1"/>
  <c r="DV572" i="3"/>
  <c r="DW572" i="3"/>
  <c r="DU572" i="3" s="1"/>
  <c r="DW559" i="3"/>
  <c r="DV559" i="3"/>
  <c r="DU559" i="3" s="1"/>
  <c r="DV554" i="3"/>
  <c r="DW554" i="3"/>
  <c r="DU554" i="3" s="1"/>
  <c r="DV526" i="3"/>
  <c r="DW526" i="3"/>
  <c r="DU526" i="3" s="1"/>
  <c r="DV517" i="3"/>
  <c r="DW517" i="3"/>
  <c r="DU517" i="3" s="1"/>
  <c r="DV489" i="3"/>
  <c r="DW489" i="3"/>
  <c r="DU489" i="3" s="1"/>
  <c r="DW457" i="3"/>
  <c r="DV457" i="3"/>
  <c r="DV441" i="3"/>
  <c r="DW441" i="3"/>
  <c r="DU441" i="3" s="1"/>
  <c r="DV425" i="3"/>
  <c r="DW425" i="3"/>
  <c r="DU425" i="3" s="1"/>
  <c r="DV585" i="3"/>
  <c r="DW585" i="3"/>
  <c r="DU585" i="3" s="1"/>
  <c r="DV569" i="3"/>
  <c r="DW569" i="3"/>
  <c r="DU569" i="3" s="1"/>
  <c r="DV535" i="3"/>
  <c r="DW535" i="3"/>
  <c r="DU523" i="3"/>
  <c r="DV439" i="3"/>
  <c r="DU439" i="3" s="1"/>
  <c r="DW439" i="3"/>
  <c r="DV423" i="3"/>
  <c r="DW423" i="3"/>
  <c r="DV660" i="3"/>
  <c r="DU660" i="3" s="1"/>
  <c r="DV650" i="3"/>
  <c r="DW628" i="3"/>
  <c r="DU628" i="3" s="1"/>
  <c r="DW571" i="3"/>
  <c r="DV543" i="3"/>
  <c r="DU543" i="3" s="1"/>
  <c r="DV518" i="3"/>
  <c r="DW454" i="3"/>
  <c r="DU454" i="3" s="1"/>
  <c r="DV587" i="3"/>
  <c r="DW587" i="3"/>
  <c r="DW584" i="3"/>
  <c r="DV584" i="3"/>
  <c r="DU571" i="3"/>
  <c r="DU568" i="3"/>
  <c r="DV556" i="3"/>
  <c r="DW556" i="3"/>
  <c r="DU556" i="3" s="1"/>
  <c r="DV553" i="3"/>
  <c r="DW553" i="3"/>
  <c r="DU553" i="3" s="1"/>
  <c r="DV547" i="3"/>
  <c r="DW547" i="3"/>
  <c r="DV544" i="3"/>
  <c r="DW544" i="3"/>
  <c r="DU544" i="3" s="1"/>
  <c r="DV538" i="3"/>
  <c r="DW538" i="3"/>
  <c r="DU538" i="3" s="1"/>
  <c r="DW534" i="3"/>
  <c r="DV534" i="3"/>
  <c r="DV531" i="3"/>
  <c r="DW531" i="3"/>
  <c r="DV528" i="3"/>
  <c r="DW528" i="3"/>
  <c r="DU528" i="3" s="1"/>
  <c r="DV508" i="3"/>
  <c r="DW508" i="3"/>
  <c r="DU508" i="3" s="1"/>
  <c r="DV505" i="3"/>
  <c r="DW505" i="3"/>
  <c r="DU505" i="3" s="1"/>
  <c r="DV502" i="3"/>
  <c r="DW502" i="3"/>
  <c r="DU502" i="3" s="1"/>
  <c r="DV499" i="3"/>
  <c r="DW499" i="3"/>
  <c r="DV494" i="3"/>
  <c r="DW494" i="3"/>
  <c r="DU494" i="3" s="1"/>
  <c r="DW491" i="3"/>
  <c r="DV491" i="3"/>
  <c r="DU491" i="3" s="1"/>
  <c r="DV486" i="3"/>
  <c r="DW486" i="3"/>
  <c r="DU486" i="3" s="1"/>
  <c r="DW475" i="3"/>
  <c r="DV475" i="3"/>
  <c r="DV470" i="3"/>
  <c r="DW470" i="3"/>
  <c r="DU470" i="3" s="1"/>
  <c r="DV467" i="3"/>
  <c r="DU467" i="3" s="1"/>
  <c r="DW467" i="3"/>
  <c r="DV462" i="3"/>
  <c r="DW462" i="3"/>
  <c r="DU462" i="3" s="1"/>
  <c r="DV451" i="3"/>
  <c r="DU451" i="3" s="1"/>
  <c r="DW451" i="3"/>
  <c r="DV446" i="3"/>
  <c r="DW446" i="3"/>
  <c r="DU446" i="3" s="1"/>
  <c r="DW443" i="3"/>
  <c r="DV443" i="3"/>
  <c r="DV438" i="3"/>
  <c r="DW438" i="3"/>
  <c r="DU438" i="3" s="1"/>
  <c r="DU435" i="3"/>
  <c r="DW427" i="3"/>
  <c r="DV427" i="3"/>
  <c r="DU427" i="3" s="1"/>
  <c r="DV422" i="3"/>
  <c r="DW422" i="3"/>
  <c r="DU422" i="3" s="1"/>
  <c r="DW676" i="3"/>
  <c r="DV667" i="3"/>
  <c r="DU667" i="3" s="1"/>
  <c r="DV648" i="3"/>
  <c r="DW610" i="3"/>
  <c r="DU610" i="3" s="1"/>
  <c r="DW596" i="3"/>
  <c r="DU596" i="3" s="1"/>
  <c r="DV568" i="3"/>
  <c r="DW539" i="3"/>
  <c r="DU539" i="3" s="1"/>
  <c r="DV483" i="3"/>
  <c r="DU483" i="3" s="1"/>
  <c r="DW435" i="3"/>
  <c r="DW675" i="3"/>
  <c r="DV675" i="3"/>
  <c r="DU675" i="3" s="1"/>
  <c r="DV672" i="3"/>
  <c r="DW672" i="3"/>
  <c r="DW659" i="3"/>
  <c r="DV659" i="3"/>
  <c r="DU659" i="3" s="1"/>
  <c r="DV656" i="3"/>
  <c r="DW656" i="3"/>
  <c r="DV651" i="3"/>
  <c r="DW651" i="3"/>
  <c r="DU648" i="3"/>
  <c r="DV640" i="3"/>
  <c r="DW640" i="3"/>
  <c r="DU640" i="3" s="1"/>
  <c r="DU635" i="3"/>
  <c r="DU632" i="3"/>
  <c r="DV627" i="3"/>
  <c r="DW627" i="3"/>
  <c r="DV624" i="3"/>
  <c r="DW624" i="3"/>
  <c r="DU624" i="3" s="1"/>
  <c r="DV619" i="3"/>
  <c r="DW619" i="3"/>
  <c r="DW616" i="3"/>
  <c r="DV616" i="3"/>
  <c r="DV611" i="3"/>
  <c r="DW611" i="3"/>
  <c r="DV608" i="3"/>
  <c r="DW608" i="3"/>
  <c r="DU608" i="3" s="1"/>
  <c r="DU603" i="3"/>
  <c r="DS600" i="3"/>
  <c r="DS595" i="3"/>
  <c r="DS592" i="3"/>
  <c r="DV583" i="3"/>
  <c r="DW583" i="3"/>
  <c r="DV580" i="3"/>
  <c r="DW580" i="3"/>
  <c r="DU580" i="3" s="1"/>
  <c r="DV567" i="3"/>
  <c r="DW567" i="3"/>
  <c r="DS558" i="3"/>
  <c r="DW552" i="3"/>
  <c r="DU552" i="3" s="1"/>
  <c r="DV552" i="3"/>
  <c r="DV549" i="3"/>
  <c r="DW549" i="3"/>
  <c r="DU549" i="3" s="1"/>
  <c r="DV540" i="3"/>
  <c r="DW540" i="3"/>
  <c r="DV537" i="3"/>
  <c r="DW537" i="3"/>
  <c r="DU537" i="3" s="1"/>
  <c r="DS533" i="3"/>
  <c r="DW527" i="3"/>
  <c r="DV527" i="3"/>
  <c r="DU527" i="3" s="1"/>
  <c r="DV522" i="3"/>
  <c r="DW522" i="3"/>
  <c r="DU518" i="3"/>
  <c r="DS516" i="3"/>
  <c r="DS513" i="3"/>
  <c r="DS510" i="3"/>
  <c r="DS507" i="3"/>
  <c r="DS504" i="3"/>
  <c r="DS501" i="3"/>
  <c r="DS496" i="3"/>
  <c r="DS488" i="3"/>
  <c r="DS485" i="3"/>
  <c r="DS480" i="3"/>
  <c r="DS472" i="3"/>
  <c r="DS469" i="3"/>
  <c r="DS464" i="3"/>
  <c r="DS456" i="3"/>
  <c r="DS453" i="3"/>
  <c r="DS448" i="3"/>
  <c r="DS440" i="3"/>
  <c r="DS437" i="3"/>
  <c r="DS432" i="3"/>
  <c r="DV424" i="3"/>
  <c r="DW424" i="3"/>
  <c r="DU424" i="3" s="1"/>
  <c r="DV581" i="3"/>
  <c r="DW581" i="3"/>
  <c r="DV565" i="3"/>
  <c r="DW565" i="3"/>
  <c r="DU565" i="3" s="1"/>
  <c r="DW545" i="3"/>
  <c r="DU545" i="3" s="1"/>
  <c r="DV545" i="3"/>
  <c r="DV674" i="3"/>
  <c r="DU674" i="3" s="1"/>
  <c r="DW664" i="3"/>
  <c r="DU664" i="3" s="1"/>
  <c r="DV655" i="3"/>
  <c r="DU655" i="3" s="1"/>
  <c r="DW635" i="3"/>
  <c r="DV607" i="3"/>
  <c r="DU607" i="3" s="1"/>
  <c r="DW578" i="3"/>
  <c r="DU578" i="3" s="1"/>
  <c r="DW564" i="3"/>
  <c r="DU564" i="3" s="1"/>
  <c r="DW525" i="3"/>
  <c r="DU525" i="3" s="1"/>
  <c r="DV511" i="3"/>
  <c r="DU511" i="3" s="1"/>
  <c r="DV478" i="3"/>
  <c r="DU478" i="3" s="1"/>
  <c r="DV445" i="3"/>
  <c r="DU445" i="3" s="1"/>
  <c r="DW430" i="3"/>
  <c r="DU430" i="3" s="1"/>
  <c r="DU529" i="3"/>
  <c r="DV481" i="3"/>
  <c r="DW481" i="3"/>
  <c r="DU481" i="3" s="1"/>
  <c r="DV465" i="3"/>
  <c r="DW465" i="3"/>
  <c r="DU465" i="3" s="1"/>
  <c r="DW449" i="3"/>
  <c r="DU449" i="3" s="1"/>
  <c r="DS560" i="3"/>
  <c r="DS536" i="3"/>
  <c r="DS524" i="3"/>
  <c r="DS512" i="3"/>
  <c r="DW548" i="3"/>
  <c r="DU548" i="3" s="1"/>
  <c r="DW523" i="3"/>
  <c r="DV520" i="3"/>
  <c r="DV476" i="3"/>
  <c r="DV452" i="3"/>
  <c r="DW433" i="3"/>
  <c r="DU433" i="3" s="1"/>
  <c r="DW428" i="3"/>
  <c r="DU428" i="3" s="1"/>
  <c r="DU520" i="3"/>
  <c r="DW500" i="3"/>
  <c r="DU500" i="3" s="1"/>
  <c r="DV500" i="3"/>
  <c r="DW484" i="3"/>
  <c r="DV484" i="3"/>
  <c r="DU476" i="3"/>
  <c r="DU468" i="3"/>
  <c r="DV460" i="3"/>
  <c r="DW460" i="3"/>
  <c r="DU460" i="3" s="1"/>
  <c r="DU452" i="3"/>
  <c r="DW436" i="3"/>
  <c r="DV436" i="3"/>
  <c r="DU676" i="3"/>
  <c r="DH590" i="3"/>
  <c r="DH582" i="3"/>
  <c r="DH574" i="3"/>
  <c r="DH566" i="3"/>
  <c r="DH558" i="3"/>
  <c r="DH550" i="3"/>
  <c r="DH542" i="3"/>
  <c r="DH534" i="3"/>
  <c r="DH526" i="3"/>
  <c r="DH518" i="3"/>
  <c r="DH510" i="3"/>
  <c r="DH502" i="3"/>
  <c r="DH494" i="3"/>
  <c r="DH486" i="3"/>
  <c r="DH478" i="3"/>
  <c r="DH470" i="3"/>
  <c r="DH462" i="3"/>
  <c r="DH454" i="3"/>
  <c r="DH446" i="3"/>
  <c r="DH438" i="3"/>
  <c r="DH430" i="3"/>
  <c r="DH422" i="3"/>
  <c r="DH584" i="3"/>
  <c r="DH576" i="3"/>
  <c r="DH568" i="3"/>
  <c r="DH560" i="3"/>
  <c r="DH552" i="3"/>
  <c r="DH544" i="3"/>
  <c r="DH536" i="3"/>
  <c r="DH528" i="3"/>
  <c r="DH520" i="3"/>
  <c r="DH512" i="3"/>
  <c r="DH504" i="3"/>
  <c r="DH496" i="3"/>
  <c r="DH488" i="3"/>
  <c r="DH480" i="3"/>
  <c r="DH472" i="3"/>
  <c r="DH464" i="3"/>
  <c r="DH456" i="3"/>
  <c r="DH448" i="3"/>
  <c r="DH440" i="3"/>
  <c r="DH432" i="3"/>
  <c r="DH424" i="3"/>
  <c r="DH570" i="3"/>
  <c r="DH562" i="3"/>
  <c r="DH554" i="3"/>
  <c r="DH546" i="3"/>
  <c r="DH538" i="3"/>
  <c r="DH530" i="3"/>
  <c r="DH522" i="3"/>
  <c r="DH514" i="3"/>
  <c r="DH506" i="3"/>
  <c r="DH498" i="3"/>
  <c r="DH490" i="3"/>
  <c r="DH482" i="3"/>
  <c r="DH474" i="3"/>
  <c r="DH466" i="3"/>
  <c r="DH458" i="3"/>
  <c r="DH450" i="3"/>
  <c r="DH442" i="3"/>
  <c r="DH434" i="3"/>
  <c r="DH426" i="3"/>
  <c r="DN356" i="3"/>
  <c r="CV329" i="3"/>
  <c r="CU420" i="3"/>
  <c r="CU416" i="3"/>
  <c r="CU408" i="3"/>
  <c r="CU404" i="3"/>
  <c r="CU400" i="3"/>
  <c r="CU388" i="3"/>
  <c r="CU384" i="3"/>
  <c r="CU376" i="3"/>
  <c r="CV337" i="3"/>
  <c r="CU396" i="3"/>
  <c r="CU380" i="3"/>
  <c r="DN324" i="3"/>
  <c r="DH420" i="3"/>
  <c r="DH416" i="3"/>
  <c r="DH414" i="3"/>
  <c r="DH412" i="3"/>
  <c r="DH404" i="3"/>
  <c r="DH398" i="3"/>
  <c r="DH396" i="3"/>
  <c r="DH388" i="3"/>
  <c r="DH382" i="3"/>
  <c r="DH380" i="3"/>
  <c r="DH419" i="3"/>
  <c r="DH411" i="3"/>
  <c r="DH407" i="3"/>
  <c r="DH397" i="3"/>
  <c r="DH391" i="3"/>
  <c r="DH381" i="3"/>
  <c r="DH375" i="3"/>
  <c r="DN344" i="3"/>
  <c r="CU392" i="3"/>
  <c r="CU412" i="3"/>
  <c r="DN340" i="3"/>
  <c r="DN348" i="3"/>
  <c r="CU419" i="3"/>
  <c r="CU415" i="3"/>
  <c r="CU411" i="3"/>
  <c r="CU407" i="3"/>
  <c r="CU403" i="3"/>
  <c r="CU399" i="3"/>
  <c r="CU395" i="3"/>
  <c r="CU391" i="3"/>
  <c r="CU387" i="3"/>
  <c r="CU383" i="3"/>
  <c r="CU379" i="3"/>
  <c r="CU375" i="3"/>
  <c r="CU418" i="3"/>
  <c r="CU414" i="3"/>
  <c r="CU410" i="3"/>
  <c r="CU406" i="3"/>
  <c r="CU402" i="3"/>
  <c r="CU398" i="3"/>
  <c r="CU394" i="3"/>
  <c r="CU390" i="3"/>
  <c r="CU386" i="3"/>
  <c r="CU382" i="3"/>
  <c r="CU378" i="3"/>
  <c r="CU374" i="3"/>
  <c r="CV417" i="3"/>
  <c r="CV413" i="3"/>
  <c r="CV409" i="3"/>
  <c r="CV405" i="3"/>
  <c r="CV401" i="3"/>
  <c r="CV397" i="3"/>
  <c r="CV393" i="3"/>
  <c r="CV389" i="3"/>
  <c r="CV385" i="3"/>
  <c r="CV381" i="3"/>
  <c r="CV377" i="3"/>
  <c r="DN420" i="3"/>
  <c r="DN416" i="3"/>
  <c r="DN412" i="3"/>
  <c r="DN408" i="3"/>
  <c r="DN404" i="3"/>
  <c r="DN400" i="3"/>
  <c r="DN396" i="3"/>
  <c r="DN392" i="3"/>
  <c r="DN388" i="3"/>
  <c r="DN384" i="3"/>
  <c r="DN380" i="3"/>
  <c r="DN376" i="3"/>
  <c r="CU417" i="3"/>
  <c r="CU413" i="3"/>
  <c r="CU409" i="3"/>
  <c r="CU405" i="3"/>
  <c r="CU401" i="3"/>
  <c r="CU397" i="3"/>
  <c r="CU393" i="3"/>
  <c r="CU389" i="3"/>
  <c r="CU385" i="3"/>
  <c r="CU381" i="3"/>
  <c r="CU377" i="3"/>
  <c r="DH418" i="3"/>
  <c r="DH410" i="3"/>
  <c r="DH406" i="3"/>
  <c r="DH390" i="3"/>
  <c r="DH374" i="3"/>
  <c r="DN418" i="3"/>
  <c r="DN414" i="3"/>
  <c r="DN410" i="3"/>
  <c r="DN406" i="3"/>
  <c r="DN402" i="3"/>
  <c r="DN398" i="3"/>
  <c r="DN394" i="3"/>
  <c r="DN390" i="3"/>
  <c r="DN386" i="3"/>
  <c r="DN382" i="3"/>
  <c r="DN378" i="3"/>
  <c r="DN374" i="3"/>
  <c r="CV420" i="3"/>
  <c r="CV416" i="3"/>
  <c r="CV412" i="3"/>
  <c r="CV408" i="3"/>
  <c r="CV404" i="3"/>
  <c r="CV400" i="3"/>
  <c r="CV396" i="3"/>
  <c r="CV392" i="3"/>
  <c r="CV388" i="3"/>
  <c r="CV384" i="3"/>
  <c r="CV380" i="3"/>
  <c r="CV376" i="3"/>
  <c r="DH408" i="3"/>
  <c r="DH402" i="3"/>
  <c r="DH400" i="3"/>
  <c r="DH394" i="3"/>
  <c r="DH392" i="3"/>
  <c r="DH386" i="3"/>
  <c r="DH384" i="3"/>
  <c r="DH378" i="3"/>
  <c r="DH376" i="3"/>
  <c r="DH413" i="3"/>
  <c r="DN417" i="3"/>
  <c r="DN413" i="3"/>
  <c r="DN409" i="3"/>
  <c r="DN405" i="3"/>
  <c r="DN401" i="3"/>
  <c r="DN397" i="3"/>
  <c r="DN393" i="3"/>
  <c r="DN389" i="3"/>
  <c r="DN385" i="3"/>
  <c r="DN381" i="3"/>
  <c r="DN377" i="3"/>
  <c r="CV419" i="3"/>
  <c r="CV415" i="3"/>
  <c r="CV411" i="3"/>
  <c r="CV407" i="3"/>
  <c r="CV403" i="3"/>
  <c r="CV399" i="3"/>
  <c r="CV395" i="3"/>
  <c r="CV391" i="3"/>
  <c r="CV387" i="3"/>
  <c r="CV383" i="3"/>
  <c r="CV379" i="3"/>
  <c r="CV375" i="3"/>
  <c r="DH415" i="3"/>
  <c r="DH405" i="3"/>
  <c r="DH399" i="3"/>
  <c r="DH389" i="3"/>
  <c r="DH383" i="3"/>
  <c r="DN419" i="3"/>
  <c r="DN415" i="3"/>
  <c r="DN411" i="3"/>
  <c r="DN407" i="3"/>
  <c r="DN403" i="3"/>
  <c r="DN399" i="3"/>
  <c r="DN395" i="3"/>
  <c r="DN391" i="3"/>
  <c r="DN387" i="3"/>
  <c r="DN383" i="3"/>
  <c r="DN379" i="3"/>
  <c r="DN375" i="3"/>
  <c r="CV418" i="3"/>
  <c r="CV414" i="3"/>
  <c r="CV410" i="3"/>
  <c r="CV406" i="3"/>
  <c r="CV402" i="3"/>
  <c r="CV398" i="3"/>
  <c r="CV394" i="3"/>
  <c r="CV390" i="3"/>
  <c r="CV386" i="3"/>
  <c r="CV382" i="3"/>
  <c r="CV378" i="3"/>
  <c r="CV374" i="3"/>
  <c r="DH417" i="3"/>
  <c r="DH409" i="3"/>
  <c r="DH401" i="3"/>
  <c r="DH393" i="3"/>
  <c r="DH385" i="3"/>
  <c r="DH377" i="3"/>
  <c r="DH403" i="3"/>
  <c r="DH395" i="3"/>
  <c r="DH387" i="3"/>
  <c r="DH379" i="3"/>
  <c r="DN352" i="3"/>
  <c r="DN678" i="3"/>
  <c r="DN314" i="3"/>
  <c r="DN302" i="3"/>
  <c r="DN294" i="3"/>
  <c r="DN286" i="3"/>
  <c r="DN274" i="3"/>
  <c r="DN266" i="3"/>
  <c r="DN258" i="3"/>
  <c r="DN250" i="3"/>
  <c r="DN242" i="3"/>
  <c r="DN230" i="3"/>
  <c r="DN222" i="3"/>
  <c r="DN214" i="3"/>
  <c r="DN206" i="3"/>
  <c r="DN194" i="3"/>
  <c r="DN186" i="3"/>
  <c r="DN178" i="3"/>
  <c r="DN170" i="3"/>
  <c r="DN162" i="3"/>
  <c r="DN150" i="3"/>
  <c r="DN142" i="3"/>
  <c r="DN134" i="3"/>
  <c r="DN126" i="3"/>
  <c r="DN118" i="3"/>
  <c r="DN106" i="3"/>
  <c r="DN98" i="3"/>
  <c r="DN90" i="3"/>
  <c r="DN82" i="3"/>
  <c r="DN74" i="3"/>
  <c r="DN66" i="3"/>
  <c r="DN58" i="3"/>
  <c r="DN50" i="3"/>
  <c r="DN42" i="3"/>
  <c r="DN34" i="3"/>
  <c r="DN26" i="3"/>
  <c r="DN22" i="3"/>
  <c r="DN14" i="3"/>
  <c r="CV297" i="3"/>
  <c r="CU237" i="3"/>
  <c r="CV233" i="3"/>
  <c r="CU173" i="3"/>
  <c r="CV169" i="3"/>
  <c r="CU45" i="3"/>
  <c r="CV41" i="3"/>
  <c r="DH373" i="3"/>
  <c r="DH317" i="3"/>
  <c r="DH313" i="3"/>
  <c r="DH309" i="3"/>
  <c r="DH305" i="3"/>
  <c r="DH301" i="3"/>
  <c r="DN372" i="3"/>
  <c r="CU339" i="3"/>
  <c r="DN318" i="3"/>
  <c r="DN310" i="3"/>
  <c r="DN306" i="3"/>
  <c r="DN298" i="3"/>
  <c r="DN290" i="3"/>
  <c r="DN282" i="3"/>
  <c r="DN278" i="3"/>
  <c r="DN270" i="3"/>
  <c r="DN262" i="3"/>
  <c r="DN254" i="3"/>
  <c r="DN246" i="3"/>
  <c r="DN238" i="3"/>
  <c r="DN234" i="3"/>
  <c r="DN226" i="3"/>
  <c r="DN218" i="3"/>
  <c r="DN210" i="3"/>
  <c r="DN202" i="3"/>
  <c r="DN198" i="3"/>
  <c r="DN190" i="3"/>
  <c r="DN182" i="3"/>
  <c r="DN174" i="3"/>
  <c r="DN166" i="3"/>
  <c r="DN158" i="3"/>
  <c r="DN154" i="3"/>
  <c r="DN146" i="3"/>
  <c r="DN138" i="3"/>
  <c r="DN130" i="3"/>
  <c r="DN122" i="3"/>
  <c r="DN114" i="3"/>
  <c r="DN110" i="3"/>
  <c r="DN102" i="3"/>
  <c r="DN94" i="3"/>
  <c r="DN86" i="3"/>
  <c r="DN78" i="3"/>
  <c r="DN70" i="3"/>
  <c r="DN62" i="3"/>
  <c r="DN54" i="3"/>
  <c r="DN46" i="3"/>
  <c r="DN38" i="3"/>
  <c r="DN30" i="3"/>
  <c r="DN18" i="3"/>
  <c r="CU301" i="3"/>
  <c r="CV341" i="3"/>
  <c r="CV345" i="3"/>
  <c r="CV353" i="3"/>
  <c r="CV361" i="3"/>
  <c r="CV369" i="3"/>
  <c r="AJ5" i="3"/>
  <c r="AR4" i="3" s="1"/>
  <c r="X4" i="3"/>
  <c r="CU334" i="3"/>
  <c r="DN334" i="3"/>
  <c r="CU350" i="3"/>
  <c r="DN350" i="3"/>
  <c r="DH322" i="3"/>
  <c r="DH324" i="3"/>
  <c r="DH328" i="3"/>
  <c r="DH332" i="3"/>
  <c r="DH336" i="3"/>
  <c r="DH340" i="3"/>
  <c r="DH344" i="3"/>
  <c r="DH348" i="3"/>
  <c r="DH352" i="3"/>
  <c r="DH356" i="3"/>
  <c r="DH360" i="3"/>
  <c r="DH364" i="3"/>
  <c r="DH368" i="3"/>
  <c r="DH372" i="3"/>
  <c r="L4" i="3"/>
  <c r="Y4" i="3"/>
  <c r="DH297" i="3"/>
  <c r="DH293" i="3"/>
  <c r="DH289" i="3"/>
  <c r="DH285" i="3"/>
  <c r="DH281" i="3"/>
  <c r="DH277" i="3"/>
  <c r="DH273" i="3"/>
  <c r="DH269" i="3"/>
  <c r="DH265" i="3"/>
  <c r="DH261" i="3"/>
  <c r="DH257" i="3"/>
  <c r="DH253" i="3"/>
  <c r="DH249" i="3"/>
  <c r="DH245" i="3"/>
  <c r="DH241" i="3"/>
  <c r="DH237" i="3"/>
  <c r="DH233" i="3"/>
  <c r="DH229" i="3"/>
  <c r="DH225" i="3"/>
  <c r="DH221" i="3"/>
  <c r="DH217" i="3"/>
  <c r="DH213" i="3"/>
  <c r="DH209" i="3"/>
  <c r="DH205" i="3"/>
  <c r="DH201" i="3"/>
  <c r="DH197" i="3"/>
  <c r="DH193" i="3"/>
  <c r="DH189" i="3"/>
  <c r="DH185" i="3"/>
  <c r="DH181" i="3"/>
  <c r="DH177" i="3"/>
  <c r="DH173" i="3"/>
  <c r="DH169" i="3"/>
  <c r="DH165" i="3"/>
  <c r="DH161" i="3"/>
  <c r="DH157" i="3"/>
  <c r="DH153" i="3"/>
  <c r="DH149" i="3"/>
  <c r="DH145" i="3"/>
  <c r="DH141" i="3"/>
  <c r="DH137" i="3"/>
  <c r="DH133" i="3"/>
  <c r="DH129" i="3"/>
  <c r="DH125" i="3"/>
  <c r="DH121" i="3"/>
  <c r="DH117" i="3"/>
  <c r="DH113" i="3"/>
  <c r="DH109" i="3"/>
  <c r="DH105" i="3"/>
  <c r="DH101" i="3"/>
  <c r="DH97" i="3"/>
  <c r="DH93" i="3"/>
  <c r="DH89" i="3"/>
  <c r="DH85" i="3"/>
  <c r="DH81" i="3"/>
  <c r="DH77" i="3"/>
  <c r="DH73" i="3"/>
  <c r="DH69" i="3"/>
  <c r="DH65" i="3"/>
  <c r="DH61" i="3"/>
  <c r="DH57" i="3"/>
  <c r="DH53" i="3"/>
  <c r="DH49" i="3"/>
  <c r="DH45" i="3"/>
  <c r="DH41" i="3"/>
  <c r="DH37" i="3"/>
  <c r="DH33" i="3"/>
  <c r="DH29" i="3"/>
  <c r="DH25" i="3"/>
  <c r="DH21" i="3"/>
  <c r="DH17" i="3"/>
  <c r="DH13" i="3"/>
  <c r="DN328" i="3"/>
  <c r="DN332" i="3"/>
  <c r="DN336" i="3"/>
  <c r="DN360" i="3"/>
  <c r="DN364" i="3"/>
  <c r="CV368" i="3"/>
  <c r="CU323" i="3"/>
  <c r="S4" i="3"/>
  <c r="AC4" i="3"/>
  <c r="CV325" i="3"/>
  <c r="CV357" i="3"/>
  <c r="T4" i="3"/>
  <c r="AE4" i="3"/>
  <c r="DH326" i="3"/>
  <c r="DH334" i="3"/>
  <c r="DH338" i="3"/>
  <c r="DH342" i="3"/>
  <c r="DH346" i="3"/>
  <c r="DH350" i="3"/>
  <c r="DH354" i="3"/>
  <c r="DH330" i="3"/>
  <c r="CU109" i="3"/>
  <c r="DH362" i="3"/>
  <c r="DH320" i="3"/>
  <c r="DH316" i="3"/>
  <c r="DH312" i="3"/>
  <c r="DH308" i="3"/>
  <c r="DH304" i="3"/>
  <c r="DH300" i="3"/>
  <c r="DH296" i="3"/>
  <c r="DH292" i="3"/>
  <c r="DH288" i="3"/>
  <c r="DH284" i="3"/>
  <c r="DH280" i="3"/>
  <c r="DH276" i="3"/>
  <c r="DH272" i="3"/>
  <c r="DH268" i="3"/>
  <c r="DH264" i="3"/>
  <c r="DH260" i="3"/>
  <c r="DH256" i="3"/>
  <c r="DH252" i="3"/>
  <c r="DH248" i="3"/>
  <c r="DH244" i="3"/>
  <c r="DH240" i="3"/>
  <c r="DH236" i="3"/>
  <c r="DH232" i="3"/>
  <c r="DH228" i="3"/>
  <c r="DH224" i="3"/>
  <c r="DH220" i="3"/>
  <c r="DH216" i="3"/>
  <c r="DH212" i="3"/>
  <c r="DH208" i="3"/>
  <c r="DH204" i="3"/>
  <c r="DH200" i="3"/>
  <c r="DH196" i="3"/>
  <c r="DH192" i="3"/>
  <c r="DH188" i="3"/>
  <c r="DH184" i="3"/>
  <c r="DH180" i="3"/>
  <c r="DH176" i="3"/>
  <c r="DH172" i="3"/>
  <c r="DH168" i="3"/>
  <c r="DH164" i="3"/>
  <c r="DH160" i="3"/>
  <c r="DH156" i="3"/>
  <c r="DH152" i="3"/>
  <c r="DH148" i="3"/>
  <c r="DH144" i="3"/>
  <c r="DH140" i="3"/>
  <c r="DH136" i="3"/>
  <c r="DH132" i="3"/>
  <c r="DH128" i="3"/>
  <c r="DH124" i="3"/>
  <c r="DH120" i="3"/>
  <c r="DH116" i="3"/>
  <c r="DH112" i="3"/>
  <c r="DH108" i="3"/>
  <c r="DH104" i="3"/>
  <c r="DH100" i="3"/>
  <c r="DH96" i="3"/>
  <c r="DH92" i="3"/>
  <c r="DH88" i="3"/>
  <c r="DH84" i="3"/>
  <c r="DH80" i="3"/>
  <c r="DH76" i="3"/>
  <c r="DH72" i="3"/>
  <c r="DH68" i="3"/>
  <c r="DH64" i="3"/>
  <c r="DH60" i="3"/>
  <c r="DH56" i="3"/>
  <c r="DH52" i="3"/>
  <c r="DH48" i="3"/>
  <c r="DH44" i="3"/>
  <c r="DH40" i="3"/>
  <c r="DH36" i="3"/>
  <c r="DH32" i="3"/>
  <c r="DH28" i="3"/>
  <c r="DH24" i="3"/>
  <c r="DH20" i="3"/>
  <c r="DH16" i="3"/>
  <c r="DH12" i="3"/>
  <c r="DN322" i="3"/>
  <c r="DN338" i="3"/>
  <c r="DN354" i="3"/>
  <c r="AJ4" i="3"/>
  <c r="DH358" i="3"/>
  <c r="DN366" i="3"/>
  <c r="DH321" i="3"/>
  <c r="DH323" i="3"/>
  <c r="DH325" i="3"/>
  <c r="DH327" i="3"/>
  <c r="DH329" i="3"/>
  <c r="DH333" i="3"/>
  <c r="DH335" i="3"/>
  <c r="DH337" i="3"/>
  <c r="DH339" i="3"/>
  <c r="DH341" i="3"/>
  <c r="DH343" i="3"/>
  <c r="DH345" i="3"/>
  <c r="DH349" i="3"/>
  <c r="DH351" i="3"/>
  <c r="DH353" i="3"/>
  <c r="DH355" i="3"/>
  <c r="DH357" i="3"/>
  <c r="DH359" i="3"/>
  <c r="DH361" i="3"/>
  <c r="DH365" i="3"/>
  <c r="DH367" i="3"/>
  <c r="DH369" i="3"/>
  <c r="DH371" i="3"/>
  <c r="DN326" i="3"/>
  <c r="DN342" i="3"/>
  <c r="DN370" i="3"/>
  <c r="O4" i="3"/>
  <c r="U4" i="3"/>
  <c r="AA4" i="3"/>
  <c r="AF4" i="3"/>
  <c r="DH366" i="3"/>
  <c r="DH370" i="3"/>
  <c r="DN327" i="3"/>
  <c r="DN331" i="3"/>
  <c r="DN343" i="3"/>
  <c r="DN347" i="3"/>
  <c r="DN330" i="3"/>
  <c r="DN346" i="3"/>
  <c r="P4" i="3"/>
  <c r="W4" i="3"/>
  <c r="AB4" i="3"/>
  <c r="AG4" i="3"/>
  <c r="CU285" i="3"/>
  <c r="CU221" i="3"/>
  <c r="CV217" i="3"/>
  <c r="CU93" i="3"/>
  <c r="CV319" i="3"/>
  <c r="DN319" i="3"/>
  <c r="CV315" i="3"/>
  <c r="DN311" i="3"/>
  <c r="DN307" i="3"/>
  <c r="CV303" i="3"/>
  <c r="DN303" i="3"/>
  <c r="CV299" i="3"/>
  <c r="DN295" i="3"/>
  <c r="DN291" i="3"/>
  <c r="CV287" i="3"/>
  <c r="DN287" i="3"/>
  <c r="CV283" i="3"/>
  <c r="DN279" i="3"/>
  <c r="DN275" i="3"/>
  <c r="CV271" i="3"/>
  <c r="DN271" i="3"/>
  <c r="CV267" i="3"/>
  <c r="DN263" i="3"/>
  <c r="DN259" i="3"/>
  <c r="CV255" i="3"/>
  <c r="DN255" i="3"/>
  <c r="CV251" i="3"/>
  <c r="DN247" i="3"/>
  <c r="DN243" i="3"/>
  <c r="CV239" i="3"/>
  <c r="DN239" i="3"/>
  <c r="CV235" i="3"/>
  <c r="DN231" i="3"/>
  <c r="DN227" i="3"/>
  <c r="CV223" i="3"/>
  <c r="DN223" i="3"/>
  <c r="CV219" i="3"/>
  <c r="DN215" i="3"/>
  <c r="DN211" i="3"/>
  <c r="CV207" i="3"/>
  <c r="DN207" i="3"/>
  <c r="CV203" i="3"/>
  <c r="DN199" i="3"/>
  <c r="DN195" i="3"/>
  <c r="CV191" i="3"/>
  <c r="DN191" i="3"/>
  <c r="CV187" i="3"/>
  <c r="DN183" i="3"/>
  <c r="DN179" i="3"/>
  <c r="DN175" i="3"/>
  <c r="DN47" i="3"/>
  <c r="DN335" i="3"/>
  <c r="DN351" i="3"/>
  <c r="DH331" i="3"/>
  <c r="DH347" i="3"/>
  <c r="DH363" i="3"/>
  <c r="DN373" i="3"/>
  <c r="DN313" i="3"/>
  <c r="DN305" i="3"/>
  <c r="DN297" i="3"/>
  <c r="DN289" i="3"/>
  <c r="DN281" i="3"/>
  <c r="DN273" i="3"/>
  <c r="DN265" i="3"/>
  <c r="DN257" i="3"/>
  <c r="DN249" i="3"/>
  <c r="DN241" i="3"/>
  <c r="DN233" i="3"/>
  <c r="DN225" i="3"/>
  <c r="DN213" i="3"/>
  <c r="DN205" i="3"/>
  <c r="DN197" i="3"/>
  <c r="DN189" i="3"/>
  <c r="DN181" i="3"/>
  <c r="DN177" i="3"/>
  <c r="DN169" i="3"/>
  <c r="DN165" i="3"/>
  <c r="DN161" i="3"/>
  <c r="DN157" i="3"/>
  <c r="DN153" i="3"/>
  <c r="DN149" i="3"/>
  <c r="DN145" i="3"/>
  <c r="DN141" i="3"/>
  <c r="DN137" i="3"/>
  <c r="CV137" i="3"/>
  <c r="DN133" i="3"/>
  <c r="DN129" i="3"/>
  <c r="DN125" i="3"/>
  <c r="DN121" i="3"/>
  <c r="CV121" i="3"/>
  <c r="DN117" i="3"/>
  <c r="DN113" i="3"/>
  <c r="DN109" i="3"/>
  <c r="DN105" i="3"/>
  <c r="DN101" i="3"/>
  <c r="DN97" i="3"/>
  <c r="DN89" i="3"/>
  <c r="DN85" i="3"/>
  <c r="DN81" i="3"/>
  <c r="DN77" i="3"/>
  <c r="DN73" i="3"/>
  <c r="CV73" i="3"/>
  <c r="DN69" i="3"/>
  <c r="DN65" i="3"/>
  <c r="DN61" i="3"/>
  <c r="DN57" i="3"/>
  <c r="CV57" i="3"/>
  <c r="DN53" i="3"/>
  <c r="DN49" i="3"/>
  <c r="DN45" i="3"/>
  <c r="DN41" i="3"/>
  <c r="DN37" i="3"/>
  <c r="DN33" i="3"/>
  <c r="DN29" i="3"/>
  <c r="DN25" i="3"/>
  <c r="DN21" i="3"/>
  <c r="DN17" i="3"/>
  <c r="DN13" i="3"/>
  <c r="CU157" i="3"/>
  <c r="CU29" i="3"/>
  <c r="CV281" i="3"/>
  <c r="CV153" i="3"/>
  <c r="CV25" i="3"/>
  <c r="DN317" i="3"/>
  <c r="DN309" i="3"/>
  <c r="DN301" i="3"/>
  <c r="DN293" i="3"/>
  <c r="DN285" i="3"/>
  <c r="DN277" i="3"/>
  <c r="DN269" i="3"/>
  <c r="DN261" i="3"/>
  <c r="DN253" i="3"/>
  <c r="DN245" i="3"/>
  <c r="DN237" i="3"/>
  <c r="DN229" i="3"/>
  <c r="DN221" i="3"/>
  <c r="DN217" i="3"/>
  <c r="DN209" i="3"/>
  <c r="DN201" i="3"/>
  <c r="DN193" i="3"/>
  <c r="DN185" i="3"/>
  <c r="DN173" i="3"/>
  <c r="DN93" i="3"/>
  <c r="DN320" i="3"/>
  <c r="DN316" i="3"/>
  <c r="DN312" i="3"/>
  <c r="DN308" i="3"/>
  <c r="DN304" i="3"/>
  <c r="DN300" i="3"/>
  <c r="DN296" i="3"/>
  <c r="DN292" i="3"/>
  <c r="DN288" i="3"/>
  <c r="DN284" i="3"/>
  <c r="DN280" i="3"/>
  <c r="DN276" i="3"/>
  <c r="DN272" i="3"/>
  <c r="DN268" i="3"/>
  <c r="DN264" i="3"/>
  <c r="DN260" i="3"/>
  <c r="DN256" i="3"/>
  <c r="DN252" i="3"/>
  <c r="DN248" i="3"/>
  <c r="DN244" i="3"/>
  <c r="DN240" i="3"/>
  <c r="DN236" i="3"/>
  <c r="DN232" i="3"/>
  <c r="DN228" i="3"/>
  <c r="DN224" i="3"/>
  <c r="DN220" i="3"/>
  <c r="DN216" i="3"/>
  <c r="DN212" i="3"/>
  <c r="DN208" i="3"/>
  <c r="DN204" i="3"/>
  <c r="DN200" i="3"/>
  <c r="DN196" i="3"/>
  <c r="DN192" i="3"/>
  <c r="DN188" i="3"/>
  <c r="DN184" i="3"/>
  <c r="DN180" i="3"/>
  <c r="DN176" i="3"/>
  <c r="DN172" i="3"/>
  <c r="DN168" i="3"/>
  <c r="DN164" i="3"/>
  <c r="DN160" i="3"/>
  <c r="DN156" i="3"/>
  <c r="DN152" i="3"/>
  <c r="DN148" i="3"/>
  <c r="DN144" i="3"/>
  <c r="DN140" i="3"/>
  <c r="DN136" i="3"/>
  <c r="DN132" i="3"/>
  <c r="DN128" i="3"/>
  <c r="DN124" i="3"/>
  <c r="DN120" i="3"/>
  <c r="DN116" i="3"/>
  <c r="DN112" i="3"/>
  <c r="DN108" i="3"/>
  <c r="DN104" i="3"/>
  <c r="DN100" i="3"/>
  <c r="DN96" i="3"/>
  <c r="DN92" i="3"/>
  <c r="DN88" i="3"/>
  <c r="DN84" i="3"/>
  <c r="DN80" i="3"/>
  <c r="DN76" i="3"/>
  <c r="DN72" i="3"/>
  <c r="DN68" i="3"/>
  <c r="DN64" i="3"/>
  <c r="DN60" i="3"/>
  <c r="DN56" i="3"/>
  <c r="DN52" i="3"/>
  <c r="DN48" i="3"/>
  <c r="DN44" i="3"/>
  <c r="DN40" i="3"/>
  <c r="DN36" i="3"/>
  <c r="DN32" i="3"/>
  <c r="DN28" i="3"/>
  <c r="DN24" i="3"/>
  <c r="DN20" i="3"/>
  <c r="DN16" i="3"/>
  <c r="DN12" i="3"/>
  <c r="CU269" i="3"/>
  <c r="CU205" i="3"/>
  <c r="CU141" i="3"/>
  <c r="CU77" i="3"/>
  <c r="CU13" i="3"/>
  <c r="CV265" i="3"/>
  <c r="CV201" i="3"/>
  <c r="CV105" i="3"/>
  <c r="DN321" i="3"/>
  <c r="CU321" i="3"/>
  <c r="DN325" i="3"/>
  <c r="CU325" i="3"/>
  <c r="DN329" i="3"/>
  <c r="CU329" i="3"/>
  <c r="DN333" i="3"/>
  <c r="CU333" i="3"/>
  <c r="DN337" i="3"/>
  <c r="CU337" i="3"/>
  <c r="DN341" i="3"/>
  <c r="CU341" i="3"/>
  <c r="DN345" i="3"/>
  <c r="CU345" i="3"/>
  <c r="DN349" i="3"/>
  <c r="CU349" i="3"/>
  <c r="DN353" i="3"/>
  <c r="CU353" i="3"/>
  <c r="DN357" i="3"/>
  <c r="CU357" i="3"/>
  <c r="DN361" i="3"/>
  <c r="CU361" i="3"/>
  <c r="DN365" i="3"/>
  <c r="CU365" i="3"/>
  <c r="DN369" i="3"/>
  <c r="CU369" i="3"/>
  <c r="CV333" i="3"/>
  <c r="CV349" i="3"/>
  <c r="CV365" i="3"/>
  <c r="CV175" i="3"/>
  <c r="CV171" i="3"/>
  <c r="DN167" i="3"/>
  <c r="DN163" i="3"/>
  <c r="CV159" i="3"/>
  <c r="DN159" i="3"/>
  <c r="CV155" i="3"/>
  <c r="DN151" i="3"/>
  <c r="DN147" i="3"/>
  <c r="CV143" i="3"/>
  <c r="DN143" i="3"/>
  <c r="CV139" i="3"/>
  <c r="DN135" i="3"/>
  <c r="DN131" i="3"/>
  <c r="CV127" i="3"/>
  <c r="DN127" i="3"/>
  <c r="CV123" i="3"/>
  <c r="DN119" i="3"/>
  <c r="DN115" i="3"/>
  <c r="CV111" i="3"/>
  <c r="CV107" i="3"/>
  <c r="DN103" i="3"/>
  <c r="DN99" i="3"/>
  <c r="CV95" i="3"/>
  <c r="DN95" i="3"/>
  <c r="CV91" i="3"/>
  <c r="DN87" i="3"/>
  <c r="DN83" i="3"/>
  <c r="CV79" i="3"/>
  <c r="DN79" i="3"/>
  <c r="CV75" i="3"/>
  <c r="DN71" i="3"/>
  <c r="DN67" i="3"/>
  <c r="CV63" i="3"/>
  <c r="DN63" i="3"/>
  <c r="CV59" i="3"/>
  <c r="DN55" i="3"/>
  <c r="DN51" i="3"/>
  <c r="CV47" i="3"/>
  <c r="CV43" i="3"/>
  <c r="DN39" i="3"/>
  <c r="DN35" i="3"/>
  <c r="CV31" i="3"/>
  <c r="DN31" i="3"/>
  <c r="CV27" i="3"/>
  <c r="DN23" i="3"/>
  <c r="DN19" i="3"/>
  <c r="CV15" i="3"/>
  <c r="DN15" i="3"/>
  <c r="CU317" i="3"/>
  <c r="CU253" i="3"/>
  <c r="CU189" i="3"/>
  <c r="CU125" i="3"/>
  <c r="CU61" i="3"/>
  <c r="CV313" i="3"/>
  <c r="CV249" i="3"/>
  <c r="CV185" i="3"/>
  <c r="CV89" i="3"/>
  <c r="DN111" i="3"/>
  <c r="CV322" i="3"/>
  <c r="CV326" i="3"/>
  <c r="CV330" i="3"/>
  <c r="CV334" i="3"/>
  <c r="CV338" i="3"/>
  <c r="CV342" i="3"/>
  <c r="CV346" i="3"/>
  <c r="CV350" i="3"/>
  <c r="CV354" i="3"/>
  <c r="CV358" i="3"/>
  <c r="CV362" i="3"/>
  <c r="CV366" i="3"/>
  <c r="CV370" i="3"/>
  <c r="DN368" i="3"/>
  <c r="DH319" i="3"/>
  <c r="DH315" i="3"/>
  <c r="DH311" i="3"/>
  <c r="DH307" i="3"/>
  <c r="DH303" i="3"/>
  <c r="DH299" i="3"/>
  <c r="DH295" i="3"/>
  <c r="DH291" i="3"/>
  <c r="DH287" i="3"/>
  <c r="DH283" i="3"/>
  <c r="DH279" i="3"/>
  <c r="DH275" i="3"/>
  <c r="DH271" i="3"/>
  <c r="DH267" i="3"/>
  <c r="DH263" i="3"/>
  <c r="DH259" i="3"/>
  <c r="DH255" i="3"/>
  <c r="DH251" i="3"/>
  <c r="DH247" i="3"/>
  <c r="DH243" i="3"/>
  <c r="DH239" i="3"/>
  <c r="DH235" i="3"/>
  <c r="DH231" i="3"/>
  <c r="DH227" i="3"/>
  <c r="DH223" i="3"/>
  <c r="DH219" i="3"/>
  <c r="DH215" i="3"/>
  <c r="DH211" i="3"/>
  <c r="DH207" i="3"/>
  <c r="DH203" i="3"/>
  <c r="DH199" i="3"/>
  <c r="DH195" i="3"/>
  <c r="DH191" i="3"/>
  <c r="DH187" i="3"/>
  <c r="DH183" i="3"/>
  <c r="DH179" i="3"/>
  <c r="DH175" i="3"/>
  <c r="DH171" i="3"/>
  <c r="DH167" i="3"/>
  <c r="DH163" i="3"/>
  <c r="DH159" i="3"/>
  <c r="DH155" i="3"/>
  <c r="DH151" i="3"/>
  <c r="DH147" i="3"/>
  <c r="DH143" i="3"/>
  <c r="DH139" i="3"/>
  <c r="DH135" i="3"/>
  <c r="DH131" i="3"/>
  <c r="DH127" i="3"/>
  <c r="DH123" i="3"/>
  <c r="DH119" i="3"/>
  <c r="DH115" i="3"/>
  <c r="DH111" i="3"/>
  <c r="DH107" i="3"/>
  <c r="DH103" i="3"/>
  <c r="DH99" i="3"/>
  <c r="DH95" i="3"/>
  <c r="DH91" i="3"/>
  <c r="DH87" i="3"/>
  <c r="DH83" i="3"/>
  <c r="DH79" i="3"/>
  <c r="DH75" i="3"/>
  <c r="DH71" i="3"/>
  <c r="DH67" i="3"/>
  <c r="DH63" i="3"/>
  <c r="DH59" i="3"/>
  <c r="DH55" i="3"/>
  <c r="DH51" i="3"/>
  <c r="DH47" i="3"/>
  <c r="DH43" i="3"/>
  <c r="DH39" i="3"/>
  <c r="DH35" i="3"/>
  <c r="DH31" i="3"/>
  <c r="DH27" i="3"/>
  <c r="DH23" i="3"/>
  <c r="DH19" i="3"/>
  <c r="DH15" i="3"/>
  <c r="DN355" i="3"/>
  <c r="DN359" i="3"/>
  <c r="DN363" i="3"/>
  <c r="DN367" i="3"/>
  <c r="DN371" i="3"/>
  <c r="CV323" i="3"/>
  <c r="CV327" i="3"/>
  <c r="CV331" i="3"/>
  <c r="CV335" i="3"/>
  <c r="CV339" i="3"/>
  <c r="CV343" i="3"/>
  <c r="CV347" i="3"/>
  <c r="CV351" i="3"/>
  <c r="CV355" i="3"/>
  <c r="CV359" i="3"/>
  <c r="CV363" i="3"/>
  <c r="CV367" i="3"/>
  <c r="CV371" i="3"/>
  <c r="DN362" i="3"/>
  <c r="DH678" i="3"/>
  <c r="DH318" i="3"/>
  <c r="DH314" i="3"/>
  <c r="DH310" i="3"/>
  <c r="DH306" i="3"/>
  <c r="DH302" i="3"/>
  <c r="DH298" i="3"/>
  <c r="DH294" i="3"/>
  <c r="DH290" i="3"/>
  <c r="DH286" i="3"/>
  <c r="DH282" i="3"/>
  <c r="DH278" i="3"/>
  <c r="DH274" i="3"/>
  <c r="DH270" i="3"/>
  <c r="DH266" i="3"/>
  <c r="DH262" i="3"/>
  <c r="DH258" i="3"/>
  <c r="DH254" i="3"/>
  <c r="DH250" i="3"/>
  <c r="DH246" i="3"/>
  <c r="DH242" i="3"/>
  <c r="DH238" i="3"/>
  <c r="DH234" i="3"/>
  <c r="DH230" i="3"/>
  <c r="DH226" i="3"/>
  <c r="DH222" i="3"/>
  <c r="DH218" i="3"/>
  <c r="DH214" i="3"/>
  <c r="DH210" i="3"/>
  <c r="DH206" i="3"/>
  <c r="DH202" i="3"/>
  <c r="DH198" i="3"/>
  <c r="DH194" i="3"/>
  <c r="DH190" i="3"/>
  <c r="DH186" i="3"/>
  <c r="DH182" i="3"/>
  <c r="DH178" i="3"/>
  <c r="DH174" i="3"/>
  <c r="DH170" i="3"/>
  <c r="DH166" i="3"/>
  <c r="DH162" i="3"/>
  <c r="DH158" i="3"/>
  <c r="DH154" i="3"/>
  <c r="DH150" i="3"/>
  <c r="DH146" i="3"/>
  <c r="DH142" i="3"/>
  <c r="DH138" i="3"/>
  <c r="DH134" i="3"/>
  <c r="DH130" i="3"/>
  <c r="DH126" i="3"/>
  <c r="DH122" i="3"/>
  <c r="DH118" i="3"/>
  <c r="DH114" i="3"/>
  <c r="DH110" i="3"/>
  <c r="DH106" i="3"/>
  <c r="DH102" i="3"/>
  <c r="DH98" i="3"/>
  <c r="DH94" i="3"/>
  <c r="DH90" i="3"/>
  <c r="DH86" i="3"/>
  <c r="DH82" i="3"/>
  <c r="DH78" i="3"/>
  <c r="DH74" i="3"/>
  <c r="DH70" i="3"/>
  <c r="DH66" i="3"/>
  <c r="DH62" i="3"/>
  <c r="DH58" i="3"/>
  <c r="DH54" i="3"/>
  <c r="DH50" i="3"/>
  <c r="DH46" i="3"/>
  <c r="DH42" i="3"/>
  <c r="DH38" i="3"/>
  <c r="DH34" i="3"/>
  <c r="DH30" i="3"/>
  <c r="DH26" i="3"/>
  <c r="DH22" i="3"/>
  <c r="DH18" i="3"/>
  <c r="DH14" i="3"/>
  <c r="CU324" i="3"/>
  <c r="CU328" i="3"/>
  <c r="CU332" i="3"/>
  <c r="CU336" i="3"/>
  <c r="CU340" i="3"/>
  <c r="CU344" i="3"/>
  <c r="CU348" i="3"/>
  <c r="CU352" i="3"/>
  <c r="CU356" i="3"/>
  <c r="CU358" i="3"/>
  <c r="CU360" i="3"/>
  <c r="CU364" i="3"/>
  <c r="CU366" i="3"/>
  <c r="CU368" i="3"/>
  <c r="CU372" i="3"/>
  <c r="CV324" i="3"/>
  <c r="CV328" i="3"/>
  <c r="CV332" i="3"/>
  <c r="CV336" i="3"/>
  <c r="CV340" i="3"/>
  <c r="CV344" i="3"/>
  <c r="CV348" i="3"/>
  <c r="CV352" i="3"/>
  <c r="CV356" i="3"/>
  <c r="CV360" i="3"/>
  <c r="CV364" i="3"/>
  <c r="CV372" i="3"/>
  <c r="M4" i="3"/>
  <c r="Q4" i="3"/>
  <c r="N4" i="3"/>
  <c r="V4" i="3"/>
  <c r="Z4" i="3"/>
  <c r="CU313" i="3"/>
  <c r="CU297" i="3"/>
  <c r="CU281" i="3"/>
  <c r="CU265" i="3"/>
  <c r="CU249" i="3"/>
  <c r="CU233" i="3"/>
  <c r="CU217" i="3"/>
  <c r="CU201" i="3"/>
  <c r="CU185" i="3"/>
  <c r="CU169" i="3"/>
  <c r="CU153" i="3"/>
  <c r="CU137" i="3"/>
  <c r="CU121" i="3"/>
  <c r="CU105" i="3"/>
  <c r="CU89" i="3"/>
  <c r="CU73" i="3"/>
  <c r="CU57" i="3"/>
  <c r="CU41" i="3"/>
  <c r="CU25" i="3"/>
  <c r="CV309" i="3"/>
  <c r="CV293" i="3"/>
  <c r="CV277" i="3"/>
  <c r="CV261" i="3"/>
  <c r="CV245" i="3"/>
  <c r="CV229" i="3"/>
  <c r="CV213" i="3"/>
  <c r="CV197" i="3"/>
  <c r="CV181" i="3"/>
  <c r="CV165" i="3"/>
  <c r="CV149" i="3"/>
  <c r="CV133" i="3"/>
  <c r="CV117" i="3"/>
  <c r="CV101" i="3"/>
  <c r="CV85" i="3"/>
  <c r="CV69" i="3"/>
  <c r="CV53" i="3"/>
  <c r="CV37" i="3"/>
  <c r="CV21" i="3"/>
  <c r="CU309" i="3"/>
  <c r="CU293" i="3"/>
  <c r="CU277" i="3"/>
  <c r="CU261" i="3"/>
  <c r="CU245" i="3"/>
  <c r="CU229" i="3"/>
  <c r="CU213" i="3"/>
  <c r="CU197" i="3"/>
  <c r="CU181" i="3"/>
  <c r="CU165" i="3"/>
  <c r="CU149" i="3"/>
  <c r="CU133" i="3"/>
  <c r="CU117" i="3"/>
  <c r="CU101" i="3"/>
  <c r="CU85" i="3"/>
  <c r="CU69" i="3"/>
  <c r="CU53" i="3"/>
  <c r="CU37" i="3"/>
  <c r="CU21" i="3"/>
  <c r="CV305" i="3"/>
  <c r="CV289" i="3"/>
  <c r="CV273" i="3"/>
  <c r="CV257" i="3"/>
  <c r="CV241" i="3"/>
  <c r="CV225" i="3"/>
  <c r="CV209" i="3"/>
  <c r="CV193" i="3"/>
  <c r="CV177" i="3"/>
  <c r="CV161" i="3"/>
  <c r="CV145" i="3"/>
  <c r="CV129" i="3"/>
  <c r="CV113" i="3"/>
  <c r="CV97" i="3"/>
  <c r="CV81" i="3"/>
  <c r="CV65" i="3"/>
  <c r="CV49" i="3"/>
  <c r="CV33" i="3"/>
  <c r="CV17" i="3"/>
  <c r="CU305" i="3"/>
  <c r="CU289" i="3"/>
  <c r="CU273" i="3"/>
  <c r="CU257" i="3"/>
  <c r="CU241" i="3"/>
  <c r="CU225" i="3"/>
  <c r="CU209" i="3"/>
  <c r="CU193" i="3"/>
  <c r="CU177" i="3"/>
  <c r="CU161" i="3"/>
  <c r="CU145" i="3"/>
  <c r="CU129" i="3"/>
  <c r="CU113" i="3"/>
  <c r="CU97" i="3"/>
  <c r="CU81" i="3"/>
  <c r="CU65" i="3"/>
  <c r="CU49" i="3"/>
  <c r="CU33" i="3"/>
  <c r="CU17" i="3"/>
  <c r="CV317" i="3"/>
  <c r="CV301" i="3"/>
  <c r="CV285" i="3"/>
  <c r="CV269" i="3"/>
  <c r="CV253" i="3"/>
  <c r="CV237" i="3"/>
  <c r="CV221" i="3"/>
  <c r="CV205" i="3"/>
  <c r="CV189" i="3"/>
  <c r="CV173" i="3"/>
  <c r="CV157" i="3"/>
  <c r="CV141" i="3"/>
  <c r="CV125" i="3"/>
  <c r="CV109" i="3"/>
  <c r="CV93" i="3"/>
  <c r="CV77" i="3"/>
  <c r="CV61" i="3"/>
  <c r="CV45" i="3"/>
  <c r="CV29" i="3"/>
  <c r="CV13" i="3"/>
  <c r="CU320" i="3"/>
  <c r="CU316" i="3"/>
  <c r="CU312" i="3"/>
  <c r="CU308" i="3"/>
  <c r="CU304" i="3"/>
  <c r="CU300" i="3"/>
  <c r="CU296" i="3"/>
  <c r="CU292" i="3"/>
  <c r="CU288" i="3"/>
  <c r="CU284" i="3"/>
  <c r="CU280" i="3"/>
  <c r="CU276" i="3"/>
  <c r="CU272" i="3"/>
  <c r="CU268" i="3"/>
  <c r="CU264" i="3"/>
  <c r="CU260" i="3"/>
  <c r="CU256" i="3"/>
  <c r="CU252" i="3"/>
  <c r="CU248" i="3"/>
  <c r="CU244" i="3"/>
  <c r="CU240" i="3"/>
  <c r="CU236" i="3"/>
  <c r="CU232" i="3"/>
  <c r="CU228" i="3"/>
  <c r="CU224" i="3"/>
  <c r="CU220" i="3"/>
  <c r="CU216" i="3"/>
  <c r="CU212" i="3"/>
  <c r="CU208" i="3"/>
  <c r="CU204" i="3"/>
  <c r="CU200" i="3"/>
  <c r="CU196" i="3"/>
  <c r="CU192" i="3"/>
  <c r="CU188" i="3"/>
  <c r="CU184" i="3"/>
  <c r="CU180" i="3"/>
  <c r="CU176" i="3"/>
  <c r="CU172" i="3"/>
  <c r="CU168" i="3"/>
  <c r="CU164" i="3"/>
  <c r="CU160" i="3"/>
  <c r="CU156" i="3"/>
  <c r="CU152" i="3"/>
  <c r="CU148" i="3"/>
  <c r="CU144" i="3"/>
  <c r="CU140" i="3"/>
  <c r="CU136" i="3"/>
  <c r="CU132" i="3"/>
  <c r="CU128" i="3"/>
  <c r="CU124" i="3"/>
  <c r="CU120" i="3"/>
  <c r="CU116" i="3"/>
  <c r="CU112" i="3"/>
  <c r="CU108" i="3"/>
  <c r="CU104" i="3"/>
  <c r="CU100" i="3"/>
  <c r="CU96" i="3"/>
  <c r="CU92" i="3"/>
  <c r="CU88" i="3"/>
  <c r="CU84" i="3"/>
  <c r="CU80" i="3"/>
  <c r="CU76" i="3"/>
  <c r="CU72" i="3"/>
  <c r="CU68" i="3"/>
  <c r="CU64" i="3"/>
  <c r="CU60" i="3"/>
  <c r="CU56" i="3"/>
  <c r="CU52" i="3"/>
  <c r="CU48" i="3"/>
  <c r="CU44" i="3"/>
  <c r="CU40" i="3"/>
  <c r="CU36" i="3"/>
  <c r="CU32" i="3"/>
  <c r="CU28" i="3"/>
  <c r="CU24" i="3"/>
  <c r="CU20" i="3"/>
  <c r="CU16" i="3"/>
  <c r="CU12" i="3"/>
  <c r="CV320" i="3"/>
  <c r="CV316" i="3"/>
  <c r="CV312" i="3"/>
  <c r="CV308" i="3"/>
  <c r="CV304" i="3"/>
  <c r="CV300" i="3"/>
  <c r="CV296" i="3"/>
  <c r="CV292" i="3"/>
  <c r="CV288" i="3"/>
  <c r="CV284" i="3"/>
  <c r="CV280" i="3"/>
  <c r="CV276" i="3"/>
  <c r="CV272" i="3"/>
  <c r="CV268" i="3"/>
  <c r="CV264" i="3"/>
  <c r="CV260" i="3"/>
  <c r="CV256" i="3"/>
  <c r="CV252" i="3"/>
  <c r="CV248" i="3"/>
  <c r="CV244" i="3"/>
  <c r="CV240" i="3"/>
  <c r="CV236" i="3"/>
  <c r="CV232" i="3"/>
  <c r="CV228" i="3"/>
  <c r="CV224" i="3"/>
  <c r="CV220" i="3"/>
  <c r="CV216" i="3"/>
  <c r="CV212" i="3"/>
  <c r="CV208" i="3"/>
  <c r="CV204" i="3"/>
  <c r="CV200" i="3"/>
  <c r="CV196" i="3"/>
  <c r="CV192" i="3"/>
  <c r="CV188" i="3"/>
  <c r="CV184" i="3"/>
  <c r="CV180" i="3"/>
  <c r="CV176" i="3"/>
  <c r="CV172" i="3"/>
  <c r="CV168" i="3"/>
  <c r="CV164" i="3"/>
  <c r="CV160" i="3"/>
  <c r="CV156" i="3"/>
  <c r="CV152" i="3"/>
  <c r="CV148" i="3"/>
  <c r="CV144" i="3"/>
  <c r="CV140" i="3"/>
  <c r="CV136" i="3"/>
  <c r="CV132" i="3"/>
  <c r="CV128" i="3"/>
  <c r="CV124" i="3"/>
  <c r="CV120" i="3"/>
  <c r="CV116" i="3"/>
  <c r="CV112" i="3"/>
  <c r="CV108" i="3"/>
  <c r="CV104" i="3"/>
  <c r="CV100" i="3"/>
  <c r="CV96" i="3"/>
  <c r="CV92" i="3"/>
  <c r="CV88" i="3"/>
  <c r="CV84" i="3"/>
  <c r="CV80" i="3"/>
  <c r="CV76" i="3"/>
  <c r="CV72" i="3"/>
  <c r="CV68" i="3"/>
  <c r="CV64" i="3"/>
  <c r="CV60" i="3"/>
  <c r="CV56" i="3"/>
  <c r="CV52" i="3"/>
  <c r="CV48" i="3"/>
  <c r="CV44" i="3"/>
  <c r="CV40" i="3"/>
  <c r="CV36" i="3"/>
  <c r="CV32" i="3"/>
  <c r="CV28" i="3"/>
  <c r="CV24" i="3"/>
  <c r="CV20" i="3"/>
  <c r="CV16" i="3"/>
  <c r="CV12" i="3"/>
  <c r="DN315" i="3"/>
  <c r="DN299" i="3"/>
  <c r="DN283" i="3"/>
  <c r="DN267" i="3"/>
  <c r="DN251" i="3"/>
  <c r="DN235" i="3"/>
  <c r="DN219" i="3"/>
  <c r="DN203" i="3"/>
  <c r="DN187" i="3"/>
  <c r="DN171" i="3"/>
  <c r="DN155" i="3"/>
  <c r="DN139" i="3"/>
  <c r="DN123" i="3"/>
  <c r="DN107" i="3"/>
  <c r="DN91" i="3"/>
  <c r="DN75" i="3"/>
  <c r="DN59" i="3"/>
  <c r="DN43" i="3"/>
  <c r="DN27" i="3"/>
  <c r="CU678" i="3"/>
  <c r="CU319" i="3"/>
  <c r="CU315" i="3"/>
  <c r="CU311" i="3"/>
  <c r="CU307" i="3"/>
  <c r="CU303" i="3"/>
  <c r="CU299" i="3"/>
  <c r="CU295" i="3"/>
  <c r="CU291" i="3"/>
  <c r="CU287" i="3"/>
  <c r="CU283" i="3"/>
  <c r="CU279" i="3"/>
  <c r="CU275" i="3"/>
  <c r="CU271" i="3"/>
  <c r="CU267" i="3"/>
  <c r="CU263" i="3"/>
  <c r="CU259" i="3"/>
  <c r="CU255" i="3"/>
  <c r="CU251" i="3"/>
  <c r="CU247" i="3"/>
  <c r="CU243" i="3"/>
  <c r="CU239" i="3"/>
  <c r="CU235" i="3"/>
  <c r="CU231" i="3"/>
  <c r="CU227" i="3"/>
  <c r="CU223" i="3"/>
  <c r="CU219" i="3"/>
  <c r="CU215" i="3"/>
  <c r="CU211" i="3"/>
  <c r="CU207" i="3"/>
  <c r="CU203" i="3"/>
  <c r="CU199" i="3"/>
  <c r="CU195" i="3"/>
  <c r="CU191" i="3"/>
  <c r="CU187" i="3"/>
  <c r="CU183" i="3"/>
  <c r="CU179" i="3"/>
  <c r="CU175" i="3"/>
  <c r="CU171" i="3"/>
  <c r="CU167" i="3"/>
  <c r="CU163" i="3"/>
  <c r="CU159" i="3"/>
  <c r="CU155" i="3"/>
  <c r="CU151" i="3"/>
  <c r="CU147" i="3"/>
  <c r="CU143" i="3"/>
  <c r="CU139" i="3"/>
  <c r="CU135" i="3"/>
  <c r="CU131" i="3"/>
  <c r="CU127" i="3"/>
  <c r="CU123" i="3"/>
  <c r="CU119" i="3"/>
  <c r="CU115" i="3"/>
  <c r="CU111" i="3"/>
  <c r="CU107" i="3"/>
  <c r="CU103" i="3"/>
  <c r="CU99" i="3"/>
  <c r="CU95" i="3"/>
  <c r="CU91" i="3"/>
  <c r="CU87" i="3"/>
  <c r="CU83" i="3"/>
  <c r="CU79" i="3"/>
  <c r="CU75" i="3"/>
  <c r="CU71" i="3"/>
  <c r="CU67" i="3"/>
  <c r="CU63" i="3"/>
  <c r="CU59" i="3"/>
  <c r="CU55" i="3"/>
  <c r="CU51" i="3"/>
  <c r="CU47" i="3"/>
  <c r="CU43" i="3"/>
  <c r="CU39" i="3"/>
  <c r="CU35" i="3"/>
  <c r="CU31" i="3"/>
  <c r="CU27" i="3"/>
  <c r="CU23" i="3"/>
  <c r="CU19" i="3"/>
  <c r="CU15" i="3"/>
  <c r="CV678" i="3"/>
  <c r="CV311" i="3"/>
  <c r="CV307" i="3"/>
  <c r="CV295" i="3"/>
  <c r="CV291" i="3"/>
  <c r="CV279" i="3"/>
  <c r="CV275" i="3"/>
  <c r="CV263" i="3"/>
  <c r="CV259" i="3"/>
  <c r="CV247" i="3"/>
  <c r="CV243" i="3"/>
  <c r="CV231" i="3"/>
  <c r="CV227" i="3"/>
  <c r="CV215" i="3"/>
  <c r="CV211" i="3"/>
  <c r="CV199" i="3"/>
  <c r="CV195" i="3"/>
  <c r="CV183" i="3"/>
  <c r="CV179" i="3"/>
  <c r="CV167" i="3"/>
  <c r="CV163" i="3"/>
  <c r="CV151" i="3"/>
  <c r="CV147" i="3"/>
  <c r="CV135" i="3"/>
  <c r="CV131" i="3"/>
  <c r="CV119" i="3"/>
  <c r="CV115" i="3"/>
  <c r="CV103" i="3"/>
  <c r="CV99" i="3"/>
  <c r="CV87" i="3"/>
  <c r="CV83" i="3"/>
  <c r="CV71" i="3"/>
  <c r="CV67" i="3"/>
  <c r="CV55" i="3"/>
  <c r="CV51" i="3"/>
  <c r="CV39" i="3"/>
  <c r="CV35" i="3"/>
  <c r="CV23" i="3"/>
  <c r="CV19" i="3"/>
  <c r="CU373" i="3"/>
  <c r="CU318" i="3"/>
  <c r="CU314" i="3"/>
  <c r="CU310" i="3"/>
  <c r="CU306" i="3"/>
  <c r="CU302" i="3"/>
  <c r="CU298" i="3"/>
  <c r="CU294" i="3"/>
  <c r="CU290" i="3"/>
  <c r="CU286" i="3"/>
  <c r="CU282" i="3"/>
  <c r="CU278" i="3"/>
  <c r="CU274" i="3"/>
  <c r="CU270" i="3"/>
  <c r="CU266" i="3"/>
  <c r="CU262" i="3"/>
  <c r="CU258" i="3"/>
  <c r="CU254" i="3"/>
  <c r="CU250" i="3"/>
  <c r="CU246" i="3"/>
  <c r="CU242" i="3"/>
  <c r="CU238" i="3"/>
  <c r="CU234" i="3"/>
  <c r="CU230" i="3"/>
  <c r="CU226" i="3"/>
  <c r="CU222" i="3"/>
  <c r="CU218" i="3"/>
  <c r="CU214" i="3"/>
  <c r="CU210" i="3"/>
  <c r="CU206" i="3"/>
  <c r="CU202" i="3"/>
  <c r="CU198" i="3"/>
  <c r="CU194" i="3"/>
  <c r="CU190" i="3"/>
  <c r="CU186" i="3"/>
  <c r="CU182" i="3"/>
  <c r="CU178" i="3"/>
  <c r="CU174" i="3"/>
  <c r="CU170" i="3"/>
  <c r="CU166" i="3"/>
  <c r="CU162" i="3"/>
  <c r="CU158" i="3"/>
  <c r="CU154" i="3"/>
  <c r="CU150" i="3"/>
  <c r="CU146" i="3"/>
  <c r="CU142" i="3"/>
  <c r="CU138" i="3"/>
  <c r="CU134" i="3"/>
  <c r="CU130" i="3"/>
  <c r="CU126" i="3"/>
  <c r="CU122" i="3"/>
  <c r="CU118" i="3"/>
  <c r="CU114" i="3"/>
  <c r="CU110" i="3"/>
  <c r="CU106" i="3"/>
  <c r="CU102" i="3"/>
  <c r="CU98" i="3"/>
  <c r="CU94" i="3"/>
  <c r="CU90" i="3"/>
  <c r="CU86" i="3"/>
  <c r="CU82" i="3"/>
  <c r="CU78" i="3"/>
  <c r="CU74" i="3"/>
  <c r="CU70" i="3"/>
  <c r="CU66" i="3"/>
  <c r="CU62" i="3"/>
  <c r="CU58" i="3"/>
  <c r="CU54" i="3"/>
  <c r="CU50" i="3"/>
  <c r="CU46" i="3"/>
  <c r="CU42" i="3"/>
  <c r="CU38" i="3"/>
  <c r="CU34" i="3"/>
  <c r="CU30" i="3"/>
  <c r="CU26" i="3"/>
  <c r="CU22" i="3"/>
  <c r="CU18" i="3"/>
  <c r="CU14" i="3"/>
  <c r="CV373" i="3"/>
  <c r="CV318" i="3"/>
  <c r="CV314" i="3"/>
  <c r="CV310" i="3"/>
  <c r="CV306" i="3"/>
  <c r="CV302" i="3"/>
  <c r="CV298" i="3"/>
  <c r="CV294" i="3"/>
  <c r="CV290" i="3"/>
  <c r="CV286" i="3"/>
  <c r="CV282" i="3"/>
  <c r="CV278" i="3"/>
  <c r="CV274" i="3"/>
  <c r="CV270" i="3"/>
  <c r="CV266" i="3"/>
  <c r="CV262" i="3"/>
  <c r="CV258" i="3"/>
  <c r="CV254" i="3"/>
  <c r="CV250" i="3"/>
  <c r="CV246" i="3"/>
  <c r="CV242" i="3"/>
  <c r="CV238" i="3"/>
  <c r="CV234" i="3"/>
  <c r="CV230" i="3"/>
  <c r="CV226" i="3"/>
  <c r="CV222" i="3"/>
  <c r="CV218" i="3"/>
  <c r="CV214" i="3"/>
  <c r="CV210" i="3"/>
  <c r="CV206" i="3"/>
  <c r="CV202" i="3"/>
  <c r="CV198" i="3"/>
  <c r="CV194" i="3"/>
  <c r="CV190" i="3"/>
  <c r="CV186" i="3"/>
  <c r="CV182" i="3"/>
  <c r="CV178" i="3"/>
  <c r="CV174" i="3"/>
  <c r="CV170" i="3"/>
  <c r="CV166" i="3"/>
  <c r="CV162" i="3"/>
  <c r="CV158" i="3"/>
  <c r="CV154" i="3"/>
  <c r="CV150" i="3"/>
  <c r="CV146" i="3"/>
  <c r="CV142" i="3"/>
  <c r="CV138" i="3"/>
  <c r="CV134" i="3"/>
  <c r="CV130" i="3"/>
  <c r="CV126" i="3"/>
  <c r="CV122" i="3"/>
  <c r="CV118" i="3"/>
  <c r="CV114" i="3"/>
  <c r="CV110" i="3"/>
  <c r="CV106" i="3"/>
  <c r="CV102" i="3"/>
  <c r="CV98" i="3"/>
  <c r="CV94" i="3"/>
  <c r="CV90" i="3"/>
  <c r="CV86" i="3"/>
  <c r="CV82" i="3"/>
  <c r="CV78" i="3"/>
  <c r="CV74" i="3"/>
  <c r="CV70" i="3"/>
  <c r="CV66" i="3"/>
  <c r="CV62" i="3"/>
  <c r="CV58" i="3"/>
  <c r="CV54" i="3"/>
  <c r="CV50" i="3"/>
  <c r="CV46" i="3"/>
  <c r="CV42" i="3"/>
  <c r="CV38" i="3"/>
  <c r="CV34" i="3"/>
  <c r="CV30" i="3"/>
  <c r="CV26" i="3"/>
  <c r="CV22" i="3"/>
  <c r="CV18" i="3"/>
  <c r="CV14" i="3"/>
  <c r="DV437" i="3" l="1"/>
  <c r="DW437" i="3"/>
  <c r="DU437" i="3" s="1"/>
  <c r="DV480" i="3"/>
  <c r="DW480" i="3"/>
  <c r="DU480" i="3" s="1"/>
  <c r="DU436" i="3"/>
  <c r="DW536" i="3"/>
  <c r="DV536" i="3"/>
  <c r="DU581" i="3"/>
  <c r="DV432" i="3"/>
  <c r="DW432" i="3"/>
  <c r="DU432" i="3" s="1"/>
  <c r="DV453" i="3"/>
  <c r="DW453" i="3"/>
  <c r="DU453" i="3" s="1"/>
  <c r="DV472" i="3"/>
  <c r="DW472" i="3"/>
  <c r="DU472" i="3" s="1"/>
  <c r="DV496" i="3"/>
  <c r="DW496" i="3"/>
  <c r="DU496" i="3" s="1"/>
  <c r="DV510" i="3"/>
  <c r="DW510" i="3"/>
  <c r="DU510" i="3" s="1"/>
  <c r="DU522" i="3"/>
  <c r="DV533" i="3"/>
  <c r="DW533" i="3"/>
  <c r="DU540" i="3"/>
  <c r="DU567" i="3"/>
  <c r="DU583" i="3"/>
  <c r="DU611" i="3"/>
  <c r="DU619" i="3"/>
  <c r="DU627" i="3"/>
  <c r="DU656" i="3"/>
  <c r="DU672" i="3"/>
  <c r="DU443" i="3"/>
  <c r="DU475" i="3"/>
  <c r="DU531" i="3"/>
  <c r="DU547" i="3"/>
  <c r="DU584" i="3"/>
  <c r="DU535" i="3"/>
  <c r="DU599" i="3"/>
  <c r="DU631" i="3"/>
  <c r="DU639" i="3"/>
  <c r="DU647" i="3"/>
  <c r="DU477" i="3"/>
  <c r="DU509" i="3"/>
  <c r="DU551" i="3"/>
  <c r="DU658" i="3"/>
  <c r="DU442" i="3"/>
  <c r="DU458" i="3"/>
  <c r="DU474" i="3"/>
  <c r="DU542" i="3"/>
  <c r="DU576" i="3"/>
  <c r="DU471" i="3"/>
  <c r="DU546" i="3"/>
  <c r="DU557" i="3"/>
  <c r="DU589" i="3"/>
  <c r="DU605" i="3"/>
  <c r="DU621" i="3"/>
  <c r="DU637" i="3"/>
  <c r="DU669" i="3"/>
  <c r="DU514" i="3"/>
  <c r="DU590" i="3"/>
  <c r="DU606" i="3"/>
  <c r="DU622" i="3"/>
  <c r="DU638" i="3"/>
  <c r="DU646" i="3"/>
  <c r="DU654" i="3"/>
  <c r="DU670" i="3"/>
  <c r="DV560" i="3"/>
  <c r="DW560" i="3"/>
  <c r="DU560" i="3" s="1"/>
  <c r="DV501" i="3"/>
  <c r="DW501" i="3"/>
  <c r="DU501" i="3" s="1"/>
  <c r="DV512" i="3"/>
  <c r="DW512" i="3"/>
  <c r="DU512" i="3" s="1"/>
  <c r="DV440" i="3"/>
  <c r="DW440" i="3"/>
  <c r="DU440" i="3" s="1"/>
  <c r="DW464" i="3"/>
  <c r="DV464" i="3"/>
  <c r="DV485" i="3"/>
  <c r="DW485" i="3"/>
  <c r="DU485" i="3" s="1"/>
  <c r="DV504" i="3"/>
  <c r="DW504" i="3"/>
  <c r="DU504" i="3" s="1"/>
  <c r="DV516" i="3"/>
  <c r="DW516" i="3"/>
  <c r="DU516" i="3" s="1"/>
  <c r="DV558" i="3"/>
  <c r="DW558" i="3"/>
  <c r="DU558" i="3" s="1"/>
  <c r="DV595" i="3"/>
  <c r="DW595" i="3"/>
  <c r="DU616" i="3"/>
  <c r="DU499" i="3"/>
  <c r="DU534" i="3"/>
  <c r="DU587" i="3"/>
  <c r="DU457" i="3"/>
  <c r="DU615" i="3"/>
  <c r="DU652" i="3"/>
  <c r="DU461" i="3"/>
  <c r="DU493" i="3"/>
  <c r="DV456" i="3"/>
  <c r="DW456" i="3"/>
  <c r="DU456" i="3" s="1"/>
  <c r="DW513" i="3"/>
  <c r="DU513" i="3" s="1"/>
  <c r="DV513" i="3"/>
  <c r="DV592" i="3"/>
  <c r="DW592" i="3"/>
  <c r="DU592" i="3" s="1"/>
  <c r="DU484" i="3"/>
  <c r="DV524" i="3"/>
  <c r="DW524" i="3"/>
  <c r="DU524" i="3" s="1"/>
  <c r="DV448" i="3"/>
  <c r="DW448" i="3"/>
  <c r="DU448" i="3" s="1"/>
  <c r="DW469" i="3"/>
  <c r="DV469" i="3"/>
  <c r="DV488" i="3"/>
  <c r="DW488" i="3"/>
  <c r="DU488" i="3" s="1"/>
  <c r="DW507" i="3"/>
  <c r="DV507" i="3"/>
  <c r="DU507" i="3" s="1"/>
  <c r="DW600" i="3"/>
  <c r="DV600" i="3"/>
  <c r="DU651" i="3"/>
  <c r="DU423" i="3"/>
  <c r="DU668" i="3"/>
  <c r="DU429" i="3"/>
  <c r="DU666" i="3"/>
  <c r="DU431" i="3"/>
  <c r="DU447" i="3"/>
  <c r="DU463" i="3"/>
  <c r="DU479" i="3"/>
  <c r="DU495" i="3"/>
  <c r="DU563" i="3"/>
  <c r="DU579" i="3"/>
  <c r="DU450" i="3"/>
  <c r="DU466" i="3"/>
  <c r="DU482" i="3"/>
  <c r="DU498" i="3"/>
  <c r="DU555" i="3"/>
  <c r="DU561" i="3"/>
  <c r="DU582" i="3"/>
  <c r="DU645" i="3"/>
  <c r="DU661" i="3"/>
  <c r="DU677" i="3"/>
  <c r="DU519" i="3"/>
  <c r="DU593" i="3"/>
  <c r="DU609" i="3"/>
  <c r="DU625" i="3"/>
  <c r="DU641" i="3"/>
  <c r="AO4" i="3"/>
  <c r="AP4" i="3"/>
  <c r="AN4" i="3"/>
  <c r="AW5" i="3"/>
  <c r="AX4" i="3" s="1"/>
  <c r="AS4" i="3"/>
  <c r="AT4" i="3"/>
  <c r="AM4" i="3"/>
  <c r="AH4" i="3"/>
  <c r="AK4" i="3"/>
  <c r="AL4" i="3"/>
  <c r="AQ4" i="3"/>
  <c r="AI4" i="3"/>
  <c r="F25" i="9"/>
  <c r="DU600" i="3" l="1"/>
  <c r="DU595" i="3"/>
  <c r="DU536" i="3"/>
  <c r="DU469" i="3"/>
  <c r="DU464" i="3"/>
  <c r="DU533" i="3"/>
  <c r="BC4" i="3"/>
  <c r="AW4" i="3"/>
  <c r="BA4" i="3"/>
  <c r="BG4" i="3"/>
  <c r="BF4" i="3"/>
  <c r="AY4" i="3"/>
  <c r="AV4" i="3"/>
  <c r="BE4" i="3"/>
  <c r="AZ4" i="3"/>
  <c r="BD4" i="3"/>
  <c r="BB4" i="3"/>
  <c r="AU4" i="3"/>
  <c r="BJ5" i="3"/>
  <c r="BR4" i="3" s="1"/>
  <c r="BH4" i="3" l="1"/>
  <c r="BW5" i="3"/>
  <c r="BV4" i="3" s="1"/>
  <c r="BK4" i="3"/>
  <c r="BI4" i="3"/>
  <c r="BJ4" i="3"/>
  <c r="BT4" i="3"/>
  <c r="BO4" i="3"/>
  <c r="BS4" i="3"/>
  <c r="BM4" i="3"/>
  <c r="BN4" i="3"/>
  <c r="BP4" i="3"/>
  <c r="BL4" i="3"/>
  <c r="BQ4" i="3"/>
  <c r="BZ4" i="3" l="1"/>
  <c r="CD4" i="3"/>
  <c r="CF4" i="3"/>
  <c r="BX4" i="3"/>
  <c r="CB4" i="3"/>
  <c r="CJ5" i="3"/>
  <c r="CH4" i="3" s="1"/>
  <c r="BY4" i="3"/>
  <c r="BW4" i="3"/>
  <c r="CC4" i="3"/>
  <c r="CE4" i="3"/>
  <c r="CA4" i="3"/>
  <c r="CG4" i="3"/>
  <c r="BU4" i="3"/>
  <c r="C23" i="9"/>
  <c r="F23" i="9"/>
  <c r="CL4" i="3" l="1"/>
  <c r="CK4" i="3"/>
  <c r="CI4" i="3"/>
  <c r="CQ4" i="3"/>
  <c r="CO4" i="3"/>
  <c r="CP4" i="3"/>
  <c r="CM4" i="3"/>
  <c r="CJ4" i="3"/>
  <c r="CS4" i="3"/>
  <c r="CT4" i="3"/>
  <c r="CN4" i="3"/>
  <c r="CR4" i="3"/>
  <c r="F26" i="9"/>
  <c r="DJ1" i="3"/>
  <c r="EB417" i="3" l="1"/>
  <c r="EC417" i="3" s="1"/>
  <c r="EB413" i="3"/>
  <c r="EC413" i="3" s="1"/>
  <c r="EB409" i="3"/>
  <c r="EC409" i="3" s="1"/>
  <c r="ED405" i="3"/>
  <c r="EE405" i="3" s="1"/>
  <c r="EB401" i="3"/>
  <c r="EC401" i="3" s="1"/>
  <c r="EB397" i="3"/>
  <c r="EC397" i="3" s="1"/>
  <c r="EB393" i="3"/>
  <c r="EC393" i="3" s="1"/>
  <c r="ED389" i="3"/>
  <c r="EE389" i="3" s="1"/>
  <c r="EB385" i="3"/>
  <c r="EC385" i="3" s="1"/>
  <c r="EB381" i="3"/>
  <c r="EC381" i="3" s="1"/>
  <c r="EB377" i="3"/>
  <c r="EC377" i="3" s="1"/>
  <c r="ED417" i="3"/>
  <c r="EE417" i="3" s="1"/>
  <c r="DI413" i="3"/>
  <c r="DS413" i="3" s="1"/>
  <c r="ED409" i="3"/>
  <c r="EE409" i="3" s="1"/>
  <c r="DI405" i="3"/>
  <c r="DS405" i="3" s="1"/>
  <c r="ED401" i="3"/>
  <c r="EE401" i="3" s="1"/>
  <c r="DI397" i="3"/>
  <c r="DS397" i="3" s="1"/>
  <c r="DO393" i="3"/>
  <c r="DI389" i="3"/>
  <c r="DS389" i="3" s="1"/>
  <c r="ED385" i="3"/>
  <c r="EE385" i="3" s="1"/>
  <c r="DI381" i="3"/>
  <c r="DS381" i="3" s="1"/>
  <c r="ED377" i="3"/>
  <c r="EE377" i="3" s="1"/>
  <c r="DO417" i="3"/>
  <c r="ED413" i="3"/>
  <c r="EE413" i="3" s="1"/>
  <c r="DO409" i="3"/>
  <c r="DO405" i="3"/>
  <c r="DI401" i="3"/>
  <c r="DS401" i="3" s="1"/>
  <c r="ED397" i="3"/>
  <c r="EE397" i="3" s="1"/>
  <c r="DI393" i="3"/>
  <c r="DS393" i="3" s="1"/>
  <c r="EB389" i="3"/>
  <c r="EC389" i="3" s="1"/>
  <c r="DI385" i="3"/>
  <c r="DS385" i="3" s="1"/>
  <c r="ED381" i="3"/>
  <c r="EE381" i="3" s="1"/>
  <c r="DO377" i="3"/>
  <c r="DI417" i="3"/>
  <c r="DS417" i="3" s="1"/>
  <c r="DO413" i="3"/>
  <c r="DI409" i="3"/>
  <c r="DS409" i="3" s="1"/>
  <c r="EB405" i="3"/>
  <c r="EC405" i="3" s="1"/>
  <c r="DO401" i="3"/>
  <c r="DO397" i="3"/>
  <c r="ED393" i="3"/>
  <c r="EE393" i="3" s="1"/>
  <c r="DO389" i="3"/>
  <c r="DO385" i="3"/>
  <c r="DO381" i="3"/>
  <c r="DI377" i="3"/>
  <c r="DS377" i="3" s="1"/>
  <c r="EB382" i="3"/>
  <c r="EC382" i="3" s="1"/>
  <c r="EB398" i="3"/>
  <c r="EC398" i="3" s="1"/>
  <c r="EB414" i="3"/>
  <c r="EC414" i="3" s="1"/>
  <c r="DO375" i="3"/>
  <c r="DO391" i="3"/>
  <c r="DO407" i="3"/>
  <c r="EB376" i="3"/>
  <c r="EC376" i="3" s="1"/>
  <c r="EB392" i="3"/>
  <c r="EC392" i="3" s="1"/>
  <c r="EB408" i="3"/>
  <c r="EC408" i="3" s="1"/>
  <c r="ED386" i="3"/>
  <c r="EE386" i="3" s="1"/>
  <c r="ED402" i="3"/>
  <c r="EE402" i="3" s="1"/>
  <c r="ED418" i="3"/>
  <c r="EE418" i="3" s="1"/>
  <c r="EB379" i="3"/>
  <c r="EC379" i="3" s="1"/>
  <c r="EB395" i="3"/>
  <c r="EC395" i="3" s="1"/>
  <c r="EB411" i="3"/>
  <c r="EC411" i="3" s="1"/>
  <c r="ED380" i="3"/>
  <c r="EE380" i="3" s="1"/>
  <c r="ED396" i="3"/>
  <c r="EE396" i="3" s="1"/>
  <c r="ED412" i="3"/>
  <c r="EE412" i="3" s="1"/>
  <c r="DO374" i="3"/>
  <c r="DO390" i="3"/>
  <c r="DO406" i="3"/>
  <c r="ED383" i="3"/>
  <c r="EE383" i="3" s="1"/>
  <c r="ED399" i="3"/>
  <c r="EE399" i="3" s="1"/>
  <c r="ED415" i="3"/>
  <c r="EE415" i="3" s="1"/>
  <c r="DO384" i="3"/>
  <c r="EB400" i="3"/>
  <c r="EC400" i="3" s="1"/>
  <c r="DO416" i="3"/>
  <c r="ED378" i="3"/>
  <c r="EE378" i="3" s="1"/>
  <c r="ED394" i="3"/>
  <c r="EE394" i="3" s="1"/>
  <c r="ED410" i="3"/>
  <c r="EE410" i="3" s="1"/>
  <c r="ED387" i="3"/>
  <c r="EE387" i="3" s="1"/>
  <c r="DI403" i="3"/>
  <c r="DS403" i="3" s="1"/>
  <c r="ED419" i="3"/>
  <c r="EE419" i="3" s="1"/>
  <c r="DO388" i="3"/>
  <c r="ED404" i="3"/>
  <c r="EE404" i="3" s="1"/>
  <c r="DI420" i="3"/>
  <c r="DS420" i="3" s="1"/>
  <c r="DO419" i="3"/>
  <c r="ED400" i="3"/>
  <c r="EE400" i="3" s="1"/>
  <c r="DO410" i="3"/>
  <c r="DI419" i="3"/>
  <c r="DS419" i="3" s="1"/>
  <c r="ED382" i="3"/>
  <c r="EE382" i="3" s="1"/>
  <c r="ED398" i="3"/>
  <c r="EE398" i="3" s="1"/>
  <c r="ED414" i="3"/>
  <c r="EE414" i="3" s="1"/>
  <c r="DI375" i="3"/>
  <c r="DS375" i="3" s="1"/>
  <c r="DI391" i="3"/>
  <c r="DS391" i="3" s="1"/>
  <c r="DI407" i="3"/>
  <c r="DS407" i="3" s="1"/>
  <c r="ED376" i="3"/>
  <c r="EE376" i="3" s="1"/>
  <c r="ED392" i="3"/>
  <c r="EE392" i="3" s="1"/>
  <c r="ED408" i="3"/>
  <c r="EE408" i="3" s="1"/>
  <c r="DO386" i="3"/>
  <c r="DO402" i="3"/>
  <c r="DO418" i="3"/>
  <c r="DO379" i="3"/>
  <c r="DO395" i="3"/>
  <c r="DO411" i="3"/>
  <c r="DI380" i="3"/>
  <c r="DS380" i="3" s="1"/>
  <c r="DI396" i="3"/>
  <c r="DS396" i="3" s="1"/>
  <c r="DO412" i="3"/>
  <c r="EB374" i="3"/>
  <c r="EC374" i="3" s="1"/>
  <c r="DI390" i="3"/>
  <c r="DS390" i="3" s="1"/>
  <c r="EB406" i="3"/>
  <c r="EC406" i="3" s="1"/>
  <c r="DO383" i="3"/>
  <c r="DO399" i="3"/>
  <c r="DO415" i="3"/>
  <c r="EB384" i="3"/>
  <c r="EC384" i="3" s="1"/>
  <c r="DO400" i="3"/>
  <c r="DI416" i="3"/>
  <c r="DS416" i="3" s="1"/>
  <c r="EB378" i="3"/>
  <c r="EC378" i="3" s="1"/>
  <c r="EB394" i="3"/>
  <c r="EC394" i="3" s="1"/>
  <c r="EB410" i="3"/>
  <c r="EC410" i="3" s="1"/>
  <c r="DO387" i="3"/>
  <c r="DO403" i="3"/>
  <c r="DI388" i="3"/>
  <c r="DS388" i="3" s="1"/>
  <c r="DI404" i="3"/>
  <c r="DS404" i="3" s="1"/>
  <c r="EB420" i="3"/>
  <c r="EC420" i="3" s="1"/>
  <c r="EB416" i="3"/>
  <c r="EC416" i="3" s="1"/>
  <c r="DO394" i="3"/>
  <c r="EB403" i="3"/>
  <c r="EC403" i="3" s="1"/>
  <c r="EB388" i="3"/>
  <c r="EC388" i="3" s="1"/>
  <c r="DO382" i="3"/>
  <c r="DO398" i="3"/>
  <c r="DO414" i="3"/>
  <c r="EB375" i="3"/>
  <c r="EC375" i="3" s="1"/>
  <c r="EB391" i="3"/>
  <c r="EC391" i="3" s="1"/>
  <c r="EB407" i="3"/>
  <c r="EC407" i="3" s="1"/>
  <c r="DO376" i="3"/>
  <c r="DO392" i="3"/>
  <c r="DO408" i="3"/>
  <c r="DI386" i="3"/>
  <c r="DS386" i="3" s="1"/>
  <c r="DI402" i="3"/>
  <c r="DS402" i="3" s="1"/>
  <c r="DI418" i="3"/>
  <c r="DS418" i="3" s="1"/>
  <c r="ED379" i="3"/>
  <c r="EE379" i="3" s="1"/>
  <c r="ED395" i="3"/>
  <c r="EE395" i="3" s="1"/>
  <c r="ED411" i="3"/>
  <c r="EE411" i="3" s="1"/>
  <c r="DO380" i="3"/>
  <c r="DO396" i="3"/>
  <c r="EB412" i="3"/>
  <c r="EC412" i="3" s="1"/>
  <c r="DI374" i="3"/>
  <c r="DS374" i="3" s="1"/>
  <c r="EB390" i="3"/>
  <c r="EC390" i="3" s="1"/>
  <c r="DI406" i="3"/>
  <c r="DS406" i="3" s="1"/>
  <c r="DI383" i="3"/>
  <c r="DS383" i="3" s="1"/>
  <c r="DI399" i="3"/>
  <c r="DS399" i="3" s="1"/>
  <c r="EB415" i="3"/>
  <c r="EC415" i="3" s="1"/>
  <c r="ED384" i="3"/>
  <c r="EE384" i="3" s="1"/>
  <c r="DO378" i="3"/>
  <c r="DI387" i="3"/>
  <c r="DS387" i="3" s="1"/>
  <c r="ED420" i="3"/>
  <c r="EE420" i="3" s="1"/>
  <c r="DI382" i="3"/>
  <c r="DS382" i="3" s="1"/>
  <c r="DI398" i="3"/>
  <c r="DS398" i="3" s="1"/>
  <c r="DI414" i="3"/>
  <c r="DS414" i="3" s="1"/>
  <c r="ED375" i="3"/>
  <c r="EE375" i="3" s="1"/>
  <c r="ED391" i="3"/>
  <c r="EE391" i="3" s="1"/>
  <c r="ED407" i="3"/>
  <c r="EE407" i="3" s="1"/>
  <c r="DI376" i="3"/>
  <c r="DS376" i="3" s="1"/>
  <c r="DI392" i="3"/>
  <c r="DS392" i="3" s="1"/>
  <c r="DI408" i="3"/>
  <c r="DS408" i="3" s="1"/>
  <c r="EB386" i="3"/>
  <c r="EC386" i="3" s="1"/>
  <c r="EB402" i="3"/>
  <c r="EC402" i="3" s="1"/>
  <c r="EB418" i="3"/>
  <c r="EC418" i="3" s="1"/>
  <c r="DI379" i="3"/>
  <c r="DS379" i="3" s="1"/>
  <c r="DI395" i="3"/>
  <c r="DS395" i="3" s="1"/>
  <c r="DI411" i="3"/>
  <c r="DS411" i="3" s="1"/>
  <c r="EB380" i="3"/>
  <c r="EC380" i="3" s="1"/>
  <c r="EB396" i="3"/>
  <c r="EC396" i="3" s="1"/>
  <c r="DI412" i="3"/>
  <c r="DS412" i="3" s="1"/>
  <c r="ED374" i="3"/>
  <c r="EE374" i="3" s="1"/>
  <c r="ED390" i="3"/>
  <c r="EE390" i="3" s="1"/>
  <c r="ED406" i="3"/>
  <c r="EE406" i="3" s="1"/>
  <c r="EB383" i="3"/>
  <c r="EC383" i="3" s="1"/>
  <c r="EB399" i="3"/>
  <c r="EC399" i="3" s="1"/>
  <c r="DI415" i="3"/>
  <c r="DS415" i="3" s="1"/>
  <c r="DI384" i="3"/>
  <c r="DS384" i="3" s="1"/>
  <c r="DI400" i="3"/>
  <c r="DS400" i="3" s="1"/>
  <c r="ED416" i="3"/>
  <c r="EE416" i="3" s="1"/>
  <c r="DI378" i="3"/>
  <c r="DS378" i="3" s="1"/>
  <c r="DI394" i="3"/>
  <c r="DS394" i="3" s="1"/>
  <c r="DI410" i="3"/>
  <c r="DS410" i="3" s="1"/>
  <c r="EB387" i="3"/>
  <c r="EC387" i="3" s="1"/>
  <c r="ED403" i="3"/>
  <c r="EE403" i="3" s="1"/>
  <c r="EB419" i="3"/>
  <c r="EC419" i="3" s="1"/>
  <c r="ED388" i="3"/>
  <c r="EE388" i="3" s="1"/>
  <c r="DO404" i="3"/>
  <c r="DO420" i="3"/>
  <c r="EB404" i="3"/>
  <c r="EC404" i="3" s="1"/>
  <c r="ED325" i="3"/>
  <c r="EE325" i="3" s="1"/>
  <c r="ED329" i="3"/>
  <c r="EE329" i="3" s="1"/>
  <c r="ED341" i="3"/>
  <c r="EE341" i="3" s="1"/>
  <c r="ED345" i="3"/>
  <c r="EE345" i="3" s="1"/>
  <c r="ED357" i="3"/>
  <c r="EE357" i="3" s="1"/>
  <c r="ED361" i="3"/>
  <c r="EE361" i="3" s="1"/>
  <c r="DI369" i="3"/>
  <c r="DS369" i="3" s="1"/>
  <c r="DO368" i="3"/>
  <c r="ED321" i="3"/>
  <c r="EE321" i="3" s="1"/>
  <c r="ED337" i="3"/>
  <c r="EE337" i="3" s="1"/>
  <c r="DO353" i="3"/>
  <c r="EB369" i="3"/>
  <c r="EC369" i="3" s="1"/>
  <c r="EB368" i="3"/>
  <c r="EC368" i="3" s="1"/>
  <c r="DO325" i="3"/>
  <c r="DO329" i="3"/>
  <c r="DO341" i="3"/>
  <c r="DO345" i="3"/>
  <c r="EB357" i="3"/>
  <c r="EC357" i="3" s="1"/>
  <c r="DO361" i="3"/>
  <c r="DI353" i="3"/>
  <c r="DS353" i="3" s="1"/>
  <c r="DI337" i="3"/>
  <c r="DS337" i="3" s="1"/>
  <c r="ED368" i="3"/>
  <c r="EE368" i="3" s="1"/>
  <c r="DO321" i="3"/>
  <c r="DO337" i="3"/>
  <c r="EB353" i="3"/>
  <c r="EC353" i="3" s="1"/>
  <c r="DO369" i="3"/>
  <c r="EB325" i="3"/>
  <c r="EC325" i="3" s="1"/>
  <c r="EB329" i="3"/>
  <c r="EC329" i="3" s="1"/>
  <c r="EB341" i="3"/>
  <c r="EC341" i="3" s="1"/>
  <c r="EB345" i="3"/>
  <c r="EC345" i="3" s="1"/>
  <c r="DO357" i="3"/>
  <c r="EB361" i="3"/>
  <c r="EC361" i="3" s="1"/>
  <c r="DI368" i="3"/>
  <c r="DS368" i="3" s="1"/>
  <c r="EB321" i="3"/>
  <c r="EC321" i="3" s="1"/>
  <c r="EB337" i="3"/>
  <c r="EC337" i="3" s="1"/>
  <c r="ED369" i="3"/>
  <c r="EE369" i="3" s="1"/>
  <c r="DI325" i="3"/>
  <c r="DS325" i="3" s="1"/>
  <c r="DI329" i="3"/>
  <c r="DS329" i="3" s="1"/>
  <c r="DI341" i="3"/>
  <c r="DS341" i="3" s="1"/>
  <c r="DI345" i="3"/>
  <c r="DS345" i="3" s="1"/>
  <c r="DI357" i="3"/>
  <c r="DS357" i="3" s="1"/>
  <c r="DI361" i="3"/>
  <c r="DS361" i="3" s="1"/>
  <c r="DI321" i="3"/>
  <c r="DS321" i="3" s="1"/>
  <c r="ED353" i="3"/>
  <c r="EE353" i="3" s="1"/>
  <c r="DO360" i="3"/>
  <c r="ED327" i="3"/>
  <c r="EE327" i="3" s="1"/>
  <c r="ED330" i="3"/>
  <c r="EE330" i="3" s="1"/>
  <c r="DI356" i="3"/>
  <c r="DS356" i="3" s="1"/>
  <c r="EB340" i="3"/>
  <c r="EC340" i="3" s="1"/>
  <c r="EB324" i="3"/>
  <c r="EC324" i="3" s="1"/>
  <c r="DO371" i="3"/>
  <c r="DO355" i="3"/>
  <c r="DO323" i="3"/>
  <c r="DI362" i="3"/>
  <c r="DS362" i="3" s="1"/>
  <c r="DI372" i="3"/>
  <c r="DS372" i="3" s="1"/>
  <c r="DO367" i="3"/>
  <c r="DI354" i="3"/>
  <c r="DS354" i="3" s="1"/>
  <c r="DI322" i="3"/>
  <c r="DS322" i="3" s="1"/>
  <c r="EB344" i="3"/>
  <c r="EC344" i="3" s="1"/>
  <c r="DI346" i="3"/>
  <c r="DS346" i="3" s="1"/>
  <c r="DI364" i="3"/>
  <c r="DS364" i="3" s="1"/>
  <c r="EB348" i="3"/>
  <c r="EC348" i="3" s="1"/>
  <c r="EB332" i="3"/>
  <c r="EC332" i="3" s="1"/>
  <c r="DI363" i="3"/>
  <c r="DS363" i="3" s="1"/>
  <c r="DO347" i="3"/>
  <c r="DI350" i="3"/>
  <c r="DS350" i="3" s="1"/>
  <c r="DI334" i="3"/>
  <c r="DS334" i="3" s="1"/>
  <c r="ED360" i="3"/>
  <c r="EE360" i="3" s="1"/>
  <c r="EB327" i="3"/>
  <c r="EC327" i="3" s="1"/>
  <c r="DO330" i="3"/>
  <c r="EB356" i="3"/>
  <c r="EC356" i="3" s="1"/>
  <c r="DO340" i="3"/>
  <c r="DO324" i="3"/>
  <c r="DI371" i="3"/>
  <c r="DS371" i="3" s="1"/>
  <c r="DI355" i="3"/>
  <c r="DS355" i="3" s="1"/>
  <c r="DI339" i="3"/>
  <c r="DS339" i="3" s="1"/>
  <c r="DI323" i="3"/>
  <c r="DS323" i="3" s="1"/>
  <c r="DO358" i="3"/>
  <c r="EB342" i="3"/>
  <c r="EC342" i="3" s="1"/>
  <c r="EB326" i="3"/>
  <c r="EC326" i="3" s="1"/>
  <c r="DI349" i="3"/>
  <c r="DS349" i="3" s="1"/>
  <c r="DO328" i="3"/>
  <c r="DI343" i="3"/>
  <c r="DS343" i="3" s="1"/>
  <c r="EB362" i="3"/>
  <c r="EC362" i="3" s="1"/>
  <c r="EB372" i="3"/>
  <c r="EC372" i="3" s="1"/>
  <c r="DO352" i="3"/>
  <c r="DO336" i="3"/>
  <c r="DI367" i="3"/>
  <c r="DS367" i="3" s="1"/>
  <c r="DI351" i="3"/>
  <c r="DS351" i="3" s="1"/>
  <c r="DI335" i="3"/>
  <c r="DS335" i="3" s="1"/>
  <c r="EB370" i="3"/>
  <c r="EC370" i="3" s="1"/>
  <c r="EB354" i="3"/>
  <c r="EC354" i="3" s="1"/>
  <c r="EB338" i="3"/>
  <c r="EC338" i="3" s="1"/>
  <c r="EB322" i="3"/>
  <c r="EC322" i="3" s="1"/>
  <c r="DI333" i="3"/>
  <c r="DS333" i="3" s="1"/>
  <c r="DO344" i="3"/>
  <c r="DI359" i="3"/>
  <c r="DS359" i="3" s="1"/>
  <c r="EB346" i="3"/>
  <c r="EC346" i="3" s="1"/>
  <c r="DI365" i="3"/>
  <c r="DS365" i="3" s="1"/>
  <c r="EB364" i="3"/>
  <c r="EC364" i="3" s="1"/>
  <c r="DO348" i="3"/>
  <c r="DO332" i="3"/>
  <c r="DO363" i="3"/>
  <c r="DI347" i="3"/>
  <c r="DS347" i="3" s="1"/>
  <c r="DI331" i="3"/>
  <c r="DS331" i="3" s="1"/>
  <c r="EB366" i="3"/>
  <c r="EC366" i="3" s="1"/>
  <c r="EB350" i="3"/>
  <c r="EC350" i="3" s="1"/>
  <c r="EB334" i="3"/>
  <c r="EC334" i="3" s="1"/>
  <c r="ED372" i="3"/>
  <c r="EE372" i="3" s="1"/>
  <c r="DI336" i="3"/>
  <c r="DS336" i="3" s="1"/>
  <c r="EB351" i="3"/>
  <c r="EC351" i="3" s="1"/>
  <c r="DO370" i="3"/>
  <c r="DO322" i="3"/>
  <c r="DI344" i="3"/>
  <c r="DS344" i="3" s="1"/>
  <c r="EB359" i="3"/>
  <c r="EC359" i="3" s="1"/>
  <c r="DO346" i="3"/>
  <c r="EB347" i="3"/>
  <c r="EC347" i="3" s="1"/>
  <c r="DO350" i="3"/>
  <c r="DO339" i="3"/>
  <c r="EB352" i="3"/>
  <c r="EC352" i="3" s="1"/>
  <c r="EB336" i="3"/>
  <c r="EC336" i="3" s="1"/>
  <c r="DO351" i="3"/>
  <c r="DI370" i="3"/>
  <c r="DS370" i="3" s="1"/>
  <c r="DI338" i="3"/>
  <c r="DS338" i="3" s="1"/>
  <c r="DO359" i="3"/>
  <c r="DO331" i="3"/>
  <c r="DI360" i="3"/>
  <c r="DS360" i="3" s="1"/>
  <c r="DO327" i="3"/>
  <c r="DI330" i="3"/>
  <c r="DS330" i="3" s="1"/>
  <c r="DO356" i="3"/>
  <c r="ED340" i="3"/>
  <c r="EE340" i="3" s="1"/>
  <c r="ED324" i="3"/>
  <c r="EE324" i="3" s="1"/>
  <c r="ED371" i="3"/>
  <c r="EE371" i="3" s="1"/>
  <c r="ED355" i="3"/>
  <c r="EE355" i="3" s="1"/>
  <c r="ED339" i="3"/>
  <c r="EE339" i="3" s="1"/>
  <c r="ED323" i="3"/>
  <c r="EE323" i="3" s="1"/>
  <c r="ED358" i="3"/>
  <c r="EE358" i="3" s="1"/>
  <c r="ED342" i="3"/>
  <c r="EE342" i="3" s="1"/>
  <c r="ED326" i="3"/>
  <c r="EE326" i="3" s="1"/>
  <c r="ED349" i="3"/>
  <c r="EE349" i="3" s="1"/>
  <c r="ED328" i="3"/>
  <c r="EE328" i="3" s="1"/>
  <c r="ED343" i="3"/>
  <c r="EE343" i="3" s="1"/>
  <c r="ED362" i="3"/>
  <c r="EE362" i="3" s="1"/>
  <c r="DO372" i="3"/>
  <c r="ED352" i="3"/>
  <c r="EE352" i="3" s="1"/>
  <c r="ED336" i="3"/>
  <c r="EE336" i="3" s="1"/>
  <c r="ED367" i="3"/>
  <c r="EE367" i="3" s="1"/>
  <c r="ED351" i="3"/>
  <c r="EE351" i="3" s="1"/>
  <c r="ED335" i="3"/>
  <c r="EE335" i="3" s="1"/>
  <c r="ED370" i="3"/>
  <c r="EE370" i="3" s="1"/>
  <c r="ED354" i="3"/>
  <c r="EE354" i="3" s="1"/>
  <c r="ED338" i="3"/>
  <c r="EE338" i="3" s="1"/>
  <c r="ED322" i="3"/>
  <c r="EE322" i="3" s="1"/>
  <c r="ED333" i="3"/>
  <c r="EE333" i="3" s="1"/>
  <c r="ED344" i="3"/>
  <c r="EE344" i="3" s="1"/>
  <c r="ED359" i="3"/>
  <c r="EE359" i="3" s="1"/>
  <c r="ED346" i="3"/>
  <c r="EE346" i="3" s="1"/>
  <c r="ED365" i="3"/>
  <c r="EE365" i="3" s="1"/>
  <c r="DO364" i="3"/>
  <c r="ED348" i="3"/>
  <c r="EE348" i="3" s="1"/>
  <c r="ED332" i="3"/>
  <c r="EE332" i="3" s="1"/>
  <c r="ED363" i="3"/>
  <c r="EE363" i="3" s="1"/>
  <c r="ED347" i="3"/>
  <c r="EE347" i="3" s="1"/>
  <c r="ED331" i="3"/>
  <c r="EE331" i="3" s="1"/>
  <c r="ED366" i="3"/>
  <c r="EE366" i="3" s="1"/>
  <c r="ED350" i="3"/>
  <c r="EE350" i="3" s="1"/>
  <c r="ED334" i="3"/>
  <c r="EE334" i="3" s="1"/>
  <c r="EB360" i="3"/>
  <c r="EC360" i="3" s="1"/>
  <c r="DI327" i="3"/>
  <c r="DS327" i="3" s="1"/>
  <c r="EB330" i="3"/>
  <c r="EC330" i="3" s="1"/>
  <c r="ED356" i="3"/>
  <c r="EE356" i="3" s="1"/>
  <c r="DI340" i="3"/>
  <c r="DS340" i="3" s="1"/>
  <c r="DI324" i="3"/>
  <c r="DS324" i="3" s="1"/>
  <c r="EB371" i="3"/>
  <c r="EC371" i="3" s="1"/>
  <c r="EB355" i="3"/>
  <c r="EC355" i="3" s="1"/>
  <c r="EB339" i="3"/>
  <c r="EC339" i="3" s="1"/>
  <c r="EB323" i="3"/>
  <c r="EC323" i="3" s="1"/>
  <c r="DI358" i="3"/>
  <c r="DS358" i="3" s="1"/>
  <c r="DO342" i="3"/>
  <c r="DO326" i="3"/>
  <c r="DO349" i="3"/>
  <c r="DI328" i="3"/>
  <c r="DS328" i="3" s="1"/>
  <c r="EB343" i="3"/>
  <c r="EC343" i="3" s="1"/>
  <c r="DO362" i="3"/>
  <c r="DI352" i="3"/>
  <c r="DS352" i="3" s="1"/>
  <c r="EB367" i="3"/>
  <c r="EC367" i="3" s="1"/>
  <c r="EB335" i="3"/>
  <c r="EC335" i="3" s="1"/>
  <c r="DO354" i="3"/>
  <c r="DO338" i="3"/>
  <c r="DO333" i="3"/>
  <c r="EB365" i="3"/>
  <c r="EC365" i="3" s="1"/>
  <c r="ED364" i="3"/>
  <c r="EE364" i="3" s="1"/>
  <c r="DI348" i="3"/>
  <c r="DS348" i="3" s="1"/>
  <c r="DI332" i="3"/>
  <c r="DS332" i="3" s="1"/>
  <c r="EB363" i="3"/>
  <c r="EC363" i="3" s="1"/>
  <c r="EB331" i="3"/>
  <c r="EC331" i="3" s="1"/>
  <c r="DI366" i="3"/>
  <c r="DS366" i="3" s="1"/>
  <c r="DO334" i="3"/>
  <c r="EB358" i="3"/>
  <c r="EC358" i="3" s="1"/>
  <c r="DI342" i="3"/>
  <c r="DS342" i="3" s="1"/>
  <c r="DI326" i="3"/>
  <c r="DS326" i="3" s="1"/>
  <c r="EB349" i="3"/>
  <c r="EC349" i="3" s="1"/>
  <c r="EB328" i="3"/>
  <c r="EC328" i="3" s="1"/>
  <c r="DO343" i="3"/>
  <c r="DO335" i="3"/>
  <c r="EB333" i="3"/>
  <c r="EC333" i="3" s="1"/>
  <c r="DO365" i="3"/>
  <c r="DO366" i="3"/>
  <c r="DI297" i="3"/>
  <c r="DS297" i="3" s="1"/>
  <c r="ED281" i="3"/>
  <c r="EE281" i="3" s="1"/>
  <c r="EB249" i="3"/>
  <c r="EC249" i="3" s="1"/>
  <c r="EB217" i="3"/>
  <c r="EC217" i="3" s="1"/>
  <c r="EB201" i="3"/>
  <c r="EC201" i="3" s="1"/>
  <c r="EB185" i="3"/>
  <c r="EC185" i="3" s="1"/>
  <c r="EB169" i="3"/>
  <c r="EC169" i="3" s="1"/>
  <c r="EB153" i="3"/>
  <c r="EC153" i="3" s="1"/>
  <c r="EB137" i="3"/>
  <c r="EC137" i="3" s="1"/>
  <c r="EB121" i="3"/>
  <c r="EC121" i="3" s="1"/>
  <c r="EB105" i="3"/>
  <c r="EC105" i="3" s="1"/>
  <c r="EB89" i="3"/>
  <c r="EC89" i="3" s="1"/>
  <c r="EB57" i="3"/>
  <c r="EC57" i="3" s="1"/>
  <c r="EB25" i="3"/>
  <c r="EC25" i="3" s="1"/>
  <c r="DI73" i="3"/>
  <c r="DS73" i="3" s="1"/>
  <c r="EB297" i="3"/>
  <c r="EC297" i="3" s="1"/>
  <c r="DO265" i="3"/>
  <c r="DO233" i="3"/>
  <c r="DI41" i="3"/>
  <c r="DS41" i="3" s="1"/>
  <c r="DO319" i="3"/>
  <c r="DI315" i="3"/>
  <c r="DS315" i="3" s="1"/>
  <c r="DO303" i="3"/>
  <c r="DI299" i="3"/>
  <c r="DS299" i="3" s="1"/>
  <c r="DO287" i="3"/>
  <c r="DI283" i="3"/>
  <c r="DS283" i="3" s="1"/>
  <c r="DO271" i="3"/>
  <c r="DI267" i="3"/>
  <c r="DS267" i="3" s="1"/>
  <c r="DO255" i="3"/>
  <c r="DO251" i="3"/>
  <c r="DO239" i="3"/>
  <c r="DO235" i="3"/>
  <c r="DO223" i="3"/>
  <c r="DO219" i="3"/>
  <c r="DO207" i="3"/>
  <c r="DO203" i="3"/>
  <c r="DO191" i="3"/>
  <c r="DO187" i="3"/>
  <c r="DO175" i="3"/>
  <c r="DO171" i="3"/>
  <c r="DO159" i="3"/>
  <c r="DO155" i="3"/>
  <c r="DO143" i="3"/>
  <c r="DO139" i="3"/>
  <c r="DO127" i="3"/>
  <c r="DO123" i="3"/>
  <c r="DO111" i="3"/>
  <c r="DO107" i="3"/>
  <c r="DO95" i="3"/>
  <c r="DO91" i="3"/>
  <c r="DO79" i="3"/>
  <c r="DO75" i="3"/>
  <c r="DO63" i="3"/>
  <c r="DO59" i="3"/>
  <c r="DO47" i="3"/>
  <c r="DO43" i="3"/>
  <c r="DO31" i="3"/>
  <c r="DO27" i="3"/>
  <c r="DO15" i="3"/>
  <c r="ED313" i="3"/>
  <c r="EE313" i="3" s="1"/>
  <c r="EB281" i="3"/>
  <c r="EC281" i="3" s="1"/>
  <c r="DO249" i="3"/>
  <c r="DO217" i="3"/>
  <c r="DI201" i="3"/>
  <c r="DS201" i="3" s="1"/>
  <c r="DO185" i="3"/>
  <c r="DO169" i="3"/>
  <c r="DO153" i="3"/>
  <c r="DO137" i="3"/>
  <c r="DO121" i="3"/>
  <c r="DO105" i="3"/>
  <c r="DO89" i="3"/>
  <c r="DI57" i="3"/>
  <c r="DS57" i="3" s="1"/>
  <c r="DO25" i="3"/>
  <c r="DO73" i="3"/>
  <c r="DI313" i="3"/>
  <c r="DS313" i="3" s="1"/>
  <c r="DO297" i="3"/>
  <c r="DI265" i="3"/>
  <c r="DS265" i="3" s="1"/>
  <c r="DI233" i="3"/>
  <c r="DS233" i="3" s="1"/>
  <c r="DO41" i="3"/>
  <c r="DI319" i="3"/>
  <c r="DS319" i="3" s="1"/>
  <c r="DO315" i="3"/>
  <c r="DI303" i="3"/>
  <c r="DS303" i="3" s="1"/>
  <c r="DO299" i="3"/>
  <c r="DI287" i="3"/>
  <c r="DS287" i="3" s="1"/>
  <c r="DO283" i="3"/>
  <c r="DI271" i="3"/>
  <c r="DS271" i="3" s="1"/>
  <c r="DO267" i="3"/>
  <c r="DI255" i="3"/>
  <c r="DS255" i="3" s="1"/>
  <c r="DI251" i="3"/>
  <c r="DS251" i="3" s="1"/>
  <c r="DI239" i="3"/>
  <c r="DS239" i="3" s="1"/>
  <c r="DI235" i="3"/>
  <c r="DS235" i="3" s="1"/>
  <c r="DI223" i="3"/>
  <c r="DS223" i="3" s="1"/>
  <c r="DI219" i="3"/>
  <c r="DS219" i="3" s="1"/>
  <c r="DI207" i="3"/>
  <c r="DS207" i="3" s="1"/>
  <c r="DI203" i="3"/>
  <c r="DS203" i="3" s="1"/>
  <c r="DI191" i="3"/>
  <c r="DS191" i="3" s="1"/>
  <c r="DI187" i="3"/>
  <c r="DS187" i="3" s="1"/>
  <c r="DI175" i="3"/>
  <c r="DS175" i="3" s="1"/>
  <c r="DI171" i="3"/>
  <c r="DS171" i="3" s="1"/>
  <c r="DI159" i="3"/>
  <c r="DS159" i="3" s="1"/>
  <c r="DI155" i="3"/>
  <c r="DS155" i="3" s="1"/>
  <c r="DI143" i="3"/>
  <c r="DS143" i="3" s="1"/>
  <c r="DI139" i="3"/>
  <c r="DS139" i="3" s="1"/>
  <c r="DI127" i="3"/>
  <c r="DS127" i="3" s="1"/>
  <c r="DI123" i="3"/>
  <c r="DS123" i="3" s="1"/>
  <c r="DI111" i="3"/>
  <c r="DS111" i="3" s="1"/>
  <c r="DI107" i="3"/>
  <c r="DS107" i="3" s="1"/>
  <c r="DI95" i="3"/>
  <c r="DS95" i="3" s="1"/>
  <c r="DI91" i="3"/>
  <c r="DS91" i="3" s="1"/>
  <c r="DI79" i="3"/>
  <c r="DS79" i="3" s="1"/>
  <c r="DI75" i="3"/>
  <c r="DS75" i="3" s="1"/>
  <c r="DI63" i="3"/>
  <c r="DS63" i="3" s="1"/>
  <c r="DI59" i="3"/>
  <c r="DS59" i="3" s="1"/>
  <c r="DI47" i="3"/>
  <c r="DS47" i="3" s="1"/>
  <c r="DI43" i="3"/>
  <c r="DS43" i="3" s="1"/>
  <c r="DI31" i="3"/>
  <c r="DS31" i="3" s="1"/>
  <c r="DI27" i="3"/>
  <c r="DS27" i="3" s="1"/>
  <c r="DI15" i="3"/>
  <c r="DS15" i="3" s="1"/>
  <c r="ED297" i="3"/>
  <c r="EE297" i="3" s="1"/>
  <c r="EB265" i="3"/>
  <c r="EC265" i="3" s="1"/>
  <c r="EB233" i="3"/>
  <c r="EC233" i="3" s="1"/>
  <c r="EB41" i="3"/>
  <c r="EC41" i="3" s="1"/>
  <c r="EB319" i="3"/>
  <c r="EC319" i="3" s="1"/>
  <c r="EB315" i="3"/>
  <c r="EC315" i="3" s="1"/>
  <c r="EB303" i="3"/>
  <c r="EC303" i="3" s="1"/>
  <c r="EB299" i="3"/>
  <c r="EC299" i="3" s="1"/>
  <c r="EB287" i="3"/>
  <c r="EC287" i="3" s="1"/>
  <c r="EB283" i="3"/>
  <c r="EC283" i="3" s="1"/>
  <c r="EB271" i="3"/>
  <c r="EC271" i="3" s="1"/>
  <c r="EB267" i="3"/>
  <c r="EC267" i="3" s="1"/>
  <c r="EB255" i="3"/>
  <c r="EC255" i="3" s="1"/>
  <c r="EB251" i="3"/>
  <c r="EC251" i="3" s="1"/>
  <c r="EB239" i="3"/>
  <c r="EC239" i="3" s="1"/>
  <c r="EB235" i="3"/>
  <c r="EC235" i="3" s="1"/>
  <c r="EB223" i="3"/>
  <c r="EC223" i="3" s="1"/>
  <c r="EB219" i="3"/>
  <c r="EC219" i="3" s="1"/>
  <c r="EB207" i="3"/>
  <c r="EC207" i="3" s="1"/>
  <c r="EB203" i="3"/>
  <c r="EC203" i="3" s="1"/>
  <c r="EB187" i="3"/>
  <c r="EC187" i="3" s="1"/>
  <c r="EB175" i="3"/>
  <c r="EC175" i="3" s="1"/>
  <c r="EB171" i="3"/>
  <c r="EC171" i="3" s="1"/>
  <c r="EB159" i="3"/>
  <c r="EC159" i="3" s="1"/>
  <c r="EB155" i="3"/>
  <c r="EC155" i="3" s="1"/>
  <c r="EB143" i="3"/>
  <c r="EC143" i="3" s="1"/>
  <c r="EB139" i="3"/>
  <c r="EC139" i="3" s="1"/>
  <c r="EB127" i="3"/>
  <c r="EC127" i="3" s="1"/>
  <c r="EB111" i="3"/>
  <c r="EC111" i="3" s="1"/>
  <c r="EB107" i="3"/>
  <c r="EC107" i="3" s="1"/>
  <c r="EB95" i="3"/>
  <c r="EC95" i="3" s="1"/>
  <c r="EB91" i="3"/>
  <c r="EC91" i="3" s="1"/>
  <c r="EB79" i="3"/>
  <c r="EC79" i="3" s="1"/>
  <c r="EB63" i="3"/>
  <c r="EC63" i="3" s="1"/>
  <c r="EB59" i="3"/>
  <c r="EC59" i="3" s="1"/>
  <c r="EB47" i="3"/>
  <c r="EC47" i="3" s="1"/>
  <c r="EB31" i="3"/>
  <c r="EC31" i="3" s="1"/>
  <c r="EB27" i="3"/>
  <c r="EC27" i="3" s="1"/>
  <c r="EB11" i="3"/>
  <c r="EC11" i="3" s="1"/>
  <c r="EB313" i="3"/>
  <c r="EC313" i="3" s="1"/>
  <c r="DO281" i="3"/>
  <c r="DI249" i="3"/>
  <c r="DS249" i="3" s="1"/>
  <c r="DI217" i="3"/>
  <c r="DS217" i="3" s="1"/>
  <c r="DO201" i="3"/>
  <c r="DI185" i="3"/>
  <c r="DS185" i="3" s="1"/>
  <c r="DI169" i="3"/>
  <c r="DS169" i="3" s="1"/>
  <c r="DI153" i="3"/>
  <c r="DS153" i="3" s="1"/>
  <c r="DI137" i="3"/>
  <c r="DS137" i="3" s="1"/>
  <c r="DI121" i="3"/>
  <c r="DS121" i="3" s="1"/>
  <c r="DI105" i="3"/>
  <c r="DS105" i="3" s="1"/>
  <c r="DI89" i="3"/>
  <c r="DS89" i="3" s="1"/>
  <c r="DO57" i="3"/>
  <c r="DI25" i="3"/>
  <c r="DS25" i="3" s="1"/>
  <c r="ED73" i="3"/>
  <c r="EE73" i="3" s="1"/>
  <c r="ED9" i="3"/>
  <c r="EE9" i="3" s="1"/>
  <c r="DI281" i="3"/>
  <c r="DS281" i="3" s="1"/>
  <c r="ED265" i="3"/>
  <c r="EE265" i="3" s="1"/>
  <c r="ED233" i="3"/>
  <c r="EE233" i="3" s="1"/>
  <c r="ED41" i="3"/>
  <c r="EE41" i="3" s="1"/>
  <c r="ED319" i="3"/>
  <c r="EE319" i="3" s="1"/>
  <c r="ED315" i="3"/>
  <c r="EE315" i="3" s="1"/>
  <c r="ED303" i="3"/>
  <c r="EE303" i="3" s="1"/>
  <c r="ED299" i="3"/>
  <c r="EE299" i="3" s="1"/>
  <c r="ED287" i="3"/>
  <c r="EE287" i="3" s="1"/>
  <c r="ED283" i="3"/>
  <c r="EE283" i="3" s="1"/>
  <c r="ED271" i="3"/>
  <c r="EE271" i="3" s="1"/>
  <c r="ED267" i="3"/>
  <c r="EE267" i="3" s="1"/>
  <c r="ED255" i="3"/>
  <c r="EE255" i="3" s="1"/>
  <c r="ED251" i="3"/>
  <c r="EE251" i="3" s="1"/>
  <c r="ED239" i="3"/>
  <c r="EE239" i="3" s="1"/>
  <c r="ED235" i="3"/>
  <c r="EE235" i="3" s="1"/>
  <c r="ED223" i="3"/>
  <c r="EE223" i="3" s="1"/>
  <c r="ED219" i="3"/>
  <c r="EE219" i="3" s="1"/>
  <c r="ED207" i="3"/>
  <c r="EE207" i="3" s="1"/>
  <c r="ED203" i="3"/>
  <c r="EE203" i="3" s="1"/>
  <c r="ED191" i="3"/>
  <c r="EE191" i="3" s="1"/>
  <c r="ED187" i="3"/>
  <c r="EE187" i="3" s="1"/>
  <c r="ED175" i="3"/>
  <c r="EE175" i="3" s="1"/>
  <c r="ED171" i="3"/>
  <c r="EE171" i="3" s="1"/>
  <c r="ED159" i="3"/>
  <c r="EE159" i="3" s="1"/>
  <c r="ED155" i="3"/>
  <c r="EE155" i="3" s="1"/>
  <c r="ED143" i="3"/>
  <c r="EE143" i="3" s="1"/>
  <c r="ED139" i="3"/>
  <c r="EE139" i="3" s="1"/>
  <c r="ED127" i="3"/>
  <c r="EE127" i="3" s="1"/>
  <c r="ED123" i="3"/>
  <c r="EE123" i="3" s="1"/>
  <c r="ED111" i="3"/>
  <c r="EE111" i="3" s="1"/>
  <c r="ED107" i="3"/>
  <c r="EE107" i="3" s="1"/>
  <c r="ED95" i="3"/>
  <c r="EE95" i="3" s="1"/>
  <c r="ED91" i="3"/>
  <c r="EE91" i="3" s="1"/>
  <c r="ED79" i="3"/>
  <c r="EE79" i="3" s="1"/>
  <c r="ED75" i="3"/>
  <c r="EE75" i="3" s="1"/>
  <c r="ED63" i="3"/>
  <c r="EE63" i="3" s="1"/>
  <c r="ED59" i="3"/>
  <c r="EE59" i="3" s="1"/>
  <c r="ED47" i="3"/>
  <c r="EE47" i="3" s="1"/>
  <c r="ED43" i="3"/>
  <c r="EE43" i="3" s="1"/>
  <c r="ED31" i="3"/>
  <c r="EE31" i="3" s="1"/>
  <c r="ED27" i="3"/>
  <c r="EE27" i="3" s="1"/>
  <c r="ED15" i="3"/>
  <c r="EE15" i="3" s="1"/>
  <c r="ED11" i="3"/>
  <c r="EE11" i="3" s="1"/>
  <c r="DO313" i="3"/>
  <c r="ED249" i="3"/>
  <c r="EE249" i="3" s="1"/>
  <c r="ED217" i="3"/>
  <c r="EE217" i="3" s="1"/>
  <c r="ED201" i="3"/>
  <c r="EE201" i="3" s="1"/>
  <c r="ED185" i="3"/>
  <c r="EE185" i="3" s="1"/>
  <c r="ED169" i="3"/>
  <c r="EE169" i="3" s="1"/>
  <c r="ED153" i="3"/>
  <c r="EE153" i="3" s="1"/>
  <c r="ED137" i="3"/>
  <c r="EE137" i="3" s="1"/>
  <c r="ED121" i="3"/>
  <c r="EE121" i="3" s="1"/>
  <c r="ED105" i="3"/>
  <c r="EE105" i="3" s="1"/>
  <c r="ED89" i="3"/>
  <c r="EE89" i="3" s="1"/>
  <c r="ED57" i="3"/>
  <c r="EE57" i="3" s="1"/>
  <c r="ED25" i="3"/>
  <c r="EE25" i="3" s="1"/>
  <c r="EB73" i="3"/>
  <c r="EC73" i="3" s="1"/>
  <c r="EB9" i="3"/>
  <c r="EC9" i="3" s="1"/>
  <c r="EB191" i="3"/>
  <c r="EC191" i="3" s="1"/>
  <c r="EB123" i="3"/>
  <c r="EC123" i="3" s="1"/>
  <c r="EB75" i="3"/>
  <c r="EC75" i="3" s="1"/>
  <c r="EB43" i="3"/>
  <c r="EC43" i="3" s="1"/>
  <c r="EB15" i="3"/>
  <c r="EC15" i="3" s="1"/>
  <c r="ED26" i="3"/>
  <c r="EE26" i="3" s="1"/>
  <c r="ED74" i="3"/>
  <c r="EE74" i="3" s="1"/>
  <c r="ED122" i="3"/>
  <c r="EE122" i="3" s="1"/>
  <c r="ED170" i="3"/>
  <c r="EE170" i="3" s="1"/>
  <c r="ED218" i="3"/>
  <c r="EE218" i="3" s="1"/>
  <c r="ED266" i="3"/>
  <c r="EE266" i="3" s="1"/>
  <c r="ED314" i="3"/>
  <c r="EE314" i="3" s="1"/>
  <c r="ED67" i="3"/>
  <c r="EE67" i="3" s="1"/>
  <c r="ED163" i="3"/>
  <c r="EE163" i="3" s="1"/>
  <c r="ED259" i="3"/>
  <c r="EE259" i="3" s="1"/>
  <c r="DO40" i="3"/>
  <c r="DO72" i="3"/>
  <c r="ED120" i="3"/>
  <c r="EE120" i="3" s="1"/>
  <c r="EB168" i="3"/>
  <c r="EC168" i="3" s="1"/>
  <c r="ED216" i="3"/>
  <c r="EE216" i="3" s="1"/>
  <c r="ED264" i="3"/>
  <c r="EE264" i="3" s="1"/>
  <c r="ED312" i="3"/>
  <c r="EE312" i="3" s="1"/>
  <c r="ED109" i="3"/>
  <c r="EE109" i="3" s="1"/>
  <c r="ED237" i="3"/>
  <c r="EE237" i="3" s="1"/>
  <c r="ED97" i="3"/>
  <c r="EE97" i="3" s="1"/>
  <c r="ED225" i="3"/>
  <c r="EE225" i="3" s="1"/>
  <c r="ED53" i="3"/>
  <c r="EE53" i="3" s="1"/>
  <c r="ED117" i="3"/>
  <c r="EE117" i="3" s="1"/>
  <c r="ED181" i="3"/>
  <c r="EE181" i="3" s="1"/>
  <c r="ED245" i="3"/>
  <c r="EE245" i="3" s="1"/>
  <c r="ED309" i="3"/>
  <c r="EE309" i="3" s="1"/>
  <c r="ED14" i="3"/>
  <c r="EE14" i="3" s="1"/>
  <c r="ED30" i="3"/>
  <c r="EE30" i="3" s="1"/>
  <c r="ED46" i="3"/>
  <c r="EE46" i="3" s="1"/>
  <c r="ED62" i="3"/>
  <c r="EE62" i="3" s="1"/>
  <c r="ED78" i="3"/>
  <c r="EE78" i="3" s="1"/>
  <c r="ED94" i="3"/>
  <c r="EE94" i="3" s="1"/>
  <c r="ED110" i="3"/>
  <c r="EE110" i="3" s="1"/>
  <c r="ED126" i="3"/>
  <c r="EE126" i="3" s="1"/>
  <c r="ED142" i="3"/>
  <c r="EE142" i="3" s="1"/>
  <c r="ED158" i="3"/>
  <c r="EE158" i="3" s="1"/>
  <c r="ED174" i="3"/>
  <c r="EE174" i="3" s="1"/>
  <c r="ED190" i="3"/>
  <c r="EE190" i="3" s="1"/>
  <c r="ED206" i="3"/>
  <c r="EE206" i="3" s="1"/>
  <c r="ED222" i="3"/>
  <c r="EE222" i="3" s="1"/>
  <c r="ED238" i="3"/>
  <c r="EE238" i="3" s="1"/>
  <c r="ED254" i="3"/>
  <c r="EE254" i="3" s="1"/>
  <c r="ED270" i="3"/>
  <c r="EE270" i="3" s="1"/>
  <c r="ED286" i="3"/>
  <c r="EE286" i="3" s="1"/>
  <c r="ED302" i="3"/>
  <c r="EE302" i="3" s="1"/>
  <c r="ED318" i="3"/>
  <c r="EE318" i="3" s="1"/>
  <c r="ED39" i="3"/>
  <c r="EE39" i="3" s="1"/>
  <c r="ED71" i="3"/>
  <c r="EE71" i="3" s="1"/>
  <c r="ED103" i="3"/>
  <c r="EE103" i="3" s="1"/>
  <c r="ED135" i="3"/>
  <c r="EE135" i="3" s="1"/>
  <c r="ED167" i="3"/>
  <c r="EE167" i="3" s="1"/>
  <c r="ED199" i="3"/>
  <c r="EE199" i="3" s="1"/>
  <c r="ED231" i="3"/>
  <c r="EE231" i="3" s="1"/>
  <c r="ED263" i="3"/>
  <c r="EE263" i="3" s="1"/>
  <c r="ED295" i="3"/>
  <c r="EE295" i="3" s="1"/>
  <c r="ED12" i="3"/>
  <c r="EE12" i="3" s="1"/>
  <c r="ED28" i="3"/>
  <c r="EE28" i="3" s="1"/>
  <c r="ED44" i="3"/>
  <c r="EE44" i="3" s="1"/>
  <c r="ED60" i="3"/>
  <c r="EE60" i="3" s="1"/>
  <c r="ED76" i="3"/>
  <c r="EE76" i="3" s="1"/>
  <c r="ED92" i="3"/>
  <c r="EE92" i="3" s="1"/>
  <c r="ED108" i="3"/>
  <c r="EE108" i="3" s="1"/>
  <c r="ED124" i="3"/>
  <c r="EE124" i="3" s="1"/>
  <c r="ED140" i="3"/>
  <c r="EE140" i="3" s="1"/>
  <c r="ED156" i="3"/>
  <c r="EE156" i="3" s="1"/>
  <c r="ED172" i="3"/>
  <c r="EE172" i="3" s="1"/>
  <c r="ED188" i="3"/>
  <c r="EE188" i="3" s="1"/>
  <c r="ED204" i="3"/>
  <c r="EE204" i="3" s="1"/>
  <c r="ED220" i="3"/>
  <c r="EE220" i="3" s="1"/>
  <c r="ED236" i="3"/>
  <c r="EE236" i="3" s="1"/>
  <c r="EB252" i="3"/>
  <c r="EC252" i="3" s="1"/>
  <c r="EB268" i="3"/>
  <c r="EC268" i="3" s="1"/>
  <c r="EB284" i="3"/>
  <c r="EC284" i="3" s="1"/>
  <c r="EB300" i="3"/>
  <c r="EC300" i="3" s="1"/>
  <c r="EB316" i="3"/>
  <c r="EC316" i="3" s="1"/>
  <c r="ED61" i="3"/>
  <c r="EE61" i="3" s="1"/>
  <c r="ED125" i="3"/>
  <c r="EE125" i="3" s="1"/>
  <c r="ED189" i="3"/>
  <c r="EE189" i="3" s="1"/>
  <c r="ED253" i="3"/>
  <c r="EE253" i="3" s="1"/>
  <c r="ED317" i="3"/>
  <c r="EE317" i="3" s="1"/>
  <c r="ED49" i="3"/>
  <c r="EE49" i="3" s="1"/>
  <c r="ED113" i="3"/>
  <c r="EE113" i="3" s="1"/>
  <c r="ED177" i="3"/>
  <c r="EE177" i="3" s="1"/>
  <c r="ED241" i="3"/>
  <c r="EE241" i="3" s="1"/>
  <c r="ED305" i="3"/>
  <c r="EE305" i="3" s="1"/>
  <c r="ED69" i="3"/>
  <c r="EE69" i="3" s="1"/>
  <c r="ED133" i="3"/>
  <c r="EE133" i="3" s="1"/>
  <c r="ED197" i="3"/>
  <c r="EE197" i="3" s="1"/>
  <c r="ED261" i="3"/>
  <c r="EE261" i="3" s="1"/>
  <c r="ED42" i="3"/>
  <c r="EE42" i="3" s="1"/>
  <c r="ED90" i="3"/>
  <c r="EE90" i="3" s="1"/>
  <c r="ED154" i="3"/>
  <c r="EE154" i="3" s="1"/>
  <c r="ED202" i="3"/>
  <c r="EE202" i="3" s="1"/>
  <c r="ED234" i="3"/>
  <c r="EE234" i="3" s="1"/>
  <c r="ED298" i="3"/>
  <c r="EE298" i="3" s="1"/>
  <c r="ED99" i="3"/>
  <c r="EE99" i="3" s="1"/>
  <c r="ED195" i="3"/>
  <c r="EE195" i="3" s="1"/>
  <c r="ED291" i="3"/>
  <c r="EE291" i="3" s="1"/>
  <c r="ED24" i="3"/>
  <c r="EE24" i="3" s="1"/>
  <c r="ED88" i="3"/>
  <c r="EE88" i="3" s="1"/>
  <c r="DO136" i="3"/>
  <c r="ED184" i="3"/>
  <c r="EE184" i="3" s="1"/>
  <c r="EB232" i="3"/>
  <c r="EC232" i="3" s="1"/>
  <c r="ED280" i="3"/>
  <c r="EE280" i="3" s="1"/>
  <c r="ED161" i="3"/>
  <c r="EE161" i="3" s="1"/>
  <c r="EB18" i="3"/>
  <c r="EC18" i="3" s="1"/>
  <c r="ED34" i="3"/>
  <c r="EE34" i="3" s="1"/>
  <c r="ED50" i="3"/>
  <c r="EE50" i="3" s="1"/>
  <c r="ED66" i="3"/>
  <c r="EE66" i="3" s="1"/>
  <c r="ED82" i="3"/>
  <c r="EE82" i="3" s="1"/>
  <c r="ED98" i="3"/>
  <c r="EE98" i="3" s="1"/>
  <c r="ED114" i="3"/>
  <c r="EE114" i="3" s="1"/>
  <c r="ED130" i="3"/>
  <c r="EE130" i="3" s="1"/>
  <c r="ED146" i="3"/>
  <c r="EE146" i="3" s="1"/>
  <c r="ED162" i="3"/>
  <c r="EE162" i="3" s="1"/>
  <c r="ED178" i="3"/>
  <c r="EE178" i="3" s="1"/>
  <c r="ED194" i="3"/>
  <c r="EE194" i="3" s="1"/>
  <c r="ED210" i="3"/>
  <c r="EE210" i="3" s="1"/>
  <c r="ED226" i="3"/>
  <c r="EE226" i="3" s="1"/>
  <c r="ED242" i="3"/>
  <c r="EE242" i="3" s="1"/>
  <c r="ED258" i="3"/>
  <c r="EE258" i="3" s="1"/>
  <c r="ED274" i="3"/>
  <c r="EE274" i="3" s="1"/>
  <c r="ED290" i="3"/>
  <c r="EE290" i="3" s="1"/>
  <c r="ED306" i="3"/>
  <c r="EE306" i="3" s="1"/>
  <c r="ED373" i="3"/>
  <c r="EE373" i="3" s="1"/>
  <c r="ED19" i="3"/>
  <c r="EE19" i="3" s="1"/>
  <c r="ED51" i="3"/>
  <c r="EE51" i="3" s="1"/>
  <c r="ED83" i="3"/>
  <c r="EE83" i="3" s="1"/>
  <c r="ED115" i="3"/>
  <c r="EE115" i="3" s="1"/>
  <c r="ED147" i="3"/>
  <c r="EE147" i="3" s="1"/>
  <c r="ED179" i="3"/>
  <c r="EE179" i="3" s="1"/>
  <c r="ED211" i="3"/>
  <c r="EE211" i="3" s="1"/>
  <c r="ED243" i="3"/>
  <c r="EE243" i="3" s="1"/>
  <c r="ED275" i="3"/>
  <c r="EE275" i="3" s="1"/>
  <c r="ED307" i="3"/>
  <c r="EE307" i="3" s="1"/>
  <c r="ED16" i="3"/>
  <c r="EE16" i="3" s="1"/>
  <c r="ED32" i="3"/>
  <c r="EE32" i="3" s="1"/>
  <c r="ED48" i="3"/>
  <c r="EE48" i="3" s="1"/>
  <c r="ED64" i="3"/>
  <c r="EE64" i="3" s="1"/>
  <c r="ED80" i="3"/>
  <c r="EE80" i="3" s="1"/>
  <c r="ED96" i="3"/>
  <c r="EE96" i="3" s="1"/>
  <c r="ED112" i="3"/>
  <c r="EE112" i="3" s="1"/>
  <c r="ED128" i="3"/>
  <c r="EE128" i="3" s="1"/>
  <c r="ED144" i="3"/>
  <c r="EE144" i="3" s="1"/>
  <c r="ED160" i="3"/>
  <c r="EE160" i="3" s="1"/>
  <c r="ED176" i="3"/>
  <c r="EE176" i="3" s="1"/>
  <c r="ED192" i="3"/>
  <c r="EE192" i="3" s="1"/>
  <c r="ED208" i="3"/>
  <c r="EE208" i="3" s="1"/>
  <c r="ED224" i="3"/>
  <c r="EE224" i="3" s="1"/>
  <c r="ED240" i="3"/>
  <c r="EE240" i="3" s="1"/>
  <c r="ED256" i="3"/>
  <c r="EE256" i="3" s="1"/>
  <c r="ED272" i="3"/>
  <c r="EE272" i="3" s="1"/>
  <c r="ED288" i="3"/>
  <c r="EE288" i="3" s="1"/>
  <c r="ED304" i="3"/>
  <c r="EE304" i="3" s="1"/>
  <c r="ED320" i="3"/>
  <c r="EE320" i="3" s="1"/>
  <c r="ED13" i="3"/>
  <c r="EE13" i="3" s="1"/>
  <c r="ED77" i="3"/>
  <c r="EE77" i="3" s="1"/>
  <c r="ED141" i="3"/>
  <c r="EE141" i="3" s="1"/>
  <c r="ED205" i="3"/>
  <c r="EE205" i="3" s="1"/>
  <c r="ED269" i="3"/>
  <c r="EE269" i="3" s="1"/>
  <c r="ED65" i="3"/>
  <c r="EE65" i="3" s="1"/>
  <c r="ED129" i="3"/>
  <c r="EE129" i="3" s="1"/>
  <c r="ED193" i="3"/>
  <c r="EE193" i="3" s="1"/>
  <c r="ED257" i="3"/>
  <c r="EE257" i="3" s="1"/>
  <c r="ED21" i="3"/>
  <c r="EE21" i="3" s="1"/>
  <c r="ED85" i="3"/>
  <c r="EE85" i="3" s="1"/>
  <c r="ED149" i="3"/>
  <c r="EE149" i="3" s="1"/>
  <c r="ED213" i="3"/>
  <c r="EE213" i="3" s="1"/>
  <c r="ED277" i="3"/>
  <c r="EE277" i="3" s="1"/>
  <c r="ED10" i="3"/>
  <c r="EE10" i="3" s="1"/>
  <c r="ED58" i="3"/>
  <c r="EE58" i="3" s="1"/>
  <c r="ED106" i="3"/>
  <c r="EE106" i="3" s="1"/>
  <c r="ED138" i="3"/>
  <c r="EE138" i="3" s="1"/>
  <c r="ED186" i="3"/>
  <c r="EE186" i="3" s="1"/>
  <c r="ED250" i="3"/>
  <c r="EE250" i="3" s="1"/>
  <c r="ED282" i="3"/>
  <c r="EE282" i="3" s="1"/>
  <c r="ED35" i="3"/>
  <c r="EE35" i="3" s="1"/>
  <c r="ED131" i="3"/>
  <c r="EE131" i="3" s="1"/>
  <c r="ED227" i="3"/>
  <c r="EE227" i="3" s="1"/>
  <c r="ED678" i="3"/>
  <c r="EE678" i="3" s="1"/>
  <c r="ED8" i="3"/>
  <c r="EE8" i="3" s="1"/>
  <c r="ED56" i="3"/>
  <c r="EE56" i="3" s="1"/>
  <c r="DO104" i="3"/>
  <c r="ED152" i="3"/>
  <c r="EE152" i="3" s="1"/>
  <c r="EB200" i="3"/>
  <c r="EC200" i="3" s="1"/>
  <c r="ED248" i="3"/>
  <c r="EE248" i="3" s="1"/>
  <c r="ED296" i="3"/>
  <c r="EE296" i="3" s="1"/>
  <c r="ED45" i="3"/>
  <c r="EE45" i="3" s="1"/>
  <c r="ED173" i="3"/>
  <c r="EE173" i="3" s="1"/>
  <c r="ED301" i="3"/>
  <c r="EE301" i="3" s="1"/>
  <c r="ED33" i="3"/>
  <c r="EE33" i="3" s="1"/>
  <c r="ED289" i="3"/>
  <c r="EE289" i="3" s="1"/>
  <c r="ED22" i="3"/>
  <c r="EE22" i="3" s="1"/>
  <c r="ED38" i="3"/>
  <c r="EE38" i="3" s="1"/>
  <c r="ED54" i="3"/>
  <c r="EE54" i="3" s="1"/>
  <c r="ED70" i="3"/>
  <c r="EE70" i="3" s="1"/>
  <c r="ED86" i="3"/>
  <c r="EE86" i="3" s="1"/>
  <c r="ED102" i="3"/>
  <c r="EE102" i="3" s="1"/>
  <c r="ED118" i="3"/>
  <c r="EE118" i="3" s="1"/>
  <c r="ED134" i="3"/>
  <c r="EE134" i="3" s="1"/>
  <c r="ED150" i="3"/>
  <c r="EE150" i="3" s="1"/>
  <c r="ED166" i="3"/>
  <c r="EE166" i="3" s="1"/>
  <c r="ED182" i="3"/>
  <c r="EE182" i="3" s="1"/>
  <c r="ED198" i="3"/>
  <c r="EE198" i="3" s="1"/>
  <c r="ED214" i="3"/>
  <c r="EE214" i="3" s="1"/>
  <c r="ED230" i="3"/>
  <c r="EE230" i="3" s="1"/>
  <c r="ED246" i="3"/>
  <c r="EE246" i="3" s="1"/>
  <c r="ED262" i="3"/>
  <c r="EE262" i="3" s="1"/>
  <c r="ED278" i="3"/>
  <c r="EE278" i="3" s="1"/>
  <c r="ED294" i="3"/>
  <c r="EE294" i="3" s="1"/>
  <c r="ED310" i="3"/>
  <c r="EE310" i="3" s="1"/>
  <c r="ED23" i="3"/>
  <c r="EE23" i="3" s="1"/>
  <c r="ED55" i="3"/>
  <c r="EE55" i="3" s="1"/>
  <c r="ED87" i="3"/>
  <c r="EE87" i="3" s="1"/>
  <c r="ED119" i="3"/>
  <c r="EE119" i="3" s="1"/>
  <c r="ED151" i="3"/>
  <c r="EE151" i="3" s="1"/>
  <c r="ED183" i="3"/>
  <c r="EE183" i="3" s="1"/>
  <c r="ED215" i="3"/>
  <c r="EE215" i="3" s="1"/>
  <c r="ED247" i="3"/>
  <c r="EE247" i="3" s="1"/>
  <c r="ED279" i="3"/>
  <c r="EE279" i="3" s="1"/>
  <c r="ED311" i="3"/>
  <c r="EE311" i="3" s="1"/>
  <c r="ED20" i="3"/>
  <c r="EE20" i="3" s="1"/>
  <c r="ED36" i="3"/>
  <c r="EE36" i="3" s="1"/>
  <c r="ED52" i="3"/>
  <c r="EE52" i="3" s="1"/>
  <c r="ED68" i="3"/>
  <c r="EE68" i="3" s="1"/>
  <c r="ED84" i="3"/>
  <c r="EE84" i="3" s="1"/>
  <c r="ED100" i="3"/>
  <c r="EE100" i="3" s="1"/>
  <c r="ED116" i="3"/>
  <c r="EE116" i="3" s="1"/>
  <c r="ED132" i="3"/>
  <c r="EE132" i="3" s="1"/>
  <c r="ED148" i="3"/>
  <c r="EE148" i="3" s="1"/>
  <c r="ED164" i="3"/>
  <c r="EE164" i="3" s="1"/>
  <c r="ED180" i="3"/>
  <c r="EE180" i="3" s="1"/>
  <c r="ED196" i="3"/>
  <c r="EE196" i="3" s="1"/>
  <c r="ED212" i="3"/>
  <c r="EE212" i="3" s="1"/>
  <c r="ED228" i="3"/>
  <c r="EE228" i="3" s="1"/>
  <c r="ED244" i="3"/>
  <c r="EE244" i="3" s="1"/>
  <c r="ED260" i="3"/>
  <c r="EE260" i="3" s="1"/>
  <c r="ED276" i="3"/>
  <c r="EE276" i="3" s="1"/>
  <c r="ED292" i="3"/>
  <c r="EE292" i="3" s="1"/>
  <c r="ED308" i="3"/>
  <c r="EE308" i="3" s="1"/>
  <c r="ED29" i="3"/>
  <c r="EE29" i="3" s="1"/>
  <c r="ED93" i="3"/>
  <c r="EE93" i="3" s="1"/>
  <c r="ED157" i="3"/>
  <c r="EE157" i="3" s="1"/>
  <c r="ED221" i="3"/>
  <c r="EE221" i="3" s="1"/>
  <c r="ED285" i="3"/>
  <c r="EE285" i="3" s="1"/>
  <c r="ED17" i="3"/>
  <c r="EE17" i="3" s="1"/>
  <c r="ED81" i="3"/>
  <c r="EE81" i="3" s="1"/>
  <c r="ED145" i="3"/>
  <c r="EE145" i="3" s="1"/>
  <c r="ED209" i="3"/>
  <c r="EE209" i="3" s="1"/>
  <c r="ED273" i="3"/>
  <c r="EE273" i="3" s="1"/>
  <c r="ED37" i="3"/>
  <c r="EE37" i="3" s="1"/>
  <c r="ED101" i="3"/>
  <c r="EE101" i="3" s="1"/>
  <c r="ED165" i="3"/>
  <c r="EE165" i="3" s="1"/>
  <c r="ED229" i="3"/>
  <c r="EE229" i="3" s="1"/>
  <c r="ED293" i="3"/>
  <c r="EE293" i="3" s="1"/>
  <c r="EB26" i="3"/>
  <c r="EC26" i="3" s="1"/>
  <c r="EB74" i="3"/>
  <c r="EC74" i="3" s="1"/>
  <c r="EB122" i="3"/>
  <c r="EC122" i="3" s="1"/>
  <c r="EB170" i="3"/>
  <c r="EC170" i="3" s="1"/>
  <c r="EB218" i="3"/>
  <c r="EC218" i="3" s="1"/>
  <c r="EB266" i="3"/>
  <c r="EC266" i="3" s="1"/>
  <c r="EB314" i="3"/>
  <c r="EC314" i="3" s="1"/>
  <c r="EB67" i="3"/>
  <c r="EC67" i="3" s="1"/>
  <c r="EB163" i="3"/>
  <c r="EC163" i="3" s="1"/>
  <c r="EB259" i="3"/>
  <c r="EC259" i="3" s="1"/>
  <c r="DI40" i="3"/>
  <c r="DS40" i="3" s="1"/>
  <c r="ED72" i="3"/>
  <c r="EE72" i="3" s="1"/>
  <c r="DO120" i="3"/>
  <c r="DO168" i="3"/>
  <c r="EB216" i="3"/>
  <c r="EC216" i="3" s="1"/>
  <c r="EB264" i="3"/>
  <c r="EC264" i="3" s="1"/>
  <c r="EB312" i="3"/>
  <c r="EC312" i="3" s="1"/>
  <c r="EB109" i="3"/>
  <c r="EC109" i="3" s="1"/>
  <c r="DO237" i="3"/>
  <c r="EB97" i="3"/>
  <c r="EC97" i="3" s="1"/>
  <c r="EB225" i="3"/>
  <c r="EC225" i="3" s="1"/>
  <c r="EB53" i="3"/>
  <c r="EC53" i="3" s="1"/>
  <c r="EB117" i="3"/>
  <c r="EC117" i="3" s="1"/>
  <c r="EB181" i="3"/>
  <c r="EC181" i="3" s="1"/>
  <c r="EB245" i="3"/>
  <c r="EC245" i="3" s="1"/>
  <c r="EB309" i="3"/>
  <c r="EC309" i="3" s="1"/>
  <c r="DO14" i="3"/>
  <c r="DO30" i="3"/>
  <c r="DO46" i="3"/>
  <c r="DO62" i="3"/>
  <c r="DO78" i="3"/>
  <c r="DO94" i="3"/>
  <c r="DO110" i="3"/>
  <c r="DO126" i="3"/>
  <c r="DO142" i="3"/>
  <c r="EB158" i="3"/>
  <c r="EC158" i="3" s="1"/>
  <c r="EB174" i="3"/>
  <c r="EC174" i="3" s="1"/>
  <c r="EB190" i="3"/>
  <c r="EC190" i="3" s="1"/>
  <c r="EB206" i="3"/>
  <c r="EC206" i="3" s="1"/>
  <c r="EB222" i="3"/>
  <c r="EC222" i="3" s="1"/>
  <c r="EB238" i="3"/>
  <c r="EC238" i="3" s="1"/>
  <c r="EB254" i="3"/>
  <c r="EC254" i="3" s="1"/>
  <c r="EB270" i="3"/>
  <c r="EC270" i="3" s="1"/>
  <c r="EB286" i="3"/>
  <c r="EC286" i="3" s="1"/>
  <c r="EB302" i="3"/>
  <c r="EC302" i="3" s="1"/>
  <c r="EB318" i="3"/>
  <c r="EC318" i="3" s="1"/>
  <c r="EB39" i="3"/>
  <c r="EC39" i="3" s="1"/>
  <c r="EB71" i="3"/>
  <c r="EC71" i="3" s="1"/>
  <c r="EB103" i="3"/>
  <c r="EC103" i="3" s="1"/>
  <c r="EB135" i="3"/>
  <c r="EC135" i="3" s="1"/>
  <c r="EB167" i="3"/>
  <c r="EC167" i="3" s="1"/>
  <c r="EB199" i="3"/>
  <c r="EC199" i="3" s="1"/>
  <c r="EB231" i="3"/>
  <c r="EC231" i="3" s="1"/>
  <c r="EB263" i="3"/>
  <c r="EC263" i="3" s="1"/>
  <c r="EB295" i="3"/>
  <c r="EC295" i="3" s="1"/>
  <c r="EB12" i="3"/>
  <c r="EC12" i="3" s="1"/>
  <c r="EB28" i="3"/>
  <c r="EC28" i="3" s="1"/>
  <c r="EB44" i="3"/>
  <c r="EC44" i="3" s="1"/>
  <c r="EB60" i="3"/>
  <c r="EC60" i="3" s="1"/>
  <c r="EB76" i="3"/>
  <c r="EC76" i="3" s="1"/>
  <c r="EB92" i="3"/>
  <c r="EC92" i="3" s="1"/>
  <c r="EB108" i="3"/>
  <c r="EC108" i="3" s="1"/>
  <c r="EB124" i="3"/>
  <c r="EC124" i="3" s="1"/>
  <c r="EB140" i="3"/>
  <c r="EC140" i="3" s="1"/>
  <c r="EB156" i="3"/>
  <c r="EC156" i="3" s="1"/>
  <c r="EB172" i="3"/>
  <c r="EC172" i="3" s="1"/>
  <c r="EB188" i="3"/>
  <c r="EC188" i="3" s="1"/>
  <c r="EB204" i="3"/>
  <c r="EC204" i="3" s="1"/>
  <c r="EB220" i="3"/>
  <c r="EC220" i="3" s="1"/>
  <c r="EB236" i="3"/>
  <c r="EC236" i="3" s="1"/>
  <c r="DO252" i="3"/>
  <c r="DO268" i="3"/>
  <c r="ED284" i="3"/>
  <c r="EE284" i="3" s="1"/>
  <c r="DO300" i="3"/>
  <c r="DO316" i="3"/>
  <c r="EB61" i="3"/>
  <c r="EC61" i="3" s="1"/>
  <c r="EB125" i="3"/>
  <c r="EC125" i="3" s="1"/>
  <c r="DO189" i="3"/>
  <c r="DO253" i="3"/>
  <c r="DO317" i="3"/>
  <c r="EB49" i="3"/>
  <c r="EC49" i="3" s="1"/>
  <c r="EB113" i="3"/>
  <c r="EC113" i="3" s="1"/>
  <c r="DI177" i="3"/>
  <c r="DS177" i="3" s="1"/>
  <c r="DI241" i="3"/>
  <c r="DS241" i="3" s="1"/>
  <c r="DO305" i="3"/>
  <c r="EB69" i="3"/>
  <c r="EC69" i="3" s="1"/>
  <c r="EB133" i="3"/>
  <c r="EC133" i="3" s="1"/>
  <c r="EB197" i="3"/>
  <c r="EC197" i="3" s="1"/>
  <c r="EB261" i="3"/>
  <c r="EC261" i="3" s="1"/>
  <c r="EB42" i="3"/>
  <c r="EC42" i="3" s="1"/>
  <c r="EB90" i="3"/>
  <c r="EC90" i="3" s="1"/>
  <c r="EB154" i="3"/>
  <c r="EC154" i="3" s="1"/>
  <c r="EB202" i="3"/>
  <c r="EC202" i="3" s="1"/>
  <c r="EB234" i="3"/>
  <c r="EC234" i="3" s="1"/>
  <c r="EB298" i="3"/>
  <c r="EC298" i="3" s="1"/>
  <c r="EB99" i="3"/>
  <c r="EC99" i="3" s="1"/>
  <c r="EB195" i="3"/>
  <c r="EC195" i="3" s="1"/>
  <c r="EB291" i="3"/>
  <c r="EC291" i="3" s="1"/>
  <c r="DO24" i="3"/>
  <c r="DO88" i="3"/>
  <c r="DI136" i="3"/>
  <c r="DS136" i="3" s="1"/>
  <c r="DO26" i="3"/>
  <c r="DO74" i="3"/>
  <c r="DO122" i="3"/>
  <c r="DO170" i="3"/>
  <c r="DO218" i="3"/>
  <c r="DO266" i="3"/>
  <c r="DO314" i="3"/>
  <c r="DO67" i="3"/>
  <c r="DO163" i="3"/>
  <c r="DO259" i="3"/>
  <c r="EB40" i="3"/>
  <c r="EC40" i="3" s="1"/>
  <c r="DI72" i="3"/>
  <c r="DS72" i="3" s="1"/>
  <c r="EB120" i="3"/>
  <c r="EC120" i="3" s="1"/>
  <c r="DI168" i="3"/>
  <c r="DS168" i="3" s="1"/>
  <c r="DO216" i="3"/>
  <c r="DO264" i="3"/>
  <c r="DO312" i="3"/>
  <c r="DO109" i="3"/>
  <c r="EB237" i="3"/>
  <c r="EC237" i="3" s="1"/>
  <c r="DO97" i="3"/>
  <c r="DO225" i="3"/>
  <c r="DO53" i="3"/>
  <c r="DO117" i="3"/>
  <c r="DO181" i="3"/>
  <c r="DO245" i="3"/>
  <c r="DO309" i="3"/>
  <c r="EB14" i="3"/>
  <c r="EC14" i="3" s="1"/>
  <c r="EB30" i="3"/>
  <c r="EC30" i="3" s="1"/>
  <c r="EB46" i="3"/>
  <c r="EC46" i="3" s="1"/>
  <c r="EB62" i="3"/>
  <c r="EC62" i="3" s="1"/>
  <c r="EB78" i="3"/>
  <c r="EC78" i="3" s="1"/>
  <c r="EB94" i="3"/>
  <c r="EC94" i="3" s="1"/>
  <c r="EB110" i="3"/>
  <c r="EC110" i="3" s="1"/>
  <c r="EB126" i="3"/>
  <c r="EC126" i="3" s="1"/>
  <c r="EB142" i="3"/>
  <c r="EC142" i="3" s="1"/>
  <c r="DO158" i="3"/>
  <c r="DO174" i="3"/>
  <c r="DO190" i="3"/>
  <c r="DI26" i="3"/>
  <c r="DS26" i="3" s="1"/>
  <c r="DI218" i="3"/>
  <c r="DS218" i="3" s="1"/>
  <c r="DI163" i="3"/>
  <c r="DS163" i="3" s="1"/>
  <c r="DI120" i="3"/>
  <c r="DS120" i="3" s="1"/>
  <c r="DI312" i="3"/>
  <c r="DS312" i="3" s="1"/>
  <c r="DI225" i="3"/>
  <c r="DS225" i="3" s="1"/>
  <c r="DI245" i="3"/>
  <c r="DS245" i="3" s="1"/>
  <c r="DI46" i="3"/>
  <c r="DS46" i="3" s="1"/>
  <c r="DI110" i="3"/>
  <c r="DS110" i="3" s="1"/>
  <c r="DI174" i="3"/>
  <c r="DS174" i="3" s="1"/>
  <c r="DO222" i="3"/>
  <c r="DO254" i="3"/>
  <c r="DO286" i="3"/>
  <c r="DO318" i="3"/>
  <c r="DO71" i="3"/>
  <c r="DO135" i="3"/>
  <c r="DO199" i="3"/>
  <c r="DI263" i="3"/>
  <c r="DS263" i="3" s="1"/>
  <c r="DO12" i="3"/>
  <c r="DO44" i="3"/>
  <c r="DO76" i="3"/>
  <c r="DO108" i="3"/>
  <c r="DO140" i="3"/>
  <c r="DO172" i="3"/>
  <c r="DO204" i="3"/>
  <c r="DO236" i="3"/>
  <c r="DI268" i="3"/>
  <c r="DS268" i="3" s="1"/>
  <c r="ED300" i="3"/>
  <c r="EE300" i="3" s="1"/>
  <c r="DO61" i="3"/>
  <c r="EB189" i="3"/>
  <c r="EC189" i="3" s="1"/>
  <c r="EB317" i="3"/>
  <c r="EC317" i="3" s="1"/>
  <c r="DO113" i="3"/>
  <c r="EB241" i="3"/>
  <c r="EC241" i="3" s="1"/>
  <c r="DO69" i="3"/>
  <c r="DO197" i="3"/>
  <c r="DO42" i="3"/>
  <c r="DO154" i="3"/>
  <c r="DO234" i="3"/>
  <c r="DO99" i="3"/>
  <c r="DO291" i="3"/>
  <c r="EB88" i="3"/>
  <c r="EC88" i="3" s="1"/>
  <c r="EB184" i="3"/>
  <c r="EC184" i="3" s="1"/>
  <c r="DI232" i="3"/>
  <c r="DS232" i="3" s="1"/>
  <c r="DI280" i="3"/>
  <c r="DS280" i="3" s="1"/>
  <c r="DO18" i="3"/>
  <c r="DO34" i="3"/>
  <c r="DI50" i="3"/>
  <c r="DS50" i="3" s="1"/>
  <c r="EB82" i="3"/>
  <c r="EC82" i="3" s="1"/>
  <c r="DO98" i="3"/>
  <c r="DI114" i="3"/>
  <c r="DS114" i="3" s="1"/>
  <c r="EB146" i="3"/>
  <c r="EC146" i="3" s="1"/>
  <c r="DO162" i="3"/>
  <c r="DI178" i="3"/>
  <c r="DS178" i="3" s="1"/>
  <c r="EB210" i="3"/>
  <c r="EC210" i="3" s="1"/>
  <c r="DO226" i="3"/>
  <c r="DI242" i="3"/>
  <c r="DS242" i="3" s="1"/>
  <c r="EB274" i="3"/>
  <c r="EC274" i="3" s="1"/>
  <c r="DO290" i="3"/>
  <c r="DI306" i="3"/>
  <c r="DS306" i="3" s="1"/>
  <c r="EB19" i="3"/>
  <c r="EC19" i="3" s="1"/>
  <c r="DO51" i="3"/>
  <c r="DI83" i="3"/>
  <c r="DS83" i="3" s="1"/>
  <c r="EB147" i="3"/>
  <c r="EC147" i="3" s="1"/>
  <c r="DO179" i="3"/>
  <c r="DI211" i="3"/>
  <c r="DS211" i="3" s="1"/>
  <c r="EB275" i="3"/>
  <c r="EC275" i="3" s="1"/>
  <c r="DO307" i="3"/>
  <c r="EB16" i="3"/>
  <c r="EC16" i="3" s="1"/>
  <c r="DO48" i="3"/>
  <c r="DI64" i="3"/>
  <c r="DS64" i="3" s="1"/>
  <c r="EB80" i="3"/>
  <c r="EC80" i="3" s="1"/>
  <c r="DO112" i="3"/>
  <c r="DI128" i="3"/>
  <c r="DS128" i="3" s="1"/>
  <c r="EB144" i="3"/>
  <c r="EC144" i="3" s="1"/>
  <c r="EB176" i="3"/>
  <c r="EC176" i="3" s="1"/>
  <c r="DO192" i="3"/>
  <c r="DI208" i="3"/>
  <c r="DS208" i="3" s="1"/>
  <c r="EB240" i="3"/>
  <c r="EC240" i="3" s="1"/>
  <c r="DO256" i="3"/>
  <c r="DI272" i="3"/>
  <c r="DS272" i="3" s="1"/>
  <c r="EB304" i="3"/>
  <c r="EC304" i="3" s="1"/>
  <c r="DO320" i="3"/>
  <c r="DI13" i="3"/>
  <c r="DS13" i="3" s="1"/>
  <c r="EB141" i="3"/>
  <c r="EC141" i="3" s="1"/>
  <c r="EB205" i="3"/>
  <c r="EC205" i="3" s="1"/>
  <c r="DI269" i="3"/>
  <c r="DS269" i="3" s="1"/>
  <c r="EB129" i="3"/>
  <c r="EC129" i="3" s="1"/>
  <c r="DI193" i="3"/>
  <c r="DS193" i="3" s="1"/>
  <c r="DI257" i="3"/>
  <c r="DS257" i="3" s="1"/>
  <c r="EB21" i="3"/>
  <c r="EC21" i="3" s="1"/>
  <c r="DO85" i="3"/>
  <c r="DI149" i="3"/>
  <c r="DS149" i="3" s="1"/>
  <c r="EB277" i="3"/>
  <c r="EC277" i="3" s="1"/>
  <c r="DI58" i="3"/>
  <c r="DS58" i="3" s="1"/>
  <c r="EB138" i="3"/>
  <c r="EC138" i="3" s="1"/>
  <c r="DO186" i="3"/>
  <c r="DI250" i="3"/>
  <c r="DS250" i="3" s="1"/>
  <c r="EB35" i="3"/>
  <c r="EC35" i="3" s="1"/>
  <c r="DO131" i="3"/>
  <c r="DI227" i="3"/>
  <c r="DS227" i="3" s="1"/>
  <c r="EB56" i="3"/>
  <c r="EC56" i="3" s="1"/>
  <c r="EB104" i="3"/>
  <c r="EC104" i="3" s="1"/>
  <c r="DO200" i="3"/>
  <c r="DO248" i="3"/>
  <c r="DI296" i="3"/>
  <c r="DS296" i="3" s="1"/>
  <c r="DO173" i="3"/>
  <c r="EB301" i="3"/>
  <c r="EC301" i="3" s="1"/>
  <c r="DO33" i="3"/>
  <c r="DO22" i="3"/>
  <c r="EB38" i="3"/>
  <c r="EC38" i="3" s="1"/>
  <c r="DI54" i="3"/>
  <c r="DS54" i="3" s="1"/>
  <c r="DO86" i="3"/>
  <c r="EB102" i="3"/>
  <c r="EC102" i="3" s="1"/>
  <c r="DI118" i="3"/>
  <c r="DS118" i="3" s="1"/>
  <c r="EB150" i="3"/>
  <c r="EC150" i="3" s="1"/>
  <c r="DO166" i="3"/>
  <c r="DI182" i="3"/>
  <c r="DS182" i="3" s="1"/>
  <c r="EB214" i="3"/>
  <c r="EC214" i="3" s="1"/>
  <c r="DO230" i="3"/>
  <c r="DI246" i="3"/>
  <c r="DS246" i="3" s="1"/>
  <c r="EB278" i="3"/>
  <c r="EC278" i="3" s="1"/>
  <c r="DO294" i="3"/>
  <c r="DI310" i="3"/>
  <c r="DS310" i="3" s="1"/>
  <c r="EB55" i="3"/>
  <c r="EC55" i="3" s="1"/>
  <c r="DO87" i="3"/>
  <c r="DI119" i="3"/>
  <c r="DS119" i="3" s="1"/>
  <c r="EB183" i="3"/>
  <c r="EC183" i="3" s="1"/>
  <c r="DO215" i="3"/>
  <c r="DI247" i="3"/>
  <c r="DS247" i="3" s="1"/>
  <c r="EB311" i="3"/>
  <c r="EC311" i="3" s="1"/>
  <c r="DO20" i="3"/>
  <c r="DI36" i="3"/>
  <c r="DS36" i="3" s="1"/>
  <c r="EB68" i="3"/>
  <c r="EC68" i="3" s="1"/>
  <c r="DO84" i="3"/>
  <c r="DI100" i="3"/>
  <c r="DS100" i="3" s="1"/>
  <c r="EB132" i="3"/>
  <c r="EC132" i="3" s="1"/>
  <c r="DO148" i="3"/>
  <c r="DI164" i="3"/>
  <c r="DS164" i="3" s="1"/>
  <c r="EB196" i="3"/>
  <c r="EC196" i="3" s="1"/>
  <c r="DO212" i="3"/>
  <c r="DI228" i="3"/>
  <c r="DS228" i="3" s="1"/>
  <c r="EB260" i="3"/>
  <c r="EC260" i="3" s="1"/>
  <c r="DO276" i="3"/>
  <c r="DI292" i="3"/>
  <c r="DS292" i="3" s="1"/>
  <c r="EB29" i="3"/>
  <c r="EC29" i="3" s="1"/>
  <c r="DO93" i="3"/>
  <c r="DI157" i="3"/>
  <c r="DS157" i="3" s="1"/>
  <c r="DO285" i="3"/>
  <c r="DI17" i="3"/>
  <c r="DS17" i="3" s="1"/>
  <c r="DO81" i="3"/>
  <c r="EB209" i="3"/>
  <c r="EC209" i="3" s="1"/>
  <c r="EB273" i="3"/>
  <c r="EC273" i="3" s="1"/>
  <c r="DI37" i="3"/>
  <c r="DS37" i="3" s="1"/>
  <c r="EB165" i="3"/>
  <c r="EC165" i="3" s="1"/>
  <c r="DO229" i="3"/>
  <c r="DI293" i="3"/>
  <c r="DS293" i="3" s="1"/>
  <c r="EB72" i="3"/>
  <c r="EC72" i="3" s="1"/>
  <c r="DI28" i="3"/>
  <c r="DS28" i="3" s="1"/>
  <c r="DI92" i="3"/>
  <c r="DS92" i="3" s="1"/>
  <c r="DI156" i="3"/>
  <c r="DS156" i="3" s="1"/>
  <c r="DI220" i="3"/>
  <c r="DS220" i="3" s="1"/>
  <c r="DI284" i="3"/>
  <c r="DS284" i="3" s="1"/>
  <c r="DI125" i="3"/>
  <c r="DS125" i="3" s="1"/>
  <c r="DO49" i="3"/>
  <c r="EB136" i="3"/>
  <c r="EC136" i="3" s="1"/>
  <c r="DI161" i="3"/>
  <c r="DS161" i="3" s="1"/>
  <c r="EB34" i="3"/>
  <c r="EC34" i="3" s="1"/>
  <c r="DO50" i="3"/>
  <c r="DO178" i="3"/>
  <c r="DI373" i="3"/>
  <c r="DS373" i="3" s="1"/>
  <c r="DI115" i="3"/>
  <c r="DS115" i="3" s="1"/>
  <c r="EB179" i="3"/>
  <c r="EC179" i="3" s="1"/>
  <c r="DO211" i="3"/>
  <c r="EB96" i="3"/>
  <c r="EC96" i="3" s="1"/>
  <c r="DO128" i="3"/>
  <c r="DI288" i="3"/>
  <c r="DS288" i="3" s="1"/>
  <c r="EB320" i="3"/>
  <c r="EC320" i="3" s="1"/>
  <c r="DO13" i="3"/>
  <c r="DO193" i="3"/>
  <c r="DI106" i="3"/>
  <c r="DS106" i="3" s="1"/>
  <c r="EB186" i="3"/>
  <c r="EC186" i="3" s="1"/>
  <c r="DO250" i="3"/>
  <c r="ED104" i="3"/>
  <c r="EE104" i="3" s="1"/>
  <c r="DI152" i="3"/>
  <c r="DS152" i="3" s="1"/>
  <c r="DO296" i="3"/>
  <c r="EB54" i="3"/>
  <c r="EC54" i="3" s="1"/>
  <c r="DI70" i="3"/>
  <c r="DS70" i="3" s="1"/>
  <c r="EB118" i="3"/>
  <c r="EC118" i="3" s="1"/>
  <c r="DI134" i="3"/>
  <c r="DS134" i="3" s="1"/>
  <c r="EB166" i="3"/>
  <c r="EC166" i="3" s="1"/>
  <c r="DI198" i="3"/>
  <c r="DS198" i="3" s="1"/>
  <c r="EB230" i="3"/>
  <c r="EC230" i="3" s="1"/>
  <c r="DO246" i="3"/>
  <c r="DO119" i="3"/>
  <c r="EB20" i="3"/>
  <c r="EC20" i="3" s="1"/>
  <c r="DO36" i="3"/>
  <c r="DI180" i="3"/>
  <c r="DS180" i="3" s="1"/>
  <c r="EB212" i="3"/>
  <c r="EC212" i="3" s="1"/>
  <c r="DO228" i="3"/>
  <c r="EB17" i="3"/>
  <c r="EC17" i="3" s="1"/>
  <c r="DO273" i="3"/>
  <c r="DO293" i="3"/>
  <c r="DI74" i="3"/>
  <c r="DS74" i="3" s="1"/>
  <c r="DI266" i="3"/>
  <c r="DS266" i="3" s="1"/>
  <c r="DI259" i="3"/>
  <c r="DS259" i="3" s="1"/>
  <c r="ED168" i="3"/>
  <c r="EE168" i="3" s="1"/>
  <c r="DI109" i="3"/>
  <c r="DS109" i="3" s="1"/>
  <c r="DI53" i="3"/>
  <c r="DS53" i="3" s="1"/>
  <c r="DI309" i="3"/>
  <c r="DS309" i="3" s="1"/>
  <c r="DI62" i="3"/>
  <c r="DS62" i="3" s="1"/>
  <c r="DI126" i="3"/>
  <c r="DS126" i="3" s="1"/>
  <c r="DI190" i="3"/>
  <c r="DS190" i="3" s="1"/>
  <c r="DI222" i="3"/>
  <c r="DS222" i="3" s="1"/>
  <c r="DI254" i="3"/>
  <c r="DS254" i="3" s="1"/>
  <c r="DI286" i="3"/>
  <c r="DS286" i="3" s="1"/>
  <c r="DI318" i="3"/>
  <c r="DS318" i="3" s="1"/>
  <c r="DI71" i="3"/>
  <c r="DS71" i="3" s="1"/>
  <c r="DI135" i="3"/>
  <c r="DS135" i="3" s="1"/>
  <c r="DI199" i="3"/>
  <c r="DS199" i="3" s="1"/>
  <c r="DO263" i="3"/>
  <c r="DI12" i="3"/>
  <c r="DS12" i="3" s="1"/>
  <c r="DI44" i="3"/>
  <c r="DS44" i="3" s="1"/>
  <c r="DI76" i="3"/>
  <c r="DS76" i="3" s="1"/>
  <c r="DI108" i="3"/>
  <c r="DS108" i="3" s="1"/>
  <c r="DI140" i="3"/>
  <c r="DS140" i="3" s="1"/>
  <c r="DI172" i="3"/>
  <c r="DS172" i="3" s="1"/>
  <c r="DI204" i="3"/>
  <c r="DS204" i="3" s="1"/>
  <c r="DI236" i="3"/>
  <c r="DS236" i="3" s="1"/>
  <c r="ED268" i="3"/>
  <c r="EE268" i="3" s="1"/>
  <c r="DI300" i="3"/>
  <c r="DS300" i="3" s="1"/>
  <c r="DI61" i="3"/>
  <c r="DS61" i="3" s="1"/>
  <c r="DI189" i="3"/>
  <c r="DS189" i="3" s="1"/>
  <c r="DI317" i="3"/>
  <c r="DS317" i="3" s="1"/>
  <c r="DI113" i="3"/>
  <c r="DS113" i="3" s="1"/>
  <c r="DO241" i="3"/>
  <c r="DI69" i="3"/>
  <c r="DS69" i="3" s="1"/>
  <c r="DI197" i="3"/>
  <c r="DS197" i="3" s="1"/>
  <c r="DI42" i="3"/>
  <c r="DS42" i="3" s="1"/>
  <c r="DI154" i="3"/>
  <c r="DS154" i="3" s="1"/>
  <c r="DI234" i="3"/>
  <c r="DS234" i="3" s="1"/>
  <c r="DI99" i="3"/>
  <c r="DS99" i="3" s="1"/>
  <c r="DI291" i="3"/>
  <c r="DS291" i="3" s="1"/>
  <c r="DI88" i="3"/>
  <c r="DS88" i="3" s="1"/>
  <c r="DO184" i="3"/>
  <c r="ED232" i="3"/>
  <c r="EE232" i="3" s="1"/>
  <c r="EB161" i="3"/>
  <c r="EC161" i="3" s="1"/>
  <c r="ED18" i="3"/>
  <c r="EE18" i="3" s="1"/>
  <c r="DI34" i="3"/>
  <c r="DS34" i="3" s="1"/>
  <c r="EB66" i="3"/>
  <c r="EC66" i="3" s="1"/>
  <c r="DO82" i="3"/>
  <c r="DI98" i="3"/>
  <c r="DS98" i="3" s="1"/>
  <c r="EB130" i="3"/>
  <c r="EC130" i="3" s="1"/>
  <c r="DO146" i="3"/>
  <c r="DI162" i="3"/>
  <c r="DS162" i="3" s="1"/>
  <c r="EB194" i="3"/>
  <c r="EC194" i="3" s="1"/>
  <c r="DO210" i="3"/>
  <c r="DI226" i="3"/>
  <c r="DS226" i="3" s="1"/>
  <c r="EB258" i="3"/>
  <c r="EC258" i="3" s="1"/>
  <c r="DO274" i="3"/>
  <c r="DI290" i="3"/>
  <c r="DS290" i="3" s="1"/>
  <c r="EB373" i="3"/>
  <c r="EC373" i="3" s="1"/>
  <c r="DO19" i="3"/>
  <c r="DI51" i="3"/>
  <c r="DS51" i="3" s="1"/>
  <c r="EB115" i="3"/>
  <c r="EC115" i="3" s="1"/>
  <c r="DO147" i="3"/>
  <c r="DI179" i="3"/>
  <c r="DS179" i="3" s="1"/>
  <c r="EB243" i="3"/>
  <c r="EC243" i="3" s="1"/>
  <c r="DO275" i="3"/>
  <c r="DI307" i="3"/>
  <c r="DS307" i="3" s="1"/>
  <c r="DO32" i="3"/>
  <c r="DI48" i="3"/>
  <c r="DS48" i="3" s="1"/>
  <c r="EB64" i="3"/>
  <c r="EC64" i="3" s="1"/>
  <c r="DO96" i="3"/>
  <c r="DI112" i="3"/>
  <c r="DS112" i="3" s="1"/>
  <c r="EB128" i="3"/>
  <c r="EC128" i="3" s="1"/>
  <c r="EB160" i="3"/>
  <c r="EC160" i="3" s="1"/>
  <c r="DO176" i="3"/>
  <c r="DI192" i="3"/>
  <c r="DS192" i="3" s="1"/>
  <c r="EB224" i="3"/>
  <c r="EC224" i="3" s="1"/>
  <c r="DO240" i="3"/>
  <c r="DI256" i="3"/>
  <c r="DS256" i="3" s="1"/>
  <c r="EB288" i="3"/>
  <c r="EC288" i="3" s="1"/>
  <c r="DO304" i="3"/>
  <c r="DI320" i="3"/>
  <c r="DS320" i="3" s="1"/>
  <c r="EB77" i="3"/>
  <c r="EC77" i="3" s="1"/>
  <c r="DO141" i="3"/>
  <c r="DI205" i="3"/>
  <c r="DS205" i="3" s="1"/>
  <c r="EB65" i="3"/>
  <c r="EC65" i="3" s="1"/>
  <c r="DO129" i="3"/>
  <c r="EB193" i="3"/>
  <c r="EC193" i="3" s="1"/>
  <c r="DI21" i="3"/>
  <c r="DS21" i="3" s="1"/>
  <c r="DI85" i="3"/>
  <c r="DS85" i="3" s="1"/>
  <c r="EB213" i="3"/>
  <c r="EC213" i="3" s="1"/>
  <c r="DO277" i="3"/>
  <c r="EB106" i="3"/>
  <c r="EC106" i="3" s="1"/>
  <c r="DO138" i="3"/>
  <c r="DI186" i="3"/>
  <c r="DS186" i="3" s="1"/>
  <c r="EB282" i="3"/>
  <c r="EC282" i="3" s="1"/>
  <c r="DO35" i="3"/>
  <c r="DI131" i="3"/>
  <c r="DS131" i="3" s="1"/>
  <c r="EB678" i="3"/>
  <c r="EC678" i="3" s="1"/>
  <c r="DI56" i="3"/>
  <c r="DS56" i="3" s="1"/>
  <c r="EB152" i="3"/>
  <c r="EC152" i="3" s="1"/>
  <c r="ED200" i="3"/>
  <c r="EE200" i="3" s="1"/>
  <c r="DI248" i="3"/>
  <c r="DS248" i="3" s="1"/>
  <c r="EB45" i="3"/>
  <c r="EC45" i="3" s="1"/>
  <c r="EB173" i="3"/>
  <c r="EC173" i="3" s="1"/>
  <c r="DI301" i="3"/>
  <c r="DS301" i="3" s="1"/>
  <c r="DO289" i="3"/>
  <c r="EB22" i="3"/>
  <c r="EC22" i="3" s="1"/>
  <c r="DI38" i="3"/>
  <c r="DS38" i="3" s="1"/>
  <c r="DO70" i="3"/>
  <c r="EB86" i="3"/>
  <c r="EC86" i="3" s="1"/>
  <c r="DI102" i="3"/>
  <c r="DS102" i="3" s="1"/>
  <c r="DO134" i="3"/>
  <c r="DO150" i="3"/>
  <c r="DI166" i="3"/>
  <c r="DS166" i="3" s="1"/>
  <c r="EB198" i="3"/>
  <c r="EC198" i="3" s="1"/>
  <c r="DO214" i="3"/>
  <c r="DI230" i="3"/>
  <c r="DS230" i="3" s="1"/>
  <c r="EB262" i="3"/>
  <c r="EC262" i="3" s="1"/>
  <c r="DO278" i="3"/>
  <c r="DI294" i="3"/>
  <c r="DS294" i="3" s="1"/>
  <c r="EB23" i="3"/>
  <c r="EC23" i="3" s="1"/>
  <c r="DO55" i="3"/>
  <c r="DI87" i="3"/>
  <c r="DS87" i="3" s="1"/>
  <c r="EB151" i="3"/>
  <c r="EC151" i="3" s="1"/>
  <c r="DO183" i="3"/>
  <c r="DI215" i="3"/>
  <c r="DS215" i="3" s="1"/>
  <c r="EB279" i="3"/>
  <c r="EC279" i="3" s="1"/>
  <c r="DI311" i="3"/>
  <c r="DS311" i="3" s="1"/>
  <c r="DI20" i="3"/>
  <c r="DS20" i="3" s="1"/>
  <c r="EB52" i="3"/>
  <c r="EC52" i="3" s="1"/>
  <c r="DO68" i="3"/>
  <c r="DI84" i="3"/>
  <c r="DS84" i="3" s="1"/>
  <c r="EB116" i="3"/>
  <c r="EC116" i="3" s="1"/>
  <c r="DO132" i="3"/>
  <c r="DI148" i="3"/>
  <c r="DS148" i="3" s="1"/>
  <c r="EB180" i="3"/>
  <c r="EC180" i="3" s="1"/>
  <c r="DO196" i="3"/>
  <c r="DI212" i="3"/>
  <c r="DS212" i="3" s="1"/>
  <c r="EB244" i="3"/>
  <c r="EC244" i="3" s="1"/>
  <c r="DO260" i="3"/>
  <c r="DI276" i="3"/>
  <c r="DS276" i="3" s="1"/>
  <c r="EB308" i="3"/>
  <c r="EC308" i="3" s="1"/>
  <c r="DO29" i="3"/>
  <c r="DI93" i="3"/>
  <c r="DS93" i="3" s="1"/>
  <c r="DO221" i="3"/>
  <c r="EB285" i="3"/>
  <c r="EC285" i="3" s="1"/>
  <c r="DO17" i="3"/>
  <c r="EB145" i="3"/>
  <c r="EC145" i="3" s="1"/>
  <c r="DO209" i="3"/>
  <c r="DI273" i="3"/>
  <c r="DS273" i="3" s="1"/>
  <c r="EB101" i="3"/>
  <c r="EC101" i="3" s="1"/>
  <c r="DO165" i="3"/>
  <c r="DI229" i="3"/>
  <c r="DS229" i="3" s="1"/>
  <c r="EB253" i="3"/>
  <c r="EC253" i="3" s="1"/>
  <c r="DI49" i="3"/>
  <c r="DS49" i="3" s="1"/>
  <c r="EB177" i="3"/>
  <c r="EC177" i="3" s="1"/>
  <c r="EB305" i="3"/>
  <c r="EC305" i="3" s="1"/>
  <c r="DO133" i="3"/>
  <c r="DO261" i="3"/>
  <c r="DO90" i="3"/>
  <c r="DO202" i="3"/>
  <c r="DO298" i="3"/>
  <c r="DO195" i="3"/>
  <c r="EB24" i="3"/>
  <c r="EC24" i="3" s="1"/>
  <c r="ED136" i="3"/>
  <c r="EE136" i="3" s="1"/>
  <c r="DI184" i="3"/>
  <c r="DS184" i="3" s="1"/>
  <c r="EB280" i="3"/>
  <c r="EC280" i="3" s="1"/>
  <c r="DO161" i="3"/>
  <c r="DI18" i="3"/>
  <c r="DS18" i="3" s="1"/>
  <c r="EB50" i="3"/>
  <c r="EC50" i="3" s="1"/>
  <c r="DO66" i="3"/>
  <c r="DI82" i="3"/>
  <c r="DS82" i="3" s="1"/>
  <c r="EB114" i="3"/>
  <c r="EC114" i="3" s="1"/>
  <c r="DO130" i="3"/>
  <c r="DI146" i="3"/>
  <c r="DS146" i="3" s="1"/>
  <c r="EB178" i="3"/>
  <c r="EC178" i="3" s="1"/>
  <c r="DO194" i="3"/>
  <c r="DI210" i="3"/>
  <c r="DS210" i="3" s="1"/>
  <c r="EB242" i="3"/>
  <c r="EC242" i="3" s="1"/>
  <c r="DO258" i="3"/>
  <c r="DI274" i="3"/>
  <c r="DS274" i="3" s="1"/>
  <c r="EB306" i="3"/>
  <c r="EC306" i="3" s="1"/>
  <c r="DO373" i="3"/>
  <c r="DI19" i="3"/>
  <c r="DS19" i="3" s="1"/>
  <c r="EB83" i="3"/>
  <c r="EC83" i="3" s="1"/>
  <c r="DO115" i="3"/>
  <c r="DI147" i="3"/>
  <c r="DS147" i="3" s="1"/>
  <c r="EB211" i="3"/>
  <c r="EC211" i="3" s="1"/>
  <c r="DO243" i="3"/>
  <c r="DO16" i="3"/>
  <c r="DI96" i="3"/>
  <c r="DS96" i="3" s="1"/>
  <c r="EB112" i="3"/>
  <c r="EC112" i="3" s="1"/>
  <c r="DO144" i="3"/>
  <c r="DI176" i="3"/>
  <c r="DS176" i="3" s="1"/>
  <c r="EB208" i="3"/>
  <c r="EC208" i="3" s="1"/>
  <c r="DO224" i="3"/>
  <c r="EB272" i="3"/>
  <c r="EC272" i="3" s="1"/>
  <c r="DO288" i="3"/>
  <c r="DI141" i="3"/>
  <c r="DS141" i="3" s="1"/>
  <c r="DO269" i="3"/>
  <c r="DO21" i="3"/>
  <c r="DI277" i="3"/>
  <c r="DS277" i="3" s="1"/>
  <c r="EB58" i="3"/>
  <c r="EC58" i="3" s="1"/>
  <c r="DO106" i="3"/>
  <c r="DO282" i="3"/>
  <c r="EB8" i="3"/>
  <c r="EC8" i="3" s="1"/>
  <c r="DI104" i="3"/>
  <c r="DS104" i="3" s="1"/>
  <c r="DO152" i="3"/>
  <c r="DI173" i="3"/>
  <c r="DS173" i="3" s="1"/>
  <c r="EB33" i="3"/>
  <c r="EC33" i="3" s="1"/>
  <c r="EB289" i="3"/>
  <c r="EC289" i="3" s="1"/>
  <c r="DI22" i="3"/>
  <c r="DS22" i="3" s="1"/>
  <c r="EB70" i="3"/>
  <c r="EC70" i="3" s="1"/>
  <c r="DI86" i="3"/>
  <c r="DS86" i="3" s="1"/>
  <c r="DO118" i="3"/>
  <c r="DI150" i="3"/>
  <c r="DS150" i="3" s="1"/>
  <c r="DO198" i="3"/>
  <c r="DI278" i="3"/>
  <c r="DS278" i="3" s="1"/>
  <c r="EB310" i="3"/>
  <c r="EC310" i="3" s="1"/>
  <c r="DI55" i="3"/>
  <c r="DS55" i="3" s="1"/>
  <c r="EB119" i="3"/>
  <c r="EC119" i="3" s="1"/>
  <c r="DO151" i="3"/>
  <c r="EB247" i="3"/>
  <c r="EC247" i="3" s="1"/>
  <c r="DI279" i="3"/>
  <c r="DS279" i="3" s="1"/>
  <c r="EB36" i="3"/>
  <c r="EC36" i="3" s="1"/>
  <c r="DO52" i="3"/>
  <c r="DI68" i="3"/>
  <c r="DS68" i="3" s="1"/>
  <c r="DO116" i="3"/>
  <c r="DI196" i="3"/>
  <c r="DS196" i="3" s="1"/>
  <c r="EB228" i="3"/>
  <c r="EC228" i="3" s="1"/>
  <c r="DO244" i="3"/>
  <c r="DI29" i="3"/>
  <c r="DS29" i="3" s="1"/>
  <c r="DO157" i="3"/>
  <c r="DI165" i="3"/>
  <c r="DS165" i="3" s="1"/>
  <c r="EB293" i="3"/>
  <c r="EC293" i="3" s="1"/>
  <c r="DI170" i="3"/>
  <c r="DS170" i="3" s="1"/>
  <c r="DI264" i="3"/>
  <c r="DS264" i="3" s="1"/>
  <c r="DI97" i="3"/>
  <c r="DS97" i="3" s="1"/>
  <c r="DI181" i="3"/>
  <c r="DS181" i="3" s="1"/>
  <c r="DI30" i="3"/>
  <c r="DS30" i="3" s="1"/>
  <c r="DI94" i="3"/>
  <c r="DS94" i="3" s="1"/>
  <c r="DI158" i="3"/>
  <c r="DS158" i="3" s="1"/>
  <c r="DI206" i="3"/>
  <c r="DS206" i="3" s="1"/>
  <c r="DI238" i="3"/>
  <c r="DS238" i="3" s="1"/>
  <c r="DI270" i="3"/>
  <c r="DS270" i="3" s="1"/>
  <c r="DI302" i="3"/>
  <c r="DS302" i="3" s="1"/>
  <c r="DI39" i="3"/>
  <c r="DS39" i="3" s="1"/>
  <c r="DI103" i="3"/>
  <c r="DS103" i="3" s="1"/>
  <c r="DI167" i="3"/>
  <c r="DS167" i="3" s="1"/>
  <c r="DI231" i="3"/>
  <c r="DS231" i="3" s="1"/>
  <c r="DO295" i="3"/>
  <c r="DI305" i="3"/>
  <c r="DS305" i="3" s="1"/>
  <c r="DI133" i="3"/>
  <c r="DS133" i="3" s="1"/>
  <c r="DI261" i="3"/>
  <c r="DS261" i="3" s="1"/>
  <c r="DI90" i="3"/>
  <c r="DS90" i="3" s="1"/>
  <c r="DI202" i="3"/>
  <c r="DS202" i="3" s="1"/>
  <c r="DI298" i="3"/>
  <c r="DS298" i="3" s="1"/>
  <c r="DI195" i="3"/>
  <c r="DS195" i="3" s="1"/>
  <c r="DI24" i="3"/>
  <c r="DS24" i="3" s="1"/>
  <c r="DO280" i="3"/>
  <c r="DI66" i="3"/>
  <c r="DS66" i="3" s="1"/>
  <c r="EB98" i="3"/>
  <c r="EC98" i="3" s="1"/>
  <c r="DO114" i="3"/>
  <c r="DI258" i="3"/>
  <c r="DS258" i="3" s="1"/>
  <c r="EB290" i="3"/>
  <c r="EC290" i="3" s="1"/>
  <c r="DO306" i="3"/>
  <c r="DI243" i="3"/>
  <c r="DS243" i="3" s="1"/>
  <c r="EB307" i="3"/>
  <c r="EC307" i="3" s="1"/>
  <c r="DI16" i="3"/>
  <c r="DS16" i="3" s="1"/>
  <c r="EB32" i="3"/>
  <c r="EC32" i="3" s="1"/>
  <c r="DO64" i="3"/>
  <c r="DI224" i="3"/>
  <c r="DS224" i="3" s="1"/>
  <c r="EB256" i="3"/>
  <c r="EC256" i="3" s="1"/>
  <c r="DO272" i="3"/>
  <c r="EB269" i="3"/>
  <c r="EC269" i="3" s="1"/>
  <c r="DO65" i="3"/>
  <c r="DI213" i="3"/>
  <c r="DS213" i="3" s="1"/>
  <c r="EB10" i="3"/>
  <c r="EC10" i="3" s="1"/>
  <c r="DO58" i="3"/>
  <c r="DI678" i="3"/>
  <c r="DS678" i="3" s="1"/>
  <c r="DO56" i="3"/>
  <c r="DO301" i="3"/>
  <c r="DO102" i="3"/>
  <c r="DI262" i="3"/>
  <c r="DS262" i="3" s="1"/>
  <c r="EB294" i="3"/>
  <c r="EC294" i="3" s="1"/>
  <c r="DO310" i="3"/>
  <c r="DO279" i="3"/>
  <c r="DI116" i="3"/>
  <c r="DS116" i="3" s="1"/>
  <c r="EB148" i="3"/>
  <c r="EC148" i="3" s="1"/>
  <c r="DO164" i="3"/>
  <c r="DI308" i="3"/>
  <c r="DS308" i="3" s="1"/>
  <c r="EB93" i="3"/>
  <c r="EC93" i="3" s="1"/>
  <c r="EB157" i="3"/>
  <c r="EC157" i="3" s="1"/>
  <c r="DI221" i="3"/>
  <c r="DS221" i="3" s="1"/>
  <c r="DI81" i="3"/>
  <c r="DS81" i="3" s="1"/>
  <c r="DO145" i="3"/>
  <c r="DI101" i="3"/>
  <c r="DS101" i="3" s="1"/>
  <c r="EB229" i="3"/>
  <c r="EC229" i="3" s="1"/>
  <c r="DI122" i="3"/>
  <c r="DS122" i="3" s="1"/>
  <c r="DI314" i="3"/>
  <c r="DS314" i="3" s="1"/>
  <c r="ED40" i="3"/>
  <c r="EE40" i="3" s="1"/>
  <c r="DI216" i="3"/>
  <c r="DS216" i="3" s="1"/>
  <c r="DI237" i="3"/>
  <c r="DS237" i="3" s="1"/>
  <c r="DI117" i="3"/>
  <c r="DS117" i="3" s="1"/>
  <c r="DI14" i="3"/>
  <c r="DS14" i="3" s="1"/>
  <c r="DI78" i="3"/>
  <c r="DS78" i="3" s="1"/>
  <c r="DI142" i="3"/>
  <c r="DS142" i="3" s="1"/>
  <c r="DO206" i="3"/>
  <c r="DO238" i="3"/>
  <c r="DO270" i="3"/>
  <c r="DO302" i="3"/>
  <c r="DO39" i="3"/>
  <c r="DO103" i="3"/>
  <c r="DO167" i="3"/>
  <c r="DO231" i="3"/>
  <c r="DI295" i="3"/>
  <c r="DS295" i="3" s="1"/>
  <c r="DO28" i="3"/>
  <c r="DO60" i="3"/>
  <c r="DO92" i="3"/>
  <c r="DO124" i="3"/>
  <c r="DO156" i="3"/>
  <c r="DO188" i="3"/>
  <c r="DO220" i="3"/>
  <c r="DI252" i="3"/>
  <c r="DS252" i="3" s="1"/>
  <c r="DO284" i="3"/>
  <c r="ED316" i="3"/>
  <c r="EE316" i="3" s="1"/>
  <c r="DO125" i="3"/>
  <c r="DI275" i="3"/>
  <c r="DS275" i="3" s="1"/>
  <c r="DI32" i="3"/>
  <c r="DS32" i="3" s="1"/>
  <c r="EB48" i="3"/>
  <c r="EC48" i="3" s="1"/>
  <c r="DO80" i="3"/>
  <c r="DO160" i="3"/>
  <c r="DI240" i="3"/>
  <c r="DS240" i="3" s="1"/>
  <c r="DI304" i="3"/>
  <c r="DS304" i="3" s="1"/>
  <c r="EB13" i="3"/>
  <c r="EC13" i="3" s="1"/>
  <c r="DO77" i="3"/>
  <c r="DI65" i="3"/>
  <c r="DS65" i="3" s="1"/>
  <c r="DI129" i="3"/>
  <c r="DS129" i="3" s="1"/>
  <c r="DO257" i="3"/>
  <c r="EB149" i="3"/>
  <c r="EC149" i="3" s="1"/>
  <c r="DO213" i="3"/>
  <c r="DI138" i="3"/>
  <c r="DS138" i="3" s="1"/>
  <c r="EB250" i="3"/>
  <c r="EC250" i="3" s="1"/>
  <c r="DI35" i="3"/>
  <c r="DS35" i="3" s="1"/>
  <c r="EB227" i="3"/>
  <c r="EC227" i="3" s="1"/>
  <c r="DO678" i="3"/>
  <c r="DI200" i="3"/>
  <c r="DS200" i="3" s="1"/>
  <c r="EB296" i="3"/>
  <c r="EC296" i="3" s="1"/>
  <c r="DO45" i="3"/>
  <c r="DO54" i="3"/>
  <c r="EB134" i="3"/>
  <c r="EC134" i="3" s="1"/>
  <c r="EB182" i="3"/>
  <c r="EC182" i="3" s="1"/>
  <c r="DI214" i="3"/>
  <c r="DS214" i="3" s="1"/>
  <c r="EB246" i="3"/>
  <c r="EC246" i="3" s="1"/>
  <c r="DO262" i="3"/>
  <c r="DO23" i="3"/>
  <c r="DI183" i="3"/>
  <c r="DS183" i="3" s="1"/>
  <c r="DO311" i="3"/>
  <c r="EB100" i="3"/>
  <c r="EC100" i="3" s="1"/>
  <c r="DI132" i="3"/>
  <c r="DS132" i="3" s="1"/>
  <c r="EB164" i="3"/>
  <c r="EC164" i="3" s="1"/>
  <c r="DO180" i="3"/>
  <c r="DI260" i="3"/>
  <c r="DS260" i="3" s="1"/>
  <c r="EB292" i="3"/>
  <c r="EC292" i="3" s="1"/>
  <c r="DO308" i="3"/>
  <c r="EB221" i="3"/>
  <c r="EC221" i="3" s="1"/>
  <c r="DI285" i="3"/>
  <c r="DS285" i="3" s="1"/>
  <c r="EB81" i="3"/>
  <c r="EC81" i="3" s="1"/>
  <c r="DI145" i="3"/>
  <c r="DS145" i="3" s="1"/>
  <c r="DI209" i="3"/>
  <c r="DS209" i="3" s="1"/>
  <c r="EB37" i="3"/>
  <c r="EC37" i="3" s="1"/>
  <c r="DO101" i="3"/>
  <c r="DI67" i="3"/>
  <c r="DS67" i="3" s="1"/>
  <c r="DI60" i="3"/>
  <c r="DS60" i="3" s="1"/>
  <c r="DI124" i="3"/>
  <c r="DS124" i="3" s="1"/>
  <c r="DI188" i="3"/>
  <c r="DS188" i="3" s="1"/>
  <c r="ED252" i="3"/>
  <c r="EE252" i="3" s="1"/>
  <c r="DI316" i="3"/>
  <c r="DS316" i="3" s="1"/>
  <c r="DI253" i="3"/>
  <c r="DS253" i="3" s="1"/>
  <c r="DO177" i="3"/>
  <c r="DO232" i="3"/>
  <c r="DI130" i="3"/>
  <c r="DS130" i="3" s="1"/>
  <c r="EB162" i="3"/>
  <c r="EC162" i="3" s="1"/>
  <c r="DI194" i="3"/>
  <c r="DS194" i="3" s="1"/>
  <c r="EB226" i="3"/>
  <c r="EC226" i="3" s="1"/>
  <c r="DO242" i="3"/>
  <c r="EB51" i="3"/>
  <c r="EC51" i="3" s="1"/>
  <c r="DO83" i="3"/>
  <c r="DI80" i="3"/>
  <c r="DS80" i="3" s="1"/>
  <c r="DI144" i="3"/>
  <c r="DS144" i="3" s="1"/>
  <c r="DI160" i="3"/>
  <c r="DS160" i="3" s="1"/>
  <c r="EB192" i="3"/>
  <c r="EC192" i="3" s="1"/>
  <c r="DO208" i="3"/>
  <c r="DI77" i="3"/>
  <c r="DS77" i="3" s="1"/>
  <c r="DO205" i="3"/>
  <c r="EB257" i="3"/>
  <c r="EC257" i="3" s="1"/>
  <c r="EB85" i="3"/>
  <c r="EC85" i="3" s="1"/>
  <c r="DO149" i="3"/>
  <c r="DI282" i="3"/>
  <c r="DS282" i="3" s="1"/>
  <c r="EB131" i="3"/>
  <c r="EC131" i="3" s="1"/>
  <c r="DO227" i="3"/>
  <c r="EB248" i="3"/>
  <c r="EC248" i="3" s="1"/>
  <c r="DI45" i="3"/>
  <c r="DS45" i="3" s="1"/>
  <c r="DI33" i="3"/>
  <c r="DS33" i="3" s="1"/>
  <c r="DI289" i="3"/>
  <c r="DS289" i="3" s="1"/>
  <c r="DO38" i="3"/>
  <c r="DO182" i="3"/>
  <c r="DI23" i="3"/>
  <c r="DS23" i="3" s="1"/>
  <c r="EB87" i="3"/>
  <c r="EC87" i="3" s="1"/>
  <c r="DI151" i="3"/>
  <c r="DS151" i="3" s="1"/>
  <c r="EB215" i="3"/>
  <c r="EC215" i="3" s="1"/>
  <c r="DO247" i="3"/>
  <c r="DI52" i="3"/>
  <c r="DS52" i="3" s="1"/>
  <c r="EB84" i="3"/>
  <c r="EC84" i="3" s="1"/>
  <c r="DO100" i="3"/>
  <c r="DI244" i="3"/>
  <c r="DS244" i="3" s="1"/>
  <c r="EB276" i="3"/>
  <c r="EC276" i="3" s="1"/>
  <c r="DO292" i="3"/>
  <c r="DO37" i="3"/>
  <c r="ED7" i="3"/>
  <c r="EE7" i="3" s="1"/>
  <c r="EB7" i="3"/>
  <c r="EC7" i="3" s="1"/>
  <c r="F27" i="9"/>
  <c r="K289" i="8"/>
  <c r="K290" i="8"/>
  <c r="DW394" i="3" l="1"/>
  <c r="DV394" i="3"/>
  <c r="DV384" i="3"/>
  <c r="DW384" i="3"/>
  <c r="DW379" i="3"/>
  <c r="DV379" i="3"/>
  <c r="DW408" i="3"/>
  <c r="DV408" i="3"/>
  <c r="DV382" i="3"/>
  <c r="DW382" i="3"/>
  <c r="DV406" i="3"/>
  <c r="DW406" i="3"/>
  <c r="DV390" i="3"/>
  <c r="DW390" i="3"/>
  <c r="DW380" i="3"/>
  <c r="DV380" i="3"/>
  <c r="DW375" i="3"/>
  <c r="DV375" i="3"/>
  <c r="DW419" i="3"/>
  <c r="DV419" i="3"/>
  <c r="DV420" i="3"/>
  <c r="DW420" i="3"/>
  <c r="DW403" i="3"/>
  <c r="DV403" i="3"/>
  <c r="DW377" i="3"/>
  <c r="DV377" i="3"/>
  <c r="DW409" i="3"/>
  <c r="DV409" i="3"/>
  <c r="DV378" i="3"/>
  <c r="DW378" i="3"/>
  <c r="DV415" i="3"/>
  <c r="DW415" i="3"/>
  <c r="DW392" i="3"/>
  <c r="DV392" i="3"/>
  <c r="DW418" i="3"/>
  <c r="DV418" i="3"/>
  <c r="DV416" i="3"/>
  <c r="DW416" i="3"/>
  <c r="DV385" i="3"/>
  <c r="DW385" i="3"/>
  <c r="DV401" i="3"/>
  <c r="DW401" i="3"/>
  <c r="DW389" i="3"/>
  <c r="DV389" i="3"/>
  <c r="DV405" i="3"/>
  <c r="DW405" i="3"/>
  <c r="DV411" i="3"/>
  <c r="DW411" i="3"/>
  <c r="DV376" i="3"/>
  <c r="DW376" i="3"/>
  <c r="DV414" i="3"/>
  <c r="DW414" i="3"/>
  <c r="DW387" i="3"/>
  <c r="DV387" i="3"/>
  <c r="DV399" i="3"/>
  <c r="DW399" i="3"/>
  <c r="DV374" i="3"/>
  <c r="DW374" i="3"/>
  <c r="DW402" i="3"/>
  <c r="DV402" i="3"/>
  <c r="DV404" i="3"/>
  <c r="DW404" i="3"/>
  <c r="DW407" i="3"/>
  <c r="DV407" i="3"/>
  <c r="DV417" i="3"/>
  <c r="DW417" i="3"/>
  <c r="DV410" i="3"/>
  <c r="DW410" i="3"/>
  <c r="DV400" i="3"/>
  <c r="DW400" i="3"/>
  <c r="DW412" i="3"/>
  <c r="DV412" i="3"/>
  <c r="DV395" i="3"/>
  <c r="DW395" i="3"/>
  <c r="DW398" i="3"/>
  <c r="DV398" i="3"/>
  <c r="DV383" i="3"/>
  <c r="DW383" i="3"/>
  <c r="DW386" i="3"/>
  <c r="DV386" i="3"/>
  <c r="DV388" i="3"/>
  <c r="DW388" i="3"/>
  <c r="DW396" i="3"/>
  <c r="DV396" i="3"/>
  <c r="DW391" i="3"/>
  <c r="DV391" i="3"/>
  <c r="DW393" i="3"/>
  <c r="DV393" i="3"/>
  <c r="DV381" i="3"/>
  <c r="DW381" i="3"/>
  <c r="DV397" i="3"/>
  <c r="DW397" i="3"/>
  <c r="DW413" i="3"/>
  <c r="DV413" i="3"/>
  <c r="DW360" i="3"/>
  <c r="DV360" i="3"/>
  <c r="DW370" i="3"/>
  <c r="DV370" i="3"/>
  <c r="DW365" i="3"/>
  <c r="DV365" i="3"/>
  <c r="DW333" i="3"/>
  <c r="DV333" i="3"/>
  <c r="DV343" i="3"/>
  <c r="DW343" i="3"/>
  <c r="DV355" i="3"/>
  <c r="DW355" i="3"/>
  <c r="DV334" i="3"/>
  <c r="DW334" i="3"/>
  <c r="DW372" i="3"/>
  <c r="DV372" i="3"/>
  <c r="DV321" i="3"/>
  <c r="DW321" i="3"/>
  <c r="DW341" i="3"/>
  <c r="DV341" i="3"/>
  <c r="DW369" i="3"/>
  <c r="DV369" i="3"/>
  <c r="DW338" i="3"/>
  <c r="DV338" i="3"/>
  <c r="DW363" i="3"/>
  <c r="DV363" i="3"/>
  <c r="DW356" i="3"/>
  <c r="DV356" i="3"/>
  <c r="DV345" i="3"/>
  <c r="DW345" i="3"/>
  <c r="DW353" i="3"/>
  <c r="DV353" i="3"/>
  <c r="DV332" i="3"/>
  <c r="DW332" i="3"/>
  <c r="DV328" i="3"/>
  <c r="DW328" i="3"/>
  <c r="DW358" i="3"/>
  <c r="DV358" i="3"/>
  <c r="DW344" i="3"/>
  <c r="DV344" i="3"/>
  <c r="DW336" i="3"/>
  <c r="DV336" i="3"/>
  <c r="DW335" i="3"/>
  <c r="DV335" i="3"/>
  <c r="DW371" i="3"/>
  <c r="DV371" i="3"/>
  <c r="DW350" i="3"/>
  <c r="DV350" i="3"/>
  <c r="DW322" i="3"/>
  <c r="DV322" i="3"/>
  <c r="DW362" i="3"/>
  <c r="DV362" i="3"/>
  <c r="DW361" i="3"/>
  <c r="DV361" i="3"/>
  <c r="DW329" i="3"/>
  <c r="DV329" i="3"/>
  <c r="DW342" i="3"/>
  <c r="DV342" i="3"/>
  <c r="DW340" i="3"/>
  <c r="DV340" i="3"/>
  <c r="DW347" i="3"/>
  <c r="DV347" i="3"/>
  <c r="DV367" i="3"/>
  <c r="DW367" i="3"/>
  <c r="DW339" i="3"/>
  <c r="DV339" i="3"/>
  <c r="DW346" i="3"/>
  <c r="DV346" i="3"/>
  <c r="DV326" i="3"/>
  <c r="DW326" i="3"/>
  <c r="DW366" i="3"/>
  <c r="DV366" i="3"/>
  <c r="DW348" i="3"/>
  <c r="DV348" i="3"/>
  <c r="DW352" i="3"/>
  <c r="DV352" i="3"/>
  <c r="DV324" i="3"/>
  <c r="DW324" i="3"/>
  <c r="DV327" i="3"/>
  <c r="DW327" i="3"/>
  <c r="DV330" i="3"/>
  <c r="DW330" i="3"/>
  <c r="DW331" i="3"/>
  <c r="DV331" i="3"/>
  <c r="DV359" i="3"/>
  <c r="DW359" i="3"/>
  <c r="DW351" i="3"/>
  <c r="DV351" i="3"/>
  <c r="DW349" i="3"/>
  <c r="DV349" i="3"/>
  <c r="DW323" i="3"/>
  <c r="DV323" i="3"/>
  <c r="DV364" i="3"/>
  <c r="DW364" i="3"/>
  <c r="DV354" i="3"/>
  <c r="DW354" i="3"/>
  <c r="DV357" i="3"/>
  <c r="DW357" i="3"/>
  <c r="DW325" i="3"/>
  <c r="DV325" i="3"/>
  <c r="DV368" i="3"/>
  <c r="DW368" i="3"/>
  <c r="DW337" i="3"/>
  <c r="DV337" i="3"/>
  <c r="DV282" i="3"/>
  <c r="DW282" i="3"/>
  <c r="DV188" i="3"/>
  <c r="DW188" i="3"/>
  <c r="DV275" i="3"/>
  <c r="DW275" i="3"/>
  <c r="DW117" i="3"/>
  <c r="DV117" i="3"/>
  <c r="DV258" i="3"/>
  <c r="DW258" i="3"/>
  <c r="DV202" i="3"/>
  <c r="DW202" i="3"/>
  <c r="DV238" i="3"/>
  <c r="DW238" i="3"/>
  <c r="DV170" i="3"/>
  <c r="DW170" i="3"/>
  <c r="DW279" i="3"/>
  <c r="DV279" i="3"/>
  <c r="DV150" i="3"/>
  <c r="DW150" i="3"/>
  <c r="DV22" i="3"/>
  <c r="DW22" i="3"/>
  <c r="DW229" i="3"/>
  <c r="DV229" i="3"/>
  <c r="DV88" i="3"/>
  <c r="DW88" i="3"/>
  <c r="DW61" i="3"/>
  <c r="DV61" i="3"/>
  <c r="DV199" i="3"/>
  <c r="DW199" i="3"/>
  <c r="DW286" i="3"/>
  <c r="DV286" i="3"/>
  <c r="DW74" i="3"/>
  <c r="DV74" i="3"/>
  <c r="DV198" i="3"/>
  <c r="DW198" i="3"/>
  <c r="DV70" i="3"/>
  <c r="DW70" i="3"/>
  <c r="DW157" i="3"/>
  <c r="DV157" i="3"/>
  <c r="DV178" i="3"/>
  <c r="DW178" i="3"/>
  <c r="DV110" i="3"/>
  <c r="DW110" i="3"/>
  <c r="DW217" i="3"/>
  <c r="DV217" i="3"/>
  <c r="DW15" i="3"/>
  <c r="DV15" i="3"/>
  <c r="DV111" i="3"/>
  <c r="DW111" i="3"/>
  <c r="DV239" i="3"/>
  <c r="DW239" i="3"/>
  <c r="DV303" i="3"/>
  <c r="DW303" i="3"/>
  <c r="DW151" i="3"/>
  <c r="DV151" i="3"/>
  <c r="DW253" i="3"/>
  <c r="DV253" i="3"/>
  <c r="DW81" i="3"/>
  <c r="DV81" i="3"/>
  <c r="DV90" i="3"/>
  <c r="DW90" i="3"/>
  <c r="DV206" i="3"/>
  <c r="DW206" i="3"/>
  <c r="DW104" i="3"/>
  <c r="DV104" i="3"/>
  <c r="DW19" i="3"/>
  <c r="DV19" i="3"/>
  <c r="DW93" i="3"/>
  <c r="DV93" i="3"/>
  <c r="DV84" i="3"/>
  <c r="DW84" i="3"/>
  <c r="DV311" i="3"/>
  <c r="DW311" i="3"/>
  <c r="DV294" i="3"/>
  <c r="DW294" i="3"/>
  <c r="DV38" i="3"/>
  <c r="DW38" i="3"/>
  <c r="DW131" i="3"/>
  <c r="DV131" i="3"/>
  <c r="DV192" i="3"/>
  <c r="DW192" i="3"/>
  <c r="DV112" i="3"/>
  <c r="DW112" i="3"/>
  <c r="DW179" i="3"/>
  <c r="DV179" i="3"/>
  <c r="DV162" i="3"/>
  <c r="DW162" i="3"/>
  <c r="DW291" i="3"/>
  <c r="DV291" i="3"/>
  <c r="DV42" i="3"/>
  <c r="DW42" i="3"/>
  <c r="DW113" i="3"/>
  <c r="DV113" i="3"/>
  <c r="DV300" i="3"/>
  <c r="DW300" i="3"/>
  <c r="DV172" i="3"/>
  <c r="DW172" i="3"/>
  <c r="DV44" i="3"/>
  <c r="DW44" i="3"/>
  <c r="DW135" i="3"/>
  <c r="DV135" i="3"/>
  <c r="DW254" i="3"/>
  <c r="DV254" i="3"/>
  <c r="DW62" i="3"/>
  <c r="DV62" i="3"/>
  <c r="DW373" i="3"/>
  <c r="DV373" i="3"/>
  <c r="DW161" i="3"/>
  <c r="DV161" i="3"/>
  <c r="DW284" i="3"/>
  <c r="DV284" i="3"/>
  <c r="DV28" i="3"/>
  <c r="DW28" i="3"/>
  <c r="DW164" i="3"/>
  <c r="DV164" i="3"/>
  <c r="DV119" i="3"/>
  <c r="DW119" i="3"/>
  <c r="DV118" i="3"/>
  <c r="DW118" i="3"/>
  <c r="DW149" i="3"/>
  <c r="DV149" i="3"/>
  <c r="DW193" i="3"/>
  <c r="DV193" i="3"/>
  <c r="DV272" i="3"/>
  <c r="DW272" i="3"/>
  <c r="DV242" i="3"/>
  <c r="DW242" i="3"/>
  <c r="DV280" i="3"/>
  <c r="DW280" i="3"/>
  <c r="DV46" i="3"/>
  <c r="DW46" i="3"/>
  <c r="DV120" i="3"/>
  <c r="DW120" i="3"/>
  <c r="DW168" i="3"/>
  <c r="DV168" i="3"/>
  <c r="DW177" i="3"/>
  <c r="DV177" i="3"/>
  <c r="DW40" i="3"/>
  <c r="DV40" i="3"/>
  <c r="DW105" i="3"/>
  <c r="DV105" i="3"/>
  <c r="DW169" i="3"/>
  <c r="DV169" i="3"/>
  <c r="DW249" i="3"/>
  <c r="DV249" i="3"/>
  <c r="DW27" i="3"/>
  <c r="DV27" i="3"/>
  <c r="DV59" i="3"/>
  <c r="DW59" i="3"/>
  <c r="DW91" i="3"/>
  <c r="DV91" i="3"/>
  <c r="DW123" i="3"/>
  <c r="DV123" i="3"/>
  <c r="DV155" i="3"/>
  <c r="DW155" i="3"/>
  <c r="DW187" i="3"/>
  <c r="DV187" i="3"/>
  <c r="DV219" i="3"/>
  <c r="DW219" i="3"/>
  <c r="DW251" i="3"/>
  <c r="DV251" i="3"/>
  <c r="DW265" i="3"/>
  <c r="DV265" i="3"/>
  <c r="DW73" i="3"/>
  <c r="DV73" i="3"/>
  <c r="DV194" i="3"/>
  <c r="DW194" i="3"/>
  <c r="DW35" i="3"/>
  <c r="DV35" i="3"/>
  <c r="DW314" i="3"/>
  <c r="DV314" i="3"/>
  <c r="DV262" i="3"/>
  <c r="DW262" i="3"/>
  <c r="DV103" i="3"/>
  <c r="DW103" i="3"/>
  <c r="DW30" i="3"/>
  <c r="DV30" i="3"/>
  <c r="DW29" i="3"/>
  <c r="DV29" i="3"/>
  <c r="DW274" i="3"/>
  <c r="DV274" i="3"/>
  <c r="DV18" i="3"/>
  <c r="DW18" i="3"/>
  <c r="DW276" i="3"/>
  <c r="DV276" i="3"/>
  <c r="DV20" i="3"/>
  <c r="DW20" i="3"/>
  <c r="DW205" i="3"/>
  <c r="DV205" i="3"/>
  <c r="DV51" i="3"/>
  <c r="DW51" i="3"/>
  <c r="DV98" i="3"/>
  <c r="DW98" i="3"/>
  <c r="DV154" i="3"/>
  <c r="DW154" i="3"/>
  <c r="DW204" i="3"/>
  <c r="DV204" i="3"/>
  <c r="DW125" i="3"/>
  <c r="DV125" i="3"/>
  <c r="DV100" i="3"/>
  <c r="DW100" i="3"/>
  <c r="DW257" i="3"/>
  <c r="DV257" i="3"/>
  <c r="DV208" i="3"/>
  <c r="DW208" i="3"/>
  <c r="DV128" i="3"/>
  <c r="DW128" i="3"/>
  <c r="DV211" i="3"/>
  <c r="DW211" i="3"/>
  <c r="DW312" i="3"/>
  <c r="DV312" i="3"/>
  <c r="DV26" i="3"/>
  <c r="DW26" i="3"/>
  <c r="DW89" i="3"/>
  <c r="DV89" i="3"/>
  <c r="DV47" i="3"/>
  <c r="DW47" i="3"/>
  <c r="DW143" i="3"/>
  <c r="DV143" i="3"/>
  <c r="DV207" i="3"/>
  <c r="DW207" i="3"/>
  <c r="DV271" i="3"/>
  <c r="DW271" i="3"/>
  <c r="DW233" i="3"/>
  <c r="DV233" i="3"/>
  <c r="DV267" i="3"/>
  <c r="DW267" i="3"/>
  <c r="DW299" i="3"/>
  <c r="DV299" i="3"/>
  <c r="DW41" i="3"/>
  <c r="DV41" i="3"/>
  <c r="DV160" i="3"/>
  <c r="DW160" i="3"/>
  <c r="DV124" i="3"/>
  <c r="DW124" i="3"/>
  <c r="DW260" i="3"/>
  <c r="DV260" i="3"/>
  <c r="DW200" i="3"/>
  <c r="DV200" i="3"/>
  <c r="DV142" i="3"/>
  <c r="DW142" i="3"/>
  <c r="DV122" i="3"/>
  <c r="DW122" i="3"/>
  <c r="DV308" i="3"/>
  <c r="DW308" i="3"/>
  <c r="DW243" i="3"/>
  <c r="DV243" i="3"/>
  <c r="DV24" i="3"/>
  <c r="DW24" i="3"/>
  <c r="DV39" i="3"/>
  <c r="DW39" i="3"/>
  <c r="DW181" i="3"/>
  <c r="DV181" i="3"/>
  <c r="DW68" i="3"/>
  <c r="DV68" i="3"/>
  <c r="DV52" i="3"/>
  <c r="DW52" i="3"/>
  <c r="DW289" i="3"/>
  <c r="DV289" i="3"/>
  <c r="DW77" i="3"/>
  <c r="DV77" i="3"/>
  <c r="DV144" i="3"/>
  <c r="DW144" i="3"/>
  <c r="DV130" i="3"/>
  <c r="DW130" i="3"/>
  <c r="DV316" i="3"/>
  <c r="DW316" i="3"/>
  <c r="DV60" i="3"/>
  <c r="DW60" i="3"/>
  <c r="DW209" i="3"/>
  <c r="DV209" i="3"/>
  <c r="DW138" i="3"/>
  <c r="DV138" i="3"/>
  <c r="DW129" i="3"/>
  <c r="DV129" i="3"/>
  <c r="DW304" i="3"/>
  <c r="DV304" i="3"/>
  <c r="DV78" i="3"/>
  <c r="DW78" i="3"/>
  <c r="DV216" i="3"/>
  <c r="DW216" i="3"/>
  <c r="DW221" i="3"/>
  <c r="DV221" i="3"/>
  <c r="DW195" i="3"/>
  <c r="DV195" i="3"/>
  <c r="DW261" i="3"/>
  <c r="DV261" i="3"/>
  <c r="DW231" i="3"/>
  <c r="DV231" i="3"/>
  <c r="DV302" i="3"/>
  <c r="DW302" i="3"/>
  <c r="DW158" i="3"/>
  <c r="DV158" i="3"/>
  <c r="DW97" i="3"/>
  <c r="DV97" i="3"/>
  <c r="DW165" i="3"/>
  <c r="DV165" i="3"/>
  <c r="DV278" i="3"/>
  <c r="DW278" i="3"/>
  <c r="DV86" i="3"/>
  <c r="DW86" i="3"/>
  <c r="DW277" i="3"/>
  <c r="DV277" i="3"/>
  <c r="DW141" i="3"/>
  <c r="DV141" i="3"/>
  <c r="DV96" i="3"/>
  <c r="DW96" i="3"/>
  <c r="DV147" i="3"/>
  <c r="DW147" i="3"/>
  <c r="DW146" i="3"/>
  <c r="DV146" i="3"/>
  <c r="DW49" i="3"/>
  <c r="DV49" i="3"/>
  <c r="DV148" i="3"/>
  <c r="DW148" i="3"/>
  <c r="DW87" i="3"/>
  <c r="DV87" i="3"/>
  <c r="DV102" i="3"/>
  <c r="DW102" i="3"/>
  <c r="DV56" i="3"/>
  <c r="DW56" i="3"/>
  <c r="DW85" i="3"/>
  <c r="DV85" i="3"/>
  <c r="DV256" i="3"/>
  <c r="DW256" i="3"/>
  <c r="DW307" i="3"/>
  <c r="DV307" i="3"/>
  <c r="DV226" i="3"/>
  <c r="DW226" i="3"/>
  <c r="DW99" i="3"/>
  <c r="DV99" i="3"/>
  <c r="DW197" i="3"/>
  <c r="DV197" i="3"/>
  <c r="DW317" i="3"/>
  <c r="DV317" i="3"/>
  <c r="DV140" i="3"/>
  <c r="DW140" i="3"/>
  <c r="DV12" i="3"/>
  <c r="DW12" i="3"/>
  <c r="DW71" i="3"/>
  <c r="DV71" i="3"/>
  <c r="DV222" i="3"/>
  <c r="DW222" i="3"/>
  <c r="DW309" i="3"/>
  <c r="DV309" i="3"/>
  <c r="DW259" i="3"/>
  <c r="DV259" i="3"/>
  <c r="DW180" i="3"/>
  <c r="DV180" i="3"/>
  <c r="DV134" i="3"/>
  <c r="DW134" i="3"/>
  <c r="DV220" i="3"/>
  <c r="DW220" i="3"/>
  <c r="DW37" i="3"/>
  <c r="DV37" i="3"/>
  <c r="DW17" i="3"/>
  <c r="DV17" i="3"/>
  <c r="DW228" i="3"/>
  <c r="DV228" i="3"/>
  <c r="DW247" i="3"/>
  <c r="DV247" i="3"/>
  <c r="DV182" i="3"/>
  <c r="DW182" i="3"/>
  <c r="DW296" i="3"/>
  <c r="DV296" i="3"/>
  <c r="DV58" i="3"/>
  <c r="DW58" i="3"/>
  <c r="DW13" i="3"/>
  <c r="DV13" i="3"/>
  <c r="DW306" i="3"/>
  <c r="DV306" i="3"/>
  <c r="DW50" i="3"/>
  <c r="DV50" i="3"/>
  <c r="DW232" i="3"/>
  <c r="DV232" i="3"/>
  <c r="DW268" i="3"/>
  <c r="DV268" i="3"/>
  <c r="DW245" i="3"/>
  <c r="DV245" i="3"/>
  <c r="DV163" i="3"/>
  <c r="DW163" i="3"/>
  <c r="DW25" i="3"/>
  <c r="DV25" i="3"/>
  <c r="DW121" i="3"/>
  <c r="DV121" i="3"/>
  <c r="DW185" i="3"/>
  <c r="DV185" i="3"/>
  <c r="DW31" i="3"/>
  <c r="DV31" i="3"/>
  <c r="DV63" i="3"/>
  <c r="DW63" i="3"/>
  <c r="DW95" i="3"/>
  <c r="DV95" i="3"/>
  <c r="DV127" i="3"/>
  <c r="DW127" i="3"/>
  <c r="DW159" i="3"/>
  <c r="DV159" i="3"/>
  <c r="DW191" i="3"/>
  <c r="DV191" i="3"/>
  <c r="DV223" i="3"/>
  <c r="DW223" i="3"/>
  <c r="DW255" i="3"/>
  <c r="DV255" i="3"/>
  <c r="DW287" i="3"/>
  <c r="DV287" i="3"/>
  <c r="DV319" i="3"/>
  <c r="DW319" i="3"/>
  <c r="DV283" i="3"/>
  <c r="DW283" i="3"/>
  <c r="DW315" i="3"/>
  <c r="DV315" i="3"/>
  <c r="DW45" i="3"/>
  <c r="DV45" i="3"/>
  <c r="DV132" i="3"/>
  <c r="DW132" i="3"/>
  <c r="DW252" i="3"/>
  <c r="DV252" i="3"/>
  <c r="DV295" i="3"/>
  <c r="DW295" i="3"/>
  <c r="DV116" i="3"/>
  <c r="DW116" i="3"/>
  <c r="DW678" i="3"/>
  <c r="DV678" i="3"/>
  <c r="DV224" i="3"/>
  <c r="DW224" i="3"/>
  <c r="DW305" i="3"/>
  <c r="DV305" i="3"/>
  <c r="DV55" i="3"/>
  <c r="DW55" i="3"/>
  <c r="DV230" i="3"/>
  <c r="DW230" i="3"/>
  <c r="DW301" i="3"/>
  <c r="DV301" i="3"/>
  <c r="DV186" i="3"/>
  <c r="DW186" i="3"/>
  <c r="DV48" i="3"/>
  <c r="DW48" i="3"/>
  <c r="DV76" i="3"/>
  <c r="DW76" i="3"/>
  <c r="DW126" i="3"/>
  <c r="DV126" i="3"/>
  <c r="DW109" i="3"/>
  <c r="DV109" i="3"/>
  <c r="DV115" i="3"/>
  <c r="DW115" i="3"/>
  <c r="DV92" i="3"/>
  <c r="DW92" i="3"/>
  <c r="DV310" i="3"/>
  <c r="DW310" i="3"/>
  <c r="DV54" i="3"/>
  <c r="DW54" i="3"/>
  <c r="DV227" i="3"/>
  <c r="DW227" i="3"/>
  <c r="DW241" i="3"/>
  <c r="DV241" i="3"/>
  <c r="DW153" i="3"/>
  <c r="DV153" i="3"/>
  <c r="DW79" i="3"/>
  <c r="DV79" i="3"/>
  <c r="DV175" i="3"/>
  <c r="DW175" i="3"/>
  <c r="DW285" i="3"/>
  <c r="DV285" i="3"/>
  <c r="DW237" i="3"/>
  <c r="DV237" i="3"/>
  <c r="DV82" i="3"/>
  <c r="DW82" i="3"/>
  <c r="DW244" i="3"/>
  <c r="DV244" i="3"/>
  <c r="DW23" i="3"/>
  <c r="DV23" i="3"/>
  <c r="DW33" i="3"/>
  <c r="DV33" i="3"/>
  <c r="DW80" i="3"/>
  <c r="DV80" i="3"/>
  <c r="DV67" i="3"/>
  <c r="DW67" i="3"/>
  <c r="DW145" i="3"/>
  <c r="DV145" i="3"/>
  <c r="DW183" i="3"/>
  <c r="DV183" i="3"/>
  <c r="DV214" i="3"/>
  <c r="DW214" i="3"/>
  <c r="DW65" i="3"/>
  <c r="DV65" i="3"/>
  <c r="DW240" i="3"/>
  <c r="DV240" i="3"/>
  <c r="DV32" i="3"/>
  <c r="DW32" i="3"/>
  <c r="DV14" i="3"/>
  <c r="DW14" i="3"/>
  <c r="DW101" i="3"/>
  <c r="DV101" i="3"/>
  <c r="DW213" i="3"/>
  <c r="DV213" i="3"/>
  <c r="DW16" i="3"/>
  <c r="DV16" i="3"/>
  <c r="DV66" i="3"/>
  <c r="DW66" i="3"/>
  <c r="DV298" i="3"/>
  <c r="DW298" i="3"/>
  <c r="DW133" i="3"/>
  <c r="DV133" i="3"/>
  <c r="DV167" i="3"/>
  <c r="DW167" i="3"/>
  <c r="DV270" i="3"/>
  <c r="DW270" i="3"/>
  <c r="DW94" i="3"/>
  <c r="DV94" i="3"/>
  <c r="DW264" i="3"/>
  <c r="DV264" i="3"/>
  <c r="DV196" i="3"/>
  <c r="DW196" i="3"/>
  <c r="DW173" i="3"/>
  <c r="DV173" i="3"/>
  <c r="DW176" i="3"/>
  <c r="DV176" i="3"/>
  <c r="DW210" i="3"/>
  <c r="DV210" i="3"/>
  <c r="DV184" i="3"/>
  <c r="DW184" i="3"/>
  <c r="DW273" i="3"/>
  <c r="DV273" i="3"/>
  <c r="DW212" i="3"/>
  <c r="DV212" i="3"/>
  <c r="DV215" i="3"/>
  <c r="DW215" i="3"/>
  <c r="DV166" i="3"/>
  <c r="DW166" i="3"/>
  <c r="DV248" i="3"/>
  <c r="DW248" i="3"/>
  <c r="DW21" i="3"/>
  <c r="DV21" i="3"/>
  <c r="DW320" i="3"/>
  <c r="DV320" i="3"/>
  <c r="DV290" i="3"/>
  <c r="DW290" i="3"/>
  <c r="DV34" i="3"/>
  <c r="DW34" i="3"/>
  <c r="DV234" i="3"/>
  <c r="DW234" i="3"/>
  <c r="DW69" i="3"/>
  <c r="DV69" i="3"/>
  <c r="DW189" i="3"/>
  <c r="DV189" i="3"/>
  <c r="DW236" i="3"/>
  <c r="DV236" i="3"/>
  <c r="DV108" i="3"/>
  <c r="DW108" i="3"/>
  <c r="DV318" i="3"/>
  <c r="DW318" i="3"/>
  <c r="DV190" i="3"/>
  <c r="DW190" i="3"/>
  <c r="DW53" i="3"/>
  <c r="DV53" i="3"/>
  <c r="DV266" i="3"/>
  <c r="DW266" i="3"/>
  <c r="DV152" i="3"/>
  <c r="DW152" i="3"/>
  <c r="DV106" i="3"/>
  <c r="DW106" i="3"/>
  <c r="DV288" i="3"/>
  <c r="DW288" i="3"/>
  <c r="DV156" i="3"/>
  <c r="DW156" i="3"/>
  <c r="DW293" i="3"/>
  <c r="DV293" i="3"/>
  <c r="DW292" i="3"/>
  <c r="DV292" i="3"/>
  <c r="DW36" i="3"/>
  <c r="DV36" i="3"/>
  <c r="DV246" i="3"/>
  <c r="DW246" i="3"/>
  <c r="DV250" i="3"/>
  <c r="DW250" i="3"/>
  <c r="DW269" i="3"/>
  <c r="DV269" i="3"/>
  <c r="DV64" i="3"/>
  <c r="DW64" i="3"/>
  <c r="DW83" i="3"/>
  <c r="DV83" i="3"/>
  <c r="DW114" i="3"/>
  <c r="DV114" i="3"/>
  <c r="DV263" i="3"/>
  <c r="DW263" i="3"/>
  <c r="DV174" i="3"/>
  <c r="DW174" i="3"/>
  <c r="DW225" i="3"/>
  <c r="DV225" i="3"/>
  <c r="DV218" i="3"/>
  <c r="DW218" i="3"/>
  <c r="DV72" i="3"/>
  <c r="DW72" i="3"/>
  <c r="DV136" i="3"/>
  <c r="DW136" i="3"/>
  <c r="DW281" i="3"/>
  <c r="DV281" i="3"/>
  <c r="DW137" i="3"/>
  <c r="DV137" i="3"/>
  <c r="DV43" i="3"/>
  <c r="DW43" i="3"/>
  <c r="DW75" i="3"/>
  <c r="DV75" i="3"/>
  <c r="DV107" i="3"/>
  <c r="DW107" i="3"/>
  <c r="DV139" i="3"/>
  <c r="DW139" i="3"/>
  <c r="DW171" i="3"/>
  <c r="DV171" i="3"/>
  <c r="DV203" i="3"/>
  <c r="DW203" i="3"/>
  <c r="DW235" i="3"/>
  <c r="DV235" i="3"/>
  <c r="DW313" i="3"/>
  <c r="DV313" i="3"/>
  <c r="DW57" i="3"/>
  <c r="DV57" i="3"/>
  <c r="DW201" i="3"/>
  <c r="DV201" i="3"/>
  <c r="DW297" i="3"/>
  <c r="DV297" i="3"/>
  <c r="DU397" i="3" l="1"/>
  <c r="DU393" i="3"/>
  <c r="DU396" i="3"/>
  <c r="DU412" i="3"/>
  <c r="DU410" i="3"/>
  <c r="DU407" i="3"/>
  <c r="DU402" i="3"/>
  <c r="DU399" i="3"/>
  <c r="DU414" i="3"/>
  <c r="DU411" i="3"/>
  <c r="DU385" i="3"/>
  <c r="DU418" i="3"/>
  <c r="DU415" i="3"/>
  <c r="DU409" i="3"/>
  <c r="DU406" i="3"/>
  <c r="DU408" i="3"/>
  <c r="DU413" i="3"/>
  <c r="DU391" i="3"/>
  <c r="DU387" i="3"/>
  <c r="DU377" i="3"/>
  <c r="DU386" i="3"/>
  <c r="DU398" i="3"/>
  <c r="DU389" i="3"/>
  <c r="DU403" i="3"/>
  <c r="DU419" i="3"/>
  <c r="DU380" i="3"/>
  <c r="DU384" i="3"/>
  <c r="DU381" i="3"/>
  <c r="DU388" i="3"/>
  <c r="DU383" i="3"/>
  <c r="DU395" i="3"/>
  <c r="DU400" i="3"/>
  <c r="DU417" i="3"/>
  <c r="DU404" i="3"/>
  <c r="DU374" i="3"/>
  <c r="DU376" i="3"/>
  <c r="DU405" i="3"/>
  <c r="DU401" i="3"/>
  <c r="DU416" i="3"/>
  <c r="DU392" i="3"/>
  <c r="DU378" i="3"/>
  <c r="DU420" i="3"/>
  <c r="DU375" i="3"/>
  <c r="DU390" i="3"/>
  <c r="DU382" i="3"/>
  <c r="DU379" i="3"/>
  <c r="DU394" i="3"/>
  <c r="DU360" i="3"/>
  <c r="DU33" i="3"/>
  <c r="DU175" i="3"/>
  <c r="DU153" i="3"/>
  <c r="DU227" i="3"/>
  <c r="DU310" i="3"/>
  <c r="DU115" i="3"/>
  <c r="DU48" i="3"/>
  <c r="DU55" i="3"/>
  <c r="DU224" i="3"/>
  <c r="DU116" i="3"/>
  <c r="DU283" i="3"/>
  <c r="DU223" i="3"/>
  <c r="DU163" i="3"/>
  <c r="DU17" i="3"/>
  <c r="DU220" i="3"/>
  <c r="DU140" i="3"/>
  <c r="DU226" i="3"/>
  <c r="DU256" i="3"/>
  <c r="DU56" i="3"/>
  <c r="DU49" i="3"/>
  <c r="DU147" i="3"/>
  <c r="DU141" i="3"/>
  <c r="DU86" i="3"/>
  <c r="DU216" i="3"/>
  <c r="DU60" i="3"/>
  <c r="DU130" i="3"/>
  <c r="DU52" i="3"/>
  <c r="DU24" i="3"/>
  <c r="DU308" i="3"/>
  <c r="DU142" i="3"/>
  <c r="DU160" i="3"/>
  <c r="DU233" i="3"/>
  <c r="DU207" i="3"/>
  <c r="DU47" i="3"/>
  <c r="DU26" i="3"/>
  <c r="DU211" i="3"/>
  <c r="DU208" i="3"/>
  <c r="DU100" i="3"/>
  <c r="DU98" i="3"/>
  <c r="DU262" i="3"/>
  <c r="DU35" i="3"/>
  <c r="DU73" i="3"/>
  <c r="DU59" i="3"/>
  <c r="DU249" i="3"/>
  <c r="DU105" i="3"/>
  <c r="DU120" i="3"/>
  <c r="DU280" i="3"/>
  <c r="DU272" i="3"/>
  <c r="DU119" i="3"/>
  <c r="DU28" i="3"/>
  <c r="DU172" i="3"/>
  <c r="DU113" i="3"/>
  <c r="DU192" i="3"/>
  <c r="DU38" i="3"/>
  <c r="DU311" i="3"/>
  <c r="DU93" i="3"/>
  <c r="DU90" i="3"/>
  <c r="DU253" i="3"/>
  <c r="DU239" i="3"/>
  <c r="DU110" i="3"/>
  <c r="DU157" i="3"/>
  <c r="DU198" i="3"/>
  <c r="DU61" i="3"/>
  <c r="DU229" i="3"/>
  <c r="DU150" i="3"/>
  <c r="DU170" i="3"/>
  <c r="DU202" i="3"/>
  <c r="DU188" i="3"/>
  <c r="DU325" i="3"/>
  <c r="DU354" i="3"/>
  <c r="DU323" i="3"/>
  <c r="DU351" i="3"/>
  <c r="DU331" i="3"/>
  <c r="DU327" i="3"/>
  <c r="DU366" i="3"/>
  <c r="DU346" i="3"/>
  <c r="DU367" i="3"/>
  <c r="DU340" i="3"/>
  <c r="DU329" i="3"/>
  <c r="DU362" i="3"/>
  <c r="DU350" i="3"/>
  <c r="DU335" i="3"/>
  <c r="DU344" i="3"/>
  <c r="DU328" i="3"/>
  <c r="DU353" i="3"/>
  <c r="DU338" i="3"/>
  <c r="DU355" i="3"/>
  <c r="DU333" i="3"/>
  <c r="DU370" i="3"/>
  <c r="DU23" i="3"/>
  <c r="DU79" i="3"/>
  <c r="DU109" i="3"/>
  <c r="DU678" i="3"/>
  <c r="DU315" i="3"/>
  <c r="DU255" i="3"/>
  <c r="DU191" i="3"/>
  <c r="DU232" i="3"/>
  <c r="DU306" i="3"/>
  <c r="DU228" i="3"/>
  <c r="DU37" i="3"/>
  <c r="DU259" i="3"/>
  <c r="DU99" i="3"/>
  <c r="DU307" i="3"/>
  <c r="DU146" i="3"/>
  <c r="DU261" i="3"/>
  <c r="DU129" i="3"/>
  <c r="DU209" i="3"/>
  <c r="DU68" i="3"/>
  <c r="DU243" i="3"/>
  <c r="DU200" i="3"/>
  <c r="DU143" i="3"/>
  <c r="DU89" i="3"/>
  <c r="DU312" i="3"/>
  <c r="DU91" i="3"/>
  <c r="DU27" i="3"/>
  <c r="DU40" i="3"/>
  <c r="DU168" i="3"/>
  <c r="DU193" i="3"/>
  <c r="DU349" i="3"/>
  <c r="DU348" i="3"/>
  <c r="DU361" i="3"/>
  <c r="DU336" i="3"/>
  <c r="DU363" i="3"/>
  <c r="DU365" i="3"/>
  <c r="DU75" i="3"/>
  <c r="DU225" i="3"/>
  <c r="DU83" i="3"/>
  <c r="DU292" i="3"/>
  <c r="DU212" i="3"/>
  <c r="DU176" i="3"/>
  <c r="DU94" i="3"/>
  <c r="DU16" i="3"/>
  <c r="DU183" i="3"/>
  <c r="DU337" i="3"/>
  <c r="DU352" i="3"/>
  <c r="DU356" i="3"/>
  <c r="DU341" i="3"/>
  <c r="DU372" i="3"/>
  <c r="DU57" i="3"/>
  <c r="DU107" i="3"/>
  <c r="DU43" i="3"/>
  <c r="DU137" i="3"/>
  <c r="DU136" i="3"/>
  <c r="DU218" i="3"/>
  <c r="DU174" i="3"/>
  <c r="DU64" i="3"/>
  <c r="DU250" i="3"/>
  <c r="DU293" i="3"/>
  <c r="DU288" i="3"/>
  <c r="DU152" i="3"/>
  <c r="DU318" i="3"/>
  <c r="DU34" i="3"/>
  <c r="DU248" i="3"/>
  <c r="DU215" i="3"/>
  <c r="DU273" i="3"/>
  <c r="DU173" i="3"/>
  <c r="DU270" i="3"/>
  <c r="DU66" i="3"/>
  <c r="DU213" i="3"/>
  <c r="DU14" i="3"/>
  <c r="DU214" i="3"/>
  <c r="DU44" i="3"/>
  <c r="DU300" i="3"/>
  <c r="DU42" i="3"/>
  <c r="DU162" i="3"/>
  <c r="DU112" i="3"/>
  <c r="DU294" i="3"/>
  <c r="DU84" i="3"/>
  <c r="DU19" i="3"/>
  <c r="DU206" i="3"/>
  <c r="DU81" i="3"/>
  <c r="DU303" i="3"/>
  <c r="DU111" i="3"/>
  <c r="DU217" i="3"/>
  <c r="DU178" i="3"/>
  <c r="DU70" i="3"/>
  <c r="DU199" i="3"/>
  <c r="DU88" i="3"/>
  <c r="DU22" i="3"/>
  <c r="DU238" i="3"/>
  <c r="DU258" i="3"/>
  <c r="DU275" i="3"/>
  <c r="DU282" i="3"/>
  <c r="DU368" i="3"/>
  <c r="DU357" i="3"/>
  <c r="DU364" i="3"/>
  <c r="DU359" i="3"/>
  <c r="DU330" i="3"/>
  <c r="DU324" i="3"/>
  <c r="DU326" i="3"/>
  <c r="DU339" i="3"/>
  <c r="DU347" i="3"/>
  <c r="DU342" i="3"/>
  <c r="DU322" i="3"/>
  <c r="DU371" i="3"/>
  <c r="DU358" i="3"/>
  <c r="DU332" i="3"/>
  <c r="DU345" i="3"/>
  <c r="DU369" i="3"/>
  <c r="DU321" i="3"/>
  <c r="DU334" i="3"/>
  <c r="DU343" i="3"/>
  <c r="DU297" i="3"/>
  <c r="DU69" i="3"/>
  <c r="DU320" i="3"/>
  <c r="DU240" i="3"/>
  <c r="DU145" i="3"/>
  <c r="DU237" i="3"/>
  <c r="DU45" i="3"/>
  <c r="DU95" i="3"/>
  <c r="DU121" i="3"/>
  <c r="DU268" i="3"/>
  <c r="DU50" i="3"/>
  <c r="DU13" i="3"/>
  <c r="DU247" i="3"/>
  <c r="DU180" i="3"/>
  <c r="DU309" i="3"/>
  <c r="DU71" i="3"/>
  <c r="DU197" i="3"/>
  <c r="DU87" i="3"/>
  <c r="DU165" i="3"/>
  <c r="DU158" i="3"/>
  <c r="DU231" i="3"/>
  <c r="DU195" i="3"/>
  <c r="DU304" i="3"/>
  <c r="DU138" i="3"/>
  <c r="DU77" i="3"/>
  <c r="DU181" i="3"/>
  <c r="DU260" i="3"/>
  <c r="DU299" i="3"/>
  <c r="DU204" i="3"/>
  <c r="DU205" i="3"/>
  <c r="DU276" i="3"/>
  <c r="DU274" i="3"/>
  <c r="DU30" i="3"/>
  <c r="DU251" i="3"/>
  <c r="DU187" i="3"/>
  <c r="DU123" i="3"/>
  <c r="DU177" i="3"/>
  <c r="DU149" i="3"/>
  <c r="DU161" i="3"/>
  <c r="DU62" i="3"/>
  <c r="DU135" i="3"/>
  <c r="DU291" i="3"/>
  <c r="DU179" i="3"/>
  <c r="DU104" i="3"/>
  <c r="DU15" i="3"/>
  <c r="DU286" i="3"/>
  <c r="DU117" i="3"/>
  <c r="DU235" i="3"/>
  <c r="DU171" i="3"/>
  <c r="DU114" i="3"/>
  <c r="DU36" i="3"/>
  <c r="DU53" i="3"/>
  <c r="DU236" i="3"/>
  <c r="DU210" i="3"/>
  <c r="DU264" i="3"/>
  <c r="DU133" i="3"/>
  <c r="DU80" i="3"/>
  <c r="DU244" i="3"/>
  <c r="DU126" i="3"/>
  <c r="DU301" i="3"/>
  <c r="DU252" i="3"/>
  <c r="DU287" i="3"/>
  <c r="DU159" i="3"/>
  <c r="DU31" i="3"/>
  <c r="DU296" i="3"/>
  <c r="DU201" i="3"/>
  <c r="DU313" i="3"/>
  <c r="DU203" i="3"/>
  <c r="DU139" i="3"/>
  <c r="DU281" i="3"/>
  <c r="DU72" i="3"/>
  <c r="DU263" i="3"/>
  <c r="DU269" i="3"/>
  <c r="DU246" i="3"/>
  <c r="DU156" i="3"/>
  <c r="DU106" i="3"/>
  <c r="DU266" i="3"/>
  <c r="DU190" i="3"/>
  <c r="DU108" i="3"/>
  <c r="DU189" i="3"/>
  <c r="DU234" i="3"/>
  <c r="DU290" i="3"/>
  <c r="DU21" i="3"/>
  <c r="DU166" i="3"/>
  <c r="DU184" i="3"/>
  <c r="DU196" i="3"/>
  <c r="DU167" i="3"/>
  <c r="DU298" i="3"/>
  <c r="DU101" i="3"/>
  <c r="DU32" i="3"/>
  <c r="DU65" i="3"/>
  <c r="DU67" i="3"/>
  <c r="DU82" i="3"/>
  <c r="DU285" i="3"/>
  <c r="DU241" i="3"/>
  <c r="DU54" i="3"/>
  <c r="DU92" i="3"/>
  <c r="DU76" i="3"/>
  <c r="DU186" i="3"/>
  <c r="DU230" i="3"/>
  <c r="DU305" i="3"/>
  <c r="DU295" i="3"/>
  <c r="DU132" i="3"/>
  <c r="DU319" i="3"/>
  <c r="DU127" i="3"/>
  <c r="DU63" i="3"/>
  <c r="DU185" i="3"/>
  <c r="DU25" i="3"/>
  <c r="DU245" i="3"/>
  <c r="DU58" i="3"/>
  <c r="DU182" i="3"/>
  <c r="DU134" i="3"/>
  <c r="DU222" i="3"/>
  <c r="DU12" i="3"/>
  <c r="DU317" i="3"/>
  <c r="DU85" i="3"/>
  <c r="DU102" i="3"/>
  <c r="DU148" i="3"/>
  <c r="DU96" i="3"/>
  <c r="DU277" i="3"/>
  <c r="DU278" i="3"/>
  <c r="DU97" i="3"/>
  <c r="DU302" i="3"/>
  <c r="DU221" i="3"/>
  <c r="DU78" i="3"/>
  <c r="DU316" i="3"/>
  <c r="DU144" i="3"/>
  <c r="DU289" i="3"/>
  <c r="DU39" i="3"/>
  <c r="DU122" i="3"/>
  <c r="DU124" i="3"/>
  <c r="DU41" i="3"/>
  <c r="DU267" i="3"/>
  <c r="DU271" i="3"/>
  <c r="DU128" i="3"/>
  <c r="DU257" i="3"/>
  <c r="DU125" i="3"/>
  <c r="DU154" i="3"/>
  <c r="DU51" i="3"/>
  <c r="DU20" i="3"/>
  <c r="DU18" i="3"/>
  <c r="DU29" i="3"/>
  <c r="DU103" i="3"/>
  <c r="DU314" i="3"/>
  <c r="DU194" i="3"/>
  <c r="DU265" i="3"/>
  <c r="DU219" i="3"/>
  <c r="DU155" i="3"/>
  <c r="DU169" i="3"/>
  <c r="DU46" i="3"/>
  <c r="DU242" i="3"/>
  <c r="DU118" i="3"/>
  <c r="DU164" i="3"/>
  <c r="DU284" i="3"/>
  <c r="DU373" i="3"/>
  <c r="DU254" i="3"/>
  <c r="DU131" i="3"/>
  <c r="DU151" i="3"/>
  <c r="DU74" i="3"/>
  <c r="DU279" i="3"/>
  <c r="C680" i="3" l="1"/>
  <c r="C681" i="3"/>
  <c r="K281" i="8" l="1"/>
  <c r="K284" i="8"/>
  <c r="K283" i="8"/>
  <c r="K285" i="8"/>
  <c r="K286" i="8"/>
  <c r="K282" i="8"/>
  <c r="K288" i="8" l="1"/>
  <c r="K287" i="8"/>
  <c r="K276" i="8"/>
  <c r="K280" i="8"/>
  <c r="K274" i="8"/>
  <c r="K275" i="8"/>
  <c r="K279" i="8"/>
  <c r="K277" i="8"/>
  <c r="K278" i="8"/>
  <c r="K273" i="8"/>
  <c r="K264" i="8" l="1"/>
  <c r="K272" i="8"/>
  <c r="K256" i="8"/>
  <c r="K270" i="8"/>
  <c r="K266" i="8"/>
  <c r="K265" i="8"/>
  <c r="K257" i="8"/>
  <c r="K267" i="8"/>
  <c r="K259" i="8"/>
  <c r="K258" i="8"/>
  <c r="K271" i="8"/>
  <c r="K263" i="8"/>
  <c r="K262" i="8"/>
  <c r="K268" i="8"/>
  <c r="K260" i="8"/>
  <c r="K269" i="8"/>
  <c r="K261" i="8"/>
  <c r="K251" i="8" l="1"/>
  <c r="K254" i="8"/>
  <c r="K250" i="8"/>
  <c r="K247" i="8"/>
  <c r="K255" i="8"/>
  <c r="K252" i="8"/>
  <c r="K253" i="8"/>
  <c r="K248" i="8"/>
  <c r="K249" i="8"/>
  <c r="K246" i="8" l="1"/>
  <c r="K229" i="8" l="1"/>
  <c r="K241" i="8" l="1"/>
  <c r="K238" i="8" l="1"/>
  <c r="K243" i="8"/>
  <c r="K242" i="8"/>
  <c r="K239" i="8"/>
  <c r="K240" i="8"/>
  <c r="K244" i="8"/>
  <c r="K245" i="8"/>
  <c r="CW4" i="3"/>
  <c r="DP4" i="3"/>
  <c r="K115" i="8" l="1"/>
  <c r="K114" i="8"/>
  <c r="K113" i="8"/>
  <c r="C6" i="8"/>
  <c r="B6" i="8"/>
  <c r="D10" i="7"/>
  <c r="C625" i="5"/>
  <c r="G624" i="5"/>
  <c r="F624" i="5"/>
  <c r="G623" i="5"/>
  <c r="F623" i="5"/>
  <c r="G622" i="5"/>
  <c r="F622" i="5"/>
  <c r="G621" i="5"/>
  <c r="F621" i="5"/>
  <c r="G620" i="5"/>
  <c r="F620" i="5"/>
  <c r="G619" i="5"/>
  <c r="F619" i="5"/>
  <c r="G618" i="5"/>
  <c r="F618" i="5"/>
  <c r="G617" i="5"/>
  <c r="F617" i="5"/>
  <c r="G616" i="5"/>
  <c r="F616" i="5"/>
  <c r="G615" i="5"/>
  <c r="F615" i="5"/>
  <c r="G614" i="5"/>
  <c r="F614" i="5"/>
  <c r="G613" i="5"/>
  <c r="F613" i="5"/>
  <c r="G612" i="5"/>
  <c r="F612" i="5"/>
  <c r="G611" i="5"/>
  <c r="F611" i="5"/>
  <c r="G610" i="5"/>
  <c r="F610" i="5"/>
  <c r="G609" i="5"/>
  <c r="F609" i="5"/>
  <c r="G608" i="5"/>
  <c r="F608" i="5"/>
  <c r="G607" i="5"/>
  <c r="F607" i="5"/>
  <c r="G606" i="5"/>
  <c r="F606" i="5"/>
  <c r="G605" i="5"/>
  <c r="F605" i="5"/>
  <c r="G604" i="5"/>
  <c r="F604" i="5"/>
  <c r="G603" i="5"/>
  <c r="F603" i="5"/>
  <c r="G602" i="5"/>
  <c r="F602" i="5"/>
  <c r="G601" i="5"/>
  <c r="F601" i="5"/>
  <c r="G600" i="5"/>
  <c r="F600" i="5"/>
  <c r="G599" i="5"/>
  <c r="F599" i="5"/>
  <c r="G598" i="5"/>
  <c r="F598" i="5"/>
  <c r="G597" i="5"/>
  <c r="F597" i="5"/>
  <c r="G596" i="5"/>
  <c r="F596" i="5"/>
  <c r="G595" i="5"/>
  <c r="F595" i="5"/>
  <c r="G594" i="5"/>
  <c r="F594" i="5"/>
  <c r="G593" i="5"/>
  <c r="F593" i="5"/>
  <c r="G592" i="5"/>
  <c r="F592" i="5"/>
  <c r="G591" i="5"/>
  <c r="F591" i="5"/>
  <c r="G590" i="5"/>
  <c r="F590" i="5"/>
  <c r="G589" i="5"/>
  <c r="F589" i="5"/>
  <c r="G588" i="5"/>
  <c r="F588" i="5"/>
  <c r="G587" i="5"/>
  <c r="F587" i="5"/>
  <c r="G586" i="5"/>
  <c r="F586" i="5"/>
  <c r="G585" i="5"/>
  <c r="F585" i="5"/>
  <c r="G584" i="5"/>
  <c r="F584" i="5"/>
  <c r="G583" i="5"/>
  <c r="F583" i="5"/>
  <c r="G582" i="5"/>
  <c r="F582" i="5"/>
  <c r="G581" i="5"/>
  <c r="F581" i="5"/>
  <c r="G580" i="5"/>
  <c r="F580" i="5"/>
  <c r="G579" i="5"/>
  <c r="F579" i="5"/>
  <c r="G578" i="5"/>
  <c r="F578" i="5"/>
  <c r="G577" i="5"/>
  <c r="F577" i="5"/>
  <c r="G576" i="5"/>
  <c r="F576" i="5"/>
  <c r="G575" i="5"/>
  <c r="F575" i="5"/>
  <c r="G574" i="5"/>
  <c r="F574" i="5"/>
  <c r="G573" i="5"/>
  <c r="F573" i="5"/>
  <c r="G572" i="5"/>
  <c r="F572" i="5"/>
  <c r="G571" i="5"/>
  <c r="F571" i="5"/>
  <c r="G570" i="5"/>
  <c r="F570" i="5"/>
  <c r="G569" i="5"/>
  <c r="F569" i="5"/>
  <c r="G568" i="5"/>
  <c r="F568" i="5"/>
  <c r="G567" i="5"/>
  <c r="F567" i="5"/>
  <c r="G566" i="5"/>
  <c r="F566" i="5"/>
  <c r="G565" i="5"/>
  <c r="F565" i="5"/>
  <c r="G564" i="5"/>
  <c r="F564" i="5"/>
  <c r="G563" i="5"/>
  <c r="F563" i="5"/>
  <c r="G562" i="5"/>
  <c r="F562" i="5"/>
  <c r="G561" i="5"/>
  <c r="F561" i="5"/>
  <c r="G560" i="5"/>
  <c r="F560" i="5"/>
  <c r="G559" i="5"/>
  <c r="F559" i="5"/>
  <c r="G558" i="5"/>
  <c r="F558" i="5"/>
  <c r="G557" i="5"/>
  <c r="F557" i="5"/>
  <c r="G556" i="5"/>
  <c r="F556" i="5"/>
  <c r="G555" i="5"/>
  <c r="F555" i="5"/>
  <c r="G554" i="5"/>
  <c r="F554" i="5"/>
  <c r="G553" i="5"/>
  <c r="F553" i="5"/>
  <c r="G552" i="5"/>
  <c r="F552" i="5"/>
  <c r="G551" i="5"/>
  <c r="F551" i="5"/>
  <c r="G550" i="5"/>
  <c r="F550" i="5"/>
  <c r="G549" i="5"/>
  <c r="F549" i="5"/>
  <c r="G548" i="5"/>
  <c r="F548" i="5"/>
  <c r="G547" i="5"/>
  <c r="F547" i="5"/>
  <c r="G546" i="5"/>
  <c r="F546" i="5"/>
  <c r="G545" i="5"/>
  <c r="F545" i="5"/>
  <c r="G544" i="5"/>
  <c r="F544" i="5"/>
  <c r="G543" i="5"/>
  <c r="F543" i="5"/>
  <c r="G542" i="5"/>
  <c r="F542" i="5"/>
  <c r="G541" i="5"/>
  <c r="F541" i="5"/>
  <c r="G540" i="5"/>
  <c r="F540" i="5"/>
  <c r="G539" i="5"/>
  <c r="F539" i="5"/>
  <c r="G538" i="5"/>
  <c r="F538" i="5"/>
  <c r="G537" i="5"/>
  <c r="F537" i="5"/>
  <c r="G536" i="5"/>
  <c r="F536" i="5"/>
  <c r="G535" i="5"/>
  <c r="F535" i="5"/>
  <c r="G534" i="5"/>
  <c r="F534" i="5"/>
  <c r="G533" i="5"/>
  <c r="F533" i="5"/>
  <c r="G532" i="5"/>
  <c r="F532" i="5"/>
  <c r="G531" i="5"/>
  <c r="F531" i="5"/>
  <c r="G530" i="5"/>
  <c r="F530" i="5"/>
  <c r="G529" i="5"/>
  <c r="F529" i="5"/>
  <c r="G528" i="5"/>
  <c r="F528" i="5"/>
  <c r="G527" i="5"/>
  <c r="F527" i="5"/>
  <c r="G526" i="5"/>
  <c r="F526" i="5"/>
  <c r="G525" i="5"/>
  <c r="F525" i="5"/>
  <c r="G524" i="5"/>
  <c r="F524" i="5"/>
  <c r="G523" i="5"/>
  <c r="F523" i="5"/>
  <c r="G522" i="5"/>
  <c r="F522" i="5"/>
  <c r="G521" i="5"/>
  <c r="F521" i="5"/>
  <c r="G520" i="5"/>
  <c r="F520" i="5"/>
  <c r="G519" i="5"/>
  <c r="F519" i="5"/>
  <c r="G518" i="5"/>
  <c r="F518" i="5"/>
  <c r="G517" i="5"/>
  <c r="F517" i="5"/>
  <c r="G516" i="5"/>
  <c r="F516" i="5"/>
  <c r="G515" i="5"/>
  <c r="F515" i="5"/>
  <c r="G514" i="5"/>
  <c r="F514" i="5"/>
  <c r="G513" i="5"/>
  <c r="F513" i="5"/>
  <c r="G512" i="5"/>
  <c r="F512" i="5"/>
  <c r="G511" i="5"/>
  <c r="F511" i="5"/>
  <c r="G510" i="5"/>
  <c r="F510" i="5"/>
  <c r="G509" i="5"/>
  <c r="F509" i="5"/>
  <c r="G508" i="5"/>
  <c r="F508" i="5"/>
  <c r="G507" i="5"/>
  <c r="F507" i="5"/>
  <c r="G506" i="5"/>
  <c r="F506" i="5"/>
  <c r="G505" i="5"/>
  <c r="F505" i="5"/>
  <c r="G504" i="5"/>
  <c r="F504" i="5"/>
  <c r="G503" i="5"/>
  <c r="F503" i="5"/>
  <c r="G502" i="5"/>
  <c r="F502" i="5"/>
  <c r="G501" i="5"/>
  <c r="F501" i="5"/>
  <c r="G500" i="5"/>
  <c r="F500" i="5"/>
  <c r="G499" i="5"/>
  <c r="F499" i="5"/>
  <c r="G498" i="5"/>
  <c r="F498" i="5"/>
  <c r="G497" i="5"/>
  <c r="F497" i="5"/>
  <c r="G496" i="5"/>
  <c r="F496" i="5"/>
  <c r="G495" i="5"/>
  <c r="F495" i="5"/>
  <c r="G494" i="5"/>
  <c r="F494" i="5"/>
  <c r="G493" i="5"/>
  <c r="F493" i="5"/>
  <c r="G492" i="5"/>
  <c r="F492" i="5"/>
  <c r="G491" i="5"/>
  <c r="F491" i="5"/>
  <c r="G490" i="5"/>
  <c r="F490" i="5"/>
  <c r="G489" i="5"/>
  <c r="F489" i="5"/>
  <c r="G488" i="5"/>
  <c r="F488" i="5"/>
  <c r="G487" i="5"/>
  <c r="F487" i="5"/>
  <c r="G486" i="5"/>
  <c r="F486" i="5"/>
  <c r="G485" i="5"/>
  <c r="F485" i="5"/>
  <c r="G484" i="5"/>
  <c r="F484" i="5"/>
  <c r="G483" i="5"/>
  <c r="F483" i="5"/>
  <c r="G482" i="5"/>
  <c r="F482" i="5"/>
  <c r="G481" i="5"/>
  <c r="F481" i="5"/>
  <c r="G480" i="5"/>
  <c r="F480" i="5"/>
  <c r="G479" i="5"/>
  <c r="F479" i="5"/>
  <c r="G478" i="5"/>
  <c r="F478" i="5"/>
  <c r="G477" i="5"/>
  <c r="F477" i="5"/>
  <c r="G476" i="5"/>
  <c r="F476" i="5"/>
  <c r="G475" i="5"/>
  <c r="F475" i="5"/>
  <c r="G474" i="5"/>
  <c r="F474" i="5"/>
  <c r="G473" i="5"/>
  <c r="F473" i="5"/>
  <c r="G472" i="5"/>
  <c r="F472" i="5"/>
  <c r="G471" i="5"/>
  <c r="F471" i="5"/>
  <c r="G470" i="5"/>
  <c r="F470" i="5"/>
  <c r="G469" i="5"/>
  <c r="F469" i="5"/>
  <c r="G468" i="5"/>
  <c r="F468" i="5"/>
  <c r="G467" i="5"/>
  <c r="F467" i="5"/>
  <c r="G466" i="5"/>
  <c r="F466" i="5"/>
  <c r="G465" i="5"/>
  <c r="F465" i="5"/>
  <c r="G464" i="5"/>
  <c r="F464" i="5"/>
  <c r="G463" i="5"/>
  <c r="F463" i="5"/>
  <c r="G462" i="5"/>
  <c r="F462" i="5"/>
  <c r="G461" i="5"/>
  <c r="F461" i="5"/>
  <c r="G460" i="5"/>
  <c r="F460" i="5"/>
  <c r="G459" i="5"/>
  <c r="F459" i="5"/>
  <c r="G458" i="5"/>
  <c r="F458" i="5"/>
  <c r="G457" i="5"/>
  <c r="F457" i="5"/>
  <c r="G456" i="5"/>
  <c r="F456" i="5"/>
  <c r="G455" i="5"/>
  <c r="F455" i="5"/>
  <c r="G454" i="5"/>
  <c r="F454" i="5"/>
  <c r="G453" i="5"/>
  <c r="F453" i="5"/>
  <c r="G452" i="5"/>
  <c r="F452" i="5"/>
  <c r="G451" i="5"/>
  <c r="F451" i="5"/>
  <c r="G450" i="5"/>
  <c r="F450" i="5"/>
  <c r="G449" i="5"/>
  <c r="F449" i="5"/>
  <c r="G448" i="5"/>
  <c r="F448" i="5"/>
  <c r="G447" i="5"/>
  <c r="F447" i="5"/>
  <c r="G446" i="5"/>
  <c r="F446" i="5"/>
  <c r="G445" i="5"/>
  <c r="F445" i="5"/>
  <c r="G444" i="5"/>
  <c r="F444" i="5"/>
  <c r="G443" i="5"/>
  <c r="F443" i="5"/>
  <c r="G442" i="5"/>
  <c r="F442" i="5"/>
  <c r="G441" i="5"/>
  <c r="F441" i="5"/>
  <c r="G440" i="5"/>
  <c r="F440" i="5"/>
  <c r="G439" i="5"/>
  <c r="F439" i="5"/>
  <c r="G438" i="5"/>
  <c r="F438" i="5"/>
  <c r="G437" i="5"/>
  <c r="F437" i="5"/>
  <c r="G436" i="5"/>
  <c r="F436" i="5"/>
  <c r="G435" i="5"/>
  <c r="F435" i="5"/>
  <c r="G434" i="5"/>
  <c r="F434" i="5"/>
  <c r="G433" i="5"/>
  <c r="F433" i="5"/>
  <c r="G432" i="5"/>
  <c r="F432" i="5"/>
  <c r="G431" i="5"/>
  <c r="F431" i="5"/>
  <c r="G430" i="5"/>
  <c r="F430" i="5"/>
  <c r="G429" i="5"/>
  <c r="F429" i="5"/>
  <c r="G428" i="5"/>
  <c r="F428" i="5"/>
  <c r="G427" i="5"/>
  <c r="F427" i="5"/>
  <c r="G426" i="5"/>
  <c r="F426" i="5"/>
  <c r="G425" i="5"/>
  <c r="F425" i="5"/>
  <c r="G424" i="5"/>
  <c r="F424" i="5"/>
  <c r="G423" i="5"/>
  <c r="F423" i="5"/>
  <c r="G422" i="5"/>
  <c r="F422" i="5"/>
  <c r="G421" i="5"/>
  <c r="F421" i="5"/>
  <c r="G420" i="5"/>
  <c r="F420" i="5"/>
  <c r="G419" i="5"/>
  <c r="F419" i="5"/>
  <c r="G418" i="5"/>
  <c r="F418" i="5"/>
  <c r="G417" i="5"/>
  <c r="F417" i="5"/>
  <c r="G416" i="5"/>
  <c r="F416" i="5"/>
  <c r="G415" i="5"/>
  <c r="F415" i="5"/>
  <c r="G414" i="5"/>
  <c r="F414" i="5"/>
  <c r="G413" i="5"/>
  <c r="F413" i="5"/>
  <c r="G412" i="5"/>
  <c r="F412" i="5"/>
  <c r="G411" i="5"/>
  <c r="F411" i="5"/>
  <c r="G410" i="5"/>
  <c r="F410" i="5"/>
  <c r="G409" i="5"/>
  <c r="F409" i="5"/>
  <c r="G408" i="5"/>
  <c r="F408" i="5"/>
  <c r="G407" i="5"/>
  <c r="F407" i="5"/>
  <c r="G406" i="5"/>
  <c r="F406" i="5"/>
  <c r="G405" i="5"/>
  <c r="F405" i="5"/>
  <c r="G404" i="5"/>
  <c r="F404" i="5"/>
  <c r="G403" i="5"/>
  <c r="F403" i="5"/>
  <c r="G402" i="5"/>
  <c r="F402" i="5"/>
  <c r="G401" i="5"/>
  <c r="F401" i="5"/>
  <c r="G400" i="5"/>
  <c r="F400" i="5"/>
  <c r="G399" i="5"/>
  <c r="F399" i="5"/>
  <c r="G398" i="5"/>
  <c r="F398" i="5"/>
  <c r="G397" i="5"/>
  <c r="F397" i="5"/>
  <c r="G396" i="5"/>
  <c r="F396" i="5"/>
  <c r="G395" i="5"/>
  <c r="F395" i="5"/>
  <c r="G394" i="5"/>
  <c r="F394" i="5"/>
  <c r="G393" i="5"/>
  <c r="F393" i="5"/>
  <c r="G392" i="5"/>
  <c r="F392" i="5"/>
  <c r="G391" i="5"/>
  <c r="F391" i="5"/>
  <c r="G390" i="5"/>
  <c r="F390" i="5"/>
  <c r="G389" i="5"/>
  <c r="F389" i="5"/>
  <c r="G388" i="5"/>
  <c r="F388" i="5"/>
  <c r="G387" i="5"/>
  <c r="F387" i="5"/>
  <c r="G386" i="5"/>
  <c r="F386" i="5"/>
  <c r="G385" i="5"/>
  <c r="F385" i="5"/>
  <c r="G384" i="5"/>
  <c r="F384" i="5"/>
  <c r="G383" i="5"/>
  <c r="F383" i="5"/>
  <c r="G382" i="5"/>
  <c r="F382" i="5"/>
  <c r="G381" i="5"/>
  <c r="F381" i="5"/>
  <c r="G380" i="5"/>
  <c r="F380" i="5"/>
  <c r="G379" i="5"/>
  <c r="F379" i="5"/>
  <c r="G378" i="5"/>
  <c r="F378" i="5"/>
  <c r="G377" i="5"/>
  <c r="F377" i="5"/>
  <c r="G376" i="5"/>
  <c r="F376" i="5"/>
  <c r="G375" i="5"/>
  <c r="F375" i="5"/>
  <c r="G374" i="5"/>
  <c r="F374" i="5"/>
  <c r="G373" i="5"/>
  <c r="F373" i="5"/>
  <c r="G372" i="5"/>
  <c r="F372" i="5"/>
  <c r="G371" i="5"/>
  <c r="F371" i="5"/>
  <c r="G370" i="5"/>
  <c r="F370" i="5"/>
  <c r="G369" i="5"/>
  <c r="F369" i="5"/>
  <c r="G368" i="5"/>
  <c r="F368" i="5"/>
  <c r="G367" i="5"/>
  <c r="F367" i="5"/>
  <c r="G366" i="5"/>
  <c r="F366" i="5"/>
  <c r="G365" i="5"/>
  <c r="F365" i="5"/>
  <c r="G364" i="5"/>
  <c r="F364" i="5"/>
  <c r="G363" i="5"/>
  <c r="F363" i="5"/>
  <c r="G362" i="5"/>
  <c r="F362" i="5"/>
  <c r="G361" i="5"/>
  <c r="F361" i="5"/>
  <c r="G360" i="5"/>
  <c r="F360" i="5"/>
  <c r="G359" i="5"/>
  <c r="F359" i="5"/>
  <c r="G358" i="5"/>
  <c r="F358" i="5"/>
  <c r="G357" i="5"/>
  <c r="F357" i="5"/>
  <c r="G356" i="5"/>
  <c r="F356" i="5"/>
  <c r="G355" i="5"/>
  <c r="F355" i="5"/>
  <c r="G354" i="5"/>
  <c r="F354" i="5"/>
  <c r="G353" i="5"/>
  <c r="F353" i="5"/>
  <c r="G352" i="5"/>
  <c r="F352" i="5"/>
  <c r="G351" i="5"/>
  <c r="F351" i="5"/>
  <c r="G350" i="5"/>
  <c r="F350" i="5"/>
  <c r="G349" i="5"/>
  <c r="F349" i="5"/>
  <c r="G348" i="5"/>
  <c r="F348" i="5"/>
  <c r="G347" i="5"/>
  <c r="F347" i="5"/>
  <c r="G346" i="5"/>
  <c r="F346" i="5"/>
  <c r="G345" i="5"/>
  <c r="F345" i="5"/>
  <c r="G344" i="5"/>
  <c r="F344" i="5"/>
  <c r="G343" i="5"/>
  <c r="F343" i="5"/>
  <c r="G342" i="5"/>
  <c r="F342" i="5"/>
  <c r="G341" i="5"/>
  <c r="F341" i="5"/>
  <c r="G340" i="5"/>
  <c r="F340" i="5"/>
  <c r="G339" i="5"/>
  <c r="F339" i="5"/>
  <c r="G338" i="5"/>
  <c r="F338" i="5"/>
  <c r="G337" i="5"/>
  <c r="F337" i="5"/>
  <c r="G336" i="5"/>
  <c r="F336" i="5"/>
  <c r="G335" i="5"/>
  <c r="F335" i="5"/>
  <c r="G334" i="5"/>
  <c r="F334" i="5"/>
  <c r="G333" i="5"/>
  <c r="F333" i="5"/>
  <c r="G332" i="5"/>
  <c r="F332" i="5"/>
  <c r="G331" i="5"/>
  <c r="F331" i="5"/>
  <c r="G330" i="5"/>
  <c r="F330" i="5"/>
  <c r="G329" i="5"/>
  <c r="F329" i="5"/>
  <c r="G328" i="5"/>
  <c r="F328" i="5"/>
  <c r="G327" i="5"/>
  <c r="F327" i="5"/>
  <c r="G326" i="5"/>
  <c r="F326" i="5"/>
  <c r="G325" i="5"/>
  <c r="F325" i="5"/>
  <c r="G324" i="5"/>
  <c r="F324" i="5"/>
  <c r="G323" i="5"/>
  <c r="F323" i="5"/>
  <c r="G322" i="5"/>
  <c r="F322" i="5"/>
  <c r="G321" i="5"/>
  <c r="F321" i="5"/>
  <c r="G320" i="5"/>
  <c r="F320" i="5"/>
  <c r="G319" i="5"/>
  <c r="F319" i="5"/>
  <c r="G318" i="5"/>
  <c r="F318" i="5"/>
  <c r="G317" i="5"/>
  <c r="F317" i="5"/>
  <c r="G316" i="5"/>
  <c r="F316" i="5"/>
  <c r="G315" i="5"/>
  <c r="F315" i="5"/>
  <c r="G314" i="5"/>
  <c r="F314" i="5"/>
  <c r="G313" i="5"/>
  <c r="F313" i="5"/>
  <c r="G312" i="5"/>
  <c r="F312" i="5"/>
  <c r="G311" i="5"/>
  <c r="F311" i="5"/>
  <c r="G310" i="5"/>
  <c r="F310" i="5"/>
  <c r="G309" i="5"/>
  <c r="F309" i="5"/>
  <c r="G308" i="5"/>
  <c r="F308" i="5"/>
  <c r="G307" i="5"/>
  <c r="F307" i="5"/>
  <c r="G306" i="5"/>
  <c r="F306" i="5"/>
  <c r="G305" i="5"/>
  <c r="F305" i="5"/>
  <c r="G304" i="5"/>
  <c r="F304" i="5"/>
  <c r="G303" i="5"/>
  <c r="F303" i="5"/>
  <c r="G302" i="5"/>
  <c r="F302" i="5"/>
  <c r="G301" i="5"/>
  <c r="F301" i="5"/>
  <c r="G300" i="5"/>
  <c r="F300" i="5"/>
  <c r="G299" i="5"/>
  <c r="F299" i="5"/>
  <c r="G298" i="5"/>
  <c r="F298" i="5"/>
  <c r="G297" i="5"/>
  <c r="F297" i="5"/>
  <c r="G296" i="5"/>
  <c r="F296" i="5"/>
  <c r="G295" i="5"/>
  <c r="F295" i="5"/>
  <c r="G294" i="5"/>
  <c r="F294" i="5"/>
  <c r="G293" i="5"/>
  <c r="F293" i="5"/>
  <c r="G292" i="5"/>
  <c r="F292" i="5"/>
  <c r="G291" i="5"/>
  <c r="F291" i="5"/>
  <c r="G290" i="5"/>
  <c r="F290" i="5"/>
  <c r="G289" i="5"/>
  <c r="F289" i="5"/>
  <c r="G288" i="5"/>
  <c r="F288" i="5"/>
  <c r="G287" i="5"/>
  <c r="F287" i="5"/>
  <c r="G286" i="5"/>
  <c r="F286" i="5"/>
  <c r="G285" i="5"/>
  <c r="F285" i="5"/>
  <c r="G284" i="5"/>
  <c r="F284" i="5"/>
  <c r="G283" i="5"/>
  <c r="F283" i="5"/>
  <c r="G282" i="5"/>
  <c r="F282" i="5"/>
  <c r="G281" i="5"/>
  <c r="F281" i="5"/>
  <c r="G280" i="5"/>
  <c r="F280" i="5"/>
  <c r="G279" i="5"/>
  <c r="F279" i="5"/>
  <c r="G278" i="5"/>
  <c r="F278" i="5"/>
  <c r="G277" i="5"/>
  <c r="F277" i="5"/>
  <c r="G276" i="5"/>
  <c r="F276" i="5"/>
  <c r="G275" i="5"/>
  <c r="F275" i="5"/>
  <c r="G274" i="5"/>
  <c r="F274" i="5"/>
  <c r="G273" i="5"/>
  <c r="F273" i="5"/>
  <c r="G272" i="5"/>
  <c r="F272" i="5"/>
  <c r="G271" i="5"/>
  <c r="F271" i="5"/>
  <c r="G270" i="5"/>
  <c r="F270" i="5"/>
  <c r="G269" i="5"/>
  <c r="F269" i="5"/>
  <c r="G268" i="5"/>
  <c r="F268" i="5"/>
  <c r="G267" i="5"/>
  <c r="F267" i="5"/>
  <c r="G266" i="5"/>
  <c r="F266" i="5"/>
  <c r="G265" i="5"/>
  <c r="F265" i="5"/>
  <c r="G264" i="5"/>
  <c r="F264" i="5"/>
  <c r="G263" i="5"/>
  <c r="F263" i="5"/>
  <c r="G262" i="5"/>
  <c r="F262" i="5"/>
  <c r="G261" i="5"/>
  <c r="F261" i="5"/>
  <c r="G260" i="5"/>
  <c r="F260" i="5"/>
  <c r="G259" i="5"/>
  <c r="F259" i="5"/>
  <c r="G258" i="5"/>
  <c r="F258" i="5"/>
  <c r="G257" i="5"/>
  <c r="F257" i="5"/>
  <c r="G256" i="5"/>
  <c r="F256" i="5"/>
  <c r="G255" i="5"/>
  <c r="F255" i="5"/>
  <c r="G254" i="5"/>
  <c r="F254" i="5"/>
  <c r="G253" i="5"/>
  <c r="F253" i="5"/>
  <c r="G252" i="5"/>
  <c r="F252" i="5"/>
  <c r="G251" i="5"/>
  <c r="F251" i="5"/>
  <c r="G250" i="5"/>
  <c r="F250" i="5"/>
  <c r="G249" i="5"/>
  <c r="F249" i="5"/>
  <c r="G248" i="5"/>
  <c r="F248" i="5"/>
  <c r="G247" i="5"/>
  <c r="F247" i="5"/>
  <c r="G246" i="5"/>
  <c r="F246" i="5"/>
  <c r="G245" i="5"/>
  <c r="F245" i="5"/>
  <c r="G244" i="5"/>
  <c r="F244" i="5"/>
  <c r="G243" i="5"/>
  <c r="F243" i="5"/>
  <c r="G242" i="5"/>
  <c r="F242" i="5"/>
  <c r="G241" i="5"/>
  <c r="F241" i="5"/>
  <c r="G240" i="5"/>
  <c r="F240" i="5"/>
  <c r="G239" i="5"/>
  <c r="F239" i="5"/>
  <c r="G238" i="5"/>
  <c r="F238" i="5"/>
  <c r="G237" i="5"/>
  <c r="F237" i="5"/>
  <c r="G236" i="5"/>
  <c r="F236" i="5"/>
  <c r="G235" i="5"/>
  <c r="F235" i="5"/>
  <c r="G234" i="5"/>
  <c r="F234" i="5"/>
  <c r="G233" i="5"/>
  <c r="F233" i="5"/>
  <c r="G232" i="5"/>
  <c r="F232" i="5"/>
  <c r="G231" i="5"/>
  <c r="F231" i="5"/>
  <c r="G230" i="5"/>
  <c r="F230" i="5"/>
  <c r="G229" i="5"/>
  <c r="F229" i="5"/>
  <c r="G228" i="5"/>
  <c r="F228" i="5"/>
  <c r="G227" i="5"/>
  <c r="F227" i="5"/>
  <c r="G226" i="5"/>
  <c r="F226" i="5"/>
  <c r="G225" i="5"/>
  <c r="F225" i="5"/>
  <c r="G224" i="5"/>
  <c r="F224" i="5"/>
  <c r="G223" i="5"/>
  <c r="F223" i="5"/>
  <c r="G222" i="5"/>
  <c r="F222" i="5"/>
  <c r="G221" i="5"/>
  <c r="F221" i="5"/>
  <c r="G220" i="5"/>
  <c r="F220" i="5"/>
  <c r="G219" i="5"/>
  <c r="F219" i="5"/>
  <c r="G218" i="5"/>
  <c r="F218" i="5"/>
  <c r="G217" i="5"/>
  <c r="F217" i="5"/>
  <c r="G216" i="5"/>
  <c r="F216" i="5"/>
  <c r="G215" i="5"/>
  <c r="F215" i="5"/>
  <c r="G214" i="5"/>
  <c r="F214" i="5"/>
  <c r="G213" i="5"/>
  <c r="F213" i="5"/>
  <c r="G212" i="5"/>
  <c r="F212" i="5"/>
  <c r="G211" i="5"/>
  <c r="F211" i="5"/>
  <c r="G210" i="5"/>
  <c r="F210" i="5"/>
  <c r="G209" i="5"/>
  <c r="F209" i="5"/>
  <c r="G208" i="5"/>
  <c r="F208" i="5"/>
  <c r="G207" i="5"/>
  <c r="F207" i="5"/>
  <c r="G206" i="5"/>
  <c r="F206" i="5"/>
  <c r="G205" i="5"/>
  <c r="F205" i="5"/>
  <c r="G204" i="5"/>
  <c r="F204" i="5"/>
  <c r="G203" i="5"/>
  <c r="F203" i="5"/>
  <c r="G202" i="5"/>
  <c r="F202" i="5"/>
  <c r="G201" i="5"/>
  <c r="F201" i="5"/>
  <c r="G200" i="5"/>
  <c r="F200" i="5"/>
  <c r="G199" i="5"/>
  <c r="F199" i="5"/>
  <c r="G198" i="5"/>
  <c r="F198" i="5"/>
  <c r="G197" i="5"/>
  <c r="F197" i="5"/>
  <c r="G196" i="5"/>
  <c r="F196" i="5"/>
  <c r="G195" i="5"/>
  <c r="F195" i="5"/>
  <c r="G194" i="5"/>
  <c r="F194" i="5"/>
  <c r="G193" i="5"/>
  <c r="F193" i="5"/>
  <c r="G192" i="5"/>
  <c r="F192" i="5"/>
  <c r="G191" i="5"/>
  <c r="F191" i="5"/>
  <c r="G190" i="5"/>
  <c r="F190" i="5"/>
  <c r="G189" i="5"/>
  <c r="F189" i="5"/>
  <c r="G188" i="5"/>
  <c r="F188" i="5"/>
  <c r="G187" i="5"/>
  <c r="F187" i="5"/>
  <c r="G186" i="5"/>
  <c r="F186" i="5"/>
  <c r="G185" i="5"/>
  <c r="F185" i="5"/>
  <c r="G184" i="5"/>
  <c r="F184" i="5"/>
  <c r="G183" i="5"/>
  <c r="F183" i="5"/>
  <c r="G182" i="5"/>
  <c r="F182" i="5"/>
  <c r="G181" i="5"/>
  <c r="F181" i="5"/>
  <c r="G180" i="5"/>
  <c r="F180" i="5"/>
  <c r="G179" i="5"/>
  <c r="F179" i="5"/>
  <c r="G178" i="5"/>
  <c r="F178" i="5"/>
  <c r="G177" i="5"/>
  <c r="F177" i="5"/>
  <c r="G176" i="5"/>
  <c r="F176" i="5"/>
  <c r="G175" i="5"/>
  <c r="F175" i="5"/>
  <c r="G174" i="5"/>
  <c r="F174" i="5"/>
  <c r="G173" i="5"/>
  <c r="F173" i="5"/>
  <c r="G172" i="5"/>
  <c r="F172" i="5"/>
  <c r="G171" i="5"/>
  <c r="F171" i="5"/>
  <c r="G170" i="5"/>
  <c r="F170" i="5"/>
  <c r="G169" i="5"/>
  <c r="F169" i="5"/>
  <c r="G168" i="5"/>
  <c r="F168" i="5"/>
  <c r="G167" i="5"/>
  <c r="F167" i="5"/>
  <c r="G166" i="5"/>
  <c r="F166" i="5"/>
  <c r="G165" i="5"/>
  <c r="F165" i="5"/>
  <c r="G164" i="5"/>
  <c r="F164" i="5"/>
  <c r="G163" i="5"/>
  <c r="F163" i="5"/>
  <c r="G162" i="5"/>
  <c r="F162" i="5"/>
  <c r="G161" i="5"/>
  <c r="F161" i="5"/>
  <c r="G160" i="5"/>
  <c r="F160" i="5"/>
  <c r="G159" i="5"/>
  <c r="F159" i="5"/>
  <c r="G158" i="5"/>
  <c r="F158" i="5"/>
  <c r="G157" i="5"/>
  <c r="F157" i="5"/>
  <c r="G156" i="5"/>
  <c r="F156" i="5"/>
  <c r="G155" i="5"/>
  <c r="F155" i="5"/>
  <c r="G154" i="5"/>
  <c r="F154" i="5"/>
  <c r="G153" i="5"/>
  <c r="F153" i="5"/>
  <c r="G152" i="5"/>
  <c r="F152" i="5"/>
  <c r="G151" i="5"/>
  <c r="F151" i="5"/>
  <c r="G150" i="5"/>
  <c r="F150" i="5"/>
  <c r="G149" i="5"/>
  <c r="F149" i="5"/>
  <c r="G148" i="5"/>
  <c r="F148" i="5"/>
  <c r="G147" i="5"/>
  <c r="F147" i="5"/>
  <c r="G146" i="5"/>
  <c r="F146" i="5"/>
  <c r="G145" i="5"/>
  <c r="F145" i="5"/>
  <c r="G144" i="5"/>
  <c r="F144" i="5"/>
  <c r="G143" i="5"/>
  <c r="F143" i="5"/>
  <c r="G142" i="5"/>
  <c r="F142" i="5"/>
  <c r="G141" i="5"/>
  <c r="F141" i="5"/>
  <c r="G140" i="5"/>
  <c r="F140" i="5"/>
  <c r="G139" i="5"/>
  <c r="F139" i="5"/>
  <c r="G138" i="5"/>
  <c r="F138" i="5"/>
  <c r="G137" i="5"/>
  <c r="F137" i="5"/>
  <c r="G136" i="5"/>
  <c r="F136" i="5"/>
  <c r="G135" i="5"/>
  <c r="F135" i="5"/>
  <c r="G134" i="5"/>
  <c r="F134" i="5"/>
  <c r="G133" i="5"/>
  <c r="F133" i="5"/>
  <c r="G132" i="5"/>
  <c r="F132" i="5"/>
  <c r="G131" i="5"/>
  <c r="F131" i="5"/>
  <c r="G130" i="5"/>
  <c r="F130" i="5"/>
  <c r="G129" i="5"/>
  <c r="F129" i="5"/>
  <c r="G128" i="5"/>
  <c r="F128" i="5"/>
  <c r="G127" i="5"/>
  <c r="F127" i="5"/>
  <c r="G126" i="5"/>
  <c r="F126" i="5"/>
  <c r="G125" i="5"/>
  <c r="F125" i="5"/>
  <c r="G124" i="5"/>
  <c r="F124" i="5"/>
  <c r="G123" i="5"/>
  <c r="F123" i="5"/>
  <c r="G122" i="5"/>
  <c r="F122" i="5"/>
  <c r="G121" i="5"/>
  <c r="F121" i="5"/>
  <c r="G120" i="5"/>
  <c r="F120" i="5"/>
  <c r="G119" i="5"/>
  <c r="F119" i="5"/>
  <c r="G118" i="5"/>
  <c r="F118" i="5"/>
  <c r="G117" i="5"/>
  <c r="F117" i="5"/>
  <c r="G116" i="5"/>
  <c r="F116" i="5"/>
  <c r="G115" i="5"/>
  <c r="F115" i="5"/>
  <c r="G114" i="5"/>
  <c r="F114" i="5"/>
  <c r="G113" i="5"/>
  <c r="F113" i="5"/>
  <c r="G112" i="5"/>
  <c r="F112" i="5"/>
  <c r="G111" i="5"/>
  <c r="F111" i="5"/>
  <c r="G110" i="5"/>
  <c r="F110" i="5"/>
  <c r="G109" i="5"/>
  <c r="F109" i="5"/>
  <c r="G108" i="5"/>
  <c r="F108" i="5"/>
  <c r="G107" i="5"/>
  <c r="F107" i="5"/>
  <c r="G106" i="5"/>
  <c r="F106" i="5"/>
  <c r="G105" i="5"/>
  <c r="F105" i="5"/>
  <c r="G104" i="5"/>
  <c r="F104" i="5"/>
  <c r="G103" i="5"/>
  <c r="F103" i="5"/>
  <c r="G102" i="5"/>
  <c r="F102" i="5"/>
  <c r="G101" i="5"/>
  <c r="F101" i="5"/>
  <c r="G100" i="5"/>
  <c r="F100" i="5"/>
  <c r="G99" i="5"/>
  <c r="F99" i="5"/>
  <c r="G98" i="5"/>
  <c r="F98" i="5"/>
  <c r="G97" i="5"/>
  <c r="F97" i="5"/>
  <c r="G96" i="5"/>
  <c r="F96" i="5"/>
  <c r="G95" i="5"/>
  <c r="F95" i="5"/>
  <c r="G94" i="5"/>
  <c r="F94" i="5"/>
  <c r="G93" i="5"/>
  <c r="F93" i="5"/>
  <c r="G92" i="5"/>
  <c r="F92" i="5"/>
  <c r="G91" i="5"/>
  <c r="F91" i="5"/>
  <c r="G90" i="5"/>
  <c r="F90" i="5"/>
  <c r="G89" i="5"/>
  <c r="F89" i="5"/>
  <c r="G88" i="5"/>
  <c r="F88" i="5"/>
  <c r="G87" i="5"/>
  <c r="F87" i="5"/>
  <c r="G86" i="5"/>
  <c r="F86" i="5"/>
  <c r="G85" i="5"/>
  <c r="F85" i="5"/>
  <c r="G84" i="5"/>
  <c r="F84" i="5"/>
  <c r="G83" i="5"/>
  <c r="F83" i="5"/>
  <c r="G82" i="5"/>
  <c r="F82" i="5"/>
  <c r="G81" i="5"/>
  <c r="F81" i="5"/>
  <c r="G80" i="5"/>
  <c r="F80" i="5"/>
  <c r="G79" i="5"/>
  <c r="F79" i="5"/>
  <c r="G78" i="5"/>
  <c r="F78" i="5"/>
  <c r="G77" i="5"/>
  <c r="F77" i="5"/>
  <c r="G76" i="5"/>
  <c r="F76" i="5"/>
  <c r="G75" i="5"/>
  <c r="F75" i="5"/>
  <c r="G74" i="5"/>
  <c r="F74" i="5"/>
  <c r="G73" i="5"/>
  <c r="F73" i="5"/>
  <c r="G72" i="5"/>
  <c r="F72" i="5"/>
  <c r="G71" i="5"/>
  <c r="F71" i="5"/>
  <c r="G70" i="5"/>
  <c r="F70" i="5"/>
  <c r="G69" i="5"/>
  <c r="F69" i="5"/>
  <c r="G68" i="5"/>
  <c r="F68" i="5"/>
  <c r="G67" i="5"/>
  <c r="F67" i="5"/>
  <c r="G66" i="5"/>
  <c r="F66" i="5"/>
  <c r="G65" i="5"/>
  <c r="F65" i="5"/>
  <c r="G64" i="5"/>
  <c r="F64" i="5"/>
  <c r="G63" i="5"/>
  <c r="F63" i="5"/>
  <c r="G62" i="5"/>
  <c r="F62" i="5"/>
  <c r="G61" i="5"/>
  <c r="F61" i="5"/>
  <c r="G60" i="5"/>
  <c r="F60" i="5"/>
  <c r="G59" i="5"/>
  <c r="F59" i="5"/>
  <c r="G58" i="5"/>
  <c r="F58" i="5"/>
  <c r="G57" i="5"/>
  <c r="F57" i="5"/>
  <c r="G56" i="5"/>
  <c r="F56" i="5"/>
  <c r="G55" i="5"/>
  <c r="F55" i="5"/>
  <c r="G54" i="5"/>
  <c r="F54" i="5"/>
  <c r="G53" i="5"/>
  <c r="F53" i="5"/>
  <c r="G52" i="5"/>
  <c r="F52" i="5"/>
  <c r="G51" i="5"/>
  <c r="F51" i="5"/>
  <c r="G50" i="5"/>
  <c r="F50" i="5"/>
  <c r="G49" i="5"/>
  <c r="F49" i="5"/>
  <c r="G48" i="5"/>
  <c r="F48" i="5"/>
  <c r="G47" i="5"/>
  <c r="F47" i="5"/>
  <c r="G46" i="5"/>
  <c r="F46" i="5"/>
  <c r="G45" i="5"/>
  <c r="F45" i="5"/>
  <c r="G44" i="5"/>
  <c r="F44" i="5"/>
  <c r="G43" i="5"/>
  <c r="F43" i="5"/>
  <c r="G42" i="5"/>
  <c r="F42" i="5"/>
  <c r="G41" i="5"/>
  <c r="F41" i="5"/>
  <c r="G40" i="5"/>
  <c r="F40" i="5"/>
  <c r="G39" i="5"/>
  <c r="F39" i="5"/>
  <c r="G38" i="5"/>
  <c r="F38" i="5"/>
  <c r="G37" i="5"/>
  <c r="F37" i="5"/>
  <c r="G36" i="5"/>
  <c r="F36" i="5"/>
  <c r="G35" i="5"/>
  <c r="F35" i="5"/>
  <c r="G34" i="5"/>
  <c r="F34" i="5"/>
  <c r="G33" i="5"/>
  <c r="F33" i="5"/>
  <c r="G32" i="5"/>
  <c r="F32" i="5"/>
  <c r="G31" i="5"/>
  <c r="F31" i="5"/>
  <c r="G30" i="5"/>
  <c r="F30" i="5"/>
  <c r="G29" i="5"/>
  <c r="F29" i="5"/>
  <c r="G28" i="5"/>
  <c r="F28" i="5"/>
  <c r="G27" i="5"/>
  <c r="F27" i="5"/>
  <c r="G26" i="5"/>
  <c r="F26" i="5"/>
  <c r="G25" i="5"/>
  <c r="F25" i="5"/>
  <c r="G24" i="5"/>
  <c r="F24" i="5"/>
  <c r="G23" i="5"/>
  <c r="F23" i="5"/>
  <c r="G22" i="5"/>
  <c r="F22" i="5"/>
  <c r="G21" i="5"/>
  <c r="F21" i="5"/>
  <c r="G20" i="5"/>
  <c r="F20" i="5"/>
  <c r="G19" i="5"/>
  <c r="F19" i="5"/>
  <c r="G18" i="5"/>
  <c r="F18" i="5"/>
  <c r="G17" i="5"/>
  <c r="F17" i="5"/>
  <c r="G16" i="5"/>
  <c r="F16" i="5"/>
  <c r="G15" i="5"/>
  <c r="F15" i="5"/>
  <c r="G14" i="5"/>
  <c r="F14" i="5"/>
  <c r="G13" i="5"/>
  <c r="F13" i="5"/>
  <c r="G12" i="5"/>
  <c r="F12" i="5"/>
  <c r="G11" i="5"/>
  <c r="F11" i="5"/>
  <c r="G10" i="5"/>
  <c r="F10" i="5"/>
  <c r="G9" i="5"/>
  <c r="F9" i="5"/>
  <c r="G8" i="5"/>
  <c r="F8" i="5"/>
  <c r="G7" i="5"/>
  <c r="F7" i="5"/>
  <c r="G6" i="5"/>
  <c r="F6" i="5"/>
  <c r="G5" i="5"/>
  <c r="F5" i="5"/>
  <c r="G4" i="5"/>
  <c r="F4" i="5"/>
  <c r="G3" i="5"/>
  <c r="F3" i="5"/>
  <c r="G2" i="5"/>
  <c r="F2" i="5"/>
  <c r="G1" i="5"/>
  <c r="F1" i="5"/>
  <c r="DT4" i="3"/>
  <c r="DR4" i="3"/>
  <c r="DQ4" i="3"/>
  <c r="DL4" i="3"/>
  <c r="DE4" i="3"/>
  <c r="DD4" i="3"/>
  <c r="DC4" i="3"/>
  <c r="DB4" i="3"/>
  <c r="DA4" i="3"/>
  <c r="CZ4" i="3"/>
  <c r="P9" i="2"/>
  <c r="O9" i="2"/>
  <c r="M9" i="2"/>
  <c r="K8" i="8" l="1"/>
  <c r="K78" i="8"/>
  <c r="K144" i="8"/>
  <c r="K182" i="8"/>
  <c r="K190" i="8"/>
  <c r="K204" i="8"/>
  <c r="K230" i="8"/>
  <c r="K69" i="8"/>
  <c r="K73" i="8"/>
  <c r="K90" i="8"/>
  <c r="K98" i="8"/>
  <c r="K108" i="8"/>
  <c r="K136" i="8"/>
  <c r="K145" i="8"/>
  <c r="K152" i="8"/>
  <c r="K9" i="8"/>
  <c r="K118" i="8"/>
  <c r="K196" i="8"/>
  <c r="K128" i="8"/>
  <c r="K159" i="8"/>
  <c r="K167" i="8"/>
  <c r="K175" i="8"/>
  <c r="K206" i="8"/>
  <c r="K207" i="8"/>
  <c r="K216" i="8"/>
  <c r="K13" i="8"/>
  <c r="K22" i="8"/>
  <c r="K86" i="8"/>
  <c r="K24" i="8"/>
  <c r="K26" i="8"/>
  <c r="K28" i="8"/>
  <c r="K30" i="8"/>
  <c r="K39" i="8"/>
  <c r="K147" i="8"/>
  <c r="K79" i="8"/>
  <c r="K213" i="8"/>
  <c r="K221" i="8"/>
  <c r="K87" i="8"/>
  <c r="K11" i="8"/>
  <c r="K12" i="8"/>
  <c r="K21" i="8"/>
  <c r="K23" i="8"/>
  <c r="K25" i="8"/>
  <c r="K27" i="8"/>
  <c r="K29" i="8"/>
  <c r="K40" i="8"/>
  <c r="K42" i="8"/>
  <c r="K44" i="8"/>
  <c r="K46" i="8"/>
  <c r="K51" i="8"/>
  <c r="K60" i="8"/>
  <c r="K76" i="8"/>
  <c r="K82" i="8"/>
  <c r="K93" i="8"/>
  <c r="K100" i="8"/>
  <c r="K103" i="8"/>
  <c r="K111" i="8"/>
  <c r="K112" i="8"/>
  <c r="K121" i="8"/>
  <c r="K130" i="8"/>
  <c r="K139" i="8"/>
  <c r="K179" i="8"/>
  <c r="K162" i="8"/>
  <c r="K170" i="8"/>
  <c r="K185" i="8"/>
  <c r="K199" i="8"/>
  <c r="K224" i="8"/>
  <c r="K233" i="8"/>
  <c r="K19" i="8"/>
  <c r="K38" i="8"/>
  <c r="K48" i="8"/>
  <c r="K67" i="8"/>
  <c r="K85" i="8"/>
  <c r="K88" i="8"/>
  <c r="K96" i="8"/>
  <c r="K106" i="8"/>
  <c r="K124" i="8"/>
  <c r="K127" i="8"/>
  <c r="K133" i="8"/>
  <c r="K142" i="8"/>
  <c r="K150" i="8"/>
  <c r="K157" i="8"/>
  <c r="K165" i="8"/>
  <c r="K173" i="8"/>
  <c r="K180" i="8"/>
  <c r="K188" i="8"/>
  <c r="K194" i="8"/>
  <c r="K202" i="8"/>
  <c r="K211" i="8"/>
  <c r="K219" i="8"/>
  <c r="K227" i="8"/>
  <c r="K236" i="8"/>
  <c r="I6" i="8"/>
  <c r="K15" i="8"/>
  <c r="K36" i="8"/>
  <c r="K49" i="8"/>
  <c r="K57" i="8"/>
  <c r="K53" i="8"/>
  <c r="K55" i="8"/>
  <c r="K70" i="8"/>
  <c r="K74" i="8"/>
  <c r="K80" i="8"/>
  <c r="K91" i="8"/>
  <c r="K99" i="8"/>
  <c r="K109" i="8"/>
  <c r="K119" i="8"/>
  <c r="K137" i="8"/>
  <c r="K146" i="8"/>
  <c r="K153" i="8"/>
  <c r="K160" i="8"/>
  <c r="K168" i="8"/>
  <c r="K183" i="8"/>
  <c r="K191" i="8"/>
  <c r="K197" i="8"/>
  <c r="K205" i="8"/>
  <c r="K214" i="8"/>
  <c r="K222" i="8"/>
  <c r="K231" i="8"/>
  <c r="K14" i="8"/>
  <c r="K17" i="8"/>
  <c r="K52" i="8"/>
  <c r="K63" i="8"/>
  <c r="K32" i="8"/>
  <c r="K34" i="8"/>
  <c r="K7" i="8"/>
  <c r="K10" i="8"/>
  <c r="K61" i="8"/>
  <c r="K65" i="8"/>
  <c r="K77" i="8"/>
  <c r="K83" i="8"/>
  <c r="K94" i="8"/>
  <c r="K101" i="8"/>
  <c r="K104" i="8"/>
  <c r="K122" i="8"/>
  <c r="K131" i="8"/>
  <c r="K140" i="8"/>
  <c r="K163" i="8"/>
  <c r="K171" i="8"/>
  <c r="K176" i="8"/>
  <c r="K177" i="8"/>
  <c r="K186" i="8"/>
  <c r="K200" i="8"/>
  <c r="K208" i="8"/>
  <c r="K209" i="8"/>
  <c r="K217" i="8"/>
  <c r="K225" i="8"/>
  <c r="K234" i="8"/>
  <c r="K64" i="8"/>
  <c r="K89" i="8"/>
  <c r="K97" i="8"/>
  <c r="K107" i="8"/>
  <c r="K116" i="8"/>
  <c r="K117" i="8"/>
  <c r="K125" i="8"/>
  <c r="K134" i="8"/>
  <c r="K135" i="8"/>
  <c r="K143" i="8"/>
  <c r="K151" i="8"/>
  <c r="K155" i="8"/>
  <c r="K158" i="8"/>
  <c r="K166" i="8"/>
  <c r="K174" i="8"/>
  <c r="K181" i="8"/>
  <c r="K189" i="8"/>
  <c r="K195" i="8"/>
  <c r="K203" i="8"/>
  <c r="K212" i="8"/>
  <c r="K220" i="8"/>
  <c r="K228" i="8"/>
  <c r="K237" i="8"/>
  <c r="K41" i="8"/>
  <c r="K43" i="8"/>
  <c r="K45" i="8"/>
  <c r="K47" i="8"/>
  <c r="K58" i="8"/>
  <c r="K68" i="8"/>
  <c r="K72" i="8"/>
  <c r="K16" i="8"/>
  <c r="K18" i="8"/>
  <c r="K20" i="8"/>
  <c r="K35" i="8"/>
  <c r="K37" i="8"/>
  <c r="K71" i="8"/>
  <c r="K75" i="8"/>
  <c r="K81" i="8"/>
  <c r="K92" i="8"/>
  <c r="K110" i="8"/>
  <c r="K120" i="8"/>
  <c r="K129" i="8"/>
  <c r="K138" i="8"/>
  <c r="K154" i="8"/>
  <c r="K161" i="8"/>
  <c r="K169" i="8"/>
  <c r="K184" i="8"/>
  <c r="K198" i="8"/>
  <c r="K215" i="8"/>
  <c r="K223" i="8"/>
  <c r="K232" i="8"/>
  <c r="K31" i="8"/>
  <c r="K33" i="8"/>
  <c r="K50" i="8"/>
  <c r="K54" i="8"/>
  <c r="K56" i="8"/>
  <c r="K59" i="8"/>
  <c r="K62" i="8"/>
  <c r="K66" i="8"/>
  <c r="K84" i="8"/>
  <c r="K95" i="8"/>
  <c r="K102" i="8"/>
  <c r="K105" i="8"/>
  <c r="K123" i="8"/>
  <c r="K126" i="8"/>
  <c r="K132" i="8"/>
  <c r="K141" i="8"/>
  <c r="K148" i="8"/>
  <c r="K149" i="8"/>
  <c r="K156" i="8"/>
  <c r="K164" i="8"/>
  <c r="K172" i="8"/>
  <c r="K178" i="8"/>
  <c r="K187" i="8"/>
  <c r="K192" i="8"/>
  <c r="K193" i="8"/>
  <c r="K201" i="8"/>
  <c r="K210" i="8"/>
  <c r="K218" i="8"/>
  <c r="K226" i="8"/>
  <c r="K235" i="8"/>
  <c r="P8" i="2"/>
  <c r="T2" i="3"/>
  <c r="BC2" i="3"/>
  <c r="CL2" i="3"/>
  <c r="AL2" i="3"/>
  <c r="BT2" i="3"/>
  <c r="L2" i="3"/>
  <c r="AC2" i="3"/>
  <c r="AT2" i="3"/>
  <c r="BL2" i="3"/>
  <c r="CC2" i="3"/>
  <c r="CT2" i="3"/>
  <c r="Y2" i="3"/>
  <c r="AG2" i="3"/>
  <c r="AP2" i="3"/>
  <c r="AY2" i="3"/>
  <c r="BG2" i="3"/>
  <c r="BP2" i="3"/>
  <c r="BY2" i="3"/>
  <c r="CG2" i="3"/>
  <c r="CP2" i="3"/>
  <c r="DF4" i="3"/>
  <c r="DM4" i="3"/>
  <c r="DG4" i="3"/>
  <c r="P2" i="3"/>
  <c r="CY4" i="3"/>
  <c r="J6" i="8"/>
  <c r="G6" i="8"/>
  <c r="E6" i="8"/>
  <c r="CX4" i="3"/>
  <c r="D6" i="8"/>
  <c r="F6" i="8"/>
  <c r="H6" i="8"/>
  <c r="DG3" i="3" l="1"/>
  <c r="CU4" i="3"/>
  <c r="CV4" i="3"/>
  <c r="DN4" i="3"/>
  <c r="DH4" i="3"/>
  <c r="K6" i="8"/>
  <c r="EB4" i="3" l="1"/>
  <c r="DO4" i="3"/>
  <c r="DI4" i="3"/>
  <c r="DJ4" i="3" l="1"/>
  <c r="DS4" i="3"/>
  <c r="DS3" i="3" s="1"/>
  <c r="DW4" i="3" l="1"/>
  <c r="DV4" i="3" l="1"/>
  <c r="DU4" i="3" l="1"/>
</calcChain>
</file>

<file path=xl/sharedStrings.xml><?xml version="1.0" encoding="utf-8"?>
<sst xmlns="http://schemas.openxmlformats.org/spreadsheetml/2006/main" count="1033" uniqueCount="180">
  <si>
    <t>2</t>
  </si>
  <si>
    <t>3</t>
  </si>
  <si>
    <t>D</t>
  </si>
  <si>
    <t>N.I.</t>
  </si>
  <si>
    <t>VAC</t>
  </si>
  <si>
    <t>PSG</t>
  </si>
  <si>
    <t>PCG</t>
  </si>
  <si>
    <t>INC</t>
  </si>
  <si>
    <t>F</t>
  </si>
  <si>
    <t>B</t>
  </si>
  <si>
    <t>DEPARTAMENTO</t>
  </si>
  <si>
    <t>X HORA</t>
  </si>
  <si>
    <t>MINIMO</t>
  </si>
  <si>
    <t>HORAS ADICIONALES 1</t>
  </si>
  <si>
    <t>HORAS ADICIONALES 2</t>
  </si>
  <si>
    <t>BONO DISCIPLINA</t>
  </si>
  <si>
    <t>CONDICION PARA PAGAR EL DOMINGO</t>
  </si>
  <si>
    <t>DOMINGO &gt;=48 HORAS</t>
  </si>
  <si>
    <t>DOMINGO &lt; 48 HORAS</t>
  </si>
  <si>
    <t>BONO NOCTURNO</t>
  </si>
  <si>
    <t>BONO PERMANENCIA</t>
  </si>
  <si>
    <t>BONO CONTRATACION</t>
  </si>
  <si>
    <t>VALES DE DESPENSA</t>
  </si>
  <si>
    <t>DESCRIPCION</t>
  </si>
  <si>
    <t>CD JUAREZ</t>
  </si>
  <si>
    <t>CD JUAREZ A</t>
  </si>
  <si>
    <t>MATAMOROS</t>
  </si>
  <si>
    <t>REYNOSA</t>
  </si>
  <si>
    <t>PRESTAMO</t>
  </si>
  <si>
    <t>REYNOSA A</t>
  </si>
  <si>
    <t>MONTERREY</t>
  </si>
  <si>
    <t>MONTERREY A</t>
  </si>
  <si>
    <t>SALTILLO</t>
  </si>
  <si>
    <t>SALTILLO A</t>
  </si>
  <si>
    <t>AGUASCALIENTES</t>
  </si>
  <si>
    <t>CD VICTORIA</t>
  </si>
  <si>
    <t>CELAYA</t>
  </si>
  <si>
    <t>CHIHUAHUA</t>
  </si>
  <si>
    <t>DURANGO</t>
  </si>
  <si>
    <t>FRESNILLO</t>
  </si>
  <si>
    <t>LINARES</t>
  </si>
  <si>
    <t>MEOQUI</t>
  </si>
  <si>
    <t>QUERETARO</t>
  </si>
  <si>
    <t>SILAO</t>
  </si>
  <si>
    <t>SILAO A</t>
  </si>
  <si>
    <t>SLP</t>
  </si>
  <si>
    <t>ZACATECAS</t>
  </si>
  <si>
    <t>BONO CONTRATACION MENSUAL DE 1200, 1ER MES 1200, 2 MESES 1200 Y 3 MESES 1200</t>
  </si>
  <si>
    <t>RETENIDO</t>
  </si>
  <si>
    <t>Esquivel Ruiz Deisy Marisol</t>
  </si>
  <si>
    <t>FIJO</t>
  </si>
  <si>
    <t>HORAS</t>
  </si>
  <si>
    <t>ALTA</t>
  </si>
  <si>
    <t>SI</t>
  </si>
  <si>
    <t>MIN 48 HRS O PROP</t>
  </si>
  <si>
    <t>BAJA</t>
  </si>
  <si>
    <t>NO</t>
  </si>
  <si>
    <t>FIJO U HORA</t>
  </si>
  <si>
    <t>FIJO U HORAS, HE</t>
  </si>
  <si>
    <t>FIJO U HORAS, B ASIST 200</t>
  </si>
  <si>
    <t>HORAS 23, HE 28, B ASIST 200</t>
  </si>
  <si>
    <t>FIJO, HE 28, B ASIST 200</t>
  </si>
  <si>
    <t>CLAVE</t>
  </si>
  <si>
    <t>NOMBRE</t>
  </si>
  <si>
    <t>ESTATUS</t>
  </si>
  <si>
    <t>PUESTO</t>
  </si>
  <si>
    <t>TIPO</t>
  </si>
  <si>
    <t>TXT</t>
  </si>
  <si>
    <t>SDV</t>
  </si>
  <si>
    <t>BONO</t>
  </si>
  <si>
    <t>CAJA</t>
  </si>
  <si>
    <t>TXT(IMP)</t>
  </si>
  <si>
    <t>INFONAVIT</t>
  </si>
  <si>
    <t>CAJA FISCAL</t>
  </si>
  <si>
    <t>FALTA</t>
  </si>
  <si>
    <t>INICIO</t>
  </si>
  <si>
    <t>FIN</t>
  </si>
  <si>
    <t>TOTAL</t>
  </si>
  <si>
    <t>FISCAL</t>
  </si>
  <si>
    <t>CUENTA</t>
  </si>
  <si>
    <t>I</t>
  </si>
  <si>
    <t>P</t>
  </si>
  <si>
    <t>IN</t>
  </si>
  <si>
    <t>OUT</t>
  </si>
  <si>
    <t>FALTAS</t>
  </si>
  <si>
    <t>SEMANA</t>
  </si>
  <si>
    <t>F.C.A</t>
  </si>
  <si>
    <t>G. FISCAL</t>
  </si>
  <si>
    <t>GASTOS</t>
  </si>
  <si>
    <t>VIATICOS</t>
  </si>
  <si>
    <t>EPP</t>
  </si>
  <si>
    <t>TRANSPORTE</t>
  </si>
  <si>
    <t>BOTAS</t>
  </si>
  <si>
    <t>PERMUTA</t>
  </si>
  <si>
    <t>C.A</t>
  </si>
  <si>
    <t>DEDUCCIONES</t>
  </si>
  <si>
    <t>SUELDO</t>
  </si>
  <si>
    <t>H.A 1</t>
  </si>
  <si>
    <t>H.A 2</t>
  </si>
  <si>
    <t>FESTIVO</t>
  </si>
  <si>
    <t>B. NOCT</t>
  </si>
  <si>
    <t>B. DISCP</t>
  </si>
  <si>
    <t>COMPL.</t>
  </si>
  <si>
    <t>PRIMA DOM</t>
  </si>
  <si>
    <t>RETROACTIVO</t>
  </si>
  <si>
    <t>PERCEPCIONES</t>
  </si>
  <si>
    <t>VARIABLE</t>
  </si>
  <si>
    <t>NETO</t>
  </si>
  <si>
    <t>V.FISCAL</t>
  </si>
  <si>
    <t>H.E</t>
  </si>
  <si>
    <t>RFC</t>
  </si>
  <si>
    <t>DIRECCION</t>
  </si>
  <si>
    <t xml:space="preserve">Aboytes Colmenero Jose Francisco </t>
  </si>
  <si>
    <t>TARJETA</t>
  </si>
  <si>
    <t xml:space="preserve">NO FISCAL </t>
  </si>
  <si>
    <t>072</t>
  </si>
  <si>
    <t xml:space="preserve">DEPOSITOS DE PERSONAL NO FISCAL </t>
  </si>
  <si>
    <t>MONTO</t>
  </si>
  <si>
    <t xml:space="preserve">FORMA </t>
  </si>
  <si>
    <t>DEPOSITAR A:</t>
  </si>
  <si>
    <t>FIRMA</t>
  </si>
  <si>
    <t>MACIAS RAMIREZ LAURA CECILIA</t>
  </si>
  <si>
    <t>BECARIO</t>
  </si>
  <si>
    <t>EFECTIVO</t>
  </si>
  <si>
    <t>MYRNA IVETTE WONG LOPEZ</t>
  </si>
  <si>
    <t>AMAYA MEDINA AMY BETZAIRA</t>
  </si>
  <si>
    <t>HUIPE HERRERA RAMIRO</t>
  </si>
  <si>
    <t>NUÑEZ RODRIGUEZ ANDRES</t>
  </si>
  <si>
    <t xml:space="preserve"> </t>
  </si>
  <si>
    <t>LUNES</t>
  </si>
  <si>
    <t>MARTES</t>
  </si>
  <si>
    <t>MIERCOLES</t>
  </si>
  <si>
    <t>JUEVES</t>
  </si>
  <si>
    <t>VIERNES</t>
  </si>
  <si>
    <t>SABADO</t>
  </si>
  <si>
    <t>DOMINGO</t>
  </si>
  <si>
    <t>HONDA A</t>
  </si>
  <si>
    <t>PAGO 24 DE FEBRERO DEL 2023</t>
  </si>
  <si>
    <t>ROMERO LOPEZ LEONARDO DANIEL</t>
  </si>
  <si>
    <t>PERIODO</t>
  </si>
  <si>
    <t>HORAS SEMANALES</t>
  </si>
  <si>
    <t>OTRAS DEDUCCIONES</t>
  </si>
  <si>
    <t>COMPLEMENTO</t>
  </si>
  <si>
    <t>PRIMA DOMINICAL</t>
  </si>
  <si>
    <t>TOTAL DE PERCEPCIONES</t>
  </si>
  <si>
    <t>TOTAL DE DEDUCCIONES</t>
  </si>
  <si>
    <t>SUBTOTAL</t>
  </si>
  <si>
    <t>DESCUENTOS</t>
  </si>
  <si>
    <t>EMAIL</t>
  </si>
  <si>
    <t>fonacot</t>
  </si>
  <si>
    <t>pension alimenticia</t>
  </si>
  <si>
    <t>Columna2</t>
  </si>
  <si>
    <t xml:space="preserve">  </t>
  </si>
  <si>
    <t>vacaciones</t>
  </si>
  <si>
    <t>Columna1</t>
  </si>
  <si>
    <t>Columna3</t>
  </si>
  <si>
    <t>VACACIONES Y PRIMA VAC.</t>
  </si>
  <si>
    <t>SOLO SI EL DOMINGO ES ADICIONAL</t>
  </si>
  <si>
    <t>AGUASCALIENTES A</t>
  </si>
  <si>
    <t>CLABE</t>
  </si>
  <si>
    <t>BANCO</t>
  </si>
  <si>
    <t>DIR</t>
  </si>
  <si>
    <t>NUEVO LAREDO</t>
  </si>
  <si>
    <t>HONDA B</t>
  </si>
  <si>
    <t>HONDA C</t>
  </si>
  <si>
    <t>AGUASCALIENTES E</t>
  </si>
  <si>
    <t>SAN JUAN DEL RIO</t>
  </si>
  <si>
    <t>TIJUANA</t>
  </si>
  <si>
    <t>SLP A</t>
  </si>
  <si>
    <t>SONORA</t>
  </si>
  <si>
    <t>QUERETARO B</t>
  </si>
  <si>
    <t>QUERETARO C</t>
  </si>
  <si>
    <t>oscar</t>
  </si>
  <si>
    <t>Inspector</t>
  </si>
  <si>
    <t>APTIV RIO JUAREZ</t>
  </si>
  <si>
    <t>Supervisor De Proyecto</t>
  </si>
  <si>
    <t>pedro</t>
  </si>
  <si>
    <t>rodrigo</t>
  </si>
  <si>
    <t>juan</t>
  </si>
  <si>
    <t>karen refrigerador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</si>
</sst>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1">
    <numFmt numFmtId="8" formatCode="&quot;$&quot;#,##0.00;[Red]\-&quot;$&quot;#,##0.00"/>
    <numFmt numFmtId="44" formatCode="_-&quot;$&quot;* #,##0.00_-;\-&quot;$&quot;* #,##0.00_-;_-&quot;$&quot;* &quot;-&quot;??_-;_-@_-"/>
    <numFmt numFmtId="43" formatCode="_-* #,##0.00_-;\-* #,##0.00_-;_-* &quot;-&quot;??_-;_-@_-"/>
    <numFmt numFmtId="164" formatCode="_(* #,##0.00_);_(* \(#,##0.00\);_(* &quot;-&quot;??_);_(@_)"/>
    <numFmt numFmtId="165" formatCode="dddd\ dd"/>
    <numFmt numFmtId="166" formatCode="[h]:mm"/>
    <numFmt numFmtId="167" formatCode="dd"/>
    <numFmt numFmtId="168" formatCode="_-* #,##0_-;\-* #,##0_-;_-* &quot;-&quot;??_-;_-@_-"/>
    <numFmt numFmtId="169" formatCode="_(* #,##0_);_(* \(#,##0\);_(* &quot;-&quot;??_);_(@_)"/>
    <numFmt numFmtId="170" formatCode="&quot;$&quot;#,##0.00"/>
    <numFmt numFmtId="174" formatCode="_-* #,##0.00_-;\-* #,##0.00_-;_-* &quot;-&quot;??_-;_-@_-"/>
  </numFmts>
  <fonts count="33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1"/>
      <color theme="0" tint="-0.499984740745262"/>
      <name val="Calibri"/>
      <family val="2"/>
      <scheme val="minor"/>
    </font>
    <font>
      <b/>
      <sz val="7"/>
      <color theme="2" tint="-0.749992370372631"/>
      <name val="Century Gothic"/>
      <family val="2"/>
    </font>
    <font>
      <sz val="7"/>
      <color theme="1"/>
      <name val="Century Gothic"/>
      <family val="2"/>
    </font>
    <font>
      <sz val="10"/>
      <color theme="1"/>
      <name val="Century Gothic"/>
      <family val="2"/>
    </font>
    <font>
      <b/>
      <sz val="10"/>
      <color theme="0" tint="-0.499984740745262"/>
      <name val="Century Gothic"/>
      <family val="2"/>
    </font>
    <font>
      <sz val="11"/>
      <name val="Calibri"/>
      <family val="2"/>
      <scheme val="minor"/>
    </font>
    <font>
      <b/>
      <sz val="11"/>
      <name val="Calibri"/>
      <family val="2"/>
      <scheme val="minor"/>
    </font>
    <font>
      <i/>
      <sz val="11"/>
      <color theme="1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b/>
      <sz val="11"/>
      <color rgb="FF00206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24"/>
      <color theme="1"/>
      <name val="Calibri"/>
      <family val="2"/>
      <scheme val="minor"/>
    </font>
    <font>
      <sz val="24"/>
      <name val="Calibri"/>
      <family val="2"/>
      <scheme val="minor"/>
    </font>
    <font>
      <sz val="9"/>
      <color theme="1"/>
      <name val="Century Gothic"/>
      <family val="2"/>
    </font>
    <font>
      <sz val="11"/>
      <color rgb="FF000000"/>
      <name val="Calibri"/>
      <family val="2"/>
    </font>
    <font>
      <sz val="12"/>
      <color theme="1"/>
      <name val="Calibri"/>
      <family val="2"/>
      <scheme val="minor"/>
    </font>
    <font>
      <b/>
      <sz val="22"/>
      <color theme="1"/>
      <name val="Calibri"/>
      <family val="2"/>
      <scheme val="minor"/>
    </font>
    <font>
      <b/>
      <sz val="11"/>
      <color theme="3" tint="0.79998168889431442"/>
      <name val="Calibri"/>
      <family val="2"/>
      <scheme val="minor"/>
    </font>
    <font>
      <sz val="12"/>
      <color rgb="FF000000"/>
      <name val="Calibri"/>
      <family val="2"/>
      <scheme val="minor"/>
    </font>
    <font>
      <b/>
      <sz val="12"/>
      <color rgb="FF000000"/>
      <name val="Calibri"/>
      <family val="2"/>
      <scheme val="minor"/>
    </font>
    <font>
      <b/>
      <i/>
      <sz val="11"/>
      <name val="Calibri"/>
      <family val="2"/>
      <scheme val="minor"/>
    </font>
    <font>
      <u/>
      <sz val="8"/>
      <color theme="1"/>
      <name val="Calibri"/>
      <family val="2"/>
      <scheme val="minor"/>
    </font>
    <font>
      <i/>
      <sz val="11"/>
      <name val="Calibri"/>
      <family val="2"/>
      <scheme val="minor"/>
    </font>
    <font>
      <u/>
      <sz val="11"/>
      <color theme="1"/>
      <name val="Calibri"/>
      <family val="2"/>
      <scheme val="minor"/>
    </font>
    <font>
      <b/>
      <sz val="16"/>
      <name val="Calibri"/>
      <family val="2"/>
      <scheme val="minor"/>
    </font>
    <font>
      <b/>
      <u/>
      <sz val="16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</fonts>
  <fills count="17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rgb="FF9999FF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66FF99"/>
        <bgColor indexed="64"/>
      </patternFill>
    </fill>
    <fill>
      <patternFill patternType="solid">
        <fgColor rgb="FFFF9933"/>
        <bgColor indexed="64"/>
      </patternFill>
    </fill>
  </fills>
  <borders count="2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</borders>
  <cellStyleXfs count="9">
    <xf numFmtId="0" fontId="0" fillId="0" borderId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0" fontId="32" fillId="0" borderId="0" applyNumberFormat="0" applyFill="0" applyBorder="0" applyAlignment="0" applyProtection="0"/>
    <xf numFmtId="174" fontId="1" fillId="0" borderId="0" applyFont="0" applyFill="0" applyBorder="0" applyAlignment="0" applyProtection="0"/>
    <xf numFmtId="174" fontId="1" fillId="0" borderId="0" applyFont="0" applyFill="0" applyBorder="0" applyAlignment="0" applyProtection="0"/>
  </cellStyleXfs>
  <cellXfs count="239">
    <xf numFmtId="0" fontId="0" fillId="0" borderId="0" xfId="0"/>
    <xf numFmtId="0" fontId="6" fillId="2" borderId="0" xfId="0" applyFont="1" applyFill="1" applyAlignment="1">
      <alignment vertical="center"/>
    </xf>
    <xf numFmtId="0" fontId="6" fillId="2" borderId="0" xfId="0" applyFont="1" applyFill="1" applyAlignment="1">
      <alignment horizontal="center" vertical="center" wrapText="1"/>
    </xf>
    <xf numFmtId="0" fontId="6" fillId="2" borderId="0" xfId="0" applyFont="1" applyFill="1" applyAlignment="1">
      <alignment vertical="center" wrapText="1"/>
    </xf>
    <xf numFmtId="0" fontId="6" fillId="2" borderId="0" xfId="0" applyFont="1" applyFill="1" applyAlignment="1">
      <alignment horizontal="center" vertical="center"/>
    </xf>
    <xf numFmtId="0" fontId="0" fillId="0" borderId="1" xfId="0" applyBorder="1"/>
    <xf numFmtId="0" fontId="4" fillId="0" borderId="0" xfId="0" applyFont="1"/>
    <xf numFmtId="0" fontId="0" fillId="0" borderId="0" xfId="0" quotePrefix="1"/>
    <xf numFmtId="0" fontId="7" fillId="0" borderId="0" xfId="0" applyFont="1"/>
    <xf numFmtId="0" fontId="8" fillId="0" borderId="0" xfId="0" applyFont="1"/>
    <xf numFmtId="44" fontId="8" fillId="0" borderId="0" xfId="0" applyNumberFormat="1" applyFont="1"/>
    <xf numFmtId="43" fontId="8" fillId="0" borderId="0" xfId="0" applyNumberFormat="1" applyFont="1"/>
    <xf numFmtId="0" fontId="9" fillId="0" borderId="0" xfId="0" applyFont="1"/>
    <xf numFmtId="44" fontId="9" fillId="0" borderId="0" xfId="0" applyNumberFormat="1" applyFont="1"/>
    <xf numFmtId="43" fontId="9" fillId="0" borderId="0" xfId="0" applyNumberFormat="1" applyFont="1"/>
    <xf numFmtId="164" fontId="9" fillId="0" borderId="0" xfId="1" applyFont="1"/>
    <xf numFmtId="0" fontId="10" fillId="2" borderId="2" xfId="0" applyFont="1" applyFill="1" applyBorder="1" applyAlignment="1">
      <alignment vertical="center"/>
    </xf>
    <xf numFmtId="0" fontId="10" fillId="2" borderId="3" xfId="0" applyFont="1" applyFill="1" applyBorder="1"/>
    <xf numFmtId="164" fontId="10" fillId="2" borderId="3" xfId="1" applyFont="1" applyFill="1" applyBorder="1"/>
    <xf numFmtId="44" fontId="10" fillId="2" borderId="3" xfId="1" applyNumberFormat="1" applyFont="1" applyFill="1" applyBorder="1"/>
    <xf numFmtId="164" fontId="10" fillId="2" borderId="4" xfId="1" applyFont="1" applyFill="1" applyBorder="1"/>
    <xf numFmtId="164" fontId="10" fillId="2" borderId="5" xfId="1" applyFont="1" applyFill="1" applyBorder="1"/>
    <xf numFmtId="44" fontId="9" fillId="0" borderId="0" xfId="1" applyNumberFormat="1" applyFont="1"/>
    <xf numFmtId="43" fontId="0" fillId="0" borderId="0" xfId="0" applyNumberFormat="1"/>
    <xf numFmtId="44" fontId="0" fillId="0" borderId="0" xfId="0" applyNumberFormat="1"/>
    <xf numFmtId="0" fontId="9" fillId="0" borderId="0" xfId="0" quotePrefix="1" applyFont="1"/>
    <xf numFmtId="44" fontId="0" fillId="0" borderId="0" xfId="1" applyNumberFormat="1" applyFont="1"/>
    <xf numFmtId="166" fontId="5" fillId="0" borderId="0" xfId="0" applyNumberFormat="1" applyFont="1"/>
    <xf numFmtId="14" fontId="5" fillId="0" borderId="0" xfId="0" applyNumberFormat="1" applyFont="1"/>
    <xf numFmtId="164" fontId="2" fillId="0" borderId="0" xfId="1"/>
    <xf numFmtId="0" fontId="2" fillId="0" borderId="0" xfId="0" applyFont="1"/>
    <xf numFmtId="166" fontId="2" fillId="0" borderId="0" xfId="0" applyNumberFormat="1" applyFont="1"/>
    <xf numFmtId="166" fontId="11" fillId="0" borderId="0" xfId="0" applyNumberFormat="1" applyFont="1"/>
    <xf numFmtId="0" fontId="12" fillId="3" borderId="6" xfId="0" applyFont="1" applyFill="1" applyBorder="1"/>
    <xf numFmtId="14" fontId="4" fillId="0" borderId="7" xfId="0" applyNumberFormat="1" applyFont="1" applyBorder="1"/>
    <xf numFmtId="164" fontId="0" fillId="0" borderId="0" xfId="1" applyFont="1"/>
    <xf numFmtId="166" fontId="0" fillId="0" borderId="0" xfId="0" applyNumberFormat="1"/>
    <xf numFmtId="164" fontId="0" fillId="0" borderId="0" xfId="0" applyNumberFormat="1"/>
    <xf numFmtId="0" fontId="12" fillId="3" borderId="8" xfId="0" applyFont="1" applyFill="1" applyBorder="1"/>
    <xf numFmtId="14" fontId="3" fillId="4" borderId="9" xfId="0" applyNumberFormat="1" applyFont="1" applyFill="1" applyBorder="1"/>
    <xf numFmtId="164" fontId="13" fillId="0" borderId="0" xfId="1" applyFont="1" applyAlignment="1">
      <alignment horizontal="centerContinuous"/>
    </xf>
    <xf numFmtId="0" fontId="13" fillId="0" borderId="0" xfId="0" applyFont="1" applyAlignment="1">
      <alignment horizontal="centerContinuous"/>
    </xf>
    <xf numFmtId="0" fontId="11" fillId="0" borderId="0" xfId="0" applyFont="1"/>
    <xf numFmtId="0" fontId="14" fillId="0" borderId="0" xfId="0" applyFont="1"/>
    <xf numFmtId="167" fontId="0" fillId="0" borderId="0" xfId="0" applyNumberFormat="1"/>
    <xf numFmtId="167" fontId="11" fillId="0" borderId="0" xfId="0" applyNumberFormat="1" applyFont="1"/>
    <xf numFmtId="0" fontId="0" fillId="0" borderId="0" xfId="0" applyAlignment="1">
      <alignment vertical="center"/>
    </xf>
    <xf numFmtId="165" fontId="12" fillId="3" borderId="6" xfId="0" applyNumberFormat="1" applyFont="1" applyFill="1" applyBorder="1" applyAlignment="1">
      <alignment horizontal="centerContinuous"/>
    </xf>
    <xf numFmtId="165" fontId="12" fillId="3" borderId="10" xfId="0" applyNumberFormat="1" applyFont="1" applyFill="1" applyBorder="1" applyAlignment="1">
      <alignment horizontal="centerContinuous"/>
    </xf>
    <xf numFmtId="165" fontId="12" fillId="3" borderId="7" xfId="0" applyNumberFormat="1" applyFont="1" applyFill="1" applyBorder="1" applyAlignment="1">
      <alignment horizontal="centerContinuous"/>
    </xf>
    <xf numFmtId="165" fontId="12" fillId="5" borderId="6" xfId="0" applyNumberFormat="1" applyFont="1" applyFill="1" applyBorder="1" applyAlignment="1">
      <alignment horizontal="centerContinuous"/>
    </xf>
    <xf numFmtId="165" fontId="12" fillId="5" borderId="10" xfId="0" applyNumberFormat="1" applyFont="1" applyFill="1" applyBorder="1" applyAlignment="1">
      <alignment horizontal="centerContinuous"/>
    </xf>
    <xf numFmtId="165" fontId="12" fillId="5" borderId="7" xfId="0" applyNumberFormat="1" applyFont="1" applyFill="1" applyBorder="1" applyAlignment="1">
      <alignment horizontal="centerContinuous"/>
    </xf>
    <xf numFmtId="166" fontId="15" fillId="3" borderId="0" xfId="0" applyNumberFormat="1" applyFont="1" applyFill="1" applyAlignment="1">
      <alignment horizontal="center"/>
    </xf>
    <xf numFmtId="0" fontId="4" fillId="3" borderId="0" xfId="0" applyFont="1" applyFill="1" applyAlignment="1">
      <alignment horizontal="centerContinuous"/>
    </xf>
    <xf numFmtId="0" fontId="0" fillId="3" borderId="0" xfId="0" applyFill="1" applyAlignment="1">
      <alignment horizontal="centerContinuous"/>
    </xf>
    <xf numFmtId="165" fontId="0" fillId="0" borderId="0" xfId="1" applyNumberFormat="1" applyFont="1"/>
    <xf numFmtId="0" fontId="12" fillId="3" borderId="2" xfId="0" applyFont="1" applyFill="1" applyBorder="1" applyAlignment="1">
      <alignment vertical="center"/>
    </xf>
    <xf numFmtId="0" fontId="12" fillId="3" borderId="3" xfId="0" applyFont="1" applyFill="1" applyBorder="1"/>
    <xf numFmtId="164" fontId="12" fillId="3" borderId="3" xfId="1" applyFont="1" applyFill="1" applyBorder="1" applyAlignment="1">
      <alignment horizontal="center"/>
    </xf>
    <xf numFmtId="0" fontId="12" fillId="3" borderId="3" xfId="0" applyFont="1" applyFill="1" applyBorder="1" applyAlignment="1">
      <alignment horizontal="center"/>
    </xf>
    <xf numFmtId="164" fontId="12" fillId="3" borderId="3" xfId="1" applyFont="1" applyFill="1" applyBorder="1"/>
    <xf numFmtId="166" fontId="12" fillId="3" borderId="11" xfId="0" applyNumberFormat="1" applyFont="1" applyFill="1" applyBorder="1" applyAlignment="1">
      <alignment horizontal="left"/>
    </xf>
    <xf numFmtId="166" fontId="12" fillId="3" borderId="1" xfId="0" applyNumberFormat="1" applyFont="1" applyFill="1" applyBorder="1" applyAlignment="1">
      <alignment horizontal="left"/>
    </xf>
    <xf numFmtId="166" fontId="12" fillId="3" borderId="12" xfId="0" applyNumberFormat="1" applyFont="1" applyFill="1" applyBorder="1" applyAlignment="1">
      <alignment horizontal="left"/>
    </xf>
    <xf numFmtId="166" fontId="12" fillId="3" borderId="13" xfId="0" applyNumberFormat="1" applyFont="1" applyFill="1" applyBorder="1" applyAlignment="1">
      <alignment horizontal="center"/>
    </xf>
    <xf numFmtId="166" fontId="12" fillId="3" borderId="3" xfId="0" applyNumberFormat="1" applyFont="1" applyFill="1" applyBorder="1" applyAlignment="1">
      <alignment horizontal="center"/>
    </xf>
    <xf numFmtId="166" fontId="3" fillId="6" borderId="3" xfId="0" applyNumberFormat="1" applyFont="1" applyFill="1" applyBorder="1" applyAlignment="1">
      <alignment horizontal="center"/>
    </xf>
    <xf numFmtId="164" fontId="3" fillId="6" borderId="3" xfId="1" applyFont="1" applyFill="1" applyBorder="1" applyAlignment="1">
      <alignment horizontal="center"/>
    </xf>
    <xf numFmtId="166" fontId="12" fillId="3" borderId="5" xfId="0" applyNumberFormat="1" applyFont="1" applyFill="1" applyBorder="1" applyAlignment="1">
      <alignment horizontal="center"/>
    </xf>
    <xf numFmtId="166" fontId="12" fillId="3" borderId="0" xfId="0" applyNumberFormat="1" applyFont="1" applyFill="1" applyAlignment="1">
      <alignment horizontal="center"/>
    </xf>
    <xf numFmtId="16" fontId="0" fillId="0" borderId="0" xfId="0" applyNumberFormat="1"/>
    <xf numFmtId="168" fontId="2" fillId="0" borderId="15" xfId="2" applyNumberFormat="1" applyFill="1" applyBorder="1"/>
    <xf numFmtId="0" fontId="0" fillId="0" borderId="15" xfId="0" applyBorder="1"/>
    <xf numFmtId="164" fontId="11" fillId="0" borderId="16" xfId="1" applyFont="1" applyFill="1" applyBorder="1"/>
    <xf numFmtId="166" fontId="16" fillId="7" borderId="11" xfId="0" applyNumberFormat="1" applyFont="1" applyFill="1" applyBorder="1"/>
    <xf numFmtId="166" fontId="12" fillId="7" borderId="1" xfId="0" quotePrefix="1" applyNumberFormat="1" applyFont="1" applyFill="1" applyBorder="1"/>
    <xf numFmtId="166" fontId="3" fillId="4" borderId="1" xfId="0" applyNumberFormat="1" applyFont="1" applyFill="1" applyBorder="1"/>
    <xf numFmtId="166" fontId="12" fillId="7" borderId="1" xfId="0" applyNumberFormat="1" applyFont="1" applyFill="1" applyBorder="1"/>
    <xf numFmtId="166" fontId="3" fillId="4" borderId="12" xfId="0" applyNumberFormat="1" applyFont="1" applyFill="1" applyBorder="1"/>
    <xf numFmtId="169" fontId="2" fillId="9" borderId="15" xfId="1" applyNumberFormat="1" applyFill="1" applyBorder="1"/>
    <xf numFmtId="166" fontId="4" fillId="0" borderId="17" xfId="0" applyNumberFormat="1" applyFont="1" applyBorder="1"/>
    <xf numFmtId="2" fontId="2" fillId="9" borderId="15" xfId="1" applyNumberFormat="1" applyFill="1" applyBorder="1"/>
    <xf numFmtId="164" fontId="2" fillId="9" borderId="15" xfId="1" applyFill="1" applyBorder="1"/>
    <xf numFmtId="2" fontId="0" fillId="10" borderId="15" xfId="0" applyNumberFormat="1" applyFill="1" applyBorder="1"/>
    <xf numFmtId="166" fontId="0" fillId="8" borderId="1" xfId="0" applyNumberFormat="1" applyFill="1" applyBorder="1"/>
    <xf numFmtId="166" fontId="0" fillId="0" borderId="1" xfId="0" applyNumberFormat="1" applyBorder="1"/>
    <xf numFmtId="0" fontId="0" fillId="0" borderId="14" xfId="0" quotePrefix="1" applyBorder="1" applyAlignment="1">
      <alignment horizontal="left"/>
    </xf>
    <xf numFmtId="0" fontId="0" fillId="0" borderId="1" xfId="0" applyBorder="1" applyAlignment="1">
      <alignment horizontal="left"/>
    </xf>
    <xf numFmtId="2" fontId="0" fillId="0" borderId="1" xfId="0" applyNumberFormat="1" applyBorder="1"/>
    <xf numFmtId="168" fontId="0" fillId="0" borderId="15" xfId="2" applyNumberFormat="1" applyFont="1" applyFill="1" applyBorder="1"/>
    <xf numFmtId="2" fontId="0" fillId="0" borderId="15" xfId="0" applyNumberFormat="1" applyBorder="1"/>
    <xf numFmtId="2" fontId="0" fillId="10" borderId="1" xfId="0" applyNumberFormat="1" applyFill="1" applyBorder="1"/>
    <xf numFmtId="2" fontId="0" fillId="0" borderId="0" xfId="0" applyNumberFormat="1"/>
    <xf numFmtId="46" fontId="0" fillId="0" borderId="0" xfId="0" applyNumberFormat="1"/>
    <xf numFmtId="0" fontId="0" fillId="10" borderId="0" xfId="0" quotePrefix="1" applyFill="1"/>
    <xf numFmtId="0" fontId="0" fillId="10" borderId="0" xfId="0" applyFill="1"/>
    <xf numFmtId="168" fontId="0" fillId="0" borderId="0" xfId="1" applyNumberFormat="1" applyFont="1"/>
    <xf numFmtId="166" fontId="0" fillId="10" borderId="0" xfId="0" applyNumberFormat="1" applyFill="1"/>
    <xf numFmtId="168" fontId="11" fillId="0" borderId="0" xfId="1" applyNumberFormat="1" applyFont="1"/>
    <xf numFmtId="0" fontId="17" fillId="0" borderId="0" xfId="0" applyFont="1"/>
    <xf numFmtId="164" fontId="17" fillId="0" borderId="0" xfId="1" applyFont="1" applyAlignment="1"/>
    <xf numFmtId="164" fontId="17" fillId="0" borderId="0" xfId="1" applyFont="1" applyAlignment="1">
      <alignment horizontal="center"/>
    </xf>
    <xf numFmtId="0" fontId="18" fillId="0" borderId="0" xfId="0" applyFont="1"/>
    <xf numFmtId="0" fontId="17" fillId="10" borderId="0" xfId="0" applyFont="1" applyFill="1"/>
    <xf numFmtId="0" fontId="19" fillId="0" borderId="0" xfId="0" applyFont="1"/>
    <xf numFmtId="1" fontId="0" fillId="0" borderId="0" xfId="0" applyNumberFormat="1"/>
    <xf numFmtId="0" fontId="0" fillId="10" borderId="1" xfId="0" applyFill="1" applyBorder="1"/>
    <xf numFmtId="2" fontId="0" fillId="2" borderId="15" xfId="0" applyNumberFormat="1" applyFill="1" applyBorder="1"/>
    <xf numFmtId="0" fontId="0" fillId="10" borderId="15" xfId="0" applyFill="1" applyBorder="1"/>
    <xf numFmtId="0" fontId="0" fillId="10" borderId="15" xfId="0" quotePrefix="1" applyFill="1" applyBorder="1"/>
    <xf numFmtId="0" fontId="9" fillId="10" borderId="1" xfId="0" applyFont="1" applyFill="1" applyBorder="1"/>
    <xf numFmtId="0" fontId="20" fillId="10" borderId="1" xfId="0" applyFont="1" applyFill="1" applyBorder="1"/>
    <xf numFmtId="0" fontId="21" fillId="0" borderId="0" xfId="0" applyFont="1"/>
    <xf numFmtId="0" fontId="22" fillId="0" borderId="0" xfId="0" applyFont="1"/>
    <xf numFmtId="0" fontId="23" fillId="11" borderId="0" xfId="0" applyFont="1" applyFill="1" applyAlignment="1">
      <alignment horizontal="center"/>
    </xf>
    <xf numFmtId="20" fontId="0" fillId="0" borderId="0" xfId="0" applyNumberFormat="1"/>
    <xf numFmtId="0" fontId="24" fillId="12" borderId="18" xfId="0" applyFont="1" applyFill="1" applyBorder="1" applyAlignment="1">
      <alignment vertical="center"/>
    </xf>
    <xf numFmtId="0" fontId="25" fillId="12" borderId="19" xfId="0" applyFont="1" applyFill="1" applyBorder="1" applyAlignment="1">
      <alignment vertical="center"/>
    </xf>
    <xf numFmtId="0" fontId="24" fillId="0" borderId="20" xfId="0" applyFont="1" applyBorder="1" applyAlignment="1">
      <alignment horizontal="right" vertical="center"/>
    </xf>
    <xf numFmtId="0" fontId="24" fillId="0" borderId="9" xfId="0" applyFont="1" applyBorder="1" applyAlignment="1">
      <alignment vertical="center"/>
    </xf>
    <xf numFmtId="44" fontId="24" fillId="0" borderId="9" xfId="0" applyNumberFormat="1" applyFont="1" applyBorder="1" applyAlignment="1">
      <alignment vertical="center"/>
    </xf>
    <xf numFmtId="0" fontId="25" fillId="0" borderId="21" xfId="0" applyFont="1" applyBorder="1" applyAlignment="1">
      <alignment vertical="center"/>
    </xf>
    <xf numFmtId="44" fontId="24" fillId="0" borderId="18" xfId="0" applyNumberFormat="1" applyFont="1" applyBorder="1" applyAlignment="1">
      <alignment vertical="center"/>
    </xf>
    <xf numFmtId="0" fontId="21" fillId="0" borderId="7" xfId="0" applyFont="1" applyBorder="1"/>
    <xf numFmtId="44" fontId="24" fillId="0" borderId="0" xfId="0" applyNumberFormat="1" applyFont="1" applyAlignment="1">
      <alignment vertical="center"/>
    </xf>
    <xf numFmtId="0" fontId="0" fillId="0" borderId="1" xfId="0" applyBorder="1" applyAlignment="1">
      <alignment vertical="center"/>
    </xf>
    <xf numFmtId="164" fontId="0" fillId="0" borderId="1" xfId="1" applyFont="1" applyBorder="1" applyAlignment="1">
      <alignment vertical="center"/>
    </xf>
    <xf numFmtId="0" fontId="0" fillId="0" borderId="1" xfId="0" applyBorder="1" applyAlignment="1">
      <alignment vertical="center" wrapText="1"/>
    </xf>
    <xf numFmtId="166" fontId="0" fillId="2" borderId="1" xfId="0" applyNumberFormat="1" applyFill="1" applyBorder="1"/>
    <xf numFmtId="168" fontId="0" fillId="0" borderId="0" xfId="1" applyNumberFormat="1" applyFont="1" applyFill="1"/>
    <xf numFmtId="166" fontId="4" fillId="8" borderId="1" xfId="0" applyNumberFormat="1" applyFont="1" applyFill="1" applyBorder="1"/>
    <xf numFmtId="46" fontId="2" fillId="0" borderId="0" xfId="1" applyNumberFormat="1"/>
    <xf numFmtId="0" fontId="0" fillId="0" borderId="15" xfId="0" quotePrefix="1" applyBorder="1"/>
    <xf numFmtId="0" fontId="1" fillId="0" borderId="0" xfId="0" applyFont="1"/>
    <xf numFmtId="166" fontId="1" fillId="0" borderId="1" xfId="0" applyNumberFormat="1" applyFont="1" applyBorder="1"/>
    <xf numFmtId="166" fontId="16" fillId="7" borderId="11" xfId="0" quotePrefix="1" applyNumberFormat="1" applyFont="1" applyFill="1" applyBorder="1"/>
    <xf numFmtId="166" fontId="1" fillId="0" borderId="0" xfId="0" applyNumberFormat="1" applyFont="1"/>
    <xf numFmtId="46" fontId="1" fillId="0" borderId="0" xfId="0" applyNumberFormat="1" applyFont="1"/>
    <xf numFmtId="20" fontId="1" fillId="0" borderId="0" xfId="0" applyNumberFormat="1" applyFont="1"/>
    <xf numFmtId="0" fontId="1" fillId="0" borderId="14" xfId="0" quotePrefix="1" applyFont="1" applyBorder="1" applyAlignment="1">
      <alignment horizontal="left"/>
    </xf>
    <xf numFmtId="0" fontId="1" fillId="0" borderId="15" xfId="0" applyFont="1" applyBorder="1"/>
    <xf numFmtId="166" fontId="1" fillId="8" borderId="1" xfId="0" applyNumberFormat="1" applyFont="1" applyFill="1" applyBorder="1"/>
    <xf numFmtId="166" fontId="1" fillId="2" borderId="1" xfId="0" applyNumberFormat="1" applyFont="1" applyFill="1" applyBorder="1"/>
    <xf numFmtId="2" fontId="1" fillId="0" borderId="15" xfId="0" applyNumberFormat="1" applyFont="1" applyBorder="1"/>
    <xf numFmtId="2" fontId="1" fillId="9" borderId="15" xfId="0" applyNumberFormat="1" applyFont="1" applyFill="1" applyBorder="1"/>
    <xf numFmtId="2" fontId="1" fillId="10" borderId="1" xfId="0" applyNumberFormat="1" applyFont="1" applyFill="1" applyBorder="1"/>
    <xf numFmtId="2" fontId="1" fillId="10" borderId="15" xfId="0" applyNumberFormat="1" applyFont="1" applyFill="1" applyBorder="1"/>
    <xf numFmtId="2" fontId="1" fillId="0" borderId="1" xfId="0" applyNumberFormat="1" applyFont="1" applyBorder="1"/>
    <xf numFmtId="2" fontId="1" fillId="2" borderId="15" xfId="0" applyNumberFormat="1" applyFont="1" applyFill="1" applyBorder="1"/>
    <xf numFmtId="2" fontId="1" fillId="0" borderId="0" xfId="0" applyNumberFormat="1" applyFont="1"/>
    <xf numFmtId="0" fontId="1" fillId="0" borderId="1" xfId="0" applyFont="1" applyBorder="1"/>
    <xf numFmtId="168" fontId="1" fillId="0" borderId="15" xfId="2" applyNumberFormat="1" applyFont="1" applyFill="1" applyBorder="1"/>
    <xf numFmtId="8" fontId="24" fillId="0" borderId="9" xfId="0" applyNumberFormat="1" applyFont="1" applyBorder="1" applyAlignment="1">
      <alignment vertical="center"/>
    </xf>
    <xf numFmtId="8" fontId="24" fillId="0" borderId="18" xfId="0" applyNumberFormat="1" applyFont="1" applyBorder="1" applyAlignment="1">
      <alignment vertical="center"/>
    </xf>
    <xf numFmtId="2" fontId="1" fillId="0" borderId="15" xfId="0" applyNumberFormat="1" applyFont="1" applyFill="1" applyBorder="1"/>
    <xf numFmtId="2" fontId="1" fillId="0" borderId="1" xfId="0" applyNumberFormat="1" applyFont="1" applyFill="1" applyBorder="1"/>
    <xf numFmtId="166" fontId="0" fillId="0" borderId="1" xfId="0" applyNumberFormat="1" applyFont="1" applyBorder="1"/>
    <xf numFmtId="0" fontId="0" fillId="0" borderId="0" xfId="0" applyFont="1"/>
    <xf numFmtId="166" fontId="0" fillId="8" borderId="1" xfId="0" applyNumberFormat="1" applyFont="1" applyFill="1" applyBorder="1"/>
    <xf numFmtId="0" fontId="0" fillId="0" borderId="15" xfId="0" applyFont="1" applyBorder="1"/>
    <xf numFmtId="0" fontId="0" fillId="0" borderId="1" xfId="0" applyFont="1" applyBorder="1"/>
    <xf numFmtId="0" fontId="0" fillId="0" borderId="0" xfId="0" applyAlignment="1">
      <alignment horizontal="left"/>
    </xf>
    <xf numFmtId="170" fontId="0" fillId="0" borderId="0" xfId="0" applyNumberFormat="1"/>
    <xf numFmtId="0" fontId="12" fillId="14" borderId="24" xfId="0" applyFont="1" applyFill="1" applyBorder="1" applyAlignment="1">
      <alignment horizontal="left"/>
    </xf>
    <xf numFmtId="0" fontId="12" fillId="14" borderId="6" xfId="0" applyFont="1" applyFill="1" applyBorder="1" applyAlignment="1">
      <alignment horizontal="left"/>
    </xf>
    <xf numFmtId="0" fontId="12" fillId="14" borderId="22" xfId="0" applyFont="1" applyFill="1" applyBorder="1" applyAlignment="1">
      <alignment horizontal="left"/>
    </xf>
    <xf numFmtId="0" fontId="30" fillId="14" borderId="8" xfId="0" applyFont="1" applyFill="1" applyBorder="1" applyAlignment="1">
      <alignment horizontal="left" vertical="center"/>
    </xf>
    <xf numFmtId="0" fontId="0" fillId="0" borderId="0" xfId="0"/>
    <xf numFmtId="166" fontId="0" fillId="0" borderId="0" xfId="0" applyNumberFormat="1" applyBorder="1" applyAlignment="1">
      <alignment horizontal="left" vertical="center"/>
    </xf>
    <xf numFmtId="170" fontId="29" fillId="0" borderId="10" xfId="0" applyNumberFormat="1" applyFont="1" applyBorder="1" applyAlignment="1"/>
    <xf numFmtId="166" fontId="0" fillId="0" borderId="21" xfId="0" applyNumberFormat="1" applyBorder="1" applyAlignment="1">
      <alignment horizontal="left" vertical="center"/>
    </xf>
    <xf numFmtId="44" fontId="29" fillId="0" borderId="0" xfId="5" applyFont="1" applyBorder="1" applyAlignment="1"/>
    <xf numFmtId="44" fontId="0" fillId="0" borderId="21" xfId="5" applyFont="1" applyBorder="1" applyAlignment="1">
      <alignment horizontal="left" vertical="center"/>
    </xf>
    <xf numFmtId="44" fontId="29" fillId="0" borderId="10" xfId="5" applyFont="1" applyBorder="1" applyAlignment="1"/>
    <xf numFmtId="164" fontId="32" fillId="0" borderId="0" xfId="6" applyNumberFormat="1"/>
    <xf numFmtId="0" fontId="32" fillId="0" borderId="0" xfId="6"/>
    <xf numFmtId="2" fontId="11" fillId="0" borderId="1" xfId="0" applyNumberFormat="1" applyFont="1" applyFill="1" applyBorder="1"/>
    <xf numFmtId="2" fontId="0" fillId="0" borderId="1" xfId="0" applyNumberFormat="1" applyFill="1" applyBorder="1"/>
    <xf numFmtId="2" fontId="0" fillId="0" borderId="15" xfId="0" applyNumberFormat="1" applyFill="1" applyBorder="1"/>
    <xf numFmtId="0" fontId="26" fillId="14" borderId="26" xfId="0" applyFont="1" applyFill="1" applyBorder="1" applyAlignment="1">
      <alignment horizontal="left" vertical="center"/>
    </xf>
    <xf numFmtId="0" fontId="26" fillId="14" borderId="26" xfId="0" applyFont="1" applyFill="1" applyBorder="1" applyAlignment="1">
      <alignment horizontal="left"/>
    </xf>
    <xf numFmtId="0" fontId="26" fillId="14" borderId="27" xfId="0" applyFont="1" applyFill="1" applyBorder="1" applyAlignment="1">
      <alignment horizontal="left"/>
    </xf>
    <xf numFmtId="0" fontId="28" fillId="14" borderId="27" xfId="0" applyFont="1" applyFill="1" applyBorder="1" applyAlignment="1">
      <alignment horizontal="left"/>
    </xf>
    <xf numFmtId="0" fontId="26" fillId="14" borderId="20" xfId="0" applyFont="1" applyFill="1" applyBorder="1" applyAlignment="1">
      <alignment horizontal="left"/>
    </xf>
    <xf numFmtId="0" fontId="28" fillId="14" borderId="20" xfId="0" applyFont="1" applyFill="1" applyBorder="1" applyAlignment="1">
      <alignment horizontal="left"/>
    </xf>
    <xf numFmtId="0" fontId="28" fillId="14" borderId="26" xfId="4" applyNumberFormat="1" applyFont="1" applyFill="1" applyBorder="1" applyAlignment="1">
      <alignment horizontal="left"/>
    </xf>
    <xf numFmtId="0" fontId="28" fillId="14" borderId="26" xfId="0" applyFont="1" applyFill="1" applyBorder="1" applyAlignment="1">
      <alignment horizontal="left"/>
    </xf>
    <xf numFmtId="0" fontId="0" fillId="0" borderId="1" xfId="0" applyFill="1" applyBorder="1"/>
    <xf numFmtId="0" fontId="0" fillId="0" borderId="10" xfId="0" applyBorder="1"/>
    <xf numFmtId="0" fontId="0" fillId="0" borderId="23" xfId="0" applyBorder="1"/>
    <xf numFmtId="0" fontId="0" fillId="0" borderId="21" xfId="0" applyBorder="1"/>
    <xf numFmtId="0" fontId="0" fillId="0" borderId="9" xfId="0" applyBorder="1"/>
    <xf numFmtId="0" fontId="5" fillId="0" borderId="10" xfId="0" applyFont="1" applyBorder="1"/>
    <xf numFmtId="0" fontId="27" fillId="0" borderId="10" xfId="0" applyFont="1" applyBorder="1" applyAlignment="1">
      <alignment vertical="center"/>
    </xf>
    <xf numFmtId="0" fontId="27" fillId="0" borderId="7" xfId="0" applyFont="1" applyBorder="1" applyAlignment="1">
      <alignment vertical="center"/>
    </xf>
    <xf numFmtId="0" fontId="1" fillId="16" borderId="1" xfId="0" applyFont="1" applyFill="1" applyBorder="1"/>
    <xf numFmtId="0" fontId="1" fillId="15" borderId="1" xfId="0" applyFont="1" applyFill="1" applyBorder="1"/>
    <xf numFmtId="2" fontId="1" fillId="13" borderId="1" xfId="0" applyNumberFormat="1" applyFont="1" applyFill="1" applyBorder="1"/>
    <xf numFmtId="170" fontId="29" fillId="0" borderId="0" xfId="0" applyNumberFormat="1" applyFont="1"/>
    <xf numFmtId="170" fontId="29" fillId="0" borderId="23" xfId="0" applyNumberFormat="1" applyFont="1" applyBorder="1"/>
    <xf numFmtId="170" fontId="31" fillId="0" borderId="21" xfId="0" applyNumberFormat="1" applyFont="1" applyBorder="1" applyAlignment="1">
      <alignment vertical="center"/>
    </xf>
    <xf numFmtId="170" fontId="31" fillId="0" borderId="9" xfId="0" applyNumberFormat="1" applyFont="1" applyBorder="1" applyAlignment="1">
      <alignment vertical="center"/>
    </xf>
    <xf numFmtId="44" fontId="29" fillId="0" borderId="0" xfId="5" applyFont="1"/>
    <xf numFmtId="44" fontId="29" fillId="0" borderId="23" xfId="5" applyFont="1" applyBorder="1"/>
    <xf numFmtId="170" fontId="29" fillId="0" borderId="21" xfId="0" applyNumberFormat="1" applyFont="1" applyBorder="1"/>
    <xf numFmtId="170" fontId="29" fillId="0" borderId="9" xfId="0" applyNumberFormat="1" applyFont="1" applyBorder="1"/>
    <xf numFmtId="170" fontId="29" fillId="0" borderId="10" xfId="0" applyNumberFormat="1" applyFont="1" applyBorder="1"/>
    <xf numFmtId="170" fontId="29" fillId="0" borderId="7" xfId="0" applyNumberFormat="1" applyFont="1" applyBorder="1"/>
    <xf numFmtId="170" fontId="29" fillId="0" borderId="25" xfId="0" applyNumberFormat="1" applyFont="1" applyBorder="1"/>
    <xf numFmtId="170" fontId="29" fillId="0" borderId="19" xfId="0" applyNumberFormat="1" applyFont="1" applyBorder="1"/>
    <xf numFmtId="44" fontId="29" fillId="0" borderId="10" xfId="5" applyFont="1" applyBorder="1"/>
    <xf numFmtId="44" fontId="29" fillId="0" borderId="7" xfId="5" applyFont="1" applyBorder="1"/>
    <xf numFmtId="168" fontId="1" fillId="0" borderId="15" xfId="8" applyNumberFormat="1" applyFill="1" applyBorder="1"/>
    <xf numFmtId="0" fontId="0" fillId="0" borderId="15" xfId="0" applyBorder="1"/>
    <xf numFmtId="0" fontId="1" fillId="0" borderId="15" xfId="0" applyFont="1" applyBorder="1"/>
    <xf numFmtId="174" fontId="11" fillId="0" borderId="16" xfId="7" applyFont="1" applyFill="1" applyBorder="1"/>
    <xf numFmtId="166" fontId="16" fillId="7" borderId="11" xfId="0" applyNumberFormat="1" applyFont="1" applyFill="1" applyBorder="1"/>
    <xf numFmtId="166" fontId="12" fillId="7" borderId="1" xfId="0" quotePrefix="1" applyNumberFormat="1" applyFont="1" applyFill="1" applyBorder="1"/>
    <xf numFmtId="166" fontId="1" fillId="0" borderId="1" xfId="0" applyNumberFormat="1" applyFont="1" applyBorder="1"/>
    <xf numFmtId="166" fontId="3" fillId="4" borderId="1" xfId="0" applyNumberFormat="1" applyFont="1" applyFill="1" applyBorder="1"/>
    <xf numFmtId="166" fontId="12" fillId="7" borderId="1" xfId="0" applyNumberFormat="1" applyFont="1" applyFill="1" applyBorder="1"/>
    <xf numFmtId="166" fontId="1" fillId="8" borderId="1" xfId="0" applyNumberFormat="1" applyFont="1" applyFill="1" applyBorder="1"/>
    <xf numFmtId="166" fontId="1" fillId="2" borderId="1" xfId="0" applyNumberFormat="1" applyFont="1" applyFill="1" applyBorder="1"/>
    <xf numFmtId="166" fontId="3" fillId="4" borderId="12" xfId="0" applyNumberFormat="1" applyFont="1" applyFill="1" applyBorder="1"/>
    <xf numFmtId="169" fontId="1" fillId="9" borderId="15" xfId="7" applyNumberFormat="1" applyFill="1" applyBorder="1"/>
    <xf numFmtId="166" fontId="4" fillId="0" borderId="17" xfId="0" applyNumberFormat="1" applyFont="1" applyBorder="1"/>
    <xf numFmtId="2" fontId="1" fillId="0" borderId="15" xfId="0" applyNumberFormat="1" applyFont="1" applyBorder="1"/>
    <xf numFmtId="2" fontId="1" fillId="9" borderId="15" xfId="0" applyNumberFormat="1" applyFont="1" applyFill="1" applyBorder="1"/>
    <xf numFmtId="2" fontId="1" fillId="0" borderId="1" xfId="0" applyNumberFormat="1" applyFont="1" applyBorder="1"/>
    <xf numFmtId="2" fontId="1" fillId="10" borderId="1" xfId="0" applyNumberFormat="1" applyFont="1" applyFill="1" applyBorder="1"/>
    <xf numFmtId="2" fontId="1" fillId="10" borderId="15" xfId="0" applyNumberFormat="1" applyFont="1" applyFill="1" applyBorder="1"/>
    <xf numFmtId="2" fontId="1" fillId="9" borderId="15" xfId="7" applyNumberFormat="1" applyFill="1" applyBorder="1"/>
    <xf numFmtId="174" fontId="1" fillId="9" borderId="15" xfId="7" applyFill="1" applyBorder="1"/>
    <xf numFmtId="2" fontId="0" fillId="0" borderId="1" xfId="0" applyNumberFormat="1" applyBorder="1"/>
    <xf numFmtId="2" fontId="0" fillId="10" borderId="15" xfId="0" applyNumberFormat="1" applyFill="1" applyBorder="1"/>
    <xf numFmtId="2" fontId="1" fillId="2" borderId="15" xfId="0" applyNumberFormat="1" applyFont="1" applyFill="1" applyBorder="1"/>
    <xf numFmtId="166" fontId="0" fillId="0" borderId="1" xfId="0" applyNumberFormat="1" applyBorder="1"/>
    <xf numFmtId="166" fontId="0" fillId="8" borderId="1" xfId="0" applyNumberFormat="1" applyFill="1" applyBorder="1"/>
  </cellXfs>
  <cellStyles count="9">
    <cellStyle name="Hipervínculo" xfId="6" builtinId="8"/>
    <cellStyle name="Millares" xfId="1" builtinId="3"/>
    <cellStyle name="Millares 2" xfId="2" xr:uid="{00000000-0005-0000-0000-000001000000}"/>
    <cellStyle name="Millares 2 2" xfId="3" xr:uid="{00000000-0005-0000-0000-000002000000}"/>
    <cellStyle name="Millares 2 3" xfId="8" xr:uid="{11E4F26D-4CFA-42B9-B38F-31BDB091A85C}"/>
    <cellStyle name="Millares 3" xfId="4" xr:uid="{1F4BC4C8-B96A-43FB-8365-F2E6DC78C3F1}"/>
    <cellStyle name="Millares 4" xfId="7" xr:uid="{D6F3DEF7-642F-4FC6-AFFE-7D1EE4BEE355}"/>
    <cellStyle name="Moneda" xfId="5" builtinId="4"/>
    <cellStyle name="Normal" xfId="0" builtinId="0"/>
  </cellStyles>
  <dxfs count="4446">
    <dxf>
      <font>
        <b/>
        <i val="0"/>
        <color rgb="FF9C0006"/>
      </font>
      <fill>
        <patternFill>
          <bgColor theme="5"/>
        </patternFill>
      </fill>
    </dxf>
    <dxf>
      <font>
        <b/>
        <i val="0"/>
        <color theme="0"/>
        <name val="Cambria"/>
        <scheme val="none"/>
      </font>
      <fill>
        <patternFill>
          <bgColor theme="5"/>
        </patternFill>
      </fill>
    </dxf>
    <dxf>
      <font>
        <b/>
        <i val="0"/>
        <color rgb="FFFFC000"/>
      </font>
      <fill>
        <patternFill>
          <bgColor theme="5"/>
        </patternFill>
      </fill>
    </dxf>
    <dxf>
      <font>
        <b/>
        <i val="0"/>
        <color theme="0"/>
      </font>
      <fill>
        <patternFill>
          <bgColor theme="8"/>
        </patternFill>
      </fill>
    </dxf>
    <dxf>
      <font>
        <b/>
        <i val="0"/>
        <color theme="0"/>
      </font>
      <fill>
        <patternFill>
          <bgColor theme="8"/>
        </patternFill>
      </fill>
    </dxf>
    <dxf>
      <font>
        <b/>
        <i val="0"/>
        <color rgb="FF9C0006"/>
      </font>
      <fill>
        <patternFill>
          <bgColor theme="5"/>
        </patternFill>
      </fill>
    </dxf>
    <dxf>
      <font>
        <b/>
        <i val="0"/>
        <color theme="0"/>
        <name val="Cambria"/>
        <scheme val="none"/>
      </font>
      <fill>
        <patternFill>
          <bgColor theme="5"/>
        </patternFill>
      </fill>
    </dxf>
    <dxf>
      <font>
        <b/>
        <i val="0"/>
        <color rgb="FFFFC000"/>
      </font>
      <fill>
        <patternFill>
          <bgColor theme="5"/>
        </patternFill>
      </fill>
    </dxf>
    <dxf>
      <font>
        <b/>
        <i val="0"/>
        <color theme="0"/>
      </font>
      <fill>
        <patternFill>
          <bgColor theme="8"/>
        </patternFill>
      </fill>
    </dxf>
    <dxf>
      <font>
        <b/>
        <i val="0"/>
        <color theme="0"/>
      </font>
      <fill>
        <patternFill>
          <bgColor theme="8"/>
        </patternFill>
      </fill>
    </dxf>
    <dxf>
      <font>
        <b/>
        <i val="0"/>
        <color rgb="FF9C0006"/>
      </font>
      <fill>
        <patternFill>
          <bgColor theme="5"/>
        </patternFill>
      </fill>
    </dxf>
    <dxf>
      <font>
        <b/>
        <i val="0"/>
        <color theme="0"/>
        <name val="Cambria"/>
        <scheme val="none"/>
      </font>
      <fill>
        <patternFill>
          <bgColor theme="5"/>
        </patternFill>
      </fill>
    </dxf>
    <dxf>
      <font>
        <b/>
        <i val="0"/>
        <color rgb="FFFFC000"/>
      </font>
      <fill>
        <patternFill>
          <bgColor theme="5"/>
        </patternFill>
      </fill>
    </dxf>
    <dxf>
      <font>
        <b/>
        <i val="0"/>
        <color theme="0"/>
      </font>
      <fill>
        <patternFill>
          <bgColor theme="8"/>
        </patternFill>
      </fill>
    </dxf>
    <dxf>
      <font>
        <b/>
        <i val="0"/>
        <color theme="0"/>
      </font>
      <fill>
        <patternFill>
          <bgColor theme="8"/>
        </patternFill>
      </fill>
    </dxf>
    <dxf>
      <font>
        <b/>
        <i val="0"/>
        <color rgb="FF9C0006"/>
      </font>
      <fill>
        <patternFill>
          <bgColor theme="5"/>
        </patternFill>
      </fill>
    </dxf>
    <dxf>
      <font>
        <b/>
        <i val="0"/>
        <color theme="0"/>
        <name val="Cambria"/>
        <scheme val="none"/>
      </font>
      <fill>
        <patternFill>
          <bgColor theme="5"/>
        </patternFill>
      </fill>
    </dxf>
    <dxf>
      <font>
        <b/>
        <i val="0"/>
        <color rgb="FFFFC000"/>
      </font>
      <fill>
        <patternFill>
          <bgColor theme="5"/>
        </patternFill>
      </fill>
    </dxf>
    <dxf>
      <font>
        <b/>
        <i val="0"/>
        <color theme="0"/>
      </font>
      <fill>
        <patternFill>
          <bgColor theme="8"/>
        </patternFill>
      </fill>
    </dxf>
    <dxf>
      <font>
        <b/>
        <i val="0"/>
        <color theme="0"/>
      </font>
      <fill>
        <patternFill>
          <bgColor theme="8"/>
        </patternFill>
      </fill>
    </dxf>
    <dxf>
      <font>
        <b/>
        <i val="0"/>
        <color rgb="FF9C0006"/>
      </font>
      <fill>
        <patternFill>
          <bgColor theme="5"/>
        </patternFill>
      </fill>
    </dxf>
    <dxf>
      <font>
        <b/>
        <i val="0"/>
        <color theme="0"/>
        <name val="Cambria"/>
        <scheme val="none"/>
      </font>
      <fill>
        <patternFill>
          <bgColor theme="5"/>
        </patternFill>
      </fill>
    </dxf>
    <dxf>
      <font>
        <b/>
        <i val="0"/>
        <color rgb="FFFFC000"/>
      </font>
      <fill>
        <patternFill>
          <bgColor theme="5"/>
        </patternFill>
      </fill>
    </dxf>
    <dxf>
      <font>
        <b/>
        <i val="0"/>
        <color theme="0"/>
      </font>
      <fill>
        <patternFill>
          <bgColor theme="8"/>
        </patternFill>
      </fill>
    </dxf>
    <dxf>
      <font>
        <b/>
        <i val="0"/>
        <color theme="0"/>
      </font>
      <fill>
        <patternFill>
          <bgColor theme="8"/>
        </patternFill>
      </fill>
    </dxf>
    <dxf>
      <font>
        <b/>
        <i val="0"/>
        <color rgb="FF9C0006"/>
      </font>
      <fill>
        <patternFill>
          <bgColor theme="5"/>
        </patternFill>
      </fill>
    </dxf>
    <dxf>
      <font>
        <b/>
        <i val="0"/>
        <color theme="0"/>
        <name val="Cambria"/>
        <scheme val="none"/>
      </font>
      <fill>
        <patternFill>
          <bgColor theme="5"/>
        </patternFill>
      </fill>
    </dxf>
    <dxf>
      <font>
        <b/>
        <i val="0"/>
        <color rgb="FFFFC000"/>
      </font>
      <fill>
        <patternFill>
          <bgColor theme="5"/>
        </patternFill>
      </fill>
    </dxf>
    <dxf>
      <font>
        <b/>
        <i val="0"/>
        <color theme="0"/>
      </font>
      <fill>
        <patternFill>
          <bgColor theme="8"/>
        </patternFill>
      </fill>
    </dxf>
    <dxf>
      <font>
        <b/>
        <i val="0"/>
        <color theme="0"/>
      </font>
      <fill>
        <patternFill>
          <bgColor theme="8"/>
        </patternFill>
      </fill>
    </dxf>
    <dxf>
      <font>
        <b/>
        <i val="0"/>
        <color rgb="FF9C0006"/>
      </font>
      <fill>
        <patternFill>
          <bgColor theme="5"/>
        </patternFill>
      </fill>
    </dxf>
    <dxf>
      <font>
        <b/>
        <i val="0"/>
        <color theme="0"/>
        <name val="Cambria"/>
        <scheme val="none"/>
      </font>
      <fill>
        <patternFill>
          <bgColor theme="5"/>
        </patternFill>
      </fill>
    </dxf>
    <dxf>
      <font>
        <b/>
        <i val="0"/>
        <color rgb="FFFFC000"/>
      </font>
      <fill>
        <patternFill>
          <bgColor theme="5"/>
        </patternFill>
      </fill>
    </dxf>
    <dxf>
      <font>
        <b/>
        <i val="0"/>
        <color theme="0"/>
      </font>
      <fill>
        <patternFill>
          <bgColor theme="8"/>
        </patternFill>
      </fill>
    </dxf>
    <dxf>
      <font>
        <b/>
        <i val="0"/>
        <color theme="0"/>
      </font>
      <fill>
        <patternFill>
          <bgColor theme="8"/>
        </patternFill>
      </fill>
    </dxf>
    <dxf>
      <font>
        <b/>
        <i val="0"/>
        <color rgb="FF9C0006"/>
      </font>
      <fill>
        <patternFill>
          <bgColor theme="5"/>
        </patternFill>
      </fill>
    </dxf>
    <dxf>
      <font>
        <b/>
        <i val="0"/>
        <color theme="0"/>
        <name val="Cambria"/>
        <scheme val="none"/>
      </font>
      <fill>
        <patternFill>
          <bgColor theme="5"/>
        </patternFill>
      </fill>
    </dxf>
    <dxf>
      <font>
        <b/>
        <i val="0"/>
        <color rgb="FFFFC000"/>
      </font>
      <fill>
        <patternFill>
          <bgColor theme="5"/>
        </patternFill>
      </fill>
    </dxf>
    <dxf>
      <font>
        <b/>
        <i val="0"/>
        <color theme="0"/>
      </font>
      <fill>
        <patternFill>
          <bgColor theme="8"/>
        </patternFill>
      </fill>
    </dxf>
    <dxf>
      <font>
        <b/>
        <i val="0"/>
        <color theme="0"/>
      </font>
      <fill>
        <patternFill>
          <bgColor theme="8"/>
        </patternFill>
      </fill>
    </dxf>
    <dxf>
      <font>
        <b/>
        <i val="0"/>
        <color rgb="FF9C0006"/>
      </font>
      <fill>
        <patternFill>
          <bgColor theme="5"/>
        </patternFill>
      </fill>
    </dxf>
    <dxf>
      <font>
        <b/>
        <i val="0"/>
        <color theme="0"/>
        <name val="Cambria"/>
        <scheme val="none"/>
      </font>
      <fill>
        <patternFill>
          <bgColor theme="5"/>
        </patternFill>
      </fill>
    </dxf>
    <dxf>
      <font>
        <b/>
        <i val="0"/>
        <color rgb="FFFFC000"/>
      </font>
      <fill>
        <patternFill>
          <bgColor theme="5"/>
        </patternFill>
      </fill>
    </dxf>
    <dxf>
      <font>
        <b/>
        <i val="0"/>
        <color theme="0"/>
      </font>
      <fill>
        <patternFill>
          <bgColor theme="8"/>
        </patternFill>
      </fill>
    </dxf>
    <dxf>
      <font>
        <b/>
        <i val="0"/>
        <color theme="0"/>
      </font>
      <fill>
        <patternFill>
          <bgColor theme="8"/>
        </patternFill>
      </fill>
    </dxf>
    <dxf>
      <font>
        <b/>
        <i val="0"/>
        <color rgb="FF9C0006"/>
      </font>
      <fill>
        <patternFill>
          <bgColor theme="5"/>
        </patternFill>
      </fill>
    </dxf>
    <dxf>
      <font>
        <b/>
        <i val="0"/>
        <color theme="0"/>
        <name val="Cambria"/>
        <scheme val="none"/>
      </font>
      <fill>
        <patternFill>
          <bgColor theme="5"/>
        </patternFill>
      </fill>
    </dxf>
    <dxf>
      <font>
        <b/>
        <i val="0"/>
        <color rgb="FFFFC000"/>
      </font>
      <fill>
        <patternFill>
          <bgColor theme="5"/>
        </patternFill>
      </fill>
    </dxf>
    <dxf>
      <font>
        <b/>
        <i val="0"/>
        <color theme="0"/>
      </font>
      <fill>
        <patternFill>
          <bgColor theme="8"/>
        </patternFill>
      </fill>
    </dxf>
    <dxf>
      <font>
        <b/>
        <i val="0"/>
        <color theme="0"/>
      </font>
      <fill>
        <patternFill>
          <bgColor theme="8"/>
        </patternFill>
      </fill>
    </dxf>
    <dxf>
      <font>
        <b/>
        <i val="0"/>
        <color rgb="FF9C0006"/>
      </font>
      <fill>
        <patternFill>
          <bgColor theme="5"/>
        </patternFill>
      </fill>
    </dxf>
    <dxf>
      <font>
        <b/>
        <i val="0"/>
        <color theme="0"/>
        <name val="Cambria"/>
        <scheme val="none"/>
      </font>
      <fill>
        <patternFill>
          <bgColor theme="5"/>
        </patternFill>
      </fill>
    </dxf>
    <dxf>
      <font>
        <b/>
        <i val="0"/>
        <color rgb="FFFFC000"/>
      </font>
      <fill>
        <patternFill>
          <bgColor theme="5"/>
        </patternFill>
      </fill>
    </dxf>
    <dxf>
      <font>
        <b/>
        <i val="0"/>
        <color theme="0"/>
      </font>
      <fill>
        <patternFill>
          <bgColor theme="8"/>
        </patternFill>
      </fill>
    </dxf>
    <dxf>
      <font>
        <b/>
        <i val="0"/>
        <color theme="0"/>
      </font>
      <fill>
        <patternFill>
          <bgColor theme="8"/>
        </patternFill>
      </fill>
    </dxf>
    <dxf>
      <font>
        <b/>
        <i val="0"/>
        <color rgb="FF9C0006"/>
      </font>
      <fill>
        <patternFill>
          <bgColor theme="5"/>
        </patternFill>
      </fill>
    </dxf>
    <dxf>
      <font>
        <b/>
        <i val="0"/>
        <color theme="0"/>
        <name val="Cambria"/>
        <scheme val="none"/>
      </font>
      <fill>
        <patternFill>
          <bgColor theme="5"/>
        </patternFill>
      </fill>
    </dxf>
    <dxf>
      <font>
        <b/>
        <i val="0"/>
        <color rgb="FFFFC000"/>
      </font>
      <fill>
        <patternFill>
          <bgColor theme="5"/>
        </patternFill>
      </fill>
    </dxf>
    <dxf>
      <font>
        <b/>
        <i val="0"/>
        <color theme="0"/>
      </font>
      <fill>
        <patternFill>
          <bgColor theme="8"/>
        </patternFill>
      </fill>
    </dxf>
    <dxf>
      <font>
        <b/>
        <i val="0"/>
        <color theme="0"/>
      </font>
      <fill>
        <patternFill>
          <bgColor theme="8"/>
        </patternFill>
      </fill>
    </dxf>
    <dxf>
      <font>
        <b/>
        <i val="0"/>
        <color rgb="FF9C0006"/>
      </font>
      <fill>
        <patternFill>
          <bgColor theme="5"/>
        </patternFill>
      </fill>
    </dxf>
    <dxf>
      <font>
        <b/>
        <i val="0"/>
        <color theme="0"/>
        <name val="Cambria"/>
        <scheme val="none"/>
      </font>
      <fill>
        <patternFill>
          <bgColor theme="5"/>
        </patternFill>
      </fill>
    </dxf>
    <dxf>
      <font>
        <b/>
        <i val="0"/>
        <color rgb="FFFFC000"/>
      </font>
      <fill>
        <patternFill>
          <bgColor theme="5"/>
        </patternFill>
      </fill>
    </dxf>
    <dxf>
      <font>
        <b/>
        <i val="0"/>
        <color theme="0"/>
      </font>
      <fill>
        <patternFill>
          <bgColor theme="8"/>
        </patternFill>
      </fill>
    </dxf>
    <dxf>
      <font>
        <b/>
        <i val="0"/>
        <color theme="0"/>
      </font>
      <fill>
        <patternFill>
          <bgColor theme="8"/>
        </patternFill>
      </fill>
    </dxf>
    <dxf>
      <font>
        <b/>
        <i val="0"/>
        <color rgb="FF9C0006"/>
      </font>
      <fill>
        <patternFill>
          <bgColor theme="5"/>
        </patternFill>
      </fill>
    </dxf>
    <dxf>
      <font>
        <b/>
        <i val="0"/>
        <color theme="0"/>
        <name val="Cambria"/>
        <scheme val="none"/>
      </font>
      <fill>
        <patternFill>
          <bgColor theme="5"/>
        </patternFill>
      </fill>
    </dxf>
    <dxf>
      <font>
        <b/>
        <i val="0"/>
        <color rgb="FFFFC000"/>
      </font>
      <fill>
        <patternFill>
          <bgColor theme="5"/>
        </patternFill>
      </fill>
    </dxf>
    <dxf>
      <font>
        <b/>
        <i val="0"/>
        <color theme="0"/>
      </font>
      <fill>
        <patternFill>
          <bgColor theme="8"/>
        </patternFill>
      </fill>
    </dxf>
    <dxf>
      <font>
        <b/>
        <i val="0"/>
        <color theme="0"/>
      </font>
      <fill>
        <patternFill>
          <bgColor theme="8"/>
        </patternFill>
      </fill>
    </dxf>
    <dxf>
      <font>
        <b/>
        <i val="0"/>
        <color rgb="FF9C0006"/>
      </font>
      <fill>
        <patternFill>
          <bgColor theme="5"/>
        </patternFill>
      </fill>
    </dxf>
    <dxf>
      <font>
        <b/>
        <i val="0"/>
        <color theme="0"/>
        <name val="Cambria"/>
        <scheme val="none"/>
      </font>
      <fill>
        <patternFill>
          <bgColor theme="5"/>
        </patternFill>
      </fill>
    </dxf>
    <dxf>
      <font>
        <b/>
        <i val="0"/>
        <color rgb="FFFFC000"/>
      </font>
      <fill>
        <patternFill>
          <bgColor theme="5"/>
        </patternFill>
      </fill>
    </dxf>
    <dxf>
      <font>
        <b/>
        <i val="0"/>
        <color theme="0"/>
      </font>
      <fill>
        <patternFill>
          <bgColor theme="8"/>
        </patternFill>
      </fill>
    </dxf>
    <dxf>
      <font>
        <b/>
        <i val="0"/>
        <color theme="0"/>
      </font>
      <fill>
        <patternFill>
          <bgColor theme="8"/>
        </patternFill>
      </fill>
    </dxf>
    <dxf>
      <font>
        <b/>
        <i val="0"/>
        <color rgb="FF9C0006"/>
      </font>
      <fill>
        <patternFill>
          <bgColor theme="5"/>
        </patternFill>
      </fill>
    </dxf>
    <dxf>
      <font>
        <b/>
        <i val="0"/>
        <color theme="0"/>
        <name val="Cambria"/>
        <scheme val="none"/>
      </font>
      <fill>
        <patternFill>
          <bgColor theme="5"/>
        </patternFill>
      </fill>
    </dxf>
    <dxf>
      <font>
        <b/>
        <i val="0"/>
        <color rgb="FFFFC000"/>
      </font>
      <fill>
        <patternFill>
          <bgColor theme="5"/>
        </patternFill>
      </fill>
    </dxf>
    <dxf>
      <font>
        <b/>
        <i val="0"/>
        <color theme="0"/>
      </font>
      <fill>
        <patternFill>
          <bgColor theme="8"/>
        </patternFill>
      </fill>
    </dxf>
    <dxf>
      <font>
        <b/>
        <i val="0"/>
        <color theme="0"/>
      </font>
      <fill>
        <patternFill>
          <bgColor theme="8"/>
        </patternFill>
      </fill>
    </dxf>
    <dxf>
      <font>
        <b/>
        <i val="0"/>
        <color rgb="FF9C0006"/>
      </font>
      <fill>
        <patternFill>
          <bgColor theme="5"/>
        </patternFill>
      </fill>
    </dxf>
    <dxf>
      <font>
        <b/>
        <i val="0"/>
        <color theme="0"/>
        <name val="Cambria"/>
        <scheme val="none"/>
      </font>
      <fill>
        <patternFill>
          <bgColor theme="5"/>
        </patternFill>
      </fill>
    </dxf>
    <dxf>
      <font>
        <b/>
        <i val="0"/>
        <color rgb="FFFFC000"/>
      </font>
      <fill>
        <patternFill>
          <bgColor theme="5"/>
        </patternFill>
      </fill>
    </dxf>
    <dxf>
      <font>
        <b/>
        <i val="0"/>
        <color theme="0"/>
      </font>
      <fill>
        <patternFill>
          <bgColor theme="8"/>
        </patternFill>
      </fill>
    </dxf>
    <dxf>
      <font>
        <b/>
        <i val="0"/>
        <color theme="0"/>
      </font>
      <fill>
        <patternFill>
          <bgColor theme="8"/>
        </patternFill>
      </fill>
    </dxf>
    <dxf>
      <font>
        <b/>
        <i val="0"/>
        <color rgb="FF9C0006"/>
      </font>
      <fill>
        <patternFill>
          <bgColor theme="5"/>
        </patternFill>
      </fill>
    </dxf>
    <dxf>
      <font>
        <b/>
        <i val="0"/>
        <color theme="0"/>
        <name val="Cambria"/>
        <scheme val="none"/>
      </font>
      <fill>
        <patternFill>
          <bgColor theme="5"/>
        </patternFill>
      </fill>
    </dxf>
    <dxf>
      <font>
        <b/>
        <i val="0"/>
        <color rgb="FFFFC000"/>
      </font>
      <fill>
        <patternFill>
          <bgColor theme="5"/>
        </patternFill>
      </fill>
    </dxf>
    <dxf>
      <font>
        <b/>
        <i val="0"/>
        <color theme="0"/>
      </font>
      <fill>
        <patternFill>
          <bgColor theme="8"/>
        </patternFill>
      </fill>
    </dxf>
    <dxf>
      <font>
        <b/>
        <i val="0"/>
        <color theme="0"/>
      </font>
      <fill>
        <patternFill>
          <bgColor theme="8"/>
        </patternFill>
      </fill>
    </dxf>
    <dxf>
      <font>
        <b/>
        <i val="0"/>
        <color rgb="FF9C0006"/>
      </font>
      <fill>
        <patternFill>
          <bgColor theme="5"/>
        </patternFill>
      </fill>
    </dxf>
    <dxf>
      <font>
        <b/>
        <i val="0"/>
        <color theme="0"/>
        <name val="Cambria"/>
        <scheme val="none"/>
      </font>
      <fill>
        <patternFill>
          <bgColor theme="5"/>
        </patternFill>
      </fill>
    </dxf>
    <dxf>
      <font>
        <b/>
        <i val="0"/>
        <color rgb="FFFFC000"/>
      </font>
      <fill>
        <patternFill>
          <bgColor theme="5"/>
        </patternFill>
      </fill>
    </dxf>
    <dxf>
      <font>
        <b/>
        <i val="0"/>
        <color theme="0"/>
      </font>
      <fill>
        <patternFill>
          <bgColor theme="8"/>
        </patternFill>
      </fill>
    </dxf>
    <dxf>
      <font>
        <b/>
        <i val="0"/>
        <color theme="0"/>
      </font>
      <fill>
        <patternFill>
          <bgColor theme="8"/>
        </patternFill>
      </fill>
    </dxf>
    <dxf>
      <font>
        <b/>
        <i val="0"/>
        <color rgb="FF9C0006"/>
      </font>
      <fill>
        <patternFill>
          <bgColor theme="5"/>
        </patternFill>
      </fill>
    </dxf>
    <dxf>
      <font>
        <b/>
        <i val="0"/>
        <color theme="0"/>
        <name val="Cambria"/>
        <scheme val="none"/>
      </font>
      <fill>
        <patternFill>
          <bgColor theme="5"/>
        </patternFill>
      </fill>
    </dxf>
    <dxf>
      <font>
        <b/>
        <i val="0"/>
        <color rgb="FFFFC000"/>
      </font>
      <fill>
        <patternFill>
          <bgColor theme="5"/>
        </patternFill>
      </fill>
    </dxf>
    <dxf>
      <font>
        <b/>
        <i val="0"/>
        <color theme="0"/>
      </font>
      <fill>
        <patternFill>
          <bgColor theme="8"/>
        </patternFill>
      </fill>
    </dxf>
    <dxf>
      <font>
        <b/>
        <i val="0"/>
        <color theme="0"/>
      </font>
      <fill>
        <patternFill>
          <bgColor theme="8"/>
        </patternFill>
      </fill>
    </dxf>
    <dxf>
      <font>
        <b/>
        <i val="0"/>
        <color rgb="FF9C0006"/>
      </font>
      <fill>
        <patternFill>
          <bgColor theme="5"/>
        </patternFill>
      </fill>
    </dxf>
    <dxf>
      <font>
        <b/>
        <i val="0"/>
        <color theme="0"/>
        <name val="Cambria"/>
        <scheme val="none"/>
      </font>
      <fill>
        <patternFill>
          <bgColor theme="5"/>
        </patternFill>
      </fill>
    </dxf>
    <dxf>
      <font>
        <b/>
        <i val="0"/>
        <color rgb="FFFFC000"/>
      </font>
      <fill>
        <patternFill>
          <bgColor theme="5"/>
        </patternFill>
      </fill>
    </dxf>
    <dxf>
      <font>
        <b/>
        <i val="0"/>
        <color theme="0"/>
      </font>
      <fill>
        <patternFill>
          <bgColor theme="8"/>
        </patternFill>
      </fill>
    </dxf>
    <dxf>
      <font>
        <b/>
        <i val="0"/>
        <color theme="0"/>
      </font>
      <fill>
        <patternFill>
          <bgColor theme="8"/>
        </patternFill>
      </fill>
    </dxf>
    <dxf>
      <font>
        <b/>
        <i val="0"/>
        <color rgb="FF9C0006"/>
      </font>
      <fill>
        <patternFill>
          <bgColor theme="5"/>
        </patternFill>
      </fill>
    </dxf>
    <dxf>
      <font>
        <b/>
        <i val="0"/>
        <color theme="0"/>
        <name val="Cambria"/>
        <scheme val="none"/>
      </font>
      <fill>
        <patternFill>
          <bgColor theme="5"/>
        </patternFill>
      </fill>
    </dxf>
    <dxf>
      <font>
        <b/>
        <i val="0"/>
        <color rgb="FFFFC000"/>
      </font>
      <fill>
        <patternFill>
          <bgColor theme="5"/>
        </patternFill>
      </fill>
    </dxf>
    <dxf>
      <font>
        <b/>
        <i val="0"/>
        <color theme="0"/>
      </font>
      <fill>
        <patternFill>
          <bgColor theme="8"/>
        </patternFill>
      </fill>
    </dxf>
    <dxf>
      <font>
        <b/>
        <i val="0"/>
        <color theme="0"/>
      </font>
      <fill>
        <patternFill>
          <bgColor theme="8"/>
        </patternFill>
      </fill>
    </dxf>
    <dxf>
      <font>
        <b/>
        <i val="0"/>
        <color rgb="FF9C0006"/>
      </font>
      <fill>
        <patternFill>
          <bgColor theme="5"/>
        </patternFill>
      </fill>
    </dxf>
    <dxf>
      <font>
        <b/>
        <i val="0"/>
        <color theme="0"/>
        <name val="Cambria"/>
        <scheme val="none"/>
      </font>
      <fill>
        <patternFill>
          <bgColor theme="5"/>
        </patternFill>
      </fill>
    </dxf>
    <dxf>
      <font>
        <b/>
        <i val="0"/>
        <color rgb="FFFFC000"/>
      </font>
      <fill>
        <patternFill>
          <bgColor theme="5"/>
        </patternFill>
      </fill>
    </dxf>
    <dxf>
      <font>
        <b/>
        <i val="0"/>
        <color theme="0"/>
      </font>
      <fill>
        <patternFill>
          <bgColor theme="8"/>
        </patternFill>
      </fill>
    </dxf>
    <dxf>
      <font>
        <b/>
        <i val="0"/>
        <color theme="0"/>
      </font>
      <fill>
        <patternFill>
          <bgColor theme="8"/>
        </patternFill>
      </fill>
    </dxf>
    <dxf>
      <font>
        <b/>
        <i val="0"/>
        <color rgb="FF9C0006"/>
      </font>
      <fill>
        <patternFill>
          <bgColor theme="5"/>
        </patternFill>
      </fill>
    </dxf>
    <dxf>
      <font>
        <b/>
        <i val="0"/>
        <color theme="0"/>
        <name val="Cambria"/>
        <scheme val="none"/>
      </font>
      <fill>
        <patternFill>
          <bgColor theme="5"/>
        </patternFill>
      </fill>
    </dxf>
    <dxf>
      <font>
        <b/>
        <i val="0"/>
        <color rgb="FFFFC000"/>
      </font>
      <fill>
        <patternFill>
          <bgColor theme="5"/>
        </patternFill>
      </fill>
    </dxf>
    <dxf>
      <font>
        <b/>
        <i val="0"/>
        <color theme="0"/>
      </font>
      <fill>
        <patternFill>
          <bgColor theme="8"/>
        </patternFill>
      </fill>
    </dxf>
    <dxf>
      <font>
        <b/>
        <i val="0"/>
        <color theme="0"/>
      </font>
      <fill>
        <patternFill>
          <bgColor theme="8"/>
        </patternFill>
      </fill>
    </dxf>
    <dxf>
      <font>
        <b/>
        <i val="0"/>
        <color rgb="FF9C0006"/>
      </font>
      <fill>
        <patternFill>
          <bgColor theme="5"/>
        </patternFill>
      </fill>
    </dxf>
    <dxf>
      <font>
        <b/>
        <i val="0"/>
        <color theme="0"/>
        <name val="Cambria"/>
        <scheme val="none"/>
      </font>
      <fill>
        <patternFill>
          <bgColor theme="5"/>
        </patternFill>
      </fill>
    </dxf>
    <dxf>
      <font>
        <b/>
        <i val="0"/>
        <color rgb="FFFFC000"/>
      </font>
      <fill>
        <patternFill>
          <bgColor theme="5"/>
        </patternFill>
      </fill>
    </dxf>
    <dxf>
      <font>
        <b/>
        <i val="0"/>
        <color theme="0"/>
      </font>
      <fill>
        <patternFill>
          <bgColor theme="8"/>
        </patternFill>
      </fill>
    </dxf>
    <dxf>
      <font>
        <b/>
        <i val="0"/>
        <color theme="0"/>
      </font>
      <fill>
        <patternFill>
          <bgColor theme="8"/>
        </patternFill>
      </fill>
    </dxf>
    <dxf>
      <font>
        <b/>
        <i val="0"/>
        <color rgb="FF9C0006"/>
      </font>
      <fill>
        <patternFill>
          <bgColor theme="5"/>
        </patternFill>
      </fill>
    </dxf>
    <dxf>
      <font>
        <b/>
        <i val="0"/>
        <color theme="0"/>
        <name val="Cambria"/>
        <scheme val="none"/>
      </font>
      <fill>
        <patternFill>
          <bgColor theme="5"/>
        </patternFill>
      </fill>
    </dxf>
    <dxf>
      <font>
        <b/>
        <i val="0"/>
        <color rgb="FFFFC000"/>
      </font>
      <fill>
        <patternFill>
          <bgColor theme="5"/>
        </patternFill>
      </fill>
    </dxf>
    <dxf>
      <font>
        <b/>
        <i val="0"/>
        <color theme="0"/>
      </font>
      <fill>
        <patternFill>
          <bgColor theme="8"/>
        </patternFill>
      </fill>
    </dxf>
    <dxf>
      <font>
        <b/>
        <i val="0"/>
        <color theme="0"/>
      </font>
      <fill>
        <patternFill>
          <bgColor theme="8"/>
        </patternFill>
      </fill>
    </dxf>
    <dxf>
      <font>
        <b/>
        <i val="0"/>
        <color rgb="FF9C0006"/>
      </font>
      <fill>
        <patternFill>
          <bgColor theme="5"/>
        </patternFill>
      </fill>
    </dxf>
    <dxf>
      <font>
        <b/>
        <i val="0"/>
        <color theme="0"/>
        <name val="Cambria"/>
        <scheme val="none"/>
      </font>
      <fill>
        <patternFill>
          <bgColor theme="5"/>
        </patternFill>
      </fill>
    </dxf>
    <dxf>
      <font>
        <b/>
        <i val="0"/>
        <color rgb="FFFFC000"/>
      </font>
      <fill>
        <patternFill>
          <bgColor theme="5"/>
        </patternFill>
      </fill>
    </dxf>
    <dxf>
      <font>
        <b/>
        <i val="0"/>
        <color theme="0"/>
      </font>
      <fill>
        <patternFill>
          <bgColor theme="8"/>
        </patternFill>
      </fill>
    </dxf>
    <dxf>
      <font>
        <b/>
        <i val="0"/>
        <color theme="0"/>
      </font>
      <fill>
        <patternFill>
          <bgColor theme="8"/>
        </patternFill>
      </fill>
    </dxf>
    <dxf>
      <font>
        <b/>
        <i val="0"/>
        <color rgb="FF9C0006"/>
      </font>
      <fill>
        <patternFill>
          <bgColor theme="5"/>
        </patternFill>
      </fill>
    </dxf>
    <dxf>
      <font>
        <b/>
        <i val="0"/>
        <color theme="0"/>
        <name val="Cambria"/>
        <scheme val="none"/>
      </font>
      <fill>
        <patternFill>
          <bgColor theme="5"/>
        </patternFill>
      </fill>
    </dxf>
    <dxf>
      <font>
        <b/>
        <i val="0"/>
        <color rgb="FFFFC000"/>
      </font>
      <fill>
        <patternFill>
          <bgColor theme="5"/>
        </patternFill>
      </fill>
    </dxf>
    <dxf>
      <font>
        <b/>
        <i val="0"/>
        <color theme="0"/>
      </font>
      <fill>
        <patternFill>
          <bgColor theme="8"/>
        </patternFill>
      </fill>
    </dxf>
    <dxf>
      <font>
        <b/>
        <i val="0"/>
        <color theme="0"/>
      </font>
      <fill>
        <patternFill>
          <bgColor theme="8"/>
        </patternFill>
      </fill>
    </dxf>
    <dxf>
      <font>
        <b/>
        <i val="0"/>
        <color rgb="FF9C0006"/>
      </font>
      <fill>
        <patternFill>
          <bgColor theme="5"/>
        </patternFill>
      </fill>
    </dxf>
    <dxf>
      <font>
        <b/>
        <i val="0"/>
        <color theme="0"/>
        <name val="Cambria"/>
        <scheme val="none"/>
      </font>
      <fill>
        <patternFill>
          <bgColor theme="5"/>
        </patternFill>
      </fill>
    </dxf>
    <dxf>
      <font>
        <b/>
        <i val="0"/>
        <color rgb="FFFFC000"/>
      </font>
      <fill>
        <patternFill>
          <bgColor theme="5"/>
        </patternFill>
      </fill>
    </dxf>
    <dxf>
      <font>
        <b/>
        <i val="0"/>
        <color theme="0"/>
      </font>
      <fill>
        <patternFill>
          <bgColor theme="8"/>
        </patternFill>
      </fill>
    </dxf>
    <dxf>
      <font>
        <b/>
        <i val="0"/>
        <color theme="0"/>
      </font>
      <fill>
        <patternFill>
          <bgColor theme="8"/>
        </patternFill>
      </fill>
    </dxf>
    <dxf>
      <font>
        <b/>
        <i val="0"/>
        <color rgb="FF9C0006"/>
      </font>
      <fill>
        <patternFill>
          <bgColor theme="5"/>
        </patternFill>
      </fill>
    </dxf>
    <dxf>
      <font>
        <b/>
        <i val="0"/>
        <color theme="0"/>
        <name val="Cambria"/>
        <scheme val="none"/>
      </font>
      <fill>
        <patternFill>
          <bgColor theme="5"/>
        </patternFill>
      </fill>
    </dxf>
    <dxf>
      <font>
        <b/>
        <i val="0"/>
        <color rgb="FFFFC000"/>
      </font>
      <fill>
        <patternFill>
          <bgColor theme="5"/>
        </patternFill>
      </fill>
    </dxf>
    <dxf>
      <font>
        <b/>
        <i val="0"/>
        <color theme="0"/>
      </font>
      <fill>
        <patternFill>
          <bgColor theme="8"/>
        </patternFill>
      </fill>
    </dxf>
    <dxf>
      <font>
        <b/>
        <i val="0"/>
        <color theme="0"/>
      </font>
      <fill>
        <patternFill>
          <bgColor theme="8"/>
        </patternFill>
      </fill>
    </dxf>
    <dxf>
      <font>
        <b/>
        <i val="0"/>
        <color rgb="FF9C0006"/>
      </font>
      <fill>
        <patternFill>
          <bgColor theme="5"/>
        </patternFill>
      </fill>
    </dxf>
    <dxf>
      <font>
        <b/>
        <i val="0"/>
        <color theme="0"/>
        <name val="Cambria"/>
        <scheme val="none"/>
      </font>
      <fill>
        <patternFill>
          <bgColor theme="5"/>
        </patternFill>
      </fill>
    </dxf>
    <dxf>
      <font>
        <b/>
        <i val="0"/>
        <color rgb="FFFFC000"/>
      </font>
      <fill>
        <patternFill>
          <bgColor theme="5"/>
        </patternFill>
      </fill>
    </dxf>
    <dxf>
      <font>
        <b/>
        <i val="0"/>
        <color theme="0"/>
      </font>
      <fill>
        <patternFill>
          <bgColor theme="8"/>
        </patternFill>
      </fill>
    </dxf>
    <dxf>
      <font>
        <b/>
        <i val="0"/>
        <color theme="0"/>
      </font>
      <fill>
        <patternFill>
          <bgColor theme="8"/>
        </patternFill>
      </fill>
    </dxf>
    <dxf>
      <font>
        <b/>
        <i val="0"/>
        <color rgb="FF9C0006"/>
      </font>
      <fill>
        <patternFill>
          <bgColor theme="5"/>
        </patternFill>
      </fill>
    </dxf>
    <dxf>
      <font>
        <b/>
        <i val="0"/>
        <color theme="0"/>
        <name val="Cambria"/>
        <scheme val="none"/>
      </font>
      <fill>
        <patternFill>
          <bgColor theme="5"/>
        </patternFill>
      </fill>
    </dxf>
    <dxf>
      <font>
        <b/>
        <i val="0"/>
        <color rgb="FFFFC000"/>
      </font>
      <fill>
        <patternFill>
          <bgColor theme="5"/>
        </patternFill>
      </fill>
    </dxf>
    <dxf>
      <font>
        <b/>
        <i val="0"/>
        <color theme="0"/>
      </font>
      <fill>
        <patternFill>
          <bgColor theme="8"/>
        </patternFill>
      </fill>
    </dxf>
    <dxf>
      <font>
        <b/>
        <i val="0"/>
        <color theme="0"/>
      </font>
      <fill>
        <patternFill>
          <bgColor theme="8"/>
        </patternFill>
      </fill>
    </dxf>
    <dxf>
      <font>
        <b/>
        <i val="0"/>
        <color rgb="FF9C0006"/>
      </font>
      <fill>
        <patternFill>
          <bgColor theme="5"/>
        </patternFill>
      </fill>
    </dxf>
    <dxf>
      <font>
        <b/>
        <i val="0"/>
        <color theme="0"/>
        <name val="Cambria"/>
        <scheme val="none"/>
      </font>
      <fill>
        <patternFill>
          <bgColor theme="5"/>
        </patternFill>
      </fill>
    </dxf>
    <dxf>
      <font>
        <b/>
        <i val="0"/>
        <color rgb="FFFFC000"/>
      </font>
      <fill>
        <patternFill>
          <bgColor theme="5"/>
        </patternFill>
      </fill>
    </dxf>
    <dxf>
      <font>
        <b/>
        <i val="0"/>
        <color theme="0"/>
      </font>
      <fill>
        <patternFill>
          <bgColor theme="8"/>
        </patternFill>
      </fill>
    </dxf>
    <dxf>
      <font>
        <b/>
        <i val="0"/>
        <color theme="0"/>
      </font>
      <fill>
        <patternFill>
          <bgColor theme="8"/>
        </patternFill>
      </fill>
    </dxf>
    <dxf>
      <font>
        <b/>
        <i val="0"/>
        <color rgb="FF9C0006"/>
      </font>
      <fill>
        <patternFill>
          <bgColor theme="5"/>
        </patternFill>
      </fill>
    </dxf>
    <dxf>
      <font>
        <b/>
        <i val="0"/>
        <color theme="0"/>
        <name val="Cambria"/>
        <scheme val="none"/>
      </font>
      <fill>
        <patternFill>
          <bgColor theme="5"/>
        </patternFill>
      </fill>
    </dxf>
    <dxf>
      <font>
        <b/>
        <i val="0"/>
        <color rgb="FFFFC000"/>
      </font>
      <fill>
        <patternFill>
          <bgColor theme="5"/>
        </patternFill>
      </fill>
    </dxf>
    <dxf>
      <font>
        <b/>
        <i val="0"/>
        <color theme="0"/>
      </font>
      <fill>
        <patternFill>
          <bgColor theme="8"/>
        </patternFill>
      </fill>
    </dxf>
    <dxf>
      <font>
        <b/>
        <i val="0"/>
        <color theme="0"/>
      </font>
      <fill>
        <patternFill>
          <bgColor theme="8"/>
        </patternFill>
      </fill>
    </dxf>
    <dxf>
      <font>
        <b/>
        <i val="0"/>
        <color rgb="FF9C0006"/>
      </font>
      <fill>
        <patternFill>
          <bgColor theme="5"/>
        </patternFill>
      </fill>
    </dxf>
    <dxf>
      <font>
        <b/>
        <i val="0"/>
        <color theme="0"/>
        <name val="Cambria"/>
        <scheme val="none"/>
      </font>
      <fill>
        <patternFill>
          <bgColor theme="5"/>
        </patternFill>
      </fill>
    </dxf>
    <dxf>
      <font>
        <b/>
        <i val="0"/>
        <color rgb="FFFFC000"/>
      </font>
      <fill>
        <patternFill>
          <bgColor theme="5"/>
        </patternFill>
      </fill>
    </dxf>
    <dxf>
      <font>
        <b/>
        <i val="0"/>
        <color theme="0"/>
      </font>
      <fill>
        <patternFill>
          <bgColor theme="8"/>
        </patternFill>
      </fill>
    </dxf>
    <dxf>
      <font>
        <b/>
        <i val="0"/>
        <color theme="0"/>
      </font>
      <fill>
        <patternFill>
          <bgColor theme="8"/>
        </patternFill>
      </fill>
    </dxf>
    <dxf>
      <font>
        <b/>
        <i val="0"/>
        <color rgb="FF9C0006"/>
      </font>
      <fill>
        <patternFill>
          <bgColor theme="5"/>
        </patternFill>
      </fill>
    </dxf>
    <dxf>
      <font>
        <b/>
        <i val="0"/>
        <color theme="0"/>
        <name val="Cambria"/>
        <scheme val="none"/>
      </font>
      <fill>
        <patternFill>
          <bgColor theme="5"/>
        </patternFill>
      </fill>
    </dxf>
    <dxf>
      <font>
        <b/>
        <i val="0"/>
        <color rgb="FFFFC000"/>
      </font>
      <fill>
        <patternFill>
          <bgColor theme="5"/>
        </patternFill>
      </fill>
    </dxf>
    <dxf>
      <font>
        <b/>
        <i val="0"/>
        <color theme="0"/>
      </font>
      <fill>
        <patternFill>
          <bgColor theme="8"/>
        </patternFill>
      </fill>
    </dxf>
    <dxf>
      <font>
        <b/>
        <i val="0"/>
        <color theme="0"/>
      </font>
      <fill>
        <patternFill>
          <bgColor theme="8"/>
        </patternFill>
      </fill>
    </dxf>
    <dxf>
      <font>
        <b/>
        <i val="0"/>
        <color rgb="FF9C0006"/>
      </font>
      <fill>
        <patternFill>
          <bgColor theme="5"/>
        </patternFill>
      </fill>
    </dxf>
    <dxf>
      <font>
        <b/>
        <i val="0"/>
        <color theme="0"/>
        <name val="Cambria"/>
        <scheme val="none"/>
      </font>
      <fill>
        <patternFill>
          <bgColor theme="5"/>
        </patternFill>
      </fill>
    </dxf>
    <dxf>
      <font>
        <b/>
        <i val="0"/>
        <color rgb="FFFFC000"/>
      </font>
      <fill>
        <patternFill>
          <bgColor theme="5"/>
        </patternFill>
      </fill>
    </dxf>
    <dxf>
      <font>
        <b/>
        <i val="0"/>
        <color theme="0"/>
      </font>
      <fill>
        <patternFill>
          <bgColor theme="8"/>
        </patternFill>
      </fill>
    </dxf>
    <dxf>
      <font>
        <b/>
        <i val="0"/>
        <color theme="0"/>
      </font>
      <fill>
        <patternFill>
          <bgColor theme="8"/>
        </patternFill>
      </fill>
    </dxf>
    <dxf>
      <font>
        <b/>
        <i val="0"/>
        <color rgb="FF9C0006"/>
      </font>
      <fill>
        <patternFill>
          <bgColor theme="5"/>
        </patternFill>
      </fill>
    </dxf>
    <dxf>
      <font>
        <b/>
        <i val="0"/>
        <color theme="0"/>
        <name val="Cambria"/>
        <scheme val="none"/>
      </font>
      <fill>
        <patternFill>
          <bgColor theme="5"/>
        </patternFill>
      </fill>
    </dxf>
    <dxf>
      <font>
        <b/>
        <i val="0"/>
        <color rgb="FFFFC000"/>
      </font>
      <fill>
        <patternFill>
          <bgColor theme="5"/>
        </patternFill>
      </fill>
    </dxf>
    <dxf>
      <font>
        <b/>
        <i val="0"/>
        <color theme="0"/>
      </font>
      <fill>
        <patternFill>
          <bgColor theme="8"/>
        </patternFill>
      </fill>
    </dxf>
    <dxf>
      <font>
        <b/>
        <i val="0"/>
        <color theme="0"/>
      </font>
      <fill>
        <patternFill>
          <bgColor theme="8"/>
        </patternFill>
      </fill>
    </dxf>
    <dxf>
      <font>
        <b/>
        <i val="0"/>
        <color rgb="FF9C0006"/>
      </font>
      <fill>
        <patternFill>
          <bgColor theme="5"/>
        </patternFill>
      </fill>
    </dxf>
    <dxf>
      <font>
        <b/>
        <i val="0"/>
        <color theme="0"/>
        <name val="Cambria"/>
        <scheme val="none"/>
      </font>
      <fill>
        <patternFill>
          <bgColor theme="5"/>
        </patternFill>
      </fill>
    </dxf>
    <dxf>
      <font>
        <b/>
        <i val="0"/>
        <color rgb="FFFFC000"/>
      </font>
      <fill>
        <patternFill>
          <bgColor theme="5"/>
        </patternFill>
      </fill>
    </dxf>
    <dxf>
      <font>
        <b/>
        <i val="0"/>
        <color theme="0"/>
      </font>
      <fill>
        <patternFill>
          <bgColor theme="8"/>
        </patternFill>
      </fill>
    </dxf>
    <dxf>
      <font>
        <b/>
        <i val="0"/>
        <color theme="0"/>
      </font>
      <fill>
        <patternFill>
          <bgColor theme="8"/>
        </patternFill>
      </fill>
    </dxf>
    <dxf>
      <font>
        <b/>
        <i val="0"/>
        <color rgb="FF9C0006"/>
      </font>
      <fill>
        <patternFill>
          <bgColor theme="5"/>
        </patternFill>
      </fill>
    </dxf>
    <dxf>
      <font>
        <b/>
        <i val="0"/>
        <color theme="0"/>
        <name val="Cambria"/>
        <scheme val="none"/>
      </font>
      <fill>
        <patternFill>
          <bgColor theme="5"/>
        </patternFill>
      </fill>
    </dxf>
    <dxf>
      <font>
        <b/>
        <i val="0"/>
        <color rgb="FFFFC000"/>
      </font>
      <fill>
        <patternFill>
          <bgColor theme="5"/>
        </patternFill>
      </fill>
    </dxf>
    <dxf>
      <font>
        <b/>
        <i val="0"/>
        <color theme="0"/>
      </font>
      <fill>
        <patternFill>
          <bgColor theme="8"/>
        </patternFill>
      </fill>
    </dxf>
    <dxf>
      <font>
        <b/>
        <i val="0"/>
        <color theme="0"/>
      </font>
      <fill>
        <patternFill>
          <bgColor theme="8"/>
        </patternFill>
      </fill>
    </dxf>
    <dxf>
      <font>
        <b/>
        <i val="0"/>
        <color rgb="FF9C0006"/>
      </font>
      <fill>
        <patternFill>
          <bgColor theme="5"/>
        </patternFill>
      </fill>
    </dxf>
    <dxf>
      <font>
        <b/>
        <i val="0"/>
        <color theme="0"/>
        <name val="Cambria"/>
        <scheme val="none"/>
      </font>
      <fill>
        <patternFill>
          <bgColor theme="5"/>
        </patternFill>
      </fill>
    </dxf>
    <dxf>
      <font>
        <b/>
        <i val="0"/>
        <color rgb="FFFFC000"/>
      </font>
      <fill>
        <patternFill>
          <bgColor theme="5"/>
        </patternFill>
      </fill>
    </dxf>
    <dxf>
      <font>
        <b/>
        <i val="0"/>
        <color theme="0"/>
      </font>
      <fill>
        <patternFill>
          <bgColor theme="8"/>
        </patternFill>
      </fill>
    </dxf>
    <dxf>
      <font>
        <b/>
        <i val="0"/>
        <color theme="0"/>
      </font>
      <fill>
        <patternFill>
          <bgColor theme="8"/>
        </patternFill>
      </fill>
    </dxf>
    <dxf>
      <font>
        <b/>
        <i val="0"/>
        <color rgb="FF9C0006"/>
      </font>
      <fill>
        <patternFill>
          <bgColor theme="5"/>
        </patternFill>
      </fill>
    </dxf>
    <dxf>
      <font>
        <b/>
        <i val="0"/>
        <color theme="0"/>
        <name val="Cambria"/>
        <scheme val="none"/>
      </font>
      <fill>
        <patternFill>
          <bgColor theme="5"/>
        </patternFill>
      </fill>
    </dxf>
    <dxf>
      <font>
        <b/>
        <i val="0"/>
        <color rgb="FFFFC000"/>
      </font>
      <fill>
        <patternFill>
          <bgColor theme="5"/>
        </patternFill>
      </fill>
    </dxf>
    <dxf>
      <font>
        <b/>
        <i val="0"/>
        <color theme="0"/>
      </font>
      <fill>
        <patternFill>
          <bgColor theme="8"/>
        </patternFill>
      </fill>
    </dxf>
    <dxf>
      <font>
        <b/>
        <i val="0"/>
        <color theme="0"/>
      </font>
      <fill>
        <patternFill>
          <bgColor theme="8"/>
        </patternFill>
      </fill>
    </dxf>
    <dxf>
      <font>
        <b/>
        <i val="0"/>
        <color rgb="FF9C0006"/>
      </font>
      <fill>
        <patternFill>
          <bgColor theme="5"/>
        </patternFill>
      </fill>
    </dxf>
    <dxf>
      <font>
        <b/>
        <i val="0"/>
        <color theme="0"/>
        <name val="Cambria"/>
        <scheme val="none"/>
      </font>
      <fill>
        <patternFill>
          <bgColor theme="5"/>
        </patternFill>
      </fill>
    </dxf>
    <dxf>
      <font>
        <b/>
        <i val="0"/>
        <color rgb="FFFFC000"/>
      </font>
      <fill>
        <patternFill>
          <bgColor theme="5"/>
        </patternFill>
      </fill>
    </dxf>
    <dxf>
      <font>
        <b/>
        <i val="0"/>
        <color theme="0"/>
      </font>
      <fill>
        <patternFill>
          <bgColor theme="8"/>
        </patternFill>
      </fill>
    </dxf>
    <dxf>
      <font>
        <b/>
        <i val="0"/>
        <color theme="0"/>
      </font>
      <fill>
        <patternFill>
          <bgColor theme="8"/>
        </patternFill>
      </fill>
    </dxf>
    <dxf>
      <font>
        <b/>
        <i val="0"/>
        <color rgb="FF9C0006"/>
      </font>
      <fill>
        <patternFill>
          <bgColor theme="5"/>
        </patternFill>
      </fill>
    </dxf>
    <dxf>
      <font>
        <b/>
        <i val="0"/>
        <color theme="0"/>
        <name val="Cambria"/>
        <scheme val="none"/>
      </font>
      <fill>
        <patternFill>
          <bgColor theme="5"/>
        </patternFill>
      </fill>
    </dxf>
    <dxf>
      <font>
        <b/>
        <i val="0"/>
        <color rgb="FFFFC000"/>
      </font>
      <fill>
        <patternFill>
          <bgColor theme="5"/>
        </patternFill>
      </fill>
    </dxf>
    <dxf>
      <font>
        <b/>
        <i val="0"/>
        <color theme="0"/>
      </font>
      <fill>
        <patternFill>
          <bgColor theme="8"/>
        </patternFill>
      </fill>
    </dxf>
    <dxf>
      <font>
        <b/>
        <i val="0"/>
        <color theme="0"/>
      </font>
      <fill>
        <patternFill>
          <bgColor theme="8"/>
        </patternFill>
      </fill>
    </dxf>
    <dxf>
      <font>
        <b/>
        <i val="0"/>
        <color rgb="FF9C0006"/>
      </font>
      <fill>
        <patternFill>
          <bgColor theme="5"/>
        </patternFill>
      </fill>
    </dxf>
    <dxf>
      <font>
        <b/>
        <i val="0"/>
        <color theme="0"/>
        <name val="Cambria"/>
        <scheme val="none"/>
      </font>
      <fill>
        <patternFill>
          <bgColor theme="5"/>
        </patternFill>
      </fill>
    </dxf>
    <dxf>
      <font>
        <b/>
        <i val="0"/>
        <color rgb="FFFFC000"/>
      </font>
      <fill>
        <patternFill>
          <bgColor theme="5"/>
        </patternFill>
      </fill>
    </dxf>
    <dxf>
      <font>
        <b/>
        <i val="0"/>
        <color theme="0"/>
      </font>
      <fill>
        <patternFill>
          <bgColor theme="8"/>
        </patternFill>
      </fill>
    </dxf>
    <dxf>
      <font>
        <b/>
        <i val="0"/>
        <color theme="0"/>
      </font>
      <fill>
        <patternFill>
          <bgColor theme="8"/>
        </patternFill>
      </fill>
    </dxf>
    <dxf>
      <font>
        <b/>
        <i val="0"/>
        <color rgb="FF9C0006"/>
      </font>
      <fill>
        <patternFill>
          <bgColor theme="5"/>
        </patternFill>
      </fill>
    </dxf>
    <dxf>
      <font>
        <b/>
        <i val="0"/>
        <color theme="0"/>
        <name val="Cambria"/>
        <scheme val="none"/>
      </font>
      <fill>
        <patternFill>
          <bgColor theme="5"/>
        </patternFill>
      </fill>
    </dxf>
    <dxf>
      <font>
        <b/>
        <i val="0"/>
        <color rgb="FFFFC000"/>
      </font>
      <fill>
        <patternFill>
          <bgColor theme="5"/>
        </patternFill>
      </fill>
    </dxf>
    <dxf>
      <font>
        <b/>
        <i val="0"/>
        <color theme="0"/>
      </font>
      <fill>
        <patternFill>
          <bgColor theme="8"/>
        </patternFill>
      </fill>
    </dxf>
    <dxf>
      <font>
        <b/>
        <i val="0"/>
        <color theme="0"/>
      </font>
      <fill>
        <patternFill>
          <bgColor theme="8"/>
        </patternFill>
      </fill>
    </dxf>
    <dxf>
      <font>
        <b/>
        <i val="0"/>
        <color rgb="FF9C0006"/>
      </font>
      <fill>
        <patternFill>
          <bgColor theme="5"/>
        </patternFill>
      </fill>
    </dxf>
    <dxf>
      <font>
        <b/>
        <i val="0"/>
        <color theme="0"/>
        <name val="Cambria"/>
        <scheme val="none"/>
      </font>
      <fill>
        <patternFill>
          <bgColor theme="5"/>
        </patternFill>
      </fill>
    </dxf>
    <dxf>
      <font>
        <b/>
        <i val="0"/>
        <color rgb="FFFFC000"/>
      </font>
      <fill>
        <patternFill>
          <bgColor theme="5"/>
        </patternFill>
      </fill>
    </dxf>
    <dxf>
      <font>
        <b/>
        <i val="0"/>
        <color theme="0"/>
      </font>
      <fill>
        <patternFill>
          <bgColor theme="8"/>
        </patternFill>
      </fill>
    </dxf>
    <dxf>
      <font>
        <b/>
        <i val="0"/>
        <color theme="0"/>
      </font>
      <fill>
        <patternFill>
          <bgColor theme="8"/>
        </patternFill>
      </fill>
    </dxf>
    <dxf>
      <font>
        <b/>
        <i val="0"/>
        <color rgb="FF9C0006"/>
      </font>
      <fill>
        <patternFill>
          <bgColor theme="5"/>
        </patternFill>
      </fill>
    </dxf>
    <dxf>
      <font>
        <b/>
        <i val="0"/>
        <color theme="0"/>
        <name val="Cambria"/>
        <scheme val="none"/>
      </font>
      <fill>
        <patternFill>
          <bgColor theme="5"/>
        </patternFill>
      </fill>
    </dxf>
    <dxf>
      <font>
        <b/>
        <i val="0"/>
        <color rgb="FFFFC000"/>
      </font>
      <fill>
        <patternFill>
          <bgColor theme="5"/>
        </patternFill>
      </fill>
    </dxf>
    <dxf>
      <font>
        <b/>
        <i val="0"/>
        <color theme="0"/>
      </font>
      <fill>
        <patternFill>
          <bgColor theme="8"/>
        </patternFill>
      </fill>
    </dxf>
    <dxf>
      <font>
        <b/>
        <i val="0"/>
        <color theme="0"/>
      </font>
      <fill>
        <patternFill>
          <bgColor theme="8"/>
        </patternFill>
      </fill>
    </dxf>
    <dxf>
      <font>
        <b/>
        <i val="0"/>
        <color rgb="FF9C0006"/>
      </font>
      <fill>
        <patternFill>
          <bgColor theme="5"/>
        </patternFill>
      </fill>
    </dxf>
    <dxf>
      <font>
        <b/>
        <i val="0"/>
        <color theme="0"/>
        <name val="Cambria"/>
        <scheme val="none"/>
      </font>
      <fill>
        <patternFill>
          <bgColor theme="5"/>
        </patternFill>
      </fill>
    </dxf>
    <dxf>
      <font>
        <b/>
        <i val="0"/>
        <color rgb="FFFFC000"/>
      </font>
      <fill>
        <patternFill>
          <bgColor theme="5"/>
        </patternFill>
      </fill>
    </dxf>
    <dxf>
      <font>
        <b/>
        <i val="0"/>
        <color theme="0"/>
      </font>
      <fill>
        <patternFill>
          <bgColor theme="8"/>
        </patternFill>
      </fill>
    </dxf>
    <dxf>
      <font>
        <b/>
        <i val="0"/>
        <color theme="0"/>
      </font>
      <fill>
        <patternFill>
          <bgColor theme="8"/>
        </patternFill>
      </fill>
    </dxf>
    <dxf>
      <font>
        <b/>
        <i val="0"/>
        <color rgb="FF9C0006"/>
      </font>
      <fill>
        <patternFill>
          <bgColor theme="5"/>
        </patternFill>
      </fill>
    </dxf>
    <dxf>
      <font>
        <b/>
        <i val="0"/>
        <color theme="0"/>
        <name val="Cambria"/>
        <scheme val="none"/>
      </font>
      <fill>
        <patternFill>
          <bgColor theme="5"/>
        </patternFill>
      </fill>
    </dxf>
    <dxf>
      <font>
        <b/>
        <i val="0"/>
        <color rgb="FFFFC000"/>
      </font>
      <fill>
        <patternFill>
          <bgColor theme="5"/>
        </patternFill>
      </fill>
    </dxf>
    <dxf>
      <font>
        <b/>
        <i val="0"/>
        <color theme="0"/>
      </font>
      <fill>
        <patternFill>
          <bgColor theme="8"/>
        </patternFill>
      </fill>
    </dxf>
    <dxf>
      <font>
        <b/>
        <i val="0"/>
        <color theme="0"/>
      </font>
      <fill>
        <patternFill>
          <bgColor theme="8"/>
        </patternFill>
      </fill>
    </dxf>
    <dxf>
      <font>
        <b/>
        <i val="0"/>
        <color rgb="FF9C0006"/>
      </font>
      <fill>
        <patternFill>
          <bgColor theme="5"/>
        </patternFill>
      </fill>
    </dxf>
    <dxf>
      <font>
        <b/>
        <i val="0"/>
        <color theme="0"/>
        <name val="Cambria"/>
        <scheme val="none"/>
      </font>
      <fill>
        <patternFill>
          <bgColor theme="5"/>
        </patternFill>
      </fill>
    </dxf>
    <dxf>
      <font>
        <b/>
        <i val="0"/>
        <color rgb="FFFFC000"/>
      </font>
      <fill>
        <patternFill>
          <bgColor theme="5"/>
        </patternFill>
      </fill>
    </dxf>
    <dxf>
      <font>
        <b/>
        <i val="0"/>
        <color theme="0"/>
      </font>
      <fill>
        <patternFill>
          <bgColor theme="8"/>
        </patternFill>
      </fill>
    </dxf>
    <dxf>
      <font>
        <b/>
        <i val="0"/>
        <color theme="0"/>
      </font>
      <fill>
        <patternFill>
          <bgColor theme="8"/>
        </patternFill>
      </fill>
    </dxf>
    <dxf>
      <font>
        <b/>
        <i val="0"/>
        <color rgb="FF9C0006"/>
      </font>
      <fill>
        <patternFill>
          <bgColor theme="5"/>
        </patternFill>
      </fill>
    </dxf>
    <dxf>
      <font>
        <b/>
        <i val="0"/>
        <color theme="0"/>
        <name val="Cambria"/>
        <scheme val="none"/>
      </font>
      <fill>
        <patternFill>
          <bgColor theme="5"/>
        </patternFill>
      </fill>
    </dxf>
    <dxf>
      <font>
        <b/>
        <i val="0"/>
        <color rgb="FFFFC000"/>
      </font>
      <fill>
        <patternFill>
          <bgColor theme="5"/>
        </patternFill>
      </fill>
    </dxf>
    <dxf>
      <font>
        <b/>
        <i val="0"/>
        <color theme="0"/>
      </font>
      <fill>
        <patternFill>
          <bgColor theme="8"/>
        </patternFill>
      </fill>
    </dxf>
    <dxf>
      <font>
        <b/>
        <i val="0"/>
        <color theme="0"/>
      </font>
      <fill>
        <patternFill>
          <bgColor theme="8"/>
        </patternFill>
      </fill>
    </dxf>
    <dxf>
      <font>
        <b/>
        <i val="0"/>
        <color rgb="FF9C0006"/>
      </font>
      <fill>
        <patternFill>
          <bgColor theme="5"/>
        </patternFill>
      </fill>
    </dxf>
    <dxf>
      <font>
        <b/>
        <i val="0"/>
        <color theme="0"/>
        <name val="Cambria"/>
        <scheme val="none"/>
      </font>
      <fill>
        <patternFill>
          <bgColor theme="5"/>
        </patternFill>
      </fill>
    </dxf>
    <dxf>
      <font>
        <b/>
        <i val="0"/>
        <color rgb="FFFFC000"/>
      </font>
      <fill>
        <patternFill>
          <bgColor theme="5"/>
        </patternFill>
      </fill>
    </dxf>
    <dxf>
      <font>
        <b/>
        <i val="0"/>
        <color theme="0"/>
      </font>
      <fill>
        <patternFill>
          <bgColor theme="8"/>
        </patternFill>
      </fill>
    </dxf>
    <dxf>
      <font>
        <b/>
        <i val="0"/>
        <color theme="0"/>
      </font>
      <fill>
        <patternFill>
          <bgColor theme="8"/>
        </patternFill>
      </fill>
    </dxf>
    <dxf>
      <font>
        <b/>
        <i val="0"/>
        <color rgb="FF9C0006"/>
      </font>
      <fill>
        <patternFill>
          <bgColor theme="5"/>
        </patternFill>
      </fill>
    </dxf>
    <dxf>
      <font>
        <b/>
        <i val="0"/>
        <color theme="0"/>
        <name val="Cambria"/>
        <scheme val="none"/>
      </font>
      <fill>
        <patternFill>
          <bgColor theme="5"/>
        </patternFill>
      </fill>
    </dxf>
    <dxf>
      <font>
        <b/>
        <i val="0"/>
        <color rgb="FFFFC000"/>
      </font>
      <fill>
        <patternFill>
          <bgColor theme="5"/>
        </patternFill>
      </fill>
    </dxf>
    <dxf>
      <font>
        <b/>
        <i val="0"/>
        <color theme="0"/>
      </font>
      <fill>
        <patternFill>
          <bgColor theme="8"/>
        </patternFill>
      </fill>
    </dxf>
    <dxf>
      <font>
        <b/>
        <i val="0"/>
        <color theme="0"/>
      </font>
      <fill>
        <patternFill>
          <bgColor theme="8"/>
        </patternFill>
      </fill>
    </dxf>
    <dxf>
      <font>
        <b/>
        <i val="0"/>
        <color rgb="FF9C0006"/>
      </font>
      <fill>
        <patternFill>
          <bgColor theme="5"/>
        </patternFill>
      </fill>
    </dxf>
    <dxf>
      <font>
        <b/>
        <i val="0"/>
        <color theme="0"/>
        <name val="Cambria"/>
        <scheme val="none"/>
      </font>
      <fill>
        <patternFill>
          <bgColor theme="5"/>
        </patternFill>
      </fill>
    </dxf>
    <dxf>
      <font>
        <b/>
        <i val="0"/>
        <color rgb="FFFFC000"/>
      </font>
      <fill>
        <patternFill>
          <bgColor theme="5"/>
        </patternFill>
      </fill>
    </dxf>
    <dxf>
      <font>
        <b/>
        <i val="0"/>
        <color theme="0"/>
      </font>
      <fill>
        <patternFill>
          <bgColor theme="8"/>
        </patternFill>
      </fill>
    </dxf>
    <dxf>
      <font>
        <b/>
        <i val="0"/>
        <color theme="0"/>
      </font>
      <fill>
        <patternFill>
          <bgColor theme="8"/>
        </patternFill>
      </fill>
    </dxf>
    <dxf>
      <font>
        <b/>
        <i val="0"/>
        <color rgb="FF9C0006"/>
      </font>
      <fill>
        <patternFill>
          <bgColor theme="5"/>
        </patternFill>
      </fill>
    </dxf>
    <dxf>
      <font>
        <b/>
        <i val="0"/>
        <color theme="0"/>
        <name val="Cambria"/>
        <scheme val="none"/>
      </font>
      <fill>
        <patternFill>
          <bgColor theme="5"/>
        </patternFill>
      </fill>
    </dxf>
    <dxf>
      <font>
        <b/>
        <i val="0"/>
        <color rgb="FFFFC000"/>
      </font>
      <fill>
        <patternFill>
          <bgColor theme="5"/>
        </patternFill>
      </fill>
    </dxf>
    <dxf>
      <font>
        <b/>
        <i val="0"/>
        <color theme="0"/>
      </font>
      <fill>
        <patternFill>
          <bgColor theme="8"/>
        </patternFill>
      </fill>
    </dxf>
    <dxf>
      <font>
        <b/>
        <i val="0"/>
        <color theme="0"/>
      </font>
      <fill>
        <patternFill>
          <bgColor theme="8"/>
        </patternFill>
      </fill>
    </dxf>
    <dxf>
      <font>
        <b/>
        <i val="0"/>
        <color rgb="FF9C0006"/>
      </font>
      <fill>
        <patternFill>
          <bgColor theme="5"/>
        </patternFill>
      </fill>
    </dxf>
    <dxf>
      <font>
        <b/>
        <i val="0"/>
        <color theme="0"/>
        <name val="Cambria"/>
        <scheme val="none"/>
      </font>
      <fill>
        <patternFill>
          <bgColor theme="5"/>
        </patternFill>
      </fill>
    </dxf>
    <dxf>
      <font>
        <b/>
        <i val="0"/>
        <color rgb="FFFFC000"/>
      </font>
      <fill>
        <patternFill>
          <bgColor theme="5"/>
        </patternFill>
      </fill>
    </dxf>
    <dxf>
      <font>
        <b/>
        <i val="0"/>
        <color theme="0"/>
      </font>
      <fill>
        <patternFill>
          <bgColor theme="8"/>
        </patternFill>
      </fill>
    </dxf>
    <dxf>
      <font>
        <b/>
        <i val="0"/>
        <color theme="0"/>
      </font>
      <fill>
        <patternFill>
          <bgColor theme="8"/>
        </patternFill>
      </fill>
    </dxf>
    <dxf>
      <font>
        <b/>
        <i val="0"/>
        <color rgb="FF9C0006"/>
      </font>
      <fill>
        <patternFill>
          <bgColor theme="5"/>
        </patternFill>
      </fill>
    </dxf>
    <dxf>
      <font>
        <b/>
        <i val="0"/>
        <color theme="0"/>
        <name val="Cambria"/>
        <scheme val="none"/>
      </font>
      <fill>
        <patternFill>
          <bgColor theme="5"/>
        </patternFill>
      </fill>
    </dxf>
    <dxf>
      <font>
        <b/>
        <i val="0"/>
        <color rgb="FFFFC000"/>
      </font>
      <fill>
        <patternFill>
          <bgColor theme="5"/>
        </patternFill>
      </fill>
    </dxf>
    <dxf>
      <font>
        <b/>
        <i val="0"/>
        <color theme="0"/>
      </font>
      <fill>
        <patternFill>
          <bgColor theme="8"/>
        </patternFill>
      </fill>
    </dxf>
    <dxf>
      <font>
        <b/>
        <i val="0"/>
        <color theme="0"/>
      </font>
      <fill>
        <patternFill>
          <bgColor theme="8"/>
        </patternFill>
      </fill>
    </dxf>
    <dxf>
      <font>
        <b/>
        <i val="0"/>
        <color rgb="FF9C0006"/>
      </font>
      <fill>
        <patternFill>
          <bgColor theme="5"/>
        </patternFill>
      </fill>
    </dxf>
    <dxf>
      <font>
        <b/>
        <i val="0"/>
        <color theme="0"/>
        <name val="Cambria"/>
        <scheme val="none"/>
      </font>
      <fill>
        <patternFill>
          <bgColor theme="5"/>
        </patternFill>
      </fill>
    </dxf>
    <dxf>
      <font>
        <b/>
        <i val="0"/>
        <color rgb="FFFFC000"/>
      </font>
      <fill>
        <patternFill>
          <bgColor theme="5"/>
        </patternFill>
      </fill>
    </dxf>
    <dxf>
      <font>
        <b/>
        <i val="0"/>
        <color theme="0"/>
      </font>
      <fill>
        <patternFill>
          <bgColor theme="8"/>
        </patternFill>
      </fill>
    </dxf>
    <dxf>
      <font>
        <b/>
        <i val="0"/>
        <color theme="0"/>
      </font>
      <fill>
        <patternFill>
          <bgColor theme="8"/>
        </patternFill>
      </fill>
    </dxf>
    <dxf>
      <font>
        <b/>
        <i val="0"/>
        <color rgb="FF9C0006"/>
      </font>
      <fill>
        <patternFill>
          <bgColor theme="5"/>
        </patternFill>
      </fill>
    </dxf>
    <dxf>
      <font>
        <b/>
        <i val="0"/>
        <color theme="0"/>
        <name val="Cambria"/>
        <scheme val="none"/>
      </font>
      <fill>
        <patternFill>
          <bgColor theme="5"/>
        </patternFill>
      </fill>
    </dxf>
    <dxf>
      <font>
        <b/>
        <i val="0"/>
        <color rgb="FFFFC000"/>
      </font>
      <fill>
        <patternFill>
          <bgColor theme="5"/>
        </patternFill>
      </fill>
    </dxf>
    <dxf>
      <font>
        <b/>
        <i val="0"/>
        <color theme="0"/>
      </font>
      <fill>
        <patternFill>
          <bgColor theme="8"/>
        </patternFill>
      </fill>
    </dxf>
    <dxf>
      <font>
        <b/>
        <i val="0"/>
        <color theme="0"/>
      </font>
      <fill>
        <patternFill>
          <bgColor theme="8"/>
        </patternFill>
      </fill>
    </dxf>
    <dxf>
      <font>
        <b/>
        <i val="0"/>
        <color rgb="FF9C0006"/>
      </font>
      <fill>
        <patternFill>
          <bgColor theme="5"/>
        </patternFill>
      </fill>
    </dxf>
    <dxf>
      <font>
        <b/>
        <i val="0"/>
        <color theme="0"/>
        <name val="Cambria"/>
        <scheme val="none"/>
      </font>
      <fill>
        <patternFill>
          <bgColor theme="5"/>
        </patternFill>
      </fill>
    </dxf>
    <dxf>
      <font>
        <b/>
        <i val="0"/>
        <color rgb="FFFFC000"/>
      </font>
      <fill>
        <patternFill>
          <bgColor theme="5"/>
        </patternFill>
      </fill>
    </dxf>
    <dxf>
      <font>
        <b/>
        <i val="0"/>
        <color theme="0"/>
      </font>
      <fill>
        <patternFill>
          <bgColor theme="8"/>
        </patternFill>
      </fill>
    </dxf>
    <dxf>
      <font>
        <b/>
        <i val="0"/>
        <color theme="0"/>
      </font>
      <fill>
        <patternFill>
          <bgColor theme="8"/>
        </patternFill>
      </fill>
    </dxf>
    <dxf>
      <font>
        <b/>
        <i val="0"/>
        <color rgb="FF9C0006"/>
      </font>
      <fill>
        <patternFill>
          <bgColor theme="5"/>
        </patternFill>
      </fill>
    </dxf>
    <dxf>
      <font>
        <b/>
        <i val="0"/>
        <color theme="0"/>
        <name val="Cambria"/>
        <scheme val="none"/>
      </font>
      <fill>
        <patternFill>
          <bgColor theme="5"/>
        </patternFill>
      </fill>
    </dxf>
    <dxf>
      <font>
        <b/>
        <i val="0"/>
        <color rgb="FFFFC000"/>
      </font>
      <fill>
        <patternFill>
          <bgColor theme="5"/>
        </patternFill>
      </fill>
    </dxf>
    <dxf>
      <font>
        <b/>
        <i val="0"/>
        <color theme="0"/>
      </font>
      <fill>
        <patternFill>
          <bgColor theme="8"/>
        </patternFill>
      </fill>
    </dxf>
    <dxf>
      <font>
        <b/>
        <i val="0"/>
        <color theme="0"/>
      </font>
      <fill>
        <patternFill>
          <bgColor theme="8"/>
        </patternFill>
      </fill>
    </dxf>
    <dxf>
      <font>
        <b/>
        <i val="0"/>
        <color rgb="FF9C0006"/>
      </font>
      <fill>
        <patternFill>
          <bgColor theme="5"/>
        </patternFill>
      </fill>
    </dxf>
    <dxf>
      <font>
        <b/>
        <i val="0"/>
        <color theme="0"/>
        <name val="Cambria"/>
        <scheme val="none"/>
      </font>
      <fill>
        <patternFill>
          <bgColor theme="5"/>
        </patternFill>
      </fill>
    </dxf>
    <dxf>
      <font>
        <b/>
        <i val="0"/>
        <color rgb="FFFFC000"/>
      </font>
      <fill>
        <patternFill>
          <bgColor theme="5"/>
        </patternFill>
      </fill>
    </dxf>
    <dxf>
      <font>
        <b/>
        <i val="0"/>
        <color theme="0"/>
      </font>
      <fill>
        <patternFill>
          <bgColor theme="8"/>
        </patternFill>
      </fill>
    </dxf>
    <dxf>
      <font>
        <b/>
        <i val="0"/>
        <color theme="0"/>
      </font>
      <fill>
        <patternFill>
          <bgColor theme="8"/>
        </patternFill>
      </fill>
    </dxf>
    <dxf>
      <font>
        <b/>
        <i val="0"/>
        <color rgb="FF9C0006"/>
      </font>
      <fill>
        <patternFill>
          <bgColor theme="5"/>
        </patternFill>
      </fill>
    </dxf>
    <dxf>
      <font>
        <b/>
        <i val="0"/>
        <color theme="0"/>
        <name val="Cambria"/>
        <scheme val="none"/>
      </font>
      <fill>
        <patternFill>
          <bgColor theme="5"/>
        </patternFill>
      </fill>
    </dxf>
    <dxf>
      <font>
        <b/>
        <i val="0"/>
        <color rgb="FFFFC000"/>
      </font>
      <fill>
        <patternFill>
          <bgColor theme="5"/>
        </patternFill>
      </fill>
    </dxf>
    <dxf>
      <font>
        <b/>
        <i val="0"/>
        <color theme="0"/>
      </font>
      <fill>
        <patternFill>
          <bgColor theme="8"/>
        </patternFill>
      </fill>
    </dxf>
    <dxf>
      <font>
        <b/>
        <i val="0"/>
        <color theme="0"/>
      </font>
      <fill>
        <patternFill>
          <bgColor theme="8"/>
        </patternFill>
      </fill>
    </dxf>
    <dxf>
      <font>
        <b/>
        <i val="0"/>
        <color rgb="FF9C0006"/>
      </font>
      <fill>
        <patternFill>
          <bgColor theme="5"/>
        </patternFill>
      </fill>
    </dxf>
    <dxf>
      <font>
        <b/>
        <i val="0"/>
        <color theme="0"/>
        <name val="Cambria"/>
        <scheme val="none"/>
      </font>
      <fill>
        <patternFill>
          <bgColor theme="5"/>
        </patternFill>
      </fill>
    </dxf>
    <dxf>
      <font>
        <b/>
        <i val="0"/>
        <color rgb="FFFFC000"/>
      </font>
      <fill>
        <patternFill>
          <bgColor theme="5"/>
        </patternFill>
      </fill>
    </dxf>
    <dxf>
      <font>
        <b/>
        <i val="0"/>
        <color theme="0"/>
      </font>
      <fill>
        <patternFill>
          <bgColor theme="8"/>
        </patternFill>
      </fill>
    </dxf>
    <dxf>
      <font>
        <b/>
        <i val="0"/>
        <color theme="0"/>
      </font>
      <fill>
        <patternFill>
          <bgColor theme="8"/>
        </patternFill>
      </fill>
    </dxf>
    <dxf>
      <font>
        <b/>
        <i val="0"/>
        <color rgb="FF9C0006"/>
      </font>
      <fill>
        <patternFill>
          <bgColor theme="5"/>
        </patternFill>
      </fill>
    </dxf>
    <dxf>
      <font>
        <b/>
        <i val="0"/>
        <color theme="0"/>
        <name val="Cambria"/>
        <scheme val="none"/>
      </font>
      <fill>
        <patternFill>
          <bgColor theme="5"/>
        </patternFill>
      </fill>
    </dxf>
    <dxf>
      <font>
        <b/>
        <i val="0"/>
        <color rgb="FFFFC000"/>
      </font>
      <fill>
        <patternFill>
          <bgColor theme="5"/>
        </patternFill>
      </fill>
    </dxf>
    <dxf>
      <font>
        <b/>
        <i val="0"/>
        <color theme="0"/>
      </font>
      <fill>
        <patternFill>
          <bgColor theme="8"/>
        </patternFill>
      </fill>
    </dxf>
    <dxf>
      <font>
        <b/>
        <i val="0"/>
        <color theme="0"/>
      </font>
      <fill>
        <patternFill>
          <bgColor theme="8"/>
        </patternFill>
      </fill>
    </dxf>
    <dxf>
      <font>
        <b/>
        <i val="0"/>
        <color rgb="FF9C0006"/>
      </font>
      <fill>
        <patternFill>
          <bgColor theme="5"/>
        </patternFill>
      </fill>
    </dxf>
    <dxf>
      <font>
        <b/>
        <i val="0"/>
        <color theme="0"/>
        <name val="Cambria"/>
        <scheme val="none"/>
      </font>
      <fill>
        <patternFill>
          <bgColor theme="5"/>
        </patternFill>
      </fill>
    </dxf>
    <dxf>
      <font>
        <b/>
        <i val="0"/>
        <color rgb="FFFFC000"/>
      </font>
      <fill>
        <patternFill>
          <bgColor theme="5"/>
        </patternFill>
      </fill>
    </dxf>
    <dxf>
      <font>
        <b/>
        <i val="0"/>
        <color theme="0"/>
      </font>
      <fill>
        <patternFill>
          <bgColor theme="8"/>
        </patternFill>
      </fill>
    </dxf>
    <dxf>
      <font>
        <b/>
        <i val="0"/>
        <color theme="0"/>
      </font>
      <fill>
        <patternFill>
          <bgColor theme="8"/>
        </patternFill>
      </fill>
    </dxf>
    <dxf>
      <font>
        <b/>
        <i val="0"/>
        <color rgb="FF9C0006"/>
      </font>
      <fill>
        <patternFill>
          <bgColor theme="5"/>
        </patternFill>
      </fill>
    </dxf>
    <dxf>
      <font>
        <b/>
        <i val="0"/>
        <color theme="0"/>
        <name val="Cambria"/>
        <scheme val="none"/>
      </font>
      <fill>
        <patternFill>
          <bgColor theme="5"/>
        </patternFill>
      </fill>
    </dxf>
    <dxf>
      <font>
        <b/>
        <i val="0"/>
        <color rgb="FFFFC000"/>
      </font>
      <fill>
        <patternFill>
          <bgColor theme="5"/>
        </patternFill>
      </fill>
    </dxf>
    <dxf>
      <font>
        <b/>
        <i val="0"/>
        <color theme="0"/>
      </font>
      <fill>
        <patternFill>
          <bgColor theme="8"/>
        </patternFill>
      </fill>
    </dxf>
    <dxf>
      <font>
        <b/>
        <i val="0"/>
        <color theme="0"/>
      </font>
      <fill>
        <patternFill>
          <bgColor theme="8"/>
        </patternFill>
      </fill>
    </dxf>
    <dxf>
      <font>
        <b/>
        <i val="0"/>
        <color rgb="FF9C0006"/>
      </font>
      <fill>
        <patternFill>
          <bgColor theme="5"/>
        </patternFill>
      </fill>
    </dxf>
    <dxf>
      <font>
        <b/>
        <i val="0"/>
        <color theme="0"/>
        <name val="Cambria"/>
        <scheme val="none"/>
      </font>
      <fill>
        <patternFill>
          <bgColor theme="5"/>
        </patternFill>
      </fill>
    </dxf>
    <dxf>
      <font>
        <b/>
        <i val="0"/>
        <color rgb="FFFFC000"/>
      </font>
      <fill>
        <patternFill>
          <bgColor theme="5"/>
        </patternFill>
      </fill>
    </dxf>
    <dxf>
      <font>
        <b/>
        <i val="0"/>
        <color theme="0"/>
      </font>
      <fill>
        <patternFill>
          <bgColor theme="8"/>
        </patternFill>
      </fill>
    </dxf>
    <dxf>
      <font>
        <b/>
        <i val="0"/>
        <color theme="0"/>
      </font>
      <fill>
        <patternFill>
          <bgColor theme="8"/>
        </patternFill>
      </fill>
    </dxf>
    <dxf>
      <font>
        <b/>
        <i val="0"/>
        <color rgb="FF9C0006"/>
      </font>
      <fill>
        <patternFill>
          <bgColor theme="5"/>
        </patternFill>
      </fill>
    </dxf>
    <dxf>
      <font>
        <b/>
        <i val="0"/>
        <color theme="0"/>
        <name val="Cambria"/>
        <scheme val="none"/>
      </font>
      <fill>
        <patternFill>
          <bgColor theme="5"/>
        </patternFill>
      </fill>
    </dxf>
    <dxf>
      <font>
        <b/>
        <i val="0"/>
        <color rgb="FFFFC000"/>
      </font>
      <fill>
        <patternFill>
          <bgColor theme="5"/>
        </patternFill>
      </fill>
    </dxf>
    <dxf>
      <font>
        <b/>
        <i val="0"/>
        <color theme="0"/>
      </font>
      <fill>
        <patternFill>
          <bgColor theme="8"/>
        </patternFill>
      </fill>
    </dxf>
    <dxf>
      <font>
        <b/>
        <i val="0"/>
        <color theme="0"/>
      </font>
      <fill>
        <patternFill>
          <bgColor theme="8"/>
        </patternFill>
      </fill>
    </dxf>
    <dxf>
      <font>
        <b/>
        <i val="0"/>
        <color rgb="FF9C0006"/>
      </font>
      <fill>
        <patternFill>
          <bgColor theme="5"/>
        </patternFill>
      </fill>
    </dxf>
    <dxf>
      <font>
        <b/>
        <i val="0"/>
        <color theme="0"/>
        <name val="Cambria"/>
        <scheme val="none"/>
      </font>
      <fill>
        <patternFill>
          <bgColor theme="5"/>
        </patternFill>
      </fill>
    </dxf>
    <dxf>
      <font>
        <b/>
        <i val="0"/>
        <color rgb="FFFFC000"/>
      </font>
      <fill>
        <patternFill>
          <bgColor theme="5"/>
        </patternFill>
      </fill>
    </dxf>
    <dxf>
      <font>
        <b/>
        <i val="0"/>
        <color theme="0"/>
      </font>
      <fill>
        <patternFill>
          <bgColor theme="8"/>
        </patternFill>
      </fill>
    </dxf>
    <dxf>
      <font>
        <b/>
        <i val="0"/>
        <color theme="0"/>
      </font>
      <fill>
        <patternFill>
          <bgColor theme="8"/>
        </patternFill>
      </fill>
    </dxf>
    <dxf>
      <font>
        <b/>
        <i val="0"/>
        <color rgb="FF9C0006"/>
      </font>
      <fill>
        <patternFill>
          <bgColor theme="5"/>
        </patternFill>
      </fill>
    </dxf>
    <dxf>
      <font>
        <b/>
        <i val="0"/>
        <color theme="0"/>
        <name val="Cambria"/>
        <scheme val="none"/>
      </font>
      <fill>
        <patternFill>
          <bgColor theme="5"/>
        </patternFill>
      </fill>
    </dxf>
    <dxf>
      <font>
        <b/>
        <i val="0"/>
        <color rgb="FFFFC000"/>
      </font>
      <fill>
        <patternFill>
          <bgColor theme="5"/>
        </patternFill>
      </fill>
    </dxf>
    <dxf>
      <font>
        <b/>
        <i val="0"/>
        <color theme="0"/>
      </font>
      <fill>
        <patternFill>
          <bgColor theme="8"/>
        </patternFill>
      </fill>
    </dxf>
    <dxf>
      <font>
        <b/>
        <i val="0"/>
        <color theme="0"/>
      </font>
      <fill>
        <patternFill>
          <bgColor theme="8"/>
        </patternFill>
      </fill>
    </dxf>
    <dxf>
      <font>
        <b/>
        <i val="0"/>
        <color rgb="FF9C0006"/>
      </font>
      <fill>
        <patternFill>
          <bgColor theme="5"/>
        </patternFill>
      </fill>
    </dxf>
    <dxf>
      <font>
        <b/>
        <i val="0"/>
        <color theme="0"/>
        <name val="Cambria"/>
        <scheme val="none"/>
      </font>
      <fill>
        <patternFill>
          <bgColor theme="5"/>
        </patternFill>
      </fill>
    </dxf>
    <dxf>
      <font>
        <b/>
        <i val="0"/>
        <color rgb="FFFFC000"/>
      </font>
      <fill>
        <patternFill>
          <bgColor theme="5"/>
        </patternFill>
      </fill>
    </dxf>
    <dxf>
      <font>
        <b/>
        <i val="0"/>
        <color theme="0"/>
      </font>
      <fill>
        <patternFill>
          <bgColor theme="8"/>
        </patternFill>
      </fill>
    </dxf>
    <dxf>
      <font>
        <b/>
        <i val="0"/>
        <color theme="0"/>
      </font>
      <fill>
        <patternFill>
          <bgColor theme="8"/>
        </patternFill>
      </fill>
    </dxf>
    <dxf>
      <font>
        <b/>
        <i val="0"/>
        <color rgb="FF9C0006"/>
      </font>
      <fill>
        <patternFill>
          <bgColor theme="5"/>
        </patternFill>
      </fill>
    </dxf>
    <dxf>
      <font>
        <b/>
        <i val="0"/>
        <color theme="0"/>
        <name val="Cambria"/>
        <scheme val="none"/>
      </font>
      <fill>
        <patternFill>
          <bgColor theme="5"/>
        </patternFill>
      </fill>
    </dxf>
    <dxf>
      <font>
        <b/>
        <i val="0"/>
        <color rgb="FFFFC000"/>
      </font>
      <fill>
        <patternFill>
          <bgColor theme="5"/>
        </patternFill>
      </fill>
    </dxf>
    <dxf>
      <font>
        <b/>
        <i val="0"/>
        <color theme="0"/>
      </font>
      <fill>
        <patternFill>
          <bgColor theme="8"/>
        </patternFill>
      </fill>
    </dxf>
    <dxf>
      <font>
        <b/>
        <i val="0"/>
        <color theme="0"/>
      </font>
      <fill>
        <patternFill>
          <bgColor theme="8"/>
        </patternFill>
      </fill>
    </dxf>
    <dxf>
      <font>
        <b/>
        <i val="0"/>
        <color rgb="FF9C0006"/>
      </font>
      <fill>
        <patternFill>
          <bgColor theme="5"/>
        </patternFill>
      </fill>
    </dxf>
    <dxf>
      <font>
        <b/>
        <i val="0"/>
        <color theme="0"/>
        <name val="Cambria"/>
        <scheme val="none"/>
      </font>
      <fill>
        <patternFill>
          <bgColor theme="5"/>
        </patternFill>
      </fill>
    </dxf>
    <dxf>
      <font>
        <b/>
        <i val="0"/>
        <color rgb="FFFFC000"/>
      </font>
      <fill>
        <patternFill>
          <bgColor theme="5"/>
        </patternFill>
      </fill>
    </dxf>
    <dxf>
      <font>
        <b/>
        <i val="0"/>
        <color theme="0"/>
      </font>
      <fill>
        <patternFill>
          <bgColor theme="8"/>
        </patternFill>
      </fill>
    </dxf>
    <dxf>
      <font>
        <b/>
        <i val="0"/>
        <color theme="0"/>
      </font>
      <fill>
        <patternFill>
          <bgColor theme="8"/>
        </patternFill>
      </fill>
    </dxf>
    <dxf>
      <font>
        <b/>
        <i val="0"/>
        <color rgb="FF9C0006"/>
      </font>
      <fill>
        <patternFill>
          <bgColor theme="5"/>
        </patternFill>
      </fill>
    </dxf>
    <dxf>
      <font>
        <b/>
        <i val="0"/>
        <color theme="0"/>
        <name val="Cambria"/>
        <scheme val="none"/>
      </font>
      <fill>
        <patternFill>
          <bgColor theme="5"/>
        </patternFill>
      </fill>
    </dxf>
    <dxf>
      <font>
        <b/>
        <i val="0"/>
        <color rgb="FFFFC000"/>
      </font>
      <fill>
        <patternFill>
          <bgColor theme="5"/>
        </patternFill>
      </fill>
    </dxf>
    <dxf>
      <font>
        <b/>
        <i val="0"/>
        <color theme="0"/>
      </font>
      <fill>
        <patternFill>
          <bgColor theme="8"/>
        </patternFill>
      </fill>
    </dxf>
    <dxf>
      <font>
        <b/>
        <i val="0"/>
        <color theme="0"/>
      </font>
      <fill>
        <patternFill>
          <bgColor theme="8"/>
        </patternFill>
      </fill>
    </dxf>
    <dxf>
      <font>
        <b/>
        <i val="0"/>
        <color rgb="FF9C0006"/>
      </font>
      <fill>
        <patternFill>
          <bgColor theme="5"/>
        </patternFill>
      </fill>
    </dxf>
    <dxf>
      <font>
        <b/>
        <i val="0"/>
        <color theme="0"/>
        <name val="Cambria"/>
        <scheme val="none"/>
      </font>
      <fill>
        <patternFill>
          <bgColor theme="5"/>
        </patternFill>
      </fill>
    </dxf>
    <dxf>
      <font>
        <b/>
        <i val="0"/>
        <color rgb="FFFFC000"/>
      </font>
      <fill>
        <patternFill>
          <bgColor theme="5"/>
        </patternFill>
      </fill>
    </dxf>
    <dxf>
      <font>
        <b/>
        <i val="0"/>
        <color theme="0"/>
      </font>
      <fill>
        <patternFill>
          <bgColor theme="8"/>
        </patternFill>
      </fill>
    </dxf>
    <dxf>
      <font>
        <b/>
        <i val="0"/>
        <color theme="0"/>
      </font>
      <fill>
        <patternFill>
          <bgColor theme="8"/>
        </patternFill>
      </fill>
    </dxf>
    <dxf>
      <font>
        <b/>
        <i val="0"/>
        <color rgb="FF9C0006"/>
      </font>
      <fill>
        <patternFill>
          <bgColor theme="5"/>
        </patternFill>
      </fill>
    </dxf>
    <dxf>
      <font>
        <b/>
        <i val="0"/>
        <color theme="0"/>
        <name val="Cambria"/>
        <scheme val="none"/>
      </font>
      <fill>
        <patternFill>
          <bgColor theme="5"/>
        </patternFill>
      </fill>
    </dxf>
    <dxf>
      <font>
        <b/>
        <i val="0"/>
        <color rgb="FFFFC000"/>
      </font>
      <fill>
        <patternFill>
          <bgColor theme="5"/>
        </patternFill>
      </fill>
    </dxf>
    <dxf>
      <font>
        <b/>
        <i val="0"/>
        <color theme="0"/>
      </font>
      <fill>
        <patternFill>
          <bgColor theme="8"/>
        </patternFill>
      </fill>
    </dxf>
    <dxf>
      <font>
        <b/>
        <i val="0"/>
        <color theme="0"/>
      </font>
      <fill>
        <patternFill>
          <bgColor theme="8"/>
        </patternFill>
      </fill>
    </dxf>
    <dxf>
      <font>
        <b/>
        <i val="0"/>
        <color rgb="FF9C0006"/>
      </font>
      <fill>
        <patternFill>
          <bgColor theme="5"/>
        </patternFill>
      </fill>
    </dxf>
    <dxf>
      <font>
        <b/>
        <i val="0"/>
        <color theme="0"/>
        <name val="Cambria"/>
        <scheme val="none"/>
      </font>
      <fill>
        <patternFill>
          <bgColor theme="5"/>
        </patternFill>
      </fill>
    </dxf>
    <dxf>
      <font>
        <b/>
        <i val="0"/>
        <color rgb="FFFFC000"/>
      </font>
      <fill>
        <patternFill>
          <bgColor theme="5"/>
        </patternFill>
      </fill>
    </dxf>
    <dxf>
      <font>
        <b/>
        <i val="0"/>
        <color theme="0"/>
      </font>
      <fill>
        <patternFill>
          <bgColor theme="8"/>
        </patternFill>
      </fill>
    </dxf>
    <dxf>
      <font>
        <b/>
        <i val="0"/>
        <color theme="0"/>
      </font>
      <fill>
        <patternFill>
          <bgColor theme="8"/>
        </patternFill>
      </fill>
    </dxf>
    <dxf>
      <font>
        <b/>
        <i val="0"/>
        <color rgb="FF9C0006"/>
      </font>
      <fill>
        <patternFill>
          <bgColor theme="5"/>
        </patternFill>
      </fill>
    </dxf>
    <dxf>
      <font>
        <b/>
        <i val="0"/>
        <color theme="0"/>
        <name val="Cambria"/>
        <scheme val="none"/>
      </font>
      <fill>
        <patternFill>
          <bgColor theme="5"/>
        </patternFill>
      </fill>
    </dxf>
    <dxf>
      <font>
        <b/>
        <i val="0"/>
        <color rgb="FFFFC000"/>
      </font>
      <fill>
        <patternFill>
          <bgColor theme="5"/>
        </patternFill>
      </fill>
    </dxf>
    <dxf>
      <font>
        <b/>
        <i val="0"/>
        <color theme="0"/>
      </font>
      <fill>
        <patternFill>
          <bgColor theme="8"/>
        </patternFill>
      </fill>
    </dxf>
    <dxf>
      <font>
        <b/>
        <i val="0"/>
        <color theme="0"/>
      </font>
      <fill>
        <patternFill>
          <bgColor theme="8"/>
        </patternFill>
      </fill>
    </dxf>
    <dxf>
      <font>
        <b/>
        <i val="0"/>
        <color rgb="FF9C0006"/>
      </font>
      <fill>
        <patternFill>
          <bgColor theme="5"/>
        </patternFill>
      </fill>
    </dxf>
    <dxf>
      <font>
        <b/>
        <i val="0"/>
        <color theme="0"/>
        <name val="Cambria"/>
        <scheme val="none"/>
      </font>
      <fill>
        <patternFill>
          <bgColor theme="5"/>
        </patternFill>
      </fill>
    </dxf>
    <dxf>
      <font>
        <b/>
        <i val="0"/>
        <color rgb="FFFFC000"/>
      </font>
      <fill>
        <patternFill>
          <bgColor theme="5"/>
        </patternFill>
      </fill>
    </dxf>
    <dxf>
      <font>
        <b/>
        <i val="0"/>
        <color theme="0"/>
      </font>
      <fill>
        <patternFill>
          <bgColor theme="8"/>
        </patternFill>
      </fill>
    </dxf>
    <dxf>
      <font>
        <b/>
        <i val="0"/>
        <color theme="0"/>
      </font>
      <fill>
        <patternFill>
          <bgColor theme="8"/>
        </patternFill>
      </fill>
    </dxf>
    <dxf>
      <font>
        <b/>
        <i val="0"/>
        <color rgb="FF9C0006"/>
      </font>
      <fill>
        <patternFill>
          <bgColor theme="5"/>
        </patternFill>
      </fill>
    </dxf>
    <dxf>
      <font>
        <b/>
        <i val="0"/>
        <color theme="0"/>
        <name val="Cambria"/>
        <scheme val="none"/>
      </font>
      <fill>
        <patternFill>
          <bgColor theme="5"/>
        </patternFill>
      </fill>
    </dxf>
    <dxf>
      <font>
        <b/>
        <i val="0"/>
        <color rgb="FFFFC000"/>
      </font>
      <fill>
        <patternFill>
          <bgColor theme="5"/>
        </patternFill>
      </fill>
    </dxf>
    <dxf>
      <font>
        <b/>
        <i val="0"/>
        <color theme="0"/>
      </font>
      <fill>
        <patternFill>
          <bgColor theme="8"/>
        </patternFill>
      </fill>
    </dxf>
    <dxf>
      <font>
        <b/>
        <i val="0"/>
        <color theme="0"/>
      </font>
      <fill>
        <patternFill>
          <bgColor theme="8"/>
        </patternFill>
      </fill>
    </dxf>
    <dxf>
      <font>
        <b/>
        <i val="0"/>
        <color rgb="FF9C0006"/>
      </font>
      <fill>
        <patternFill>
          <bgColor theme="5"/>
        </patternFill>
      </fill>
    </dxf>
    <dxf>
      <font>
        <b/>
        <i val="0"/>
        <color theme="0"/>
        <name val="Cambria"/>
        <scheme val="none"/>
      </font>
      <fill>
        <patternFill>
          <bgColor theme="5"/>
        </patternFill>
      </fill>
    </dxf>
    <dxf>
      <font>
        <b/>
        <i val="0"/>
        <color rgb="FFFFC000"/>
      </font>
      <fill>
        <patternFill>
          <bgColor theme="5"/>
        </patternFill>
      </fill>
    </dxf>
    <dxf>
      <font>
        <b/>
        <i val="0"/>
        <color theme="0"/>
      </font>
      <fill>
        <patternFill>
          <bgColor theme="8"/>
        </patternFill>
      </fill>
    </dxf>
    <dxf>
      <font>
        <b/>
        <i val="0"/>
        <color theme="0"/>
      </font>
      <fill>
        <patternFill>
          <bgColor theme="8"/>
        </patternFill>
      </fill>
    </dxf>
    <dxf>
      <font>
        <b/>
        <i val="0"/>
        <color rgb="FF9C0006"/>
      </font>
      <fill>
        <patternFill>
          <bgColor theme="5"/>
        </patternFill>
      </fill>
    </dxf>
    <dxf>
      <font>
        <b/>
        <i val="0"/>
        <color theme="0"/>
        <name val="Cambria"/>
        <scheme val="none"/>
      </font>
      <fill>
        <patternFill>
          <bgColor theme="5"/>
        </patternFill>
      </fill>
    </dxf>
    <dxf>
      <font>
        <b/>
        <i val="0"/>
        <color rgb="FFFFC000"/>
      </font>
      <fill>
        <patternFill>
          <bgColor theme="5"/>
        </patternFill>
      </fill>
    </dxf>
    <dxf>
      <font>
        <b/>
        <i val="0"/>
        <color theme="0"/>
      </font>
      <fill>
        <patternFill>
          <bgColor theme="8"/>
        </patternFill>
      </fill>
    </dxf>
    <dxf>
      <font>
        <b/>
        <i val="0"/>
        <color theme="0"/>
      </font>
      <fill>
        <patternFill>
          <bgColor theme="8"/>
        </patternFill>
      </fill>
    </dxf>
    <dxf>
      <font>
        <b/>
        <i val="0"/>
        <color rgb="FF9C0006"/>
      </font>
      <fill>
        <patternFill>
          <bgColor theme="5"/>
        </patternFill>
      </fill>
    </dxf>
    <dxf>
      <font>
        <b/>
        <i val="0"/>
        <color theme="0"/>
        <name val="Cambria"/>
        <scheme val="none"/>
      </font>
      <fill>
        <patternFill>
          <bgColor theme="5"/>
        </patternFill>
      </fill>
    </dxf>
    <dxf>
      <font>
        <b/>
        <i val="0"/>
        <color rgb="FFFFC000"/>
      </font>
      <fill>
        <patternFill>
          <bgColor theme="5"/>
        </patternFill>
      </fill>
    </dxf>
    <dxf>
      <font>
        <b/>
        <i val="0"/>
        <color theme="0"/>
      </font>
      <fill>
        <patternFill>
          <bgColor theme="8"/>
        </patternFill>
      </fill>
    </dxf>
    <dxf>
      <font>
        <b/>
        <i val="0"/>
        <color theme="0"/>
      </font>
      <fill>
        <patternFill>
          <bgColor theme="8"/>
        </patternFill>
      </fill>
    </dxf>
    <dxf>
      <font>
        <b/>
        <i val="0"/>
        <color rgb="FF9C0006"/>
      </font>
      <fill>
        <patternFill>
          <bgColor theme="5"/>
        </patternFill>
      </fill>
    </dxf>
    <dxf>
      <font>
        <b/>
        <i val="0"/>
        <color theme="0"/>
        <name val="Cambria"/>
        <scheme val="none"/>
      </font>
      <fill>
        <patternFill>
          <bgColor theme="5"/>
        </patternFill>
      </fill>
    </dxf>
    <dxf>
      <font>
        <b/>
        <i val="0"/>
        <color rgb="FFFFC000"/>
      </font>
      <fill>
        <patternFill>
          <bgColor theme="5"/>
        </patternFill>
      </fill>
    </dxf>
    <dxf>
      <font>
        <b/>
        <i val="0"/>
        <color theme="0"/>
      </font>
      <fill>
        <patternFill>
          <bgColor theme="8"/>
        </patternFill>
      </fill>
    </dxf>
    <dxf>
      <font>
        <b/>
        <i val="0"/>
        <color theme="0"/>
      </font>
      <fill>
        <patternFill>
          <bgColor theme="8"/>
        </patternFill>
      </fill>
    </dxf>
    <dxf>
      <font>
        <b/>
        <i val="0"/>
        <color rgb="FF9C0006"/>
      </font>
      <fill>
        <patternFill>
          <bgColor theme="5"/>
        </patternFill>
      </fill>
    </dxf>
    <dxf>
      <font>
        <b/>
        <i val="0"/>
        <color theme="0"/>
        <name val="Cambria"/>
        <scheme val="none"/>
      </font>
      <fill>
        <patternFill>
          <bgColor theme="5"/>
        </patternFill>
      </fill>
    </dxf>
    <dxf>
      <font>
        <b/>
        <i val="0"/>
        <color rgb="FFFFC000"/>
      </font>
      <fill>
        <patternFill>
          <bgColor theme="5"/>
        </patternFill>
      </fill>
    </dxf>
    <dxf>
      <font>
        <b/>
        <i val="0"/>
        <color theme="0"/>
      </font>
      <fill>
        <patternFill>
          <bgColor theme="8"/>
        </patternFill>
      </fill>
    </dxf>
    <dxf>
      <font>
        <b/>
        <i val="0"/>
        <color theme="0"/>
      </font>
      <fill>
        <patternFill>
          <bgColor theme="8"/>
        </patternFill>
      </fill>
    </dxf>
    <dxf>
      <font>
        <b/>
        <i val="0"/>
        <color rgb="FF9C0006"/>
      </font>
      <fill>
        <patternFill>
          <bgColor theme="5"/>
        </patternFill>
      </fill>
    </dxf>
    <dxf>
      <font>
        <b/>
        <i val="0"/>
        <color theme="0"/>
        <name val="Cambria"/>
        <scheme val="none"/>
      </font>
      <fill>
        <patternFill>
          <bgColor theme="5"/>
        </patternFill>
      </fill>
    </dxf>
    <dxf>
      <font>
        <b/>
        <i val="0"/>
        <color rgb="FFFFC000"/>
      </font>
      <fill>
        <patternFill>
          <bgColor theme="5"/>
        </patternFill>
      </fill>
    </dxf>
    <dxf>
      <font>
        <b/>
        <i val="0"/>
        <color theme="0"/>
      </font>
      <fill>
        <patternFill>
          <bgColor theme="8"/>
        </patternFill>
      </fill>
    </dxf>
    <dxf>
      <font>
        <b/>
        <i val="0"/>
        <color theme="0"/>
      </font>
      <fill>
        <patternFill>
          <bgColor theme="8"/>
        </patternFill>
      </fill>
    </dxf>
    <dxf>
      <font>
        <b/>
        <i val="0"/>
        <color rgb="FF9C0006"/>
      </font>
      <fill>
        <patternFill>
          <bgColor theme="5"/>
        </patternFill>
      </fill>
    </dxf>
    <dxf>
      <font>
        <b/>
        <i val="0"/>
        <color theme="0"/>
        <name val="Cambria"/>
        <scheme val="none"/>
      </font>
      <fill>
        <patternFill>
          <bgColor theme="5"/>
        </patternFill>
      </fill>
    </dxf>
    <dxf>
      <font>
        <b/>
        <i val="0"/>
        <color rgb="FFFFC000"/>
      </font>
      <fill>
        <patternFill>
          <bgColor theme="5"/>
        </patternFill>
      </fill>
    </dxf>
    <dxf>
      <font>
        <b/>
        <i val="0"/>
        <color theme="0"/>
      </font>
      <fill>
        <patternFill>
          <bgColor theme="8"/>
        </patternFill>
      </fill>
    </dxf>
    <dxf>
      <font>
        <b/>
        <i val="0"/>
        <color theme="0"/>
      </font>
      <fill>
        <patternFill>
          <bgColor theme="8"/>
        </patternFill>
      </fill>
    </dxf>
    <dxf>
      <font>
        <b/>
        <i val="0"/>
        <color rgb="FF9C0006"/>
      </font>
      <fill>
        <patternFill>
          <bgColor theme="5"/>
        </patternFill>
      </fill>
    </dxf>
    <dxf>
      <font>
        <b/>
        <i val="0"/>
        <color theme="0"/>
        <name val="Cambria"/>
        <scheme val="none"/>
      </font>
      <fill>
        <patternFill>
          <bgColor theme="5"/>
        </patternFill>
      </fill>
    </dxf>
    <dxf>
      <font>
        <b/>
        <i val="0"/>
        <color rgb="FFFFC000"/>
      </font>
      <fill>
        <patternFill>
          <bgColor theme="5"/>
        </patternFill>
      </fill>
    </dxf>
    <dxf>
      <font>
        <b/>
        <i val="0"/>
        <color theme="0"/>
      </font>
      <fill>
        <patternFill>
          <bgColor theme="8"/>
        </patternFill>
      </fill>
    </dxf>
    <dxf>
      <font>
        <b/>
        <i val="0"/>
        <color theme="0"/>
      </font>
      <fill>
        <patternFill>
          <bgColor theme="8"/>
        </patternFill>
      </fill>
    </dxf>
    <dxf>
      <font>
        <b/>
        <i val="0"/>
        <color rgb="FF9C0006"/>
      </font>
      <fill>
        <patternFill>
          <bgColor theme="5"/>
        </patternFill>
      </fill>
    </dxf>
    <dxf>
      <font>
        <b/>
        <i val="0"/>
        <color theme="0"/>
        <name val="Cambria"/>
        <scheme val="none"/>
      </font>
      <fill>
        <patternFill>
          <bgColor theme="5"/>
        </patternFill>
      </fill>
    </dxf>
    <dxf>
      <font>
        <b/>
        <i val="0"/>
        <color rgb="FFFFC000"/>
      </font>
      <fill>
        <patternFill>
          <bgColor theme="5"/>
        </patternFill>
      </fill>
    </dxf>
    <dxf>
      <font>
        <b/>
        <i val="0"/>
        <color theme="0"/>
      </font>
      <fill>
        <patternFill>
          <bgColor theme="8"/>
        </patternFill>
      </fill>
    </dxf>
    <dxf>
      <font>
        <b/>
        <i val="0"/>
        <color theme="0"/>
      </font>
      <fill>
        <patternFill>
          <bgColor theme="8"/>
        </patternFill>
      </fill>
    </dxf>
    <dxf>
      <font>
        <b/>
        <i val="0"/>
        <color rgb="FF9C0006"/>
      </font>
      <fill>
        <patternFill>
          <bgColor theme="5"/>
        </patternFill>
      </fill>
    </dxf>
    <dxf>
      <font>
        <b/>
        <i val="0"/>
        <color theme="0"/>
        <name val="Cambria"/>
        <scheme val="none"/>
      </font>
      <fill>
        <patternFill>
          <bgColor theme="5"/>
        </patternFill>
      </fill>
    </dxf>
    <dxf>
      <font>
        <b/>
        <i val="0"/>
        <color rgb="FFFFC000"/>
      </font>
      <fill>
        <patternFill>
          <bgColor theme="5"/>
        </patternFill>
      </fill>
    </dxf>
    <dxf>
      <font>
        <b/>
        <i val="0"/>
        <color theme="0"/>
      </font>
      <fill>
        <patternFill>
          <bgColor theme="8"/>
        </patternFill>
      </fill>
    </dxf>
    <dxf>
      <font>
        <b/>
        <i val="0"/>
        <color theme="0"/>
      </font>
      <fill>
        <patternFill>
          <bgColor theme="8"/>
        </patternFill>
      </fill>
    </dxf>
    <dxf>
      <font>
        <b/>
        <i val="0"/>
        <color rgb="FF9C0006"/>
      </font>
      <fill>
        <patternFill>
          <bgColor theme="5"/>
        </patternFill>
      </fill>
    </dxf>
    <dxf>
      <font>
        <b/>
        <i val="0"/>
        <color theme="0"/>
        <name val="Cambria"/>
        <scheme val="none"/>
      </font>
      <fill>
        <patternFill>
          <bgColor theme="5"/>
        </patternFill>
      </fill>
    </dxf>
    <dxf>
      <font>
        <b/>
        <i val="0"/>
        <color rgb="FFFFC000"/>
      </font>
      <fill>
        <patternFill>
          <bgColor theme="5"/>
        </patternFill>
      </fill>
    </dxf>
    <dxf>
      <font>
        <b/>
        <i val="0"/>
        <color theme="0"/>
      </font>
      <fill>
        <patternFill>
          <bgColor theme="8"/>
        </patternFill>
      </fill>
    </dxf>
    <dxf>
      <font>
        <b/>
        <i val="0"/>
        <color theme="0"/>
      </font>
      <fill>
        <patternFill>
          <bgColor theme="8"/>
        </patternFill>
      </fill>
    </dxf>
    <dxf>
      <font>
        <b/>
        <i val="0"/>
        <color rgb="FF9C0006"/>
      </font>
      <fill>
        <patternFill>
          <bgColor theme="5"/>
        </patternFill>
      </fill>
    </dxf>
    <dxf>
      <font>
        <b/>
        <i val="0"/>
        <color theme="0"/>
        <name val="Cambria"/>
        <scheme val="none"/>
      </font>
      <fill>
        <patternFill>
          <bgColor theme="5"/>
        </patternFill>
      </fill>
    </dxf>
    <dxf>
      <font>
        <b/>
        <i val="0"/>
        <color rgb="FFFFC000"/>
      </font>
      <fill>
        <patternFill>
          <bgColor theme="5"/>
        </patternFill>
      </fill>
    </dxf>
    <dxf>
      <font>
        <b/>
        <i val="0"/>
        <color theme="0"/>
      </font>
      <fill>
        <patternFill>
          <bgColor theme="8"/>
        </patternFill>
      </fill>
    </dxf>
    <dxf>
      <font>
        <b/>
        <i val="0"/>
        <color theme="0"/>
      </font>
      <fill>
        <patternFill>
          <bgColor theme="8"/>
        </patternFill>
      </fill>
    </dxf>
    <dxf>
      <font>
        <b/>
        <i val="0"/>
        <color rgb="FF9C0006"/>
      </font>
      <fill>
        <patternFill>
          <bgColor theme="5"/>
        </patternFill>
      </fill>
    </dxf>
    <dxf>
      <font>
        <b/>
        <i val="0"/>
        <color theme="0"/>
        <name val="Cambria"/>
        <scheme val="none"/>
      </font>
      <fill>
        <patternFill>
          <bgColor theme="5"/>
        </patternFill>
      </fill>
    </dxf>
    <dxf>
      <font>
        <b/>
        <i val="0"/>
        <color rgb="FFFFC000"/>
      </font>
      <fill>
        <patternFill>
          <bgColor theme="5"/>
        </patternFill>
      </fill>
    </dxf>
    <dxf>
      <font>
        <b/>
        <i val="0"/>
        <color theme="0"/>
      </font>
      <fill>
        <patternFill>
          <bgColor theme="8"/>
        </patternFill>
      </fill>
    </dxf>
    <dxf>
      <font>
        <b/>
        <i val="0"/>
        <color theme="0"/>
      </font>
      <fill>
        <patternFill>
          <bgColor theme="8"/>
        </patternFill>
      </fill>
    </dxf>
    <dxf>
      <font>
        <b/>
        <i val="0"/>
        <color rgb="FF9C0006"/>
      </font>
      <fill>
        <patternFill>
          <bgColor theme="5"/>
        </patternFill>
      </fill>
    </dxf>
    <dxf>
      <font>
        <b/>
        <i val="0"/>
        <color theme="0"/>
        <name val="Cambria"/>
        <scheme val="none"/>
      </font>
      <fill>
        <patternFill>
          <bgColor theme="5"/>
        </patternFill>
      </fill>
    </dxf>
    <dxf>
      <font>
        <b/>
        <i val="0"/>
        <color rgb="FFFFC000"/>
      </font>
      <fill>
        <patternFill>
          <bgColor theme="5"/>
        </patternFill>
      </fill>
    </dxf>
    <dxf>
      <font>
        <b/>
        <i val="0"/>
        <color theme="0"/>
      </font>
      <fill>
        <patternFill>
          <bgColor theme="8"/>
        </patternFill>
      </fill>
    </dxf>
    <dxf>
      <font>
        <b/>
        <i val="0"/>
        <color theme="0"/>
      </font>
      <fill>
        <patternFill>
          <bgColor theme="8"/>
        </patternFill>
      </fill>
    </dxf>
    <dxf>
      <font>
        <b/>
        <i val="0"/>
        <color rgb="FF9C0006"/>
      </font>
      <fill>
        <patternFill>
          <bgColor theme="5"/>
        </patternFill>
      </fill>
    </dxf>
    <dxf>
      <font>
        <b/>
        <i val="0"/>
        <color theme="0"/>
        <name val="Cambria"/>
        <scheme val="none"/>
      </font>
      <fill>
        <patternFill>
          <bgColor theme="5"/>
        </patternFill>
      </fill>
    </dxf>
    <dxf>
      <font>
        <b/>
        <i val="0"/>
        <color rgb="FFFFC000"/>
      </font>
      <fill>
        <patternFill>
          <bgColor theme="5"/>
        </patternFill>
      </fill>
    </dxf>
    <dxf>
      <font>
        <b/>
        <i val="0"/>
        <color theme="0"/>
      </font>
      <fill>
        <patternFill>
          <bgColor theme="8"/>
        </patternFill>
      </fill>
    </dxf>
    <dxf>
      <font>
        <b/>
        <i val="0"/>
        <color theme="0"/>
      </font>
      <fill>
        <patternFill>
          <bgColor theme="8"/>
        </patternFill>
      </fill>
    </dxf>
    <dxf>
      <font>
        <b/>
        <i val="0"/>
        <color rgb="FF9C0006"/>
      </font>
      <fill>
        <patternFill>
          <bgColor theme="5"/>
        </patternFill>
      </fill>
    </dxf>
    <dxf>
      <font>
        <b/>
        <i val="0"/>
        <color theme="0"/>
        <name val="Cambria"/>
        <scheme val="none"/>
      </font>
      <fill>
        <patternFill>
          <bgColor theme="5"/>
        </patternFill>
      </fill>
    </dxf>
    <dxf>
      <font>
        <b/>
        <i val="0"/>
        <color rgb="FFFFC000"/>
      </font>
      <fill>
        <patternFill>
          <bgColor theme="5"/>
        </patternFill>
      </fill>
    </dxf>
    <dxf>
      <font>
        <b/>
        <i val="0"/>
        <color theme="0"/>
      </font>
      <fill>
        <patternFill>
          <bgColor theme="8"/>
        </patternFill>
      </fill>
    </dxf>
    <dxf>
      <font>
        <b/>
        <i val="0"/>
        <color theme="0"/>
      </font>
      <fill>
        <patternFill>
          <bgColor theme="8"/>
        </patternFill>
      </fill>
    </dxf>
    <dxf>
      <font>
        <b/>
        <i val="0"/>
        <color rgb="FF9C0006"/>
      </font>
      <fill>
        <patternFill>
          <bgColor theme="5"/>
        </patternFill>
      </fill>
    </dxf>
    <dxf>
      <font>
        <b/>
        <i val="0"/>
        <color theme="0"/>
        <name val="Cambria"/>
        <scheme val="none"/>
      </font>
      <fill>
        <patternFill>
          <bgColor theme="5"/>
        </patternFill>
      </fill>
    </dxf>
    <dxf>
      <font>
        <b/>
        <i val="0"/>
        <color rgb="FFFFC000"/>
      </font>
      <fill>
        <patternFill>
          <bgColor theme="5"/>
        </patternFill>
      </fill>
    </dxf>
    <dxf>
      <font>
        <b/>
        <i val="0"/>
        <color theme="0"/>
      </font>
      <fill>
        <patternFill>
          <bgColor theme="8"/>
        </patternFill>
      </fill>
    </dxf>
    <dxf>
      <font>
        <b/>
        <i val="0"/>
        <color theme="0"/>
      </font>
      <fill>
        <patternFill>
          <bgColor theme="8"/>
        </patternFill>
      </fill>
    </dxf>
    <dxf>
      <font>
        <b/>
        <i val="0"/>
        <color rgb="FF9C0006"/>
      </font>
      <fill>
        <patternFill>
          <bgColor theme="5"/>
        </patternFill>
      </fill>
    </dxf>
    <dxf>
      <font>
        <b/>
        <i val="0"/>
        <color theme="0"/>
        <name val="Cambria"/>
        <scheme val="none"/>
      </font>
      <fill>
        <patternFill>
          <bgColor theme="5"/>
        </patternFill>
      </fill>
    </dxf>
    <dxf>
      <font>
        <b/>
        <i val="0"/>
        <color rgb="FFFFC000"/>
      </font>
      <fill>
        <patternFill>
          <bgColor theme="5"/>
        </patternFill>
      </fill>
    </dxf>
    <dxf>
      <font>
        <b/>
        <i val="0"/>
        <color theme="0"/>
      </font>
      <fill>
        <patternFill>
          <bgColor theme="8"/>
        </patternFill>
      </fill>
    </dxf>
    <dxf>
      <font>
        <b/>
        <i val="0"/>
        <color theme="0"/>
      </font>
      <fill>
        <patternFill>
          <bgColor theme="8"/>
        </patternFill>
      </fill>
    </dxf>
    <dxf>
      <font>
        <b/>
        <i val="0"/>
        <color rgb="FF9C0006"/>
      </font>
      <fill>
        <patternFill>
          <bgColor theme="5"/>
        </patternFill>
      </fill>
    </dxf>
    <dxf>
      <font>
        <b/>
        <i val="0"/>
        <color theme="0"/>
        <name val="Cambria"/>
        <scheme val="none"/>
      </font>
      <fill>
        <patternFill>
          <bgColor theme="5"/>
        </patternFill>
      </fill>
    </dxf>
    <dxf>
      <font>
        <b/>
        <i val="0"/>
        <color rgb="FFFFC000"/>
      </font>
      <fill>
        <patternFill>
          <bgColor theme="5"/>
        </patternFill>
      </fill>
    </dxf>
    <dxf>
      <font>
        <b/>
        <i val="0"/>
        <color theme="0"/>
      </font>
      <fill>
        <patternFill>
          <bgColor theme="8"/>
        </patternFill>
      </fill>
    </dxf>
    <dxf>
      <font>
        <b/>
        <i val="0"/>
        <color theme="0"/>
      </font>
      <fill>
        <patternFill>
          <bgColor theme="8"/>
        </patternFill>
      </fill>
    </dxf>
    <dxf>
      <font>
        <b/>
        <i val="0"/>
        <color rgb="FF9C0006"/>
      </font>
      <fill>
        <patternFill>
          <bgColor theme="5"/>
        </patternFill>
      </fill>
    </dxf>
    <dxf>
      <font>
        <b/>
        <i val="0"/>
        <color theme="0"/>
        <name val="Cambria"/>
        <scheme val="none"/>
      </font>
      <fill>
        <patternFill>
          <bgColor theme="5"/>
        </patternFill>
      </fill>
    </dxf>
    <dxf>
      <font>
        <b/>
        <i val="0"/>
        <color rgb="FFFFC000"/>
      </font>
      <fill>
        <patternFill>
          <bgColor theme="5"/>
        </patternFill>
      </fill>
    </dxf>
    <dxf>
      <font>
        <b/>
        <i val="0"/>
        <color theme="0"/>
      </font>
      <fill>
        <patternFill>
          <bgColor theme="8"/>
        </patternFill>
      </fill>
    </dxf>
    <dxf>
      <font>
        <b/>
        <i val="0"/>
        <color theme="0"/>
      </font>
      <fill>
        <patternFill>
          <bgColor theme="8"/>
        </patternFill>
      </fill>
    </dxf>
    <dxf>
      <font>
        <b/>
        <i val="0"/>
        <color rgb="FF9C0006"/>
      </font>
      <fill>
        <patternFill>
          <bgColor theme="5"/>
        </patternFill>
      </fill>
    </dxf>
    <dxf>
      <font>
        <b/>
        <i val="0"/>
        <color theme="0"/>
        <name val="Cambria"/>
        <scheme val="none"/>
      </font>
      <fill>
        <patternFill>
          <bgColor theme="5"/>
        </patternFill>
      </fill>
    </dxf>
    <dxf>
      <font>
        <b/>
        <i val="0"/>
        <color rgb="FFFFC000"/>
      </font>
      <fill>
        <patternFill>
          <bgColor theme="5"/>
        </patternFill>
      </fill>
    </dxf>
    <dxf>
      <font>
        <b/>
        <i val="0"/>
        <color theme="0"/>
      </font>
      <fill>
        <patternFill>
          <bgColor theme="8"/>
        </patternFill>
      </fill>
    </dxf>
    <dxf>
      <font>
        <b/>
        <i val="0"/>
        <color theme="0"/>
      </font>
      <fill>
        <patternFill>
          <bgColor theme="8"/>
        </patternFill>
      </fill>
    </dxf>
    <dxf>
      <font>
        <b/>
        <i val="0"/>
        <color rgb="FF9C0006"/>
      </font>
      <fill>
        <patternFill>
          <bgColor theme="5"/>
        </patternFill>
      </fill>
    </dxf>
    <dxf>
      <font>
        <b/>
        <i val="0"/>
        <color theme="0"/>
        <name val="Cambria"/>
        <scheme val="none"/>
      </font>
      <fill>
        <patternFill>
          <bgColor theme="5"/>
        </patternFill>
      </fill>
    </dxf>
    <dxf>
      <font>
        <b/>
        <i val="0"/>
        <color rgb="FFFFC000"/>
      </font>
      <fill>
        <patternFill>
          <bgColor theme="5"/>
        </patternFill>
      </fill>
    </dxf>
    <dxf>
      <font>
        <b/>
        <i val="0"/>
        <color theme="0"/>
      </font>
      <fill>
        <patternFill>
          <bgColor theme="8"/>
        </patternFill>
      </fill>
    </dxf>
    <dxf>
      <font>
        <b/>
        <i val="0"/>
        <color theme="0"/>
      </font>
      <fill>
        <patternFill>
          <bgColor theme="8"/>
        </patternFill>
      </fill>
    </dxf>
    <dxf>
      <font>
        <b/>
        <i val="0"/>
        <color rgb="FF9C0006"/>
      </font>
      <fill>
        <patternFill>
          <bgColor theme="5"/>
        </patternFill>
      </fill>
    </dxf>
    <dxf>
      <font>
        <b/>
        <i val="0"/>
        <color theme="0"/>
        <name val="Cambria"/>
        <scheme val="none"/>
      </font>
      <fill>
        <patternFill>
          <bgColor theme="5"/>
        </patternFill>
      </fill>
    </dxf>
    <dxf>
      <font>
        <b/>
        <i val="0"/>
        <color rgb="FFFFC000"/>
      </font>
      <fill>
        <patternFill>
          <bgColor theme="5"/>
        </patternFill>
      </fill>
    </dxf>
    <dxf>
      <font>
        <b/>
        <i val="0"/>
        <color theme="0"/>
      </font>
      <fill>
        <patternFill>
          <bgColor theme="8"/>
        </patternFill>
      </fill>
    </dxf>
    <dxf>
      <font>
        <b/>
        <i val="0"/>
        <color theme="0"/>
      </font>
      <fill>
        <patternFill>
          <bgColor theme="8"/>
        </patternFill>
      </fill>
    </dxf>
    <dxf>
      <font>
        <b/>
        <i val="0"/>
        <color rgb="FF9C0006"/>
      </font>
      <fill>
        <patternFill>
          <bgColor theme="5"/>
        </patternFill>
      </fill>
    </dxf>
    <dxf>
      <font>
        <b/>
        <i val="0"/>
        <color theme="0"/>
        <name val="Cambria"/>
        <scheme val="none"/>
      </font>
      <fill>
        <patternFill>
          <bgColor theme="5"/>
        </patternFill>
      </fill>
    </dxf>
    <dxf>
      <font>
        <b/>
        <i val="0"/>
        <color rgb="FFFFC000"/>
      </font>
      <fill>
        <patternFill>
          <bgColor theme="5"/>
        </patternFill>
      </fill>
    </dxf>
    <dxf>
      <font>
        <b/>
        <i val="0"/>
        <color theme="0"/>
      </font>
      <fill>
        <patternFill>
          <bgColor theme="8"/>
        </patternFill>
      </fill>
    </dxf>
    <dxf>
      <font>
        <b/>
        <i val="0"/>
        <color theme="0"/>
      </font>
      <fill>
        <patternFill>
          <bgColor theme="8"/>
        </patternFill>
      </fill>
    </dxf>
    <dxf>
      <font>
        <b/>
        <i val="0"/>
        <color rgb="FF9C0006"/>
      </font>
      <fill>
        <patternFill>
          <bgColor theme="5"/>
        </patternFill>
      </fill>
    </dxf>
    <dxf>
      <font>
        <b/>
        <i val="0"/>
        <color theme="0"/>
        <name val="Cambria"/>
        <scheme val="none"/>
      </font>
      <fill>
        <patternFill>
          <bgColor theme="5"/>
        </patternFill>
      </fill>
    </dxf>
    <dxf>
      <font>
        <b/>
        <i val="0"/>
        <color rgb="FFFFC000"/>
      </font>
      <fill>
        <patternFill>
          <bgColor theme="5"/>
        </patternFill>
      </fill>
    </dxf>
    <dxf>
      <font>
        <b/>
        <i val="0"/>
        <color theme="0"/>
      </font>
      <fill>
        <patternFill>
          <bgColor theme="8"/>
        </patternFill>
      </fill>
    </dxf>
    <dxf>
      <font>
        <b/>
        <i val="0"/>
        <color theme="0"/>
      </font>
      <fill>
        <patternFill>
          <bgColor theme="8"/>
        </patternFill>
      </fill>
    </dxf>
    <dxf>
      <font>
        <b/>
        <i val="0"/>
        <color rgb="FF9C0006"/>
      </font>
      <fill>
        <patternFill>
          <bgColor theme="5"/>
        </patternFill>
      </fill>
    </dxf>
    <dxf>
      <font>
        <b/>
        <i val="0"/>
        <color theme="0"/>
        <name val="Cambria"/>
        <scheme val="none"/>
      </font>
      <fill>
        <patternFill>
          <bgColor theme="5"/>
        </patternFill>
      </fill>
    </dxf>
    <dxf>
      <font>
        <b/>
        <i val="0"/>
        <color rgb="FFFFC000"/>
      </font>
      <fill>
        <patternFill>
          <bgColor theme="5"/>
        </patternFill>
      </fill>
    </dxf>
    <dxf>
      <font>
        <b/>
        <i val="0"/>
        <color theme="0"/>
      </font>
      <fill>
        <patternFill>
          <bgColor theme="8"/>
        </patternFill>
      </fill>
    </dxf>
    <dxf>
      <font>
        <b/>
        <i val="0"/>
        <color theme="0"/>
      </font>
      <fill>
        <patternFill>
          <bgColor theme="8"/>
        </patternFill>
      </fill>
    </dxf>
    <dxf>
      <font>
        <b/>
        <i val="0"/>
        <color rgb="FF9C0006"/>
      </font>
      <fill>
        <patternFill>
          <bgColor theme="5"/>
        </patternFill>
      </fill>
    </dxf>
    <dxf>
      <font>
        <b/>
        <i val="0"/>
        <color theme="0"/>
        <name val="Cambria"/>
        <scheme val="none"/>
      </font>
      <fill>
        <patternFill>
          <bgColor theme="5"/>
        </patternFill>
      </fill>
    </dxf>
    <dxf>
      <font>
        <b/>
        <i val="0"/>
        <color rgb="FFFFC000"/>
      </font>
      <fill>
        <patternFill>
          <bgColor theme="5"/>
        </patternFill>
      </fill>
    </dxf>
    <dxf>
      <font>
        <b/>
        <i val="0"/>
        <color theme="0"/>
      </font>
      <fill>
        <patternFill>
          <bgColor theme="8"/>
        </patternFill>
      </fill>
    </dxf>
    <dxf>
      <font>
        <b/>
        <i val="0"/>
        <color theme="0"/>
      </font>
      <fill>
        <patternFill>
          <bgColor theme="8"/>
        </patternFill>
      </fill>
    </dxf>
    <dxf>
      <font>
        <b/>
        <i val="0"/>
        <color rgb="FF9C0006"/>
      </font>
      <fill>
        <patternFill>
          <bgColor theme="5"/>
        </patternFill>
      </fill>
    </dxf>
    <dxf>
      <font>
        <b/>
        <i val="0"/>
        <color theme="0"/>
        <name val="Cambria"/>
        <scheme val="none"/>
      </font>
      <fill>
        <patternFill>
          <bgColor theme="5"/>
        </patternFill>
      </fill>
    </dxf>
    <dxf>
      <font>
        <b/>
        <i val="0"/>
        <color rgb="FFFFC000"/>
      </font>
      <fill>
        <patternFill>
          <bgColor theme="5"/>
        </patternFill>
      </fill>
    </dxf>
    <dxf>
      <font>
        <b/>
        <i val="0"/>
        <color theme="0"/>
      </font>
      <fill>
        <patternFill>
          <bgColor theme="8"/>
        </patternFill>
      </fill>
    </dxf>
    <dxf>
      <font>
        <b/>
        <i val="0"/>
        <color theme="0"/>
      </font>
      <fill>
        <patternFill>
          <bgColor theme="8"/>
        </patternFill>
      </fill>
    </dxf>
    <dxf>
      <font>
        <b/>
        <i val="0"/>
        <color rgb="FF9C0006"/>
      </font>
      <fill>
        <patternFill>
          <bgColor theme="5"/>
        </patternFill>
      </fill>
    </dxf>
    <dxf>
      <font>
        <b/>
        <i val="0"/>
        <color theme="0"/>
        <name val="Cambria"/>
        <scheme val="none"/>
      </font>
      <fill>
        <patternFill>
          <bgColor theme="5"/>
        </patternFill>
      </fill>
    </dxf>
    <dxf>
      <font>
        <b/>
        <i val="0"/>
        <color rgb="FFFFC000"/>
      </font>
      <fill>
        <patternFill>
          <bgColor theme="5"/>
        </patternFill>
      </fill>
    </dxf>
    <dxf>
      <font>
        <b/>
        <i val="0"/>
        <color theme="0"/>
      </font>
      <fill>
        <patternFill>
          <bgColor theme="8"/>
        </patternFill>
      </fill>
    </dxf>
    <dxf>
      <font>
        <b/>
        <i val="0"/>
        <color theme="0"/>
      </font>
      <fill>
        <patternFill>
          <bgColor theme="8"/>
        </patternFill>
      </fill>
    </dxf>
    <dxf>
      <font>
        <b/>
        <i val="0"/>
        <color rgb="FF9C0006"/>
      </font>
      <fill>
        <patternFill>
          <bgColor theme="5"/>
        </patternFill>
      </fill>
    </dxf>
    <dxf>
      <font>
        <b/>
        <i val="0"/>
        <color theme="0"/>
        <name val="Cambria"/>
        <scheme val="none"/>
      </font>
      <fill>
        <patternFill>
          <bgColor theme="5"/>
        </patternFill>
      </fill>
    </dxf>
    <dxf>
      <font>
        <b/>
        <i val="0"/>
        <color rgb="FFFFC000"/>
      </font>
      <fill>
        <patternFill>
          <bgColor theme="5"/>
        </patternFill>
      </fill>
    </dxf>
    <dxf>
      <font>
        <b/>
        <i val="0"/>
        <color theme="0"/>
      </font>
      <fill>
        <patternFill>
          <bgColor theme="8"/>
        </patternFill>
      </fill>
    </dxf>
    <dxf>
      <font>
        <b/>
        <i val="0"/>
        <color theme="0"/>
      </font>
      <fill>
        <patternFill>
          <bgColor theme="8"/>
        </patternFill>
      </fill>
    </dxf>
    <dxf>
      <font>
        <b/>
        <i val="0"/>
        <color rgb="FF9C0006"/>
      </font>
      <fill>
        <patternFill>
          <bgColor theme="5"/>
        </patternFill>
      </fill>
    </dxf>
    <dxf>
      <font>
        <b/>
        <i val="0"/>
        <color theme="0"/>
        <name val="Cambria"/>
        <scheme val="none"/>
      </font>
      <fill>
        <patternFill>
          <bgColor theme="5"/>
        </patternFill>
      </fill>
    </dxf>
    <dxf>
      <font>
        <b/>
        <i val="0"/>
        <color rgb="FFFFC000"/>
      </font>
      <fill>
        <patternFill>
          <bgColor theme="5"/>
        </patternFill>
      </fill>
    </dxf>
    <dxf>
      <font>
        <b/>
        <i val="0"/>
        <color theme="0"/>
      </font>
      <fill>
        <patternFill>
          <bgColor theme="8"/>
        </patternFill>
      </fill>
    </dxf>
    <dxf>
      <font>
        <b/>
        <i val="0"/>
        <color theme="0"/>
      </font>
      <fill>
        <patternFill>
          <bgColor theme="8"/>
        </patternFill>
      </fill>
    </dxf>
    <dxf>
      <font>
        <b/>
        <i val="0"/>
        <color rgb="FF9C0006"/>
      </font>
      <fill>
        <patternFill>
          <bgColor theme="5"/>
        </patternFill>
      </fill>
    </dxf>
    <dxf>
      <font>
        <b/>
        <i val="0"/>
        <color theme="0"/>
        <name val="Cambria"/>
        <scheme val="none"/>
      </font>
      <fill>
        <patternFill>
          <bgColor theme="5"/>
        </patternFill>
      </fill>
    </dxf>
    <dxf>
      <font>
        <b/>
        <i val="0"/>
        <color rgb="FFFFC000"/>
      </font>
      <fill>
        <patternFill>
          <bgColor theme="5"/>
        </patternFill>
      </fill>
    </dxf>
    <dxf>
      <font>
        <b/>
        <i val="0"/>
        <color theme="0"/>
      </font>
      <fill>
        <patternFill>
          <bgColor theme="8"/>
        </patternFill>
      </fill>
    </dxf>
    <dxf>
      <font>
        <b/>
        <i val="0"/>
        <color theme="0"/>
      </font>
      <fill>
        <patternFill>
          <bgColor theme="8"/>
        </patternFill>
      </fill>
    </dxf>
    <dxf>
      <font>
        <b/>
        <i val="0"/>
        <color rgb="FF9C0006"/>
      </font>
      <fill>
        <patternFill>
          <bgColor theme="5"/>
        </patternFill>
      </fill>
    </dxf>
    <dxf>
      <font>
        <b/>
        <i val="0"/>
        <color theme="0"/>
        <name val="Cambria"/>
        <scheme val="none"/>
      </font>
      <fill>
        <patternFill>
          <bgColor theme="5"/>
        </patternFill>
      </fill>
    </dxf>
    <dxf>
      <font>
        <b/>
        <i val="0"/>
        <color rgb="FFFFC000"/>
      </font>
      <fill>
        <patternFill>
          <bgColor theme="5"/>
        </patternFill>
      </fill>
    </dxf>
    <dxf>
      <font>
        <b/>
        <i val="0"/>
        <color theme="0"/>
      </font>
      <fill>
        <patternFill>
          <bgColor theme="8"/>
        </patternFill>
      </fill>
    </dxf>
    <dxf>
      <font>
        <b/>
        <i val="0"/>
        <color theme="0"/>
      </font>
      <fill>
        <patternFill>
          <bgColor theme="8"/>
        </patternFill>
      </fill>
    </dxf>
    <dxf>
      <font>
        <b/>
        <i val="0"/>
        <color rgb="FF9C0006"/>
      </font>
      <fill>
        <patternFill>
          <bgColor theme="5"/>
        </patternFill>
      </fill>
    </dxf>
    <dxf>
      <font>
        <b/>
        <i val="0"/>
        <color theme="0"/>
        <name val="Cambria"/>
        <scheme val="none"/>
      </font>
      <fill>
        <patternFill>
          <bgColor theme="5"/>
        </patternFill>
      </fill>
    </dxf>
    <dxf>
      <font>
        <b/>
        <i val="0"/>
        <color rgb="FFFFC000"/>
      </font>
      <fill>
        <patternFill>
          <bgColor theme="5"/>
        </patternFill>
      </fill>
    </dxf>
    <dxf>
      <font>
        <b/>
        <i val="0"/>
        <color theme="0"/>
      </font>
      <fill>
        <patternFill>
          <bgColor theme="8"/>
        </patternFill>
      </fill>
    </dxf>
    <dxf>
      <font>
        <b/>
        <i val="0"/>
        <color theme="0"/>
      </font>
      <fill>
        <patternFill>
          <bgColor theme="8"/>
        </patternFill>
      </fill>
    </dxf>
    <dxf>
      <font>
        <b/>
        <i val="0"/>
        <color rgb="FF9C0006"/>
      </font>
      <fill>
        <patternFill>
          <bgColor theme="5"/>
        </patternFill>
      </fill>
    </dxf>
    <dxf>
      <font>
        <b/>
        <i val="0"/>
        <color theme="0"/>
        <name val="Cambria"/>
        <scheme val="none"/>
      </font>
      <fill>
        <patternFill>
          <bgColor theme="5"/>
        </patternFill>
      </fill>
    </dxf>
    <dxf>
      <font>
        <b/>
        <i val="0"/>
        <color rgb="FFFFC000"/>
      </font>
      <fill>
        <patternFill>
          <bgColor theme="5"/>
        </patternFill>
      </fill>
    </dxf>
    <dxf>
      <font>
        <b/>
        <i val="0"/>
        <color theme="0"/>
      </font>
      <fill>
        <patternFill>
          <bgColor theme="8"/>
        </patternFill>
      </fill>
    </dxf>
    <dxf>
      <font>
        <b/>
        <i val="0"/>
        <color theme="0"/>
      </font>
      <fill>
        <patternFill>
          <bgColor theme="8"/>
        </patternFill>
      </fill>
    </dxf>
    <dxf>
      <font>
        <b/>
        <i val="0"/>
        <color rgb="FF9C0006"/>
      </font>
      <fill>
        <patternFill>
          <bgColor theme="5"/>
        </patternFill>
      </fill>
    </dxf>
    <dxf>
      <font>
        <b/>
        <i val="0"/>
        <color theme="0"/>
        <name val="Cambria"/>
        <scheme val="none"/>
      </font>
      <fill>
        <patternFill>
          <bgColor theme="5"/>
        </patternFill>
      </fill>
    </dxf>
    <dxf>
      <font>
        <b/>
        <i val="0"/>
        <color rgb="FFFFC000"/>
      </font>
      <fill>
        <patternFill>
          <bgColor theme="5"/>
        </patternFill>
      </fill>
    </dxf>
    <dxf>
      <font>
        <b/>
        <i val="0"/>
        <color theme="0"/>
      </font>
      <fill>
        <patternFill>
          <bgColor theme="8"/>
        </patternFill>
      </fill>
    </dxf>
    <dxf>
      <font>
        <b/>
        <i val="0"/>
        <color theme="0"/>
      </font>
      <fill>
        <patternFill>
          <bgColor theme="8"/>
        </patternFill>
      </fill>
    </dxf>
    <dxf>
      <font>
        <b/>
        <i val="0"/>
        <color rgb="FF9C0006"/>
      </font>
      <fill>
        <patternFill>
          <bgColor theme="5"/>
        </patternFill>
      </fill>
    </dxf>
    <dxf>
      <font>
        <b/>
        <i val="0"/>
        <color theme="0"/>
        <name val="Cambria"/>
        <scheme val="none"/>
      </font>
      <fill>
        <patternFill>
          <bgColor theme="5"/>
        </patternFill>
      </fill>
    </dxf>
    <dxf>
      <font>
        <b/>
        <i val="0"/>
        <color rgb="FFFFC000"/>
      </font>
      <fill>
        <patternFill>
          <bgColor theme="5"/>
        </patternFill>
      </fill>
    </dxf>
    <dxf>
      <font>
        <b/>
        <i val="0"/>
        <color theme="0"/>
      </font>
      <fill>
        <patternFill>
          <bgColor theme="8"/>
        </patternFill>
      </fill>
    </dxf>
    <dxf>
      <font>
        <b/>
        <i val="0"/>
        <color theme="0"/>
      </font>
      <fill>
        <patternFill>
          <bgColor theme="8"/>
        </patternFill>
      </fill>
    </dxf>
    <dxf>
      <font>
        <b/>
        <i val="0"/>
        <color rgb="FF9C0006"/>
      </font>
      <fill>
        <patternFill>
          <bgColor theme="5"/>
        </patternFill>
      </fill>
    </dxf>
    <dxf>
      <font>
        <b/>
        <i val="0"/>
        <color theme="0"/>
        <name val="Cambria"/>
        <scheme val="none"/>
      </font>
      <fill>
        <patternFill>
          <bgColor theme="5"/>
        </patternFill>
      </fill>
    </dxf>
    <dxf>
      <font>
        <b/>
        <i val="0"/>
        <color rgb="FFFFC000"/>
      </font>
      <fill>
        <patternFill>
          <bgColor theme="5"/>
        </patternFill>
      </fill>
    </dxf>
    <dxf>
      <font>
        <b/>
        <i val="0"/>
        <color theme="0"/>
      </font>
      <fill>
        <patternFill>
          <bgColor theme="8"/>
        </patternFill>
      </fill>
    </dxf>
    <dxf>
      <font>
        <b/>
        <i val="0"/>
        <color theme="0"/>
      </font>
      <fill>
        <patternFill>
          <bgColor theme="8"/>
        </patternFill>
      </fill>
    </dxf>
    <dxf>
      <font>
        <b/>
        <i val="0"/>
        <color rgb="FF9C0006"/>
      </font>
      <fill>
        <patternFill>
          <bgColor theme="5"/>
        </patternFill>
      </fill>
    </dxf>
    <dxf>
      <font>
        <b/>
        <i val="0"/>
        <color theme="0"/>
        <name val="Cambria"/>
        <scheme val="none"/>
      </font>
      <fill>
        <patternFill>
          <bgColor theme="5"/>
        </patternFill>
      </fill>
    </dxf>
    <dxf>
      <font>
        <b/>
        <i val="0"/>
        <color rgb="FFFFC000"/>
      </font>
      <fill>
        <patternFill>
          <bgColor theme="5"/>
        </patternFill>
      </fill>
    </dxf>
    <dxf>
      <font>
        <b/>
        <i val="0"/>
        <color theme="0"/>
      </font>
      <fill>
        <patternFill>
          <bgColor theme="8"/>
        </patternFill>
      </fill>
    </dxf>
    <dxf>
      <font>
        <b/>
        <i val="0"/>
        <color theme="0"/>
      </font>
      <fill>
        <patternFill>
          <bgColor theme="8"/>
        </patternFill>
      </fill>
    </dxf>
    <dxf>
      <font>
        <b/>
        <i val="0"/>
        <color rgb="FF9C0006"/>
      </font>
      <fill>
        <patternFill>
          <bgColor theme="5"/>
        </patternFill>
      </fill>
    </dxf>
    <dxf>
      <font>
        <b/>
        <i val="0"/>
        <color theme="0"/>
        <name val="Cambria"/>
        <scheme val="none"/>
      </font>
      <fill>
        <patternFill>
          <bgColor theme="5"/>
        </patternFill>
      </fill>
    </dxf>
    <dxf>
      <font>
        <b/>
        <i val="0"/>
        <color rgb="FFFFC000"/>
      </font>
      <fill>
        <patternFill>
          <bgColor theme="5"/>
        </patternFill>
      </fill>
    </dxf>
    <dxf>
      <font>
        <b/>
        <i val="0"/>
        <color theme="0"/>
      </font>
      <fill>
        <patternFill>
          <bgColor theme="8"/>
        </patternFill>
      </fill>
    </dxf>
    <dxf>
      <font>
        <b/>
        <i val="0"/>
        <color theme="0"/>
      </font>
      <fill>
        <patternFill>
          <bgColor theme="8"/>
        </patternFill>
      </fill>
    </dxf>
    <dxf>
      <font>
        <b/>
        <i val="0"/>
        <color rgb="FF9C0006"/>
      </font>
      <fill>
        <patternFill>
          <bgColor theme="5"/>
        </patternFill>
      </fill>
    </dxf>
    <dxf>
      <font>
        <b/>
        <i val="0"/>
        <color theme="0"/>
        <name val="Cambria"/>
        <scheme val="none"/>
      </font>
      <fill>
        <patternFill>
          <bgColor theme="5"/>
        </patternFill>
      </fill>
    </dxf>
    <dxf>
      <font>
        <b/>
        <i val="0"/>
        <color rgb="FFFFC000"/>
      </font>
      <fill>
        <patternFill>
          <bgColor theme="5"/>
        </patternFill>
      </fill>
    </dxf>
    <dxf>
      <font>
        <b/>
        <i val="0"/>
        <color theme="0"/>
      </font>
      <fill>
        <patternFill>
          <bgColor theme="8"/>
        </patternFill>
      </fill>
    </dxf>
    <dxf>
      <font>
        <b/>
        <i val="0"/>
        <color theme="0"/>
      </font>
      <fill>
        <patternFill>
          <bgColor theme="8"/>
        </patternFill>
      </fill>
    </dxf>
    <dxf>
      <font>
        <b/>
        <i val="0"/>
        <color rgb="FF9C0006"/>
      </font>
      <fill>
        <patternFill>
          <bgColor theme="5"/>
        </patternFill>
      </fill>
    </dxf>
    <dxf>
      <font>
        <b/>
        <i val="0"/>
        <color theme="0"/>
        <name val="Cambria"/>
        <scheme val="none"/>
      </font>
      <fill>
        <patternFill>
          <bgColor theme="5"/>
        </patternFill>
      </fill>
    </dxf>
    <dxf>
      <font>
        <b/>
        <i val="0"/>
        <color rgb="FFFFC000"/>
      </font>
      <fill>
        <patternFill>
          <bgColor theme="5"/>
        </patternFill>
      </fill>
    </dxf>
    <dxf>
      <font>
        <b/>
        <i val="0"/>
        <color theme="0"/>
      </font>
      <fill>
        <patternFill>
          <bgColor theme="8"/>
        </patternFill>
      </fill>
    </dxf>
    <dxf>
      <font>
        <b/>
        <i val="0"/>
        <color theme="0"/>
      </font>
      <fill>
        <patternFill>
          <bgColor theme="8"/>
        </patternFill>
      </fill>
    </dxf>
    <dxf>
      <font>
        <b/>
        <i val="0"/>
        <color rgb="FF9C0006"/>
      </font>
      <fill>
        <patternFill>
          <bgColor theme="5"/>
        </patternFill>
      </fill>
    </dxf>
    <dxf>
      <font>
        <b/>
        <i val="0"/>
        <color theme="0"/>
        <name val="Cambria"/>
        <scheme val="none"/>
      </font>
      <fill>
        <patternFill>
          <bgColor theme="5"/>
        </patternFill>
      </fill>
    </dxf>
    <dxf>
      <font>
        <b/>
        <i val="0"/>
        <color rgb="FFFFC000"/>
      </font>
      <fill>
        <patternFill>
          <bgColor theme="5"/>
        </patternFill>
      </fill>
    </dxf>
    <dxf>
      <font>
        <b/>
        <i val="0"/>
        <color theme="0"/>
      </font>
      <fill>
        <patternFill>
          <bgColor theme="8"/>
        </patternFill>
      </fill>
    </dxf>
    <dxf>
      <font>
        <b/>
        <i val="0"/>
        <color theme="0"/>
      </font>
      <fill>
        <patternFill>
          <bgColor theme="8"/>
        </patternFill>
      </fill>
    </dxf>
    <dxf>
      <font>
        <b/>
        <i val="0"/>
        <color rgb="FF9C0006"/>
      </font>
      <fill>
        <patternFill>
          <bgColor theme="5"/>
        </patternFill>
      </fill>
    </dxf>
    <dxf>
      <font>
        <b/>
        <i val="0"/>
        <color theme="0"/>
        <name val="Cambria"/>
        <scheme val="none"/>
      </font>
      <fill>
        <patternFill>
          <bgColor theme="5"/>
        </patternFill>
      </fill>
    </dxf>
    <dxf>
      <font>
        <b/>
        <i val="0"/>
        <color rgb="FFFFC000"/>
      </font>
      <fill>
        <patternFill>
          <bgColor theme="5"/>
        </patternFill>
      </fill>
    </dxf>
    <dxf>
      <font>
        <b/>
        <i val="0"/>
        <color theme="0"/>
      </font>
      <fill>
        <patternFill>
          <bgColor theme="8"/>
        </patternFill>
      </fill>
    </dxf>
    <dxf>
      <font>
        <b/>
        <i val="0"/>
        <color theme="0"/>
      </font>
      <fill>
        <patternFill>
          <bgColor theme="8"/>
        </patternFill>
      </fill>
    </dxf>
    <dxf>
      <font>
        <b/>
        <i val="0"/>
        <color rgb="FF9C0006"/>
      </font>
      <fill>
        <patternFill>
          <bgColor theme="5"/>
        </patternFill>
      </fill>
    </dxf>
    <dxf>
      <font>
        <b/>
        <i val="0"/>
        <color theme="0"/>
        <name val="Cambria"/>
        <scheme val="none"/>
      </font>
      <fill>
        <patternFill>
          <bgColor theme="5"/>
        </patternFill>
      </fill>
    </dxf>
    <dxf>
      <font>
        <b/>
        <i val="0"/>
        <color rgb="FFFFC000"/>
      </font>
      <fill>
        <patternFill>
          <bgColor theme="5"/>
        </patternFill>
      </fill>
    </dxf>
    <dxf>
      <font>
        <b/>
        <i val="0"/>
        <color theme="0"/>
      </font>
      <fill>
        <patternFill>
          <bgColor theme="8"/>
        </patternFill>
      </fill>
    </dxf>
    <dxf>
      <font>
        <b/>
        <i val="0"/>
        <color theme="0"/>
      </font>
      <fill>
        <patternFill>
          <bgColor theme="8"/>
        </patternFill>
      </fill>
    </dxf>
    <dxf>
      <font>
        <b/>
        <i val="0"/>
        <color rgb="FF9C0006"/>
      </font>
      <fill>
        <patternFill>
          <bgColor theme="5"/>
        </patternFill>
      </fill>
    </dxf>
    <dxf>
      <font>
        <b/>
        <i val="0"/>
        <color theme="0"/>
        <name val="Cambria"/>
        <scheme val="none"/>
      </font>
      <fill>
        <patternFill>
          <bgColor theme="5"/>
        </patternFill>
      </fill>
    </dxf>
    <dxf>
      <font>
        <b/>
        <i val="0"/>
        <color rgb="FFFFC000"/>
      </font>
      <fill>
        <patternFill>
          <bgColor theme="5"/>
        </patternFill>
      </fill>
    </dxf>
    <dxf>
      <font>
        <b/>
        <i val="0"/>
        <color theme="0"/>
      </font>
      <fill>
        <patternFill>
          <bgColor theme="8"/>
        </patternFill>
      </fill>
    </dxf>
    <dxf>
      <font>
        <b/>
        <i val="0"/>
        <color theme="0"/>
      </font>
      <fill>
        <patternFill>
          <bgColor theme="8"/>
        </patternFill>
      </fill>
    </dxf>
    <dxf>
      <font>
        <b/>
        <i val="0"/>
        <color rgb="FF9C0006"/>
      </font>
      <fill>
        <patternFill>
          <bgColor theme="5"/>
        </patternFill>
      </fill>
    </dxf>
    <dxf>
      <font>
        <b/>
        <i val="0"/>
        <color theme="0"/>
        <name val="Cambria"/>
        <scheme val="none"/>
      </font>
      <fill>
        <patternFill>
          <bgColor theme="5"/>
        </patternFill>
      </fill>
    </dxf>
    <dxf>
      <font>
        <b/>
        <i val="0"/>
        <color rgb="FFFFC000"/>
      </font>
      <fill>
        <patternFill>
          <bgColor theme="5"/>
        </patternFill>
      </fill>
    </dxf>
    <dxf>
      <font>
        <b/>
        <i val="0"/>
        <color theme="0"/>
      </font>
      <fill>
        <patternFill>
          <bgColor theme="8"/>
        </patternFill>
      </fill>
    </dxf>
    <dxf>
      <font>
        <b/>
        <i val="0"/>
        <color theme="0"/>
      </font>
      <fill>
        <patternFill>
          <bgColor theme="8"/>
        </patternFill>
      </fill>
    </dxf>
    <dxf>
      <font>
        <b/>
        <i val="0"/>
        <color rgb="FF9C0006"/>
      </font>
      <fill>
        <patternFill>
          <bgColor theme="5"/>
        </patternFill>
      </fill>
    </dxf>
    <dxf>
      <font>
        <b/>
        <i val="0"/>
        <color theme="0"/>
        <name val="Cambria"/>
        <scheme val="none"/>
      </font>
      <fill>
        <patternFill>
          <bgColor theme="5"/>
        </patternFill>
      </fill>
    </dxf>
    <dxf>
      <font>
        <b/>
        <i val="0"/>
        <color rgb="FFFFC000"/>
      </font>
      <fill>
        <patternFill>
          <bgColor theme="5"/>
        </patternFill>
      </fill>
    </dxf>
    <dxf>
      <font>
        <b/>
        <i val="0"/>
        <color theme="0"/>
      </font>
      <fill>
        <patternFill>
          <bgColor theme="8"/>
        </patternFill>
      </fill>
    </dxf>
    <dxf>
      <font>
        <b/>
        <i val="0"/>
        <color theme="0"/>
      </font>
      <fill>
        <patternFill>
          <bgColor theme="8"/>
        </patternFill>
      </fill>
    </dxf>
    <dxf>
      <font>
        <b/>
        <i val="0"/>
        <color rgb="FF9C0006"/>
      </font>
      <fill>
        <patternFill>
          <bgColor theme="5"/>
        </patternFill>
      </fill>
    </dxf>
    <dxf>
      <font>
        <b/>
        <i val="0"/>
        <color theme="0"/>
        <name val="Cambria"/>
        <scheme val="none"/>
      </font>
      <fill>
        <patternFill>
          <bgColor theme="5"/>
        </patternFill>
      </fill>
    </dxf>
    <dxf>
      <font>
        <b/>
        <i val="0"/>
        <color rgb="FFFFC000"/>
      </font>
      <fill>
        <patternFill>
          <bgColor theme="5"/>
        </patternFill>
      </fill>
    </dxf>
    <dxf>
      <font>
        <b/>
        <i val="0"/>
        <color theme="0"/>
      </font>
      <fill>
        <patternFill>
          <bgColor theme="8"/>
        </patternFill>
      </fill>
    </dxf>
    <dxf>
      <font>
        <b/>
        <i val="0"/>
        <color theme="0"/>
      </font>
      <fill>
        <patternFill>
          <bgColor theme="8"/>
        </patternFill>
      </fill>
    </dxf>
    <dxf>
      <font>
        <b/>
        <i val="0"/>
        <color rgb="FF9C0006"/>
      </font>
      <fill>
        <patternFill>
          <bgColor theme="5"/>
        </patternFill>
      </fill>
    </dxf>
    <dxf>
      <font>
        <b/>
        <i val="0"/>
        <color theme="0"/>
        <name val="Cambria"/>
        <scheme val="none"/>
      </font>
      <fill>
        <patternFill>
          <bgColor theme="5"/>
        </patternFill>
      </fill>
    </dxf>
    <dxf>
      <font>
        <b/>
        <i val="0"/>
        <color rgb="FFFFC000"/>
      </font>
      <fill>
        <patternFill>
          <bgColor theme="5"/>
        </patternFill>
      </fill>
    </dxf>
    <dxf>
      <font>
        <b/>
        <i val="0"/>
        <color theme="0"/>
      </font>
      <fill>
        <patternFill>
          <bgColor theme="8"/>
        </patternFill>
      </fill>
    </dxf>
    <dxf>
      <font>
        <b/>
        <i val="0"/>
        <color theme="0"/>
      </font>
      <fill>
        <patternFill>
          <bgColor theme="8"/>
        </patternFill>
      </fill>
    </dxf>
    <dxf>
      <font>
        <b/>
        <i val="0"/>
        <color rgb="FF9C0006"/>
      </font>
      <fill>
        <patternFill>
          <bgColor theme="5"/>
        </patternFill>
      </fill>
    </dxf>
    <dxf>
      <font>
        <b/>
        <i val="0"/>
        <color theme="0"/>
        <name val="Cambria"/>
        <scheme val="none"/>
      </font>
      <fill>
        <patternFill>
          <bgColor theme="5"/>
        </patternFill>
      </fill>
    </dxf>
    <dxf>
      <font>
        <b/>
        <i val="0"/>
        <color rgb="FFFFC000"/>
      </font>
      <fill>
        <patternFill>
          <bgColor theme="5"/>
        </patternFill>
      </fill>
    </dxf>
    <dxf>
      <font>
        <b/>
        <i val="0"/>
        <color theme="0"/>
      </font>
      <fill>
        <patternFill>
          <bgColor theme="8"/>
        </patternFill>
      </fill>
    </dxf>
    <dxf>
      <font>
        <b/>
        <i val="0"/>
        <color theme="0"/>
      </font>
      <fill>
        <patternFill>
          <bgColor theme="8"/>
        </patternFill>
      </fill>
    </dxf>
    <dxf>
      <font>
        <b/>
        <i val="0"/>
        <color rgb="FF9C0006"/>
      </font>
      <fill>
        <patternFill>
          <bgColor theme="5"/>
        </patternFill>
      </fill>
    </dxf>
    <dxf>
      <font>
        <b/>
        <i val="0"/>
        <color theme="0"/>
        <name val="Cambria"/>
        <scheme val="none"/>
      </font>
      <fill>
        <patternFill>
          <bgColor theme="5"/>
        </patternFill>
      </fill>
    </dxf>
    <dxf>
      <font>
        <b/>
        <i val="0"/>
        <color rgb="FFFFC000"/>
      </font>
      <fill>
        <patternFill>
          <bgColor theme="5"/>
        </patternFill>
      </fill>
    </dxf>
    <dxf>
      <font>
        <b/>
        <i val="0"/>
        <color theme="0"/>
      </font>
      <fill>
        <patternFill>
          <bgColor theme="8"/>
        </patternFill>
      </fill>
    </dxf>
    <dxf>
      <font>
        <b/>
        <i val="0"/>
        <color theme="0"/>
      </font>
      <fill>
        <patternFill>
          <bgColor theme="8"/>
        </patternFill>
      </fill>
    </dxf>
    <dxf>
      <font>
        <b/>
        <i val="0"/>
        <color rgb="FF9C0006"/>
      </font>
      <fill>
        <patternFill>
          <bgColor theme="5"/>
        </patternFill>
      </fill>
    </dxf>
    <dxf>
      <font>
        <b/>
        <i val="0"/>
        <color theme="0"/>
        <name val="Cambria"/>
        <scheme val="none"/>
      </font>
      <fill>
        <patternFill>
          <bgColor theme="5"/>
        </patternFill>
      </fill>
    </dxf>
    <dxf>
      <font>
        <b/>
        <i val="0"/>
        <color rgb="FFFFC000"/>
      </font>
      <fill>
        <patternFill>
          <bgColor theme="5"/>
        </patternFill>
      </fill>
    </dxf>
    <dxf>
      <font>
        <b/>
        <i val="0"/>
        <color theme="0"/>
      </font>
      <fill>
        <patternFill>
          <bgColor theme="8"/>
        </patternFill>
      </fill>
    </dxf>
    <dxf>
      <font>
        <b/>
        <i val="0"/>
        <color theme="0"/>
      </font>
      <fill>
        <patternFill>
          <bgColor theme="8"/>
        </patternFill>
      </fill>
    </dxf>
    <dxf>
      <font>
        <b/>
        <i val="0"/>
        <color rgb="FF9C0006"/>
      </font>
      <fill>
        <patternFill>
          <bgColor theme="5"/>
        </patternFill>
      </fill>
    </dxf>
    <dxf>
      <font>
        <b/>
        <i val="0"/>
        <color theme="0"/>
        <name val="Cambria"/>
        <scheme val="none"/>
      </font>
      <fill>
        <patternFill>
          <bgColor theme="5"/>
        </patternFill>
      </fill>
    </dxf>
    <dxf>
      <font>
        <b/>
        <i val="0"/>
        <color rgb="FFFFC000"/>
      </font>
      <fill>
        <patternFill>
          <bgColor theme="5"/>
        </patternFill>
      </fill>
    </dxf>
    <dxf>
      <font>
        <b/>
        <i val="0"/>
        <color theme="0"/>
      </font>
      <fill>
        <patternFill>
          <bgColor theme="8"/>
        </patternFill>
      </fill>
    </dxf>
    <dxf>
      <font>
        <b/>
        <i val="0"/>
        <color theme="0"/>
      </font>
      <fill>
        <patternFill>
          <bgColor theme="8"/>
        </patternFill>
      </fill>
    </dxf>
    <dxf>
      <font>
        <b/>
        <i val="0"/>
        <color rgb="FF9C0006"/>
      </font>
      <fill>
        <patternFill>
          <bgColor theme="5"/>
        </patternFill>
      </fill>
    </dxf>
    <dxf>
      <font>
        <b/>
        <i val="0"/>
        <color theme="0"/>
        <name val="Cambria"/>
        <scheme val="none"/>
      </font>
      <fill>
        <patternFill>
          <bgColor theme="5"/>
        </patternFill>
      </fill>
    </dxf>
    <dxf>
      <font>
        <b/>
        <i val="0"/>
        <color rgb="FFFFC000"/>
      </font>
      <fill>
        <patternFill>
          <bgColor theme="5"/>
        </patternFill>
      </fill>
    </dxf>
    <dxf>
      <font>
        <b/>
        <i val="0"/>
        <color theme="0"/>
      </font>
      <fill>
        <patternFill>
          <bgColor theme="8"/>
        </patternFill>
      </fill>
    </dxf>
    <dxf>
      <font>
        <b/>
        <i val="0"/>
        <color theme="0"/>
      </font>
      <fill>
        <patternFill>
          <bgColor theme="8"/>
        </patternFill>
      </fill>
    </dxf>
    <dxf>
      <font>
        <b/>
        <i val="0"/>
        <color rgb="FF9C0006"/>
      </font>
      <fill>
        <patternFill>
          <bgColor theme="5"/>
        </patternFill>
      </fill>
    </dxf>
    <dxf>
      <font>
        <b/>
        <i val="0"/>
        <color theme="0"/>
        <name val="Cambria"/>
        <scheme val="none"/>
      </font>
      <fill>
        <patternFill>
          <bgColor theme="5"/>
        </patternFill>
      </fill>
    </dxf>
    <dxf>
      <font>
        <b/>
        <i val="0"/>
        <color rgb="FFFFC000"/>
      </font>
      <fill>
        <patternFill>
          <bgColor theme="5"/>
        </patternFill>
      </fill>
    </dxf>
    <dxf>
      <font>
        <b/>
        <i val="0"/>
        <color theme="0"/>
      </font>
      <fill>
        <patternFill>
          <bgColor theme="8"/>
        </patternFill>
      </fill>
    </dxf>
    <dxf>
      <font>
        <b/>
        <i val="0"/>
        <color theme="0"/>
      </font>
      <fill>
        <patternFill>
          <bgColor theme="8"/>
        </patternFill>
      </fill>
    </dxf>
    <dxf>
      <font>
        <b/>
        <i val="0"/>
        <color rgb="FF9C0006"/>
      </font>
      <fill>
        <patternFill>
          <bgColor theme="5"/>
        </patternFill>
      </fill>
    </dxf>
    <dxf>
      <font>
        <b/>
        <i val="0"/>
        <color theme="0"/>
        <name val="Cambria"/>
        <scheme val="none"/>
      </font>
      <fill>
        <patternFill>
          <bgColor theme="5"/>
        </patternFill>
      </fill>
    </dxf>
    <dxf>
      <font>
        <b/>
        <i val="0"/>
        <color rgb="FFFFC000"/>
      </font>
      <fill>
        <patternFill>
          <bgColor theme="5"/>
        </patternFill>
      </fill>
    </dxf>
    <dxf>
      <font>
        <b/>
        <i val="0"/>
        <color theme="0"/>
      </font>
      <fill>
        <patternFill>
          <bgColor theme="8"/>
        </patternFill>
      </fill>
    </dxf>
    <dxf>
      <font>
        <b/>
        <i val="0"/>
        <color theme="0"/>
      </font>
      <fill>
        <patternFill>
          <bgColor theme="8"/>
        </patternFill>
      </fill>
    </dxf>
    <dxf>
      <font>
        <b/>
        <i val="0"/>
        <color rgb="FF9C0006"/>
      </font>
      <fill>
        <patternFill>
          <bgColor theme="5"/>
        </patternFill>
      </fill>
    </dxf>
    <dxf>
      <font>
        <b/>
        <i val="0"/>
        <color theme="0"/>
        <name val="Cambria"/>
        <scheme val="none"/>
      </font>
      <fill>
        <patternFill>
          <bgColor theme="5"/>
        </patternFill>
      </fill>
    </dxf>
    <dxf>
      <font>
        <b/>
        <i val="0"/>
        <color rgb="FFFFC000"/>
      </font>
      <fill>
        <patternFill>
          <bgColor theme="5"/>
        </patternFill>
      </fill>
    </dxf>
    <dxf>
      <font>
        <b/>
        <i val="0"/>
        <color theme="0"/>
      </font>
      <fill>
        <patternFill>
          <bgColor theme="8"/>
        </patternFill>
      </fill>
    </dxf>
    <dxf>
      <font>
        <b/>
        <i val="0"/>
        <color theme="0"/>
      </font>
      <fill>
        <patternFill>
          <bgColor theme="8"/>
        </patternFill>
      </fill>
    </dxf>
    <dxf>
      <font>
        <b/>
        <i val="0"/>
        <color rgb="FF9C0006"/>
      </font>
      <fill>
        <patternFill>
          <bgColor theme="5"/>
        </patternFill>
      </fill>
    </dxf>
    <dxf>
      <font>
        <b/>
        <i val="0"/>
        <color theme="0"/>
        <name val="Cambria"/>
        <scheme val="none"/>
      </font>
      <fill>
        <patternFill>
          <bgColor theme="5"/>
        </patternFill>
      </fill>
    </dxf>
    <dxf>
      <font>
        <b/>
        <i val="0"/>
        <color rgb="FFFFC000"/>
      </font>
      <fill>
        <patternFill>
          <bgColor theme="5"/>
        </patternFill>
      </fill>
    </dxf>
    <dxf>
      <font>
        <b/>
        <i val="0"/>
        <color theme="0"/>
      </font>
      <fill>
        <patternFill>
          <bgColor theme="8"/>
        </patternFill>
      </fill>
    </dxf>
    <dxf>
      <font>
        <b/>
        <i val="0"/>
        <color theme="0"/>
      </font>
      <fill>
        <patternFill>
          <bgColor theme="8"/>
        </patternFill>
      </fill>
    </dxf>
    <dxf>
      <font>
        <b/>
        <i val="0"/>
        <color rgb="FF9C0006"/>
      </font>
      <fill>
        <patternFill>
          <bgColor theme="5"/>
        </patternFill>
      </fill>
    </dxf>
    <dxf>
      <font>
        <b/>
        <i val="0"/>
        <color theme="0"/>
        <name val="Cambria"/>
        <scheme val="none"/>
      </font>
      <fill>
        <patternFill>
          <bgColor theme="5"/>
        </patternFill>
      </fill>
    </dxf>
    <dxf>
      <font>
        <b/>
        <i val="0"/>
        <color rgb="FFFFC000"/>
      </font>
      <fill>
        <patternFill>
          <bgColor theme="5"/>
        </patternFill>
      </fill>
    </dxf>
    <dxf>
      <font>
        <b/>
        <i val="0"/>
        <color theme="0"/>
      </font>
      <fill>
        <patternFill>
          <bgColor theme="8"/>
        </patternFill>
      </fill>
    </dxf>
    <dxf>
      <font>
        <b/>
        <i val="0"/>
        <color theme="0"/>
      </font>
      <fill>
        <patternFill>
          <bgColor theme="8"/>
        </patternFill>
      </fill>
    </dxf>
    <dxf>
      <font>
        <b/>
        <i val="0"/>
        <color rgb="FF9C0006"/>
      </font>
      <fill>
        <patternFill>
          <bgColor theme="5"/>
        </patternFill>
      </fill>
    </dxf>
    <dxf>
      <font>
        <b/>
        <i val="0"/>
        <color theme="0"/>
        <name val="Cambria"/>
        <scheme val="none"/>
      </font>
      <fill>
        <patternFill>
          <bgColor theme="5"/>
        </patternFill>
      </fill>
    </dxf>
    <dxf>
      <font>
        <b/>
        <i val="0"/>
        <color rgb="FFFFC000"/>
      </font>
      <fill>
        <patternFill>
          <bgColor theme="5"/>
        </patternFill>
      </fill>
    </dxf>
    <dxf>
      <font>
        <b/>
        <i val="0"/>
        <color theme="0"/>
      </font>
      <fill>
        <patternFill>
          <bgColor theme="8"/>
        </patternFill>
      </fill>
    </dxf>
    <dxf>
      <font>
        <b/>
        <i val="0"/>
        <color theme="0"/>
      </font>
      <fill>
        <patternFill>
          <bgColor theme="8"/>
        </patternFill>
      </fill>
    </dxf>
    <dxf>
      <font>
        <b/>
        <i val="0"/>
        <color rgb="FF9C0006"/>
      </font>
      <fill>
        <patternFill>
          <bgColor theme="5"/>
        </patternFill>
      </fill>
    </dxf>
    <dxf>
      <font>
        <b/>
        <i val="0"/>
        <color theme="0"/>
        <name val="Cambria"/>
        <scheme val="none"/>
      </font>
      <fill>
        <patternFill>
          <bgColor theme="5"/>
        </patternFill>
      </fill>
    </dxf>
    <dxf>
      <font>
        <b/>
        <i val="0"/>
        <color rgb="FFFFC000"/>
      </font>
      <fill>
        <patternFill>
          <bgColor theme="5"/>
        </patternFill>
      </fill>
    </dxf>
    <dxf>
      <font>
        <b/>
        <i val="0"/>
        <color theme="0"/>
      </font>
      <fill>
        <patternFill>
          <bgColor theme="8"/>
        </patternFill>
      </fill>
    </dxf>
    <dxf>
      <font>
        <b/>
        <i val="0"/>
        <color theme="0"/>
      </font>
      <fill>
        <patternFill>
          <bgColor theme="8"/>
        </patternFill>
      </fill>
    </dxf>
    <dxf>
      <font>
        <b/>
        <i val="0"/>
        <color rgb="FF9C0006"/>
      </font>
      <fill>
        <patternFill>
          <bgColor theme="5"/>
        </patternFill>
      </fill>
    </dxf>
    <dxf>
      <font>
        <b/>
        <i val="0"/>
        <color theme="0"/>
        <name val="Cambria"/>
        <scheme val="none"/>
      </font>
      <fill>
        <patternFill>
          <bgColor theme="5"/>
        </patternFill>
      </fill>
    </dxf>
    <dxf>
      <font>
        <b/>
        <i val="0"/>
        <color rgb="FFFFC000"/>
      </font>
      <fill>
        <patternFill>
          <bgColor theme="5"/>
        </patternFill>
      </fill>
    </dxf>
    <dxf>
      <font>
        <b/>
        <i val="0"/>
        <color theme="0"/>
      </font>
      <fill>
        <patternFill>
          <bgColor theme="8"/>
        </patternFill>
      </fill>
    </dxf>
    <dxf>
      <font>
        <b/>
        <i val="0"/>
        <color theme="0"/>
      </font>
      <fill>
        <patternFill>
          <bgColor theme="8"/>
        </patternFill>
      </fill>
    </dxf>
    <dxf>
      <font>
        <b/>
        <i val="0"/>
        <color rgb="FF9C0006"/>
      </font>
      <fill>
        <patternFill>
          <bgColor theme="5"/>
        </patternFill>
      </fill>
    </dxf>
    <dxf>
      <font>
        <b/>
        <i val="0"/>
        <color theme="0"/>
        <name val="Cambria"/>
        <scheme val="none"/>
      </font>
      <fill>
        <patternFill>
          <bgColor theme="5"/>
        </patternFill>
      </fill>
    </dxf>
    <dxf>
      <font>
        <b/>
        <i val="0"/>
        <color rgb="FFFFC000"/>
      </font>
      <fill>
        <patternFill>
          <bgColor theme="5"/>
        </patternFill>
      </fill>
    </dxf>
    <dxf>
      <font>
        <b/>
        <i val="0"/>
        <color theme="0"/>
      </font>
      <fill>
        <patternFill>
          <bgColor theme="8"/>
        </patternFill>
      </fill>
    </dxf>
    <dxf>
      <font>
        <b/>
        <i val="0"/>
        <color theme="0"/>
      </font>
      <fill>
        <patternFill>
          <bgColor theme="8"/>
        </patternFill>
      </fill>
    </dxf>
    <dxf>
      <font>
        <b/>
        <i val="0"/>
        <color rgb="FF9C0006"/>
      </font>
      <fill>
        <patternFill>
          <bgColor theme="5"/>
        </patternFill>
      </fill>
    </dxf>
    <dxf>
      <font>
        <b/>
        <i val="0"/>
        <color theme="0"/>
        <name val="Cambria"/>
        <scheme val="none"/>
      </font>
      <fill>
        <patternFill>
          <bgColor theme="5"/>
        </patternFill>
      </fill>
    </dxf>
    <dxf>
      <font>
        <b/>
        <i val="0"/>
        <color rgb="FFFFC000"/>
      </font>
      <fill>
        <patternFill>
          <bgColor theme="5"/>
        </patternFill>
      </fill>
    </dxf>
    <dxf>
      <font>
        <b/>
        <i val="0"/>
        <color theme="0"/>
      </font>
      <fill>
        <patternFill>
          <bgColor theme="8"/>
        </patternFill>
      </fill>
    </dxf>
    <dxf>
      <font>
        <b/>
        <i val="0"/>
        <color theme="0"/>
      </font>
      <fill>
        <patternFill>
          <bgColor theme="8"/>
        </patternFill>
      </fill>
    </dxf>
    <dxf>
      <font>
        <b/>
        <i val="0"/>
        <color rgb="FF9C0006"/>
      </font>
      <fill>
        <patternFill>
          <bgColor theme="5"/>
        </patternFill>
      </fill>
    </dxf>
    <dxf>
      <font>
        <b/>
        <i val="0"/>
        <color theme="0"/>
        <name val="Cambria"/>
        <scheme val="none"/>
      </font>
      <fill>
        <patternFill>
          <bgColor theme="5"/>
        </patternFill>
      </fill>
    </dxf>
    <dxf>
      <font>
        <b/>
        <i val="0"/>
        <color rgb="FFFFC000"/>
      </font>
      <fill>
        <patternFill>
          <bgColor theme="5"/>
        </patternFill>
      </fill>
    </dxf>
    <dxf>
      <font>
        <b/>
        <i val="0"/>
        <color theme="0"/>
      </font>
      <fill>
        <patternFill>
          <bgColor theme="8"/>
        </patternFill>
      </fill>
    </dxf>
    <dxf>
      <font>
        <b/>
        <i val="0"/>
        <color theme="0"/>
      </font>
      <fill>
        <patternFill>
          <bgColor theme="8"/>
        </patternFill>
      </fill>
    </dxf>
    <dxf>
      <font>
        <b/>
        <i val="0"/>
        <color rgb="FF9C0006"/>
      </font>
      <fill>
        <patternFill>
          <bgColor theme="5"/>
        </patternFill>
      </fill>
    </dxf>
    <dxf>
      <font>
        <b/>
        <i val="0"/>
        <color theme="0"/>
        <name val="Cambria"/>
        <scheme val="none"/>
      </font>
      <fill>
        <patternFill>
          <bgColor theme="5"/>
        </patternFill>
      </fill>
    </dxf>
    <dxf>
      <font>
        <b/>
        <i val="0"/>
        <color rgb="FFFFC000"/>
      </font>
      <fill>
        <patternFill>
          <bgColor theme="5"/>
        </patternFill>
      </fill>
    </dxf>
    <dxf>
      <font>
        <b/>
        <i val="0"/>
        <color theme="0"/>
      </font>
      <fill>
        <patternFill>
          <bgColor theme="8"/>
        </patternFill>
      </fill>
    </dxf>
    <dxf>
      <font>
        <b/>
        <i val="0"/>
        <color theme="0"/>
      </font>
      <fill>
        <patternFill>
          <bgColor theme="8"/>
        </patternFill>
      </fill>
    </dxf>
    <dxf>
      <font>
        <b/>
        <i val="0"/>
        <color rgb="FF9C0006"/>
      </font>
      <fill>
        <patternFill>
          <bgColor theme="5"/>
        </patternFill>
      </fill>
    </dxf>
    <dxf>
      <font>
        <b/>
        <i val="0"/>
        <color theme="0"/>
        <name val="Cambria"/>
        <scheme val="none"/>
      </font>
      <fill>
        <patternFill>
          <bgColor theme="5"/>
        </patternFill>
      </fill>
    </dxf>
    <dxf>
      <font>
        <b/>
        <i val="0"/>
        <color rgb="FFFFC000"/>
      </font>
      <fill>
        <patternFill>
          <bgColor theme="5"/>
        </patternFill>
      </fill>
    </dxf>
    <dxf>
      <font>
        <b/>
        <i val="0"/>
        <color theme="0"/>
      </font>
      <fill>
        <patternFill>
          <bgColor theme="8"/>
        </patternFill>
      </fill>
    </dxf>
    <dxf>
      <font>
        <b/>
        <i val="0"/>
        <color theme="0"/>
      </font>
      <fill>
        <patternFill>
          <bgColor theme="8"/>
        </patternFill>
      </fill>
    </dxf>
    <dxf>
      <font>
        <b/>
        <i val="0"/>
        <color rgb="FF9C0006"/>
      </font>
      <fill>
        <patternFill>
          <bgColor theme="5"/>
        </patternFill>
      </fill>
    </dxf>
    <dxf>
      <font>
        <b/>
        <i val="0"/>
        <color theme="0"/>
        <name val="Cambria"/>
        <scheme val="none"/>
      </font>
      <fill>
        <patternFill>
          <bgColor theme="5"/>
        </patternFill>
      </fill>
    </dxf>
    <dxf>
      <font>
        <b/>
        <i val="0"/>
        <color rgb="FFFFC000"/>
      </font>
      <fill>
        <patternFill>
          <bgColor theme="5"/>
        </patternFill>
      </fill>
    </dxf>
    <dxf>
      <font>
        <b/>
        <i val="0"/>
        <color theme="0"/>
      </font>
      <fill>
        <patternFill>
          <bgColor theme="8"/>
        </patternFill>
      </fill>
    </dxf>
    <dxf>
      <font>
        <b/>
        <i val="0"/>
        <color theme="0"/>
      </font>
      <fill>
        <patternFill>
          <bgColor theme="8"/>
        </patternFill>
      </fill>
    </dxf>
    <dxf>
      <font>
        <b/>
        <i val="0"/>
        <color rgb="FF9C0006"/>
      </font>
      <fill>
        <patternFill>
          <bgColor theme="5"/>
        </patternFill>
      </fill>
    </dxf>
    <dxf>
      <font>
        <b/>
        <i val="0"/>
        <color theme="0"/>
        <name val="Cambria"/>
        <scheme val="none"/>
      </font>
      <fill>
        <patternFill>
          <bgColor theme="5"/>
        </patternFill>
      </fill>
    </dxf>
    <dxf>
      <font>
        <b/>
        <i val="0"/>
        <color rgb="FFFFC000"/>
      </font>
      <fill>
        <patternFill>
          <bgColor theme="5"/>
        </patternFill>
      </fill>
    </dxf>
    <dxf>
      <font>
        <b/>
        <i val="0"/>
        <color theme="0"/>
      </font>
      <fill>
        <patternFill>
          <bgColor theme="8"/>
        </patternFill>
      </fill>
    </dxf>
    <dxf>
      <font>
        <b/>
        <i val="0"/>
        <color theme="0"/>
      </font>
      <fill>
        <patternFill>
          <bgColor theme="8"/>
        </patternFill>
      </fill>
    </dxf>
    <dxf>
      <font>
        <b/>
        <i val="0"/>
        <color rgb="FF9C0006"/>
      </font>
      <fill>
        <patternFill>
          <bgColor theme="5"/>
        </patternFill>
      </fill>
    </dxf>
    <dxf>
      <font>
        <b/>
        <i val="0"/>
        <color theme="0"/>
        <name val="Cambria"/>
        <scheme val="none"/>
      </font>
      <fill>
        <patternFill>
          <bgColor theme="5"/>
        </patternFill>
      </fill>
    </dxf>
    <dxf>
      <font>
        <b/>
        <i val="0"/>
        <color rgb="FFFFC000"/>
      </font>
      <fill>
        <patternFill>
          <bgColor theme="5"/>
        </patternFill>
      </fill>
    </dxf>
    <dxf>
      <font>
        <b/>
        <i val="0"/>
        <color theme="0"/>
      </font>
      <fill>
        <patternFill>
          <bgColor theme="8"/>
        </patternFill>
      </fill>
    </dxf>
    <dxf>
      <font>
        <b/>
        <i val="0"/>
        <color theme="0"/>
      </font>
      <fill>
        <patternFill>
          <bgColor theme="8"/>
        </patternFill>
      </fill>
    </dxf>
    <dxf>
      <font>
        <b/>
        <i val="0"/>
        <color rgb="FF9C0006"/>
      </font>
      <fill>
        <patternFill>
          <bgColor theme="5"/>
        </patternFill>
      </fill>
    </dxf>
    <dxf>
      <font>
        <b/>
        <i val="0"/>
        <color theme="0"/>
        <name val="Cambria"/>
        <scheme val="none"/>
      </font>
      <fill>
        <patternFill>
          <bgColor theme="5"/>
        </patternFill>
      </fill>
    </dxf>
    <dxf>
      <font>
        <b/>
        <i val="0"/>
        <color rgb="FFFFC000"/>
      </font>
      <fill>
        <patternFill>
          <bgColor theme="5"/>
        </patternFill>
      </fill>
    </dxf>
    <dxf>
      <font>
        <b/>
        <i val="0"/>
        <color theme="0"/>
      </font>
      <fill>
        <patternFill>
          <bgColor theme="8"/>
        </patternFill>
      </fill>
    </dxf>
    <dxf>
      <font>
        <b/>
        <i val="0"/>
        <color theme="0"/>
      </font>
      <fill>
        <patternFill>
          <bgColor theme="8"/>
        </patternFill>
      </fill>
    </dxf>
    <dxf>
      <font>
        <b/>
        <i val="0"/>
        <color rgb="FF9C0006"/>
      </font>
      <fill>
        <patternFill>
          <bgColor theme="5"/>
        </patternFill>
      </fill>
    </dxf>
    <dxf>
      <font>
        <b/>
        <i val="0"/>
        <color theme="0"/>
        <name val="Cambria"/>
        <scheme val="none"/>
      </font>
      <fill>
        <patternFill>
          <bgColor theme="5"/>
        </patternFill>
      </fill>
    </dxf>
    <dxf>
      <font>
        <b/>
        <i val="0"/>
        <color rgb="FFFFC000"/>
      </font>
      <fill>
        <patternFill>
          <bgColor theme="5"/>
        </patternFill>
      </fill>
    </dxf>
    <dxf>
      <font>
        <b/>
        <i val="0"/>
        <color theme="0"/>
      </font>
      <fill>
        <patternFill>
          <bgColor theme="8"/>
        </patternFill>
      </fill>
    </dxf>
    <dxf>
      <font>
        <b/>
        <i val="0"/>
        <color theme="0"/>
      </font>
      <fill>
        <patternFill>
          <bgColor theme="8"/>
        </patternFill>
      </fill>
    </dxf>
    <dxf>
      <font>
        <b/>
        <i val="0"/>
        <color rgb="FF9C0006"/>
      </font>
      <fill>
        <patternFill>
          <bgColor theme="5"/>
        </patternFill>
      </fill>
    </dxf>
    <dxf>
      <font>
        <b/>
        <i val="0"/>
        <color theme="0"/>
        <name val="Cambria"/>
        <scheme val="none"/>
      </font>
      <fill>
        <patternFill>
          <bgColor theme="5"/>
        </patternFill>
      </fill>
    </dxf>
    <dxf>
      <font>
        <b/>
        <i val="0"/>
        <color rgb="FFFFC000"/>
      </font>
      <fill>
        <patternFill>
          <bgColor theme="5"/>
        </patternFill>
      </fill>
    </dxf>
    <dxf>
      <font>
        <b/>
        <i val="0"/>
        <color theme="0"/>
      </font>
      <fill>
        <patternFill>
          <bgColor theme="8"/>
        </patternFill>
      </fill>
    </dxf>
    <dxf>
      <font>
        <b/>
        <i val="0"/>
        <color theme="0"/>
      </font>
      <fill>
        <patternFill>
          <bgColor theme="8"/>
        </patternFill>
      </fill>
    </dxf>
    <dxf>
      <font>
        <b/>
        <i val="0"/>
        <color rgb="FF9C0006"/>
      </font>
      <fill>
        <patternFill>
          <bgColor theme="5"/>
        </patternFill>
      </fill>
    </dxf>
    <dxf>
      <font>
        <b/>
        <i val="0"/>
        <color theme="0"/>
        <name val="Cambria"/>
        <scheme val="none"/>
      </font>
      <fill>
        <patternFill>
          <bgColor theme="5"/>
        </patternFill>
      </fill>
    </dxf>
    <dxf>
      <font>
        <b/>
        <i val="0"/>
        <color rgb="FFFFC000"/>
      </font>
      <fill>
        <patternFill>
          <bgColor theme="5"/>
        </patternFill>
      </fill>
    </dxf>
    <dxf>
      <font>
        <b/>
        <i val="0"/>
        <color theme="0"/>
      </font>
      <fill>
        <patternFill>
          <bgColor theme="8"/>
        </patternFill>
      </fill>
    </dxf>
    <dxf>
      <font>
        <b/>
        <i val="0"/>
        <color theme="0"/>
      </font>
      <fill>
        <patternFill>
          <bgColor theme="8"/>
        </patternFill>
      </fill>
    </dxf>
    <dxf>
      <font>
        <b/>
        <i val="0"/>
        <color rgb="FF9C0006"/>
      </font>
      <fill>
        <patternFill>
          <bgColor theme="5"/>
        </patternFill>
      </fill>
    </dxf>
    <dxf>
      <font>
        <b/>
        <i val="0"/>
        <color theme="0"/>
        <name val="Cambria"/>
        <scheme val="none"/>
      </font>
      <fill>
        <patternFill>
          <bgColor theme="5"/>
        </patternFill>
      </fill>
    </dxf>
    <dxf>
      <font>
        <b/>
        <i val="0"/>
        <color rgb="FFFFC000"/>
      </font>
      <fill>
        <patternFill>
          <bgColor theme="5"/>
        </patternFill>
      </fill>
    </dxf>
    <dxf>
      <font>
        <b/>
        <i val="0"/>
        <color theme="0"/>
      </font>
      <fill>
        <patternFill>
          <bgColor theme="8"/>
        </patternFill>
      </fill>
    </dxf>
    <dxf>
      <font>
        <b/>
        <i val="0"/>
        <color theme="0"/>
      </font>
      <fill>
        <patternFill>
          <bgColor theme="8"/>
        </patternFill>
      </fill>
    </dxf>
    <dxf>
      <font>
        <b/>
        <i val="0"/>
        <color rgb="FF9C0006"/>
      </font>
      <fill>
        <patternFill>
          <bgColor theme="5"/>
        </patternFill>
      </fill>
    </dxf>
    <dxf>
      <font>
        <b/>
        <i val="0"/>
        <color theme="0"/>
        <name val="Cambria"/>
        <scheme val="none"/>
      </font>
      <fill>
        <patternFill>
          <bgColor theme="5"/>
        </patternFill>
      </fill>
    </dxf>
    <dxf>
      <font>
        <b/>
        <i val="0"/>
        <color rgb="FFFFC000"/>
      </font>
      <fill>
        <patternFill>
          <bgColor theme="5"/>
        </patternFill>
      </fill>
    </dxf>
    <dxf>
      <font>
        <b/>
        <i val="0"/>
        <color theme="0"/>
      </font>
      <fill>
        <patternFill>
          <bgColor theme="8"/>
        </patternFill>
      </fill>
    </dxf>
    <dxf>
      <font>
        <b/>
        <i val="0"/>
        <color theme="0"/>
      </font>
      <fill>
        <patternFill>
          <bgColor theme="8"/>
        </patternFill>
      </fill>
    </dxf>
    <dxf>
      <font>
        <b/>
        <i val="0"/>
        <color rgb="FF9C0006"/>
      </font>
      <fill>
        <patternFill>
          <bgColor theme="5"/>
        </patternFill>
      </fill>
    </dxf>
    <dxf>
      <font>
        <b/>
        <i val="0"/>
        <color theme="0"/>
        <name val="Cambria"/>
        <scheme val="none"/>
      </font>
      <fill>
        <patternFill>
          <bgColor theme="5"/>
        </patternFill>
      </fill>
    </dxf>
    <dxf>
      <font>
        <b/>
        <i val="0"/>
        <color rgb="FFFFC000"/>
      </font>
      <fill>
        <patternFill>
          <bgColor theme="5"/>
        </patternFill>
      </fill>
    </dxf>
    <dxf>
      <font>
        <b/>
        <i val="0"/>
        <color theme="0"/>
      </font>
      <fill>
        <patternFill>
          <bgColor theme="8"/>
        </patternFill>
      </fill>
    </dxf>
    <dxf>
      <font>
        <b/>
        <i val="0"/>
        <color theme="0"/>
      </font>
      <fill>
        <patternFill>
          <bgColor theme="8"/>
        </patternFill>
      </fill>
    </dxf>
    <dxf>
      <font>
        <b/>
        <i val="0"/>
        <color rgb="FF9C0006"/>
      </font>
      <fill>
        <patternFill>
          <bgColor theme="5"/>
        </patternFill>
      </fill>
    </dxf>
    <dxf>
      <font>
        <b/>
        <i val="0"/>
        <color theme="0"/>
        <name val="Cambria"/>
        <scheme val="none"/>
      </font>
      <fill>
        <patternFill>
          <bgColor theme="5"/>
        </patternFill>
      </fill>
    </dxf>
    <dxf>
      <font>
        <b/>
        <i val="0"/>
        <color rgb="FFFFC000"/>
      </font>
      <fill>
        <patternFill>
          <bgColor theme="5"/>
        </patternFill>
      </fill>
    </dxf>
    <dxf>
      <font>
        <b/>
        <i val="0"/>
        <color theme="0"/>
      </font>
      <fill>
        <patternFill>
          <bgColor theme="8"/>
        </patternFill>
      </fill>
    </dxf>
    <dxf>
      <font>
        <b/>
        <i val="0"/>
        <color theme="0"/>
      </font>
      <fill>
        <patternFill>
          <bgColor theme="8"/>
        </patternFill>
      </fill>
    </dxf>
    <dxf>
      <font>
        <b/>
        <i val="0"/>
        <color rgb="FF9C0006"/>
      </font>
      <fill>
        <patternFill>
          <bgColor theme="5"/>
        </patternFill>
      </fill>
    </dxf>
    <dxf>
      <font>
        <b/>
        <i val="0"/>
        <color theme="0"/>
        <name val="Cambria"/>
        <scheme val="none"/>
      </font>
      <fill>
        <patternFill>
          <bgColor theme="5"/>
        </patternFill>
      </fill>
    </dxf>
    <dxf>
      <font>
        <b/>
        <i val="0"/>
        <color rgb="FFFFC000"/>
      </font>
      <fill>
        <patternFill>
          <bgColor theme="5"/>
        </patternFill>
      </fill>
    </dxf>
    <dxf>
      <font>
        <b/>
        <i val="0"/>
        <color theme="0"/>
      </font>
      <fill>
        <patternFill>
          <bgColor theme="8"/>
        </patternFill>
      </fill>
    </dxf>
    <dxf>
      <font>
        <b/>
        <i val="0"/>
        <color theme="0"/>
      </font>
      <fill>
        <patternFill>
          <bgColor theme="8"/>
        </patternFill>
      </fill>
    </dxf>
    <dxf>
      <font>
        <b/>
        <i val="0"/>
        <color rgb="FF9C0006"/>
      </font>
      <fill>
        <patternFill>
          <bgColor theme="5"/>
        </patternFill>
      </fill>
    </dxf>
    <dxf>
      <font>
        <b/>
        <i val="0"/>
        <color theme="0"/>
        <name val="Cambria"/>
        <scheme val="none"/>
      </font>
      <fill>
        <patternFill>
          <bgColor theme="5"/>
        </patternFill>
      </fill>
    </dxf>
    <dxf>
      <font>
        <b/>
        <i val="0"/>
        <color rgb="FFFFC000"/>
      </font>
      <fill>
        <patternFill>
          <bgColor theme="5"/>
        </patternFill>
      </fill>
    </dxf>
    <dxf>
      <font>
        <b/>
        <i val="0"/>
        <color theme="0"/>
      </font>
      <fill>
        <patternFill>
          <bgColor theme="8"/>
        </patternFill>
      </fill>
    </dxf>
    <dxf>
      <font>
        <b/>
        <i val="0"/>
        <color theme="0"/>
      </font>
      <fill>
        <patternFill>
          <bgColor theme="8"/>
        </patternFill>
      </fill>
    </dxf>
    <dxf>
      <font>
        <b/>
        <i val="0"/>
        <color rgb="FF9C0006"/>
      </font>
      <fill>
        <patternFill>
          <bgColor theme="5"/>
        </patternFill>
      </fill>
    </dxf>
    <dxf>
      <font>
        <b/>
        <i val="0"/>
        <color theme="0"/>
        <name val="Cambria"/>
        <scheme val="none"/>
      </font>
      <fill>
        <patternFill>
          <bgColor theme="5"/>
        </patternFill>
      </fill>
    </dxf>
    <dxf>
      <font>
        <b/>
        <i val="0"/>
        <color rgb="FFFFC000"/>
      </font>
      <fill>
        <patternFill>
          <bgColor theme="5"/>
        </patternFill>
      </fill>
    </dxf>
    <dxf>
      <font>
        <b/>
        <i val="0"/>
        <color theme="0"/>
      </font>
      <fill>
        <patternFill>
          <bgColor theme="8"/>
        </patternFill>
      </fill>
    </dxf>
    <dxf>
      <font>
        <b/>
        <i val="0"/>
        <color theme="0"/>
      </font>
      <fill>
        <patternFill>
          <bgColor theme="8"/>
        </patternFill>
      </fill>
    </dxf>
    <dxf>
      <font>
        <b/>
        <i val="0"/>
        <color rgb="FF9C0006"/>
      </font>
      <fill>
        <patternFill>
          <bgColor theme="5"/>
        </patternFill>
      </fill>
    </dxf>
    <dxf>
      <font>
        <b/>
        <i val="0"/>
        <color theme="0"/>
        <name val="Cambria"/>
        <scheme val="none"/>
      </font>
      <fill>
        <patternFill>
          <bgColor theme="5"/>
        </patternFill>
      </fill>
    </dxf>
    <dxf>
      <font>
        <b/>
        <i val="0"/>
        <color rgb="FFFFC000"/>
      </font>
      <fill>
        <patternFill>
          <bgColor theme="5"/>
        </patternFill>
      </fill>
    </dxf>
    <dxf>
      <font>
        <b/>
        <i val="0"/>
        <color theme="0"/>
      </font>
      <fill>
        <patternFill>
          <bgColor theme="8"/>
        </patternFill>
      </fill>
    </dxf>
    <dxf>
      <font>
        <b/>
        <i val="0"/>
        <color theme="0"/>
      </font>
      <fill>
        <patternFill>
          <bgColor theme="8"/>
        </patternFill>
      </fill>
    </dxf>
    <dxf>
      <font>
        <b/>
        <i val="0"/>
        <color rgb="FF9C0006"/>
      </font>
      <fill>
        <patternFill>
          <bgColor theme="5"/>
        </patternFill>
      </fill>
    </dxf>
    <dxf>
      <font>
        <b/>
        <i val="0"/>
        <color theme="0"/>
        <name val="Cambria"/>
        <scheme val="none"/>
      </font>
      <fill>
        <patternFill>
          <bgColor theme="5"/>
        </patternFill>
      </fill>
    </dxf>
    <dxf>
      <font>
        <b/>
        <i val="0"/>
        <color rgb="FFFFC000"/>
      </font>
      <fill>
        <patternFill>
          <bgColor theme="5"/>
        </patternFill>
      </fill>
    </dxf>
    <dxf>
      <font>
        <b/>
        <i val="0"/>
        <color theme="0"/>
      </font>
      <fill>
        <patternFill>
          <bgColor theme="8"/>
        </patternFill>
      </fill>
    </dxf>
    <dxf>
      <font>
        <b/>
        <i val="0"/>
        <color theme="0"/>
      </font>
      <fill>
        <patternFill>
          <bgColor theme="8"/>
        </patternFill>
      </fill>
    </dxf>
    <dxf>
      <font>
        <b/>
        <i val="0"/>
        <color rgb="FF9C0006"/>
      </font>
      <fill>
        <patternFill>
          <bgColor theme="5"/>
        </patternFill>
      </fill>
    </dxf>
    <dxf>
      <font>
        <b/>
        <i val="0"/>
        <color theme="0"/>
        <name val="Cambria"/>
        <scheme val="none"/>
      </font>
      <fill>
        <patternFill>
          <bgColor theme="5"/>
        </patternFill>
      </fill>
    </dxf>
    <dxf>
      <font>
        <b/>
        <i val="0"/>
        <color rgb="FFFFC000"/>
      </font>
      <fill>
        <patternFill>
          <bgColor theme="5"/>
        </patternFill>
      </fill>
    </dxf>
    <dxf>
      <font>
        <b/>
        <i val="0"/>
        <color theme="0"/>
      </font>
      <fill>
        <patternFill>
          <bgColor theme="8"/>
        </patternFill>
      </fill>
    </dxf>
    <dxf>
      <font>
        <b/>
        <i val="0"/>
        <color theme="0"/>
      </font>
      <fill>
        <patternFill>
          <bgColor theme="8"/>
        </patternFill>
      </fill>
    </dxf>
    <dxf>
      <font>
        <b/>
        <i val="0"/>
        <color rgb="FF9C0006"/>
      </font>
      <fill>
        <patternFill>
          <bgColor theme="5"/>
        </patternFill>
      </fill>
    </dxf>
    <dxf>
      <font>
        <b/>
        <i val="0"/>
        <color theme="0"/>
        <name val="Cambria"/>
        <scheme val="none"/>
      </font>
      <fill>
        <patternFill>
          <bgColor theme="5"/>
        </patternFill>
      </fill>
    </dxf>
    <dxf>
      <font>
        <b/>
        <i val="0"/>
        <color rgb="FFFFC000"/>
      </font>
      <fill>
        <patternFill>
          <bgColor theme="5"/>
        </patternFill>
      </fill>
    </dxf>
    <dxf>
      <font>
        <b/>
        <i val="0"/>
        <color theme="0"/>
      </font>
      <fill>
        <patternFill>
          <bgColor theme="8"/>
        </patternFill>
      </fill>
    </dxf>
    <dxf>
      <font>
        <b/>
        <i val="0"/>
        <color theme="0"/>
      </font>
      <fill>
        <patternFill>
          <bgColor theme="8"/>
        </patternFill>
      </fill>
    </dxf>
    <dxf>
      <font>
        <b/>
        <i val="0"/>
        <color rgb="FF9C0006"/>
      </font>
      <fill>
        <patternFill>
          <bgColor theme="5"/>
        </patternFill>
      </fill>
    </dxf>
    <dxf>
      <font>
        <b/>
        <i val="0"/>
        <color theme="0"/>
        <name val="Cambria"/>
        <scheme val="none"/>
      </font>
      <fill>
        <patternFill>
          <bgColor theme="5"/>
        </patternFill>
      </fill>
    </dxf>
    <dxf>
      <font>
        <b/>
        <i val="0"/>
        <color rgb="FFFFC000"/>
      </font>
      <fill>
        <patternFill>
          <bgColor theme="5"/>
        </patternFill>
      </fill>
    </dxf>
    <dxf>
      <font>
        <b/>
        <i val="0"/>
        <color theme="0"/>
      </font>
      <fill>
        <patternFill>
          <bgColor theme="8"/>
        </patternFill>
      </fill>
    </dxf>
    <dxf>
      <font>
        <b/>
        <i val="0"/>
        <color theme="0"/>
      </font>
      <fill>
        <patternFill>
          <bgColor theme="8"/>
        </patternFill>
      </fill>
    </dxf>
    <dxf>
      <font>
        <b/>
        <i val="0"/>
        <color rgb="FF9C0006"/>
      </font>
      <fill>
        <patternFill>
          <bgColor theme="5"/>
        </patternFill>
      </fill>
    </dxf>
    <dxf>
      <font>
        <b/>
        <i val="0"/>
        <color theme="0"/>
        <name val="Cambria"/>
        <scheme val="none"/>
      </font>
      <fill>
        <patternFill>
          <bgColor theme="5"/>
        </patternFill>
      </fill>
    </dxf>
    <dxf>
      <font>
        <b/>
        <i val="0"/>
        <color rgb="FFFFC000"/>
      </font>
      <fill>
        <patternFill>
          <bgColor theme="5"/>
        </patternFill>
      </fill>
    </dxf>
    <dxf>
      <font>
        <b/>
        <i val="0"/>
        <color theme="0"/>
      </font>
      <fill>
        <patternFill>
          <bgColor theme="8"/>
        </patternFill>
      </fill>
    </dxf>
    <dxf>
      <font>
        <b/>
        <i val="0"/>
        <color theme="0"/>
      </font>
      <fill>
        <patternFill>
          <bgColor theme="8"/>
        </patternFill>
      </fill>
    </dxf>
    <dxf>
      <font>
        <b/>
        <i val="0"/>
        <color rgb="FF9C0006"/>
      </font>
      <fill>
        <patternFill>
          <bgColor theme="5"/>
        </patternFill>
      </fill>
    </dxf>
    <dxf>
      <font>
        <b/>
        <i val="0"/>
        <color theme="0"/>
        <name val="Cambria"/>
        <scheme val="none"/>
      </font>
      <fill>
        <patternFill>
          <bgColor theme="5"/>
        </patternFill>
      </fill>
    </dxf>
    <dxf>
      <font>
        <b/>
        <i val="0"/>
        <color rgb="FFFFC000"/>
      </font>
      <fill>
        <patternFill>
          <bgColor theme="5"/>
        </patternFill>
      </fill>
    </dxf>
    <dxf>
      <font>
        <b/>
        <i val="0"/>
        <color theme="0"/>
      </font>
      <fill>
        <patternFill>
          <bgColor theme="8"/>
        </patternFill>
      </fill>
    </dxf>
    <dxf>
      <font>
        <b/>
        <i val="0"/>
        <color theme="0"/>
      </font>
      <fill>
        <patternFill>
          <bgColor theme="8"/>
        </patternFill>
      </fill>
    </dxf>
    <dxf>
      <font>
        <b/>
        <i val="0"/>
        <color rgb="FF9C0006"/>
      </font>
      <fill>
        <patternFill>
          <bgColor theme="5"/>
        </patternFill>
      </fill>
    </dxf>
    <dxf>
      <font>
        <b/>
        <i val="0"/>
        <color theme="0"/>
        <name val="Cambria"/>
        <scheme val="none"/>
      </font>
      <fill>
        <patternFill>
          <bgColor theme="5"/>
        </patternFill>
      </fill>
    </dxf>
    <dxf>
      <font>
        <b/>
        <i val="0"/>
        <color rgb="FFFFC000"/>
      </font>
      <fill>
        <patternFill>
          <bgColor theme="5"/>
        </patternFill>
      </fill>
    </dxf>
    <dxf>
      <font>
        <b/>
        <i val="0"/>
        <color theme="0"/>
      </font>
      <fill>
        <patternFill>
          <bgColor theme="8"/>
        </patternFill>
      </fill>
    </dxf>
    <dxf>
      <font>
        <b/>
        <i val="0"/>
        <color theme="0"/>
      </font>
      <fill>
        <patternFill>
          <bgColor theme="8"/>
        </patternFill>
      </fill>
    </dxf>
    <dxf>
      <font>
        <b/>
        <i val="0"/>
        <color rgb="FF9C0006"/>
      </font>
      <fill>
        <patternFill>
          <bgColor theme="5"/>
        </patternFill>
      </fill>
    </dxf>
    <dxf>
      <font>
        <b/>
        <i val="0"/>
        <color theme="0"/>
        <name val="Cambria"/>
        <scheme val="none"/>
      </font>
      <fill>
        <patternFill>
          <bgColor theme="5"/>
        </patternFill>
      </fill>
    </dxf>
    <dxf>
      <font>
        <b/>
        <i val="0"/>
        <color rgb="FFFFC000"/>
      </font>
      <fill>
        <patternFill>
          <bgColor theme="5"/>
        </patternFill>
      </fill>
    </dxf>
    <dxf>
      <font>
        <b/>
        <i val="0"/>
        <color theme="0"/>
      </font>
      <fill>
        <patternFill>
          <bgColor theme="8"/>
        </patternFill>
      </fill>
    </dxf>
    <dxf>
      <font>
        <b/>
        <i val="0"/>
        <color theme="0"/>
      </font>
      <fill>
        <patternFill>
          <bgColor theme="8"/>
        </patternFill>
      </fill>
    </dxf>
    <dxf>
      <font>
        <b/>
        <i val="0"/>
        <color rgb="FF9C0006"/>
      </font>
      <fill>
        <patternFill>
          <bgColor theme="5"/>
        </patternFill>
      </fill>
    </dxf>
    <dxf>
      <font>
        <b/>
        <i val="0"/>
        <color theme="0"/>
        <name val="Cambria"/>
        <scheme val="none"/>
      </font>
      <fill>
        <patternFill>
          <bgColor theme="5"/>
        </patternFill>
      </fill>
    </dxf>
    <dxf>
      <font>
        <b/>
        <i val="0"/>
        <color rgb="FFFFC000"/>
      </font>
      <fill>
        <patternFill>
          <bgColor theme="5"/>
        </patternFill>
      </fill>
    </dxf>
    <dxf>
      <font>
        <b/>
        <i val="0"/>
        <color theme="0"/>
      </font>
      <fill>
        <patternFill>
          <bgColor theme="8"/>
        </patternFill>
      </fill>
    </dxf>
    <dxf>
      <font>
        <b/>
        <i val="0"/>
        <color theme="0"/>
      </font>
      <fill>
        <patternFill>
          <bgColor theme="8"/>
        </patternFill>
      </fill>
    </dxf>
    <dxf>
      <font>
        <b/>
        <i val="0"/>
        <color rgb="FF9C0006"/>
      </font>
      <fill>
        <patternFill>
          <bgColor theme="5"/>
        </patternFill>
      </fill>
    </dxf>
    <dxf>
      <font>
        <b/>
        <i val="0"/>
        <color theme="0"/>
        <name val="Cambria"/>
        <scheme val="none"/>
      </font>
      <fill>
        <patternFill>
          <bgColor theme="5"/>
        </patternFill>
      </fill>
    </dxf>
    <dxf>
      <font>
        <b/>
        <i val="0"/>
        <color rgb="FFFFC000"/>
      </font>
      <fill>
        <patternFill>
          <bgColor theme="5"/>
        </patternFill>
      </fill>
    </dxf>
    <dxf>
      <font>
        <b/>
        <i val="0"/>
        <color theme="0"/>
      </font>
      <fill>
        <patternFill>
          <bgColor theme="8"/>
        </patternFill>
      </fill>
    </dxf>
    <dxf>
      <font>
        <b/>
        <i val="0"/>
        <color theme="0"/>
      </font>
      <fill>
        <patternFill>
          <bgColor theme="8"/>
        </patternFill>
      </fill>
    </dxf>
    <dxf>
      <font>
        <b/>
        <i val="0"/>
        <color rgb="FF9C0006"/>
      </font>
      <fill>
        <patternFill>
          <bgColor theme="5"/>
        </patternFill>
      </fill>
    </dxf>
    <dxf>
      <font>
        <b/>
        <i val="0"/>
        <color theme="0"/>
        <name val="Cambria"/>
        <scheme val="none"/>
      </font>
      <fill>
        <patternFill>
          <bgColor theme="5"/>
        </patternFill>
      </fill>
    </dxf>
    <dxf>
      <font>
        <b/>
        <i val="0"/>
        <color rgb="FFFFC000"/>
      </font>
      <fill>
        <patternFill>
          <bgColor theme="5"/>
        </patternFill>
      </fill>
    </dxf>
    <dxf>
      <font>
        <b/>
        <i val="0"/>
        <color theme="0"/>
      </font>
      <fill>
        <patternFill>
          <bgColor theme="8"/>
        </patternFill>
      </fill>
    </dxf>
    <dxf>
      <font>
        <b/>
        <i val="0"/>
        <color theme="0"/>
      </font>
      <fill>
        <patternFill>
          <bgColor theme="8"/>
        </patternFill>
      </fill>
    </dxf>
    <dxf>
      <font>
        <b/>
        <i val="0"/>
        <color rgb="FF9C0006"/>
      </font>
      <fill>
        <patternFill>
          <bgColor theme="5"/>
        </patternFill>
      </fill>
    </dxf>
    <dxf>
      <font>
        <b/>
        <i val="0"/>
        <color theme="0"/>
        <name val="Cambria"/>
        <scheme val="none"/>
      </font>
      <fill>
        <patternFill>
          <bgColor theme="5"/>
        </patternFill>
      </fill>
    </dxf>
    <dxf>
      <font>
        <b/>
        <i val="0"/>
        <color rgb="FFFFC000"/>
      </font>
      <fill>
        <patternFill>
          <bgColor theme="5"/>
        </patternFill>
      </fill>
    </dxf>
    <dxf>
      <font>
        <b/>
        <i val="0"/>
        <color theme="0"/>
      </font>
      <fill>
        <patternFill>
          <bgColor theme="8"/>
        </patternFill>
      </fill>
    </dxf>
    <dxf>
      <font>
        <b/>
        <i val="0"/>
        <color theme="0"/>
      </font>
      <fill>
        <patternFill>
          <bgColor theme="8"/>
        </patternFill>
      </fill>
    </dxf>
    <dxf>
      <font>
        <b/>
        <i val="0"/>
        <color rgb="FF9C0006"/>
      </font>
      <fill>
        <patternFill>
          <bgColor theme="5"/>
        </patternFill>
      </fill>
    </dxf>
    <dxf>
      <font>
        <b/>
        <i val="0"/>
        <color theme="0"/>
        <name val="Cambria"/>
        <scheme val="none"/>
      </font>
      <fill>
        <patternFill>
          <bgColor theme="5"/>
        </patternFill>
      </fill>
    </dxf>
    <dxf>
      <font>
        <b/>
        <i val="0"/>
        <color rgb="FFFFC000"/>
      </font>
      <fill>
        <patternFill>
          <bgColor theme="5"/>
        </patternFill>
      </fill>
    </dxf>
    <dxf>
      <font>
        <b/>
        <i val="0"/>
        <color theme="0"/>
      </font>
      <fill>
        <patternFill>
          <bgColor theme="8"/>
        </patternFill>
      </fill>
    </dxf>
    <dxf>
      <font>
        <b/>
        <i val="0"/>
        <color theme="0"/>
      </font>
      <fill>
        <patternFill>
          <bgColor theme="8"/>
        </patternFill>
      </fill>
    </dxf>
    <dxf>
      <font>
        <b/>
        <i val="0"/>
        <color rgb="FF9C0006"/>
      </font>
      <fill>
        <patternFill>
          <bgColor theme="5"/>
        </patternFill>
      </fill>
    </dxf>
    <dxf>
      <font>
        <b/>
        <i val="0"/>
        <color theme="0"/>
        <name val="Cambria"/>
        <scheme val="none"/>
      </font>
      <fill>
        <patternFill>
          <bgColor theme="5"/>
        </patternFill>
      </fill>
    </dxf>
    <dxf>
      <font>
        <b/>
        <i val="0"/>
        <color rgb="FFFFC000"/>
      </font>
      <fill>
        <patternFill>
          <bgColor theme="5"/>
        </patternFill>
      </fill>
    </dxf>
    <dxf>
      <font>
        <b/>
        <i val="0"/>
        <color theme="0"/>
      </font>
      <fill>
        <patternFill>
          <bgColor theme="8"/>
        </patternFill>
      </fill>
    </dxf>
    <dxf>
      <font>
        <b/>
        <i val="0"/>
        <color theme="0"/>
      </font>
      <fill>
        <patternFill>
          <bgColor theme="8"/>
        </patternFill>
      </fill>
    </dxf>
    <dxf>
      <font>
        <b/>
        <i val="0"/>
        <color rgb="FF9C0006"/>
      </font>
      <fill>
        <patternFill>
          <bgColor theme="5"/>
        </patternFill>
      </fill>
    </dxf>
    <dxf>
      <font>
        <b/>
        <i val="0"/>
        <color theme="0"/>
        <name val="Cambria"/>
        <scheme val="none"/>
      </font>
      <fill>
        <patternFill>
          <bgColor theme="5"/>
        </patternFill>
      </fill>
    </dxf>
    <dxf>
      <font>
        <b/>
        <i val="0"/>
        <color rgb="FFFFC000"/>
      </font>
      <fill>
        <patternFill>
          <bgColor theme="5"/>
        </patternFill>
      </fill>
    </dxf>
    <dxf>
      <font>
        <b/>
        <i val="0"/>
        <color theme="0"/>
      </font>
      <fill>
        <patternFill>
          <bgColor theme="8"/>
        </patternFill>
      </fill>
    </dxf>
    <dxf>
      <font>
        <b/>
        <i val="0"/>
        <color theme="0"/>
      </font>
      <fill>
        <patternFill>
          <bgColor theme="8"/>
        </patternFill>
      </fill>
    </dxf>
    <dxf>
      <font>
        <b/>
        <i val="0"/>
        <color rgb="FF9C0006"/>
      </font>
      <fill>
        <patternFill>
          <bgColor theme="5"/>
        </patternFill>
      </fill>
    </dxf>
    <dxf>
      <font>
        <b/>
        <i val="0"/>
        <color theme="0"/>
        <name val="Cambria"/>
        <scheme val="none"/>
      </font>
      <fill>
        <patternFill>
          <bgColor theme="5"/>
        </patternFill>
      </fill>
    </dxf>
    <dxf>
      <font>
        <b/>
        <i val="0"/>
        <color rgb="FFFFC000"/>
      </font>
      <fill>
        <patternFill>
          <bgColor theme="5"/>
        </patternFill>
      </fill>
    </dxf>
    <dxf>
      <font>
        <b/>
        <i val="0"/>
        <color theme="0"/>
      </font>
      <fill>
        <patternFill>
          <bgColor theme="8"/>
        </patternFill>
      </fill>
    </dxf>
    <dxf>
      <font>
        <b/>
        <i val="0"/>
        <color theme="0"/>
      </font>
      <fill>
        <patternFill>
          <bgColor theme="8"/>
        </patternFill>
      </fill>
    </dxf>
    <dxf>
      <font>
        <b/>
        <i val="0"/>
        <color rgb="FF9C0006"/>
      </font>
      <fill>
        <patternFill>
          <bgColor theme="5"/>
        </patternFill>
      </fill>
    </dxf>
    <dxf>
      <font>
        <b/>
        <i val="0"/>
        <color theme="0"/>
        <name val="Cambria"/>
        <scheme val="none"/>
      </font>
      <fill>
        <patternFill>
          <bgColor theme="5"/>
        </patternFill>
      </fill>
    </dxf>
    <dxf>
      <font>
        <b/>
        <i val="0"/>
        <color rgb="FFFFC000"/>
      </font>
      <fill>
        <patternFill>
          <bgColor theme="5"/>
        </patternFill>
      </fill>
    </dxf>
    <dxf>
      <font>
        <b/>
        <i val="0"/>
        <color theme="0"/>
      </font>
      <fill>
        <patternFill>
          <bgColor theme="8"/>
        </patternFill>
      </fill>
    </dxf>
    <dxf>
      <font>
        <b/>
        <i val="0"/>
        <color theme="0"/>
      </font>
      <fill>
        <patternFill>
          <bgColor theme="8"/>
        </patternFill>
      </fill>
    </dxf>
    <dxf>
      <font>
        <b/>
        <i val="0"/>
        <color rgb="FF9C0006"/>
      </font>
      <fill>
        <patternFill>
          <bgColor theme="5"/>
        </patternFill>
      </fill>
    </dxf>
    <dxf>
      <font>
        <b/>
        <i val="0"/>
        <color theme="0"/>
        <name val="Cambria"/>
        <scheme val="none"/>
      </font>
      <fill>
        <patternFill>
          <bgColor theme="5"/>
        </patternFill>
      </fill>
    </dxf>
    <dxf>
      <font>
        <b/>
        <i val="0"/>
        <color rgb="FFFFC000"/>
      </font>
      <fill>
        <patternFill>
          <bgColor theme="5"/>
        </patternFill>
      </fill>
    </dxf>
    <dxf>
      <font>
        <b/>
        <i val="0"/>
        <color theme="0"/>
      </font>
      <fill>
        <patternFill>
          <bgColor theme="8"/>
        </patternFill>
      </fill>
    </dxf>
    <dxf>
      <font>
        <b/>
        <i val="0"/>
        <color theme="0"/>
      </font>
      <fill>
        <patternFill>
          <bgColor theme="8"/>
        </patternFill>
      </fill>
    </dxf>
    <dxf>
      <font>
        <b/>
        <i val="0"/>
        <color rgb="FF9C0006"/>
      </font>
      <fill>
        <patternFill>
          <bgColor theme="5"/>
        </patternFill>
      </fill>
    </dxf>
    <dxf>
      <font>
        <b/>
        <i val="0"/>
        <color theme="0"/>
        <name val="Cambria"/>
        <scheme val="none"/>
      </font>
      <fill>
        <patternFill>
          <bgColor theme="5"/>
        </patternFill>
      </fill>
    </dxf>
    <dxf>
      <font>
        <b/>
        <i val="0"/>
        <color rgb="FFFFC000"/>
      </font>
      <fill>
        <patternFill>
          <bgColor theme="5"/>
        </patternFill>
      </fill>
    </dxf>
    <dxf>
      <font>
        <b/>
        <i val="0"/>
        <color theme="0"/>
      </font>
      <fill>
        <patternFill>
          <bgColor theme="8"/>
        </patternFill>
      </fill>
    </dxf>
    <dxf>
      <font>
        <b/>
        <i val="0"/>
        <color theme="0"/>
      </font>
      <fill>
        <patternFill>
          <bgColor theme="8"/>
        </patternFill>
      </fill>
    </dxf>
    <dxf>
      <font>
        <b/>
        <i val="0"/>
        <color rgb="FF9C0006"/>
      </font>
      <fill>
        <patternFill>
          <bgColor theme="5"/>
        </patternFill>
      </fill>
    </dxf>
    <dxf>
      <font>
        <b/>
        <i val="0"/>
        <color theme="0"/>
        <name val="Cambria"/>
        <scheme val="none"/>
      </font>
      <fill>
        <patternFill>
          <bgColor theme="5"/>
        </patternFill>
      </fill>
    </dxf>
    <dxf>
      <font>
        <b/>
        <i val="0"/>
        <color rgb="FFFFC000"/>
      </font>
      <fill>
        <patternFill>
          <bgColor theme="5"/>
        </patternFill>
      </fill>
    </dxf>
    <dxf>
      <font>
        <b/>
        <i val="0"/>
        <color theme="0"/>
      </font>
      <fill>
        <patternFill>
          <bgColor theme="8"/>
        </patternFill>
      </fill>
    </dxf>
    <dxf>
      <font>
        <b/>
        <i val="0"/>
        <color theme="0"/>
      </font>
      <fill>
        <patternFill>
          <bgColor theme="8"/>
        </patternFill>
      </fill>
    </dxf>
    <dxf>
      <font>
        <b/>
        <i val="0"/>
        <color rgb="FF9C0006"/>
      </font>
      <fill>
        <patternFill>
          <bgColor theme="5"/>
        </patternFill>
      </fill>
    </dxf>
    <dxf>
      <font>
        <b/>
        <i val="0"/>
        <color theme="0"/>
        <name val="Cambria"/>
        <scheme val="none"/>
      </font>
      <fill>
        <patternFill>
          <bgColor theme="5"/>
        </patternFill>
      </fill>
    </dxf>
    <dxf>
      <font>
        <b/>
        <i val="0"/>
        <color rgb="FFFFC000"/>
      </font>
      <fill>
        <patternFill>
          <bgColor theme="5"/>
        </patternFill>
      </fill>
    </dxf>
    <dxf>
      <font>
        <b/>
        <i val="0"/>
        <color theme="0"/>
      </font>
      <fill>
        <patternFill>
          <bgColor theme="8"/>
        </patternFill>
      </fill>
    </dxf>
    <dxf>
      <font>
        <b/>
        <i val="0"/>
        <color theme="0"/>
      </font>
      <fill>
        <patternFill>
          <bgColor theme="8"/>
        </patternFill>
      </fill>
    </dxf>
    <dxf>
      <font>
        <b/>
        <i val="0"/>
        <color rgb="FF9C0006"/>
      </font>
      <fill>
        <patternFill>
          <bgColor theme="5"/>
        </patternFill>
      </fill>
    </dxf>
    <dxf>
      <font>
        <b/>
        <i val="0"/>
        <color theme="0"/>
        <name val="Cambria"/>
        <scheme val="none"/>
      </font>
      <fill>
        <patternFill>
          <bgColor theme="5"/>
        </patternFill>
      </fill>
    </dxf>
    <dxf>
      <font>
        <b/>
        <i val="0"/>
        <color rgb="FFFFC000"/>
      </font>
      <fill>
        <patternFill>
          <bgColor theme="5"/>
        </patternFill>
      </fill>
    </dxf>
    <dxf>
      <font>
        <b/>
        <i val="0"/>
        <color theme="0"/>
      </font>
      <fill>
        <patternFill>
          <bgColor theme="8"/>
        </patternFill>
      </fill>
    </dxf>
    <dxf>
      <font>
        <b/>
        <i val="0"/>
        <color theme="0"/>
      </font>
      <fill>
        <patternFill>
          <bgColor theme="8"/>
        </patternFill>
      </fill>
    </dxf>
    <dxf>
      <font>
        <b/>
        <i val="0"/>
        <color rgb="FF9C0006"/>
      </font>
      <fill>
        <patternFill>
          <bgColor theme="5"/>
        </patternFill>
      </fill>
    </dxf>
    <dxf>
      <font>
        <b/>
        <i val="0"/>
        <color theme="0"/>
        <name val="Cambria"/>
        <scheme val="none"/>
      </font>
      <fill>
        <patternFill>
          <bgColor theme="5"/>
        </patternFill>
      </fill>
    </dxf>
    <dxf>
      <font>
        <b/>
        <i val="0"/>
        <color rgb="FFFFC000"/>
      </font>
      <fill>
        <patternFill>
          <bgColor theme="5"/>
        </patternFill>
      </fill>
    </dxf>
    <dxf>
      <font>
        <b/>
        <i val="0"/>
        <color theme="0"/>
      </font>
      <fill>
        <patternFill>
          <bgColor theme="8"/>
        </patternFill>
      </fill>
    </dxf>
    <dxf>
      <font>
        <b/>
        <i val="0"/>
        <color theme="0"/>
      </font>
      <fill>
        <patternFill>
          <bgColor theme="8"/>
        </patternFill>
      </fill>
    </dxf>
    <dxf>
      <font>
        <b/>
        <i val="0"/>
        <color rgb="FF9C0006"/>
      </font>
      <fill>
        <patternFill>
          <bgColor theme="5"/>
        </patternFill>
      </fill>
    </dxf>
    <dxf>
      <font>
        <b/>
        <i val="0"/>
        <color theme="0"/>
        <name val="Cambria"/>
        <scheme val="none"/>
      </font>
      <fill>
        <patternFill>
          <bgColor theme="5"/>
        </patternFill>
      </fill>
    </dxf>
    <dxf>
      <font>
        <b/>
        <i val="0"/>
        <color rgb="FFFFC000"/>
      </font>
      <fill>
        <patternFill>
          <bgColor theme="5"/>
        </patternFill>
      </fill>
    </dxf>
    <dxf>
      <font>
        <b/>
        <i val="0"/>
        <color theme="0"/>
      </font>
      <fill>
        <patternFill>
          <bgColor theme="8"/>
        </patternFill>
      </fill>
    </dxf>
    <dxf>
      <font>
        <b/>
        <i val="0"/>
        <color theme="0"/>
      </font>
      <fill>
        <patternFill>
          <bgColor theme="8"/>
        </patternFill>
      </fill>
    </dxf>
    <dxf>
      <font>
        <b/>
        <i val="0"/>
        <color rgb="FF9C0006"/>
      </font>
      <fill>
        <patternFill>
          <bgColor theme="5"/>
        </patternFill>
      </fill>
    </dxf>
    <dxf>
      <font>
        <b/>
        <i val="0"/>
        <color theme="0"/>
        <name val="Cambria"/>
        <scheme val="none"/>
      </font>
      <fill>
        <patternFill>
          <bgColor theme="5"/>
        </patternFill>
      </fill>
    </dxf>
    <dxf>
      <font>
        <b/>
        <i val="0"/>
        <color rgb="FFFFC000"/>
      </font>
      <fill>
        <patternFill>
          <bgColor theme="5"/>
        </patternFill>
      </fill>
    </dxf>
    <dxf>
      <font>
        <b/>
        <i val="0"/>
        <color theme="0"/>
      </font>
      <fill>
        <patternFill>
          <bgColor theme="8"/>
        </patternFill>
      </fill>
    </dxf>
    <dxf>
      <font>
        <b/>
        <i val="0"/>
        <color theme="0"/>
      </font>
      <fill>
        <patternFill>
          <bgColor theme="8"/>
        </patternFill>
      </fill>
    </dxf>
    <dxf>
      <font>
        <b/>
        <i val="0"/>
        <color rgb="FF9C0006"/>
      </font>
      <fill>
        <patternFill>
          <bgColor theme="5"/>
        </patternFill>
      </fill>
    </dxf>
    <dxf>
      <font>
        <b/>
        <i val="0"/>
        <color theme="0"/>
        <name val="Cambria"/>
        <scheme val="none"/>
      </font>
      <fill>
        <patternFill>
          <bgColor theme="5"/>
        </patternFill>
      </fill>
    </dxf>
    <dxf>
      <font>
        <b/>
        <i val="0"/>
        <color rgb="FFFFC000"/>
      </font>
      <fill>
        <patternFill>
          <bgColor theme="5"/>
        </patternFill>
      </fill>
    </dxf>
    <dxf>
      <font>
        <b/>
        <i val="0"/>
        <color theme="0"/>
      </font>
      <fill>
        <patternFill>
          <bgColor theme="8"/>
        </patternFill>
      </fill>
    </dxf>
    <dxf>
      <font>
        <b/>
        <i val="0"/>
        <color theme="0"/>
      </font>
      <fill>
        <patternFill>
          <bgColor theme="8"/>
        </patternFill>
      </fill>
    </dxf>
    <dxf>
      <font>
        <b/>
        <i val="0"/>
        <color rgb="FF9C0006"/>
      </font>
      <fill>
        <patternFill>
          <bgColor theme="5"/>
        </patternFill>
      </fill>
    </dxf>
    <dxf>
      <font>
        <b/>
        <i val="0"/>
        <color theme="0"/>
        <name val="Cambria"/>
        <scheme val="none"/>
      </font>
      <fill>
        <patternFill>
          <bgColor theme="5"/>
        </patternFill>
      </fill>
    </dxf>
    <dxf>
      <font>
        <b/>
        <i val="0"/>
        <color rgb="FFFFC000"/>
      </font>
      <fill>
        <patternFill>
          <bgColor theme="5"/>
        </patternFill>
      </fill>
    </dxf>
    <dxf>
      <font>
        <b/>
        <i val="0"/>
        <color theme="0"/>
      </font>
      <fill>
        <patternFill>
          <bgColor theme="8"/>
        </patternFill>
      </fill>
    </dxf>
    <dxf>
      <font>
        <b/>
        <i val="0"/>
        <color theme="0"/>
      </font>
      <fill>
        <patternFill>
          <bgColor theme="8"/>
        </patternFill>
      </fill>
    </dxf>
    <dxf>
      <font>
        <b/>
        <i val="0"/>
        <color rgb="FF9C0006"/>
      </font>
      <fill>
        <patternFill>
          <bgColor theme="5"/>
        </patternFill>
      </fill>
    </dxf>
    <dxf>
      <font>
        <b/>
        <i val="0"/>
        <color theme="0"/>
        <name val="Cambria"/>
        <scheme val="none"/>
      </font>
      <fill>
        <patternFill>
          <bgColor theme="5"/>
        </patternFill>
      </fill>
    </dxf>
    <dxf>
      <font>
        <b/>
        <i val="0"/>
        <color rgb="FFFFC000"/>
      </font>
      <fill>
        <patternFill>
          <bgColor theme="5"/>
        </patternFill>
      </fill>
    </dxf>
    <dxf>
      <font>
        <b/>
        <i val="0"/>
        <color theme="0"/>
      </font>
      <fill>
        <patternFill>
          <bgColor theme="8"/>
        </patternFill>
      </fill>
    </dxf>
    <dxf>
      <font>
        <b/>
        <i val="0"/>
        <color theme="0"/>
      </font>
      <fill>
        <patternFill>
          <bgColor theme="8"/>
        </patternFill>
      </fill>
    </dxf>
    <dxf>
      <font>
        <b/>
        <i val="0"/>
        <color rgb="FF9C0006"/>
      </font>
      <fill>
        <patternFill>
          <bgColor theme="5"/>
        </patternFill>
      </fill>
    </dxf>
    <dxf>
      <font>
        <b/>
        <i val="0"/>
        <color theme="0"/>
        <name val="Cambria"/>
        <scheme val="none"/>
      </font>
      <fill>
        <patternFill>
          <bgColor theme="5"/>
        </patternFill>
      </fill>
    </dxf>
    <dxf>
      <font>
        <b/>
        <i val="0"/>
        <color rgb="FFFFC000"/>
      </font>
      <fill>
        <patternFill>
          <bgColor theme="5"/>
        </patternFill>
      </fill>
    </dxf>
    <dxf>
      <font>
        <b/>
        <i val="0"/>
        <color theme="0"/>
      </font>
      <fill>
        <patternFill>
          <bgColor theme="8"/>
        </patternFill>
      </fill>
    </dxf>
    <dxf>
      <font>
        <b/>
        <i val="0"/>
        <color theme="0"/>
      </font>
      <fill>
        <patternFill>
          <bgColor theme="8"/>
        </patternFill>
      </fill>
    </dxf>
    <dxf>
      <font>
        <b/>
        <i val="0"/>
        <color rgb="FF9C0006"/>
      </font>
      <fill>
        <patternFill>
          <bgColor theme="5"/>
        </patternFill>
      </fill>
    </dxf>
    <dxf>
      <font>
        <b/>
        <i val="0"/>
        <color theme="0"/>
        <name val="Cambria"/>
        <scheme val="none"/>
      </font>
      <fill>
        <patternFill>
          <bgColor theme="5"/>
        </patternFill>
      </fill>
    </dxf>
    <dxf>
      <font>
        <b/>
        <i val="0"/>
        <color rgb="FFFFC000"/>
      </font>
      <fill>
        <patternFill>
          <bgColor theme="5"/>
        </patternFill>
      </fill>
    </dxf>
    <dxf>
      <font>
        <b/>
        <i val="0"/>
        <color theme="0"/>
      </font>
      <fill>
        <patternFill>
          <bgColor theme="8"/>
        </patternFill>
      </fill>
    </dxf>
    <dxf>
      <font>
        <b/>
        <i val="0"/>
        <color theme="0"/>
      </font>
      <fill>
        <patternFill>
          <bgColor theme="8"/>
        </patternFill>
      </fill>
    </dxf>
    <dxf>
      <font>
        <b/>
        <i val="0"/>
        <color rgb="FF9C0006"/>
      </font>
      <fill>
        <patternFill>
          <bgColor theme="5"/>
        </patternFill>
      </fill>
    </dxf>
    <dxf>
      <font>
        <b/>
        <i val="0"/>
        <color theme="0"/>
        <name val="Cambria"/>
        <scheme val="none"/>
      </font>
      <fill>
        <patternFill>
          <bgColor theme="5"/>
        </patternFill>
      </fill>
    </dxf>
    <dxf>
      <font>
        <b/>
        <i val="0"/>
        <color rgb="FFFFC000"/>
      </font>
      <fill>
        <patternFill>
          <bgColor theme="5"/>
        </patternFill>
      </fill>
    </dxf>
    <dxf>
      <font>
        <b/>
        <i val="0"/>
        <color theme="0"/>
      </font>
      <fill>
        <patternFill>
          <bgColor theme="8"/>
        </patternFill>
      </fill>
    </dxf>
    <dxf>
      <font>
        <b/>
        <i val="0"/>
        <color theme="0"/>
      </font>
      <fill>
        <patternFill>
          <bgColor theme="8"/>
        </patternFill>
      </fill>
    </dxf>
    <dxf>
      <font>
        <b/>
        <i val="0"/>
        <color rgb="FF9C0006"/>
      </font>
      <fill>
        <patternFill>
          <bgColor theme="5"/>
        </patternFill>
      </fill>
    </dxf>
    <dxf>
      <font>
        <b/>
        <i val="0"/>
        <color theme="0"/>
        <name val="Cambria"/>
        <scheme val="none"/>
      </font>
      <fill>
        <patternFill>
          <bgColor theme="5"/>
        </patternFill>
      </fill>
    </dxf>
    <dxf>
      <font>
        <b/>
        <i val="0"/>
        <color rgb="FFFFC000"/>
      </font>
      <fill>
        <patternFill>
          <bgColor theme="5"/>
        </patternFill>
      </fill>
    </dxf>
    <dxf>
      <font>
        <b/>
        <i val="0"/>
        <color theme="0"/>
      </font>
      <fill>
        <patternFill>
          <bgColor theme="8"/>
        </patternFill>
      </fill>
    </dxf>
    <dxf>
      <font>
        <b/>
        <i val="0"/>
        <color theme="0"/>
      </font>
      <fill>
        <patternFill>
          <bgColor theme="8"/>
        </patternFill>
      </fill>
    </dxf>
    <dxf>
      <font>
        <b/>
        <i val="0"/>
        <color rgb="FF9C0006"/>
      </font>
      <fill>
        <patternFill>
          <bgColor theme="5"/>
        </patternFill>
      </fill>
    </dxf>
    <dxf>
      <font>
        <b/>
        <i val="0"/>
        <color theme="0"/>
        <name val="Cambria"/>
        <scheme val="none"/>
      </font>
      <fill>
        <patternFill>
          <bgColor theme="5"/>
        </patternFill>
      </fill>
    </dxf>
    <dxf>
      <font>
        <b/>
        <i val="0"/>
        <color rgb="FFFFC000"/>
      </font>
      <fill>
        <patternFill>
          <bgColor theme="5"/>
        </patternFill>
      </fill>
    </dxf>
    <dxf>
      <font>
        <b/>
        <i val="0"/>
        <color theme="0"/>
      </font>
      <fill>
        <patternFill>
          <bgColor theme="8"/>
        </patternFill>
      </fill>
    </dxf>
    <dxf>
      <font>
        <b/>
        <i val="0"/>
        <color theme="0"/>
      </font>
      <fill>
        <patternFill>
          <bgColor theme="8"/>
        </patternFill>
      </fill>
    </dxf>
    <dxf>
      <font>
        <b/>
        <i val="0"/>
        <color rgb="FF9C0006"/>
      </font>
      <fill>
        <patternFill>
          <bgColor theme="5"/>
        </patternFill>
      </fill>
    </dxf>
    <dxf>
      <font>
        <b/>
        <i val="0"/>
        <color theme="0"/>
        <name val="Cambria"/>
        <scheme val="none"/>
      </font>
      <fill>
        <patternFill>
          <bgColor theme="5"/>
        </patternFill>
      </fill>
    </dxf>
    <dxf>
      <font>
        <b/>
        <i val="0"/>
        <color rgb="FFFFC000"/>
      </font>
      <fill>
        <patternFill>
          <bgColor theme="5"/>
        </patternFill>
      </fill>
    </dxf>
    <dxf>
      <font>
        <b/>
        <i val="0"/>
        <color theme="0"/>
      </font>
      <fill>
        <patternFill>
          <bgColor theme="8"/>
        </patternFill>
      </fill>
    </dxf>
    <dxf>
      <font>
        <b/>
        <i val="0"/>
        <color theme="0"/>
      </font>
      <fill>
        <patternFill>
          <bgColor theme="8"/>
        </patternFill>
      </fill>
    </dxf>
    <dxf>
      <font>
        <b/>
        <i val="0"/>
        <color rgb="FF9C0006"/>
      </font>
      <fill>
        <patternFill>
          <bgColor theme="5"/>
        </patternFill>
      </fill>
    </dxf>
    <dxf>
      <font>
        <b/>
        <i val="0"/>
        <color theme="0"/>
        <name val="Cambria"/>
        <scheme val="none"/>
      </font>
      <fill>
        <patternFill>
          <bgColor theme="5"/>
        </patternFill>
      </fill>
    </dxf>
    <dxf>
      <font>
        <b/>
        <i val="0"/>
        <color rgb="FFFFC000"/>
      </font>
      <fill>
        <patternFill>
          <bgColor theme="5"/>
        </patternFill>
      </fill>
    </dxf>
    <dxf>
      <font>
        <b/>
        <i val="0"/>
        <color theme="0"/>
      </font>
      <fill>
        <patternFill>
          <bgColor theme="8"/>
        </patternFill>
      </fill>
    </dxf>
    <dxf>
      <font>
        <b/>
        <i val="0"/>
        <color theme="0"/>
      </font>
      <fill>
        <patternFill>
          <bgColor theme="8"/>
        </patternFill>
      </fill>
    </dxf>
    <dxf>
      <font>
        <b/>
        <i val="0"/>
        <color rgb="FF9C0006"/>
      </font>
      <fill>
        <patternFill>
          <bgColor theme="5"/>
        </patternFill>
      </fill>
    </dxf>
    <dxf>
      <font>
        <b/>
        <i val="0"/>
        <color theme="0"/>
        <name val="Cambria"/>
        <scheme val="none"/>
      </font>
      <fill>
        <patternFill>
          <bgColor theme="5"/>
        </patternFill>
      </fill>
    </dxf>
    <dxf>
      <font>
        <b/>
        <i val="0"/>
        <color rgb="FFFFC000"/>
      </font>
      <fill>
        <patternFill>
          <bgColor theme="5"/>
        </patternFill>
      </fill>
    </dxf>
    <dxf>
      <font>
        <b/>
        <i val="0"/>
        <color theme="0"/>
      </font>
      <fill>
        <patternFill>
          <bgColor theme="8"/>
        </patternFill>
      </fill>
    </dxf>
    <dxf>
      <font>
        <b/>
        <i val="0"/>
        <color theme="0"/>
      </font>
      <fill>
        <patternFill>
          <bgColor theme="8"/>
        </patternFill>
      </fill>
    </dxf>
    <dxf>
      <font>
        <b/>
        <i val="0"/>
        <color rgb="FF9C0006"/>
      </font>
      <fill>
        <patternFill>
          <bgColor theme="5"/>
        </patternFill>
      </fill>
    </dxf>
    <dxf>
      <font>
        <b/>
        <i val="0"/>
        <color theme="0"/>
        <name val="Cambria"/>
        <scheme val="none"/>
      </font>
      <fill>
        <patternFill>
          <bgColor theme="5"/>
        </patternFill>
      </fill>
    </dxf>
    <dxf>
      <font>
        <b/>
        <i val="0"/>
        <color rgb="FFFFC000"/>
      </font>
      <fill>
        <patternFill>
          <bgColor theme="5"/>
        </patternFill>
      </fill>
    </dxf>
    <dxf>
      <font>
        <b/>
        <i val="0"/>
        <color theme="0"/>
      </font>
      <fill>
        <patternFill>
          <bgColor theme="8"/>
        </patternFill>
      </fill>
    </dxf>
    <dxf>
      <font>
        <b/>
        <i val="0"/>
        <color theme="0"/>
      </font>
      <fill>
        <patternFill>
          <bgColor theme="8"/>
        </patternFill>
      </fill>
    </dxf>
    <dxf>
      <font>
        <b/>
        <i val="0"/>
        <color rgb="FF9C0006"/>
      </font>
      <fill>
        <patternFill>
          <bgColor theme="5"/>
        </patternFill>
      </fill>
    </dxf>
    <dxf>
      <font>
        <b/>
        <i val="0"/>
        <color theme="0"/>
        <name val="Cambria"/>
        <scheme val="none"/>
      </font>
      <fill>
        <patternFill>
          <bgColor theme="5"/>
        </patternFill>
      </fill>
    </dxf>
    <dxf>
      <font>
        <b/>
        <i val="0"/>
        <color rgb="FFFFC000"/>
      </font>
      <fill>
        <patternFill>
          <bgColor theme="5"/>
        </patternFill>
      </fill>
    </dxf>
    <dxf>
      <font>
        <b/>
        <i val="0"/>
        <color theme="0"/>
      </font>
      <fill>
        <patternFill>
          <bgColor theme="8"/>
        </patternFill>
      </fill>
    </dxf>
    <dxf>
      <font>
        <b/>
        <i val="0"/>
        <color theme="0"/>
      </font>
      <fill>
        <patternFill>
          <bgColor theme="8"/>
        </patternFill>
      </fill>
    </dxf>
    <dxf>
      <font>
        <b/>
        <i val="0"/>
        <color rgb="FF9C0006"/>
      </font>
      <fill>
        <patternFill>
          <bgColor theme="5"/>
        </patternFill>
      </fill>
    </dxf>
    <dxf>
      <font>
        <b/>
        <i val="0"/>
        <color theme="0"/>
        <name val="Cambria"/>
        <scheme val="none"/>
      </font>
      <fill>
        <patternFill>
          <bgColor theme="5"/>
        </patternFill>
      </fill>
    </dxf>
    <dxf>
      <font>
        <b/>
        <i val="0"/>
        <color rgb="FFFFC000"/>
      </font>
      <fill>
        <patternFill>
          <bgColor theme="5"/>
        </patternFill>
      </fill>
    </dxf>
    <dxf>
      <font>
        <b/>
        <i val="0"/>
        <color theme="0"/>
      </font>
      <fill>
        <patternFill>
          <bgColor theme="8"/>
        </patternFill>
      </fill>
    </dxf>
    <dxf>
      <font>
        <b/>
        <i val="0"/>
        <color theme="0"/>
      </font>
      <fill>
        <patternFill>
          <bgColor theme="8"/>
        </patternFill>
      </fill>
    </dxf>
    <dxf>
      <font>
        <b/>
        <i val="0"/>
        <color rgb="FF9C0006"/>
      </font>
      <fill>
        <patternFill>
          <bgColor theme="5"/>
        </patternFill>
      </fill>
    </dxf>
    <dxf>
      <font>
        <b/>
        <i val="0"/>
        <color theme="0"/>
        <name val="Cambria"/>
        <scheme val="none"/>
      </font>
      <fill>
        <patternFill>
          <bgColor theme="5"/>
        </patternFill>
      </fill>
    </dxf>
    <dxf>
      <font>
        <b/>
        <i val="0"/>
        <color rgb="FFFFC000"/>
      </font>
      <fill>
        <patternFill>
          <bgColor theme="5"/>
        </patternFill>
      </fill>
    </dxf>
    <dxf>
      <font>
        <b/>
        <i val="0"/>
        <color theme="0"/>
      </font>
      <fill>
        <patternFill>
          <bgColor theme="8"/>
        </patternFill>
      </fill>
    </dxf>
    <dxf>
      <font>
        <b/>
        <i val="0"/>
        <color theme="0"/>
      </font>
      <fill>
        <patternFill>
          <bgColor theme="8"/>
        </patternFill>
      </fill>
    </dxf>
    <dxf>
      <font>
        <b/>
        <i val="0"/>
        <color rgb="FF9C0006"/>
      </font>
      <fill>
        <patternFill>
          <bgColor theme="5"/>
        </patternFill>
      </fill>
    </dxf>
    <dxf>
      <font>
        <b/>
        <i val="0"/>
        <color theme="0"/>
        <name val="Cambria"/>
        <scheme val="none"/>
      </font>
      <fill>
        <patternFill>
          <bgColor theme="5"/>
        </patternFill>
      </fill>
    </dxf>
    <dxf>
      <font>
        <b/>
        <i val="0"/>
        <color rgb="FFFFC000"/>
      </font>
      <fill>
        <patternFill>
          <bgColor theme="5"/>
        </patternFill>
      </fill>
    </dxf>
    <dxf>
      <font>
        <b/>
        <i val="0"/>
        <color theme="0"/>
      </font>
      <fill>
        <patternFill>
          <bgColor theme="8"/>
        </patternFill>
      </fill>
    </dxf>
    <dxf>
      <font>
        <b/>
        <i val="0"/>
        <color theme="0"/>
      </font>
      <fill>
        <patternFill>
          <bgColor theme="8"/>
        </patternFill>
      </fill>
    </dxf>
    <dxf>
      <font>
        <b/>
        <i val="0"/>
        <color rgb="FF9C0006"/>
      </font>
      <fill>
        <patternFill>
          <bgColor theme="5"/>
        </patternFill>
      </fill>
    </dxf>
    <dxf>
      <font>
        <b/>
        <i val="0"/>
        <color theme="0"/>
        <name val="Cambria"/>
        <scheme val="none"/>
      </font>
      <fill>
        <patternFill>
          <bgColor theme="5"/>
        </patternFill>
      </fill>
    </dxf>
    <dxf>
      <font>
        <b/>
        <i val="0"/>
        <color rgb="FFFFC000"/>
      </font>
      <fill>
        <patternFill>
          <bgColor theme="5"/>
        </patternFill>
      </fill>
    </dxf>
    <dxf>
      <font>
        <b/>
        <i val="0"/>
        <color theme="0"/>
      </font>
      <fill>
        <patternFill>
          <bgColor theme="8"/>
        </patternFill>
      </fill>
    </dxf>
    <dxf>
      <font>
        <b/>
        <i val="0"/>
        <color theme="0"/>
      </font>
      <fill>
        <patternFill>
          <bgColor theme="8"/>
        </patternFill>
      </fill>
    </dxf>
    <dxf>
      <font>
        <b/>
        <i val="0"/>
        <color rgb="FF9C0006"/>
      </font>
      <fill>
        <patternFill>
          <bgColor theme="5"/>
        </patternFill>
      </fill>
    </dxf>
    <dxf>
      <font>
        <b/>
        <i val="0"/>
        <color theme="0"/>
        <name val="Cambria"/>
        <scheme val="none"/>
      </font>
      <fill>
        <patternFill>
          <bgColor theme="5"/>
        </patternFill>
      </fill>
    </dxf>
    <dxf>
      <font>
        <b/>
        <i val="0"/>
        <color rgb="FFFFC000"/>
      </font>
      <fill>
        <patternFill>
          <bgColor theme="5"/>
        </patternFill>
      </fill>
    </dxf>
    <dxf>
      <font>
        <b/>
        <i val="0"/>
        <color theme="0"/>
      </font>
      <fill>
        <patternFill>
          <bgColor theme="8"/>
        </patternFill>
      </fill>
    </dxf>
    <dxf>
      <font>
        <b/>
        <i val="0"/>
        <color theme="0"/>
      </font>
      <fill>
        <patternFill>
          <bgColor theme="8"/>
        </patternFill>
      </fill>
    </dxf>
    <dxf>
      <font>
        <b/>
        <i val="0"/>
        <color rgb="FF9C0006"/>
      </font>
      <fill>
        <patternFill>
          <bgColor theme="5"/>
        </patternFill>
      </fill>
    </dxf>
    <dxf>
      <font>
        <b/>
        <i val="0"/>
        <color theme="0"/>
        <name val="Cambria"/>
        <scheme val="none"/>
      </font>
      <fill>
        <patternFill>
          <bgColor theme="5"/>
        </patternFill>
      </fill>
    </dxf>
    <dxf>
      <font>
        <b/>
        <i val="0"/>
        <color rgb="FFFFC000"/>
      </font>
      <fill>
        <patternFill>
          <bgColor theme="5"/>
        </patternFill>
      </fill>
    </dxf>
    <dxf>
      <font>
        <b/>
        <i val="0"/>
        <color theme="0"/>
      </font>
      <fill>
        <patternFill>
          <bgColor theme="8"/>
        </patternFill>
      </fill>
    </dxf>
    <dxf>
      <font>
        <b/>
        <i val="0"/>
        <color theme="0"/>
      </font>
      <fill>
        <patternFill>
          <bgColor theme="8"/>
        </patternFill>
      </fill>
    </dxf>
    <dxf>
      <font>
        <b/>
        <i val="0"/>
        <color rgb="FF9C0006"/>
      </font>
      <fill>
        <patternFill>
          <bgColor theme="5"/>
        </patternFill>
      </fill>
    </dxf>
    <dxf>
      <font>
        <b/>
        <i val="0"/>
        <color theme="0"/>
        <name val="Cambria"/>
        <scheme val="none"/>
      </font>
      <fill>
        <patternFill>
          <bgColor theme="5"/>
        </patternFill>
      </fill>
    </dxf>
    <dxf>
      <font>
        <b/>
        <i val="0"/>
        <color rgb="FFFFC000"/>
      </font>
      <fill>
        <patternFill>
          <bgColor theme="5"/>
        </patternFill>
      </fill>
    </dxf>
    <dxf>
      <font>
        <b/>
        <i val="0"/>
        <color theme="0"/>
      </font>
      <fill>
        <patternFill>
          <bgColor theme="8"/>
        </patternFill>
      </fill>
    </dxf>
    <dxf>
      <font>
        <b/>
        <i val="0"/>
        <color theme="0"/>
      </font>
      <fill>
        <patternFill>
          <bgColor theme="8"/>
        </patternFill>
      </fill>
    </dxf>
    <dxf>
      <font>
        <b/>
        <i val="0"/>
        <color rgb="FF9C0006"/>
      </font>
      <fill>
        <patternFill>
          <bgColor theme="5"/>
        </patternFill>
      </fill>
    </dxf>
    <dxf>
      <font>
        <b/>
        <i val="0"/>
        <color theme="0"/>
        <name val="Cambria"/>
        <scheme val="none"/>
      </font>
      <fill>
        <patternFill>
          <bgColor theme="5"/>
        </patternFill>
      </fill>
    </dxf>
    <dxf>
      <font>
        <b/>
        <i val="0"/>
        <color rgb="FFFFC000"/>
      </font>
      <fill>
        <patternFill>
          <bgColor theme="5"/>
        </patternFill>
      </fill>
    </dxf>
    <dxf>
      <font>
        <b/>
        <i val="0"/>
        <color theme="0"/>
      </font>
      <fill>
        <patternFill>
          <bgColor theme="8"/>
        </patternFill>
      </fill>
    </dxf>
    <dxf>
      <font>
        <b/>
        <i val="0"/>
        <color theme="0"/>
      </font>
      <fill>
        <patternFill>
          <bgColor theme="8"/>
        </patternFill>
      </fill>
    </dxf>
    <dxf>
      <font>
        <b/>
        <i val="0"/>
        <color rgb="FF9C0006"/>
      </font>
      <fill>
        <patternFill>
          <bgColor theme="5"/>
        </patternFill>
      </fill>
    </dxf>
    <dxf>
      <font>
        <b/>
        <i val="0"/>
        <color theme="0"/>
        <name val="Cambria"/>
        <scheme val="none"/>
      </font>
      <fill>
        <patternFill>
          <bgColor theme="5"/>
        </patternFill>
      </fill>
    </dxf>
    <dxf>
      <font>
        <b/>
        <i val="0"/>
        <color rgb="FFFFC000"/>
      </font>
      <fill>
        <patternFill>
          <bgColor theme="5"/>
        </patternFill>
      </fill>
    </dxf>
    <dxf>
      <font>
        <b/>
        <i val="0"/>
        <color theme="0"/>
      </font>
      <fill>
        <patternFill>
          <bgColor theme="8"/>
        </patternFill>
      </fill>
    </dxf>
    <dxf>
      <font>
        <b/>
        <i val="0"/>
        <color theme="0"/>
      </font>
      <fill>
        <patternFill>
          <bgColor theme="8"/>
        </patternFill>
      </fill>
    </dxf>
    <dxf>
      <font>
        <b/>
        <i val="0"/>
        <color rgb="FF9C0006"/>
      </font>
      <fill>
        <patternFill>
          <bgColor theme="5"/>
        </patternFill>
      </fill>
    </dxf>
    <dxf>
      <font>
        <b/>
        <i val="0"/>
        <color theme="0"/>
        <name val="Cambria"/>
        <scheme val="none"/>
      </font>
      <fill>
        <patternFill>
          <bgColor theme="5"/>
        </patternFill>
      </fill>
    </dxf>
    <dxf>
      <font>
        <b/>
        <i val="0"/>
        <color rgb="FFFFC000"/>
      </font>
      <fill>
        <patternFill>
          <bgColor theme="5"/>
        </patternFill>
      </fill>
    </dxf>
    <dxf>
      <font>
        <b/>
        <i val="0"/>
        <color theme="0"/>
      </font>
      <fill>
        <patternFill>
          <bgColor theme="8"/>
        </patternFill>
      </fill>
    </dxf>
    <dxf>
      <font>
        <b/>
        <i val="0"/>
        <color theme="0"/>
      </font>
      <fill>
        <patternFill>
          <bgColor theme="8"/>
        </patternFill>
      </fill>
    </dxf>
    <dxf>
      <font>
        <b/>
        <i val="0"/>
        <color rgb="FF9C0006"/>
      </font>
      <fill>
        <patternFill>
          <bgColor theme="5"/>
        </patternFill>
      </fill>
    </dxf>
    <dxf>
      <font>
        <b/>
        <i val="0"/>
        <color theme="0"/>
        <name val="Cambria"/>
        <scheme val="none"/>
      </font>
      <fill>
        <patternFill>
          <bgColor theme="5"/>
        </patternFill>
      </fill>
    </dxf>
    <dxf>
      <font>
        <b/>
        <i val="0"/>
        <color rgb="FFFFC000"/>
      </font>
      <fill>
        <patternFill>
          <bgColor theme="5"/>
        </patternFill>
      </fill>
    </dxf>
    <dxf>
      <font>
        <b/>
        <i val="0"/>
        <color theme="0"/>
      </font>
      <fill>
        <patternFill>
          <bgColor theme="8"/>
        </patternFill>
      </fill>
    </dxf>
    <dxf>
      <font>
        <b/>
        <i val="0"/>
        <color theme="0"/>
      </font>
      <fill>
        <patternFill>
          <bgColor theme="8"/>
        </patternFill>
      </fill>
    </dxf>
    <dxf>
      <font>
        <b/>
        <i val="0"/>
        <color rgb="FF9C0006"/>
      </font>
      <fill>
        <patternFill>
          <bgColor theme="5"/>
        </patternFill>
      </fill>
    </dxf>
    <dxf>
      <font>
        <b/>
        <i val="0"/>
        <color theme="0"/>
        <name val="Cambria"/>
        <scheme val="none"/>
      </font>
      <fill>
        <patternFill>
          <bgColor theme="5"/>
        </patternFill>
      </fill>
    </dxf>
    <dxf>
      <font>
        <b/>
        <i val="0"/>
        <color rgb="FFFFC000"/>
      </font>
      <fill>
        <patternFill>
          <bgColor theme="5"/>
        </patternFill>
      </fill>
    </dxf>
    <dxf>
      <font>
        <b/>
        <i val="0"/>
        <color theme="0"/>
      </font>
      <fill>
        <patternFill>
          <bgColor theme="8"/>
        </patternFill>
      </fill>
    </dxf>
    <dxf>
      <font>
        <b/>
        <i val="0"/>
        <color theme="0"/>
      </font>
      <fill>
        <patternFill>
          <bgColor theme="8"/>
        </patternFill>
      </fill>
    </dxf>
    <dxf>
      <font>
        <b/>
        <i val="0"/>
        <color rgb="FF9C0006"/>
      </font>
      <fill>
        <patternFill>
          <bgColor theme="5"/>
        </patternFill>
      </fill>
    </dxf>
    <dxf>
      <font>
        <b/>
        <i val="0"/>
        <color theme="0"/>
        <name val="Cambria"/>
        <scheme val="none"/>
      </font>
      <fill>
        <patternFill>
          <bgColor theme="5"/>
        </patternFill>
      </fill>
    </dxf>
    <dxf>
      <font>
        <b/>
        <i val="0"/>
        <color rgb="FFFFC000"/>
      </font>
      <fill>
        <patternFill>
          <bgColor theme="5"/>
        </patternFill>
      </fill>
    </dxf>
    <dxf>
      <font>
        <b/>
        <i val="0"/>
        <color theme="0"/>
      </font>
      <fill>
        <patternFill>
          <bgColor theme="8"/>
        </patternFill>
      </fill>
    </dxf>
    <dxf>
      <font>
        <b/>
        <i val="0"/>
        <color theme="0"/>
      </font>
      <fill>
        <patternFill>
          <bgColor theme="8"/>
        </patternFill>
      </fill>
    </dxf>
    <dxf>
      <font>
        <b/>
        <i val="0"/>
        <color rgb="FF9C0006"/>
      </font>
      <fill>
        <patternFill>
          <bgColor theme="5"/>
        </patternFill>
      </fill>
    </dxf>
    <dxf>
      <font>
        <b/>
        <i val="0"/>
        <color theme="0"/>
        <name val="Cambria"/>
        <scheme val="none"/>
      </font>
      <fill>
        <patternFill>
          <bgColor theme="5"/>
        </patternFill>
      </fill>
    </dxf>
    <dxf>
      <font>
        <b/>
        <i val="0"/>
        <color rgb="FFFFC000"/>
      </font>
      <fill>
        <patternFill>
          <bgColor theme="5"/>
        </patternFill>
      </fill>
    </dxf>
    <dxf>
      <font>
        <b/>
        <i val="0"/>
        <color theme="0"/>
      </font>
      <fill>
        <patternFill>
          <bgColor theme="8"/>
        </patternFill>
      </fill>
    </dxf>
    <dxf>
      <font>
        <b/>
        <i val="0"/>
        <color theme="0"/>
      </font>
      <fill>
        <patternFill>
          <bgColor theme="8"/>
        </patternFill>
      </fill>
    </dxf>
    <dxf>
      <font>
        <b/>
        <i val="0"/>
        <color rgb="FF9C0006"/>
      </font>
      <fill>
        <patternFill>
          <bgColor theme="5"/>
        </patternFill>
      </fill>
    </dxf>
    <dxf>
      <font>
        <b/>
        <i val="0"/>
        <color theme="0"/>
        <name val="Cambria"/>
        <scheme val="none"/>
      </font>
      <fill>
        <patternFill>
          <bgColor theme="5"/>
        </patternFill>
      </fill>
    </dxf>
    <dxf>
      <font>
        <b/>
        <i val="0"/>
        <color rgb="FFFFC000"/>
      </font>
      <fill>
        <patternFill>
          <bgColor theme="5"/>
        </patternFill>
      </fill>
    </dxf>
    <dxf>
      <font>
        <b/>
        <i val="0"/>
        <color theme="0"/>
      </font>
      <fill>
        <patternFill>
          <bgColor theme="8"/>
        </patternFill>
      </fill>
    </dxf>
    <dxf>
      <font>
        <b/>
        <i val="0"/>
        <color theme="0"/>
      </font>
      <fill>
        <patternFill>
          <bgColor theme="8"/>
        </patternFill>
      </fill>
    </dxf>
    <dxf>
      <font>
        <b/>
        <i val="0"/>
        <color rgb="FF9C0006"/>
      </font>
      <fill>
        <patternFill>
          <bgColor theme="5"/>
        </patternFill>
      </fill>
    </dxf>
    <dxf>
      <font>
        <b/>
        <i val="0"/>
        <color theme="0"/>
        <name val="Cambria"/>
        <scheme val="none"/>
      </font>
      <fill>
        <patternFill>
          <bgColor theme="5"/>
        </patternFill>
      </fill>
    </dxf>
    <dxf>
      <font>
        <b/>
        <i val="0"/>
        <color rgb="FFFFC000"/>
      </font>
      <fill>
        <patternFill>
          <bgColor theme="5"/>
        </patternFill>
      </fill>
    </dxf>
    <dxf>
      <font>
        <b/>
        <i val="0"/>
        <color theme="0"/>
      </font>
      <fill>
        <patternFill>
          <bgColor theme="8"/>
        </patternFill>
      </fill>
    </dxf>
    <dxf>
      <font>
        <b/>
        <i val="0"/>
        <color theme="0"/>
      </font>
      <fill>
        <patternFill>
          <bgColor theme="8"/>
        </patternFill>
      </fill>
    </dxf>
    <dxf>
      <font>
        <b/>
        <i val="0"/>
        <color rgb="FF9C0006"/>
      </font>
      <fill>
        <patternFill>
          <bgColor theme="5"/>
        </patternFill>
      </fill>
    </dxf>
    <dxf>
      <font>
        <b/>
        <i val="0"/>
        <color theme="0"/>
        <name val="Cambria"/>
        <scheme val="none"/>
      </font>
      <fill>
        <patternFill>
          <bgColor theme="5"/>
        </patternFill>
      </fill>
    </dxf>
    <dxf>
      <font>
        <b/>
        <i val="0"/>
        <color rgb="FFFFC000"/>
      </font>
      <fill>
        <patternFill>
          <bgColor theme="5"/>
        </patternFill>
      </fill>
    </dxf>
    <dxf>
      <font>
        <b/>
        <i val="0"/>
        <color theme="0"/>
      </font>
      <fill>
        <patternFill>
          <bgColor theme="8"/>
        </patternFill>
      </fill>
    </dxf>
    <dxf>
      <font>
        <b/>
        <i val="0"/>
        <color theme="0"/>
      </font>
      <fill>
        <patternFill>
          <bgColor theme="8"/>
        </patternFill>
      </fill>
    </dxf>
    <dxf>
      <font>
        <b/>
        <i val="0"/>
        <color rgb="FF9C0006"/>
      </font>
      <fill>
        <patternFill>
          <bgColor theme="5"/>
        </patternFill>
      </fill>
    </dxf>
    <dxf>
      <font>
        <b/>
        <i val="0"/>
        <color theme="0"/>
        <name val="Cambria"/>
        <scheme val="none"/>
      </font>
      <fill>
        <patternFill>
          <bgColor theme="5"/>
        </patternFill>
      </fill>
    </dxf>
    <dxf>
      <font>
        <b/>
        <i val="0"/>
        <color rgb="FFFFC000"/>
      </font>
      <fill>
        <patternFill>
          <bgColor theme="5"/>
        </patternFill>
      </fill>
    </dxf>
    <dxf>
      <font>
        <b/>
        <i val="0"/>
        <color theme="0"/>
      </font>
      <fill>
        <patternFill>
          <bgColor theme="8"/>
        </patternFill>
      </fill>
    </dxf>
    <dxf>
      <font>
        <b/>
        <i val="0"/>
        <color theme="0"/>
      </font>
      <fill>
        <patternFill>
          <bgColor theme="8"/>
        </patternFill>
      </fill>
    </dxf>
    <dxf>
      <font>
        <b/>
        <i val="0"/>
        <color rgb="FF9C0006"/>
      </font>
      <fill>
        <patternFill>
          <bgColor theme="5"/>
        </patternFill>
      </fill>
    </dxf>
    <dxf>
      <font>
        <b/>
        <i val="0"/>
        <color theme="0"/>
        <name val="Cambria"/>
        <scheme val="none"/>
      </font>
      <fill>
        <patternFill>
          <bgColor theme="5"/>
        </patternFill>
      </fill>
    </dxf>
    <dxf>
      <font>
        <b/>
        <i val="0"/>
        <color rgb="FFFFC000"/>
      </font>
      <fill>
        <patternFill>
          <bgColor theme="5"/>
        </patternFill>
      </fill>
    </dxf>
    <dxf>
      <font>
        <b/>
        <i val="0"/>
        <color theme="0"/>
      </font>
      <fill>
        <patternFill>
          <bgColor theme="8"/>
        </patternFill>
      </fill>
    </dxf>
    <dxf>
      <font>
        <b/>
        <i val="0"/>
        <color theme="0"/>
      </font>
      <fill>
        <patternFill>
          <bgColor theme="8"/>
        </patternFill>
      </fill>
    </dxf>
    <dxf>
      <font>
        <b/>
        <i val="0"/>
        <color rgb="FF9C0006"/>
      </font>
      <fill>
        <patternFill>
          <bgColor theme="5"/>
        </patternFill>
      </fill>
    </dxf>
    <dxf>
      <font>
        <b/>
        <i val="0"/>
        <color theme="0"/>
        <name val="Cambria"/>
        <scheme val="none"/>
      </font>
      <fill>
        <patternFill>
          <bgColor theme="5"/>
        </patternFill>
      </fill>
    </dxf>
    <dxf>
      <font>
        <b/>
        <i val="0"/>
        <color rgb="FFFFC000"/>
      </font>
      <fill>
        <patternFill>
          <bgColor theme="5"/>
        </patternFill>
      </fill>
    </dxf>
    <dxf>
      <font>
        <b/>
        <i val="0"/>
        <color theme="0"/>
      </font>
      <fill>
        <patternFill>
          <bgColor theme="8"/>
        </patternFill>
      </fill>
    </dxf>
    <dxf>
      <font>
        <b/>
        <i val="0"/>
        <color theme="0"/>
      </font>
      <fill>
        <patternFill>
          <bgColor theme="8"/>
        </patternFill>
      </fill>
    </dxf>
    <dxf>
      <font>
        <b/>
        <i val="0"/>
        <color rgb="FF9C0006"/>
      </font>
      <fill>
        <patternFill>
          <bgColor theme="5"/>
        </patternFill>
      </fill>
    </dxf>
    <dxf>
      <font>
        <b/>
        <i val="0"/>
        <color theme="0"/>
        <name val="Cambria"/>
        <scheme val="none"/>
      </font>
      <fill>
        <patternFill>
          <bgColor theme="5"/>
        </patternFill>
      </fill>
    </dxf>
    <dxf>
      <font>
        <b/>
        <i val="0"/>
        <color rgb="FFFFC000"/>
      </font>
      <fill>
        <patternFill>
          <bgColor theme="5"/>
        </patternFill>
      </fill>
    </dxf>
    <dxf>
      <font>
        <b/>
        <i val="0"/>
        <color theme="0"/>
      </font>
      <fill>
        <patternFill>
          <bgColor theme="8"/>
        </patternFill>
      </fill>
    </dxf>
    <dxf>
      <font>
        <b/>
        <i val="0"/>
        <color theme="0"/>
      </font>
      <fill>
        <patternFill>
          <bgColor theme="8"/>
        </patternFill>
      </fill>
    </dxf>
    <dxf>
      <font>
        <b/>
        <i val="0"/>
        <color rgb="FF9C0006"/>
      </font>
      <fill>
        <patternFill>
          <bgColor theme="5"/>
        </patternFill>
      </fill>
    </dxf>
    <dxf>
      <font>
        <b/>
        <i val="0"/>
        <color theme="0"/>
        <name val="Cambria"/>
        <scheme val="none"/>
      </font>
      <fill>
        <patternFill>
          <bgColor theme="5"/>
        </patternFill>
      </fill>
    </dxf>
    <dxf>
      <font>
        <b/>
        <i val="0"/>
        <color rgb="FFFFC000"/>
      </font>
      <fill>
        <patternFill>
          <bgColor theme="5"/>
        </patternFill>
      </fill>
    </dxf>
    <dxf>
      <font>
        <b/>
        <i val="0"/>
        <color theme="0"/>
      </font>
      <fill>
        <patternFill>
          <bgColor theme="8"/>
        </patternFill>
      </fill>
    </dxf>
    <dxf>
      <font>
        <b/>
        <i val="0"/>
        <color theme="0"/>
      </font>
      <fill>
        <patternFill>
          <bgColor theme="8"/>
        </patternFill>
      </fill>
    </dxf>
    <dxf>
      <font>
        <b/>
        <i val="0"/>
        <color rgb="FF9C0006"/>
      </font>
      <fill>
        <patternFill>
          <bgColor theme="5"/>
        </patternFill>
      </fill>
    </dxf>
    <dxf>
      <font>
        <b/>
        <i val="0"/>
        <color theme="0"/>
        <name val="Cambria"/>
        <scheme val="none"/>
      </font>
      <fill>
        <patternFill>
          <bgColor theme="5"/>
        </patternFill>
      </fill>
    </dxf>
    <dxf>
      <font>
        <b/>
        <i val="0"/>
        <color rgb="FFFFC000"/>
      </font>
      <fill>
        <patternFill>
          <bgColor theme="5"/>
        </patternFill>
      </fill>
    </dxf>
    <dxf>
      <font>
        <b/>
        <i val="0"/>
        <color theme="0"/>
      </font>
      <fill>
        <patternFill>
          <bgColor theme="8"/>
        </patternFill>
      </fill>
    </dxf>
    <dxf>
      <font>
        <b/>
        <i val="0"/>
        <color theme="0"/>
      </font>
      <fill>
        <patternFill>
          <bgColor theme="8"/>
        </patternFill>
      </fill>
    </dxf>
    <dxf>
      <font>
        <b/>
        <i val="0"/>
        <color rgb="FF9C0006"/>
      </font>
      <fill>
        <patternFill>
          <bgColor theme="5"/>
        </patternFill>
      </fill>
    </dxf>
    <dxf>
      <font>
        <b/>
        <i val="0"/>
        <color theme="0"/>
        <name val="Cambria"/>
        <scheme val="none"/>
      </font>
      <fill>
        <patternFill>
          <bgColor theme="5"/>
        </patternFill>
      </fill>
    </dxf>
    <dxf>
      <font>
        <b/>
        <i val="0"/>
        <color rgb="FFFFC000"/>
      </font>
      <fill>
        <patternFill>
          <bgColor theme="5"/>
        </patternFill>
      </fill>
    </dxf>
    <dxf>
      <font>
        <b/>
        <i val="0"/>
        <color theme="0"/>
      </font>
      <fill>
        <patternFill>
          <bgColor theme="8"/>
        </patternFill>
      </fill>
    </dxf>
    <dxf>
      <font>
        <b/>
        <i val="0"/>
        <color theme="0"/>
      </font>
      <fill>
        <patternFill>
          <bgColor theme="8"/>
        </patternFill>
      </fill>
    </dxf>
    <dxf>
      <font>
        <b/>
        <i val="0"/>
        <color rgb="FF9C0006"/>
      </font>
      <fill>
        <patternFill>
          <bgColor theme="5"/>
        </patternFill>
      </fill>
    </dxf>
    <dxf>
      <font>
        <b/>
        <i val="0"/>
        <color theme="0"/>
        <name val="Cambria"/>
        <scheme val="none"/>
      </font>
      <fill>
        <patternFill>
          <bgColor theme="5"/>
        </patternFill>
      </fill>
    </dxf>
    <dxf>
      <font>
        <b/>
        <i val="0"/>
        <color rgb="FFFFC000"/>
      </font>
      <fill>
        <patternFill>
          <bgColor theme="5"/>
        </patternFill>
      </fill>
    </dxf>
    <dxf>
      <font>
        <b/>
        <i val="0"/>
        <color theme="0"/>
      </font>
      <fill>
        <patternFill>
          <bgColor theme="8"/>
        </patternFill>
      </fill>
    </dxf>
    <dxf>
      <font>
        <b/>
        <i val="0"/>
        <color theme="0"/>
      </font>
      <fill>
        <patternFill>
          <bgColor theme="8"/>
        </patternFill>
      </fill>
    </dxf>
    <dxf>
      <font>
        <b/>
        <i val="0"/>
        <color rgb="FF9C0006"/>
      </font>
      <fill>
        <patternFill>
          <bgColor theme="5"/>
        </patternFill>
      </fill>
    </dxf>
    <dxf>
      <font>
        <b/>
        <i val="0"/>
        <color theme="0"/>
        <name val="Cambria"/>
        <scheme val="none"/>
      </font>
      <fill>
        <patternFill>
          <bgColor theme="5"/>
        </patternFill>
      </fill>
    </dxf>
    <dxf>
      <font>
        <b/>
        <i val="0"/>
        <color rgb="FFFFC000"/>
      </font>
      <fill>
        <patternFill>
          <bgColor theme="5"/>
        </patternFill>
      </fill>
    </dxf>
    <dxf>
      <font>
        <b/>
        <i val="0"/>
        <color theme="0"/>
      </font>
      <fill>
        <patternFill>
          <bgColor theme="8"/>
        </patternFill>
      </fill>
    </dxf>
    <dxf>
      <font>
        <b/>
        <i val="0"/>
        <color theme="0"/>
      </font>
      <fill>
        <patternFill>
          <bgColor theme="8"/>
        </patternFill>
      </fill>
    </dxf>
    <dxf>
      <font>
        <b/>
        <i val="0"/>
        <color rgb="FF9C0006"/>
      </font>
      <fill>
        <patternFill>
          <bgColor theme="5"/>
        </patternFill>
      </fill>
    </dxf>
    <dxf>
      <font>
        <b/>
        <i val="0"/>
        <color theme="0"/>
        <name val="Cambria"/>
        <scheme val="none"/>
      </font>
      <fill>
        <patternFill>
          <bgColor theme="5"/>
        </patternFill>
      </fill>
    </dxf>
    <dxf>
      <font>
        <b/>
        <i val="0"/>
        <color rgb="FFFFC000"/>
      </font>
      <fill>
        <patternFill>
          <bgColor theme="5"/>
        </patternFill>
      </fill>
    </dxf>
    <dxf>
      <font>
        <b/>
        <i val="0"/>
        <color theme="0"/>
      </font>
      <fill>
        <patternFill>
          <bgColor theme="8"/>
        </patternFill>
      </fill>
    </dxf>
    <dxf>
      <font>
        <b/>
        <i val="0"/>
        <color theme="0"/>
      </font>
      <fill>
        <patternFill>
          <bgColor theme="8"/>
        </patternFill>
      </fill>
    </dxf>
    <dxf>
      <font>
        <b/>
        <i val="0"/>
        <color rgb="FF9C0006"/>
      </font>
      <fill>
        <patternFill>
          <bgColor theme="5"/>
        </patternFill>
      </fill>
    </dxf>
    <dxf>
      <font>
        <b/>
        <i val="0"/>
        <color theme="0"/>
        <name val="Cambria"/>
        <scheme val="none"/>
      </font>
      <fill>
        <patternFill>
          <bgColor theme="5"/>
        </patternFill>
      </fill>
    </dxf>
    <dxf>
      <font>
        <b/>
        <i val="0"/>
        <color rgb="FFFFC000"/>
      </font>
      <fill>
        <patternFill>
          <bgColor theme="5"/>
        </patternFill>
      </fill>
    </dxf>
    <dxf>
      <font>
        <b/>
        <i val="0"/>
        <color theme="0"/>
      </font>
      <fill>
        <patternFill>
          <bgColor theme="8"/>
        </patternFill>
      </fill>
    </dxf>
    <dxf>
      <font>
        <b/>
        <i val="0"/>
        <color theme="0"/>
      </font>
      <fill>
        <patternFill>
          <bgColor theme="8"/>
        </patternFill>
      </fill>
    </dxf>
    <dxf>
      <font>
        <b/>
        <i val="0"/>
        <color rgb="FF9C0006"/>
      </font>
      <fill>
        <patternFill>
          <bgColor theme="5"/>
        </patternFill>
      </fill>
    </dxf>
    <dxf>
      <font>
        <b/>
        <i val="0"/>
        <color theme="0"/>
        <name val="Cambria"/>
        <scheme val="none"/>
      </font>
      <fill>
        <patternFill>
          <bgColor theme="5"/>
        </patternFill>
      </fill>
    </dxf>
    <dxf>
      <font>
        <b/>
        <i val="0"/>
        <color rgb="FFFFC000"/>
      </font>
      <fill>
        <patternFill>
          <bgColor theme="5"/>
        </patternFill>
      </fill>
    </dxf>
    <dxf>
      <font>
        <b/>
        <i val="0"/>
        <color theme="0"/>
      </font>
      <fill>
        <patternFill>
          <bgColor theme="8"/>
        </patternFill>
      </fill>
    </dxf>
    <dxf>
      <font>
        <b/>
        <i val="0"/>
        <color theme="0"/>
      </font>
      <fill>
        <patternFill>
          <bgColor theme="8"/>
        </patternFill>
      </fill>
    </dxf>
    <dxf>
      <font>
        <b/>
        <i val="0"/>
        <color rgb="FF9C0006"/>
      </font>
      <fill>
        <patternFill>
          <bgColor theme="5"/>
        </patternFill>
      </fill>
    </dxf>
    <dxf>
      <font>
        <b/>
        <i val="0"/>
        <color theme="0"/>
        <name val="Cambria"/>
        <scheme val="none"/>
      </font>
      <fill>
        <patternFill>
          <bgColor theme="5"/>
        </patternFill>
      </fill>
    </dxf>
    <dxf>
      <font>
        <b/>
        <i val="0"/>
        <color rgb="FFFFC000"/>
      </font>
      <fill>
        <patternFill>
          <bgColor theme="5"/>
        </patternFill>
      </fill>
    </dxf>
    <dxf>
      <font>
        <b/>
        <i val="0"/>
        <color theme="0"/>
      </font>
      <fill>
        <patternFill>
          <bgColor theme="8"/>
        </patternFill>
      </fill>
    </dxf>
    <dxf>
      <font>
        <b/>
        <i val="0"/>
        <color theme="0"/>
      </font>
      <fill>
        <patternFill>
          <bgColor theme="8"/>
        </patternFill>
      </fill>
    </dxf>
    <dxf>
      <font>
        <b/>
        <i val="0"/>
        <color rgb="FF9C0006"/>
      </font>
      <fill>
        <patternFill>
          <bgColor theme="5"/>
        </patternFill>
      </fill>
    </dxf>
    <dxf>
      <font>
        <b/>
        <i val="0"/>
        <color theme="0"/>
        <name val="Cambria"/>
        <scheme val="none"/>
      </font>
      <fill>
        <patternFill>
          <bgColor theme="5"/>
        </patternFill>
      </fill>
    </dxf>
    <dxf>
      <font>
        <b/>
        <i val="0"/>
        <color rgb="FFFFC000"/>
      </font>
      <fill>
        <patternFill>
          <bgColor theme="5"/>
        </patternFill>
      </fill>
    </dxf>
    <dxf>
      <font>
        <b/>
        <i val="0"/>
        <color theme="0"/>
      </font>
      <fill>
        <patternFill>
          <bgColor theme="8"/>
        </patternFill>
      </fill>
    </dxf>
    <dxf>
      <font>
        <b/>
        <i val="0"/>
        <color theme="0"/>
      </font>
      <fill>
        <patternFill>
          <bgColor theme="8"/>
        </patternFill>
      </fill>
    </dxf>
    <dxf>
      <font>
        <b/>
        <i val="0"/>
        <color rgb="FF9C0006"/>
      </font>
      <fill>
        <patternFill>
          <bgColor theme="5"/>
        </patternFill>
      </fill>
    </dxf>
    <dxf>
      <font>
        <b/>
        <i val="0"/>
        <color theme="0"/>
        <name val="Cambria"/>
        <scheme val="none"/>
      </font>
      <fill>
        <patternFill>
          <bgColor theme="5"/>
        </patternFill>
      </fill>
    </dxf>
    <dxf>
      <font>
        <b/>
        <i val="0"/>
        <color rgb="FFFFC000"/>
      </font>
      <fill>
        <patternFill>
          <bgColor theme="5"/>
        </patternFill>
      </fill>
    </dxf>
    <dxf>
      <font>
        <b/>
        <i val="0"/>
        <color theme="0"/>
      </font>
      <fill>
        <patternFill>
          <bgColor theme="8"/>
        </patternFill>
      </fill>
    </dxf>
    <dxf>
      <font>
        <b/>
        <i val="0"/>
        <color theme="0"/>
      </font>
      <fill>
        <patternFill>
          <bgColor theme="8"/>
        </patternFill>
      </fill>
    </dxf>
    <dxf>
      <font>
        <b/>
        <i val="0"/>
        <color rgb="FF9C0006"/>
      </font>
      <fill>
        <patternFill>
          <bgColor theme="5"/>
        </patternFill>
      </fill>
    </dxf>
    <dxf>
      <font>
        <b/>
        <i val="0"/>
        <color theme="0"/>
        <name val="Cambria"/>
        <scheme val="none"/>
      </font>
      <fill>
        <patternFill>
          <bgColor theme="5"/>
        </patternFill>
      </fill>
    </dxf>
    <dxf>
      <font>
        <b/>
        <i val="0"/>
        <color rgb="FFFFC000"/>
      </font>
      <fill>
        <patternFill>
          <bgColor theme="5"/>
        </patternFill>
      </fill>
    </dxf>
    <dxf>
      <font>
        <b/>
        <i val="0"/>
        <color theme="0"/>
      </font>
      <fill>
        <patternFill>
          <bgColor theme="8"/>
        </patternFill>
      </fill>
    </dxf>
    <dxf>
      <font>
        <b/>
        <i val="0"/>
        <color theme="0"/>
      </font>
      <fill>
        <patternFill>
          <bgColor theme="8"/>
        </patternFill>
      </fill>
    </dxf>
    <dxf>
      <font>
        <b/>
        <i val="0"/>
        <color rgb="FF9C0006"/>
      </font>
      <fill>
        <patternFill>
          <bgColor theme="5"/>
        </patternFill>
      </fill>
    </dxf>
    <dxf>
      <font>
        <b/>
        <i val="0"/>
        <color theme="0"/>
        <name val="Cambria"/>
        <scheme val="none"/>
      </font>
      <fill>
        <patternFill>
          <bgColor theme="5"/>
        </patternFill>
      </fill>
    </dxf>
    <dxf>
      <font>
        <b/>
        <i val="0"/>
        <color rgb="FFFFC000"/>
      </font>
      <fill>
        <patternFill>
          <bgColor theme="5"/>
        </patternFill>
      </fill>
    </dxf>
    <dxf>
      <font>
        <b/>
        <i val="0"/>
        <color theme="0"/>
      </font>
      <fill>
        <patternFill>
          <bgColor theme="8"/>
        </patternFill>
      </fill>
    </dxf>
    <dxf>
      <font>
        <b/>
        <i val="0"/>
        <color theme="0"/>
      </font>
      <fill>
        <patternFill>
          <bgColor theme="8"/>
        </patternFill>
      </fill>
    </dxf>
    <dxf>
      <font>
        <b/>
        <i val="0"/>
        <color rgb="FF9C0006"/>
      </font>
      <fill>
        <patternFill>
          <bgColor theme="5"/>
        </patternFill>
      </fill>
    </dxf>
    <dxf>
      <font>
        <b/>
        <i val="0"/>
        <color theme="0"/>
        <name val="Cambria"/>
        <scheme val="none"/>
      </font>
      <fill>
        <patternFill>
          <bgColor theme="5"/>
        </patternFill>
      </fill>
    </dxf>
    <dxf>
      <font>
        <b/>
        <i val="0"/>
        <color rgb="FFFFC000"/>
      </font>
      <fill>
        <patternFill>
          <bgColor theme="5"/>
        </patternFill>
      </fill>
    </dxf>
    <dxf>
      <font>
        <b/>
        <i val="0"/>
        <color theme="0"/>
      </font>
      <fill>
        <patternFill>
          <bgColor theme="8"/>
        </patternFill>
      </fill>
    </dxf>
    <dxf>
      <font>
        <b/>
        <i val="0"/>
        <color theme="0"/>
      </font>
      <fill>
        <patternFill>
          <bgColor theme="8"/>
        </patternFill>
      </fill>
    </dxf>
    <dxf>
      <font>
        <b/>
        <i val="0"/>
        <color rgb="FF9C0006"/>
      </font>
      <fill>
        <patternFill>
          <bgColor theme="5"/>
        </patternFill>
      </fill>
    </dxf>
    <dxf>
      <font>
        <b/>
        <i val="0"/>
        <color theme="0"/>
        <name val="Cambria"/>
        <scheme val="none"/>
      </font>
      <fill>
        <patternFill>
          <bgColor theme="5"/>
        </patternFill>
      </fill>
    </dxf>
    <dxf>
      <font>
        <b/>
        <i val="0"/>
        <color rgb="FFFFC000"/>
      </font>
      <fill>
        <patternFill>
          <bgColor theme="5"/>
        </patternFill>
      </fill>
    </dxf>
    <dxf>
      <font>
        <b/>
        <i val="0"/>
        <color theme="0"/>
      </font>
      <fill>
        <patternFill>
          <bgColor theme="8"/>
        </patternFill>
      </fill>
    </dxf>
    <dxf>
      <font>
        <b/>
        <i val="0"/>
        <color theme="0"/>
      </font>
      <fill>
        <patternFill>
          <bgColor theme="8"/>
        </patternFill>
      </fill>
    </dxf>
    <dxf>
      <font>
        <b/>
        <i val="0"/>
        <color rgb="FF9C0006"/>
      </font>
      <fill>
        <patternFill>
          <bgColor theme="5"/>
        </patternFill>
      </fill>
    </dxf>
    <dxf>
      <font>
        <b/>
        <i val="0"/>
        <color theme="0"/>
        <name val="Cambria"/>
        <scheme val="none"/>
      </font>
      <fill>
        <patternFill>
          <bgColor theme="5"/>
        </patternFill>
      </fill>
    </dxf>
    <dxf>
      <font>
        <b/>
        <i val="0"/>
        <color rgb="FFFFC000"/>
      </font>
      <fill>
        <patternFill>
          <bgColor theme="5"/>
        </patternFill>
      </fill>
    </dxf>
    <dxf>
      <font>
        <b/>
        <i val="0"/>
        <color theme="0"/>
      </font>
      <fill>
        <patternFill>
          <bgColor theme="8"/>
        </patternFill>
      </fill>
    </dxf>
    <dxf>
      <font>
        <b/>
        <i val="0"/>
        <color theme="0"/>
      </font>
      <fill>
        <patternFill>
          <bgColor theme="8"/>
        </patternFill>
      </fill>
    </dxf>
    <dxf>
      <font>
        <b/>
        <i val="0"/>
        <color rgb="FF9C0006"/>
      </font>
      <fill>
        <patternFill>
          <bgColor theme="5"/>
        </patternFill>
      </fill>
    </dxf>
    <dxf>
      <font>
        <b/>
        <i val="0"/>
        <color theme="0"/>
        <name val="Cambria"/>
        <scheme val="none"/>
      </font>
      <fill>
        <patternFill>
          <bgColor theme="5"/>
        </patternFill>
      </fill>
    </dxf>
    <dxf>
      <font>
        <b/>
        <i val="0"/>
        <color rgb="FFFFC000"/>
      </font>
      <fill>
        <patternFill>
          <bgColor theme="5"/>
        </patternFill>
      </fill>
    </dxf>
    <dxf>
      <font>
        <b/>
        <i val="0"/>
        <color theme="0"/>
      </font>
      <fill>
        <patternFill>
          <bgColor theme="8"/>
        </patternFill>
      </fill>
    </dxf>
    <dxf>
      <font>
        <b/>
        <i val="0"/>
        <color theme="0"/>
      </font>
      <fill>
        <patternFill>
          <bgColor theme="8"/>
        </patternFill>
      </fill>
    </dxf>
    <dxf>
      <font>
        <b/>
        <i val="0"/>
        <color rgb="FF9C0006"/>
      </font>
      <fill>
        <patternFill>
          <bgColor theme="5"/>
        </patternFill>
      </fill>
    </dxf>
    <dxf>
      <font>
        <b/>
        <i val="0"/>
        <color theme="0"/>
        <name val="Cambria"/>
        <scheme val="none"/>
      </font>
      <fill>
        <patternFill>
          <bgColor theme="5"/>
        </patternFill>
      </fill>
    </dxf>
    <dxf>
      <font>
        <b/>
        <i val="0"/>
        <color rgb="FFFFC000"/>
      </font>
      <fill>
        <patternFill>
          <bgColor theme="5"/>
        </patternFill>
      </fill>
    </dxf>
    <dxf>
      <font>
        <b/>
        <i val="0"/>
        <color theme="0"/>
      </font>
      <fill>
        <patternFill>
          <bgColor theme="8"/>
        </patternFill>
      </fill>
    </dxf>
    <dxf>
      <font>
        <b/>
        <i val="0"/>
        <color theme="0"/>
      </font>
      <fill>
        <patternFill>
          <bgColor theme="8"/>
        </patternFill>
      </fill>
    </dxf>
    <dxf>
      <font>
        <b/>
        <i val="0"/>
        <color rgb="FF9C0006"/>
      </font>
      <fill>
        <patternFill>
          <bgColor theme="5"/>
        </patternFill>
      </fill>
    </dxf>
    <dxf>
      <font>
        <b/>
        <i val="0"/>
        <color theme="0"/>
        <name val="Cambria"/>
        <scheme val="none"/>
      </font>
      <fill>
        <patternFill>
          <bgColor theme="5"/>
        </patternFill>
      </fill>
    </dxf>
    <dxf>
      <font>
        <b/>
        <i val="0"/>
        <color rgb="FFFFC000"/>
      </font>
      <fill>
        <patternFill>
          <bgColor theme="5"/>
        </patternFill>
      </fill>
    </dxf>
    <dxf>
      <font>
        <b/>
        <i val="0"/>
        <color theme="0"/>
      </font>
      <fill>
        <patternFill>
          <bgColor theme="8"/>
        </patternFill>
      </fill>
    </dxf>
    <dxf>
      <font>
        <b/>
        <i val="0"/>
        <color theme="0"/>
      </font>
      <fill>
        <patternFill>
          <bgColor theme="8"/>
        </patternFill>
      </fill>
    </dxf>
    <dxf>
      <font>
        <b/>
        <i val="0"/>
        <color rgb="FF9C0006"/>
      </font>
      <fill>
        <patternFill>
          <bgColor theme="5"/>
        </patternFill>
      </fill>
    </dxf>
    <dxf>
      <font>
        <b/>
        <i val="0"/>
        <color theme="0"/>
        <name val="Cambria"/>
        <scheme val="none"/>
      </font>
      <fill>
        <patternFill>
          <bgColor theme="5"/>
        </patternFill>
      </fill>
    </dxf>
    <dxf>
      <font>
        <b/>
        <i val="0"/>
        <color rgb="FFFFC000"/>
      </font>
      <fill>
        <patternFill>
          <bgColor theme="5"/>
        </patternFill>
      </fill>
    </dxf>
    <dxf>
      <font>
        <b/>
        <i val="0"/>
        <color theme="0"/>
      </font>
      <fill>
        <patternFill>
          <bgColor theme="8"/>
        </patternFill>
      </fill>
    </dxf>
    <dxf>
      <font>
        <b/>
        <i val="0"/>
        <color theme="0"/>
      </font>
      <fill>
        <patternFill>
          <bgColor theme="8"/>
        </patternFill>
      </fill>
    </dxf>
    <dxf>
      <font>
        <b/>
        <i val="0"/>
        <color rgb="FF9C0006"/>
      </font>
      <fill>
        <patternFill>
          <bgColor theme="5"/>
        </patternFill>
      </fill>
    </dxf>
    <dxf>
      <font>
        <b/>
        <i val="0"/>
        <color theme="0"/>
        <name val="Cambria"/>
        <scheme val="none"/>
      </font>
      <fill>
        <patternFill>
          <bgColor theme="5"/>
        </patternFill>
      </fill>
    </dxf>
    <dxf>
      <font>
        <b/>
        <i val="0"/>
        <color rgb="FFFFC000"/>
      </font>
      <fill>
        <patternFill>
          <bgColor theme="5"/>
        </patternFill>
      </fill>
    </dxf>
    <dxf>
      <font>
        <b/>
        <i val="0"/>
        <color theme="0"/>
      </font>
      <fill>
        <patternFill>
          <bgColor theme="8"/>
        </patternFill>
      </fill>
    </dxf>
    <dxf>
      <font>
        <b/>
        <i val="0"/>
        <color theme="0"/>
      </font>
      <fill>
        <patternFill>
          <bgColor theme="8"/>
        </patternFill>
      </fill>
    </dxf>
    <dxf>
      <font>
        <b/>
        <i val="0"/>
        <color rgb="FF9C0006"/>
      </font>
      <fill>
        <patternFill>
          <bgColor theme="5"/>
        </patternFill>
      </fill>
    </dxf>
    <dxf>
      <font>
        <b/>
        <i val="0"/>
        <color theme="0"/>
        <name val="Cambria"/>
        <scheme val="none"/>
      </font>
      <fill>
        <patternFill>
          <bgColor theme="5"/>
        </patternFill>
      </fill>
    </dxf>
    <dxf>
      <font>
        <b/>
        <i val="0"/>
        <color rgb="FFFFC000"/>
      </font>
      <fill>
        <patternFill>
          <bgColor theme="5"/>
        </patternFill>
      </fill>
    </dxf>
    <dxf>
      <font>
        <b/>
        <i val="0"/>
        <color theme="0"/>
      </font>
      <fill>
        <patternFill>
          <bgColor theme="8"/>
        </patternFill>
      </fill>
    </dxf>
    <dxf>
      <font>
        <b/>
        <i val="0"/>
        <color theme="0"/>
      </font>
      <fill>
        <patternFill>
          <bgColor theme="8"/>
        </patternFill>
      </fill>
    </dxf>
    <dxf>
      <font>
        <b/>
        <i val="0"/>
        <color rgb="FF9C0006"/>
      </font>
      <fill>
        <patternFill>
          <bgColor theme="5"/>
        </patternFill>
      </fill>
    </dxf>
    <dxf>
      <font>
        <b/>
        <i val="0"/>
        <color theme="0"/>
        <name val="Cambria"/>
        <scheme val="none"/>
      </font>
      <fill>
        <patternFill>
          <bgColor theme="5"/>
        </patternFill>
      </fill>
    </dxf>
    <dxf>
      <font>
        <b/>
        <i val="0"/>
        <color rgb="FFFFC000"/>
      </font>
      <fill>
        <patternFill>
          <bgColor theme="5"/>
        </patternFill>
      </fill>
    </dxf>
    <dxf>
      <font>
        <b/>
        <i val="0"/>
        <color theme="0"/>
      </font>
      <fill>
        <patternFill>
          <bgColor theme="8"/>
        </patternFill>
      </fill>
    </dxf>
    <dxf>
      <font>
        <b/>
        <i val="0"/>
        <color theme="0"/>
      </font>
      <fill>
        <patternFill>
          <bgColor theme="8"/>
        </patternFill>
      </fill>
    </dxf>
    <dxf>
      <font>
        <b/>
        <i val="0"/>
        <color rgb="FF9C0006"/>
      </font>
      <fill>
        <patternFill>
          <bgColor theme="5"/>
        </patternFill>
      </fill>
    </dxf>
    <dxf>
      <font>
        <b/>
        <i val="0"/>
        <color theme="0"/>
        <name val="Cambria"/>
        <scheme val="none"/>
      </font>
      <fill>
        <patternFill>
          <bgColor theme="5"/>
        </patternFill>
      </fill>
    </dxf>
    <dxf>
      <font>
        <b/>
        <i val="0"/>
        <color rgb="FFFFC000"/>
      </font>
      <fill>
        <patternFill>
          <bgColor theme="5"/>
        </patternFill>
      </fill>
    </dxf>
    <dxf>
      <font>
        <b/>
        <i val="0"/>
        <color theme="0"/>
      </font>
      <fill>
        <patternFill>
          <bgColor theme="8"/>
        </patternFill>
      </fill>
    </dxf>
    <dxf>
      <font>
        <b/>
        <i val="0"/>
        <color theme="0"/>
      </font>
      <fill>
        <patternFill>
          <bgColor theme="8"/>
        </patternFill>
      </fill>
    </dxf>
    <dxf>
      <font>
        <b/>
        <i val="0"/>
        <color rgb="FF9C0006"/>
      </font>
      <fill>
        <patternFill>
          <bgColor theme="5"/>
        </patternFill>
      </fill>
    </dxf>
    <dxf>
      <font>
        <b/>
        <i val="0"/>
        <color theme="0"/>
        <name val="Cambria"/>
        <scheme val="none"/>
      </font>
      <fill>
        <patternFill>
          <bgColor theme="5"/>
        </patternFill>
      </fill>
    </dxf>
    <dxf>
      <font>
        <b/>
        <i val="0"/>
        <color rgb="FFFFC000"/>
      </font>
      <fill>
        <patternFill>
          <bgColor theme="5"/>
        </patternFill>
      </fill>
    </dxf>
    <dxf>
      <font>
        <b/>
        <i val="0"/>
        <color theme="0"/>
      </font>
      <fill>
        <patternFill>
          <bgColor theme="8"/>
        </patternFill>
      </fill>
    </dxf>
    <dxf>
      <font>
        <b/>
        <i val="0"/>
        <color theme="0"/>
      </font>
      <fill>
        <patternFill>
          <bgColor theme="8"/>
        </patternFill>
      </fill>
    </dxf>
    <dxf>
      <font>
        <b/>
        <i val="0"/>
        <color rgb="FF9C0006"/>
      </font>
      <fill>
        <patternFill>
          <bgColor theme="5"/>
        </patternFill>
      </fill>
    </dxf>
    <dxf>
      <font>
        <b/>
        <i val="0"/>
        <color theme="0"/>
        <name val="Cambria"/>
        <scheme val="none"/>
      </font>
      <fill>
        <patternFill>
          <bgColor theme="5"/>
        </patternFill>
      </fill>
    </dxf>
    <dxf>
      <font>
        <b/>
        <i val="0"/>
        <color rgb="FFFFC000"/>
      </font>
      <fill>
        <patternFill>
          <bgColor theme="5"/>
        </patternFill>
      </fill>
    </dxf>
    <dxf>
      <font>
        <b/>
        <i val="0"/>
        <color theme="0"/>
      </font>
      <fill>
        <patternFill>
          <bgColor theme="8"/>
        </patternFill>
      </fill>
    </dxf>
    <dxf>
      <font>
        <b/>
        <i val="0"/>
        <color theme="0"/>
      </font>
      <fill>
        <patternFill>
          <bgColor theme="8"/>
        </patternFill>
      </fill>
    </dxf>
    <dxf>
      <font>
        <b/>
        <i val="0"/>
        <color rgb="FF9C0006"/>
      </font>
      <fill>
        <patternFill>
          <bgColor theme="5"/>
        </patternFill>
      </fill>
    </dxf>
    <dxf>
      <font>
        <b/>
        <i val="0"/>
        <color theme="0"/>
        <name val="Cambria"/>
        <scheme val="none"/>
      </font>
      <fill>
        <patternFill>
          <bgColor theme="5"/>
        </patternFill>
      </fill>
    </dxf>
    <dxf>
      <font>
        <b/>
        <i val="0"/>
        <color rgb="FFFFC000"/>
      </font>
      <fill>
        <patternFill>
          <bgColor theme="5"/>
        </patternFill>
      </fill>
    </dxf>
    <dxf>
      <font>
        <b/>
        <i val="0"/>
        <color theme="0"/>
      </font>
      <fill>
        <patternFill>
          <bgColor theme="8"/>
        </patternFill>
      </fill>
    </dxf>
    <dxf>
      <font>
        <b/>
        <i val="0"/>
        <color theme="0"/>
      </font>
      <fill>
        <patternFill>
          <bgColor theme="8"/>
        </patternFill>
      </fill>
    </dxf>
    <dxf>
      <font>
        <b/>
        <i val="0"/>
        <color rgb="FF9C0006"/>
      </font>
      <fill>
        <patternFill>
          <bgColor theme="5"/>
        </patternFill>
      </fill>
    </dxf>
    <dxf>
      <font>
        <b/>
        <i val="0"/>
        <color theme="0"/>
        <name val="Cambria"/>
        <scheme val="none"/>
      </font>
      <fill>
        <patternFill>
          <bgColor theme="5"/>
        </patternFill>
      </fill>
    </dxf>
    <dxf>
      <font>
        <b/>
        <i val="0"/>
        <color rgb="FFFFC000"/>
      </font>
      <fill>
        <patternFill>
          <bgColor theme="5"/>
        </patternFill>
      </fill>
    </dxf>
    <dxf>
      <font>
        <b/>
        <i val="0"/>
        <color theme="0"/>
      </font>
      <fill>
        <patternFill>
          <bgColor theme="8"/>
        </patternFill>
      </fill>
    </dxf>
    <dxf>
      <font>
        <b/>
        <i val="0"/>
        <color theme="0"/>
      </font>
      <fill>
        <patternFill>
          <bgColor theme="8"/>
        </patternFill>
      </fill>
    </dxf>
    <dxf>
      <font>
        <b/>
        <i val="0"/>
        <color rgb="FF9C0006"/>
      </font>
      <fill>
        <patternFill>
          <bgColor theme="5"/>
        </patternFill>
      </fill>
    </dxf>
    <dxf>
      <font>
        <b/>
        <i val="0"/>
        <color theme="0"/>
        <name val="Cambria"/>
        <scheme val="none"/>
      </font>
      <fill>
        <patternFill>
          <bgColor theme="5"/>
        </patternFill>
      </fill>
    </dxf>
    <dxf>
      <font>
        <b/>
        <i val="0"/>
        <color rgb="FFFFC000"/>
      </font>
      <fill>
        <patternFill>
          <bgColor theme="5"/>
        </patternFill>
      </fill>
    </dxf>
    <dxf>
      <font>
        <b/>
        <i val="0"/>
        <color theme="0"/>
      </font>
      <fill>
        <patternFill>
          <bgColor theme="8"/>
        </patternFill>
      </fill>
    </dxf>
    <dxf>
      <font>
        <b/>
        <i val="0"/>
        <color theme="0"/>
      </font>
      <fill>
        <patternFill>
          <bgColor theme="8"/>
        </patternFill>
      </fill>
    </dxf>
    <dxf>
      <font>
        <b/>
        <i val="0"/>
        <color rgb="FF9C0006"/>
      </font>
      <fill>
        <patternFill>
          <bgColor theme="5"/>
        </patternFill>
      </fill>
    </dxf>
    <dxf>
      <font>
        <b/>
        <i val="0"/>
        <color theme="0"/>
        <name val="Cambria"/>
        <scheme val="none"/>
      </font>
      <fill>
        <patternFill>
          <bgColor theme="5"/>
        </patternFill>
      </fill>
    </dxf>
    <dxf>
      <font>
        <b/>
        <i val="0"/>
        <color rgb="FFFFC000"/>
      </font>
      <fill>
        <patternFill>
          <bgColor theme="5"/>
        </patternFill>
      </fill>
    </dxf>
    <dxf>
      <font>
        <b/>
        <i val="0"/>
        <color theme="0"/>
      </font>
      <fill>
        <patternFill>
          <bgColor theme="8"/>
        </patternFill>
      </fill>
    </dxf>
    <dxf>
      <font>
        <b/>
        <i val="0"/>
        <color theme="0"/>
      </font>
      <fill>
        <patternFill>
          <bgColor theme="8"/>
        </patternFill>
      </fill>
    </dxf>
    <dxf>
      <font>
        <b/>
        <i val="0"/>
        <color rgb="FF9C0006"/>
      </font>
      <fill>
        <patternFill>
          <bgColor theme="5"/>
        </patternFill>
      </fill>
    </dxf>
    <dxf>
      <font>
        <b/>
        <i val="0"/>
        <color theme="0"/>
        <name val="Cambria"/>
        <scheme val="none"/>
      </font>
      <fill>
        <patternFill>
          <bgColor theme="5"/>
        </patternFill>
      </fill>
    </dxf>
    <dxf>
      <font>
        <b/>
        <i val="0"/>
        <color rgb="FFFFC000"/>
      </font>
      <fill>
        <patternFill>
          <bgColor theme="5"/>
        </patternFill>
      </fill>
    </dxf>
    <dxf>
      <font>
        <b/>
        <i val="0"/>
        <color theme="0"/>
      </font>
      <fill>
        <patternFill>
          <bgColor theme="8"/>
        </patternFill>
      </fill>
    </dxf>
    <dxf>
      <font>
        <b/>
        <i val="0"/>
        <color theme="0"/>
      </font>
      <fill>
        <patternFill>
          <bgColor theme="8"/>
        </patternFill>
      </fill>
    </dxf>
    <dxf>
      <font>
        <b/>
        <i val="0"/>
        <color rgb="FF9C0006"/>
      </font>
      <fill>
        <patternFill>
          <bgColor theme="5"/>
        </patternFill>
      </fill>
    </dxf>
    <dxf>
      <font>
        <b/>
        <i val="0"/>
        <color theme="0"/>
        <name val="Cambria"/>
        <scheme val="none"/>
      </font>
      <fill>
        <patternFill>
          <bgColor theme="5"/>
        </patternFill>
      </fill>
    </dxf>
    <dxf>
      <font>
        <b/>
        <i val="0"/>
        <color rgb="FFFFC000"/>
      </font>
      <fill>
        <patternFill>
          <bgColor theme="5"/>
        </patternFill>
      </fill>
    </dxf>
    <dxf>
      <font>
        <b/>
        <i val="0"/>
        <color theme="0"/>
      </font>
      <fill>
        <patternFill>
          <bgColor theme="8"/>
        </patternFill>
      </fill>
    </dxf>
    <dxf>
      <font>
        <b/>
        <i val="0"/>
        <color theme="0"/>
      </font>
      <fill>
        <patternFill>
          <bgColor theme="8"/>
        </patternFill>
      </fill>
    </dxf>
    <dxf>
      <font>
        <b/>
        <i val="0"/>
        <color rgb="FF9C0006"/>
      </font>
      <fill>
        <patternFill>
          <bgColor theme="5"/>
        </patternFill>
      </fill>
    </dxf>
    <dxf>
      <font>
        <b/>
        <i val="0"/>
        <color theme="0"/>
        <name val="Cambria"/>
        <scheme val="none"/>
      </font>
      <fill>
        <patternFill>
          <bgColor theme="5"/>
        </patternFill>
      </fill>
    </dxf>
    <dxf>
      <font>
        <b/>
        <i val="0"/>
        <color rgb="FFFFC000"/>
      </font>
      <fill>
        <patternFill>
          <bgColor theme="5"/>
        </patternFill>
      </fill>
    </dxf>
    <dxf>
      <font>
        <b/>
        <i val="0"/>
        <color theme="0"/>
      </font>
      <fill>
        <patternFill>
          <bgColor theme="8"/>
        </patternFill>
      </fill>
    </dxf>
    <dxf>
      <font>
        <b/>
        <i val="0"/>
        <color theme="0"/>
      </font>
      <fill>
        <patternFill>
          <bgColor theme="8"/>
        </patternFill>
      </fill>
    </dxf>
    <dxf>
      <font>
        <b/>
        <i val="0"/>
        <color rgb="FF9C0006"/>
      </font>
      <fill>
        <patternFill>
          <bgColor theme="5"/>
        </patternFill>
      </fill>
    </dxf>
    <dxf>
      <font>
        <b/>
        <i val="0"/>
        <color theme="0"/>
        <name val="Cambria"/>
        <scheme val="none"/>
      </font>
      <fill>
        <patternFill>
          <bgColor theme="5"/>
        </patternFill>
      </fill>
    </dxf>
    <dxf>
      <font>
        <b/>
        <i val="0"/>
        <color rgb="FFFFC000"/>
      </font>
      <fill>
        <patternFill>
          <bgColor theme="5"/>
        </patternFill>
      </fill>
    </dxf>
    <dxf>
      <font>
        <b/>
        <i val="0"/>
        <color theme="0"/>
      </font>
      <fill>
        <patternFill>
          <bgColor theme="8"/>
        </patternFill>
      </fill>
    </dxf>
    <dxf>
      <font>
        <b/>
        <i val="0"/>
        <color theme="0"/>
      </font>
      <fill>
        <patternFill>
          <bgColor theme="8"/>
        </patternFill>
      </fill>
    </dxf>
    <dxf>
      <font>
        <b/>
        <i val="0"/>
        <color rgb="FF9C0006"/>
      </font>
      <fill>
        <patternFill>
          <bgColor theme="5"/>
        </patternFill>
      </fill>
    </dxf>
    <dxf>
      <font>
        <b/>
        <i val="0"/>
        <color theme="0"/>
        <name val="Cambria"/>
        <scheme val="none"/>
      </font>
      <fill>
        <patternFill>
          <bgColor theme="5"/>
        </patternFill>
      </fill>
    </dxf>
    <dxf>
      <font>
        <b/>
        <i val="0"/>
        <color rgb="FFFFC000"/>
      </font>
      <fill>
        <patternFill>
          <bgColor theme="5"/>
        </patternFill>
      </fill>
    </dxf>
    <dxf>
      <font>
        <b/>
        <i val="0"/>
        <color theme="0"/>
      </font>
      <fill>
        <patternFill>
          <bgColor theme="8"/>
        </patternFill>
      </fill>
    </dxf>
    <dxf>
      <font>
        <b/>
        <i val="0"/>
        <color theme="0"/>
      </font>
      <fill>
        <patternFill>
          <bgColor theme="8"/>
        </patternFill>
      </fill>
    </dxf>
    <dxf>
      <font>
        <b/>
        <i val="0"/>
        <color rgb="FF9C0006"/>
      </font>
      <fill>
        <patternFill>
          <bgColor theme="5"/>
        </patternFill>
      </fill>
    </dxf>
    <dxf>
      <font>
        <b/>
        <i val="0"/>
        <color theme="0"/>
        <name val="Cambria"/>
        <scheme val="none"/>
      </font>
      <fill>
        <patternFill>
          <bgColor theme="5"/>
        </patternFill>
      </fill>
    </dxf>
    <dxf>
      <font>
        <b/>
        <i val="0"/>
        <color rgb="FFFFC000"/>
      </font>
      <fill>
        <patternFill>
          <bgColor theme="5"/>
        </patternFill>
      </fill>
    </dxf>
    <dxf>
      <font>
        <b/>
        <i val="0"/>
        <color theme="0"/>
      </font>
      <fill>
        <patternFill>
          <bgColor theme="8"/>
        </patternFill>
      </fill>
    </dxf>
    <dxf>
      <font>
        <b/>
        <i val="0"/>
        <color theme="0"/>
      </font>
      <fill>
        <patternFill>
          <bgColor theme="8"/>
        </patternFill>
      </fill>
    </dxf>
    <dxf>
      <font>
        <b/>
        <i val="0"/>
        <color rgb="FF9C0006"/>
      </font>
      <fill>
        <patternFill>
          <bgColor theme="5"/>
        </patternFill>
      </fill>
    </dxf>
    <dxf>
      <font>
        <b/>
        <i val="0"/>
        <color theme="0"/>
        <name val="Cambria"/>
        <scheme val="none"/>
      </font>
      <fill>
        <patternFill>
          <bgColor theme="5"/>
        </patternFill>
      </fill>
    </dxf>
    <dxf>
      <font>
        <b/>
        <i val="0"/>
        <color rgb="FFFFC000"/>
      </font>
      <fill>
        <patternFill>
          <bgColor theme="5"/>
        </patternFill>
      </fill>
    </dxf>
    <dxf>
      <font>
        <b/>
        <i val="0"/>
        <color theme="0"/>
      </font>
      <fill>
        <patternFill>
          <bgColor theme="8"/>
        </patternFill>
      </fill>
    </dxf>
    <dxf>
      <font>
        <b/>
        <i val="0"/>
        <color theme="0"/>
      </font>
      <fill>
        <patternFill>
          <bgColor theme="8"/>
        </patternFill>
      </fill>
    </dxf>
    <dxf>
      <font>
        <b/>
        <i val="0"/>
        <color rgb="FF9C0006"/>
      </font>
      <fill>
        <patternFill>
          <bgColor theme="5"/>
        </patternFill>
      </fill>
    </dxf>
    <dxf>
      <font>
        <b/>
        <i val="0"/>
        <color theme="0"/>
        <name val="Cambria"/>
        <scheme val="none"/>
      </font>
      <fill>
        <patternFill>
          <bgColor theme="5"/>
        </patternFill>
      </fill>
    </dxf>
    <dxf>
      <font>
        <b/>
        <i val="0"/>
        <color rgb="FFFFC000"/>
      </font>
      <fill>
        <patternFill>
          <bgColor theme="5"/>
        </patternFill>
      </fill>
    </dxf>
    <dxf>
      <font>
        <b/>
        <i val="0"/>
        <color theme="0"/>
      </font>
      <fill>
        <patternFill>
          <bgColor theme="8"/>
        </patternFill>
      </fill>
    </dxf>
    <dxf>
      <font>
        <b/>
        <i val="0"/>
        <color theme="0"/>
      </font>
      <fill>
        <patternFill>
          <bgColor theme="8"/>
        </patternFill>
      </fill>
    </dxf>
    <dxf>
      <font>
        <b/>
        <i val="0"/>
        <color rgb="FF9C0006"/>
      </font>
      <fill>
        <patternFill>
          <bgColor theme="5"/>
        </patternFill>
      </fill>
    </dxf>
    <dxf>
      <font>
        <b/>
        <i val="0"/>
        <color theme="0"/>
        <name val="Cambria"/>
        <scheme val="none"/>
      </font>
      <fill>
        <patternFill>
          <bgColor theme="5"/>
        </patternFill>
      </fill>
    </dxf>
    <dxf>
      <font>
        <b/>
        <i val="0"/>
        <color rgb="FFFFC000"/>
      </font>
      <fill>
        <patternFill>
          <bgColor theme="5"/>
        </patternFill>
      </fill>
    </dxf>
    <dxf>
      <font>
        <b/>
        <i val="0"/>
        <color theme="0"/>
      </font>
      <fill>
        <patternFill>
          <bgColor theme="8"/>
        </patternFill>
      </fill>
    </dxf>
    <dxf>
      <font>
        <b/>
        <i val="0"/>
        <color theme="0"/>
      </font>
      <fill>
        <patternFill>
          <bgColor theme="8"/>
        </patternFill>
      </fill>
    </dxf>
    <dxf>
      <font>
        <b/>
        <i val="0"/>
        <color rgb="FF9C0006"/>
      </font>
      <fill>
        <patternFill>
          <bgColor theme="5"/>
        </patternFill>
      </fill>
    </dxf>
    <dxf>
      <font>
        <b/>
        <i val="0"/>
        <color theme="0"/>
        <name val="Cambria"/>
        <scheme val="none"/>
      </font>
      <fill>
        <patternFill>
          <bgColor theme="5"/>
        </patternFill>
      </fill>
    </dxf>
    <dxf>
      <font>
        <b/>
        <i val="0"/>
        <color rgb="FFFFC000"/>
      </font>
      <fill>
        <patternFill>
          <bgColor theme="5"/>
        </patternFill>
      </fill>
    </dxf>
    <dxf>
      <font>
        <b/>
        <i val="0"/>
        <color theme="0"/>
      </font>
      <fill>
        <patternFill>
          <bgColor theme="8"/>
        </patternFill>
      </fill>
    </dxf>
    <dxf>
      <font>
        <b/>
        <i val="0"/>
        <color theme="0"/>
      </font>
      <fill>
        <patternFill>
          <bgColor theme="8"/>
        </patternFill>
      </fill>
    </dxf>
    <dxf>
      <font>
        <b/>
        <i val="0"/>
        <color rgb="FF9C0006"/>
      </font>
      <fill>
        <patternFill>
          <bgColor theme="5"/>
        </patternFill>
      </fill>
    </dxf>
    <dxf>
      <font>
        <b/>
        <i val="0"/>
        <color theme="0"/>
        <name val="Cambria"/>
        <scheme val="none"/>
      </font>
      <fill>
        <patternFill>
          <bgColor theme="5"/>
        </patternFill>
      </fill>
    </dxf>
    <dxf>
      <font>
        <b/>
        <i val="0"/>
        <color rgb="FFFFC000"/>
      </font>
      <fill>
        <patternFill>
          <bgColor theme="5"/>
        </patternFill>
      </fill>
    </dxf>
    <dxf>
      <font>
        <b/>
        <i val="0"/>
        <color theme="0"/>
      </font>
      <fill>
        <patternFill>
          <bgColor theme="8"/>
        </patternFill>
      </fill>
    </dxf>
    <dxf>
      <font>
        <b/>
        <i val="0"/>
        <color theme="0"/>
      </font>
      <fill>
        <patternFill>
          <bgColor theme="8"/>
        </patternFill>
      </fill>
    </dxf>
    <dxf>
      <font>
        <b/>
        <i val="0"/>
        <color rgb="FF9C0006"/>
      </font>
      <fill>
        <patternFill>
          <bgColor theme="5"/>
        </patternFill>
      </fill>
    </dxf>
    <dxf>
      <font>
        <b/>
        <i val="0"/>
        <color theme="0"/>
        <name val="Cambria"/>
        <scheme val="none"/>
      </font>
      <fill>
        <patternFill>
          <bgColor theme="5"/>
        </patternFill>
      </fill>
    </dxf>
    <dxf>
      <font>
        <b/>
        <i val="0"/>
        <color rgb="FFFFC000"/>
      </font>
      <fill>
        <patternFill>
          <bgColor theme="5"/>
        </patternFill>
      </fill>
    </dxf>
    <dxf>
      <font>
        <b/>
        <i val="0"/>
        <color theme="0"/>
      </font>
      <fill>
        <patternFill>
          <bgColor theme="8"/>
        </patternFill>
      </fill>
    </dxf>
    <dxf>
      <font>
        <b/>
        <i val="0"/>
        <color theme="0"/>
      </font>
      <fill>
        <patternFill>
          <bgColor theme="8"/>
        </patternFill>
      </fill>
    </dxf>
    <dxf>
      <font>
        <b/>
        <i val="0"/>
        <color rgb="FF9C0006"/>
      </font>
      <fill>
        <patternFill>
          <bgColor theme="5"/>
        </patternFill>
      </fill>
    </dxf>
    <dxf>
      <font>
        <b/>
        <i val="0"/>
        <color theme="0"/>
        <name val="Cambria"/>
        <scheme val="none"/>
      </font>
      <fill>
        <patternFill>
          <bgColor theme="5"/>
        </patternFill>
      </fill>
    </dxf>
    <dxf>
      <font>
        <b/>
        <i val="0"/>
        <color rgb="FFFFC000"/>
      </font>
      <fill>
        <patternFill>
          <bgColor theme="5"/>
        </patternFill>
      </fill>
    </dxf>
    <dxf>
      <font>
        <b/>
        <i val="0"/>
        <color theme="0"/>
      </font>
      <fill>
        <patternFill>
          <bgColor theme="8"/>
        </patternFill>
      </fill>
    </dxf>
    <dxf>
      <font>
        <b/>
        <i val="0"/>
        <color theme="0"/>
      </font>
      <fill>
        <patternFill>
          <bgColor theme="8"/>
        </patternFill>
      </fill>
    </dxf>
    <dxf>
      <font>
        <b/>
        <i val="0"/>
        <color rgb="FF9C0006"/>
      </font>
      <fill>
        <patternFill>
          <bgColor theme="5"/>
        </patternFill>
      </fill>
    </dxf>
    <dxf>
      <font>
        <b/>
        <i val="0"/>
        <color theme="0"/>
        <name val="Cambria"/>
        <scheme val="none"/>
      </font>
      <fill>
        <patternFill>
          <bgColor theme="5"/>
        </patternFill>
      </fill>
    </dxf>
    <dxf>
      <font>
        <b/>
        <i val="0"/>
        <color rgb="FFFFC000"/>
      </font>
      <fill>
        <patternFill>
          <bgColor theme="5"/>
        </patternFill>
      </fill>
    </dxf>
    <dxf>
      <font>
        <b/>
        <i val="0"/>
        <color theme="0"/>
      </font>
      <fill>
        <patternFill>
          <bgColor theme="8"/>
        </patternFill>
      </fill>
    </dxf>
    <dxf>
      <font>
        <b/>
        <i val="0"/>
        <color theme="0"/>
      </font>
      <fill>
        <patternFill>
          <bgColor theme="8"/>
        </patternFill>
      </fill>
    </dxf>
    <dxf>
      <font>
        <b/>
        <i val="0"/>
        <color rgb="FF9C0006"/>
      </font>
      <fill>
        <patternFill>
          <bgColor theme="5"/>
        </patternFill>
      </fill>
    </dxf>
    <dxf>
      <font>
        <b/>
        <i val="0"/>
        <color theme="0"/>
        <name val="Cambria"/>
        <scheme val="none"/>
      </font>
      <fill>
        <patternFill>
          <bgColor theme="5"/>
        </patternFill>
      </fill>
    </dxf>
    <dxf>
      <font>
        <b/>
        <i val="0"/>
        <color rgb="FFFFC000"/>
      </font>
      <fill>
        <patternFill>
          <bgColor theme="5"/>
        </patternFill>
      </fill>
    </dxf>
    <dxf>
      <font>
        <b/>
        <i val="0"/>
        <color theme="0"/>
      </font>
      <fill>
        <patternFill>
          <bgColor theme="8"/>
        </patternFill>
      </fill>
    </dxf>
    <dxf>
      <font>
        <b/>
        <i val="0"/>
        <color theme="0"/>
      </font>
      <fill>
        <patternFill>
          <bgColor theme="8"/>
        </patternFill>
      </fill>
    </dxf>
    <dxf>
      <font>
        <b/>
        <i val="0"/>
        <color rgb="FF9C0006"/>
      </font>
      <fill>
        <patternFill>
          <bgColor theme="5"/>
        </patternFill>
      </fill>
    </dxf>
    <dxf>
      <font>
        <b/>
        <i val="0"/>
        <color theme="0"/>
        <name val="Cambria"/>
        <scheme val="none"/>
      </font>
      <fill>
        <patternFill>
          <bgColor theme="5"/>
        </patternFill>
      </fill>
    </dxf>
    <dxf>
      <font>
        <b/>
        <i val="0"/>
        <color rgb="FFFFC000"/>
      </font>
      <fill>
        <patternFill>
          <bgColor theme="5"/>
        </patternFill>
      </fill>
    </dxf>
    <dxf>
      <font>
        <b/>
        <i val="0"/>
        <color theme="0"/>
      </font>
      <fill>
        <patternFill>
          <bgColor theme="8"/>
        </patternFill>
      </fill>
    </dxf>
    <dxf>
      <font>
        <b/>
        <i val="0"/>
        <color theme="0"/>
      </font>
      <fill>
        <patternFill>
          <bgColor theme="8"/>
        </patternFill>
      </fill>
    </dxf>
    <dxf>
      <font>
        <b/>
        <i val="0"/>
        <color rgb="FF9C0006"/>
      </font>
      <fill>
        <patternFill>
          <bgColor theme="5"/>
        </patternFill>
      </fill>
    </dxf>
    <dxf>
      <font>
        <b/>
        <i val="0"/>
        <color theme="0"/>
        <name val="Cambria"/>
        <scheme val="none"/>
      </font>
      <fill>
        <patternFill>
          <bgColor theme="5"/>
        </patternFill>
      </fill>
    </dxf>
    <dxf>
      <font>
        <b/>
        <i val="0"/>
        <color rgb="FFFFC000"/>
      </font>
      <fill>
        <patternFill>
          <bgColor theme="5"/>
        </patternFill>
      </fill>
    </dxf>
    <dxf>
      <font>
        <b/>
        <i val="0"/>
        <color theme="0"/>
      </font>
      <fill>
        <patternFill>
          <bgColor theme="8"/>
        </patternFill>
      </fill>
    </dxf>
    <dxf>
      <font>
        <b/>
        <i val="0"/>
        <color theme="0"/>
      </font>
      <fill>
        <patternFill>
          <bgColor theme="8"/>
        </patternFill>
      </fill>
    </dxf>
    <dxf>
      <font>
        <b/>
        <i val="0"/>
        <color rgb="FF9C0006"/>
      </font>
      <fill>
        <patternFill>
          <bgColor theme="5"/>
        </patternFill>
      </fill>
    </dxf>
    <dxf>
      <font>
        <b/>
        <i val="0"/>
        <color theme="0"/>
        <name val="Cambria"/>
        <scheme val="none"/>
      </font>
      <fill>
        <patternFill>
          <bgColor theme="5"/>
        </patternFill>
      </fill>
    </dxf>
    <dxf>
      <font>
        <b/>
        <i val="0"/>
        <color rgb="FFFFC000"/>
      </font>
      <fill>
        <patternFill>
          <bgColor theme="5"/>
        </patternFill>
      </fill>
    </dxf>
    <dxf>
      <font>
        <b/>
        <i val="0"/>
        <color theme="0"/>
      </font>
      <fill>
        <patternFill>
          <bgColor theme="8"/>
        </patternFill>
      </fill>
    </dxf>
    <dxf>
      <font>
        <b/>
        <i val="0"/>
        <color theme="0"/>
      </font>
      <fill>
        <patternFill>
          <bgColor theme="8"/>
        </patternFill>
      </fill>
    </dxf>
    <dxf>
      <font>
        <b/>
        <i val="0"/>
        <color rgb="FF9C0006"/>
      </font>
      <fill>
        <patternFill>
          <bgColor theme="5"/>
        </patternFill>
      </fill>
    </dxf>
    <dxf>
      <font>
        <b/>
        <i val="0"/>
        <color theme="0"/>
        <name val="Cambria"/>
        <scheme val="none"/>
      </font>
      <fill>
        <patternFill>
          <bgColor theme="5"/>
        </patternFill>
      </fill>
    </dxf>
    <dxf>
      <font>
        <b/>
        <i val="0"/>
        <color rgb="FFFFC000"/>
      </font>
      <fill>
        <patternFill>
          <bgColor theme="5"/>
        </patternFill>
      </fill>
    </dxf>
    <dxf>
      <font>
        <b/>
        <i val="0"/>
        <color theme="0"/>
      </font>
      <fill>
        <patternFill>
          <bgColor theme="8"/>
        </patternFill>
      </fill>
    </dxf>
    <dxf>
      <font>
        <b/>
        <i val="0"/>
        <color theme="0"/>
      </font>
      <fill>
        <patternFill>
          <bgColor theme="8"/>
        </patternFill>
      </fill>
    </dxf>
    <dxf>
      <font>
        <b/>
        <i val="0"/>
        <color rgb="FF9C0006"/>
      </font>
      <fill>
        <patternFill>
          <bgColor theme="5"/>
        </patternFill>
      </fill>
    </dxf>
    <dxf>
      <font>
        <b/>
        <i val="0"/>
        <color theme="0"/>
        <name val="Cambria"/>
        <scheme val="none"/>
      </font>
      <fill>
        <patternFill>
          <bgColor theme="5"/>
        </patternFill>
      </fill>
    </dxf>
    <dxf>
      <font>
        <b/>
        <i val="0"/>
        <color rgb="FFFFC000"/>
      </font>
      <fill>
        <patternFill>
          <bgColor theme="5"/>
        </patternFill>
      </fill>
    </dxf>
    <dxf>
      <font>
        <b/>
        <i val="0"/>
        <color theme="0"/>
      </font>
      <fill>
        <patternFill>
          <bgColor theme="8"/>
        </patternFill>
      </fill>
    </dxf>
    <dxf>
      <font>
        <b/>
        <i val="0"/>
        <color theme="0"/>
      </font>
      <fill>
        <patternFill>
          <bgColor theme="8"/>
        </patternFill>
      </fill>
    </dxf>
    <dxf>
      <font>
        <b/>
        <i val="0"/>
        <color rgb="FF9C0006"/>
      </font>
      <fill>
        <patternFill>
          <bgColor theme="5"/>
        </patternFill>
      </fill>
    </dxf>
    <dxf>
      <font>
        <b/>
        <i val="0"/>
        <color theme="0"/>
        <name val="Cambria"/>
        <scheme val="none"/>
      </font>
      <fill>
        <patternFill>
          <bgColor theme="5"/>
        </patternFill>
      </fill>
    </dxf>
    <dxf>
      <font>
        <b/>
        <i val="0"/>
        <color rgb="FFFFC000"/>
      </font>
      <fill>
        <patternFill>
          <bgColor theme="5"/>
        </patternFill>
      </fill>
    </dxf>
    <dxf>
      <font>
        <b/>
        <i val="0"/>
        <color theme="0"/>
      </font>
      <fill>
        <patternFill>
          <bgColor theme="8"/>
        </patternFill>
      </fill>
    </dxf>
    <dxf>
      <font>
        <b/>
        <i val="0"/>
        <color theme="0"/>
      </font>
      <fill>
        <patternFill>
          <bgColor theme="8"/>
        </patternFill>
      </fill>
    </dxf>
    <dxf>
      <font>
        <b/>
        <i val="0"/>
        <color rgb="FF9C0006"/>
      </font>
      <fill>
        <patternFill>
          <bgColor theme="5"/>
        </patternFill>
      </fill>
    </dxf>
    <dxf>
      <font>
        <b/>
        <i val="0"/>
        <color theme="0"/>
        <name val="Cambria"/>
        <scheme val="none"/>
      </font>
      <fill>
        <patternFill>
          <bgColor theme="5"/>
        </patternFill>
      </fill>
    </dxf>
    <dxf>
      <font>
        <b/>
        <i val="0"/>
        <color rgb="FFFFC000"/>
      </font>
      <fill>
        <patternFill>
          <bgColor theme="5"/>
        </patternFill>
      </fill>
    </dxf>
    <dxf>
      <font>
        <b/>
        <i val="0"/>
        <color theme="0"/>
      </font>
      <fill>
        <patternFill>
          <bgColor theme="8"/>
        </patternFill>
      </fill>
    </dxf>
    <dxf>
      <font>
        <b/>
        <i val="0"/>
        <color theme="0"/>
      </font>
      <fill>
        <patternFill>
          <bgColor theme="8"/>
        </patternFill>
      </fill>
    </dxf>
    <dxf>
      <font>
        <b/>
        <i val="0"/>
        <color rgb="FF9C0006"/>
      </font>
      <fill>
        <patternFill>
          <bgColor theme="5"/>
        </patternFill>
      </fill>
    </dxf>
    <dxf>
      <font>
        <b/>
        <i val="0"/>
        <color theme="0"/>
        <name val="Cambria"/>
        <scheme val="none"/>
      </font>
      <fill>
        <patternFill>
          <bgColor theme="5"/>
        </patternFill>
      </fill>
    </dxf>
    <dxf>
      <font>
        <b/>
        <i val="0"/>
        <color rgb="FFFFC000"/>
      </font>
      <fill>
        <patternFill>
          <bgColor theme="5"/>
        </patternFill>
      </fill>
    </dxf>
    <dxf>
      <font>
        <b/>
        <i val="0"/>
        <color theme="0"/>
      </font>
      <fill>
        <patternFill>
          <bgColor theme="8"/>
        </patternFill>
      </fill>
    </dxf>
    <dxf>
      <font>
        <b/>
        <i val="0"/>
        <color theme="0"/>
      </font>
      <fill>
        <patternFill>
          <bgColor theme="8"/>
        </patternFill>
      </fill>
    </dxf>
    <dxf>
      <font>
        <b/>
        <i val="0"/>
        <color rgb="FF9C0006"/>
      </font>
      <fill>
        <patternFill>
          <bgColor theme="5"/>
        </patternFill>
      </fill>
    </dxf>
    <dxf>
      <font>
        <b/>
        <i val="0"/>
        <color theme="0"/>
        <name val="Cambria"/>
        <scheme val="none"/>
      </font>
      <fill>
        <patternFill>
          <bgColor theme="5"/>
        </patternFill>
      </fill>
    </dxf>
    <dxf>
      <font>
        <b/>
        <i val="0"/>
        <color rgb="FFFFC000"/>
      </font>
      <fill>
        <patternFill>
          <bgColor theme="5"/>
        </patternFill>
      </fill>
    </dxf>
    <dxf>
      <font>
        <b/>
        <i val="0"/>
        <color theme="0"/>
      </font>
      <fill>
        <patternFill>
          <bgColor theme="8"/>
        </patternFill>
      </fill>
    </dxf>
    <dxf>
      <font>
        <b/>
        <i val="0"/>
        <color theme="0"/>
      </font>
      <fill>
        <patternFill>
          <bgColor theme="8"/>
        </patternFill>
      </fill>
    </dxf>
    <dxf>
      <font>
        <b/>
        <i val="0"/>
        <color rgb="FF9C0006"/>
      </font>
      <fill>
        <patternFill>
          <bgColor theme="5"/>
        </patternFill>
      </fill>
    </dxf>
    <dxf>
      <font>
        <b/>
        <i val="0"/>
        <color theme="0"/>
        <name val="Cambria"/>
        <scheme val="none"/>
      </font>
      <fill>
        <patternFill>
          <bgColor theme="5"/>
        </patternFill>
      </fill>
    </dxf>
    <dxf>
      <font>
        <b/>
        <i val="0"/>
        <color rgb="FFFFC000"/>
      </font>
      <fill>
        <patternFill>
          <bgColor theme="5"/>
        </patternFill>
      </fill>
    </dxf>
    <dxf>
      <font>
        <b/>
        <i val="0"/>
        <color theme="0"/>
      </font>
      <fill>
        <patternFill>
          <bgColor theme="8"/>
        </patternFill>
      </fill>
    </dxf>
    <dxf>
      <font>
        <b/>
        <i val="0"/>
        <color theme="0"/>
      </font>
      <fill>
        <patternFill>
          <bgColor theme="8"/>
        </patternFill>
      </fill>
    </dxf>
    <dxf>
      <font>
        <b/>
        <i val="0"/>
        <color rgb="FF9C0006"/>
      </font>
      <fill>
        <patternFill>
          <bgColor theme="5"/>
        </patternFill>
      </fill>
    </dxf>
    <dxf>
      <font>
        <b/>
        <i val="0"/>
        <color theme="0"/>
        <name val="Cambria"/>
        <scheme val="none"/>
      </font>
      <fill>
        <patternFill>
          <bgColor theme="5"/>
        </patternFill>
      </fill>
    </dxf>
    <dxf>
      <font>
        <b/>
        <i val="0"/>
        <color rgb="FFFFC000"/>
      </font>
      <fill>
        <patternFill>
          <bgColor theme="5"/>
        </patternFill>
      </fill>
    </dxf>
    <dxf>
      <font>
        <b/>
        <i val="0"/>
        <color theme="0"/>
      </font>
      <fill>
        <patternFill>
          <bgColor theme="8"/>
        </patternFill>
      </fill>
    </dxf>
    <dxf>
      <font>
        <b/>
        <i val="0"/>
        <color theme="0"/>
      </font>
      <fill>
        <patternFill>
          <bgColor theme="8"/>
        </patternFill>
      </fill>
    </dxf>
    <dxf>
      <font>
        <b/>
        <i val="0"/>
        <color rgb="FF9C0006"/>
      </font>
      <fill>
        <patternFill>
          <bgColor theme="5"/>
        </patternFill>
      </fill>
    </dxf>
    <dxf>
      <font>
        <b/>
        <i val="0"/>
        <color theme="0"/>
        <name val="Cambria"/>
        <scheme val="none"/>
      </font>
      <fill>
        <patternFill>
          <bgColor theme="5"/>
        </patternFill>
      </fill>
    </dxf>
    <dxf>
      <font>
        <b/>
        <i val="0"/>
        <color rgb="FFFFC000"/>
      </font>
      <fill>
        <patternFill>
          <bgColor theme="5"/>
        </patternFill>
      </fill>
    </dxf>
    <dxf>
      <font>
        <b/>
        <i val="0"/>
        <color theme="0"/>
      </font>
      <fill>
        <patternFill>
          <bgColor theme="8"/>
        </patternFill>
      </fill>
    </dxf>
    <dxf>
      <font>
        <b/>
        <i val="0"/>
        <color theme="0"/>
      </font>
      <fill>
        <patternFill>
          <bgColor theme="8"/>
        </patternFill>
      </fill>
    </dxf>
    <dxf>
      <font>
        <b/>
        <i val="0"/>
        <color rgb="FF9C0006"/>
      </font>
      <fill>
        <patternFill>
          <bgColor theme="5"/>
        </patternFill>
      </fill>
    </dxf>
    <dxf>
      <font>
        <b/>
        <i val="0"/>
        <color theme="0"/>
        <name val="Cambria"/>
        <scheme val="none"/>
      </font>
      <fill>
        <patternFill>
          <bgColor theme="5"/>
        </patternFill>
      </fill>
    </dxf>
    <dxf>
      <font>
        <b/>
        <i val="0"/>
        <color rgb="FFFFC000"/>
      </font>
      <fill>
        <patternFill>
          <bgColor theme="5"/>
        </patternFill>
      </fill>
    </dxf>
    <dxf>
      <font>
        <b/>
        <i val="0"/>
        <color theme="0"/>
      </font>
      <fill>
        <patternFill>
          <bgColor theme="8"/>
        </patternFill>
      </fill>
    </dxf>
    <dxf>
      <font>
        <b/>
        <i val="0"/>
        <color theme="0"/>
      </font>
      <fill>
        <patternFill>
          <bgColor theme="8"/>
        </patternFill>
      </fill>
    </dxf>
    <dxf>
      <font>
        <b/>
        <i val="0"/>
        <color rgb="FF9C0006"/>
      </font>
      <fill>
        <patternFill>
          <bgColor theme="5"/>
        </patternFill>
      </fill>
    </dxf>
    <dxf>
      <font>
        <b/>
        <i val="0"/>
        <color theme="0"/>
        <name val="Cambria"/>
        <scheme val="none"/>
      </font>
      <fill>
        <patternFill>
          <bgColor theme="5"/>
        </patternFill>
      </fill>
    </dxf>
    <dxf>
      <font>
        <b/>
        <i val="0"/>
        <color rgb="FFFFC000"/>
      </font>
      <fill>
        <patternFill>
          <bgColor theme="5"/>
        </patternFill>
      </fill>
    </dxf>
    <dxf>
      <font>
        <b/>
        <i val="0"/>
        <color theme="0"/>
      </font>
      <fill>
        <patternFill>
          <bgColor theme="8"/>
        </patternFill>
      </fill>
    </dxf>
    <dxf>
      <font>
        <b/>
        <i val="0"/>
        <color theme="0"/>
      </font>
      <fill>
        <patternFill>
          <bgColor theme="8"/>
        </patternFill>
      </fill>
    </dxf>
    <dxf>
      <font>
        <b/>
        <i val="0"/>
        <color rgb="FF9C0006"/>
      </font>
      <fill>
        <patternFill>
          <bgColor theme="5"/>
        </patternFill>
      </fill>
    </dxf>
    <dxf>
      <font>
        <b/>
        <i val="0"/>
        <color theme="0"/>
        <name val="Cambria"/>
        <scheme val="none"/>
      </font>
      <fill>
        <patternFill>
          <bgColor theme="5"/>
        </patternFill>
      </fill>
    </dxf>
    <dxf>
      <font>
        <b/>
        <i val="0"/>
        <color rgb="FFFFC000"/>
      </font>
      <fill>
        <patternFill>
          <bgColor theme="5"/>
        </patternFill>
      </fill>
    </dxf>
    <dxf>
      <font>
        <b/>
        <i val="0"/>
        <color theme="0"/>
      </font>
      <fill>
        <patternFill>
          <bgColor theme="8"/>
        </patternFill>
      </fill>
    </dxf>
    <dxf>
      <font>
        <b/>
        <i val="0"/>
        <color theme="0"/>
      </font>
      <fill>
        <patternFill>
          <bgColor theme="8"/>
        </patternFill>
      </fill>
    </dxf>
    <dxf>
      <font>
        <b/>
        <i val="0"/>
        <color rgb="FF9C0006"/>
      </font>
      <fill>
        <patternFill>
          <bgColor theme="5"/>
        </patternFill>
      </fill>
    </dxf>
    <dxf>
      <font>
        <b/>
        <i val="0"/>
        <color theme="0"/>
        <name val="Cambria"/>
        <scheme val="none"/>
      </font>
      <fill>
        <patternFill>
          <bgColor theme="5"/>
        </patternFill>
      </fill>
    </dxf>
    <dxf>
      <font>
        <b/>
        <i val="0"/>
        <color rgb="FFFFC000"/>
      </font>
      <fill>
        <patternFill>
          <bgColor theme="5"/>
        </patternFill>
      </fill>
    </dxf>
    <dxf>
      <font>
        <b/>
        <i val="0"/>
        <color theme="0"/>
      </font>
      <fill>
        <patternFill>
          <bgColor theme="8"/>
        </patternFill>
      </fill>
    </dxf>
    <dxf>
      <font>
        <b/>
        <i val="0"/>
        <color theme="0"/>
      </font>
      <fill>
        <patternFill>
          <bgColor theme="8"/>
        </patternFill>
      </fill>
    </dxf>
    <dxf>
      <font>
        <b/>
        <i val="0"/>
        <color rgb="FF9C0006"/>
      </font>
      <fill>
        <patternFill>
          <bgColor theme="5"/>
        </patternFill>
      </fill>
    </dxf>
    <dxf>
      <font>
        <b/>
        <i val="0"/>
        <color theme="0"/>
        <name val="Cambria"/>
        <scheme val="none"/>
      </font>
      <fill>
        <patternFill>
          <bgColor theme="5"/>
        </patternFill>
      </fill>
    </dxf>
    <dxf>
      <font>
        <b/>
        <i val="0"/>
        <color rgb="FFFFC000"/>
      </font>
      <fill>
        <patternFill>
          <bgColor theme="5"/>
        </patternFill>
      </fill>
    </dxf>
    <dxf>
      <font>
        <b/>
        <i val="0"/>
        <color theme="0"/>
      </font>
      <fill>
        <patternFill>
          <bgColor theme="8"/>
        </patternFill>
      </fill>
    </dxf>
    <dxf>
      <font>
        <b/>
        <i val="0"/>
        <color theme="0"/>
      </font>
      <fill>
        <patternFill>
          <bgColor theme="8"/>
        </patternFill>
      </fill>
    </dxf>
    <dxf>
      <font>
        <b/>
        <i val="0"/>
        <color rgb="FF9C0006"/>
      </font>
      <fill>
        <patternFill>
          <bgColor theme="5"/>
        </patternFill>
      </fill>
    </dxf>
    <dxf>
      <font>
        <b/>
        <i val="0"/>
        <color theme="0"/>
        <name val="Cambria"/>
        <scheme val="none"/>
      </font>
      <fill>
        <patternFill>
          <bgColor theme="5"/>
        </patternFill>
      </fill>
    </dxf>
    <dxf>
      <font>
        <b/>
        <i val="0"/>
        <color rgb="FFFFC000"/>
      </font>
      <fill>
        <patternFill>
          <bgColor theme="5"/>
        </patternFill>
      </fill>
    </dxf>
    <dxf>
      <font>
        <b/>
        <i val="0"/>
        <color theme="0"/>
      </font>
      <fill>
        <patternFill>
          <bgColor theme="8"/>
        </patternFill>
      </fill>
    </dxf>
    <dxf>
      <font>
        <b/>
        <i val="0"/>
        <color theme="0"/>
      </font>
      <fill>
        <patternFill>
          <bgColor theme="8"/>
        </patternFill>
      </fill>
    </dxf>
    <dxf>
      <font>
        <b/>
        <i val="0"/>
        <color rgb="FF9C0006"/>
      </font>
      <fill>
        <patternFill>
          <bgColor theme="5"/>
        </patternFill>
      </fill>
    </dxf>
    <dxf>
      <font>
        <b/>
        <i val="0"/>
        <color theme="0"/>
        <name val="Cambria"/>
        <scheme val="none"/>
      </font>
      <fill>
        <patternFill>
          <bgColor theme="5"/>
        </patternFill>
      </fill>
    </dxf>
    <dxf>
      <font>
        <b/>
        <i val="0"/>
        <color rgb="FFFFC000"/>
      </font>
      <fill>
        <patternFill>
          <bgColor theme="5"/>
        </patternFill>
      </fill>
    </dxf>
    <dxf>
      <font>
        <b/>
        <i val="0"/>
        <color theme="0"/>
      </font>
      <fill>
        <patternFill>
          <bgColor theme="8"/>
        </patternFill>
      </fill>
    </dxf>
    <dxf>
      <font>
        <b/>
        <i val="0"/>
        <color theme="0"/>
      </font>
      <fill>
        <patternFill>
          <bgColor theme="8"/>
        </patternFill>
      </fill>
    </dxf>
    <dxf>
      <font>
        <b/>
        <i val="0"/>
        <color rgb="FF9C0006"/>
      </font>
      <fill>
        <patternFill>
          <bgColor theme="5"/>
        </patternFill>
      </fill>
    </dxf>
    <dxf>
      <font>
        <b/>
        <i val="0"/>
        <color theme="0"/>
        <name val="Cambria"/>
        <scheme val="none"/>
      </font>
      <fill>
        <patternFill>
          <bgColor theme="5"/>
        </patternFill>
      </fill>
    </dxf>
    <dxf>
      <font>
        <b/>
        <i val="0"/>
        <color rgb="FFFFC000"/>
      </font>
      <fill>
        <patternFill>
          <bgColor theme="5"/>
        </patternFill>
      </fill>
    </dxf>
    <dxf>
      <font>
        <b/>
        <i val="0"/>
        <color theme="0"/>
      </font>
      <fill>
        <patternFill>
          <bgColor theme="8"/>
        </patternFill>
      </fill>
    </dxf>
    <dxf>
      <font>
        <b/>
        <i val="0"/>
        <color theme="0"/>
      </font>
      <fill>
        <patternFill>
          <bgColor theme="8"/>
        </patternFill>
      </fill>
    </dxf>
    <dxf>
      <font>
        <b/>
        <i val="0"/>
        <color rgb="FF9C0006"/>
      </font>
      <fill>
        <patternFill>
          <bgColor theme="5"/>
        </patternFill>
      </fill>
    </dxf>
    <dxf>
      <font>
        <b/>
        <i val="0"/>
        <color theme="0"/>
        <name val="Cambria"/>
        <scheme val="none"/>
      </font>
      <fill>
        <patternFill>
          <bgColor theme="5"/>
        </patternFill>
      </fill>
    </dxf>
    <dxf>
      <font>
        <b/>
        <i val="0"/>
        <color rgb="FFFFC000"/>
      </font>
      <fill>
        <patternFill>
          <bgColor theme="5"/>
        </patternFill>
      </fill>
    </dxf>
    <dxf>
      <font>
        <b/>
        <i val="0"/>
        <color theme="0"/>
      </font>
      <fill>
        <patternFill>
          <bgColor theme="8"/>
        </patternFill>
      </fill>
    </dxf>
    <dxf>
      <font>
        <b/>
        <i val="0"/>
        <color theme="0"/>
      </font>
      <fill>
        <patternFill>
          <bgColor theme="8"/>
        </patternFill>
      </fill>
    </dxf>
    <dxf>
      <font>
        <b/>
        <i val="0"/>
        <color rgb="FF9C0006"/>
      </font>
      <fill>
        <patternFill>
          <bgColor theme="5"/>
        </patternFill>
      </fill>
    </dxf>
    <dxf>
      <font>
        <b/>
        <i val="0"/>
        <color theme="0"/>
        <name val="Cambria"/>
        <scheme val="none"/>
      </font>
      <fill>
        <patternFill>
          <bgColor theme="5"/>
        </patternFill>
      </fill>
    </dxf>
    <dxf>
      <font>
        <b/>
        <i val="0"/>
        <color rgb="FFFFC000"/>
      </font>
      <fill>
        <patternFill>
          <bgColor theme="5"/>
        </patternFill>
      </fill>
    </dxf>
    <dxf>
      <font>
        <b/>
        <i val="0"/>
        <color theme="0"/>
      </font>
      <fill>
        <patternFill>
          <bgColor theme="8"/>
        </patternFill>
      </fill>
    </dxf>
    <dxf>
      <font>
        <b/>
        <i val="0"/>
        <color theme="0"/>
      </font>
      <fill>
        <patternFill>
          <bgColor theme="8"/>
        </patternFill>
      </fill>
    </dxf>
    <dxf>
      <font>
        <b/>
        <i val="0"/>
        <color rgb="FF9C0006"/>
      </font>
      <fill>
        <patternFill>
          <bgColor theme="5"/>
        </patternFill>
      </fill>
    </dxf>
    <dxf>
      <font>
        <b/>
        <i val="0"/>
        <color theme="0"/>
        <name val="Cambria"/>
        <scheme val="none"/>
      </font>
      <fill>
        <patternFill>
          <bgColor theme="5"/>
        </patternFill>
      </fill>
    </dxf>
    <dxf>
      <font>
        <b/>
        <i val="0"/>
        <color rgb="FFFFC000"/>
      </font>
      <fill>
        <patternFill>
          <bgColor theme="5"/>
        </patternFill>
      </fill>
    </dxf>
    <dxf>
      <font>
        <b/>
        <i val="0"/>
        <color theme="0"/>
      </font>
      <fill>
        <patternFill>
          <bgColor theme="8"/>
        </patternFill>
      </fill>
    </dxf>
    <dxf>
      <font>
        <b/>
        <i val="0"/>
        <color theme="0"/>
      </font>
      <fill>
        <patternFill>
          <bgColor theme="8"/>
        </patternFill>
      </fill>
    </dxf>
    <dxf>
      <font>
        <b/>
        <i val="0"/>
        <color rgb="FF9C0006"/>
      </font>
      <fill>
        <patternFill>
          <bgColor theme="5"/>
        </patternFill>
      </fill>
    </dxf>
    <dxf>
      <font>
        <b/>
        <i val="0"/>
        <color theme="0"/>
        <name val="Cambria"/>
        <scheme val="none"/>
      </font>
      <fill>
        <patternFill>
          <bgColor theme="5"/>
        </patternFill>
      </fill>
    </dxf>
    <dxf>
      <font>
        <b/>
        <i val="0"/>
        <color rgb="FFFFC000"/>
      </font>
      <fill>
        <patternFill>
          <bgColor theme="5"/>
        </patternFill>
      </fill>
    </dxf>
    <dxf>
      <font>
        <b/>
        <i val="0"/>
        <color theme="0"/>
      </font>
      <fill>
        <patternFill>
          <bgColor theme="8"/>
        </patternFill>
      </fill>
    </dxf>
    <dxf>
      <font>
        <b/>
        <i val="0"/>
        <color theme="0"/>
      </font>
      <fill>
        <patternFill>
          <bgColor theme="8"/>
        </patternFill>
      </fill>
    </dxf>
    <dxf>
      <font>
        <b/>
        <i val="0"/>
        <color rgb="FF9C0006"/>
      </font>
      <fill>
        <patternFill>
          <bgColor theme="5"/>
        </patternFill>
      </fill>
    </dxf>
    <dxf>
      <font>
        <b/>
        <i val="0"/>
        <color theme="0"/>
        <name val="Cambria"/>
        <scheme val="none"/>
      </font>
      <fill>
        <patternFill>
          <bgColor theme="5"/>
        </patternFill>
      </fill>
    </dxf>
    <dxf>
      <font>
        <b/>
        <i val="0"/>
        <color rgb="FFFFC000"/>
      </font>
      <fill>
        <patternFill>
          <bgColor theme="5"/>
        </patternFill>
      </fill>
    </dxf>
    <dxf>
      <font>
        <b/>
        <i val="0"/>
        <color theme="0"/>
      </font>
      <fill>
        <patternFill>
          <bgColor theme="8"/>
        </patternFill>
      </fill>
    </dxf>
    <dxf>
      <font>
        <b/>
        <i val="0"/>
        <color theme="0"/>
      </font>
      <fill>
        <patternFill>
          <bgColor theme="8"/>
        </patternFill>
      </fill>
    </dxf>
    <dxf>
      <font>
        <b/>
        <i val="0"/>
        <color rgb="FF9C0006"/>
      </font>
      <fill>
        <patternFill>
          <bgColor theme="5"/>
        </patternFill>
      </fill>
    </dxf>
    <dxf>
      <font>
        <b/>
        <i val="0"/>
        <color theme="0"/>
        <name val="Cambria"/>
        <scheme val="none"/>
      </font>
      <fill>
        <patternFill>
          <bgColor theme="5"/>
        </patternFill>
      </fill>
    </dxf>
    <dxf>
      <font>
        <b/>
        <i val="0"/>
        <color rgb="FFFFC000"/>
      </font>
      <fill>
        <patternFill>
          <bgColor theme="5"/>
        </patternFill>
      </fill>
    </dxf>
    <dxf>
      <font>
        <b/>
        <i val="0"/>
        <color theme="0"/>
      </font>
      <fill>
        <patternFill>
          <bgColor theme="8"/>
        </patternFill>
      </fill>
    </dxf>
    <dxf>
      <font>
        <b/>
        <i val="0"/>
        <color theme="0"/>
      </font>
      <fill>
        <patternFill>
          <bgColor theme="8"/>
        </patternFill>
      </fill>
    </dxf>
    <dxf>
      <font>
        <b/>
        <i val="0"/>
        <color rgb="FF9C0006"/>
      </font>
      <fill>
        <patternFill>
          <bgColor theme="5"/>
        </patternFill>
      </fill>
    </dxf>
    <dxf>
      <font>
        <b/>
        <i val="0"/>
        <color theme="0"/>
        <name val="Cambria"/>
        <scheme val="none"/>
      </font>
      <fill>
        <patternFill>
          <bgColor theme="5"/>
        </patternFill>
      </fill>
    </dxf>
    <dxf>
      <font>
        <b/>
        <i val="0"/>
        <color rgb="FFFFC000"/>
      </font>
      <fill>
        <patternFill>
          <bgColor theme="5"/>
        </patternFill>
      </fill>
    </dxf>
    <dxf>
      <font>
        <b/>
        <i val="0"/>
        <color theme="0"/>
      </font>
      <fill>
        <patternFill>
          <bgColor theme="8"/>
        </patternFill>
      </fill>
    </dxf>
    <dxf>
      <font>
        <b/>
        <i val="0"/>
        <color theme="0"/>
      </font>
      <fill>
        <patternFill>
          <bgColor theme="8"/>
        </patternFill>
      </fill>
    </dxf>
    <dxf>
      <font>
        <b/>
        <i val="0"/>
        <color rgb="FF9C0006"/>
      </font>
      <fill>
        <patternFill>
          <bgColor theme="5"/>
        </patternFill>
      </fill>
    </dxf>
    <dxf>
      <font>
        <b/>
        <i val="0"/>
        <color theme="0"/>
        <name val="Cambria"/>
        <scheme val="none"/>
      </font>
      <fill>
        <patternFill>
          <bgColor theme="5"/>
        </patternFill>
      </fill>
    </dxf>
    <dxf>
      <font>
        <b/>
        <i val="0"/>
        <color rgb="FFFFC000"/>
      </font>
      <fill>
        <patternFill>
          <bgColor theme="5"/>
        </patternFill>
      </fill>
    </dxf>
    <dxf>
      <font>
        <b/>
        <i val="0"/>
        <color theme="0"/>
      </font>
      <fill>
        <patternFill>
          <bgColor theme="8"/>
        </patternFill>
      </fill>
    </dxf>
    <dxf>
      <font>
        <b/>
        <i val="0"/>
        <color theme="0"/>
      </font>
      <fill>
        <patternFill>
          <bgColor theme="8"/>
        </patternFill>
      </fill>
    </dxf>
    <dxf>
      <font>
        <b/>
        <i val="0"/>
        <color rgb="FF9C0006"/>
      </font>
      <fill>
        <patternFill>
          <bgColor theme="5"/>
        </patternFill>
      </fill>
    </dxf>
    <dxf>
      <font>
        <b/>
        <i val="0"/>
        <color theme="0"/>
        <name val="Cambria"/>
        <scheme val="none"/>
      </font>
      <fill>
        <patternFill>
          <bgColor theme="5"/>
        </patternFill>
      </fill>
    </dxf>
    <dxf>
      <font>
        <b/>
        <i val="0"/>
        <color rgb="FFFFC000"/>
      </font>
      <fill>
        <patternFill>
          <bgColor theme="5"/>
        </patternFill>
      </fill>
    </dxf>
    <dxf>
      <font>
        <b/>
        <i val="0"/>
        <color theme="0"/>
      </font>
      <fill>
        <patternFill>
          <bgColor theme="8"/>
        </patternFill>
      </fill>
    </dxf>
    <dxf>
      <font>
        <b/>
        <i val="0"/>
        <color theme="0"/>
      </font>
      <fill>
        <patternFill>
          <bgColor theme="8"/>
        </patternFill>
      </fill>
    </dxf>
    <dxf>
      <font>
        <b/>
        <i val="0"/>
        <color rgb="FF9C0006"/>
      </font>
      <fill>
        <patternFill>
          <bgColor theme="5"/>
        </patternFill>
      </fill>
    </dxf>
    <dxf>
      <font>
        <b/>
        <i val="0"/>
        <color theme="0"/>
        <name val="Cambria"/>
        <scheme val="none"/>
      </font>
      <fill>
        <patternFill>
          <bgColor theme="5"/>
        </patternFill>
      </fill>
    </dxf>
    <dxf>
      <font>
        <b/>
        <i val="0"/>
        <color rgb="FFFFC000"/>
      </font>
      <fill>
        <patternFill>
          <bgColor theme="5"/>
        </patternFill>
      </fill>
    </dxf>
    <dxf>
      <font>
        <b/>
        <i val="0"/>
        <color theme="0"/>
      </font>
      <fill>
        <patternFill>
          <bgColor theme="8"/>
        </patternFill>
      </fill>
    </dxf>
    <dxf>
      <font>
        <b/>
        <i val="0"/>
        <color theme="0"/>
      </font>
      <fill>
        <patternFill>
          <bgColor theme="8"/>
        </patternFill>
      </fill>
    </dxf>
    <dxf>
      <font>
        <b/>
        <i val="0"/>
        <color rgb="FF9C0006"/>
      </font>
      <fill>
        <patternFill>
          <bgColor theme="5"/>
        </patternFill>
      </fill>
    </dxf>
    <dxf>
      <font>
        <b/>
        <i val="0"/>
        <color theme="0"/>
        <name val="Cambria"/>
        <scheme val="none"/>
      </font>
      <fill>
        <patternFill>
          <bgColor theme="5"/>
        </patternFill>
      </fill>
    </dxf>
    <dxf>
      <font>
        <b/>
        <i val="0"/>
        <color rgb="FFFFC000"/>
      </font>
      <fill>
        <patternFill>
          <bgColor theme="5"/>
        </patternFill>
      </fill>
    </dxf>
    <dxf>
      <font>
        <b/>
        <i val="0"/>
        <color theme="0"/>
      </font>
      <fill>
        <patternFill>
          <bgColor theme="8"/>
        </patternFill>
      </fill>
    </dxf>
    <dxf>
      <font>
        <b/>
        <i val="0"/>
        <color theme="0"/>
      </font>
      <fill>
        <patternFill>
          <bgColor theme="8"/>
        </patternFill>
      </fill>
    </dxf>
    <dxf>
      <font>
        <b/>
        <i val="0"/>
        <color rgb="FF9C0006"/>
      </font>
      <fill>
        <patternFill>
          <bgColor theme="5"/>
        </patternFill>
      </fill>
    </dxf>
    <dxf>
      <font>
        <b/>
        <i val="0"/>
        <color theme="0"/>
        <name val="Cambria"/>
        <scheme val="none"/>
      </font>
      <fill>
        <patternFill>
          <bgColor theme="5"/>
        </patternFill>
      </fill>
    </dxf>
    <dxf>
      <font>
        <b/>
        <i val="0"/>
        <color rgb="FFFFC000"/>
      </font>
      <fill>
        <patternFill>
          <bgColor theme="5"/>
        </patternFill>
      </fill>
    </dxf>
    <dxf>
      <font>
        <b/>
        <i val="0"/>
        <color theme="0"/>
      </font>
      <fill>
        <patternFill>
          <bgColor theme="8"/>
        </patternFill>
      </fill>
    </dxf>
    <dxf>
      <font>
        <b/>
        <i val="0"/>
        <color theme="0"/>
      </font>
      <fill>
        <patternFill>
          <bgColor theme="8"/>
        </patternFill>
      </fill>
    </dxf>
    <dxf>
      <font>
        <b/>
        <i val="0"/>
        <color rgb="FF9C0006"/>
      </font>
      <fill>
        <patternFill>
          <bgColor theme="5"/>
        </patternFill>
      </fill>
    </dxf>
    <dxf>
      <font>
        <b/>
        <i val="0"/>
        <color theme="0"/>
        <name val="Cambria"/>
        <scheme val="none"/>
      </font>
      <fill>
        <patternFill>
          <bgColor theme="5"/>
        </patternFill>
      </fill>
    </dxf>
    <dxf>
      <font>
        <b/>
        <i val="0"/>
        <color rgb="FFFFC000"/>
      </font>
      <fill>
        <patternFill>
          <bgColor theme="5"/>
        </patternFill>
      </fill>
    </dxf>
    <dxf>
      <font>
        <b/>
        <i val="0"/>
        <color theme="0"/>
      </font>
      <fill>
        <patternFill>
          <bgColor theme="8"/>
        </patternFill>
      </fill>
    </dxf>
    <dxf>
      <font>
        <b/>
        <i val="0"/>
        <color theme="0"/>
      </font>
      <fill>
        <patternFill>
          <bgColor theme="8"/>
        </patternFill>
      </fill>
    </dxf>
    <dxf>
      <font>
        <b/>
        <i val="0"/>
        <color rgb="FF9C0006"/>
      </font>
      <fill>
        <patternFill>
          <bgColor theme="5"/>
        </patternFill>
      </fill>
    </dxf>
    <dxf>
      <font>
        <b/>
        <i val="0"/>
        <color theme="0"/>
        <name val="Cambria"/>
        <scheme val="none"/>
      </font>
      <fill>
        <patternFill>
          <bgColor theme="5"/>
        </patternFill>
      </fill>
    </dxf>
    <dxf>
      <font>
        <b/>
        <i val="0"/>
        <color rgb="FFFFC000"/>
      </font>
      <fill>
        <patternFill>
          <bgColor theme="5"/>
        </patternFill>
      </fill>
    </dxf>
    <dxf>
      <font>
        <b/>
        <i val="0"/>
        <color theme="0"/>
      </font>
      <fill>
        <patternFill>
          <bgColor theme="8"/>
        </patternFill>
      </fill>
    </dxf>
    <dxf>
      <font>
        <b/>
        <i val="0"/>
        <color theme="0"/>
      </font>
      <fill>
        <patternFill>
          <bgColor theme="8"/>
        </patternFill>
      </fill>
    </dxf>
    <dxf>
      <font>
        <b/>
        <i val="0"/>
        <color rgb="FF9C0006"/>
      </font>
      <fill>
        <patternFill>
          <bgColor theme="5"/>
        </patternFill>
      </fill>
    </dxf>
    <dxf>
      <font>
        <b/>
        <i val="0"/>
        <color theme="0"/>
        <name val="Cambria"/>
        <scheme val="none"/>
      </font>
      <fill>
        <patternFill>
          <bgColor theme="5"/>
        </patternFill>
      </fill>
    </dxf>
    <dxf>
      <font>
        <b/>
        <i val="0"/>
        <color rgb="FFFFC000"/>
      </font>
      <fill>
        <patternFill>
          <bgColor theme="5"/>
        </patternFill>
      </fill>
    </dxf>
    <dxf>
      <font>
        <b/>
        <i val="0"/>
        <color theme="0"/>
      </font>
      <fill>
        <patternFill>
          <bgColor theme="8"/>
        </patternFill>
      </fill>
    </dxf>
    <dxf>
      <font>
        <b/>
        <i val="0"/>
        <color theme="0"/>
      </font>
      <fill>
        <patternFill>
          <bgColor theme="8"/>
        </patternFill>
      </fill>
    </dxf>
    <dxf>
      <font>
        <b/>
        <i val="0"/>
        <color rgb="FF9C0006"/>
      </font>
      <fill>
        <patternFill>
          <bgColor theme="5"/>
        </patternFill>
      </fill>
    </dxf>
    <dxf>
      <font>
        <b/>
        <i val="0"/>
        <color theme="0"/>
        <name val="Cambria"/>
        <scheme val="none"/>
      </font>
      <fill>
        <patternFill>
          <bgColor theme="5"/>
        </patternFill>
      </fill>
    </dxf>
    <dxf>
      <font>
        <b/>
        <i val="0"/>
        <color rgb="FFFFC000"/>
      </font>
      <fill>
        <patternFill>
          <bgColor theme="5"/>
        </patternFill>
      </fill>
    </dxf>
    <dxf>
      <font>
        <b/>
        <i val="0"/>
        <color theme="0"/>
      </font>
      <fill>
        <patternFill>
          <bgColor theme="8"/>
        </patternFill>
      </fill>
    </dxf>
    <dxf>
      <font>
        <b/>
        <i val="0"/>
        <color theme="0"/>
      </font>
      <fill>
        <patternFill>
          <bgColor theme="8"/>
        </patternFill>
      </fill>
    </dxf>
    <dxf>
      <font>
        <b/>
        <i val="0"/>
        <color rgb="FF9C0006"/>
      </font>
      <fill>
        <patternFill>
          <bgColor theme="5"/>
        </patternFill>
      </fill>
    </dxf>
    <dxf>
      <font>
        <b/>
        <i val="0"/>
        <color theme="0"/>
        <name val="Cambria"/>
        <scheme val="none"/>
      </font>
      <fill>
        <patternFill>
          <bgColor theme="5"/>
        </patternFill>
      </fill>
    </dxf>
    <dxf>
      <font>
        <b/>
        <i val="0"/>
        <color rgb="FFFFC000"/>
      </font>
      <fill>
        <patternFill>
          <bgColor theme="5"/>
        </patternFill>
      </fill>
    </dxf>
    <dxf>
      <font>
        <b/>
        <i val="0"/>
        <color theme="0"/>
      </font>
      <fill>
        <patternFill>
          <bgColor theme="8"/>
        </patternFill>
      </fill>
    </dxf>
    <dxf>
      <font>
        <b/>
        <i val="0"/>
        <color theme="0"/>
      </font>
      <fill>
        <patternFill>
          <bgColor theme="8"/>
        </patternFill>
      </fill>
    </dxf>
    <dxf>
      <font>
        <b/>
        <i val="0"/>
        <color rgb="FF9C0006"/>
      </font>
      <fill>
        <patternFill>
          <bgColor theme="5"/>
        </patternFill>
      </fill>
    </dxf>
    <dxf>
      <font>
        <b/>
        <i val="0"/>
        <color theme="0"/>
        <name val="Cambria"/>
        <scheme val="none"/>
      </font>
      <fill>
        <patternFill>
          <bgColor theme="5"/>
        </patternFill>
      </fill>
    </dxf>
    <dxf>
      <font>
        <b/>
        <i val="0"/>
        <color rgb="FFFFC000"/>
      </font>
      <fill>
        <patternFill>
          <bgColor theme="5"/>
        </patternFill>
      </fill>
    </dxf>
    <dxf>
      <font>
        <b/>
        <i val="0"/>
        <color theme="0"/>
      </font>
      <fill>
        <patternFill>
          <bgColor theme="8"/>
        </patternFill>
      </fill>
    </dxf>
    <dxf>
      <font>
        <b/>
        <i val="0"/>
        <color theme="0"/>
      </font>
      <fill>
        <patternFill>
          <bgColor theme="8"/>
        </patternFill>
      </fill>
    </dxf>
    <dxf>
      <font>
        <b/>
        <i val="0"/>
        <color rgb="FF9C0006"/>
      </font>
      <fill>
        <patternFill>
          <bgColor theme="5"/>
        </patternFill>
      </fill>
    </dxf>
    <dxf>
      <font>
        <b/>
        <i val="0"/>
        <color theme="0"/>
        <name val="Cambria"/>
        <scheme val="none"/>
      </font>
      <fill>
        <patternFill>
          <bgColor theme="5"/>
        </patternFill>
      </fill>
    </dxf>
    <dxf>
      <font>
        <b/>
        <i val="0"/>
        <color rgb="FFFFC000"/>
      </font>
      <fill>
        <patternFill>
          <bgColor theme="5"/>
        </patternFill>
      </fill>
    </dxf>
    <dxf>
      <font>
        <b/>
        <i val="0"/>
        <color theme="0"/>
      </font>
      <fill>
        <patternFill>
          <bgColor theme="8"/>
        </patternFill>
      </fill>
    </dxf>
    <dxf>
      <font>
        <b/>
        <i val="0"/>
        <color theme="0"/>
      </font>
      <fill>
        <patternFill>
          <bgColor theme="8"/>
        </patternFill>
      </fill>
    </dxf>
    <dxf>
      <font>
        <b/>
        <i val="0"/>
        <color rgb="FF9C0006"/>
      </font>
      <fill>
        <patternFill>
          <bgColor theme="5"/>
        </patternFill>
      </fill>
    </dxf>
    <dxf>
      <font>
        <b/>
        <i val="0"/>
        <color theme="0"/>
        <name val="Cambria"/>
        <scheme val="none"/>
      </font>
      <fill>
        <patternFill>
          <bgColor theme="5"/>
        </patternFill>
      </fill>
    </dxf>
    <dxf>
      <font>
        <b/>
        <i val="0"/>
        <color rgb="FFFFC000"/>
      </font>
      <fill>
        <patternFill>
          <bgColor theme="5"/>
        </patternFill>
      </fill>
    </dxf>
    <dxf>
      <font>
        <b/>
        <i val="0"/>
        <color theme="0"/>
      </font>
      <fill>
        <patternFill>
          <bgColor theme="8"/>
        </patternFill>
      </fill>
    </dxf>
    <dxf>
      <font>
        <b/>
        <i val="0"/>
        <color theme="0"/>
      </font>
      <fill>
        <patternFill>
          <bgColor theme="8"/>
        </patternFill>
      </fill>
    </dxf>
    <dxf>
      <font>
        <b/>
        <i val="0"/>
        <color rgb="FF9C0006"/>
      </font>
      <fill>
        <patternFill>
          <bgColor theme="5"/>
        </patternFill>
      </fill>
    </dxf>
    <dxf>
      <font>
        <b/>
        <i val="0"/>
        <color theme="0"/>
        <name val="Cambria"/>
        <scheme val="none"/>
      </font>
      <fill>
        <patternFill>
          <bgColor theme="5"/>
        </patternFill>
      </fill>
    </dxf>
    <dxf>
      <font>
        <b/>
        <i val="0"/>
        <color rgb="FFFFC000"/>
      </font>
      <fill>
        <patternFill>
          <bgColor theme="5"/>
        </patternFill>
      </fill>
    </dxf>
    <dxf>
      <font>
        <b/>
        <i val="0"/>
        <color theme="0"/>
      </font>
      <fill>
        <patternFill>
          <bgColor theme="8"/>
        </patternFill>
      </fill>
    </dxf>
    <dxf>
      <font>
        <b/>
        <i val="0"/>
        <color theme="0"/>
      </font>
      <fill>
        <patternFill>
          <bgColor theme="8"/>
        </patternFill>
      </fill>
    </dxf>
    <dxf>
      <font>
        <b/>
        <i val="0"/>
        <color rgb="FF9C0006"/>
      </font>
      <fill>
        <patternFill>
          <bgColor theme="5"/>
        </patternFill>
      </fill>
    </dxf>
    <dxf>
      <font>
        <b/>
        <i val="0"/>
        <color theme="0"/>
        <name val="Cambria"/>
        <scheme val="none"/>
      </font>
      <fill>
        <patternFill>
          <bgColor theme="5"/>
        </patternFill>
      </fill>
    </dxf>
    <dxf>
      <font>
        <b/>
        <i val="0"/>
        <color rgb="FFFFC000"/>
      </font>
      <fill>
        <patternFill>
          <bgColor theme="5"/>
        </patternFill>
      </fill>
    </dxf>
    <dxf>
      <font>
        <b/>
        <i val="0"/>
        <color theme="0"/>
      </font>
      <fill>
        <patternFill>
          <bgColor theme="8"/>
        </patternFill>
      </fill>
    </dxf>
    <dxf>
      <font>
        <b/>
        <i val="0"/>
        <color theme="0"/>
      </font>
      <fill>
        <patternFill>
          <bgColor theme="8"/>
        </patternFill>
      </fill>
    </dxf>
    <dxf>
      <font>
        <b/>
        <i val="0"/>
        <color rgb="FF9C0006"/>
      </font>
      <fill>
        <patternFill>
          <bgColor theme="5"/>
        </patternFill>
      </fill>
    </dxf>
    <dxf>
      <font>
        <b/>
        <i val="0"/>
        <color theme="0"/>
        <name val="Cambria"/>
        <scheme val="none"/>
      </font>
      <fill>
        <patternFill>
          <bgColor theme="5"/>
        </patternFill>
      </fill>
    </dxf>
    <dxf>
      <font>
        <b/>
        <i val="0"/>
        <color rgb="FFFFC000"/>
      </font>
      <fill>
        <patternFill>
          <bgColor theme="5"/>
        </patternFill>
      </fill>
    </dxf>
    <dxf>
      <font>
        <b/>
        <i val="0"/>
        <color theme="0"/>
      </font>
      <fill>
        <patternFill>
          <bgColor theme="8"/>
        </patternFill>
      </fill>
    </dxf>
    <dxf>
      <font>
        <b/>
        <i val="0"/>
        <color theme="0"/>
      </font>
      <fill>
        <patternFill>
          <bgColor theme="8"/>
        </patternFill>
      </fill>
    </dxf>
    <dxf>
      <font>
        <b/>
        <i val="0"/>
        <color rgb="FF9C0006"/>
      </font>
      <fill>
        <patternFill>
          <bgColor theme="5"/>
        </patternFill>
      </fill>
    </dxf>
    <dxf>
      <font>
        <b/>
        <i val="0"/>
        <color theme="0"/>
        <name val="Cambria"/>
        <scheme val="none"/>
      </font>
      <fill>
        <patternFill>
          <bgColor theme="5"/>
        </patternFill>
      </fill>
    </dxf>
    <dxf>
      <font>
        <b/>
        <i val="0"/>
        <color rgb="FFFFC000"/>
      </font>
      <fill>
        <patternFill>
          <bgColor theme="5"/>
        </patternFill>
      </fill>
    </dxf>
    <dxf>
      <font>
        <b/>
        <i val="0"/>
        <color theme="0"/>
      </font>
      <fill>
        <patternFill>
          <bgColor theme="8"/>
        </patternFill>
      </fill>
    </dxf>
    <dxf>
      <font>
        <b/>
        <i val="0"/>
        <color theme="0"/>
      </font>
      <fill>
        <patternFill>
          <bgColor theme="8"/>
        </patternFill>
      </fill>
    </dxf>
    <dxf>
      <font>
        <b/>
        <i val="0"/>
        <color rgb="FF9C0006"/>
      </font>
      <fill>
        <patternFill>
          <bgColor theme="5"/>
        </patternFill>
      </fill>
    </dxf>
    <dxf>
      <font>
        <b/>
        <i val="0"/>
        <color theme="0"/>
        <name val="Cambria"/>
        <scheme val="none"/>
      </font>
      <fill>
        <patternFill>
          <bgColor theme="5"/>
        </patternFill>
      </fill>
    </dxf>
    <dxf>
      <font>
        <b/>
        <i val="0"/>
        <color rgb="FFFFC000"/>
      </font>
      <fill>
        <patternFill>
          <bgColor theme="5"/>
        </patternFill>
      </fill>
    </dxf>
    <dxf>
      <font>
        <b/>
        <i val="0"/>
        <color theme="0"/>
      </font>
      <fill>
        <patternFill>
          <bgColor theme="8"/>
        </patternFill>
      </fill>
    </dxf>
    <dxf>
      <font>
        <b/>
        <i val="0"/>
        <color theme="0"/>
      </font>
      <fill>
        <patternFill>
          <bgColor theme="8"/>
        </patternFill>
      </fill>
    </dxf>
    <dxf>
      <font>
        <b/>
        <i val="0"/>
        <color rgb="FF9C0006"/>
      </font>
      <fill>
        <patternFill>
          <bgColor theme="5"/>
        </patternFill>
      </fill>
    </dxf>
    <dxf>
      <font>
        <b/>
        <i val="0"/>
        <color theme="0"/>
        <name val="Cambria"/>
        <scheme val="none"/>
      </font>
      <fill>
        <patternFill>
          <bgColor theme="5"/>
        </patternFill>
      </fill>
    </dxf>
    <dxf>
      <font>
        <b/>
        <i val="0"/>
        <color rgb="FFFFC000"/>
      </font>
      <fill>
        <patternFill>
          <bgColor theme="5"/>
        </patternFill>
      </fill>
    </dxf>
    <dxf>
      <font>
        <b/>
        <i val="0"/>
        <color theme="0"/>
      </font>
      <fill>
        <patternFill>
          <bgColor theme="8"/>
        </patternFill>
      </fill>
    </dxf>
    <dxf>
      <font>
        <b/>
        <i val="0"/>
        <color theme="0"/>
      </font>
      <fill>
        <patternFill>
          <bgColor theme="8"/>
        </patternFill>
      </fill>
    </dxf>
    <dxf>
      <font>
        <b/>
        <i val="0"/>
        <color rgb="FF9C0006"/>
      </font>
      <fill>
        <patternFill>
          <bgColor theme="5"/>
        </patternFill>
      </fill>
    </dxf>
    <dxf>
      <font>
        <b/>
        <i val="0"/>
        <color theme="0"/>
        <name val="Cambria"/>
        <scheme val="none"/>
      </font>
      <fill>
        <patternFill>
          <bgColor theme="5"/>
        </patternFill>
      </fill>
    </dxf>
    <dxf>
      <font>
        <b/>
        <i val="0"/>
        <color rgb="FFFFC000"/>
      </font>
      <fill>
        <patternFill>
          <bgColor theme="5"/>
        </patternFill>
      </fill>
    </dxf>
    <dxf>
      <font>
        <b/>
        <i val="0"/>
        <color theme="0"/>
      </font>
      <fill>
        <patternFill>
          <bgColor theme="8"/>
        </patternFill>
      </fill>
    </dxf>
    <dxf>
      <font>
        <b/>
        <i val="0"/>
        <color theme="0"/>
      </font>
      <fill>
        <patternFill>
          <bgColor theme="8"/>
        </patternFill>
      </fill>
    </dxf>
    <dxf>
      <font>
        <b/>
        <i val="0"/>
        <color rgb="FF9C0006"/>
      </font>
      <fill>
        <patternFill>
          <bgColor theme="5"/>
        </patternFill>
      </fill>
    </dxf>
    <dxf>
      <font>
        <b/>
        <i val="0"/>
        <color theme="0"/>
        <name val="Cambria"/>
        <scheme val="none"/>
      </font>
      <fill>
        <patternFill>
          <bgColor theme="5"/>
        </patternFill>
      </fill>
    </dxf>
    <dxf>
      <font>
        <b/>
        <i val="0"/>
        <color rgb="FFFFC000"/>
      </font>
      <fill>
        <patternFill>
          <bgColor theme="5"/>
        </patternFill>
      </fill>
    </dxf>
    <dxf>
      <font>
        <b/>
        <i val="0"/>
        <color theme="0"/>
      </font>
      <fill>
        <patternFill>
          <bgColor theme="8"/>
        </patternFill>
      </fill>
    </dxf>
    <dxf>
      <font>
        <b/>
        <i val="0"/>
        <color theme="0"/>
      </font>
      <fill>
        <patternFill>
          <bgColor theme="8"/>
        </patternFill>
      </fill>
    </dxf>
    <dxf>
      <font>
        <b/>
        <i val="0"/>
        <color rgb="FF9C0006"/>
      </font>
      <fill>
        <patternFill>
          <bgColor theme="5"/>
        </patternFill>
      </fill>
    </dxf>
    <dxf>
      <font>
        <b/>
        <i val="0"/>
        <color theme="0"/>
        <name val="Cambria"/>
        <scheme val="none"/>
      </font>
      <fill>
        <patternFill>
          <bgColor theme="5"/>
        </patternFill>
      </fill>
    </dxf>
    <dxf>
      <font>
        <b/>
        <i val="0"/>
        <color rgb="FFFFC000"/>
      </font>
      <fill>
        <patternFill>
          <bgColor theme="5"/>
        </patternFill>
      </fill>
    </dxf>
    <dxf>
      <font>
        <b/>
        <i val="0"/>
        <color theme="0"/>
      </font>
      <fill>
        <patternFill>
          <bgColor theme="8"/>
        </patternFill>
      </fill>
    </dxf>
    <dxf>
      <font>
        <b/>
        <i val="0"/>
        <color theme="0"/>
      </font>
      <fill>
        <patternFill>
          <bgColor theme="8"/>
        </patternFill>
      </fill>
    </dxf>
    <dxf>
      <font>
        <b/>
        <i val="0"/>
        <color rgb="FF9C0006"/>
      </font>
      <fill>
        <patternFill>
          <bgColor theme="5"/>
        </patternFill>
      </fill>
    </dxf>
    <dxf>
      <font>
        <b/>
        <i val="0"/>
        <color theme="0"/>
        <name val="Cambria"/>
        <scheme val="none"/>
      </font>
      <fill>
        <patternFill>
          <bgColor theme="5"/>
        </patternFill>
      </fill>
    </dxf>
    <dxf>
      <font>
        <b/>
        <i val="0"/>
        <color rgb="FFFFC000"/>
      </font>
      <fill>
        <patternFill>
          <bgColor theme="5"/>
        </patternFill>
      </fill>
    </dxf>
    <dxf>
      <font>
        <b/>
        <i val="0"/>
        <color theme="0"/>
      </font>
      <fill>
        <patternFill>
          <bgColor theme="8"/>
        </patternFill>
      </fill>
    </dxf>
    <dxf>
      <font>
        <b/>
        <i val="0"/>
        <color theme="0"/>
      </font>
      <fill>
        <patternFill>
          <bgColor theme="8"/>
        </patternFill>
      </fill>
    </dxf>
    <dxf>
      <font>
        <b/>
        <i val="0"/>
        <color rgb="FF9C0006"/>
      </font>
      <fill>
        <patternFill>
          <bgColor theme="5"/>
        </patternFill>
      </fill>
    </dxf>
    <dxf>
      <font>
        <b/>
        <i val="0"/>
        <color theme="0"/>
        <name val="Cambria"/>
        <scheme val="none"/>
      </font>
      <fill>
        <patternFill>
          <bgColor theme="5"/>
        </patternFill>
      </fill>
    </dxf>
    <dxf>
      <font>
        <b/>
        <i val="0"/>
        <color rgb="FFFFC000"/>
      </font>
      <fill>
        <patternFill>
          <bgColor theme="5"/>
        </patternFill>
      </fill>
    </dxf>
    <dxf>
      <font>
        <b/>
        <i val="0"/>
        <color theme="0"/>
      </font>
      <fill>
        <patternFill>
          <bgColor theme="8"/>
        </patternFill>
      </fill>
    </dxf>
    <dxf>
      <font>
        <b/>
        <i val="0"/>
        <color theme="0"/>
      </font>
      <fill>
        <patternFill>
          <bgColor theme="8"/>
        </patternFill>
      </fill>
    </dxf>
    <dxf>
      <font>
        <b/>
        <i val="0"/>
        <color rgb="FF9C0006"/>
      </font>
      <fill>
        <patternFill>
          <bgColor theme="5"/>
        </patternFill>
      </fill>
    </dxf>
    <dxf>
      <font>
        <b/>
        <i val="0"/>
        <color theme="0"/>
        <name val="Cambria"/>
        <scheme val="none"/>
      </font>
      <fill>
        <patternFill>
          <bgColor theme="5"/>
        </patternFill>
      </fill>
    </dxf>
    <dxf>
      <font>
        <b/>
        <i val="0"/>
        <color rgb="FFFFC000"/>
      </font>
      <fill>
        <patternFill>
          <bgColor theme="5"/>
        </patternFill>
      </fill>
    </dxf>
    <dxf>
      <font>
        <b/>
        <i val="0"/>
        <color theme="0"/>
      </font>
      <fill>
        <patternFill>
          <bgColor theme="8"/>
        </patternFill>
      </fill>
    </dxf>
    <dxf>
      <font>
        <b/>
        <i val="0"/>
        <color theme="0"/>
      </font>
      <fill>
        <patternFill>
          <bgColor theme="8"/>
        </patternFill>
      </fill>
    </dxf>
    <dxf>
      <font>
        <b/>
        <i val="0"/>
        <color rgb="FF9C0006"/>
      </font>
      <fill>
        <patternFill>
          <bgColor theme="5"/>
        </patternFill>
      </fill>
    </dxf>
    <dxf>
      <font>
        <b/>
        <i val="0"/>
        <color theme="0"/>
        <name val="Cambria"/>
        <scheme val="none"/>
      </font>
      <fill>
        <patternFill>
          <bgColor theme="5"/>
        </patternFill>
      </fill>
    </dxf>
    <dxf>
      <font>
        <b/>
        <i val="0"/>
        <color rgb="FFFFC000"/>
      </font>
      <fill>
        <patternFill>
          <bgColor theme="5"/>
        </patternFill>
      </fill>
    </dxf>
    <dxf>
      <font>
        <b/>
        <i val="0"/>
        <color theme="0"/>
      </font>
      <fill>
        <patternFill>
          <bgColor theme="8"/>
        </patternFill>
      </fill>
    </dxf>
    <dxf>
      <font>
        <b/>
        <i val="0"/>
        <color theme="0"/>
      </font>
      <fill>
        <patternFill>
          <bgColor theme="8"/>
        </patternFill>
      </fill>
    </dxf>
    <dxf>
      <font>
        <b/>
        <i val="0"/>
        <color rgb="FF9C0006"/>
      </font>
      <fill>
        <patternFill>
          <bgColor theme="5"/>
        </patternFill>
      </fill>
    </dxf>
    <dxf>
      <font>
        <b/>
        <i val="0"/>
        <color theme="0"/>
        <name val="Cambria"/>
        <scheme val="none"/>
      </font>
      <fill>
        <patternFill>
          <bgColor theme="5"/>
        </patternFill>
      </fill>
    </dxf>
    <dxf>
      <font>
        <b/>
        <i val="0"/>
        <color rgb="FFFFC000"/>
      </font>
      <fill>
        <patternFill>
          <bgColor theme="5"/>
        </patternFill>
      </fill>
    </dxf>
    <dxf>
      <font>
        <b/>
        <i val="0"/>
        <color theme="0"/>
      </font>
      <fill>
        <patternFill>
          <bgColor theme="8"/>
        </patternFill>
      </fill>
    </dxf>
    <dxf>
      <font>
        <b/>
        <i val="0"/>
        <color theme="0"/>
      </font>
      <fill>
        <patternFill>
          <bgColor theme="8"/>
        </patternFill>
      </fill>
    </dxf>
    <dxf>
      <font>
        <b/>
        <i val="0"/>
        <color rgb="FF9C0006"/>
      </font>
      <fill>
        <patternFill>
          <bgColor theme="5"/>
        </patternFill>
      </fill>
    </dxf>
    <dxf>
      <font>
        <b/>
        <i val="0"/>
        <color theme="0"/>
        <name val="Cambria"/>
        <scheme val="none"/>
      </font>
      <fill>
        <patternFill>
          <bgColor theme="5"/>
        </patternFill>
      </fill>
    </dxf>
    <dxf>
      <font>
        <b/>
        <i val="0"/>
        <color rgb="FFFFC000"/>
      </font>
      <fill>
        <patternFill>
          <bgColor theme="5"/>
        </patternFill>
      </fill>
    </dxf>
    <dxf>
      <font>
        <b/>
        <i val="0"/>
        <color theme="0"/>
      </font>
      <fill>
        <patternFill>
          <bgColor theme="8"/>
        </patternFill>
      </fill>
    </dxf>
    <dxf>
      <font>
        <b/>
        <i val="0"/>
        <color theme="0"/>
      </font>
      <fill>
        <patternFill>
          <bgColor theme="8"/>
        </patternFill>
      </fill>
    </dxf>
    <dxf>
      <font>
        <b/>
        <i val="0"/>
        <color rgb="FF9C0006"/>
      </font>
      <fill>
        <patternFill>
          <bgColor theme="5"/>
        </patternFill>
      </fill>
    </dxf>
    <dxf>
      <font>
        <b/>
        <i val="0"/>
        <color theme="0"/>
        <name val="Cambria"/>
        <scheme val="none"/>
      </font>
      <fill>
        <patternFill>
          <bgColor theme="5"/>
        </patternFill>
      </fill>
    </dxf>
    <dxf>
      <font>
        <b/>
        <i val="0"/>
        <color rgb="FFFFC000"/>
      </font>
      <fill>
        <patternFill>
          <bgColor theme="5"/>
        </patternFill>
      </fill>
    </dxf>
    <dxf>
      <font>
        <b/>
        <i val="0"/>
        <color theme="0"/>
      </font>
      <fill>
        <patternFill>
          <bgColor theme="8"/>
        </patternFill>
      </fill>
    </dxf>
    <dxf>
      <font>
        <b/>
        <i val="0"/>
        <color theme="0"/>
      </font>
      <fill>
        <patternFill>
          <bgColor theme="8"/>
        </patternFill>
      </fill>
    </dxf>
    <dxf>
      <font>
        <b/>
        <i val="0"/>
        <color rgb="FF9C0006"/>
      </font>
      <fill>
        <patternFill>
          <bgColor theme="5"/>
        </patternFill>
      </fill>
    </dxf>
    <dxf>
      <font>
        <b/>
        <i val="0"/>
        <color theme="0"/>
        <name val="Cambria"/>
        <scheme val="none"/>
      </font>
      <fill>
        <patternFill>
          <bgColor theme="5"/>
        </patternFill>
      </fill>
    </dxf>
    <dxf>
      <font>
        <b/>
        <i val="0"/>
        <color rgb="FFFFC000"/>
      </font>
      <fill>
        <patternFill>
          <bgColor theme="5"/>
        </patternFill>
      </fill>
    </dxf>
    <dxf>
      <font>
        <b/>
        <i val="0"/>
        <color theme="0"/>
      </font>
      <fill>
        <patternFill>
          <bgColor theme="8"/>
        </patternFill>
      </fill>
    </dxf>
    <dxf>
      <font>
        <b/>
        <i val="0"/>
        <color theme="0"/>
      </font>
      <fill>
        <patternFill>
          <bgColor theme="8"/>
        </patternFill>
      </fill>
    </dxf>
    <dxf>
      <font>
        <b/>
        <i val="0"/>
        <color rgb="FF9C0006"/>
      </font>
      <fill>
        <patternFill>
          <bgColor theme="5"/>
        </patternFill>
      </fill>
    </dxf>
    <dxf>
      <font>
        <b/>
        <i val="0"/>
        <color theme="0"/>
        <name val="Cambria"/>
        <scheme val="none"/>
      </font>
      <fill>
        <patternFill>
          <bgColor theme="5"/>
        </patternFill>
      </fill>
    </dxf>
    <dxf>
      <font>
        <b/>
        <i val="0"/>
        <color rgb="FFFFC000"/>
      </font>
      <fill>
        <patternFill>
          <bgColor theme="5"/>
        </patternFill>
      </fill>
    </dxf>
    <dxf>
      <font>
        <b/>
        <i val="0"/>
        <color theme="0"/>
      </font>
      <fill>
        <patternFill>
          <bgColor theme="8"/>
        </patternFill>
      </fill>
    </dxf>
    <dxf>
      <font>
        <b/>
        <i val="0"/>
        <color theme="0"/>
      </font>
      <fill>
        <patternFill>
          <bgColor theme="8"/>
        </patternFill>
      </fill>
    </dxf>
    <dxf>
      <font>
        <b/>
        <i val="0"/>
        <color rgb="FF9C0006"/>
      </font>
      <fill>
        <patternFill>
          <bgColor theme="5"/>
        </patternFill>
      </fill>
    </dxf>
    <dxf>
      <font>
        <b/>
        <i val="0"/>
        <color theme="0"/>
        <name val="Cambria"/>
        <scheme val="none"/>
      </font>
      <fill>
        <patternFill>
          <bgColor theme="5"/>
        </patternFill>
      </fill>
    </dxf>
    <dxf>
      <font>
        <b/>
        <i val="0"/>
        <color rgb="FFFFC000"/>
      </font>
      <fill>
        <patternFill>
          <bgColor theme="5"/>
        </patternFill>
      </fill>
    </dxf>
    <dxf>
      <font>
        <b/>
        <i val="0"/>
        <color theme="0"/>
      </font>
      <fill>
        <patternFill>
          <bgColor theme="8"/>
        </patternFill>
      </fill>
    </dxf>
    <dxf>
      <font>
        <b/>
        <i val="0"/>
        <color theme="0"/>
      </font>
      <fill>
        <patternFill>
          <bgColor theme="8"/>
        </patternFill>
      </fill>
    </dxf>
    <dxf>
      <font>
        <b/>
        <i val="0"/>
        <color rgb="FF9C0006"/>
      </font>
      <fill>
        <patternFill>
          <bgColor theme="5"/>
        </patternFill>
      </fill>
    </dxf>
    <dxf>
      <font>
        <b/>
        <i val="0"/>
        <color theme="0"/>
        <name val="Cambria"/>
        <scheme val="none"/>
      </font>
      <fill>
        <patternFill>
          <bgColor theme="5"/>
        </patternFill>
      </fill>
    </dxf>
    <dxf>
      <font>
        <b/>
        <i val="0"/>
        <color rgb="FFFFC000"/>
      </font>
      <fill>
        <patternFill>
          <bgColor theme="5"/>
        </patternFill>
      </fill>
    </dxf>
    <dxf>
      <font>
        <b/>
        <i val="0"/>
        <color theme="0"/>
      </font>
      <fill>
        <patternFill>
          <bgColor theme="8"/>
        </patternFill>
      </fill>
    </dxf>
    <dxf>
      <font>
        <b/>
        <i val="0"/>
        <color theme="0"/>
      </font>
      <fill>
        <patternFill>
          <bgColor theme="8"/>
        </patternFill>
      </fill>
    </dxf>
    <dxf>
      <font>
        <b/>
        <i val="0"/>
        <color rgb="FF9C0006"/>
      </font>
      <fill>
        <patternFill>
          <bgColor theme="5"/>
        </patternFill>
      </fill>
    </dxf>
    <dxf>
      <font>
        <b/>
        <i val="0"/>
        <color theme="0"/>
        <name val="Cambria"/>
        <scheme val="none"/>
      </font>
      <fill>
        <patternFill>
          <bgColor theme="5"/>
        </patternFill>
      </fill>
    </dxf>
    <dxf>
      <font>
        <b/>
        <i val="0"/>
        <color rgb="FFFFC000"/>
      </font>
      <fill>
        <patternFill>
          <bgColor theme="5"/>
        </patternFill>
      </fill>
    </dxf>
    <dxf>
      <font>
        <b/>
        <i val="0"/>
        <color theme="0"/>
      </font>
      <fill>
        <patternFill>
          <bgColor theme="8"/>
        </patternFill>
      </fill>
    </dxf>
    <dxf>
      <font>
        <b/>
        <i val="0"/>
        <color theme="0"/>
      </font>
      <fill>
        <patternFill>
          <bgColor theme="8"/>
        </patternFill>
      </fill>
    </dxf>
    <dxf>
      <font>
        <b/>
        <i val="0"/>
        <color rgb="FF9C0006"/>
      </font>
      <fill>
        <patternFill>
          <bgColor theme="5"/>
        </patternFill>
      </fill>
    </dxf>
    <dxf>
      <font>
        <b/>
        <i val="0"/>
        <color theme="0"/>
        <name val="Cambria"/>
        <scheme val="none"/>
      </font>
      <fill>
        <patternFill>
          <bgColor theme="5"/>
        </patternFill>
      </fill>
    </dxf>
    <dxf>
      <font>
        <b/>
        <i val="0"/>
        <color rgb="FFFFC000"/>
      </font>
      <fill>
        <patternFill>
          <bgColor theme="5"/>
        </patternFill>
      </fill>
    </dxf>
    <dxf>
      <font>
        <b/>
        <i val="0"/>
        <color theme="0"/>
      </font>
      <fill>
        <patternFill>
          <bgColor theme="8"/>
        </patternFill>
      </fill>
    </dxf>
    <dxf>
      <font>
        <b/>
        <i val="0"/>
        <color theme="0"/>
      </font>
      <fill>
        <patternFill>
          <bgColor theme="8"/>
        </patternFill>
      </fill>
    </dxf>
    <dxf>
      <font>
        <b/>
        <i val="0"/>
        <color rgb="FF9C0006"/>
      </font>
      <fill>
        <patternFill>
          <bgColor theme="5"/>
        </patternFill>
      </fill>
    </dxf>
    <dxf>
      <font>
        <b/>
        <i val="0"/>
        <color theme="0"/>
        <name val="Cambria"/>
        <scheme val="none"/>
      </font>
      <fill>
        <patternFill>
          <bgColor theme="5"/>
        </patternFill>
      </fill>
    </dxf>
    <dxf>
      <font>
        <b/>
        <i val="0"/>
        <color rgb="FFFFC000"/>
      </font>
      <fill>
        <patternFill>
          <bgColor theme="5"/>
        </patternFill>
      </fill>
    </dxf>
    <dxf>
      <font>
        <b/>
        <i val="0"/>
        <color theme="0"/>
      </font>
      <fill>
        <patternFill>
          <bgColor theme="8"/>
        </patternFill>
      </fill>
    </dxf>
    <dxf>
      <font>
        <b/>
        <i val="0"/>
        <color theme="0"/>
      </font>
      <fill>
        <patternFill>
          <bgColor theme="8"/>
        </patternFill>
      </fill>
    </dxf>
    <dxf>
      <font>
        <b/>
        <i val="0"/>
        <color rgb="FF9C0006"/>
      </font>
      <fill>
        <patternFill>
          <bgColor theme="5"/>
        </patternFill>
      </fill>
    </dxf>
    <dxf>
      <font>
        <b/>
        <i val="0"/>
        <color theme="0"/>
        <name val="Cambria"/>
        <scheme val="none"/>
      </font>
      <fill>
        <patternFill>
          <bgColor theme="5"/>
        </patternFill>
      </fill>
    </dxf>
    <dxf>
      <font>
        <b/>
        <i val="0"/>
        <color rgb="FFFFC000"/>
      </font>
      <fill>
        <patternFill>
          <bgColor theme="5"/>
        </patternFill>
      </fill>
    </dxf>
    <dxf>
      <font>
        <b/>
        <i val="0"/>
        <color theme="0"/>
      </font>
      <fill>
        <patternFill>
          <bgColor theme="8"/>
        </patternFill>
      </fill>
    </dxf>
    <dxf>
      <font>
        <b/>
        <i val="0"/>
        <color theme="0"/>
      </font>
      <fill>
        <patternFill>
          <bgColor theme="8"/>
        </patternFill>
      </fill>
    </dxf>
    <dxf>
      <font>
        <b/>
        <i val="0"/>
        <color rgb="FF9C0006"/>
      </font>
      <fill>
        <patternFill>
          <bgColor theme="5"/>
        </patternFill>
      </fill>
    </dxf>
    <dxf>
      <font>
        <b/>
        <i val="0"/>
        <color theme="0"/>
        <name val="Cambria"/>
        <scheme val="none"/>
      </font>
      <fill>
        <patternFill>
          <bgColor theme="5"/>
        </patternFill>
      </fill>
    </dxf>
    <dxf>
      <font>
        <b/>
        <i val="0"/>
        <color rgb="FFFFC000"/>
      </font>
      <fill>
        <patternFill>
          <bgColor theme="5"/>
        </patternFill>
      </fill>
    </dxf>
    <dxf>
      <font>
        <b/>
        <i val="0"/>
        <color theme="0"/>
      </font>
      <fill>
        <patternFill>
          <bgColor theme="8"/>
        </patternFill>
      </fill>
    </dxf>
    <dxf>
      <font>
        <b/>
        <i val="0"/>
        <color theme="0"/>
      </font>
      <fill>
        <patternFill>
          <bgColor theme="8"/>
        </patternFill>
      </fill>
    </dxf>
    <dxf>
      <font>
        <b/>
        <i val="0"/>
        <color rgb="FF9C0006"/>
      </font>
      <fill>
        <patternFill>
          <bgColor theme="5"/>
        </patternFill>
      </fill>
    </dxf>
    <dxf>
      <font>
        <b/>
        <i val="0"/>
        <color theme="0"/>
        <name val="Cambria"/>
        <scheme val="none"/>
      </font>
      <fill>
        <patternFill>
          <bgColor theme="5"/>
        </patternFill>
      </fill>
    </dxf>
    <dxf>
      <font>
        <b/>
        <i val="0"/>
        <color rgb="FFFFC000"/>
      </font>
      <fill>
        <patternFill>
          <bgColor theme="5"/>
        </patternFill>
      </fill>
    </dxf>
    <dxf>
      <font>
        <b/>
        <i val="0"/>
        <color theme="0"/>
      </font>
      <fill>
        <patternFill>
          <bgColor theme="8"/>
        </patternFill>
      </fill>
    </dxf>
    <dxf>
      <font>
        <b/>
        <i val="0"/>
        <color theme="0"/>
      </font>
      <fill>
        <patternFill>
          <bgColor theme="8"/>
        </patternFill>
      </fill>
    </dxf>
    <dxf>
      <font>
        <b/>
        <i val="0"/>
        <color rgb="FF9C0006"/>
      </font>
      <fill>
        <patternFill>
          <bgColor theme="5"/>
        </patternFill>
      </fill>
    </dxf>
    <dxf>
      <font>
        <b/>
        <i val="0"/>
        <color theme="0"/>
        <name val="Cambria"/>
        <scheme val="none"/>
      </font>
      <fill>
        <patternFill>
          <bgColor theme="5"/>
        </patternFill>
      </fill>
    </dxf>
    <dxf>
      <font>
        <b/>
        <i val="0"/>
        <color rgb="FFFFC000"/>
      </font>
      <fill>
        <patternFill>
          <bgColor theme="5"/>
        </patternFill>
      </fill>
    </dxf>
    <dxf>
      <font>
        <b/>
        <i val="0"/>
        <color theme="0"/>
      </font>
      <fill>
        <patternFill>
          <bgColor theme="8"/>
        </patternFill>
      </fill>
    </dxf>
    <dxf>
      <font>
        <b/>
        <i val="0"/>
        <color theme="0"/>
      </font>
      <fill>
        <patternFill>
          <bgColor theme="8"/>
        </patternFill>
      </fill>
    </dxf>
    <dxf>
      <font>
        <b/>
        <i val="0"/>
        <color rgb="FF9C0006"/>
      </font>
      <fill>
        <patternFill>
          <bgColor theme="5"/>
        </patternFill>
      </fill>
    </dxf>
    <dxf>
      <font>
        <b/>
        <i val="0"/>
        <color theme="0"/>
        <name val="Cambria"/>
        <scheme val="none"/>
      </font>
      <fill>
        <patternFill>
          <bgColor theme="5"/>
        </patternFill>
      </fill>
    </dxf>
    <dxf>
      <font>
        <b/>
        <i val="0"/>
        <color rgb="FFFFC000"/>
      </font>
      <fill>
        <patternFill>
          <bgColor theme="5"/>
        </patternFill>
      </fill>
    </dxf>
    <dxf>
      <font>
        <b/>
        <i val="0"/>
        <color theme="0"/>
      </font>
      <fill>
        <patternFill>
          <bgColor theme="8"/>
        </patternFill>
      </fill>
    </dxf>
    <dxf>
      <font>
        <b/>
        <i val="0"/>
        <color theme="0"/>
      </font>
      <fill>
        <patternFill>
          <bgColor theme="8"/>
        </patternFill>
      </fill>
    </dxf>
    <dxf>
      <font>
        <b/>
        <i val="0"/>
        <color rgb="FF9C0006"/>
      </font>
      <fill>
        <patternFill>
          <bgColor theme="5"/>
        </patternFill>
      </fill>
    </dxf>
    <dxf>
      <font>
        <b/>
        <i val="0"/>
        <color theme="0"/>
        <name val="Cambria"/>
        <scheme val="none"/>
      </font>
      <fill>
        <patternFill>
          <bgColor theme="5"/>
        </patternFill>
      </fill>
    </dxf>
    <dxf>
      <font>
        <b/>
        <i val="0"/>
        <color rgb="FFFFC000"/>
      </font>
      <fill>
        <patternFill>
          <bgColor theme="5"/>
        </patternFill>
      </fill>
    </dxf>
    <dxf>
      <font>
        <b/>
        <i val="0"/>
        <color theme="0"/>
      </font>
      <fill>
        <patternFill>
          <bgColor theme="8"/>
        </patternFill>
      </fill>
    </dxf>
    <dxf>
      <font>
        <b/>
        <i val="0"/>
        <color theme="0"/>
      </font>
      <fill>
        <patternFill>
          <bgColor theme="8"/>
        </patternFill>
      </fill>
    </dxf>
    <dxf>
      <font>
        <b/>
        <i val="0"/>
        <color rgb="FF9C0006"/>
      </font>
      <fill>
        <patternFill>
          <bgColor theme="5"/>
        </patternFill>
      </fill>
    </dxf>
    <dxf>
      <font>
        <b/>
        <i val="0"/>
        <color theme="0"/>
        <name val="Cambria"/>
        <scheme val="none"/>
      </font>
      <fill>
        <patternFill>
          <bgColor theme="5"/>
        </patternFill>
      </fill>
    </dxf>
    <dxf>
      <font>
        <b/>
        <i val="0"/>
        <color rgb="FFFFC000"/>
      </font>
      <fill>
        <patternFill>
          <bgColor theme="5"/>
        </patternFill>
      </fill>
    </dxf>
    <dxf>
      <font>
        <b/>
        <i val="0"/>
        <color theme="0"/>
      </font>
      <fill>
        <patternFill>
          <bgColor theme="8"/>
        </patternFill>
      </fill>
    </dxf>
    <dxf>
      <font>
        <b/>
        <i val="0"/>
        <color theme="0"/>
      </font>
      <fill>
        <patternFill>
          <bgColor theme="8"/>
        </patternFill>
      </fill>
    </dxf>
    <dxf>
      <font>
        <b/>
        <i val="0"/>
        <color rgb="FF9C0006"/>
      </font>
      <fill>
        <patternFill>
          <bgColor theme="5"/>
        </patternFill>
      </fill>
    </dxf>
    <dxf>
      <font>
        <b/>
        <i val="0"/>
        <color theme="0"/>
        <name val="Cambria"/>
        <scheme val="none"/>
      </font>
      <fill>
        <patternFill>
          <bgColor theme="5"/>
        </patternFill>
      </fill>
    </dxf>
    <dxf>
      <font>
        <b/>
        <i val="0"/>
        <color rgb="FFFFC000"/>
      </font>
      <fill>
        <patternFill>
          <bgColor theme="5"/>
        </patternFill>
      </fill>
    </dxf>
    <dxf>
      <font>
        <b/>
        <i val="0"/>
        <color theme="0"/>
      </font>
      <fill>
        <patternFill>
          <bgColor theme="8"/>
        </patternFill>
      </fill>
    </dxf>
    <dxf>
      <font>
        <b/>
        <i val="0"/>
        <color theme="0"/>
      </font>
      <fill>
        <patternFill>
          <bgColor theme="8"/>
        </patternFill>
      </fill>
    </dxf>
    <dxf>
      <font>
        <b/>
        <i val="0"/>
        <color rgb="FF9C0006"/>
      </font>
      <fill>
        <patternFill>
          <bgColor theme="5"/>
        </patternFill>
      </fill>
    </dxf>
    <dxf>
      <font>
        <b/>
        <i val="0"/>
        <color theme="0"/>
        <name val="Cambria"/>
        <scheme val="none"/>
      </font>
      <fill>
        <patternFill>
          <bgColor theme="5"/>
        </patternFill>
      </fill>
    </dxf>
    <dxf>
      <font>
        <b/>
        <i val="0"/>
        <color rgb="FFFFC000"/>
      </font>
      <fill>
        <patternFill>
          <bgColor theme="5"/>
        </patternFill>
      </fill>
    </dxf>
    <dxf>
      <font>
        <b/>
        <i val="0"/>
        <color theme="0"/>
      </font>
      <fill>
        <patternFill>
          <bgColor theme="8"/>
        </patternFill>
      </fill>
    </dxf>
    <dxf>
      <font>
        <b/>
        <i val="0"/>
        <color theme="0"/>
      </font>
      <fill>
        <patternFill>
          <bgColor theme="8"/>
        </patternFill>
      </fill>
    </dxf>
    <dxf>
      <font>
        <b/>
        <i val="0"/>
        <color rgb="FF9C0006"/>
      </font>
      <fill>
        <patternFill>
          <bgColor theme="5"/>
        </patternFill>
      </fill>
    </dxf>
    <dxf>
      <font>
        <b/>
        <i val="0"/>
        <color theme="0"/>
        <name val="Cambria"/>
        <scheme val="none"/>
      </font>
      <fill>
        <patternFill>
          <bgColor theme="5"/>
        </patternFill>
      </fill>
    </dxf>
    <dxf>
      <font>
        <b/>
        <i val="0"/>
        <color rgb="FFFFC000"/>
      </font>
      <fill>
        <patternFill>
          <bgColor theme="5"/>
        </patternFill>
      </fill>
    </dxf>
    <dxf>
      <font>
        <b/>
        <i val="0"/>
        <color theme="0"/>
      </font>
      <fill>
        <patternFill>
          <bgColor theme="8"/>
        </patternFill>
      </fill>
    </dxf>
    <dxf>
      <font>
        <b/>
        <i val="0"/>
        <color theme="0"/>
      </font>
      <fill>
        <patternFill>
          <bgColor theme="8"/>
        </patternFill>
      </fill>
    </dxf>
    <dxf>
      <font>
        <b/>
        <i val="0"/>
        <color rgb="FF9C0006"/>
      </font>
      <fill>
        <patternFill>
          <bgColor theme="5"/>
        </patternFill>
      </fill>
    </dxf>
    <dxf>
      <font>
        <b/>
        <i val="0"/>
        <color theme="0"/>
        <name val="Cambria"/>
        <scheme val="none"/>
      </font>
      <fill>
        <patternFill>
          <bgColor theme="5"/>
        </patternFill>
      </fill>
    </dxf>
    <dxf>
      <font>
        <b/>
        <i val="0"/>
        <color rgb="FFFFC000"/>
      </font>
      <fill>
        <patternFill>
          <bgColor theme="5"/>
        </patternFill>
      </fill>
    </dxf>
    <dxf>
      <font>
        <b/>
        <i val="0"/>
        <color theme="0"/>
      </font>
      <fill>
        <patternFill>
          <bgColor theme="8"/>
        </patternFill>
      </fill>
    </dxf>
    <dxf>
      <font>
        <b/>
        <i val="0"/>
        <color theme="0"/>
      </font>
      <fill>
        <patternFill>
          <bgColor theme="8"/>
        </patternFill>
      </fill>
    </dxf>
    <dxf>
      <font>
        <b/>
        <i val="0"/>
        <color rgb="FF9C0006"/>
      </font>
      <fill>
        <patternFill>
          <bgColor theme="5"/>
        </patternFill>
      </fill>
    </dxf>
    <dxf>
      <font>
        <b/>
        <i val="0"/>
        <color theme="0"/>
        <name val="Cambria"/>
        <scheme val="none"/>
      </font>
      <fill>
        <patternFill>
          <bgColor theme="5"/>
        </patternFill>
      </fill>
    </dxf>
    <dxf>
      <font>
        <b/>
        <i val="0"/>
        <color rgb="FFFFC000"/>
      </font>
      <fill>
        <patternFill>
          <bgColor theme="5"/>
        </patternFill>
      </fill>
    </dxf>
    <dxf>
      <font>
        <b/>
        <i val="0"/>
        <color theme="0"/>
      </font>
      <fill>
        <patternFill>
          <bgColor theme="8"/>
        </patternFill>
      </fill>
    </dxf>
    <dxf>
      <font>
        <b/>
        <i val="0"/>
        <color theme="0"/>
      </font>
      <fill>
        <patternFill>
          <bgColor theme="8"/>
        </patternFill>
      </fill>
    </dxf>
    <dxf>
      <font>
        <b/>
        <i val="0"/>
        <color rgb="FF9C0006"/>
      </font>
      <fill>
        <patternFill>
          <bgColor theme="5"/>
        </patternFill>
      </fill>
    </dxf>
    <dxf>
      <font>
        <b/>
        <i val="0"/>
        <color theme="0"/>
        <name val="Cambria"/>
        <scheme val="none"/>
      </font>
      <fill>
        <patternFill>
          <bgColor theme="5"/>
        </patternFill>
      </fill>
    </dxf>
    <dxf>
      <font>
        <b/>
        <i val="0"/>
        <color rgb="FFFFC000"/>
      </font>
      <fill>
        <patternFill>
          <bgColor theme="5"/>
        </patternFill>
      </fill>
    </dxf>
    <dxf>
      <font>
        <b/>
        <i val="0"/>
        <color theme="0"/>
      </font>
      <fill>
        <patternFill>
          <bgColor theme="8"/>
        </patternFill>
      </fill>
    </dxf>
    <dxf>
      <font>
        <b/>
        <i val="0"/>
        <color theme="0"/>
      </font>
      <fill>
        <patternFill>
          <bgColor theme="8"/>
        </patternFill>
      </fill>
    </dxf>
    <dxf>
      <font>
        <b/>
        <i val="0"/>
        <color rgb="FF9C0006"/>
      </font>
      <fill>
        <patternFill>
          <bgColor theme="5"/>
        </patternFill>
      </fill>
    </dxf>
    <dxf>
      <font>
        <b/>
        <i val="0"/>
        <color theme="0"/>
        <name val="Cambria"/>
        <scheme val="none"/>
      </font>
      <fill>
        <patternFill>
          <bgColor theme="5"/>
        </patternFill>
      </fill>
    </dxf>
    <dxf>
      <font>
        <b/>
        <i val="0"/>
        <color rgb="FFFFC000"/>
      </font>
      <fill>
        <patternFill>
          <bgColor theme="5"/>
        </patternFill>
      </fill>
    </dxf>
    <dxf>
      <font>
        <b/>
        <i val="0"/>
        <color theme="0"/>
      </font>
      <fill>
        <patternFill>
          <bgColor theme="8"/>
        </patternFill>
      </fill>
    </dxf>
    <dxf>
      <font>
        <b/>
        <i val="0"/>
        <color theme="0"/>
      </font>
      <fill>
        <patternFill>
          <bgColor theme="8"/>
        </patternFill>
      </fill>
    </dxf>
    <dxf>
      <font>
        <b/>
        <i val="0"/>
        <color rgb="FF9C0006"/>
      </font>
      <fill>
        <patternFill>
          <bgColor theme="5"/>
        </patternFill>
      </fill>
    </dxf>
    <dxf>
      <font>
        <b/>
        <i val="0"/>
        <color theme="0"/>
        <name val="Cambria"/>
        <scheme val="none"/>
      </font>
      <fill>
        <patternFill>
          <bgColor theme="5"/>
        </patternFill>
      </fill>
    </dxf>
    <dxf>
      <font>
        <b/>
        <i val="0"/>
        <color rgb="FFFFC000"/>
      </font>
      <fill>
        <patternFill>
          <bgColor theme="5"/>
        </patternFill>
      </fill>
    </dxf>
    <dxf>
      <font>
        <b/>
        <i val="0"/>
        <color theme="0"/>
      </font>
      <fill>
        <patternFill>
          <bgColor theme="8"/>
        </patternFill>
      </fill>
    </dxf>
    <dxf>
      <font>
        <b/>
        <i val="0"/>
        <color theme="0"/>
      </font>
      <fill>
        <patternFill>
          <bgColor theme="8"/>
        </patternFill>
      </fill>
    </dxf>
    <dxf>
      <font>
        <b/>
        <i val="0"/>
        <color rgb="FF9C0006"/>
      </font>
      <fill>
        <patternFill>
          <bgColor theme="5"/>
        </patternFill>
      </fill>
    </dxf>
    <dxf>
      <font>
        <b/>
        <i val="0"/>
        <color theme="0"/>
        <name val="Cambria"/>
        <scheme val="none"/>
      </font>
      <fill>
        <patternFill>
          <bgColor theme="5"/>
        </patternFill>
      </fill>
    </dxf>
    <dxf>
      <font>
        <b/>
        <i val="0"/>
        <color rgb="FFFFC000"/>
      </font>
      <fill>
        <patternFill>
          <bgColor theme="5"/>
        </patternFill>
      </fill>
    </dxf>
    <dxf>
      <font>
        <b/>
        <i val="0"/>
        <color theme="0"/>
      </font>
      <fill>
        <patternFill>
          <bgColor theme="8"/>
        </patternFill>
      </fill>
    </dxf>
    <dxf>
      <font>
        <b/>
        <i val="0"/>
        <color theme="0"/>
      </font>
      <fill>
        <patternFill>
          <bgColor theme="8"/>
        </patternFill>
      </fill>
    </dxf>
    <dxf>
      <font>
        <b/>
        <i val="0"/>
        <color rgb="FF9C0006"/>
      </font>
      <fill>
        <patternFill>
          <bgColor theme="5"/>
        </patternFill>
      </fill>
    </dxf>
    <dxf>
      <font>
        <b/>
        <i val="0"/>
        <color theme="0"/>
        <name val="Cambria"/>
        <scheme val="none"/>
      </font>
      <fill>
        <patternFill>
          <bgColor theme="5"/>
        </patternFill>
      </fill>
    </dxf>
    <dxf>
      <font>
        <b/>
        <i val="0"/>
        <color rgb="FFFFC000"/>
      </font>
      <fill>
        <patternFill>
          <bgColor theme="5"/>
        </patternFill>
      </fill>
    </dxf>
    <dxf>
      <font>
        <b/>
        <i val="0"/>
        <color theme="0"/>
      </font>
      <fill>
        <patternFill>
          <bgColor theme="8"/>
        </patternFill>
      </fill>
    </dxf>
    <dxf>
      <font>
        <b/>
        <i val="0"/>
        <color theme="0"/>
      </font>
      <fill>
        <patternFill>
          <bgColor theme="8"/>
        </patternFill>
      </fill>
    </dxf>
    <dxf>
      <font>
        <b/>
        <i val="0"/>
        <color rgb="FF9C0006"/>
      </font>
      <fill>
        <patternFill>
          <bgColor theme="5"/>
        </patternFill>
      </fill>
    </dxf>
    <dxf>
      <font>
        <b/>
        <i val="0"/>
        <color theme="0"/>
        <name val="Cambria"/>
        <scheme val="none"/>
      </font>
      <fill>
        <patternFill>
          <bgColor theme="5"/>
        </patternFill>
      </fill>
    </dxf>
    <dxf>
      <font>
        <b/>
        <i val="0"/>
        <color rgb="FFFFC000"/>
      </font>
      <fill>
        <patternFill>
          <bgColor theme="5"/>
        </patternFill>
      </fill>
    </dxf>
    <dxf>
      <font>
        <b/>
        <i val="0"/>
        <color theme="0"/>
      </font>
      <fill>
        <patternFill>
          <bgColor theme="8"/>
        </patternFill>
      </fill>
    </dxf>
    <dxf>
      <font>
        <b/>
        <i val="0"/>
        <color theme="0"/>
      </font>
      <fill>
        <patternFill>
          <bgColor theme="8"/>
        </patternFill>
      </fill>
    </dxf>
    <dxf>
      <font>
        <b/>
        <i val="0"/>
        <color rgb="FF9C0006"/>
      </font>
      <fill>
        <patternFill>
          <bgColor theme="5"/>
        </patternFill>
      </fill>
    </dxf>
    <dxf>
      <font>
        <b/>
        <i val="0"/>
        <color theme="0"/>
        <name val="Cambria"/>
        <scheme val="none"/>
      </font>
      <fill>
        <patternFill>
          <bgColor theme="5"/>
        </patternFill>
      </fill>
    </dxf>
    <dxf>
      <font>
        <b/>
        <i val="0"/>
        <color rgb="FFFFC000"/>
      </font>
      <fill>
        <patternFill>
          <bgColor theme="5"/>
        </patternFill>
      </fill>
    </dxf>
    <dxf>
      <font>
        <b/>
        <i val="0"/>
        <color theme="0"/>
      </font>
      <fill>
        <patternFill>
          <bgColor theme="8"/>
        </patternFill>
      </fill>
    </dxf>
    <dxf>
      <font>
        <b/>
        <i val="0"/>
        <color theme="0"/>
      </font>
      <fill>
        <patternFill>
          <bgColor theme="8"/>
        </patternFill>
      </fill>
    </dxf>
    <dxf>
      <font>
        <b/>
        <i val="0"/>
        <color rgb="FF9C0006"/>
      </font>
      <fill>
        <patternFill>
          <bgColor theme="5"/>
        </patternFill>
      </fill>
    </dxf>
    <dxf>
      <font>
        <b/>
        <i val="0"/>
        <color theme="0"/>
        <name val="Cambria"/>
        <scheme val="none"/>
      </font>
      <fill>
        <patternFill>
          <bgColor theme="5"/>
        </patternFill>
      </fill>
    </dxf>
    <dxf>
      <font>
        <b/>
        <i val="0"/>
        <color rgb="FFFFC000"/>
      </font>
      <fill>
        <patternFill>
          <bgColor theme="5"/>
        </patternFill>
      </fill>
    </dxf>
    <dxf>
      <font>
        <b/>
        <i val="0"/>
        <color theme="0"/>
      </font>
      <fill>
        <patternFill>
          <bgColor theme="8"/>
        </patternFill>
      </fill>
    </dxf>
    <dxf>
      <font>
        <b/>
        <i val="0"/>
        <color theme="0"/>
      </font>
      <fill>
        <patternFill>
          <bgColor theme="8"/>
        </patternFill>
      </fill>
    </dxf>
    <dxf>
      <font>
        <b/>
        <i val="0"/>
        <color rgb="FF9C0006"/>
      </font>
      <fill>
        <patternFill>
          <bgColor theme="5"/>
        </patternFill>
      </fill>
    </dxf>
    <dxf>
      <font>
        <b/>
        <i val="0"/>
        <color theme="0"/>
        <name val="Cambria"/>
        <scheme val="none"/>
      </font>
      <fill>
        <patternFill>
          <bgColor theme="5"/>
        </patternFill>
      </fill>
    </dxf>
    <dxf>
      <font>
        <b/>
        <i val="0"/>
        <color rgb="FFFFC000"/>
      </font>
      <fill>
        <patternFill>
          <bgColor theme="5"/>
        </patternFill>
      </fill>
    </dxf>
    <dxf>
      <font>
        <b/>
        <i val="0"/>
        <color theme="0"/>
      </font>
      <fill>
        <patternFill>
          <bgColor theme="8"/>
        </patternFill>
      </fill>
    </dxf>
    <dxf>
      <font>
        <b/>
        <i val="0"/>
        <color theme="0"/>
      </font>
      <fill>
        <patternFill>
          <bgColor theme="8"/>
        </patternFill>
      </fill>
    </dxf>
    <dxf>
      <font>
        <b/>
        <i val="0"/>
        <color rgb="FF9C0006"/>
      </font>
      <fill>
        <patternFill>
          <bgColor theme="5"/>
        </patternFill>
      </fill>
    </dxf>
    <dxf>
      <font>
        <b/>
        <i val="0"/>
        <color theme="0"/>
        <name val="Cambria"/>
        <scheme val="none"/>
      </font>
      <fill>
        <patternFill>
          <bgColor theme="5"/>
        </patternFill>
      </fill>
    </dxf>
    <dxf>
      <font>
        <b/>
        <i val="0"/>
        <color rgb="FFFFC000"/>
      </font>
      <fill>
        <patternFill>
          <bgColor theme="5"/>
        </patternFill>
      </fill>
    </dxf>
    <dxf>
      <font>
        <b/>
        <i val="0"/>
        <color theme="0"/>
      </font>
      <fill>
        <patternFill>
          <bgColor theme="8"/>
        </patternFill>
      </fill>
    </dxf>
    <dxf>
      <font>
        <b/>
        <i val="0"/>
        <color theme="0"/>
      </font>
      <fill>
        <patternFill>
          <bgColor theme="8"/>
        </patternFill>
      </fill>
    </dxf>
    <dxf>
      <font>
        <b/>
        <i val="0"/>
        <color rgb="FF9C0006"/>
      </font>
      <fill>
        <patternFill>
          <bgColor theme="5"/>
        </patternFill>
      </fill>
    </dxf>
    <dxf>
      <font>
        <b/>
        <i val="0"/>
        <color theme="0"/>
        <name val="Cambria"/>
        <scheme val="none"/>
      </font>
      <fill>
        <patternFill>
          <bgColor theme="5"/>
        </patternFill>
      </fill>
    </dxf>
    <dxf>
      <font>
        <b/>
        <i val="0"/>
        <color rgb="FFFFC000"/>
      </font>
      <fill>
        <patternFill>
          <bgColor theme="5"/>
        </patternFill>
      </fill>
    </dxf>
    <dxf>
      <font>
        <b/>
        <i val="0"/>
        <color theme="0"/>
      </font>
      <fill>
        <patternFill>
          <bgColor theme="8"/>
        </patternFill>
      </fill>
    </dxf>
    <dxf>
      <font>
        <b/>
        <i val="0"/>
        <color theme="0"/>
      </font>
      <fill>
        <patternFill>
          <bgColor theme="8"/>
        </patternFill>
      </fill>
    </dxf>
    <dxf>
      <font>
        <b/>
        <i val="0"/>
        <color rgb="FF9C0006"/>
      </font>
      <fill>
        <patternFill>
          <bgColor theme="5"/>
        </patternFill>
      </fill>
    </dxf>
    <dxf>
      <font>
        <b/>
        <i val="0"/>
        <color theme="0"/>
        <name val="Cambria"/>
        <scheme val="none"/>
      </font>
      <fill>
        <patternFill>
          <bgColor theme="5"/>
        </patternFill>
      </fill>
    </dxf>
    <dxf>
      <font>
        <b/>
        <i val="0"/>
        <color rgb="FFFFC000"/>
      </font>
      <fill>
        <patternFill>
          <bgColor theme="5"/>
        </patternFill>
      </fill>
    </dxf>
    <dxf>
      <font>
        <b/>
        <i val="0"/>
        <color theme="0"/>
      </font>
      <fill>
        <patternFill>
          <bgColor theme="8"/>
        </patternFill>
      </fill>
    </dxf>
    <dxf>
      <font>
        <b/>
        <i val="0"/>
        <color theme="0"/>
      </font>
      <fill>
        <patternFill>
          <bgColor theme="8"/>
        </patternFill>
      </fill>
    </dxf>
    <dxf>
      <font>
        <b/>
        <i val="0"/>
        <color rgb="FF9C0006"/>
      </font>
      <fill>
        <patternFill>
          <bgColor theme="5"/>
        </patternFill>
      </fill>
    </dxf>
    <dxf>
      <font>
        <b/>
        <i val="0"/>
        <color theme="0"/>
        <name val="Cambria"/>
        <scheme val="none"/>
      </font>
      <fill>
        <patternFill>
          <bgColor theme="5"/>
        </patternFill>
      </fill>
    </dxf>
    <dxf>
      <font>
        <b/>
        <i val="0"/>
        <color rgb="FFFFC000"/>
      </font>
      <fill>
        <patternFill>
          <bgColor theme="5"/>
        </patternFill>
      </fill>
    </dxf>
    <dxf>
      <font>
        <b/>
        <i val="0"/>
        <color theme="0"/>
      </font>
      <fill>
        <patternFill>
          <bgColor theme="8"/>
        </patternFill>
      </fill>
    </dxf>
    <dxf>
      <font>
        <b/>
        <i val="0"/>
        <color theme="0"/>
      </font>
      <fill>
        <patternFill>
          <bgColor theme="8"/>
        </patternFill>
      </fill>
    </dxf>
    <dxf>
      <font>
        <b/>
        <i val="0"/>
        <color rgb="FF9C0006"/>
      </font>
      <fill>
        <patternFill>
          <bgColor theme="5"/>
        </patternFill>
      </fill>
    </dxf>
    <dxf>
      <font>
        <b/>
        <i val="0"/>
        <color theme="0"/>
        <name val="Cambria"/>
        <scheme val="none"/>
      </font>
      <fill>
        <patternFill>
          <bgColor theme="5"/>
        </patternFill>
      </fill>
    </dxf>
    <dxf>
      <font>
        <b/>
        <i val="0"/>
        <color rgb="FFFFC000"/>
      </font>
      <fill>
        <patternFill>
          <bgColor theme="5"/>
        </patternFill>
      </fill>
    </dxf>
    <dxf>
      <font>
        <b/>
        <i val="0"/>
        <color theme="0"/>
      </font>
      <fill>
        <patternFill>
          <bgColor theme="8"/>
        </patternFill>
      </fill>
    </dxf>
    <dxf>
      <font>
        <b/>
        <i val="0"/>
        <color theme="0"/>
      </font>
      <fill>
        <patternFill>
          <bgColor theme="8"/>
        </patternFill>
      </fill>
    </dxf>
    <dxf>
      <font>
        <b/>
        <i val="0"/>
        <color rgb="FF9C0006"/>
      </font>
      <fill>
        <patternFill>
          <bgColor theme="5"/>
        </patternFill>
      </fill>
    </dxf>
    <dxf>
      <font>
        <b/>
        <i val="0"/>
        <color theme="0"/>
        <name val="Cambria"/>
        <scheme val="none"/>
      </font>
      <fill>
        <patternFill>
          <bgColor theme="5"/>
        </patternFill>
      </fill>
    </dxf>
    <dxf>
      <font>
        <b/>
        <i val="0"/>
        <color rgb="FFFFC000"/>
      </font>
      <fill>
        <patternFill>
          <bgColor theme="5"/>
        </patternFill>
      </fill>
    </dxf>
    <dxf>
      <font>
        <b/>
        <i val="0"/>
        <color theme="0"/>
      </font>
      <fill>
        <patternFill>
          <bgColor theme="8"/>
        </patternFill>
      </fill>
    </dxf>
    <dxf>
      <font>
        <b/>
        <i val="0"/>
        <color theme="0"/>
      </font>
      <fill>
        <patternFill>
          <bgColor theme="8"/>
        </patternFill>
      </fill>
    </dxf>
    <dxf>
      <font>
        <b/>
        <i val="0"/>
        <color rgb="FF9C0006"/>
      </font>
      <fill>
        <patternFill>
          <bgColor theme="5"/>
        </patternFill>
      </fill>
    </dxf>
    <dxf>
      <font>
        <b/>
        <i val="0"/>
        <color theme="0"/>
        <name val="Cambria"/>
        <scheme val="none"/>
      </font>
      <fill>
        <patternFill>
          <bgColor theme="5"/>
        </patternFill>
      </fill>
    </dxf>
    <dxf>
      <font>
        <b/>
        <i val="0"/>
        <color rgb="FFFFC000"/>
      </font>
      <fill>
        <patternFill>
          <bgColor theme="5"/>
        </patternFill>
      </fill>
    </dxf>
    <dxf>
      <font>
        <b/>
        <i val="0"/>
        <color theme="0"/>
      </font>
      <fill>
        <patternFill>
          <bgColor theme="8"/>
        </patternFill>
      </fill>
    </dxf>
    <dxf>
      <font>
        <b/>
        <i val="0"/>
        <color theme="0"/>
      </font>
      <fill>
        <patternFill>
          <bgColor theme="8"/>
        </patternFill>
      </fill>
    </dxf>
    <dxf>
      <font>
        <b/>
        <i val="0"/>
        <color rgb="FF9C0006"/>
      </font>
      <fill>
        <patternFill>
          <bgColor theme="5"/>
        </patternFill>
      </fill>
    </dxf>
    <dxf>
      <font>
        <b/>
        <i val="0"/>
        <color theme="0"/>
        <name val="Cambria"/>
        <scheme val="none"/>
      </font>
      <fill>
        <patternFill>
          <bgColor theme="5"/>
        </patternFill>
      </fill>
    </dxf>
    <dxf>
      <font>
        <b/>
        <i val="0"/>
        <color rgb="FFFFC000"/>
      </font>
      <fill>
        <patternFill>
          <bgColor theme="5"/>
        </patternFill>
      </fill>
    </dxf>
    <dxf>
      <font>
        <b/>
        <i val="0"/>
        <color theme="0"/>
      </font>
      <fill>
        <patternFill>
          <bgColor theme="8"/>
        </patternFill>
      </fill>
    </dxf>
    <dxf>
      <font>
        <b/>
        <i val="0"/>
        <color theme="0"/>
      </font>
      <fill>
        <patternFill>
          <bgColor theme="8"/>
        </patternFill>
      </fill>
    </dxf>
    <dxf>
      <font>
        <b/>
        <i val="0"/>
        <color rgb="FF9C0006"/>
      </font>
      <fill>
        <patternFill>
          <bgColor theme="5"/>
        </patternFill>
      </fill>
    </dxf>
    <dxf>
      <font>
        <b/>
        <i val="0"/>
        <color theme="0"/>
        <name val="Cambria"/>
        <scheme val="none"/>
      </font>
      <fill>
        <patternFill>
          <bgColor theme="5"/>
        </patternFill>
      </fill>
    </dxf>
    <dxf>
      <font>
        <b/>
        <i val="0"/>
        <color rgb="FFFFC000"/>
      </font>
      <fill>
        <patternFill>
          <bgColor theme="5"/>
        </patternFill>
      </fill>
    </dxf>
    <dxf>
      <font>
        <b/>
        <i val="0"/>
        <color theme="0"/>
      </font>
      <fill>
        <patternFill>
          <bgColor theme="8"/>
        </patternFill>
      </fill>
    </dxf>
    <dxf>
      <font>
        <b/>
        <i val="0"/>
        <color theme="0"/>
      </font>
      <fill>
        <patternFill>
          <bgColor theme="8"/>
        </patternFill>
      </fill>
    </dxf>
    <dxf>
      <font>
        <b/>
        <i val="0"/>
        <color rgb="FF9C0006"/>
      </font>
      <fill>
        <patternFill>
          <bgColor theme="5"/>
        </patternFill>
      </fill>
    </dxf>
    <dxf>
      <font>
        <b/>
        <i val="0"/>
        <color theme="0"/>
        <name val="Cambria"/>
        <scheme val="none"/>
      </font>
      <fill>
        <patternFill>
          <bgColor theme="5"/>
        </patternFill>
      </fill>
    </dxf>
    <dxf>
      <font>
        <b/>
        <i val="0"/>
        <color rgb="FFFFC000"/>
      </font>
      <fill>
        <patternFill>
          <bgColor theme="5"/>
        </patternFill>
      </fill>
    </dxf>
    <dxf>
      <font>
        <b/>
        <i val="0"/>
        <color theme="0"/>
      </font>
      <fill>
        <patternFill>
          <bgColor theme="8"/>
        </patternFill>
      </fill>
    </dxf>
    <dxf>
      <font>
        <b/>
        <i val="0"/>
        <color theme="0"/>
      </font>
      <fill>
        <patternFill>
          <bgColor theme="8"/>
        </patternFill>
      </fill>
    </dxf>
    <dxf>
      <font>
        <b/>
        <i val="0"/>
        <color rgb="FF9C0006"/>
      </font>
      <fill>
        <patternFill>
          <bgColor theme="5"/>
        </patternFill>
      </fill>
    </dxf>
    <dxf>
      <font>
        <b/>
        <i val="0"/>
        <color theme="0"/>
        <name val="Cambria"/>
        <scheme val="none"/>
      </font>
      <fill>
        <patternFill>
          <bgColor theme="5"/>
        </patternFill>
      </fill>
    </dxf>
    <dxf>
      <font>
        <b/>
        <i val="0"/>
        <color rgb="FFFFC000"/>
      </font>
      <fill>
        <patternFill>
          <bgColor theme="5"/>
        </patternFill>
      </fill>
    </dxf>
    <dxf>
      <font>
        <b/>
        <i val="0"/>
        <color theme="0"/>
      </font>
      <fill>
        <patternFill>
          <bgColor theme="8"/>
        </patternFill>
      </fill>
    </dxf>
    <dxf>
      <font>
        <b/>
        <i val="0"/>
        <color theme="0"/>
      </font>
      <fill>
        <patternFill>
          <bgColor theme="8"/>
        </patternFill>
      </fill>
    </dxf>
    <dxf>
      <font>
        <b/>
        <i val="0"/>
        <color rgb="FF9C0006"/>
      </font>
      <fill>
        <patternFill>
          <bgColor theme="5"/>
        </patternFill>
      </fill>
    </dxf>
    <dxf>
      <font>
        <b/>
        <i val="0"/>
        <color theme="0"/>
        <name val="Cambria"/>
        <scheme val="none"/>
      </font>
      <fill>
        <patternFill>
          <bgColor theme="5"/>
        </patternFill>
      </fill>
    </dxf>
    <dxf>
      <font>
        <b/>
        <i val="0"/>
        <color rgb="FFFFC000"/>
      </font>
      <fill>
        <patternFill>
          <bgColor theme="5"/>
        </patternFill>
      </fill>
    </dxf>
    <dxf>
      <font>
        <b/>
        <i val="0"/>
        <color theme="0"/>
      </font>
      <fill>
        <patternFill>
          <bgColor theme="8"/>
        </patternFill>
      </fill>
    </dxf>
    <dxf>
      <font>
        <b/>
        <i val="0"/>
        <color theme="0"/>
      </font>
      <fill>
        <patternFill>
          <bgColor theme="8"/>
        </patternFill>
      </fill>
    </dxf>
    <dxf>
      <font>
        <b/>
        <i val="0"/>
        <color rgb="FF9C0006"/>
      </font>
      <fill>
        <patternFill>
          <bgColor theme="5"/>
        </patternFill>
      </fill>
    </dxf>
    <dxf>
      <font>
        <b/>
        <i val="0"/>
        <color theme="0"/>
        <name val="Cambria"/>
        <scheme val="none"/>
      </font>
      <fill>
        <patternFill>
          <bgColor theme="5"/>
        </patternFill>
      </fill>
    </dxf>
    <dxf>
      <font>
        <b/>
        <i val="0"/>
        <color rgb="FFFFC000"/>
      </font>
      <fill>
        <patternFill>
          <bgColor theme="5"/>
        </patternFill>
      </fill>
    </dxf>
    <dxf>
      <font>
        <b/>
        <i val="0"/>
        <color theme="0"/>
      </font>
      <fill>
        <patternFill>
          <bgColor theme="8"/>
        </patternFill>
      </fill>
    </dxf>
    <dxf>
      <font>
        <b/>
        <i val="0"/>
        <color theme="0"/>
      </font>
      <fill>
        <patternFill>
          <bgColor theme="8"/>
        </patternFill>
      </fill>
    </dxf>
    <dxf>
      <font>
        <b/>
        <i val="0"/>
        <color rgb="FF9C0006"/>
      </font>
      <fill>
        <patternFill>
          <bgColor theme="5"/>
        </patternFill>
      </fill>
    </dxf>
    <dxf>
      <font>
        <b/>
        <i val="0"/>
        <color theme="0"/>
        <name val="Cambria"/>
        <scheme val="none"/>
      </font>
      <fill>
        <patternFill>
          <bgColor theme="5"/>
        </patternFill>
      </fill>
    </dxf>
    <dxf>
      <font>
        <b/>
        <i val="0"/>
        <color rgb="FFFFC000"/>
      </font>
      <fill>
        <patternFill>
          <bgColor theme="5"/>
        </patternFill>
      </fill>
    </dxf>
    <dxf>
      <font>
        <b/>
        <i val="0"/>
        <color theme="0"/>
      </font>
      <fill>
        <patternFill>
          <bgColor theme="8"/>
        </patternFill>
      </fill>
    </dxf>
    <dxf>
      <font>
        <b/>
        <i val="0"/>
        <color theme="0"/>
      </font>
      <fill>
        <patternFill>
          <bgColor theme="8"/>
        </patternFill>
      </fill>
    </dxf>
    <dxf>
      <font>
        <b/>
        <i val="0"/>
        <color rgb="FF9C0006"/>
      </font>
      <fill>
        <patternFill>
          <bgColor theme="5"/>
        </patternFill>
      </fill>
    </dxf>
    <dxf>
      <font>
        <b/>
        <i val="0"/>
        <color theme="0"/>
        <name val="Cambria"/>
        <scheme val="none"/>
      </font>
      <fill>
        <patternFill>
          <bgColor theme="5"/>
        </patternFill>
      </fill>
    </dxf>
    <dxf>
      <font>
        <b/>
        <i val="0"/>
        <color rgb="FFFFC000"/>
      </font>
      <fill>
        <patternFill>
          <bgColor theme="5"/>
        </patternFill>
      </fill>
    </dxf>
    <dxf>
      <font>
        <b/>
        <i val="0"/>
        <color theme="0"/>
      </font>
      <fill>
        <patternFill>
          <bgColor theme="8"/>
        </patternFill>
      </fill>
    </dxf>
    <dxf>
      <font>
        <b/>
        <i val="0"/>
        <color theme="0"/>
      </font>
      <fill>
        <patternFill>
          <bgColor theme="8"/>
        </patternFill>
      </fill>
    </dxf>
    <dxf>
      <font>
        <b/>
        <i val="0"/>
        <color rgb="FF9C0006"/>
      </font>
      <fill>
        <patternFill>
          <bgColor theme="5"/>
        </patternFill>
      </fill>
    </dxf>
    <dxf>
      <font>
        <b/>
        <i val="0"/>
        <color theme="0"/>
        <name val="Cambria"/>
        <scheme val="none"/>
      </font>
      <fill>
        <patternFill>
          <bgColor theme="5"/>
        </patternFill>
      </fill>
    </dxf>
    <dxf>
      <font>
        <b/>
        <i val="0"/>
        <color rgb="FFFFC000"/>
      </font>
      <fill>
        <patternFill>
          <bgColor theme="5"/>
        </patternFill>
      </fill>
    </dxf>
    <dxf>
      <font>
        <b/>
        <i val="0"/>
        <color theme="0"/>
      </font>
      <fill>
        <patternFill>
          <bgColor theme="8"/>
        </patternFill>
      </fill>
    </dxf>
    <dxf>
      <font>
        <b/>
        <i val="0"/>
        <color theme="0"/>
      </font>
      <fill>
        <patternFill>
          <bgColor theme="8"/>
        </patternFill>
      </fill>
    </dxf>
    <dxf>
      <font>
        <b/>
        <i val="0"/>
        <color rgb="FF9C0006"/>
      </font>
      <fill>
        <patternFill>
          <bgColor theme="5"/>
        </patternFill>
      </fill>
    </dxf>
    <dxf>
      <font>
        <b/>
        <i val="0"/>
        <color theme="0"/>
        <name val="Cambria"/>
        <scheme val="none"/>
      </font>
      <fill>
        <patternFill>
          <bgColor theme="5"/>
        </patternFill>
      </fill>
    </dxf>
    <dxf>
      <font>
        <b/>
        <i val="0"/>
        <color rgb="FFFFC000"/>
      </font>
      <fill>
        <patternFill>
          <bgColor theme="5"/>
        </patternFill>
      </fill>
    </dxf>
    <dxf>
      <font>
        <b/>
        <i val="0"/>
        <color theme="0"/>
      </font>
      <fill>
        <patternFill>
          <bgColor theme="8"/>
        </patternFill>
      </fill>
    </dxf>
    <dxf>
      <font>
        <b/>
        <i val="0"/>
        <color theme="0"/>
      </font>
      <fill>
        <patternFill>
          <bgColor theme="8"/>
        </patternFill>
      </fill>
    </dxf>
    <dxf>
      <font>
        <b/>
        <i val="0"/>
        <color rgb="FF9C0006"/>
      </font>
      <fill>
        <patternFill>
          <bgColor theme="5"/>
        </patternFill>
      </fill>
    </dxf>
    <dxf>
      <font>
        <b/>
        <i val="0"/>
        <color theme="0"/>
        <name val="Cambria"/>
        <scheme val="none"/>
      </font>
      <fill>
        <patternFill>
          <bgColor theme="5"/>
        </patternFill>
      </fill>
    </dxf>
    <dxf>
      <font>
        <b/>
        <i val="0"/>
        <color rgb="FFFFC000"/>
      </font>
      <fill>
        <patternFill>
          <bgColor theme="5"/>
        </patternFill>
      </fill>
    </dxf>
    <dxf>
      <font>
        <b/>
        <i val="0"/>
        <color theme="0"/>
      </font>
      <fill>
        <patternFill>
          <bgColor theme="8"/>
        </patternFill>
      </fill>
    </dxf>
    <dxf>
      <font>
        <b/>
        <i val="0"/>
        <color theme="0"/>
      </font>
      <fill>
        <patternFill>
          <bgColor theme="8"/>
        </patternFill>
      </fill>
    </dxf>
    <dxf>
      <font>
        <b/>
        <i val="0"/>
        <color rgb="FF9C0006"/>
      </font>
      <fill>
        <patternFill>
          <bgColor theme="5"/>
        </patternFill>
      </fill>
    </dxf>
    <dxf>
      <font>
        <b/>
        <i val="0"/>
        <color theme="0"/>
        <name val="Cambria"/>
        <scheme val="none"/>
      </font>
      <fill>
        <patternFill>
          <bgColor theme="5"/>
        </patternFill>
      </fill>
    </dxf>
    <dxf>
      <font>
        <b/>
        <i val="0"/>
        <color rgb="FFFFC000"/>
      </font>
      <fill>
        <patternFill>
          <bgColor theme="5"/>
        </patternFill>
      </fill>
    </dxf>
    <dxf>
      <font>
        <b/>
        <i val="0"/>
        <color theme="0"/>
      </font>
      <fill>
        <patternFill>
          <bgColor theme="8"/>
        </patternFill>
      </fill>
    </dxf>
    <dxf>
      <font>
        <b/>
        <i val="0"/>
        <color theme="0"/>
      </font>
      <fill>
        <patternFill>
          <bgColor theme="8"/>
        </patternFill>
      </fill>
    </dxf>
    <dxf>
      <font>
        <b/>
        <i val="0"/>
        <color rgb="FF9C0006"/>
      </font>
      <fill>
        <patternFill>
          <bgColor theme="5"/>
        </patternFill>
      </fill>
    </dxf>
    <dxf>
      <font>
        <b/>
        <i val="0"/>
        <color theme="0"/>
        <name val="Cambria"/>
        <scheme val="none"/>
      </font>
      <fill>
        <patternFill>
          <bgColor theme="5"/>
        </patternFill>
      </fill>
    </dxf>
    <dxf>
      <font>
        <b/>
        <i val="0"/>
        <color rgb="FFFFC000"/>
      </font>
      <fill>
        <patternFill>
          <bgColor theme="5"/>
        </patternFill>
      </fill>
    </dxf>
    <dxf>
      <font>
        <b/>
        <i val="0"/>
        <color theme="0"/>
      </font>
      <fill>
        <patternFill>
          <bgColor theme="8"/>
        </patternFill>
      </fill>
    </dxf>
    <dxf>
      <font>
        <b/>
        <i val="0"/>
        <color theme="0"/>
      </font>
      <fill>
        <patternFill>
          <bgColor theme="8"/>
        </patternFill>
      </fill>
    </dxf>
    <dxf>
      <font>
        <b/>
        <i val="0"/>
        <color rgb="FF9C0006"/>
      </font>
      <fill>
        <patternFill>
          <bgColor theme="5"/>
        </patternFill>
      </fill>
    </dxf>
    <dxf>
      <font>
        <b/>
        <i val="0"/>
        <color theme="0"/>
        <name val="Cambria"/>
        <scheme val="none"/>
      </font>
      <fill>
        <patternFill>
          <bgColor theme="5"/>
        </patternFill>
      </fill>
    </dxf>
    <dxf>
      <font>
        <b/>
        <i val="0"/>
        <color rgb="FFFFC000"/>
      </font>
      <fill>
        <patternFill>
          <bgColor theme="5"/>
        </patternFill>
      </fill>
    </dxf>
    <dxf>
      <font>
        <b/>
        <i val="0"/>
        <color theme="0"/>
      </font>
      <fill>
        <patternFill>
          <bgColor theme="8"/>
        </patternFill>
      </fill>
    </dxf>
    <dxf>
      <font>
        <b/>
        <i val="0"/>
        <color theme="0"/>
      </font>
      <fill>
        <patternFill>
          <bgColor theme="8"/>
        </patternFill>
      </fill>
    </dxf>
    <dxf>
      <font>
        <b/>
        <i val="0"/>
        <color rgb="FF9C0006"/>
      </font>
      <fill>
        <patternFill>
          <bgColor theme="5"/>
        </patternFill>
      </fill>
    </dxf>
    <dxf>
      <font>
        <b/>
        <i val="0"/>
        <color theme="0"/>
        <name val="Cambria"/>
        <scheme val="none"/>
      </font>
      <fill>
        <patternFill>
          <bgColor theme="5"/>
        </patternFill>
      </fill>
    </dxf>
    <dxf>
      <font>
        <b/>
        <i val="0"/>
        <color rgb="FFFFC000"/>
      </font>
      <fill>
        <patternFill>
          <bgColor theme="5"/>
        </patternFill>
      </fill>
    </dxf>
    <dxf>
      <font>
        <b/>
        <i val="0"/>
        <color theme="0"/>
      </font>
      <fill>
        <patternFill>
          <bgColor theme="8"/>
        </patternFill>
      </fill>
    </dxf>
    <dxf>
      <font>
        <b/>
        <i val="0"/>
        <color theme="0"/>
      </font>
      <fill>
        <patternFill>
          <bgColor theme="8"/>
        </patternFill>
      </fill>
    </dxf>
    <dxf>
      <font>
        <b/>
        <i val="0"/>
        <color rgb="FF9C0006"/>
      </font>
      <fill>
        <patternFill>
          <bgColor theme="5"/>
        </patternFill>
      </fill>
    </dxf>
    <dxf>
      <font>
        <b/>
        <i val="0"/>
        <color theme="0"/>
        <name val="Cambria"/>
        <scheme val="none"/>
      </font>
      <fill>
        <patternFill>
          <bgColor theme="5"/>
        </patternFill>
      </fill>
    </dxf>
    <dxf>
      <font>
        <b/>
        <i val="0"/>
        <color rgb="FFFFC000"/>
      </font>
      <fill>
        <patternFill>
          <bgColor theme="5"/>
        </patternFill>
      </fill>
    </dxf>
    <dxf>
      <font>
        <b/>
        <i val="0"/>
        <color theme="0"/>
      </font>
      <fill>
        <patternFill>
          <bgColor theme="8"/>
        </patternFill>
      </fill>
    </dxf>
    <dxf>
      <font>
        <b/>
        <i val="0"/>
        <color theme="0"/>
      </font>
      <fill>
        <patternFill>
          <bgColor theme="8"/>
        </patternFill>
      </fill>
    </dxf>
    <dxf>
      <font>
        <b/>
        <i val="0"/>
        <color rgb="FF9C0006"/>
      </font>
      <fill>
        <patternFill>
          <bgColor theme="5"/>
        </patternFill>
      </fill>
    </dxf>
    <dxf>
      <font>
        <b/>
        <i val="0"/>
        <color theme="0"/>
        <name val="Cambria"/>
        <scheme val="none"/>
      </font>
      <fill>
        <patternFill>
          <bgColor theme="5"/>
        </patternFill>
      </fill>
    </dxf>
    <dxf>
      <font>
        <b/>
        <i val="0"/>
        <color rgb="FFFFC000"/>
      </font>
      <fill>
        <patternFill>
          <bgColor theme="5"/>
        </patternFill>
      </fill>
    </dxf>
    <dxf>
      <font>
        <b/>
        <i val="0"/>
        <color theme="0"/>
      </font>
      <fill>
        <patternFill>
          <bgColor theme="8"/>
        </patternFill>
      </fill>
    </dxf>
    <dxf>
      <font>
        <b/>
        <i val="0"/>
        <color theme="0"/>
      </font>
      <fill>
        <patternFill>
          <bgColor theme="8"/>
        </patternFill>
      </fill>
    </dxf>
    <dxf>
      <font>
        <b/>
        <i val="0"/>
        <color rgb="FF9C0006"/>
      </font>
      <fill>
        <patternFill>
          <bgColor theme="5"/>
        </patternFill>
      </fill>
    </dxf>
    <dxf>
      <font>
        <b/>
        <i val="0"/>
        <color theme="0"/>
        <name val="Cambria"/>
        <scheme val="none"/>
      </font>
      <fill>
        <patternFill>
          <bgColor theme="5"/>
        </patternFill>
      </fill>
    </dxf>
    <dxf>
      <font>
        <b/>
        <i val="0"/>
        <color rgb="FFFFC000"/>
      </font>
      <fill>
        <patternFill>
          <bgColor theme="5"/>
        </patternFill>
      </fill>
    </dxf>
    <dxf>
      <font>
        <b/>
        <i val="0"/>
        <color theme="0"/>
      </font>
      <fill>
        <patternFill>
          <bgColor theme="8"/>
        </patternFill>
      </fill>
    </dxf>
    <dxf>
      <font>
        <b/>
        <i val="0"/>
        <color theme="0"/>
      </font>
      <fill>
        <patternFill>
          <bgColor theme="8"/>
        </patternFill>
      </fill>
    </dxf>
    <dxf>
      <font>
        <b/>
        <i val="0"/>
        <color rgb="FF9C0006"/>
      </font>
      <fill>
        <patternFill>
          <bgColor theme="5"/>
        </patternFill>
      </fill>
    </dxf>
    <dxf>
      <font>
        <b/>
        <i val="0"/>
        <color theme="0"/>
        <name val="Cambria"/>
        <scheme val="none"/>
      </font>
      <fill>
        <patternFill>
          <bgColor theme="5"/>
        </patternFill>
      </fill>
    </dxf>
    <dxf>
      <font>
        <b/>
        <i val="0"/>
        <color rgb="FFFFC000"/>
      </font>
      <fill>
        <patternFill>
          <bgColor theme="5"/>
        </patternFill>
      </fill>
    </dxf>
    <dxf>
      <font>
        <b/>
        <i val="0"/>
        <color theme="0"/>
      </font>
      <fill>
        <patternFill>
          <bgColor theme="8"/>
        </patternFill>
      </fill>
    </dxf>
    <dxf>
      <font>
        <b/>
        <i val="0"/>
        <color theme="0"/>
      </font>
      <fill>
        <patternFill>
          <bgColor theme="8"/>
        </patternFill>
      </fill>
    </dxf>
    <dxf>
      <font>
        <b/>
        <i val="0"/>
        <color rgb="FF9C0006"/>
      </font>
      <fill>
        <patternFill>
          <bgColor theme="5"/>
        </patternFill>
      </fill>
    </dxf>
    <dxf>
      <font>
        <b/>
        <i val="0"/>
        <color theme="0"/>
        <name val="Cambria"/>
        <scheme val="none"/>
      </font>
      <fill>
        <patternFill>
          <bgColor theme="5"/>
        </patternFill>
      </fill>
    </dxf>
    <dxf>
      <font>
        <b/>
        <i val="0"/>
        <color rgb="FFFFC000"/>
      </font>
      <fill>
        <patternFill>
          <bgColor theme="5"/>
        </patternFill>
      </fill>
    </dxf>
    <dxf>
      <font>
        <b/>
        <i val="0"/>
        <color theme="0"/>
      </font>
      <fill>
        <patternFill>
          <bgColor theme="8"/>
        </patternFill>
      </fill>
    </dxf>
    <dxf>
      <font>
        <b/>
        <i val="0"/>
        <color theme="0"/>
      </font>
      <fill>
        <patternFill>
          <bgColor theme="8"/>
        </patternFill>
      </fill>
    </dxf>
    <dxf>
      <font>
        <b/>
        <i val="0"/>
        <color rgb="FF9C0006"/>
      </font>
      <fill>
        <patternFill>
          <bgColor theme="5"/>
        </patternFill>
      </fill>
    </dxf>
    <dxf>
      <font>
        <b/>
        <i val="0"/>
        <color theme="0"/>
        <name val="Cambria"/>
        <scheme val="none"/>
      </font>
      <fill>
        <patternFill>
          <bgColor theme="5"/>
        </patternFill>
      </fill>
    </dxf>
    <dxf>
      <font>
        <b/>
        <i val="0"/>
        <color rgb="FFFFC000"/>
      </font>
      <fill>
        <patternFill>
          <bgColor theme="5"/>
        </patternFill>
      </fill>
    </dxf>
    <dxf>
      <font>
        <b/>
        <i val="0"/>
        <color theme="0"/>
      </font>
      <fill>
        <patternFill>
          <bgColor theme="8"/>
        </patternFill>
      </fill>
    </dxf>
    <dxf>
      <font>
        <b/>
        <i val="0"/>
        <color theme="0"/>
      </font>
      <fill>
        <patternFill>
          <bgColor theme="8"/>
        </patternFill>
      </fill>
    </dxf>
    <dxf>
      <font>
        <b/>
        <i val="0"/>
        <color rgb="FF9C0006"/>
      </font>
      <fill>
        <patternFill>
          <bgColor theme="5"/>
        </patternFill>
      </fill>
    </dxf>
    <dxf>
      <font>
        <b/>
        <i val="0"/>
        <color theme="0"/>
        <name val="Cambria"/>
        <scheme val="none"/>
      </font>
      <fill>
        <patternFill>
          <bgColor theme="5"/>
        </patternFill>
      </fill>
    </dxf>
    <dxf>
      <font>
        <b/>
        <i val="0"/>
        <color rgb="FFFFC000"/>
      </font>
      <fill>
        <patternFill>
          <bgColor theme="5"/>
        </patternFill>
      </fill>
    </dxf>
    <dxf>
      <font>
        <b/>
        <i val="0"/>
        <color theme="0"/>
      </font>
      <fill>
        <patternFill>
          <bgColor theme="8"/>
        </patternFill>
      </fill>
    </dxf>
    <dxf>
      <font>
        <b/>
        <i val="0"/>
        <color theme="0"/>
      </font>
      <fill>
        <patternFill>
          <bgColor theme="8"/>
        </patternFill>
      </fill>
    </dxf>
    <dxf>
      <font>
        <b/>
        <i val="0"/>
        <color rgb="FF9C0006"/>
      </font>
      <fill>
        <patternFill>
          <bgColor theme="5"/>
        </patternFill>
      </fill>
    </dxf>
    <dxf>
      <font>
        <b/>
        <i val="0"/>
        <color theme="0"/>
        <name val="Cambria"/>
        <scheme val="none"/>
      </font>
      <fill>
        <patternFill>
          <bgColor theme="5"/>
        </patternFill>
      </fill>
    </dxf>
    <dxf>
      <font>
        <b/>
        <i val="0"/>
        <color rgb="FFFFC000"/>
      </font>
      <fill>
        <patternFill>
          <bgColor theme="5"/>
        </patternFill>
      </fill>
    </dxf>
    <dxf>
      <font>
        <b/>
        <i val="0"/>
        <color theme="0"/>
      </font>
      <fill>
        <patternFill>
          <bgColor theme="8"/>
        </patternFill>
      </fill>
    </dxf>
    <dxf>
      <font>
        <b/>
        <i val="0"/>
        <color theme="0"/>
      </font>
      <fill>
        <patternFill>
          <bgColor theme="8"/>
        </patternFill>
      </fill>
    </dxf>
    <dxf>
      <font>
        <b/>
        <i val="0"/>
        <color rgb="FF9C0006"/>
      </font>
      <fill>
        <patternFill>
          <bgColor theme="5"/>
        </patternFill>
      </fill>
    </dxf>
    <dxf>
      <font>
        <b/>
        <i val="0"/>
        <color theme="0"/>
        <name val="Cambria"/>
        <scheme val="none"/>
      </font>
      <fill>
        <patternFill>
          <bgColor theme="5"/>
        </patternFill>
      </fill>
    </dxf>
    <dxf>
      <font>
        <b/>
        <i val="0"/>
        <color rgb="FFFFC000"/>
      </font>
      <fill>
        <patternFill>
          <bgColor theme="5"/>
        </patternFill>
      </fill>
    </dxf>
    <dxf>
      <font>
        <b/>
        <i val="0"/>
        <color theme="0"/>
      </font>
      <fill>
        <patternFill>
          <bgColor theme="8"/>
        </patternFill>
      </fill>
    </dxf>
    <dxf>
      <font>
        <b/>
        <i val="0"/>
        <color theme="0"/>
      </font>
      <fill>
        <patternFill>
          <bgColor theme="8"/>
        </patternFill>
      </fill>
    </dxf>
    <dxf>
      <font>
        <b/>
        <i val="0"/>
        <color rgb="FF9C0006"/>
      </font>
      <fill>
        <patternFill>
          <bgColor theme="5"/>
        </patternFill>
      </fill>
    </dxf>
    <dxf>
      <font>
        <b/>
        <i val="0"/>
        <color theme="0"/>
        <name val="Cambria"/>
        <scheme val="none"/>
      </font>
      <fill>
        <patternFill>
          <bgColor theme="5"/>
        </patternFill>
      </fill>
    </dxf>
    <dxf>
      <font>
        <b/>
        <i val="0"/>
        <color rgb="FFFFC000"/>
      </font>
      <fill>
        <patternFill>
          <bgColor theme="5"/>
        </patternFill>
      </fill>
    </dxf>
    <dxf>
      <font>
        <b/>
        <i val="0"/>
        <color theme="0"/>
      </font>
      <fill>
        <patternFill>
          <bgColor theme="8"/>
        </patternFill>
      </fill>
    </dxf>
    <dxf>
      <font>
        <b/>
        <i val="0"/>
        <color theme="0"/>
      </font>
      <fill>
        <patternFill>
          <bgColor theme="8"/>
        </patternFill>
      </fill>
    </dxf>
    <dxf>
      <font>
        <b/>
        <i val="0"/>
        <color rgb="FF9C0006"/>
      </font>
      <fill>
        <patternFill>
          <bgColor theme="5"/>
        </patternFill>
      </fill>
    </dxf>
    <dxf>
      <font>
        <b/>
        <i val="0"/>
        <color theme="0"/>
        <name val="Cambria"/>
        <scheme val="none"/>
      </font>
      <fill>
        <patternFill>
          <bgColor theme="5"/>
        </patternFill>
      </fill>
    </dxf>
    <dxf>
      <font>
        <b/>
        <i val="0"/>
        <color rgb="FFFFC000"/>
      </font>
      <fill>
        <patternFill>
          <bgColor theme="5"/>
        </patternFill>
      </fill>
    </dxf>
    <dxf>
      <font>
        <b/>
        <i val="0"/>
        <color theme="0"/>
      </font>
      <fill>
        <patternFill>
          <bgColor theme="8"/>
        </patternFill>
      </fill>
    </dxf>
    <dxf>
      <font>
        <b/>
        <i val="0"/>
        <color theme="0"/>
      </font>
      <fill>
        <patternFill>
          <bgColor theme="8"/>
        </patternFill>
      </fill>
    </dxf>
    <dxf>
      <font>
        <b/>
        <i val="0"/>
        <color rgb="FF9C0006"/>
      </font>
      <fill>
        <patternFill>
          <bgColor theme="5"/>
        </patternFill>
      </fill>
    </dxf>
    <dxf>
      <font>
        <b/>
        <i val="0"/>
        <color theme="0"/>
        <name val="Cambria"/>
        <scheme val="none"/>
      </font>
      <fill>
        <patternFill>
          <bgColor theme="5"/>
        </patternFill>
      </fill>
    </dxf>
    <dxf>
      <font>
        <b/>
        <i val="0"/>
        <color rgb="FFFFC000"/>
      </font>
      <fill>
        <patternFill>
          <bgColor theme="5"/>
        </patternFill>
      </fill>
    </dxf>
    <dxf>
      <font>
        <b/>
        <i val="0"/>
        <color theme="0"/>
      </font>
      <fill>
        <patternFill>
          <bgColor theme="8"/>
        </patternFill>
      </fill>
    </dxf>
    <dxf>
      <font>
        <b/>
        <i val="0"/>
        <color theme="0"/>
      </font>
      <fill>
        <patternFill>
          <bgColor theme="8"/>
        </patternFill>
      </fill>
    </dxf>
    <dxf>
      <font>
        <b/>
        <i val="0"/>
        <color rgb="FF9C0006"/>
      </font>
      <fill>
        <patternFill>
          <bgColor theme="5"/>
        </patternFill>
      </fill>
    </dxf>
    <dxf>
      <font>
        <b/>
        <i val="0"/>
        <color theme="0"/>
        <name val="Cambria"/>
        <scheme val="none"/>
      </font>
      <fill>
        <patternFill>
          <bgColor theme="5"/>
        </patternFill>
      </fill>
    </dxf>
    <dxf>
      <font>
        <b/>
        <i val="0"/>
        <color rgb="FFFFC000"/>
      </font>
      <fill>
        <patternFill>
          <bgColor theme="5"/>
        </patternFill>
      </fill>
    </dxf>
    <dxf>
      <font>
        <b/>
        <i val="0"/>
        <color theme="0"/>
      </font>
      <fill>
        <patternFill>
          <bgColor theme="8"/>
        </patternFill>
      </fill>
    </dxf>
    <dxf>
      <font>
        <b/>
        <i val="0"/>
        <color theme="0"/>
      </font>
      <fill>
        <patternFill>
          <bgColor theme="8"/>
        </patternFill>
      </fill>
    </dxf>
    <dxf>
      <font>
        <b/>
        <i val="0"/>
        <color rgb="FF9C0006"/>
      </font>
      <fill>
        <patternFill>
          <bgColor theme="5"/>
        </patternFill>
      </fill>
    </dxf>
    <dxf>
      <font>
        <b/>
        <i val="0"/>
        <color theme="0"/>
        <name val="Cambria"/>
        <scheme val="none"/>
      </font>
      <fill>
        <patternFill>
          <bgColor theme="5"/>
        </patternFill>
      </fill>
    </dxf>
    <dxf>
      <font>
        <b/>
        <i val="0"/>
        <color rgb="FFFFC000"/>
      </font>
      <fill>
        <patternFill>
          <bgColor theme="5"/>
        </patternFill>
      </fill>
    </dxf>
    <dxf>
      <font>
        <b/>
        <i val="0"/>
        <color theme="0"/>
      </font>
      <fill>
        <patternFill>
          <bgColor theme="8"/>
        </patternFill>
      </fill>
    </dxf>
    <dxf>
      <font>
        <b/>
        <i val="0"/>
        <color theme="0"/>
      </font>
      <fill>
        <patternFill>
          <bgColor theme="8"/>
        </patternFill>
      </fill>
    </dxf>
    <dxf>
      <font>
        <b/>
        <i val="0"/>
        <color rgb="FF9C0006"/>
      </font>
      <fill>
        <patternFill>
          <bgColor theme="5"/>
        </patternFill>
      </fill>
    </dxf>
    <dxf>
      <font>
        <b/>
        <i val="0"/>
        <color theme="0"/>
        <name val="Cambria"/>
        <scheme val="none"/>
      </font>
      <fill>
        <patternFill>
          <bgColor theme="5"/>
        </patternFill>
      </fill>
    </dxf>
    <dxf>
      <font>
        <b/>
        <i val="0"/>
        <color rgb="FFFFC000"/>
      </font>
      <fill>
        <patternFill>
          <bgColor theme="5"/>
        </patternFill>
      </fill>
    </dxf>
    <dxf>
      <font>
        <b/>
        <i val="0"/>
        <color theme="0"/>
      </font>
      <fill>
        <patternFill>
          <bgColor theme="8"/>
        </patternFill>
      </fill>
    </dxf>
    <dxf>
      <font>
        <b/>
        <i val="0"/>
        <color theme="0"/>
      </font>
      <fill>
        <patternFill>
          <bgColor theme="8"/>
        </patternFill>
      </fill>
    </dxf>
    <dxf>
      <font>
        <b/>
        <i val="0"/>
        <color rgb="FF9C0006"/>
      </font>
      <fill>
        <patternFill>
          <bgColor theme="5"/>
        </patternFill>
      </fill>
    </dxf>
    <dxf>
      <font>
        <b/>
        <i val="0"/>
        <color theme="0"/>
        <name val="Cambria"/>
        <scheme val="none"/>
      </font>
      <fill>
        <patternFill>
          <bgColor theme="5"/>
        </patternFill>
      </fill>
    </dxf>
    <dxf>
      <font>
        <b/>
        <i val="0"/>
        <color rgb="FFFFC000"/>
      </font>
      <fill>
        <patternFill>
          <bgColor theme="5"/>
        </patternFill>
      </fill>
    </dxf>
    <dxf>
      <font>
        <b/>
        <i val="0"/>
        <color theme="0"/>
      </font>
      <fill>
        <patternFill>
          <bgColor theme="8"/>
        </patternFill>
      </fill>
    </dxf>
    <dxf>
      <font>
        <b/>
        <i val="0"/>
        <color theme="0"/>
      </font>
      <fill>
        <patternFill>
          <bgColor theme="8"/>
        </patternFill>
      </fill>
    </dxf>
    <dxf>
      <font>
        <b/>
        <i val="0"/>
        <color rgb="FF9C0006"/>
      </font>
      <fill>
        <patternFill>
          <bgColor theme="5"/>
        </patternFill>
      </fill>
    </dxf>
    <dxf>
      <font>
        <b/>
        <i val="0"/>
        <color theme="0"/>
        <name val="Cambria"/>
        <scheme val="none"/>
      </font>
      <fill>
        <patternFill>
          <bgColor theme="5"/>
        </patternFill>
      </fill>
    </dxf>
    <dxf>
      <font>
        <b/>
        <i val="0"/>
        <color rgb="FFFFC000"/>
      </font>
      <fill>
        <patternFill>
          <bgColor theme="5"/>
        </patternFill>
      </fill>
    </dxf>
    <dxf>
      <font>
        <b/>
        <i val="0"/>
        <color theme="0"/>
      </font>
      <fill>
        <patternFill>
          <bgColor theme="8"/>
        </patternFill>
      </fill>
    </dxf>
    <dxf>
      <font>
        <b/>
        <i val="0"/>
        <color theme="0"/>
      </font>
      <fill>
        <patternFill>
          <bgColor theme="8"/>
        </patternFill>
      </fill>
    </dxf>
    <dxf>
      <font>
        <b/>
        <i val="0"/>
        <color rgb="FF9C0006"/>
      </font>
      <fill>
        <patternFill>
          <bgColor theme="5"/>
        </patternFill>
      </fill>
    </dxf>
    <dxf>
      <font>
        <b/>
        <i val="0"/>
        <color theme="0"/>
        <name val="Cambria"/>
        <scheme val="none"/>
      </font>
      <fill>
        <patternFill>
          <bgColor theme="5"/>
        </patternFill>
      </fill>
    </dxf>
    <dxf>
      <font>
        <b/>
        <i val="0"/>
        <color rgb="FFFFC000"/>
      </font>
      <fill>
        <patternFill>
          <bgColor theme="5"/>
        </patternFill>
      </fill>
    </dxf>
    <dxf>
      <font>
        <b/>
        <i val="0"/>
        <color theme="0"/>
      </font>
      <fill>
        <patternFill>
          <bgColor theme="8"/>
        </patternFill>
      </fill>
    </dxf>
    <dxf>
      <font>
        <b/>
        <i val="0"/>
        <color theme="0"/>
      </font>
      <fill>
        <patternFill>
          <bgColor theme="8"/>
        </patternFill>
      </fill>
    </dxf>
    <dxf>
      <font>
        <b/>
        <i val="0"/>
        <color rgb="FF9C0006"/>
      </font>
      <fill>
        <patternFill>
          <bgColor theme="5"/>
        </patternFill>
      </fill>
    </dxf>
    <dxf>
      <font>
        <b/>
        <i val="0"/>
        <color theme="0"/>
        <name val="Cambria"/>
        <scheme val="none"/>
      </font>
      <fill>
        <patternFill>
          <bgColor theme="5"/>
        </patternFill>
      </fill>
    </dxf>
    <dxf>
      <font>
        <b/>
        <i val="0"/>
        <color rgb="FFFFC000"/>
      </font>
      <fill>
        <patternFill>
          <bgColor theme="5"/>
        </patternFill>
      </fill>
    </dxf>
    <dxf>
      <font>
        <b/>
        <i val="0"/>
        <color theme="0"/>
      </font>
      <fill>
        <patternFill>
          <bgColor theme="8"/>
        </patternFill>
      </fill>
    </dxf>
    <dxf>
      <font>
        <b/>
        <i val="0"/>
        <color theme="0"/>
      </font>
      <fill>
        <patternFill>
          <bgColor theme="8"/>
        </patternFill>
      </fill>
    </dxf>
    <dxf>
      <font>
        <b/>
        <i val="0"/>
        <color rgb="FF9C0006"/>
      </font>
      <fill>
        <patternFill>
          <bgColor theme="5"/>
        </patternFill>
      </fill>
    </dxf>
    <dxf>
      <font>
        <b/>
        <i val="0"/>
        <color theme="0"/>
        <name val="Cambria"/>
        <scheme val="none"/>
      </font>
      <fill>
        <patternFill>
          <bgColor theme="5"/>
        </patternFill>
      </fill>
    </dxf>
    <dxf>
      <font>
        <b/>
        <i val="0"/>
        <color rgb="FFFFC000"/>
      </font>
      <fill>
        <patternFill>
          <bgColor theme="5"/>
        </patternFill>
      </fill>
    </dxf>
    <dxf>
      <font>
        <b/>
        <i val="0"/>
        <color theme="0"/>
      </font>
      <fill>
        <patternFill>
          <bgColor theme="8"/>
        </patternFill>
      </fill>
    </dxf>
    <dxf>
      <font>
        <b/>
        <i val="0"/>
        <color theme="0"/>
      </font>
      <fill>
        <patternFill>
          <bgColor theme="8"/>
        </patternFill>
      </fill>
    </dxf>
    <dxf>
      <font>
        <b/>
        <i val="0"/>
        <color rgb="FF9C0006"/>
      </font>
      <fill>
        <patternFill>
          <bgColor theme="5"/>
        </patternFill>
      </fill>
    </dxf>
    <dxf>
      <font>
        <b/>
        <i val="0"/>
        <color theme="0"/>
        <name val="Cambria"/>
        <scheme val="none"/>
      </font>
      <fill>
        <patternFill>
          <bgColor theme="5"/>
        </patternFill>
      </fill>
    </dxf>
    <dxf>
      <font>
        <b/>
        <i val="0"/>
        <color rgb="FFFFC000"/>
      </font>
      <fill>
        <patternFill>
          <bgColor theme="5"/>
        </patternFill>
      </fill>
    </dxf>
    <dxf>
      <font>
        <b/>
        <i val="0"/>
        <color theme="0"/>
      </font>
      <fill>
        <patternFill>
          <bgColor theme="8"/>
        </patternFill>
      </fill>
    </dxf>
    <dxf>
      <font>
        <b/>
        <i val="0"/>
        <color theme="0"/>
      </font>
      <fill>
        <patternFill>
          <bgColor theme="8"/>
        </patternFill>
      </fill>
    </dxf>
    <dxf>
      <font>
        <b/>
        <i val="0"/>
        <color rgb="FF9C0006"/>
      </font>
      <fill>
        <patternFill>
          <bgColor theme="5"/>
        </patternFill>
      </fill>
    </dxf>
    <dxf>
      <font>
        <b/>
        <i val="0"/>
        <color theme="0"/>
        <name val="Cambria"/>
        <scheme val="none"/>
      </font>
      <fill>
        <patternFill>
          <bgColor theme="5"/>
        </patternFill>
      </fill>
    </dxf>
    <dxf>
      <font>
        <b/>
        <i val="0"/>
        <color rgb="FFFFC000"/>
      </font>
      <fill>
        <patternFill>
          <bgColor theme="5"/>
        </patternFill>
      </fill>
    </dxf>
    <dxf>
      <font>
        <b/>
        <i val="0"/>
        <color theme="0"/>
      </font>
      <fill>
        <patternFill>
          <bgColor theme="8"/>
        </patternFill>
      </fill>
    </dxf>
    <dxf>
      <font>
        <b/>
        <i val="0"/>
        <color theme="0"/>
      </font>
      <fill>
        <patternFill>
          <bgColor theme="8"/>
        </patternFill>
      </fill>
    </dxf>
    <dxf>
      <font>
        <b/>
        <i val="0"/>
        <color rgb="FF9C0006"/>
      </font>
      <fill>
        <patternFill>
          <bgColor theme="5"/>
        </patternFill>
      </fill>
    </dxf>
    <dxf>
      <font>
        <b/>
        <i val="0"/>
        <color theme="0"/>
        <name val="Cambria"/>
        <scheme val="none"/>
      </font>
      <fill>
        <patternFill>
          <bgColor theme="5"/>
        </patternFill>
      </fill>
    </dxf>
    <dxf>
      <font>
        <b/>
        <i val="0"/>
        <color rgb="FFFFC000"/>
      </font>
      <fill>
        <patternFill>
          <bgColor theme="5"/>
        </patternFill>
      </fill>
    </dxf>
    <dxf>
      <font>
        <b/>
        <i val="0"/>
        <color theme="0"/>
      </font>
      <fill>
        <patternFill>
          <bgColor theme="8"/>
        </patternFill>
      </fill>
    </dxf>
    <dxf>
      <font>
        <b/>
        <i val="0"/>
        <color theme="0"/>
      </font>
      <fill>
        <patternFill>
          <bgColor theme="8"/>
        </patternFill>
      </fill>
    </dxf>
    <dxf>
      <font>
        <b/>
        <i val="0"/>
        <color rgb="FF9C0006"/>
      </font>
      <fill>
        <patternFill>
          <bgColor theme="5"/>
        </patternFill>
      </fill>
    </dxf>
    <dxf>
      <font>
        <b/>
        <i val="0"/>
        <color theme="0"/>
        <name val="Cambria"/>
        <scheme val="none"/>
      </font>
      <fill>
        <patternFill>
          <bgColor theme="5"/>
        </patternFill>
      </fill>
    </dxf>
    <dxf>
      <font>
        <b/>
        <i val="0"/>
        <color rgb="FFFFC000"/>
      </font>
      <fill>
        <patternFill>
          <bgColor theme="5"/>
        </patternFill>
      </fill>
    </dxf>
    <dxf>
      <font>
        <b/>
        <i val="0"/>
        <color theme="0"/>
      </font>
      <fill>
        <patternFill>
          <bgColor theme="8"/>
        </patternFill>
      </fill>
    </dxf>
    <dxf>
      <font>
        <b/>
        <i val="0"/>
        <color theme="0"/>
      </font>
      <fill>
        <patternFill>
          <bgColor theme="8"/>
        </patternFill>
      </fill>
    </dxf>
    <dxf>
      <font>
        <b/>
        <i val="0"/>
        <color rgb="FF9C0006"/>
      </font>
      <fill>
        <patternFill>
          <bgColor theme="5"/>
        </patternFill>
      </fill>
    </dxf>
    <dxf>
      <font>
        <b/>
        <i val="0"/>
        <color theme="0"/>
        <name val="Cambria"/>
        <scheme val="none"/>
      </font>
      <fill>
        <patternFill>
          <bgColor theme="5"/>
        </patternFill>
      </fill>
    </dxf>
    <dxf>
      <font>
        <b/>
        <i val="0"/>
        <color rgb="FFFFC000"/>
      </font>
      <fill>
        <patternFill>
          <bgColor theme="5"/>
        </patternFill>
      </fill>
    </dxf>
    <dxf>
      <font>
        <b/>
        <i val="0"/>
        <color theme="0"/>
      </font>
      <fill>
        <patternFill>
          <bgColor theme="8"/>
        </patternFill>
      </fill>
    </dxf>
    <dxf>
      <font>
        <b/>
        <i val="0"/>
        <color theme="0"/>
      </font>
      <fill>
        <patternFill>
          <bgColor theme="8"/>
        </patternFill>
      </fill>
    </dxf>
    <dxf>
      <font>
        <b/>
        <i val="0"/>
        <color rgb="FF9C0006"/>
      </font>
      <fill>
        <patternFill>
          <bgColor theme="5"/>
        </patternFill>
      </fill>
    </dxf>
    <dxf>
      <font>
        <b/>
        <i val="0"/>
        <color theme="0"/>
        <name val="Cambria"/>
        <scheme val="none"/>
      </font>
      <fill>
        <patternFill>
          <bgColor theme="5"/>
        </patternFill>
      </fill>
    </dxf>
    <dxf>
      <font>
        <b/>
        <i val="0"/>
        <color rgb="FFFFC000"/>
      </font>
      <fill>
        <patternFill>
          <bgColor theme="5"/>
        </patternFill>
      </fill>
    </dxf>
    <dxf>
      <font>
        <b/>
        <i val="0"/>
        <color theme="0"/>
      </font>
      <fill>
        <patternFill>
          <bgColor theme="8"/>
        </patternFill>
      </fill>
    </dxf>
    <dxf>
      <font>
        <b/>
        <i val="0"/>
        <color theme="0"/>
      </font>
      <fill>
        <patternFill>
          <bgColor theme="8"/>
        </patternFill>
      </fill>
    </dxf>
    <dxf>
      <font>
        <b/>
        <i val="0"/>
        <color rgb="FF9C0006"/>
      </font>
      <fill>
        <patternFill>
          <bgColor theme="5"/>
        </patternFill>
      </fill>
    </dxf>
    <dxf>
      <font>
        <b/>
        <i val="0"/>
        <color theme="0"/>
        <name val="Cambria"/>
        <scheme val="none"/>
      </font>
      <fill>
        <patternFill>
          <bgColor theme="5"/>
        </patternFill>
      </fill>
    </dxf>
    <dxf>
      <font>
        <b/>
        <i val="0"/>
        <color rgb="FFFFC000"/>
      </font>
      <fill>
        <patternFill>
          <bgColor theme="5"/>
        </patternFill>
      </fill>
    </dxf>
    <dxf>
      <font>
        <b/>
        <i val="0"/>
        <color theme="0"/>
      </font>
      <fill>
        <patternFill>
          <bgColor theme="8"/>
        </patternFill>
      </fill>
    </dxf>
    <dxf>
      <font>
        <b/>
        <i val="0"/>
        <color theme="0"/>
      </font>
      <fill>
        <patternFill>
          <bgColor theme="8"/>
        </patternFill>
      </fill>
    </dxf>
    <dxf>
      <font>
        <b/>
        <i val="0"/>
        <color rgb="FF9C0006"/>
      </font>
      <fill>
        <patternFill>
          <bgColor theme="5"/>
        </patternFill>
      </fill>
    </dxf>
    <dxf>
      <font>
        <b/>
        <i val="0"/>
        <color theme="0"/>
        <name val="Cambria"/>
        <scheme val="none"/>
      </font>
      <fill>
        <patternFill>
          <bgColor theme="5"/>
        </patternFill>
      </fill>
    </dxf>
    <dxf>
      <font>
        <b/>
        <i val="0"/>
        <color rgb="FFFFC000"/>
      </font>
      <fill>
        <patternFill>
          <bgColor theme="5"/>
        </patternFill>
      </fill>
    </dxf>
    <dxf>
      <font>
        <b/>
        <i val="0"/>
        <color theme="0"/>
      </font>
      <fill>
        <patternFill>
          <bgColor theme="8"/>
        </patternFill>
      </fill>
    </dxf>
    <dxf>
      <font>
        <b/>
        <i val="0"/>
        <color theme="0"/>
      </font>
      <fill>
        <patternFill>
          <bgColor theme="8"/>
        </patternFill>
      </fill>
    </dxf>
    <dxf>
      <font>
        <b/>
        <i val="0"/>
        <color rgb="FF9C0006"/>
      </font>
      <fill>
        <patternFill>
          <bgColor theme="5"/>
        </patternFill>
      </fill>
    </dxf>
    <dxf>
      <font>
        <b/>
        <i val="0"/>
        <color theme="0"/>
        <name val="Cambria"/>
        <scheme val="none"/>
      </font>
      <fill>
        <patternFill>
          <bgColor theme="5"/>
        </patternFill>
      </fill>
    </dxf>
    <dxf>
      <font>
        <b/>
        <i val="0"/>
        <color rgb="FFFFC000"/>
      </font>
      <fill>
        <patternFill>
          <bgColor theme="5"/>
        </patternFill>
      </fill>
    </dxf>
    <dxf>
      <font>
        <b/>
        <i val="0"/>
        <color theme="0"/>
      </font>
      <fill>
        <patternFill>
          <bgColor theme="8"/>
        </patternFill>
      </fill>
    </dxf>
    <dxf>
      <font>
        <b/>
        <i val="0"/>
        <color theme="0"/>
      </font>
      <fill>
        <patternFill>
          <bgColor theme="8"/>
        </patternFill>
      </fill>
    </dxf>
    <dxf>
      <font>
        <b/>
        <i val="0"/>
        <color rgb="FF9C0006"/>
      </font>
      <fill>
        <patternFill>
          <bgColor theme="5"/>
        </patternFill>
      </fill>
    </dxf>
    <dxf>
      <font>
        <b/>
        <i val="0"/>
        <color theme="0"/>
        <name val="Cambria"/>
        <scheme val="none"/>
      </font>
      <fill>
        <patternFill>
          <bgColor theme="5"/>
        </patternFill>
      </fill>
    </dxf>
    <dxf>
      <font>
        <b/>
        <i val="0"/>
        <color rgb="FFFFC000"/>
      </font>
      <fill>
        <patternFill>
          <bgColor theme="5"/>
        </patternFill>
      </fill>
    </dxf>
    <dxf>
      <font>
        <b/>
        <i val="0"/>
        <color theme="0"/>
      </font>
      <fill>
        <patternFill>
          <bgColor theme="8"/>
        </patternFill>
      </fill>
    </dxf>
    <dxf>
      <font>
        <b/>
        <i val="0"/>
        <color theme="0"/>
      </font>
      <fill>
        <patternFill>
          <bgColor theme="8"/>
        </patternFill>
      </fill>
    </dxf>
    <dxf>
      <font>
        <b/>
        <i val="0"/>
        <color rgb="FF9C0006"/>
      </font>
      <fill>
        <patternFill>
          <bgColor theme="5"/>
        </patternFill>
      </fill>
    </dxf>
    <dxf>
      <font>
        <b/>
        <i val="0"/>
        <color theme="0"/>
        <name val="Cambria"/>
        <scheme val="none"/>
      </font>
      <fill>
        <patternFill>
          <bgColor theme="5"/>
        </patternFill>
      </fill>
    </dxf>
    <dxf>
      <font>
        <b/>
        <i val="0"/>
        <color rgb="FFFFC000"/>
      </font>
      <fill>
        <patternFill>
          <bgColor theme="5"/>
        </patternFill>
      </fill>
    </dxf>
    <dxf>
      <font>
        <b/>
        <i val="0"/>
        <color theme="0"/>
      </font>
      <fill>
        <patternFill>
          <bgColor theme="8"/>
        </patternFill>
      </fill>
    </dxf>
    <dxf>
      <font>
        <b/>
        <i val="0"/>
        <color theme="0"/>
      </font>
      <fill>
        <patternFill>
          <bgColor theme="8"/>
        </patternFill>
      </fill>
    </dxf>
    <dxf>
      <font>
        <b/>
        <i val="0"/>
        <color rgb="FF9C0006"/>
      </font>
      <fill>
        <patternFill>
          <bgColor theme="5"/>
        </patternFill>
      </fill>
    </dxf>
    <dxf>
      <font>
        <b/>
        <i val="0"/>
        <color theme="0"/>
        <name val="Cambria"/>
        <scheme val="none"/>
      </font>
      <fill>
        <patternFill>
          <bgColor theme="5"/>
        </patternFill>
      </fill>
    </dxf>
    <dxf>
      <font>
        <b/>
        <i val="0"/>
        <color rgb="FFFFC000"/>
      </font>
      <fill>
        <patternFill>
          <bgColor theme="5"/>
        </patternFill>
      </fill>
    </dxf>
    <dxf>
      <font>
        <b/>
        <i val="0"/>
        <color theme="0"/>
      </font>
      <fill>
        <patternFill>
          <bgColor theme="8"/>
        </patternFill>
      </fill>
    </dxf>
    <dxf>
      <font>
        <b/>
        <i val="0"/>
        <color theme="0"/>
      </font>
      <fill>
        <patternFill>
          <bgColor theme="8"/>
        </patternFill>
      </fill>
    </dxf>
    <dxf>
      <font>
        <b/>
        <i val="0"/>
        <color rgb="FF9C0006"/>
      </font>
      <fill>
        <patternFill>
          <bgColor theme="5"/>
        </patternFill>
      </fill>
    </dxf>
    <dxf>
      <font>
        <b/>
        <i val="0"/>
        <color theme="0"/>
        <name val="Cambria"/>
        <scheme val="none"/>
      </font>
      <fill>
        <patternFill>
          <bgColor theme="5"/>
        </patternFill>
      </fill>
    </dxf>
    <dxf>
      <font>
        <b/>
        <i val="0"/>
        <color rgb="FFFFC000"/>
      </font>
      <fill>
        <patternFill>
          <bgColor theme="5"/>
        </patternFill>
      </fill>
    </dxf>
    <dxf>
      <font>
        <b/>
        <i val="0"/>
        <color theme="0"/>
      </font>
      <fill>
        <patternFill>
          <bgColor theme="8"/>
        </patternFill>
      </fill>
    </dxf>
    <dxf>
      <font>
        <b/>
        <i val="0"/>
        <color theme="0"/>
      </font>
      <fill>
        <patternFill>
          <bgColor theme="8"/>
        </patternFill>
      </fill>
    </dxf>
    <dxf>
      <font>
        <b/>
        <i val="0"/>
        <color rgb="FF9C0006"/>
      </font>
      <fill>
        <patternFill>
          <bgColor theme="5"/>
        </patternFill>
      </fill>
    </dxf>
    <dxf>
      <font>
        <b/>
        <i val="0"/>
        <color theme="0"/>
        <name val="Cambria"/>
        <scheme val="none"/>
      </font>
      <fill>
        <patternFill>
          <bgColor theme="5"/>
        </patternFill>
      </fill>
    </dxf>
    <dxf>
      <font>
        <b/>
        <i val="0"/>
        <color rgb="FFFFC000"/>
      </font>
      <fill>
        <patternFill>
          <bgColor theme="5"/>
        </patternFill>
      </fill>
    </dxf>
    <dxf>
      <font>
        <b/>
        <i val="0"/>
        <color theme="0"/>
      </font>
      <fill>
        <patternFill>
          <bgColor theme="8"/>
        </patternFill>
      </fill>
    </dxf>
    <dxf>
      <font>
        <b/>
        <i val="0"/>
        <color theme="0"/>
      </font>
      <fill>
        <patternFill>
          <bgColor theme="8"/>
        </patternFill>
      </fill>
    </dxf>
    <dxf>
      <font>
        <b/>
        <i val="0"/>
        <color rgb="FF9C0006"/>
      </font>
      <fill>
        <patternFill>
          <bgColor theme="5"/>
        </patternFill>
      </fill>
    </dxf>
    <dxf>
      <font>
        <b/>
        <i val="0"/>
        <color theme="0"/>
        <name val="Cambria"/>
        <scheme val="none"/>
      </font>
      <fill>
        <patternFill>
          <bgColor theme="5"/>
        </patternFill>
      </fill>
    </dxf>
    <dxf>
      <font>
        <b/>
        <i val="0"/>
        <color rgb="FFFFC000"/>
      </font>
      <fill>
        <patternFill>
          <bgColor theme="5"/>
        </patternFill>
      </fill>
    </dxf>
    <dxf>
      <font>
        <b/>
        <i val="0"/>
        <color theme="0"/>
      </font>
      <fill>
        <patternFill>
          <bgColor theme="8"/>
        </patternFill>
      </fill>
    </dxf>
    <dxf>
      <font>
        <b/>
        <i val="0"/>
        <color theme="0"/>
      </font>
      <fill>
        <patternFill>
          <bgColor theme="8"/>
        </patternFill>
      </fill>
    </dxf>
    <dxf>
      <font>
        <b/>
        <i val="0"/>
        <color rgb="FF9C0006"/>
      </font>
      <fill>
        <patternFill>
          <bgColor theme="5"/>
        </patternFill>
      </fill>
    </dxf>
    <dxf>
      <font>
        <b/>
        <i val="0"/>
        <color theme="0"/>
        <name val="Cambria"/>
        <scheme val="none"/>
      </font>
      <fill>
        <patternFill>
          <bgColor theme="5"/>
        </patternFill>
      </fill>
    </dxf>
    <dxf>
      <font>
        <b/>
        <i val="0"/>
        <color rgb="FFFFC000"/>
      </font>
      <fill>
        <patternFill>
          <bgColor theme="5"/>
        </patternFill>
      </fill>
    </dxf>
    <dxf>
      <font>
        <b/>
        <i val="0"/>
        <color theme="0"/>
      </font>
      <fill>
        <patternFill>
          <bgColor theme="8"/>
        </patternFill>
      </fill>
    </dxf>
    <dxf>
      <font>
        <b/>
        <i val="0"/>
        <color theme="0"/>
      </font>
      <fill>
        <patternFill>
          <bgColor theme="8"/>
        </patternFill>
      </fill>
    </dxf>
    <dxf>
      <font>
        <b/>
        <i val="0"/>
        <color rgb="FF9C0006"/>
      </font>
      <fill>
        <patternFill>
          <bgColor theme="5"/>
        </patternFill>
      </fill>
    </dxf>
    <dxf>
      <font>
        <b/>
        <i val="0"/>
        <color theme="0"/>
        <name val="Cambria"/>
        <scheme val="none"/>
      </font>
      <fill>
        <patternFill>
          <bgColor theme="5"/>
        </patternFill>
      </fill>
    </dxf>
    <dxf>
      <font>
        <b/>
        <i val="0"/>
        <color rgb="FFFFC000"/>
      </font>
      <fill>
        <patternFill>
          <bgColor theme="5"/>
        </patternFill>
      </fill>
    </dxf>
    <dxf>
      <font>
        <b/>
        <i val="0"/>
        <color theme="0"/>
      </font>
      <fill>
        <patternFill>
          <bgColor theme="8"/>
        </patternFill>
      </fill>
    </dxf>
    <dxf>
      <font>
        <b/>
        <i val="0"/>
        <color theme="0"/>
      </font>
      <fill>
        <patternFill>
          <bgColor theme="8"/>
        </patternFill>
      </fill>
    </dxf>
    <dxf>
      <font>
        <b/>
        <i val="0"/>
        <color rgb="FF9C0006"/>
      </font>
      <fill>
        <patternFill>
          <bgColor theme="5"/>
        </patternFill>
      </fill>
    </dxf>
    <dxf>
      <font>
        <b/>
        <i val="0"/>
        <color theme="0"/>
        <name val="Cambria"/>
        <scheme val="none"/>
      </font>
      <fill>
        <patternFill>
          <bgColor theme="5"/>
        </patternFill>
      </fill>
    </dxf>
    <dxf>
      <font>
        <b/>
        <i val="0"/>
        <color rgb="FFFFC000"/>
      </font>
      <fill>
        <patternFill>
          <bgColor theme="5"/>
        </patternFill>
      </fill>
    </dxf>
    <dxf>
      <font>
        <b/>
        <i val="0"/>
        <color theme="0"/>
      </font>
      <fill>
        <patternFill>
          <bgColor theme="8"/>
        </patternFill>
      </fill>
    </dxf>
    <dxf>
      <font>
        <b/>
        <i val="0"/>
        <color theme="0"/>
      </font>
      <fill>
        <patternFill>
          <bgColor theme="8"/>
        </patternFill>
      </fill>
    </dxf>
    <dxf>
      <font>
        <b/>
        <i val="0"/>
        <color rgb="FF9C0006"/>
      </font>
      <fill>
        <patternFill>
          <bgColor theme="5"/>
        </patternFill>
      </fill>
    </dxf>
    <dxf>
      <font>
        <b/>
        <i val="0"/>
        <color theme="0"/>
        <name val="Cambria"/>
        <scheme val="none"/>
      </font>
      <fill>
        <patternFill>
          <bgColor theme="5"/>
        </patternFill>
      </fill>
    </dxf>
    <dxf>
      <font>
        <b/>
        <i val="0"/>
        <color rgb="FFFFC000"/>
      </font>
      <fill>
        <patternFill>
          <bgColor theme="5"/>
        </patternFill>
      </fill>
    </dxf>
    <dxf>
      <font>
        <b/>
        <i val="0"/>
        <color theme="0"/>
      </font>
      <fill>
        <patternFill>
          <bgColor theme="8"/>
        </patternFill>
      </fill>
    </dxf>
    <dxf>
      <font>
        <b/>
        <i val="0"/>
        <color theme="0"/>
      </font>
      <fill>
        <patternFill>
          <bgColor theme="8"/>
        </patternFill>
      </fill>
    </dxf>
    <dxf>
      <font>
        <b/>
        <i val="0"/>
        <color rgb="FF9C0006"/>
      </font>
      <fill>
        <patternFill>
          <bgColor theme="5"/>
        </patternFill>
      </fill>
    </dxf>
    <dxf>
      <font>
        <b/>
        <i val="0"/>
        <color theme="0"/>
        <name val="Cambria"/>
        <scheme val="none"/>
      </font>
      <fill>
        <patternFill>
          <bgColor theme="5"/>
        </patternFill>
      </fill>
    </dxf>
    <dxf>
      <font>
        <b/>
        <i val="0"/>
        <color rgb="FFFFC000"/>
      </font>
      <fill>
        <patternFill>
          <bgColor theme="5"/>
        </patternFill>
      </fill>
    </dxf>
    <dxf>
      <font>
        <b/>
        <i val="0"/>
        <color theme="0"/>
      </font>
      <fill>
        <patternFill>
          <bgColor theme="8"/>
        </patternFill>
      </fill>
    </dxf>
    <dxf>
      <font>
        <b/>
        <i val="0"/>
        <color theme="0"/>
      </font>
      <fill>
        <patternFill>
          <bgColor theme="8"/>
        </patternFill>
      </fill>
    </dxf>
    <dxf>
      <font>
        <b/>
        <i val="0"/>
        <color rgb="FF9C0006"/>
      </font>
      <fill>
        <patternFill>
          <bgColor theme="5"/>
        </patternFill>
      </fill>
    </dxf>
    <dxf>
      <font>
        <b/>
        <i val="0"/>
        <color theme="0"/>
        <name val="Cambria"/>
        <scheme val="none"/>
      </font>
      <fill>
        <patternFill>
          <bgColor theme="5"/>
        </patternFill>
      </fill>
    </dxf>
    <dxf>
      <font>
        <b/>
        <i val="0"/>
        <color rgb="FFFFC000"/>
      </font>
      <fill>
        <patternFill>
          <bgColor theme="5"/>
        </patternFill>
      </fill>
    </dxf>
    <dxf>
      <font>
        <b/>
        <i val="0"/>
        <color theme="0"/>
      </font>
      <fill>
        <patternFill>
          <bgColor theme="8"/>
        </patternFill>
      </fill>
    </dxf>
    <dxf>
      <font>
        <b/>
        <i val="0"/>
        <color theme="0"/>
      </font>
      <fill>
        <patternFill>
          <bgColor theme="8"/>
        </patternFill>
      </fill>
    </dxf>
    <dxf>
      <font>
        <b/>
        <i val="0"/>
        <color rgb="FF9C0006"/>
      </font>
      <fill>
        <patternFill>
          <bgColor theme="5"/>
        </patternFill>
      </fill>
    </dxf>
    <dxf>
      <font>
        <b/>
        <i val="0"/>
        <color theme="0"/>
        <name val="Cambria"/>
        <scheme val="none"/>
      </font>
      <fill>
        <patternFill>
          <bgColor theme="5"/>
        </patternFill>
      </fill>
    </dxf>
    <dxf>
      <font>
        <b/>
        <i val="0"/>
        <color rgb="FFFFC000"/>
      </font>
      <fill>
        <patternFill>
          <bgColor theme="5"/>
        </patternFill>
      </fill>
    </dxf>
    <dxf>
      <font>
        <b/>
        <i val="0"/>
        <color theme="0"/>
      </font>
      <fill>
        <patternFill>
          <bgColor theme="8"/>
        </patternFill>
      </fill>
    </dxf>
    <dxf>
      <font>
        <b/>
        <i val="0"/>
        <color theme="0"/>
      </font>
      <fill>
        <patternFill>
          <bgColor theme="8"/>
        </patternFill>
      </fill>
    </dxf>
    <dxf>
      <font>
        <b/>
        <i val="0"/>
        <color rgb="FF9C0006"/>
      </font>
      <fill>
        <patternFill>
          <bgColor theme="5"/>
        </patternFill>
      </fill>
    </dxf>
    <dxf>
      <font>
        <b/>
        <i val="0"/>
        <color theme="0"/>
        <name val="Cambria"/>
        <scheme val="none"/>
      </font>
      <fill>
        <patternFill>
          <bgColor theme="5"/>
        </patternFill>
      </fill>
    </dxf>
    <dxf>
      <font>
        <b/>
        <i val="0"/>
        <color rgb="FFFFC000"/>
      </font>
      <fill>
        <patternFill>
          <bgColor theme="5"/>
        </patternFill>
      </fill>
    </dxf>
    <dxf>
      <font>
        <b/>
        <i val="0"/>
        <color theme="0"/>
      </font>
      <fill>
        <patternFill>
          <bgColor theme="8"/>
        </patternFill>
      </fill>
    </dxf>
    <dxf>
      <font>
        <b/>
        <i val="0"/>
        <color theme="0"/>
      </font>
      <fill>
        <patternFill>
          <bgColor theme="8"/>
        </patternFill>
      </fill>
    </dxf>
    <dxf>
      <font>
        <b/>
        <i val="0"/>
        <color rgb="FF9C0006"/>
      </font>
      <fill>
        <patternFill>
          <bgColor theme="5"/>
        </patternFill>
      </fill>
    </dxf>
    <dxf>
      <font>
        <b/>
        <i val="0"/>
        <color theme="0"/>
        <name val="Cambria"/>
        <scheme val="none"/>
      </font>
      <fill>
        <patternFill>
          <bgColor theme="5"/>
        </patternFill>
      </fill>
    </dxf>
    <dxf>
      <font>
        <b/>
        <i val="0"/>
        <color rgb="FFFFC000"/>
      </font>
      <fill>
        <patternFill>
          <bgColor theme="5"/>
        </patternFill>
      </fill>
    </dxf>
    <dxf>
      <font>
        <b/>
        <i val="0"/>
        <color theme="0"/>
      </font>
      <fill>
        <patternFill>
          <bgColor theme="8"/>
        </patternFill>
      </fill>
    </dxf>
    <dxf>
      <font>
        <b/>
        <i val="0"/>
        <color theme="0"/>
      </font>
      <fill>
        <patternFill>
          <bgColor theme="8"/>
        </patternFill>
      </fill>
    </dxf>
    <dxf>
      <font>
        <b/>
        <i val="0"/>
        <color rgb="FF9C0006"/>
      </font>
      <fill>
        <patternFill>
          <bgColor theme="5"/>
        </patternFill>
      </fill>
    </dxf>
    <dxf>
      <font>
        <b/>
        <i val="0"/>
        <color theme="0"/>
        <name val="Cambria"/>
        <scheme val="none"/>
      </font>
      <fill>
        <patternFill>
          <bgColor theme="5"/>
        </patternFill>
      </fill>
    </dxf>
    <dxf>
      <font>
        <b/>
        <i val="0"/>
        <color rgb="FFFFC000"/>
      </font>
      <fill>
        <patternFill>
          <bgColor theme="5"/>
        </patternFill>
      </fill>
    </dxf>
    <dxf>
      <font>
        <b/>
        <i val="0"/>
        <color theme="0"/>
      </font>
      <fill>
        <patternFill>
          <bgColor theme="8"/>
        </patternFill>
      </fill>
    </dxf>
    <dxf>
      <font>
        <b/>
        <i val="0"/>
        <color theme="0"/>
      </font>
      <fill>
        <patternFill>
          <bgColor theme="8"/>
        </patternFill>
      </fill>
    </dxf>
    <dxf>
      <font>
        <b/>
        <i val="0"/>
        <color rgb="FF9C0006"/>
      </font>
      <fill>
        <patternFill>
          <bgColor theme="5"/>
        </patternFill>
      </fill>
    </dxf>
    <dxf>
      <font>
        <b/>
        <i val="0"/>
        <color theme="0"/>
        <name val="Cambria"/>
        <scheme val="none"/>
      </font>
      <fill>
        <patternFill>
          <bgColor theme="5"/>
        </patternFill>
      </fill>
    </dxf>
    <dxf>
      <font>
        <b/>
        <i val="0"/>
        <color rgb="FFFFC000"/>
      </font>
      <fill>
        <patternFill>
          <bgColor theme="5"/>
        </patternFill>
      </fill>
    </dxf>
    <dxf>
      <font>
        <b/>
        <i val="0"/>
        <color theme="0"/>
      </font>
      <fill>
        <patternFill>
          <bgColor theme="8"/>
        </patternFill>
      </fill>
    </dxf>
    <dxf>
      <font>
        <b/>
        <i val="0"/>
        <color theme="0"/>
      </font>
      <fill>
        <patternFill>
          <bgColor theme="8"/>
        </patternFill>
      </fill>
    </dxf>
    <dxf>
      <font>
        <b/>
        <i val="0"/>
        <color rgb="FF9C0006"/>
      </font>
      <fill>
        <patternFill>
          <bgColor theme="5"/>
        </patternFill>
      </fill>
    </dxf>
    <dxf>
      <font>
        <b/>
        <i val="0"/>
        <color theme="0"/>
        <name val="Cambria"/>
        <scheme val="none"/>
      </font>
      <fill>
        <patternFill>
          <bgColor theme="5"/>
        </patternFill>
      </fill>
    </dxf>
    <dxf>
      <font>
        <b/>
        <i val="0"/>
        <color rgb="FFFFC000"/>
      </font>
      <fill>
        <patternFill>
          <bgColor theme="5"/>
        </patternFill>
      </fill>
    </dxf>
    <dxf>
      <font>
        <b/>
        <i val="0"/>
        <color theme="0"/>
      </font>
      <fill>
        <patternFill>
          <bgColor theme="8"/>
        </patternFill>
      </fill>
    </dxf>
    <dxf>
      <font>
        <b/>
        <i val="0"/>
        <color theme="0"/>
      </font>
      <fill>
        <patternFill>
          <bgColor theme="8"/>
        </patternFill>
      </fill>
    </dxf>
    <dxf>
      <font>
        <b/>
        <i val="0"/>
        <color rgb="FF9C0006"/>
      </font>
      <fill>
        <patternFill>
          <bgColor theme="5"/>
        </patternFill>
      </fill>
    </dxf>
    <dxf>
      <font>
        <b/>
        <i val="0"/>
        <color theme="0"/>
        <name val="Cambria"/>
        <scheme val="none"/>
      </font>
      <fill>
        <patternFill>
          <bgColor theme="5"/>
        </patternFill>
      </fill>
    </dxf>
    <dxf>
      <font>
        <b/>
        <i val="0"/>
        <color rgb="FFFFC000"/>
      </font>
      <fill>
        <patternFill>
          <bgColor theme="5"/>
        </patternFill>
      </fill>
    </dxf>
    <dxf>
      <font>
        <b/>
        <i val="0"/>
        <color theme="0"/>
      </font>
      <fill>
        <patternFill>
          <bgColor theme="8"/>
        </patternFill>
      </fill>
    </dxf>
    <dxf>
      <font>
        <b/>
        <i val="0"/>
        <color theme="0"/>
      </font>
      <fill>
        <patternFill>
          <bgColor theme="8"/>
        </patternFill>
      </fill>
    </dxf>
    <dxf>
      <font>
        <b/>
        <i val="0"/>
        <color rgb="FF9C0006"/>
      </font>
      <fill>
        <patternFill>
          <bgColor theme="5"/>
        </patternFill>
      </fill>
    </dxf>
    <dxf>
      <font>
        <b/>
        <i val="0"/>
        <color theme="0"/>
        <name val="Cambria"/>
        <scheme val="none"/>
      </font>
      <fill>
        <patternFill>
          <bgColor theme="5"/>
        </patternFill>
      </fill>
    </dxf>
    <dxf>
      <font>
        <b/>
        <i val="0"/>
        <color rgb="FFFFC000"/>
      </font>
      <fill>
        <patternFill>
          <bgColor theme="5"/>
        </patternFill>
      </fill>
    </dxf>
    <dxf>
      <font>
        <b/>
        <i val="0"/>
        <color theme="0"/>
      </font>
      <fill>
        <patternFill>
          <bgColor theme="8"/>
        </patternFill>
      </fill>
    </dxf>
    <dxf>
      <font>
        <b/>
        <i val="0"/>
        <color theme="0"/>
      </font>
      <fill>
        <patternFill>
          <bgColor theme="8"/>
        </patternFill>
      </fill>
    </dxf>
    <dxf>
      <font>
        <b/>
        <i val="0"/>
        <color rgb="FF9C0006"/>
      </font>
      <fill>
        <patternFill>
          <bgColor theme="5"/>
        </patternFill>
      </fill>
    </dxf>
    <dxf>
      <font>
        <b/>
        <i val="0"/>
        <color theme="0"/>
        <name val="Cambria"/>
        <scheme val="none"/>
      </font>
      <fill>
        <patternFill>
          <bgColor theme="5"/>
        </patternFill>
      </fill>
    </dxf>
    <dxf>
      <font>
        <b/>
        <i val="0"/>
        <color rgb="FFFFC000"/>
      </font>
      <fill>
        <patternFill>
          <bgColor theme="5"/>
        </patternFill>
      </fill>
    </dxf>
    <dxf>
      <font>
        <b/>
        <i val="0"/>
        <color theme="0"/>
      </font>
      <fill>
        <patternFill>
          <bgColor theme="8"/>
        </patternFill>
      </fill>
    </dxf>
    <dxf>
      <font>
        <b/>
        <i val="0"/>
        <color theme="0"/>
      </font>
      <fill>
        <patternFill>
          <bgColor theme="8"/>
        </patternFill>
      </fill>
    </dxf>
    <dxf>
      <font>
        <b/>
        <i val="0"/>
        <color rgb="FF9C0006"/>
      </font>
      <fill>
        <patternFill>
          <bgColor theme="5"/>
        </patternFill>
      </fill>
    </dxf>
    <dxf>
      <font>
        <b/>
        <i val="0"/>
        <color theme="0"/>
        <name val="Cambria"/>
        <scheme val="none"/>
      </font>
      <fill>
        <patternFill>
          <bgColor theme="5"/>
        </patternFill>
      </fill>
    </dxf>
    <dxf>
      <font>
        <b/>
        <i val="0"/>
        <color rgb="FFFFC000"/>
      </font>
      <fill>
        <patternFill>
          <bgColor theme="5"/>
        </patternFill>
      </fill>
    </dxf>
    <dxf>
      <font>
        <b/>
        <i val="0"/>
        <color theme="0"/>
      </font>
      <fill>
        <patternFill>
          <bgColor theme="8"/>
        </patternFill>
      </fill>
    </dxf>
    <dxf>
      <font>
        <b/>
        <i val="0"/>
        <color theme="0"/>
      </font>
      <fill>
        <patternFill>
          <bgColor theme="8"/>
        </patternFill>
      </fill>
    </dxf>
    <dxf>
      <font>
        <b/>
        <i val="0"/>
        <color rgb="FF9C0006"/>
      </font>
      <fill>
        <patternFill>
          <bgColor theme="5"/>
        </patternFill>
      </fill>
    </dxf>
    <dxf>
      <font>
        <b/>
        <i val="0"/>
        <color theme="0"/>
        <name val="Cambria"/>
        <scheme val="none"/>
      </font>
      <fill>
        <patternFill>
          <bgColor theme="5"/>
        </patternFill>
      </fill>
    </dxf>
    <dxf>
      <font>
        <b/>
        <i val="0"/>
        <color rgb="FFFFC000"/>
      </font>
      <fill>
        <patternFill>
          <bgColor theme="5"/>
        </patternFill>
      </fill>
    </dxf>
    <dxf>
      <font>
        <b/>
        <i val="0"/>
        <color theme="0"/>
      </font>
      <fill>
        <patternFill>
          <bgColor theme="8"/>
        </patternFill>
      </fill>
    </dxf>
    <dxf>
      <font>
        <b/>
        <i val="0"/>
        <color theme="0"/>
      </font>
      <fill>
        <patternFill>
          <bgColor theme="8"/>
        </patternFill>
      </fill>
    </dxf>
    <dxf>
      <font>
        <b/>
        <i val="0"/>
        <color rgb="FF9C0006"/>
      </font>
      <fill>
        <patternFill>
          <bgColor theme="5"/>
        </patternFill>
      </fill>
    </dxf>
    <dxf>
      <font>
        <b/>
        <i val="0"/>
        <color theme="0"/>
        <name val="Cambria"/>
        <scheme val="none"/>
      </font>
      <fill>
        <patternFill>
          <bgColor theme="5"/>
        </patternFill>
      </fill>
    </dxf>
    <dxf>
      <font>
        <b/>
        <i val="0"/>
        <color rgb="FFFFC000"/>
      </font>
      <fill>
        <patternFill>
          <bgColor theme="5"/>
        </patternFill>
      </fill>
    </dxf>
    <dxf>
      <font>
        <b/>
        <i val="0"/>
        <color theme="0"/>
      </font>
      <fill>
        <patternFill>
          <bgColor theme="8"/>
        </patternFill>
      </fill>
    </dxf>
    <dxf>
      <font>
        <b/>
        <i val="0"/>
        <color theme="0"/>
      </font>
      <fill>
        <patternFill>
          <bgColor theme="8"/>
        </patternFill>
      </fill>
    </dxf>
    <dxf>
      <font>
        <b/>
        <i val="0"/>
        <color rgb="FF9C0006"/>
      </font>
      <fill>
        <patternFill>
          <bgColor theme="5"/>
        </patternFill>
      </fill>
    </dxf>
    <dxf>
      <font>
        <b/>
        <i val="0"/>
        <color theme="0"/>
        <name val="Cambria"/>
        <scheme val="none"/>
      </font>
      <fill>
        <patternFill>
          <bgColor theme="5"/>
        </patternFill>
      </fill>
    </dxf>
    <dxf>
      <font>
        <b/>
        <i val="0"/>
        <color rgb="FFFFC000"/>
      </font>
      <fill>
        <patternFill>
          <bgColor theme="5"/>
        </patternFill>
      </fill>
    </dxf>
    <dxf>
      <font>
        <b/>
        <i val="0"/>
        <color theme="0"/>
      </font>
      <fill>
        <patternFill>
          <bgColor theme="8"/>
        </patternFill>
      </fill>
    </dxf>
    <dxf>
      <font>
        <b/>
        <i val="0"/>
        <color theme="0"/>
      </font>
      <fill>
        <patternFill>
          <bgColor theme="8"/>
        </patternFill>
      </fill>
    </dxf>
    <dxf>
      <font>
        <b/>
        <i val="0"/>
        <color rgb="FF9C0006"/>
      </font>
      <fill>
        <patternFill>
          <bgColor theme="5"/>
        </patternFill>
      </fill>
    </dxf>
    <dxf>
      <font>
        <b/>
        <i val="0"/>
        <color theme="0"/>
        <name val="Cambria"/>
        <scheme val="none"/>
      </font>
      <fill>
        <patternFill>
          <bgColor theme="5"/>
        </patternFill>
      </fill>
    </dxf>
    <dxf>
      <font>
        <b/>
        <i val="0"/>
        <color rgb="FFFFC000"/>
      </font>
      <fill>
        <patternFill>
          <bgColor theme="5"/>
        </patternFill>
      </fill>
    </dxf>
    <dxf>
      <font>
        <b/>
        <i val="0"/>
        <color theme="0"/>
      </font>
      <fill>
        <patternFill>
          <bgColor theme="8"/>
        </patternFill>
      </fill>
    </dxf>
    <dxf>
      <font>
        <b/>
        <i val="0"/>
        <color theme="0"/>
      </font>
      <fill>
        <patternFill>
          <bgColor theme="8"/>
        </patternFill>
      </fill>
    </dxf>
    <dxf>
      <font>
        <b/>
        <i val="0"/>
        <color rgb="FF9C0006"/>
      </font>
      <fill>
        <patternFill>
          <bgColor theme="5"/>
        </patternFill>
      </fill>
    </dxf>
    <dxf>
      <font>
        <b/>
        <i val="0"/>
        <color theme="0"/>
        <name val="Cambria"/>
        <scheme val="none"/>
      </font>
      <fill>
        <patternFill>
          <bgColor theme="5"/>
        </patternFill>
      </fill>
    </dxf>
    <dxf>
      <font>
        <b/>
        <i val="0"/>
        <color rgb="FFFFC000"/>
      </font>
      <fill>
        <patternFill>
          <bgColor theme="5"/>
        </patternFill>
      </fill>
    </dxf>
    <dxf>
      <font>
        <b/>
        <i val="0"/>
        <color theme="0"/>
      </font>
      <fill>
        <patternFill>
          <bgColor theme="8"/>
        </patternFill>
      </fill>
    </dxf>
    <dxf>
      <font>
        <b/>
        <i val="0"/>
        <color theme="0"/>
      </font>
      <fill>
        <patternFill>
          <bgColor theme="8"/>
        </patternFill>
      </fill>
    </dxf>
    <dxf>
      <font>
        <b/>
        <i val="0"/>
        <color rgb="FF9C0006"/>
      </font>
      <fill>
        <patternFill>
          <bgColor theme="5"/>
        </patternFill>
      </fill>
    </dxf>
    <dxf>
      <font>
        <b/>
        <i val="0"/>
        <color theme="0"/>
        <name val="Cambria"/>
        <scheme val="none"/>
      </font>
      <fill>
        <patternFill>
          <bgColor theme="5"/>
        </patternFill>
      </fill>
    </dxf>
    <dxf>
      <font>
        <b/>
        <i val="0"/>
        <color rgb="FFFFC000"/>
      </font>
      <fill>
        <patternFill>
          <bgColor theme="5"/>
        </patternFill>
      </fill>
    </dxf>
    <dxf>
      <font>
        <b/>
        <i val="0"/>
        <color theme="0"/>
      </font>
      <fill>
        <patternFill>
          <bgColor theme="8"/>
        </patternFill>
      </fill>
    </dxf>
    <dxf>
      <font>
        <b/>
        <i val="0"/>
        <color theme="0"/>
      </font>
      <fill>
        <patternFill>
          <bgColor theme="8"/>
        </patternFill>
      </fill>
    </dxf>
    <dxf>
      <font>
        <b/>
        <i val="0"/>
        <color rgb="FF9C0006"/>
      </font>
      <fill>
        <patternFill>
          <bgColor theme="5"/>
        </patternFill>
      </fill>
    </dxf>
    <dxf>
      <font>
        <b/>
        <i val="0"/>
        <color theme="0"/>
        <name val="Cambria"/>
        <scheme val="none"/>
      </font>
      <fill>
        <patternFill>
          <bgColor theme="5"/>
        </patternFill>
      </fill>
    </dxf>
    <dxf>
      <font>
        <b/>
        <i val="0"/>
        <color rgb="FFFFC000"/>
      </font>
      <fill>
        <patternFill>
          <bgColor theme="5"/>
        </patternFill>
      </fill>
    </dxf>
    <dxf>
      <font>
        <b/>
        <i val="0"/>
        <color theme="0"/>
      </font>
      <fill>
        <patternFill>
          <bgColor theme="8"/>
        </patternFill>
      </fill>
    </dxf>
    <dxf>
      <font>
        <b/>
        <i val="0"/>
        <color theme="0"/>
      </font>
      <fill>
        <patternFill>
          <bgColor theme="8"/>
        </patternFill>
      </fill>
    </dxf>
    <dxf>
      <font>
        <b/>
        <i val="0"/>
        <color rgb="FF9C0006"/>
      </font>
      <fill>
        <patternFill>
          <bgColor theme="5"/>
        </patternFill>
      </fill>
    </dxf>
    <dxf>
      <font>
        <b/>
        <i val="0"/>
        <color theme="0"/>
        <name val="Cambria"/>
        <scheme val="none"/>
      </font>
      <fill>
        <patternFill>
          <bgColor theme="5"/>
        </patternFill>
      </fill>
    </dxf>
    <dxf>
      <font>
        <b/>
        <i val="0"/>
        <color rgb="FFFFC000"/>
      </font>
      <fill>
        <patternFill>
          <bgColor theme="5"/>
        </patternFill>
      </fill>
    </dxf>
    <dxf>
      <font>
        <b/>
        <i val="0"/>
        <color theme="0"/>
      </font>
      <fill>
        <patternFill>
          <bgColor theme="8"/>
        </patternFill>
      </fill>
    </dxf>
    <dxf>
      <font>
        <b/>
        <i val="0"/>
        <color theme="0"/>
      </font>
      <fill>
        <patternFill>
          <bgColor theme="8"/>
        </patternFill>
      </fill>
    </dxf>
    <dxf>
      <font>
        <b/>
        <i val="0"/>
        <color rgb="FF9C0006"/>
      </font>
      <fill>
        <patternFill>
          <bgColor theme="5"/>
        </patternFill>
      </fill>
    </dxf>
    <dxf>
      <font>
        <b/>
        <i val="0"/>
        <color theme="0"/>
        <name val="Cambria"/>
        <scheme val="none"/>
      </font>
      <fill>
        <patternFill>
          <bgColor theme="5"/>
        </patternFill>
      </fill>
    </dxf>
    <dxf>
      <font>
        <b/>
        <i val="0"/>
        <color rgb="FFFFC000"/>
      </font>
      <fill>
        <patternFill>
          <bgColor theme="5"/>
        </patternFill>
      </fill>
    </dxf>
    <dxf>
      <font>
        <b/>
        <i val="0"/>
        <color theme="0"/>
      </font>
      <fill>
        <patternFill>
          <bgColor theme="8"/>
        </patternFill>
      </fill>
    </dxf>
    <dxf>
      <font>
        <b/>
        <i val="0"/>
        <color theme="0"/>
      </font>
      <fill>
        <patternFill>
          <bgColor theme="8"/>
        </patternFill>
      </fill>
    </dxf>
    <dxf>
      <font>
        <b/>
        <i val="0"/>
        <color rgb="FF9C0006"/>
      </font>
      <fill>
        <patternFill>
          <bgColor theme="5"/>
        </patternFill>
      </fill>
    </dxf>
    <dxf>
      <font>
        <b/>
        <i val="0"/>
        <color theme="0"/>
        <name val="Cambria"/>
        <scheme val="none"/>
      </font>
      <fill>
        <patternFill>
          <bgColor theme="5"/>
        </patternFill>
      </fill>
    </dxf>
    <dxf>
      <font>
        <b/>
        <i val="0"/>
        <color rgb="FFFFC000"/>
      </font>
      <fill>
        <patternFill>
          <bgColor theme="5"/>
        </patternFill>
      </fill>
    </dxf>
    <dxf>
      <font>
        <b/>
        <i val="0"/>
        <color theme="0"/>
      </font>
      <fill>
        <patternFill>
          <bgColor theme="8"/>
        </patternFill>
      </fill>
    </dxf>
    <dxf>
      <font>
        <b/>
        <i val="0"/>
        <color theme="0"/>
      </font>
      <fill>
        <patternFill>
          <bgColor theme="8"/>
        </patternFill>
      </fill>
    </dxf>
    <dxf>
      <font>
        <b/>
        <i val="0"/>
        <color rgb="FF9C0006"/>
      </font>
      <fill>
        <patternFill>
          <bgColor theme="5"/>
        </patternFill>
      </fill>
    </dxf>
    <dxf>
      <font>
        <b/>
        <i val="0"/>
        <color theme="0"/>
        <name val="Cambria"/>
        <scheme val="none"/>
      </font>
      <fill>
        <patternFill>
          <bgColor theme="5"/>
        </patternFill>
      </fill>
    </dxf>
    <dxf>
      <font>
        <b/>
        <i val="0"/>
        <color rgb="FFFFC000"/>
      </font>
      <fill>
        <patternFill>
          <bgColor theme="5"/>
        </patternFill>
      </fill>
    </dxf>
    <dxf>
      <font>
        <b/>
        <i val="0"/>
        <color theme="0"/>
      </font>
      <fill>
        <patternFill>
          <bgColor theme="8"/>
        </patternFill>
      </fill>
    </dxf>
    <dxf>
      <font>
        <b/>
        <i val="0"/>
        <color theme="0"/>
      </font>
      <fill>
        <patternFill>
          <bgColor theme="8"/>
        </patternFill>
      </fill>
    </dxf>
    <dxf>
      <font>
        <b/>
        <i val="0"/>
        <color rgb="FF9C0006"/>
      </font>
      <fill>
        <patternFill>
          <bgColor theme="5"/>
        </patternFill>
      </fill>
    </dxf>
    <dxf>
      <font>
        <b/>
        <i val="0"/>
        <color theme="0"/>
        <name val="Cambria"/>
        <scheme val="none"/>
      </font>
      <fill>
        <patternFill>
          <bgColor theme="5"/>
        </patternFill>
      </fill>
    </dxf>
    <dxf>
      <font>
        <b/>
        <i val="0"/>
        <color rgb="FFFFC000"/>
      </font>
      <fill>
        <patternFill>
          <bgColor theme="5"/>
        </patternFill>
      </fill>
    </dxf>
    <dxf>
      <font>
        <b/>
        <i val="0"/>
        <color theme="0"/>
      </font>
      <fill>
        <patternFill>
          <bgColor theme="8"/>
        </patternFill>
      </fill>
    </dxf>
    <dxf>
      <font>
        <b/>
        <i val="0"/>
        <color theme="0"/>
      </font>
      <fill>
        <patternFill>
          <bgColor theme="8"/>
        </patternFill>
      </fill>
    </dxf>
    <dxf>
      <font>
        <b/>
        <i val="0"/>
        <color rgb="FF9C0006"/>
      </font>
      <fill>
        <patternFill>
          <bgColor theme="5"/>
        </patternFill>
      </fill>
    </dxf>
    <dxf>
      <font>
        <b/>
        <i val="0"/>
        <color theme="0"/>
        <name val="Cambria"/>
        <scheme val="none"/>
      </font>
      <fill>
        <patternFill>
          <bgColor theme="5"/>
        </patternFill>
      </fill>
    </dxf>
    <dxf>
      <font>
        <b/>
        <i val="0"/>
        <color rgb="FFFFC000"/>
      </font>
      <fill>
        <patternFill>
          <bgColor theme="5"/>
        </patternFill>
      </fill>
    </dxf>
    <dxf>
      <font>
        <b/>
        <i val="0"/>
        <color theme="0"/>
      </font>
      <fill>
        <patternFill>
          <bgColor theme="8"/>
        </patternFill>
      </fill>
    </dxf>
    <dxf>
      <font>
        <b/>
        <i val="0"/>
        <color theme="0"/>
      </font>
      <fill>
        <patternFill>
          <bgColor theme="8"/>
        </patternFill>
      </fill>
    </dxf>
    <dxf>
      <font>
        <b/>
        <i val="0"/>
        <color rgb="FF9C0006"/>
      </font>
      <fill>
        <patternFill>
          <bgColor theme="5"/>
        </patternFill>
      </fill>
    </dxf>
    <dxf>
      <font>
        <b/>
        <i val="0"/>
        <color theme="0"/>
        <name val="Cambria"/>
        <scheme val="none"/>
      </font>
      <fill>
        <patternFill>
          <bgColor theme="5"/>
        </patternFill>
      </fill>
    </dxf>
    <dxf>
      <font>
        <b/>
        <i val="0"/>
        <color rgb="FFFFC000"/>
      </font>
      <fill>
        <patternFill>
          <bgColor theme="5"/>
        </patternFill>
      </fill>
    </dxf>
    <dxf>
      <font>
        <b/>
        <i val="0"/>
        <color theme="0"/>
      </font>
      <fill>
        <patternFill>
          <bgColor theme="8"/>
        </patternFill>
      </fill>
    </dxf>
    <dxf>
      <font>
        <b/>
        <i val="0"/>
        <color theme="0"/>
      </font>
      <fill>
        <patternFill>
          <bgColor theme="8"/>
        </patternFill>
      </fill>
    </dxf>
    <dxf>
      <font>
        <b/>
        <i val="0"/>
        <color rgb="FF9C0006"/>
      </font>
      <fill>
        <patternFill>
          <bgColor theme="5"/>
        </patternFill>
      </fill>
    </dxf>
    <dxf>
      <font>
        <b/>
        <i val="0"/>
        <color theme="0"/>
        <name val="Cambria"/>
        <scheme val="none"/>
      </font>
      <fill>
        <patternFill>
          <bgColor theme="5"/>
        </patternFill>
      </fill>
    </dxf>
    <dxf>
      <font>
        <b/>
        <i val="0"/>
        <color rgb="FFFFC000"/>
      </font>
      <fill>
        <patternFill>
          <bgColor theme="5"/>
        </patternFill>
      </fill>
    </dxf>
    <dxf>
      <font>
        <b/>
        <i val="0"/>
        <color theme="0"/>
      </font>
      <fill>
        <patternFill>
          <bgColor theme="8"/>
        </patternFill>
      </fill>
    </dxf>
    <dxf>
      <font>
        <b/>
        <i val="0"/>
        <color theme="0"/>
      </font>
      <fill>
        <patternFill>
          <bgColor theme="8"/>
        </patternFill>
      </fill>
    </dxf>
    <dxf>
      <font>
        <b/>
        <i val="0"/>
        <color rgb="FF9C0006"/>
      </font>
      <fill>
        <patternFill>
          <bgColor theme="5"/>
        </patternFill>
      </fill>
    </dxf>
    <dxf>
      <font>
        <b/>
        <i val="0"/>
        <color theme="0"/>
        <name val="Cambria"/>
        <scheme val="none"/>
      </font>
      <fill>
        <patternFill>
          <bgColor theme="5"/>
        </patternFill>
      </fill>
    </dxf>
    <dxf>
      <font>
        <b/>
        <i val="0"/>
        <color rgb="FFFFC000"/>
      </font>
      <fill>
        <patternFill>
          <bgColor theme="5"/>
        </patternFill>
      </fill>
    </dxf>
    <dxf>
      <font>
        <b/>
        <i val="0"/>
        <color theme="0"/>
      </font>
      <fill>
        <patternFill>
          <bgColor theme="8"/>
        </patternFill>
      </fill>
    </dxf>
    <dxf>
      <font>
        <b/>
        <i val="0"/>
        <color theme="0"/>
      </font>
      <fill>
        <patternFill>
          <bgColor theme="8"/>
        </patternFill>
      </fill>
    </dxf>
    <dxf>
      <font>
        <b/>
        <i val="0"/>
        <color rgb="FF9C0006"/>
      </font>
      <fill>
        <patternFill>
          <bgColor theme="5"/>
        </patternFill>
      </fill>
    </dxf>
    <dxf>
      <font>
        <b/>
        <i val="0"/>
        <color theme="0"/>
        <name val="Cambria"/>
        <scheme val="none"/>
      </font>
      <fill>
        <patternFill>
          <bgColor theme="5"/>
        </patternFill>
      </fill>
    </dxf>
    <dxf>
      <font>
        <b/>
        <i val="0"/>
        <color rgb="FFFFC000"/>
      </font>
      <fill>
        <patternFill>
          <bgColor theme="5"/>
        </patternFill>
      </fill>
    </dxf>
    <dxf>
      <font>
        <b/>
        <i val="0"/>
        <color theme="0"/>
      </font>
      <fill>
        <patternFill>
          <bgColor theme="8"/>
        </patternFill>
      </fill>
    </dxf>
    <dxf>
      <font>
        <b/>
        <i val="0"/>
        <color theme="0"/>
      </font>
      <fill>
        <patternFill>
          <bgColor theme="8"/>
        </patternFill>
      </fill>
    </dxf>
    <dxf>
      <font>
        <b/>
        <i val="0"/>
        <color rgb="FF9C0006"/>
      </font>
      <fill>
        <patternFill>
          <bgColor theme="5"/>
        </patternFill>
      </fill>
    </dxf>
    <dxf>
      <font>
        <b/>
        <i val="0"/>
        <color theme="0"/>
        <name val="Cambria"/>
        <scheme val="none"/>
      </font>
      <fill>
        <patternFill>
          <bgColor theme="5"/>
        </patternFill>
      </fill>
    </dxf>
    <dxf>
      <font>
        <b/>
        <i val="0"/>
        <color rgb="FFFFC000"/>
      </font>
      <fill>
        <patternFill>
          <bgColor theme="5"/>
        </patternFill>
      </fill>
    </dxf>
    <dxf>
      <font>
        <b/>
        <i val="0"/>
        <color theme="0"/>
      </font>
      <fill>
        <patternFill>
          <bgColor theme="8"/>
        </patternFill>
      </fill>
    </dxf>
    <dxf>
      <font>
        <b/>
        <i val="0"/>
        <color theme="0"/>
      </font>
      <fill>
        <patternFill>
          <bgColor theme="8"/>
        </patternFill>
      </fill>
    </dxf>
    <dxf>
      <font>
        <b/>
        <i val="0"/>
        <color rgb="FF9C0006"/>
      </font>
      <fill>
        <patternFill>
          <bgColor theme="5"/>
        </patternFill>
      </fill>
    </dxf>
    <dxf>
      <font>
        <b/>
        <i val="0"/>
        <color theme="0"/>
        <name val="Cambria"/>
        <scheme val="none"/>
      </font>
      <fill>
        <patternFill>
          <bgColor theme="5"/>
        </patternFill>
      </fill>
    </dxf>
    <dxf>
      <font>
        <b/>
        <i val="0"/>
        <color rgb="FFFFC000"/>
      </font>
      <fill>
        <patternFill>
          <bgColor theme="5"/>
        </patternFill>
      </fill>
    </dxf>
    <dxf>
      <font>
        <b/>
        <i val="0"/>
        <color theme="0"/>
      </font>
      <fill>
        <patternFill>
          <bgColor theme="8"/>
        </patternFill>
      </fill>
    </dxf>
    <dxf>
      <font>
        <b/>
        <i val="0"/>
        <color theme="0"/>
      </font>
      <fill>
        <patternFill>
          <bgColor theme="8"/>
        </patternFill>
      </fill>
    </dxf>
    <dxf>
      <font>
        <b/>
        <i val="0"/>
        <color rgb="FF9C0006"/>
      </font>
      <fill>
        <patternFill>
          <bgColor theme="5"/>
        </patternFill>
      </fill>
    </dxf>
    <dxf>
      <font>
        <b/>
        <i val="0"/>
        <color theme="0"/>
        <name val="Cambria"/>
        <scheme val="none"/>
      </font>
      <fill>
        <patternFill>
          <bgColor theme="5"/>
        </patternFill>
      </fill>
    </dxf>
    <dxf>
      <font>
        <b/>
        <i val="0"/>
        <color rgb="FFFFC000"/>
      </font>
      <fill>
        <patternFill>
          <bgColor theme="5"/>
        </patternFill>
      </fill>
    </dxf>
    <dxf>
      <font>
        <b/>
        <i val="0"/>
        <color theme="0"/>
      </font>
      <fill>
        <patternFill>
          <bgColor theme="8"/>
        </patternFill>
      </fill>
    </dxf>
    <dxf>
      <font>
        <b/>
        <i val="0"/>
        <color theme="0"/>
      </font>
      <fill>
        <patternFill>
          <bgColor theme="8"/>
        </patternFill>
      </fill>
    </dxf>
    <dxf>
      <font>
        <b/>
        <i val="0"/>
        <color rgb="FF9C0006"/>
      </font>
      <fill>
        <patternFill>
          <bgColor theme="5"/>
        </patternFill>
      </fill>
    </dxf>
    <dxf>
      <font>
        <b/>
        <i val="0"/>
        <color theme="0"/>
        <name val="Cambria"/>
        <scheme val="none"/>
      </font>
      <fill>
        <patternFill>
          <bgColor theme="5"/>
        </patternFill>
      </fill>
    </dxf>
    <dxf>
      <font>
        <b/>
        <i val="0"/>
        <color rgb="FFFFC000"/>
      </font>
      <fill>
        <patternFill>
          <bgColor theme="5"/>
        </patternFill>
      </fill>
    </dxf>
    <dxf>
      <font>
        <b/>
        <i val="0"/>
        <color theme="0"/>
      </font>
      <fill>
        <patternFill>
          <bgColor theme="8"/>
        </patternFill>
      </fill>
    </dxf>
    <dxf>
      <font>
        <b/>
        <i val="0"/>
        <color theme="0"/>
      </font>
      <fill>
        <patternFill>
          <bgColor theme="8"/>
        </patternFill>
      </fill>
    </dxf>
    <dxf>
      <font>
        <b/>
        <i val="0"/>
        <color rgb="FF9C0006"/>
      </font>
      <fill>
        <patternFill>
          <bgColor theme="5"/>
        </patternFill>
      </fill>
    </dxf>
    <dxf>
      <font>
        <b/>
        <i val="0"/>
        <color theme="0"/>
        <name val="Cambria"/>
        <scheme val="none"/>
      </font>
      <fill>
        <patternFill>
          <bgColor theme="5"/>
        </patternFill>
      </fill>
    </dxf>
    <dxf>
      <font>
        <b/>
        <i val="0"/>
        <color rgb="FFFFC000"/>
      </font>
      <fill>
        <patternFill>
          <bgColor theme="5"/>
        </patternFill>
      </fill>
    </dxf>
    <dxf>
      <font>
        <b/>
        <i val="0"/>
        <color theme="0"/>
      </font>
      <fill>
        <patternFill>
          <bgColor theme="8"/>
        </patternFill>
      </fill>
    </dxf>
    <dxf>
      <font>
        <b/>
        <i val="0"/>
        <color theme="0"/>
      </font>
      <fill>
        <patternFill>
          <bgColor theme="8"/>
        </patternFill>
      </fill>
    </dxf>
    <dxf>
      <font>
        <b/>
        <i val="0"/>
        <color rgb="FF9C0006"/>
      </font>
      <fill>
        <patternFill>
          <bgColor theme="5"/>
        </patternFill>
      </fill>
    </dxf>
    <dxf>
      <font>
        <b/>
        <i val="0"/>
        <color theme="0"/>
        <name val="Cambria"/>
        <scheme val="none"/>
      </font>
      <fill>
        <patternFill>
          <bgColor theme="5"/>
        </patternFill>
      </fill>
    </dxf>
    <dxf>
      <font>
        <b/>
        <i val="0"/>
        <color rgb="FFFFC000"/>
      </font>
      <fill>
        <patternFill>
          <bgColor theme="5"/>
        </patternFill>
      </fill>
    </dxf>
    <dxf>
      <font>
        <b/>
        <i val="0"/>
        <color theme="0"/>
      </font>
      <fill>
        <patternFill>
          <bgColor theme="8"/>
        </patternFill>
      </fill>
    </dxf>
    <dxf>
      <font>
        <b/>
        <i val="0"/>
        <color theme="0"/>
      </font>
      <fill>
        <patternFill>
          <bgColor theme="8"/>
        </patternFill>
      </fill>
    </dxf>
    <dxf>
      <font>
        <b/>
        <i val="0"/>
        <color rgb="FF9C0006"/>
      </font>
      <fill>
        <patternFill>
          <bgColor theme="5"/>
        </patternFill>
      </fill>
    </dxf>
    <dxf>
      <font>
        <b/>
        <i val="0"/>
        <color theme="0"/>
        <name val="Cambria"/>
        <scheme val="none"/>
      </font>
      <fill>
        <patternFill>
          <bgColor theme="5"/>
        </patternFill>
      </fill>
    </dxf>
    <dxf>
      <font>
        <b/>
        <i val="0"/>
        <color rgb="FFFFC000"/>
      </font>
      <fill>
        <patternFill>
          <bgColor theme="5"/>
        </patternFill>
      </fill>
    </dxf>
    <dxf>
      <font>
        <b/>
        <i val="0"/>
        <color theme="0"/>
      </font>
      <fill>
        <patternFill>
          <bgColor theme="8"/>
        </patternFill>
      </fill>
    </dxf>
    <dxf>
      <font>
        <b/>
        <i val="0"/>
        <color theme="0"/>
      </font>
      <fill>
        <patternFill>
          <bgColor theme="8"/>
        </patternFill>
      </fill>
    </dxf>
    <dxf>
      <font>
        <b/>
        <i val="0"/>
        <color rgb="FF9C0006"/>
      </font>
      <fill>
        <patternFill>
          <bgColor theme="5"/>
        </patternFill>
      </fill>
    </dxf>
    <dxf>
      <font>
        <b/>
        <i val="0"/>
        <color theme="0"/>
        <name val="Cambria"/>
        <scheme val="none"/>
      </font>
      <fill>
        <patternFill>
          <bgColor theme="5"/>
        </patternFill>
      </fill>
    </dxf>
    <dxf>
      <font>
        <b/>
        <i val="0"/>
        <color rgb="FFFFC000"/>
      </font>
      <fill>
        <patternFill>
          <bgColor theme="5"/>
        </patternFill>
      </fill>
    </dxf>
    <dxf>
      <font>
        <b/>
        <i val="0"/>
        <color theme="0"/>
      </font>
      <fill>
        <patternFill>
          <bgColor theme="8"/>
        </patternFill>
      </fill>
    </dxf>
    <dxf>
      <font>
        <b/>
        <i val="0"/>
        <color theme="0"/>
      </font>
      <fill>
        <patternFill>
          <bgColor theme="8"/>
        </patternFill>
      </fill>
    </dxf>
    <dxf>
      <font>
        <b/>
        <i val="0"/>
        <color rgb="FF9C0006"/>
      </font>
      <fill>
        <patternFill>
          <bgColor theme="5"/>
        </patternFill>
      </fill>
    </dxf>
    <dxf>
      <font>
        <b/>
        <i val="0"/>
        <color theme="0"/>
        <name val="Cambria"/>
        <scheme val="none"/>
      </font>
      <fill>
        <patternFill>
          <bgColor theme="5"/>
        </patternFill>
      </fill>
    </dxf>
    <dxf>
      <font>
        <b/>
        <i val="0"/>
        <color rgb="FFFFC000"/>
      </font>
      <fill>
        <patternFill>
          <bgColor theme="5"/>
        </patternFill>
      </fill>
    </dxf>
    <dxf>
      <font>
        <b/>
        <i val="0"/>
        <color theme="0"/>
      </font>
      <fill>
        <patternFill>
          <bgColor theme="8"/>
        </patternFill>
      </fill>
    </dxf>
    <dxf>
      <font>
        <b/>
        <i val="0"/>
        <color theme="0"/>
      </font>
      <fill>
        <patternFill>
          <bgColor theme="8"/>
        </patternFill>
      </fill>
    </dxf>
    <dxf>
      <font>
        <b/>
        <i val="0"/>
        <color rgb="FF9C0006"/>
      </font>
      <fill>
        <patternFill>
          <bgColor theme="5"/>
        </patternFill>
      </fill>
    </dxf>
    <dxf>
      <font>
        <b/>
        <i val="0"/>
        <color theme="0"/>
        <name val="Cambria"/>
        <scheme val="none"/>
      </font>
      <fill>
        <patternFill>
          <bgColor theme="5"/>
        </patternFill>
      </fill>
    </dxf>
    <dxf>
      <font>
        <b/>
        <i val="0"/>
        <color rgb="FFFFC000"/>
      </font>
      <fill>
        <patternFill>
          <bgColor theme="5"/>
        </patternFill>
      </fill>
    </dxf>
    <dxf>
      <font>
        <b/>
        <i val="0"/>
        <color theme="0"/>
      </font>
      <fill>
        <patternFill>
          <bgColor theme="8"/>
        </patternFill>
      </fill>
    </dxf>
    <dxf>
      <font>
        <b/>
        <i val="0"/>
        <color theme="0"/>
      </font>
      <fill>
        <patternFill>
          <bgColor theme="8"/>
        </patternFill>
      </fill>
    </dxf>
    <dxf>
      <font>
        <b/>
        <i val="0"/>
        <color rgb="FF9C0006"/>
      </font>
      <fill>
        <patternFill>
          <bgColor theme="5"/>
        </patternFill>
      </fill>
    </dxf>
    <dxf>
      <font>
        <b/>
        <i val="0"/>
        <color theme="0"/>
        <name val="Cambria"/>
        <scheme val="none"/>
      </font>
      <fill>
        <patternFill>
          <bgColor theme="5"/>
        </patternFill>
      </fill>
    </dxf>
    <dxf>
      <font>
        <b/>
        <i val="0"/>
        <color rgb="FFFFC000"/>
      </font>
      <fill>
        <patternFill>
          <bgColor theme="5"/>
        </patternFill>
      </fill>
    </dxf>
    <dxf>
      <font>
        <b/>
        <i val="0"/>
        <color theme="0"/>
      </font>
      <fill>
        <patternFill>
          <bgColor theme="8"/>
        </patternFill>
      </fill>
    </dxf>
    <dxf>
      <font>
        <b/>
        <i val="0"/>
        <color theme="0"/>
      </font>
      <fill>
        <patternFill>
          <bgColor theme="8"/>
        </patternFill>
      </fill>
    </dxf>
    <dxf>
      <font>
        <b/>
        <i val="0"/>
        <color rgb="FF9C0006"/>
      </font>
      <fill>
        <patternFill>
          <bgColor theme="5"/>
        </patternFill>
      </fill>
    </dxf>
    <dxf>
      <font>
        <b/>
        <i val="0"/>
        <color theme="0"/>
        <name val="Cambria"/>
        <scheme val="none"/>
      </font>
      <fill>
        <patternFill>
          <bgColor theme="5"/>
        </patternFill>
      </fill>
    </dxf>
    <dxf>
      <font>
        <b/>
        <i val="0"/>
        <color rgb="FFFFC000"/>
      </font>
      <fill>
        <patternFill>
          <bgColor theme="5"/>
        </patternFill>
      </fill>
    </dxf>
    <dxf>
      <font>
        <b/>
        <i val="0"/>
        <color theme="0"/>
      </font>
      <fill>
        <patternFill>
          <bgColor theme="8"/>
        </patternFill>
      </fill>
    </dxf>
    <dxf>
      <font>
        <b/>
        <i val="0"/>
        <color theme="0"/>
      </font>
      <fill>
        <patternFill>
          <bgColor theme="8"/>
        </patternFill>
      </fill>
    </dxf>
    <dxf>
      <font>
        <b/>
        <i val="0"/>
        <color rgb="FF9C0006"/>
      </font>
      <fill>
        <patternFill>
          <bgColor theme="5"/>
        </patternFill>
      </fill>
    </dxf>
    <dxf>
      <font>
        <b/>
        <i val="0"/>
        <color theme="0"/>
        <name val="Cambria"/>
        <scheme val="none"/>
      </font>
      <fill>
        <patternFill>
          <bgColor theme="5"/>
        </patternFill>
      </fill>
    </dxf>
    <dxf>
      <font>
        <b/>
        <i val="0"/>
        <color rgb="FFFFC000"/>
      </font>
      <fill>
        <patternFill>
          <bgColor theme="5"/>
        </patternFill>
      </fill>
    </dxf>
    <dxf>
      <font>
        <b/>
        <i val="0"/>
        <color theme="0"/>
      </font>
      <fill>
        <patternFill>
          <bgColor theme="8"/>
        </patternFill>
      </fill>
    </dxf>
    <dxf>
      <font>
        <b/>
        <i val="0"/>
        <color theme="0"/>
      </font>
      <fill>
        <patternFill>
          <bgColor theme="8"/>
        </patternFill>
      </fill>
    </dxf>
    <dxf>
      <font>
        <b/>
        <i val="0"/>
        <color rgb="FF9C0006"/>
      </font>
      <fill>
        <patternFill>
          <bgColor theme="5"/>
        </patternFill>
      </fill>
    </dxf>
    <dxf>
      <font>
        <b/>
        <i val="0"/>
        <color theme="0"/>
        <name val="Cambria"/>
        <scheme val="none"/>
      </font>
      <fill>
        <patternFill>
          <bgColor theme="5"/>
        </patternFill>
      </fill>
    </dxf>
    <dxf>
      <font>
        <b/>
        <i val="0"/>
        <color rgb="FFFFC000"/>
      </font>
      <fill>
        <patternFill>
          <bgColor theme="5"/>
        </patternFill>
      </fill>
    </dxf>
    <dxf>
      <font>
        <b/>
        <i val="0"/>
        <color theme="0"/>
      </font>
      <fill>
        <patternFill>
          <bgColor theme="8"/>
        </patternFill>
      </fill>
    </dxf>
    <dxf>
      <font>
        <b/>
        <i val="0"/>
        <color theme="0"/>
      </font>
      <fill>
        <patternFill>
          <bgColor theme="8"/>
        </patternFill>
      </fill>
    </dxf>
    <dxf>
      <font>
        <b/>
        <i val="0"/>
        <color rgb="FF9C0006"/>
      </font>
      <fill>
        <patternFill>
          <bgColor theme="5"/>
        </patternFill>
      </fill>
    </dxf>
    <dxf>
      <font>
        <b/>
        <i val="0"/>
        <color theme="0"/>
        <name val="Cambria"/>
        <scheme val="none"/>
      </font>
      <fill>
        <patternFill>
          <bgColor theme="5"/>
        </patternFill>
      </fill>
    </dxf>
    <dxf>
      <font>
        <b/>
        <i val="0"/>
        <color rgb="FFFFC000"/>
      </font>
      <fill>
        <patternFill>
          <bgColor theme="5"/>
        </patternFill>
      </fill>
    </dxf>
    <dxf>
      <font>
        <b/>
        <i val="0"/>
        <color theme="0"/>
      </font>
      <fill>
        <patternFill>
          <bgColor theme="8"/>
        </patternFill>
      </fill>
    </dxf>
    <dxf>
      <font>
        <b/>
        <i val="0"/>
        <color theme="0"/>
      </font>
      <fill>
        <patternFill>
          <bgColor theme="8"/>
        </patternFill>
      </fill>
    </dxf>
    <dxf>
      <font>
        <b/>
        <i val="0"/>
        <color rgb="FF9C0006"/>
      </font>
      <fill>
        <patternFill>
          <bgColor theme="5"/>
        </patternFill>
      </fill>
    </dxf>
    <dxf>
      <font>
        <b/>
        <i val="0"/>
        <color theme="0"/>
        <name val="Cambria"/>
        <scheme val="none"/>
      </font>
      <fill>
        <patternFill>
          <bgColor theme="5"/>
        </patternFill>
      </fill>
    </dxf>
    <dxf>
      <font>
        <b/>
        <i val="0"/>
        <color rgb="FFFFC000"/>
      </font>
      <fill>
        <patternFill>
          <bgColor theme="5"/>
        </patternFill>
      </fill>
    </dxf>
    <dxf>
      <font>
        <b/>
        <i val="0"/>
        <color theme="0"/>
      </font>
      <fill>
        <patternFill>
          <bgColor theme="8"/>
        </patternFill>
      </fill>
    </dxf>
    <dxf>
      <font>
        <b/>
        <i val="0"/>
        <color theme="0"/>
      </font>
      <fill>
        <patternFill>
          <bgColor theme="8"/>
        </patternFill>
      </fill>
    </dxf>
    <dxf>
      <font>
        <b/>
        <i val="0"/>
        <color rgb="FF9C0006"/>
      </font>
      <fill>
        <patternFill>
          <bgColor theme="5"/>
        </patternFill>
      </fill>
    </dxf>
    <dxf>
      <font>
        <b/>
        <i val="0"/>
        <color theme="0"/>
        <name val="Cambria"/>
        <scheme val="none"/>
      </font>
      <fill>
        <patternFill>
          <bgColor theme="5"/>
        </patternFill>
      </fill>
    </dxf>
    <dxf>
      <font>
        <b/>
        <i val="0"/>
        <color rgb="FFFFC000"/>
      </font>
      <fill>
        <patternFill>
          <bgColor theme="5"/>
        </patternFill>
      </fill>
    </dxf>
    <dxf>
      <font>
        <b/>
        <i val="0"/>
        <color theme="0"/>
      </font>
      <fill>
        <patternFill>
          <bgColor theme="8"/>
        </patternFill>
      </fill>
    </dxf>
    <dxf>
      <font>
        <b/>
        <i val="0"/>
        <color theme="0"/>
      </font>
      <fill>
        <patternFill>
          <bgColor theme="8"/>
        </patternFill>
      </fill>
    </dxf>
    <dxf>
      <font>
        <b/>
        <i val="0"/>
        <color rgb="FF9C0006"/>
      </font>
      <fill>
        <patternFill>
          <bgColor theme="5"/>
        </patternFill>
      </fill>
    </dxf>
    <dxf>
      <font>
        <b/>
        <i val="0"/>
        <color theme="0"/>
        <name val="Cambria"/>
        <scheme val="none"/>
      </font>
      <fill>
        <patternFill>
          <bgColor theme="5"/>
        </patternFill>
      </fill>
    </dxf>
    <dxf>
      <font>
        <b/>
        <i val="0"/>
        <color rgb="FFFFC000"/>
      </font>
      <fill>
        <patternFill>
          <bgColor theme="5"/>
        </patternFill>
      </fill>
    </dxf>
    <dxf>
      <font>
        <b/>
        <i val="0"/>
        <color theme="0"/>
      </font>
      <fill>
        <patternFill>
          <bgColor theme="8"/>
        </patternFill>
      </fill>
    </dxf>
    <dxf>
      <font>
        <b/>
        <i val="0"/>
        <color theme="0"/>
      </font>
      <fill>
        <patternFill>
          <bgColor theme="8"/>
        </patternFill>
      </fill>
    </dxf>
    <dxf>
      <font>
        <b/>
        <i val="0"/>
        <color rgb="FF9C0006"/>
      </font>
      <fill>
        <patternFill>
          <bgColor theme="5"/>
        </patternFill>
      </fill>
    </dxf>
    <dxf>
      <font>
        <b/>
        <i val="0"/>
        <color theme="0"/>
        <name val="Cambria"/>
        <scheme val="none"/>
      </font>
      <fill>
        <patternFill>
          <bgColor theme="5"/>
        </patternFill>
      </fill>
    </dxf>
    <dxf>
      <font>
        <b/>
        <i val="0"/>
        <color rgb="FFFFC000"/>
      </font>
      <fill>
        <patternFill>
          <bgColor theme="5"/>
        </patternFill>
      </fill>
    </dxf>
    <dxf>
      <font>
        <b/>
        <i val="0"/>
        <color theme="0"/>
      </font>
      <fill>
        <patternFill>
          <bgColor theme="8"/>
        </patternFill>
      </fill>
    </dxf>
    <dxf>
      <font>
        <b/>
        <i val="0"/>
        <color theme="0"/>
      </font>
      <fill>
        <patternFill>
          <bgColor theme="8"/>
        </patternFill>
      </fill>
    </dxf>
    <dxf>
      <font>
        <b/>
        <i val="0"/>
        <color rgb="FF9C0006"/>
      </font>
      <fill>
        <patternFill>
          <bgColor theme="5"/>
        </patternFill>
      </fill>
    </dxf>
    <dxf>
      <font>
        <b/>
        <i val="0"/>
        <color theme="0"/>
        <name val="Cambria"/>
        <scheme val="none"/>
      </font>
      <fill>
        <patternFill>
          <bgColor theme="5"/>
        </patternFill>
      </fill>
    </dxf>
    <dxf>
      <font>
        <b/>
        <i val="0"/>
        <color rgb="FFFFC000"/>
      </font>
      <fill>
        <patternFill>
          <bgColor theme="5"/>
        </patternFill>
      </fill>
    </dxf>
    <dxf>
      <font>
        <b/>
        <i val="0"/>
        <color theme="0"/>
      </font>
      <fill>
        <patternFill>
          <bgColor theme="8"/>
        </patternFill>
      </fill>
    </dxf>
    <dxf>
      <font>
        <b/>
        <i val="0"/>
        <color theme="0"/>
      </font>
      <fill>
        <patternFill>
          <bgColor theme="8"/>
        </patternFill>
      </fill>
    </dxf>
    <dxf>
      <font>
        <b/>
        <i val="0"/>
        <color rgb="FF9C0006"/>
      </font>
      <fill>
        <patternFill>
          <bgColor theme="5"/>
        </patternFill>
      </fill>
    </dxf>
    <dxf>
      <font>
        <b/>
        <i val="0"/>
        <color theme="0"/>
        <name val="Cambria"/>
        <scheme val="none"/>
      </font>
      <fill>
        <patternFill>
          <bgColor theme="5"/>
        </patternFill>
      </fill>
    </dxf>
    <dxf>
      <font>
        <b/>
        <i val="0"/>
        <color rgb="FFFFC000"/>
      </font>
      <fill>
        <patternFill>
          <bgColor theme="5"/>
        </patternFill>
      </fill>
    </dxf>
    <dxf>
      <font>
        <b/>
        <i val="0"/>
        <color theme="0"/>
      </font>
      <fill>
        <patternFill>
          <bgColor theme="8"/>
        </patternFill>
      </fill>
    </dxf>
    <dxf>
      <font>
        <b/>
        <i val="0"/>
        <color theme="0"/>
      </font>
      <fill>
        <patternFill>
          <bgColor theme="8"/>
        </patternFill>
      </fill>
    </dxf>
    <dxf>
      <font>
        <b/>
        <i val="0"/>
        <color rgb="FF9C0006"/>
      </font>
      <fill>
        <patternFill>
          <bgColor theme="5"/>
        </patternFill>
      </fill>
    </dxf>
    <dxf>
      <font>
        <b/>
        <i val="0"/>
        <color theme="0"/>
        <name val="Cambria"/>
        <scheme val="none"/>
      </font>
      <fill>
        <patternFill>
          <bgColor theme="5"/>
        </patternFill>
      </fill>
    </dxf>
    <dxf>
      <font>
        <b/>
        <i val="0"/>
        <color rgb="FFFFC000"/>
      </font>
      <fill>
        <patternFill>
          <bgColor theme="5"/>
        </patternFill>
      </fill>
    </dxf>
    <dxf>
      <font>
        <b/>
        <i val="0"/>
        <color theme="0"/>
      </font>
      <fill>
        <patternFill>
          <bgColor theme="8"/>
        </patternFill>
      </fill>
    </dxf>
    <dxf>
      <font>
        <b/>
        <i val="0"/>
        <color theme="0"/>
      </font>
      <fill>
        <patternFill>
          <bgColor theme="8"/>
        </patternFill>
      </fill>
    </dxf>
    <dxf>
      <font>
        <b/>
        <i val="0"/>
        <color rgb="FF9C0006"/>
      </font>
      <fill>
        <patternFill>
          <bgColor theme="5"/>
        </patternFill>
      </fill>
    </dxf>
    <dxf>
      <font>
        <b/>
        <i val="0"/>
        <color theme="0"/>
        <name val="Cambria"/>
        <scheme val="none"/>
      </font>
      <fill>
        <patternFill>
          <bgColor theme="5"/>
        </patternFill>
      </fill>
    </dxf>
    <dxf>
      <font>
        <b/>
        <i val="0"/>
        <color rgb="FFFFC000"/>
      </font>
      <fill>
        <patternFill>
          <bgColor theme="5"/>
        </patternFill>
      </fill>
    </dxf>
    <dxf>
      <font>
        <b/>
        <i val="0"/>
        <color theme="0"/>
      </font>
      <fill>
        <patternFill>
          <bgColor theme="8"/>
        </patternFill>
      </fill>
    </dxf>
    <dxf>
      <font>
        <b/>
        <i val="0"/>
        <color theme="0"/>
      </font>
      <fill>
        <patternFill>
          <bgColor theme="8"/>
        </patternFill>
      </fill>
    </dxf>
    <dxf>
      <font>
        <b/>
        <i val="0"/>
        <color rgb="FF9C0006"/>
      </font>
      <fill>
        <patternFill>
          <bgColor theme="5"/>
        </patternFill>
      </fill>
    </dxf>
    <dxf>
      <font>
        <b/>
        <i val="0"/>
        <color theme="0"/>
        <name val="Cambria"/>
        <scheme val="none"/>
      </font>
      <fill>
        <patternFill>
          <bgColor theme="5"/>
        </patternFill>
      </fill>
    </dxf>
    <dxf>
      <font>
        <b/>
        <i val="0"/>
        <color rgb="FFFFC000"/>
      </font>
      <fill>
        <patternFill>
          <bgColor theme="5"/>
        </patternFill>
      </fill>
    </dxf>
    <dxf>
      <font>
        <b/>
        <i val="0"/>
        <color theme="0"/>
      </font>
      <fill>
        <patternFill>
          <bgColor theme="8"/>
        </patternFill>
      </fill>
    </dxf>
    <dxf>
      <font>
        <b/>
        <i val="0"/>
        <color theme="0"/>
      </font>
      <fill>
        <patternFill>
          <bgColor theme="8"/>
        </patternFill>
      </fill>
    </dxf>
    <dxf>
      <font>
        <b/>
        <i val="0"/>
        <color rgb="FF9C0006"/>
      </font>
      <fill>
        <patternFill>
          <bgColor theme="5"/>
        </patternFill>
      </fill>
    </dxf>
    <dxf>
      <font>
        <b/>
        <i val="0"/>
        <color theme="0"/>
        <name val="Cambria"/>
        <scheme val="none"/>
      </font>
      <fill>
        <patternFill>
          <bgColor theme="5"/>
        </patternFill>
      </fill>
    </dxf>
    <dxf>
      <font>
        <b/>
        <i val="0"/>
        <color rgb="FFFFC000"/>
      </font>
      <fill>
        <patternFill>
          <bgColor theme="5"/>
        </patternFill>
      </fill>
    </dxf>
    <dxf>
      <font>
        <b/>
        <i val="0"/>
        <color theme="0"/>
      </font>
      <fill>
        <patternFill>
          <bgColor theme="8"/>
        </patternFill>
      </fill>
    </dxf>
    <dxf>
      <font>
        <b/>
        <i val="0"/>
        <color theme="0"/>
      </font>
      <fill>
        <patternFill>
          <bgColor theme="8"/>
        </patternFill>
      </fill>
    </dxf>
    <dxf>
      <font>
        <b/>
        <i val="0"/>
        <color rgb="FF9C0006"/>
      </font>
      <fill>
        <patternFill>
          <bgColor theme="5"/>
        </patternFill>
      </fill>
    </dxf>
    <dxf>
      <font>
        <b/>
        <i val="0"/>
        <color theme="0"/>
        <name val="Cambria"/>
        <scheme val="none"/>
      </font>
      <fill>
        <patternFill>
          <bgColor theme="5"/>
        </patternFill>
      </fill>
    </dxf>
    <dxf>
      <font>
        <b/>
        <i val="0"/>
        <color rgb="FFFFC000"/>
      </font>
      <fill>
        <patternFill>
          <bgColor theme="5"/>
        </patternFill>
      </fill>
    </dxf>
    <dxf>
      <font>
        <b/>
        <i val="0"/>
        <color theme="0"/>
      </font>
      <fill>
        <patternFill>
          <bgColor theme="8"/>
        </patternFill>
      </fill>
    </dxf>
    <dxf>
      <font>
        <b/>
        <i val="0"/>
        <color theme="0"/>
      </font>
      <fill>
        <patternFill>
          <bgColor theme="8"/>
        </patternFill>
      </fill>
    </dxf>
    <dxf>
      <font>
        <b/>
        <i val="0"/>
        <color rgb="FF9C0006"/>
      </font>
      <fill>
        <patternFill>
          <bgColor theme="5"/>
        </patternFill>
      </fill>
    </dxf>
    <dxf>
      <font>
        <b/>
        <i val="0"/>
        <color theme="0"/>
        <name val="Cambria"/>
        <scheme val="none"/>
      </font>
      <fill>
        <patternFill>
          <bgColor theme="5"/>
        </patternFill>
      </fill>
    </dxf>
    <dxf>
      <font>
        <b/>
        <i val="0"/>
        <color rgb="FFFFC000"/>
      </font>
      <fill>
        <patternFill>
          <bgColor theme="5"/>
        </patternFill>
      </fill>
    </dxf>
    <dxf>
      <font>
        <b/>
        <i val="0"/>
        <color theme="0"/>
      </font>
      <fill>
        <patternFill>
          <bgColor theme="8"/>
        </patternFill>
      </fill>
    </dxf>
    <dxf>
      <font>
        <b/>
        <i val="0"/>
        <color theme="0"/>
      </font>
      <fill>
        <patternFill>
          <bgColor theme="8"/>
        </patternFill>
      </fill>
    </dxf>
    <dxf>
      <font>
        <b/>
        <i val="0"/>
        <color rgb="FF9C0006"/>
      </font>
      <fill>
        <patternFill>
          <bgColor theme="5"/>
        </patternFill>
      </fill>
    </dxf>
    <dxf>
      <font>
        <b/>
        <i val="0"/>
        <color theme="0"/>
        <name val="Cambria"/>
        <scheme val="none"/>
      </font>
      <fill>
        <patternFill>
          <bgColor theme="5"/>
        </patternFill>
      </fill>
    </dxf>
    <dxf>
      <font>
        <b/>
        <i val="0"/>
        <color rgb="FFFFC000"/>
      </font>
      <fill>
        <patternFill>
          <bgColor theme="5"/>
        </patternFill>
      </fill>
    </dxf>
    <dxf>
      <font>
        <b/>
        <i val="0"/>
        <color theme="0"/>
      </font>
      <fill>
        <patternFill>
          <bgColor theme="8"/>
        </patternFill>
      </fill>
    </dxf>
    <dxf>
      <font>
        <b/>
        <i val="0"/>
        <color theme="0"/>
      </font>
      <fill>
        <patternFill>
          <bgColor theme="8"/>
        </patternFill>
      </fill>
    </dxf>
    <dxf>
      <font>
        <b/>
        <i val="0"/>
        <color rgb="FF9C0006"/>
      </font>
      <fill>
        <patternFill>
          <bgColor theme="5"/>
        </patternFill>
      </fill>
    </dxf>
    <dxf>
      <font>
        <b/>
        <i val="0"/>
        <color theme="0"/>
        <name val="Cambria"/>
        <scheme val="none"/>
      </font>
      <fill>
        <patternFill>
          <bgColor theme="5"/>
        </patternFill>
      </fill>
    </dxf>
    <dxf>
      <font>
        <b/>
        <i val="0"/>
        <color rgb="FFFFC000"/>
      </font>
      <fill>
        <patternFill>
          <bgColor theme="5"/>
        </patternFill>
      </fill>
    </dxf>
    <dxf>
      <font>
        <b/>
        <i val="0"/>
        <color theme="0"/>
      </font>
      <fill>
        <patternFill>
          <bgColor theme="8"/>
        </patternFill>
      </fill>
    </dxf>
    <dxf>
      <font>
        <b/>
        <i val="0"/>
        <color theme="0"/>
      </font>
      <fill>
        <patternFill>
          <bgColor theme="8"/>
        </patternFill>
      </fill>
    </dxf>
    <dxf>
      <font>
        <b/>
        <i val="0"/>
        <color rgb="FF9C0006"/>
      </font>
      <fill>
        <patternFill>
          <bgColor theme="5"/>
        </patternFill>
      </fill>
    </dxf>
    <dxf>
      <font>
        <b/>
        <i val="0"/>
        <color theme="0"/>
        <name val="Cambria"/>
        <scheme val="none"/>
      </font>
      <fill>
        <patternFill>
          <bgColor theme="5"/>
        </patternFill>
      </fill>
    </dxf>
    <dxf>
      <font>
        <b/>
        <i val="0"/>
        <color rgb="FFFFC000"/>
      </font>
      <fill>
        <patternFill>
          <bgColor theme="5"/>
        </patternFill>
      </fill>
    </dxf>
    <dxf>
      <font>
        <b/>
        <i val="0"/>
        <color theme="0"/>
      </font>
      <fill>
        <patternFill>
          <bgColor theme="8"/>
        </patternFill>
      </fill>
    </dxf>
    <dxf>
      <font>
        <b/>
        <i val="0"/>
        <color theme="0"/>
      </font>
      <fill>
        <patternFill>
          <bgColor theme="8"/>
        </patternFill>
      </fill>
    </dxf>
    <dxf>
      <font>
        <b/>
        <i val="0"/>
        <color rgb="FF9C0006"/>
      </font>
      <fill>
        <patternFill>
          <bgColor theme="5"/>
        </patternFill>
      </fill>
    </dxf>
    <dxf>
      <font>
        <b/>
        <i val="0"/>
        <color theme="0"/>
        <name val="Cambria"/>
        <scheme val="none"/>
      </font>
      <fill>
        <patternFill>
          <bgColor theme="5"/>
        </patternFill>
      </fill>
    </dxf>
    <dxf>
      <font>
        <b/>
        <i val="0"/>
        <color rgb="FFFFC000"/>
      </font>
      <fill>
        <patternFill>
          <bgColor theme="5"/>
        </patternFill>
      </fill>
    </dxf>
    <dxf>
      <font>
        <b/>
        <i val="0"/>
        <color theme="0"/>
      </font>
      <fill>
        <patternFill>
          <bgColor theme="8"/>
        </patternFill>
      </fill>
    </dxf>
    <dxf>
      <font>
        <b/>
        <i val="0"/>
        <color theme="0"/>
      </font>
      <fill>
        <patternFill>
          <bgColor theme="8"/>
        </patternFill>
      </fill>
    </dxf>
    <dxf>
      <font>
        <b/>
        <i val="0"/>
        <color rgb="FF9C0006"/>
      </font>
      <fill>
        <patternFill>
          <bgColor theme="5"/>
        </patternFill>
      </fill>
    </dxf>
    <dxf>
      <font>
        <b/>
        <i val="0"/>
        <color theme="0"/>
        <name val="Cambria"/>
        <scheme val="none"/>
      </font>
      <fill>
        <patternFill>
          <bgColor theme="5"/>
        </patternFill>
      </fill>
    </dxf>
    <dxf>
      <font>
        <b/>
        <i val="0"/>
        <color rgb="FFFFC000"/>
      </font>
      <fill>
        <patternFill>
          <bgColor theme="5"/>
        </patternFill>
      </fill>
    </dxf>
    <dxf>
      <font>
        <b/>
        <i val="0"/>
        <color theme="0"/>
      </font>
      <fill>
        <patternFill>
          <bgColor theme="8"/>
        </patternFill>
      </fill>
    </dxf>
    <dxf>
      <font>
        <b/>
        <i val="0"/>
        <color theme="0"/>
      </font>
      <fill>
        <patternFill>
          <bgColor theme="8"/>
        </patternFill>
      </fill>
    </dxf>
    <dxf>
      <font>
        <b/>
        <i val="0"/>
        <color rgb="FF9C0006"/>
      </font>
      <fill>
        <patternFill>
          <bgColor theme="5"/>
        </patternFill>
      </fill>
    </dxf>
    <dxf>
      <font>
        <b/>
        <i val="0"/>
        <color theme="0"/>
        <name val="Cambria"/>
        <scheme val="none"/>
      </font>
      <fill>
        <patternFill>
          <bgColor theme="5"/>
        </patternFill>
      </fill>
    </dxf>
    <dxf>
      <font>
        <b/>
        <i val="0"/>
        <color rgb="FFFFC000"/>
      </font>
      <fill>
        <patternFill>
          <bgColor theme="5"/>
        </patternFill>
      </fill>
    </dxf>
    <dxf>
      <font>
        <b/>
        <i val="0"/>
        <color theme="0"/>
      </font>
      <fill>
        <patternFill>
          <bgColor theme="8"/>
        </patternFill>
      </fill>
    </dxf>
    <dxf>
      <font>
        <b/>
        <i val="0"/>
        <color theme="0"/>
      </font>
      <fill>
        <patternFill>
          <bgColor theme="8"/>
        </patternFill>
      </fill>
    </dxf>
    <dxf>
      <font>
        <b/>
        <i val="0"/>
        <color rgb="FF9C0006"/>
      </font>
      <fill>
        <patternFill>
          <bgColor theme="5"/>
        </patternFill>
      </fill>
    </dxf>
    <dxf>
      <font>
        <b/>
        <i val="0"/>
        <color theme="0"/>
        <name val="Cambria"/>
        <scheme val="none"/>
      </font>
      <fill>
        <patternFill>
          <bgColor theme="5"/>
        </patternFill>
      </fill>
    </dxf>
    <dxf>
      <font>
        <b/>
        <i val="0"/>
        <color rgb="FFFFC000"/>
      </font>
      <fill>
        <patternFill>
          <bgColor theme="5"/>
        </patternFill>
      </fill>
    </dxf>
    <dxf>
      <font>
        <b/>
        <i val="0"/>
        <color theme="0"/>
      </font>
      <fill>
        <patternFill>
          <bgColor theme="8"/>
        </patternFill>
      </fill>
    </dxf>
    <dxf>
      <font>
        <b/>
        <i val="0"/>
        <color theme="0"/>
      </font>
      <fill>
        <patternFill>
          <bgColor theme="8"/>
        </patternFill>
      </fill>
    </dxf>
    <dxf>
      <font>
        <b/>
        <i val="0"/>
        <color rgb="FF9C0006"/>
      </font>
      <fill>
        <patternFill>
          <bgColor theme="5"/>
        </patternFill>
      </fill>
    </dxf>
    <dxf>
      <font>
        <b/>
        <i val="0"/>
        <color theme="0"/>
        <name val="Cambria"/>
        <scheme val="none"/>
      </font>
      <fill>
        <patternFill>
          <bgColor theme="5"/>
        </patternFill>
      </fill>
    </dxf>
    <dxf>
      <font>
        <b/>
        <i val="0"/>
        <color rgb="FFFFC000"/>
      </font>
      <fill>
        <patternFill>
          <bgColor theme="5"/>
        </patternFill>
      </fill>
    </dxf>
    <dxf>
      <font>
        <b/>
        <i val="0"/>
        <color theme="0"/>
      </font>
      <fill>
        <patternFill>
          <bgColor theme="8"/>
        </patternFill>
      </fill>
    </dxf>
    <dxf>
      <font>
        <b/>
        <i val="0"/>
        <color theme="0"/>
      </font>
      <fill>
        <patternFill>
          <bgColor theme="8"/>
        </patternFill>
      </fill>
    </dxf>
    <dxf>
      <font>
        <b/>
        <i val="0"/>
        <color rgb="FF9C0006"/>
      </font>
      <fill>
        <patternFill>
          <bgColor theme="5"/>
        </patternFill>
      </fill>
    </dxf>
    <dxf>
      <font>
        <b/>
        <i val="0"/>
        <color theme="0"/>
        <name val="Cambria"/>
        <scheme val="none"/>
      </font>
      <fill>
        <patternFill>
          <bgColor theme="5"/>
        </patternFill>
      </fill>
    </dxf>
    <dxf>
      <font>
        <b/>
        <i val="0"/>
        <color rgb="FFFFC000"/>
      </font>
      <fill>
        <patternFill>
          <bgColor theme="5"/>
        </patternFill>
      </fill>
    </dxf>
    <dxf>
      <font>
        <b/>
        <i val="0"/>
        <color theme="0"/>
      </font>
      <fill>
        <patternFill>
          <bgColor theme="8"/>
        </patternFill>
      </fill>
    </dxf>
    <dxf>
      <font>
        <b/>
        <i val="0"/>
        <color theme="0"/>
      </font>
      <fill>
        <patternFill>
          <bgColor theme="8"/>
        </patternFill>
      </fill>
    </dxf>
    <dxf>
      <font>
        <b/>
        <i val="0"/>
        <color rgb="FF9C0006"/>
      </font>
      <fill>
        <patternFill>
          <bgColor theme="5"/>
        </patternFill>
      </fill>
    </dxf>
    <dxf>
      <font>
        <b/>
        <i val="0"/>
        <color theme="0"/>
        <name val="Cambria"/>
        <scheme val="none"/>
      </font>
      <fill>
        <patternFill>
          <bgColor theme="5"/>
        </patternFill>
      </fill>
    </dxf>
    <dxf>
      <font>
        <b/>
        <i val="0"/>
        <color rgb="FFFFC000"/>
      </font>
      <fill>
        <patternFill>
          <bgColor theme="5"/>
        </patternFill>
      </fill>
    </dxf>
    <dxf>
      <font>
        <b/>
        <i val="0"/>
        <color theme="0"/>
      </font>
      <fill>
        <patternFill>
          <bgColor theme="8"/>
        </patternFill>
      </fill>
    </dxf>
    <dxf>
      <font>
        <b/>
        <i val="0"/>
        <color theme="0"/>
      </font>
      <fill>
        <patternFill>
          <bgColor theme="8"/>
        </patternFill>
      </fill>
    </dxf>
    <dxf>
      <font>
        <b/>
        <i val="0"/>
        <color rgb="FF9C0006"/>
      </font>
      <fill>
        <patternFill>
          <bgColor theme="5"/>
        </patternFill>
      </fill>
    </dxf>
    <dxf>
      <font>
        <b/>
        <i val="0"/>
        <color theme="0"/>
        <name val="Cambria"/>
        <scheme val="none"/>
      </font>
      <fill>
        <patternFill>
          <bgColor theme="5"/>
        </patternFill>
      </fill>
    </dxf>
    <dxf>
      <font>
        <b/>
        <i val="0"/>
        <color rgb="FFFFC000"/>
      </font>
      <fill>
        <patternFill>
          <bgColor theme="5"/>
        </patternFill>
      </fill>
    </dxf>
    <dxf>
      <font>
        <b/>
        <i val="0"/>
        <color theme="0"/>
      </font>
      <fill>
        <patternFill>
          <bgColor theme="8"/>
        </patternFill>
      </fill>
    </dxf>
    <dxf>
      <font>
        <b/>
        <i val="0"/>
        <color theme="0"/>
      </font>
      <fill>
        <patternFill>
          <bgColor theme="8"/>
        </patternFill>
      </fill>
    </dxf>
    <dxf>
      <font>
        <b/>
        <i val="0"/>
        <color rgb="FF9C0006"/>
      </font>
      <fill>
        <patternFill>
          <bgColor theme="5"/>
        </patternFill>
      </fill>
    </dxf>
    <dxf>
      <font>
        <b/>
        <i val="0"/>
        <color theme="0"/>
        <name val="Cambria"/>
        <scheme val="none"/>
      </font>
      <fill>
        <patternFill>
          <bgColor theme="5"/>
        </patternFill>
      </fill>
    </dxf>
    <dxf>
      <font>
        <b/>
        <i val="0"/>
        <color rgb="FFFFC000"/>
      </font>
      <fill>
        <patternFill>
          <bgColor theme="5"/>
        </patternFill>
      </fill>
    </dxf>
    <dxf>
      <font>
        <b/>
        <i val="0"/>
        <color theme="0"/>
      </font>
      <fill>
        <patternFill>
          <bgColor theme="8"/>
        </patternFill>
      </fill>
    </dxf>
    <dxf>
      <font>
        <b/>
        <i val="0"/>
        <color theme="0"/>
      </font>
      <fill>
        <patternFill>
          <bgColor theme="8"/>
        </patternFill>
      </fill>
    </dxf>
    <dxf>
      <font>
        <b/>
        <i val="0"/>
        <color rgb="FF9C0006"/>
      </font>
      <fill>
        <patternFill>
          <bgColor theme="5"/>
        </patternFill>
      </fill>
    </dxf>
    <dxf>
      <font>
        <b/>
        <i val="0"/>
        <color theme="0"/>
        <name val="Cambria"/>
        <scheme val="none"/>
      </font>
      <fill>
        <patternFill>
          <bgColor theme="5"/>
        </patternFill>
      </fill>
    </dxf>
    <dxf>
      <font>
        <b/>
        <i val="0"/>
        <color rgb="FFFFC000"/>
      </font>
      <fill>
        <patternFill>
          <bgColor theme="5"/>
        </patternFill>
      </fill>
    </dxf>
    <dxf>
      <font>
        <b/>
        <i val="0"/>
        <color theme="0"/>
      </font>
      <fill>
        <patternFill>
          <bgColor theme="8"/>
        </patternFill>
      </fill>
    </dxf>
    <dxf>
      <font>
        <b/>
        <i val="0"/>
        <color theme="0"/>
      </font>
      <fill>
        <patternFill>
          <bgColor theme="8"/>
        </patternFill>
      </fill>
    </dxf>
    <dxf>
      <font>
        <b/>
        <i val="0"/>
        <color rgb="FF9C0006"/>
      </font>
      <fill>
        <patternFill>
          <bgColor theme="5"/>
        </patternFill>
      </fill>
    </dxf>
    <dxf>
      <font>
        <b/>
        <i val="0"/>
        <color theme="0"/>
        <name val="Cambria"/>
        <scheme val="none"/>
      </font>
      <fill>
        <patternFill>
          <bgColor theme="5"/>
        </patternFill>
      </fill>
    </dxf>
    <dxf>
      <font>
        <b/>
        <i val="0"/>
        <color rgb="FFFFC000"/>
      </font>
      <fill>
        <patternFill>
          <bgColor theme="5"/>
        </patternFill>
      </fill>
    </dxf>
    <dxf>
      <font>
        <b/>
        <i val="0"/>
        <color theme="0"/>
      </font>
      <fill>
        <patternFill>
          <bgColor theme="8"/>
        </patternFill>
      </fill>
    </dxf>
    <dxf>
      <font>
        <b/>
        <i val="0"/>
        <color theme="0"/>
      </font>
      <fill>
        <patternFill>
          <bgColor theme="8"/>
        </patternFill>
      </fill>
    </dxf>
    <dxf>
      <font>
        <b/>
        <i val="0"/>
        <color rgb="FF9C0006"/>
      </font>
      <fill>
        <patternFill>
          <bgColor theme="5"/>
        </patternFill>
      </fill>
    </dxf>
    <dxf>
      <font>
        <b/>
        <i val="0"/>
        <color theme="0"/>
        <name val="Cambria"/>
        <scheme val="none"/>
      </font>
      <fill>
        <patternFill>
          <bgColor theme="5"/>
        </patternFill>
      </fill>
    </dxf>
    <dxf>
      <font>
        <b/>
        <i val="0"/>
        <color rgb="FFFFC000"/>
      </font>
      <fill>
        <patternFill>
          <bgColor theme="5"/>
        </patternFill>
      </fill>
    </dxf>
    <dxf>
      <font>
        <b/>
        <i val="0"/>
        <color theme="0"/>
      </font>
      <fill>
        <patternFill>
          <bgColor theme="8"/>
        </patternFill>
      </fill>
    </dxf>
    <dxf>
      <font>
        <b/>
        <i val="0"/>
        <color theme="0"/>
      </font>
      <fill>
        <patternFill>
          <bgColor theme="8"/>
        </patternFill>
      </fill>
    </dxf>
    <dxf>
      <font>
        <b/>
        <i val="0"/>
        <color rgb="FF9C0006"/>
      </font>
      <fill>
        <patternFill>
          <bgColor theme="5"/>
        </patternFill>
      </fill>
    </dxf>
    <dxf>
      <font>
        <b/>
        <i val="0"/>
        <color theme="0"/>
        <name val="Cambria"/>
        <scheme val="none"/>
      </font>
      <fill>
        <patternFill>
          <bgColor theme="5"/>
        </patternFill>
      </fill>
    </dxf>
    <dxf>
      <font>
        <b/>
        <i val="0"/>
        <color rgb="FFFFC000"/>
      </font>
      <fill>
        <patternFill>
          <bgColor theme="5"/>
        </patternFill>
      </fill>
    </dxf>
    <dxf>
      <font>
        <b/>
        <i val="0"/>
        <color theme="0"/>
      </font>
      <fill>
        <patternFill>
          <bgColor theme="8"/>
        </patternFill>
      </fill>
    </dxf>
    <dxf>
      <font>
        <b/>
        <i val="0"/>
        <color theme="0"/>
      </font>
      <fill>
        <patternFill>
          <bgColor theme="8"/>
        </patternFill>
      </fill>
    </dxf>
    <dxf>
      <font>
        <b/>
        <i val="0"/>
        <color rgb="FF9C0006"/>
      </font>
      <fill>
        <patternFill>
          <bgColor theme="5"/>
        </patternFill>
      </fill>
    </dxf>
    <dxf>
      <font>
        <b/>
        <i val="0"/>
        <color theme="0"/>
        <name val="Cambria"/>
        <scheme val="none"/>
      </font>
      <fill>
        <patternFill>
          <bgColor theme="5"/>
        </patternFill>
      </fill>
    </dxf>
    <dxf>
      <font>
        <b/>
        <i val="0"/>
        <color rgb="FFFFC000"/>
      </font>
      <fill>
        <patternFill>
          <bgColor theme="5"/>
        </patternFill>
      </fill>
    </dxf>
    <dxf>
      <font>
        <b/>
        <i val="0"/>
        <color theme="0"/>
      </font>
      <fill>
        <patternFill>
          <bgColor theme="8"/>
        </patternFill>
      </fill>
    </dxf>
    <dxf>
      <font>
        <b/>
        <i val="0"/>
        <color theme="0"/>
      </font>
      <fill>
        <patternFill>
          <bgColor theme="8"/>
        </patternFill>
      </fill>
    </dxf>
    <dxf>
      <font>
        <b/>
        <i val="0"/>
        <color rgb="FF9C0006"/>
      </font>
      <fill>
        <patternFill>
          <bgColor theme="5"/>
        </patternFill>
      </fill>
    </dxf>
    <dxf>
      <font>
        <b/>
        <i val="0"/>
        <color theme="0"/>
        <name val="Cambria"/>
        <scheme val="none"/>
      </font>
      <fill>
        <patternFill>
          <bgColor theme="5"/>
        </patternFill>
      </fill>
    </dxf>
    <dxf>
      <font>
        <b/>
        <i val="0"/>
        <color rgb="FFFFC000"/>
      </font>
      <fill>
        <patternFill>
          <bgColor theme="5"/>
        </patternFill>
      </fill>
    </dxf>
    <dxf>
      <font>
        <b/>
        <i val="0"/>
        <color theme="0"/>
      </font>
      <fill>
        <patternFill>
          <bgColor theme="8"/>
        </patternFill>
      </fill>
    </dxf>
    <dxf>
      <font>
        <b/>
        <i val="0"/>
        <color theme="0"/>
      </font>
      <fill>
        <patternFill>
          <bgColor theme="8"/>
        </patternFill>
      </fill>
    </dxf>
    <dxf>
      <font>
        <b/>
        <i val="0"/>
        <color rgb="FF9C0006"/>
      </font>
      <fill>
        <patternFill>
          <bgColor theme="5"/>
        </patternFill>
      </fill>
    </dxf>
    <dxf>
      <font>
        <b/>
        <i val="0"/>
        <color theme="0"/>
        <name val="Cambria"/>
        <scheme val="none"/>
      </font>
      <fill>
        <patternFill>
          <bgColor theme="5"/>
        </patternFill>
      </fill>
    </dxf>
    <dxf>
      <font>
        <b/>
        <i val="0"/>
        <color rgb="FFFFC000"/>
      </font>
      <fill>
        <patternFill>
          <bgColor theme="5"/>
        </patternFill>
      </fill>
    </dxf>
    <dxf>
      <font>
        <b/>
        <i val="0"/>
        <color theme="0"/>
      </font>
      <fill>
        <patternFill>
          <bgColor theme="8"/>
        </patternFill>
      </fill>
    </dxf>
    <dxf>
      <font>
        <b/>
        <i val="0"/>
        <color theme="0"/>
      </font>
      <fill>
        <patternFill>
          <bgColor theme="8"/>
        </patternFill>
      </fill>
    </dxf>
    <dxf>
      <font>
        <b/>
        <i val="0"/>
        <color rgb="FF9C0006"/>
      </font>
      <fill>
        <patternFill>
          <bgColor theme="5"/>
        </patternFill>
      </fill>
    </dxf>
    <dxf>
      <font>
        <b/>
        <i val="0"/>
        <color theme="0"/>
        <name val="Cambria"/>
        <scheme val="none"/>
      </font>
      <fill>
        <patternFill>
          <bgColor theme="5"/>
        </patternFill>
      </fill>
    </dxf>
    <dxf>
      <font>
        <b/>
        <i val="0"/>
        <color rgb="FFFFC000"/>
      </font>
      <fill>
        <patternFill>
          <bgColor theme="5"/>
        </patternFill>
      </fill>
    </dxf>
    <dxf>
      <font>
        <b/>
        <i val="0"/>
        <color theme="0"/>
      </font>
      <fill>
        <patternFill>
          <bgColor theme="8"/>
        </patternFill>
      </fill>
    </dxf>
    <dxf>
      <font>
        <b/>
        <i val="0"/>
        <color theme="0"/>
      </font>
      <fill>
        <patternFill>
          <bgColor theme="8"/>
        </patternFill>
      </fill>
    </dxf>
    <dxf>
      <font>
        <b/>
        <i val="0"/>
        <color rgb="FF9C0006"/>
      </font>
      <fill>
        <patternFill>
          <bgColor theme="5"/>
        </patternFill>
      </fill>
    </dxf>
    <dxf>
      <font>
        <b/>
        <i val="0"/>
        <color theme="0"/>
        <name val="Cambria"/>
        <scheme val="none"/>
      </font>
      <fill>
        <patternFill>
          <bgColor theme="5"/>
        </patternFill>
      </fill>
    </dxf>
    <dxf>
      <font>
        <b/>
        <i val="0"/>
        <color rgb="FFFFC000"/>
      </font>
      <fill>
        <patternFill>
          <bgColor theme="5"/>
        </patternFill>
      </fill>
    </dxf>
    <dxf>
      <font>
        <b/>
        <i val="0"/>
        <color theme="0"/>
      </font>
      <fill>
        <patternFill>
          <bgColor theme="8"/>
        </patternFill>
      </fill>
    </dxf>
    <dxf>
      <font>
        <b/>
        <i val="0"/>
        <color theme="0"/>
      </font>
      <fill>
        <patternFill>
          <bgColor theme="8"/>
        </patternFill>
      </fill>
    </dxf>
    <dxf>
      <font>
        <b/>
        <i val="0"/>
        <color rgb="FF9C0006"/>
      </font>
      <fill>
        <patternFill>
          <bgColor theme="5"/>
        </patternFill>
      </fill>
    </dxf>
    <dxf>
      <font>
        <b/>
        <i val="0"/>
        <color theme="0"/>
        <name val="Cambria"/>
        <scheme val="none"/>
      </font>
      <fill>
        <patternFill>
          <bgColor theme="5"/>
        </patternFill>
      </fill>
    </dxf>
    <dxf>
      <font>
        <b/>
        <i val="0"/>
        <color rgb="FFFFC000"/>
      </font>
      <fill>
        <patternFill>
          <bgColor theme="5"/>
        </patternFill>
      </fill>
    </dxf>
    <dxf>
      <font>
        <b/>
        <i val="0"/>
        <color theme="0"/>
      </font>
      <fill>
        <patternFill>
          <bgColor theme="8"/>
        </patternFill>
      </fill>
    </dxf>
    <dxf>
      <font>
        <b/>
        <i val="0"/>
        <color theme="0"/>
      </font>
      <fill>
        <patternFill>
          <bgColor theme="8"/>
        </patternFill>
      </fill>
    </dxf>
    <dxf>
      <font>
        <b/>
        <i val="0"/>
        <color rgb="FF9C0006"/>
      </font>
      <fill>
        <patternFill>
          <bgColor theme="5"/>
        </patternFill>
      </fill>
    </dxf>
    <dxf>
      <font>
        <b/>
        <i val="0"/>
        <color theme="0"/>
        <name val="Cambria"/>
        <scheme val="none"/>
      </font>
      <fill>
        <patternFill>
          <bgColor theme="5"/>
        </patternFill>
      </fill>
    </dxf>
    <dxf>
      <font>
        <b/>
        <i val="0"/>
        <color rgb="FFFFC000"/>
      </font>
      <fill>
        <patternFill>
          <bgColor theme="5"/>
        </patternFill>
      </fill>
    </dxf>
    <dxf>
      <font>
        <b/>
        <i val="0"/>
        <color theme="0"/>
      </font>
      <fill>
        <patternFill>
          <bgColor theme="8"/>
        </patternFill>
      </fill>
    </dxf>
    <dxf>
      <font>
        <b/>
        <i val="0"/>
        <color theme="0"/>
      </font>
      <fill>
        <patternFill>
          <bgColor theme="8"/>
        </patternFill>
      </fill>
    </dxf>
    <dxf>
      <font>
        <b/>
        <i val="0"/>
        <color rgb="FF9C0006"/>
      </font>
      <fill>
        <patternFill>
          <bgColor theme="5"/>
        </patternFill>
      </fill>
    </dxf>
    <dxf>
      <font>
        <b/>
        <i val="0"/>
        <color theme="0"/>
        <name val="Cambria"/>
        <scheme val="none"/>
      </font>
      <fill>
        <patternFill>
          <bgColor theme="5"/>
        </patternFill>
      </fill>
    </dxf>
    <dxf>
      <font>
        <b/>
        <i val="0"/>
        <color rgb="FFFFC000"/>
      </font>
      <fill>
        <patternFill>
          <bgColor theme="5"/>
        </patternFill>
      </fill>
    </dxf>
    <dxf>
      <font>
        <b/>
        <i val="0"/>
        <color theme="0"/>
      </font>
      <fill>
        <patternFill>
          <bgColor theme="8"/>
        </patternFill>
      </fill>
    </dxf>
    <dxf>
      <font>
        <b/>
        <i val="0"/>
        <color theme="0"/>
      </font>
      <fill>
        <patternFill>
          <bgColor theme="8"/>
        </patternFill>
      </fill>
    </dxf>
    <dxf>
      <font>
        <b/>
        <i val="0"/>
        <color rgb="FF9C0006"/>
      </font>
      <fill>
        <patternFill>
          <bgColor theme="5"/>
        </patternFill>
      </fill>
    </dxf>
    <dxf>
      <font>
        <b/>
        <i val="0"/>
        <color theme="0"/>
        <name val="Cambria"/>
        <scheme val="none"/>
      </font>
      <fill>
        <patternFill>
          <bgColor theme="5"/>
        </patternFill>
      </fill>
    </dxf>
    <dxf>
      <font>
        <b/>
        <i val="0"/>
        <color rgb="FFFFC000"/>
      </font>
      <fill>
        <patternFill>
          <bgColor theme="5"/>
        </patternFill>
      </fill>
    </dxf>
    <dxf>
      <font>
        <b/>
        <i val="0"/>
        <color theme="0"/>
      </font>
      <fill>
        <patternFill>
          <bgColor theme="8"/>
        </patternFill>
      </fill>
    </dxf>
    <dxf>
      <font>
        <b/>
        <i val="0"/>
        <color theme="0"/>
      </font>
      <fill>
        <patternFill>
          <bgColor theme="8"/>
        </patternFill>
      </fill>
    </dxf>
    <dxf>
      <font>
        <b/>
        <i val="0"/>
        <color rgb="FF9C0006"/>
      </font>
      <fill>
        <patternFill>
          <bgColor theme="5"/>
        </patternFill>
      </fill>
    </dxf>
    <dxf>
      <font>
        <b/>
        <i val="0"/>
        <color theme="0"/>
        <name val="Cambria"/>
        <scheme val="none"/>
      </font>
      <fill>
        <patternFill>
          <bgColor theme="5"/>
        </patternFill>
      </fill>
    </dxf>
    <dxf>
      <font>
        <b/>
        <i val="0"/>
        <color rgb="FFFFC000"/>
      </font>
      <fill>
        <patternFill>
          <bgColor theme="5"/>
        </patternFill>
      </fill>
    </dxf>
    <dxf>
      <font>
        <b/>
        <i val="0"/>
        <color theme="0"/>
      </font>
      <fill>
        <patternFill>
          <bgColor theme="8"/>
        </patternFill>
      </fill>
    </dxf>
    <dxf>
      <font>
        <b/>
        <i val="0"/>
        <color theme="0"/>
      </font>
      <fill>
        <patternFill>
          <bgColor theme="8"/>
        </patternFill>
      </fill>
    </dxf>
    <dxf>
      <font>
        <b/>
        <i val="0"/>
        <color rgb="FF9C0006"/>
      </font>
      <fill>
        <patternFill>
          <bgColor theme="5"/>
        </patternFill>
      </fill>
    </dxf>
    <dxf>
      <font>
        <b/>
        <i val="0"/>
        <color theme="0"/>
        <name val="Cambria"/>
        <scheme val="none"/>
      </font>
      <fill>
        <patternFill>
          <bgColor theme="5"/>
        </patternFill>
      </fill>
    </dxf>
    <dxf>
      <font>
        <b/>
        <i val="0"/>
        <color rgb="FFFFC000"/>
      </font>
      <fill>
        <patternFill>
          <bgColor theme="5"/>
        </patternFill>
      </fill>
    </dxf>
    <dxf>
      <font>
        <b/>
        <i val="0"/>
        <color theme="0"/>
      </font>
      <fill>
        <patternFill>
          <bgColor theme="8"/>
        </patternFill>
      </fill>
    </dxf>
    <dxf>
      <font>
        <b/>
        <i val="0"/>
        <color theme="0"/>
      </font>
      <fill>
        <patternFill>
          <bgColor theme="8"/>
        </patternFill>
      </fill>
    </dxf>
    <dxf>
      <font>
        <b/>
        <i val="0"/>
        <color rgb="FF9C0006"/>
      </font>
      <fill>
        <patternFill>
          <bgColor theme="5"/>
        </patternFill>
      </fill>
    </dxf>
    <dxf>
      <font>
        <b/>
        <i val="0"/>
        <color theme="0"/>
        <name val="Cambria"/>
        <scheme val="none"/>
      </font>
      <fill>
        <patternFill>
          <bgColor theme="5"/>
        </patternFill>
      </fill>
    </dxf>
    <dxf>
      <font>
        <b/>
        <i val="0"/>
        <color rgb="FFFFC000"/>
      </font>
      <fill>
        <patternFill>
          <bgColor theme="5"/>
        </patternFill>
      </fill>
    </dxf>
    <dxf>
      <font>
        <b/>
        <i val="0"/>
        <color theme="0"/>
      </font>
      <fill>
        <patternFill>
          <bgColor theme="8"/>
        </patternFill>
      </fill>
    </dxf>
    <dxf>
      <font>
        <b/>
        <i val="0"/>
        <color theme="0"/>
      </font>
      <fill>
        <patternFill>
          <bgColor theme="8"/>
        </patternFill>
      </fill>
    </dxf>
    <dxf>
      <font>
        <b/>
        <i val="0"/>
        <color rgb="FF9C0006"/>
      </font>
      <fill>
        <patternFill>
          <bgColor theme="5"/>
        </patternFill>
      </fill>
    </dxf>
    <dxf>
      <font>
        <b/>
        <i val="0"/>
        <color theme="0"/>
        <name val="Cambria"/>
        <scheme val="none"/>
      </font>
      <fill>
        <patternFill>
          <bgColor theme="5"/>
        </patternFill>
      </fill>
    </dxf>
    <dxf>
      <font>
        <b/>
        <i val="0"/>
        <color rgb="FFFFC000"/>
      </font>
      <fill>
        <patternFill>
          <bgColor theme="5"/>
        </patternFill>
      </fill>
    </dxf>
    <dxf>
      <font>
        <b/>
        <i val="0"/>
        <color theme="0"/>
      </font>
      <fill>
        <patternFill>
          <bgColor theme="8"/>
        </patternFill>
      </fill>
    </dxf>
    <dxf>
      <font>
        <b/>
        <i val="0"/>
        <color theme="0"/>
      </font>
      <fill>
        <patternFill>
          <bgColor theme="8"/>
        </patternFill>
      </fill>
    </dxf>
    <dxf>
      <font>
        <b/>
        <i val="0"/>
        <color rgb="FF9C0006"/>
      </font>
      <fill>
        <patternFill>
          <bgColor theme="5"/>
        </patternFill>
      </fill>
    </dxf>
    <dxf>
      <font>
        <b/>
        <i val="0"/>
        <color theme="0"/>
        <name val="Cambria"/>
        <scheme val="none"/>
      </font>
      <fill>
        <patternFill>
          <bgColor theme="5"/>
        </patternFill>
      </fill>
    </dxf>
    <dxf>
      <font>
        <b/>
        <i val="0"/>
        <color rgb="FFFFC000"/>
      </font>
      <fill>
        <patternFill>
          <bgColor theme="5"/>
        </patternFill>
      </fill>
    </dxf>
    <dxf>
      <font>
        <b/>
        <i val="0"/>
        <color theme="0"/>
      </font>
      <fill>
        <patternFill>
          <bgColor theme="8"/>
        </patternFill>
      </fill>
    </dxf>
    <dxf>
      <font>
        <b/>
        <i val="0"/>
        <color theme="0"/>
      </font>
      <fill>
        <patternFill>
          <bgColor theme="8"/>
        </patternFill>
      </fill>
    </dxf>
    <dxf>
      <font>
        <b/>
        <i val="0"/>
        <color rgb="FF9C0006"/>
      </font>
      <fill>
        <patternFill>
          <bgColor theme="5"/>
        </patternFill>
      </fill>
    </dxf>
    <dxf>
      <font>
        <b/>
        <i val="0"/>
        <color theme="0"/>
        <name val="Cambria"/>
        <scheme val="none"/>
      </font>
      <fill>
        <patternFill>
          <bgColor theme="5"/>
        </patternFill>
      </fill>
    </dxf>
    <dxf>
      <font>
        <b/>
        <i val="0"/>
        <color rgb="FFFFC000"/>
      </font>
      <fill>
        <patternFill>
          <bgColor theme="5"/>
        </patternFill>
      </fill>
    </dxf>
    <dxf>
      <font>
        <b/>
        <i val="0"/>
        <color theme="0"/>
      </font>
      <fill>
        <patternFill>
          <bgColor theme="8"/>
        </patternFill>
      </fill>
    </dxf>
    <dxf>
      <font>
        <b/>
        <i val="0"/>
        <color theme="0"/>
      </font>
      <fill>
        <patternFill>
          <bgColor theme="8"/>
        </patternFill>
      </fill>
    </dxf>
    <dxf>
      <font>
        <b/>
        <i val="0"/>
        <color rgb="FF9C0006"/>
      </font>
      <fill>
        <patternFill>
          <bgColor theme="5"/>
        </patternFill>
      </fill>
    </dxf>
    <dxf>
      <font>
        <b/>
        <i val="0"/>
        <color theme="0"/>
        <name val="Cambria"/>
        <scheme val="none"/>
      </font>
      <fill>
        <patternFill>
          <bgColor theme="5"/>
        </patternFill>
      </fill>
    </dxf>
    <dxf>
      <font>
        <b/>
        <i val="0"/>
        <color rgb="FFFFC000"/>
      </font>
      <fill>
        <patternFill>
          <bgColor theme="5"/>
        </patternFill>
      </fill>
    </dxf>
    <dxf>
      <font>
        <b/>
        <i val="0"/>
        <color theme="0"/>
      </font>
      <fill>
        <patternFill>
          <bgColor theme="8"/>
        </patternFill>
      </fill>
    </dxf>
    <dxf>
      <font>
        <b/>
        <i val="0"/>
        <color theme="0"/>
      </font>
      <fill>
        <patternFill>
          <bgColor theme="8"/>
        </patternFill>
      </fill>
    </dxf>
    <dxf>
      <font>
        <b/>
        <i val="0"/>
        <color rgb="FF9C0006"/>
      </font>
      <fill>
        <patternFill>
          <bgColor theme="5"/>
        </patternFill>
      </fill>
    </dxf>
    <dxf>
      <font>
        <b/>
        <i val="0"/>
        <color theme="0"/>
        <name val="Cambria"/>
        <scheme val="none"/>
      </font>
      <fill>
        <patternFill>
          <bgColor theme="5"/>
        </patternFill>
      </fill>
    </dxf>
    <dxf>
      <font>
        <b/>
        <i val="0"/>
        <color rgb="FFFFC000"/>
      </font>
      <fill>
        <patternFill>
          <bgColor theme="5"/>
        </patternFill>
      </fill>
    </dxf>
    <dxf>
      <font>
        <b/>
        <i val="0"/>
        <color theme="0"/>
      </font>
      <fill>
        <patternFill>
          <bgColor theme="8"/>
        </patternFill>
      </fill>
    </dxf>
    <dxf>
      <font>
        <b/>
        <i val="0"/>
        <color theme="0"/>
      </font>
      <fill>
        <patternFill>
          <bgColor theme="8"/>
        </patternFill>
      </fill>
    </dxf>
    <dxf>
      <font>
        <b/>
        <i val="0"/>
        <color rgb="FF9C0006"/>
      </font>
      <fill>
        <patternFill>
          <bgColor theme="5"/>
        </patternFill>
      </fill>
    </dxf>
    <dxf>
      <font>
        <b/>
        <i val="0"/>
        <color theme="0"/>
        <name val="Cambria"/>
        <scheme val="none"/>
      </font>
      <fill>
        <patternFill>
          <bgColor theme="5"/>
        </patternFill>
      </fill>
    </dxf>
    <dxf>
      <font>
        <b/>
        <i val="0"/>
        <color rgb="FFFFC000"/>
      </font>
      <fill>
        <patternFill>
          <bgColor theme="5"/>
        </patternFill>
      </fill>
    </dxf>
    <dxf>
      <font>
        <b/>
        <i val="0"/>
        <color theme="0"/>
      </font>
      <fill>
        <patternFill>
          <bgColor theme="8"/>
        </patternFill>
      </fill>
    </dxf>
    <dxf>
      <font>
        <b/>
        <i val="0"/>
        <color theme="0"/>
      </font>
      <fill>
        <patternFill>
          <bgColor theme="8"/>
        </patternFill>
      </fill>
    </dxf>
    <dxf>
      <font>
        <b/>
        <i val="0"/>
        <color rgb="FF9C0006"/>
      </font>
      <fill>
        <patternFill>
          <bgColor theme="5"/>
        </patternFill>
      </fill>
    </dxf>
    <dxf>
      <font>
        <b/>
        <i val="0"/>
        <color theme="0"/>
        <name val="Cambria"/>
        <scheme val="none"/>
      </font>
      <fill>
        <patternFill>
          <bgColor theme="5"/>
        </patternFill>
      </fill>
    </dxf>
    <dxf>
      <font>
        <b/>
        <i val="0"/>
        <color rgb="FFFFC000"/>
      </font>
      <fill>
        <patternFill>
          <bgColor theme="5"/>
        </patternFill>
      </fill>
    </dxf>
    <dxf>
      <font>
        <b/>
        <i val="0"/>
        <color theme="0"/>
      </font>
      <fill>
        <patternFill>
          <bgColor theme="8"/>
        </patternFill>
      </fill>
    </dxf>
    <dxf>
      <font>
        <b/>
        <i val="0"/>
        <color theme="0"/>
      </font>
      <fill>
        <patternFill>
          <bgColor theme="8"/>
        </patternFill>
      </fill>
    </dxf>
    <dxf>
      <font>
        <b/>
        <i val="0"/>
        <color rgb="FF9C0006"/>
      </font>
      <fill>
        <patternFill>
          <bgColor theme="5"/>
        </patternFill>
      </fill>
    </dxf>
    <dxf>
      <font>
        <b/>
        <i val="0"/>
        <color theme="0"/>
        <name val="Cambria"/>
        <scheme val="none"/>
      </font>
      <fill>
        <patternFill>
          <bgColor theme="5"/>
        </patternFill>
      </fill>
    </dxf>
    <dxf>
      <font>
        <b/>
        <i val="0"/>
        <color rgb="FFFFC000"/>
      </font>
      <fill>
        <patternFill>
          <bgColor theme="5"/>
        </patternFill>
      </fill>
    </dxf>
    <dxf>
      <font>
        <b/>
        <i val="0"/>
        <color theme="0"/>
      </font>
      <fill>
        <patternFill>
          <bgColor theme="8"/>
        </patternFill>
      </fill>
    </dxf>
    <dxf>
      <font>
        <b/>
        <i val="0"/>
        <color theme="0"/>
      </font>
      <fill>
        <patternFill>
          <bgColor theme="8"/>
        </patternFill>
      </fill>
    </dxf>
    <dxf>
      <font>
        <b/>
        <i val="0"/>
        <color rgb="FF9C0006"/>
      </font>
      <fill>
        <patternFill>
          <bgColor theme="5"/>
        </patternFill>
      </fill>
    </dxf>
    <dxf>
      <font>
        <b/>
        <i val="0"/>
        <color theme="0"/>
        <name val="Cambria"/>
        <scheme val="none"/>
      </font>
      <fill>
        <patternFill>
          <bgColor theme="5"/>
        </patternFill>
      </fill>
    </dxf>
    <dxf>
      <font>
        <b/>
        <i val="0"/>
        <color rgb="FFFFC000"/>
      </font>
      <fill>
        <patternFill>
          <bgColor theme="5"/>
        </patternFill>
      </fill>
    </dxf>
    <dxf>
      <font>
        <b/>
        <i val="0"/>
        <color theme="0"/>
      </font>
      <fill>
        <patternFill>
          <bgColor theme="8"/>
        </patternFill>
      </fill>
    </dxf>
    <dxf>
      <font>
        <b/>
        <i val="0"/>
        <color theme="0"/>
      </font>
      <fill>
        <patternFill>
          <bgColor theme="8"/>
        </patternFill>
      </fill>
    </dxf>
    <dxf>
      <font>
        <b/>
        <i val="0"/>
        <color rgb="FF9C0006"/>
      </font>
      <fill>
        <patternFill>
          <bgColor theme="5"/>
        </patternFill>
      </fill>
    </dxf>
    <dxf>
      <font>
        <b/>
        <i val="0"/>
        <color theme="0"/>
        <name val="Cambria"/>
        <scheme val="none"/>
      </font>
      <fill>
        <patternFill>
          <bgColor theme="5"/>
        </patternFill>
      </fill>
    </dxf>
    <dxf>
      <font>
        <b/>
        <i val="0"/>
        <color rgb="FFFFC000"/>
      </font>
      <fill>
        <patternFill>
          <bgColor theme="5"/>
        </patternFill>
      </fill>
    </dxf>
    <dxf>
      <font>
        <b/>
        <i val="0"/>
        <color theme="0"/>
      </font>
      <fill>
        <patternFill>
          <bgColor theme="8"/>
        </patternFill>
      </fill>
    </dxf>
    <dxf>
      <font>
        <b/>
        <i val="0"/>
        <color theme="0"/>
      </font>
      <fill>
        <patternFill>
          <bgColor theme="8"/>
        </patternFill>
      </fill>
    </dxf>
    <dxf>
      <font>
        <b/>
        <i val="0"/>
        <color rgb="FF9C0006"/>
      </font>
      <fill>
        <patternFill>
          <bgColor theme="5"/>
        </patternFill>
      </fill>
    </dxf>
    <dxf>
      <font>
        <b/>
        <i val="0"/>
        <color theme="0"/>
        <name val="Cambria"/>
        <scheme val="none"/>
      </font>
      <fill>
        <patternFill>
          <bgColor theme="5"/>
        </patternFill>
      </fill>
    </dxf>
    <dxf>
      <font>
        <b/>
        <i val="0"/>
        <color rgb="FFFFC000"/>
      </font>
      <fill>
        <patternFill>
          <bgColor theme="5"/>
        </patternFill>
      </fill>
    </dxf>
    <dxf>
      <font>
        <b/>
        <i val="0"/>
        <color theme="0"/>
      </font>
      <fill>
        <patternFill>
          <bgColor theme="8"/>
        </patternFill>
      </fill>
    </dxf>
    <dxf>
      <font>
        <b/>
        <i val="0"/>
        <color theme="0"/>
      </font>
      <fill>
        <patternFill>
          <bgColor theme="8"/>
        </patternFill>
      </fill>
    </dxf>
    <dxf>
      <font>
        <b/>
        <i val="0"/>
        <color rgb="FF9C0006"/>
      </font>
      <fill>
        <patternFill>
          <bgColor theme="5"/>
        </patternFill>
      </fill>
    </dxf>
    <dxf>
      <font>
        <b/>
        <i val="0"/>
        <color theme="0"/>
        <name val="Cambria"/>
        <scheme val="none"/>
      </font>
      <fill>
        <patternFill>
          <bgColor theme="5"/>
        </patternFill>
      </fill>
    </dxf>
    <dxf>
      <font>
        <b/>
        <i val="0"/>
        <color rgb="FFFFC000"/>
      </font>
      <fill>
        <patternFill>
          <bgColor theme="5"/>
        </patternFill>
      </fill>
    </dxf>
    <dxf>
      <font>
        <b/>
        <i val="0"/>
        <color theme="0"/>
      </font>
      <fill>
        <patternFill>
          <bgColor theme="8"/>
        </patternFill>
      </fill>
    </dxf>
    <dxf>
      <font>
        <b/>
        <i val="0"/>
        <color theme="0"/>
      </font>
      <fill>
        <patternFill>
          <bgColor theme="8"/>
        </patternFill>
      </fill>
    </dxf>
    <dxf>
      <font>
        <b/>
        <i val="0"/>
        <color rgb="FF9C0006"/>
      </font>
      <fill>
        <patternFill>
          <bgColor theme="5"/>
        </patternFill>
      </fill>
    </dxf>
    <dxf>
      <font>
        <b/>
        <i val="0"/>
        <color theme="0"/>
        <name val="Cambria"/>
        <scheme val="none"/>
      </font>
      <fill>
        <patternFill>
          <bgColor theme="5"/>
        </patternFill>
      </fill>
    </dxf>
    <dxf>
      <font>
        <b/>
        <i val="0"/>
        <color rgb="FFFFC000"/>
      </font>
      <fill>
        <patternFill>
          <bgColor theme="5"/>
        </patternFill>
      </fill>
    </dxf>
    <dxf>
      <font>
        <b/>
        <i val="0"/>
        <color theme="0"/>
      </font>
      <fill>
        <patternFill>
          <bgColor theme="8"/>
        </patternFill>
      </fill>
    </dxf>
    <dxf>
      <font>
        <b/>
        <i val="0"/>
        <color theme="0"/>
      </font>
      <fill>
        <patternFill>
          <bgColor theme="8"/>
        </patternFill>
      </fill>
    </dxf>
    <dxf>
      <font>
        <b/>
        <i val="0"/>
        <color rgb="FF9C0006"/>
      </font>
      <fill>
        <patternFill>
          <bgColor theme="5"/>
        </patternFill>
      </fill>
    </dxf>
    <dxf>
      <font>
        <b/>
        <i val="0"/>
        <color theme="0"/>
        <name val="Cambria"/>
        <scheme val="none"/>
      </font>
      <fill>
        <patternFill>
          <bgColor theme="5"/>
        </patternFill>
      </fill>
    </dxf>
    <dxf>
      <font>
        <b/>
        <i val="0"/>
        <color rgb="FFFFC000"/>
      </font>
      <fill>
        <patternFill>
          <bgColor theme="5"/>
        </patternFill>
      </fill>
    </dxf>
    <dxf>
      <font>
        <b/>
        <i val="0"/>
        <color theme="0"/>
      </font>
      <fill>
        <patternFill>
          <bgColor theme="8"/>
        </patternFill>
      </fill>
    </dxf>
    <dxf>
      <font>
        <b/>
        <i val="0"/>
        <color theme="0"/>
      </font>
      <fill>
        <patternFill>
          <bgColor theme="8"/>
        </patternFill>
      </fill>
    </dxf>
    <dxf>
      <font>
        <b/>
        <i val="0"/>
        <color rgb="FF9C0006"/>
      </font>
      <fill>
        <patternFill>
          <bgColor theme="5"/>
        </patternFill>
      </fill>
    </dxf>
    <dxf>
      <font>
        <b/>
        <i val="0"/>
        <color theme="0"/>
        <name val="Cambria"/>
        <scheme val="none"/>
      </font>
      <fill>
        <patternFill>
          <bgColor theme="5"/>
        </patternFill>
      </fill>
    </dxf>
    <dxf>
      <font>
        <b/>
        <i val="0"/>
        <color rgb="FFFFC000"/>
      </font>
      <fill>
        <patternFill>
          <bgColor theme="5"/>
        </patternFill>
      </fill>
    </dxf>
    <dxf>
      <font>
        <b/>
        <i val="0"/>
        <color theme="0"/>
      </font>
      <fill>
        <patternFill>
          <bgColor theme="8"/>
        </patternFill>
      </fill>
    </dxf>
    <dxf>
      <font>
        <b/>
        <i val="0"/>
        <color theme="0"/>
      </font>
      <fill>
        <patternFill>
          <bgColor theme="8"/>
        </patternFill>
      </fill>
    </dxf>
    <dxf>
      <font>
        <b/>
        <i val="0"/>
        <color rgb="FF9C0006"/>
      </font>
      <fill>
        <patternFill>
          <bgColor theme="5"/>
        </patternFill>
      </fill>
    </dxf>
    <dxf>
      <font>
        <b/>
        <i val="0"/>
        <color theme="0"/>
        <name val="Cambria"/>
        <scheme val="none"/>
      </font>
      <fill>
        <patternFill>
          <bgColor theme="5"/>
        </patternFill>
      </fill>
    </dxf>
    <dxf>
      <font>
        <b/>
        <i val="0"/>
        <color rgb="FFFFC000"/>
      </font>
      <fill>
        <patternFill>
          <bgColor theme="5"/>
        </patternFill>
      </fill>
    </dxf>
    <dxf>
      <font>
        <b/>
        <i val="0"/>
        <color theme="0"/>
      </font>
      <fill>
        <patternFill>
          <bgColor theme="8"/>
        </patternFill>
      </fill>
    </dxf>
    <dxf>
      <font>
        <b/>
        <i val="0"/>
        <color theme="0"/>
      </font>
      <fill>
        <patternFill>
          <bgColor theme="8"/>
        </patternFill>
      </fill>
    </dxf>
    <dxf>
      <font>
        <b/>
        <i val="0"/>
        <color rgb="FF9C0006"/>
      </font>
      <fill>
        <patternFill>
          <bgColor theme="5"/>
        </patternFill>
      </fill>
    </dxf>
    <dxf>
      <font>
        <b/>
        <i val="0"/>
        <color theme="0"/>
        <name val="Cambria"/>
        <scheme val="none"/>
      </font>
      <fill>
        <patternFill>
          <bgColor theme="5"/>
        </patternFill>
      </fill>
    </dxf>
    <dxf>
      <font>
        <b/>
        <i val="0"/>
        <color rgb="FFFFC000"/>
      </font>
      <fill>
        <patternFill>
          <bgColor theme="5"/>
        </patternFill>
      </fill>
    </dxf>
    <dxf>
      <font>
        <b/>
        <i val="0"/>
        <color theme="0"/>
      </font>
      <fill>
        <patternFill>
          <bgColor theme="8"/>
        </patternFill>
      </fill>
    </dxf>
    <dxf>
      <font>
        <b/>
        <i val="0"/>
        <color theme="0"/>
      </font>
      <fill>
        <patternFill>
          <bgColor theme="8"/>
        </patternFill>
      </fill>
    </dxf>
    <dxf>
      <font>
        <b/>
        <i val="0"/>
        <color rgb="FF9C0006"/>
      </font>
      <fill>
        <patternFill>
          <bgColor theme="5"/>
        </patternFill>
      </fill>
    </dxf>
    <dxf>
      <font>
        <b/>
        <i val="0"/>
        <color theme="0"/>
        <name val="Cambria"/>
        <scheme val="none"/>
      </font>
      <fill>
        <patternFill>
          <bgColor theme="5"/>
        </patternFill>
      </fill>
    </dxf>
    <dxf>
      <font>
        <b/>
        <i val="0"/>
        <color rgb="FFFFC000"/>
      </font>
      <fill>
        <patternFill>
          <bgColor theme="5"/>
        </patternFill>
      </fill>
    </dxf>
    <dxf>
      <font>
        <b/>
        <i val="0"/>
        <color theme="0"/>
      </font>
      <fill>
        <patternFill>
          <bgColor theme="8"/>
        </patternFill>
      </fill>
    </dxf>
    <dxf>
      <font>
        <b/>
        <i val="0"/>
        <color theme="0"/>
      </font>
      <fill>
        <patternFill>
          <bgColor theme="8"/>
        </patternFill>
      </fill>
    </dxf>
    <dxf>
      <font>
        <b/>
        <i val="0"/>
        <color rgb="FF9C0006"/>
      </font>
      <fill>
        <patternFill>
          <bgColor theme="5"/>
        </patternFill>
      </fill>
    </dxf>
    <dxf>
      <font>
        <b/>
        <i val="0"/>
        <color theme="0"/>
        <name val="Cambria"/>
        <scheme val="none"/>
      </font>
      <fill>
        <patternFill>
          <bgColor theme="5"/>
        </patternFill>
      </fill>
    </dxf>
    <dxf>
      <font>
        <b/>
        <i val="0"/>
        <color rgb="FFFFC000"/>
      </font>
      <fill>
        <patternFill>
          <bgColor theme="5"/>
        </patternFill>
      </fill>
    </dxf>
    <dxf>
      <font>
        <b/>
        <i val="0"/>
        <color theme="0"/>
      </font>
      <fill>
        <patternFill>
          <bgColor theme="8"/>
        </patternFill>
      </fill>
    </dxf>
    <dxf>
      <font>
        <b/>
        <i val="0"/>
        <color theme="0"/>
      </font>
      <fill>
        <patternFill>
          <bgColor theme="8"/>
        </patternFill>
      </fill>
    </dxf>
    <dxf>
      <font>
        <b/>
        <i val="0"/>
        <color rgb="FF9C0006"/>
      </font>
      <fill>
        <patternFill>
          <bgColor theme="5"/>
        </patternFill>
      </fill>
    </dxf>
    <dxf>
      <font>
        <b/>
        <i val="0"/>
        <color theme="0"/>
        <name val="Cambria"/>
        <scheme val="none"/>
      </font>
      <fill>
        <patternFill>
          <bgColor theme="5"/>
        </patternFill>
      </fill>
    </dxf>
    <dxf>
      <font>
        <b/>
        <i val="0"/>
        <color rgb="FFFFC000"/>
      </font>
      <fill>
        <patternFill>
          <bgColor theme="5"/>
        </patternFill>
      </fill>
    </dxf>
    <dxf>
      <font>
        <b/>
        <i val="0"/>
        <color theme="0"/>
      </font>
      <fill>
        <patternFill>
          <bgColor theme="8"/>
        </patternFill>
      </fill>
    </dxf>
    <dxf>
      <font>
        <b/>
        <i val="0"/>
        <color theme="0"/>
      </font>
      <fill>
        <patternFill>
          <bgColor theme="8"/>
        </patternFill>
      </fill>
    </dxf>
    <dxf>
      <font>
        <b/>
        <i val="0"/>
        <color rgb="FF9C0006"/>
      </font>
      <fill>
        <patternFill>
          <bgColor theme="5"/>
        </patternFill>
      </fill>
    </dxf>
    <dxf>
      <font>
        <b/>
        <i val="0"/>
        <color theme="0"/>
        <name val="Cambria"/>
        <scheme val="none"/>
      </font>
      <fill>
        <patternFill>
          <bgColor theme="5"/>
        </patternFill>
      </fill>
    </dxf>
    <dxf>
      <font>
        <b/>
        <i val="0"/>
        <color rgb="FFFFC000"/>
      </font>
      <fill>
        <patternFill>
          <bgColor theme="5"/>
        </patternFill>
      </fill>
    </dxf>
    <dxf>
      <font>
        <b/>
        <i val="0"/>
        <color theme="0"/>
      </font>
      <fill>
        <patternFill>
          <bgColor theme="8"/>
        </patternFill>
      </fill>
    </dxf>
    <dxf>
      <font>
        <b/>
        <i val="0"/>
        <color theme="0"/>
      </font>
      <fill>
        <patternFill>
          <bgColor theme="8"/>
        </patternFill>
      </fill>
    </dxf>
    <dxf>
      <font>
        <b/>
        <i val="0"/>
        <color rgb="FF9C0006"/>
      </font>
      <fill>
        <patternFill>
          <bgColor theme="5"/>
        </patternFill>
      </fill>
    </dxf>
    <dxf>
      <font>
        <b/>
        <i val="0"/>
        <color theme="0"/>
        <name val="Cambria"/>
        <scheme val="none"/>
      </font>
      <fill>
        <patternFill>
          <bgColor theme="5"/>
        </patternFill>
      </fill>
    </dxf>
    <dxf>
      <font>
        <b/>
        <i val="0"/>
        <color rgb="FFFFC000"/>
      </font>
      <fill>
        <patternFill>
          <bgColor theme="5"/>
        </patternFill>
      </fill>
    </dxf>
    <dxf>
      <font>
        <b/>
        <i val="0"/>
        <color theme="0"/>
      </font>
      <fill>
        <patternFill>
          <bgColor theme="8"/>
        </patternFill>
      </fill>
    </dxf>
    <dxf>
      <font>
        <b/>
        <i val="0"/>
        <color theme="0"/>
      </font>
      <fill>
        <patternFill>
          <bgColor theme="8"/>
        </patternFill>
      </fill>
    </dxf>
    <dxf>
      <font>
        <b/>
        <i val="0"/>
        <color rgb="FF9C0006"/>
      </font>
      <fill>
        <patternFill>
          <bgColor theme="5"/>
        </patternFill>
      </fill>
    </dxf>
    <dxf>
      <font>
        <b/>
        <i val="0"/>
        <color theme="0"/>
        <name val="Cambria"/>
        <scheme val="none"/>
      </font>
      <fill>
        <patternFill>
          <bgColor theme="5"/>
        </patternFill>
      </fill>
    </dxf>
    <dxf>
      <font>
        <b/>
        <i val="0"/>
        <color rgb="FFFFC000"/>
      </font>
      <fill>
        <patternFill>
          <bgColor theme="5"/>
        </patternFill>
      </fill>
    </dxf>
    <dxf>
      <font>
        <b/>
        <i val="0"/>
        <color theme="0"/>
      </font>
      <fill>
        <patternFill>
          <bgColor theme="8"/>
        </patternFill>
      </fill>
    </dxf>
    <dxf>
      <font>
        <b/>
        <i val="0"/>
        <color theme="0"/>
      </font>
      <fill>
        <patternFill>
          <bgColor theme="8"/>
        </patternFill>
      </fill>
    </dxf>
    <dxf>
      <font>
        <b/>
        <i val="0"/>
        <color rgb="FF9C0006"/>
      </font>
      <fill>
        <patternFill>
          <bgColor theme="5"/>
        </patternFill>
      </fill>
    </dxf>
    <dxf>
      <font>
        <b/>
        <i val="0"/>
        <color theme="0"/>
        <name val="Cambria"/>
        <scheme val="none"/>
      </font>
      <fill>
        <patternFill>
          <bgColor theme="5"/>
        </patternFill>
      </fill>
    </dxf>
    <dxf>
      <font>
        <b/>
        <i val="0"/>
        <color rgb="FFFFC000"/>
      </font>
      <fill>
        <patternFill>
          <bgColor theme="5"/>
        </patternFill>
      </fill>
    </dxf>
    <dxf>
      <font>
        <b/>
        <i val="0"/>
        <color theme="0"/>
      </font>
      <fill>
        <patternFill>
          <bgColor theme="8"/>
        </patternFill>
      </fill>
    </dxf>
    <dxf>
      <font>
        <b/>
        <i val="0"/>
        <color theme="0"/>
      </font>
      <fill>
        <patternFill>
          <bgColor theme="8"/>
        </patternFill>
      </fill>
    </dxf>
    <dxf>
      <font>
        <b/>
        <i val="0"/>
        <color rgb="FF9C0006"/>
      </font>
      <fill>
        <patternFill>
          <bgColor theme="5"/>
        </patternFill>
      </fill>
    </dxf>
    <dxf>
      <font>
        <b/>
        <i val="0"/>
        <color theme="0"/>
        <name val="Cambria"/>
        <scheme val="none"/>
      </font>
      <fill>
        <patternFill>
          <bgColor theme="5"/>
        </patternFill>
      </fill>
    </dxf>
    <dxf>
      <font>
        <b/>
        <i val="0"/>
        <color rgb="FFFFC000"/>
      </font>
      <fill>
        <patternFill>
          <bgColor theme="5"/>
        </patternFill>
      </fill>
    </dxf>
    <dxf>
      <font>
        <b/>
        <i val="0"/>
        <color theme="0"/>
      </font>
      <fill>
        <patternFill>
          <bgColor theme="8"/>
        </patternFill>
      </fill>
    </dxf>
    <dxf>
      <font>
        <b/>
        <i val="0"/>
        <color theme="0"/>
      </font>
      <fill>
        <patternFill>
          <bgColor theme="8"/>
        </patternFill>
      </fill>
    </dxf>
    <dxf>
      <font>
        <b/>
        <i val="0"/>
        <color rgb="FF9C0006"/>
      </font>
      <fill>
        <patternFill>
          <bgColor theme="5"/>
        </patternFill>
      </fill>
    </dxf>
    <dxf>
      <font>
        <b/>
        <i val="0"/>
        <color theme="0"/>
        <name val="Cambria"/>
        <scheme val="none"/>
      </font>
      <fill>
        <patternFill>
          <bgColor theme="5"/>
        </patternFill>
      </fill>
    </dxf>
    <dxf>
      <font>
        <b/>
        <i val="0"/>
        <color rgb="FFFFC000"/>
      </font>
      <fill>
        <patternFill>
          <bgColor theme="5"/>
        </patternFill>
      </fill>
    </dxf>
    <dxf>
      <font>
        <b/>
        <i val="0"/>
        <color theme="0"/>
      </font>
      <fill>
        <patternFill>
          <bgColor theme="8"/>
        </patternFill>
      </fill>
    </dxf>
    <dxf>
      <font>
        <b/>
        <i val="0"/>
        <color theme="0"/>
      </font>
      <fill>
        <patternFill>
          <bgColor theme="8"/>
        </patternFill>
      </fill>
    </dxf>
    <dxf>
      <font>
        <b/>
        <i val="0"/>
        <color rgb="FF9C0006"/>
      </font>
      <fill>
        <patternFill>
          <bgColor theme="5"/>
        </patternFill>
      </fill>
    </dxf>
    <dxf>
      <font>
        <b/>
        <i val="0"/>
        <color theme="0"/>
        <name val="Cambria"/>
        <scheme val="none"/>
      </font>
      <fill>
        <patternFill>
          <bgColor theme="5"/>
        </patternFill>
      </fill>
    </dxf>
    <dxf>
      <font>
        <b/>
        <i val="0"/>
        <color rgb="FFFFC000"/>
      </font>
      <fill>
        <patternFill>
          <bgColor theme="5"/>
        </patternFill>
      </fill>
    </dxf>
    <dxf>
      <font>
        <b/>
        <i val="0"/>
        <color theme="0"/>
      </font>
      <fill>
        <patternFill>
          <bgColor theme="8"/>
        </patternFill>
      </fill>
    </dxf>
    <dxf>
      <font>
        <b/>
        <i val="0"/>
        <color theme="0"/>
      </font>
      <fill>
        <patternFill>
          <bgColor theme="8"/>
        </patternFill>
      </fill>
    </dxf>
    <dxf>
      <font>
        <b/>
        <i val="0"/>
        <color rgb="FF9C0006"/>
      </font>
      <fill>
        <patternFill>
          <bgColor theme="5"/>
        </patternFill>
      </fill>
    </dxf>
    <dxf>
      <font>
        <b/>
        <i val="0"/>
        <color theme="0"/>
        <name val="Cambria"/>
        <scheme val="none"/>
      </font>
      <fill>
        <patternFill>
          <bgColor theme="5"/>
        </patternFill>
      </fill>
    </dxf>
    <dxf>
      <font>
        <b/>
        <i val="0"/>
        <color rgb="FFFFC000"/>
      </font>
      <fill>
        <patternFill>
          <bgColor theme="5"/>
        </patternFill>
      </fill>
    </dxf>
    <dxf>
      <font>
        <b/>
        <i val="0"/>
        <color theme="0"/>
      </font>
      <fill>
        <patternFill>
          <bgColor theme="8"/>
        </patternFill>
      </fill>
    </dxf>
    <dxf>
      <font>
        <b/>
        <i val="0"/>
        <color theme="0"/>
      </font>
      <fill>
        <patternFill>
          <bgColor theme="8"/>
        </patternFill>
      </fill>
    </dxf>
    <dxf>
      <font>
        <b/>
        <i val="0"/>
        <color rgb="FF9C0006"/>
      </font>
      <fill>
        <patternFill>
          <bgColor theme="5"/>
        </patternFill>
      </fill>
    </dxf>
    <dxf>
      <font>
        <b/>
        <i val="0"/>
        <color theme="0"/>
        <name val="Cambria"/>
        <scheme val="none"/>
      </font>
      <fill>
        <patternFill>
          <bgColor theme="5"/>
        </patternFill>
      </fill>
    </dxf>
    <dxf>
      <font>
        <b/>
        <i val="0"/>
        <color rgb="FFFFC000"/>
      </font>
      <fill>
        <patternFill>
          <bgColor theme="5"/>
        </patternFill>
      </fill>
    </dxf>
    <dxf>
      <font>
        <b/>
        <i val="0"/>
        <color theme="0"/>
      </font>
      <fill>
        <patternFill>
          <bgColor theme="8"/>
        </patternFill>
      </fill>
    </dxf>
    <dxf>
      <font>
        <b/>
        <i val="0"/>
        <color theme="0"/>
      </font>
      <fill>
        <patternFill>
          <bgColor theme="8"/>
        </patternFill>
      </fill>
    </dxf>
    <dxf>
      <font>
        <b/>
        <i val="0"/>
        <color rgb="FF9C0006"/>
      </font>
      <fill>
        <patternFill>
          <bgColor theme="5"/>
        </patternFill>
      </fill>
    </dxf>
    <dxf>
      <font>
        <b/>
        <i val="0"/>
        <color theme="0"/>
        <name val="Cambria"/>
        <scheme val="none"/>
      </font>
      <fill>
        <patternFill>
          <bgColor theme="5"/>
        </patternFill>
      </fill>
    </dxf>
    <dxf>
      <font>
        <b/>
        <i val="0"/>
        <color rgb="FFFFC000"/>
      </font>
      <fill>
        <patternFill>
          <bgColor theme="5"/>
        </patternFill>
      </fill>
    </dxf>
    <dxf>
      <font>
        <b/>
        <i val="0"/>
        <color theme="0"/>
      </font>
      <fill>
        <patternFill>
          <bgColor theme="8"/>
        </patternFill>
      </fill>
    </dxf>
    <dxf>
      <font>
        <b/>
        <i val="0"/>
        <color theme="0"/>
      </font>
      <fill>
        <patternFill>
          <bgColor theme="8"/>
        </patternFill>
      </fill>
    </dxf>
    <dxf>
      <font>
        <b/>
        <i val="0"/>
        <color rgb="FF9C0006"/>
      </font>
      <fill>
        <patternFill>
          <bgColor theme="5"/>
        </patternFill>
      </fill>
    </dxf>
    <dxf>
      <font>
        <b/>
        <i val="0"/>
        <color theme="0"/>
        <name val="Cambria"/>
        <scheme val="none"/>
      </font>
      <fill>
        <patternFill>
          <bgColor theme="5"/>
        </patternFill>
      </fill>
    </dxf>
    <dxf>
      <font>
        <b/>
        <i val="0"/>
        <color rgb="FFFFC000"/>
      </font>
      <fill>
        <patternFill>
          <bgColor theme="5"/>
        </patternFill>
      </fill>
    </dxf>
    <dxf>
      <font>
        <b/>
        <i val="0"/>
        <color theme="0"/>
      </font>
      <fill>
        <patternFill>
          <bgColor theme="8"/>
        </patternFill>
      </fill>
    </dxf>
    <dxf>
      <font>
        <b/>
        <i val="0"/>
        <color theme="0"/>
      </font>
      <fill>
        <patternFill>
          <bgColor theme="8"/>
        </patternFill>
      </fill>
    </dxf>
    <dxf>
      <font>
        <b/>
        <i val="0"/>
        <color rgb="FF9C0006"/>
      </font>
      <fill>
        <patternFill>
          <bgColor theme="5"/>
        </patternFill>
      </fill>
    </dxf>
    <dxf>
      <font>
        <b/>
        <i val="0"/>
        <color theme="0"/>
        <name val="Cambria"/>
        <scheme val="none"/>
      </font>
      <fill>
        <patternFill>
          <bgColor theme="5"/>
        </patternFill>
      </fill>
    </dxf>
    <dxf>
      <font>
        <b/>
        <i val="0"/>
        <color rgb="FFFFC000"/>
      </font>
      <fill>
        <patternFill>
          <bgColor theme="5"/>
        </patternFill>
      </fill>
    </dxf>
    <dxf>
      <font>
        <b/>
        <i val="0"/>
        <color theme="0"/>
      </font>
      <fill>
        <patternFill>
          <bgColor theme="8"/>
        </patternFill>
      </fill>
    </dxf>
    <dxf>
      <font>
        <b/>
        <i val="0"/>
        <color theme="0"/>
      </font>
      <fill>
        <patternFill>
          <bgColor theme="8"/>
        </patternFill>
      </fill>
    </dxf>
    <dxf>
      <font>
        <b/>
        <i val="0"/>
        <color rgb="FF9C0006"/>
      </font>
      <fill>
        <patternFill>
          <bgColor theme="5"/>
        </patternFill>
      </fill>
    </dxf>
    <dxf>
      <font>
        <b/>
        <i val="0"/>
        <color theme="0"/>
        <name val="Cambria"/>
        <scheme val="none"/>
      </font>
      <fill>
        <patternFill>
          <bgColor theme="5"/>
        </patternFill>
      </fill>
    </dxf>
    <dxf>
      <font>
        <b/>
        <i val="0"/>
        <color rgb="FFFFC000"/>
      </font>
      <fill>
        <patternFill>
          <bgColor theme="5"/>
        </patternFill>
      </fill>
    </dxf>
    <dxf>
      <font>
        <b/>
        <i val="0"/>
        <color theme="0"/>
      </font>
      <fill>
        <patternFill>
          <bgColor theme="8"/>
        </patternFill>
      </fill>
    </dxf>
    <dxf>
      <font>
        <b/>
        <i val="0"/>
        <color theme="0"/>
      </font>
      <fill>
        <patternFill>
          <bgColor theme="8"/>
        </patternFill>
      </fill>
    </dxf>
    <dxf>
      <font>
        <b/>
        <i val="0"/>
        <color rgb="FF9C0006"/>
      </font>
      <fill>
        <patternFill>
          <bgColor theme="5"/>
        </patternFill>
      </fill>
    </dxf>
    <dxf>
      <font>
        <b/>
        <i val="0"/>
        <color theme="0"/>
        <name val="Cambria"/>
        <scheme val="none"/>
      </font>
      <fill>
        <patternFill>
          <bgColor theme="5"/>
        </patternFill>
      </fill>
    </dxf>
    <dxf>
      <font>
        <b/>
        <i val="0"/>
        <color rgb="FFFFC000"/>
      </font>
      <fill>
        <patternFill>
          <bgColor theme="5"/>
        </patternFill>
      </fill>
    </dxf>
    <dxf>
      <font>
        <b/>
        <i val="0"/>
        <color theme="0"/>
      </font>
      <fill>
        <patternFill>
          <bgColor theme="8"/>
        </patternFill>
      </fill>
    </dxf>
    <dxf>
      <font>
        <b/>
        <i val="0"/>
        <color theme="0"/>
      </font>
      <fill>
        <patternFill>
          <bgColor theme="8"/>
        </patternFill>
      </fill>
    </dxf>
    <dxf>
      <font>
        <b/>
        <i val="0"/>
        <color rgb="FF9C0006"/>
      </font>
      <fill>
        <patternFill>
          <bgColor theme="5"/>
        </patternFill>
      </fill>
    </dxf>
    <dxf>
      <font>
        <b/>
        <i val="0"/>
        <color theme="0"/>
        <name val="Cambria"/>
        <scheme val="none"/>
      </font>
      <fill>
        <patternFill>
          <bgColor theme="5"/>
        </patternFill>
      </fill>
    </dxf>
    <dxf>
      <font>
        <b/>
        <i val="0"/>
        <color rgb="FFFFC000"/>
      </font>
      <fill>
        <patternFill>
          <bgColor theme="5"/>
        </patternFill>
      </fill>
    </dxf>
    <dxf>
      <font>
        <b/>
        <i val="0"/>
        <color theme="0"/>
      </font>
      <fill>
        <patternFill>
          <bgColor theme="8"/>
        </patternFill>
      </fill>
    </dxf>
    <dxf>
      <font>
        <b/>
        <i val="0"/>
        <color theme="0"/>
      </font>
      <fill>
        <patternFill>
          <bgColor theme="8"/>
        </patternFill>
      </fill>
    </dxf>
    <dxf>
      <font>
        <b/>
        <i val="0"/>
        <color rgb="FF9C0006"/>
      </font>
      <fill>
        <patternFill>
          <bgColor theme="5"/>
        </patternFill>
      </fill>
    </dxf>
    <dxf>
      <font>
        <b/>
        <i val="0"/>
        <color theme="0"/>
        <name val="Cambria"/>
        <scheme val="none"/>
      </font>
      <fill>
        <patternFill>
          <bgColor theme="5"/>
        </patternFill>
      </fill>
    </dxf>
    <dxf>
      <font>
        <b/>
        <i val="0"/>
        <color rgb="FFFFC000"/>
      </font>
      <fill>
        <patternFill>
          <bgColor theme="5"/>
        </patternFill>
      </fill>
    </dxf>
    <dxf>
      <font>
        <b/>
        <i val="0"/>
        <color theme="0"/>
      </font>
      <fill>
        <patternFill>
          <bgColor theme="8"/>
        </patternFill>
      </fill>
    </dxf>
    <dxf>
      <font>
        <b/>
        <i val="0"/>
        <color theme="0"/>
      </font>
      <fill>
        <patternFill>
          <bgColor theme="8"/>
        </patternFill>
      </fill>
    </dxf>
    <dxf>
      <font>
        <b/>
        <i val="0"/>
        <color rgb="FF9C0006"/>
      </font>
      <fill>
        <patternFill>
          <bgColor theme="5"/>
        </patternFill>
      </fill>
    </dxf>
    <dxf>
      <font>
        <b/>
        <i val="0"/>
        <color theme="0"/>
        <name val="Cambria"/>
        <scheme val="none"/>
      </font>
      <fill>
        <patternFill>
          <bgColor theme="5"/>
        </patternFill>
      </fill>
    </dxf>
    <dxf>
      <font>
        <b/>
        <i val="0"/>
        <color rgb="FFFFC000"/>
      </font>
      <fill>
        <patternFill>
          <bgColor theme="5"/>
        </patternFill>
      </fill>
    </dxf>
    <dxf>
      <font>
        <b/>
        <i val="0"/>
        <color theme="0"/>
      </font>
      <fill>
        <patternFill>
          <bgColor theme="8"/>
        </patternFill>
      </fill>
    </dxf>
    <dxf>
      <font>
        <b/>
        <i val="0"/>
        <color theme="0"/>
      </font>
      <fill>
        <patternFill>
          <bgColor theme="8"/>
        </patternFill>
      </fill>
    </dxf>
    <dxf>
      <font>
        <b/>
        <i val="0"/>
        <color rgb="FF9C0006"/>
      </font>
      <fill>
        <patternFill>
          <bgColor theme="5"/>
        </patternFill>
      </fill>
    </dxf>
    <dxf>
      <font>
        <b/>
        <i val="0"/>
        <color theme="0"/>
        <name val="Cambria"/>
        <scheme val="none"/>
      </font>
      <fill>
        <patternFill>
          <bgColor theme="5"/>
        </patternFill>
      </fill>
    </dxf>
    <dxf>
      <font>
        <b/>
        <i val="0"/>
        <color rgb="FFFFC000"/>
      </font>
      <fill>
        <patternFill>
          <bgColor theme="5"/>
        </patternFill>
      </fill>
    </dxf>
    <dxf>
      <font>
        <b/>
        <i val="0"/>
        <color theme="0"/>
      </font>
      <fill>
        <patternFill>
          <bgColor theme="8"/>
        </patternFill>
      </fill>
    </dxf>
    <dxf>
      <font>
        <b/>
        <i val="0"/>
        <color theme="0"/>
      </font>
      <fill>
        <patternFill>
          <bgColor theme="8"/>
        </patternFill>
      </fill>
    </dxf>
    <dxf>
      <font>
        <b/>
        <i val="0"/>
        <color rgb="FF9C0006"/>
      </font>
      <fill>
        <patternFill>
          <bgColor theme="5"/>
        </patternFill>
      </fill>
    </dxf>
    <dxf>
      <font>
        <b/>
        <i val="0"/>
        <color theme="0"/>
        <name val="Cambria"/>
        <scheme val="none"/>
      </font>
      <fill>
        <patternFill>
          <bgColor theme="5"/>
        </patternFill>
      </fill>
    </dxf>
    <dxf>
      <font>
        <b/>
        <i val="0"/>
        <color rgb="FFFFC000"/>
      </font>
      <fill>
        <patternFill>
          <bgColor theme="5"/>
        </patternFill>
      </fill>
    </dxf>
    <dxf>
      <font>
        <b/>
        <i val="0"/>
        <color theme="0"/>
      </font>
      <fill>
        <patternFill>
          <bgColor theme="8"/>
        </patternFill>
      </fill>
    </dxf>
    <dxf>
      <font>
        <b/>
        <i val="0"/>
        <color theme="0"/>
      </font>
      <fill>
        <patternFill>
          <bgColor theme="8"/>
        </patternFill>
      </fill>
    </dxf>
    <dxf>
      <font>
        <b/>
        <i val="0"/>
        <color rgb="FF9C0006"/>
      </font>
      <fill>
        <patternFill>
          <bgColor theme="5"/>
        </patternFill>
      </fill>
    </dxf>
    <dxf>
      <font>
        <b/>
        <i val="0"/>
        <color theme="0"/>
        <name val="Cambria"/>
        <scheme val="none"/>
      </font>
      <fill>
        <patternFill>
          <bgColor theme="5"/>
        </patternFill>
      </fill>
    </dxf>
    <dxf>
      <font>
        <b/>
        <i val="0"/>
        <color rgb="FFFFC000"/>
      </font>
      <fill>
        <patternFill>
          <bgColor theme="5"/>
        </patternFill>
      </fill>
    </dxf>
    <dxf>
      <font>
        <b/>
        <i val="0"/>
        <color theme="0"/>
      </font>
      <fill>
        <patternFill>
          <bgColor theme="8"/>
        </patternFill>
      </fill>
    </dxf>
    <dxf>
      <font>
        <b/>
        <i val="0"/>
        <color theme="0"/>
      </font>
      <fill>
        <patternFill>
          <bgColor theme="8"/>
        </patternFill>
      </fill>
    </dxf>
    <dxf>
      <font>
        <b/>
        <i val="0"/>
        <color rgb="FF9C0006"/>
      </font>
      <fill>
        <patternFill>
          <bgColor theme="5"/>
        </patternFill>
      </fill>
    </dxf>
    <dxf>
      <font>
        <b/>
        <i val="0"/>
        <color theme="0"/>
        <name val="Cambria"/>
        <scheme val="none"/>
      </font>
      <fill>
        <patternFill>
          <bgColor theme="5"/>
        </patternFill>
      </fill>
    </dxf>
    <dxf>
      <font>
        <b/>
        <i val="0"/>
        <color rgb="FFFFC000"/>
      </font>
      <fill>
        <patternFill>
          <bgColor theme="5"/>
        </patternFill>
      </fill>
    </dxf>
    <dxf>
      <font>
        <b/>
        <i val="0"/>
        <color theme="0"/>
      </font>
      <fill>
        <patternFill>
          <bgColor theme="8"/>
        </patternFill>
      </fill>
    </dxf>
    <dxf>
      <font>
        <b/>
        <i val="0"/>
        <color theme="0"/>
      </font>
      <fill>
        <patternFill>
          <bgColor theme="8"/>
        </patternFill>
      </fill>
    </dxf>
    <dxf>
      <font>
        <b/>
        <i val="0"/>
        <color rgb="FF9C0006"/>
      </font>
      <fill>
        <patternFill>
          <bgColor theme="5"/>
        </patternFill>
      </fill>
    </dxf>
    <dxf>
      <font>
        <b/>
        <i val="0"/>
        <color theme="0"/>
        <name val="Cambria"/>
        <scheme val="none"/>
      </font>
      <fill>
        <patternFill>
          <bgColor theme="5"/>
        </patternFill>
      </fill>
    </dxf>
    <dxf>
      <font>
        <b/>
        <i val="0"/>
        <color rgb="FFFFC000"/>
      </font>
      <fill>
        <patternFill>
          <bgColor theme="5"/>
        </patternFill>
      </fill>
    </dxf>
    <dxf>
      <font>
        <b/>
        <i val="0"/>
        <color theme="0"/>
      </font>
      <fill>
        <patternFill>
          <bgColor theme="8"/>
        </patternFill>
      </fill>
    </dxf>
    <dxf>
      <font>
        <b/>
        <i val="0"/>
        <color theme="0"/>
      </font>
      <fill>
        <patternFill>
          <bgColor theme="8"/>
        </patternFill>
      </fill>
    </dxf>
    <dxf>
      <font>
        <b/>
        <i val="0"/>
        <color rgb="FF9C0006"/>
      </font>
      <fill>
        <patternFill>
          <bgColor theme="5"/>
        </patternFill>
      </fill>
    </dxf>
    <dxf>
      <font>
        <b/>
        <i val="0"/>
        <color theme="0"/>
        <name val="Cambria"/>
        <scheme val="none"/>
      </font>
      <fill>
        <patternFill>
          <bgColor theme="5"/>
        </patternFill>
      </fill>
    </dxf>
    <dxf>
      <font>
        <b/>
        <i val="0"/>
        <color rgb="FFFFC000"/>
      </font>
      <fill>
        <patternFill>
          <bgColor theme="5"/>
        </patternFill>
      </fill>
    </dxf>
    <dxf>
      <font>
        <b/>
        <i val="0"/>
        <color theme="0"/>
      </font>
      <fill>
        <patternFill>
          <bgColor theme="8"/>
        </patternFill>
      </fill>
    </dxf>
    <dxf>
      <font>
        <b/>
        <i val="0"/>
        <color theme="0"/>
      </font>
      <fill>
        <patternFill>
          <bgColor theme="8"/>
        </patternFill>
      </fill>
    </dxf>
    <dxf>
      <font>
        <b/>
        <i val="0"/>
        <color rgb="FF9C0006"/>
      </font>
      <fill>
        <patternFill>
          <bgColor theme="5"/>
        </patternFill>
      </fill>
    </dxf>
    <dxf>
      <font>
        <b/>
        <i val="0"/>
        <color theme="0"/>
        <name val="Cambria"/>
        <scheme val="none"/>
      </font>
      <fill>
        <patternFill>
          <bgColor theme="5"/>
        </patternFill>
      </fill>
    </dxf>
    <dxf>
      <font>
        <b/>
        <i val="0"/>
        <color rgb="FFFFC000"/>
      </font>
      <fill>
        <patternFill>
          <bgColor theme="5"/>
        </patternFill>
      </fill>
    </dxf>
    <dxf>
      <font>
        <b/>
        <i val="0"/>
        <color theme="0"/>
      </font>
      <fill>
        <patternFill>
          <bgColor theme="8"/>
        </patternFill>
      </fill>
    </dxf>
    <dxf>
      <font>
        <b/>
        <i val="0"/>
        <color theme="0"/>
      </font>
      <fill>
        <patternFill>
          <bgColor theme="8"/>
        </patternFill>
      </fill>
    </dxf>
    <dxf>
      <font>
        <b/>
        <i val="0"/>
        <color rgb="FF9C0006"/>
      </font>
      <fill>
        <patternFill>
          <bgColor theme="5"/>
        </patternFill>
      </fill>
    </dxf>
    <dxf>
      <font>
        <b/>
        <i val="0"/>
        <color theme="0"/>
        <name val="Cambria"/>
        <scheme val="none"/>
      </font>
      <fill>
        <patternFill>
          <bgColor theme="5"/>
        </patternFill>
      </fill>
    </dxf>
    <dxf>
      <font>
        <b/>
        <i val="0"/>
        <color rgb="FFFFC000"/>
      </font>
      <fill>
        <patternFill>
          <bgColor theme="5"/>
        </patternFill>
      </fill>
    </dxf>
    <dxf>
      <font>
        <b/>
        <i val="0"/>
        <color theme="0"/>
      </font>
      <fill>
        <patternFill>
          <bgColor theme="8"/>
        </patternFill>
      </fill>
    </dxf>
    <dxf>
      <font>
        <b/>
        <i val="0"/>
        <color theme="0"/>
      </font>
      <fill>
        <patternFill>
          <bgColor theme="8"/>
        </patternFill>
      </fill>
    </dxf>
    <dxf>
      <font>
        <b/>
        <i val="0"/>
        <color rgb="FF9C0006"/>
      </font>
      <fill>
        <patternFill>
          <bgColor theme="5"/>
        </patternFill>
      </fill>
    </dxf>
    <dxf>
      <font>
        <b/>
        <i val="0"/>
        <color theme="0"/>
        <name val="Cambria"/>
        <scheme val="none"/>
      </font>
      <fill>
        <patternFill>
          <bgColor theme="5"/>
        </patternFill>
      </fill>
    </dxf>
    <dxf>
      <font>
        <b/>
        <i val="0"/>
        <color rgb="FFFFC000"/>
      </font>
      <fill>
        <patternFill>
          <bgColor theme="5"/>
        </patternFill>
      </fill>
    </dxf>
    <dxf>
      <font>
        <b/>
        <i val="0"/>
        <color theme="0"/>
      </font>
      <fill>
        <patternFill>
          <bgColor theme="8"/>
        </patternFill>
      </fill>
    </dxf>
    <dxf>
      <font>
        <b/>
        <i val="0"/>
        <color theme="0"/>
      </font>
      <fill>
        <patternFill>
          <bgColor theme="8"/>
        </patternFill>
      </fill>
    </dxf>
    <dxf>
      <font>
        <b/>
        <i val="0"/>
        <color rgb="FF9C0006"/>
      </font>
      <fill>
        <patternFill>
          <bgColor theme="5"/>
        </patternFill>
      </fill>
    </dxf>
    <dxf>
      <font>
        <b/>
        <i val="0"/>
        <color theme="0"/>
        <name val="Cambria"/>
        <scheme val="none"/>
      </font>
      <fill>
        <patternFill>
          <bgColor theme="5"/>
        </patternFill>
      </fill>
    </dxf>
    <dxf>
      <font>
        <b/>
        <i val="0"/>
        <color rgb="FFFFC000"/>
      </font>
      <fill>
        <patternFill>
          <bgColor theme="5"/>
        </patternFill>
      </fill>
    </dxf>
    <dxf>
      <font>
        <b/>
        <i val="0"/>
        <color theme="0"/>
      </font>
      <fill>
        <patternFill>
          <bgColor theme="8"/>
        </patternFill>
      </fill>
    </dxf>
    <dxf>
      <font>
        <b/>
        <i val="0"/>
        <color theme="0"/>
      </font>
      <fill>
        <patternFill>
          <bgColor theme="8"/>
        </patternFill>
      </fill>
    </dxf>
    <dxf>
      <font>
        <b/>
        <i val="0"/>
        <color rgb="FF9C0006"/>
      </font>
      <fill>
        <patternFill>
          <bgColor theme="5"/>
        </patternFill>
      </fill>
    </dxf>
    <dxf>
      <font>
        <b/>
        <i val="0"/>
        <color theme="0"/>
        <name val="Cambria"/>
        <scheme val="none"/>
      </font>
      <fill>
        <patternFill>
          <bgColor theme="5"/>
        </patternFill>
      </fill>
    </dxf>
    <dxf>
      <font>
        <b/>
        <i val="0"/>
        <color rgb="FFFFC000"/>
      </font>
      <fill>
        <patternFill>
          <bgColor theme="5"/>
        </patternFill>
      </fill>
    </dxf>
    <dxf>
      <font>
        <b/>
        <i val="0"/>
        <color theme="0"/>
      </font>
      <fill>
        <patternFill>
          <bgColor theme="8"/>
        </patternFill>
      </fill>
    </dxf>
    <dxf>
      <font>
        <b/>
        <i val="0"/>
        <color theme="0"/>
      </font>
      <fill>
        <patternFill>
          <bgColor theme="8"/>
        </patternFill>
      </fill>
    </dxf>
    <dxf>
      <font>
        <b/>
        <i val="0"/>
        <color rgb="FF9C0006"/>
      </font>
      <fill>
        <patternFill>
          <bgColor theme="5"/>
        </patternFill>
      </fill>
    </dxf>
    <dxf>
      <font>
        <b/>
        <i val="0"/>
        <color theme="0"/>
        <name val="Cambria"/>
        <scheme val="none"/>
      </font>
      <fill>
        <patternFill>
          <bgColor theme="5"/>
        </patternFill>
      </fill>
    </dxf>
    <dxf>
      <font>
        <b/>
        <i val="0"/>
        <color rgb="FFFFC000"/>
      </font>
      <fill>
        <patternFill>
          <bgColor theme="5"/>
        </patternFill>
      </fill>
    </dxf>
    <dxf>
      <font>
        <b/>
        <i val="0"/>
        <color theme="0"/>
      </font>
      <fill>
        <patternFill>
          <bgColor theme="8"/>
        </patternFill>
      </fill>
    </dxf>
    <dxf>
      <font>
        <b/>
        <i val="0"/>
        <color theme="0"/>
      </font>
      <fill>
        <patternFill>
          <bgColor theme="8"/>
        </patternFill>
      </fill>
    </dxf>
    <dxf>
      <font>
        <b/>
        <i val="0"/>
        <color rgb="FF9C0006"/>
      </font>
      <fill>
        <patternFill>
          <bgColor theme="5"/>
        </patternFill>
      </fill>
    </dxf>
    <dxf>
      <font>
        <b/>
        <i val="0"/>
        <color theme="0"/>
        <name val="Cambria"/>
        <scheme val="none"/>
      </font>
      <fill>
        <patternFill>
          <bgColor theme="5"/>
        </patternFill>
      </fill>
    </dxf>
    <dxf>
      <font>
        <b/>
        <i val="0"/>
        <color rgb="FFFFC000"/>
      </font>
      <fill>
        <patternFill>
          <bgColor theme="5"/>
        </patternFill>
      </fill>
    </dxf>
    <dxf>
      <font>
        <b/>
        <i val="0"/>
        <color theme="0"/>
      </font>
      <fill>
        <patternFill>
          <bgColor theme="8"/>
        </patternFill>
      </fill>
    </dxf>
    <dxf>
      <font>
        <b/>
        <i val="0"/>
        <color theme="0"/>
      </font>
      <fill>
        <patternFill>
          <bgColor theme="8"/>
        </patternFill>
      </fill>
    </dxf>
    <dxf>
      <font>
        <b/>
        <i val="0"/>
        <color rgb="FF9C0006"/>
      </font>
      <fill>
        <patternFill>
          <bgColor theme="5"/>
        </patternFill>
      </fill>
    </dxf>
    <dxf>
      <font>
        <b/>
        <i val="0"/>
        <color theme="0"/>
        <name val="Cambria"/>
        <scheme val="none"/>
      </font>
      <fill>
        <patternFill>
          <bgColor theme="5"/>
        </patternFill>
      </fill>
    </dxf>
    <dxf>
      <font>
        <b/>
        <i val="0"/>
        <color rgb="FFFFC000"/>
      </font>
      <fill>
        <patternFill>
          <bgColor theme="5"/>
        </patternFill>
      </fill>
    </dxf>
    <dxf>
      <font>
        <b/>
        <i val="0"/>
        <color theme="0"/>
      </font>
      <fill>
        <patternFill>
          <bgColor theme="8"/>
        </patternFill>
      </fill>
    </dxf>
    <dxf>
      <font>
        <b/>
        <i val="0"/>
        <color theme="0"/>
      </font>
      <fill>
        <patternFill>
          <bgColor theme="8"/>
        </patternFill>
      </fill>
    </dxf>
    <dxf>
      <font>
        <b/>
        <i val="0"/>
        <color rgb="FF9C0006"/>
      </font>
      <fill>
        <patternFill>
          <bgColor theme="5"/>
        </patternFill>
      </fill>
    </dxf>
    <dxf>
      <font>
        <b/>
        <i val="0"/>
        <color theme="0"/>
        <name val="Cambria"/>
        <scheme val="none"/>
      </font>
      <fill>
        <patternFill>
          <bgColor theme="5"/>
        </patternFill>
      </fill>
    </dxf>
    <dxf>
      <font>
        <b/>
        <i val="0"/>
        <color rgb="FFFFC000"/>
      </font>
      <fill>
        <patternFill>
          <bgColor theme="5"/>
        </patternFill>
      </fill>
    </dxf>
    <dxf>
      <font>
        <b/>
        <i val="0"/>
        <color theme="0"/>
      </font>
      <fill>
        <patternFill>
          <bgColor theme="8"/>
        </patternFill>
      </fill>
    </dxf>
    <dxf>
      <font>
        <b/>
        <i val="0"/>
        <color theme="0"/>
      </font>
      <fill>
        <patternFill>
          <bgColor theme="8"/>
        </patternFill>
      </fill>
    </dxf>
    <dxf>
      <font>
        <b/>
        <i val="0"/>
        <color rgb="FF9C0006"/>
      </font>
      <fill>
        <patternFill>
          <bgColor theme="5"/>
        </patternFill>
      </fill>
    </dxf>
    <dxf>
      <font>
        <b/>
        <i val="0"/>
        <color theme="0"/>
        <name val="Cambria"/>
        <scheme val="none"/>
      </font>
      <fill>
        <patternFill>
          <bgColor theme="5"/>
        </patternFill>
      </fill>
    </dxf>
    <dxf>
      <font>
        <b/>
        <i val="0"/>
        <color rgb="FFFFC000"/>
      </font>
      <fill>
        <patternFill>
          <bgColor theme="5"/>
        </patternFill>
      </fill>
    </dxf>
    <dxf>
      <font>
        <b/>
        <i val="0"/>
        <color theme="0"/>
      </font>
      <fill>
        <patternFill>
          <bgColor theme="8"/>
        </patternFill>
      </fill>
    </dxf>
    <dxf>
      <font>
        <b/>
        <i val="0"/>
        <color theme="0"/>
      </font>
      <fill>
        <patternFill>
          <bgColor theme="8"/>
        </patternFill>
      </fill>
    </dxf>
    <dxf>
      <font>
        <b/>
        <i val="0"/>
        <color rgb="FF9C0006"/>
      </font>
      <fill>
        <patternFill>
          <bgColor theme="5"/>
        </patternFill>
      </fill>
    </dxf>
    <dxf>
      <font>
        <b/>
        <i val="0"/>
        <color theme="0"/>
        <name val="Cambria"/>
        <scheme val="none"/>
      </font>
      <fill>
        <patternFill>
          <bgColor theme="5"/>
        </patternFill>
      </fill>
    </dxf>
    <dxf>
      <font>
        <b/>
        <i val="0"/>
        <color rgb="FFFFC000"/>
      </font>
      <fill>
        <patternFill>
          <bgColor theme="5"/>
        </patternFill>
      </fill>
    </dxf>
    <dxf>
      <font>
        <b/>
        <i val="0"/>
        <color theme="0"/>
      </font>
      <fill>
        <patternFill>
          <bgColor theme="8"/>
        </patternFill>
      </fill>
    </dxf>
    <dxf>
      <font>
        <b/>
        <i val="0"/>
        <color theme="0"/>
      </font>
      <fill>
        <patternFill>
          <bgColor theme="8"/>
        </patternFill>
      </fill>
    </dxf>
    <dxf>
      <font>
        <b/>
        <i val="0"/>
        <color rgb="FF9C0006"/>
      </font>
      <fill>
        <patternFill>
          <bgColor theme="5"/>
        </patternFill>
      </fill>
    </dxf>
    <dxf>
      <font>
        <b/>
        <i val="0"/>
        <color theme="0"/>
        <name val="Cambria"/>
        <scheme val="none"/>
      </font>
      <fill>
        <patternFill>
          <bgColor theme="5"/>
        </patternFill>
      </fill>
    </dxf>
    <dxf>
      <font>
        <b/>
        <i val="0"/>
        <color rgb="FFFFC000"/>
      </font>
      <fill>
        <patternFill>
          <bgColor theme="5"/>
        </patternFill>
      </fill>
    </dxf>
    <dxf>
      <font>
        <b/>
        <i val="0"/>
        <color theme="0"/>
      </font>
      <fill>
        <patternFill>
          <bgColor theme="8"/>
        </patternFill>
      </fill>
    </dxf>
    <dxf>
      <font>
        <b/>
        <i val="0"/>
        <color theme="0"/>
      </font>
      <fill>
        <patternFill>
          <bgColor theme="8"/>
        </patternFill>
      </fill>
    </dxf>
    <dxf>
      <font>
        <b/>
        <i val="0"/>
        <color rgb="FF9C0006"/>
      </font>
      <fill>
        <patternFill>
          <bgColor theme="5"/>
        </patternFill>
      </fill>
    </dxf>
    <dxf>
      <font>
        <b/>
        <i val="0"/>
        <color theme="0"/>
        <name val="Cambria"/>
        <scheme val="none"/>
      </font>
      <fill>
        <patternFill>
          <bgColor theme="5"/>
        </patternFill>
      </fill>
    </dxf>
    <dxf>
      <font>
        <b/>
        <i val="0"/>
        <color rgb="FFFFC000"/>
      </font>
      <fill>
        <patternFill>
          <bgColor theme="5"/>
        </patternFill>
      </fill>
    </dxf>
    <dxf>
      <font>
        <b/>
        <i val="0"/>
        <color theme="0"/>
      </font>
      <fill>
        <patternFill>
          <bgColor theme="8"/>
        </patternFill>
      </fill>
    </dxf>
    <dxf>
      <font>
        <b/>
        <i val="0"/>
        <color theme="0"/>
      </font>
      <fill>
        <patternFill>
          <bgColor theme="8"/>
        </patternFill>
      </fill>
    </dxf>
    <dxf>
      <font>
        <b/>
        <i val="0"/>
        <color rgb="FF9C0006"/>
      </font>
      <fill>
        <patternFill>
          <bgColor theme="5"/>
        </patternFill>
      </fill>
    </dxf>
    <dxf>
      <font>
        <b/>
        <i val="0"/>
        <color theme="0"/>
        <name val="Cambria"/>
        <scheme val="none"/>
      </font>
      <fill>
        <patternFill>
          <bgColor theme="5"/>
        </patternFill>
      </fill>
    </dxf>
    <dxf>
      <font>
        <b/>
        <i val="0"/>
        <color rgb="FFFFC000"/>
      </font>
      <fill>
        <patternFill>
          <bgColor theme="5"/>
        </patternFill>
      </fill>
    </dxf>
    <dxf>
      <font>
        <b/>
        <i val="0"/>
        <color theme="0"/>
      </font>
      <fill>
        <patternFill>
          <bgColor theme="8"/>
        </patternFill>
      </fill>
    </dxf>
    <dxf>
      <font>
        <b/>
        <i val="0"/>
        <color theme="0"/>
      </font>
      <fill>
        <patternFill>
          <bgColor theme="8"/>
        </patternFill>
      </fill>
    </dxf>
    <dxf>
      <font>
        <b/>
        <i val="0"/>
        <color rgb="FF9C0006"/>
      </font>
      <fill>
        <patternFill>
          <bgColor theme="5"/>
        </patternFill>
      </fill>
    </dxf>
    <dxf>
      <font>
        <b/>
        <i val="0"/>
        <color theme="0"/>
        <name val="Cambria"/>
        <scheme val="none"/>
      </font>
      <fill>
        <patternFill>
          <bgColor theme="5"/>
        </patternFill>
      </fill>
    </dxf>
    <dxf>
      <font>
        <b/>
        <i val="0"/>
        <color rgb="FFFFC000"/>
      </font>
      <fill>
        <patternFill>
          <bgColor theme="5"/>
        </patternFill>
      </fill>
    </dxf>
    <dxf>
      <font>
        <b/>
        <i val="0"/>
        <color theme="0"/>
      </font>
      <fill>
        <patternFill>
          <bgColor theme="8"/>
        </patternFill>
      </fill>
    </dxf>
    <dxf>
      <font>
        <b/>
        <i val="0"/>
        <color theme="0"/>
      </font>
      <fill>
        <patternFill>
          <bgColor theme="8"/>
        </patternFill>
      </fill>
    </dxf>
    <dxf>
      <font>
        <b/>
        <i val="0"/>
        <color rgb="FF9C0006"/>
      </font>
      <fill>
        <patternFill>
          <bgColor theme="5"/>
        </patternFill>
      </fill>
    </dxf>
    <dxf>
      <font>
        <b/>
        <i val="0"/>
        <color theme="0"/>
        <name val="Cambria"/>
        <scheme val="none"/>
      </font>
      <fill>
        <patternFill>
          <bgColor theme="5"/>
        </patternFill>
      </fill>
    </dxf>
    <dxf>
      <font>
        <b/>
        <i val="0"/>
        <color rgb="FFFFC000"/>
      </font>
      <fill>
        <patternFill>
          <bgColor theme="5"/>
        </patternFill>
      </fill>
    </dxf>
    <dxf>
      <font>
        <b/>
        <i val="0"/>
        <color theme="0"/>
      </font>
      <fill>
        <patternFill>
          <bgColor theme="8"/>
        </patternFill>
      </fill>
    </dxf>
    <dxf>
      <font>
        <b/>
        <i val="0"/>
        <color theme="0"/>
      </font>
      <fill>
        <patternFill>
          <bgColor theme="8"/>
        </patternFill>
      </fill>
    </dxf>
    <dxf>
      <font>
        <b/>
        <i val="0"/>
        <color rgb="FF9C0006"/>
      </font>
      <fill>
        <patternFill>
          <bgColor theme="5"/>
        </patternFill>
      </fill>
    </dxf>
    <dxf>
      <font>
        <b/>
        <i val="0"/>
        <color theme="0"/>
        <name val="Cambria"/>
        <scheme val="none"/>
      </font>
      <fill>
        <patternFill>
          <bgColor theme="5"/>
        </patternFill>
      </fill>
    </dxf>
    <dxf>
      <font>
        <b/>
        <i val="0"/>
        <color rgb="FFFFC000"/>
      </font>
      <fill>
        <patternFill>
          <bgColor theme="5"/>
        </patternFill>
      </fill>
    </dxf>
    <dxf>
      <font>
        <b/>
        <i val="0"/>
        <color theme="0"/>
      </font>
      <fill>
        <patternFill>
          <bgColor theme="8"/>
        </patternFill>
      </fill>
    </dxf>
    <dxf>
      <font>
        <b/>
        <i val="0"/>
        <color theme="0"/>
      </font>
      <fill>
        <patternFill>
          <bgColor theme="8"/>
        </patternFill>
      </fill>
    </dxf>
    <dxf>
      <font>
        <b/>
        <i val="0"/>
        <color rgb="FF9C0006"/>
      </font>
      <fill>
        <patternFill>
          <bgColor theme="5"/>
        </patternFill>
      </fill>
    </dxf>
    <dxf>
      <font>
        <b/>
        <i val="0"/>
        <color theme="0"/>
        <name val="Cambria"/>
        <scheme val="none"/>
      </font>
      <fill>
        <patternFill>
          <bgColor theme="5"/>
        </patternFill>
      </fill>
    </dxf>
    <dxf>
      <font>
        <b/>
        <i val="0"/>
        <color rgb="FFFFC000"/>
      </font>
      <fill>
        <patternFill>
          <bgColor theme="5"/>
        </patternFill>
      </fill>
    </dxf>
    <dxf>
      <font>
        <b/>
        <i val="0"/>
        <color theme="0"/>
      </font>
      <fill>
        <patternFill>
          <bgColor theme="8"/>
        </patternFill>
      </fill>
    </dxf>
    <dxf>
      <font>
        <b/>
        <i val="0"/>
        <color theme="0"/>
      </font>
      <fill>
        <patternFill>
          <bgColor theme="8"/>
        </patternFill>
      </fill>
    </dxf>
    <dxf>
      <font>
        <b/>
        <i val="0"/>
        <color rgb="FF9C0006"/>
      </font>
      <fill>
        <patternFill>
          <bgColor theme="5"/>
        </patternFill>
      </fill>
    </dxf>
    <dxf>
      <font>
        <b/>
        <i val="0"/>
        <color theme="0"/>
        <name val="Cambria"/>
        <scheme val="none"/>
      </font>
      <fill>
        <patternFill>
          <bgColor theme="5"/>
        </patternFill>
      </fill>
    </dxf>
    <dxf>
      <font>
        <b/>
        <i val="0"/>
        <color rgb="FFFFC000"/>
      </font>
      <fill>
        <patternFill>
          <bgColor theme="5"/>
        </patternFill>
      </fill>
    </dxf>
    <dxf>
      <font>
        <b/>
        <i val="0"/>
        <color theme="0"/>
      </font>
      <fill>
        <patternFill>
          <bgColor theme="8"/>
        </patternFill>
      </fill>
    </dxf>
    <dxf>
      <font>
        <b/>
        <i val="0"/>
        <color theme="0"/>
      </font>
      <fill>
        <patternFill>
          <bgColor theme="8"/>
        </patternFill>
      </fill>
    </dxf>
    <dxf>
      <font>
        <b/>
        <i val="0"/>
        <color rgb="FF9C0006"/>
      </font>
      <fill>
        <patternFill>
          <bgColor theme="5"/>
        </patternFill>
      </fill>
    </dxf>
    <dxf>
      <font>
        <b/>
        <i val="0"/>
        <color theme="0"/>
        <name val="Cambria"/>
        <scheme val="none"/>
      </font>
      <fill>
        <patternFill>
          <bgColor theme="5"/>
        </patternFill>
      </fill>
    </dxf>
    <dxf>
      <font>
        <b/>
        <i val="0"/>
        <color rgb="FFFFC000"/>
      </font>
      <fill>
        <patternFill>
          <bgColor theme="5"/>
        </patternFill>
      </fill>
    </dxf>
    <dxf>
      <font>
        <b/>
        <i val="0"/>
        <color theme="0"/>
      </font>
      <fill>
        <patternFill>
          <bgColor theme="8"/>
        </patternFill>
      </fill>
    </dxf>
    <dxf>
      <font>
        <b/>
        <i val="0"/>
        <color theme="0"/>
      </font>
      <fill>
        <patternFill>
          <bgColor theme="8"/>
        </patternFill>
      </fill>
    </dxf>
    <dxf>
      <font>
        <b/>
        <i val="0"/>
        <color rgb="FF9C0006"/>
      </font>
      <fill>
        <patternFill>
          <bgColor theme="5"/>
        </patternFill>
      </fill>
    </dxf>
    <dxf>
      <font>
        <b/>
        <i val="0"/>
        <color theme="0"/>
        <name val="Cambria"/>
        <scheme val="none"/>
      </font>
      <fill>
        <patternFill>
          <bgColor theme="5"/>
        </patternFill>
      </fill>
    </dxf>
    <dxf>
      <font>
        <b/>
        <i val="0"/>
        <color rgb="FFFFC000"/>
      </font>
      <fill>
        <patternFill>
          <bgColor theme="5"/>
        </patternFill>
      </fill>
    </dxf>
    <dxf>
      <font>
        <b/>
        <i val="0"/>
        <color theme="0"/>
      </font>
      <fill>
        <patternFill>
          <bgColor theme="8"/>
        </patternFill>
      </fill>
    </dxf>
    <dxf>
      <font>
        <b/>
        <i val="0"/>
        <color theme="0"/>
      </font>
      <fill>
        <patternFill>
          <bgColor theme="8"/>
        </patternFill>
      </fill>
    </dxf>
    <dxf>
      <font>
        <b/>
        <i val="0"/>
        <color rgb="FF9C0006"/>
      </font>
      <fill>
        <patternFill>
          <bgColor theme="5"/>
        </patternFill>
      </fill>
    </dxf>
    <dxf>
      <font>
        <b/>
        <i val="0"/>
        <color theme="0"/>
        <name val="Cambria"/>
        <scheme val="none"/>
      </font>
      <fill>
        <patternFill>
          <bgColor theme="5"/>
        </patternFill>
      </fill>
    </dxf>
    <dxf>
      <font>
        <b/>
        <i val="0"/>
        <color rgb="FFFFC000"/>
      </font>
      <fill>
        <patternFill>
          <bgColor theme="5"/>
        </patternFill>
      </fill>
    </dxf>
    <dxf>
      <font>
        <b/>
        <i val="0"/>
        <color theme="0"/>
      </font>
      <fill>
        <patternFill>
          <bgColor theme="8"/>
        </patternFill>
      </fill>
    </dxf>
    <dxf>
      <font>
        <b/>
        <i val="0"/>
        <color theme="0"/>
      </font>
      <fill>
        <patternFill>
          <bgColor theme="8"/>
        </patternFill>
      </fill>
    </dxf>
    <dxf>
      <font>
        <b/>
        <i val="0"/>
        <color rgb="FF9C0006"/>
      </font>
      <fill>
        <patternFill>
          <bgColor theme="5"/>
        </patternFill>
      </fill>
    </dxf>
    <dxf>
      <font>
        <b/>
        <i val="0"/>
        <color theme="0"/>
        <name val="Cambria"/>
        <scheme val="none"/>
      </font>
      <fill>
        <patternFill>
          <bgColor theme="5"/>
        </patternFill>
      </fill>
    </dxf>
    <dxf>
      <font>
        <b/>
        <i val="0"/>
        <color rgb="FFFFC000"/>
      </font>
      <fill>
        <patternFill>
          <bgColor theme="5"/>
        </patternFill>
      </fill>
    </dxf>
    <dxf>
      <font>
        <b/>
        <i val="0"/>
        <color theme="0"/>
      </font>
      <fill>
        <patternFill>
          <bgColor theme="8"/>
        </patternFill>
      </fill>
    </dxf>
    <dxf>
      <font>
        <b/>
        <i val="0"/>
        <color theme="0"/>
      </font>
      <fill>
        <patternFill>
          <bgColor theme="8"/>
        </patternFill>
      </fill>
    </dxf>
    <dxf>
      <font>
        <b/>
        <i val="0"/>
        <color rgb="FF9C0006"/>
      </font>
      <fill>
        <patternFill>
          <bgColor theme="5"/>
        </patternFill>
      </fill>
    </dxf>
    <dxf>
      <font>
        <b/>
        <i val="0"/>
        <color theme="0"/>
        <name val="Cambria"/>
        <scheme val="none"/>
      </font>
      <fill>
        <patternFill>
          <bgColor theme="5"/>
        </patternFill>
      </fill>
    </dxf>
    <dxf>
      <font>
        <b/>
        <i val="0"/>
        <color rgb="FFFFC000"/>
      </font>
      <fill>
        <patternFill>
          <bgColor theme="5"/>
        </patternFill>
      </fill>
    </dxf>
    <dxf>
      <font>
        <b/>
        <i val="0"/>
        <color theme="0"/>
      </font>
      <fill>
        <patternFill>
          <bgColor theme="8"/>
        </patternFill>
      </fill>
    </dxf>
    <dxf>
      <font>
        <b/>
        <i val="0"/>
        <color theme="0"/>
      </font>
      <fill>
        <patternFill>
          <bgColor theme="8"/>
        </patternFill>
      </fill>
    </dxf>
    <dxf>
      <font>
        <b/>
        <i val="0"/>
        <color rgb="FF9C0006"/>
      </font>
      <fill>
        <patternFill>
          <bgColor theme="5"/>
        </patternFill>
      </fill>
    </dxf>
    <dxf>
      <font>
        <b/>
        <i val="0"/>
        <color theme="0"/>
        <name val="Cambria"/>
        <scheme val="none"/>
      </font>
      <fill>
        <patternFill>
          <bgColor theme="5"/>
        </patternFill>
      </fill>
    </dxf>
    <dxf>
      <font>
        <b/>
        <i val="0"/>
        <color rgb="FFFFC000"/>
      </font>
      <fill>
        <patternFill>
          <bgColor theme="5"/>
        </patternFill>
      </fill>
    </dxf>
    <dxf>
      <font>
        <b/>
        <i val="0"/>
        <color theme="0"/>
      </font>
      <fill>
        <patternFill>
          <bgColor theme="8"/>
        </patternFill>
      </fill>
    </dxf>
    <dxf>
      <font>
        <b/>
        <i val="0"/>
        <color theme="0"/>
      </font>
      <fill>
        <patternFill>
          <bgColor theme="8"/>
        </patternFill>
      </fill>
    </dxf>
    <dxf>
      <font>
        <b/>
        <i val="0"/>
        <color rgb="FF9C0006"/>
      </font>
      <fill>
        <patternFill>
          <bgColor theme="5"/>
        </patternFill>
      </fill>
    </dxf>
    <dxf>
      <font>
        <b/>
        <i val="0"/>
        <color theme="0"/>
        <name val="Cambria"/>
        <scheme val="none"/>
      </font>
      <fill>
        <patternFill>
          <bgColor theme="5"/>
        </patternFill>
      </fill>
    </dxf>
    <dxf>
      <font>
        <b/>
        <i val="0"/>
        <color rgb="FFFFC000"/>
      </font>
      <fill>
        <patternFill>
          <bgColor theme="5"/>
        </patternFill>
      </fill>
    </dxf>
    <dxf>
      <font>
        <b/>
        <i val="0"/>
        <color theme="0"/>
      </font>
      <fill>
        <patternFill>
          <bgColor theme="8"/>
        </patternFill>
      </fill>
    </dxf>
    <dxf>
      <font>
        <b/>
        <i val="0"/>
        <color theme="0"/>
      </font>
      <fill>
        <patternFill>
          <bgColor theme="8"/>
        </patternFill>
      </fill>
    </dxf>
    <dxf>
      <font>
        <b/>
        <i val="0"/>
        <color rgb="FF9C0006"/>
      </font>
      <fill>
        <patternFill>
          <bgColor theme="5"/>
        </patternFill>
      </fill>
    </dxf>
    <dxf>
      <font>
        <b/>
        <i val="0"/>
        <color theme="0"/>
        <name val="Cambria"/>
        <scheme val="none"/>
      </font>
      <fill>
        <patternFill>
          <bgColor theme="5"/>
        </patternFill>
      </fill>
    </dxf>
    <dxf>
      <font>
        <b/>
        <i val="0"/>
        <color rgb="FFFFC000"/>
      </font>
      <fill>
        <patternFill>
          <bgColor theme="5"/>
        </patternFill>
      </fill>
    </dxf>
    <dxf>
      <font>
        <b/>
        <i val="0"/>
        <color theme="0"/>
      </font>
      <fill>
        <patternFill>
          <bgColor theme="8"/>
        </patternFill>
      </fill>
    </dxf>
    <dxf>
      <font>
        <b/>
        <i val="0"/>
        <color theme="0"/>
      </font>
      <fill>
        <patternFill>
          <bgColor theme="8"/>
        </patternFill>
      </fill>
    </dxf>
    <dxf>
      <font>
        <b/>
        <i val="0"/>
        <color rgb="FF9C0006"/>
      </font>
      <fill>
        <patternFill>
          <bgColor theme="5"/>
        </patternFill>
      </fill>
    </dxf>
    <dxf>
      <font>
        <b/>
        <i val="0"/>
        <color theme="0"/>
        <name val="Cambria"/>
        <scheme val="none"/>
      </font>
      <fill>
        <patternFill>
          <bgColor theme="5"/>
        </patternFill>
      </fill>
    </dxf>
    <dxf>
      <font>
        <b/>
        <i val="0"/>
        <color rgb="FFFFC000"/>
      </font>
      <fill>
        <patternFill>
          <bgColor theme="5"/>
        </patternFill>
      </fill>
    </dxf>
    <dxf>
      <font>
        <b/>
        <i val="0"/>
        <color theme="0"/>
      </font>
      <fill>
        <patternFill>
          <bgColor theme="8"/>
        </patternFill>
      </fill>
    </dxf>
    <dxf>
      <font>
        <b/>
        <i val="0"/>
        <color theme="0"/>
      </font>
      <fill>
        <patternFill>
          <bgColor theme="8"/>
        </patternFill>
      </fill>
    </dxf>
    <dxf>
      <font>
        <b/>
        <i val="0"/>
        <color rgb="FF9C0006"/>
      </font>
      <fill>
        <patternFill>
          <bgColor theme="5"/>
        </patternFill>
      </fill>
    </dxf>
    <dxf>
      <font>
        <b/>
        <i val="0"/>
        <color theme="0"/>
        <name val="Cambria"/>
        <scheme val="none"/>
      </font>
      <fill>
        <patternFill>
          <bgColor theme="5"/>
        </patternFill>
      </fill>
    </dxf>
    <dxf>
      <font>
        <b/>
        <i val="0"/>
        <color rgb="FFFFC000"/>
      </font>
      <fill>
        <patternFill>
          <bgColor theme="5"/>
        </patternFill>
      </fill>
    </dxf>
    <dxf>
      <font>
        <b/>
        <i val="0"/>
        <color theme="0"/>
      </font>
      <fill>
        <patternFill>
          <bgColor theme="8"/>
        </patternFill>
      </fill>
    </dxf>
    <dxf>
      <font>
        <b/>
        <i val="0"/>
        <color theme="0"/>
      </font>
      <fill>
        <patternFill>
          <bgColor theme="8"/>
        </patternFill>
      </fill>
    </dxf>
    <dxf>
      <font>
        <b/>
        <i val="0"/>
        <color rgb="FF9C0006"/>
      </font>
      <fill>
        <patternFill>
          <bgColor theme="5"/>
        </patternFill>
      </fill>
    </dxf>
    <dxf>
      <font>
        <b/>
        <i val="0"/>
        <color theme="0"/>
        <name val="Cambria"/>
        <scheme val="none"/>
      </font>
      <fill>
        <patternFill>
          <bgColor theme="5"/>
        </patternFill>
      </fill>
    </dxf>
    <dxf>
      <font>
        <b/>
        <i val="0"/>
        <color rgb="FFFFC000"/>
      </font>
      <fill>
        <patternFill>
          <bgColor theme="5"/>
        </patternFill>
      </fill>
    </dxf>
    <dxf>
      <font>
        <b/>
        <i val="0"/>
        <color theme="0"/>
      </font>
      <fill>
        <patternFill>
          <bgColor theme="8"/>
        </patternFill>
      </fill>
    </dxf>
    <dxf>
      <font>
        <b/>
        <i val="0"/>
        <color theme="0"/>
      </font>
      <fill>
        <patternFill>
          <bgColor theme="8"/>
        </patternFill>
      </fill>
    </dxf>
    <dxf>
      <font>
        <b/>
        <i val="0"/>
        <color rgb="FF9C0006"/>
      </font>
      <fill>
        <patternFill>
          <bgColor theme="5"/>
        </patternFill>
      </fill>
    </dxf>
    <dxf>
      <font>
        <b/>
        <i val="0"/>
        <color theme="0"/>
        <name val="Cambria"/>
        <scheme val="none"/>
      </font>
      <fill>
        <patternFill>
          <bgColor theme="5"/>
        </patternFill>
      </fill>
    </dxf>
    <dxf>
      <font>
        <b/>
        <i val="0"/>
        <color rgb="FFFFC000"/>
      </font>
      <fill>
        <patternFill>
          <bgColor theme="5"/>
        </patternFill>
      </fill>
    </dxf>
    <dxf>
      <font>
        <b/>
        <i val="0"/>
        <color theme="0"/>
      </font>
      <fill>
        <patternFill>
          <bgColor theme="8"/>
        </patternFill>
      </fill>
    </dxf>
    <dxf>
      <font>
        <b/>
        <i val="0"/>
        <color theme="0"/>
      </font>
      <fill>
        <patternFill>
          <bgColor theme="8"/>
        </patternFill>
      </fill>
    </dxf>
    <dxf>
      <font>
        <b/>
        <i val="0"/>
        <color rgb="FF9C0006"/>
      </font>
      <fill>
        <patternFill>
          <bgColor theme="5"/>
        </patternFill>
      </fill>
    </dxf>
    <dxf>
      <font>
        <b/>
        <i val="0"/>
        <color theme="0"/>
        <name val="Cambria"/>
        <scheme val="none"/>
      </font>
      <fill>
        <patternFill>
          <bgColor theme="5"/>
        </patternFill>
      </fill>
    </dxf>
    <dxf>
      <font>
        <b/>
        <i val="0"/>
        <color rgb="FFFFC000"/>
      </font>
      <fill>
        <patternFill>
          <bgColor theme="5"/>
        </patternFill>
      </fill>
    </dxf>
    <dxf>
      <font>
        <b/>
        <i val="0"/>
        <color theme="0"/>
      </font>
      <fill>
        <patternFill>
          <bgColor theme="8"/>
        </patternFill>
      </fill>
    </dxf>
    <dxf>
      <font>
        <b/>
        <i val="0"/>
        <color theme="0"/>
      </font>
      <fill>
        <patternFill>
          <bgColor theme="8"/>
        </patternFill>
      </fill>
    </dxf>
    <dxf>
      <font>
        <b/>
        <i val="0"/>
        <color rgb="FF9C0006"/>
      </font>
      <fill>
        <patternFill>
          <bgColor theme="5"/>
        </patternFill>
      </fill>
    </dxf>
    <dxf>
      <font>
        <b/>
        <i val="0"/>
        <color theme="0"/>
        <name val="Cambria"/>
        <scheme val="none"/>
      </font>
      <fill>
        <patternFill>
          <bgColor theme="5"/>
        </patternFill>
      </fill>
    </dxf>
    <dxf>
      <font>
        <b/>
        <i val="0"/>
        <color rgb="FFFFC000"/>
      </font>
      <fill>
        <patternFill>
          <bgColor theme="5"/>
        </patternFill>
      </fill>
    </dxf>
    <dxf>
      <font>
        <b/>
        <i val="0"/>
        <color theme="0"/>
      </font>
      <fill>
        <patternFill>
          <bgColor theme="8"/>
        </patternFill>
      </fill>
    </dxf>
    <dxf>
      <font>
        <b/>
        <i val="0"/>
        <color theme="0"/>
      </font>
      <fill>
        <patternFill>
          <bgColor theme="8"/>
        </patternFill>
      </fill>
    </dxf>
    <dxf>
      <font>
        <b/>
        <i val="0"/>
        <color rgb="FF9C0006"/>
      </font>
      <fill>
        <patternFill>
          <bgColor theme="5"/>
        </patternFill>
      </fill>
    </dxf>
    <dxf>
      <font>
        <b/>
        <i val="0"/>
        <color theme="0"/>
        <name val="Cambria"/>
        <scheme val="none"/>
      </font>
      <fill>
        <patternFill>
          <bgColor theme="5"/>
        </patternFill>
      </fill>
    </dxf>
    <dxf>
      <font>
        <b/>
        <i val="0"/>
        <color rgb="FFFFC000"/>
      </font>
      <fill>
        <patternFill>
          <bgColor theme="5"/>
        </patternFill>
      </fill>
    </dxf>
    <dxf>
      <font>
        <b/>
        <i val="0"/>
        <color theme="0"/>
      </font>
      <fill>
        <patternFill>
          <bgColor theme="8"/>
        </patternFill>
      </fill>
    </dxf>
    <dxf>
      <font>
        <b/>
        <i val="0"/>
        <color theme="0"/>
      </font>
      <fill>
        <patternFill>
          <bgColor theme="8"/>
        </patternFill>
      </fill>
    </dxf>
    <dxf>
      <font>
        <b/>
        <i val="0"/>
        <color rgb="FF9C0006"/>
      </font>
      <fill>
        <patternFill>
          <bgColor theme="5"/>
        </patternFill>
      </fill>
    </dxf>
    <dxf>
      <font>
        <b/>
        <i val="0"/>
        <color theme="0"/>
        <name val="Cambria"/>
        <scheme val="none"/>
      </font>
      <fill>
        <patternFill>
          <bgColor theme="5"/>
        </patternFill>
      </fill>
    </dxf>
    <dxf>
      <font>
        <b/>
        <i val="0"/>
        <color rgb="FFFFC000"/>
      </font>
      <fill>
        <patternFill>
          <bgColor theme="5"/>
        </patternFill>
      </fill>
    </dxf>
    <dxf>
      <font>
        <b/>
        <i val="0"/>
        <color theme="0"/>
      </font>
      <fill>
        <patternFill>
          <bgColor theme="8"/>
        </patternFill>
      </fill>
    </dxf>
    <dxf>
      <font>
        <b/>
        <i val="0"/>
        <color theme="0"/>
      </font>
      <fill>
        <patternFill>
          <bgColor theme="8"/>
        </patternFill>
      </fill>
    </dxf>
    <dxf>
      <font>
        <b/>
        <i val="0"/>
        <color rgb="FF9C0006"/>
      </font>
      <fill>
        <patternFill>
          <bgColor theme="5"/>
        </patternFill>
      </fill>
    </dxf>
    <dxf>
      <font>
        <b/>
        <i val="0"/>
        <color theme="0"/>
        <name val="Cambria"/>
        <scheme val="none"/>
      </font>
      <fill>
        <patternFill>
          <bgColor theme="5"/>
        </patternFill>
      </fill>
    </dxf>
    <dxf>
      <font>
        <b/>
        <i val="0"/>
        <color rgb="FFFFC000"/>
      </font>
      <fill>
        <patternFill>
          <bgColor theme="5"/>
        </patternFill>
      </fill>
    </dxf>
    <dxf>
      <font>
        <b/>
        <i val="0"/>
        <color theme="0"/>
      </font>
      <fill>
        <patternFill>
          <bgColor theme="8"/>
        </patternFill>
      </fill>
    </dxf>
    <dxf>
      <font>
        <b/>
        <i val="0"/>
        <color theme="0"/>
      </font>
      <fill>
        <patternFill>
          <bgColor theme="8"/>
        </patternFill>
      </fill>
    </dxf>
    <dxf>
      <font>
        <b/>
        <i val="0"/>
        <color rgb="FF9C0006"/>
      </font>
      <fill>
        <patternFill>
          <bgColor theme="5"/>
        </patternFill>
      </fill>
    </dxf>
    <dxf>
      <font>
        <b/>
        <i val="0"/>
        <color theme="0"/>
        <name val="Cambria"/>
        <scheme val="none"/>
      </font>
      <fill>
        <patternFill>
          <bgColor theme="5"/>
        </patternFill>
      </fill>
    </dxf>
    <dxf>
      <font>
        <b/>
        <i val="0"/>
        <color rgb="FFFFC000"/>
      </font>
      <fill>
        <patternFill>
          <bgColor theme="5"/>
        </patternFill>
      </fill>
    </dxf>
    <dxf>
      <font>
        <b/>
        <i val="0"/>
        <color theme="0"/>
      </font>
      <fill>
        <patternFill>
          <bgColor theme="8"/>
        </patternFill>
      </fill>
    </dxf>
    <dxf>
      <font>
        <b/>
        <i val="0"/>
        <color theme="0"/>
      </font>
      <fill>
        <patternFill>
          <bgColor theme="8"/>
        </patternFill>
      </fill>
    </dxf>
    <dxf>
      <font>
        <b/>
        <i val="0"/>
        <color rgb="FF9C0006"/>
      </font>
      <fill>
        <patternFill>
          <bgColor theme="5"/>
        </patternFill>
      </fill>
    </dxf>
    <dxf>
      <font>
        <b/>
        <i val="0"/>
        <color theme="0"/>
        <name val="Cambria"/>
        <scheme val="none"/>
      </font>
      <fill>
        <patternFill>
          <bgColor theme="5"/>
        </patternFill>
      </fill>
    </dxf>
    <dxf>
      <font>
        <b/>
        <i val="0"/>
        <color rgb="FFFFC000"/>
      </font>
      <fill>
        <patternFill>
          <bgColor theme="5"/>
        </patternFill>
      </fill>
    </dxf>
    <dxf>
      <font>
        <b/>
        <i val="0"/>
        <color theme="0"/>
      </font>
      <fill>
        <patternFill>
          <bgColor theme="8"/>
        </patternFill>
      </fill>
    </dxf>
    <dxf>
      <font>
        <b/>
        <i val="0"/>
        <color theme="0"/>
      </font>
      <fill>
        <patternFill>
          <bgColor theme="8"/>
        </patternFill>
      </fill>
    </dxf>
    <dxf>
      <font>
        <b/>
        <i val="0"/>
        <color rgb="FF9C0006"/>
      </font>
      <fill>
        <patternFill>
          <bgColor theme="5"/>
        </patternFill>
      </fill>
    </dxf>
    <dxf>
      <font>
        <b/>
        <i val="0"/>
        <color theme="0"/>
        <name val="Cambria"/>
        <scheme val="none"/>
      </font>
      <fill>
        <patternFill>
          <bgColor theme="5"/>
        </patternFill>
      </fill>
    </dxf>
    <dxf>
      <font>
        <b/>
        <i val="0"/>
        <color rgb="FFFFC000"/>
      </font>
      <fill>
        <patternFill>
          <bgColor theme="5"/>
        </patternFill>
      </fill>
    </dxf>
    <dxf>
      <font>
        <b/>
        <i val="0"/>
        <color theme="0"/>
      </font>
      <fill>
        <patternFill>
          <bgColor theme="8"/>
        </patternFill>
      </fill>
    </dxf>
    <dxf>
      <font>
        <b/>
        <i val="0"/>
        <color theme="0"/>
      </font>
      <fill>
        <patternFill>
          <bgColor theme="8"/>
        </patternFill>
      </fill>
    </dxf>
    <dxf>
      <font>
        <b/>
        <i val="0"/>
        <color rgb="FF9C0006"/>
      </font>
      <fill>
        <patternFill>
          <bgColor theme="5"/>
        </patternFill>
      </fill>
    </dxf>
    <dxf>
      <font>
        <b/>
        <i val="0"/>
        <color theme="0"/>
        <name val="Cambria"/>
        <scheme val="none"/>
      </font>
      <fill>
        <patternFill>
          <bgColor theme="5"/>
        </patternFill>
      </fill>
    </dxf>
    <dxf>
      <font>
        <b/>
        <i val="0"/>
        <color rgb="FFFFC000"/>
      </font>
      <fill>
        <patternFill>
          <bgColor theme="5"/>
        </patternFill>
      </fill>
    </dxf>
    <dxf>
      <font>
        <b/>
        <i val="0"/>
        <color theme="0"/>
      </font>
      <fill>
        <patternFill>
          <bgColor theme="8"/>
        </patternFill>
      </fill>
    </dxf>
    <dxf>
      <font>
        <b/>
        <i val="0"/>
        <color theme="0"/>
      </font>
      <fill>
        <patternFill>
          <bgColor theme="8"/>
        </patternFill>
      </fill>
    </dxf>
    <dxf>
      <font>
        <b/>
        <i val="0"/>
        <color rgb="FF9C0006"/>
      </font>
      <fill>
        <patternFill>
          <bgColor theme="5"/>
        </patternFill>
      </fill>
    </dxf>
    <dxf>
      <font>
        <b/>
        <i val="0"/>
        <color theme="0"/>
        <name val="Cambria"/>
        <scheme val="none"/>
      </font>
      <fill>
        <patternFill>
          <bgColor theme="5"/>
        </patternFill>
      </fill>
    </dxf>
    <dxf>
      <font>
        <b/>
        <i val="0"/>
        <color rgb="FFFFC000"/>
      </font>
      <fill>
        <patternFill>
          <bgColor theme="5"/>
        </patternFill>
      </fill>
    </dxf>
    <dxf>
      <font>
        <b/>
        <i val="0"/>
        <color theme="0"/>
      </font>
      <fill>
        <patternFill>
          <bgColor theme="8"/>
        </patternFill>
      </fill>
    </dxf>
    <dxf>
      <font>
        <b/>
        <i val="0"/>
        <color theme="0"/>
      </font>
      <fill>
        <patternFill>
          <bgColor theme="8"/>
        </patternFill>
      </fill>
    </dxf>
    <dxf>
      <font>
        <b/>
        <i val="0"/>
        <color rgb="FF9C0006"/>
      </font>
      <fill>
        <patternFill>
          <bgColor theme="5"/>
        </patternFill>
      </fill>
    </dxf>
    <dxf>
      <font>
        <b/>
        <i val="0"/>
        <color theme="0"/>
        <name val="Cambria"/>
        <scheme val="none"/>
      </font>
      <fill>
        <patternFill>
          <bgColor theme="5"/>
        </patternFill>
      </fill>
    </dxf>
    <dxf>
      <font>
        <b/>
        <i val="0"/>
        <color rgb="FFFFC000"/>
      </font>
      <fill>
        <patternFill>
          <bgColor theme="5"/>
        </patternFill>
      </fill>
    </dxf>
    <dxf>
      <font>
        <b/>
        <i val="0"/>
        <color theme="0"/>
      </font>
      <fill>
        <patternFill>
          <bgColor theme="8"/>
        </patternFill>
      </fill>
    </dxf>
    <dxf>
      <font>
        <b/>
        <i val="0"/>
        <color theme="0"/>
      </font>
      <fill>
        <patternFill>
          <bgColor theme="8"/>
        </patternFill>
      </fill>
    </dxf>
    <dxf>
      <font>
        <b/>
        <i val="0"/>
        <color rgb="FF9C0006"/>
      </font>
      <fill>
        <patternFill>
          <bgColor theme="5"/>
        </patternFill>
      </fill>
    </dxf>
    <dxf>
      <font>
        <b/>
        <i val="0"/>
        <color theme="0"/>
        <name val="Cambria"/>
        <scheme val="none"/>
      </font>
      <fill>
        <patternFill>
          <bgColor theme="5"/>
        </patternFill>
      </fill>
    </dxf>
    <dxf>
      <font>
        <b/>
        <i val="0"/>
        <color rgb="FFFFC000"/>
      </font>
      <fill>
        <patternFill>
          <bgColor theme="5"/>
        </patternFill>
      </fill>
    </dxf>
    <dxf>
      <font>
        <b/>
        <i val="0"/>
        <color theme="0"/>
      </font>
      <fill>
        <patternFill>
          <bgColor theme="8"/>
        </patternFill>
      </fill>
    </dxf>
    <dxf>
      <font>
        <b/>
        <i val="0"/>
        <color theme="0"/>
      </font>
      <fill>
        <patternFill>
          <bgColor theme="8"/>
        </patternFill>
      </fill>
    </dxf>
    <dxf>
      <font>
        <b/>
        <i val="0"/>
        <color rgb="FF9C0006"/>
      </font>
      <fill>
        <patternFill>
          <bgColor theme="5"/>
        </patternFill>
      </fill>
    </dxf>
    <dxf>
      <font>
        <b/>
        <i val="0"/>
        <color theme="0"/>
        <name val="Cambria"/>
        <scheme val="none"/>
      </font>
      <fill>
        <patternFill>
          <bgColor theme="5"/>
        </patternFill>
      </fill>
    </dxf>
    <dxf>
      <font>
        <b/>
        <i val="0"/>
        <color rgb="FFFFC000"/>
      </font>
      <fill>
        <patternFill>
          <bgColor theme="5"/>
        </patternFill>
      </fill>
    </dxf>
    <dxf>
      <font>
        <b/>
        <i val="0"/>
        <color theme="0"/>
      </font>
      <fill>
        <patternFill>
          <bgColor theme="8"/>
        </patternFill>
      </fill>
    </dxf>
    <dxf>
      <font>
        <b/>
        <i val="0"/>
        <color theme="0"/>
      </font>
      <fill>
        <patternFill>
          <bgColor theme="8"/>
        </patternFill>
      </fill>
    </dxf>
    <dxf>
      <font>
        <b/>
        <i val="0"/>
        <color rgb="FF9C0006"/>
      </font>
      <fill>
        <patternFill>
          <bgColor theme="5"/>
        </patternFill>
      </fill>
    </dxf>
    <dxf>
      <font>
        <b/>
        <i val="0"/>
        <color theme="0"/>
        <name val="Cambria"/>
        <scheme val="none"/>
      </font>
      <fill>
        <patternFill>
          <bgColor theme="5"/>
        </patternFill>
      </fill>
    </dxf>
    <dxf>
      <font>
        <b/>
        <i val="0"/>
        <color rgb="FFFFC000"/>
      </font>
      <fill>
        <patternFill>
          <bgColor theme="5"/>
        </patternFill>
      </fill>
    </dxf>
    <dxf>
      <font>
        <b/>
        <i val="0"/>
        <color theme="0"/>
      </font>
      <fill>
        <patternFill>
          <bgColor theme="8"/>
        </patternFill>
      </fill>
    </dxf>
    <dxf>
      <font>
        <b/>
        <i val="0"/>
        <color theme="0"/>
      </font>
      <fill>
        <patternFill>
          <bgColor theme="8"/>
        </patternFill>
      </fill>
    </dxf>
    <dxf>
      <font>
        <b/>
        <i val="0"/>
        <color rgb="FF9C0006"/>
      </font>
      <fill>
        <patternFill>
          <bgColor theme="5"/>
        </patternFill>
      </fill>
    </dxf>
    <dxf>
      <font>
        <b/>
        <i val="0"/>
        <color theme="0"/>
        <name val="Cambria"/>
        <scheme val="none"/>
      </font>
      <fill>
        <patternFill>
          <bgColor theme="5"/>
        </patternFill>
      </fill>
    </dxf>
    <dxf>
      <font>
        <b/>
        <i val="0"/>
        <color rgb="FFFFC000"/>
      </font>
      <fill>
        <patternFill>
          <bgColor theme="5"/>
        </patternFill>
      </fill>
    </dxf>
    <dxf>
      <font>
        <b/>
        <i val="0"/>
        <color theme="0"/>
      </font>
      <fill>
        <patternFill>
          <bgColor theme="8"/>
        </patternFill>
      </fill>
    </dxf>
    <dxf>
      <font>
        <b/>
        <i val="0"/>
        <color theme="0"/>
      </font>
      <fill>
        <patternFill>
          <bgColor theme="8"/>
        </patternFill>
      </fill>
    </dxf>
    <dxf>
      <font>
        <b/>
        <i val="0"/>
        <color rgb="FF9C0006"/>
      </font>
      <fill>
        <patternFill>
          <bgColor theme="5"/>
        </patternFill>
      </fill>
    </dxf>
    <dxf>
      <font>
        <b/>
        <i val="0"/>
        <color theme="0"/>
        <name val="Cambria"/>
        <scheme val="none"/>
      </font>
      <fill>
        <patternFill>
          <bgColor theme="5"/>
        </patternFill>
      </fill>
    </dxf>
    <dxf>
      <font>
        <b/>
        <i val="0"/>
        <color rgb="FFFFC000"/>
      </font>
      <fill>
        <patternFill>
          <bgColor theme="5"/>
        </patternFill>
      </fill>
    </dxf>
    <dxf>
      <font>
        <b/>
        <i val="0"/>
        <color theme="0"/>
      </font>
      <fill>
        <patternFill>
          <bgColor theme="8"/>
        </patternFill>
      </fill>
    </dxf>
    <dxf>
      <font>
        <b/>
        <i val="0"/>
        <color theme="0"/>
      </font>
      <fill>
        <patternFill>
          <bgColor theme="8"/>
        </patternFill>
      </fill>
    </dxf>
    <dxf>
      <font>
        <b/>
        <i val="0"/>
        <color rgb="FF9C0006"/>
      </font>
      <fill>
        <patternFill>
          <bgColor theme="5"/>
        </patternFill>
      </fill>
    </dxf>
    <dxf>
      <font>
        <b/>
        <i val="0"/>
        <color theme="0"/>
        <name val="Cambria"/>
        <scheme val="none"/>
      </font>
      <fill>
        <patternFill>
          <bgColor theme="5"/>
        </patternFill>
      </fill>
    </dxf>
    <dxf>
      <font>
        <b/>
        <i val="0"/>
        <color rgb="FFFFC000"/>
      </font>
      <fill>
        <patternFill>
          <bgColor theme="5"/>
        </patternFill>
      </fill>
    </dxf>
    <dxf>
      <font>
        <b/>
        <i val="0"/>
        <color theme="0"/>
      </font>
      <fill>
        <patternFill>
          <bgColor theme="8"/>
        </patternFill>
      </fill>
    </dxf>
    <dxf>
      <font>
        <b/>
        <i val="0"/>
        <color theme="0"/>
      </font>
      <fill>
        <patternFill>
          <bgColor theme="8"/>
        </patternFill>
      </fill>
    </dxf>
    <dxf>
      <font>
        <b/>
        <i val="0"/>
        <color rgb="FF9C0006"/>
      </font>
      <fill>
        <patternFill>
          <bgColor theme="5"/>
        </patternFill>
      </fill>
    </dxf>
    <dxf>
      <font>
        <b/>
        <i val="0"/>
        <color theme="0"/>
        <name val="Cambria"/>
        <scheme val="none"/>
      </font>
      <fill>
        <patternFill>
          <bgColor theme="5"/>
        </patternFill>
      </fill>
    </dxf>
    <dxf>
      <font>
        <b/>
        <i val="0"/>
        <color rgb="FFFFC000"/>
      </font>
      <fill>
        <patternFill>
          <bgColor theme="5"/>
        </patternFill>
      </fill>
    </dxf>
    <dxf>
      <font>
        <b/>
        <i val="0"/>
        <color theme="0"/>
      </font>
      <fill>
        <patternFill>
          <bgColor theme="8"/>
        </patternFill>
      </fill>
    </dxf>
    <dxf>
      <font>
        <b/>
        <i val="0"/>
        <color theme="0"/>
      </font>
      <fill>
        <patternFill>
          <bgColor theme="8"/>
        </patternFill>
      </fill>
    </dxf>
    <dxf>
      <font>
        <b/>
        <i val="0"/>
        <color rgb="FF9C0006"/>
      </font>
      <fill>
        <patternFill>
          <bgColor theme="5"/>
        </patternFill>
      </fill>
    </dxf>
    <dxf>
      <font>
        <b/>
        <i val="0"/>
        <color theme="0"/>
        <name val="Cambria"/>
        <scheme val="none"/>
      </font>
      <fill>
        <patternFill>
          <bgColor theme="5"/>
        </patternFill>
      </fill>
    </dxf>
    <dxf>
      <font>
        <b/>
        <i val="0"/>
        <color rgb="FFFFC000"/>
      </font>
      <fill>
        <patternFill>
          <bgColor theme="5"/>
        </patternFill>
      </fill>
    </dxf>
    <dxf>
      <font>
        <b/>
        <i val="0"/>
        <color theme="0"/>
      </font>
      <fill>
        <patternFill>
          <bgColor theme="8"/>
        </patternFill>
      </fill>
    </dxf>
    <dxf>
      <font>
        <b/>
        <i val="0"/>
        <color theme="0"/>
      </font>
      <fill>
        <patternFill>
          <bgColor theme="8"/>
        </patternFill>
      </fill>
    </dxf>
    <dxf>
      <font>
        <b/>
        <i val="0"/>
        <color rgb="FF9C0006"/>
      </font>
      <fill>
        <patternFill>
          <bgColor theme="5"/>
        </patternFill>
      </fill>
    </dxf>
    <dxf>
      <font>
        <b/>
        <i val="0"/>
        <color theme="0"/>
        <name val="Cambria"/>
        <scheme val="none"/>
      </font>
      <fill>
        <patternFill>
          <bgColor theme="5"/>
        </patternFill>
      </fill>
    </dxf>
    <dxf>
      <font>
        <b/>
        <i val="0"/>
        <color rgb="FFFFC000"/>
      </font>
      <fill>
        <patternFill>
          <bgColor theme="5"/>
        </patternFill>
      </fill>
    </dxf>
    <dxf>
      <font>
        <b/>
        <i val="0"/>
        <color theme="0"/>
      </font>
      <fill>
        <patternFill>
          <bgColor theme="8"/>
        </patternFill>
      </fill>
    </dxf>
    <dxf>
      <font>
        <b/>
        <i val="0"/>
        <color theme="0"/>
      </font>
      <fill>
        <patternFill>
          <bgColor theme="8"/>
        </patternFill>
      </fill>
    </dxf>
    <dxf>
      <font>
        <b/>
        <i val="0"/>
        <color rgb="FF9C0006"/>
      </font>
      <fill>
        <patternFill>
          <bgColor theme="5"/>
        </patternFill>
      </fill>
    </dxf>
    <dxf>
      <font>
        <b/>
        <i val="0"/>
        <color theme="0"/>
        <name val="Cambria"/>
        <scheme val="none"/>
      </font>
      <fill>
        <patternFill>
          <bgColor theme="5"/>
        </patternFill>
      </fill>
    </dxf>
    <dxf>
      <font>
        <b/>
        <i val="0"/>
        <color rgb="FFFFC000"/>
      </font>
      <fill>
        <patternFill>
          <bgColor theme="5"/>
        </patternFill>
      </fill>
    </dxf>
    <dxf>
      <font>
        <b/>
        <i val="0"/>
        <color theme="0"/>
      </font>
      <fill>
        <patternFill>
          <bgColor theme="8"/>
        </patternFill>
      </fill>
    </dxf>
    <dxf>
      <font>
        <b/>
        <i val="0"/>
        <color theme="0"/>
      </font>
      <fill>
        <patternFill>
          <bgColor theme="8"/>
        </patternFill>
      </fill>
    </dxf>
    <dxf>
      <font>
        <b/>
        <i val="0"/>
        <color rgb="FF9C0006"/>
      </font>
      <fill>
        <patternFill>
          <bgColor theme="5"/>
        </patternFill>
      </fill>
    </dxf>
    <dxf>
      <font>
        <b/>
        <i val="0"/>
        <color theme="0"/>
        <name val="Cambria"/>
        <scheme val="none"/>
      </font>
      <fill>
        <patternFill>
          <bgColor theme="5"/>
        </patternFill>
      </fill>
    </dxf>
    <dxf>
      <font>
        <b/>
        <i val="0"/>
        <color rgb="FFFFC000"/>
      </font>
      <fill>
        <patternFill>
          <bgColor theme="5"/>
        </patternFill>
      </fill>
    </dxf>
    <dxf>
      <font>
        <b/>
        <i val="0"/>
        <color theme="0"/>
      </font>
      <fill>
        <patternFill>
          <bgColor theme="8"/>
        </patternFill>
      </fill>
    </dxf>
    <dxf>
      <font>
        <b/>
        <i val="0"/>
        <color theme="0"/>
      </font>
      <fill>
        <patternFill>
          <bgColor theme="8"/>
        </patternFill>
      </fill>
    </dxf>
    <dxf>
      <font>
        <b/>
        <i val="0"/>
        <color rgb="FF9C0006"/>
      </font>
      <fill>
        <patternFill>
          <bgColor theme="5"/>
        </patternFill>
      </fill>
    </dxf>
    <dxf>
      <font>
        <b/>
        <i val="0"/>
        <color theme="0"/>
        <name val="Cambria"/>
        <scheme val="none"/>
      </font>
      <fill>
        <patternFill>
          <bgColor theme="5"/>
        </patternFill>
      </fill>
    </dxf>
    <dxf>
      <font>
        <b/>
        <i val="0"/>
        <color rgb="FFFFC000"/>
      </font>
      <fill>
        <patternFill>
          <bgColor theme="5"/>
        </patternFill>
      </fill>
    </dxf>
    <dxf>
      <font>
        <b/>
        <i val="0"/>
        <color theme="0"/>
      </font>
      <fill>
        <patternFill>
          <bgColor theme="8"/>
        </patternFill>
      </fill>
    </dxf>
    <dxf>
      <font>
        <b/>
        <i val="0"/>
        <color theme="0"/>
      </font>
      <fill>
        <patternFill>
          <bgColor theme="8"/>
        </patternFill>
      </fill>
    </dxf>
    <dxf>
      <font>
        <b/>
        <i val="0"/>
        <color rgb="FF9C0006"/>
      </font>
      <fill>
        <patternFill>
          <bgColor theme="5"/>
        </patternFill>
      </fill>
    </dxf>
    <dxf>
      <font>
        <b/>
        <i val="0"/>
        <color theme="0"/>
        <name val="Cambria"/>
        <scheme val="none"/>
      </font>
      <fill>
        <patternFill>
          <bgColor theme="5"/>
        </patternFill>
      </fill>
    </dxf>
    <dxf>
      <font>
        <b/>
        <i val="0"/>
        <color rgb="FFFFC000"/>
      </font>
      <fill>
        <patternFill>
          <bgColor theme="5"/>
        </patternFill>
      </fill>
    </dxf>
    <dxf>
      <font>
        <b/>
        <i val="0"/>
        <color theme="0"/>
      </font>
      <fill>
        <patternFill>
          <bgColor theme="8"/>
        </patternFill>
      </fill>
    </dxf>
    <dxf>
      <font>
        <b/>
        <i val="0"/>
        <color theme="0"/>
      </font>
      <fill>
        <patternFill>
          <bgColor theme="8"/>
        </patternFill>
      </fill>
    </dxf>
    <dxf>
      <font>
        <b/>
        <i val="0"/>
        <color rgb="FF9C0006"/>
      </font>
      <fill>
        <patternFill>
          <bgColor theme="5"/>
        </patternFill>
      </fill>
    </dxf>
    <dxf>
      <font>
        <b/>
        <i val="0"/>
        <color theme="0"/>
        <name val="Cambria"/>
        <scheme val="none"/>
      </font>
      <fill>
        <patternFill>
          <bgColor theme="5"/>
        </patternFill>
      </fill>
    </dxf>
    <dxf>
      <font>
        <b/>
        <i val="0"/>
        <color rgb="FFFFC000"/>
      </font>
      <fill>
        <patternFill>
          <bgColor theme="5"/>
        </patternFill>
      </fill>
    </dxf>
    <dxf>
      <font>
        <b/>
        <i val="0"/>
        <color theme="0"/>
      </font>
      <fill>
        <patternFill>
          <bgColor theme="8"/>
        </patternFill>
      </fill>
    </dxf>
    <dxf>
      <font>
        <b/>
        <i val="0"/>
        <color theme="0"/>
      </font>
      <fill>
        <patternFill>
          <bgColor theme="8"/>
        </patternFill>
      </fill>
    </dxf>
    <dxf>
      <font>
        <b/>
        <i val="0"/>
        <color rgb="FF9C0006"/>
      </font>
      <fill>
        <patternFill>
          <bgColor theme="5"/>
        </patternFill>
      </fill>
    </dxf>
    <dxf>
      <font>
        <b/>
        <i val="0"/>
        <color theme="0"/>
        <name val="Cambria"/>
        <scheme val="none"/>
      </font>
      <fill>
        <patternFill>
          <bgColor theme="5"/>
        </patternFill>
      </fill>
    </dxf>
    <dxf>
      <font>
        <b/>
        <i val="0"/>
        <color rgb="FFFFC000"/>
      </font>
      <fill>
        <patternFill>
          <bgColor theme="5"/>
        </patternFill>
      </fill>
    </dxf>
    <dxf>
      <font>
        <b/>
        <i val="0"/>
        <color theme="0"/>
      </font>
      <fill>
        <patternFill>
          <bgColor theme="8"/>
        </patternFill>
      </fill>
    </dxf>
    <dxf>
      <font>
        <b/>
        <i val="0"/>
        <color theme="0"/>
      </font>
      <fill>
        <patternFill>
          <bgColor theme="8"/>
        </patternFill>
      </fill>
    </dxf>
    <dxf>
      <font>
        <b/>
        <i val="0"/>
        <color rgb="FF9C0006"/>
      </font>
      <fill>
        <patternFill>
          <bgColor theme="5"/>
        </patternFill>
      </fill>
    </dxf>
    <dxf>
      <font>
        <b/>
        <i val="0"/>
        <color theme="0"/>
        <name val="Cambria"/>
        <scheme val="none"/>
      </font>
      <fill>
        <patternFill>
          <bgColor theme="5"/>
        </patternFill>
      </fill>
    </dxf>
    <dxf>
      <font>
        <b/>
        <i val="0"/>
        <color rgb="FFFFC000"/>
      </font>
      <fill>
        <patternFill>
          <bgColor theme="5"/>
        </patternFill>
      </fill>
    </dxf>
    <dxf>
      <font>
        <b/>
        <i val="0"/>
        <color theme="0"/>
      </font>
      <fill>
        <patternFill>
          <bgColor theme="8"/>
        </patternFill>
      </fill>
    </dxf>
    <dxf>
      <font>
        <b/>
        <i val="0"/>
        <color theme="0"/>
      </font>
      <fill>
        <patternFill>
          <bgColor theme="8"/>
        </patternFill>
      </fill>
    </dxf>
    <dxf>
      <font>
        <b/>
        <i val="0"/>
        <color rgb="FF9C0006"/>
      </font>
      <fill>
        <patternFill>
          <bgColor theme="5"/>
        </patternFill>
      </fill>
    </dxf>
    <dxf>
      <font>
        <b/>
        <i val="0"/>
        <color theme="0"/>
        <name val="Cambria"/>
        <scheme val="none"/>
      </font>
      <fill>
        <patternFill>
          <bgColor theme="5"/>
        </patternFill>
      </fill>
    </dxf>
    <dxf>
      <font>
        <b/>
        <i val="0"/>
        <color rgb="FFFFC000"/>
      </font>
      <fill>
        <patternFill>
          <bgColor theme="5"/>
        </patternFill>
      </fill>
    </dxf>
    <dxf>
      <font>
        <b/>
        <i val="0"/>
        <color theme="0"/>
      </font>
      <fill>
        <patternFill>
          <bgColor theme="8"/>
        </patternFill>
      </fill>
    </dxf>
    <dxf>
      <font>
        <b/>
        <i val="0"/>
        <color theme="0"/>
      </font>
      <fill>
        <patternFill>
          <bgColor theme="8"/>
        </patternFill>
      </fill>
    </dxf>
    <dxf>
      <font>
        <b/>
        <i val="0"/>
        <color rgb="FF9C0006"/>
      </font>
      <fill>
        <patternFill>
          <bgColor theme="5"/>
        </patternFill>
      </fill>
    </dxf>
    <dxf>
      <font>
        <b/>
        <i val="0"/>
        <color theme="0"/>
        <name val="Cambria"/>
        <scheme val="none"/>
      </font>
      <fill>
        <patternFill>
          <bgColor theme="5"/>
        </patternFill>
      </fill>
    </dxf>
    <dxf>
      <font>
        <b/>
        <i val="0"/>
        <color rgb="FFFFC000"/>
      </font>
      <fill>
        <patternFill>
          <bgColor theme="5"/>
        </patternFill>
      </fill>
    </dxf>
    <dxf>
      <font>
        <b/>
        <i val="0"/>
        <color theme="0"/>
      </font>
      <fill>
        <patternFill>
          <bgColor theme="8"/>
        </patternFill>
      </fill>
    </dxf>
    <dxf>
      <font>
        <b/>
        <i val="0"/>
        <color theme="0"/>
      </font>
      <fill>
        <patternFill>
          <bgColor theme="8"/>
        </patternFill>
      </fill>
    </dxf>
    <dxf>
      <font>
        <b/>
        <i val="0"/>
        <color rgb="FF9C0006"/>
      </font>
      <fill>
        <patternFill>
          <bgColor theme="5"/>
        </patternFill>
      </fill>
    </dxf>
    <dxf>
      <font>
        <b/>
        <i val="0"/>
        <color theme="0"/>
        <name val="Cambria"/>
        <scheme val="none"/>
      </font>
      <fill>
        <patternFill>
          <bgColor theme="5"/>
        </patternFill>
      </fill>
    </dxf>
    <dxf>
      <font>
        <b/>
        <i val="0"/>
        <color rgb="FFFFC000"/>
      </font>
      <fill>
        <patternFill>
          <bgColor theme="5"/>
        </patternFill>
      </fill>
    </dxf>
    <dxf>
      <font>
        <b/>
        <i val="0"/>
        <color theme="0"/>
      </font>
      <fill>
        <patternFill>
          <bgColor theme="8"/>
        </patternFill>
      </fill>
    </dxf>
    <dxf>
      <font>
        <b/>
        <i val="0"/>
        <color theme="0"/>
      </font>
      <fill>
        <patternFill>
          <bgColor theme="8"/>
        </patternFill>
      </fill>
    </dxf>
    <dxf>
      <font>
        <b/>
        <i val="0"/>
        <color rgb="FF9C0006"/>
      </font>
      <fill>
        <patternFill>
          <bgColor theme="5"/>
        </patternFill>
      </fill>
    </dxf>
    <dxf>
      <font>
        <b/>
        <i val="0"/>
        <color theme="0"/>
        <name val="Cambria"/>
        <scheme val="none"/>
      </font>
      <fill>
        <patternFill>
          <bgColor theme="5"/>
        </patternFill>
      </fill>
    </dxf>
    <dxf>
      <font>
        <b/>
        <i val="0"/>
        <color rgb="FFFFC000"/>
      </font>
      <fill>
        <patternFill>
          <bgColor theme="5"/>
        </patternFill>
      </fill>
    </dxf>
    <dxf>
      <font>
        <b/>
        <i val="0"/>
        <color theme="0"/>
      </font>
      <fill>
        <patternFill>
          <bgColor theme="8"/>
        </patternFill>
      </fill>
    </dxf>
    <dxf>
      <font>
        <b/>
        <i val="0"/>
        <color theme="0"/>
      </font>
      <fill>
        <patternFill>
          <bgColor theme="8"/>
        </patternFill>
      </fill>
    </dxf>
    <dxf>
      <font>
        <b/>
        <i val="0"/>
        <color rgb="FF9C0006"/>
      </font>
      <fill>
        <patternFill>
          <bgColor theme="5"/>
        </patternFill>
      </fill>
    </dxf>
    <dxf>
      <font>
        <b/>
        <i val="0"/>
        <color theme="0"/>
        <name val="Cambria"/>
        <scheme val="none"/>
      </font>
      <fill>
        <patternFill>
          <bgColor theme="5"/>
        </patternFill>
      </fill>
    </dxf>
    <dxf>
      <font>
        <b/>
        <i val="0"/>
        <color rgb="FFFFC000"/>
      </font>
      <fill>
        <patternFill>
          <bgColor theme="5"/>
        </patternFill>
      </fill>
    </dxf>
    <dxf>
      <font>
        <b/>
        <i val="0"/>
        <color theme="0"/>
      </font>
      <fill>
        <patternFill>
          <bgColor theme="8"/>
        </patternFill>
      </fill>
    </dxf>
    <dxf>
      <font>
        <b/>
        <i val="0"/>
        <color theme="0"/>
      </font>
      <fill>
        <patternFill>
          <bgColor theme="8"/>
        </patternFill>
      </fill>
    </dxf>
    <dxf>
      <font>
        <b/>
        <i val="0"/>
        <color rgb="FF9C0006"/>
      </font>
      <fill>
        <patternFill>
          <bgColor theme="5"/>
        </patternFill>
      </fill>
    </dxf>
    <dxf>
      <font>
        <b/>
        <i val="0"/>
        <color theme="0"/>
        <name val="Cambria"/>
        <scheme val="none"/>
      </font>
      <fill>
        <patternFill>
          <bgColor theme="5"/>
        </patternFill>
      </fill>
    </dxf>
    <dxf>
      <font>
        <b/>
        <i val="0"/>
        <color rgb="FFFFC000"/>
      </font>
      <fill>
        <patternFill>
          <bgColor theme="5"/>
        </patternFill>
      </fill>
    </dxf>
    <dxf>
      <font>
        <b/>
        <i val="0"/>
        <color theme="0"/>
      </font>
      <fill>
        <patternFill>
          <bgColor theme="8"/>
        </patternFill>
      </fill>
    </dxf>
    <dxf>
      <font>
        <b/>
        <i val="0"/>
        <color theme="0"/>
      </font>
      <fill>
        <patternFill>
          <bgColor theme="8"/>
        </patternFill>
      </fill>
    </dxf>
    <dxf>
      <font>
        <b/>
        <i val="0"/>
        <color rgb="FF9C0006"/>
      </font>
      <fill>
        <patternFill>
          <bgColor theme="5"/>
        </patternFill>
      </fill>
    </dxf>
    <dxf>
      <font>
        <b/>
        <i val="0"/>
        <color theme="0"/>
        <name val="Cambria"/>
        <scheme val="none"/>
      </font>
      <fill>
        <patternFill>
          <bgColor theme="5"/>
        </patternFill>
      </fill>
    </dxf>
    <dxf>
      <font>
        <b/>
        <i val="0"/>
        <color rgb="FFFFC000"/>
      </font>
      <fill>
        <patternFill>
          <bgColor theme="5"/>
        </patternFill>
      </fill>
    </dxf>
    <dxf>
      <font>
        <b/>
        <i val="0"/>
        <color theme="0"/>
      </font>
      <fill>
        <patternFill>
          <bgColor theme="8"/>
        </patternFill>
      </fill>
    </dxf>
    <dxf>
      <font>
        <b/>
        <i val="0"/>
        <color theme="0"/>
      </font>
      <fill>
        <patternFill>
          <bgColor theme="8"/>
        </patternFill>
      </fill>
    </dxf>
    <dxf>
      <font>
        <b/>
        <i val="0"/>
        <color rgb="FF9C0006"/>
      </font>
      <fill>
        <patternFill>
          <bgColor theme="5"/>
        </patternFill>
      </fill>
    </dxf>
    <dxf>
      <font>
        <b/>
        <i val="0"/>
        <color theme="0"/>
        <name val="Cambria"/>
        <scheme val="none"/>
      </font>
      <fill>
        <patternFill>
          <bgColor theme="5"/>
        </patternFill>
      </fill>
    </dxf>
    <dxf>
      <font>
        <b/>
        <i val="0"/>
        <color rgb="FFFFC000"/>
      </font>
      <fill>
        <patternFill>
          <bgColor theme="5"/>
        </patternFill>
      </fill>
    </dxf>
    <dxf>
      <font>
        <b/>
        <i val="0"/>
        <color theme="0"/>
      </font>
      <fill>
        <patternFill>
          <bgColor theme="8"/>
        </patternFill>
      </fill>
    </dxf>
    <dxf>
      <font>
        <b/>
        <i val="0"/>
        <color theme="0"/>
      </font>
      <fill>
        <patternFill>
          <bgColor theme="8"/>
        </patternFill>
      </fill>
    </dxf>
    <dxf>
      <font>
        <b/>
        <i val="0"/>
        <color rgb="FF9C0006"/>
      </font>
      <fill>
        <patternFill>
          <bgColor theme="5"/>
        </patternFill>
      </fill>
    </dxf>
    <dxf>
      <font>
        <b/>
        <i val="0"/>
        <color theme="0"/>
        <name val="Cambria"/>
        <scheme val="none"/>
      </font>
      <fill>
        <patternFill>
          <bgColor theme="5"/>
        </patternFill>
      </fill>
    </dxf>
    <dxf>
      <font>
        <b/>
        <i val="0"/>
        <color rgb="FFFFC000"/>
      </font>
      <fill>
        <patternFill>
          <bgColor theme="5"/>
        </patternFill>
      </fill>
    </dxf>
    <dxf>
      <font>
        <b/>
        <i val="0"/>
        <color theme="0"/>
      </font>
      <fill>
        <patternFill>
          <bgColor theme="8"/>
        </patternFill>
      </fill>
    </dxf>
    <dxf>
      <font>
        <b/>
        <i val="0"/>
        <color theme="0"/>
      </font>
      <fill>
        <patternFill>
          <bgColor theme="8"/>
        </patternFill>
      </fill>
    </dxf>
    <dxf>
      <font>
        <b/>
        <i val="0"/>
        <color rgb="FF9C0006"/>
      </font>
      <fill>
        <patternFill>
          <bgColor theme="5"/>
        </patternFill>
      </fill>
    </dxf>
    <dxf>
      <font>
        <b/>
        <i val="0"/>
        <color theme="0"/>
        <name val="Cambria"/>
        <scheme val="none"/>
      </font>
      <fill>
        <patternFill>
          <bgColor theme="5"/>
        </patternFill>
      </fill>
    </dxf>
    <dxf>
      <font>
        <b/>
        <i val="0"/>
        <color rgb="FFFFC000"/>
      </font>
      <fill>
        <patternFill>
          <bgColor theme="5"/>
        </patternFill>
      </fill>
    </dxf>
    <dxf>
      <font>
        <b/>
        <i val="0"/>
        <color theme="0"/>
      </font>
      <fill>
        <patternFill>
          <bgColor theme="8"/>
        </patternFill>
      </fill>
    </dxf>
    <dxf>
      <font>
        <b/>
        <i val="0"/>
        <color theme="0"/>
      </font>
      <fill>
        <patternFill>
          <bgColor theme="8"/>
        </patternFill>
      </fill>
    </dxf>
    <dxf>
      <font>
        <b/>
        <i val="0"/>
        <color rgb="FF9C0006"/>
      </font>
      <fill>
        <patternFill>
          <bgColor theme="5"/>
        </patternFill>
      </fill>
    </dxf>
    <dxf>
      <font>
        <b/>
        <i val="0"/>
        <color theme="0"/>
        <name val="Cambria"/>
        <scheme val="none"/>
      </font>
      <fill>
        <patternFill>
          <bgColor theme="5"/>
        </patternFill>
      </fill>
    </dxf>
    <dxf>
      <font>
        <b/>
        <i val="0"/>
        <color rgb="FFFFC000"/>
      </font>
      <fill>
        <patternFill>
          <bgColor theme="5"/>
        </patternFill>
      </fill>
    </dxf>
    <dxf>
      <font>
        <b/>
        <i val="0"/>
        <color theme="0"/>
      </font>
      <fill>
        <patternFill>
          <bgColor theme="8"/>
        </patternFill>
      </fill>
    </dxf>
    <dxf>
      <font>
        <b/>
        <i val="0"/>
        <color theme="0"/>
      </font>
      <fill>
        <patternFill>
          <bgColor theme="8"/>
        </patternFill>
      </fill>
    </dxf>
    <dxf>
      <font>
        <b/>
        <i val="0"/>
        <color rgb="FF9C0006"/>
      </font>
      <fill>
        <patternFill>
          <bgColor theme="5"/>
        </patternFill>
      </fill>
    </dxf>
    <dxf>
      <font>
        <b/>
        <i val="0"/>
        <color theme="0"/>
        <name val="Cambria"/>
        <scheme val="none"/>
      </font>
      <fill>
        <patternFill>
          <bgColor theme="5"/>
        </patternFill>
      </fill>
    </dxf>
    <dxf>
      <font>
        <b/>
        <i val="0"/>
        <color rgb="FFFFC000"/>
      </font>
      <fill>
        <patternFill>
          <bgColor theme="5"/>
        </patternFill>
      </fill>
    </dxf>
    <dxf>
      <font>
        <b/>
        <i val="0"/>
        <color theme="0"/>
      </font>
      <fill>
        <patternFill>
          <bgColor theme="8"/>
        </patternFill>
      </fill>
    </dxf>
    <dxf>
      <font>
        <b/>
        <i val="0"/>
        <color theme="0"/>
      </font>
      <fill>
        <patternFill>
          <bgColor theme="8"/>
        </patternFill>
      </fill>
    </dxf>
    <dxf>
      <font>
        <b/>
        <i val="0"/>
        <color rgb="FF9C0006"/>
      </font>
      <fill>
        <patternFill>
          <bgColor theme="5"/>
        </patternFill>
      </fill>
    </dxf>
    <dxf>
      <font>
        <b/>
        <i val="0"/>
        <color theme="0"/>
        <name val="Cambria"/>
        <scheme val="none"/>
      </font>
      <fill>
        <patternFill>
          <bgColor theme="5"/>
        </patternFill>
      </fill>
    </dxf>
    <dxf>
      <font>
        <b/>
        <i val="0"/>
        <color rgb="FFFFC000"/>
      </font>
      <fill>
        <patternFill>
          <bgColor theme="5"/>
        </patternFill>
      </fill>
    </dxf>
    <dxf>
      <font>
        <b/>
        <i val="0"/>
        <color theme="0"/>
      </font>
      <fill>
        <patternFill>
          <bgColor theme="8"/>
        </patternFill>
      </fill>
    </dxf>
    <dxf>
      <font>
        <b/>
        <i val="0"/>
        <color theme="0"/>
      </font>
      <fill>
        <patternFill>
          <bgColor theme="8"/>
        </patternFill>
      </fill>
    </dxf>
    <dxf>
      <font>
        <b/>
        <i val="0"/>
        <color rgb="FF9C0006"/>
      </font>
      <fill>
        <patternFill>
          <bgColor theme="5"/>
        </patternFill>
      </fill>
    </dxf>
    <dxf>
      <font>
        <b/>
        <i val="0"/>
        <color theme="0"/>
        <name val="Cambria"/>
        <scheme val="none"/>
      </font>
      <fill>
        <patternFill>
          <bgColor theme="5"/>
        </patternFill>
      </fill>
    </dxf>
    <dxf>
      <font>
        <b/>
        <i val="0"/>
        <color rgb="FFFFC000"/>
      </font>
      <fill>
        <patternFill>
          <bgColor theme="5"/>
        </patternFill>
      </fill>
    </dxf>
    <dxf>
      <font>
        <b/>
        <i val="0"/>
        <color theme="0"/>
      </font>
      <fill>
        <patternFill>
          <bgColor theme="8"/>
        </patternFill>
      </fill>
    </dxf>
    <dxf>
      <font>
        <b/>
        <i val="0"/>
        <color theme="0"/>
      </font>
      <fill>
        <patternFill>
          <bgColor theme="8"/>
        </patternFill>
      </fill>
    </dxf>
    <dxf>
      <font>
        <b/>
        <i val="0"/>
        <color rgb="FF9C0006"/>
      </font>
      <fill>
        <patternFill>
          <bgColor theme="5"/>
        </patternFill>
      </fill>
    </dxf>
    <dxf>
      <font>
        <b/>
        <i val="0"/>
        <color theme="0"/>
        <name val="Cambria"/>
        <scheme val="none"/>
      </font>
      <fill>
        <patternFill>
          <bgColor theme="5"/>
        </patternFill>
      </fill>
    </dxf>
    <dxf>
      <font>
        <b/>
        <i val="0"/>
        <color rgb="FFFFC000"/>
      </font>
      <fill>
        <patternFill>
          <bgColor theme="5"/>
        </patternFill>
      </fill>
    </dxf>
    <dxf>
      <font>
        <b/>
        <i val="0"/>
        <color theme="0"/>
      </font>
      <fill>
        <patternFill>
          <bgColor theme="8"/>
        </patternFill>
      </fill>
    </dxf>
    <dxf>
      <font>
        <b/>
        <i val="0"/>
        <color theme="0"/>
      </font>
      <fill>
        <patternFill>
          <bgColor theme="8"/>
        </patternFill>
      </fill>
    </dxf>
    <dxf>
      <font>
        <b/>
        <i val="0"/>
        <color rgb="FF9C0006"/>
      </font>
      <fill>
        <patternFill>
          <bgColor theme="5"/>
        </patternFill>
      </fill>
    </dxf>
    <dxf>
      <font>
        <b/>
        <i val="0"/>
        <color theme="0"/>
        <name val="Cambria"/>
        <scheme val="none"/>
      </font>
      <fill>
        <patternFill>
          <bgColor theme="5"/>
        </patternFill>
      </fill>
    </dxf>
    <dxf>
      <font>
        <b/>
        <i val="0"/>
        <color rgb="FFFFC000"/>
      </font>
      <fill>
        <patternFill>
          <bgColor theme="5"/>
        </patternFill>
      </fill>
    </dxf>
    <dxf>
      <font>
        <b/>
        <i val="0"/>
        <color theme="0"/>
      </font>
      <fill>
        <patternFill>
          <bgColor theme="8"/>
        </patternFill>
      </fill>
    </dxf>
    <dxf>
      <font>
        <b/>
        <i val="0"/>
        <color theme="0"/>
      </font>
      <fill>
        <patternFill>
          <bgColor theme="8"/>
        </patternFill>
      </fill>
    </dxf>
    <dxf>
      <font>
        <b/>
        <i val="0"/>
        <color rgb="FF9C0006"/>
      </font>
      <fill>
        <patternFill>
          <bgColor theme="5"/>
        </patternFill>
      </fill>
    </dxf>
    <dxf>
      <font>
        <b/>
        <i val="0"/>
        <color theme="0"/>
        <name val="Cambria"/>
        <scheme val="none"/>
      </font>
      <fill>
        <patternFill>
          <bgColor theme="5"/>
        </patternFill>
      </fill>
    </dxf>
    <dxf>
      <font>
        <b/>
        <i val="0"/>
        <color rgb="FFFFC000"/>
      </font>
      <fill>
        <patternFill>
          <bgColor theme="5"/>
        </patternFill>
      </fill>
    </dxf>
    <dxf>
      <font>
        <b/>
        <i val="0"/>
        <color theme="0"/>
      </font>
      <fill>
        <patternFill>
          <bgColor theme="8"/>
        </patternFill>
      </fill>
    </dxf>
    <dxf>
      <font>
        <b/>
        <i val="0"/>
        <color theme="0"/>
      </font>
      <fill>
        <patternFill>
          <bgColor theme="8"/>
        </patternFill>
      </fill>
    </dxf>
    <dxf>
      <font>
        <b/>
        <i val="0"/>
        <color rgb="FF9C0006"/>
      </font>
      <fill>
        <patternFill>
          <bgColor theme="5"/>
        </patternFill>
      </fill>
    </dxf>
    <dxf>
      <font>
        <b/>
        <i val="0"/>
        <color theme="0"/>
        <name val="Cambria"/>
        <scheme val="none"/>
      </font>
      <fill>
        <patternFill>
          <bgColor theme="5"/>
        </patternFill>
      </fill>
    </dxf>
    <dxf>
      <font>
        <b/>
        <i val="0"/>
        <color rgb="FFFFC000"/>
      </font>
      <fill>
        <patternFill>
          <bgColor theme="5"/>
        </patternFill>
      </fill>
    </dxf>
    <dxf>
      <font>
        <b/>
        <i val="0"/>
        <color theme="0"/>
      </font>
      <fill>
        <patternFill>
          <bgColor theme="8"/>
        </patternFill>
      </fill>
    </dxf>
    <dxf>
      <font>
        <b/>
        <i val="0"/>
        <color theme="0"/>
      </font>
      <fill>
        <patternFill>
          <bgColor theme="8"/>
        </patternFill>
      </fill>
    </dxf>
    <dxf>
      <font>
        <b/>
        <i val="0"/>
        <color rgb="FF9C0006"/>
      </font>
      <fill>
        <patternFill>
          <bgColor theme="5"/>
        </patternFill>
      </fill>
    </dxf>
    <dxf>
      <font>
        <b/>
        <i val="0"/>
        <color theme="0"/>
        <name val="Cambria"/>
        <scheme val="none"/>
      </font>
      <fill>
        <patternFill>
          <bgColor theme="5"/>
        </patternFill>
      </fill>
    </dxf>
    <dxf>
      <font>
        <b/>
        <i val="0"/>
        <color rgb="FFFFC000"/>
      </font>
      <fill>
        <patternFill>
          <bgColor theme="5"/>
        </patternFill>
      </fill>
    </dxf>
    <dxf>
      <font>
        <b/>
        <i val="0"/>
        <color theme="0"/>
      </font>
      <fill>
        <patternFill>
          <bgColor theme="8"/>
        </patternFill>
      </fill>
    </dxf>
    <dxf>
      <font>
        <b/>
        <i val="0"/>
        <color theme="0"/>
      </font>
      <fill>
        <patternFill>
          <bgColor theme="8"/>
        </patternFill>
      </fill>
    </dxf>
    <dxf>
      <font>
        <b/>
        <i val="0"/>
        <color rgb="FF9C0006"/>
      </font>
      <fill>
        <patternFill>
          <bgColor theme="5"/>
        </patternFill>
      </fill>
    </dxf>
    <dxf>
      <font>
        <b/>
        <i val="0"/>
        <color theme="0"/>
        <name val="Cambria"/>
        <scheme val="none"/>
      </font>
      <fill>
        <patternFill>
          <bgColor theme="5"/>
        </patternFill>
      </fill>
    </dxf>
    <dxf>
      <font>
        <b/>
        <i val="0"/>
        <color rgb="FFFFC000"/>
      </font>
      <fill>
        <patternFill>
          <bgColor theme="5"/>
        </patternFill>
      </fill>
    </dxf>
    <dxf>
      <font>
        <b/>
        <i val="0"/>
        <color theme="0"/>
      </font>
      <fill>
        <patternFill>
          <bgColor theme="8"/>
        </patternFill>
      </fill>
    </dxf>
    <dxf>
      <font>
        <b/>
        <i val="0"/>
        <color theme="0"/>
      </font>
      <fill>
        <patternFill>
          <bgColor theme="8"/>
        </patternFill>
      </fill>
    </dxf>
    <dxf>
      <font>
        <b/>
        <i val="0"/>
        <color rgb="FF9C0006"/>
      </font>
      <fill>
        <patternFill>
          <bgColor theme="5"/>
        </patternFill>
      </fill>
    </dxf>
    <dxf>
      <font>
        <b/>
        <i val="0"/>
        <color theme="0"/>
        <name val="Cambria"/>
        <scheme val="none"/>
      </font>
      <fill>
        <patternFill>
          <bgColor theme="5"/>
        </patternFill>
      </fill>
    </dxf>
    <dxf>
      <font>
        <b/>
        <i val="0"/>
        <color rgb="FFFFC000"/>
      </font>
      <fill>
        <patternFill>
          <bgColor theme="5"/>
        </patternFill>
      </fill>
    </dxf>
    <dxf>
      <font>
        <b/>
        <i val="0"/>
        <color theme="0"/>
      </font>
      <fill>
        <patternFill>
          <bgColor theme="8"/>
        </patternFill>
      </fill>
    </dxf>
    <dxf>
      <font>
        <b/>
        <i val="0"/>
        <color theme="0"/>
      </font>
      <fill>
        <patternFill>
          <bgColor theme="8"/>
        </patternFill>
      </fill>
    </dxf>
    <dxf>
      <font>
        <b/>
        <i val="0"/>
        <color rgb="FF9C0006"/>
      </font>
      <fill>
        <patternFill>
          <bgColor theme="5"/>
        </patternFill>
      </fill>
    </dxf>
    <dxf>
      <font>
        <b/>
        <i val="0"/>
        <color theme="0"/>
        <name val="Cambria"/>
        <scheme val="none"/>
      </font>
      <fill>
        <patternFill>
          <bgColor theme="5"/>
        </patternFill>
      </fill>
    </dxf>
    <dxf>
      <font>
        <b/>
        <i val="0"/>
        <color rgb="FFFFC000"/>
      </font>
      <fill>
        <patternFill>
          <bgColor theme="5"/>
        </patternFill>
      </fill>
    </dxf>
    <dxf>
      <font>
        <b/>
        <i val="0"/>
        <color theme="0"/>
      </font>
      <fill>
        <patternFill>
          <bgColor theme="8"/>
        </patternFill>
      </fill>
    </dxf>
    <dxf>
      <font>
        <b/>
        <i val="0"/>
        <color theme="0"/>
      </font>
      <fill>
        <patternFill>
          <bgColor theme="8"/>
        </patternFill>
      </fill>
    </dxf>
    <dxf>
      <font>
        <b/>
        <i val="0"/>
        <color rgb="FF9C0006"/>
      </font>
      <fill>
        <patternFill>
          <bgColor theme="5"/>
        </patternFill>
      </fill>
    </dxf>
    <dxf>
      <font>
        <b/>
        <i val="0"/>
        <color theme="0"/>
        <name val="Cambria"/>
        <scheme val="none"/>
      </font>
      <fill>
        <patternFill>
          <bgColor theme="5"/>
        </patternFill>
      </fill>
    </dxf>
    <dxf>
      <font>
        <b/>
        <i val="0"/>
        <color rgb="FFFFC000"/>
      </font>
      <fill>
        <patternFill>
          <bgColor theme="5"/>
        </patternFill>
      </fill>
    </dxf>
    <dxf>
      <font>
        <b/>
        <i val="0"/>
        <color theme="0"/>
      </font>
      <fill>
        <patternFill>
          <bgColor theme="8"/>
        </patternFill>
      </fill>
    </dxf>
    <dxf>
      <font>
        <b/>
        <i val="0"/>
        <color theme="0"/>
      </font>
      <fill>
        <patternFill>
          <bgColor theme="8"/>
        </patternFill>
      </fill>
    </dxf>
    <dxf>
      <font>
        <b/>
        <i val="0"/>
        <color rgb="FF9C0006"/>
      </font>
      <fill>
        <patternFill>
          <bgColor theme="5"/>
        </patternFill>
      </fill>
    </dxf>
    <dxf>
      <font>
        <b/>
        <i val="0"/>
        <color theme="0"/>
        <name val="Cambria"/>
        <scheme val="none"/>
      </font>
      <fill>
        <patternFill>
          <bgColor theme="5"/>
        </patternFill>
      </fill>
    </dxf>
    <dxf>
      <font>
        <b/>
        <i val="0"/>
        <color rgb="FFFFC000"/>
      </font>
      <fill>
        <patternFill>
          <bgColor theme="5"/>
        </patternFill>
      </fill>
    </dxf>
    <dxf>
      <font>
        <b/>
        <i val="0"/>
        <color theme="0"/>
      </font>
      <fill>
        <patternFill>
          <bgColor theme="8"/>
        </patternFill>
      </fill>
    </dxf>
    <dxf>
      <font>
        <b/>
        <i val="0"/>
        <color theme="0"/>
      </font>
      <fill>
        <patternFill>
          <bgColor theme="8"/>
        </patternFill>
      </fill>
    </dxf>
    <dxf>
      <font>
        <b/>
        <i val="0"/>
        <color rgb="FF9C0006"/>
      </font>
      <fill>
        <patternFill>
          <bgColor theme="5"/>
        </patternFill>
      </fill>
    </dxf>
    <dxf>
      <font>
        <b/>
        <i val="0"/>
        <color theme="0"/>
        <name val="Cambria"/>
        <scheme val="none"/>
      </font>
      <fill>
        <patternFill>
          <bgColor theme="5"/>
        </patternFill>
      </fill>
    </dxf>
    <dxf>
      <font>
        <b/>
        <i val="0"/>
        <color rgb="FFFFC000"/>
      </font>
      <fill>
        <patternFill>
          <bgColor theme="5"/>
        </patternFill>
      </fill>
    </dxf>
    <dxf>
      <font>
        <b/>
        <i val="0"/>
        <color theme="0"/>
      </font>
      <fill>
        <patternFill>
          <bgColor theme="8"/>
        </patternFill>
      </fill>
    </dxf>
    <dxf>
      <font>
        <b/>
        <i val="0"/>
        <color theme="0"/>
      </font>
      <fill>
        <patternFill>
          <bgColor theme="8"/>
        </patternFill>
      </fill>
    </dxf>
    <dxf>
      <font>
        <b/>
        <i val="0"/>
        <color rgb="FF9C0006"/>
      </font>
      <fill>
        <patternFill>
          <bgColor theme="5"/>
        </patternFill>
      </fill>
    </dxf>
    <dxf>
      <font>
        <b/>
        <i val="0"/>
        <color theme="0"/>
        <name val="Cambria"/>
        <scheme val="none"/>
      </font>
      <fill>
        <patternFill>
          <bgColor theme="5"/>
        </patternFill>
      </fill>
    </dxf>
    <dxf>
      <font>
        <b/>
        <i val="0"/>
        <color rgb="FFFFC000"/>
      </font>
      <fill>
        <patternFill>
          <bgColor theme="5"/>
        </patternFill>
      </fill>
    </dxf>
    <dxf>
      <font>
        <b/>
        <i val="0"/>
        <color theme="0"/>
      </font>
      <fill>
        <patternFill>
          <bgColor theme="8"/>
        </patternFill>
      </fill>
    </dxf>
    <dxf>
      <font>
        <b/>
        <i val="0"/>
        <color theme="0"/>
      </font>
      <fill>
        <patternFill>
          <bgColor theme="8"/>
        </patternFill>
      </fill>
    </dxf>
    <dxf>
      <font>
        <b/>
        <i val="0"/>
        <color rgb="FF9C0006"/>
      </font>
      <fill>
        <patternFill>
          <bgColor theme="5"/>
        </patternFill>
      </fill>
    </dxf>
    <dxf>
      <font>
        <b/>
        <i val="0"/>
        <color theme="0"/>
        <name val="Cambria"/>
        <scheme val="none"/>
      </font>
      <fill>
        <patternFill>
          <bgColor theme="5"/>
        </patternFill>
      </fill>
    </dxf>
    <dxf>
      <font>
        <b/>
        <i val="0"/>
        <color rgb="FFFFC000"/>
      </font>
      <fill>
        <patternFill>
          <bgColor theme="5"/>
        </patternFill>
      </fill>
    </dxf>
    <dxf>
      <font>
        <b/>
        <i val="0"/>
        <color theme="0"/>
      </font>
      <fill>
        <patternFill>
          <bgColor theme="8"/>
        </patternFill>
      </fill>
    </dxf>
    <dxf>
      <font>
        <b/>
        <i val="0"/>
        <color theme="0"/>
      </font>
      <fill>
        <patternFill>
          <bgColor theme="8"/>
        </patternFill>
      </fill>
    </dxf>
    <dxf>
      <font>
        <b/>
        <i val="0"/>
        <color rgb="FF9C0006"/>
      </font>
      <fill>
        <patternFill>
          <bgColor theme="5"/>
        </patternFill>
      </fill>
    </dxf>
    <dxf>
      <font>
        <b/>
        <i val="0"/>
        <color theme="0"/>
        <name val="Cambria"/>
        <scheme val="none"/>
      </font>
      <fill>
        <patternFill>
          <bgColor theme="5"/>
        </patternFill>
      </fill>
    </dxf>
    <dxf>
      <font>
        <b/>
        <i val="0"/>
        <color rgb="FFFFC000"/>
      </font>
      <fill>
        <patternFill>
          <bgColor theme="5"/>
        </patternFill>
      </fill>
    </dxf>
    <dxf>
      <font>
        <b/>
        <i val="0"/>
        <color theme="0"/>
      </font>
      <fill>
        <patternFill>
          <bgColor theme="8"/>
        </patternFill>
      </fill>
    </dxf>
    <dxf>
      <font>
        <b/>
        <i val="0"/>
        <color theme="0"/>
      </font>
      <fill>
        <patternFill>
          <bgColor theme="8"/>
        </patternFill>
      </fill>
    </dxf>
    <dxf>
      <font>
        <b/>
        <i val="0"/>
        <color rgb="FF9C0006"/>
      </font>
      <fill>
        <patternFill>
          <bgColor theme="5"/>
        </patternFill>
      </fill>
    </dxf>
    <dxf>
      <font>
        <b/>
        <i val="0"/>
        <color theme="0"/>
        <name val="Cambria"/>
        <scheme val="none"/>
      </font>
      <fill>
        <patternFill>
          <bgColor theme="5"/>
        </patternFill>
      </fill>
    </dxf>
    <dxf>
      <font>
        <b/>
        <i val="0"/>
        <color rgb="FFFFC000"/>
      </font>
      <fill>
        <patternFill>
          <bgColor theme="5"/>
        </patternFill>
      </fill>
    </dxf>
    <dxf>
      <font>
        <b/>
        <i val="0"/>
        <color theme="0"/>
      </font>
      <fill>
        <patternFill>
          <bgColor theme="8"/>
        </patternFill>
      </fill>
    </dxf>
    <dxf>
      <font>
        <b/>
        <i val="0"/>
        <color theme="0"/>
      </font>
      <fill>
        <patternFill>
          <bgColor theme="8"/>
        </patternFill>
      </fill>
    </dxf>
    <dxf>
      <font>
        <b/>
        <i val="0"/>
        <color rgb="FF9C0006"/>
      </font>
      <fill>
        <patternFill>
          <bgColor theme="5"/>
        </patternFill>
      </fill>
    </dxf>
    <dxf>
      <font>
        <b/>
        <i val="0"/>
        <color theme="0"/>
        <name val="Cambria"/>
        <scheme val="none"/>
      </font>
      <fill>
        <patternFill>
          <bgColor theme="5"/>
        </patternFill>
      </fill>
    </dxf>
    <dxf>
      <font>
        <b/>
        <i val="0"/>
        <color rgb="FFFFC000"/>
      </font>
      <fill>
        <patternFill>
          <bgColor theme="5"/>
        </patternFill>
      </fill>
    </dxf>
    <dxf>
      <font>
        <b/>
        <i val="0"/>
        <color theme="0"/>
      </font>
      <fill>
        <patternFill>
          <bgColor theme="8"/>
        </patternFill>
      </fill>
    </dxf>
    <dxf>
      <font>
        <b/>
        <i val="0"/>
        <color theme="0"/>
      </font>
      <fill>
        <patternFill>
          <bgColor theme="8"/>
        </patternFill>
      </fill>
    </dxf>
    <dxf>
      <font>
        <b/>
        <i val="0"/>
        <color rgb="FF9C0006"/>
      </font>
      <fill>
        <patternFill>
          <bgColor theme="5"/>
        </patternFill>
      </fill>
    </dxf>
    <dxf>
      <font>
        <b/>
        <i val="0"/>
        <color theme="0"/>
        <name val="Cambria"/>
        <scheme val="none"/>
      </font>
      <fill>
        <patternFill>
          <bgColor theme="5"/>
        </patternFill>
      </fill>
    </dxf>
    <dxf>
      <font>
        <b/>
        <i val="0"/>
        <color rgb="FFFFC000"/>
      </font>
      <fill>
        <patternFill>
          <bgColor theme="5"/>
        </patternFill>
      </fill>
    </dxf>
    <dxf>
      <font>
        <b/>
        <i val="0"/>
        <color theme="0"/>
      </font>
      <fill>
        <patternFill>
          <bgColor theme="8"/>
        </patternFill>
      </fill>
    </dxf>
    <dxf>
      <font>
        <b/>
        <i val="0"/>
        <color theme="0"/>
      </font>
      <fill>
        <patternFill>
          <bgColor theme="8"/>
        </patternFill>
      </fill>
    </dxf>
    <dxf>
      <font>
        <b/>
        <i val="0"/>
        <color rgb="FF9C0006"/>
      </font>
      <fill>
        <patternFill>
          <bgColor theme="5"/>
        </patternFill>
      </fill>
    </dxf>
    <dxf>
      <font>
        <b/>
        <i val="0"/>
        <color theme="0"/>
        <name val="Cambria"/>
        <scheme val="none"/>
      </font>
      <fill>
        <patternFill>
          <bgColor theme="5"/>
        </patternFill>
      </fill>
    </dxf>
    <dxf>
      <font>
        <b/>
        <i val="0"/>
        <color rgb="FFFFC000"/>
      </font>
      <fill>
        <patternFill>
          <bgColor theme="5"/>
        </patternFill>
      </fill>
    </dxf>
    <dxf>
      <font>
        <b/>
        <i val="0"/>
        <color theme="0"/>
      </font>
      <fill>
        <patternFill>
          <bgColor theme="8"/>
        </patternFill>
      </fill>
    </dxf>
    <dxf>
      <font>
        <b/>
        <i val="0"/>
        <color theme="0"/>
      </font>
      <fill>
        <patternFill>
          <bgColor theme="8"/>
        </patternFill>
      </fill>
    </dxf>
    <dxf>
      <font>
        <b/>
        <i val="0"/>
        <color rgb="FF9C0006"/>
      </font>
      <fill>
        <patternFill>
          <bgColor theme="5"/>
        </patternFill>
      </fill>
    </dxf>
    <dxf>
      <font>
        <b/>
        <i val="0"/>
        <color theme="0"/>
        <name val="Cambria"/>
        <scheme val="none"/>
      </font>
      <fill>
        <patternFill>
          <bgColor theme="5"/>
        </patternFill>
      </fill>
    </dxf>
    <dxf>
      <font>
        <b/>
        <i val="0"/>
        <color rgb="FFFFC000"/>
      </font>
      <fill>
        <patternFill>
          <bgColor theme="5"/>
        </patternFill>
      </fill>
    </dxf>
    <dxf>
      <font>
        <b/>
        <i val="0"/>
        <color theme="0"/>
      </font>
      <fill>
        <patternFill>
          <bgColor theme="8"/>
        </patternFill>
      </fill>
    </dxf>
    <dxf>
      <font>
        <b/>
        <i val="0"/>
        <color theme="0"/>
      </font>
      <fill>
        <patternFill>
          <bgColor theme="8"/>
        </patternFill>
      </fill>
    </dxf>
    <dxf>
      <font>
        <b/>
        <i val="0"/>
        <color rgb="FF9C0006"/>
      </font>
      <fill>
        <patternFill>
          <bgColor theme="5"/>
        </patternFill>
      </fill>
    </dxf>
    <dxf>
      <font>
        <b/>
        <i val="0"/>
        <color theme="0"/>
        <name val="Cambria"/>
        <scheme val="none"/>
      </font>
      <fill>
        <patternFill>
          <bgColor theme="5"/>
        </patternFill>
      </fill>
    </dxf>
    <dxf>
      <font>
        <b/>
        <i val="0"/>
        <color rgb="FFFFC000"/>
      </font>
      <fill>
        <patternFill>
          <bgColor theme="5"/>
        </patternFill>
      </fill>
    </dxf>
    <dxf>
      <font>
        <b/>
        <i val="0"/>
        <color theme="0"/>
      </font>
      <fill>
        <patternFill>
          <bgColor theme="8"/>
        </patternFill>
      </fill>
    </dxf>
    <dxf>
      <font>
        <b/>
        <i val="0"/>
        <color theme="0"/>
      </font>
      <fill>
        <patternFill>
          <bgColor theme="8"/>
        </patternFill>
      </fill>
    </dxf>
    <dxf>
      <font>
        <b/>
        <i val="0"/>
        <color rgb="FF9C0006"/>
      </font>
      <fill>
        <patternFill>
          <bgColor theme="5"/>
        </patternFill>
      </fill>
    </dxf>
    <dxf>
      <font>
        <b/>
        <i val="0"/>
        <color theme="0"/>
        <name val="Cambria"/>
        <scheme val="none"/>
      </font>
      <fill>
        <patternFill>
          <bgColor theme="5"/>
        </patternFill>
      </fill>
    </dxf>
    <dxf>
      <font>
        <b/>
        <i val="0"/>
        <color rgb="FFFFC000"/>
      </font>
      <fill>
        <patternFill>
          <bgColor theme="5"/>
        </patternFill>
      </fill>
    </dxf>
    <dxf>
      <font>
        <b/>
        <i val="0"/>
        <color theme="0"/>
      </font>
      <fill>
        <patternFill>
          <bgColor theme="8"/>
        </patternFill>
      </fill>
    </dxf>
    <dxf>
      <font>
        <b/>
        <i val="0"/>
        <color theme="0"/>
      </font>
      <fill>
        <patternFill>
          <bgColor theme="8"/>
        </patternFill>
      </fill>
    </dxf>
    <dxf>
      <font>
        <b/>
        <i val="0"/>
        <color rgb="FF9C0006"/>
      </font>
      <fill>
        <patternFill>
          <bgColor theme="5"/>
        </patternFill>
      </fill>
    </dxf>
    <dxf>
      <font>
        <b/>
        <i val="0"/>
        <color theme="0"/>
        <name val="Cambria"/>
        <scheme val="none"/>
      </font>
      <fill>
        <patternFill>
          <bgColor theme="5"/>
        </patternFill>
      </fill>
    </dxf>
    <dxf>
      <font>
        <b/>
        <i val="0"/>
        <color rgb="FFFFC000"/>
      </font>
      <fill>
        <patternFill>
          <bgColor theme="5"/>
        </patternFill>
      </fill>
    </dxf>
    <dxf>
      <font>
        <b/>
        <i val="0"/>
        <color theme="0"/>
      </font>
      <fill>
        <patternFill>
          <bgColor theme="8"/>
        </patternFill>
      </fill>
    </dxf>
    <dxf>
      <font>
        <b/>
        <i val="0"/>
        <color theme="0"/>
      </font>
      <fill>
        <patternFill>
          <bgColor theme="8"/>
        </patternFill>
      </fill>
    </dxf>
    <dxf>
      <font>
        <b/>
        <i val="0"/>
        <color rgb="FF9C0006"/>
      </font>
      <fill>
        <patternFill>
          <bgColor theme="5"/>
        </patternFill>
      </fill>
    </dxf>
    <dxf>
      <font>
        <b/>
        <i val="0"/>
        <color theme="0"/>
        <name val="Cambria"/>
        <scheme val="none"/>
      </font>
      <fill>
        <patternFill>
          <bgColor theme="5"/>
        </patternFill>
      </fill>
    </dxf>
    <dxf>
      <font>
        <b/>
        <i val="0"/>
        <color rgb="FFFFC000"/>
      </font>
      <fill>
        <patternFill>
          <bgColor theme="5"/>
        </patternFill>
      </fill>
    </dxf>
    <dxf>
      <font>
        <b/>
        <i val="0"/>
        <color theme="0"/>
      </font>
      <fill>
        <patternFill>
          <bgColor theme="8"/>
        </patternFill>
      </fill>
    </dxf>
    <dxf>
      <font>
        <b/>
        <i val="0"/>
        <color theme="0"/>
      </font>
      <fill>
        <patternFill>
          <bgColor theme="8"/>
        </patternFill>
      </fill>
    </dxf>
    <dxf>
      <font>
        <b/>
        <i val="0"/>
        <color rgb="FF9C0006"/>
      </font>
      <fill>
        <patternFill>
          <bgColor theme="5"/>
        </patternFill>
      </fill>
    </dxf>
    <dxf>
      <font>
        <b/>
        <i val="0"/>
        <color theme="0"/>
        <name val="Cambria"/>
        <scheme val="none"/>
      </font>
      <fill>
        <patternFill>
          <bgColor theme="5"/>
        </patternFill>
      </fill>
    </dxf>
    <dxf>
      <font>
        <b/>
        <i val="0"/>
        <color rgb="FFFFC000"/>
      </font>
      <fill>
        <patternFill>
          <bgColor theme="5"/>
        </patternFill>
      </fill>
    </dxf>
    <dxf>
      <font>
        <b/>
        <i val="0"/>
        <color theme="0"/>
      </font>
      <fill>
        <patternFill>
          <bgColor theme="8"/>
        </patternFill>
      </fill>
    </dxf>
    <dxf>
      <font>
        <b/>
        <i val="0"/>
        <color theme="0"/>
      </font>
      <fill>
        <patternFill>
          <bgColor theme="8"/>
        </patternFill>
      </fill>
    </dxf>
    <dxf>
      <font>
        <b/>
        <i val="0"/>
        <color rgb="FF9C0006"/>
      </font>
      <fill>
        <patternFill>
          <bgColor theme="5"/>
        </patternFill>
      </fill>
    </dxf>
    <dxf>
      <font>
        <b/>
        <i val="0"/>
        <color theme="0"/>
        <name val="Cambria"/>
        <scheme val="none"/>
      </font>
      <fill>
        <patternFill>
          <bgColor theme="5"/>
        </patternFill>
      </fill>
    </dxf>
    <dxf>
      <font>
        <b/>
        <i val="0"/>
        <color rgb="FFFFC000"/>
      </font>
      <fill>
        <patternFill>
          <bgColor theme="5"/>
        </patternFill>
      </fill>
    </dxf>
    <dxf>
      <font>
        <b/>
        <i val="0"/>
        <color theme="0"/>
      </font>
      <fill>
        <patternFill>
          <bgColor theme="8"/>
        </patternFill>
      </fill>
    </dxf>
    <dxf>
      <font>
        <b/>
        <i val="0"/>
        <color theme="0"/>
      </font>
      <fill>
        <patternFill>
          <bgColor theme="8"/>
        </patternFill>
      </fill>
    </dxf>
    <dxf>
      <font>
        <b/>
        <i val="0"/>
        <color rgb="FF9C0006"/>
      </font>
      <fill>
        <patternFill>
          <bgColor theme="5"/>
        </patternFill>
      </fill>
    </dxf>
    <dxf>
      <font>
        <b/>
        <i val="0"/>
        <color theme="0"/>
        <name val="Cambria"/>
        <scheme val="none"/>
      </font>
      <fill>
        <patternFill>
          <bgColor theme="5"/>
        </patternFill>
      </fill>
    </dxf>
    <dxf>
      <font>
        <b/>
        <i val="0"/>
        <color rgb="FFFFC000"/>
      </font>
      <fill>
        <patternFill>
          <bgColor theme="5"/>
        </patternFill>
      </fill>
    </dxf>
    <dxf>
      <font>
        <b/>
        <i val="0"/>
        <color theme="0"/>
      </font>
      <fill>
        <patternFill>
          <bgColor theme="8"/>
        </patternFill>
      </fill>
    </dxf>
    <dxf>
      <font>
        <b/>
        <i val="0"/>
        <color theme="0"/>
      </font>
      <fill>
        <patternFill>
          <bgColor theme="8"/>
        </patternFill>
      </fill>
    </dxf>
    <dxf>
      <font>
        <b/>
        <i val="0"/>
        <color rgb="FF9C0006"/>
      </font>
      <fill>
        <patternFill>
          <bgColor theme="5"/>
        </patternFill>
      </fill>
    </dxf>
    <dxf>
      <font>
        <b/>
        <i val="0"/>
        <color theme="0"/>
        <name val="Cambria"/>
        <scheme val="none"/>
      </font>
      <fill>
        <patternFill>
          <bgColor theme="5"/>
        </patternFill>
      </fill>
    </dxf>
    <dxf>
      <font>
        <b/>
        <i val="0"/>
        <color rgb="FFFFC000"/>
      </font>
      <fill>
        <patternFill>
          <bgColor theme="5"/>
        </patternFill>
      </fill>
    </dxf>
    <dxf>
      <font>
        <b/>
        <i val="0"/>
        <color theme="0"/>
      </font>
      <fill>
        <patternFill>
          <bgColor theme="8"/>
        </patternFill>
      </fill>
    </dxf>
    <dxf>
      <font>
        <b/>
        <i val="0"/>
        <color theme="0"/>
      </font>
      <fill>
        <patternFill>
          <bgColor theme="8"/>
        </patternFill>
      </fill>
    </dxf>
    <dxf>
      <font>
        <b/>
        <i val="0"/>
        <color rgb="FF9C0006"/>
      </font>
      <fill>
        <patternFill>
          <bgColor theme="5"/>
        </patternFill>
      </fill>
    </dxf>
    <dxf>
      <font>
        <b/>
        <i val="0"/>
        <color theme="0"/>
        <name val="Cambria"/>
        <scheme val="none"/>
      </font>
      <fill>
        <patternFill>
          <bgColor theme="5"/>
        </patternFill>
      </fill>
    </dxf>
    <dxf>
      <font>
        <b/>
        <i val="0"/>
        <color rgb="FFFFC000"/>
      </font>
      <fill>
        <patternFill>
          <bgColor theme="5"/>
        </patternFill>
      </fill>
    </dxf>
    <dxf>
      <font>
        <b/>
        <i val="0"/>
        <color theme="0"/>
      </font>
      <fill>
        <patternFill>
          <bgColor theme="8"/>
        </patternFill>
      </fill>
    </dxf>
    <dxf>
      <font>
        <b/>
        <i val="0"/>
        <color theme="0"/>
      </font>
      <fill>
        <patternFill>
          <bgColor theme="8"/>
        </patternFill>
      </fill>
    </dxf>
    <dxf>
      <font>
        <b/>
        <i val="0"/>
        <color rgb="FF9C0006"/>
      </font>
      <fill>
        <patternFill>
          <bgColor theme="5"/>
        </patternFill>
      </fill>
    </dxf>
    <dxf>
      <font>
        <b/>
        <i val="0"/>
        <color theme="0"/>
        <name val="Cambria"/>
        <scheme val="none"/>
      </font>
      <fill>
        <patternFill>
          <bgColor theme="5"/>
        </patternFill>
      </fill>
    </dxf>
    <dxf>
      <font>
        <b/>
        <i val="0"/>
        <color rgb="FFFFC000"/>
      </font>
      <fill>
        <patternFill>
          <bgColor theme="5"/>
        </patternFill>
      </fill>
    </dxf>
    <dxf>
      <font>
        <b/>
        <i val="0"/>
        <color theme="0"/>
      </font>
      <fill>
        <patternFill>
          <bgColor theme="8"/>
        </patternFill>
      </fill>
    </dxf>
    <dxf>
      <font>
        <b/>
        <i val="0"/>
        <color theme="0"/>
      </font>
      <fill>
        <patternFill>
          <bgColor theme="8"/>
        </patternFill>
      </fill>
    </dxf>
    <dxf>
      <font>
        <b/>
        <i val="0"/>
        <color rgb="FF9C0006"/>
      </font>
      <fill>
        <patternFill>
          <bgColor theme="5"/>
        </patternFill>
      </fill>
    </dxf>
    <dxf>
      <font>
        <b/>
        <i val="0"/>
        <color theme="0"/>
        <name val="Cambria"/>
        <scheme val="none"/>
      </font>
      <fill>
        <patternFill>
          <bgColor theme="5"/>
        </patternFill>
      </fill>
    </dxf>
    <dxf>
      <font>
        <b/>
        <i val="0"/>
        <color rgb="FFFFC000"/>
      </font>
      <fill>
        <patternFill>
          <bgColor theme="5"/>
        </patternFill>
      </fill>
    </dxf>
    <dxf>
      <font>
        <b/>
        <i val="0"/>
        <color theme="0"/>
      </font>
      <fill>
        <patternFill>
          <bgColor theme="8"/>
        </patternFill>
      </fill>
    </dxf>
    <dxf>
      <font>
        <b/>
        <i val="0"/>
        <color theme="0"/>
      </font>
      <fill>
        <patternFill>
          <bgColor theme="8"/>
        </patternFill>
      </fill>
    </dxf>
    <dxf>
      <font>
        <b/>
        <i val="0"/>
        <color rgb="FF9C0006"/>
      </font>
      <fill>
        <patternFill>
          <bgColor theme="5"/>
        </patternFill>
      </fill>
    </dxf>
    <dxf>
      <font>
        <b/>
        <i val="0"/>
        <color theme="0"/>
        <name val="Cambria"/>
        <scheme val="none"/>
      </font>
      <fill>
        <patternFill>
          <bgColor theme="5"/>
        </patternFill>
      </fill>
    </dxf>
    <dxf>
      <font>
        <b/>
        <i val="0"/>
        <color rgb="FFFFC000"/>
      </font>
      <fill>
        <patternFill>
          <bgColor theme="5"/>
        </patternFill>
      </fill>
    </dxf>
    <dxf>
      <font>
        <b/>
        <i val="0"/>
        <color theme="0"/>
      </font>
      <fill>
        <patternFill>
          <bgColor theme="8"/>
        </patternFill>
      </fill>
    </dxf>
    <dxf>
      <font>
        <b/>
        <i val="0"/>
        <color theme="0"/>
      </font>
      <fill>
        <patternFill>
          <bgColor theme="8"/>
        </patternFill>
      </fill>
    </dxf>
    <dxf>
      <font>
        <b/>
        <i val="0"/>
        <color rgb="FF9C0006"/>
      </font>
      <fill>
        <patternFill>
          <bgColor theme="5"/>
        </patternFill>
      </fill>
    </dxf>
    <dxf>
      <font>
        <b/>
        <i val="0"/>
        <color theme="0"/>
        <name val="Cambria"/>
        <scheme val="none"/>
      </font>
      <fill>
        <patternFill>
          <bgColor theme="5"/>
        </patternFill>
      </fill>
    </dxf>
    <dxf>
      <font>
        <b/>
        <i val="0"/>
        <color rgb="FFFFC000"/>
      </font>
      <fill>
        <patternFill>
          <bgColor theme="5"/>
        </patternFill>
      </fill>
    </dxf>
    <dxf>
      <font>
        <b/>
        <i val="0"/>
        <color theme="0"/>
      </font>
      <fill>
        <patternFill>
          <bgColor theme="8"/>
        </patternFill>
      </fill>
    </dxf>
    <dxf>
      <font>
        <b/>
        <i val="0"/>
        <color theme="0"/>
      </font>
      <fill>
        <patternFill>
          <bgColor theme="8"/>
        </patternFill>
      </fill>
    </dxf>
    <dxf>
      <font>
        <b/>
        <i val="0"/>
        <color rgb="FF9C0006"/>
      </font>
      <fill>
        <patternFill>
          <bgColor theme="5"/>
        </patternFill>
      </fill>
    </dxf>
    <dxf>
      <font>
        <b/>
        <i val="0"/>
        <color theme="0"/>
        <name val="Cambria"/>
        <scheme val="none"/>
      </font>
      <fill>
        <patternFill>
          <bgColor theme="5"/>
        </patternFill>
      </fill>
    </dxf>
    <dxf>
      <font>
        <b/>
        <i val="0"/>
        <color rgb="FFFFC000"/>
      </font>
      <fill>
        <patternFill>
          <bgColor theme="5"/>
        </patternFill>
      </fill>
    </dxf>
    <dxf>
      <font>
        <b/>
        <i val="0"/>
        <color theme="0"/>
      </font>
      <fill>
        <patternFill>
          <bgColor theme="8"/>
        </patternFill>
      </fill>
    </dxf>
    <dxf>
      <font>
        <b/>
        <i val="0"/>
        <color theme="0"/>
      </font>
      <fill>
        <patternFill>
          <bgColor theme="8"/>
        </patternFill>
      </fill>
    </dxf>
    <dxf>
      <font>
        <b/>
        <i val="0"/>
        <color rgb="FF9C0006"/>
      </font>
      <fill>
        <patternFill>
          <bgColor theme="5"/>
        </patternFill>
      </fill>
    </dxf>
    <dxf>
      <font>
        <b/>
        <i val="0"/>
        <color theme="0"/>
        <name val="Cambria"/>
        <scheme val="none"/>
      </font>
      <fill>
        <patternFill>
          <bgColor theme="5"/>
        </patternFill>
      </fill>
    </dxf>
    <dxf>
      <font>
        <b/>
        <i val="0"/>
        <color rgb="FFFFC000"/>
      </font>
      <fill>
        <patternFill>
          <bgColor theme="5"/>
        </patternFill>
      </fill>
    </dxf>
    <dxf>
      <font>
        <b/>
        <i val="0"/>
        <color theme="0"/>
      </font>
      <fill>
        <patternFill>
          <bgColor theme="8"/>
        </patternFill>
      </fill>
    </dxf>
    <dxf>
      <font>
        <b/>
        <i val="0"/>
        <color theme="0"/>
      </font>
      <fill>
        <patternFill>
          <bgColor theme="8"/>
        </patternFill>
      </fill>
    </dxf>
    <dxf>
      <font>
        <b/>
        <i val="0"/>
        <color rgb="FF9C0006"/>
      </font>
      <fill>
        <patternFill>
          <bgColor theme="5"/>
        </patternFill>
      </fill>
    </dxf>
    <dxf>
      <font>
        <b/>
        <i val="0"/>
        <color theme="0"/>
        <name val="Cambria"/>
        <scheme val="none"/>
      </font>
      <fill>
        <patternFill>
          <bgColor theme="5"/>
        </patternFill>
      </fill>
    </dxf>
    <dxf>
      <font>
        <b/>
        <i val="0"/>
        <color rgb="FFFFC000"/>
      </font>
      <fill>
        <patternFill>
          <bgColor theme="5"/>
        </patternFill>
      </fill>
    </dxf>
    <dxf>
      <font>
        <b/>
        <i val="0"/>
        <color theme="0"/>
      </font>
      <fill>
        <patternFill>
          <bgColor theme="8"/>
        </patternFill>
      </fill>
    </dxf>
    <dxf>
      <font>
        <b/>
        <i val="0"/>
        <color theme="0"/>
      </font>
      <fill>
        <patternFill>
          <bgColor theme="8"/>
        </patternFill>
      </fill>
    </dxf>
    <dxf>
      <font>
        <b/>
        <i val="0"/>
        <color rgb="FF9C0006"/>
      </font>
      <fill>
        <patternFill>
          <bgColor theme="5"/>
        </patternFill>
      </fill>
    </dxf>
    <dxf>
      <font>
        <b/>
        <i val="0"/>
        <color theme="0"/>
        <name val="Cambria"/>
        <scheme val="none"/>
      </font>
      <fill>
        <patternFill>
          <bgColor theme="5"/>
        </patternFill>
      </fill>
    </dxf>
    <dxf>
      <font>
        <b/>
        <i val="0"/>
        <color rgb="FFFFC000"/>
      </font>
      <fill>
        <patternFill>
          <bgColor theme="5"/>
        </patternFill>
      </fill>
    </dxf>
    <dxf>
      <font>
        <b/>
        <i val="0"/>
        <color theme="0"/>
      </font>
      <fill>
        <patternFill>
          <bgColor theme="8"/>
        </patternFill>
      </fill>
    </dxf>
    <dxf>
      <font>
        <b/>
        <i val="0"/>
        <color theme="0"/>
      </font>
      <fill>
        <patternFill>
          <bgColor theme="8"/>
        </patternFill>
      </fill>
    </dxf>
    <dxf>
      <font>
        <b/>
        <i val="0"/>
        <color rgb="FF9C0006"/>
      </font>
      <fill>
        <patternFill>
          <bgColor theme="5"/>
        </patternFill>
      </fill>
    </dxf>
    <dxf>
      <font>
        <b/>
        <i val="0"/>
        <color theme="0"/>
        <name val="Cambria"/>
        <scheme val="none"/>
      </font>
      <fill>
        <patternFill>
          <bgColor theme="5"/>
        </patternFill>
      </fill>
    </dxf>
    <dxf>
      <font>
        <b/>
        <i val="0"/>
        <color rgb="FFFFC000"/>
      </font>
      <fill>
        <patternFill>
          <bgColor theme="5"/>
        </patternFill>
      </fill>
    </dxf>
    <dxf>
      <font>
        <b/>
        <i val="0"/>
        <color theme="0"/>
      </font>
      <fill>
        <patternFill>
          <bgColor theme="8"/>
        </patternFill>
      </fill>
    </dxf>
    <dxf>
      <font>
        <b/>
        <i val="0"/>
        <color theme="0"/>
      </font>
      <fill>
        <patternFill>
          <bgColor theme="8"/>
        </patternFill>
      </fill>
    </dxf>
    <dxf>
      <font>
        <b/>
        <i val="0"/>
        <color rgb="FF9C0006"/>
      </font>
      <fill>
        <patternFill>
          <bgColor theme="5"/>
        </patternFill>
      </fill>
    </dxf>
    <dxf>
      <font>
        <b/>
        <i val="0"/>
        <color theme="0"/>
        <name val="Cambria"/>
        <scheme val="none"/>
      </font>
      <fill>
        <patternFill>
          <bgColor theme="5"/>
        </patternFill>
      </fill>
    </dxf>
    <dxf>
      <font>
        <b/>
        <i val="0"/>
        <color rgb="FFFFC000"/>
      </font>
      <fill>
        <patternFill>
          <bgColor theme="5"/>
        </patternFill>
      </fill>
    </dxf>
    <dxf>
      <font>
        <b/>
        <i val="0"/>
        <color theme="0"/>
      </font>
      <fill>
        <patternFill>
          <bgColor theme="8"/>
        </patternFill>
      </fill>
    </dxf>
    <dxf>
      <font>
        <b/>
        <i val="0"/>
        <color theme="0"/>
      </font>
      <fill>
        <patternFill>
          <bgColor theme="8"/>
        </patternFill>
      </fill>
    </dxf>
    <dxf>
      <font>
        <b/>
        <i val="0"/>
        <color rgb="FF9C0006"/>
      </font>
      <fill>
        <patternFill>
          <bgColor theme="5"/>
        </patternFill>
      </fill>
    </dxf>
    <dxf>
      <font>
        <b/>
        <i val="0"/>
        <color theme="0"/>
        <name val="Cambria"/>
        <scheme val="none"/>
      </font>
      <fill>
        <patternFill>
          <bgColor theme="5"/>
        </patternFill>
      </fill>
    </dxf>
    <dxf>
      <font>
        <b/>
        <i val="0"/>
        <color rgb="FFFFC000"/>
      </font>
      <fill>
        <patternFill>
          <bgColor theme="5"/>
        </patternFill>
      </fill>
    </dxf>
    <dxf>
      <font>
        <b/>
        <i val="0"/>
        <color theme="0"/>
      </font>
      <fill>
        <patternFill>
          <bgColor theme="8"/>
        </patternFill>
      </fill>
    </dxf>
    <dxf>
      <font>
        <b/>
        <i val="0"/>
        <color theme="0"/>
      </font>
      <fill>
        <patternFill>
          <bgColor theme="8"/>
        </patternFill>
      </fill>
    </dxf>
    <dxf>
      <font>
        <b/>
        <i val="0"/>
        <color rgb="FF9C0006"/>
      </font>
      <fill>
        <patternFill>
          <bgColor theme="5"/>
        </patternFill>
      </fill>
    </dxf>
    <dxf>
      <font>
        <b/>
        <i val="0"/>
        <color theme="0"/>
        <name val="Cambria"/>
        <scheme val="none"/>
      </font>
      <fill>
        <patternFill>
          <bgColor theme="5"/>
        </patternFill>
      </fill>
    </dxf>
    <dxf>
      <font>
        <b/>
        <i val="0"/>
        <color rgb="FFFFC000"/>
      </font>
      <fill>
        <patternFill>
          <bgColor theme="5"/>
        </patternFill>
      </fill>
    </dxf>
    <dxf>
      <font>
        <b/>
        <i val="0"/>
        <color theme="0"/>
      </font>
      <fill>
        <patternFill>
          <bgColor theme="8"/>
        </patternFill>
      </fill>
    </dxf>
    <dxf>
      <font>
        <b/>
        <i val="0"/>
        <color theme="0"/>
      </font>
      <fill>
        <patternFill>
          <bgColor theme="8"/>
        </patternFill>
      </fill>
    </dxf>
    <dxf>
      <font>
        <b/>
        <i val="0"/>
        <color rgb="FF9C0006"/>
      </font>
      <fill>
        <patternFill>
          <bgColor theme="5"/>
        </patternFill>
      </fill>
    </dxf>
    <dxf>
      <font>
        <b/>
        <i val="0"/>
        <color theme="0"/>
        <name val="Cambria"/>
        <scheme val="none"/>
      </font>
      <fill>
        <patternFill>
          <bgColor theme="5"/>
        </patternFill>
      </fill>
    </dxf>
    <dxf>
      <font>
        <b/>
        <i val="0"/>
        <color rgb="FFFFC000"/>
      </font>
      <fill>
        <patternFill>
          <bgColor theme="5"/>
        </patternFill>
      </fill>
    </dxf>
    <dxf>
      <font>
        <b/>
        <i val="0"/>
        <color theme="0"/>
      </font>
      <fill>
        <patternFill>
          <bgColor theme="8"/>
        </patternFill>
      </fill>
    </dxf>
    <dxf>
      <font>
        <b/>
        <i val="0"/>
        <color theme="0"/>
      </font>
      <fill>
        <patternFill>
          <bgColor theme="8"/>
        </patternFill>
      </fill>
    </dxf>
    <dxf>
      <font>
        <b/>
        <i val="0"/>
        <color rgb="FF9C0006"/>
      </font>
      <fill>
        <patternFill>
          <bgColor theme="5"/>
        </patternFill>
      </fill>
    </dxf>
    <dxf>
      <font>
        <b/>
        <i val="0"/>
        <color theme="0"/>
        <name val="Cambria"/>
        <scheme val="none"/>
      </font>
      <fill>
        <patternFill>
          <bgColor theme="5"/>
        </patternFill>
      </fill>
    </dxf>
    <dxf>
      <font>
        <b/>
        <i val="0"/>
        <color rgb="FFFFC000"/>
      </font>
      <fill>
        <patternFill>
          <bgColor theme="5"/>
        </patternFill>
      </fill>
    </dxf>
    <dxf>
      <font>
        <b/>
        <i val="0"/>
        <color theme="0"/>
      </font>
      <fill>
        <patternFill>
          <bgColor theme="8"/>
        </patternFill>
      </fill>
    </dxf>
    <dxf>
      <font>
        <b/>
        <i val="0"/>
        <color theme="0"/>
      </font>
      <fill>
        <patternFill>
          <bgColor theme="8"/>
        </patternFill>
      </fill>
    </dxf>
    <dxf>
      <font>
        <b/>
        <i val="0"/>
        <color rgb="FF9C0006"/>
      </font>
      <fill>
        <patternFill>
          <bgColor theme="5"/>
        </patternFill>
      </fill>
    </dxf>
    <dxf>
      <font>
        <b/>
        <i val="0"/>
        <color theme="0"/>
        <name val="Cambria"/>
        <scheme val="none"/>
      </font>
      <fill>
        <patternFill>
          <bgColor theme="5"/>
        </patternFill>
      </fill>
    </dxf>
    <dxf>
      <font>
        <b/>
        <i val="0"/>
        <color rgb="FFFFC000"/>
      </font>
      <fill>
        <patternFill>
          <bgColor theme="5"/>
        </patternFill>
      </fill>
    </dxf>
    <dxf>
      <font>
        <b/>
        <i val="0"/>
        <color theme="0"/>
      </font>
      <fill>
        <patternFill>
          <bgColor theme="8"/>
        </patternFill>
      </fill>
    </dxf>
    <dxf>
      <font>
        <b/>
        <i val="0"/>
        <color theme="0"/>
      </font>
      <fill>
        <patternFill>
          <bgColor theme="8"/>
        </patternFill>
      </fill>
    </dxf>
    <dxf>
      <font>
        <b/>
        <i val="0"/>
        <color rgb="FF9C0006"/>
      </font>
      <fill>
        <patternFill>
          <bgColor theme="5"/>
        </patternFill>
      </fill>
    </dxf>
    <dxf>
      <font>
        <b/>
        <i val="0"/>
        <color theme="0"/>
        <name val="Cambria"/>
        <scheme val="none"/>
      </font>
      <fill>
        <patternFill>
          <bgColor theme="5"/>
        </patternFill>
      </fill>
    </dxf>
    <dxf>
      <font>
        <b/>
        <i val="0"/>
        <color rgb="FFFFC000"/>
      </font>
      <fill>
        <patternFill>
          <bgColor theme="5"/>
        </patternFill>
      </fill>
    </dxf>
    <dxf>
      <font>
        <b/>
        <i val="0"/>
        <color theme="0"/>
      </font>
      <fill>
        <patternFill>
          <bgColor theme="8"/>
        </patternFill>
      </fill>
    </dxf>
    <dxf>
      <font>
        <b/>
        <i val="0"/>
        <color theme="0"/>
      </font>
      <fill>
        <patternFill>
          <bgColor theme="8"/>
        </patternFill>
      </fill>
    </dxf>
    <dxf>
      <font>
        <b/>
        <i val="0"/>
        <color rgb="FF9C0006"/>
      </font>
      <fill>
        <patternFill>
          <bgColor theme="5"/>
        </patternFill>
      </fill>
    </dxf>
    <dxf>
      <font>
        <b/>
        <i val="0"/>
        <color theme="0"/>
        <name val="Cambria"/>
        <scheme val="none"/>
      </font>
      <fill>
        <patternFill>
          <bgColor theme="5"/>
        </patternFill>
      </fill>
    </dxf>
    <dxf>
      <font>
        <b/>
        <i val="0"/>
        <color rgb="FFFFC000"/>
      </font>
      <fill>
        <patternFill>
          <bgColor theme="5"/>
        </patternFill>
      </fill>
    </dxf>
    <dxf>
      <font>
        <b/>
        <i val="0"/>
        <color theme="0"/>
      </font>
      <fill>
        <patternFill>
          <bgColor theme="8"/>
        </patternFill>
      </fill>
    </dxf>
    <dxf>
      <font>
        <b/>
        <i val="0"/>
        <color theme="0"/>
      </font>
      <fill>
        <patternFill>
          <bgColor theme="8"/>
        </patternFill>
      </fill>
    </dxf>
    <dxf>
      <font>
        <b/>
        <i val="0"/>
        <color rgb="FF9C0006"/>
      </font>
      <fill>
        <patternFill>
          <bgColor theme="5"/>
        </patternFill>
      </fill>
    </dxf>
    <dxf>
      <font>
        <b/>
        <i val="0"/>
        <color theme="0"/>
        <name val="Cambria"/>
        <scheme val="none"/>
      </font>
      <fill>
        <patternFill>
          <bgColor theme="5"/>
        </patternFill>
      </fill>
    </dxf>
    <dxf>
      <font>
        <b/>
        <i val="0"/>
        <color rgb="FFFFC000"/>
      </font>
      <fill>
        <patternFill>
          <bgColor theme="5"/>
        </patternFill>
      </fill>
    </dxf>
    <dxf>
      <font>
        <b/>
        <i val="0"/>
        <color theme="0"/>
      </font>
      <fill>
        <patternFill>
          <bgColor theme="8"/>
        </patternFill>
      </fill>
    </dxf>
    <dxf>
      <font>
        <b/>
        <i val="0"/>
        <color theme="0"/>
      </font>
      <fill>
        <patternFill>
          <bgColor theme="8"/>
        </patternFill>
      </fill>
    </dxf>
    <dxf>
      <font>
        <b/>
        <i val="0"/>
        <color rgb="FF9C0006"/>
      </font>
      <fill>
        <patternFill>
          <bgColor theme="5"/>
        </patternFill>
      </fill>
    </dxf>
    <dxf>
      <font>
        <b/>
        <i val="0"/>
        <color theme="0"/>
        <name val="Cambria"/>
        <scheme val="none"/>
      </font>
      <fill>
        <patternFill>
          <bgColor theme="5"/>
        </patternFill>
      </fill>
    </dxf>
    <dxf>
      <font>
        <b/>
        <i val="0"/>
        <color rgb="FFFFC000"/>
      </font>
      <fill>
        <patternFill>
          <bgColor theme="5"/>
        </patternFill>
      </fill>
    </dxf>
    <dxf>
      <font>
        <b/>
        <i val="0"/>
        <color theme="0"/>
      </font>
      <fill>
        <patternFill>
          <bgColor theme="8"/>
        </patternFill>
      </fill>
    </dxf>
    <dxf>
      <font>
        <b/>
        <i val="0"/>
        <color theme="0"/>
      </font>
      <fill>
        <patternFill>
          <bgColor theme="8"/>
        </patternFill>
      </fill>
    </dxf>
    <dxf>
      <font>
        <b/>
        <i val="0"/>
        <color rgb="FF9C0006"/>
      </font>
      <fill>
        <patternFill>
          <bgColor theme="5"/>
        </patternFill>
      </fill>
    </dxf>
    <dxf>
      <font>
        <b/>
        <i val="0"/>
        <color theme="0"/>
        <name val="Cambria"/>
        <scheme val="none"/>
      </font>
      <fill>
        <patternFill>
          <bgColor theme="5"/>
        </patternFill>
      </fill>
    </dxf>
    <dxf>
      <font>
        <b/>
        <i val="0"/>
        <color rgb="FFFFC000"/>
      </font>
      <fill>
        <patternFill>
          <bgColor theme="5"/>
        </patternFill>
      </fill>
    </dxf>
    <dxf>
      <font>
        <b/>
        <i val="0"/>
        <color theme="0"/>
      </font>
      <fill>
        <patternFill>
          <bgColor theme="8"/>
        </patternFill>
      </fill>
    </dxf>
    <dxf>
      <font>
        <b/>
        <i val="0"/>
        <color theme="0"/>
      </font>
      <fill>
        <patternFill>
          <bgColor theme="8"/>
        </patternFill>
      </fill>
    </dxf>
    <dxf>
      <font>
        <b/>
        <i val="0"/>
        <color rgb="FF9C0006"/>
      </font>
      <fill>
        <patternFill>
          <bgColor theme="5"/>
        </patternFill>
      </fill>
    </dxf>
    <dxf>
      <font>
        <b/>
        <i val="0"/>
        <color theme="0"/>
        <name val="Cambria"/>
        <scheme val="none"/>
      </font>
      <fill>
        <patternFill>
          <bgColor theme="5"/>
        </patternFill>
      </fill>
    </dxf>
    <dxf>
      <font>
        <b/>
        <i val="0"/>
        <color rgb="FFFFC000"/>
      </font>
      <fill>
        <patternFill>
          <bgColor theme="5"/>
        </patternFill>
      </fill>
    </dxf>
    <dxf>
      <font>
        <b/>
        <i val="0"/>
        <color theme="0"/>
      </font>
      <fill>
        <patternFill>
          <bgColor theme="8"/>
        </patternFill>
      </fill>
    </dxf>
    <dxf>
      <font>
        <b/>
        <i val="0"/>
        <color theme="0"/>
      </font>
      <fill>
        <patternFill>
          <bgColor theme="8"/>
        </patternFill>
      </fill>
    </dxf>
    <dxf>
      <font>
        <b/>
        <i val="0"/>
        <color rgb="FF9C0006"/>
      </font>
      <fill>
        <patternFill>
          <bgColor theme="5"/>
        </patternFill>
      </fill>
    </dxf>
    <dxf>
      <font>
        <b/>
        <i val="0"/>
        <color theme="0"/>
        <name val="Cambria"/>
        <scheme val="none"/>
      </font>
      <fill>
        <patternFill>
          <bgColor theme="5"/>
        </patternFill>
      </fill>
    </dxf>
    <dxf>
      <font>
        <b/>
        <i val="0"/>
        <color rgb="FFFFC000"/>
      </font>
      <fill>
        <patternFill>
          <bgColor theme="5"/>
        </patternFill>
      </fill>
    </dxf>
    <dxf>
      <font>
        <b/>
        <i val="0"/>
        <color theme="0"/>
      </font>
      <fill>
        <patternFill>
          <bgColor theme="8"/>
        </patternFill>
      </fill>
    </dxf>
    <dxf>
      <font>
        <b/>
        <i val="0"/>
        <color theme="0"/>
      </font>
      <fill>
        <patternFill>
          <bgColor theme="8"/>
        </patternFill>
      </fill>
    </dxf>
    <dxf>
      <font>
        <b/>
        <i val="0"/>
        <color rgb="FF9C0006"/>
      </font>
      <fill>
        <patternFill>
          <bgColor theme="5"/>
        </patternFill>
      </fill>
    </dxf>
    <dxf>
      <font>
        <b/>
        <i val="0"/>
        <color theme="0"/>
        <name val="Cambria"/>
        <scheme val="none"/>
      </font>
      <fill>
        <patternFill>
          <bgColor theme="5"/>
        </patternFill>
      </fill>
    </dxf>
    <dxf>
      <font>
        <b/>
        <i val="0"/>
        <color rgb="FFFFC000"/>
      </font>
      <fill>
        <patternFill>
          <bgColor theme="5"/>
        </patternFill>
      </fill>
    </dxf>
    <dxf>
      <font>
        <b/>
        <i val="0"/>
        <color theme="0"/>
      </font>
      <fill>
        <patternFill>
          <bgColor theme="8"/>
        </patternFill>
      </fill>
    </dxf>
    <dxf>
      <font>
        <b/>
        <i val="0"/>
        <color theme="0"/>
      </font>
      <fill>
        <patternFill>
          <bgColor theme="8"/>
        </patternFill>
      </fill>
    </dxf>
    <dxf>
      <font>
        <b/>
        <i val="0"/>
        <color rgb="FF9C0006"/>
      </font>
      <fill>
        <patternFill>
          <bgColor theme="5"/>
        </patternFill>
      </fill>
    </dxf>
    <dxf>
      <font>
        <b/>
        <i val="0"/>
        <color theme="0"/>
        <name val="Cambria"/>
        <scheme val="none"/>
      </font>
      <fill>
        <patternFill>
          <bgColor theme="5"/>
        </patternFill>
      </fill>
    </dxf>
    <dxf>
      <font>
        <b/>
        <i val="0"/>
        <color rgb="FFFFC000"/>
      </font>
      <fill>
        <patternFill>
          <bgColor theme="5"/>
        </patternFill>
      </fill>
    </dxf>
    <dxf>
      <font>
        <b/>
        <i val="0"/>
        <color theme="0"/>
      </font>
      <fill>
        <patternFill>
          <bgColor theme="8"/>
        </patternFill>
      </fill>
    </dxf>
    <dxf>
      <font>
        <b/>
        <i val="0"/>
        <color theme="0"/>
      </font>
      <fill>
        <patternFill>
          <bgColor theme="8"/>
        </patternFill>
      </fill>
    </dxf>
    <dxf>
      <font>
        <b/>
        <i val="0"/>
        <color rgb="FF9C0006"/>
      </font>
      <fill>
        <patternFill>
          <bgColor theme="5"/>
        </patternFill>
      </fill>
    </dxf>
    <dxf>
      <font>
        <b/>
        <i val="0"/>
        <color theme="0"/>
        <name val="Cambria"/>
        <scheme val="none"/>
      </font>
      <fill>
        <patternFill>
          <bgColor theme="5"/>
        </patternFill>
      </fill>
    </dxf>
    <dxf>
      <font>
        <b/>
        <i val="0"/>
        <color rgb="FFFFC000"/>
      </font>
      <fill>
        <patternFill>
          <bgColor theme="5"/>
        </patternFill>
      </fill>
    </dxf>
    <dxf>
      <font>
        <b/>
        <i val="0"/>
        <color theme="0"/>
      </font>
      <fill>
        <patternFill>
          <bgColor theme="8"/>
        </patternFill>
      </fill>
    </dxf>
    <dxf>
      <font>
        <b/>
        <i val="0"/>
        <color theme="0"/>
      </font>
      <fill>
        <patternFill>
          <bgColor theme="8"/>
        </patternFill>
      </fill>
    </dxf>
    <dxf>
      <font>
        <b/>
        <i val="0"/>
        <color rgb="FF9C0006"/>
      </font>
      <fill>
        <patternFill>
          <bgColor theme="5"/>
        </patternFill>
      </fill>
    </dxf>
    <dxf>
      <font>
        <b/>
        <i val="0"/>
        <color theme="0"/>
        <name val="Cambria"/>
        <scheme val="none"/>
      </font>
      <fill>
        <patternFill>
          <bgColor theme="5"/>
        </patternFill>
      </fill>
    </dxf>
    <dxf>
      <font>
        <b/>
        <i val="0"/>
        <color rgb="FFFFC000"/>
      </font>
      <fill>
        <patternFill>
          <bgColor theme="5"/>
        </patternFill>
      </fill>
    </dxf>
    <dxf>
      <font>
        <b/>
        <i val="0"/>
        <color theme="0"/>
      </font>
      <fill>
        <patternFill>
          <bgColor theme="8"/>
        </patternFill>
      </fill>
    </dxf>
    <dxf>
      <font>
        <b/>
        <i val="0"/>
        <color theme="0"/>
      </font>
      <fill>
        <patternFill>
          <bgColor theme="8"/>
        </patternFill>
      </fill>
    </dxf>
    <dxf>
      <font>
        <b/>
        <i val="0"/>
        <color rgb="FF9C0006"/>
      </font>
      <fill>
        <patternFill>
          <bgColor theme="5"/>
        </patternFill>
      </fill>
    </dxf>
    <dxf>
      <font>
        <b/>
        <i val="0"/>
        <color theme="0"/>
        <name val="Cambria"/>
        <scheme val="none"/>
      </font>
      <fill>
        <patternFill>
          <bgColor theme="5"/>
        </patternFill>
      </fill>
    </dxf>
    <dxf>
      <font>
        <b/>
        <i val="0"/>
        <color rgb="FFFFC000"/>
      </font>
      <fill>
        <patternFill>
          <bgColor theme="5"/>
        </patternFill>
      </fill>
    </dxf>
    <dxf>
      <font>
        <b/>
        <i val="0"/>
        <color theme="0"/>
      </font>
      <fill>
        <patternFill>
          <bgColor theme="8"/>
        </patternFill>
      </fill>
    </dxf>
    <dxf>
      <font>
        <b/>
        <i val="0"/>
        <color theme="0"/>
      </font>
      <fill>
        <patternFill>
          <bgColor theme="8"/>
        </patternFill>
      </fill>
    </dxf>
    <dxf>
      <font>
        <b/>
        <i val="0"/>
        <color rgb="FF9C0006"/>
      </font>
      <fill>
        <patternFill>
          <bgColor theme="5"/>
        </patternFill>
      </fill>
    </dxf>
    <dxf>
      <font>
        <b/>
        <i val="0"/>
        <color theme="0"/>
        <name val="Cambria"/>
        <scheme val="none"/>
      </font>
      <fill>
        <patternFill>
          <bgColor theme="5"/>
        </patternFill>
      </fill>
    </dxf>
    <dxf>
      <font>
        <b/>
        <i val="0"/>
        <color rgb="FFFFC000"/>
      </font>
      <fill>
        <patternFill>
          <bgColor theme="5"/>
        </patternFill>
      </fill>
    </dxf>
    <dxf>
      <font>
        <b/>
        <i val="0"/>
        <color theme="0"/>
      </font>
      <fill>
        <patternFill>
          <bgColor theme="8"/>
        </patternFill>
      </fill>
    </dxf>
    <dxf>
      <font>
        <b/>
        <i val="0"/>
        <color theme="0"/>
      </font>
      <fill>
        <patternFill>
          <bgColor theme="8"/>
        </patternFill>
      </fill>
    </dxf>
    <dxf>
      <font>
        <b/>
        <i val="0"/>
        <color rgb="FF9C0006"/>
      </font>
      <fill>
        <patternFill>
          <bgColor theme="5"/>
        </patternFill>
      </fill>
    </dxf>
    <dxf>
      <font>
        <b/>
        <i val="0"/>
        <color theme="0"/>
        <name val="Cambria"/>
        <scheme val="none"/>
      </font>
      <fill>
        <patternFill>
          <bgColor theme="5"/>
        </patternFill>
      </fill>
    </dxf>
    <dxf>
      <font>
        <b/>
        <i val="0"/>
        <color rgb="FFFFC000"/>
      </font>
      <fill>
        <patternFill>
          <bgColor theme="5"/>
        </patternFill>
      </fill>
    </dxf>
    <dxf>
      <font>
        <b/>
        <i val="0"/>
        <color theme="0"/>
      </font>
      <fill>
        <patternFill>
          <bgColor theme="8"/>
        </patternFill>
      </fill>
    </dxf>
    <dxf>
      <font>
        <b/>
        <i val="0"/>
        <color theme="0"/>
      </font>
      <fill>
        <patternFill>
          <bgColor theme="8"/>
        </patternFill>
      </fill>
    </dxf>
    <dxf>
      <font>
        <b/>
        <i val="0"/>
        <color rgb="FF9C0006"/>
      </font>
      <fill>
        <patternFill>
          <bgColor theme="5"/>
        </patternFill>
      </fill>
    </dxf>
    <dxf>
      <font>
        <b/>
        <i val="0"/>
        <color theme="0"/>
        <name val="Cambria"/>
        <scheme val="none"/>
      </font>
      <fill>
        <patternFill>
          <bgColor theme="5"/>
        </patternFill>
      </fill>
    </dxf>
    <dxf>
      <font>
        <b/>
        <i val="0"/>
        <color rgb="FFFFC000"/>
      </font>
      <fill>
        <patternFill>
          <bgColor theme="5"/>
        </patternFill>
      </fill>
    </dxf>
    <dxf>
      <font>
        <b/>
        <i val="0"/>
        <color theme="0"/>
      </font>
      <fill>
        <patternFill>
          <bgColor theme="8"/>
        </patternFill>
      </fill>
    </dxf>
    <dxf>
      <font>
        <b/>
        <i val="0"/>
        <color theme="0"/>
      </font>
      <fill>
        <patternFill>
          <bgColor theme="8"/>
        </patternFill>
      </fill>
    </dxf>
    <dxf>
      <font>
        <b/>
        <i val="0"/>
        <color rgb="FF9C0006"/>
      </font>
      <fill>
        <patternFill>
          <bgColor theme="5"/>
        </patternFill>
      </fill>
    </dxf>
    <dxf>
      <font>
        <b/>
        <i val="0"/>
        <color theme="0"/>
        <name val="Cambria"/>
        <scheme val="none"/>
      </font>
      <fill>
        <patternFill>
          <bgColor theme="5"/>
        </patternFill>
      </fill>
    </dxf>
    <dxf>
      <font>
        <b/>
        <i val="0"/>
        <color rgb="FFFFC000"/>
      </font>
      <fill>
        <patternFill>
          <bgColor theme="5"/>
        </patternFill>
      </fill>
    </dxf>
    <dxf>
      <font>
        <b/>
        <i val="0"/>
        <color theme="0"/>
      </font>
      <fill>
        <patternFill>
          <bgColor theme="8"/>
        </patternFill>
      </fill>
    </dxf>
    <dxf>
      <font>
        <b/>
        <i val="0"/>
        <color theme="0"/>
      </font>
      <fill>
        <patternFill>
          <bgColor theme="8"/>
        </patternFill>
      </fill>
    </dxf>
    <dxf>
      <font>
        <b/>
        <i val="0"/>
        <color rgb="FF9C0006"/>
      </font>
      <fill>
        <patternFill>
          <bgColor theme="5"/>
        </patternFill>
      </fill>
    </dxf>
    <dxf>
      <font>
        <b/>
        <i val="0"/>
        <color theme="0"/>
        <name val="Cambria"/>
        <scheme val="none"/>
      </font>
      <fill>
        <patternFill>
          <bgColor theme="5"/>
        </patternFill>
      </fill>
    </dxf>
    <dxf>
      <font>
        <b/>
        <i val="0"/>
        <color rgb="FFFFC000"/>
      </font>
      <fill>
        <patternFill>
          <bgColor theme="5"/>
        </patternFill>
      </fill>
    </dxf>
    <dxf>
      <font>
        <b/>
        <i val="0"/>
        <color theme="0"/>
      </font>
      <fill>
        <patternFill>
          <bgColor theme="8"/>
        </patternFill>
      </fill>
    </dxf>
    <dxf>
      <font>
        <b/>
        <i val="0"/>
        <color theme="0"/>
      </font>
      <fill>
        <patternFill>
          <bgColor theme="8"/>
        </patternFill>
      </fill>
    </dxf>
    <dxf>
      <font>
        <b/>
        <i val="0"/>
        <color rgb="FF9C0006"/>
      </font>
      <fill>
        <patternFill>
          <bgColor theme="5"/>
        </patternFill>
      </fill>
    </dxf>
    <dxf>
      <font>
        <b/>
        <i val="0"/>
        <color theme="0"/>
        <name val="Cambria"/>
        <scheme val="none"/>
      </font>
      <fill>
        <patternFill>
          <bgColor theme="5"/>
        </patternFill>
      </fill>
    </dxf>
    <dxf>
      <font>
        <b/>
        <i val="0"/>
        <color rgb="FFFFC000"/>
      </font>
      <fill>
        <patternFill>
          <bgColor theme="5"/>
        </patternFill>
      </fill>
    </dxf>
    <dxf>
      <font>
        <b/>
        <i val="0"/>
        <color theme="0"/>
      </font>
      <fill>
        <patternFill>
          <bgColor theme="8"/>
        </patternFill>
      </fill>
    </dxf>
    <dxf>
      <font>
        <b/>
        <i val="0"/>
        <color theme="0"/>
      </font>
      <fill>
        <patternFill>
          <bgColor theme="8"/>
        </patternFill>
      </fill>
    </dxf>
    <dxf>
      <font>
        <b/>
        <i val="0"/>
        <color rgb="FF9C0006"/>
      </font>
      <fill>
        <patternFill>
          <bgColor theme="5"/>
        </patternFill>
      </fill>
    </dxf>
    <dxf>
      <font>
        <b/>
        <i val="0"/>
        <color theme="0"/>
        <name val="Cambria"/>
        <scheme val="none"/>
      </font>
      <fill>
        <patternFill>
          <bgColor theme="5"/>
        </patternFill>
      </fill>
    </dxf>
    <dxf>
      <font>
        <b/>
        <i val="0"/>
        <color rgb="FFFFC000"/>
      </font>
      <fill>
        <patternFill>
          <bgColor theme="5"/>
        </patternFill>
      </fill>
    </dxf>
    <dxf>
      <font>
        <b/>
        <i val="0"/>
        <color theme="0"/>
      </font>
      <fill>
        <patternFill>
          <bgColor theme="8"/>
        </patternFill>
      </fill>
    </dxf>
    <dxf>
      <font>
        <b/>
        <i val="0"/>
        <color theme="0"/>
      </font>
      <fill>
        <patternFill>
          <bgColor theme="8"/>
        </patternFill>
      </fill>
    </dxf>
    <dxf>
      <font>
        <b/>
        <i val="0"/>
        <color rgb="FF9C0006"/>
      </font>
      <fill>
        <patternFill>
          <bgColor theme="5"/>
        </patternFill>
      </fill>
    </dxf>
    <dxf>
      <font>
        <b/>
        <i val="0"/>
        <color theme="0"/>
        <name val="Cambria"/>
        <scheme val="none"/>
      </font>
      <fill>
        <patternFill>
          <bgColor theme="5"/>
        </patternFill>
      </fill>
    </dxf>
    <dxf>
      <font>
        <b/>
        <i val="0"/>
        <color rgb="FFFFC000"/>
      </font>
      <fill>
        <patternFill>
          <bgColor theme="5"/>
        </patternFill>
      </fill>
    </dxf>
    <dxf>
      <font>
        <b/>
        <i val="0"/>
        <color theme="0"/>
      </font>
      <fill>
        <patternFill>
          <bgColor theme="8"/>
        </patternFill>
      </fill>
    </dxf>
    <dxf>
      <font>
        <b/>
        <i val="0"/>
        <color theme="0"/>
      </font>
      <fill>
        <patternFill>
          <bgColor theme="8"/>
        </patternFill>
      </fill>
    </dxf>
    <dxf>
      <font>
        <b/>
        <i val="0"/>
        <color rgb="FF9C0006"/>
      </font>
      <fill>
        <patternFill>
          <bgColor theme="5"/>
        </patternFill>
      </fill>
    </dxf>
    <dxf>
      <font>
        <b/>
        <i val="0"/>
        <color theme="0"/>
        <name val="Cambria"/>
        <scheme val="none"/>
      </font>
      <fill>
        <patternFill>
          <bgColor theme="5"/>
        </patternFill>
      </fill>
    </dxf>
    <dxf>
      <font>
        <b/>
        <i val="0"/>
        <color rgb="FFFFC000"/>
      </font>
      <fill>
        <patternFill>
          <bgColor theme="5"/>
        </patternFill>
      </fill>
    </dxf>
    <dxf>
      <font>
        <b/>
        <i val="0"/>
        <color theme="0"/>
      </font>
      <fill>
        <patternFill>
          <bgColor theme="8"/>
        </patternFill>
      </fill>
    </dxf>
    <dxf>
      <font>
        <b/>
        <i val="0"/>
        <color theme="0"/>
      </font>
      <fill>
        <patternFill>
          <bgColor theme="8"/>
        </patternFill>
      </fill>
    </dxf>
    <dxf>
      <font>
        <b/>
        <i val="0"/>
        <color rgb="FF9C0006"/>
      </font>
      <fill>
        <patternFill>
          <bgColor theme="5"/>
        </patternFill>
      </fill>
    </dxf>
    <dxf>
      <font>
        <b/>
        <i val="0"/>
        <color theme="0"/>
        <name val="Cambria"/>
        <scheme val="none"/>
      </font>
      <fill>
        <patternFill>
          <bgColor theme="5"/>
        </patternFill>
      </fill>
    </dxf>
    <dxf>
      <font>
        <b/>
        <i val="0"/>
        <color rgb="FFFFC000"/>
      </font>
      <fill>
        <patternFill>
          <bgColor theme="5"/>
        </patternFill>
      </fill>
    </dxf>
    <dxf>
      <font>
        <b/>
        <i val="0"/>
        <color theme="0"/>
      </font>
      <fill>
        <patternFill>
          <bgColor theme="8"/>
        </patternFill>
      </fill>
    </dxf>
    <dxf>
      <font>
        <b/>
        <i val="0"/>
        <color theme="0"/>
      </font>
      <fill>
        <patternFill>
          <bgColor theme="8"/>
        </patternFill>
      </fill>
    </dxf>
    <dxf>
      <font>
        <b/>
        <i val="0"/>
        <color rgb="FF9C0006"/>
      </font>
      <fill>
        <patternFill>
          <bgColor theme="5"/>
        </patternFill>
      </fill>
    </dxf>
    <dxf>
      <font>
        <b/>
        <i val="0"/>
        <color theme="0"/>
        <name val="Cambria"/>
        <scheme val="none"/>
      </font>
      <fill>
        <patternFill>
          <bgColor theme="5"/>
        </patternFill>
      </fill>
    </dxf>
    <dxf>
      <font>
        <b/>
        <i val="0"/>
        <color rgb="FFFFC000"/>
      </font>
      <fill>
        <patternFill>
          <bgColor theme="5"/>
        </patternFill>
      </fill>
    </dxf>
    <dxf>
      <font>
        <b/>
        <i val="0"/>
        <color theme="0"/>
      </font>
      <fill>
        <patternFill>
          <bgColor theme="8"/>
        </patternFill>
      </fill>
    </dxf>
    <dxf>
      <font>
        <b/>
        <i val="0"/>
        <color theme="0"/>
      </font>
      <fill>
        <patternFill>
          <bgColor theme="8"/>
        </patternFill>
      </fill>
    </dxf>
    <dxf>
      <font>
        <b/>
        <i val="0"/>
        <color rgb="FF9C0006"/>
      </font>
      <fill>
        <patternFill>
          <bgColor theme="5"/>
        </patternFill>
      </fill>
    </dxf>
    <dxf>
      <font>
        <b/>
        <i val="0"/>
        <color theme="0"/>
        <name val="Cambria"/>
        <scheme val="none"/>
      </font>
      <fill>
        <patternFill>
          <bgColor theme="5"/>
        </patternFill>
      </fill>
    </dxf>
    <dxf>
      <font>
        <b/>
        <i val="0"/>
        <color rgb="FFFFC000"/>
      </font>
      <fill>
        <patternFill>
          <bgColor theme="5"/>
        </patternFill>
      </fill>
    </dxf>
    <dxf>
      <font>
        <b/>
        <i val="0"/>
        <color theme="0"/>
      </font>
      <fill>
        <patternFill>
          <bgColor theme="8"/>
        </patternFill>
      </fill>
    </dxf>
    <dxf>
      <font>
        <b/>
        <i val="0"/>
        <color theme="0"/>
      </font>
      <fill>
        <patternFill>
          <bgColor theme="8"/>
        </patternFill>
      </fill>
    </dxf>
    <dxf>
      <font>
        <b/>
        <i val="0"/>
        <color rgb="FF9C0006"/>
      </font>
      <fill>
        <patternFill>
          <bgColor theme="5"/>
        </patternFill>
      </fill>
    </dxf>
    <dxf>
      <font>
        <b/>
        <i val="0"/>
        <color theme="0"/>
        <name val="Cambria"/>
        <scheme val="none"/>
      </font>
      <fill>
        <patternFill>
          <bgColor theme="5"/>
        </patternFill>
      </fill>
    </dxf>
    <dxf>
      <font>
        <b/>
        <i val="0"/>
        <color rgb="FFFFC000"/>
      </font>
      <fill>
        <patternFill>
          <bgColor theme="5"/>
        </patternFill>
      </fill>
    </dxf>
    <dxf>
      <font>
        <b/>
        <i val="0"/>
        <color theme="0"/>
      </font>
      <fill>
        <patternFill>
          <bgColor theme="8"/>
        </patternFill>
      </fill>
    </dxf>
    <dxf>
      <font>
        <b/>
        <i val="0"/>
        <color theme="0"/>
      </font>
      <fill>
        <patternFill>
          <bgColor theme="8"/>
        </patternFill>
      </fill>
    </dxf>
    <dxf>
      <font>
        <b/>
        <i val="0"/>
        <color rgb="FF9C0006"/>
      </font>
      <fill>
        <patternFill>
          <bgColor theme="5"/>
        </patternFill>
      </fill>
    </dxf>
    <dxf>
      <font>
        <b/>
        <i val="0"/>
        <color theme="0"/>
        <name val="Cambria"/>
        <scheme val="none"/>
      </font>
      <fill>
        <patternFill>
          <bgColor theme="5"/>
        </patternFill>
      </fill>
    </dxf>
    <dxf>
      <font>
        <b/>
        <i val="0"/>
        <color rgb="FFFFC000"/>
      </font>
      <fill>
        <patternFill>
          <bgColor theme="5"/>
        </patternFill>
      </fill>
    </dxf>
    <dxf>
      <font>
        <b/>
        <i val="0"/>
        <color theme="0"/>
      </font>
      <fill>
        <patternFill>
          <bgColor theme="8"/>
        </patternFill>
      </fill>
    </dxf>
    <dxf>
      <font>
        <b/>
        <i val="0"/>
        <color theme="0"/>
      </font>
      <fill>
        <patternFill>
          <bgColor theme="8"/>
        </patternFill>
      </fill>
    </dxf>
    <dxf>
      <font>
        <b/>
        <i val="0"/>
        <color rgb="FF9C0006"/>
      </font>
      <fill>
        <patternFill>
          <bgColor theme="5"/>
        </patternFill>
      </fill>
    </dxf>
    <dxf>
      <font>
        <b/>
        <i val="0"/>
        <color theme="0"/>
        <name val="Cambria"/>
        <scheme val="none"/>
      </font>
      <fill>
        <patternFill>
          <bgColor theme="5"/>
        </patternFill>
      </fill>
    </dxf>
    <dxf>
      <font>
        <b/>
        <i val="0"/>
        <color rgb="FFFFC000"/>
      </font>
      <fill>
        <patternFill>
          <bgColor theme="5"/>
        </patternFill>
      </fill>
    </dxf>
    <dxf>
      <font>
        <b/>
        <i val="0"/>
        <color theme="0"/>
      </font>
      <fill>
        <patternFill>
          <bgColor theme="8"/>
        </patternFill>
      </fill>
    </dxf>
    <dxf>
      <font>
        <b/>
        <i val="0"/>
        <color theme="0"/>
      </font>
      <fill>
        <patternFill>
          <bgColor theme="8"/>
        </patternFill>
      </fill>
    </dxf>
    <dxf>
      <font>
        <b/>
        <i val="0"/>
        <color rgb="FF9C0006"/>
      </font>
      <fill>
        <patternFill>
          <bgColor theme="5"/>
        </patternFill>
      </fill>
    </dxf>
    <dxf>
      <font>
        <b/>
        <i val="0"/>
        <color theme="0"/>
        <name val="Cambria"/>
        <scheme val="none"/>
      </font>
      <fill>
        <patternFill>
          <bgColor theme="5"/>
        </patternFill>
      </fill>
    </dxf>
    <dxf>
      <font>
        <b/>
        <i val="0"/>
        <color rgb="FFFFC000"/>
      </font>
      <fill>
        <patternFill>
          <bgColor theme="5"/>
        </patternFill>
      </fill>
    </dxf>
    <dxf>
      <font>
        <b/>
        <i val="0"/>
        <color theme="0"/>
      </font>
      <fill>
        <patternFill>
          <bgColor theme="8"/>
        </patternFill>
      </fill>
    </dxf>
    <dxf>
      <font>
        <b/>
        <i val="0"/>
        <color theme="0"/>
      </font>
      <fill>
        <patternFill>
          <bgColor theme="8"/>
        </patternFill>
      </fill>
    </dxf>
    <dxf>
      <font>
        <b/>
        <i val="0"/>
        <color rgb="FF9C0006"/>
      </font>
      <fill>
        <patternFill>
          <bgColor theme="5"/>
        </patternFill>
      </fill>
    </dxf>
    <dxf>
      <font>
        <b/>
        <i val="0"/>
        <color theme="0"/>
        <name val="Cambria"/>
        <scheme val="none"/>
      </font>
      <fill>
        <patternFill>
          <bgColor theme="5"/>
        </patternFill>
      </fill>
    </dxf>
    <dxf>
      <font>
        <b/>
        <i val="0"/>
        <color rgb="FFFFC000"/>
      </font>
      <fill>
        <patternFill>
          <bgColor theme="5"/>
        </patternFill>
      </fill>
    </dxf>
    <dxf>
      <font>
        <b/>
        <i val="0"/>
        <color theme="0"/>
      </font>
      <fill>
        <patternFill>
          <bgColor theme="8"/>
        </patternFill>
      </fill>
    </dxf>
    <dxf>
      <font>
        <b/>
        <i val="0"/>
        <color theme="0"/>
      </font>
      <fill>
        <patternFill>
          <bgColor theme="8"/>
        </patternFill>
      </fill>
    </dxf>
    <dxf>
      <font>
        <b/>
        <i val="0"/>
        <color rgb="FF9C0006"/>
      </font>
      <fill>
        <patternFill>
          <bgColor theme="5"/>
        </patternFill>
      </fill>
    </dxf>
    <dxf>
      <font>
        <b/>
        <i val="0"/>
        <color theme="0"/>
        <name val="Cambria"/>
        <scheme val="none"/>
      </font>
      <fill>
        <patternFill>
          <bgColor theme="5"/>
        </patternFill>
      </fill>
    </dxf>
    <dxf>
      <font>
        <b/>
        <i val="0"/>
        <color rgb="FFFFC000"/>
      </font>
      <fill>
        <patternFill>
          <bgColor theme="5"/>
        </patternFill>
      </fill>
    </dxf>
    <dxf>
      <font>
        <b/>
        <i val="0"/>
        <color theme="0"/>
      </font>
      <fill>
        <patternFill>
          <bgColor theme="8"/>
        </patternFill>
      </fill>
    </dxf>
    <dxf>
      <font>
        <b/>
        <i val="0"/>
        <color theme="0"/>
      </font>
      <fill>
        <patternFill>
          <bgColor theme="8"/>
        </patternFill>
      </fill>
    </dxf>
    <dxf>
      <font>
        <b/>
        <i val="0"/>
        <color rgb="FF9C0006"/>
      </font>
      <fill>
        <patternFill>
          <bgColor theme="5"/>
        </patternFill>
      </fill>
    </dxf>
    <dxf>
      <font>
        <b/>
        <i val="0"/>
        <color theme="0"/>
        <name val="Cambria"/>
        <scheme val="none"/>
      </font>
      <fill>
        <patternFill>
          <bgColor theme="5"/>
        </patternFill>
      </fill>
    </dxf>
    <dxf>
      <font>
        <b/>
        <i val="0"/>
        <color rgb="FFFFC000"/>
      </font>
      <fill>
        <patternFill>
          <bgColor theme="5"/>
        </patternFill>
      </fill>
    </dxf>
    <dxf>
      <font>
        <b/>
        <i val="0"/>
        <color theme="0"/>
      </font>
      <fill>
        <patternFill>
          <bgColor theme="8"/>
        </patternFill>
      </fill>
    </dxf>
    <dxf>
      <font>
        <b/>
        <i val="0"/>
        <color theme="0"/>
      </font>
      <fill>
        <patternFill>
          <bgColor theme="8"/>
        </patternFill>
      </fill>
    </dxf>
    <dxf>
      <font>
        <b/>
        <i val="0"/>
        <color rgb="FF9C0006"/>
      </font>
      <fill>
        <patternFill>
          <bgColor theme="5"/>
        </patternFill>
      </fill>
    </dxf>
    <dxf>
      <font>
        <b/>
        <i val="0"/>
        <color theme="0"/>
        <name val="Cambria"/>
        <scheme val="none"/>
      </font>
      <fill>
        <patternFill>
          <bgColor theme="5"/>
        </patternFill>
      </fill>
    </dxf>
    <dxf>
      <font>
        <b/>
        <i val="0"/>
        <color rgb="FFFFC000"/>
      </font>
      <fill>
        <patternFill>
          <bgColor theme="5"/>
        </patternFill>
      </fill>
    </dxf>
    <dxf>
      <font>
        <b/>
        <i val="0"/>
        <color theme="0"/>
      </font>
      <fill>
        <patternFill>
          <bgColor theme="8"/>
        </patternFill>
      </fill>
    </dxf>
    <dxf>
      <font>
        <b/>
        <i val="0"/>
        <color theme="0"/>
      </font>
      <fill>
        <patternFill>
          <bgColor theme="8"/>
        </patternFill>
      </fill>
    </dxf>
    <dxf>
      <font>
        <b/>
        <i val="0"/>
        <color rgb="FF9C0006"/>
      </font>
      <fill>
        <patternFill>
          <bgColor theme="5"/>
        </patternFill>
      </fill>
    </dxf>
    <dxf>
      <font>
        <b/>
        <i val="0"/>
        <color theme="0"/>
        <name val="Cambria"/>
        <scheme val="none"/>
      </font>
      <fill>
        <patternFill>
          <bgColor theme="5"/>
        </patternFill>
      </fill>
    </dxf>
    <dxf>
      <font>
        <b/>
        <i val="0"/>
        <color rgb="FFFFC000"/>
      </font>
      <fill>
        <patternFill>
          <bgColor theme="5"/>
        </patternFill>
      </fill>
    </dxf>
    <dxf>
      <font>
        <b/>
        <i val="0"/>
        <color theme="0"/>
      </font>
      <fill>
        <patternFill>
          <bgColor theme="8"/>
        </patternFill>
      </fill>
    </dxf>
    <dxf>
      <font>
        <b/>
        <i val="0"/>
        <color theme="0"/>
      </font>
      <fill>
        <patternFill>
          <bgColor theme="8"/>
        </patternFill>
      </fill>
    </dxf>
    <dxf>
      <font>
        <b/>
        <i val="0"/>
        <color rgb="FF9C0006"/>
      </font>
      <fill>
        <patternFill>
          <bgColor theme="5"/>
        </patternFill>
      </fill>
    </dxf>
    <dxf>
      <font>
        <b/>
        <i val="0"/>
        <color theme="0"/>
        <name val="Cambria"/>
        <scheme val="none"/>
      </font>
      <fill>
        <patternFill>
          <bgColor theme="5"/>
        </patternFill>
      </fill>
    </dxf>
    <dxf>
      <font>
        <b/>
        <i val="0"/>
        <color rgb="FFFFC000"/>
      </font>
      <fill>
        <patternFill>
          <bgColor theme="5"/>
        </patternFill>
      </fill>
    </dxf>
    <dxf>
      <font>
        <b/>
        <i val="0"/>
        <color theme="0"/>
      </font>
      <fill>
        <patternFill>
          <bgColor theme="8"/>
        </patternFill>
      </fill>
    </dxf>
    <dxf>
      <font>
        <b/>
        <i val="0"/>
        <color theme="0"/>
      </font>
      <fill>
        <patternFill>
          <bgColor theme="8"/>
        </patternFill>
      </fill>
    </dxf>
    <dxf>
      <font>
        <b/>
        <i val="0"/>
        <color rgb="FF9C0006"/>
      </font>
      <fill>
        <patternFill>
          <bgColor theme="5"/>
        </patternFill>
      </fill>
    </dxf>
    <dxf>
      <font>
        <b/>
        <i val="0"/>
        <color theme="0"/>
        <name val="Cambria"/>
        <scheme val="none"/>
      </font>
      <fill>
        <patternFill>
          <bgColor theme="5"/>
        </patternFill>
      </fill>
    </dxf>
    <dxf>
      <font>
        <b/>
        <i val="0"/>
        <color rgb="FFFFC000"/>
      </font>
      <fill>
        <patternFill>
          <bgColor theme="5"/>
        </patternFill>
      </fill>
    </dxf>
    <dxf>
      <font>
        <b/>
        <i val="0"/>
        <color theme="0"/>
      </font>
      <fill>
        <patternFill>
          <bgColor theme="8"/>
        </patternFill>
      </fill>
    </dxf>
    <dxf>
      <font>
        <b/>
        <i val="0"/>
        <color theme="0"/>
      </font>
      <fill>
        <patternFill>
          <bgColor theme="8"/>
        </patternFill>
      </fill>
    </dxf>
    <dxf>
      <font>
        <b/>
        <i val="0"/>
        <color rgb="FF9C0006"/>
      </font>
      <fill>
        <patternFill>
          <bgColor theme="5"/>
        </patternFill>
      </fill>
    </dxf>
    <dxf>
      <font>
        <b/>
        <i val="0"/>
        <color theme="0"/>
        <name val="Cambria"/>
        <scheme val="none"/>
      </font>
      <fill>
        <patternFill>
          <bgColor theme="5"/>
        </patternFill>
      </fill>
    </dxf>
    <dxf>
      <font>
        <b/>
        <i val="0"/>
        <color rgb="FFFFC000"/>
      </font>
      <fill>
        <patternFill>
          <bgColor theme="5"/>
        </patternFill>
      </fill>
    </dxf>
    <dxf>
      <font>
        <b/>
        <i val="0"/>
        <color theme="0"/>
      </font>
      <fill>
        <patternFill>
          <bgColor theme="8"/>
        </patternFill>
      </fill>
    </dxf>
    <dxf>
      <font>
        <b/>
        <i val="0"/>
        <color theme="0"/>
      </font>
      <fill>
        <patternFill>
          <bgColor theme="8"/>
        </patternFill>
      </fill>
    </dxf>
    <dxf>
      <font>
        <b/>
        <i val="0"/>
        <color rgb="FF9C0006"/>
      </font>
      <fill>
        <patternFill>
          <bgColor theme="5"/>
        </patternFill>
      </fill>
    </dxf>
    <dxf>
      <font>
        <b/>
        <i val="0"/>
        <color theme="0"/>
        <name val="Cambria"/>
        <scheme val="none"/>
      </font>
      <fill>
        <patternFill>
          <bgColor theme="5"/>
        </patternFill>
      </fill>
    </dxf>
    <dxf>
      <font>
        <b/>
        <i val="0"/>
        <color rgb="FFFFC000"/>
      </font>
      <fill>
        <patternFill>
          <bgColor theme="5"/>
        </patternFill>
      </fill>
    </dxf>
    <dxf>
      <font>
        <b/>
        <i val="0"/>
        <color theme="0"/>
      </font>
      <fill>
        <patternFill>
          <bgColor theme="8"/>
        </patternFill>
      </fill>
    </dxf>
    <dxf>
      <font>
        <b/>
        <i val="0"/>
        <color theme="0"/>
      </font>
      <fill>
        <patternFill>
          <bgColor theme="8"/>
        </patternFill>
      </fill>
    </dxf>
    <dxf>
      <font>
        <b/>
        <i val="0"/>
        <color rgb="FF9C0006"/>
      </font>
      <fill>
        <patternFill>
          <bgColor theme="5"/>
        </patternFill>
      </fill>
    </dxf>
    <dxf>
      <font>
        <b/>
        <i val="0"/>
        <color theme="0"/>
        <name val="Cambria"/>
        <scheme val="none"/>
      </font>
      <fill>
        <patternFill>
          <bgColor theme="5"/>
        </patternFill>
      </fill>
    </dxf>
    <dxf>
      <font>
        <b/>
        <i val="0"/>
        <color rgb="FFFFC000"/>
      </font>
      <fill>
        <patternFill>
          <bgColor theme="5"/>
        </patternFill>
      </fill>
    </dxf>
    <dxf>
      <font>
        <b/>
        <i val="0"/>
        <color theme="0"/>
      </font>
      <fill>
        <patternFill>
          <bgColor theme="8"/>
        </patternFill>
      </fill>
    </dxf>
    <dxf>
      <font>
        <b/>
        <i val="0"/>
        <color theme="0"/>
      </font>
      <fill>
        <patternFill>
          <bgColor theme="8"/>
        </patternFill>
      </fill>
    </dxf>
    <dxf>
      <font>
        <b/>
        <i val="0"/>
        <color rgb="FF9C0006"/>
      </font>
      <fill>
        <patternFill>
          <bgColor theme="5"/>
        </patternFill>
      </fill>
    </dxf>
    <dxf>
      <font>
        <b/>
        <i val="0"/>
        <color theme="0"/>
        <name val="Cambria"/>
        <scheme val="none"/>
      </font>
      <fill>
        <patternFill>
          <bgColor theme="5"/>
        </patternFill>
      </fill>
    </dxf>
    <dxf>
      <font>
        <b/>
        <i val="0"/>
        <color rgb="FFFFC000"/>
      </font>
      <fill>
        <patternFill>
          <bgColor theme="5"/>
        </patternFill>
      </fill>
    </dxf>
    <dxf>
      <font>
        <b/>
        <i val="0"/>
        <color theme="0"/>
      </font>
      <fill>
        <patternFill>
          <bgColor theme="8"/>
        </patternFill>
      </fill>
    </dxf>
    <dxf>
      <font>
        <b/>
        <i val="0"/>
        <color theme="0"/>
      </font>
      <fill>
        <patternFill>
          <bgColor theme="8"/>
        </patternFill>
      </fill>
    </dxf>
    <dxf>
      <font>
        <b/>
        <i val="0"/>
        <color rgb="FF9C0006"/>
      </font>
      <fill>
        <patternFill>
          <bgColor theme="5"/>
        </patternFill>
      </fill>
    </dxf>
    <dxf>
      <font>
        <b/>
        <i val="0"/>
        <color theme="0"/>
        <name val="Cambria"/>
        <scheme val="none"/>
      </font>
      <fill>
        <patternFill>
          <bgColor theme="5"/>
        </patternFill>
      </fill>
    </dxf>
    <dxf>
      <font>
        <b/>
        <i val="0"/>
        <color rgb="FFFFC000"/>
      </font>
      <fill>
        <patternFill>
          <bgColor theme="5"/>
        </patternFill>
      </fill>
    </dxf>
    <dxf>
      <font>
        <b/>
        <i val="0"/>
        <color theme="0"/>
      </font>
      <fill>
        <patternFill>
          <bgColor theme="8"/>
        </patternFill>
      </fill>
    </dxf>
    <dxf>
      <font>
        <b/>
        <i val="0"/>
        <color theme="0"/>
      </font>
      <fill>
        <patternFill>
          <bgColor theme="8"/>
        </patternFill>
      </fill>
    </dxf>
    <dxf>
      <font>
        <b/>
        <i val="0"/>
        <color rgb="FF9C0006"/>
      </font>
      <fill>
        <patternFill>
          <bgColor theme="5"/>
        </patternFill>
      </fill>
    </dxf>
    <dxf>
      <font>
        <b/>
        <i val="0"/>
        <color theme="0"/>
        <name val="Cambria"/>
        <scheme val="none"/>
      </font>
      <fill>
        <patternFill>
          <bgColor theme="5"/>
        </patternFill>
      </fill>
    </dxf>
    <dxf>
      <font>
        <b/>
        <i val="0"/>
        <color rgb="FFFFC000"/>
      </font>
      <fill>
        <patternFill>
          <bgColor theme="5"/>
        </patternFill>
      </fill>
    </dxf>
    <dxf>
      <font>
        <b/>
        <i val="0"/>
        <color theme="0"/>
      </font>
      <fill>
        <patternFill>
          <bgColor theme="8"/>
        </patternFill>
      </fill>
    </dxf>
    <dxf>
      <font>
        <b/>
        <i val="0"/>
        <color theme="0"/>
      </font>
      <fill>
        <patternFill>
          <bgColor theme="8"/>
        </patternFill>
      </fill>
    </dxf>
    <dxf>
      <font>
        <b/>
        <i val="0"/>
        <color rgb="FF9C0006"/>
      </font>
      <fill>
        <patternFill>
          <bgColor theme="5"/>
        </patternFill>
      </fill>
    </dxf>
    <dxf>
      <font>
        <b/>
        <i val="0"/>
        <color theme="0"/>
        <name val="Cambria"/>
        <scheme val="none"/>
      </font>
      <fill>
        <patternFill>
          <bgColor theme="5"/>
        </patternFill>
      </fill>
    </dxf>
    <dxf>
      <font>
        <b/>
        <i val="0"/>
        <color rgb="FFFFC000"/>
      </font>
      <fill>
        <patternFill>
          <bgColor theme="5"/>
        </patternFill>
      </fill>
    </dxf>
    <dxf>
      <font>
        <b/>
        <i val="0"/>
        <color theme="0"/>
      </font>
      <fill>
        <patternFill>
          <bgColor theme="8"/>
        </patternFill>
      </fill>
    </dxf>
    <dxf>
      <font>
        <b/>
        <i val="0"/>
        <color theme="0"/>
      </font>
      <fill>
        <patternFill>
          <bgColor theme="8"/>
        </patternFill>
      </fill>
    </dxf>
    <dxf>
      <font>
        <b/>
        <i val="0"/>
        <color rgb="FF9C0006"/>
      </font>
      <fill>
        <patternFill>
          <bgColor theme="5"/>
        </patternFill>
      </fill>
    </dxf>
    <dxf>
      <font>
        <b/>
        <i val="0"/>
        <color theme="0"/>
        <name val="Cambria"/>
        <scheme val="none"/>
      </font>
      <fill>
        <patternFill>
          <bgColor theme="5"/>
        </patternFill>
      </fill>
    </dxf>
    <dxf>
      <font>
        <b/>
        <i val="0"/>
        <color rgb="FFFFC000"/>
      </font>
      <fill>
        <patternFill>
          <bgColor theme="5"/>
        </patternFill>
      </fill>
    </dxf>
    <dxf>
      <font>
        <b/>
        <i val="0"/>
        <color theme="0"/>
      </font>
      <fill>
        <patternFill>
          <bgColor theme="8"/>
        </patternFill>
      </fill>
    </dxf>
    <dxf>
      <font>
        <b/>
        <i val="0"/>
        <color theme="0"/>
      </font>
      <fill>
        <patternFill>
          <bgColor theme="8"/>
        </patternFill>
      </fill>
    </dxf>
    <dxf>
      <font>
        <b/>
        <i val="0"/>
        <color rgb="FF9C0006"/>
      </font>
      <fill>
        <patternFill>
          <bgColor theme="5"/>
        </patternFill>
      </fill>
    </dxf>
    <dxf>
      <font>
        <b/>
        <i val="0"/>
        <color theme="0"/>
        <name val="Cambria"/>
        <scheme val="none"/>
      </font>
      <fill>
        <patternFill>
          <bgColor theme="5"/>
        </patternFill>
      </fill>
    </dxf>
    <dxf>
      <font>
        <b/>
        <i val="0"/>
        <color rgb="FFFFC000"/>
      </font>
      <fill>
        <patternFill>
          <bgColor theme="5"/>
        </patternFill>
      </fill>
    </dxf>
    <dxf>
      <font>
        <b/>
        <i val="0"/>
        <color theme="0"/>
      </font>
      <fill>
        <patternFill>
          <bgColor theme="8"/>
        </patternFill>
      </fill>
    </dxf>
    <dxf>
      <font>
        <b/>
        <i val="0"/>
        <color theme="0"/>
      </font>
      <fill>
        <patternFill>
          <bgColor theme="8"/>
        </patternFill>
      </fill>
    </dxf>
    <dxf>
      <font>
        <b/>
        <i val="0"/>
        <color rgb="FF9C0006"/>
      </font>
      <fill>
        <patternFill>
          <bgColor theme="5"/>
        </patternFill>
      </fill>
    </dxf>
    <dxf>
      <font>
        <b/>
        <i val="0"/>
        <color theme="0"/>
        <name val="Cambria"/>
        <scheme val="none"/>
      </font>
      <fill>
        <patternFill>
          <bgColor theme="5"/>
        </patternFill>
      </fill>
    </dxf>
    <dxf>
      <font>
        <b/>
        <i val="0"/>
        <color rgb="FFFFC000"/>
      </font>
      <fill>
        <patternFill>
          <bgColor theme="5"/>
        </patternFill>
      </fill>
    </dxf>
    <dxf>
      <font>
        <b/>
        <i val="0"/>
        <color theme="0"/>
      </font>
      <fill>
        <patternFill>
          <bgColor theme="8"/>
        </patternFill>
      </fill>
    </dxf>
    <dxf>
      <font>
        <b/>
        <i val="0"/>
        <color theme="0"/>
      </font>
      <fill>
        <patternFill>
          <bgColor theme="8"/>
        </patternFill>
      </fill>
    </dxf>
    <dxf>
      <font>
        <b/>
        <i val="0"/>
        <color rgb="FF9C0006"/>
      </font>
      <fill>
        <patternFill>
          <bgColor theme="5"/>
        </patternFill>
      </fill>
    </dxf>
    <dxf>
      <font>
        <b/>
        <i val="0"/>
        <color theme="0"/>
        <name val="Cambria"/>
        <scheme val="none"/>
      </font>
      <fill>
        <patternFill>
          <bgColor theme="5"/>
        </patternFill>
      </fill>
    </dxf>
    <dxf>
      <font>
        <b/>
        <i val="0"/>
        <color rgb="FFFFC000"/>
      </font>
      <fill>
        <patternFill>
          <bgColor theme="5"/>
        </patternFill>
      </fill>
    </dxf>
    <dxf>
      <font>
        <b/>
        <i val="0"/>
        <color theme="0"/>
      </font>
      <fill>
        <patternFill>
          <bgColor theme="8"/>
        </patternFill>
      </fill>
    </dxf>
    <dxf>
      <font>
        <b/>
        <i val="0"/>
        <color theme="0"/>
      </font>
      <fill>
        <patternFill>
          <bgColor theme="8"/>
        </patternFill>
      </fill>
    </dxf>
    <dxf>
      <font>
        <b/>
        <i val="0"/>
        <color rgb="FF9C0006"/>
      </font>
      <fill>
        <patternFill>
          <bgColor theme="5"/>
        </patternFill>
      </fill>
    </dxf>
    <dxf>
      <font>
        <b/>
        <i val="0"/>
        <color theme="0"/>
        <name val="Cambria"/>
        <scheme val="none"/>
      </font>
      <fill>
        <patternFill>
          <bgColor theme="5"/>
        </patternFill>
      </fill>
    </dxf>
    <dxf>
      <font>
        <b/>
        <i val="0"/>
        <color rgb="FFFFC000"/>
      </font>
      <fill>
        <patternFill>
          <bgColor theme="5"/>
        </patternFill>
      </fill>
    </dxf>
    <dxf>
      <font>
        <b/>
        <i val="0"/>
        <color theme="0"/>
      </font>
      <fill>
        <patternFill>
          <bgColor theme="8"/>
        </patternFill>
      </fill>
    </dxf>
    <dxf>
      <font>
        <b/>
        <i val="0"/>
        <color theme="0"/>
      </font>
      <fill>
        <patternFill>
          <bgColor theme="8"/>
        </patternFill>
      </fill>
    </dxf>
    <dxf>
      <font>
        <b/>
        <i val="0"/>
        <color rgb="FF9C0006"/>
      </font>
      <fill>
        <patternFill>
          <bgColor theme="5"/>
        </patternFill>
      </fill>
    </dxf>
    <dxf>
      <font>
        <b/>
        <i val="0"/>
        <color theme="0"/>
        <name val="Cambria"/>
        <scheme val="none"/>
      </font>
      <fill>
        <patternFill>
          <bgColor theme="5"/>
        </patternFill>
      </fill>
    </dxf>
    <dxf>
      <font>
        <b/>
        <i val="0"/>
        <color rgb="FFFFC000"/>
      </font>
      <fill>
        <patternFill>
          <bgColor theme="5"/>
        </patternFill>
      </fill>
    </dxf>
    <dxf>
      <font>
        <b/>
        <i val="0"/>
        <color theme="0"/>
      </font>
      <fill>
        <patternFill>
          <bgColor theme="8"/>
        </patternFill>
      </fill>
    </dxf>
    <dxf>
      <font>
        <b/>
        <i val="0"/>
        <color theme="0"/>
      </font>
      <fill>
        <patternFill>
          <bgColor theme="8"/>
        </patternFill>
      </fill>
    </dxf>
    <dxf>
      <font>
        <b/>
        <i val="0"/>
        <color rgb="FF9C0006"/>
      </font>
      <fill>
        <patternFill>
          <bgColor theme="5"/>
        </patternFill>
      </fill>
    </dxf>
    <dxf>
      <font>
        <b/>
        <i val="0"/>
        <color theme="0"/>
        <name val="Cambria"/>
        <scheme val="none"/>
      </font>
      <fill>
        <patternFill>
          <bgColor theme="5"/>
        </patternFill>
      </fill>
    </dxf>
    <dxf>
      <font>
        <b/>
        <i val="0"/>
        <color rgb="FFFFC000"/>
      </font>
      <fill>
        <patternFill>
          <bgColor theme="5"/>
        </patternFill>
      </fill>
    </dxf>
    <dxf>
      <font>
        <b/>
        <i val="0"/>
        <color theme="0"/>
      </font>
      <fill>
        <patternFill>
          <bgColor theme="8"/>
        </patternFill>
      </fill>
    </dxf>
    <dxf>
      <font>
        <b/>
        <i val="0"/>
        <color theme="0"/>
      </font>
      <fill>
        <patternFill>
          <bgColor theme="8"/>
        </patternFill>
      </fill>
    </dxf>
    <dxf>
      <font>
        <b/>
        <i val="0"/>
        <color rgb="FF9C0006"/>
      </font>
      <fill>
        <patternFill>
          <bgColor theme="5"/>
        </patternFill>
      </fill>
    </dxf>
    <dxf>
      <font>
        <b/>
        <i val="0"/>
        <color theme="0"/>
        <name val="Cambria"/>
        <scheme val="none"/>
      </font>
      <fill>
        <patternFill>
          <bgColor theme="5"/>
        </patternFill>
      </fill>
    </dxf>
    <dxf>
      <font>
        <b/>
        <i val="0"/>
        <color rgb="FFFFC000"/>
      </font>
      <fill>
        <patternFill>
          <bgColor theme="5"/>
        </patternFill>
      </fill>
    </dxf>
    <dxf>
      <font>
        <b/>
        <i val="0"/>
        <color theme="0"/>
      </font>
      <fill>
        <patternFill>
          <bgColor theme="8"/>
        </patternFill>
      </fill>
    </dxf>
    <dxf>
      <font>
        <b/>
        <i val="0"/>
        <color theme="0"/>
      </font>
      <fill>
        <patternFill>
          <bgColor theme="8"/>
        </patternFill>
      </fill>
    </dxf>
    <dxf>
      <font>
        <b/>
        <i val="0"/>
        <color rgb="FF9C0006"/>
      </font>
      <fill>
        <patternFill>
          <bgColor theme="5"/>
        </patternFill>
      </fill>
    </dxf>
    <dxf>
      <font>
        <b/>
        <i val="0"/>
        <color theme="0"/>
        <name val="Cambria"/>
        <scheme val="none"/>
      </font>
      <fill>
        <patternFill>
          <bgColor theme="5"/>
        </patternFill>
      </fill>
    </dxf>
    <dxf>
      <font>
        <b/>
        <i val="0"/>
        <color rgb="FFFFC000"/>
      </font>
      <fill>
        <patternFill>
          <bgColor theme="5"/>
        </patternFill>
      </fill>
    </dxf>
    <dxf>
      <font>
        <b/>
        <i val="0"/>
        <color theme="0"/>
      </font>
      <fill>
        <patternFill>
          <bgColor theme="8"/>
        </patternFill>
      </fill>
    </dxf>
    <dxf>
      <font>
        <b/>
        <i val="0"/>
        <color theme="0"/>
      </font>
      <fill>
        <patternFill>
          <bgColor theme="8"/>
        </patternFill>
      </fill>
    </dxf>
    <dxf>
      <font>
        <b/>
        <i val="0"/>
        <color rgb="FF9C0006"/>
      </font>
      <fill>
        <patternFill>
          <bgColor theme="5"/>
        </patternFill>
      </fill>
    </dxf>
    <dxf>
      <font>
        <b/>
        <i val="0"/>
        <color theme="0"/>
        <name val="Cambria"/>
        <scheme val="none"/>
      </font>
      <fill>
        <patternFill>
          <bgColor theme="5"/>
        </patternFill>
      </fill>
    </dxf>
    <dxf>
      <font>
        <b/>
        <i val="0"/>
        <color rgb="FFFFC000"/>
      </font>
      <fill>
        <patternFill>
          <bgColor theme="5"/>
        </patternFill>
      </fill>
    </dxf>
    <dxf>
      <font>
        <b/>
        <i val="0"/>
        <color theme="0"/>
      </font>
      <fill>
        <patternFill>
          <bgColor theme="8"/>
        </patternFill>
      </fill>
    </dxf>
    <dxf>
      <font>
        <b/>
        <i val="0"/>
        <color theme="0"/>
      </font>
      <fill>
        <patternFill>
          <bgColor theme="8"/>
        </patternFill>
      </fill>
    </dxf>
    <dxf>
      <font>
        <b/>
        <i val="0"/>
        <color rgb="FF9C0006"/>
      </font>
      <fill>
        <patternFill>
          <bgColor theme="5"/>
        </patternFill>
      </fill>
    </dxf>
    <dxf>
      <font>
        <b/>
        <i val="0"/>
        <color theme="0"/>
        <name val="Cambria"/>
        <scheme val="none"/>
      </font>
      <fill>
        <patternFill>
          <bgColor theme="5"/>
        </patternFill>
      </fill>
    </dxf>
    <dxf>
      <font>
        <b/>
        <i val="0"/>
        <color rgb="FFFFC000"/>
      </font>
      <fill>
        <patternFill>
          <bgColor theme="5"/>
        </patternFill>
      </fill>
    </dxf>
    <dxf>
      <font>
        <b/>
        <i val="0"/>
        <color theme="0"/>
      </font>
      <fill>
        <patternFill>
          <bgColor theme="8"/>
        </patternFill>
      </fill>
    </dxf>
    <dxf>
      <font>
        <b/>
        <i val="0"/>
        <color theme="0"/>
      </font>
      <fill>
        <patternFill>
          <bgColor theme="8"/>
        </patternFill>
      </fill>
    </dxf>
    <dxf>
      <font>
        <b/>
        <i val="0"/>
        <color rgb="FF9C0006"/>
      </font>
      <fill>
        <patternFill>
          <bgColor theme="5"/>
        </patternFill>
      </fill>
    </dxf>
    <dxf>
      <font>
        <b/>
        <i val="0"/>
        <color theme="0"/>
        <name val="Cambria"/>
        <scheme val="none"/>
      </font>
      <fill>
        <patternFill>
          <bgColor theme="5"/>
        </patternFill>
      </fill>
    </dxf>
    <dxf>
      <font>
        <b/>
        <i val="0"/>
        <color rgb="FFFFC000"/>
      </font>
      <fill>
        <patternFill>
          <bgColor theme="5"/>
        </patternFill>
      </fill>
    </dxf>
    <dxf>
      <font>
        <b/>
        <i val="0"/>
        <color theme="0"/>
      </font>
      <fill>
        <patternFill>
          <bgColor theme="8"/>
        </patternFill>
      </fill>
    </dxf>
    <dxf>
      <font>
        <b/>
        <i val="0"/>
        <color theme="0"/>
      </font>
      <fill>
        <patternFill>
          <bgColor theme="8"/>
        </patternFill>
      </fill>
    </dxf>
    <dxf>
      <font>
        <b/>
        <i val="0"/>
        <color rgb="FF9C0006"/>
      </font>
      <fill>
        <patternFill>
          <bgColor theme="5"/>
        </patternFill>
      </fill>
    </dxf>
    <dxf>
      <font>
        <b/>
        <i val="0"/>
        <color theme="0"/>
        <name val="Cambria"/>
        <scheme val="none"/>
      </font>
      <fill>
        <patternFill>
          <bgColor theme="5"/>
        </patternFill>
      </fill>
    </dxf>
    <dxf>
      <font>
        <b/>
        <i val="0"/>
        <color rgb="FFFFC000"/>
      </font>
      <fill>
        <patternFill>
          <bgColor theme="5"/>
        </patternFill>
      </fill>
    </dxf>
    <dxf>
      <font>
        <b/>
        <i val="0"/>
        <color theme="0"/>
      </font>
      <fill>
        <patternFill>
          <bgColor theme="8"/>
        </patternFill>
      </fill>
    </dxf>
    <dxf>
      <font>
        <b/>
        <i val="0"/>
        <color theme="0"/>
      </font>
      <fill>
        <patternFill>
          <bgColor theme="8"/>
        </patternFill>
      </fill>
    </dxf>
    <dxf>
      <font>
        <b/>
        <i val="0"/>
        <color rgb="FF9C0006"/>
      </font>
      <fill>
        <patternFill>
          <bgColor theme="5"/>
        </patternFill>
      </fill>
    </dxf>
    <dxf>
      <font>
        <b/>
        <i val="0"/>
        <color theme="0"/>
        <name val="Cambria"/>
        <scheme val="none"/>
      </font>
      <fill>
        <patternFill>
          <bgColor theme="5"/>
        </patternFill>
      </fill>
    </dxf>
    <dxf>
      <font>
        <b/>
        <i val="0"/>
        <color rgb="FFFFC000"/>
      </font>
      <fill>
        <patternFill>
          <bgColor theme="5"/>
        </patternFill>
      </fill>
    </dxf>
    <dxf>
      <font>
        <b/>
        <i val="0"/>
        <color theme="0"/>
      </font>
      <fill>
        <patternFill>
          <bgColor theme="8"/>
        </patternFill>
      </fill>
    </dxf>
    <dxf>
      <font>
        <b/>
        <i val="0"/>
        <color theme="0"/>
      </font>
      <fill>
        <patternFill>
          <bgColor theme="8"/>
        </patternFill>
      </fill>
    </dxf>
    <dxf>
      <font>
        <b/>
        <i val="0"/>
        <color rgb="FF9C0006"/>
      </font>
      <fill>
        <patternFill>
          <bgColor theme="5"/>
        </patternFill>
      </fill>
    </dxf>
    <dxf>
      <font>
        <b/>
        <i val="0"/>
        <color theme="0"/>
        <name val="Cambria"/>
        <scheme val="none"/>
      </font>
      <fill>
        <patternFill>
          <bgColor theme="5"/>
        </patternFill>
      </fill>
    </dxf>
    <dxf>
      <font>
        <b/>
        <i val="0"/>
        <color rgb="FFFFC000"/>
      </font>
      <fill>
        <patternFill>
          <bgColor theme="5"/>
        </patternFill>
      </fill>
    </dxf>
    <dxf>
      <font>
        <b/>
        <i val="0"/>
        <color theme="0"/>
      </font>
      <fill>
        <patternFill>
          <bgColor theme="8"/>
        </patternFill>
      </fill>
    </dxf>
    <dxf>
      <font>
        <b/>
        <i val="0"/>
        <color theme="0"/>
      </font>
      <fill>
        <patternFill>
          <bgColor theme="8"/>
        </patternFill>
      </fill>
    </dxf>
    <dxf>
      <font>
        <b/>
        <i val="0"/>
        <color rgb="FF9C0006"/>
      </font>
      <fill>
        <patternFill>
          <bgColor theme="5"/>
        </patternFill>
      </fill>
    </dxf>
    <dxf>
      <font>
        <b/>
        <i val="0"/>
        <color theme="0"/>
        <name val="Cambria"/>
        <scheme val="none"/>
      </font>
      <fill>
        <patternFill>
          <bgColor theme="5"/>
        </patternFill>
      </fill>
    </dxf>
    <dxf>
      <font>
        <b/>
        <i val="0"/>
        <color rgb="FFFFC000"/>
      </font>
      <fill>
        <patternFill>
          <bgColor theme="5"/>
        </patternFill>
      </fill>
    </dxf>
    <dxf>
      <font>
        <b/>
        <i val="0"/>
        <color theme="0"/>
      </font>
      <fill>
        <patternFill>
          <bgColor theme="8"/>
        </patternFill>
      </fill>
    </dxf>
    <dxf>
      <font>
        <b/>
        <i val="0"/>
        <color theme="0"/>
      </font>
      <fill>
        <patternFill>
          <bgColor theme="8"/>
        </patternFill>
      </fill>
    </dxf>
    <dxf>
      <font>
        <b/>
        <i val="0"/>
        <color rgb="FF9C0006"/>
      </font>
      <fill>
        <patternFill>
          <bgColor theme="5"/>
        </patternFill>
      </fill>
    </dxf>
    <dxf>
      <font>
        <b/>
        <i val="0"/>
        <color theme="0"/>
        <name val="Cambria"/>
        <scheme val="none"/>
      </font>
      <fill>
        <patternFill>
          <bgColor theme="5"/>
        </patternFill>
      </fill>
    </dxf>
    <dxf>
      <font>
        <b/>
        <i val="0"/>
        <color rgb="FFFFC000"/>
      </font>
      <fill>
        <patternFill>
          <bgColor theme="5"/>
        </patternFill>
      </fill>
    </dxf>
    <dxf>
      <font>
        <b/>
        <i val="0"/>
        <color theme="0"/>
      </font>
      <fill>
        <patternFill>
          <bgColor theme="8"/>
        </patternFill>
      </fill>
    </dxf>
    <dxf>
      <font>
        <b/>
        <i val="0"/>
        <color theme="0"/>
      </font>
      <fill>
        <patternFill>
          <bgColor theme="8"/>
        </patternFill>
      </fill>
    </dxf>
    <dxf>
      <font>
        <b/>
        <i val="0"/>
        <color rgb="FF9C0006"/>
      </font>
      <fill>
        <patternFill>
          <bgColor theme="5"/>
        </patternFill>
      </fill>
    </dxf>
    <dxf>
      <font>
        <b/>
        <i val="0"/>
        <color theme="0"/>
        <name val="Cambria"/>
        <scheme val="none"/>
      </font>
      <fill>
        <patternFill>
          <bgColor theme="5"/>
        </patternFill>
      </fill>
    </dxf>
    <dxf>
      <font>
        <b/>
        <i val="0"/>
        <color rgb="FFFFC000"/>
      </font>
      <fill>
        <patternFill>
          <bgColor theme="5"/>
        </patternFill>
      </fill>
    </dxf>
    <dxf>
      <font>
        <b/>
        <i val="0"/>
        <color theme="0"/>
      </font>
      <fill>
        <patternFill>
          <bgColor theme="8"/>
        </patternFill>
      </fill>
    </dxf>
    <dxf>
      <font>
        <b/>
        <i val="0"/>
        <color theme="0"/>
      </font>
      <fill>
        <patternFill>
          <bgColor theme="8"/>
        </patternFill>
      </fill>
    </dxf>
    <dxf>
      <font>
        <b/>
        <i val="0"/>
        <color rgb="FF9C0006"/>
      </font>
      <fill>
        <patternFill>
          <bgColor theme="5"/>
        </patternFill>
      </fill>
    </dxf>
    <dxf>
      <font>
        <b/>
        <i val="0"/>
        <color theme="0"/>
        <name val="Cambria"/>
        <scheme val="none"/>
      </font>
      <fill>
        <patternFill>
          <bgColor theme="5"/>
        </patternFill>
      </fill>
    </dxf>
    <dxf>
      <font>
        <b/>
        <i val="0"/>
        <color rgb="FFFFC000"/>
      </font>
      <fill>
        <patternFill>
          <bgColor theme="5"/>
        </patternFill>
      </fill>
    </dxf>
    <dxf>
      <font>
        <b/>
        <i val="0"/>
        <color theme="0"/>
      </font>
      <fill>
        <patternFill>
          <bgColor theme="8"/>
        </patternFill>
      </fill>
    </dxf>
    <dxf>
      <font>
        <b/>
        <i val="0"/>
        <color theme="0"/>
      </font>
      <fill>
        <patternFill>
          <bgColor theme="8"/>
        </patternFill>
      </fill>
    </dxf>
    <dxf>
      <font>
        <b/>
        <i val="0"/>
        <color rgb="FF9C0006"/>
      </font>
      <fill>
        <patternFill>
          <bgColor theme="5"/>
        </patternFill>
      </fill>
    </dxf>
    <dxf>
      <font>
        <b/>
        <i val="0"/>
        <color theme="0"/>
        <name val="Cambria"/>
        <scheme val="none"/>
      </font>
      <fill>
        <patternFill>
          <bgColor theme="5"/>
        </patternFill>
      </fill>
    </dxf>
    <dxf>
      <font>
        <b/>
        <i val="0"/>
        <color rgb="FFFFC000"/>
      </font>
      <fill>
        <patternFill>
          <bgColor theme="5"/>
        </patternFill>
      </fill>
    </dxf>
    <dxf>
      <font>
        <b/>
        <i val="0"/>
        <color theme="0"/>
      </font>
      <fill>
        <patternFill>
          <bgColor theme="8"/>
        </patternFill>
      </fill>
    </dxf>
    <dxf>
      <font>
        <b/>
        <i val="0"/>
        <color theme="0"/>
      </font>
      <fill>
        <patternFill>
          <bgColor theme="8"/>
        </patternFill>
      </fill>
    </dxf>
    <dxf>
      <font>
        <b/>
        <i val="0"/>
        <color rgb="FF9C0006"/>
      </font>
      <fill>
        <patternFill>
          <bgColor theme="5"/>
        </patternFill>
      </fill>
    </dxf>
    <dxf>
      <font>
        <b/>
        <i val="0"/>
        <color theme="0"/>
        <name val="Cambria"/>
        <scheme val="none"/>
      </font>
      <fill>
        <patternFill>
          <bgColor theme="5"/>
        </patternFill>
      </fill>
    </dxf>
    <dxf>
      <font>
        <b/>
        <i val="0"/>
        <color rgb="FFFFC000"/>
      </font>
      <fill>
        <patternFill>
          <bgColor theme="5"/>
        </patternFill>
      </fill>
    </dxf>
    <dxf>
      <font>
        <b/>
        <i val="0"/>
        <color theme="0"/>
      </font>
      <fill>
        <patternFill>
          <bgColor theme="8"/>
        </patternFill>
      </fill>
    </dxf>
    <dxf>
      <font>
        <b/>
        <i val="0"/>
        <color theme="0"/>
      </font>
      <fill>
        <patternFill>
          <bgColor theme="8"/>
        </patternFill>
      </fill>
    </dxf>
    <dxf>
      <font>
        <b/>
        <i val="0"/>
        <color rgb="FF9C0006"/>
      </font>
      <fill>
        <patternFill>
          <bgColor theme="5"/>
        </patternFill>
      </fill>
    </dxf>
    <dxf>
      <font>
        <b/>
        <i val="0"/>
        <color theme="0"/>
        <name val="Cambria"/>
        <scheme val="none"/>
      </font>
      <fill>
        <patternFill>
          <bgColor theme="5"/>
        </patternFill>
      </fill>
    </dxf>
    <dxf>
      <font>
        <b/>
        <i val="0"/>
        <color rgb="FFFFC000"/>
      </font>
      <fill>
        <patternFill>
          <bgColor theme="5"/>
        </patternFill>
      </fill>
    </dxf>
    <dxf>
      <font>
        <b/>
        <i val="0"/>
        <color theme="0"/>
      </font>
      <fill>
        <patternFill>
          <bgColor theme="8"/>
        </patternFill>
      </fill>
    </dxf>
    <dxf>
      <font>
        <b/>
        <i val="0"/>
        <color theme="0"/>
      </font>
      <fill>
        <patternFill>
          <bgColor theme="8"/>
        </patternFill>
      </fill>
    </dxf>
    <dxf>
      <font>
        <b/>
        <i val="0"/>
        <color rgb="FF9C0006"/>
      </font>
      <fill>
        <patternFill>
          <bgColor theme="5"/>
        </patternFill>
      </fill>
    </dxf>
    <dxf>
      <font>
        <b/>
        <i val="0"/>
        <color theme="0"/>
        <name val="Cambria"/>
        <scheme val="none"/>
      </font>
      <fill>
        <patternFill>
          <bgColor theme="5"/>
        </patternFill>
      </fill>
    </dxf>
    <dxf>
      <font>
        <b/>
        <i val="0"/>
        <color rgb="FFFFC000"/>
      </font>
      <fill>
        <patternFill>
          <bgColor theme="5"/>
        </patternFill>
      </fill>
    </dxf>
    <dxf>
      <font>
        <b/>
        <i val="0"/>
        <color theme="0"/>
      </font>
      <fill>
        <patternFill>
          <bgColor theme="8"/>
        </patternFill>
      </fill>
    </dxf>
    <dxf>
      <font>
        <b/>
        <i val="0"/>
        <color theme="0"/>
      </font>
      <fill>
        <patternFill>
          <bgColor theme="8"/>
        </patternFill>
      </fill>
    </dxf>
    <dxf>
      <font>
        <b/>
        <i val="0"/>
        <color rgb="FF9C0006"/>
      </font>
      <fill>
        <patternFill>
          <bgColor theme="5"/>
        </patternFill>
      </fill>
    </dxf>
    <dxf>
      <font>
        <b/>
        <i val="0"/>
        <color theme="0"/>
        <name val="Cambria"/>
        <scheme val="none"/>
      </font>
      <fill>
        <patternFill>
          <bgColor theme="5"/>
        </patternFill>
      </fill>
    </dxf>
    <dxf>
      <font>
        <b/>
        <i val="0"/>
        <color rgb="FFFFC000"/>
      </font>
      <fill>
        <patternFill>
          <bgColor theme="5"/>
        </patternFill>
      </fill>
    </dxf>
    <dxf>
      <font>
        <b/>
        <i val="0"/>
        <color theme="0"/>
      </font>
      <fill>
        <patternFill>
          <bgColor theme="8"/>
        </patternFill>
      </fill>
    </dxf>
    <dxf>
      <font>
        <b/>
        <i val="0"/>
        <color theme="0"/>
      </font>
      <fill>
        <patternFill>
          <bgColor theme="8"/>
        </patternFill>
      </fill>
    </dxf>
    <dxf>
      <font>
        <b/>
        <i val="0"/>
        <color rgb="FF9C0006"/>
      </font>
      <fill>
        <patternFill>
          <bgColor theme="5"/>
        </patternFill>
      </fill>
    </dxf>
    <dxf>
      <font>
        <b/>
        <i val="0"/>
        <color theme="0"/>
        <name val="Cambria"/>
        <scheme val="none"/>
      </font>
      <fill>
        <patternFill>
          <bgColor theme="5"/>
        </patternFill>
      </fill>
    </dxf>
    <dxf>
      <font>
        <b/>
        <i val="0"/>
        <color rgb="FFFFC000"/>
      </font>
      <fill>
        <patternFill>
          <bgColor theme="5"/>
        </patternFill>
      </fill>
    </dxf>
    <dxf>
      <font>
        <b/>
        <i val="0"/>
        <color theme="0"/>
      </font>
      <fill>
        <patternFill>
          <bgColor theme="8"/>
        </patternFill>
      </fill>
    </dxf>
    <dxf>
      <font>
        <b/>
        <i val="0"/>
        <color theme="0"/>
      </font>
      <fill>
        <patternFill>
          <bgColor theme="8"/>
        </patternFill>
      </fill>
    </dxf>
    <dxf>
      <font>
        <b/>
        <i val="0"/>
        <color rgb="FF9C0006"/>
      </font>
      <fill>
        <patternFill>
          <bgColor theme="5"/>
        </patternFill>
      </fill>
    </dxf>
    <dxf>
      <font>
        <b/>
        <i val="0"/>
        <color theme="0"/>
        <name val="Cambria"/>
        <scheme val="none"/>
      </font>
      <fill>
        <patternFill>
          <bgColor theme="5"/>
        </patternFill>
      </fill>
    </dxf>
    <dxf>
      <font>
        <b/>
        <i val="0"/>
        <color rgb="FFFFC000"/>
      </font>
      <fill>
        <patternFill>
          <bgColor theme="5"/>
        </patternFill>
      </fill>
    </dxf>
    <dxf>
      <font>
        <b/>
        <i val="0"/>
        <color theme="0"/>
      </font>
      <fill>
        <patternFill>
          <bgColor theme="8"/>
        </patternFill>
      </fill>
    </dxf>
    <dxf>
      <font>
        <b/>
        <i val="0"/>
        <color theme="0"/>
      </font>
      <fill>
        <patternFill>
          <bgColor theme="8"/>
        </patternFill>
      </fill>
    </dxf>
    <dxf>
      <font>
        <b/>
        <i val="0"/>
        <color rgb="FF9C0006"/>
      </font>
      <fill>
        <patternFill>
          <bgColor theme="5"/>
        </patternFill>
      </fill>
    </dxf>
    <dxf>
      <font>
        <b/>
        <i val="0"/>
        <color theme="0"/>
        <name val="Cambria"/>
        <scheme val="none"/>
      </font>
      <fill>
        <patternFill>
          <bgColor theme="5"/>
        </patternFill>
      </fill>
    </dxf>
    <dxf>
      <font>
        <b/>
        <i val="0"/>
        <color rgb="FFFFC000"/>
      </font>
      <fill>
        <patternFill>
          <bgColor theme="5"/>
        </patternFill>
      </fill>
    </dxf>
    <dxf>
      <font>
        <b/>
        <i val="0"/>
        <color theme="0"/>
      </font>
      <fill>
        <patternFill>
          <bgColor theme="8"/>
        </patternFill>
      </fill>
    </dxf>
    <dxf>
      <font>
        <b/>
        <i val="0"/>
        <color theme="0"/>
      </font>
      <fill>
        <patternFill>
          <bgColor theme="8"/>
        </patternFill>
      </fill>
    </dxf>
    <dxf>
      <font>
        <b/>
        <i val="0"/>
        <color rgb="FF9C0006"/>
      </font>
      <fill>
        <patternFill>
          <bgColor theme="5"/>
        </patternFill>
      </fill>
    </dxf>
    <dxf>
      <font>
        <b/>
        <i val="0"/>
        <color theme="0"/>
        <name val="Cambria"/>
        <scheme val="none"/>
      </font>
      <fill>
        <patternFill>
          <bgColor theme="5"/>
        </patternFill>
      </fill>
    </dxf>
    <dxf>
      <font>
        <b/>
        <i val="0"/>
        <color rgb="FFFFC000"/>
      </font>
      <fill>
        <patternFill>
          <bgColor theme="5"/>
        </patternFill>
      </fill>
    </dxf>
    <dxf>
      <font>
        <b/>
        <i val="0"/>
        <color theme="0"/>
      </font>
      <fill>
        <patternFill>
          <bgColor theme="8"/>
        </patternFill>
      </fill>
    </dxf>
    <dxf>
      <font>
        <b/>
        <i val="0"/>
        <color theme="0"/>
      </font>
      <fill>
        <patternFill>
          <bgColor theme="8"/>
        </patternFill>
      </fill>
    </dxf>
    <dxf>
      <font>
        <b/>
        <i val="0"/>
        <color rgb="FF9C0006"/>
      </font>
      <fill>
        <patternFill>
          <bgColor theme="5"/>
        </patternFill>
      </fill>
    </dxf>
    <dxf>
      <font>
        <b/>
        <i val="0"/>
        <color theme="0"/>
        <name val="Cambria"/>
        <scheme val="none"/>
      </font>
      <fill>
        <patternFill>
          <bgColor theme="5"/>
        </patternFill>
      </fill>
    </dxf>
    <dxf>
      <font>
        <b/>
        <i val="0"/>
        <color rgb="FFFFC000"/>
      </font>
      <fill>
        <patternFill>
          <bgColor theme="5"/>
        </patternFill>
      </fill>
    </dxf>
    <dxf>
      <font>
        <b/>
        <i val="0"/>
        <color theme="0"/>
      </font>
      <fill>
        <patternFill>
          <bgColor theme="8"/>
        </patternFill>
      </fill>
    </dxf>
    <dxf>
      <font>
        <b/>
        <i val="0"/>
        <color theme="0"/>
      </font>
      <fill>
        <patternFill>
          <bgColor theme="8"/>
        </patternFill>
      </fill>
    </dxf>
    <dxf>
      <font>
        <b/>
        <i val="0"/>
        <color rgb="FF9C0006"/>
      </font>
      <fill>
        <patternFill>
          <bgColor theme="5"/>
        </patternFill>
      </fill>
    </dxf>
    <dxf>
      <font>
        <b/>
        <i val="0"/>
        <color theme="0"/>
        <name val="Cambria"/>
        <scheme val="none"/>
      </font>
      <fill>
        <patternFill>
          <bgColor theme="5"/>
        </patternFill>
      </fill>
    </dxf>
    <dxf>
      <font>
        <b/>
        <i val="0"/>
        <color rgb="FFFFC000"/>
      </font>
      <fill>
        <patternFill>
          <bgColor theme="5"/>
        </patternFill>
      </fill>
    </dxf>
    <dxf>
      <font>
        <b/>
        <i val="0"/>
        <color theme="0"/>
      </font>
      <fill>
        <patternFill>
          <bgColor theme="8"/>
        </patternFill>
      </fill>
    </dxf>
    <dxf>
      <font>
        <b/>
        <i val="0"/>
        <color theme="0"/>
      </font>
      <fill>
        <patternFill>
          <bgColor theme="8"/>
        </patternFill>
      </fill>
    </dxf>
    <dxf>
      <font>
        <b/>
        <i val="0"/>
        <color rgb="FF9C0006"/>
      </font>
      <fill>
        <patternFill>
          <bgColor theme="5"/>
        </patternFill>
      </fill>
    </dxf>
    <dxf>
      <font>
        <b/>
        <i val="0"/>
        <color theme="0"/>
        <name val="Cambria"/>
        <scheme val="none"/>
      </font>
      <fill>
        <patternFill>
          <bgColor theme="5"/>
        </patternFill>
      </fill>
    </dxf>
    <dxf>
      <font>
        <b/>
        <i val="0"/>
        <color rgb="FFFFC000"/>
      </font>
      <fill>
        <patternFill>
          <bgColor theme="5"/>
        </patternFill>
      </fill>
    </dxf>
    <dxf>
      <font>
        <b/>
        <i val="0"/>
        <color theme="0"/>
      </font>
      <fill>
        <patternFill>
          <bgColor theme="8"/>
        </patternFill>
      </fill>
    </dxf>
    <dxf>
      <font>
        <b/>
        <i val="0"/>
        <color theme="0"/>
      </font>
      <fill>
        <patternFill>
          <bgColor theme="8"/>
        </patternFill>
      </fill>
    </dxf>
    <dxf>
      <font>
        <b/>
        <i val="0"/>
        <color rgb="FF9C0006"/>
      </font>
      <fill>
        <patternFill>
          <bgColor theme="5"/>
        </patternFill>
      </fill>
    </dxf>
    <dxf>
      <font>
        <b/>
        <i val="0"/>
        <color theme="0"/>
        <name val="Cambria"/>
        <scheme val="none"/>
      </font>
      <fill>
        <patternFill>
          <bgColor theme="5"/>
        </patternFill>
      </fill>
    </dxf>
    <dxf>
      <font>
        <b/>
        <i val="0"/>
        <color rgb="FFFFC000"/>
      </font>
      <fill>
        <patternFill>
          <bgColor theme="5"/>
        </patternFill>
      </fill>
    </dxf>
    <dxf>
      <font>
        <b/>
        <i val="0"/>
        <color theme="0"/>
      </font>
      <fill>
        <patternFill>
          <bgColor theme="8"/>
        </patternFill>
      </fill>
    </dxf>
    <dxf>
      <font>
        <b/>
        <i val="0"/>
        <color theme="0"/>
      </font>
      <fill>
        <patternFill>
          <bgColor theme="8"/>
        </patternFill>
      </fill>
    </dxf>
    <dxf>
      <font>
        <b/>
        <i val="0"/>
        <color rgb="FF9C0006"/>
      </font>
      <fill>
        <patternFill>
          <bgColor theme="5"/>
        </patternFill>
      </fill>
    </dxf>
    <dxf>
      <font>
        <b/>
        <i val="0"/>
        <color theme="0"/>
        <name val="Cambria"/>
        <scheme val="none"/>
      </font>
      <fill>
        <patternFill>
          <bgColor theme="5"/>
        </patternFill>
      </fill>
    </dxf>
    <dxf>
      <font>
        <b/>
        <i val="0"/>
        <color rgb="FFFFC000"/>
      </font>
      <fill>
        <patternFill>
          <bgColor theme="5"/>
        </patternFill>
      </fill>
    </dxf>
    <dxf>
      <font>
        <b/>
        <i val="0"/>
        <color theme="0"/>
      </font>
      <fill>
        <patternFill>
          <bgColor theme="8"/>
        </patternFill>
      </fill>
    </dxf>
    <dxf>
      <font>
        <b/>
        <i val="0"/>
        <color theme="0"/>
      </font>
      <fill>
        <patternFill>
          <bgColor theme="8"/>
        </patternFill>
      </fill>
    </dxf>
    <dxf>
      <font>
        <b/>
        <i val="0"/>
        <color rgb="FF9C0006"/>
      </font>
      <fill>
        <patternFill>
          <bgColor theme="5"/>
        </patternFill>
      </fill>
    </dxf>
    <dxf>
      <font>
        <b/>
        <i val="0"/>
        <color theme="0"/>
        <name val="Cambria"/>
        <scheme val="none"/>
      </font>
      <fill>
        <patternFill>
          <bgColor theme="5"/>
        </patternFill>
      </fill>
    </dxf>
    <dxf>
      <font>
        <b/>
        <i val="0"/>
        <color rgb="FFFFC000"/>
      </font>
      <fill>
        <patternFill>
          <bgColor theme="5"/>
        </patternFill>
      </fill>
    </dxf>
    <dxf>
      <font>
        <b/>
        <i val="0"/>
        <color theme="0"/>
      </font>
      <fill>
        <patternFill>
          <bgColor theme="8"/>
        </patternFill>
      </fill>
    </dxf>
    <dxf>
      <font>
        <b/>
        <i val="0"/>
        <color theme="0"/>
      </font>
      <fill>
        <patternFill>
          <bgColor theme="8"/>
        </patternFill>
      </fill>
    </dxf>
    <dxf>
      <font>
        <b/>
        <i val="0"/>
        <color rgb="FF9C0006"/>
      </font>
      <fill>
        <patternFill>
          <bgColor theme="5"/>
        </patternFill>
      </fill>
    </dxf>
    <dxf>
      <font>
        <b/>
        <i val="0"/>
        <color theme="0"/>
        <name val="Cambria"/>
        <scheme val="none"/>
      </font>
      <fill>
        <patternFill>
          <bgColor theme="5"/>
        </patternFill>
      </fill>
    </dxf>
    <dxf>
      <font>
        <b/>
        <i val="0"/>
        <color rgb="FFFFC000"/>
      </font>
      <fill>
        <patternFill>
          <bgColor theme="5"/>
        </patternFill>
      </fill>
    </dxf>
    <dxf>
      <font>
        <b/>
        <i val="0"/>
        <color theme="0"/>
      </font>
      <fill>
        <patternFill>
          <bgColor theme="8"/>
        </patternFill>
      </fill>
    </dxf>
    <dxf>
      <font>
        <b/>
        <i val="0"/>
        <color theme="0"/>
      </font>
      <fill>
        <patternFill>
          <bgColor theme="8"/>
        </patternFill>
      </fill>
    </dxf>
    <dxf>
      <font>
        <b/>
        <i val="0"/>
        <color rgb="FF9C0006"/>
      </font>
      <fill>
        <patternFill>
          <bgColor theme="5"/>
        </patternFill>
      </fill>
    </dxf>
    <dxf>
      <font>
        <b/>
        <i val="0"/>
        <color theme="0"/>
        <name val="Cambria"/>
        <scheme val="none"/>
      </font>
      <fill>
        <patternFill>
          <bgColor theme="5"/>
        </patternFill>
      </fill>
    </dxf>
    <dxf>
      <font>
        <b/>
        <i val="0"/>
        <color rgb="FFFFC000"/>
      </font>
      <fill>
        <patternFill>
          <bgColor theme="5"/>
        </patternFill>
      </fill>
    </dxf>
    <dxf>
      <font>
        <b/>
        <i val="0"/>
        <color theme="0"/>
      </font>
      <fill>
        <patternFill>
          <bgColor theme="8"/>
        </patternFill>
      </fill>
    </dxf>
    <dxf>
      <font>
        <b/>
        <i val="0"/>
        <color theme="0"/>
      </font>
      <fill>
        <patternFill>
          <bgColor theme="8"/>
        </patternFill>
      </fill>
    </dxf>
    <dxf>
      <font>
        <b/>
        <i val="0"/>
        <color rgb="FF9C0006"/>
      </font>
      <fill>
        <patternFill>
          <bgColor theme="5"/>
        </patternFill>
      </fill>
    </dxf>
    <dxf>
      <font>
        <b/>
        <i val="0"/>
        <color theme="0"/>
        <name val="Cambria"/>
        <scheme val="none"/>
      </font>
      <fill>
        <patternFill>
          <bgColor theme="5"/>
        </patternFill>
      </fill>
    </dxf>
    <dxf>
      <font>
        <b/>
        <i val="0"/>
        <color rgb="FFFFC000"/>
      </font>
      <fill>
        <patternFill>
          <bgColor theme="5"/>
        </patternFill>
      </fill>
    </dxf>
    <dxf>
      <font>
        <b/>
        <i val="0"/>
        <color theme="0"/>
      </font>
      <fill>
        <patternFill>
          <bgColor theme="8"/>
        </patternFill>
      </fill>
    </dxf>
    <dxf>
      <font>
        <b/>
        <i val="0"/>
        <color theme="0"/>
      </font>
      <fill>
        <patternFill>
          <bgColor theme="8"/>
        </patternFill>
      </fill>
    </dxf>
    <dxf>
      <font>
        <b/>
        <i val="0"/>
        <color rgb="FF9C0006"/>
      </font>
      <fill>
        <patternFill>
          <bgColor theme="5"/>
        </patternFill>
      </fill>
    </dxf>
    <dxf>
      <font>
        <b/>
        <i val="0"/>
        <color theme="0"/>
        <name val="Cambria"/>
        <scheme val="none"/>
      </font>
      <fill>
        <patternFill>
          <bgColor theme="5"/>
        </patternFill>
      </fill>
    </dxf>
    <dxf>
      <font>
        <b/>
        <i val="0"/>
        <color rgb="FFFFC000"/>
      </font>
      <fill>
        <patternFill>
          <bgColor theme="5"/>
        </patternFill>
      </fill>
    </dxf>
    <dxf>
      <font>
        <b/>
        <i val="0"/>
        <color theme="0"/>
      </font>
      <fill>
        <patternFill>
          <bgColor theme="8"/>
        </patternFill>
      </fill>
    </dxf>
    <dxf>
      <font>
        <b/>
        <i val="0"/>
        <color theme="0"/>
      </font>
      <fill>
        <patternFill>
          <bgColor theme="8"/>
        </patternFill>
      </fill>
    </dxf>
    <dxf>
      <font>
        <b/>
        <i val="0"/>
        <color rgb="FF9C0006"/>
      </font>
      <fill>
        <patternFill>
          <bgColor theme="5"/>
        </patternFill>
      </fill>
    </dxf>
    <dxf>
      <font>
        <b/>
        <i val="0"/>
        <color theme="0"/>
        <name val="Cambria"/>
        <scheme val="none"/>
      </font>
      <fill>
        <patternFill>
          <bgColor theme="5"/>
        </patternFill>
      </fill>
    </dxf>
    <dxf>
      <font>
        <b/>
        <i val="0"/>
        <color rgb="FFFFC000"/>
      </font>
      <fill>
        <patternFill>
          <bgColor theme="5"/>
        </patternFill>
      </fill>
    </dxf>
    <dxf>
      <font>
        <b/>
        <i val="0"/>
        <color theme="0"/>
      </font>
      <fill>
        <patternFill>
          <bgColor theme="8"/>
        </patternFill>
      </fill>
    </dxf>
    <dxf>
      <font>
        <b/>
        <i val="0"/>
        <color theme="0"/>
      </font>
      <fill>
        <patternFill>
          <bgColor theme="8"/>
        </patternFill>
      </fill>
    </dxf>
    <dxf>
      <font>
        <b/>
        <i val="0"/>
        <color rgb="FF9C0006"/>
      </font>
      <fill>
        <patternFill>
          <bgColor theme="5"/>
        </patternFill>
      </fill>
    </dxf>
    <dxf>
      <font>
        <b/>
        <i val="0"/>
        <color theme="0"/>
        <name val="Cambria"/>
        <scheme val="none"/>
      </font>
      <fill>
        <patternFill>
          <bgColor theme="5"/>
        </patternFill>
      </fill>
    </dxf>
    <dxf>
      <font>
        <b/>
        <i val="0"/>
        <color rgb="FFFFC000"/>
      </font>
      <fill>
        <patternFill>
          <bgColor theme="5"/>
        </patternFill>
      </fill>
    </dxf>
    <dxf>
      <font>
        <b/>
        <i val="0"/>
        <color theme="0"/>
      </font>
      <fill>
        <patternFill>
          <bgColor theme="8"/>
        </patternFill>
      </fill>
    </dxf>
    <dxf>
      <font>
        <b/>
        <i val="0"/>
        <color theme="0"/>
      </font>
      <fill>
        <patternFill>
          <bgColor theme="8"/>
        </patternFill>
      </fill>
    </dxf>
    <dxf>
      <font>
        <b/>
        <i val="0"/>
        <color rgb="FF9C0006"/>
      </font>
      <fill>
        <patternFill>
          <bgColor theme="5"/>
        </patternFill>
      </fill>
    </dxf>
    <dxf>
      <font>
        <b/>
        <i val="0"/>
        <color theme="0"/>
        <name val="Cambria"/>
        <scheme val="none"/>
      </font>
      <fill>
        <patternFill>
          <bgColor theme="5"/>
        </patternFill>
      </fill>
    </dxf>
    <dxf>
      <font>
        <b/>
        <i val="0"/>
        <color rgb="FFFFC000"/>
      </font>
      <fill>
        <patternFill>
          <bgColor theme="5"/>
        </patternFill>
      </fill>
    </dxf>
    <dxf>
      <font>
        <b/>
        <i val="0"/>
        <color theme="0"/>
      </font>
      <fill>
        <patternFill>
          <bgColor theme="8"/>
        </patternFill>
      </fill>
    </dxf>
    <dxf>
      <font>
        <b/>
        <i val="0"/>
        <color theme="0"/>
      </font>
      <fill>
        <patternFill>
          <bgColor theme="8"/>
        </patternFill>
      </fill>
    </dxf>
    <dxf>
      <font>
        <b/>
        <i val="0"/>
        <color rgb="FF9C0006"/>
      </font>
      <fill>
        <patternFill>
          <bgColor theme="5"/>
        </patternFill>
      </fill>
    </dxf>
    <dxf>
      <font>
        <b/>
        <i val="0"/>
        <color theme="0"/>
        <name val="Cambria"/>
        <scheme val="none"/>
      </font>
      <fill>
        <patternFill>
          <bgColor theme="5"/>
        </patternFill>
      </fill>
    </dxf>
    <dxf>
      <font>
        <b/>
        <i val="0"/>
        <color rgb="FFFFC000"/>
      </font>
      <fill>
        <patternFill>
          <bgColor theme="5"/>
        </patternFill>
      </fill>
    </dxf>
    <dxf>
      <font>
        <b/>
        <i val="0"/>
        <color theme="0"/>
      </font>
      <fill>
        <patternFill>
          <bgColor theme="8"/>
        </patternFill>
      </fill>
    </dxf>
    <dxf>
      <font>
        <b/>
        <i val="0"/>
        <color theme="0"/>
      </font>
      <fill>
        <patternFill>
          <bgColor theme="8"/>
        </patternFill>
      </fill>
    </dxf>
    <dxf>
      <font>
        <b/>
        <i val="0"/>
        <color rgb="FF9C0006"/>
      </font>
      <fill>
        <patternFill>
          <bgColor theme="5"/>
        </patternFill>
      </fill>
    </dxf>
    <dxf>
      <font>
        <b/>
        <i val="0"/>
        <color theme="0"/>
        <name val="Cambria"/>
        <scheme val="none"/>
      </font>
      <fill>
        <patternFill>
          <bgColor theme="5"/>
        </patternFill>
      </fill>
    </dxf>
    <dxf>
      <font>
        <b/>
        <i val="0"/>
        <color rgb="FFFFC000"/>
      </font>
      <fill>
        <patternFill>
          <bgColor theme="5"/>
        </patternFill>
      </fill>
    </dxf>
    <dxf>
      <font>
        <b/>
        <i val="0"/>
        <color theme="0"/>
      </font>
      <fill>
        <patternFill>
          <bgColor theme="8"/>
        </patternFill>
      </fill>
    </dxf>
    <dxf>
      <font>
        <b/>
        <i val="0"/>
        <color theme="0"/>
      </font>
      <fill>
        <patternFill>
          <bgColor theme="8"/>
        </patternFill>
      </fill>
    </dxf>
    <dxf>
      <font>
        <b/>
        <i val="0"/>
        <color rgb="FF9C0006"/>
      </font>
      <fill>
        <patternFill>
          <bgColor theme="5"/>
        </patternFill>
      </fill>
    </dxf>
    <dxf>
      <font>
        <b/>
        <i val="0"/>
        <color theme="0"/>
        <name val="Cambria"/>
        <scheme val="none"/>
      </font>
      <fill>
        <patternFill>
          <bgColor theme="5"/>
        </patternFill>
      </fill>
    </dxf>
    <dxf>
      <font>
        <b/>
        <i val="0"/>
        <color rgb="FFFFC000"/>
      </font>
      <fill>
        <patternFill>
          <bgColor theme="5"/>
        </patternFill>
      </fill>
    </dxf>
    <dxf>
      <font>
        <b/>
        <i val="0"/>
        <color theme="0"/>
      </font>
      <fill>
        <patternFill>
          <bgColor theme="8"/>
        </patternFill>
      </fill>
    </dxf>
    <dxf>
      <font>
        <b/>
        <i val="0"/>
        <color theme="0"/>
      </font>
      <fill>
        <patternFill>
          <bgColor theme="8"/>
        </patternFill>
      </fill>
    </dxf>
    <dxf>
      <font>
        <b/>
        <i val="0"/>
        <color rgb="FF9C0006"/>
      </font>
      <fill>
        <patternFill>
          <bgColor theme="5"/>
        </patternFill>
      </fill>
    </dxf>
    <dxf>
      <font>
        <b/>
        <i val="0"/>
        <color theme="0"/>
        <name val="Cambria"/>
        <scheme val="none"/>
      </font>
      <fill>
        <patternFill>
          <bgColor theme="5"/>
        </patternFill>
      </fill>
    </dxf>
    <dxf>
      <font>
        <b/>
        <i val="0"/>
        <color rgb="FFFFC000"/>
      </font>
      <fill>
        <patternFill>
          <bgColor theme="5"/>
        </patternFill>
      </fill>
    </dxf>
    <dxf>
      <font>
        <b/>
        <i val="0"/>
        <color theme="0"/>
      </font>
      <fill>
        <patternFill>
          <bgColor theme="8"/>
        </patternFill>
      </fill>
    </dxf>
    <dxf>
      <font>
        <b/>
        <i val="0"/>
        <color theme="0"/>
      </font>
      <fill>
        <patternFill>
          <bgColor theme="8"/>
        </patternFill>
      </fill>
    </dxf>
    <dxf>
      <font>
        <b/>
        <i val="0"/>
        <color rgb="FF9C0006"/>
      </font>
      <fill>
        <patternFill>
          <bgColor theme="5"/>
        </patternFill>
      </fill>
    </dxf>
    <dxf>
      <font>
        <b/>
        <i val="0"/>
        <color theme="0"/>
        <name val="Cambria"/>
        <scheme val="none"/>
      </font>
      <fill>
        <patternFill>
          <bgColor theme="5"/>
        </patternFill>
      </fill>
    </dxf>
    <dxf>
      <font>
        <b/>
        <i val="0"/>
        <color rgb="FFFFC000"/>
      </font>
      <fill>
        <patternFill>
          <bgColor theme="5"/>
        </patternFill>
      </fill>
    </dxf>
    <dxf>
      <font>
        <b/>
        <i val="0"/>
        <color theme="0"/>
      </font>
      <fill>
        <patternFill>
          <bgColor theme="8"/>
        </patternFill>
      </fill>
    </dxf>
    <dxf>
      <font>
        <b/>
        <i val="0"/>
        <color theme="0"/>
      </font>
      <fill>
        <patternFill>
          <bgColor theme="8"/>
        </patternFill>
      </fill>
    </dxf>
    <dxf>
      <font>
        <b/>
        <i val="0"/>
        <color rgb="FF9C0006"/>
      </font>
      <fill>
        <patternFill>
          <bgColor theme="5"/>
        </patternFill>
      </fill>
    </dxf>
    <dxf>
      <font>
        <b/>
        <i val="0"/>
        <color theme="0"/>
        <name val="Cambria"/>
        <scheme val="none"/>
      </font>
      <fill>
        <patternFill>
          <bgColor theme="5"/>
        </patternFill>
      </fill>
    </dxf>
    <dxf>
      <font>
        <b/>
        <i val="0"/>
        <color rgb="FFFFC000"/>
      </font>
      <fill>
        <patternFill>
          <bgColor theme="5"/>
        </patternFill>
      </fill>
    </dxf>
    <dxf>
      <font>
        <b/>
        <i val="0"/>
        <color theme="0"/>
      </font>
      <fill>
        <patternFill>
          <bgColor theme="8"/>
        </patternFill>
      </fill>
    </dxf>
    <dxf>
      <font>
        <b/>
        <i val="0"/>
        <color theme="0"/>
      </font>
      <fill>
        <patternFill>
          <bgColor theme="8"/>
        </patternFill>
      </fill>
    </dxf>
    <dxf>
      <font>
        <b/>
        <i val="0"/>
        <color rgb="FF9C0006"/>
      </font>
      <fill>
        <patternFill>
          <bgColor theme="5"/>
        </patternFill>
      </fill>
    </dxf>
    <dxf>
      <font>
        <b/>
        <i val="0"/>
        <color theme="0"/>
        <name val="Cambria"/>
        <scheme val="none"/>
      </font>
      <fill>
        <patternFill>
          <bgColor theme="5"/>
        </patternFill>
      </fill>
    </dxf>
    <dxf>
      <font>
        <b/>
        <i val="0"/>
        <color rgb="FFFFC000"/>
      </font>
      <fill>
        <patternFill>
          <bgColor theme="5"/>
        </patternFill>
      </fill>
    </dxf>
    <dxf>
      <font>
        <b/>
        <i val="0"/>
        <color theme="0"/>
      </font>
      <fill>
        <patternFill>
          <bgColor theme="8"/>
        </patternFill>
      </fill>
    </dxf>
    <dxf>
      <font>
        <b/>
        <i val="0"/>
        <color theme="0"/>
      </font>
      <fill>
        <patternFill>
          <bgColor theme="8"/>
        </patternFill>
      </fill>
    </dxf>
    <dxf>
      <font>
        <b/>
        <i val="0"/>
        <color rgb="FF9C0006"/>
      </font>
      <fill>
        <patternFill>
          <bgColor theme="5"/>
        </patternFill>
      </fill>
    </dxf>
    <dxf>
      <font>
        <b/>
        <i val="0"/>
        <color theme="0"/>
        <name val="Cambria"/>
        <scheme val="none"/>
      </font>
      <fill>
        <patternFill>
          <bgColor theme="5"/>
        </patternFill>
      </fill>
    </dxf>
    <dxf>
      <font>
        <b/>
        <i val="0"/>
        <color rgb="FFFFC000"/>
      </font>
      <fill>
        <patternFill>
          <bgColor theme="5"/>
        </patternFill>
      </fill>
    </dxf>
    <dxf>
      <font>
        <b/>
        <i val="0"/>
        <color theme="0"/>
      </font>
      <fill>
        <patternFill>
          <bgColor theme="8"/>
        </patternFill>
      </fill>
    </dxf>
    <dxf>
      <font>
        <b/>
        <i val="0"/>
        <color theme="0"/>
      </font>
      <fill>
        <patternFill>
          <bgColor theme="8"/>
        </patternFill>
      </fill>
    </dxf>
    <dxf>
      <font>
        <b/>
        <i val="0"/>
        <color rgb="FF9C0006"/>
      </font>
      <fill>
        <patternFill>
          <bgColor theme="5"/>
        </patternFill>
      </fill>
    </dxf>
    <dxf>
      <font>
        <b/>
        <i val="0"/>
        <color theme="0"/>
        <name val="Cambria"/>
        <scheme val="none"/>
      </font>
      <fill>
        <patternFill>
          <bgColor theme="5"/>
        </patternFill>
      </fill>
    </dxf>
    <dxf>
      <font>
        <b/>
        <i val="0"/>
        <color rgb="FFFFC000"/>
      </font>
      <fill>
        <patternFill>
          <bgColor theme="5"/>
        </patternFill>
      </fill>
    </dxf>
    <dxf>
      <font>
        <b/>
        <i val="0"/>
        <color theme="0"/>
      </font>
      <fill>
        <patternFill>
          <bgColor theme="8"/>
        </patternFill>
      </fill>
    </dxf>
    <dxf>
      <font>
        <b/>
        <i val="0"/>
        <color theme="0"/>
      </font>
      <fill>
        <patternFill>
          <bgColor theme="8"/>
        </patternFill>
      </fill>
    </dxf>
    <dxf>
      <font>
        <b/>
        <i val="0"/>
        <color rgb="FF9C0006"/>
      </font>
      <fill>
        <patternFill>
          <bgColor theme="5"/>
        </patternFill>
      </fill>
    </dxf>
    <dxf>
      <font>
        <b/>
        <i val="0"/>
        <color theme="0"/>
        <name val="Cambria"/>
        <scheme val="none"/>
      </font>
      <fill>
        <patternFill>
          <bgColor theme="5"/>
        </patternFill>
      </fill>
    </dxf>
    <dxf>
      <font>
        <b/>
        <i val="0"/>
        <color rgb="FFFFC000"/>
      </font>
      <fill>
        <patternFill>
          <bgColor theme="5"/>
        </patternFill>
      </fill>
    </dxf>
    <dxf>
      <font>
        <b/>
        <i val="0"/>
        <color theme="0"/>
      </font>
      <fill>
        <patternFill>
          <bgColor theme="8"/>
        </patternFill>
      </fill>
    </dxf>
    <dxf>
      <font>
        <b/>
        <i val="0"/>
        <color theme="0"/>
      </font>
      <fill>
        <patternFill>
          <bgColor theme="8"/>
        </patternFill>
      </fill>
    </dxf>
    <dxf>
      <font>
        <b/>
        <i val="0"/>
        <color rgb="FF9C0006"/>
      </font>
      <fill>
        <patternFill>
          <bgColor theme="5"/>
        </patternFill>
      </fill>
    </dxf>
    <dxf>
      <font>
        <b/>
        <i val="0"/>
        <color theme="0"/>
        <name val="Cambria"/>
        <scheme val="none"/>
      </font>
      <fill>
        <patternFill>
          <bgColor theme="5"/>
        </patternFill>
      </fill>
    </dxf>
    <dxf>
      <font>
        <b/>
        <i val="0"/>
        <color rgb="FFFFC000"/>
      </font>
      <fill>
        <patternFill>
          <bgColor theme="5"/>
        </patternFill>
      </fill>
    </dxf>
    <dxf>
      <font>
        <b/>
        <i val="0"/>
        <color theme="0"/>
      </font>
      <fill>
        <patternFill>
          <bgColor theme="8"/>
        </patternFill>
      </fill>
    </dxf>
    <dxf>
      <font>
        <b/>
        <i val="0"/>
        <color theme="0"/>
      </font>
      <fill>
        <patternFill>
          <bgColor theme="8"/>
        </patternFill>
      </fill>
    </dxf>
    <dxf>
      <font>
        <b/>
        <i val="0"/>
        <color rgb="FF9C0006"/>
      </font>
      <fill>
        <patternFill>
          <bgColor theme="5"/>
        </patternFill>
      </fill>
    </dxf>
    <dxf>
      <font>
        <b/>
        <i val="0"/>
        <color theme="0"/>
        <name val="Cambria"/>
        <scheme val="none"/>
      </font>
      <fill>
        <patternFill>
          <bgColor theme="5"/>
        </patternFill>
      </fill>
    </dxf>
    <dxf>
      <font>
        <b/>
        <i val="0"/>
        <color rgb="FFFFC000"/>
      </font>
      <fill>
        <patternFill>
          <bgColor theme="5"/>
        </patternFill>
      </fill>
    </dxf>
    <dxf>
      <font>
        <b/>
        <i val="0"/>
        <color theme="0"/>
      </font>
      <fill>
        <patternFill>
          <bgColor theme="8"/>
        </patternFill>
      </fill>
    </dxf>
    <dxf>
      <font>
        <b/>
        <i val="0"/>
        <color theme="0"/>
      </font>
      <fill>
        <patternFill>
          <bgColor theme="8"/>
        </patternFill>
      </fill>
    </dxf>
    <dxf>
      <font>
        <b/>
        <i val="0"/>
        <color rgb="FF9C0006"/>
      </font>
      <fill>
        <patternFill>
          <bgColor theme="5"/>
        </patternFill>
      </fill>
    </dxf>
    <dxf>
      <font>
        <b/>
        <i val="0"/>
        <color theme="0"/>
        <name val="Cambria"/>
        <scheme val="none"/>
      </font>
      <fill>
        <patternFill>
          <bgColor theme="5"/>
        </patternFill>
      </fill>
    </dxf>
    <dxf>
      <font>
        <b/>
        <i val="0"/>
        <color rgb="FFFFC000"/>
      </font>
      <fill>
        <patternFill>
          <bgColor theme="5"/>
        </patternFill>
      </fill>
    </dxf>
    <dxf>
      <font>
        <b/>
        <i val="0"/>
        <color theme="0"/>
      </font>
      <fill>
        <patternFill>
          <bgColor theme="8"/>
        </patternFill>
      </fill>
    </dxf>
    <dxf>
      <font>
        <b/>
        <i val="0"/>
        <color theme="0"/>
      </font>
      <fill>
        <patternFill>
          <bgColor theme="8"/>
        </patternFill>
      </fill>
    </dxf>
    <dxf>
      <font>
        <b/>
        <i val="0"/>
        <color rgb="FF9C0006"/>
      </font>
      <fill>
        <patternFill>
          <bgColor theme="5"/>
        </patternFill>
      </fill>
    </dxf>
    <dxf>
      <font>
        <b/>
        <i val="0"/>
        <color theme="0"/>
        <name val="Cambria"/>
        <scheme val="none"/>
      </font>
      <fill>
        <patternFill>
          <bgColor theme="5"/>
        </patternFill>
      </fill>
    </dxf>
    <dxf>
      <font>
        <b/>
        <i val="0"/>
        <color rgb="FFFFC000"/>
      </font>
      <fill>
        <patternFill>
          <bgColor theme="5"/>
        </patternFill>
      </fill>
    </dxf>
    <dxf>
      <font>
        <b/>
        <i val="0"/>
        <color theme="0"/>
      </font>
      <fill>
        <patternFill>
          <bgColor theme="8"/>
        </patternFill>
      </fill>
    </dxf>
    <dxf>
      <font>
        <b/>
        <i val="0"/>
        <color theme="0"/>
      </font>
      <fill>
        <patternFill>
          <bgColor theme="8"/>
        </patternFill>
      </fill>
    </dxf>
    <dxf>
      <font>
        <b/>
        <i val="0"/>
        <color rgb="FF9C0006"/>
      </font>
      <fill>
        <patternFill>
          <bgColor theme="5"/>
        </patternFill>
      </fill>
    </dxf>
    <dxf>
      <font>
        <b/>
        <i val="0"/>
        <color theme="0"/>
        <name val="Cambria"/>
        <scheme val="none"/>
      </font>
      <fill>
        <patternFill>
          <bgColor theme="5"/>
        </patternFill>
      </fill>
    </dxf>
    <dxf>
      <font>
        <b/>
        <i val="0"/>
        <color rgb="FFFFC000"/>
      </font>
      <fill>
        <patternFill>
          <bgColor theme="5"/>
        </patternFill>
      </fill>
    </dxf>
    <dxf>
      <font>
        <b/>
        <i val="0"/>
        <color theme="0"/>
      </font>
      <fill>
        <patternFill>
          <bgColor theme="8"/>
        </patternFill>
      </fill>
    </dxf>
    <dxf>
      <font>
        <b/>
        <i val="0"/>
        <color theme="0"/>
      </font>
      <fill>
        <patternFill>
          <bgColor theme="8"/>
        </patternFill>
      </fill>
    </dxf>
    <dxf>
      <font>
        <b/>
        <i val="0"/>
        <color rgb="FF9C0006"/>
      </font>
      <fill>
        <patternFill>
          <bgColor theme="5"/>
        </patternFill>
      </fill>
    </dxf>
    <dxf>
      <font>
        <b/>
        <i val="0"/>
        <color theme="0"/>
        <name val="Cambria"/>
        <scheme val="none"/>
      </font>
      <fill>
        <patternFill>
          <bgColor theme="5"/>
        </patternFill>
      </fill>
    </dxf>
    <dxf>
      <font>
        <b/>
        <i val="0"/>
        <color rgb="FFFFC000"/>
      </font>
      <fill>
        <patternFill>
          <bgColor theme="5"/>
        </patternFill>
      </fill>
    </dxf>
    <dxf>
      <font>
        <b/>
        <i val="0"/>
        <color theme="0"/>
      </font>
      <fill>
        <patternFill>
          <bgColor theme="8"/>
        </patternFill>
      </fill>
    </dxf>
    <dxf>
      <font>
        <b/>
        <i val="0"/>
        <color theme="0"/>
      </font>
      <fill>
        <patternFill>
          <bgColor theme="8"/>
        </patternFill>
      </fill>
    </dxf>
    <dxf>
      <font>
        <b/>
        <i val="0"/>
        <color rgb="FF9C0006"/>
      </font>
      <fill>
        <patternFill>
          <bgColor theme="5"/>
        </patternFill>
      </fill>
    </dxf>
    <dxf>
      <font>
        <b/>
        <i val="0"/>
        <color theme="0"/>
        <name val="Cambria"/>
        <scheme val="none"/>
      </font>
      <fill>
        <patternFill>
          <bgColor theme="5"/>
        </patternFill>
      </fill>
    </dxf>
    <dxf>
      <font>
        <b/>
        <i val="0"/>
        <color rgb="FFFFC000"/>
      </font>
      <fill>
        <patternFill>
          <bgColor theme="5"/>
        </patternFill>
      </fill>
    </dxf>
    <dxf>
      <font>
        <b/>
        <i val="0"/>
        <color theme="0"/>
      </font>
      <fill>
        <patternFill>
          <bgColor theme="8"/>
        </patternFill>
      </fill>
    </dxf>
    <dxf>
      <font>
        <b/>
        <i val="0"/>
        <color theme="0"/>
      </font>
      <fill>
        <patternFill>
          <bgColor theme="8"/>
        </patternFill>
      </fill>
    </dxf>
    <dxf>
      <font>
        <b/>
        <i val="0"/>
        <color rgb="FF9C0006"/>
      </font>
      <fill>
        <patternFill>
          <bgColor theme="5"/>
        </patternFill>
      </fill>
    </dxf>
    <dxf>
      <font>
        <b/>
        <i val="0"/>
        <color theme="0"/>
        <name val="Cambria"/>
        <scheme val="none"/>
      </font>
      <fill>
        <patternFill>
          <bgColor theme="5"/>
        </patternFill>
      </fill>
    </dxf>
    <dxf>
      <font>
        <b/>
        <i val="0"/>
        <color rgb="FFFFC000"/>
      </font>
      <fill>
        <patternFill>
          <bgColor theme="5"/>
        </patternFill>
      </fill>
    </dxf>
    <dxf>
      <font>
        <b/>
        <i val="0"/>
        <color theme="0"/>
      </font>
      <fill>
        <patternFill>
          <bgColor theme="8"/>
        </patternFill>
      </fill>
    </dxf>
    <dxf>
      <font>
        <b/>
        <i val="0"/>
        <color theme="0"/>
      </font>
      <fill>
        <patternFill>
          <bgColor theme="8"/>
        </patternFill>
      </fill>
    </dxf>
    <dxf>
      <font>
        <b/>
        <i val="0"/>
        <color rgb="FF9C0006"/>
      </font>
      <fill>
        <patternFill>
          <bgColor theme="5"/>
        </patternFill>
      </fill>
    </dxf>
    <dxf>
      <font>
        <b/>
        <i val="0"/>
        <color theme="0"/>
        <name val="Cambria"/>
        <scheme val="none"/>
      </font>
      <fill>
        <patternFill>
          <bgColor theme="5"/>
        </patternFill>
      </fill>
    </dxf>
    <dxf>
      <font>
        <b/>
        <i val="0"/>
        <color rgb="FFFFC000"/>
      </font>
      <fill>
        <patternFill>
          <bgColor theme="5"/>
        </patternFill>
      </fill>
    </dxf>
    <dxf>
      <font>
        <b/>
        <i val="0"/>
        <color theme="0"/>
      </font>
      <fill>
        <patternFill>
          <bgColor theme="8"/>
        </patternFill>
      </fill>
    </dxf>
    <dxf>
      <font>
        <b/>
        <i val="0"/>
        <color theme="0"/>
      </font>
      <fill>
        <patternFill>
          <bgColor theme="8"/>
        </patternFill>
      </fill>
    </dxf>
    <dxf>
      <font>
        <b/>
        <i val="0"/>
        <color rgb="FF9C0006"/>
      </font>
      <fill>
        <patternFill>
          <bgColor theme="5"/>
        </patternFill>
      </fill>
    </dxf>
    <dxf>
      <font>
        <b/>
        <i val="0"/>
        <color theme="0"/>
        <name val="Cambria"/>
        <scheme val="none"/>
      </font>
      <fill>
        <patternFill>
          <bgColor theme="5"/>
        </patternFill>
      </fill>
    </dxf>
    <dxf>
      <font>
        <b/>
        <i val="0"/>
        <color rgb="FFFFC000"/>
      </font>
      <fill>
        <patternFill>
          <bgColor theme="5"/>
        </patternFill>
      </fill>
    </dxf>
    <dxf>
      <font>
        <b/>
        <i val="0"/>
        <color theme="0"/>
      </font>
      <fill>
        <patternFill>
          <bgColor theme="8"/>
        </patternFill>
      </fill>
    </dxf>
    <dxf>
      <font>
        <b/>
        <i val="0"/>
        <color theme="0"/>
      </font>
      <fill>
        <patternFill>
          <bgColor theme="8"/>
        </patternFill>
      </fill>
    </dxf>
    <dxf>
      <font>
        <b/>
        <i val="0"/>
        <color rgb="FF9C0006"/>
      </font>
      <fill>
        <patternFill>
          <bgColor theme="5"/>
        </patternFill>
      </fill>
    </dxf>
    <dxf>
      <font>
        <b/>
        <i val="0"/>
        <color theme="0"/>
        <name val="Cambria"/>
        <scheme val="none"/>
      </font>
      <fill>
        <patternFill>
          <bgColor theme="5"/>
        </patternFill>
      </fill>
    </dxf>
    <dxf>
      <font>
        <b/>
        <i val="0"/>
        <color rgb="FFFFC000"/>
      </font>
      <fill>
        <patternFill>
          <bgColor theme="5"/>
        </patternFill>
      </fill>
    </dxf>
    <dxf>
      <font>
        <b/>
        <i val="0"/>
        <color theme="0"/>
      </font>
      <fill>
        <patternFill>
          <bgColor theme="8"/>
        </patternFill>
      </fill>
    </dxf>
    <dxf>
      <font>
        <b/>
        <i val="0"/>
        <color theme="0"/>
      </font>
      <fill>
        <patternFill>
          <bgColor theme="8"/>
        </patternFill>
      </fill>
    </dxf>
    <dxf>
      <font>
        <b/>
        <i val="0"/>
        <color rgb="FF9C0006"/>
      </font>
      <fill>
        <patternFill>
          <bgColor theme="5"/>
        </patternFill>
      </fill>
    </dxf>
    <dxf>
      <font>
        <b/>
        <i val="0"/>
        <color theme="0"/>
        <name val="Cambria"/>
        <scheme val="none"/>
      </font>
      <fill>
        <patternFill>
          <bgColor theme="5"/>
        </patternFill>
      </fill>
    </dxf>
    <dxf>
      <font>
        <b/>
        <i val="0"/>
        <color rgb="FFFFC000"/>
      </font>
      <fill>
        <patternFill>
          <bgColor theme="5"/>
        </patternFill>
      </fill>
    </dxf>
    <dxf>
      <font>
        <b/>
        <i val="0"/>
        <color theme="0"/>
      </font>
      <fill>
        <patternFill>
          <bgColor theme="8"/>
        </patternFill>
      </fill>
    </dxf>
    <dxf>
      <font>
        <b/>
        <i val="0"/>
        <color theme="0"/>
      </font>
      <fill>
        <patternFill>
          <bgColor theme="8"/>
        </patternFill>
      </fill>
    </dxf>
    <dxf>
      <font>
        <b/>
        <i val="0"/>
        <color rgb="FF9C0006"/>
      </font>
      <fill>
        <patternFill>
          <bgColor theme="5"/>
        </patternFill>
      </fill>
    </dxf>
    <dxf>
      <font>
        <b/>
        <i val="0"/>
        <color theme="0"/>
        <name val="Cambria"/>
        <scheme val="none"/>
      </font>
      <fill>
        <patternFill>
          <bgColor theme="5"/>
        </patternFill>
      </fill>
    </dxf>
    <dxf>
      <font>
        <b/>
        <i val="0"/>
        <color rgb="FFFFC000"/>
      </font>
      <fill>
        <patternFill>
          <bgColor theme="5"/>
        </patternFill>
      </fill>
    </dxf>
    <dxf>
      <font>
        <b/>
        <i val="0"/>
        <color theme="0"/>
      </font>
      <fill>
        <patternFill>
          <bgColor theme="8"/>
        </patternFill>
      </fill>
    </dxf>
    <dxf>
      <font>
        <b/>
        <i val="0"/>
        <color theme="0"/>
      </font>
      <fill>
        <patternFill>
          <bgColor theme="8"/>
        </patternFill>
      </fill>
    </dxf>
    <dxf>
      <font>
        <b/>
        <i val="0"/>
        <color rgb="FF9C0006"/>
      </font>
      <fill>
        <patternFill>
          <bgColor theme="5"/>
        </patternFill>
      </fill>
    </dxf>
    <dxf>
      <font>
        <b/>
        <i val="0"/>
        <color theme="0"/>
        <name val="Cambria"/>
        <scheme val="none"/>
      </font>
      <fill>
        <patternFill>
          <bgColor theme="5"/>
        </patternFill>
      </fill>
    </dxf>
    <dxf>
      <font>
        <b/>
        <i val="0"/>
        <color rgb="FFFFC000"/>
      </font>
      <fill>
        <patternFill>
          <bgColor theme="5"/>
        </patternFill>
      </fill>
    </dxf>
    <dxf>
      <font>
        <b/>
        <i val="0"/>
        <color theme="0"/>
      </font>
      <fill>
        <patternFill>
          <bgColor theme="8"/>
        </patternFill>
      </fill>
    </dxf>
    <dxf>
      <font>
        <b/>
        <i val="0"/>
        <color theme="0"/>
      </font>
      <fill>
        <patternFill>
          <bgColor theme="8"/>
        </patternFill>
      </fill>
    </dxf>
    <dxf>
      <font>
        <b/>
        <i val="0"/>
        <color rgb="FF9C0006"/>
      </font>
      <fill>
        <patternFill>
          <bgColor theme="5"/>
        </patternFill>
      </fill>
    </dxf>
    <dxf>
      <font>
        <b/>
        <i val="0"/>
        <color theme="0"/>
        <name val="Cambria"/>
        <scheme val="none"/>
      </font>
      <fill>
        <patternFill>
          <bgColor theme="5"/>
        </patternFill>
      </fill>
    </dxf>
    <dxf>
      <font>
        <b/>
        <i val="0"/>
        <color rgb="FFFFC000"/>
      </font>
      <fill>
        <patternFill>
          <bgColor theme="5"/>
        </patternFill>
      </fill>
    </dxf>
    <dxf>
      <font>
        <b/>
        <i val="0"/>
        <color theme="0"/>
      </font>
      <fill>
        <patternFill>
          <bgColor theme="8"/>
        </patternFill>
      </fill>
    </dxf>
    <dxf>
      <font>
        <b/>
        <i val="0"/>
        <color theme="0"/>
      </font>
      <fill>
        <patternFill>
          <bgColor theme="8"/>
        </patternFill>
      </fill>
    </dxf>
    <dxf>
      <font>
        <b/>
        <i val="0"/>
        <color rgb="FF9C0006"/>
      </font>
      <fill>
        <patternFill>
          <bgColor theme="5"/>
        </patternFill>
      </fill>
    </dxf>
    <dxf>
      <font>
        <b/>
        <i val="0"/>
        <color theme="0"/>
        <name val="Cambria"/>
        <scheme val="none"/>
      </font>
      <fill>
        <patternFill>
          <bgColor theme="5"/>
        </patternFill>
      </fill>
    </dxf>
    <dxf>
      <font>
        <b/>
        <i val="0"/>
        <color rgb="FFFFC000"/>
      </font>
      <fill>
        <patternFill>
          <bgColor theme="5"/>
        </patternFill>
      </fill>
    </dxf>
    <dxf>
      <font>
        <b/>
        <i val="0"/>
        <color theme="0"/>
      </font>
      <fill>
        <patternFill>
          <bgColor theme="8"/>
        </patternFill>
      </fill>
    </dxf>
    <dxf>
      <font>
        <b/>
        <i val="0"/>
        <color theme="0"/>
      </font>
      <fill>
        <patternFill>
          <bgColor theme="8"/>
        </patternFill>
      </fill>
    </dxf>
    <dxf>
      <font>
        <b/>
        <i val="0"/>
        <color rgb="FF9C0006"/>
      </font>
      <fill>
        <patternFill>
          <bgColor theme="5"/>
        </patternFill>
      </fill>
    </dxf>
    <dxf>
      <font>
        <b/>
        <i val="0"/>
        <color theme="0"/>
        <name val="Cambria"/>
        <scheme val="none"/>
      </font>
      <fill>
        <patternFill>
          <bgColor theme="5"/>
        </patternFill>
      </fill>
    </dxf>
    <dxf>
      <font>
        <b/>
        <i val="0"/>
        <color rgb="FFFFC000"/>
      </font>
      <fill>
        <patternFill>
          <bgColor theme="5"/>
        </patternFill>
      </fill>
    </dxf>
    <dxf>
      <font>
        <b/>
        <i val="0"/>
        <color theme="0"/>
      </font>
      <fill>
        <patternFill>
          <bgColor theme="8"/>
        </patternFill>
      </fill>
    </dxf>
    <dxf>
      <font>
        <b/>
        <i val="0"/>
        <color theme="0"/>
      </font>
      <fill>
        <patternFill>
          <bgColor theme="8"/>
        </patternFill>
      </fill>
    </dxf>
    <dxf>
      <font>
        <b/>
        <i val="0"/>
        <color rgb="FF9C0006"/>
      </font>
      <fill>
        <patternFill>
          <bgColor theme="5"/>
        </patternFill>
      </fill>
    </dxf>
    <dxf>
      <font>
        <b/>
        <i val="0"/>
        <color theme="0"/>
        <name val="Cambria"/>
        <scheme val="none"/>
      </font>
      <fill>
        <patternFill>
          <bgColor theme="5"/>
        </patternFill>
      </fill>
    </dxf>
    <dxf>
      <font>
        <b/>
        <i val="0"/>
        <color rgb="FFFFC000"/>
      </font>
      <fill>
        <patternFill>
          <bgColor theme="5"/>
        </patternFill>
      </fill>
    </dxf>
    <dxf>
      <font>
        <b/>
        <i val="0"/>
        <color theme="0"/>
      </font>
      <fill>
        <patternFill>
          <bgColor theme="8"/>
        </patternFill>
      </fill>
    </dxf>
    <dxf>
      <font>
        <b/>
        <i val="0"/>
        <color theme="0"/>
      </font>
      <fill>
        <patternFill>
          <bgColor theme="8"/>
        </patternFill>
      </fill>
    </dxf>
    <dxf>
      <font>
        <b/>
        <i val="0"/>
        <color rgb="FF9C0006"/>
      </font>
      <fill>
        <patternFill>
          <bgColor theme="5"/>
        </patternFill>
      </fill>
    </dxf>
    <dxf>
      <font>
        <b/>
        <i val="0"/>
        <color theme="0"/>
        <name val="Cambria"/>
        <scheme val="none"/>
      </font>
      <fill>
        <patternFill>
          <bgColor theme="5"/>
        </patternFill>
      </fill>
    </dxf>
    <dxf>
      <font>
        <b/>
        <i val="0"/>
        <color rgb="FFFFC000"/>
      </font>
      <fill>
        <patternFill>
          <bgColor theme="5"/>
        </patternFill>
      </fill>
    </dxf>
    <dxf>
      <font>
        <b/>
        <i val="0"/>
        <color theme="0"/>
      </font>
      <fill>
        <patternFill>
          <bgColor theme="8"/>
        </patternFill>
      </fill>
    </dxf>
    <dxf>
      <font>
        <b/>
        <i val="0"/>
        <color theme="0"/>
      </font>
      <fill>
        <patternFill>
          <bgColor theme="8"/>
        </patternFill>
      </fill>
    </dxf>
    <dxf>
      <font>
        <b/>
        <i val="0"/>
        <color rgb="FF9C0006"/>
      </font>
      <fill>
        <patternFill>
          <bgColor theme="5"/>
        </patternFill>
      </fill>
    </dxf>
    <dxf>
      <font>
        <b/>
        <i val="0"/>
        <color theme="0"/>
        <name val="Cambria"/>
        <scheme val="none"/>
      </font>
      <fill>
        <patternFill>
          <bgColor theme="5"/>
        </patternFill>
      </fill>
    </dxf>
    <dxf>
      <font>
        <b/>
        <i val="0"/>
        <color rgb="FFFFC000"/>
      </font>
      <fill>
        <patternFill>
          <bgColor theme="5"/>
        </patternFill>
      </fill>
    </dxf>
    <dxf>
      <font>
        <b/>
        <i val="0"/>
        <color theme="0"/>
      </font>
      <fill>
        <patternFill>
          <bgColor theme="8"/>
        </patternFill>
      </fill>
    </dxf>
    <dxf>
      <font>
        <b/>
        <i val="0"/>
        <color theme="0"/>
      </font>
      <fill>
        <patternFill>
          <bgColor theme="8"/>
        </patternFill>
      </fill>
    </dxf>
    <dxf>
      <font>
        <b/>
        <i val="0"/>
        <color rgb="FF9C0006"/>
      </font>
      <fill>
        <patternFill>
          <bgColor theme="5"/>
        </patternFill>
      </fill>
    </dxf>
    <dxf>
      <font>
        <b/>
        <i val="0"/>
        <color theme="0"/>
        <name val="Cambria"/>
        <scheme val="none"/>
      </font>
      <fill>
        <patternFill>
          <bgColor theme="5"/>
        </patternFill>
      </fill>
    </dxf>
    <dxf>
      <font>
        <b/>
        <i val="0"/>
        <color rgb="FFFFC000"/>
      </font>
      <fill>
        <patternFill>
          <bgColor theme="5"/>
        </patternFill>
      </fill>
    </dxf>
    <dxf>
      <font>
        <b/>
        <i val="0"/>
        <color theme="0"/>
      </font>
      <fill>
        <patternFill>
          <bgColor theme="8"/>
        </patternFill>
      </fill>
    </dxf>
    <dxf>
      <font>
        <b/>
        <i val="0"/>
        <color theme="0"/>
      </font>
      <fill>
        <patternFill>
          <bgColor theme="8"/>
        </patternFill>
      </fill>
    </dxf>
    <dxf>
      <font>
        <b/>
        <i val="0"/>
        <color rgb="FF9C0006"/>
      </font>
      <fill>
        <patternFill>
          <bgColor theme="5"/>
        </patternFill>
      </fill>
    </dxf>
    <dxf>
      <font>
        <b/>
        <i val="0"/>
        <color theme="0"/>
        <name val="Cambria"/>
        <scheme val="none"/>
      </font>
      <fill>
        <patternFill>
          <bgColor theme="5"/>
        </patternFill>
      </fill>
    </dxf>
    <dxf>
      <font>
        <b/>
        <i val="0"/>
        <color rgb="FFFFC000"/>
      </font>
      <fill>
        <patternFill>
          <bgColor theme="5"/>
        </patternFill>
      </fill>
    </dxf>
    <dxf>
      <font>
        <b/>
        <i val="0"/>
        <color theme="0"/>
      </font>
      <fill>
        <patternFill>
          <bgColor theme="8"/>
        </patternFill>
      </fill>
    </dxf>
    <dxf>
      <font>
        <b/>
        <i val="0"/>
        <color theme="0"/>
      </font>
      <fill>
        <patternFill>
          <bgColor theme="8"/>
        </patternFill>
      </fill>
    </dxf>
    <dxf>
      <font>
        <b/>
        <i val="0"/>
        <color rgb="FF9C0006"/>
      </font>
      <fill>
        <patternFill>
          <bgColor theme="5"/>
        </patternFill>
      </fill>
    </dxf>
    <dxf>
      <font>
        <b/>
        <i val="0"/>
        <color theme="0"/>
        <name val="Cambria"/>
        <scheme val="none"/>
      </font>
      <fill>
        <patternFill>
          <bgColor theme="5"/>
        </patternFill>
      </fill>
    </dxf>
    <dxf>
      <font>
        <b/>
        <i val="0"/>
        <color rgb="FFFFC000"/>
      </font>
      <fill>
        <patternFill>
          <bgColor theme="5"/>
        </patternFill>
      </fill>
    </dxf>
    <dxf>
      <font>
        <b/>
        <i val="0"/>
        <color theme="0"/>
      </font>
      <fill>
        <patternFill>
          <bgColor theme="8"/>
        </patternFill>
      </fill>
    </dxf>
    <dxf>
      <font>
        <b/>
        <i val="0"/>
        <color theme="0"/>
      </font>
      <fill>
        <patternFill>
          <bgColor theme="8"/>
        </patternFill>
      </fill>
    </dxf>
    <dxf>
      <font>
        <b/>
        <i val="0"/>
        <color rgb="FF9C0006"/>
      </font>
      <fill>
        <patternFill>
          <bgColor theme="5"/>
        </patternFill>
      </fill>
    </dxf>
    <dxf>
      <font>
        <b/>
        <i val="0"/>
        <color theme="0"/>
        <name val="Cambria"/>
        <scheme val="none"/>
      </font>
      <fill>
        <patternFill>
          <bgColor theme="5"/>
        </patternFill>
      </fill>
    </dxf>
    <dxf>
      <font>
        <b/>
        <i val="0"/>
        <color rgb="FFFFC000"/>
      </font>
      <fill>
        <patternFill>
          <bgColor theme="5"/>
        </patternFill>
      </fill>
    </dxf>
    <dxf>
      <font>
        <b/>
        <i val="0"/>
        <color theme="0"/>
      </font>
      <fill>
        <patternFill>
          <bgColor theme="8"/>
        </patternFill>
      </fill>
    </dxf>
    <dxf>
      <font>
        <b/>
        <i val="0"/>
        <color theme="0"/>
      </font>
      <fill>
        <patternFill>
          <bgColor theme="8"/>
        </patternFill>
      </fill>
    </dxf>
    <dxf>
      <font>
        <b/>
        <i val="0"/>
        <color rgb="FF9C0006"/>
      </font>
      <fill>
        <patternFill>
          <bgColor theme="5"/>
        </patternFill>
      </fill>
    </dxf>
    <dxf>
      <font>
        <b/>
        <i val="0"/>
        <color theme="0"/>
        <name val="Cambria"/>
        <scheme val="none"/>
      </font>
      <fill>
        <patternFill>
          <bgColor theme="5"/>
        </patternFill>
      </fill>
    </dxf>
    <dxf>
      <font>
        <b/>
        <i val="0"/>
        <color rgb="FFFFC000"/>
      </font>
      <fill>
        <patternFill>
          <bgColor theme="5"/>
        </patternFill>
      </fill>
    </dxf>
    <dxf>
      <font>
        <b/>
        <i val="0"/>
        <color theme="0"/>
      </font>
      <fill>
        <patternFill>
          <bgColor theme="8"/>
        </patternFill>
      </fill>
    </dxf>
    <dxf>
      <font>
        <b/>
        <i val="0"/>
        <color theme="0"/>
      </font>
      <fill>
        <patternFill>
          <bgColor theme="8"/>
        </patternFill>
      </fill>
    </dxf>
    <dxf>
      <font>
        <b/>
        <i val="0"/>
        <color rgb="FF9C0006"/>
      </font>
      <fill>
        <patternFill>
          <bgColor theme="5"/>
        </patternFill>
      </fill>
    </dxf>
    <dxf>
      <font>
        <b/>
        <i val="0"/>
        <color theme="0"/>
        <name val="Cambria"/>
        <scheme val="none"/>
      </font>
      <fill>
        <patternFill>
          <bgColor theme="5"/>
        </patternFill>
      </fill>
    </dxf>
    <dxf>
      <font>
        <b/>
        <i val="0"/>
        <color rgb="FFFFC000"/>
      </font>
      <fill>
        <patternFill>
          <bgColor theme="5"/>
        </patternFill>
      </fill>
    </dxf>
    <dxf>
      <font>
        <b/>
        <i val="0"/>
        <color theme="0"/>
      </font>
      <fill>
        <patternFill>
          <bgColor theme="8"/>
        </patternFill>
      </fill>
    </dxf>
    <dxf>
      <font>
        <b/>
        <i val="0"/>
        <color theme="0"/>
      </font>
      <fill>
        <patternFill>
          <bgColor theme="8"/>
        </patternFill>
      </fill>
    </dxf>
    <dxf>
      <font>
        <b/>
        <i val="0"/>
        <color rgb="FF9C0006"/>
      </font>
      <fill>
        <patternFill>
          <bgColor theme="5"/>
        </patternFill>
      </fill>
    </dxf>
    <dxf>
      <font>
        <b/>
        <i val="0"/>
        <color theme="0"/>
        <name val="Cambria"/>
        <scheme val="none"/>
      </font>
      <fill>
        <patternFill>
          <bgColor theme="5"/>
        </patternFill>
      </fill>
    </dxf>
    <dxf>
      <font>
        <b/>
        <i val="0"/>
        <color rgb="FFFFC000"/>
      </font>
      <fill>
        <patternFill>
          <bgColor theme="5"/>
        </patternFill>
      </fill>
    </dxf>
    <dxf>
      <font>
        <b/>
        <i val="0"/>
        <color theme="0"/>
      </font>
      <fill>
        <patternFill>
          <bgColor theme="8"/>
        </patternFill>
      </fill>
    </dxf>
    <dxf>
      <font>
        <b/>
        <i val="0"/>
        <color theme="0"/>
      </font>
      <fill>
        <patternFill>
          <bgColor theme="8"/>
        </patternFill>
      </fill>
    </dxf>
    <dxf>
      <font>
        <b/>
        <i val="0"/>
        <color rgb="FF9C0006"/>
      </font>
      <fill>
        <patternFill>
          <bgColor theme="5"/>
        </patternFill>
      </fill>
    </dxf>
    <dxf>
      <font>
        <b/>
        <i val="0"/>
        <color theme="0"/>
        <name val="Cambria"/>
        <scheme val="none"/>
      </font>
      <fill>
        <patternFill>
          <bgColor theme="5"/>
        </patternFill>
      </fill>
    </dxf>
    <dxf>
      <font>
        <b/>
        <i val="0"/>
        <color rgb="FFFFC000"/>
      </font>
      <fill>
        <patternFill>
          <bgColor theme="5"/>
        </patternFill>
      </fill>
    </dxf>
    <dxf>
      <font>
        <b/>
        <i val="0"/>
        <color theme="0"/>
      </font>
      <fill>
        <patternFill>
          <bgColor theme="8"/>
        </patternFill>
      </fill>
    </dxf>
    <dxf>
      <font>
        <b/>
        <i val="0"/>
        <color theme="0"/>
      </font>
      <fill>
        <patternFill>
          <bgColor theme="8"/>
        </patternFill>
      </fill>
    </dxf>
    <dxf>
      <font>
        <b/>
        <i val="0"/>
        <color rgb="FF9C0006"/>
      </font>
      <fill>
        <patternFill>
          <bgColor theme="5"/>
        </patternFill>
      </fill>
    </dxf>
    <dxf>
      <font>
        <b/>
        <i val="0"/>
        <color theme="0"/>
        <name val="Cambria"/>
        <scheme val="none"/>
      </font>
      <fill>
        <patternFill>
          <bgColor theme="5"/>
        </patternFill>
      </fill>
    </dxf>
    <dxf>
      <font>
        <b/>
        <i val="0"/>
        <color rgb="FFFFC000"/>
      </font>
      <fill>
        <patternFill>
          <bgColor theme="5"/>
        </patternFill>
      </fill>
    </dxf>
    <dxf>
      <font>
        <b/>
        <i val="0"/>
        <color theme="0"/>
      </font>
      <fill>
        <patternFill>
          <bgColor theme="8"/>
        </patternFill>
      </fill>
    </dxf>
    <dxf>
      <font>
        <b/>
        <i val="0"/>
        <color theme="0"/>
      </font>
      <fill>
        <patternFill>
          <bgColor theme="8"/>
        </patternFill>
      </fill>
    </dxf>
    <dxf>
      <font>
        <b/>
        <i val="0"/>
        <color rgb="FF9C0006"/>
      </font>
      <fill>
        <patternFill>
          <bgColor theme="5"/>
        </patternFill>
      </fill>
    </dxf>
    <dxf>
      <font>
        <b/>
        <i val="0"/>
        <color theme="0"/>
        <name val="Cambria"/>
        <scheme val="none"/>
      </font>
      <fill>
        <patternFill>
          <bgColor theme="5"/>
        </patternFill>
      </fill>
    </dxf>
    <dxf>
      <font>
        <b/>
        <i val="0"/>
        <color rgb="FFFFC000"/>
      </font>
      <fill>
        <patternFill>
          <bgColor theme="5"/>
        </patternFill>
      </fill>
    </dxf>
    <dxf>
      <font>
        <b/>
        <i val="0"/>
        <color theme="0"/>
      </font>
      <fill>
        <patternFill>
          <bgColor theme="8"/>
        </patternFill>
      </fill>
    </dxf>
    <dxf>
      <font>
        <b/>
        <i val="0"/>
        <color theme="0"/>
      </font>
      <fill>
        <patternFill>
          <bgColor theme="8"/>
        </patternFill>
      </fill>
    </dxf>
    <dxf>
      <font>
        <b/>
        <i val="0"/>
        <color rgb="FF9C0006"/>
      </font>
      <fill>
        <patternFill>
          <bgColor theme="5"/>
        </patternFill>
      </fill>
    </dxf>
    <dxf>
      <font>
        <b/>
        <i val="0"/>
        <color theme="0"/>
        <name val="Cambria"/>
        <scheme val="none"/>
      </font>
      <fill>
        <patternFill>
          <bgColor theme="5"/>
        </patternFill>
      </fill>
    </dxf>
    <dxf>
      <font>
        <b/>
        <i val="0"/>
        <color rgb="FFFFC000"/>
      </font>
      <fill>
        <patternFill>
          <bgColor theme="5"/>
        </patternFill>
      </fill>
    </dxf>
    <dxf>
      <font>
        <b/>
        <i val="0"/>
        <color theme="0"/>
      </font>
      <fill>
        <patternFill>
          <bgColor theme="8"/>
        </patternFill>
      </fill>
    </dxf>
    <dxf>
      <font>
        <b/>
        <i val="0"/>
        <color theme="0"/>
      </font>
      <fill>
        <patternFill>
          <bgColor theme="8"/>
        </patternFill>
      </fill>
    </dxf>
    <dxf>
      <font>
        <b/>
        <i val="0"/>
        <color rgb="FF9C0006"/>
      </font>
      <fill>
        <patternFill>
          <bgColor theme="5"/>
        </patternFill>
      </fill>
    </dxf>
    <dxf>
      <font>
        <b/>
        <i val="0"/>
        <color theme="0"/>
        <name val="Cambria"/>
        <scheme val="none"/>
      </font>
      <fill>
        <patternFill>
          <bgColor theme="5"/>
        </patternFill>
      </fill>
    </dxf>
    <dxf>
      <font>
        <b/>
        <i val="0"/>
        <color rgb="FFFFC000"/>
      </font>
      <fill>
        <patternFill>
          <bgColor theme="5"/>
        </patternFill>
      </fill>
    </dxf>
    <dxf>
      <font>
        <b/>
        <i val="0"/>
        <color theme="0"/>
      </font>
      <fill>
        <patternFill>
          <bgColor theme="8"/>
        </patternFill>
      </fill>
    </dxf>
    <dxf>
      <font>
        <b/>
        <i val="0"/>
        <color theme="0"/>
      </font>
      <fill>
        <patternFill>
          <bgColor theme="8"/>
        </patternFill>
      </fill>
    </dxf>
    <dxf>
      <font>
        <b/>
        <i val="0"/>
        <color rgb="FF9C0006"/>
      </font>
      <fill>
        <patternFill>
          <bgColor theme="5"/>
        </patternFill>
      </fill>
    </dxf>
    <dxf>
      <font>
        <b/>
        <i val="0"/>
        <color theme="0"/>
        <name val="Cambria"/>
        <scheme val="none"/>
      </font>
      <fill>
        <patternFill>
          <bgColor theme="5"/>
        </patternFill>
      </fill>
    </dxf>
    <dxf>
      <font>
        <b/>
        <i val="0"/>
        <color rgb="FFFFC000"/>
      </font>
      <fill>
        <patternFill>
          <bgColor theme="5"/>
        </patternFill>
      </fill>
    </dxf>
    <dxf>
      <font>
        <b/>
        <i val="0"/>
        <color theme="0"/>
      </font>
      <fill>
        <patternFill>
          <bgColor theme="8"/>
        </patternFill>
      </fill>
    </dxf>
    <dxf>
      <font>
        <b/>
        <i val="0"/>
        <color theme="0"/>
      </font>
      <fill>
        <patternFill>
          <bgColor theme="8"/>
        </patternFill>
      </fill>
    </dxf>
    <dxf>
      <font>
        <b/>
        <i val="0"/>
        <color rgb="FF9C0006"/>
      </font>
      <fill>
        <patternFill>
          <bgColor theme="5"/>
        </patternFill>
      </fill>
    </dxf>
    <dxf>
      <font>
        <b/>
        <i val="0"/>
        <color theme="0"/>
        <name val="Cambria"/>
        <scheme val="none"/>
      </font>
      <fill>
        <patternFill>
          <bgColor theme="5"/>
        </patternFill>
      </fill>
    </dxf>
    <dxf>
      <font>
        <b/>
        <i val="0"/>
        <color rgb="FFFFC000"/>
      </font>
      <fill>
        <patternFill>
          <bgColor theme="5"/>
        </patternFill>
      </fill>
    </dxf>
    <dxf>
      <font>
        <b/>
        <i val="0"/>
        <color theme="0"/>
      </font>
      <fill>
        <patternFill>
          <bgColor theme="8"/>
        </patternFill>
      </fill>
    </dxf>
    <dxf>
      <font>
        <b/>
        <i val="0"/>
        <color theme="0"/>
      </font>
      <fill>
        <patternFill>
          <bgColor theme="8"/>
        </patternFill>
      </fill>
    </dxf>
    <dxf>
      <font>
        <b/>
        <i val="0"/>
        <color rgb="FF9C0006"/>
      </font>
      <fill>
        <patternFill>
          <bgColor theme="5"/>
        </patternFill>
      </fill>
    </dxf>
    <dxf>
      <font>
        <b/>
        <i val="0"/>
        <color theme="0"/>
        <name val="Cambria"/>
        <scheme val="none"/>
      </font>
      <fill>
        <patternFill>
          <bgColor theme="5"/>
        </patternFill>
      </fill>
    </dxf>
    <dxf>
      <font>
        <b/>
        <i val="0"/>
        <color rgb="FFFFC000"/>
      </font>
      <fill>
        <patternFill>
          <bgColor theme="5"/>
        </patternFill>
      </fill>
    </dxf>
    <dxf>
      <font>
        <b/>
        <i val="0"/>
        <color theme="0"/>
      </font>
      <fill>
        <patternFill>
          <bgColor theme="8"/>
        </patternFill>
      </fill>
    </dxf>
    <dxf>
      <font>
        <b/>
        <i val="0"/>
        <color theme="0"/>
      </font>
      <fill>
        <patternFill>
          <bgColor theme="8"/>
        </patternFill>
      </fill>
    </dxf>
    <dxf>
      <font>
        <b/>
        <i val="0"/>
        <color rgb="FF9C0006"/>
      </font>
      <fill>
        <patternFill>
          <bgColor theme="5"/>
        </patternFill>
      </fill>
    </dxf>
    <dxf>
      <font>
        <b/>
        <i val="0"/>
        <color theme="0"/>
        <name val="Cambria"/>
        <scheme val="none"/>
      </font>
      <fill>
        <patternFill>
          <bgColor theme="5"/>
        </patternFill>
      </fill>
    </dxf>
    <dxf>
      <font>
        <b/>
        <i val="0"/>
        <color rgb="FFFFC000"/>
      </font>
      <fill>
        <patternFill>
          <bgColor theme="5"/>
        </patternFill>
      </fill>
    </dxf>
    <dxf>
      <font>
        <b/>
        <i val="0"/>
        <color theme="0"/>
      </font>
      <fill>
        <patternFill>
          <bgColor theme="8"/>
        </patternFill>
      </fill>
    </dxf>
    <dxf>
      <font>
        <b/>
        <i val="0"/>
        <color theme="0"/>
      </font>
      <fill>
        <patternFill>
          <bgColor theme="8"/>
        </patternFill>
      </fill>
    </dxf>
    <dxf>
      <font>
        <b/>
        <i val="0"/>
        <color rgb="FF9C0006"/>
      </font>
      <fill>
        <patternFill>
          <bgColor theme="5"/>
        </patternFill>
      </fill>
    </dxf>
    <dxf>
      <font>
        <b/>
        <i val="0"/>
        <color theme="0"/>
        <name val="Cambria"/>
        <scheme val="none"/>
      </font>
      <fill>
        <patternFill>
          <bgColor theme="5"/>
        </patternFill>
      </fill>
    </dxf>
    <dxf>
      <font>
        <b/>
        <i val="0"/>
        <color rgb="FFFFC000"/>
      </font>
      <fill>
        <patternFill>
          <bgColor theme="5"/>
        </patternFill>
      </fill>
    </dxf>
    <dxf>
      <font>
        <b/>
        <i val="0"/>
        <color theme="0"/>
      </font>
      <fill>
        <patternFill>
          <bgColor theme="8"/>
        </patternFill>
      </fill>
    </dxf>
    <dxf>
      <font>
        <b/>
        <i val="0"/>
        <color theme="0"/>
      </font>
      <fill>
        <patternFill>
          <bgColor theme="8"/>
        </patternFill>
      </fill>
    </dxf>
    <dxf>
      <font>
        <b/>
        <i val="0"/>
        <color rgb="FF9C0006"/>
      </font>
      <fill>
        <patternFill>
          <bgColor theme="5"/>
        </patternFill>
      </fill>
    </dxf>
    <dxf>
      <font>
        <b/>
        <i val="0"/>
        <color theme="0"/>
        <name val="Cambria"/>
        <scheme val="none"/>
      </font>
      <fill>
        <patternFill>
          <bgColor theme="5"/>
        </patternFill>
      </fill>
    </dxf>
    <dxf>
      <font>
        <b/>
        <i val="0"/>
        <color rgb="FFFFC000"/>
      </font>
      <fill>
        <patternFill>
          <bgColor theme="5"/>
        </patternFill>
      </fill>
    </dxf>
    <dxf>
      <font>
        <b/>
        <i val="0"/>
        <color theme="0"/>
      </font>
      <fill>
        <patternFill>
          <bgColor theme="8"/>
        </patternFill>
      </fill>
    </dxf>
    <dxf>
      <font>
        <b/>
        <i val="0"/>
        <color theme="0"/>
      </font>
      <fill>
        <patternFill>
          <bgColor theme="8"/>
        </patternFill>
      </fill>
    </dxf>
    <dxf>
      <font>
        <b/>
        <i val="0"/>
        <color rgb="FF9C0006"/>
      </font>
      <fill>
        <patternFill>
          <bgColor theme="5"/>
        </patternFill>
      </fill>
    </dxf>
    <dxf>
      <font>
        <b/>
        <i val="0"/>
        <color theme="0"/>
        <name val="Cambria"/>
        <scheme val="none"/>
      </font>
      <fill>
        <patternFill>
          <bgColor theme="5"/>
        </patternFill>
      </fill>
    </dxf>
    <dxf>
      <font>
        <b/>
        <i val="0"/>
        <color rgb="FFFFC000"/>
      </font>
      <fill>
        <patternFill>
          <bgColor theme="5"/>
        </patternFill>
      </fill>
    </dxf>
    <dxf>
      <font>
        <b/>
        <i val="0"/>
        <color theme="0"/>
      </font>
      <fill>
        <patternFill>
          <bgColor theme="8"/>
        </patternFill>
      </fill>
    </dxf>
    <dxf>
      <font>
        <b/>
        <i val="0"/>
        <color theme="0"/>
      </font>
      <fill>
        <patternFill>
          <bgColor theme="8"/>
        </patternFill>
      </fill>
    </dxf>
    <dxf>
      <font>
        <b/>
        <i val="0"/>
        <color rgb="FF9C0006"/>
      </font>
      <fill>
        <patternFill>
          <bgColor theme="5"/>
        </patternFill>
      </fill>
    </dxf>
    <dxf>
      <font>
        <b/>
        <i val="0"/>
        <color theme="0"/>
        <name val="Cambria"/>
        <scheme val="none"/>
      </font>
      <fill>
        <patternFill>
          <bgColor theme="5"/>
        </patternFill>
      </fill>
    </dxf>
    <dxf>
      <font>
        <b/>
        <i val="0"/>
        <color rgb="FFFFC000"/>
      </font>
      <fill>
        <patternFill>
          <bgColor theme="5"/>
        </patternFill>
      </fill>
    </dxf>
    <dxf>
      <font>
        <b/>
        <i val="0"/>
        <color theme="0"/>
      </font>
      <fill>
        <patternFill>
          <bgColor theme="8"/>
        </patternFill>
      </fill>
    </dxf>
    <dxf>
      <font>
        <b/>
        <i val="0"/>
        <color theme="0"/>
      </font>
      <fill>
        <patternFill>
          <bgColor theme="8"/>
        </patternFill>
      </fill>
    </dxf>
    <dxf>
      <font>
        <b/>
        <i val="0"/>
        <color rgb="FF9C0006"/>
      </font>
      <fill>
        <patternFill>
          <bgColor theme="5"/>
        </patternFill>
      </fill>
    </dxf>
    <dxf>
      <font>
        <b/>
        <i val="0"/>
        <color theme="0"/>
        <name val="Cambria"/>
        <scheme val="none"/>
      </font>
      <fill>
        <patternFill>
          <bgColor theme="5"/>
        </patternFill>
      </fill>
    </dxf>
    <dxf>
      <font>
        <b/>
        <i val="0"/>
        <color rgb="FFFFC000"/>
      </font>
      <fill>
        <patternFill>
          <bgColor theme="5"/>
        </patternFill>
      </fill>
    </dxf>
    <dxf>
      <font>
        <b/>
        <i val="0"/>
        <color theme="0"/>
      </font>
      <fill>
        <patternFill>
          <bgColor theme="8"/>
        </patternFill>
      </fill>
    </dxf>
    <dxf>
      <font>
        <b/>
        <i val="0"/>
        <color theme="0"/>
      </font>
      <fill>
        <patternFill>
          <bgColor theme="8"/>
        </patternFill>
      </fill>
    </dxf>
    <dxf>
      <font>
        <b/>
        <i val="0"/>
        <color rgb="FF9C0006"/>
      </font>
      <fill>
        <patternFill>
          <bgColor theme="5"/>
        </patternFill>
      </fill>
    </dxf>
    <dxf>
      <font>
        <b/>
        <i val="0"/>
        <color theme="0"/>
        <name val="Cambria"/>
        <scheme val="none"/>
      </font>
      <fill>
        <patternFill>
          <bgColor theme="5"/>
        </patternFill>
      </fill>
    </dxf>
    <dxf>
      <font>
        <b/>
        <i val="0"/>
        <color rgb="FFFFC000"/>
      </font>
      <fill>
        <patternFill>
          <bgColor theme="5"/>
        </patternFill>
      </fill>
    </dxf>
    <dxf>
      <font>
        <b/>
        <i val="0"/>
        <color theme="0"/>
      </font>
      <fill>
        <patternFill>
          <bgColor theme="8"/>
        </patternFill>
      </fill>
    </dxf>
    <dxf>
      <font>
        <b/>
        <i val="0"/>
        <color theme="0"/>
      </font>
      <fill>
        <patternFill>
          <bgColor theme="8"/>
        </patternFill>
      </fill>
    </dxf>
    <dxf>
      <font>
        <b/>
        <i val="0"/>
        <color rgb="FF9C0006"/>
      </font>
      <fill>
        <patternFill>
          <bgColor theme="5"/>
        </patternFill>
      </fill>
    </dxf>
    <dxf>
      <font>
        <b/>
        <i val="0"/>
        <color theme="0"/>
        <name val="Cambria"/>
        <scheme val="none"/>
      </font>
      <fill>
        <patternFill>
          <bgColor theme="5"/>
        </patternFill>
      </fill>
    </dxf>
    <dxf>
      <font>
        <b/>
        <i val="0"/>
        <color rgb="FFFFC000"/>
      </font>
      <fill>
        <patternFill>
          <bgColor theme="5"/>
        </patternFill>
      </fill>
    </dxf>
    <dxf>
      <font>
        <b/>
        <i val="0"/>
        <color theme="0"/>
      </font>
      <fill>
        <patternFill>
          <bgColor theme="8"/>
        </patternFill>
      </fill>
    </dxf>
    <dxf>
      <font>
        <b/>
        <i val="0"/>
        <color theme="0"/>
      </font>
      <fill>
        <patternFill>
          <bgColor theme="8"/>
        </patternFill>
      </fill>
    </dxf>
    <dxf>
      <font>
        <b/>
        <i val="0"/>
        <color rgb="FF9C0006"/>
      </font>
      <fill>
        <patternFill>
          <bgColor theme="5"/>
        </patternFill>
      </fill>
    </dxf>
    <dxf>
      <font>
        <b/>
        <i val="0"/>
        <color theme="0"/>
        <name val="Cambria"/>
        <scheme val="none"/>
      </font>
      <fill>
        <patternFill>
          <bgColor theme="5"/>
        </patternFill>
      </fill>
    </dxf>
    <dxf>
      <font>
        <b/>
        <i val="0"/>
        <color rgb="FFFFC000"/>
      </font>
      <fill>
        <patternFill>
          <bgColor theme="5"/>
        </patternFill>
      </fill>
    </dxf>
    <dxf>
      <font>
        <b/>
        <i val="0"/>
        <color theme="0"/>
      </font>
      <fill>
        <patternFill>
          <bgColor theme="8"/>
        </patternFill>
      </fill>
    </dxf>
    <dxf>
      <font>
        <b/>
        <i val="0"/>
        <color theme="0"/>
      </font>
      <fill>
        <patternFill>
          <bgColor theme="8"/>
        </patternFill>
      </fill>
    </dxf>
    <dxf>
      <font>
        <b/>
        <i val="0"/>
        <color rgb="FF9C0006"/>
      </font>
      <fill>
        <patternFill>
          <bgColor theme="5"/>
        </patternFill>
      </fill>
    </dxf>
    <dxf>
      <font>
        <b/>
        <i val="0"/>
        <color theme="0"/>
        <name val="Cambria"/>
        <scheme val="none"/>
      </font>
      <fill>
        <patternFill>
          <bgColor theme="5"/>
        </patternFill>
      </fill>
    </dxf>
    <dxf>
      <font>
        <b/>
        <i val="0"/>
        <color rgb="FFFFC000"/>
      </font>
      <fill>
        <patternFill>
          <bgColor theme="5"/>
        </patternFill>
      </fill>
    </dxf>
    <dxf>
      <font>
        <b/>
        <i val="0"/>
        <color theme="0"/>
      </font>
      <fill>
        <patternFill>
          <bgColor theme="8"/>
        </patternFill>
      </fill>
    </dxf>
    <dxf>
      <font>
        <b/>
        <i val="0"/>
        <color theme="0"/>
      </font>
      <fill>
        <patternFill>
          <bgColor theme="8"/>
        </patternFill>
      </fill>
    </dxf>
    <dxf>
      <font>
        <b/>
        <i val="0"/>
        <color rgb="FF9C0006"/>
      </font>
      <fill>
        <patternFill>
          <bgColor theme="5"/>
        </patternFill>
      </fill>
    </dxf>
    <dxf>
      <font>
        <b/>
        <i val="0"/>
        <color theme="0"/>
        <name val="Cambria"/>
        <scheme val="none"/>
      </font>
      <fill>
        <patternFill>
          <bgColor theme="5"/>
        </patternFill>
      </fill>
    </dxf>
    <dxf>
      <font>
        <b/>
        <i val="0"/>
        <color rgb="FFFFC000"/>
      </font>
      <fill>
        <patternFill>
          <bgColor theme="5"/>
        </patternFill>
      </fill>
    </dxf>
    <dxf>
      <font>
        <b/>
        <i val="0"/>
        <color theme="0"/>
      </font>
      <fill>
        <patternFill>
          <bgColor theme="8"/>
        </patternFill>
      </fill>
    </dxf>
    <dxf>
      <font>
        <b/>
        <i val="0"/>
        <color theme="0"/>
      </font>
      <fill>
        <patternFill>
          <bgColor theme="8"/>
        </patternFill>
      </fill>
    </dxf>
    <dxf>
      <font>
        <b/>
        <i val="0"/>
        <color rgb="FF9C0006"/>
      </font>
      <fill>
        <patternFill>
          <bgColor theme="5"/>
        </patternFill>
      </fill>
    </dxf>
    <dxf>
      <font>
        <b/>
        <i val="0"/>
        <color theme="0"/>
        <name val="Cambria"/>
        <scheme val="none"/>
      </font>
      <fill>
        <patternFill>
          <bgColor theme="5"/>
        </patternFill>
      </fill>
    </dxf>
    <dxf>
      <font>
        <b/>
        <i val="0"/>
        <color rgb="FFFFC000"/>
      </font>
      <fill>
        <patternFill>
          <bgColor theme="5"/>
        </patternFill>
      </fill>
    </dxf>
    <dxf>
      <font>
        <b/>
        <i val="0"/>
        <color theme="0"/>
      </font>
      <fill>
        <patternFill>
          <bgColor theme="8"/>
        </patternFill>
      </fill>
    </dxf>
    <dxf>
      <font>
        <b/>
        <i val="0"/>
        <color theme="0"/>
      </font>
      <fill>
        <patternFill>
          <bgColor theme="8"/>
        </patternFill>
      </fill>
    </dxf>
    <dxf>
      <font>
        <b/>
        <i val="0"/>
        <color rgb="FF9C0006"/>
      </font>
      <fill>
        <patternFill>
          <bgColor theme="5"/>
        </patternFill>
      </fill>
    </dxf>
    <dxf>
      <font>
        <b/>
        <i val="0"/>
        <color theme="0"/>
        <name val="Cambria"/>
        <scheme val="none"/>
      </font>
      <fill>
        <patternFill>
          <bgColor theme="5"/>
        </patternFill>
      </fill>
    </dxf>
    <dxf>
      <font>
        <b/>
        <i val="0"/>
        <color rgb="FFFFC000"/>
      </font>
      <fill>
        <patternFill>
          <bgColor theme="5"/>
        </patternFill>
      </fill>
    </dxf>
    <dxf>
      <font>
        <b/>
        <i val="0"/>
        <color theme="0"/>
      </font>
      <fill>
        <patternFill>
          <bgColor theme="8"/>
        </patternFill>
      </fill>
    </dxf>
    <dxf>
      <font>
        <b/>
        <i val="0"/>
        <color theme="0"/>
      </font>
      <fill>
        <patternFill>
          <bgColor theme="8"/>
        </patternFill>
      </fill>
    </dxf>
    <dxf>
      <font>
        <b/>
        <i val="0"/>
        <color rgb="FF9C0006"/>
      </font>
      <fill>
        <patternFill>
          <bgColor theme="5"/>
        </patternFill>
      </fill>
    </dxf>
    <dxf>
      <font>
        <b/>
        <i val="0"/>
        <color theme="0"/>
        <name val="Cambria"/>
        <scheme val="none"/>
      </font>
      <fill>
        <patternFill>
          <bgColor theme="5"/>
        </patternFill>
      </fill>
    </dxf>
    <dxf>
      <font>
        <b/>
        <i val="0"/>
        <color rgb="FFFFC000"/>
      </font>
      <fill>
        <patternFill>
          <bgColor theme="5"/>
        </patternFill>
      </fill>
    </dxf>
    <dxf>
      <font>
        <b/>
        <i val="0"/>
        <color theme="0"/>
      </font>
      <fill>
        <patternFill>
          <bgColor theme="8"/>
        </patternFill>
      </fill>
    </dxf>
    <dxf>
      <font>
        <b/>
        <i val="0"/>
        <color theme="0"/>
      </font>
      <fill>
        <patternFill>
          <bgColor theme="8"/>
        </patternFill>
      </fill>
    </dxf>
    <dxf>
      <font>
        <b/>
        <i val="0"/>
        <color rgb="FF9C0006"/>
      </font>
      <fill>
        <patternFill>
          <bgColor theme="5"/>
        </patternFill>
      </fill>
    </dxf>
    <dxf>
      <font>
        <b/>
        <i val="0"/>
        <color theme="0"/>
        <name val="Cambria"/>
        <scheme val="none"/>
      </font>
      <fill>
        <patternFill>
          <bgColor theme="5"/>
        </patternFill>
      </fill>
    </dxf>
    <dxf>
      <font>
        <b/>
        <i val="0"/>
        <color rgb="FFFFC000"/>
      </font>
      <fill>
        <patternFill>
          <bgColor theme="5"/>
        </patternFill>
      </fill>
    </dxf>
    <dxf>
      <font>
        <b/>
        <i val="0"/>
        <color theme="0"/>
      </font>
      <fill>
        <patternFill>
          <bgColor theme="8"/>
        </patternFill>
      </fill>
    </dxf>
    <dxf>
      <font>
        <b/>
        <i val="0"/>
        <color theme="0"/>
      </font>
      <fill>
        <patternFill>
          <bgColor theme="8"/>
        </patternFill>
      </fill>
    </dxf>
    <dxf>
      <font>
        <b/>
        <i val="0"/>
        <color rgb="FF9C0006"/>
      </font>
      <fill>
        <patternFill>
          <bgColor theme="5"/>
        </patternFill>
      </fill>
    </dxf>
    <dxf>
      <font>
        <b/>
        <i val="0"/>
        <color theme="0"/>
        <name val="Cambria"/>
        <scheme val="none"/>
      </font>
      <fill>
        <patternFill>
          <bgColor theme="5"/>
        </patternFill>
      </fill>
    </dxf>
    <dxf>
      <font>
        <b/>
        <i val="0"/>
        <color rgb="FFFFC000"/>
      </font>
      <fill>
        <patternFill>
          <bgColor theme="5"/>
        </patternFill>
      </fill>
    </dxf>
    <dxf>
      <font>
        <b/>
        <i val="0"/>
        <color theme="0"/>
      </font>
      <fill>
        <patternFill>
          <bgColor theme="8"/>
        </patternFill>
      </fill>
    </dxf>
    <dxf>
      <font>
        <b/>
        <i val="0"/>
        <color theme="0"/>
      </font>
      <fill>
        <patternFill>
          <bgColor theme="8"/>
        </patternFill>
      </fill>
    </dxf>
    <dxf>
      <font>
        <b/>
        <i val="0"/>
        <color rgb="FF9C0006"/>
      </font>
      <fill>
        <patternFill>
          <bgColor theme="5"/>
        </patternFill>
      </fill>
    </dxf>
    <dxf>
      <font>
        <b/>
        <i val="0"/>
        <color theme="0"/>
        <name val="Cambria"/>
        <scheme val="none"/>
      </font>
      <fill>
        <patternFill>
          <bgColor theme="5"/>
        </patternFill>
      </fill>
    </dxf>
    <dxf>
      <font>
        <b/>
        <i val="0"/>
        <color rgb="FFFFC000"/>
      </font>
      <fill>
        <patternFill>
          <bgColor theme="5"/>
        </patternFill>
      </fill>
    </dxf>
    <dxf>
      <font>
        <b/>
        <i val="0"/>
        <color theme="0"/>
      </font>
      <fill>
        <patternFill>
          <bgColor theme="8"/>
        </patternFill>
      </fill>
    </dxf>
    <dxf>
      <font>
        <b/>
        <i val="0"/>
        <color theme="0"/>
      </font>
      <fill>
        <patternFill>
          <bgColor theme="8"/>
        </patternFill>
      </fill>
    </dxf>
    <dxf>
      <font>
        <b/>
        <i val="0"/>
        <color rgb="FF9C0006"/>
      </font>
      <fill>
        <patternFill>
          <bgColor theme="5"/>
        </patternFill>
      </fill>
    </dxf>
    <dxf>
      <font>
        <b/>
        <i val="0"/>
        <color theme="0"/>
        <name val="Cambria"/>
        <scheme val="none"/>
      </font>
      <fill>
        <patternFill>
          <bgColor theme="5"/>
        </patternFill>
      </fill>
    </dxf>
    <dxf>
      <font>
        <b/>
        <i val="0"/>
        <color rgb="FFFFC000"/>
      </font>
      <fill>
        <patternFill>
          <bgColor theme="5"/>
        </patternFill>
      </fill>
    </dxf>
    <dxf>
      <font>
        <b/>
        <i val="0"/>
        <color theme="0"/>
      </font>
      <fill>
        <patternFill>
          <bgColor theme="8"/>
        </patternFill>
      </fill>
    </dxf>
    <dxf>
      <font>
        <b/>
        <i val="0"/>
        <color theme="0"/>
      </font>
      <fill>
        <patternFill>
          <bgColor theme="8"/>
        </patternFill>
      </fill>
    </dxf>
    <dxf>
      <font>
        <b/>
        <i val="0"/>
        <color rgb="FF9C0006"/>
      </font>
      <fill>
        <patternFill>
          <bgColor theme="5"/>
        </patternFill>
      </fill>
    </dxf>
    <dxf>
      <font>
        <b/>
        <i val="0"/>
        <color theme="0"/>
        <name val="Cambria"/>
        <scheme val="none"/>
      </font>
      <fill>
        <patternFill>
          <bgColor theme="5"/>
        </patternFill>
      </fill>
    </dxf>
    <dxf>
      <font>
        <b/>
        <i val="0"/>
        <color rgb="FFFFC000"/>
      </font>
      <fill>
        <patternFill>
          <bgColor theme="5"/>
        </patternFill>
      </fill>
    </dxf>
    <dxf>
      <font>
        <b/>
        <i val="0"/>
        <color theme="0"/>
      </font>
      <fill>
        <patternFill>
          <bgColor theme="8"/>
        </patternFill>
      </fill>
    </dxf>
    <dxf>
      <font>
        <b/>
        <i val="0"/>
        <color theme="0"/>
      </font>
      <fill>
        <patternFill>
          <bgColor theme="8"/>
        </patternFill>
      </fill>
    </dxf>
    <dxf>
      <font>
        <b/>
        <i val="0"/>
        <color rgb="FF9C0006"/>
      </font>
      <fill>
        <patternFill>
          <bgColor theme="5"/>
        </patternFill>
      </fill>
    </dxf>
    <dxf>
      <font>
        <b/>
        <i val="0"/>
        <color theme="0"/>
        <name val="Cambria"/>
        <scheme val="none"/>
      </font>
      <fill>
        <patternFill>
          <bgColor theme="5"/>
        </patternFill>
      </fill>
    </dxf>
    <dxf>
      <font>
        <b/>
        <i val="0"/>
        <color rgb="FFFFC000"/>
      </font>
      <fill>
        <patternFill>
          <bgColor theme="5"/>
        </patternFill>
      </fill>
    </dxf>
    <dxf>
      <font>
        <b/>
        <i val="0"/>
        <color theme="0"/>
      </font>
      <fill>
        <patternFill>
          <bgColor theme="8"/>
        </patternFill>
      </fill>
    </dxf>
    <dxf>
      <font>
        <b/>
        <i val="0"/>
        <color theme="0"/>
      </font>
      <fill>
        <patternFill>
          <bgColor theme="8"/>
        </patternFill>
      </fill>
    </dxf>
    <dxf>
      <font>
        <b/>
        <i val="0"/>
        <color rgb="FF9C0006"/>
      </font>
      <fill>
        <patternFill>
          <bgColor theme="5"/>
        </patternFill>
      </fill>
    </dxf>
    <dxf>
      <font>
        <b/>
        <i val="0"/>
        <color theme="0"/>
        <name val="Cambria"/>
        <scheme val="none"/>
      </font>
      <fill>
        <patternFill>
          <bgColor theme="5"/>
        </patternFill>
      </fill>
    </dxf>
    <dxf>
      <font>
        <b/>
        <i val="0"/>
        <color rgb="FFFFC000"/>
      </font>
      <fill>
        <patternFill>
          <bgColor theme="5"/>
        </patternFill>
      </fill>
    </dxf>
    <dxf>
      <font>
        <b/>
        <i val="0"/>
        <color theme="0"/>
      </font>
      <fill>
        <patternFill>
          <bgColor theme="8"/>
        </patternFill>
      </fill>
    </dxf>
    <dxf>
      <font>
        <b/>
        <i val="0"/>
        <color theme="0"/>
      </font>
      <fill>
        <patternFill>
          <bgColor theme="8"/>
        </patternFill>
      </fill>
    </dxf>
    <dxf>
      <font>
        <b/>
        <i val="0"/>
        <color rgb="FF9C0006"/>
      </font>
      <fill>
        <patternFill>
          <bgColor theme="5"/>
        </patternFill>
      </fill>
    </dxf>
    <dxf>
      <font>
        <b/>
        <i val="0"/>
        <color theme="0"/>
        <name val="Cambria"/>
        <scheme val="none"/>
      </font>
      <fill>
        <patternFill>
          <bgColor theme="5"/>
        </patternFill>
      </fill>
    </dxf>
    <dxf>
      <font>
        <b/>
        <i val="0"/>
        <color rgb="FFFFC000"/>
      </font>
      <fill>
        <patternFill>
          <bgColor theme="5"/>
        </patternFill>
      </fill>
    </dxf>
    <dxf>
      <font>
        <b/>
        <i val="0"/>
        <color theme="0"/>
      </font>
      <fill>
        <patternFill>
          <bgColor theme="8"/>
        </patternFill>
      </fill>
    </dxf>
    <dxf>
      <font>
        <b/>
        <i val="0"/>
        <color theme="0"/>
      </font>
      <fill>
        <patternFill>
          <bgColor theme="8"/>
        </patternFill>
      </fill>
    </dxf>
    <dxf>
      <font>
        <b/>
        <i val="0"/>
        <color rgb="FF9C0006"/>
      </font>
      <fill>
        <patternFill>
          <bgColor theme="5"/>
        </patternFill>
      </fill>
    </dxf>
    <dxf>
      <font>
        <b/>
        <i val="0"/>
        <color theme="0"/>
        <name val="Cambria"/>
        <scheme val="none"/>
      </font>
      <fill>
        <patternFill>
          <bgColor theme="5"/>
        </patternFill>
      </fill>
    </dxf>
    <dxf>
      <font>
        <b/>
        <i val="0"/>
        <color rgb="FFFFC000"/>
      </font>
      <fill>
        <patternFill>
          <bgColor theme="5"/>
        </patternFill>
      </fill>
    </dxf>
    <dxf>
      <font>
        <b/>
        <i val="0"/>
        <color theme="0"/>
      </font>
      <fill>
        <patternFill>
          <bgColor theme="8"/>
        </patternFill>
      </fill>
    </dxf>
    <dxf>
      <font>
        <b/>
        <i val="0"/>
        <color theme="0"/>
      </font>
      <fill>
        <patternFill>
          <bgColor theme="8"/>
        </patternFill>
      </fill>
    </dxf>
    <dxf>
      <font>
        <b/>
        <i val="0"/>
        <color rgb="FF9C0006"/>
      </font>
      <fill>
        <patternFill>
          <bgColor theme="5"/>
        </patternFill>
      </fill>
    </dxf>
    <dxf>
      <font>
        <b/>
        <i val="0"/>
        <color theme="0"/>
        <name val="Cambria"/>
        <scheme val="none"/>
      </font>
      <fill>
        <patternFill>
          <bgColor theme="5"/>
        </patternFill>
      </fill>
    </dxf>
    <dxf>
      <font>
        <b/>
        <i val="0"/>
        <color rgb="FFFFC000"/>
      </font>
      <fill>
        <patternFill>
          <bgColor theme="5"/>
        </patternFill>
      </fill>
    </dxf>
    <dxf>
      <font>
        <b/>
        <i val="0"/>
        <color theme="0"/>
      </font>
      <fill>
        <patternFill>
          <bgColor theme="8"/>
        </patternFill>
      </fill>
    </dxf>
    <dxf>
      <font>
        <b/>
        <i val="0"/>
        <color theme="0"/>
      </font>
      <fill>
        <patternFill>
          <bgColor theme="8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rgb="FF9C0006"/>
      </font>
      <fill>
        <patternFill>
          <bgColor theme="5"/>
        </patternFill>
      </fill>
    </dxf>
    <dxf>
      <font>
        <b/>
        <i val="0"/>
        <color theme="0"/>
        <name val="Cambria"/>
        <scheme val="none"/>
      </font>
      <fill>
        <patternFill>
          <bgColor theme="5"/>
        </patternFill>
      </fill>
    </dxf>
    <dxf>
      <font>
        <b/>
        <i val="0"/>
        <color rgb="FFFFC000"/>
      </font>
      <fill>
        <patternFill>
          <bgColor theme="5"/>
        </patternFill>
      </fill>
    </dxf>
    <dxf>
      <font>
        <b/>
        <i val="0"/>
        <color theme="0"/>
      </font>
      <fill>
        <patternFill>
          <bgColor theme="8"/>
        </patternFill>
      </fill>
    </dxf>
    <dxf>
      <font>
        <b/>
        <i val="0"/>
        <color theme="0"/>
      </font>
      <fill>
        <patternFill>
          <bgColor theme="8"/>
        </patternFill>
      </fill>
    </dxf>
    <dxf>
      <font>
        <b/>
        <i val="0"/>
        <color rgb="FF9C0006"/>
      </font>
      <fill>
        <patternFill>
          <bgColor theme="5"/>
        </patternFill>
      </fill>
    </dxf>
    <dxf>
      <font>
        <b/>
        <i val="0"/>
        <color theme="0"/>
        <name val="Cambria"/>
        <scheme val="none"/>
      </font>
      <fill>
        <patternFill>
          <bgColor theme="5"/>
        </patternFill>
      </fill>
    </dxf>
    <dxf>
      <font>
        <b/>
        <i val="0"/>
        <color rgb="FFFFC000"/>
      </font>
      <fill>
        <patternFill>
          <bgColor theme="5"/>
        </patternFill>
      </fill>
    </dxf>
    <dxf>
      <font>
        <b/>
        <i val="0"/>
        <color theme="0"/>
      </font>
      <fill>
        <patternFill>
          <bgColor theme="8"/>
        </patternFill>
      </fill>
    </dxf>
    <dxf>
      <font>
        <b/>
        <i val="0"/>
        <color theme="0"/>
      </font>
      <fill>
        <patternFill>
          <bgColor theme="8"/>
        </patternFill>
      </fill>
    </dxf>
    <dxf>
      <font>
        <b/>
        <i val="0"/>
        <color rgb="FF9C0006"/>
      </font>
      <fill>
        <patternFill>
          <bgColor theme="5"/>
        </patternFill>
      </fill>
    </dxf>
    <dxf>
      <font>
        <b/>
        <i val="0"/>
        <color theme="0"/>
        <name val="Cambria"/>
        <scheme val="none"/>
      </font>
      <fill>
        <patternFill>
          <bgColor theme="5"/>
        </patternFill>
      </fill>
    </dxf>
    <dxf>
      <font>
        <b/>
        <i val="0"/>
        <color rgb="FFFFC000"/>
      </font>
      <fill>
        <patternFill>
          <bgColor theme="5"/>
        </patternFill>
      </fill>
    </dxf>
    <dxf>
      <font>
        <b/>
        <i val="0"/>
        <color theme="0"/>
      </font>
      <fill>
        <patternFill>
          <bgColor theme="8"/>
        </patternFill>
      </fill>
    </dxf>
    <dxf>
      <font>
        <b/>
        <i val="0"/>
        <color theme="0"/>
      </font>
      <fill>
        <patternFill>
          <bgColor theme="8"/>
        </patternFill>
      </fill>
    </dxf>
    <dxf>
      <font>
        <b/>
        <i val="0"/>
        <color rgb="FF9C0006"/>
      </font>
      <fill>
        <patternFill>
          <bgColor theme="5"/>
        </patternFill>
      </fill>
    </dxf>
    <dxf>
      <font>
        <b/>
        <i val="0"/>
        <color theme="0"/>
        <name val="Cambria"/>
        <scheme val="none"/>
      </font>
      <fill>
        <patternFill>
          <bgColor theme="5"/>
        </patternFill>
      </fill>
    </dxf>
    <dxf>
      <font>
        <b/>
        <i val="0"/>
        <color rgb="FFFFC000"/>
      </font>
      <fill>
        <patternFill>
          <bgColor theme="5"/>
        </patternFill>
      </fill>
    </dxf>
    <dxf>
      <font>
        <b/>
        <i val="0"/>
        <color theme="0"/>
      </font>
      <fill>
        <patternFill>
          <bgColor theme="8"/>
        </patternFill>
      </fill>
    </dxf>
    <dxf>
      <font>
        <b/>
        <i val="0"/>
        <color theme="0"/>
      </font>
      <fill>
        <patternFill>
          <bgColor theme="8"/>
        </patternFill>
      </fill>
    </dxf>
    <dxf>
      <font>
        <b/>
        <i val="0"/>
        <color rgb="FF9C0006"/>
      </font>
      <fill>
        <patternFill>
          <bgColor theme="5"/>
        </patternFill>
      </fill>
    </dxf>
    <dxf>
      <font>
        <b/>
        <i val="0"/>
        <color theme="0"/>
        <name val="Cambria"/>
        <scheme val="none"/>
      </font>
      <fill>
        <patternFill>
          <bgColor theme="5"/>
        </patternFill>
      </fill>
    </dxf>
    <dxf>
      <font>
        <b/>
        <i val="0"/>
        <color rgb="FFFFC000"/>
      </font>
      <fill>
        <patternFill>
          <bgColor theme="5"/>
        </patternFill>
      </fill>
    </dxf>
    <dxf>
      <font>
        <b/>
        <i val="0"/>
        <color theme="0"/>
      </font>
      <fill>
        <patternFill>
          <bgColor theme="8"/>
        </patternFill>
      </fill>
    </dxf>
    <dxf>
      <font>
        <b/>
        <i val="0"/>
        <color theme="0"/>
      </font>
      <fill>
        <patternFill>
          <bgColor theme="8"/>
        </patternFill>
      </fill>
    </dxf>
    <dxf>
      <font>
        <b/>
        <i val="0"/>
        <color rgb="FF9C0006"/>
      </font>
      <fill>
        <patternFill>
          <bgColor theme="5"/>
        </patternFill>
      </fill>
    </dxf>
    <dxf>
      <font>
        <b/>
        <i val="0"/>
        <color theme="0"/>
        <name val="Cambria"/>
        <scheme val="none"/>
      </font>
      <fill>
        <patternFill>
          <bgColor theme="5"/>
        </patternFill>
      </fill>
    </dxf>
    <dxf>
      <font>
        <b/>
        <i val="0"/>
        <color rgb="FFFFC000"/>
      </font>
      <fill>
        <patternFill>
          <bgColor theme="5"/>
        </patternFill>
      </fill>
    </dxf>
    <dxf>
      <font>
        <b/>
        <i val="0"/>
        <color theme="0"/>
      </font>
      <fill>
        <patternFill>
          <bgColor theme="8"/>
        </patternFill>
      </fill>
    </dxf>
    <dxf>
      <font>
        <b/>
        <i val="0"/>
        <color theme="0"/>
      </font>
      <fill>
        <patternFill>
          <bgColor theme="8"/>
        </patternFill>
      </fill>
    </dxf>
    <dxf>
      <font>
        <b/>
        <i val="0"/>
        <color rgb="FF9C0006"/>
      </font>
      <fill>
        <patternFill>
          <bgColor theme="5"/>
        </patternFill>
      </fill>
    </dxf>
    <dxf>
      <font>
        <b/>
        <i val="0"/>
        <color theme="0"/>
        <name val="Cambria"/>
        <scheme val="none"/>
      </font>
      <fill>
        <patternFill>
          <bgColor theme="5"/>
        </patternFill>
      </fill>
    </dxf>
    <dxf>
      <font>
        <b/>
        <i val="0"/>
        <color rgb="FFFFC000"/>
      </font>
      <fill>
        <patternFill>
          <bgColor theme="5"/>
        </patternFill>
      </fill>
    </dxf>
    <dxf>
      <font>
        <b/>
        <i val="0"/>
        <color theme="0"/>
      </font>
      <fill>
        <patternFill>
          <bgColor theme="8"/>
        </patternFill>
      </fill>
    </dxf>
    <dxf>
      <font>
        <b/>
        <i val="0"/>
        <color theme="0"/>
      </font>
      <fill>
        <patternFill>
          <bgColor theme="8"/>
        </patternFill>
      </fill>
    </dxf>
    <dxf>
      <font>
        <b/>
        <i val="0"/>
        <color rgb="FF9C0006"/>
      </font>
      <fill>
        <patternFill>
          <bgColor theme="5"/>
        </patternFill>
      </fill>
    </dxf>
    <dxf>
      <font>
        <b/>
        <i val="0"/>
        <color theme="0"/>
        <name val="Cambria"/>
        <scheme val="none"/>
      </font>
      <fill>
        <patternFill>
          <bgColor theme="5"/>
        </patternFill>
      </fill>
    </dxf>
    <dxf>
      <font>
        <b/>
        <i val="0"/>
        <color rgb="FFFFC000"/>
      </font>
      <fill>
        <patternFill>
          <bgColor theme="5"/>
        </patternFill>
      </fill>
    </dxf>
    <dxf>
      <font>
        <b/>
        <i val="0"/>
        <color theme="0"/>
      </font>
      <fill>
        <patternFill>
          <bgColor theme="8"/>
        </patternFill>
      </fill>
    </dxf>
    <dxf>
      <font>
        <b/>
        <i val="0"/>
        <color theme="0"/>
      </font>
      <fill>
        <patternFill>
          <bgColor theme="8"/>
        </patternFill>
      </fill>
    </dxf>
    <dxf>
      <font>
        <b/>
        <i val="0"/>
        <color rgb="FF9C0006"/>
      </font>
      <fill>
        <patternFill>
          <bgColor theme="5"/>
        </patternFill>
      </fill>
    </dxf>
    <dxf>
      <font>
        <b/>
        <i val="0"/>
        <color theme="0"/>
        <name val="Cambria"/>
        <scheme val="none"/>
      </font>
      <fill>
        <patternFill>
          <bgColor theme="5"/>
        </patternFill>
      </fill>
    </dxf>
    <dxf>
      <font>
        <b/>
        <i val="0"/>
        <color rgb="FFFFC000"/>
      </font>
      <fill>
        <patternFill>
          <bgColor theme="5"/>
        </patternFill>
      </fill>
    </dxf>
    <dxf>
      <font>
        <b/>
        <i val="0"/>
        <color theme="0"/>
      </font>
      <fill>
        <patternFill>
          <bgColor theme="8"/>
        </patternFill>
      </fill>
    </dxf>
    <dxf>
      <font>
        <b/>
        <i val="0"/>
        <color theme="0"/>
      </font>
      <fill>
        <patternFill>
          <bgColor theme="8"/>
        </patternFill>
      </fill>
    </dxf>
    <dxf>
      <font>
        <b/>
        <i val="0"/>
        <color rgb="FF9C0006"/>
      </font>
      <fill>
        <patternFill>
          <bgColor theme="5"/>
        </patternFill>
      </fill>
    </dxf>
    <dxf>
      <font>
        <b/>
        <i val="0"/>
        <color theme="0"/>
        <name val="Cambria"/>
        <scheme val="none"/>
      </font>
      <fill>
        <patternFill>
          <bgColor theme="5"/>
        </patternFill>
      </fill>
    </dxf>
    <dxf>
      <font>
        <b/>
        <i val="0"/>
        <color rgb="FFFFC000"/>
      </font>
      <fill>
        <patternFill>
          <bgColor theme="5"/>
        </patternFill>
      </fill>
    </dxf>
    <dxf>
      <font>
        <b/>
        <i val="0"/>
        <color theme="0"/>
      </font>
      <fill>
        <patternFill>
          <bgColor theme="8"/>
        </patternFill>
      </fill>
    </dxf>
    <dxf>
      <font>
        <b/>
        <i val="0"/>
        <color theme="0"/>
      </font>
      <fill>
        <patternFill>
          <bgColor theme="8"/>
        </patternFill>
      </fill>
    </dxf>
    <dxf>
      <font>
        <b/>
        <i val="0"/>
        <color rgb="FF9C0006"/>
      </font>
      <fill>
        <patternFill>
          <bgColor theme="5"/>
        </patternFill>
      </fill>
    </dxf>
    <dxf>
      <font>
        <b/>
        <i val="0"/>
        <color theme="0"/>
        <name val="Cambria"/>
        <scheme val="none"/>
      </font>
      <fill>
        <patternFill>
          <bgColor theme="5"/>
        </patternFill>
      </fill>
    </dxf>
    <dxf>
      <font>
        <b/>
        <i val="0"/>
        <color rgb="FFFFC000"/>
      </font>
      <fill>
        <patternFill>
          <bgColor theme="5"/>
        </patternFill>
      </fill>
    </dxf>
    <dxf>
      <font>
        <b/>
        <i val="0"/>
        <color theme="0"/>
      </font>
      <fill>
        <patternFill>
          <bgColor theme="8"/>
        </patternFill>
      </fill>
    </dxf>
    <dxf>
      <font>
        <b/>
        <i val="0"/>
        <color theme="0"/>
      </font>
      <fill>
        <patternFill>
          <bgColor theme="8"/>
        </patternFill>
      </fill>
    </dxf>
    <dxf>
      <font>
        <b/>
        <i val="0"/>
        <color rgb="FF9C0006"/>
      </font>
      <fill>
        <patternFill>
          <bgColor theme="5"/>
        </patternFill>
      </fill>
    </dxf>
    <dxf>
      <font>
        <b/>
        <i val="0"/>
        <color theme="0"/>
        <name val="Cambria"/>
        <scheme val="none"/>
      </font>
      <fill>
        <patternFill>
          <bgColor theme="5"/>
        </patternFill>
      </fill>
    </dxf>
    <dxf>
      <font>
        <b/>
        <i val="0"/>
        <color rgb="FFFFC000"/>
      </font>
      <fill>
        <patternFill>
          <bgColor theme="5"/>
        </patternFill>
      </fill>
    </dxf>
    <dxf>
      <font>
        <b/>
        <i val="0"/>
        <color theme="0"/>
      </font>
      <fill>
        <patternFill>
          <bgColor theme="8"/>
        </patternFill>
      </fill>
    </dxf>
    <dxf>
      <font>
        <b/>
        <i val="0"/>
        <color theme="0"/>
      </font>
      <fill>
        <patternFill>
          <bgColor theme="8"/>
        </patternFill>
      </fill>
    </dxf>
    <dxf>
      <font>
        <b/>
        <i val="0"/>
        <color rgb="FF9C0006"/>
      </font>
      <fill>
        <patternFill>
          <bgColor theme="5"/>
        </patternFill>
      </fill>
    </dxf>
    <dxf>
      <font>
        <b/>
        <i val="0"/>
        <color theme="0"/>
        <name val="Cambria"/>
        <scheme val="none"/>
      </font>
      <fill>
        <patternFill>
          <bgColor theme="5"/>
        </patternFill>
      </fill>
    </dxf>
    <dxf>
      <font>
        <b/>
        <i val="0"/>
        <color rgb="FFFFC000"/>
      </font>
      <fill>
        <patternFill>
          <bgColor theme="5"/>
        </patternFill>
      </fill>
    </dxf>
    <dxf>
      <font>
        <b/>
        <i val="0"/>
        <color theme="0"/>
      </font>
      <fill>
        <patternFill>
          <bgColor theme="8"/>
        </patternFill>
      </fill>
    </dxf>
    <dxf>
      <font>
        <b/>
        <i val="0"/>
        <color theme="0"/>
      </font>
      <fill>
        <patternFill>
          <bgColor theme="8"/>
        </patternFill>
      </fill>
    </dxf>
    <dxf>
      <font>
        <b/>
        <i val="0"/>
        <color rgb="FF9C0006"/>
      </font>
      <fill>
        <patternFill>
          <bgColor theme="5"/>
        </patternFill>
      </fill>
    </dxf>
    <dxf>
      <font>
        <b/>
        <i val="0"/>
        <color theme="0"/>
        <name val="Cambria"/>
        <scheme val="none"/>
      </font>
      <fill>
        <patternFill>
          <bgColor theme="5"/>
        </patternFill>
      </fill>
    </dxf>
    <dxf>
      <font>
        <b/>
        <i val="0"/>
        <color rgb="FFFFC000"/>
      </font>
      <fill>
        <patternFill>
          <bgColor theme="5"/>
        </patternFill>
      </fill>
    </dxf>
    <dxf>
      <font>
        <b/>
        <i val="0"/>
        <color theme="0"/>
      </font>
      <fill>
        <patternFill>
          <bgColor theme="8"/>
        </patternFill>
      </fill>
    </dxf>
    <dxf>
      <font>
        <b/>
        <i val="0"/>
        <color theme="0"/>
      </font>
      <fill>
        <patternFill>
          <bgColor theme="8"/>
        </patternFill>
      </fill>
    </dxf>
    <dxf>
      <font>
        <b/>
        <i val="0"/>
        <color rgb="FF9C0006"/>
      </font>
      <fill>
        <patternFill>
          <bgColor theme="5"/>
        </patternFill>
      </fill>
    </dxf>
    <dxf>
      <font>
        <b/>
        <i val="0"/>
        <color theme="0"/>
        <name val="Cambria"/>
        <scheme val="none"/>
      </font>
      <fill>
        <patternFill>
          <bgColor theme="5"/>
        </patternFill>
      </fill>
    </dxf>
    <dxf>
      <font>
        <b/>
        <i val="0"/>
        <color rgb="FFFFC000"/>
      </font>
      <fill>
        <patternFill>
          <bgColor theme="5"/>
        </patternFill>
      </fill>
    </dxf>
    <dxf>
      <font>
        <b/>
        <i val="0"/>
        <color theme="0"/>
      </font>
      <fill>
        <patternFill>
          <bgColor theme="8"/>
        </patternFill>
      </fill>
    </dxf>
    <dxf>
      <font>
        <b/>
        <i val="0"/>
        <color theme="0"/>
      </font>
      <fill>
        <patternFill>
          <bgColor theme="8"/>
        </patternFill>
      </fill>
    </dxf>
    <dxf>
      <font>
        <b/>
        <i val="0"/>
        <color rgb="FF9C0006"/>
      </font>
      <fill>
        <patternFill>
          <bgColor theme="5"/>
        </patternFill>
      </fill>
    </dxf>
    <dxf>
      <font>
        <b/>
        <i val="0"/>
        <color theme="0"/>
        <name val="Cambria"/>
        <scheme val="none"/>
      </font>
      <fill>
        <patternFill>
          <bgColor theme="5"/>
        </patternFill>
      </fill>
    </dxf>
    <dxf>
      <font>
        <b/>
        <i val="0"/>
        <color rgb="FFFFC000"/>
      </font>
      <fill>
        <patternFill>
          <bgColor theme="5"/>
        </patternFill>
      </fill>
    </dxf>
    <dxf>
      <font>
        <b/>
        <i val="0"/>
        <color theme="0"/>
      </font>
      <fill>
        <patternFill>
          <bgColor theme="8"/>
        </patternFill>
      </fill>
    </dxf>
    <dxf>
      <font>
        <b/>
        <i val="0"/>
        <color theme="0"/>
      </font>
      <fill>
        <patternFill>
          <bgColor theme="8"/>
        </patternFill>
      </fill>
    </dxf>
    <dxf>
      <font>
        <b/>
        <i val="0"/>
        <color rgb="FF9C0006"/>
      </font>
      <fill>
        <patternFill>
          <bgColor theme="5"/>
        </patternFill>
      </fill>
    </dxf>
    <dxf>
      <font>
        <b/>
        <i val="0"/>
        <color theme="0"/>
        <name val="Cambria"/>
        <scheme val="none"/>
      </font>
      <fill>
        <patternFill>
          <bgColor theme="5"/>
        </patternFill>
      </fill>
    </dxf>
    <dxf>
      <font>
        <b/>
        <i val="0"/>
        <color rgb="FFFFC000"/>
      </font>
      <fill>
        <patternFill>
          <bgColor theme="5"/>
        </patternFill>
      </fill>
    </dxf>
    <dxf>
      <font>
        <b/>
        <i val="0"/>
        <color theme="0"/>
      </font>
      <fill>
        <patternFill>
          <bgColor theme="8"/>
        </patternFill>
      </fill>
    </dxf>
    <dxf>
      <font>
        <b/>
        <i val="0"/>
        <color theme="0"/>
      </font>
      <fill>
        <patternFill>
          <bgColor theme="8"/>
        </patternFill>
      </fill>
    </dxf>
    <dxf>
      <font>
        <b/>
        <i val="0"/>
        <color rgb="FF9C0006"/>
      </font>
      <fill>
        <patternFill>
          <bgColor theme="5"/>
        </patternFill>
      </fill>
    </dxf>
    <dxf>
      <font>
        <b/>
        <i val="0"/>
        <color theme="0"/>
        <name val="Cambria"/>
        <scheme val="none"/>
      </font>
      <fill>
        <patternFill>
          <bgColor theme="5"/>
        </patternFill>
      </fill>
    </dxf>
    <dxf>
      <font>
        <b/>
        <i val="0"/>
        <color rgb="FFFFC000"/>
      </font>
      <fill>
        <patternFill>
          <bgColor theme="5"/>
        </patternFill>
      </fill>
    </dxf>
    <dxf>
      <font>
        <b/>
        <i val="0"/>
        <color theme="0"/>
      </font>
      <fill>
        <patternFill>
          <bgColor theme="8"/>
        </patternFill>
      </fill>
    </dxf>
    <dxf>
      <font>
        <b/>
        <i val="0"/>
        <color theme="0"/>
      </font>
      <fill>
        <patternFill>
          <bgColor theme="8"/>
        </patternFill>
      </fill>
    </dxf>
    <dxf>
      <font>
        <b/>
        <i val="0"/>
        <color rgb="FF9C0006"/>
      </font>
      <fill>
        <patternFill>
          <bgColor theme="5"/>
        </patternFill>
      </fill>
    </dxf>
    <dxf>
      <font>
        <b/>
        <i val="0"/>
        <color theme="0"/>
        <name val="Cambria"/>
        <scheme val="none"/>
      </font>
      <fill>
        <patternFill>
          <bgColor theme="5"/>
        </patternFill>
      </fill>
    </dxf>
    <dxf>
      <font>
        <b/>
        <i val="0"/>
        <color rgb="FFFFC000"/>
      </font>
      <fill>
        <patternFill>
          <bgColor theme="5"/>
        </patternFill>
      </fill>
    </dxf>
    <dxf>
      <font>
        <b/>
        <i val="0"/>
        <color theme="0"/>
      </font>
      <fill>
        <patternFill>
          <bgColor theme="8"/>
        </patternFill>
      </fill>
    </dxf>
    <dxf>
      <font>
        <b/>
        <i val="0"/>
        <color theme="0"/>
      </font>
      <fill>
        <patternFill>
          <bgColor theme="8"/>
        </patternFill>
      </fill>
    </dxf>
    <dxf>
      <font>
        <b/>
        <i val="0"/>
        <color rgb="FF9C0006"/>
      </font>
      <fill>
        <patternFill>
          <bgColor theme="5"/>
        </patternFill>
      </fill>
    </dxf>
    <dxf>
      <font>
        <b/>
        <i val="0"/>
        <color theme="0"/>
        <name val="Cambria"/>
        <scheme val="none"/>
      </font>
      <fill>
        <patternFill>
          <bgColor theme="5"/>
        </patternFill>
      </fill>
    </dxf>
    <dxf>
      <font>
        <b/>
        <i val="0"/>
        <color rgb="FFFFC000"/>
      </font>
      <fill>
        <patternFill>
          <bgColor theme="5"/>
        </patternFill>
      </fill>
    </dxf>
    <dxf>
      <font>
        <b/>
        <i val="0"/>
        <color theme="0"/>
      </font>
      <fill>
        <patternFill>
          <bgColor theme="8"/>
        </patternFill>
      </fill>
    </dxf>
    <dxf>
      <font>
        <b/>
        <i val="0"/>
        <color theme="0"/>
      </font>
      <fill>
        <patternFill>
          <bgColor theme="8"/>
        </patternFill>
      </fill>
    </dxf>
    <dxf>
      <font>
        <b/>
        <i val="0"/>
        <color rgb="FF9C0006"/>
      </font>
      <fill>
        <patternFill>
          <bgColor theme="5"/>
        </patternFill>
      </fill>
    </dxf>
    <dxf>
      <font>
        <b/>
        <i val="0"/>
        <color theme="0"/>
        <name val="Cambria"/>
        <scheme val="none"/>
      </font>
      <fill>
        <patternFill>
          <bgColor theme="5"/>
        </patternFill>
      </fill>
    </dxf>
    <dxf>
      <font>
        <b/>
        <i val="0"/>
        <color rgb="FFFFC000"/>
      </font>
      <fill>
        <patternFill>
          <bgColor theme="5"/>
        </patternFill>
      </fill>
    </dxf>
    <dxf>
      <font>
        <b/>
        <i val="0"/>
        <color theme="0"/>
      </font>
      <fill>
        <patternFill>
          <bgColor theme="8"/>
        </patternFill>
      </fill>
    </dxf>
    <dxf>
      <font>
        <b/>
        <i val="0"/>
        <color theme="0"/>
      </font>
      <fill>
        <patternFill>
          <bgColor theme="8"/>
        </patternFill>
      </fill>
    </dxf>
    <dxf>
      <font>
        <b/>
        <i val="0"/>
        <color rgb="FF9C0006"/>
      </font>
      <fill>
        <patternFill>
          <bgColor theme="5"/>
        </patternFill>
      </fill>
    </dxf>
    <dxf>
      <font>
        <b/>
        <i val="0"/>
        <color theme="0"/>
        <name val="Cambria"/>
        <scheme val="none"/>
      </font>
      <fill>
        <patternFill>
          <bgColor theme="5"/>
        </patternFill>
      </fill>
    </dxf>
    <dxf>
      <font>
        <b/>
        <i val="0"/>
        <color rgb="FFFFC000"/>
      </font>
      <fill>
        <patternFill>
          <bgColor theme="5"/>
        </patternFill>
      </fill>
    </dxf>
    <dxf>
      <font>
        <b/>
        <i val="0"/>
        <color theme="0"/>
      </font>
      <fill>
        <patternFill>
          <bgColor theme="8"/>
        </patternFill>
      </fill>
    </dxf>
    <dxf>
      <font>
        <b/>
        <i val="0"/>
        <color theme="0"/>
      </font>
      <fill>
        <patternFill>
          <bgColor theme="8"/>
        </patternFill>
      </fill>
    </dxf>
    <dxf>
      <font>
        <b/>
        <i val="0"/>
        <color rgb="FF9C0006"/>
      </font>
      <fill>
        <patternFill>
          <bgColor theme="5"/>
        </patternFill>
      </fill>
    </dxf>
    <dxf>
      <font>
        <b/>
        <i val="0"/>
        <color theme="0"/>
        <name val="Cambria"/>
        <scheme val="none"/>
      </font>
      <fill>
        <patternFill>
          <bgColor theme="5"/>
        </patternFill>
      </fill>
    </dxf>
    <dxf>
      <font>
        <b/>
        <i val="0"/>
        <color rgb="FFFFC000"/>
      </font>
      <fill>
        <patternFill>
          <bgColor theme="5"/>
        </patternFill>
      </fill>
    </dxf>
    <dxf>
      <font>
        <b/>
        <i val="0"/>
        <color theme="0"/>
      </font>
      <fill>
        <patternFill>
          <bgColor theme="8"/>
        </patternFill>
      </fill>
    </dxf>
    <dxf>
      <font>
        <b/>
        <i val="0"/>
        <color theme="0"/>
      </font>
      <fill>
        <patternFill>
          <bgColor theme="8"/>
        </patternFill>
      </fill>
    </dxf>
    <dxf>
      <font>
        <b/>
        <i val="0"/>
        <color rgb="FF9C0006"/>
      </font>
      <fill>
        <patternFill>
          <bgColor theme="5"/>
        </patternFill>
      </fill>
    </dxf>
    <dxf>
      <font>
        <b/>
        <i val="0"/>
        <color theme="0"/>
        <name val="Cambria"/>
        <scheme val="none"/>
      </font>
      <fill>
        <patternFill>
          <bgColor theme="5"/>
        </patternFill>
      </fill>
    </dxf>
    <dxf>
      <font>
        <b/>
        <i val="0"/>
        <color rgb="FFFFC000"/>
      </font>
      <fill>
        <patternFill>
          <bgColor theme="5"/>
        </patternFill>
      </fill>
    </dxf>
    <dxf>
      <font>
        <b/>
        <i val="0"/>
        <color theme="0"/>
      </font>
      <fill>
        <patternFill>
          <bgColor theme="8"/>
        </patternFill>
      </fill>
    </dxf>
    <dxf>
      <font>
        <b/>
        <i val="0"/>
        <color theme="0"/>
      </font>
      <fill>
        <patternFill>
          <bgColor theme="8"/>
        </patternFill>
      </fill>
    </dxf>
    <dxf>
      <font>
        <b/>
        <i val="0"/>
        <color rgb="FF9C0006"/>
      </font>
      <fill>
        <patternFill>
          <bgColor theme="5"/>
        </patternFill>
      </fill>
    </dxf>
    <dxf>
      <font>
        <b/>
        <i val="0"/>
        <color theme="0"/>
        <name val="Cambria"/>
        <scheme val="none"/>
      </font>
      <fill>
        <patternFill>
          <bgColor theme="5"/>
        </patternFill>
      </fill>
    </dxf>
    <dxf>
      <font>
        <b/>
        <i val="0"/>
        <color rgb="FFFFC000"/>
      </font>
      <fill>
        <patternFill>
          <bgColor theme="5"/>
        </patternFill>
      </fill>
    </dxf>
    <dxf>
      <font>
        <b/>
        <i val="0"/>
        <color theme="0"/>
      </font>
      <fill>
        <patternFill>
          <bgColor theme="8"/>
        </patternFill>
      </fill>
    </dxf>
    <dxf>
      <font>
        <b/>
        <i val="0"/>
        <color theme="0"/>
      </font>
      <fill>
        <patternFill>
          <bgColor theme="8"/>
        </patternFill>
      </fill>
    </dxf>
    <dxf>
      <font>
        <b/>
        <i val="0"/>
        <color rgb="FF9C0006"/>
      </font>
      <fill>
        <patternFill>
          <bgColor theme="5"/>
        </patternFill>
      </fill>
    </dxf>
    <dxf>
      <font>
        <b/>
        <i val="0"/>
        <color theme="0"/>
        <name val="Cambria"/>
        <scheme val="none"/>
      </font>
      <fill>
        <patternFill>
          <bgColor theme="5"/>
        </patternFill>
      </fill>
    </dxf>
    <dxf>
      <font>
        <b/>
        <i val="0"/>
        <color rgb="FFFFC000"/>
      </font>
      <fill>
        <patternFill>
          <bgColor theme="5"/>
        </patternFill>
      </fill>
    </dxf>
    <dxf>
      <font>
        <b/>
        <i val="0"/>
        <color theme="0"/>
      </font>
      <fill>
        <patternFill>
          <bgColor theme="8"/>
        </patternFill>
      </fill>
    </dxf>
    <dxf>
      <font>
        <b/>
        <i val="0"/>
        <color theme="0"/>
      </font>
      <fill>
        <patternFill>
          <bgColor theme="8"/>
        </patternFill>
      </fill>
    </dxf>
    <dxf>
      <font>
        <b/>
        <i val="0"/>
        <color rgb="FF9C0006"/>
      </font>
      <fill>
        <patternFill>
          <bgColor theme="5"/>
        </patternFill>
      </fill>
    </dxf>
    <dxf>
      <font>
        <b/>
        <i val="0"/>
        <color theme="0"/>
        <name val="Cambria"/>
        <scheme val="none"/>
      </font>
      <fill>
        <patternFill>
          <bgColor theme="5"/>
        </patternFill>
      </fill>
    </dxf>
    <dxf>
      <font>
        <b/>
        <i val="0"/>
        <color rgb="FFFFC000"/>
      </font>
      <fill>
        <patternFill>
          <bgColor theme="5"/>
        </patternFill>
      </fill>
    </dxf>
    <dxf>
      <font>
        <b/>
        <i val="0"/>
        <color theme="0"/>
      </font>
      <fill>
        <patternFill>
          <bgColor theme="8"/>
        </patternFill>
      </fill>
    </dxf>
    <dxf>
      <font>
        <b/>
        <i val="0"/>
        <color theme="0"/>
      </font>
      <fill>
        <patternFill>
          <bgColor theme="8"/>
        </patternFill>
      </fill>
    </dxf>
    <dxf>
      <font>
        <b/>
        <i val="0"/>
        <color rgb="FF9C0006"/>
      </font>
      <fill>
        <patternFill>
          <bgColor theme="5"/>
        </patternFill>
      </fill>
    </dxf>
    <dxf>
      <font>
        <b/>
        <i val="0"/>
        <color theme="0"/>
        <name val="Cambria"/>
        <scheme val="none"/>
      </font>
      <fill>
        <patternFill>
          <bgColor theme="5"/>
        </patternFill>
      </fill>
    </dxf>
    <dxf>
      <font>
        <b/>
        <i val="0"/>
        <color rgb="FFFFC000"/>
      </font>
      <fill>
        <patternFill>
          <bgColor theme="5"/>
        </patternFill>
      </fill>
    </dxf>
    <dxf>
      <font>
        <b/>
        <i val="0"/>
        <color theme="0"/>
      </font>
      <fill>
        <patternFill>
          <bgColor theme="8"/>
        </patternFill>
      </fill>
    </dxf>
    <dxf>
      <font>
        <b/>
        <i val="0"/>
        <color theme="0"/>
      </font>
      <fill>
        <patternFill>
          <bgColor theme="8"/>
        </patternFill>
      </fill>
    </dxf>
    <dxf>
      <font>
        <b/>
        <i val="0"/>
        <color rgb="FF9C0006"/>
      </font>
      <fill>
        <patternFill>
          <bgColor theme="5"/>
        </patternFill>
      </fill>
    </dxf>
    <dxf>
      <font>
        <b/>
        <i val="0"/>
        <color theme="0"/>
        <name val="Cambria"/>
        <scheme val="none"/>
      </font>
      <fill>
        <patternFill>
          <bgColor theme="5"/>
        </patternFill>
      </fill>
    </dxf>
    <dxf>
      <font>
        <b/>
        <i val="0"/>
        <color rgb="FFFFC000"/>
      </font>
      <fill>
        <patternFill>
          <bgColor theme="5"/>
        </patternFill>
      </fill>
    </dxf>
    <dxf>
      <font>
        <b/>
        <i val="0"/>
        <color theme="0"/>
      </font>
      <fill>
        <patternFill>
          <bgColor theme="8"/>
        </patternFill>
      </fill>
    </dxf>
    <dxf>
      <font>
        <b/>
        <i val="0"/>
        <color theme="0"/>
      </font>
      <fill>
        <patternFill>
          <bgColor theme="8"/>
        </patternFill>
      </fill>
    </dxf>
    <dxf>
      <font>
        <b/>
        <i val="0"/>
        <color rgb="FF9C0006"/>
      </font>
      <fill>
        <patternFill>
          <bgColor theme="5"/>
        </patternFill>
      </fill>
    </dxf>
    <dxf>
      <font>
        <b/>
        <i val="0"/>
        <color theme="0"/>
        <name val="Cambria"/>
        <scheme val="none"/>
      </font>
      <fill>
        <patternFill>
          <bgColor theme="5"/>
        </patternFill>
      </fill>
    </dxf>
    <dxf>
      <font>
        <b/>
        <i val="0"/>
        <color rgb="FFFFC000"/>
      </font>
      <fill>
        <patternFill>
          <bgColor theme="5"/>
        </patternFill>
      </fill>
    </dxf>
    <dxf>
      <font>
        <b/>
        <i val="0"/>
        <color theme="0"/>
      </font>
      <fill>
        <patternFill>
          <bgColor theme="8"/>
        </patternFill>
      </fill>
    </dxf>
    <dxf>
      <font>
        <b/>
        <i val="0"/>
        <color theme="0"/>
      </font>
      <fill>
        <patternFill>
          <bgColor theme="8"/>
        </patternFill>
      </fill>
    </dxf>
    <dxf>
      <font>
        <b/>
        <i val="0"/>
        <color rgb="FF9C0006"/>
      </font>
      <fill>
        <patternFill>
          <bgColor theme="5"/>
        </patternFill>
      </fill>
    </dxf>
    <dxf>
      <font>
        <b/>
        <i val="0"/>
        <color theme="0"/>
        <name val="Cambria"/>
        <scheme val="none"/>
      </font>
      <fill>
        <patternFill>
          <bgColor theme="5"/>
        </patternFill>
      </fill>
    </dxf>
    <dxf>
      <font>
        <b/>
        <i val="0"/>
        <color rgb="FFFFC000"/>
      </font>
      <fill>
        <patternFill>
          <bgColor theme="5"/>
        </patternFill>
      </fill>
    </dxf>
    <dxf>
      <font>
        <b/>
        <i val="0"/>
        <color theme="0"/>
      </font>
      <fill>
        <patternFill>
          <bgColor theme="8"/>
        </patternFill>
      </fill>
    </dxf>
    <dxf>
      <font>
        <b/>
        <i val="0"/>
        <color theme="0"/>
      </font>
      <fill>
        <patternFill>
          <bgColor theme="8"/>
        </patternFill>
      </fill>
    </dxf>
    <dxf>
      <font>
        <b/>
        <i val="0"/>
        <color rgb="FF9C0006"/>
      </font>
      <fill>
        <patternFill>
          <bgColor theme="5"/>
        </patternFill>
      </fill>
    </dxf>
    <dxf>
      <font>
        <b/>
        <i val="0"/>
        <color theme="0"/>
        <name val="Cambria"/>
        <scheme val="none"/>
      </font>
      <fill>
        <patternFill>
          <bgColor theme="5"/>
        </patternFill>
      </fill>
    </dxf>
    <dxf>
      <font>
        <b/>
        <i val="0"/>
        <color rgb="FFFFC000"/>
      </font>
      <fill>
        <patternFill>
          <bgColor theme="5"/>
        </patternFill>
      </fill>
    </dxf>
    <dxf>
      <font>
        <b/>
        <i val="0"/>
        <color theme="0"/>
      </font>
      <fill>
        <patternFill>
          <bgColor theme="8"/>
        </patternFill>
      </fill>
    </dxf>
    <dxf>
      <font>
        <b/>
        <i val="0"/>
        <color theme="0"/>
      </font>
      <fill>
        <patternFill>
          <bgColor theme="8"/>
        </patternFill>
      </fill>
    </dxf>
    <dxf>
      <font>
        <b/>
        <i val="0"/>
        <color rgb="FF9C0006"/>
      </font>
      <fill>
        <patternFill>
          <bgColor theme="5"/>
        </patternFill>
      </fill>
    </dxf>
    <dxf>
      <font>
        <b/>
        <i val="0"/>
        <color theme="0"/>
        <name val="Cambria"/>
        <scheme val="none"/>
      </font>
      <fill>
        <patternFill>
          <bgColor theme="5"/>
        </patternFill>
      </fill>
    </dxf>
    <dxf>
      <font>
        <b/>
        <i val="0"/>
        <color rgb="FFFFC000"/>
      </font>
      <fill>
        <patternFill>
          <bgColor theme="5"/>
        </patternFill>
      </fill>
    </dxf>
    <dxf>
      <font>
        <b/>
        <i val="0"/>
        <color theme="0"/>
      </font>
      <fill>
        <patternFill>
          <bgColor theme="8"/>
        </patternFill>
      </fill>
    </dxf>
    <dxf>
      <font>
        <b/>
        <i val="0"/>
        <color theme="0"/>
      </font>
      <fill>
        <patternFill>
          <bgColor theme="8"/>
        </patternFill>
      </fill>
    </dxf>
    <dxf>
      <font>
        <b/>
        <i val="0"/>
        <color rgb="FF9C0006"/>
      </font>
      <fill>
        <patternFill>
          <bgColor theme="5"/>
        </patternFill>
      </fill>
    </dxf>
    <dxf>
      <font>
        <b/>
        <i val="0"/>
        <color theme="0"/>
        <name val="Cambria"/>
        <scheme val="none"/>
      </font>
      <fill>
        <patternFill>
          <bgColor theme="5"/>
        </patternFill>
      </fill>
    </dxf>
    <dxf>
      <font>
        <b/>
        <i val="0"/>
        <color rgb="FFFFC000"/>
      </font>
      <fill>
        <patternFill>
          <bgColor theme="5"/>
        </patternFill>
      </fill>
    </dxf>
    <dxf>
      <font>
        <b/>
        <i val="0"/>
        <color theme="0"/>
      </font>
      <fill>
        <patternFill>
          <bgColor theme="8"/>
        </patternFill>
      </fill>
    </dxf>
    <dxf>
      <font>
        <b/>
        <i val="0"/>
        <color theme="0"/>
      </font>
      <fill>
        <patternFill>
          <bgColor theme="8"/>
        </patternFill>
      </fill>
    </dxf>
    <dxf>
      <font>
        <b/>
        <i val="0"/>
        <color rgb="FF9C0006"/>
      </font>
      <fill>
        <patternFill>
          <bgColor theme="5"/>
        </patternFill>
      </fill>
    </dxf>
    <dxf>
      <font>
        <b/>
        <i val="0"/>
        <color theme="0"/>
        <name val="Cambria"/>
        <scheme val="none"/>
      </font>
      <fill>
        <patternFill>
          <bgColor theme="5"/>
        </patternFill>
      </fill>
    </dxf>
    <dxf>
      <font>
        <b/>
        <i val="0"/>
        <color rgb="FFFFC000"/>
      </font>
      <fill>
        <patternFill>
          <bgColor theme="5"/>
        </patternFill>
      </fill>
    </dxf>
    <dxf>
      <font>
        <b/>
        <i val="0"/>
        <color theme="0"/>
      </font>
      <fill>
        <patternFill>
          <bgColor theme="8"/>
        </patternFill>
      </fill>
    </dxf>
    <dxf>
      <font>
        <b/>
        <i val="0"/>
        <color theme="0"/>
      </font>
      <fill>
        <patternFill>
          <bgColor theme="8"/>
        </patternFill>
      </fill>
    </dxf>
    <dxf>
      <font>
        <b/>
        <i val="0"/>
        <color rgb="FF9C0006"/>
      </font>
      <fill>
        <patternFill>
          <bgColor theme="5"/>
        </patternFill>
      </fill>
    </dxf>
    <dxf>
      <font>
        <b/>
        <i val="0"/>
        <color theme="0"/>
        <name val="Cambria"/>
        <scheme val="none"/>
      </font>
      <fill>
        <patternFill>
          <bgColor theme="5"/>
        </patternFill>
      </fill>
    </dxf>
    <dxf>
      <font>
        <b/>
        <i val="0"/>
        <color rgb="FFFFC000"/>
      </font>
      <fill>
        <patternFill>
          <bgColor theme="5"/>
        </patternFill>
      </fill>
    </dxf>
    <dxf>
      <font>
        <b/>
        <i val="0"/>
        <color theme="0"/>
      </font>
      <fill>
        <patternFill>
          <bgColor theme="8"/>
        </patternFill>
      </fill>
    </dxf>
    <dxf>
      <font>
        <b/>
        <i val="0"/>
        <color theme="0"/>
      </font>
      <fill>
        <patternFill>
          <bgColor theme="8"/>
        </patternFill>
      </fill>
    </dxf>
    <dxf>
      <font>
        <b/>
        <i val="0"/>
        <color rgb="FF9C0006"/>
      </font>
      <fill>
        <patternFill>
          <bgColor theme="5"/>
        </patternFill>
      </fill>
    </dxf>
    <dxf>
      <font>
        <b/>
        <i val="0"/>
        <color theme="0"/>
        <name val="Cambria"/>
        <scheme val="none"/>
      </font>
      <fill>
        <patternFill>
          <bgColor theme="5"/>
        </patternFill>
      </fill>
    </dxf>
    <dxf>
      <font>
        <b/>
        <i val="0"/>
        <color rgb="FFFFC000"/>
      </font>
      <fill>
        <patternFill>
          <bgColor theme="5"/>
        </patternFill>
      </fill>
    </dxf>
    <dxf>
      <font>
        <b/>
        <i val="0"/>
        <color theme="0"/>
      </font>
      <fill>
        <patternFill>
          <bgColor theme="8"/>
        </patternFill>
      </fill>
    </dxf>
    <dxf>
      <font>
        <b/>
        <i val="0"/>
        <color theme="0"/>
      </font>
      <fill>
        <patternFill>
          <bgColor theme="8"/>
        </patternFill>
      </fill>
    </dxf>
    <dxf>
      <font>
        <b/>
        <i val="0"/>
        <color rgb="FF9C0006"/>
      </font>
      <fill>
        <patternFill>
          <bgColor theme="5"/>
        </patternFill>
      </fill>
    </dxf>
    <dxf>
      <font>
        <b/>
        <i val="0"/>
        <color theme="0"/>
        <name val="Cambria"/>
        <scheme val="none"/>
      </font>
      <fill>
        <patternFill>
          <bgColor theme="5"/>
        </patternFill>
      </fill>
    </dxf>
    <dxf>
      <font>
        <b/>
        <i val="0"/>
        <color rgb="FFFFC000"/>
      </font>
      <fill>
        <patternFill>
          <bgColor theme="5"/>
        </patternFill>
      </fill>
    </dxf>
    <dxf>
      <font>
        <b/>
        <i val="0"/>
        <color theme="0"/>
      </font>
      <fill>
        <patternFill>
          <bgColor theme="8"/>
        </patternFill>
      </fill>
    </dxf>
    <dxf>
      <font>
        <b/>
        <i val="0"/>
        <color theme="0"/>
      </font>
      <fill>
        <patternFill>
          <bgColor theme="8"/>
        </patternFill>
      </fill>
    </dxf>
    <dxf>
      <font>
        <b/>
        <i val="0"/>
        <color rgb="FF9C0006"/>
      </font>
      <fill>
        <patternFill>
          <bgColor theme="5"/>
        </patternFill>
      </fill>
    </dxf>
    <dxf>
      <font>
        <b/>
        <i val="0"/>
        <color theme="0"/>
        <name val="Cambria"/>
        <scheme val="none"/>
      </font>
      <fill>
        <patternFill>
          <bgColor theme="5"/>
        </patternFill>
      </fill>
    </dxf>
    <dxf>
      <font>
        <b/>
        <i val="0"/>
        <color rgb="FFFFC000"/>
      </font>
      <fill>
        <patternFill>
          <bgColor theme="5"/>
        </patternFill>
      </fill>
    </dxf>
    <dxf>
      <font>
        <b/>
        <i val="0"/>
        <color theme="0"/>
      </font>
      <fill>
        <patternFill>
          <bgColor theme="8"/>
        </patternFill>
      </fill>
    </dxf>
    <dxf>
      <font>
        <b/>
        <i val="0"/>
        <color theme="0"/>
      </font>
      <fill>
        <patternFill>
          <bgColor theme="8"/>
        </patternFill>
      </fill>
    </dxf>
    <dxf>
      <font>
        <b/>
        <i val="0"/>
        <color rgb="FF9C0006"/>
      </font>
      <fill>
        <patternFill>
          <bgColor theme="5"/>
        </patternFill>
      </fill>
    </dxf>
    <dxf>
      <font>
        <b/>
        <i val="0"/>
        <color theme="0"/>
        <name val="Cambria"/>
        <scheme val="none"/>
      </font>
      <fill>
        <patternFill>
          <bgColor theme="5"/>
        </patternFill>
      </fill>
    </dxf>
    <dxf>
      <font>
        <b/>
        <i val="0"/>
        <color rgb="FFFFC000"/>
      </font>
      <fill>
        <patternFill>
          <bgColor theme="5"/>
        </patternFill>
      </fill>
    </dxf>
    <dxf>
      <font>
        <b/>
        <i val="0"/>
        <color theme="0"/>
      </font>
      <fill>
        <patternFill>
          <bgColor theme="8"/>
        </patternFill>
      </fill>
    </dxf>
    <dxf>
      <font>
        <b/>
        <i val="0"/>
        <color theme="0"/>
      </font>
      <fill>
        <patternFill>
          <bgColor theme="8"/>
        </patternFill>
      </fill>
    </dxf>
    <dxf>
      <font>
        <b/>
        <i val="0"/>
        <color rgb="FF9C0006"/>
      </font>
      <fill>
        <patternFill>
          <bgColor theme="5"/>
        </patternFill>
      </fill>
    </dxf>
    <dxf>
      <font>
        <b/>
        <i val="0"/>
        <color theme="0"/>
        <name val="Cambria"/>
        <scheme val="none"/>
      </font>
      <fill>
        <patternFill>
          <bgColor theme="5"/>
        </patternFill>
      </fill>
    </dxf>
    <dxf>
      <font>
        <b/>
        <i val="0"/>
        <color rgb="FFFFC000"/>
      </font>
      <fill>
        <patternFill>
          <bgColor theme="5"/>
        </patternFill>
      </fill>
    </dxf>
    <dxf>
      <font>
        <b/>
        <i val="0"/>
        <color theme="0"/>
      </font>
      <fill>
        <patternFill>
          <bgColor theme="8"/>
        </patternFill>
      </fill>
    </dxf>
    <dxf>
      <font>
        <b/>
        <i val="0"/>
        <color theme="0"/>
      </font>
      <fill>
        <patternFill>
          <bgColor theme="8"/>
        </patternFill>
      </fill>
    </dxf>
    <dxf>
      <font>
        <b/>
        <i val="0"/>
        <color rgb="FF9C0006"/>
      </font>
      <fill>
        <patternFill>
          <bgColor theme="5"/>
        </patternFill>
      </fill>
    </dxf>
    <dxf>
      <font>
        <b/>
        <i val="0"/>
        <color theme="0"/>
        <name val="Cambria"/>
        <scheme val="none"/>
      </font>
      <fill>
        <patternFill>
          <bgColor theme="5"/>
        </patternFill>
      </fill>
    </dxf>
    <dxf>
      <font>
        <b/>
        <i val="0"/>
        <color rgb="FFFFC000"/>
      </font>
      <fill>
        <patternFill>
          <bgColor theme="5"/>
        </patternFill>
      </fill>
    </dxf>
    <dxf>
      <font>
        <b/>
        <i val="0"/>
        <color theme="0"/>
      </font>
      <fill>
        <patternFill>
          <bgColor theme="8"/>
        </patternFill>
      </fill>
    </dxf>
    <dxf>
      <font>
        <b/>
        <i val="0"/>
        <color theme="0"/>
      </font>
      <fill>
        <patternFill>
          <bgColor theme="8"/>
        </patternFill>
      </fill>
    </dxf>
    <dxf>
      <font>
        <b/>
        <i val="0"/>
        <color rgb="FF9C0006"/>
      </font>
      <fill>
        <patternFill>
          <bgColor theme="5"/>
        </patternFill>
      </fill>
    </dxf>
    <dxf>
      <font>
        <b/>
        <i val="0"/>
        <color theme="0"/>
        <name val="Cambria"/>
        <scheme val="none"/>
      </font>
      <fill>
        <patternFill>
          <bgColor theme="5"/>
        </patternFill>
      </fill>
    </dxf>
    <dxf>
      <font>
        <b/>
        <i val="0"/>
        <color rgb="FFFFC000"/>
      </font>
      <fill>
        <patternFill>
          <bgColor theme="5"/>
        </patternFill>
      </fill>
    </dxf>
    <dxf>
      <font>
        <b/>
        <i val="0"/>
        <color theme="0"/>
      </font>
      <fill>
        <patternFill>
          <bgColor theme="8"/>
        </patternFill>
      </fill>
    </dxf>
    <dxf>
      <font>
        <b/>
        <i val="0"/>
        <color theme="0"/>
      </font>
      <fill>
        <patternFill>
          <bgColor theme="8"/>
        </patternFill>
      </fill>
    </dxf>
    <dxf>
      <font>
        <b/>
        <i val="0"/>
        <color rgb="FF9C0006"/>
      </font>
      <fill>
        <patternFill>
          <bgColor theme="5"/>
        </patternFill>
      </fill>
    </dxf>
    <dxf>
      <font>
        <b/>
        <i val="0"/>
        <color theme="0"/>
        <name val="Cambria"/>
        <scheme val="none"/>
      </font>
      <fill>
        <patternFill>
          <bgColor theme="5"/>
        </patternFill>
      </fill>
    </dxf>
    <dxf>
      <font>
        <b/>
        <i val="0"/>
        <color rgb="FFFFC000"/>
      </font>
      <fill>
        <patternFill>
          <bgColor theme="5"/>
        </patternFill>
      </fill>
    </dxf>
    <dxf>
      <font>
        <b/>
        <i val="0"/>
        <color theme="0"/>
      </font>
      <fill>
        <patternFill>
          <bgColor theme="8"/>
        </patternFill>
      </fill>
    </dxf>
    <dxf>
      <font>
        <b/>
        <i val="0"/>
        <color theme="0"/>
      </font>
      <fill>
        <patternFill>
          <bgColor theme="8"/>
        </patternFill>
      </fill>
    </dxf>
    <dxf>
      <font>
        <b/>
        <i val="0"/>
        <color rgb="FF9C0006"/>
      </font>
      <fill>
        <patternFill>
          <bgColor theme="5"/>
        </patternFill>
      </fill>
    </dxf>
    <dxf>
      <font>
        <b/>
        <i val="0"/>
        <color theme="0"/>
        <name val="Cambria"/>
        <scheme val="none"/>
      </font>
      <fill>
        <patternFill>
          <bgColor theme="5"/>
        </patternFill>
      </fill>
    </dxf>
    <dxf>
      <font>
        <b/>
        <i val="0"/>
        <color rgb="FFFFC000"/>
      </font>
      <fill>
        <patternFill>
          <bgColor theme="5"/>
        </patternFill>
      </fill>
    </dxf>
    <dxf>
      <font>
        <b/>
        <i val="0"/>
        <color theme="0"/>
      </font>
      <fill>
        <patternFill>
          <bgColor theme="8"/>
        </patternFill>
      </fill>
    </dxf>
    <dxf>
      <font>
        <b/>
        <i val="0"/>
        <color theme="0"/>
      </font>
      <fill>
        <patternFill>
          <bgColor theme="8"/>
        </patternFill>
      </fill>
    </dxf>
    <dxf>
      <font>
        <b/>
        <i val="0"/>
        <color rgb="FF9C0006"/>
      </font>
      <fill>
        <patternFill>
          <bgColor theme="5"/>
        </patternFill>
      </fill>
    </dxf>
    <dxf>
      <font>
        <b/>
        <i val="0"/>
        <color theme="0"/>
        <name val="Cambria"/>
        <scheme val="none"/>
      </font>
      <fill>
        <patternFill>
          <bgColor theme="5"/>
        </patternFill>
      </fill>
    </dxf>
    <dxf>
      <font>
        <b/>
        <i val="0"/>
        <color rgb="FFFFC000"/>
      </font>
      <fill>
        <patternFill>
          <bgColor theme="5"/>
        </patternFill>
      </fill>
    </dxf>
    <dxf>
      <font>
        <b/>
        <i val="0"/>
        <color theme="0"/>
      </font>
      <fill>
        <patternFill>
          <bgColor theme="8"/>
        </patternFill>
      </fill>
    </dxf>
    <dxf>
      <font>
        <b/>
        <i val="0"/>
        <color theme="0"/>
      </font>
      <fill>
        <patternFill>
          <bgColor theme="8"/>
        </patternFill>
      </fill>
    </dxf>
    <dxf>
      <font>
        <b/>
        <i val="0"/>
        <color rgb="FF9C0006"/>
      </font>
      <fill>
        <patternFill>
          <bgColor theme="5"/>
        </patternFill>
      </fill>
    </dxf>
    <dxf>
      <font>
        <b/>
        <i val="0"/>
        <color theme="0"/>
        <name val="Cambria"/>
        <scheme val="none"/>
      </font>
      <fill>
        <patternFill>
          <bgColor theme="5"/>
        </patternFill>
      </fill>
    </dxf>
    <dxf>
      <font>
        <b/>
        <i val="0"/>
        <color rgb="FFFFC000"/>
      </font>
      <fill>
        <patternFill>
          <bgColor theme="5"/>
        </patternFill>
      </fill>
    </dxf>
    <dxf>
      <font>
        <b/>
        <i val="0"/>
        <color theme="0"/>
      </font>
      <fill>
        <patternFill>
          <bgColor theme="8"/>
        </patternFill>
      </fill>
    </dxf>
    <dxf>
      <font>
        <b/>
        <i val="0"/>
        <color theme="0"/>
      </font>
      <fill>
        <patternFill>
          <bgColor theme="8"/>
        </patternFill>
      </fill>
    </dxf>
    <dxf>
      <font>
        <b/>
        <i val="0"/>
        <color rgb="FF9C0006"/>
      </font>
      <fill>
        <patternFill>
          <bgColor theme="5"/>
        </patternFill>
      </fill>
    </dxf>
    <dxf>
      <font>
        <b/>
        <i val="0"/>
        <color theme="0"/>
        <name val="Cambria"/>
        <scheme val="none"/>
      </font>
      <fill>
        <patternFill>
          <bgColor theme="5"/>
        </patternFill>
      </fill>
    </dxf>
    <dxf>
      <font>
        <b/>
        <i val="0"/>
        <color rgb="FFFFC000"/>
      </font>
      <fill>
        <patternFill>
          <bgColor theme="5"/>
        </patternFill>
      </fill>
    </dxf>
    <dxf>
      <font>
        <b/>
        <i val="0"/>
        <color theme="0"/>
      </font>
      <fill>
        <patternFill>
          <bgColor theme="8"/>
        </patternFill>
      </fill>
    </dxf>
    <dxf>
      <font>
        <b/>
        <i val="0"/>
        <color theme="0"/>
      </font>
      <fill>
        <patternFill>
          <bgColor theme="8"/>
        </patternFill>
      </fill>
    </dxf>
    <dxf>
      <font>
        <b/>
        <i val="0"/>
        <color rgb="FF9C0006"/>
      </font>
      <fill>
        <patternFill>
          <bgColor theme="5"/>
        </patternFill>
      </fill>
    </dxf>
    <dxf>
      <font>
        <b/>
        <i val="0"/>
        <color theme="0"/>
        <name val="Cambria"/>
        <scheme val="none"/>
      </font>
      <fill>
        <patternFill>
          <bgColor theme="5"/>
        </patternFill>
      </fill>
    </dxf>
    <dxf>
      <font>
        <b/>
        <i val="0"/>
        <color rgb="FFFFC000"/>
      </font>
      <fill>
        <patternFill>
          <bgColor theme="5"/>
        </patternFill>
      </fill>
    </dxf>
    <dxf>
      <font>
        <b/>
        <i val="0"/>
        <color theme="0"/>
      </font>
      <fill>
        <patternFill>
          <bgColor theme="8"/>
        </patternFill>
      </fill>
    </dxf>
    <dxf>
      <font>
        <b/>
        <i val="0"/>
        <color theme="0"/>
      </font>
      <fill>
        <patternFill>
          <bgColor theme="8"/>
        </patternFill>
      </fill>
    </dxf>
    <dxf>
      <font>
        <b/>
        <i val="0"/>
        <color rgb="FF9C0006"/>
      </font>
      <fill>
        <patternFill>
          <bgColor theme="5"/>
        </patternFill>
      </fill>
    </dxf>
    <dxf>
      <font>
        <b/>
        <i val="0"/>
        <color theme="0"/>
        <name val="Cambria"/>
        <scheme val="none"/>
      </font>
      <fill>
        <patternFill>
          <bgColor theme="5"/>
        </patternFill>
      </fill>
    </dxf>
    <dxf>
      <font>
        <b/>
        <i val="0"/>
        <color rgb="FFFFC000"/>
      </font>
      <fill>
        <patternFill>
          <bgColor theme="5"/>
        </patternFill>
      </fill>
    </dxf>
    <dxf>
      <font>
        <b/>
        <i val="0"/>
        <color theme="0"/>
      </font>
      <fill>
        <patternFill>
          <bgColor theme="8"/>
        </patternFill>
      </fill>
    </dxf>
    <dxf>
      <font>
        <b/>
        <i val="0"/>
        <color theme="0"/>
      </font>
      <fill>
        <patternFill>
          <bgColor theme="8"/>
        </patternFill>
      </fill>
    </dxf>
    <dxf>
      <font>
        <b/>
        <i val="0"/>
        <color rgb="FF9C0006"/>
      </font>
      <fill>
        <patternFill>
          <bgColor theme="5"/>
        </patternFill>
      </fill>
    </dxf>
    <dxf>
      <font>
        <b/>
        <i val="0"/>
        <color theme="0"/>
        <name val="Cambria"/>
        <scheme val="none"/>
      </font>
      <fill>
        <patternFill>
          <bgColor theme="5"/>
        </patternFill>
      </fill>
    </dxf>
    <dxf>
      <font>
        <b/>
        <i val="0"/>
        <color rgb="FFFFC000"/>
      </font>
      <fill>
        <patternFill>
          <bgColor theme="5"/>
        </patternFill>
      </fill>
    </dxf>
    <dxf>
      <font>
        <b/>
        <i val="0"/>
        <color theme="0"/>
      </font>
      <fill>
        <patternFill>
          <bgColor theme="8"/>
        </patternFill>
      </fill>
    </dxf>
    <dxf>
      <font>
        <b/>
        <i val="0"/>
        <color theme="0"/>
      </font>
      <fill>
        <patternFill>
          <bgColor theme="8"/>
        </patternFill>
      </fill>
    </dxf>
    <dxf>
      <font>
        <b/>
        <i val="0"/>
        <color rgb="FF9C0006"/>
      </font>
      <fill>
        <patternFill>
          <bgColor theme="5"/>
        </patternFill>
      </fill>
    </dxf>
    <dxf>
      <font>
        <b/>
        <i val="0"/>
        <color theme="0"/>
        <name val="Cambria"/>
        <scheme val="none"/>
      </font>
      <fill>
        <patternFill>
          <bgColor theme="5"/>
        </patternFill>
      </fill>
    </dxf>
    <dxf>
      <font>
        <b/>
        <i val="0"/>
        <color rgb="FFFFC000"/>
      </font>
      <fill>
        <patternFill>
          <bgColor theme="5"/>
        </patternFill>
      </fill>
    </dxf>
    <dxf>
      <font>
        <b/>
        <i val="0"/>
        <color theme="0"/>
      </font>
      <fill>
        <patternFill>
          <bgColor theme="8"/>
        </patternFill>
      </fill>
    </dxf>
    <dxf>
      <font>
        <b/>
        <i val="0"/>
        <color theme="0"/>
      </font>
      <fill>
        <patternFill>
          <bgColor theme="8"/>
        </patternFill>
      </fill>
    </dxf>
    <dxf>
      <font>
        <b/>
        <i val="0"/>
        <color rgb="FF9C0006"/>
      </font>
      <fill>
        <patternFill>
          <bgColor theme="5"/>
        </patternFill>
      </fill>
    </dxf>
    <dxf>
      <font>
        <b/>
        <i val="0"/>
        <color theme="0"/>
        <name val="Cambria"/>
        <scheme val="none"/>
      </font>
      <fill>
        <patternFill>
          <bgColor theme="5"/>
        </patternFill>
      </fill>
    </dxf>
    <dxf>
      <font>
        <b/>
        <i val="0"/>
        <color rgb="FFFFC000"/>
      </font>
      <fill>
        <patternFill>
          <bgColor theme="5"/>
        </patternFill>
      </fill>
    </dxf>
    <dxf>
      <font>
        <b/>
        <i val="0"/>
        <color theme="0"/>
      </font>
      <fill>
        <patternFill>
          <bgColor theme="8"/>
        </patternFill>
      </fill>
    </dxf>
    <dxf>
      <font>
        <b/>
        <i val="0"/>
        <color theme="0"/>
      </font>
      <fill>
        <patternFill>
          <bgColor theme="8"/>
        </patternFill>
      </fill>
    </dxf>
    <dxf>
      <font>
        <b/>
        <i val="0"/>
        <color rgb="FF9C0006"/>
      </font>
      <fill>
        <patternFill>
          <bgColor theme="5"/>
        </patternFill>
      </fill>
    </dxf>
    <dxf>
      <font>
        <b/>
        <i val="0"/>
        <color theme="0"/>
        <name val="Cambria"/>
        <scheme val="none"/>
      </font>
      <fill>
        <patternFill>
          <bgColor theme="5"/>
        </patternFill>
      </fill>
    </dxf>
    <dxf>
      <font>
        <b/>
        <i val="0"/>
        <color rgb="FFFFC000"/>
      </font>
      <fill>
        <patternFill>
          <bgColor theme="5"/>
        </patternFill>
      </fill>
    </dxf>
    <dxf>
      <font>
        <b/>
        <i val="0"/>
        <color theme="0"/>
      </font>
      <fill>
        <patternFill>
          <bgColor theme="8"/>
        </patternFill>
      </fill>
    </dxf>
    <dxf>
      <font>
        <b/>
        <i val="0"/>
        <color theme="0"/>
      </font>
      <fill>
        <patternFill>
          <bgColor theme="8"/>
        </patternFill>
      </fill>
    </dxf>
    <dxf>
      <font>
        <b/>
        <i val="0"/>
        <color rgb="FF9C0006"/>
      </font>
      <fill>
        <patternFill>
          <bgColor theme="5"/>
        </patternFill>
      </fill>
    </dxf>
    <dxf>
      <font>
        <b/>
        <i val="0"/>
        <color theme="0"/>
        <name val="Cambria"/>
        <scheme val="none"/>
      </font>
      <fill>
        <patternFill>
          <bgColor theme="5"/>
        </patternFill>
      </fill>
    </dxf>
    <dxf>
      <font>
        <b/>
        <i val="0"/>
        <color rgb="FFFFC000"/>
      </font>
      <fill>
        <patternFill>
          <bgColor theme="5"/>
        </patternFill>
      </fill>
    </dxf>
    <dxf>
      <font>
        <b/>
        <i val="0"/>
        <color theme="0"/>
      </font>
      <fill>
        <patternFill>
          <bgColor theme="8"/>
        </patternFill>
      </fill>
    </dxf>
    <dxf>
      <font>
        <b/>
        <i val="0"/>
        <color theme="0"/>
      </font>
      <fill>
        <patternFill>
          <bgColor theme="8"/>
        </patternFill>
      </fill>
    </dxf>
    <dxf>
      <font>
        <b/>
        <i val="0"/>
        <color rgb="FF9C0006"/>
      </font>
      <fill>
        <patternFill>
          <bgColor theme="5"/>
        </patternFill>
      </fill>
    </dxf>
    <dxf>
      <font>
        <b/>
        <i val="0"/>
        <color theme="0"/>
        <name val="Cambria"/>
        <scheme val="none"/>
      </font>
      <fill>
        <patternFill>
          <bgColor theme="5"/>
        </patternFill>
      </fill>
    </dxf>
    <dxf>
      <font>
        <b/>
        <i val="0"/>
        <color rgb="FFFFC000"/>
      </font>
      <fill>
        <patternFill>
          <bgColor theme="5"/>
        </patternFill>
      </fill>
    </dxf>
    <dxf>
      <font>
        <b/>
        <i val="0"/>
        <color theme="0"/>
      </font>
      <fill>
        <patternFill>
          <bgColor theme="8"/>
        </patternFill>
      </fill>
    </dxf>
    <dxf>
      <font>
        <b/>
        <i val="0"/>
        <color theme="0"/>
      </font>
      <fill>
        <patternFill>
          <bgColor theme="8"/>
        </patternFill>
      </fill>
    </dxf>
    <dxf>
      <font>
        <b/>
        <i val="0"/>
        <color rgb="FF9C0006"/>
      </font>
      <fill>
        <patternFill>
          <bgColor theme="5"/>
        </patternFill>
      </fill>
    </dxf>
    <dxf>
      <font>
        <b/>
        <i val="0"/>
        <color theme="0"/>
        <name val="Cambria"/>
        <scheme val="none"/>
      </font>
      <fill>
        <patternFill>
          <bgColor theme="5"/>
        </patternFill>
      </fill>
    </dxf>
    <dxf>
      <font>
        <b/>
        <i val="0"/>
        <color rgb="FFFFC000"/>
      </font>
      <fill>
        <patternFill>
          <bgColor theme="5"/>
        </patternFill>
      </fill>
    </dxf>
    <dxf>
      <font>
        <b/>
        <i val="0"/>
        <color theme="0"/>
      </font>
      <fill>
        <patternFill>
          <bgColor theme="8"/>
        </patternFill>
      </fill>
    </dxf>
    <dxf>
      <font>
        <b/>
        <i val="0"/>
        <color theme="0"/>
      </font>
      <fill>
        <patternFill>
          <bgColor theme="8"/>
        </patternFill>
      </fill>
    </dxf>
    <dxf>
      <font>
        <b/>
        <i val="0"/>
        <color rgb="FF9C0006"/>
      </font>
      <fill>
        <patternFill>
          <bgColor theme="5"/>
        </patternFill>
      </fill>
    </dxf>
    <dxf>
      <font>
        <b/>
        <i val="0"/>
        <color theme="0"/>
        <name val="Cambria"/>
        <scheme val="none"/>
      </font>
      <fill>
        <patternFill>
          <bgColor theme="5"/>
        </patternFill>
      </fill>
    </dxf>
    <dxf>
      <font>
        <b/>
        <i val="0"/>
        <color rgb="FFFFC000"/>
      </font>
      <fill>
        <patternFill>
          <bgColor theme="5"/>
        </patternFill>
      </fill>
    </dxf>
    <dxf>
      <font>
        <b/>
        <i val="0"/>
        <color theme="0"/>
      </font>
      <fill>
        <patternFill>
          <bgColor theme="8"/>
        </patternFill>
      </fill>
    </dxf>
    <dxf>
      <font>
        <b/>
        <i val="0"/>
        <color theme="0"/>
      </font>
      <fill>
        <patternFill>
          <bgColor theme="8"/>
        </patternFill>
      </fill>
    </dxf>
    <dxf>
      <font>
        <b/>
        <i val="0"/>
        <color rgb="FF9C0006"/>
      </font>
      <fill>
        <patternFill>
          <bgColor theme="5"/>
        </patternFill>
      </fill>
    </dxf>
    <dxf>
      <font>
        <b/>
        <i val="0"/>
        <color theme="0"/>
        <name val="Cambria"/>
        <scheme val="none"/>
      </font>
      <fill>
        <patternFill>
          <bgColor theme="5"/>
        </patternFill>
      </fill>
    </dxf>
    <dxf>
      <font>
        <b/>
        <i val="0"/>
        <color rgb="FFFFC000"/>
      </font>
      <fill>
        <patternFill>
          <bgColor theme="5"/>
        </patternFill>
      </fill>
    </dxf>
    <dxf>
      <font>
        <b/>
        <i val="0"/>
        <color theme="0"/>
      </font>
      <fill>
        <patternFill>
          <bgColor theme="8"/>
        </patternFill>
      </fill>
    </dxf>
    <dxf>
      <font>
        <b/>
        <i val="0"/>
        <color theme="0"/>
      </font>
      <fill>
        <patternFill>
          <bgColor theme="8"/>
        </patternFill>
      </fill>
    </dxf>
    <dxf>
      <font>
        <b/>
        <i val="0"/>
        <color rgb="FF9C0006"/>
      </font>
      <fill>
        <patternFill>
          <bgColor theme="5"/>
        </patternFill>
      </fill>
    </dxf>
    <dxf>
      <font>
        <b/>
        <i val="0"/>
        <color theme="0"/>
        <name val="Cambria"/>
        <scheme val="none"/>
      </font>
      <fill>
        <patternFill>
          <bgColor theme="5"/>
        </patternFill>
      </fill>
    </dxf>
    <dxf>
      <font>
        <b/>
        <i val="0"/>
        <color rgb="FFFFC000"/>
      </font>
      <fill>
        <patternFill>
          <bgColor theme="5"/>
        </patternFill>
      </fill>
    </dxf>
    <dxf>
      <font>
        <b/>
        <i val="0"/>
        <color theme="0"/>
      </font>
      <fill>
        <patternFill>
          <bgColor theme="8"/>
        </patternFill>
      </fill>
    </dxf>
    <dxf>
      <font>
        <b/>
        <i val="0"/>
        <color theme="0"/>
      </font>
      <fill>
        <patternFill>
          <bgColor theme="8"/>
        </patternFill>
      </fill>
    </dxf>
    <dxf>
      <font>
        <b/>
        <i val="0"/>
        <color rgb="FF9C0006"/>
      </font>
      <fill>
        <patternFill>
          <bgColor theme="5"/>
        </patternFill>
      </fill>
    </dxf>
    <dxf>
      <font>
        <b/>
        <i val="0"/>
        <color theme="0"/>
        <name val="Cambria"/>
        <scheme val="none"/>
      </font>
      <fill>
        <patternFill>
          <bgColor theme="5"/>
        </patternFill>
      </fill>
    </dxf>
    <dxf>
      <font>
        <b/>
        <i val="0"/>
        <color rgb="FFFFC000"/>
      </font>
      <fill>
        <patternFill>
          <bgColor theme="5"/>
        </patternFill>
      </fill>
    </dxf>
    <dxf>
      <font>
        <b/>
        <i val="0"/>
        <color theme="0"/>
      </font>
      <fill>
        <patternFill>
          <bgColor theme="8"/>
        </patternFill>
      </fill>
    </dxf>
    <dxf>
      <font>
        <b/>
        <i val="0"/>
        <color theme="0"/>
      </font>
      <fill>
        <patternFill>
          <bgColor theme="8"/>
        </patternFill>
      </fill>
    </dxf>
    <dxf>
      <font>
        <b/>
        <i val="0"/>
        <color rgb="FF9C0006"/>
      </font>
      <fill>
        <patternFill>
          <bgColor theme="5"/>
        </patternFill>
      </fill>
    </dxf>
    <dxf>
      <font>
        <b/>
        <i val="0"/>
        <color theme="0"/>
        <name val="Cambria"/>
        <scheme val="none"/>
      </font>
      <fill>
        <patternFill>
          <bgColor theme="5"/>
        </patternFill>
      </fill>
    </dxf>
    <dxf>
      <font>
        <b/>
        <i val="0"/>
        <color rgb="FFFFC000"/>
      </font>
      <fill>
        <patternFill>
          <bgColor theme="5"/>
        </patternFill>
      </fill>
    </dxf>
    <dxf>
      <font>
        <b/>
        <i val="0"/>
        <color theme="0"/>
      </font>
      <fill>
        <patternFill>
          <bgColor theme="8"/>
        </patternFill>
      </fill>
    </dxf>
    <dxf>
      <font>
        <b/>
        <i val="0"/>
        <color theme="0"/>
      </font>
      <fill>
        <patternFill>
          <bgColor theme="8"/>
        </patternFill>
      </fill>
    </dxf>
    <dxf>
      <font>
        <b/>
        <i val="0"/>
        <color rgb="FF9C0006"/>
      </font>
      <fill>
        <patternFill>
          <bgColor theme="5"/>
        </patternFill>
      </fill>
    </dxf>
    <dxf>
      <font>
        <b/>
        <i val="0"/>
        <color theme="0"/>
        <name val="Cambria"/>
        <scheme val="none"/>
      </font>
      <fill>
        <patternFill>
          <bgColor theme="5"/>
        </patternFill>
      </fill>
    </dxf>
    <dxf>
      <font>
        <b/>
        <i val="0"/>
        <color rgb="FFFFC000"/>
      </font>
      <fill>
        <patternFill>
          <bgColor theme="5"/>
        </patternFill>
      </fill>
    </dxf>
    <dxf>
      <font>
        <b/>
        <i val="0"/>
        <color theme="0"/>
      </font>
      <fill>
        <patternFill>
          <bgColor theme="8"/>
        </patternFill>
      </fill>
    </dxf>
    <dxf>
      <font>
        <b/>
        <i val="0"/>
        <color theme="0"/>
      </font>
      <fill>
        <patternFill>
          <bgColor theme="8"/>
        </patternFill>
      </fill>
    </dxf>
    <dxf>
      <font>
        <b/>
        <i val="0"/>
        <color rgb="FF9C0006"/>
      </font>
      <fill>
        <patternFill>
          <bgColor theme="5"/>
        </patternFill>
      </fill>
    </dxf>
    <dxf>
      <font>
        <b/>
        <i val="0"/>
        <color theme="0"/>
        <name val="Cambria"/>
        <scheme val="none"/>
      </font>
      <fill>
        <patternFill>
          <bgColor theme="5"/>
        </patternFill>
      </fill>
    </dxf>
    <dxf>
      <font>
        <b/>
        <i val="0"/>
        <color rgb="FFFFC000"/>
      </font>
      <fill>
        <patternFill>
          <bgColor theme="5"/>
        </patternFill>
      </fill>
    </dxf>
    <dxf>
      <font>
        <b/>
        <i val="0"/>
        <color theme="0"/>
      </font>
      <fill>
        <patternFill>
          <bgColor theme="8"/>
        </patternFill>
      </fill>
    </dxf>
    <dxf>
      <font>
        <b/>
        <i val="0"/>
        <color theme="0"/>
      </font>
      <fill>
        <patternFill>
          <bgColor theme="8"/>
        </patternFill>
      </fill>
    </dxf>
    <dxf>
      <font>
        <b/>
        <i val="0"/>
        <color rgb="FF9C0006"/>
      </font>
      <fill>
        <patternFill>
          <bgColor theme="5"/>
        </patternFill>
      </fill>
    </dxf>
    <dxf>
      <font>
        <b/>
        <i val="0"/>
        <color theme="0"/>
        <name val="Cambria"/>
        <scheme val="none"/>
      </font>
      <fill>
        <patternFill>
          <bgColor theme="5"/>
        </patternFill>
      </fill>
    </dxf>
    <dxf>
      <font>
        <b/>
        <i val="0"/>
        <color rgb="FFFFC000"/>
      </font>
      <fill>
        <patternFill>
          <bgColor theme="5"/>
        </patternFill>
      </fill>
    </dxf>
    <dxf>
      <font>
        <b/>
        <i val="0"/>
        <color theme="0"/>
      </font>
      <fill>
        <patternFill>
          <bgColor theme="8"/>
        </patternFill>
      </fill>
    </dxf>
    <dxf>
      <font>
        <b/>
        <i val="0"/>
        <color theme="0"/>
      </font>
      <fill>
        <patternFill>
          <bgColor theme="8"/>
        </patternFill>
      </fill>
    </dxf>
    <dxf>
      <font>
        <b/>
        <i val="0"/>
        <color rgb="FF9C0006"/>
      </font>
      <fill>
        <patternFill>
          <bgColor theme="5"/>
        </patternFill>
      </fill>
    </dxf>
    <dxf>
      <font>
        <b/>
        <i val="0"/>
        <color theme="0"/>
        <name val="Cambria"/>
        <scheme val="none"/>
      </font>
      <fill>
        <patternFill>
          <bgColor theme="5"/>
        </patternFill>
      </fill>
    </dxf>
    <dxf>
      <font>
        <b/>
        <i val="0"/>
        <color rgb="FFFFC000"/>
      </font>
      <fill>
        <patternFill>
          <bgColor theme="5"/>
        </patternFill>
      </fill>
    </dxf>
    <dxf>
      <font>
        <b/>
        <i val="0"/>
        <color theme="0"/>
      </font>
      <fill>
        <patternFill>
          <bgColor theme="8"/>
        </patternFill>
      </fill>
    </dxf>
    <dxf>
      <font>
        <b/>
        <i val="0"/>
        <color theme="0"/>
      </font>
      <fill>
        <patternFill>
          <bgColor theme="8"/>
        </patternFill>
      </fill>
    </dxf>
    <dxf>
      <font>
        <b/>
        <i val="0"/>
        <color rgb="FF9C0006"/>
      </font>
      <fill>
        <patternFill>
          <bgColor theme="5"/>
        </patternFill>
      </fill>
    </dxf>
    <dxf>
      <font>
        <b/>
        <i val="0"/>
        <color theme="0"/>
        <name val="Cambria"/>
        <scheme val="none"/>
      </font>
      <fill>
        <patternFill>
          <bgColor theme="5"/>
        </patternFill>
      </fill>
    </dxf>
    <dxf>
      <font>
        <b/>
        <i val="0"/>
        <color rgb="FFFFC000"/>
      </font>
      <fill>
        <patternFill>
          <bgColor theme="5"/>
        </patternFill>
      </fill>
    </dxf>
    <dxf>
      <font>
        <b/>
        <i val="0"/>
        <color theme="0"/>
      </font>
      <fill>
        <patternFill>
          <bgColor theme="8"/>
        </patternFill>
      </fill>
    </dxf>
    <dxf>
      <font>
        <b/>
        <i val="0"/>
        <color theme="0"/>
      </font>
      <fill>
        <patternFill>
          <bgColor theme="8"/>
        </patternFill>
      </fill>
    </dxf>
    <dxf>
      <font>
        <b/>
        <i val="0"/>
        <color rgb="FF9C0006"/>
      </font>
      <fill>
        <patternFill>
          <bgColor theme="5"/>
        </patternFill>
      </fill>
    </dxf>
    <dxf>
      <font>
        <b/>
        <i val="0"/>
        <color theme="0"/>
        <name val="Cambria"/>
        <scheme val="none"/>
      </font>
      <fill>
        <patternFill>
          <bgColor theme="5"/>
        </patternFill>
      </fill>
    </dxf>
    <dxf>
      <font>
        <b/>
        <i val="0"/>
        <color rgb="FFFFC000"/>
      </font>
      <fill>
        <patternFill>
          <bgColor theme="5"/>
        </patternFill>
      </fill>
    </dxf>
    <dxf>
      <font>
        <b/>
        <i val="0"/>
        <color theme="0"/>
      </font>
      <fill>
        <patternFill>
          <bgColor theme="8"/>
        </patternFill>
      </fill>
    </dxf>
    <dxf>
      <font>
        <b/>
        <i val="0"/>
        <color theme="0"/>
      </font>
      <fill>
        <patternFill>
          <bgColor theme="8"/>
        </patternFill>
      </fill>
    </dxf>
    <dxf>
      <font>
        <b/>
        <i val="0"/>
        <color rgb="FF9C0006"/>
      </font>
      <fill>
        <patternFill>
          <bgColor theme="5"/>
        </patternFill>
      </fill>
    </dxf>
    <dxf>
      <font>
        <b/>
        <i val="0"/>
        <color theme="0"/>
        <name val="Cambria"/>
        <scheme val="none"/>
      </font>
      <fill>
        <patternFill>
          <bgColor theme="5"/>
        </patternFill>
      </fill>
    </dxf>
    <dxf>
      <font>
        <b/>
        <i val="0"/>
        <color rgb="FFFFC000"/>
      </font>
      <fill>
        <patternFill>
          <bgColor theme="5"/>
        </patternFill>
      </fill>
    </dxf>
    <dxf>
      <font>
        <b/>
        <i val="0"/>
        <color theme="0"/>
      </font>
      <fill>
        <patternFill>
          <bgColor theme="8"/>
        </patternFill>
      </fill>
    </dxf>
    <dxf>
      <font>
        <b/>
        <i val="0"/>
        <color theme="0"/>
      </font>
      <fill>
        <patternFill>
          <bgColor theme="8"/>
        </patternFill>
      </fill>
    </dxf>
    <dxf>
      <font>
        <b/>
        <i val="0"/>
        <color rgb="FF9C0006"/>
      </font>
      <fill>
        <patternFill>
          <bgColor theme="5"/>
        </patternFill>
      </fill>
    </dxf>
    <dxf>
      <font>
        <b/>
        <i val="0"/>
        <color theme="0"/>
        <name val="Cambria"/>
        <scheme val="none"/>
      </font>
      <fill>
        <patternFill>
          <bgColor theme="5"/>
        </patternFill>
      </fill>
    </dxf>
    <dxf>
      <font>
        <b/>
        <i val="0"/>
        <color rgb="FFFFC000"/>
      </font>
      <fill>
        <patternFill>
          <bgColor theme="5"/>
        </patternFill>
      </fill>
    </dxf>
    <dxf>
      <font>
        <b/>
        <i val="0"/>
        <color theme="0"/>
      </font>
      <fill>
        <patternFill>
          <bgColor theme="8"/>
        </patternFill>
      </fill>
    </dxf>
    <dxf>
      <font>
        <b/>
        <i val="0"/>
        <color theme="0"/>
      </font>
      <fill>
        <patternFill>
          <bgColor theme="8"/>
        </patternFill>
      </fill>
    </dxf>
    <dxf>
      <font>
        <b/>
        <i val="0"/>
        <color rgb="FF9C0006"/>
      </font>
      <fill>
        <patternFill>
          <bgColor theme="5"/>
        </patternFill>
      </fill>
    </dxf>
    <dxf>
      <font>
        <b/>
        <i val="0"/>
        <color theme="0"/>
        <name val="Cambria"/>
        <scheme val="none"/>
      </font>
      <fill>
        <patternFill>
          <bgColor theme="5"/>
        </patternFill>
      </fill>
    </dxf>
    <dxf>
      <font>
        <b/>
        <i val="0"/>
        <color rgb="FFFFC000"/>
      </font>
      <fill>
        <patternFill>
          <bgColor theme="5"/>
        </patternFill>
      </fill>
    </dxf>
    <dxf>
      <font>
        <b/>
        <i val="0"/>
        <color theme="0"/>
      </font>
      <fill>
        <patternFill>
          <bgColor theme="8"/>
        </patternFill>
      </fill>
    </dxf>
    <dxf>
      <font>
        <b/>
        <i val="0"/>
        <color theme="0"/>
      </font>
      <fill>
        <patternFill>
          <bgColor theme="8"/>
        </patternFill>
      </fill>
    </dxf>
    <dxf>
      <font>
        <b/>
        <i val="0"/>
        <color rgb="FF9C0006"/>
      </font>
      <fill>
        <patternFill>
          <bgColor theme="5"/>
        </patternFill>
      </fill>
    </dxf>
    <dxf>
      <font>
        <b/>
        <i val="0"/>
        <color theme="0"/>
        <name val="Cambria"/>
        <scheme val="none"/>
      </font>
      <fill>
        <patternFill>
          <bgColor theme="5"/>
        </patternFill>
      </fill>
    </dxf>
    <dxf>
      <font>
        <b/>
        <i val="0"/>
        <color rgb="FFFFC000"/>
      </font>
      <fill>
        <patternFill>
          <bgColor theme="5"/>
        </patternFill>
      </fill>
    </dxf>
    <dxf>
      <font>
        <b/>
        <i val="0"/>
        <color theme="0"/>
      </font>
      <fill>
        <patternFill>
          <bgColor theme="8"/>
        </patternFill>
      </fill>
    </dxf>
    <dxf>
      <font>
        <b/>
        <i val="0"/>
        <color theme="0"/>
      </font>
      <fill>
        <patternFill>
          <bgColor theme="8"/>
        </patternFill>
      </fill>
    </dxf>
    <dxf>
      <font>
        <b/>
        <i val="0"/>
        <color rgb="FF9C0006"/>
      </font>
      <fill>
        <patternFill>
          <bgColor theme="5"/>
        </patternFill>
      </fill>
    </dxf>
    <dxf>
      <font>
        <b/>
        <i val="0"/>
        <color theme="0"/>
        <name val="Cambria"/>
        <scheme val="none"/>
      </font>
      <fill>
        <patternFill>
          <bgColor theme="5"/>
        </patternFill>
      </fill>
    </dxf>
    <dxf>
      <font>
        <b/>
        <i val="0"/>
        <color rgb="FFFFC000"/>
      </font>
      <fill>
        <patternFill>
          <bgColor theme="5"/>
        </patternFill>
      </fill>
    </dxf>
    <dxf>
      <font>
        <b/>
        <i val="0"/>
        <color theme="0"/>
      </font>
      <fill>
        <patternFill>
          <bgColor theme="8"/>
        </patternFill>
      </fill>
    </dxf>
    <dxf>
      <font>
        <b/>
        <i val="0"/>
        <color theme="0"/>
      </font>
      <fill>
        <patternFill>
          <bgColor theme="8"/>
        </patternFill>
      </fill>
    </dxf>
    <dxf>
      <font>
        <b/>
        <i val="0"/>
        <color rgb="FF9C0006"/>
      </font>
      <fill>
        <patternFill>
          <bgColor theme="5"/>
        </patternFill>
      </fill>
    </dxf>
    <dxf>
      <font>
        <b/>
        <i val="0"/>
        <color theme="0"/>
        <name val="Cambria"/>
        <scheme val="none"/>
      </font>
      <fill>
        <patternFill>
          <bgColor theme="5"/>
        </patternFill>
      </fill>
    </dxf>
    <dxf>
      <font>
        <b/>
        <i val="0"/>
        <color rgb="FFFFC000"/>
      </font>
      <fill>
        <patternFill>
          <bgColor theme="5"/>
        </patternFill>
      </fill>
    </dxf>
    <dxf>
      <font>
        <b/>
        <i val="0"/>
        <color theme="0"/>
      </font>
      <fill>
        <patternFill>
          <bgColor theme="8"/>
        </patternFill>
      </fill>
    </dxf>
    <dxf>
      <font>
        <b/>
        <i val="0"/>
        <color theme="0"/>
      </font>
      <fill>
        <patternFill>
          <bgColor theme="8"/>
        </patternFill>
      </fill>
    </dxf>
    <dxf>
      <font>
        <b/>
        <i val="0"/>
        <color rgb="FF9C0006"/>
      </font>
      <fill>
        <patternFill>
          <bgColor theme="5"/>
        </patternFill>
      </fill>
    </dxf>
    <dxf>
      <font>
        <b/>
        <i val="0"/>
        <color theme="0"/>
        <name val="Cambria"/>
        <scheme val="none"/>
      </font>
      <fill>
        <patternFill>
          <bgColor theme="5"/>
        </patternFill>
      </fill>
    </dxf>
    <dxf>
      <font>
        <b/>
        <i val="0"/>
        <color rgb="FFFFC000"/>
      </font>
      <fill>
        <patternFill>
          <bgColor theme="5"/>
        </patternFill>
      </fill>
    </dxf>
    <dxf>
      <font>
        <b/>
        <i val="0"/>
        <color theme="0"/>
      </font>
      <fill>
        <patternFill>
          <bgColor theme="8"/>
        </patternFill>
      </fill>
    </dxf>
    <dxf>
      <font>
        <b/>
        <i val="0"/>
        <color theme="0"/>
      </font>
      <fill>
        <patternFill>
          <bgColor theme="8"/>
        </patternFill>
      </fill>
    </dxf>
    <dxf>
      <font>
        <b/>
        <i val="0"/>
        <color rgb="FF9C0006"/>
      </font>
      <fill>
        <patternFill>
          <bgColor theme="5"/>
        </patternFill>
      </fill>
    </dxf>
    <dxf>
      <font>
        <b/>
        <i val="0"/>
        <color theme="0"/>
        <name val="Cambria"/>
        <scheme val="none"/>
      </font>
      <fill>
        <patternFill>
          <bgColor theme="5"/>
        </patternFill>
      </fill>
    </dxf>
    <dxf>
      <font>
        <b/>
        <i val="0"/>
        <color rgb="FFFFC000"/>
      </font>
      <fill>
        <patternFill>
          <bgColor theme="5"/>
        </patternFill>
      </fill>
    </dxf>
    <dxf>
      <font>
        <b/>
        <i val="0"/>
        <color theme="0"/>
      </font>
      <fill>
        <patternFill>
          <bgColor theme="8"/>
        </patternFill>
      </fill>
    </dxf>
    <dxf>
      <font>
        <b/>
        <i val="0"/>
        <color theme="0"/>
      </font>
      <fill>
        <patternFill>
          <bgColor theme="8"/>
        </patternFill>
      </fill>
    </dxf>
    <dxf>
      <font>
        <b/>
        <i val="0"/>
        <color rgb="FF9C0006"/>
      </font>
      <fill>
        <patternFill>
          <bgColor theme="5"/>
        </patternFill>
      </fill>
    </dxf>
    <dxf>
      <font>
        <b/>
        <i val="0"/>
        <color theme="0"/>
        <name val="Cambria"/>
        <scheme val="none"/>
      </font>
      <fill>
        <patternFill>
          <bgColor theme="5"/>
        </patternFill>
      </fill>
    </dxf>
    <dxf>
      <font>
        <b/>
        <i val="0"/>
        <color rgb="FFFFC000"/>
      </font>
      <fill>
        <patternFill>
          <bgColor theme="5"/>
        </patternFill>
      </fill>
    </dxf>
    <dxf>
      <font>
        <b/>
        <i val="0"/>
        <color theme="0"/>
      </font>
      <fill>
        <patternFill>
          <bgColor theme="8"/>
        </patternFill>
      </fill>
    </dxf>
    <dxf>
      <font>
        <b/>
        <i val="0"/>
        <color theme="0"/>
      </font>
      <fill>
        <patternFill>
          <bgColor theme="8"/>
        </patternFill>
      </fill>
    </dxf>
    <dxf>
      <font>
        <b/>
        <i val="0"/>
        <color rgb="FF9C0006"/>
      </font>
      <fill>
        <patternFill>
          <bgColor theme="5"/>
        </patternFill>
      </fill>
    </dxf>
    <dxf>
      <font>
        <b/>
        <i val="0"/>
        <color theme="0"/>
        <name val="Cambria"/>
        <scheme val="none"/>
      </font>
      <fill>
        <patternFill>
          <bgColor theme="5"/>
        </patternFill>
      </fill>
    </dxf>
    <dxf>
      <font>
        <b/>
        <i val="0"/>
        <color rgb="FFFFC000"/>
      </font>
      <fill>
        <patternFill>
          <bgColor theme="5"/>
        </patternFill>
      </fill>
    </dxf>
    <dxf>
      <font>
        <b/>
        <i val="0"/>
        <color theme="0"/>
      </font>
      <fill>
        <patternFill>
          <bgColor theme="8"/>
        </patternFill>
      </fill>
    </dxf>
    <dxf>
      <font>
        <b/>
        <i val="0"/>
        <color theme="0"/>
      </font>
      <fill>
        <patternFill>
          <bgColor theme="8"/>
        </patternFill>
      </fill>
    </dxf>
    <dxf>
      <font>
        <b/>
        <i val="0"/>
        <color rgb="FF9C0006"/>
      </font>
      <fill>
        <patternFill>
          <bgColor theme="5"/>
        </patternFill>
      </fill>
    </dxf>
    <dxf>
      <font>
        <b/>
        <i val="0"/>
        <color theme="0"/>
        <name val="Cambria"/>
        <scheme val="none"/>
      </font>
      <fill>
        <patternFill>
          <bgColor theme="5"/>
        </patternFill>
      </fill>
    </dxf>
    <dxf>
      <font>
        <b/>
        <i val="0"/>
        <color rgb="FFFFC000"/>
      </font>
      <fill>
        <patternFill>
          <bgColor theme="5"/>
        </patternFill>
      </fill>
    </dxf>
    <dxf>
      <font>
        <b/>
        <i val="0"/>
        <color theme="0"/>
      </font>
      <fill>
        <patternFill>
          <bgColor theme="8"/>
        </patternFill>
      </fill>
    </dxf>
    <dxf>
      <font>
        <b/>
        <i val="0"/>
        <color theme="0"/>
      </font>
      <fill>
        <patternFill>
          <bgColor theme="8"/>
        </patternFill>
      </fill>
    </dxf>
    <dxf>
      <font>
        <b/>
        <i val="0"/>
        <color rgb="FF9C0006"/>
      </font>
      <fill>
        <patternFill>
          <bgColor theme="5"/>
        </patternFill>
      </fill>
    </dxf>
    <dxf>
      <font>
        <b/>
        <i val="0"/>
        <color theme="0"/>
        <name val="Cambria"/>
        <scheme val="none"/>
      </font>
      <fill>
        <patternFill>
          <bgColor theme="5"/>
        </patternFill>
      </fill>
    </dxf>
    <dxf>
      <font>
        <b/>
        <i val="0"/>
        <color rgb="FFFFC000"/>
      </font>
      <fill>
        <patternFill>
          <bgColor theme="5"/>
        </patternFill>
      </fill>
    </dxf>
    <dxf>
      <font>
        <b/>
        <i val="0"/>
        <color theme="0"/>
      </font>
      <fill>
        <patternFill>
          <bgColor theme="8"/>
        </patternFill>
      </fill>
    </dxf>
    <dxf>
      <font>
        <b/>
        <i val="0"/>
        <color theme="0"/>
      </font>
      <fill>
        <patternFill>
          <bgColor theme="8"/>
        </patternFill>
      </fill>
    </dxf>
    <dxf>
      <font>
        <b/>
        <i val="0"/>
        <color rgb="FF9C0006"/>
      </font>
      <fill>
        <patternFill>
          <bgColor theme="5"/>
        </patternFill>
      </fill>
    </dxf>
    <dxf>
      <font>
        <b/>
        <i val="0"/>
        <color theme="0"/>
        <name val="Cambria"/>
        <scheme val="none"/>
      </font>
      <fill>
        <patternFill>
          <bgColor theme="5"/>
        </patternFill>
      </fill>
    </dxf>
    <dxf>
      <font>
        <b/>
        <i val="0"/>
        <color rgb="FFFFC000"/>
      </font>
      <fill>
        <patternFill>
          <bgColor theme="5"/>
        </patternFill>
      </fill>
    </dxf>
    <dxf>
      <font>
        <b/>
        <i val="0"/>
        <color theme="0"/>
      </font>
      <fill>
        <patternFill>
          <bgColor theme="8"/>
        </patternFill>
      </fill>
    </dxf>
    <dxf>
      <font>
        <b/>
        <i val="0"/>
        <color theme="0"/>
      </font>
      <fill>
        <patternFill>
          <bgColor theme="8"/>
        </patternFill>
      </fill>
    </dxf>
  </dxfs>
  <tableStyles count="0" defaultTableStyle="TableStyleMedium2" defaultPivotStyle="PivotStyleLight16"/>
  <colors>
    <mruColors>
      <color rgb="FFFF9933"/>
      <color rgb="FF9999FF"/>
      <color rgb="FF66FF99"/>
      <color rgb="FF9966FF"/>
      <color rgb="FF9933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819150</xdr:colOff>
          <xdr:row>1</xdr:row>
          <xdr:rowOff>0</xdr:rowOff>
        </xdr:from>
        <xdr:to>
          <xdr:col>5</xdr:col>
          <xdr:colOff>57150</xdr:colOff>
          <xdr:row>4</xdr:row>
          <xdr:rowOff>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2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MX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enviar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3.bin"/><Relationship Id="rId2" Type="http://schemas.openxmlformats.org/officeDocument/2006/relationships/printerSettings" Target="../printerSettings/printerSettings2.bin"/><Relationship Id="rId1" Type="http://schemas.openxmlformats.org/officeDocument/2006/relationships/printerSettings" Target="../printerSettings/printerSettings1.bin"/><Relationship Id="rId5" Type="http://schemas.openxmlformats.org/officeDocument/2006/relationships/printerSettings" Target="../printerSettings/printerSettings5.bin"/><Relationship Id="rId4" Type="http://schemas.openxmlformats.org/officeDocument/2006/relationships/printerSettings" Target="../printerSettings/printerSettings4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8.bin"/><Relationship Id="rId2" Type="http://schemas.openxmlformats.org/officeDocument/2006/relationships/printerSettings" Target="../printerSettings/printerSettings7.bin"/><Relationship Id="rId1" Type="http://schemas.openxmlformats.org/officeDocument/2006/relationships/printerSettings" Target="../printerSettings/printerSettings6.bin"/><Relationship Id="rId5" Type="http://schemas.openxmlformats.org/officeDocument/2006/relationships/printerSettings" Target="../printerSettings/printerSettings10.bin"/><Relationship Id="rId4" Type="http://schemas.openxmlformats.org/officeDocument/2006/relationships/printerSettings" Target="../printerSettings/printerSettings9.bin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.xml"/><Relationship Id="rId3" Type="http://schemas.openxmlformats.org/officeDocument/2006/relationships/printerSettings" Target="../printerSettings/printerSettings13.bin"/><Relationship Id="rId7" Type="http://schemas.openxmlformats.org/officeDocument/2006/relationships/vmlDrawing" Target="../drawings/vmlDrawing1.vml"/><Relationship Id="rId2" Type="http://schemas.openxmlformats.org/officeDocument/2006/relationships/printerSettings" Target="../printerSettings/printerSettings12.bin"/><Relationship Id="rId1" Type="http://schemas.openxmlformats.org/officeDocument/2006/relationships/printerSettings" Target="../printerSettings/printerSettings11.bin"/><Relationship Id="rId6" Type="http://schemas.openxmlformats.org/officeDocument/2006/relationships/drawing" Target="../drawings/drawing1.xml"/><Relationship Id="rId5" Type="http://schemas.openxmlformats.org/officeDocument/2006/relationships/printerSettings" Target="../printerSettings/printerSettings15.bin"/><Relationship Id="rId4" Type="http://schemas.openxmlformats.org/officeDocument/2006/relationships/printerSettings" Target="../printerSettings/printerSettings14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9.bin"/><Relationship Id="rId2" Type="http://schemas.openxmlformats.org/officeDocument/2006/relationships/printerSettings" Target="../printerSettings/printerSettings18.bin"/><Relationship Id="rId1" Type="http://schemas.openxmlformats.org/officeDocument/2006/relationships/printerSettings" Target="../printerSettings/printerSettings17.bin"/><Relationship Id="rId5" Type="http://schemas.openxmlformats.org/officeDocument/2006/relationships/printerSettings" Target="../printerSettings/printerSettings21.bin"/><Relationship Id="rId4" Type="http://schemas.openxmlformats.org/officeDocument/2006/relationships/printerSettings" Target="../printerSettings/printerSettings20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24.bin"/><Relationship Id="rId2" Type="http://schemas.openxmlformats.org/officeDocument/2006/relationships/printerSettings" Target="../printerSettings/printerSettings23.bin"/><Relationship Id="rId1" Type="http://schemas.openxmlformats.org/officeDocument/2006/relationships/printerSettings" Target="../printerSettings/printerSettings22.bin"/><Relationship Id="rId5" Type="http://schemas.openxmlformats.org/officeDocument/2006/relationships/printerSettings" Target="../printerSettings/printerSettings26.bin"/><Relationship Id="rId4" Type="http://schemas.openxmlformats.org/officeDocument/2006/relationships/printerSettings" Target="../printerSettings/printerSettings25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29.bin"/><Relationship Id="rId2" Type="http://schemas.openxmlformats.org/officeDocument/2006/relationships/printerSettings" Target="../printerSettings/printerSettings28.bin"/><Relationship Id="rId1" Type="http://schemas.openxmlformats.org/officeDocument/2006/relationships/printerSettings" Target="../printerSettings/printerSettings27.bin"/><Relationship Id="rId5" Type="http://schemas.openxmlformats.org/officeDocument/2006/relationships/printerSettings" Target="../printerSettings/printerSettings31.bin"/><Relationship Id="rId4" Type="http://schemas.openxmlformats.org/officeDocument/2006/relationships/printerSettings" Target="../printerSettings/printerSettings30.bin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34.bin"/><Relationship Id="rId2" Type="http://schemas.openxmlformats.org/officeDocument/2006/relationships/printerSettings" Target="../printerSettings/printerSettings33.bin"/><Relationship Id="rId1" Type="http://schemas.openxmlformats.org/officeDocument/2006/relationships/printerSettings" Target="../printerSettings/printerSettings32.bin"/><Relationship Id="rId5" Type="http://schemas.openxmlformats.org/officeDocument/2006/relationships/printerSettings" Target="../printerSettings/printerSettings36.bin"/><Relationship Id="rId4" Type="http://schemas.openxmlformats.org/officeDocument/2006/relationships/printerSettings" Target="../printerSettings/printerSettings3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B1:DM109"/>
  <sheetViews>
    <sheetView showGridLines="0" workbookViewId="0">
      <selection activeCell="B37" sqref="B37"/>
    </sheetView>
  </sheetViews>
  <sheetFormatPr baseColWidth="10" defaultColWidth="11.42578125" defaultRowHeight="15" x14ac:dyDescent="0.25"/>
  <cols>
    <col min="1" max="1" width="3" bestFit="1" customWidth="1"/>
    <col min="2" max="2" width="18.140625" bestFit="1" customWidth="1"/>
    <col min="3" max="3" width="7.7109375" bestFit="1" customWidth="1"/>
    <col min="4" max="4" width="16.5703125" bestFit="1" customWidth="1"/>
    <col min="5" max="5" width="7" bestFit="1" customWidth="1"/>
    <col min="6" max="6" width="7" customWidth="1"/>
    <col min="7" max="7" width="10.7109375" customWidth="1"/>
    <col min="8" max="8" width="41" customWidth="1"/>
    <col min="9" max="9" width="12.85546875" customWidth="1"/>
    <col min="10" max="10" width="11.85546875" bestFit="1" customWidth="1"/>
    <col min="11" max="11" width="11.42578125" bestFit="1" customWidth="1"/>
    <col min="15" max="15" width="100.42578125" customWidth="1"/>
  </cols>
  <sheetData>
    <row r="1" spans="2:100" x14ac:dyDescent="0.25">
      <c r="B1">
        <v>1</v>
      </c>
      <c r="C1" t="s">
        <v>0</v>
      </c>
      <c r="D1" t="s">
        <v>1</v>
      </c>
      <c r="E1" t="s">
        <v>2</v>
      </c>
      <c r="G1" t="s">
        <v>3</v>
      </c>
      <c r="H1" t="s">
        <v>4</v>
      </c>
      <c r="I1" t="s">
        <v>5</v>
      </c>
      <c r="J1" t="s">
        <v>6</v>
      </c>
      <c r="K1" t="s">
        <v>7</v>
      </c>
      <c r="L1" t="s">
        <v>8</v>
      </c>
      <c r="M1" t="s">
        <v>9</v>
      </c>
    </row>
    <row r="3" spans="2:100" ht="75" x14ac:dyDescent="0.25">
      <c r="B3" s="1" t="s">
        <v>10</v>
      </c>
      <c r="C3" s="1" t="s">
        <v>11</v>
      </c>
      <c r="D3" s="1" t="s">
        <v>12</v>
      </c>
      <c r="E3" s="2" t="s">
        <v>13</v>
      </c>
      <c r="F3" s="2" t="s">
        <v>14</v>
      </c>
      <c r="G3" s="3" t="s">
        <v>15</v>
      </c>
      <c r="H3" s="4" t="s">
        <v>16</v>
      </c>
      <c r="I3" s="2" t="s">
        <v>17</v>
      </c>
      <c r="J3" s="2" t="s">
        <v>18</v>
      </c>
      <c r="K3" s="2" t="s">
        <v>19</v>
      </c>
      <c r="L3" s="2" t="s">
        <v>20</v>
      </c>
      <c r="M3" s="2" t="s">
        <v>21</v>
      </c>
      <c r="N3" s="2" t="s">
        <v>22</v>
      </c>
      <c r="O3" s="2" t="s">
        <v>23</v>
      </c>
    </row>
    <row r="4" spans="2:100" x14ac:dyDescent="0.25">
      <c r="B4" s="126" t="s">
        <v>24</v>
      </c>
      <c r="C4" s="127">
        <v>61.232499999999995</v>
      </c>
      <c r="D4" s="127">
        <v>2939.16</v>
      </c>
      <c r="E4" s="127">
        <v>79.602249999999998</v>
      </c>
      <c r="F4" s="127">
        <v>88.787124999999989</v>
      </c>
      <c r="G4" s="126">
        <v>0</v>
      </c>
      <c r="H4" s="128" t="s">
        <v>157</v>
      </c>
      <c r="I4" s="126">
        <v>20</v>
      </c>
      <c r="J4" s="126">
        <v>40</v>
      </c>
      <c r="K4" s="126">
        <v>0</v>
      </c>
      <c r="L4" s="126">
        <v>0</v>
      </c>
      <c r="M4" s="126">
        <v>0</v>
      </c>
      <c r="N4" s="126">
        <v>0</v>
      </c>
      <c r="O4" s="128"/>
    </row>
    <row r="5" spans="2:100" x14ac:dyDescent="0.25">
      <c r="B5" s="126" t="s">
        <v>25</v>
      </c>
      <c r="C5" s="127">
        <v>61.232499999999995</v>
      </c>
      <c r="D5" s="127">
        <v>2939.16</v>
      </c>
      <c r="E5" s="127">
        <v>79.602249999999998</v>
      </c>
      <c r="F5" s="127">
        <v>88.787124999999989</v>
      </c>
      <c r="G5" s="126">
        <v>0</v>
      </c>
      <c r="H5" s="128" t="s">
        <v>157</v>
      </c>
      <c r="I5" s="126">
        <v>20</v>
      </c>
      <c r="J5" s="126">
        <v>40</v>
      </c>
      <c r="K5" s="126">
        <v>0</v>
      </c>
      <c r="L5" s="126">
        <v>0</v>
      </c>
      <c r="M5" s="126">
        <v>0</v>
      </c>
      <c r="N5" s="126">
        <v>0</v>
      </c>
      <c r="O5" s="128"/>
    </row>
    <row r="6" spans="2:100" x14ac:dyDescent="0.25">
      <c r="B6" s="126" t="s">
        <v>26</v>
      </c>
      <c r="C6" s="127">
        <v>61.232499999999995</v>
      </c>
      <c r="D6" s="127">
        <v>2939.16</v>
      </c>
      <c r="E6" s="127">
        <v>79.602249999999998</v>
      </c>
      <c r="F6" s="127">
        <v>88.787124999999989</v>
      </c>
      <c r="G6" s="126">
        <v>0</v>
      </c>
      <c r="H6" s="126" t="s">
        <v>157</v>
      </c>
      <c r="I6" s="126">
        <v>66</v>
      </c>
      <c r="J6" s="126">
        <v>66</v>
      </c>
      <c r="K6" s="126">
        <v>0</v>
      </c>
      <c r="L6" s="126">
        <v>0</v>
      </c>
      <c r="M6" s="126">
        <v>0</v>
      </c>
      <c r="N6" s="126">
        <v>0</v>
      </c>
      <c r="O6" s="128"/>
    </row>
    <row r="7" spans="2:100" x14ac:dyDescent="0.25">
      <c r="B7" s="126" t="s">
        <v>162</v>
      </c>
      <c r="C7" s="127">
        <v>61.232499999999995</v>
      </c>
      <c r="D7" s="127">
        <v>2939.16</v>
      </c>
      <c r="E7" s="127">
        <v>79.602249999999998</v>
      </c>
      <c r="F7" s="127">
        <v>88.787124999999989</v>
      </c>
      <c r="G7" s="126">
        <v>0</v>
      </c>
      <c r="H7" s="126" t="s">
        <v>157</v>
      </c>
      <c r="I7" s="126">
        <v>28</v>
      </c>
      <c r="J7" s="126">
        <v>56</v>
      </c>
      <c r="K7" s="126">
        <v>0</v>
      </c>
      <c r="L7" s="126">
        <v>0</v>
      </c>
      <c r="M7" s="126">
        <v>0</v>
      </c>
      <c r="N7" s="126">
        <v>0</v>
      </c>
      <c r="O7" s="128"/>
      <c r="CV7" t="s">
        <v>28</v>
      </c>
    </row>
    <row r="8" spans="2:100" x14ac:dyDescent="0.25">
      <c r="B8" s="126" t="s">
        <v>169</v>
      </c>
      <c r="C8" s="127">
        <v>61.232499999999995</v>
      </c>
      <c r="D8" s="127">
        <v>2939.16</v>
      </c>
      <c r="E8" s="127">
        <v>79.602249999999998</v>
      </c>
      <c r="F8" s="127">
        <v>88.787124999999989</v>
      </c>
      <c r="G8" s="126">
        <v>0</v>
      </c>
      <c r="H8" s="126" t="s">
        <v>157</v>
      </c>
      <c r="I8" s="126">
        <v>28</v>
      </c>
      <c r="J8" s="126">
        <v>56</v>
      </c>
      <c r="K8" s="126">
        <v>0</v>
      </c>
      <c r="L8" s="126">
        <v>0</v>
      </c>
      <c r="M8" s="126">
        <v>0</v>
      </c>
      <c r="N8" s="126">
        <v>0</v>
      </c>
      <c r="O8" s="128"/>
    </row>
    <row r="9" spans="2:100" x14ac:dyDescent="0.25">
      <c r="B9" s="126" t="s">
        <v>167</v>
      </c>
      <c r="C9" s="127">
        <v>61.232499999999995</v>
      </c>
      <c r="D9" s="127">
        <v>2939.16</v>
      </c>
      <c r="E9" s="127">
        <v>79.602249999999998</v>
      </c>
      <c r="F9" s="127">
        <v>88.787124999999989</v>
      </c>
      <c r="G9" s="126">
        <v>0</v>
      </c>
      <c r="H9" s="126" t="s">
        <v>157</v>
      </c>
      <c r="I9" s="126">
        <v>28</v>
      </c>
      <c r="J9" s="126">
        <v>56</v>
      </c>
      <c r="K9" s="126">
        <v>0</v>
      </c>
      <c r="L9" s="126">
        <v>0</v>
      </c>
      <c r="M9" s="126">
        <v>0</v>
      </c>
      <c r="N9" s="126">
        <v>0</v>
      </c>
      <c r="O9" s="128"/>
    </row>
    <row r="10" spans="2:100" x14ac:dyDescent="0.25">
      <c r="B10" s="126" t="s">
        <v>27</v>
      </c>
      <c r="C10" s="127">
        <v>61.232499999999995</v>
      </c>
      <c r="D10" s="127">
        <v>2939.16</v>
      </c>
      <c r="E10" s="127">
        <v>79.602249999999998</v>
      </c>
      <c r="F10" s="127">
        <v>88.787124999999989</v>
      </c>
      <c r="G10" s="126">
        <v>0</v>
      </c>
      <c r="H10" s="126" t="s">
        <v>157</v>
      </c>
      <c r="I10" s="126">
        <v>28</v>
      </c>
      <c r="J10" s="126">
        <v>56</v>
      </c>
      <c r="K10" s="126">
        <v>0</v>
      </c>
      <c r="L10" s="126">
        <v>600</v>
      </c>
      <c r="M10" s="126">
        <v>3600</v>
      </c>
      <c r="N10" s="126">
        <v>0</v>
      </c>
      <c r="O10" s="128" t="s">
        <v>47</v>
      </c>
    </row>
    <row r="11" spans="2:100" x14ac:dyDescent="0.25">
      <c r="B11" s="126" t="s">
        <v>29</v>
      </c>
      <c r="C11" s="127">
        <v>61.232499999999995</v>
      </c>
      <c r="D11" s="127">
        <v>2939.16</v>
      </c>
      <c r="E11" s="127">
        <v>79.602249999999998</v>
      </c>
      <c r="F11" s="127">
        <v>88.787124999999989</v>
      </c>
      <c r="G11" s="126">
        <v>0</v>
      </c>
      <c r="H11" s="126" t="s">
        <v>157</v>
      </c>
      <c r="I11" s="126">
        <v>28</v>
      </c>
      <c r="J11" s="126">
        <v>56</v>
      </c>
      <c r="K11" s="126">
        <v>0</v>
      </c>
      <c r="L11" s="126">
        <v>600</v>
      </c>
      <c r="M11" s="126">
        <v>3600</v>
      </c>
      <c r="N11" s="126">
        <v>0</v>
      </c>
      <c r="O11" s="128" t="s">
        <v>47</v>
      </c>
    </row>
    <row r="12" spans="2:100" x14ac:dyDescent="0.25">
      <c r="B12" s="126" t="s">
        <v>30</v>
      </c>
      <c r="C12" s="127">
        <v>45.833333333333336</v>
      </c>
      <c r="D12" s="127">
        <v>2200</v>
      </c>
      <c r="E12" s="127">
        <v>59.583333333333336</v>
      </c>
      <c r="F12" s="127">
        <v>66.458333333333329</v>
      </c>
      <c r="G12" s="126">
        <v>0</v>
      </c>
      <c r="H12" s="126" t="s">
        <v>157</v>
      </c>
      <c r="I12" s="126">
        <v>28</v>
      </c>
      <c r="J12" s="126">
        <v>56</v>
      </c>
      <c r="K12" s="126">
        <v>0</v>
      </c>
      <c r="L12" s="126">
        <v>0</v>
      </c>
      <c r="M12" s="126">
        <v>0</v>
      </c>
      <c r="N12" s="126">
        <v>0</v>
      </c>
      <c r="O12" s="128"/>
    </row>
    <row r="13" spans="2:100" x14ac:dyDescent="0.25">
      <c r="B13" s="126" t="s">
        <v>31</v>
      </c>
      <c r="C13" s="127">
        <v>45.833333333333336</v>
      </c>
      <c r="D13" s="127">
        <v>2200</v>
      </c>
      <c r="E13" s="127">
        <v>59.583333333333336</v>
      </c>
      <c r="F13" s="127">
        <v>66.458333333333329</v>
      </c>
      <c r="G13" s="126">
        <v>0</v>
      </c>
      <c r="H13" s="126" t="s">
        <v>157</v>
      </c>
      <c r="I13" s="126">
        <v>28</v>
      </c>
      <c r="J13" s="126">
        <v>56</v>
      </c>
      <c r="K13" s="126">
        <v>0</v>
      </c>
      <c r="L13" s="126">
        <v>0</v>
      </c>
      <c r="M13" s="126">
        <v>0</v>
      </c>
      <c r="N13" s="126">
        <v>0</v>
      </c>
      <c r="O13" s="128"/>
    </row>
    <row r="14" spans="2:100" s="168" customFormat="1" x14ac:dyDescent="0.25">
      <c r="B14" s="126" t="s">
        <v>32</v>
      </c>
      <c r="C14" s="127">
        <v>45.833333333333336</v>
      </c>
      <c r="D14" s="127">
        <v>2200</v>
      </c>
      <c r="E14" s="127">
        <v>59.583333333333336</v>
      </c>
      <c r="F14" s="127">
        <v>66.458333333333329</v>
      </c>
      <c r="G14" s="126">
        <v>350</v>
      </c>
      <c r="H14" s="126" t="s">
        <v>157</v>
      </c>
      <c r="I14" s="126">
        <v>28</v>
      </c>
      <c r="J14" s="126">
        <v>56</v>
      </c>
      <c r="K14" s="126">
        <v>0</v>
      </c>
      <c r="L14" s="126">
        <v>0</v>
      </c>
      <c r="M14" s="126">
        <v>0</v>
      </c>
      <c r="N14" s="126">
        <v>0</v>
      </c>
      <c r="O14" s="128"/>
    </row>
    <row r="15" spans="2:100" s="168" customFormat="1" x14ac:dyDescent="0.25">
      <c r="B15" s="126" t="s">
        <v>33</v>
      </c>
      <c r="C15" s="127">
        <v>45.833333333333336</v>
      </c>
      <c r="D15" s="127">
        <v>2200</v>
      </c>
      <c r="E15" s="127">
        <v>59.583333333333336</v>
      </c>
      <c r="F15" s="127">
        <v>66.458333333333329</v>
      </c>
      <c r="G15" s="126">
        <v>350</v>
      </c>
      <c r="H15" s="126" t="s">
        <v>157</v>
      </c>
      <c r="I15" s="126">
        <v>28</v>
      </c>
      <c r="J15" s="126">
        <v>56</v>
      </c>
      <c r="K15" s="126">
        <v>0</v>
      </c>
      <c r="L15" s="126">
        <v>0</v>
      </c>
      <c r="M15" s="126">
        <v>0</v>
      </c>
      <c r="N15" s="126">
        <v>0</v>
      </c>
      <c r="O15" s="128"/>
    </row>
    <row r="16" spans="2:100" x14ac:dyDescent="0.25">
      <c r="B16" s="126" t="s">
        <v>158</v>
      </c>
      <c r="C16" s="127">
        <v>52.083333333333336</v>
      </c>
      <c r="D16" s="127">
        <v>2500</v>
      </c>
      <c r="E16" s="127">
        <v>59.583333333333336</v>
      </c>
      <c r="F16" s="127">
        <v>66.458333333333329</v>
      </c>
      <c r="G16" s="126">
        <v>0</v>
      </c>
      <c r="H16" s="126" t="s">
        <v>157</v>
      </c>
      <c r="I16" s="126">
        <v>28</v>
      </c>
      <c r="J16" s="126">
        <v>56</v>
      </c>
      <c r="K16" s="126">
        <v>0</v>
      </c>
      <c r="L16" s="126">
        <v>0</v>
      </c>
      <c r="M16" s="126">
        <v>0</v>
      </c>
      <c r="N16" s="126">
        <v>0</v>
      </c>
      <c r="O16" s="128"/>
    </row>
    <row r="17" spans="2:15" x14ac:dyDescent="0.25">
      <c r="B17" s="126" t="s">
        <v>34</v>
      </c>
      <c r="C17" s="127">
        <v>45.833333333333336</v>
      </c>
      <c r="D17" s="127">
        <v>2200</v>
      </c>
      <c r="E17" s="127">
        <v>59.583333333333336</v>
      </c>
      <c r="F17" s="127">
        <v>66.458333333333329</v>
      </c>
      <c r="G17" s="126">
        <v>0</v>
      </c>
      <c r="H17" s="126" t="s">
        <v>157</v>
      </c>
      <c r="I17" s="126">
        <v>28</v>
      </c>
      <c r="J17" s="126">
        <v>56</v>
      </c>
      <c r="K17" s="126">
        <v>0</v>
      </c>
      <c r="L17" s="126">
        <v>0</v>
      </c>
      <c r="M17" s="126">
        <v>0</v>
      </c>
      <c r="N17" s="126">
        <v>0</v>
      </c>
      <c r="O17" s="128"/>
    </row>
    <row r="18" spans="2:15" x14ac:dyDescent="0.25">
      <c r="B18" s="126" t="s">
        <v>165</v>
      </c>
      <c r="C18" s="127">
        <v>45.833333333333336</v>
      </c>
      <c r="D18" s="127">
        <v>2200</v>
      </c>
      <c r="E18" s="127">
        <v>59.583333333333336</v>
      </c>
      <c r="F18" s="127">
        <v>66.458333333333329</v>
      </c>
      <c r="G18" s="126">
        <v>0</v>
      </c>
      <c r="H18" s="126" t="s">
        <v>157</v>
      </c>
      <c r="I18" s="126">
        <v>28</v>
      </c>
      <c r="J18" s="126">
        <v>56</v>
      </c>
      <c r="K18" s="126">
        <v>0</v>
      </c>
      <c r="L18" s="126">
        <v>0</v>
      </c>
      <c r="M18" s="126">
        <v>0</v>
      </c>
      <c r="N18" s="126">
        <v>0</v>
      </c>
      <c r="O18" s="128"/>
    </row>
    <row r="19" spans="2:15" x14ac:dyDescent="0.25">
      <c r="B19" s="126" t="s">
        <v>35</v>
      </c>
      <c r="C19" s="127">
        <v>45.833333333333336</v>
      </c>
      <c r="D19" s="127">
        <v>2200</v>
      </c>
      <c r="E19" s="127">
        <v>59.583333333333336</v>
      </c>
      <c r="F19" s="127">
        <v>66.458333333333329</v>
      </c>
      <c r="G19" s="126">
        <v>0</v>
      </c>
      <c r="H19" s="126" t="s">
        <v>157</v>
      </c>
      <c r="I19" s="126">
        <v>21</v>
      </c>
      <c r="J19" s="126">
        <v>42</v>
      </c>
      <c r="K19" s="126">
        <v>0</v>
      </c>
      <c r="L19" s="126">
        <v>0</v>
      </c>
      <c r="M19" s="126">
        <v>0</v>
      </c>
      <c r="N19" s="126">
        <v>0</v>
      </c>
      <c r="O19" s="128"/>
    </row>
    <row r="20" spans="2:15" x14ac:dyDescent="0.25">
      <c r="B20" s="126" t="s">
        <v>36</v>
      </c>
      <c r="C20" s="127">
        <v>45.833333333333336</v>
      </c>
      <c r="D20" s="127">
        <v>2200</v>
      </c>
      <c r="E20" s="127">
        <v>59.583333333333336</v>
      </c>
      <c r="F20" s="127">
        <v>66.458333333333329</v>
      </c>
      <c r="G20" s="126">
        <v>0</v>
      </c>
      <c r="H20" s="126" t="s">
        <v>157</v>
      </c>
      <c r="I20" s="126">
        <v>21</v>
      </c>
      <c r="J20" s="126">
        <v>42</v>
      </c>
      <c r="K20" s="126">
        <v>0</v>
      </c>
      <c r="L20" s="126">
        <v>0</v>
      </c>
      <c r="M20" s="126">
        <v>0</v>
      </c>
      <c r="N20" s="126">
        <v>0</v>
      </c>
      <c r="O20" s="128"/>
    </row>
    <row r="21" spans="2:15" x14ac:dyDescent="0.25">
      <c r="B21" s="126" t="s">
        <v>37</v>
      </c>
      <c r="C21" s="127">
        <v>45.833333333333336</v>
      </c>
      <c r="D21" s="127">
        <v>2200</v>
      </c>
      <c r="E21" s="127">
        <v>59.583333333333336</v>
      </c>
      <c r="F21" s="127">
        <v>66.458333333333329</v>
      </c>
      <c r="G21" s="126">
        <v>0</v>
      </c>
      <c r="H21" s="126" t="s">
        <v>157</v>
      </c>
      <c r="I21" s="126">
        <v>33</v>
      </c>
      <c r="J21" s="126">
        <v>66</v>
      </c>
      <c r="K21" s="126">
        <v>0</v>
      </c>
      <c r="L21" s="126">
        <v>0</v>
      </c>
      <c r="M21" s="126">
        <v>0</v>
      </c>
      <c r="N21" s="126">
        <v>0</v>
      </c>
      <c r="O21" s="128"/>
    </row>
    <row r="22" spans="2:15" x14ac:dyDescent="0.25">
      <c r="B22" s="126" t="s">
        <v>38</v>
      </c>
      <c r="C22" s="127">
        <v>45.833333333333336</v>
      </c>
      <c r="D22" s="127">
        <v>2200</v>
      </c>
      <c r="E22" s="127">
        <v>59.583333333333336</v>
      </c>
      <c r="F22" s="127">
        <v>66.458333333333329</v>
      </c>
      <c r="G22" s="126">
        <v>0</v>
      </c>
      <c r="H22" s="126" t="s">
        <v>157</v>
      </c>
      <c r="I22" s="126">
        <v>50</v>
      </c>
      <c r="J22" s="126">
        <v>100</v>
      </c>
      <c r="K22" s="126">
        <v>0</v>
      </c>
      <c r="L22" s="126">
        <v>0</v>
      </c>
      <c r="M22" s="126">
        <v>0</v>
      </c>
      <c r="N22" s="126">
        <v>0</v>
      </c>
      <c r="O22" s="128"/>
    </row>
    <row r="23" spans="2:15" x14ac:dyDescent="0.25">
      <c r="B23" s="126" t="s">
        <v>39</v>
      </c>
      <c r="C23" s="127">
        <v>45.833333333333336</v>
      </c>
      <c r="D23" s="127">
        <v>2200</v>
      </c>
      <c r="E23" s="127">
        <v>59.583333333333336</v>
      </c>
      <c r="F23" s="127">
        <v>66.458333333333329</v>
      </c>
      <c r="G23" s="126">
        <v>0</v>
      </c>
      <c r="H23" s="126" t="s">
        <v>157</v>
      </c>
      <c r="I23" s="126">
        <v>21</v>
      </c>
      <c r="J23" s="126">
        <v>42</v>
      </c>
      <c r="K23" s="126">
        <v>0</v>
      </c>
      <c r="L23" s="126">
        <v>0</v>
      </c>
      <c r="M23" s="126">
        <v>0</v>
      </c>
      <c r="N23" s="126">
        <v>0</v>
      </c>
      <c r="O23" s="128"/>
    </row>
    <row r="24" spans="2:15" x14ac:dyDescent="0.25">
      <c r="B24" s="126" t="s">
        <v>136</v>
      </c>
      <c r="C24" s="127">
        <v>45.833333333333336</v>
      </c>
      <c r="D24" s="127">
        <v>2200</v>
      </c>
      <c r="E24" s="127">
        <v>59.583333333333336</v>
      </c>
      <c r="F24" s="127">
        <v>66.458333333333329</v>
      </c>
      <c r="G24" s="126">
        <v>350</v>
      </c>
      <c r="H24" s="126" t="s">
        <v>157</v>
      </c>
      <c r="I24" s="126">
        <v>0</v>
      </c>
      <c r="J24" s="126">
        <v>0</v>
      </c>
      <c r="K24" s="126">
        <v>0</v>
      </c>
      <c r="L24" s="126">
        <v>600</v>
      </c>
      <c r="M24" s="126">
        <v>0</v>
      </c>
      <c r="N24" s="126">
        <v>0</v>
      </c>
      <c r="O24" s="128"/>
    </row>
    <row r="25" spans="2:15" x14ac:dyDescent="0.25">
      <c r="B25" s="126" t="s">
        <v>163</v>
      </c>
      <c r="C25" s="127">
        <v>45.833333333333336</v>
      </c>
      <c r="D25" s="127">
        <v>2200</v>
      </c>
      <c r="E25" s="127">
        <v>59.583333333333336</v>
      </c>
      <c r="F25" s="127">
        <v>66.458333333333329</v>
      </c>
      <c r="G25" s="126">
        <v>150</v>
      </c>
      <c r="H25" s="126" t="s">
        <v>157</v>
      </c>
      <c r="I25" s="126">
        <v>0</v>
      </c>
      <c r="J25" s="126">
        <v>0</v>
      </c>
      <c r="K25" s="126">
        <v>0</v>
      </c>
      <c r="L25" s="126">
        <v>600</v>
      </c>
      <c r="M25" s="126">
        <v>0</v>
      </c>
      <c r="N25" s="126">
        <v>0</v>
      </c>
      <c r="O25" s="128"/>
    </row>
    <row r="26" spans="2:15" x14ac:dyDescent="0.25">
      <c r="B26" s="126" t="s">
        <v>164</v>
      </c>
      <c r="C26" s="127">
        <v>45.833333333333336</v>
      </c>
      <c r="D26" s="127">
        <v>2200</v>
      </c>
      <c r="E26" s="127">
        <v>59.583333333333336</v>
      </c>
      <c r="F26" s="127">
        <v>66.458333333333329</v>
      </c>
      <c r="G26" s="126">
        <v>0</v>
      </c>
      <c r="H26" s="126" t="s">
        <v>157</v>
      </c>
      <c r="I26" s="126">
        <v>0</v>
      </c>
      <c r="J26" s="126">
        <v>0</v>
      </c>
      <c r="K26" s="126">
        <v>0</v>
      </c>
      <c r="L26" s="126">
        <v>600</v>
      </c>
      <c r="M26" s="126">
        <v>0</v>
      </c>
      <c r="N26" s="126">
        <v>0</v>
      </c>
      <c r="O26" s="128"/>
    </row>
    <row r="27" spans="2:15" x14ac:dyDescent="0.25">
      <c r="B27" s="126" t="s">
        <v>40</v>
      </c>
      <c r="C27" s="127">
        <v>45.833333333333336</v>
      </c>
      <c r="D27" s="127">
        <v>2200</v>
      </c>
      <c r="E27" s="127">
        <v>59.583333333333336</v>
      </c>
      <c r="F27" s="127">
        <v>66.458333333333329</v>
      </c>
      <c r="G27" s="126">
        <v>0</v>
      </c>
      <c r="H27" s="126" t="s">
        <v>157</v>
      </c>
      <c r="I27" s="126">
        <v>28</v>
      </c>
      <c r="J27" s="126">
        <v>56</v>
      </c>
      <c r="K27" s="126">
        <v>0</v>
      </c>
      <c r="L27" s="126">
        <v>0</v>
      </c>
      <c r="M27" s="126">
        <v>0</v>
      </c>
      <c r="N27" s="126">
        <v>0</v>
      </c>
      <c r="O27" s="128"/>
    </row>
    <row r="28" spans="2:15" x14ac:dyDescent="0.25">
      <c r="B28" s="126" t="s">
        <v>41</v>
      </c>
      <c r="C28" s="127">
        <v>45.833333333333336</v>
      </c>
      <c r="D28" s="127">
        <v>2200</v>
      </c>
      <c r="E28" s="127">
        <v>59.583333333333336</v>
      </c>
      <c r="F28" s="127">
        <v>66.458333333333329</v>
      </c>
      <c r="G28" s="126">
        <v>0</v>
      </c>
      <c r="H28" s="126" t="s">
        <v>157</v>
      </c>
      <c r="I28" s="126">
        <v>33</v>
      </c>
      <c r="J28" s="126">
        <v>66</v>
      </c>
      <c r="K28" s="126">
        <v>0</v>
      </c>
      <c r="L28" s="126">
        <v>0</v>
      </c>
      <c r="M28" s="126">
        <v>0</v>
      </c>
      <c r="N28" s="126">
        <v>0</v>
      </c>
      <c r="O28" s="128"/>
    </row>
    <row r="29" spans="2:15" x14ac:dyDescent="0.25">
      <c r="B29" s="126" t="s">
        <v>42</v>
      </c>
      <c r="C29" s="127">
        <v>45.833333333333336</v>
      </c>
      <c r="D29" s="127">
        <v>2200</v>
      </c>
      <c r="E29" s="127">
        <v>59.583333333333336</v>
      </c>
      <c r="F29" s="127">
        <v>66.458333333333329</v>
      </c>
      <c r="G29" s="126">
        <v>100</v>
      </c>
      <c r="H29" s="126" t="s">
        <v>157</v>
      </c>
      <c r="I29" s="126">
        <v>33</v>
      </c>
      <c r="J29" s="126">
        <v>66</v>
      </c>
      <c r="K29" s="126">
        <v>0</v>
      </c>
      <c r="L29" s="126">
        <v>0</v>
      </c>
      <c r="M29" s="126">
        <v>0</v>
      </c>
      <c r="N29" s="126">
        <v>0</v>
      </c>
      <c r="O29" s="128"/>
    </row>
    <row r="30" spans="2:15" x14ac:dyDescent="0.25">
      <c r="B30" s="126" t="s">
        <v>170</v>
      </c>
      <c r="C30" s="127">
        <v>45.833333333333336</v>
      </c>
      <c r="D30" s="127">
        <v>2200</v>
      </c>
      <c r="E30" s="127">
        <v>59.583333333333336</v>
      </c>
      <c r="F30" s="127">
        <v>66.458333333333329</v>
      </c>
      <c r="G30" s="126">
        <v>0</v>
      </c>
      <c r="H30" s="126" t="s">
        <v>157</v>
      </c>
      <c r="I30" s="126">
        <v>33</v>
      </c>
      <c r="J30" s="126">
        <v>66</v>
      </c>
      <c r="K30" s="126">
        <v>0</v>
      </c>
      <c r="L30" s="126">
        <v>0</v>
      </c>
      <c r="M30" s="126">
        <v>0</v>
      </c>
      <c r="N30" s="126">
        <v>0</v>
      </c>
      <c r="O30" s="128"/>
    </row>
    <row r="31" spans="2:15" x14ac:dyDescent="0.25">
      <c r="B31" s="126" t="s">
        <v>171</v>
      </c>
      <c r="C31" s="127">
        <v>45.833333333333336</v>
      </c>
      <c r="D31" s="127">
        <v>2200</v>
      </c>
      <c r="E31" s="127">
        <v>59.583333333333336</v>
      </c>
      <c r="F31" s="127">
        <v>66.458333333333329</v>
      </c>
      <c r="G31" s="126">
        <v>0</v>
      </c>
      <c r="H31" s="126" t="s">
        <v>157</v>
      </c>
      <c r="I31" s="126">
        <v>20</v>
      </c>
      <c r="J31" s="126">
        <v>40</v>
      </c>
      <c r="K31" s="126">
        <v>0</v>
      </c>
      <c r="L31" s="126">
        <v>0</v>
      </c>
      <c r="M31" s="126">
        <v>0</v>
      </c>
      <c r="N31" s="126">
        <v>0</v>
      </c>
      <c r="O31" s="128"/>
    </row>
    <row r="32" spans="2:15" x14ac:dyDescent="0.25">
      <c r="B32" s="126" t="s">
        <v>166</v>
      </c>
      <c r="C32" s="127">
        <v>45.833333333333336</v>
      </c>
      <c r="D32" s="127">
        <v>2200</v>
      </c>
      <c r="E32" s="127">
        <v>59.583333333333336</v>
      </c>
      <c r="F32" s="127">
        <v>66.458333333333329</v>
      </c>
      <c r="G32" s="126">
        <v>100</v>
      </c>
      <c r="H32" s="126" t="s">
        <v>157</v>
      </c>
      <c r="I32" s="126">
        <v>28</v>
      </c>
      <c r="J32" s="126">
        <v>56</v>
      </c>
      <c r="K32" s="126">
        <v>0</v>
      </c>
      <c r="L32" s="126">
        <v>0</v>
      </c>
      <c r="M32" s="126">
        <v>0</v>
      </c>
      <c r="N32" s="126">
        <v>0</v>
      </c>
      <c r="O32" s="128"/>
    </row>
    <row r="33" spans="2:15" x14ac:dyDescent="0.25">
      <c r="B33" s="126" t="s">
        <v>43</v>
      </c>
      <c r="C33" s="127">
        <v>45.833333333333336</v>
      </c>
      <c r="D33" s="127">
        <v>2200</v>
      </c>
      <c r="E33" s="127">
        <v>59.583333333333336</v>
      </c>
      <c r="F33" s="127">
        <v>66.458333333333329</v>
      </c>
      <c r="G33" s="126">
        <v>0</v>
      </c>
      <c r="H33" s="126" t="s">
        <v>157</v>
      </c>
      <c r="I33" s="126">
        <v>33</v>
      </c>
      <c r="J33" s="126">
        <v>66</v>
      </c>
      <c r="K33" s="126">
        <v>0</v>
      </c>
      <c r="L33" s="126">
        <v>600</v>
      </c>
      <c r="M33" s="126">
        <v>0</v>
      </c>
      <c r="N33" s="126">
        <v>0</v>
      </c>
      <c r="O33" s="128"/>
    </row>
    <row r="34" spans="2:15" x14ac:dyDescent="0.25">
      <c r="B34" s="126" t="s">
        <v>44</v>
      </c>
      <c r="C34" s="127">
        <v>45.833333333333336</v>
      </c>
      <c r="D34" s="127">
        <v>2200</v>
      </c>
      <c r="E34" s="127">
        <v>59.583333333333336</v>
      </c>
      <c r="F34" s="127">
        <v>66.458333333333329</v>
      </c>
      <c r="G34" s="126">
        <v>0</v>
      </c>
      <c r="H34" s="126" t="s">
        <v>157</v>
      </c>
      <c r="I34" s="126">
        <v>33</v>
      </c>
      <c r="J34" s="126">
        <v>66</v>
      </c>
      <c r="K34" s="126">
        <v>0</v>
      </c>
      <c r="L34" s="126">
        <v>600</v>
      </c>
      <c r="M34" s="126">
        <v>0</v>
      </c>
      <c r="N34" s="126">
        <v>0</v>
      </c>
      <c r="O34" s="128"/>
    </row>
    <row r="35" spans="2:15" x14ac:dyDescent="0.25">
      <c r="B35" s="126" t="s">
        <v>45</v>
      </c>
      <c r="C35" s="127">
        <v>45.833333333333336</v>
      </c>
      <c r="D35" s="127">
        <v>2200</v>
      </c>
      <c r="E35" s="127">
        <v>59.583333333333336</v>
      </c>
      <c r="F35" s="127">
        <v>66.458333333333329</v>
      </c>
      <c r="G35" s="126">
        <v>0</v>
      </c>
      <c r="H35" s="126" t="s">
        <v>157</v>
      </c>
      <c r="I35" s="126">
        <v>21</v>
      </c>
      <c r="J35" s="126">
        <v>42</v>
      </c>
      <c r="K35" s="126">
        <v>0</v>
      </c>
      <c r="L35" s="126">
        <v>0</v>
      </c>
      <c r="M35" s="126">
        <v>0</v>
      </c>
      <c r="N35" s="126">
        <v>0</v>
      </c>
      <c r="O35" s="128"/>
    </row>
    <row r="36" spans="2:15" x14ac:dyDescent="0.25">
      <c r="B36" s="126" t="s">
        <v>168</v>
      </c>
      <c r="C36" s="127">
        <v>45.83</v>
      </c>
      <c r="D36" s="127">
        <v>2200</v>
      </c>
      <c r="E36" s="127">
        <v>59.583333333333336</v>
      </c>
      <c r="F36" s="127">
        <v>66.458333333333329</v>
      </c>
      <c r="G36" s="126">
        <v>550</v>
      </c>
      <c r="H36" s="126" t="s">
        <v>157</v>
      </c>
      <c r="I36" s="126">
        <v>21</v>
      </c>
      <c r="J36" s="126">
        <v>42</v>
      </c>
      <c r="K36" s="126">
        <v>0</v>
      </c>
      <c r="L36" s="126">
        <v>0</v>
      </c>
      <c r="M36" s="126">
        <v>0</v>
      </c>
      <c r="N36" s="126">
        <v>0</v>
      </c>
      <c r="O36" s="128"/>
    </row>
    <row r="37" spans="2:15" x14ac:dyDescent="0.25">
      <c r="B37" s="126" t="s">
        <v>46</v>
      </c>
      <c r="C37" s="127">
        <v>45.83</v>
      </c>
      <c r="D37" s="127">
        <v>2200</v>
      </c>
      <c r="E37" s="127">
        <v>59.583333333333336</v>
      </c>
      <c r="F37" s="127">
        <v>66.458333333333329</v>
      </c>
      <c r="G37" s="126">
        <v>0</v>
      </c>
      <c r="H37" s="126" t="s">
        <v>157</v>
      </c>
      <c r="I37" s="126">
        <v>33</v>
      </c>
      <c r="J37" s="126">
        <v>66</v>
      </c>
      <c r="K37" s="126">
        <v>0</v>
      </c>
      <c r="L37" s="126">
        <v>0</v>
      </c>
      <c r="M37" s="126">
        <v>0</v>
      </c>
      <c r="N37" s="126">
        <v>0</v>
      </c>
      <c r="O37" s="128"/>
    </row>
    <row r="38" spans="2:15" x14ac:dyDescent="0.25">
      <c r="B38" s="126"/>
      <c r="C38" s="127"/>
      <c r="D38" s="127"/>
      <c r="E38" s="127"/>
      <c r="F38" s="127"/>
      <c r="G38" s="126"/>
      <c r="H38" s="126"/>
      <c r="I38" s="126"/>
      <c r="J38" s="126"/>
      <c r="K38" s="126"/>
      <c r="L38" s="126"/>
      <c r="M38" s="126"/>
      <c r="N38" s="126"/>
      <c r="O38" s="128"/>
    </row>
    <row r="39" spans="2:15" x14ac:dyDescent="0.25">
      <c r="B39" s="126"/>
      <c r="C39" s="127"/>
      <c r="D39" s="127"/>
      <c r="E39" s="127"/>
      <c r="F39" s="127"/>
      <c r="G39" s="126"/>
      <c r="H39" s="126"/>
      <c r="I39" s="126"/>
      <c r="J39" s="126"/>
      <c r="K39" s="126"/>
      <c r="L39" s="126"/>
      <c r="M39" s="126"/>
      <c r="N39" s="126"/>
      <c r="O39" s="128"/>
    </row>
    <row r="40" spans="2:15" x14ac:dyDescent="0.25">
      <c r="B40" s="126"/>
      <c r="C40" s="127"/>
      <c r="D40" s="127"/>
      <c r="E40" s="127"/>
      <c r="F40" s="127"/>
      <c r="G40" s="126"/>
      <c r="H40" s="126"/>
      <c r="I40" s="126"/>
      <c r="J40" s="126"/>
      <c r="K40" s="126"/>
      <c r="L40" s="126"/>
      <c r="M40" s="126"/>
      <c r="N40" s="126"/>
      <c r="O40" s="128"/>
    </row>
    <row r="41" spans="2:15" x14ac:dyDescent="0.25">
      <c r="B41" s="126"/>
      <c r="C41" s="127"/>
      <c r="D41" s="127"/>
      <c r="E41" s="127"/>
      <c r="F41" s="127"/>
      <c r="G41" s="126"/>
      <c r="H41" s="126"/>
      <c r="I41" s="126"/>
      <c r="J41" s="126"/>
      <c r="K41" s="126"/>
      <c r="L41" s="126"/>
      <c r="M41" s="126"/>
      <c r="N41" s="126"/>
      <c r="O41" s="128"/>
    </row>
    <row r="42" spans="2:15" x14ac:dyDescent="0.25">
      <c r="E42" s="7"/>
      <c r="F42" s="7"/>
    </row>
    <row r="43" spans="2:15" x14ac:dyDescent="0.25">
      <c r="E43" s="7"/>
      <c r="F43" s="7"/>
    </row>
    <row r="44" spans="2:15" x14ac:dyDescent="0.25">
      <c r="E44" s="7"/>
      <c r="F44" s="7"/>
    </row>
    <row r="45" spans="2:15" x14ac:dyDescent="0.25">
      <c r="E45" s="7"/>
      <c r="F45" s="7"/>
    </row>
    <row r="46" spans="2:15" x14ac:dyDescent="0.25">
      <c r="E46" s="7"/>
      <c r="F46" s="7"/>
    </row>
    <row r="47" spans="2:15" x14ac:dyDescent="0.25">
      <c r="E47" s="7"/>
      <c r="F47" s="7"/>
    </row>
    <row r="48" spans="2:15" x14ac:dyDescent="0.25">
      <c r="E48" s="7"/>
      <c r="F48" s="7"/>
    </row>
    <row r="49" spans="5:6" x14ac:dyDescent="0.25">
      <c r="E49" s="7"/>
      <c r="F49" s="7"/>
    </row>
    <row r="50" spans="5:6" x14ac:dyDescent="0.25">
      <c r="E50" s="7"/>
      <c r="F50" s="7"/>
    </row>
    <row r="51" spans="5:6" x14ac:dyDescent="0.25">
      <c r="E51" s="7"/>
      <c r="F51" s="7"/>
    </row>
    <row r="52" spans="5:6" x14ac:dyDescent="0.25">
      <c r="E52" s="7"/>
      <c r="F52" s="7"/>
    </row>
    <row r="53" spans="5:6" x14ac:dyDescent="0.25">
      <c r="E53" s="7"/>
      <c r="F53" s="7"/>
    </row>
    <row r="54" spans="5:6" x14ac:dyDescent="0.25">
      <c r="E54" s="7"/>
      <c r="F54" s="7"/>
    </row>
    <row r="55" spans="5:6" x14ac:dyDescent="0.25">
      <c r="E55" s="7"/>
      <c r="F55" s="7"/>
    </row>
    <row r="56" spans="5:6" x14ac:dyDescent="0.25">
      <c r="E56" s="7"/>
      <c r="F56" s="7"/>
    </row>
    <row r="57" spans="5:6" x14ac:dyDescent="0.25">
      <c r="E57" s="7"/>
      <c r="F57" s="7"/>
    </row>
    <row r="58" spans="5:6" x14ac:dyDescent="0.25">
      <c r="E58" s="7"/>
      <c r="F58" s="7"/>
    </row>
    <row r="59" spans="5:6" x14ac:dyDescent="0.25">
      <c r="E59" s="7"/>
      <c r="F59" s="7"/>
    </row>
    <row r="60" spans="5:6" x14ac:dyDescent="0.25">
      <c r="E60" s="7"/>
      <c r="F60" s="7"/>
    </row>
    <row r="61" spans="5:6" x14ac:dyDescent="0.25">
      <c r="E61" s="7"/>
      <c r="F61" s="7"/>
    </row>
    <row r="62" spans="5:6" x14ac:dyDescent="0.25">
      <c r="E62" s="7"/>
      <c r="F62" s="7"/>
    </row>
    <row r="63" spans="5:6" x14ac:dyDescent="0.25">
      <c r="E63" s="7"/>
      <c r="F63" s="7"/>
    </row>
    <row r="64" spans="5:6" x14ac:dyDescent="0.25">
      <c r="E64" s="7"/>
      <c r="F64" s="7"/>
    </row>
    <row r="65" spans="5:6" x14ac:dyDescent="0.25">
      <c r="E65" s="7"/>
      <c r="F65" s="7"/>
    </row>
    <row r="66" spans="5:6" x14ac:dyDescent="0.25">
      <c r="E66" s="7"/>
      <c r="F66" s="7"/>
    </row>
    <row r="67" spans="5:6" x14ac:dyDescent="0.25">
      <c r="E67" s="7"/>
      <c r="F67" s="7"/>
    </row>
    <row r="68" spans="5:6" x14ac:dyDescent="0.25">
      <c r="E68" s="7"/>
      <c r="F68" s="7"/>
    </row>
    <row r="69" spans="5:6" x14ac:dyDescent="0.25">
      <c r="E69" s="7"/>
      <c r="F69" s="7"/>
    </row>
    <row r="70" spans="5:6" x14ac:dyDescent="0.25">
      <c r="E70" s="7"/>
      <c r="F70" s="7"/>
    </row>
    <row r="71" spans="5:6" x14ac:dyDescent="0.25">
      <c r="E71" s="7"/>
      <c r="F71" s="7"/>
    </row>
    <row r="72" spans="5:6" x14ac:dyDescent="0.25">
      <c r="E72" s="7"/>
      <c r="F72" s="7"/>
    </row>
    <row r="73" spans="5:6" x14ac:dyDescent="0.25">
      <c r="E73" s="7"/>
      <c r="F73" s="7"/>
    </row>
    <row r="74" spans="5:6" x14ac:dyDescent="0.25">
      <c r="E74" s="7"/>
      <c r="F74" s="7"/>
    </row>
    <row r="75" spans="5:6" x14ac:dyDescent="0.25">
      <c r="E75" s="7"/>
      <c r="F75" s="7"/>
    </row>
    <row r="76" spans="5:6" x14ac:dyDescent="0.25">
      <c r="E76" s="7"/>
      <c r="F76" s="7"/>
    </row>
    <row r="77" spans="5:6" x14ac:dyDescent="0.25">
      <c r="E77" s="7"/>
      <c r="F77" s="7"/>
    </row>
    <row r="78" spans="5:6" x14ac:dyDescent="0.25">
      <c r="E78" s="7"/>
      <c r="F78" s="7"/>
    </row>
    <row r="79" spans="5:6" x14ac:dyDescent="0.25">
      <c r="E79" s="7"/>
      <c r="F79" s="7"/>
    </row>
    <row r="80" spans="5:6" x14ac:dyDescent="0.25">
      <c r="E80" s="7"/>
      <c r="F80" s="7"/>
    </row>
    <row r="81" spans="5:117" x14ac:dyDescent="0.25">
      <c r="E81" s="7"/>
      <c r="F81" s="7"/>
    </row>
    <row r="82" spans="5:117" x14ac:dyDescent="0.25">
      <c r="E82" s="7"/>
      <c r="F82" s="7"/>
    </row>
    <row r="83" spans="5:117" x14ac:dyDescent="0.25">
      <c r="E83" s="7"/>
      <c r="F83" s="7"/>
    </row>
    <row r="84" spans="5:117" x14ac:dyDescent="0.25">
      <c r="E84" s="7"/>
      <c r="F84" s="7"/>
    </row>
    <row r="85" spans="5:117" x14ac:dyDescent="0.25">
      <c r="E85" s="7"/>
      <c r="F85" s="7"/>
    </row>
    <row r="86" spans="5:117" x14ac:dyDescent="0.25">
      <c r="E86" s="7"/>
      <c r="F86" s="7"/>
    </row>
    <row r="87" spans="5:117" x14ac:dyDescent="0.25">
      <c r="E87" s="7"/>
      <c r="F87" s="7"/>
    </row>
    <row r="88" spans="5:117" x14ac:dyDescent="0.25">
      <c r="E88" s="7"/>
      <c r="F88" s="7"/>
    </row>
    <row r="89" spans="5:117" x14ac:dyDescent="0.25">
      <c r="E89" s="7"/>
      <c r="F89" s="7"/>
    </row>
    <row r="90" spans="5:117" x14ac:dyDescent="0.25">
      <c r="E90" s="7"/>
      <c r="F90" s="7"/>
      <c r="DM90" t="s">
        <v>48</v>
      </c>
    </row>
    <row r="91" spans="5:117" x14ac:dyDescent="0.25">
      <c r="E91" s="7"/>
      <c r="F91" s="7"/>
    </row>
    <row r="92" spans="5:117" x14ac:dyDescent="0.25">
      <c r="E92" s="7"/>
      <c r="F92" s="7"/>
    </row>
    <row r="93" spans="5:117" x14ac:dyDescent="0.25">
      <c r="E93" s="7"/>
      <c r="F93" s="7"/>
    </row>
    <row r="94" spans="5:117" x14ac:dyDescent="0.25">
      <c r="E94" s="7"/>
      <c r="F94" s="7"/>
    </row>
    <row r="95" spans="5:117" x14ac:dyDescent="0.25">
      <c r="E95" s="7"/>
      <c r="F95" s="7"/>
    </row>
    <row r="96" spans="5:117" x14ac:dyDescent="0.25">
      <c r="E96" s="7"/>
      <c r="F96" s="7"/>
    </row>
    <row r="97" spans="2:6" x14ac:dyDescent="0.25">
      <c r="E97" s="7"/>
      <c r="F97" s="7"/>
    </row>
    <row r="98" spans="2:6" x14ac:dyDescent="0.25">
      <c r="E98" s="7"/>
      <c r="F98" s="7"/>
    </row>
    <row r="99" spans="2:6" x14ac:dyDescent="0.25">
      <c r="E99" s="7"/>
      <c r="F99" s="7"/>
    </row>
    <row r="100" spans="2:6" x14ac:dyDescent="0.25">
      <c r="E100" s="7"/>
      <c r="F100" s="7"/>
    </row>
    <row r="101" spans="2:6" x14ac:dyDescent="0.25">
      <c r="E101" s="7"/>
      <c r="F101" s="7"/>
    </row>
    <row r="102" spans="2:6" x14ac:dyDescent="0.25">
      <c r="E102" s="7"/>
      <c r="F102" s="7"/>
    </row>
    <row r="103" spans="2:6" x14ac:dyDescent="0.25">
      <c r="E103" s="7"/>
      <c r="F103" s="7"/>
    </row>
    <row r="109" spans="2:6" x14ac:dyDescent="0.25">
      <c r="B109" t="s">
        <v>49</v>
      </c>
    </row>
  </sheetData>
  <customSheetViews>
    <customSheetView guid="{DB9894F0-96BC-4C04-8D04-FF3607BEBF53}" showGridLines="0">
      <pageMargins left="0" right="0" top="0" bottom="0" header="0" footer="0"/>
      <pageSetup paperSize="9" orientation="portrait" r:id="rId1"/>
    </customSheetView>
    <customSheetView guid="{8D8BE001-C296-444A-B8AC-56385A059ADB}" showGridLines="0">
      <selection activeCell="B27" sqref="B27"/>
      <pageMargins left="0" right="0" top="0" bottom="0" header="0" footer="0"/>
      <pageSetup paperSize="9" orientation="portrait" r:id="rId2"/>
    </customSheetView>
    <customSheetView guid="{5A7B666F-E305-4A9E-98DD-F5DEC8A780A3}" showGridLines="0" topLeftCell="A4">
      <selection activeCell="H22" sqref="H22"/>
      <pageMargins left="0" right="0" top="0" bottom="0" header="0" footer="0"/>
      <pageSetup paperSize="9" orientation="portrait" r:id="rId3"/>
    </customSheetView>
    <customSheetView guid="{A8BCBFE8-6A1E-4872-B017-B3136BC584DB}" showGridLines="0">
      <selection activeCell="G19" sqref="G19"/>
      <pageMargins left="0" right="0" top="0" bottom="0" header="0" footer="0"/>
      <pageSetup paperSize="9" orientation="portrait" r:id="rId4"/>
    </customSheetView>
  </customSheetViews>
  <pageMargins left="0.7" right="0.7" top="0.75" bottom="0.75" header="0.3" footer="0.3"/>
  <pageSetup paperSize="9" orientation="portrait" r:id="rId5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2"/>
  <dimension ref="B1:P513"/>
  <sheetViews>
    <sheetView showGridLines="0" zoomScale="94" zoomScaleNormal="94" workbookViewId="0">
      <pane xSplit="3" ySplit="10" topLeftCell="D11" activePane="bottomRight" state="frozen"/>
      <selection pane="topRight" activeCell="D1" sqref="D1"/>
      <selection pane="bottomLeft" activeCell="A11" sqref="A11"/>
      <selection pane="bottomRight" activeCell="C11" sqref="C11"/>
    </sheetView>
  </sheetViews>
  <sheetFormatPr baseColWidth="10" defaultColWidth="11.42578125" defaultRowHeight="15" x14ac:dyDescent="0.25"/>
  <cols>
    <col min="1" max="1" width="13" style="12" bestFit="1" customWidth="1"/>
    <col min="2" max="2" width="11.42578125" style="12"/>
    <col min="3" max="3" width="42.140625" style="12" customWidth="1"/>
    <col min="4" max="4" width="11" style="12" customWidth="1"/>
    <col min="5" max="5" width="10.42578125" style="12" customWidth="1"/>
    <col min="6" max="7" width="23.140625" style="12" customWidth="1"/>
    <col min="8" max="9" width="7.42578125" style="12" customWidth="1"/>
    <col min="10" max="10" width="11.42578125" customWidth="1"/>
    <col min="11" max="11" width="12" style="13" bestFit="1" customWidth="1"/>
    <col min="12" max="12" width="11.42578125" style="12" customWidth="1"/>
    <col min="13" max="13" width="14.5703125" style="12" customWidth="1"/>
    <col min="14" max="14" width="11.42578125" style="12" customWidth="1"/>
    <col min="15" max="15" width="14.7109375" style="12" customWidth="1"/>
    <col min="16" max="16" width="15.42578125" style="12" customWidth="1"/>
    <col min="17" max="17" width="11.85546875" style="12" customWidth="1"/>
    <col min="18" max="18" width="11.42578125" style="12" customWidth="1"/>
    <col min="19" max="16384" width="11.42578125" style="12"/>
  </cols>
  <sheetData>
    <row r="1" spans="2:16" s="9" customFormat="1" ht="9" x14ac:dyDescent="0.15">
      <c r="B1" s="8">
        <v>1</v>
      </c>
      <c r="C1" s="8" t="s">
        <v>50</v>
      </c>
      <c r="F1" s="8"/>
      <c r="G1" s="8"/>
      <c r="K1" s="10"/>
    </row>
    <row r="2" spans="2:16" s="9" customFormat="1" ht="9" x14ac:dyDescent="0.15">
      <c r="B2" s="8">
        <v>2</v>
      </c>
      <c r="C2" s="8" t="s">
        <v>51</v>
      </c>
      <c r="D2" s="8" t="s">
        <v>52</v>
      </c>
      <c r="F2" s="8"/>
      <c r="G2" s="8"/>
      <c r="K2" s="10"/>
      <c r="N2" s="9" t="s">
        <v>53</v>
      </c>
    </row>
    <row r="3" spans="2:16" s="9" customFormat="1" ht="9" x14ac:dyDescent="0.15">
      <c r="B3" s="8">
        <v>3</v>
      </c>
      <c r="C3" s="8" t="s">
        <v>54</v>
      </c>
      <c r="D3" s="8" t="s">
        <v>55</v>
      </c>
      <c r="F3" s="8"/>
      <c r="G3" s="8"/>
      <c r="K3" s="10"/>
      <c r="N3" s="9" t="s">
        <v>56</v>
      </c>
    </row>
    <row r="4" spans="2:16" s="9" customFormat="1" ht="9" x14ac:dyDescent="0.15">
      <c r="B4" s="8">
        <v>4</v>
      </c>
      <c r="C4" s="8" t="s">
        <v>57</v>
      </c>
      <c r="F4" s="8"/>
      <c r="G4" s="8"/>
      <c r="K4" s="10"/>
    </row>
    <row r="5" spans="2:16" s="9" customFormat="1" ht="9" x14ac:dyDescent="0.15">
      <c r="B5" s="8">
        <v>5</v>
      </c>
      <c r="C5" s="8" t="s">
        <v>58</v>
      </c>
      <c r="F5" s="8"/>
      <c r="G5" s="8"/>
      <c r="K5" s="10"/>
    </row>
    <row r="6" spans="2:16" s="9" customFormat="1" ht="9" x14ac:dyDescent="0.15">
      <c r="B6" s="8">
        <v>6</v>
      </c>
      <c r="C6" s="8" t="s">
        <v>59</v>
      </c>
      <c r="F6" s="8"/>
      <c r="G6" s="8"/>
      <c r="K6" s="10"/>
    </row>
    <row r="7" spans="2:16" s="9" customFormat="1" ht="9" x14ac:dyDescent="0.15">
      <c r="B7" s="8">
        <v>7</v>
      </c>
      <c r="C7" s="8" t="s">
        <v>60</v>
      </c>
      <c r="F7" s="8"/>
      <c r="G7" s="8"/>
      <c r="K7" s="10"/>
    </row>
    <row r="8" spans="2:16" s="9" customFormat="1" ht="9" x14ac:dyDescent="0.15">
      <c r="B8" s="8">
        <v>8</v>
      </c>
      <c r="C8" s="8" t="s">
        <v>61</v>
      </c>
      <c r="F8" s="8"/>
      <c r="G8" s="8"/>
      <c r="K8" s="10"/>
      <c r="P8" s="11">
        <f>P9+M9</f>
        <v>0</v>
      </c>
    </row>
    <row r="9" spans="2:16" ht="14.25" thickBot="1" x14ac:dyDescent="0.3">
      <c r="J9" s="12"/>
      <c r="M9" s="14">
        <f>SUBTOTAL(9,M11:M541)</f>
        <v>0</v>
      </c>
      <c r="N9" s="12" t="s">
        <v>53</v>
      </c>
      <c r="O9" s="15">
        <f>SUBTOTAL(9,O11:O541)</f>
        <v>0</v>
      </c>
      <c r="P9" s="14">
        <f>SUBTOTAL(9,P11:P541)</f>
        <v>0</v>
      </c>
    </row>
    <row r="10" spans="2:16" ht="14.25" thickBot="1" x14ac:dyDescent="0.3">
      <c r="B10" s="16" t="s">
        <v>62</v>
      </c>
      <c r="C10" s="17" t="s">
        <v>63</v>
      </c>
      <c r="D10" s="17" t="s">
        <v>64</v>
      </c>
      <c r="E10" s="17" t="s">
        <v>8</v>
      </c>
      <c r="F10" s="17" t="s">
        <v>65</v>
      </c>
      <c r="G10" s="17" t="s">
        <v>10</v>
      </c>
      <c r="H10" s="17" t="s">
        <v>66</v>
      </c>
      <c r="I10" s="17" t="s">
        <v>67</v>
      </c>
      <c r="J10" s="18" t="s">
        <v>51</v>
      </c>
      <c r="K10" s="19" t="s">
        <v>68</v>
      </c>
      <c r="L10" s="18" t="s">
        <v>69</v>
      </c>
      <c r="M10" s="18" t="s">
        <v>70</v>
      </c>
      <c r="N10" s="20" t="s">
        <v>71</v>
      </c>
      <c r="O10" s="21" t="s">
        <v>72</v>
      </c>
      <c r="P10" s="21" t="s">
        <v>73</v>
      </c>
    </row>
    <row r="11" spans="2:16" ht="13.5" x14ac:dyDescent="0.25">
      <c r="J11" s="15"/>
      <c r="K11" s="22"/>
      <c r="L11" s="22"/>
      <c r="M11" s="15"/>
      <c r="N11" s="15"/>
      <c r="O11" s="15"/>
      <c r="P11" s="15"/>
    </row>
    <row r="12" spans="2:16" ht="13.5" x14ac:dyDescent="0.25">
      <c r="J12" s="15"/>
      <c r="K12" s="22"/>
      <c r="L12" s="22"/>
      <c r="M12" s="15"/>
      <c r="N12" s="15"/>
      <c r="O12" s="15"/>
      <c r="P12" s="15"/>
    </row>
    <row r="13" spans="2:16" ht="13.5" x14ac:dyDescent="0.25">
      <c r="J13" s="15"/>
      <c r="K13" s="22"/>
      <c r="L13" s="22"/>
      <c r="M13" s="15"/>
      <c r="N13" s="15"/>
      <c r="O13" s="15"/>
      <c r="P13" s="15"/>
    </row>
    <row r="14" spans="2:16" ht="13.5" x14ac:dyDescent="0.25">
      <c r="J14" s="15"/>
      <c r="K14" s="22"/>
      <c r="L14" s="22"/>
      <c r="M14" s="15"/>
      <c r="N14" s="15"/>
      <c r="O14" s="15"/>
      <c r="P14" s="15"/>
    </row>
    <row r="15" spans="2:16" ht="13.5" x14ac:dyDescent="0.25">
      <c r="J15" s="15"/>
      <c r="K15" s="22"/>
      <c r="L15" s="22"/>
      <c r="M15" s="15"/>
      <c r="N15" s="15"/>
      <c r="O15" s="15"/>
      <c r="P15" s="15"/>
    </row>
    <row r="16" spans="2:16" ht="13.5" x14ac:dyDescent="0.25">
      <c r="J16" s="15"/>
      <c r="K16" s="22"/>
      <c r="L16" s="22"/>
      <c r="M16" s="15"/>
      <c r="N16" s="15"/>
      <c r="O16" s="15"/>
      <c r="P16" s="15"/>
    </row>
    <row r="17" spans="10:16" ht="13.5" x14ac:dyDescent="0.25">
      <c r="J17" s="15"/>
      <c r="K17" s="22"/>
      <c r="L17" s="22"/>
      <c r="M17" s="15"/>
      <c r="N17" s="15"/>
      <c r="O17" s="15"/>
      <c r="P17" s="15"/>
    </row>
    <row r="18" spans="10:16" ht="13.5" x14ac:dyDescent="0.25">
      <c r="J18" s="15"/>
      <c r="K18" s="22"/>
      <c r="L18" s="22"/>
      <c r="M18" s="15"/>
      <c r="N18" s="15"/>
      <c r="O18" s="15"/>
      <c r="P18" s="15"/>
    </row>
    <row r="19" spans="10:16" ht="13.5" x14ac:dyDescent="0.25">
      <c r="J19" s="15"/>
      <c r="K19" s="22"/>
      <c r="L19" s="22"/>
      <c r="M19" s="15"/>
      <c r="N19" s="15"/>
      <c r="O19" s="15"/>
      <c r="P19" s="15"/>
    </row>
    <row r="20" spans="10:16" ht="13.5" x14ac:dyDescent="0.25">
      <c r="J20" s="15"/>
      <c r="K20" s="22"/>
      <c r="L20" s="22"/>
      <c r="M20" s="15"/>
      <c r="N20" s="15"/>
      <c r="O20" s="15"/>
      <c r="P20" s="15"/>
    </row>
    <row r="21" spans="10:16" ht="13.5" x14ac:dyDescent="0.25">
      <c r="J21" s="15"/>
      <c r="K21" s="22"/>
      <c r="L21" s="22"/>
      <c r="M21" s="15"/>
      <c r="N21" s="15"/>
      <c r="O21" s="15"/>
      <c r="P21" s="15"/>
    </row>
    <row r="22" spans="10:16" ht="13.5" x14ac:dyDescent="0.25">
      <c r="J22" s="15"/>
      <c r="K22" s="22"/>
      <c r="L22" s="22"/>
      <c r="M22" s="15"/>
      <c r="N22" s="15"/>
      <c r="O22" s="15"/>
      <c r="P22" s="15"/>
    </row>
    <row r="23" spans="10:16" ht="13.5" x14ac:dyDescent="0.25">
      <c r="J23" s="15"/>
      <c r="K23" s="22"/>
      <c r="L23" s="22"/>
      <c r="M23" s="15"/>
      <c r="N23" s="15"/>
      <c r="O23" s="15"/>
      <c r="P23" s="15"/>
    </row>
    <row r="24" spans="10:16" ht="13.5" x14ac:dyDescent="0.25">
      <c r="J24" s="15"/>
      <c r="K24" s="22"/>
      <c r="L24" s="22"/>
      <c r="M24" s="15"/>
      <c r="N24" s="15"/>
      <c r="O24" s="15"/>
      <c r="P24" s="15"/>
    </row>
    <row r="25" spans="10:16" ht="13.5" x14ac:dyDescent="0.25">
      <c r="J25" s="15"/>
      <c r="K25" s="22"/>
      <c r="L25" s="22"/>
      <c r="M25" s="15"/>
      <c r="N25" s="15"/>
      <c r="O25" s="15"/>
      <c r="P25" s="15"/>
    </row>
    <row r="26" spans="10:16" ht="13.5" x14ac:dyDescent="0.25">
      <c r="J26" s="15"/>
      <c r="K26" s="22"/>
      <c r="L26" s="22"/>
      <c r="M26" s="15"/>
      <c r="N26" s="15"/>
      <c r="O26" s="15"/>
      <c r="P26" s="15"/>
    </row>
    <row r="27" spans="10:16" ht="13.5" x14ac:dyDescent="0.25">
      <c r="J27" s="15"/>
      <c r="K27" s="22"/>
      <c r="L27" s="22"/>
      <c r="M27" s="15"/>
      <c r="N27" s="15"/>
      <c r="O27" s="15"/>
      <c r="P27" s="15"/>
    </row>
    <row r="28" spans="10:16" ht="13.5" x14ac:dyDescent="0.25">
      <c r="J28" s="15"/>
      <c r="K28" s="22"/>
      <c r="L28" s="22"/>
      <c r="M28" s="15"/>
      <c r="N28" s="15"/>
      <c r="O28" s="15"/>
      <c r="P28" s="15"/>
    </row>
    <row r="29" spans="10:16" ht="13.5" x14ac:dyDescent="0.25">
      <c r="J29" s="15"/>
      <c r="K29" s="22"/>
      <c r="L29" s="22"/>
      <c r="M29" s="15"/>
      <c r="N29" s="15"/>
      <c r="O29" s="15"/>
      <c r="P29" s="15"/>
    </row>
    <row r="30" spans="10:16" ht="13.5" x14ac:dyDescent="0.25">
      <c r="J30" s="15"/>
      <c r="K30" s="22"/>
      <c r="L30" s="22"/>
      <c r="M30" s="15"/>
      <c r="N30" s="15"/>
      <c r="O30" s="15"/>
      <c r="P30" s="15"/>
    </row>
    <row r="31" spans="10:16" ht="13.5" x14ac:dyDescent="0.25">
      <c r="J31" s="15"/>
      <c r="K31" s="22"/>
      <c r="L31" s="22"/>
      <c r="M31" s="15"/>
      <c r="N31" s="15"/>
      <c r="O31" s="15"/>
      <c r="P31" s="15"/>
    </row>
    <row r="32" spans="10:16" ht="13.5" x14ac:dyDescent="0.25">
      <c r="J32" s="15"/>
      <c r="K32" s="22"/>
      <c r="L32" s="22"/>
      <c r="M32" s="15"/>
      <c r="N32" s="15"/>
      <c r="O32" s="15"/>
      <c r="P32" s="15"/>
    </row>
    <row r="33" spans="10:16" ht="13.5" x14ac:dyDescent="0.25">
      <c r="J33" s="15"/>
      <c r="K33" s="22"/>
      <c r="L33" s="22"/>
      <c r="M33" s="15"/>
      <c r="N33" s="15"/>
      <c r="O33" s="15"/>
      <c r="P33" s="15"/>
    </row>
    <row r="34" spans="10:16" ht="13.5" x14ac:dyDescent="0.25">
      <c r="J34" s="15"/>
      <c r="K34" s="22"/>
      <c r="L34" s="22"/>
      <c r="M34" s="15"/>
      <c r="N34" s="15"/>
      <c r="O34" s="15"/>
      <c r="P34" s="15"/>
    </row>
    <row r="35" spans="10:16" ht="13.5" x14ac:dyDescent="0.25">
      <c r="J35" s="15"/>
      <c r="K35" s="22"/>
      <c r="L35" s="22"/>
      <c r="M35" s="15"/>
      <c r="N35" s="15"/>
      <c r="O35" s="15"/>
      <c r="P35" s="15"/>
    </row>
    <row r="36" spans="10:16" ht="13.5" x14ac:dyDescent="0.25">
      <c r="J36" s="15"/>
      <c r="K36" s="22"/>
      <c r="L36" s="22"/>
      <c r="M36" s="15"/>
      <c r="N36" s="15"/>
      <c r="O36" s="15"/>
      <c r="P36" s="15"/>
    </row>
    <row r="37" spans="10:16" ht="13.5" x14ac:dyDescent="0.25">
      <c r="J37" s="15"/>
      <c r="K37" s="22"/>
      <c r="L37" s="22"/>
      <c r="M37" s="15"/>
      <c r="N37" s="15"/>
      <c r="O37" s="15"/>
      <c r="P37" s="15"/>
    </row>
    <row r="38" spans="10:16" ht="13.5" x14ac:dyDescent="0.25">
      <c r="J38" s="15"/>
      <c r="K38" s="22"/>
      <c r="L38" s="22"/>
      <c r="M38" s="15"/>
      <c r="N38" s="15"/>
      <c r="O38" s="15"/>
      <c r="P38" s="15"/>
    </row>
    <row r="39" spans="10:16" ht="13.5" x14ac:dyDescent="0.25">
      <c r="J39" s="15"/>
      <c r="K39" s="22"/>
      <c r="L39" s="22"/>
      <c r="M39" s="15"/>
      <c r="N39" s="15"/>
      <c r="O39" s="15"/>
      <c r="P39" s="15"/>
    </row>
    <row r="40" spans="10:16" ht="13.5" x14ac:dyDescent="0.25">
      <c r="J40" s="15"/>
      <c r="K40" s="22"/>
      <c r="L40" s="22"/>
      <c r="M40" s="15"/>
      <c r="N40" s="15"/>
      <c r="O40" s="15"/>
      <c r="P40" s="15"/>
    </row>
    <row r="41" spans="10:16" ht="13.5" x14ac:dyDescent="0.25">
      <c r="J41" s="15"/>
      <c r="K41" s="22"/>
      <c r="L41" s="22"/>
      <c r="M41" s="15"/>
      <c r="N41" s="15"/>
      <c r="O41" s="15"/>
      <c r="P41" s="15"/>
    </row>
    <row r="42" spans="10:16" ht="13.5" x14ac:dyDescent="0.25">
      <c r="J42" s="15"/>
      <c r="K42" s="22"/>
      <c r="L42" s="22"/>
      <c r="M42" s="15"/>
      <c r="N42" s="15"/>
      <c r="O42" s="15"/>
      <c r="P42" s="15"/>
    </row>
    <row r="43" spans="10:16" ht="13.5" x14ac:dyDescent="0.25">
      <c r="J43" s="15"/>
      <c r="K43" s="22"/>
      <c r="L43" s="22"/>
      <c r="M43" s="15"/>
      <c r="N43" s="15"/>
      <c r="O43" s="15"/>
      <c r="P43" s="15"/>
    </row>
    <row r="44" spans="10:16" ht="13.5" x14ac:dyDescent="0.25">
      <c r="J44" s="15"/>
      <c r="K44" s="22"/>
      <c r="L44" s="22"/>
      <c r="M44" s="15"/>
      <c r="N44" s="15"/>
      <c r="O44" s="15"/>
      <c r="P44" s="15"/>
    </row>
    <row r="45" spans="10:16" x14ac:dyDescent="0.25">
      <c r="J45" s="23"/>
      <c r="K45" s="22"/>
      <c r="L45" s="24"/>
      <c r="M45" s="15"/>
      <c r="N45" s="15"/>
      <c r="O45" s="15"/>
      <c r="P45" s="15"/>
    </row>
    <row r="46" spans="10:16" ht="13.5" x14ac:dyDescent="0.25">
      <c r="J46" s="15"/>
      <c r="K46" s="22"/>
      <c r="L46" s="22"/>
      <c r="M46" s="15"/>
      <c r="N46" s="15"/>
      <c r="O46" s="15"/>
      <c r="P46" s="15"/>
    </row>
    <row r="47" spans="10:16" ht="13.5" x14ac:dyDescent="0.25">
      <c r="J47" s="15"/>
      <c r="K47" s="22"/>
      <c r="L47" s="22"/>
      <c r="M47" s="15"/>
      <c r="N47" s="15"/>
      <c r="O47" s="15"/>
      <c r="P47" s="15"/>
    </row>
    <row r="48" spans="10:16" ht="13.5" x14ac:dyDescent="0.25">
      <c r="J48" s="15"/>
      <c r="K48" s="22"/>
      <c r="L48" s="22"/>
      <c r="M48" s="15"/>
      <c r="N48" s="15"/>
      <c r="O48" s="15"/>
      <c r="P48" s="15"/>
    </row>
    <row r="49" spans="2:16" ht="13.5" x14ac:dyDescent="0.25">
      <c r="J49" s="15"/>
      <c r="K49" s="22"/>
      <c r="L49" s="22"/>
      <c r="M49" s="15"/>
      <c r="N49" s="15"/>
      <c r="O49" s="15"/>
      <c r="P49" s="15"/>
    </row>
    <row r="50" spans="2:16" ht="13.5" x14ac:dyDescent="0.25">
      <c r="J50" s="15"/>
      <c r="K50" s="22"/>
      <c r="L50" s="22"/>
      <c r="M50" s="15"/>
      <c r="N50" s="15"/>
      <c r="O50" s="15"/>
      <c r="P50" s="15"/>
    </row>
    <row r="51" spans="2:16" ht="13.5" x14ac:dyDescent="0.25">
      <c r="J51" s="15"/>
      <c r="K51" s="22"/>
      <c r="L51" s="22"/>
      <c r="M51" s="15"/>
      <c r="N51" s="15"/>
      <c r="O51" s="15"/>
      <c r="P51" s="15"/>
    </row>
    <row r="52" spans="2:16" ht="13.5" x14ac:dyDescent="0.25">
      <c r="B52" s="25"/>
      <c r="J52" s="15"/>
      <c r="K52" s="22"/>
      <c r="L52" s="22"/>
      <c r="M52" s="15"/>
      <c r="N52" s="15"/>
      <c r="O52" s="15"/>
      <c r="P52" s="15"/>
    </row>
    <row r="53" spans="2:16" ht="13.5" x14ac:dyDescent="0.25">
      <c r="B53" s="25"/>
      <c r="J53" s="15"/>
      <c r="K53" s="22"/>
      <c r="L53" s="22"/>
      <c r="M53" s="15"/>
      <c r="N53" s="15"/>
      <c r="O53" s="15"/>
      <c r="P53" s="15"/>
    </row>
    <row r="54" spans="2:16" ht="13.5" x14ac:dyDescent="0.25">
      <c r="B54" s="25"/>
      <c r="J54" s="15"/>
      <c r="K54" s="22"/>
      <c r="L54" s="22"/>
      <c r="M54" s="15"/>
      <c r="N54" s="15"/>
      <c r="O54" s="15"/>
      <c r="P54" s="15"/>
    </row>
    <row r="55" spans="2:16" ht="13.5" x14ac:dyDescent="0.25">
      <c r="B55" s="25"/>
      <c r="J55" s="15"/>
      <c r="K55" s="22"/>
      <c r="L55" s="22"/>
      <c r="M55" s="15"/>
      <c r="N55" s="15"/>
      <c r="O55" s="15"/>
      <c r="P55" s="15"/>
    </row>
    <row r="56" spans="2:16" ht="13.5" x14ac:dyDescent="0.25">
      <c r="B56" s="25"/>
      <c r="J56" s="15"/>
      <c r="K56" s="22"/>
      <c r="L56" s="22"/>
      <c r="M56" s="15"/>
      <c r="N56" s="15"/>
      <c r="O56" s="15"/>
      <c r="P56" s="15"/>
    </row>
    <row r="57" spans="2:16" ht="13.5" x14ac:dyDescent="0.25">
      <c r="B57" s="25"/>
      <c r="J57" s="15"/>
      <c r="K57" s="22"/>
      <c r="L57" s="22"/>
      <c r="M57" s="15"/>
      <c r="N57" s="15"/>
      <c r="O57" s="15"/>
      <c r="P57" s="15"/>
    </row>
    <row r="58" spans="2:16" ht="13.5" x14ac:dyDescent="0.25">
      <c r="B58" s="25"/>
      <c r="J58" s="15"/>
      <c r="K58" s="22"/>
      <c r="L58" s="22"/>
      <c r="M58" s="15"/>
      <c r="N58" s="15"/>
      <c r="O58" s="15"/>
      <c r="P58" s="15"/>
    </row>
    <row r="59" spans="2:16" ht="13.5" x14ac:dyDescent="0.25">
      <c r="B59" s="25"/>
      <c r="J59" s="15"/>
      <c r="K59" s="22"/>
      <c r="L59" s="22"/>
      <c r="M59" s="15"/>
      <c r="N59" s="15"/>
      <c r="O59" s="15"/>
      <c r="P59" s="15"/>
    </row>
    <row r="60" spans="2:16" x14ac:dyDescent="0.25">
      <c r="B60" s="25"/>
      <c r="J60" s="23"/>
      <c r="K60" s="22"/>
      <c r="L60" s="22"/>
      <c r="M60" s="15"/>
      <c r="N60" s="15"/>
      <c r="O60" s="15"/>
      <c r="P60" s="15"/>
    </row>
    <row r="61" spans="2:16" ht="13.5" x14ac:dyDescent="0.25">
      <c r="J61" s="15"/>
      <c r="K61" s="22"/>
      <c r="L61" s="22"/>
      <c r="M61" s="15"/>
      <c r="N61" s="15"/>
      <c r="O61" s="15"/>
      <c r="P61" s="15"/>
    </row>
    <row r="62" spans="2:16" ht="13.5" x14ac:dyDescent="0.25">
      <c r="J62" s="15"/>
      <c r="K62" s="22"/>
      <c r="L62" s="22"/>
      <c r="M62" s="15"/>
      <c r="N62" s="15"/>
      <c r="O62" s="15"/>
      <c r="P62" s="15"/>
    </row>
    <row r="63" spans="2:16" x14ac:dyDescent="0.25">
      <c r="J63" s="23"/>
      <c r="K63" s="22"/>
      <c r="L63" s="24"/>
      <c r="M63" s="15"/>
      <c r="N63" s="15"/>
      <c r="O63" s="15"/>
      <c r="P63" s="15"/>
    </row>
    <row r="64" spans="2:16" ht="13.5" x14ac:dyDescent="0.25">
      <c r="J64" s="15"/>
      <c r="K64" s="22"/>
      <c r="L64" s="22"/>
      <c r="M64" s="15"/>
      <c r="N64" s="15"/>
      <c r="O64" s="15"/>
      <c r="P64" s="15"/>
    </row>
    <row r="65" spans="2:16" ht="13.5" x14ac:dyDescent="0.25">
      <c r="J65" s="14"/>
      <c r="K65" s="22"/>
      <c r="L65" s="22"/>
      <c r="M65" s="15"/>
      <c r="N65" s="15"/>
      <c r="O65" s="15"/>
      <c r="P65" s="15"/>
    </row>
    <row r="66" spans="2:16" x14ac:dyDescent="0.25">
      <c r="J66" s="23"/>
      <c r="L66" s="13"/>
      <c r="M66" s="15"/>
      <c r="N66" s="15"/>
      <c r="O66" s="15"/>
      <c r="P66" s="15"/>
    </row>
    <row r="67" spans="2:16" x14ac:dyDescent="0.25">
      <c r="J67" s="23"/>
      <c r="K67" s="22"/>
      <c r="L67" s="22"/>
      <c r="M67" s="15"/>
      <c r="N67" s="15"/>
      <c r="O67" s="15"/>
      <c r="P67" s="15"/>
    </row>
    <row r="68" spans="2:16" x14ac:dyDescent="0.25">
      <c r="J68" s="23"/>
      <c r="K68" s="22"/>
      <c r="L68" s="24"/>
      <c r="M68" s="15"/>
      <c r="N68" s="15"/>
      <c r="O68" s="15"/>
      <c r="P68" s="15"/>
    </row>
    <row r="69" spans="2:16" x14ac:dyDescent="0.25">
      <c r="J69" s="23"/>
      <c r="K69" s="22"/>
      <c r="L69" s="24"/>
      <c r="M69" s="15"/>
      <c r="N69" s="15"/>
      <c r="O69" s="15"/>
      <c r="P69" s="15"/>
    </row>
    <row r="70" spans="2:16" x14ac:dyDescent="0.25">
      <c r="B70" s="25"/>
      <c r="J70" s="23"/>
      <c r="K70" s="26"/>
      <c r="L70" s="22"/>
      <c r="M70" s="15"/>
      <c r="N70" s="15"/>
      <c r="O70" s="15"/>
      <c r="P70" s="15"/>
    </row>
    <row r="71" spans="2:16" x14ac:dyDescent="0.25">
      <c r="J71" s="23"/>
      <c r="K71" s="22"/>
      <c r="L71" s="26"/>
      <c r="M71" s="15"/>
      <c r="N71" s="15"/>
      <c r="O71" s="15"/>
      <c r="P71" s="15"/>
    </row>
    <row r="72" spans="2:16" x14ac:dyDescent="0.25">
      <c r="J72" s="23"/>
      <c r="K72" s="22"/>
      <c r="L72" s="24"/>
      <c r="M72" s="15"/>
      <c r="N72" s="15"/>
      <c r="O72" s="15"/>
      <c r="P72" s="15"/>
    </row>
    <row r="73" spans="2:16" x14ac:dyDescent="0.25">
      <c r="J73" s="23"/>
      <c r="K73" s="22"/>
      <c r="L73" s="26"/>
      <c r="M73" s="15"/>
      <c r="N73" s="15"/>
      <c r="O73" s="15"/>
      <c r="P73" s="15"/>
    </row>
    <row r="74" spans="2:16" x14ac:dyDescent="0.25">
      <c r="B74" s="25"/>
      <c r="J74" s="23"/>
      <c r="K74" s="26"/>
      <c r="L74" s="26"/>
      <c r="M74" s="15"/>
      <c r="N74" s="15"/>
      <c r="O74" s="15"/>
      <c r="P74" s="15"/>
    </row>
    <row r="75" spans="2:16" x14ac:dyDescent="0.25">
      <c r="J75" s="23"/>
      <c r="K75" s="24"/>
      <c r="L75" s="26"/>
      <c r="M75" s="15"/>
      <c r="N75" s="15"/>
      <c r="O75" s="15"/>
      <c r="P75" s="15"/>
    </row>
    <row r="76" spans="2:16" x14ac:dyDescent="0.25">
      <c r="J76" s="23"/>
      <c r="K76" s="24"/>
      <c r="L76" s="26"/>
      <c r="M76" s="15"/>
      <c r="N76" s="15"/>
      <c r="O76" s="15"/>
      <c r="P76" s="15"/>
    </row>
    <row r="77" spans="2:16" x14ac:dyDescent="0.25">
      <c r="J77" s="23"/>
      <c r="K77" s="22"/>
      <c r="L77" s="24"/>
      <c r="M77" s="15"/>
      <c r="N77" s="15"/>
      <c r="O77" s="15"/>
      <c r="P77" s="15"/>
    </row>
    <row r="78" spans="2:16" x14ac:dyDescent="0.25">
      <c r="J78" s="23"/>
      <c r="K78" s="22"/>
      <c r="L78" s="24"/>
      <c r="M78" s="15"/>
      <c r="N78" s="15"/>
      <c r="O78" s="15"/>
      <c r="P78" s="15"/>
    </row>
    <row r="79" spans="2:16" x14ac:dyDescent="0.25">
      <c r="B79" s="25"/>
      <c r="J79" s="23"/>
      <c r="K79" s="24"/>
      <c r="L79" s="24"/>
      <c r="M79" s="15"/>
      <c r="N79" s="15"/>
      <c r="O79" s="15"/>
      <c r="P79" s="15"/>
    </row>
    <row r="80" spans="2:16" x14ac:dyDescent="0.25">
      <c r="J80" s="23"/>
      <c r="K80" s="22"/>
      <c r="L80" s="13"/>
      <c r="M80" s="15"/>
      <c r="N80" s="15"/>
      <c r="O80" s="15"/>
      <c r="P80" s="15"/>
    </row>
    <row r="81" spans="9:16" x14ac:dyDescent="0.25">
      <c r="J81" s="23"/>
      <c r="K81" s="26"/>
      <c r="L81" s="24"/>
      <c r="M81" s="15"/>
      <c r="N81" s="15"/>
      <c r="O81" s="15"/>
      <c r="P81" s="15"/>
    </row>
    <row r="82" spans="9:16" x14ac:dyDescent="0.25">
      <c r="I82" s="13"/>
      <c r="J82" s="24"/>
      <c r="L82" s="13"/>
      <c r="M82" s="15"/>
      <c r="N82" s="15"/>
      <c r="O82" s="15"/>
      <c r="P82" s="15"/>
    </row>
    <row r="83" spans="9:16" x14ac:dyDescent="0.25">
      <c r="J83" s="23"/>
      <c r="K83" s="24"/>
      <c r="L83" s="24"/>
      <c r="M83" s="15"/>
      <c r="N83" s="15"/>
      <c r="O83" s="15"/>
      <c r="P83" s="15"/>
    </row>
    <row r="84" spans="9:16" x14ac:dyDescent="0.25">
      <c r="J84" s="23"/>
      <c r="K84" s="24"/>
      <c r="L84" s="24"/>
      <c r="M84" s="15"/>
      <c r="N84" s="15"/>
      <c r="O84" s="15"/>
      <c r="P84" s="15"/>
    </row>
    <row r="85" spans="9:16" x14ac:dyDescent="0.25">
      <c r="L85" s="13"/>
      <c r="M85" s="15"/>
      <c r="N85" s="15"/>
      <c r="O85" s="15"/>
      <c r="P85" s="15"/>
    </row>
    <row r="86" spans="9:16" x14ac:dyDescent="0.25">
      <c r="J86" s="23"/>
      <c r="K86" s="22"/>
      <c r="L86" s="24"/>
      <c r="M86" s="15"/>
      <c r="N86" s="15"/>
      <c r="O86" s="15"/>
      <c r="P86" s="15"/>
    </row>
    <row r="87" spans="9:16" x14ac:dyDescent="0.25">
      <c r="I87" s="13"/>
      <c r="J87" s="24"/>
      <c r="K87" s="22"/>
      <c r="L87" s="13"/>
      <c r="M87" s="15"/>
      <c r="N87" s="15"/>
      <c r="O87" s="15"/>
      <c r="P87" s="15"/>
    </row>
    <row r="88" spans="9:16" x14ac:dyDescent="0.25">
      <c r="I88" s="13"/>
      <c r="J88" s="24"/>
      <c r="K88" s="22"/>
      <c r="L88" s="13"/>
      <c r="M88" s="15"/>
      <c r="N88" s="15"/>
      <c r="O88" s="15"/>
      <c r="P88" s="15"/>
    </row>
    <row r="89" spans="9:16" x14ac:dyDescent="0.25">
      <c r="J89" s="23"/>
      <c r="K89" s="22"/>
      <c r="L89" s="13"/>
      <c r="M89" s="15"/>
      <c r="N89" s="15"/>
      <c r="O89" s="15"/>
      <c r="P89" s="15"/>
    </row>
    <row r="90" spans="9:16" x14ac:dyDescent="0.25">
      <c r="J90" s="23"/>
      <c r="K90" s="26"/>
      <c r="L90" s="24"/>
      <c r="M90" s="15"/>
      <c r="N90" s="15"/>
      <c r="O90" s="15"/>
      <c r="P90" s="15"/>
    </row>
    <row r="91" spans="9:16" x14ac:dyDescent="0.25">
      <c r="J91" s="23"/>
      <c r="K91" s="26"/>
      <c r="L91" s="24"/>
      <c r="M91" s="15"/>
      <c r="N91" s="15"/>
      <c r="O91" s="15"/>
      <c r="P91" s="15"/>
    </row>
    <row r="92" spans="9:16" x14ac:dyDescent="0.25">
      <c r="J92" s="23"/>
      <c r="K92" s="22"/>
      <c r="L92" s="24"/>
      <c r="M92" s="15"/>
      <c r="N92" s="15"/>
      <c r="O92" s="15"/>
      <c r="P92" s="15"/>
    </row>
    <row r="93" spans="9:16" x14ac:dyDescent="0.25">
      <c r="J93" s="23"/>
      <c r="K93" s="26"/>
      <c r="L93" s="24"/>
      <c r="M93" s="15"/>
      <c r="N93" s="15"/>
      <c r="O93" s="15"/>
      <c r="P93" s="15"/>
    </row>
    <row r="94" spans="9:16" x14ac:dyDescent="0.25">
      <c r="J94" s="23"/>
      <c r="K94" s="26"/>
      <c r="L94" s="24"/>
      <c r="M94" s="15"/>
      <c r="N94" s="15"/>
      <c r="O94" s="15"/>
      <c r="P94" s="15"/>
    </row>
    <row r="95" spans="9:16" x14ac:dyDescent="0.25">
      <c r="J95" s="23"/>
      <c r="K95" s="26"/>
      <c r="L95" s="24"/>
      <c r="M95" s="15"/>
      <c r="N95" s="15"/>
      <c r="O95" s="15"/>
      <c r="P95" s="15"/>
    </row>
    <row r="96" spans="9:16" x14ac:dyDescent="0.25">
      <c r="J96" s="23"/>
      <c r="K96" s="26"/>
      <c r="L96" s="24"/>
      <c r="M96" s="15"/>
      <c r="N96" s="15"/>
      <c r="O96" s="15"/>
      <c r="P96" s="15"/>
    </row>
    <row r="97" spans="2:16" x14ac:dyDescent="0.25">
      <c r="J97" s="23"/>
      <c r="K97" s="26"/>
      <c r="L97" s="24"/>
      <c r="M97" s="15"/>
      <c r="N97" s="15"/>
      <c r="O97" s="15"/>
      <c r="P97" s="15"/>
    </row>
    <row r="98" spans="2:16" x14ac:dyDescent="0.25">
      <c r="J98" s="23"/>
      <c r="K98" s="26"/>
      <c r="L98" s="24"/>
      <c r="M98" s="15"/>
      <c r="N98" s="15"/>
      <c r="O98" s="15"/>
      <c r="P98" s="15"/>
    </row>
    <row r="99" spans="2:16" x14ac:dyDescent="0.25">
      <c r="J99" s="23"/>
      <c r="K99" s="24"/>
      <c r="L99" s="24"/>
      <c r="M99" s="15"/>
      <c r="N99" s="15"/>
      <c r="O99" s="15"/>
      <c r="P99" s="15"/>
    </row>
    <row r="100" spans="2:16" x14ac:dyDescent="0.25">
      <c r="J100" s="23"/>
      <c r="K100" s="22"/>
      <c r="L100" s="13"/>
      <c r="M100" s="15"/>
      <c r="N100" s="15"/>
      <c r="O100" s="15"/>
      <c r="P100" s="15"/>
    </row>
    <row r="101" spans="2:16" x14ac:dyDescent="0.25">
      <c r="J101" s="23"/>
      <c r="K101" s="22"/>
      <c r="L101" s="24"/>
      <c r="M101" s="15"/>
      <c r="N101" s="15"/>
      <c r="O101" s="15"/>
      <c r="P101" s="15"/>
    </row>
    <row r="102" spans="2:16" x14ac:dyDescent="0.25">
      <c r="J102" s="23"/>
      <c r="K102" s="22"/>
      <c r="L102" s="24"/>
      <c r="M102" s="15"/>
      <c r="N102" s="15"/>
      <c r="O102" s="15"/>
      <c r="P102" s="15"/>
    </row>
    <row r="103" spans="2:16" x14ac:dyDescent="0.25">
      <c r="B103" s="25"/>
      <c r="J103" s="23"/>
      <c r="K103" s="26"/>
      <c r="L103" s="24"/>
      <c r="M103" s="15"/>
      <c r="N103" s="15"/>
      <c r="O103" s="15"/>
      <c r="P103" s="15"/>
    </row>
    <row r="104" spans="2:16" x14ac:dyDescent="0.25">
      <c r="J104" s="23"/>
      <c r="K104" s="22"/>
      <c r="L104" s="24"/>
      <c r="M104" s="15"/>
      <c r="N104" s="15"/>
      <c r="O104" s="15"/>
      <c r="P104" s="15"/>
    </row>
    <row r="105" spans="2:16" x14ac:dyDescent="0.25">
      <c r="J105" s="23"/>
      <c r="K105" s="22"/>
      <c r="L105" s="24"/>
      <c r="M105" s="15"/>
      <c r="N105" s="15"/>
      <c r="O105" s="15"/>
      <c r="P105" s="15"/>
    </row>
    <row r="106" spans="2:16" x14ac:dyDescent="0.25">
      <c r="J106" s="23"/>
      <c r="K106" s="22"/>
      <c r="L106" s="24"/>
      <c r="M106" s="15"/>
      <c r="N106" s="15"/>
      <c r="O106" s="15"/>
      <c r="P106" s="15"/>
    </row>
    <row r="107" spans="2:16" x14ac:dyDescent="0.25">
      <c r="J107" s="23"/>
      <c r="K107" s="22"/>
      <c r="L107" s="24"/>
      <c r="M107" s="15"/>
      <c r="N107" s="15"/>
      <c r="O107" s="15"/>
      <c r="P107" s="15"/>
    </row>
    <row r="108" spans="2:16" x14ac:dyDescent="0.25">
      <c r="J108" s="23"/>
      <c r="K108" s="22"/>
      <c r="L108" s="24"/>
      <c r="M108" s="15"/>
      <c r="N108" s="15"/>
      <c r="O108" s="15"/>
      <c r="P108" s="15"/>
    </row>
    <row r="109" spans="2:16" x14ac:dyDescent="0.25">
      <c r="J109" s="23"/>
      <c r="K109" s="22"/>
      <c r="L109" s="24"/>
      <c r="M109" s="15"/>
      <c r="N109" s="15"/>
      <c r="O109" s="15"/>
      <c r="P109" s="15"/>
    </row>
    <row r="110" spans="2:16" x14ac:dyDescent="0.25">
      <c r="I110" s="13"/>
      <c r="J110" s="24"/>
      <c r="K110" s="26"/>
      <c r="L110" s="24"/>
      <c r="M110" s="15"/>
      <c r="N110" s="15"/>
      <c r="O110" s="15"/>
      <c r="P110" s="15"/>
    </row>
    <row r="111" spans="2:16" x14ac:dyDescent="0.25">
      <c r="I111" s="13"/>
      <c r="J111" s="24"/>
      <c r="K111" s="26"/>
      <c r="L111" s="24"/>
      <c r="M111" s="15"/>
      <c r="N111" s="15"/>
      <c r="O111" s="15"/>
      <c r="P111" s="15"/>
    </row>
    <row r="112" spans="2:16" x14ac:dyDescent="0.25">
      <c r="I112" s="13"/>
      <c r="J112" s="24"/>
      <c r="K112" s="26"/>
      <c r="L112" s="24"/>
      <c r="M112" s="15"/>
      <c r="N112" s="15"/>
      <c r="O112" s="15"/>
      <c r="P112" s="15"/>
    </row>
    <row r="113" spans="9:16" x14ac:dyDescent="0.25">
      <c r="I113" s="13"/>
      <c r="J113" s="24"/>
      <c r="K113" s="26"/>
      <c r="L113" s="24"/>
      <c r="M113" s="15"/>
      <c r="N113" s="15"/>
      <c r="O113" s="15"/>
      <c r="P113" s="15"/>
    </row>
    <row r="114" spans="9:16" x14ac:dyDescent="0.25">
      <c r="J114" s="23"/>
      <c r="K114" s="22"/>
      <c r="L114" s="13"/>
      <c r="M114" s="15"/>
      <c r="N114" s="15"/>
      <c r="O114" s="15"/>
      <c r="P114" s="15"/>
    </row>
    <row r="115" spans="9:16" x14ac:dyDescent="0.25">
      <c r="J115" s="23"/>
      <c r="K115" s="22"/>
      <c r="L115" s="13"/>
      <c r="M115" s="15"/>
      <c r="N115" s="15"/>
      <c r="O115" s="15"/>
      <c r="P115" s="15"/>
    </row>
    <row r="116" spans="9:16" x14ac:dyDescent="0.25">
      <c r="J116" s="23"/>
      <c r="K116" s="26"/>
      <c r="L116" s="24"/>
      <c r="M116" s="15"/>
      <c r="N116" s="15"/>
      <c r="O116" s="15"/>
      <c r="P116" s="15"/>
    </row>
    <row r="117" spans="9:16" x14ac:dyDescent="0.25">
      <c r="J117" s="23"/>
      <c r="K117" s="26"/>
      <c r="L117" s="24"/>
      <c r="M117" s="15"/>
      <c r="N117" s="15"/>
      <c r="O117" s="15"/>
      <c r="P117" s="15"/>
    </row>
    <row r="118" spans="9:16" x14ac:dyDescent="0.25">
      <c r="J118" s="23"/>
      <c r="K118" s="26"/>
      <c r="L118" s="24"/>
      <c r="M118" s="15"/>
      <c r="N118" s="15"/>
      <c r="O118" s="15"/>
      <c r="P118" s="15"/>
    </row>
    <row r="119" spans="9:16" x14ac:dyDescent="0.25">
      <c r="J119" s="23"/>
      <c r="K119" s="26"/>
      <c r="L119" s="24"/>
      <c r="M119" s="15"/>
      <c r="N119" s="15"/>
      <c r="O119" s="15"/>
      <c r="P119" s="15"/>
    </row>
    <row r="120" spans="9:16" x14ac:dyDescent="0.25">
      <c r="J120" s="23"/>
      <c r="K120" s="26"/>
      <c r="L120" s="24"/>
      <c r="M120" s="15"/>
      <c r="N120" s="15"/>
      <c r="O120" s="15"/>
      <c r="P120" s="15"/>
    </row>
    <row r="121" spans="9:16" x14ac:dyDescent="0.25">
      <c r="J121" s="23"/>
      <c r="K121" s="26"/>
      <c r="L121" s="24"/>
      <c r="M121" s="15"/>
      <c r="N121" s="15"/>
      <c r="O121" s="15"/>
      <c r="P121" s="15"/>
    </row>
    <row r="122" spans="9:16" x14ac:dyDescent="0.25">
      <c r="J122" s="23"/>
      <c r="K122" s="26"/>
      <c r="L122" s="24"/>
      <c r="M122" s="15"/>
      <c r="N122" s="15"/>
      <c r="O122" s="15"/>
      <c r="P122" s="15"/>
    </row>
    <row r="123" spans="9:16" x14ac:dyDescent="0.25">
      <c r="J123" s="23"/>
      <c r="K123" s="26"/>
      <c r="L123" s="24"/>
      <c r="M123" s="15"/>
      <c r="N123" s="15"/>
      <c r="O123" s="15"/>
      <c r="P123" s="15"/>
    </row>
    <row r="124" spans="9:16" x14ac:dyDescent="0.25">
      <c r="J124" s="23"/>
      <c r="K124" s="26"/>
      <c r="L124" s="24"/>
      <c r="M124" s="15"/>
      <c r="N124" s="15"/>
      <c r="O124" s="15"/>
      <c r="P124" s="15"/>
    </row>
    <row r="125" spans="9:16" x14ac:dyDescent="0.25">
      <c r="J125" s="23"/>
      <c r="K125" s="26"/>
      <c r="L125" s="24"/>
      <c r="M125" s="15"/>
      <c r="N125" s="15"/>
      <c r="O125" s="15"/>
      <c r="P125" s="15"/>
    </row>
    <row r="126" spans="9:16" x14ac:dyDescent="0.25">
      <c r="J126" s="23"/>
      <c r="K126" s="26"/>
      <c r="L126" s="24"/>
      <c r="M126" s="15"/>
      <c r="N126" s="15"/>
      <c r="O126" s="15"/>
      <c r="P126" s="15"/>
    </row>
    <row r="127" spans="9:16" x14ac:dyDescent="0.25">
      <c r="J127" s="23"/>
      <c r="K127" s="26"/>
      <c r="L127" s="24"/>
      <c r="M127" s="15"/>
      <c r="N127" s="15"/>
      <c r="O127" s="15"/>
      <c r="P127" s="15"/>
    </row>
    <row r="128" spans="9:16" x14ac:dyDescent="0.25">
      <c r="J128" s="23"/>
      <c r="K128" s="26"/>
      <c r="L128" s="24"/>
      <c r="M128" s="15"/>
      <c r="N128" s="15"/>
      <c r="O128" s="15"/>
      <c r="P128" s="15"/>
    </row>
    <row r="129" spans="10:16" x14ac:dyDescent="0.25">
      <c r="J129" s="23"/>
      <c r="K129" s="26"/>
      <c r="L129" s="24"/>
      <c r="M129" s="15"/>
      <c r="N129" s="15"/>
      <c r="O129" s="15"/>
      <c r="P129" s="15"/>
    </row>
    <row r="130" spans="10:16" x14ac:dyDescent="0.25">
      <c r="J130" s="23"/>
      <c r="K130" s="26"/>
      <c r="L130" s="24"/>
      <c r="M130" s="15"/>
      <c r="N130" s="15"/>
      <c r="O130" s="15"/>
      <c r="P130" s="15"/>
    </row>
    <row r="131" spans="10:16" x14ac:dyDescent="0.25">
      <c r="J131" s="23"/>
      <c r="K131" s="26"/>
      <c r="L131" s="24"/>
      <c r="M131" s="15"/>
      <c r="N131" s="15"/>
      <c r="O131" s="15"/>
      <c r="P131" s="15"/>
    </row>
    <row r="132" spans="10:16" x14ac:dyDescent="0.25">
      <c r="J132" s="23"/>
      <c r="K132" s="22"/>
      <c r="L132" s="13"/>
      <c r="M132" s="15"/>
      <c r="N132" s="15"/>
      <c r="O132" s="15"/>
      <c r="P132" s="15"/>
    </row>
    <row r="133" spans="10:16" x14ac:dyDescent="0.25">
      <c r="J133" s="23"/>
      <c r="K133" s="26"/>
      <c r="L133" s="24"/>
      <c r="M133" s="15"/>
      <c r="N133" s="15"/>
      <c r="O133" s="15"/>
      <c r="P133" s="15"/>
    </row>
    <row r="134" spans="10:16" x14ac:dyDescent="0.25">
      <c r="J134" s="23"/>
      <c r="K134" s="26"/>
      <c r="L134" s="24"/>
      <c r="M134" s="15"/>
      <c r="N134" s="15"/>
      <c r="O134" s="15"/>
      <c r="P134" s="15"/>
    </row>
    <row r="135" spans="10:16" x14ac:dyDescent="0.25">
      <c r="J135" s="23"/>
      <c r="K135" s="26"/>
      <c r="L135" s="24"/>
      <c r="M135" s="15"/>
      <c r="N135" s="15"/>
      <c r="O135" s="15"/>
      <c r="P135" s="15"/>
    </row>
    <row r="136" spans="10:16" x14ac:dyDescent="0.25">
      <c r="J136" s="23"/>
      <c r="K136" s="26"/>
      <c r="L136" s="24"/>
      <c r="M136" s="15"/>
      <c r="N136" s="15"/>
      <c r="O136" s="15"/>
      <c r="P136" s="15"/>
    </row>
    <row r="137" spans="10:16" x14ac:dyDescent="0.25">
      <c r="J137" s="23"/>
      <c r="K137" s="22"/>
      <c r="L137" s="13"/>
      <c r="M137" s="15"/>
      <c r="N137" s="15"/>
      <c r="O137" s="15"/>
      <c r="P137" s="15"/>
    </row>
    <row r="138" spans="10:16" x14ac:dyDescent="0.25">
      <c r="J138" s="23"/>
      <c r="K138" s="26"/>
      <c r="L138" s="24"/>
      <c r="M138" s="15"/>
      <c r="N138" s="15"/>
      <c r="O138" s="15"/>
      <c r="P138" s="15"/>
    </row>
    <row r="139" spans="10:16" x14ac:dyDescent="0.25">
      <c r="J139" s="23"/>
      <c r="K139" s="26"/>
      <c r="L139" s="24"/>
      <c r="M139" s="15"/>
      <c r="N139" s="15"/>
      <c r="O139" s="15"/>
      <c r="P139" s="15"/>
    </row>
    <row r="140" spans="10:16" x14ac:dyDescent="0.25">
      <c r="J140" s="23"/>
      <c r="K140" s="26"/>
      <c r="L140" s="24"/>
      <c r="M140" s="15"/>
      <c r="N140" s="15"/>
      <c r="O140" s="15"/>
      <c r="P140" s="15"/>
    </row>
    <row r="141" spans="10:16" x14ac:dyDescent="0.25">
      <c r="J141" s="23"/>
      <c r="K141" s="24"/>
      <c r="L141" s="24"/>
      <c r="M141" s="15"/>
      <c r="N141" s="15"/>
      <c r="O141" s="15"/>
      <c r="P141" s="15"/>
    </row>
    <row r="142" spans="10:16" x14ac:dyDescent="0.25">
      <c r="J142" s="23"/>
      <c r="L142" s="13"/>
      <c r="M142" s="15"/>
      <c r="N142" s="15"/>
      <c r="O142" s="15"/>
      <c r="P142" s="15"/>
    </row>
    <row r="143" spans="10:16" x14ac:dyDescent="0.25">
      <c r="J143" s="23"/>
      <c r="K143" s="24"/>
      <c r="L143" s="24"/>
      <c r="M143" s="15"/>
      <c r="N143" s="15"/>
      <c r="O143" s="15"/>
      <c r="P143" s="15"/>
    </row>
    <row r="144" spans="10:16" x14ac:dyDescent="0.25">
      <c r="J144" s="23"/>
      <c r="K144" s="24"/>
      <c r="L144" s="24"/>
      <c r="M144" s="15"/>
      <c r="N144" s="15"/>
      <c r="O144" s="15"/>
      <c r="P144" s="15"/>
    </row>
    <row r="145" spans="10:16" x14ac:dyDescent="0.25">
      <c r="J145" s="23"/>
      <c r="K145" s="24"/>
      <c r="L145" s="24"/>
      <c r="M145" s="15"/>
      <c r="N145" s="15"/>
      <c r="O145" s="15"/>
      <c r="P145" s="15"/>
    </row>
    <row r="146" spans="10:16" x14ac:dyDescent="0.25">
      <c r="J146" s="23"/>
      <c r="K146" s="24"/>
      <c r="L146" s="24"/>
      <c r="M146" s="15"/>
      <c r="N146" s="15"/>
      <c r="O146" s="15"/>
      <c r="P146" s="15"/>
    </row>
    <row r="147" spans="10:16" x14ac:dyDescent="0.25">
      <c r="J147" s="23"/>
      <c r="K147" s="24"/>
      <c r="L147" s="24"/>
      <c r="M147" s="15"/>
      <c r="N147" s="15"/>
      <c r="O147" s="15"/>
      <c r="P147" s="15"/>
    </row>
    <row r="148" spans="10:16" x14ac:dyDescent="0.25">
      <c r="J148" s="23"/>
      <c r="K148" s="24"/>
      <c r="L148" s="24"/>
      <c r="M148" s="15"/>
      <c r="N148" s="15"/>
      <c r="O148" s="15"/>
      <c r="P148" s="15"/>
    </row>
    <row r="149" spans="10:16" x14ac:dyDescent="0.25">
      <c r="J149" s="23"/>
      <c r="K149" s="24"/>
      <c r="L149" s="24"/>
      <c r="M149" s="15"/>
      <c r="N149" s="15"/>
      <c r="O149" s="15"/>
      <c r="P149" s="15"/>
    </row>
    <row r="150" spans="10:16" x14ac:dyDescent="0.25">
      <c r="J150" s="23"/>
      <c r="K150" s="24"/>
      <c r="L150" s="24"/>
      <c r="M150" s="15"/>
      <c r="N150" s="15"/>
      <c r="O150" s="15"/>
      <c r="P150" s="15"/>
    </row>
    <row r="151" spans="10:16" x14ac:dyDescent="0.25">
      <c r="J151" s="23"/>
      <c r="K151" s="24"/>
      <c r="L151" s="24"/>
      <c r="M151" s="15"/>
      <c r="N151" s="15"/>
      <c r="O151" s="15"/>
      <c r="P151" s="15"/>
    </row>
    <row r="152" spans="10:16" x14ac:dyDescent="0.25">
      <c r="J152" s="23"/>
      <c r="K152" s="24"/>
      <c r="L152" s="24"/>
      <c r="M152" s="15"/>
      <c r="N152" s="15"/>
      <c r="O152" s="15"/>
      <c r="P152" s="15"/>
    </row>
    <row r="153" spans="10:16" x14ac:dyDescent="0.25">
      <c r="J153" s="23"/>
      <c r="K153" s="24"/>
      <c r="L153" s="24"/>
      <c r="M153" s="15"/>
      <c r="N153" s="15"/>
      <c r="O153" s="15"/>
      <c r="P153" s="15"/>
    </row>
    <row r="154" spans="10:16" x14ac:dyDescent="0.25">
      <c r="J154" s="23"/>
      <c r="L154" s="13"/>
      <c r="M154" s="15"/>
      <c r="N154" s="15"/>
      <c r="O154" s="15"/>
      <c r="P154" s="15"/>
    </row>
    <row r="155" spans="10:16" x14ac:dyDescent="0.25">
      <c r="J155" s="23"/>
      <c r="K155" s="26"/>
      <c r="L155" s="24"/>
      <c r="M155" s="15"/>
      <c r="N155" s="15"/>
      <c r="O155" s="15"/>
      <c r="P155" s="15"/>
    </row>
    <row r="156" spans="10:16" x14ac:dyDescent="0.25">
      <c r="J156" s="23"/>
      <c r="K156" s="26"/>
      <c r="L156" s="24"/>
      <c r="M156" s="15"/>
      <c r="N156" s="15"/>
      <c r="O156" s="15"/>
      <c r="P156" s="15"/>
    </row>
    <row r="157" spans="10:16" x14ac:dyDescent="0.25">
      <c r="J157" s="23"/>
      <c r="K157" s="26"/>
      <c r="L157" s="24"/>
      <c r="M157" s="15"/>
      <c r="N157" s="15"/>
      <c r="O157" s="15"/>
      <c r="P157" s="15"/>
    </row>
    <row r="158" spans="10:16" x14ac:dyDescent="0.25">
      <c r="J158" s="23"/>
      <c r="K158" s="26"/>
      <c r="L158" s="24"/>
      <c r="M158" s="15"/>
      <c r="N158" s="15"/>
      <c r="O158" s="15"/>
      <c r="P158" s="15"/>
    </row>
    <row r="159" spans="10:16" x14ac:dyDescent="0.25">
      <c r="J159" s="23"/>
      <c r="K159" s="26"/>
      <c r="L159" s="24"/>
      <c r="M159" s="15"/>
      <c r="N159" s="15"/>
      <c r="O159" s="15"/>
      <c r="P159" s="15"/>
    </row>
    <row r="160" spans="10:16" x14ac:dyDescent="0.25">
      <c r="J160" s="23"/>
      <c r="K160" s="26"/>
      <c r="L160" s="24"/>
      <c r="M160" s="15"/>
      <c r="N160" s="15"/>
      <c r="O160" s="15"/>
      <c r="P160" s="15"/>
    </row>
    <row r="161" spans="2:16" x14ac:dyDescent="0.25">
      <c r="J161" s="23"/>
      <c r="K161" s="26"/>
      <c r="L161" s="24"/>
      <c r="M161" s="15"/>
      <c r="N161" s="15"/>
      <c r="O161" s="15"/>
      <c r="P161" s="15"/>
    </row>
    <row r="162" spans="2:16" x14ac:dyDescent="0.25">
      <c r="J162" s="23"/>
      <c r="K162" s="26"/>
      <c r="L162" s="24"/>
      <c r="M162" s="15"/>
      <c r="N162" s="15"/>
      <c r="O162" s="15"/>
      <c r="P162" s="15"/>
    </row>
    <row r="163" spans="2:16" x14ac:dyDescent="0.25">
      <c r="J163" s="23"/>
      <c r="K163" s="26"/>
      <c r="L163" s="24"/>
      <c r="M163" s="15"/>
      <c r="N163" s="15"/>
      <c r="O163" s="15"/>
      <c r="P163" s="15"/>
    </row>
    <row r="164" spans="2:16" x14ac:dyDescent="0.25">
      <c r="J164" s="23"/>
      <c r="K164" s="26"/>
      <c r="L164" s="24"/>
      <c r="M164" s="15"/>
      <c r="N164" s="15"/>
      <c r="O164" s="15"/>
      <c r="P164" s="15"/>
    </row>
    <row r="165" spans="2:16" x14ac:dyDescent="0.25">
      <c r="J165" s="23"/>
      <c r="K165" s="26"/>
      <c r="L165" s="24"/>
      <c r="M165" s="15"/>
      <c r="N165" s="15"/>
      <c r="O165" s="15"/>
      <c r="P165" s="15"/>
    </row>
    <row r="166" spans="2:16" x14ac:dyDescent="0.25">
      <c r="J166" s="23"/>
      <c r="K166" s="26"/>
      <c r="L166" s="24"/>
      <c r="M166" s="15"/>
      <c r="N166" s="15"/>
      <c r="O166" s="15"/>
      <c r="P166" s="15"/>
    </row>
    <row r="167" spans="2:16" x14ac:dyDescent="0.25">
      <c r="J167" s="23"/>
      <c r="L167" s="13"/>
      <c r="M167" s="15"/>
      <c r="N167" s="15"/>
      <c r="O167" s="15"/>
      <c r="P167" s="15"/>
    </row>
    <row r="168" spans="2:16" x14ac:dyDescent="0.25">
      <c r="J168" s="23"/>
      <c r="K168" s="24"/>
      <c r="L168" s="24"/>
      <c r="M168" s="15"/>
      <c r="N168" s="15"/>
      <c r="O168" s="15"/>
      <c r="P168" s="15"/>
    </row>
    <row r="169" spans="2:16" x14ac:dyDescent="0.25">
      <c r="B169" s="25"/>
      <c r="L169" s="13"/>
      <c r="M169" s="15"/>
      <c r="N169" s="15"/>
      <c r="O169" s="15"/>
      <c r="P169" s="15"/>
    </row>
    <row r="170" spans="2:16" x14ac:dyDescent="0.25">
      <c r="J170" s="23"/>
      <c r="K170" s="24"/>
      <c r="L170" s="24"/>
      <c r="M170" s="15"/>
      <c r="N170" s="15"/>
      <c r="O170" s="15"/>
      <c r="P170" s="15"/>
    </row>
    <row r="171" spans="2:16" x14ac:dyDescent="0.25">
      <c r="J171" s="23"/>
      <c r="K171" s="24"/>
      <c r="L171" s="24"/>
      <c r="M171" s="15"/>
      <c r="N171" s="15"/>
      <c r="O171" s="15"/>
      <c r="P171" s="15"/>
    </row>
    <row r="172" spans="2:16" x14ac:dyDescent="0.25">
      <c r="J172" s="23"/>
      <c r="K172" s="24"/>
      <c r="L172" s="24"/>
      <c r="M172" s="15"/>
      <c r="N172" s="15"/>
      <c r="O172" s="15"/>
      <c r="P172" s="15"/>
    </row>
    <row r="173" spans="2:16" x14ac:dyDescent="0.25">
      <c r="J173" s="23"/>
      <c r="K173" s="24"/>
      <c r="L173" s="24"/>
      <c r="M173" s="15"/>
      <c r="N173" s="15"/>
      <c r="O173" s="15"/>
      <c r="P173" s="15"/>
    </row>
    <row r="174" spans="2:16" x14ac:dyDescent="0.25">
      <c r="J174" s="23"/>
      <c r="K174" s="24"/>
      <c r="L174" s="24"/>
      <c r="M174" s="15"/>
      <c r="N174" s="15"/>
      <c r="O174" s="15"/>
      <c r="P174" s="15"/>
    </row>
    <row r="175" spans="2:16" x14ac:dyDescent="0.25">
      <c r="J175" s="23"/>
      <c r="K175" s="24"/>
      <c r="L175" s="24"/>
      <c r="M175" s="15"/>
      <c r="N175" s="15"/>
      <c r="O175" s="15"/>
      <c r="P175" s="15"/>
    </row>
    <row r="176" spans="2:16" x14ac:dyDescent="0.25">
      <c r="J176" s="23"/>
      <c r="K176" s="24"/>
      <c r="L176" s="24"/>
      <c r="M176" s="15"/>
      <c r="N176" s="15"/>
      <c r="O176" s="15"/>
      <c r="P176" s="15"/>
    </row>
    <row r="177" spans="10:16" x14ac:dyDescent="0.25">
      <c r="J177" s="23"/>
      <c r="K177" s="24"/>
      <c r="L177" s="24"/>
      <c r="M177" s="15"/>
      <c r="N177" s="15"/>
      <c r="O177" s="15"/>
      <c r="P177" s="15"/>
    </row>
    <row r="178" spans="10:16" x14ac:dyDescent="0.25">
      <c r="J178" s="23"/>
      <c r="K178" s="24"/>
      <c r="L178" s="24"/>
      <c r="M178" s="15"/>
      <c r="N178" s="15"/>
      <c r="O178" s="15"/>
      <c r="P178" s="15"/>
    </row>
    <row r="179" spans="10:16" x14ac:dyDescent="0.25">
      <c r="J179" s="23"/>
      <c r="K179" s="24"/>
      <c r="L179" s="24"/>
      <c r="M179" s="15"/>
      <c r="N179" s="15"/>
      <c r="O179" s="15"/>
      <c r="P179" s="15"/>
    </row>
    <row r="180" spans="10:16" x14ac:dyDescent="0.25">
      <c r="J180" s="23"/>
      <c r="K180" s="24"/>
      <c r="L180" s="24"/>
      <c r="M180" s="15"/>
      <c r="N180" s="15"/>
      <c r="O180" s="15"/>
      <c r="P180" s="15"/>
    </row>
    <row r="181" spans="10:16" x14ac:dyDescent="0.25">
      <c r="J181" s="23"/>
      <c r="K181" s="24"/>
      <c r="L181" s="24"/>
      <c r="M181" s="15"/>
      <c r="N181" s="15"/>
      <c r="O181" s="15"/>
      <c r="P181" s="15"/>
    </row>
    <row r="182" spans="10:16" x14ac:dyDescent="0.25">
      <c r="J182" s="23"/>
      <c r="K182" s="24"/>
      <c r="L182" s="24"/>
      <c r="M182" s="15"/>
      <c r="N182" s="15"/>
      <c r="O182" s="15"/>
      <c r="P182" s="15"/>
    </row>
    <row r="183" spans="10:16" x14ac:dyDescent="0.25">
      <c r="J183" s="23"/>
      <c r="K183" s="24"/>
      <c r="L183" s="24"/>
      <c r="M183" s="15"/>
      <c r="N183" s="15"/>
      <c r="O183" s="15"/>
      <c r="P183" s="15"/>
    </row>
    <row r="184" spans="10:16" x14ac:dyDescent="0.25">
      <c r="J184" s="23"/>
      <c r="K184" s="24"/>
      <c r="L184" s="24"/>
      <c r="M184" s="15"/>
      <c r="N184" s="15"/>
      <c r="O184" s="15"/>
      <c r="P184" s="15"/>
    </row>
    <row r="185" spans="10:16" x14ac:dyDescent="0.25">
      <c r="J185" s="23"/>
      <c r="K185" s="24"/>
      <c r="L185" s="24"/>
      <c r="M185" s="15"/>
      <c r="N185" s="15"/>
      <c r="O185" s="15"/>
      <c r="P185" s="15"/>
    </row>
    <row r="186" spans="10:16" x14ac:dyDescent="0.25">
      <c r="J186" s="23"/>
      <c r="K186" s="24"/>
      <c r="L186" s="24"/>
      <c r="M186" s="15"/>
      <c r="N186" s="15"/>
      <c r="O186" s="15"/>
      <c r="P186" s="15"/>
    </row>
    <row r="187" spans="10:16" x14ac:dyDescent="0.25">
      <c r="J187" s="23"/>
      <c r="K187" s="24"/>
      <c r="L187" s="24"/>
      <c r="M187" s="15"/>
      <c r="N187" s="15"/>
      <c r="O187" s="15"/>
      <c r="P187" s="15"/>
    </row>
    <row r="188" spans="10:16" x14ac:dyDescent="0.25">
      <c r="J188" s="23"/>
      <c r="K188" s="24"/>
      <c r="L188" s="24"/>
      <c r="M188" s="15"/>
      <c r="N188" s="15"/>
      <c r="O188" s="15"/>
      <c r="P188" s="15"/>
    </row>
    <row r="189" spans="10:16" x14ac:dyDescent="0.25">
      <c r="J189" s="23"/>
      <c r="K189" s="24"/>
      <c r="L189" s="24"/>
      <c r="M189" s="15"/>
      <c r="N189" s="15"/>
      <c r="O189" s="15"/>
      <c r="P189" s="15"/>
    </row>
    <row r="190" spans="10:16" x14ac:dyDescent="0.25">
      <c r="J190" s="23"/>
      <c r="K190" s="24"/>
      <c r="L190" s="24"/>
      <c r="M190" s="15"/>
      <c r="N190" s="15"/>
      <c r="O190" s="15"/>
      <c r="P190" s="15"/>
    </row>
    <row r="191" spans="10:16" x14ac:dyDescent="0.25">
      <c r="J191" s="23"/>
      <c r="K191" s="24"/>
      <c r="L191" s="24"/>
      <c r="M191" s="15"/>
      <c r="N191" s="15"/>
      <c r="O191" s="15"/>
      <c r="P191" s="15"/>
    </row>
    <row r="192" spans="10:16" x14ac:dyDescent="0.25">
      <c r="J192" s="23"/>
      <c r="K192" s="24"/>
      <c r="L192" s="24"/>
      <c r="M192" s="15"/>
      <c r="N192" s="15"/>
      <c r="O192" s="15"/>
      <c r="P192" s="15"/>
    </row>
    <row r="193" spans="9:16" x14ac:dyDescent="0.25">
      <c r="J193" s="23"/>
      <c r="K193" s="24"/>
      <c r="L193" s="24"/>
      <c r="M193" s="15"/>
      <c r="N193" s="15"/>
      <c r="O193" s="15"/>
      <c r="P193" s="15"/>
    </row>
    <row r="194" spans="9:16" x14ac:dyDescent="0.25">
      <c r="J194" s="23"/>
      <c r="K194" s="26"/>
      <c r="L194" s="24"/>
      <c r="M194" s="15"/>
      <c r="N194" s="15"/>
      <c r="O194" s="15"/>
      <c r="P194" s="15"/>
    </row>
    <row r="195" spans="9:16" x14ac:dyDescent="0.25">
      <c r="I195" s="13"/>
      <c r="J195" s="24"/>
      <c r="K195" s="24"/>
      <c r="L195" s="24"/>
      <c r="M195" s="15"/>
      <c r="N195" s="15"/>
      <c r="O195" s="15"/>
      <c r="P195" s="15"/>
    </row>
    <row r="196" spans="9:16" x14ac:dyDescent="0.25">
      <c r="I196" s="13"/>
      <c r="J196" s="24"/>
      <c r="K196" s="24"/>
      <c r="L196" s="24"/>
      <c r="M196" s="15"/>
      <c r="N196" s="15"/>
      <c r="O196" s="15"/>
      <c r="P196" s="15"/>
    </row>
    <row r="197" spans="9:16" x14ac:dyDescent="0.25">
      <c r="I197" s="13"/>
      <c r="J197" s="24"/>
      <c r="K197" s="24"/>
      <c r="L197" s="24"/>
      <c r="M197" s="15"/>
      <c r="N197" s="15"/>
      <c r="O197" s="15"/>
      <c r="P197" s="15"/>
    </row>
    <row r="198" spans="9:16" x14ac:dyDescent="0.25">
      <c r="I198" s="13"/>
      <c r="J198" s="24"/>
      <c r="K198" s="22"/>
      <c r="L198" s="13"/>
      <c r="M198" s="15"/>
      <c r="N198" s="15"/>
      <c r="O198" s="15"/>
      <c r="P198" s="15"/>
    </row>
    <row r="199" spans="9:16" x14ac:dyDescent="0.25">
      <c r="I199" s="13"/>
      <c r="J199" s="24"/>
      <c r="K199" s="24"/>
      <c r="L199" s="24"/>
      <c r="M199" s="15"/>
      <c r="N199" s="15"/>
      <c r="O199" s="15"/>
      <c r="P199" s="15"/>
    </row>
    <row r="200" spans="9:16" x14ac:dyDescent="0.25">
      <c r="I200" s="13"/>
      <c r="J200" s="24"/>
      <c r="K200" s="24"/>
      <c r="L200" s="24"/>
      <c r="M200" s="15"/>
      <c r="N200" s="15"/>
      <c r="O200" s="15"/>
      <c r="P200" s="15"/>
    </row>
    <row r="201" spans="9:16" x14ac:dyDescent="0.25">
      <c r="I201" s="13"/>
      <c r="J201" s="24"/>
      <c r="K201" s="24"/>
      <c r="L201" s="24"/>
      <c r="M201" s="15"/>
      <c r="N201" s="15"/>
      <c r="O201" s="15"/>
      <c r="P201" s="15"/>
    </row>
    <row r="202" spans="9:16" x14ac:dyDescent="0.25">
      <c r="I202" s="13"/>
      <c r="J202" s="24"/>
      <c r="K202" s="24"/>
      <c r="L202" s="24"/>
      <c r="M202" s="15"/>
      <c r="N202" s="15"/>
      <c r="O202" s="15"/>
      <c r="P202" s="15"/>
    </row>
    <row r="203" spans="9:16" x14ac:dyDescent="0.25">
      <c r="I203" s="13"/>
      <c r="J203" s="24"/>
      <c r="K203" s="24"/>
      <c r="L203" s="24"/>
      <c r="M203" s="15"/>
      <c r="N203" s="15"/>
      <c r="O203" s="15"/>
      <c r="P203" s="15"/>
    </row>
    <row r="204" spans="9:16" x14ac:dyDescent="0.25">
      <c r="I204" s="13"/>
      <c r="J204" s="24"/>
      <c r="K204" s="24"/>
      <c r="L204" s="24"/>
      <c r="M204" s="15"/>
      <c r="N204" s="15"/>
      <c r="O204" s="15"/>
      <c r="P204" s="15"/>
    </row>
    <row r="205" spans="9:16" x14ac:dyDescent="0.25">
      <c r="I205" s="13"/>
      <c r="J205" s="24"/>
      <c r="K205" s="24"/>
      <c r="L205" s="24"/>
      <c r="M205" s="15"/>
      <c r="N205" s="15"/>
      <c r="O205" s="15"/>
      <c r="P205" s="15"/>
    </row>
    <row r="206" spans="9:16" x14ac:dyDescent="0.25">
      <c r="I206" s="13"/>
      <c r="J206" s="24"/>
      <c r="L206" s="13"/>
      <c r="M206" s="15"/>
      <c r="N206" s="15"/>
      <c r="O206" s="15"/>
      <c r="P206" s="15"/>
    </row>
    <row r="207" spans="9:16" x14ac:dyDescent="0.25">
      <c r="I207" s="13"/>
      <c r="J207" s="24"/>
      <c r="K207" s="24"/>
      <c r="L207" s="24"/>
      <c r="M207" s="15"/>
      <c r="N207" s="15"/>
      <c r="O207" s="15"/>
      <c r="P207" s="15"/>
    </row>
    <row r="208" spans="9:16" x14ac:dyDescent="0.25">
      <c r="I208" s="13"/>
      <c r="J208" s="24"/>
      <c r="K208" s="24"/>
      <c r="L208" s="24"/>
      <c r="M208" s="15"/>
      <c r="N208" s="15"/>
      <c r="O208" s="15"/>
      <c r="P208" s="15"/>
    </row>
    <row r="209" spans="9:16" x14ac:dyDescent="0.25">
      <c r="I209" s="13"/>
      <c r="J209" s="24"/>
      <c r="K209" s="24"/>
      <c r="L209" s="24"/>
      <c r="M209" s="15"/>
      <c r="N209" s="15"/>
      <c r="O209" s="15"/>
      <c r="P209" s="15"/>
    </row>
    <row r="210" spans="9:16" x14ac:dyDescent="0.25">
      <c r="I210" s="13"/>
      <c r="J210" s="24"/>
      <c r="K210" s="24"/>
      <c r="L210" s="24"/>
      <c r="M210" s="15"/>
      <c r="N210" s="15"/>
      <c r="O210" s="15"/>
      <c r="P210" s="15"/>
    </row>
    <row r="211" spans="9:16" x14ac:dyDescent="0.25">
      <c r="I211" s="13"/>
      <c r="J211" s="24"/>
      <c r="K211" s="24"/>
      <c r="L211" s="24"/>
      <c r="M211" s="15"/>
      <c r="N211" s="15"/>
      <c r="O211" s="15"/>
      <c r="P211" s="15"/>
    </row>
    <row r="212" spans="9:16" x14ac:dyDescent="0.25">
      <c r="I212" s="13"/>
      <c r="J212" s="24"/>
      <c r="K212" s="24"/>
      <c r="L212" s="24"/>
      <c r="M212" s="15"/>
      <c r="N212" s="15"/>
      <c r="O212" s="15"/>
      <c r="P212" s="15"/>
    </row>
    <row r="213" spans="9:16" x14ac:dyDescent="0.25">
      <c r="I213" s="13"/>
      <c r="J213" s="24"/>
      <c r="K213" s="24"/>
      <c r="L213" s="24"/>
      <c r="M213" s="15"/>
      <c r="N213" s="15"/>
      <c r="O213" s="15"/>
      <c r="P213" s="15"/>
    </row>
    <row r="214" spans="9:16" x14ac:dyDescent="0.25">
      <c r="I214" s="13"/>
      <c r="J214" s="24"/>
      <c r="K214" s="24"/>
      <c r="L214" s="24"/>
      <c r="M214" s="15"/>
      <c r="N214" s="15"/>
      <c r="O214" s="15"/>
      <c r="P214" s="15"/>
    </row>
    <row r="215" spans="9:16" x14ac:dyDescent="0.25">
      <c r="I215" s="13"/>
      <c r="J215" s="24"/>
      <c r="K215" s="24"/>
      <c r="L215" s="24"/>
      <c r="M215" s="15"/>
      <c r="N215" s="15"/>
      <c r="O215" s="15"/>
      <c r="P215" s="15"/>
    </row>
    <row r="216" spans="9:16" x14ac:dyDescent="0.25">
      <c r="I216" s="13"/>
      <c r="J216" s="24"/>
      <c r="K216" s="24"/>
      <c r="L216" s="24"/>
      <c r="M216" s="15"/>
      <c r="N216" s="15"/>
      <c r="O216" s="15"/>
      <c r="P216" s="15"/>
    </row>
    <row r="217" spans="9:16" x14ac:dyDescent="0.25">
      <c r="I217" s="13"/>
      <c r="J217" s="24"/>
      <c r="K217" s="24"/>
      <c r="L217" s="24"/>
      <c r="M217" s="15"/>
      <c r="N217" s="15"/>
      <c r="O217" s="15"/>
      <c r="P217" s="15"/>
    </row>
    <row r="218" spans="9:16" x14ac:dyDescent="0.25">
      <c r="I218" s="13"/>
      <c r="J218" s="24"/>
      <c r="K218" s="24"/>
      <c r="L218" s="24"/>
      <c r="M218" s="15"/>
      <c r="N218" s="15"/>
      <c r="O218" s="15"/>
      <c r="P218" s="15"/>
    </row>
    <row r="219" spans="9:16" x14ac:dyDescent="0.25">
      <c r="I219" s="13"/>
      <c r="J219" s="24"/>
      <c r="K219" s="24"/>
      <c r="L219" s="24"/>
      <c r="M219" s="15"/>
      <c r="N219" s="15"/>
      <c r="O219" s="15"/>
      <c r="P219" s="15"/>
    </row>
    <row r="220" spans="9:16" x14ac:dyDescent="0.25">
      <c r="I220" s="13"/>
      <c r="J220" s="24"/>
      <c r="K220" s="24"/>
      <c r="L220" s="24"/>
      <c r="M220" s="15"/>
      <c r="N220" s="15"/>
      <c r="O220" s="15"/>
      <c r="P220" s="15"/>
    </row>
    <row r="221" spans="9:16" x14ac:dyDescent="0.25">
      <c r="I221" s="13"/>
      <c r="J221" s="24"/>
      <c r="K221" s="24"/>
      <c r="L221" s="24"/>
      <c r="M221" s="15"/>
      <c r="N221" s="15"/>
      <c r="O221" s="15"/>
      <c r="P221" s="15"/>
    </row>
    <row r="222" spans="9:16" x14ac:dyDescent="0.25">
      <c r="I222" s="13"/>
      <c r="J222" s="24"/>
      <c r="K222" s="24"/>
      <c r="L222" s="24"/>
      <c r="M222" s="15"/>
      <c r="N222" s="15"/>
      <c r="O222" s="15"/>
      <c r="P222" s="15"/>
    </row>
    <row r="223" spans="9:16" x14ac:dyDescent="0.25">
      <c r="I223" s="13"/>
      <c r="J223" s="24"/>
      <c r="L223" s="13"/>
      <c r="M223" s="15"/>
      <c r="N223" s="15"/>
      <c r="O223" s="15"/>
      <c r="P223" s="15"/>
    </row>
    <row r="224" spans="9:16" x14ac:dyDescent="0.25">
      <c r="I224" s="13"/>
      <c r="J224" s="24"/>
      <c r="L224" s="13"/>
      <c r="M224" s="15"/>
      <c r="N224" s="15"/>
      <c r="O224" s="15"/>
      <c r="P224" s="15"/>
    </row>
    <row r="225" spans="9:16" x14ac:dyDescent="0.25">
      <c r="I225" s="13"/>
      <c r="J225" s="24"/>
      <c r="L225" s="13"/>
      <c r="M225" s="15"/>
      <c r="N225" s="15"/>
      <c r="O225" s="15"/>
      <c r="P225" s="15"/>
    </row>
    <row r="226" spans="9:16" x14ac:dyDescent="0.25">
      <c r="I226" s="13"/>
      <c r="J226" s="24"/>
      <c r="L226" s="13"/>
      <c r="M226" s="15"/>
      <c r="N226" s="15"/>
      <c r="O226" s="15"/>
      <c r="P226" s="15"/>
    </row>
    <row r="227" spans="9:16" x14ac:dyDescent="0.25">
      <c r="I227" s="13"/>
      <c r="J227" s="24"/>
      <c r="L227" s="13"/>
      <c r="M227" s="15"/>
      <c r="N227" s="15"/>
      <c r="O227" s="15"/>
      <c r="P227" s="15"/>
    </row>
    <row r="228" spans="9:16" x14ac:dyDescent="0.25">
      <c r="L228" s="13"/>
      <c r="M228" s="15"/>
      <c r="N228" s="15"/>
      <c r="O228" s="15"/>
      <c r="P228" s="15"/>
    </row>
    <row r="229" spans="9:16" x14ac:dyDescent="0.25">
      <c r="L229" s="13"/>
      <c r="M229" s="15"/>
      <c r="N229" s="15"/>
      <c r="O229" s="15"/>
      <c r="P229" s="15"/>
    </row>
    <row r="230" spans="9:16" x14ac:dyDescent="0.25">
      <c r="L230" s="13"/>
      <c r="M230" s="15"/>
      <c r="N230" s="15"/>
      <c r="O230" s="15"/>
      <c r="P230" s="15"/>
    </row>
    <row r="231" spans="9:16" x14ac:dyDescent="0.25">
      <c r="L231" s="13"/>
      <c r="M231" s="15"/>
      <c r="N231" s="15"/>
      <c r="O231" s="15"/>
      <c r="P231" s="15"/>
    </row>
    <row r="232" spans="9:16" x14ac:dyDescent="0.25">
      <c r="L232" s="13"/>
      <c r="M232" s="15"/>
      <c r="N232" s="15"/>
      <c r="O232" s="15"/>
      <c r="P232" s="15"/>
    </row>
    <row r="233" spans="9:16" x14ac:dyDescent="0.25">
      <c r="L233" s="13"/>
      <c r="M233" s="15"/>
      <c r="N233" s="15"/>
      <c r="O233" s="15"/>
      <c r="P233" s="15"/>
    </row>
    <row r="234" spans="9:16" x14ac:dyDescent="0.25">
      <c r="L234" s="13"/>
      <c r="M234" s="15"/>
      <c r="N234" s="15"/>
      <c r="O234" s="15"/>
      <c r="P234" s="15"/>
    </row>
    <row r="235" spans="9:16" x14ac:dyDescent="0.25">
      <c r="L235" s="13"/>
      <c r="M235" s="15"/>
      <c r="N235" s="15"/>
      <c r="O235" s="15"/>
      <c r="P235" s="15"/>
    </row>
    <row r="236" spans="9:16" x14ac:dyDescent="0.25">
      <c r="L236" s="13"/>
      <c r="M236" s="15"/>
      <c r="N236" s="15"/>
      <c r="O236" s="15"/>
      <c r="P236" s="15"/>
    </row>
    <row r="237" spans="9:16" x14ac:dyDescent="0.25">
      <c r="L237" s="13"/>
      <c r="M237" s="15"/>
      <c r="N237" s="15"/>
      <c r="O237" s="15"/>
      <c r="P237" s="15"/>
    </row>
    <row r="238" spans="9:16" x14ac:dyDescent="0.25">
      <c r="L238" s="13"/>
      <c r="M238" s="15"/>
      <c r="N238" s="15"/>
      <c r="O238" s="15"/>
      <c r="P238" s="15"/>
    </row>
    <row r="239" spans="9:16" x14ac:dyDescent="0.25">
      <c r="L239" s="13"/>
      <c r="M239" s="15"/>
      <c r="N239" s="15"/>
      <c r="O239" s="15"/>
      <c r="P239" s="15"/>
    </row>
    <row r="240" spans="9:16" x14ac:dyDescent="0.25">
      <c r="L240" s="13"/>
      <c r="M240" s="15"/>
      <c r="N240" s="15"/>
      <c r="O240" s="15"/>
      <c r="P240" s="15"/>
    </row>
    <row r="241" spans="2:16" x14ac:dyDescent="0.25">
      <c r="L241" s="13"/>
      <c r="M241" s="15"/>
      <c r="N241" s="15"/>
      <c r="O241" s="15"/>
      <c r="P241" s="15"/>
    </row>
    <row r="242" spans="2:16" x14ac:dyDescent="0.25">
      <c r="L242" s="13"/>
      <c r="M242" s="15"/>
      <c r="N242" s="15"/>
      <c r="O242" s="15"/>
      <c r="P242" s="15"/>
    </row>
    <row r="243" spans="2:16" x14ac:dyDescent="0.25">
      <c r="L243" s="13"/>
      <c r="M243" s="15"/>
      <c r="N243" s="15"/>
      <c r="O243" s="15"/>
      <c r="P243" s="15"/>
    </row>
    <row r="244" spans="2:16" x14ac:dyDescent="0.25">
      <c r="L244" s="13"/>
      <c r="M244" s="15"/>
      <c r="N244" s="15"/>
      <c r="O244" s="15"/>
      <c r="P244" s="15"/>
    </row>
    <row r="245" spans="2:16" x14ac:dyDescent="0.25">
      <c r="L245" s="13"/>
      <c r="M245" s="15"/>
      <c r="N245" s="15"/>
      <c r="O245" s="15"/>
      <c r="P245" s="15"/>
    </row>
    <row r="246" spans="2:16" x14ac:dyDescent="0.25">
      <c r="L246" s="13"/>
      <c r="M246" s="15"/>
      <c r="N246" s="15"/>
      <c r="O246" s="15"/>
      <c r="P246" s="15"/>
    </row>
    <row r="247" spans="2:16" x14ac:dyDescent="0.25">
      <c r="L247" s="13"/>
      <c r="M247" s="15"/>
      <c r="N247" s="15"/>
      <c r="O247" s="15"/>
      <c r="P247" s="15"/>
    </row>
    <row r="248" spans="2:16" x14ac:dyDescent="0.25">
      <c r="L248" s="13"/>
      <c r="M248" s="15"/>
      <c r="N248" s="15"/>
      <c r="O248" s="15"/>
      <c r="P248" s="15"/>
    </row>
    <row r="249" spans="2:16" x14ac:dyDescent="0.25">
      <c r="L249" s="13"/>
      <c r="M249" s="15"/>
      <c r="N249" s="15"/>
      <c r="O249" s="15"/>
      <c r="P249" s="15"/>
    </row>
    <row r="250" spans="2:16" x14ac:dyDescent="0.25">
      <c r="L250" s="13"/>
      <c r="M250" s="15"/>
      <c r="N250" s="15"/>
      <c r="O250" s="15"/>
      <c r="P250" s="15"/>
    </row>
    <row r="251" spans="2:16" x14ac:dyDescent="0.25">
      <c r="L251" s="13"/>
      <c r="M251" s="15"/>
      <c r="N251" s="15"/>
      <c r="O251" s="15"/>
      <c r="P251" s="15"/>
    </row>
    <row r="252" spans="2:16" x14ac:dyDescent="0.25">
      <c r="L252" s="13"/>
      <c r="M252" s="15"/>
      <c r="N252" s="15"/>
      <c r="O252" s="15"/>
      <c r="P252" s="15"/>
    </row>
    <row r="253" spans="2:16" x14ac:dyDescent="0.25">
      <c r="B253" s="25"/>
      <c r="L253" s="13"/>
      <c r="M253" s="15"/>
      <c r="N253" s="15"/>
      <c r="O253" s="15"/>
      <c r="P253" s="15"/>
    </row>
    <row r="254" spans="2:16" x14ac:dyDescent="0.25">
      <c r="L254" s="13"/>
      <c r="M254" s="15"/>
      <c r="N254" s="15"/>
      <c r="O254" s="15"/>
      <c r="P254" s="15"/>
    </row>
    <row r="255" spans="2:16" x14ac:dyDescent="0.25">
      <c r="L255" s="13"/>
      <c r="M255" s="15"/>
      <c r="N255" s="15"/>
      <c r="O255" s="15"/>
      <c r="P255" s="15"/>
    </row>
    <row r="256" spans="2:16" x14ac:dyDescent="0.25">
      <c r="L256" s="13"/>
      <c r="M256" s="15"/>
      <c r="N256" s="15"/>
      <c r="O256" s="15"/>
      <c r="P256" s="15"/>
    </row>
    <row r="257" spans="2:16" x14ac:dyDescent="0.25">
      <c r="L257" s="13"/>
      <c r="M257" s="15"/>
      <c r="N257" s="15"/>
      <c r="O257" s="15"/>
      <c r="P257" s="15"/>
    </row>
    <row r="258" spans="2:16" x14ac:dyDescent="0.25">
      <c r="L258" s="13"/>
      <c r="M258" s="15"/>
      <c r="N258" s="15"/>
      <c r="O258" s="15"/>
      <c r="P258" s="15"/>
    </row>
    <row r="259" spans="2:16" x14ac:dyDescent="0.25">
      <c r="L259" s="13"/>
      <c r="M259" s="15"/>
      <c r="N259" s="15"/>
      <c r="O259" s="15"/>
      <c r="P259" s="15"/>
    </row>
    <row r="260" spans="2:16" x14ac:dyDescent="0.25">
      <c r="L260" s="13"/>
      <c r="M260" s="15"/>
      <c r="N260" s="15"/>
      <c r="O260" s="15"/>
      <c r="P260" s="15"/>
    </row>
    <row r="261" spans="2:16" x14ac:dyDescent="0.25">
      <c r="L261" s="13"/>
      <c r="M261" s="15"/>
      <c r="N261" s="15"/>
      <c r="O261" s="15"/>
      <c r="P261" s="15"/>
    </row>
    <row r="262" spans="2:16" x14ac:dyDescent="0.25">
      <c r="L262" s="13"/>
      <c r="M262" s="15"/>
      <c r="N262" s="15"/>
      <c r="O262" s="15"/>
      <c r="P262" s="15"/>
    </row>
    <row r="263" spans="2:16" x14ac:dyDescent="0.25">
      <c r="L263" s="13"/>
      <c r="M263" s="15"/>
      <c r="N263" s="15"/>
      <c r="O263" s="15"/>
      <c r="P263" s="15"/>
    </row>
    <row r="264" spans="2:16" x14ac:dyDescent="0.25">
      <c r="L264" s="13"/>
      <c r="M264" s="15"/>
      <c r="N264" s="15"/>
      <c r="O264" s="15"/>
      <c r="P264" s="15"/>
    </row>
    <row r="265" spans="2:16" x14ac:dyDescent="0.25">
      <c r="L265" s="13"/>
      <c r="M265" s="15"/>
      <c r="N265" s="15"/>
      <c r="O265" s="15"/>
      <c r="P265" s="15"/>
    </row>
    <row r="266" spans="2:16" x14ac:dyDescent="0.25">
      <c r="B266" s="25"/>
      <c r="L266" s="13"/>
      <c r="M266" s="15"/>
      <c r="N266" s="15"/>
      <c r="O266" s="15"/>
      <c r="P266" s="15"/>
    </row>
    <row r="267" spans="2:16" x14ac:dyDescent="0.25">
      <c r="L267" s="13"/>
      <c r="M267" s="15"/>
      <c r="N267" s="15"/>
      <c r="O267" s="15"/>
      <c r="P267" s="15"/>
    </row>
    <row r="268" spans="2:16" x14ac:dyDescent="0.25">
      <c r="L268" s="13"/>
      <c r="M268" s="15"/>
      <c r="N268" s="15"/>
      <c r="O268" s="15"/>
      <c r="P268" s="15"/>
    </row>
    <row r="269" spans="2:16" x14ac:dyDescent="0.25">
      <c r="L269" s="13"/>
      <c r="M269" s="15"/>
      <c r="N269" s="15"/>
      <c r="O269" s="15"/>
      <c r="P269" s="15"/>
    </row>
    <row r="270" spans="2:16" x14ac:dyDescent="0.25">
      <c r="L270" s="13"/>
      <c r="M270" s="15"/>
      <c r="N270" s="15"/>
      <c r="O270" s="15"/>
      <c r="P270" s="15"/>
    </row>
    <row r="271" spans="2:16" x14ac:dyDescent="0.25">
      <c r="L271" s="13"/>
      <c r="M271" s="15"/>
      <c r="N271" s="15"/>
      <c r="O271" s="15"/>
      <c r="P271" s="15"/>
    </row>
    <row r="272" spans="2:16" x14ac:dyDescent="0.25">
      <c r="L272" s="13"/>
      <c r="M272" s="15"/>
      <c r="N272" s="15"/>
      <c r="O272" s="15"/>
      <c r="P272" s="15"/>
    </row>
    <row r="273" spans="2:16" x14ac:dyDescent="0.25">
      <c r="L273" s="13"/>
      <c r="M273" s="15"/>
      <c r="N273" s="15"/>
      <c r="O273" s="15"/>
      <c r="P273" s="15"/>
    </row>
    <row r="274" spans="2:16" x14ac:dyDescent="0.25">
      <c r="L274" s="13"/>
      <c r="M274" s="15"/>
      <c r="N274" s="15"/>
      <c r="O274" s="15"/>
      <c r="P274" s="15"/>
    </row>
    <row r="275" spans="2:16" x14ac:dyDescent="0.25">
      <c r="L275" s="13"/>
      <c r="M275" s="15"/>
      <c r="N275" s="15"/>
      <c r="O275" s="15"/>
      <c r="P275" s="15"/>
    </row>
    <row r="276" spans="2:16" x14ac:dyDescent="0.25">
      <c r="L276" s="13"/>
      <c r="M276" s="15"/>
      <c r="N276" s="15"/>
      <c r="O276" s="15"/>
      <c r="P276" s="15"/>
    </row>
    <row r="277" spans="2:16" x14ac:dyDescent="0.25">
      <c r="L277" s="13"/>
      <c r="M277" s="15"/>
      <c r="N277" s="15"/>
      <c r="O277" s="15"/>
      <c r="P277" s="15"/>
    </row>
    <row r="278" spans="2:16" ht="13.5" x14ac:dyDescent="0.25">
      <c r="J278" s="15"/>
      <c r="K278" s="22"/>
      <c r="L278" s="22"/>
      <c r="M278" s="15"/>
      <c r="N278" s="15"/>
      <c r="O278" s="15"/>
      <c r="P278" s="15"/>
    </row>
    <row r="279" spans="2:16" ht="13.5" x14ac:dyDescent="0.25">
      <c r="B279" s="25"/>
      <c r="J279" s="15"/>
      <c r="K279" s="22"/>
      <c r="L279" s="22"/>
      <c r="M279" s="15"/>
      <c r="N279" s="15"/>
      <c r="O279" s="15"/>
      <c r="P279" s="15"/>
    </row>
    <row r="280" spans="2:16" x14ac:dyDescent="0.25">
      <c r="B280" s="25"/>
      <c r="J280" s="23"/>
      <c r="K280" s="26"/>
      <c r="L280" s="26"/>
      <c r="M280" s="15"/>
      <c r="N280" s="15"/>
      <c r="O280" s="15"/>
      <c r="P280" s="15"/>
    </row>
    <row r="281" spans="2:16" x14ac:dyDescent="0.25">
      <c r="J281" s="23"/>
      <c r="K281" s="26"/>
      <c r="L281" s="24"/>
      <c r="M281" s="15"/>
      <c r="N281" s="15"/>
      <c r="O281" s="15"/>
      <c r="P281" s="15"/>
    </row>
    <row r="282" spans="2:16" x14ac:dyDescent="0.25">
      <c r="J282" s="23"/>
      <c r="K282" s="24"/>
      <c r="L282" s="24"/>
      <c r="M282" s="15"/>
      <c r="N282" s="15"/>
      <c r="O282" s="15"/>
      <c r="P282" s="15"/>
    </row>
    <row r="283" spans="2:16" x14ac:dyDescent="0.25">
      <c r="J283" s="23"/>
      <c r="K283" s="24"/>
      <c r="L283" s="24"/>
      <c r="M283" s="15"/>
      <c r="N283" s="15"/>
      <c r="O283" s="15"/>
      <c r="P283" s="15"/>
    </row>
    <row r="284" spans="2:16" x14ac:dyDescent="0.25">
      <c r="J284" s="23"/>
      <c r="K284" s="24"/>
      <c r="L284" s="24"/>
      <c r="M284" s="15"/>
      <c r="N284" s="15"/>
      <c r="O284" s="15"/>
      <c r="P284" s="15"/>
    </row>
    <row r="285" spans="2:16" x14ac:dyDescent="0.25">
      <c r="J285" s="23"/>
      <c r="K285" s="24"/>
      <c r="L285" s="24"/>
      <c r="M285" s="15"/>
      <c r="N285" s="15"/>
      <c r="O285" s="15"/>
      <c r="P285" s="15"/>
    </row>
    <row r="286" spans="2:16" x14ac:dyDescent="0.25">
      <c r="I286" s="13"/>
      <c r="J286" s="24"/>
      <c r="K286" s="24"/>
      <c r="L286" s="24"/>
      <c r="M286" s="15"/>
      <c r="N286" s="15"/>
      <c r="O286" s="15"/>
      <c r="P286" s="15"/>
    </row>
    <row r="287" spans="2:16" x14ac:dyDescent="0.25">
      <c r="L287" s="13"/>
      <c r="M287" s="15"/>
      <c r="N287" s="15"/>
      <c r="O287" s="15"/>
      <c r="P287" s="15"/>
    </row>
    <row r="288" spans="2:16" x14ac:dyDescent="0.25">
      <c r="L288" s="13"/>
      <c r="M288" s="15"/>
      <c r="N288" s="15"/>
      <c r="O288" s="15"/>
      <c r="P288" s="15"/>
    </row>
    <row r="289" spans="2:16" x14ac:dyDescent="0.25">
      <c r="L289" s="13"/>
      <c r="M289" s="15"/>
      <c r="N289" s="15"/>
      <c r="O289" s="15"/>
      <c r="P289" s="15"/>
    </row>
    <row r="290" spans="2:16" x14ac:dyDescent="0.25">
      <c r="L290" s="13"/>
      <c r="M290" s="15"/>
      <c r="N290" s="15"/>
      <c r="O290" s="15"/>
      <c r="P290" s="15"/>
    </row>
    <row r="291" spans="2:16" x14ac:dyDescent="0.25">
      <c r="L291" s="13"/>
      <c r="M291" s="15"/>
      <c r="N291" s="15"/>
      <c r="O291" s="15"/>
      <c r="P291" s="15"/>
    </row>
    <row r="292" spans="2:16" x14ac:dyDescent="0.25">
      <c r="L292" s="13"/>
      <c r="M292" s="15"/>
      <c r="N292" s="15"/>
      <c r="O292" s="15"/>
      <c r="P292" s="15"/>
    </row>
    <row r="293" spans="2:16" x14ac:dyDescent="0.25">
      <c r="J293" s="23"/>
      <c r="K293" s="26"/>
      <c r="L293" s="24"/>
      <c r="M293" s="15"/>
      <c r="N293" s="15"/>
      <c r="O293" s="15"/>
      <c r="P293" s="15"/>
    </row>
    <row r="294" spans="2:16" x14ac:dyDescent="0.25">
      <c r="I294" s="13"/>
      <c r="J294" s="24"/>
      <c r="K294" s="24"/>
      <c r="L294" s="24"/>
      <c r="M294" s="15"/>
      <c r="N294" s="15"/>
      <c r="O294" s="15"/>
      <c r="P294" s="15"/>
    </row>
    <row r="295" spans="2:16" x14ac:dyDescent="0.25">
      <c r="L295" s="13"/>
      <c r="M295" s="15"/>
      <c r="N295" s="15"/>
      <c r="O295" s="15"/>
      <c r="P295" s="15"/>
    </row>
    <row r="296" spans="2:16" x14ac:dyDescent="0.25">
      <c r="L296" s="13"/>
      <c r="M296" s="15"/>
      <c r="N296" s="15"/>
      <c r="O296" s="15"/>
      <c r="P296" s="15"/>
    </row>
    <row r="297" spans="2:16" x14ac:dyDescent="0.25">
      <c r="L297" s="13"/>
      <c r="M297" s="15"/>
      <c r="N297" s="15"/>
      <c r="O297" s="15"/>
      <c r="P297" s="15"/>
    </row>
    <row r="298" spans="2:16" x14ac:dyDescent="0.25">
      <c r="J298" s="23"/>
      <c r="K298" s="24"/>
      <c r="L298" s="24"/>
      <c r="M298" s="15"/>
      <c r="N298" s="15"/>
      <c r="O298" s="15"/>
      <c r="P298" s="15"/>
    </row>
    <row r="299" spans="2:16" x14ac:dyDescent="0.25">
      <c r="L299" s="13"/>
      <c r="M299" s="15"/>
      <c r="N299" s="15"/>
      <c r="O299" s="15"/>
      <c r="P299" s="15"/>
    </row>
    <row r="300" spans="2:16" x14ac:dyDescent="0.25">
      <c r="J300" s="23"/>
      <c r="K300" s="22"/>
      <c r="L300" s="24"/>
      <c r="M300" s="15"/>
      <c r="N300" s="15"/>
      <c r="O300" s="15"/>
      <c r="P300" s="15"/>
    </row>
    <row r="301" spans="2:16" x14ac:dyDescent="0.25">
      <c r="B301" s="25"/>
      <c r="J301" s="23"/>
      <c r="K301" s="24"/>
      <c r="L301" s="24"/>
      <c r="M301" s="15"/>
      <c r="N301" s="15"/>
      <c r="O301" s="15"/>
      <c r="P301" s="15"/>
    </row>
    <row r="302" spans="2:16" x14ac:dyDescent="0.25">
      <c r="L302" s="13"/>
      <c r="M302" s="15"/>
      <c r="N302" s="15"/>
      <c r="O302" s="15"/>
      <c r="P302" s="15"/>
    </row>
    <row r="303" spans="2:16" x14ac:dyDescent="0.25">
      <c r="L303" s="13"/>
      <c r="M303" s="15"/>
      <c r="N303" s="15"/>
      <c r="O303" s="15"/>
      <c r="P303" s="15"/>
    </row>
    <row r="304" spans="2:16" x14ac:dyDescent="0.25">
      <c r="L304" s="13"/>
      <c r="M304" s="15"/>
      <c r="N304" s="15"/>
      <c r="O304" s="15"/>
      <c r="P304" s="15"/>
    </row>
    <row r="305" spans="2:16" x14ac:dyDescent="0.25">
      <c r="L305" s="13"/>
      <c r="M305" s="15"/>
      <c r="N305" s="15"/>
      <c r="O305" s="15"/>
      <c r="P305" s="15"/>
    </row>
    <row r="306" spans="2:16" x14ac:dyDescent="0.25">
      <c r="L306" s="13"/>
      <c r="M306" s="15"/>
      <c r="N306" s="15"/>
      <c r="O306" s="15"/>
      <c r="P306" s="15"/>
    </row>
    <row r="307" spans="2:16" x14ac:dyDescent="0.25">
      <c r="L307" s="13"/>
      <c r="M307" s="15"/>
      <c r="N307" s="15"/>
      <c r="O307" s="15"/>
      <c r="P307" s="15"/>
    </row>
    <row r="308" spans="2:16" x14ac:dyDescent="0.25">
      <c r="L308" s="13"/>
      <c r="M308" s="15"/>
      <c r="N308" s="15"/>
      <c r="O308" s="15"/>
      <c r="P308" s="15"/>
    </row>
    <row r="309" spans="2:16" x14ac:dyDescent="0.25">
      <c r="L309" s="13"/>
      <c r="M309" s="15"/>
      <c r="N309" s="15"/>
      <c r="O309" s="15"/>
      <c r="P309" s="15"/>
    </row>
    <row r="310" spans="2:16" x14ac:dyDescent="0.25">
      <c r="L310" s="13"/>
      <c r="M310" s="15"/>
      <c r="N310" s="15"/>
      <c r="O310" s="15"/>
      <c r="P310" s="15"/>
    </row>
    <row r="311" spans="2:16" ht="13.5" x14ac:dyDescent="0.25">
      <c r="B311" s="25"/>
      <c r="J311" s="15"/>
      <c r="K311" s="22"/>
      <c r="L311" s="22"/>
      <c r="M311" s="15"/>
      <c r="N311" s="15"/>
      <c r="O311" s="15"/>
      <c r="P311" s="15"/>
    </row>
    <row r="312" spans="2:16" x14ac:dyDescent="0.25">
      <c r="J312" s="23"/>
      <c r="K312" s="22"/>
      <c r="L312" s="24"/>
      <c r="M312" s="15"/>
      <c r="N312" s="15"/>
      <c r="O312" s="15"/>
      <c r="P312" s="15"/>
    </row>
    <row r="313" spans="2:16" x14ac:dyDescent="0.25">
      <c r="J313" s="23"/>
      <c r="K313" s="24"/>
      <c r="L313" s="24"/>
      <c r="M313" s="15"/>
      <c r="N313" s="15"/>
      <c r="O313" s="15"/>
      <c r="P313" s="15"/>
    </row>
    <row r="314" spans="2:16" x14ac:dyDescent="0.25">
      <c r="B314" s="25"/>
      <c r="J314" s="23"/>
      <c r="K314" s="26"/>
      <c r="L314" s="24"/>
      <c r="M314" s="15"/>
      <c r="N314" s="15"/>
      <c r="O314" s="15"/>
      <c r="P314" s="15"/>
    </row>
    <row r="315" spans="2:16" x14ac:dyDescent="0.25">
      <c r="J315" s="23"/>
      <c r="K315" s="26"/>
      <c r="L315" s="24"/>
      <c r="M315" s="15"/>
      <c r="N315" s="15"/>
      <c r="O315" s="15"/>
      <c r="P315" s="15"/>
    </row>
    <row r="316" spans="2:16" x14ac:dyDescent="0.25">
      <c r="J316" s="23"/>
      <c r="K316" s="24"/>
      <c r="L316" s="24"/>
      <c r="M316" s="15"/>
      <c r="N316" s="15"/>
      <c r="O316" s="15"/>
      <c r="P316" s="15"/>
    </row>
    <row r="317" spans="2:16" x14ac:dyDescent="0.25">
      <c r="J317" s="23"/>
      <c r="K317" s="24"/>
      <c r="L317" s="24"/>
      <c r="M317" s="15"/>
      <c r="N317" s="15"/>
      <c r="O317" s="15"/>
      <c r="P317" s="15"/>
    </row>
    <row r="318" spans="2:16" x14ac:dyDescent="0.25">
      <c r="J318" s="23"/>
      <c r="K318" s="26"/>
      <c r="L318" s="24"/>
      <c r="M318" s="15"/>
      <c r="N318" s="15"/>
      <c r="O318" s="15"/>
      <c r="P318" s="15"/>
    </row>
    <row r="319" spans="2:16" x14ac:dyDescent="0.25">
      <c r="J319" s="23"/>
      <c r="K319" s="26"/>
      <c r="L319" s="24"/>
      <c r="M319" s="15"/>
      <c r="N319" s="15"/>
      <c r="O319" s="15"/>
      <c r="P319" s="15"/>
    </row>
    <row r="320" spans="2:16" x14ac:dyDescent="0.25">
      <c r="J320" s="23"/>
      <c r="K320" s="24"/>
      <c r="L320" s="24"/>
      <c r="M320" s="15"/>
      <c r="N320" s="15"/>
      <c r="O320" s="15"/>
      <c r="P320" s="15"/>
    </row>
    <row r="321" spans="9:16" x14ac:dyDescent="0.25">
      <c r="J321" s="23"/>
      <c r="K321" s="24"/>
      <c r="L321" s="24"/>
      <c r="M321" s="15"/>
      <c r="N321" s="15"/>
      <c r="O321" s="15"/>
      <c r="P321" s="15"/>
    </row>
    <row r="322" spans="9:16" x14ac:dyDescent="0.25">
      <c r="J322" s="23"/>
      <c r="K322" s="24"/>
      <c r="L322" s="24"/>
      <c r="M322" s="15"/>
      <c r="N322" s="15"/>
      <c r="O322" s="15"/>
      <c r="P322" s="15"/>
    </row>
    <row r="323" spans="9:16" x14ac:dyDescent="0.25">
      <c r="J323" s="23"/>
      <c r="K323" s="24"/>
      <c r="L323" s="24"/>
      <c r="M323" s="15"/>
      <c r="N323" s="15"/>
      <c r="O323" s="15"/>
      <c r="P323" s="15"/>
    </row>
    <row r="324" spans="9:16" x14ac:dyDescent="0.25">
      <c r="J324" s="23"/>
      <c r="K324" s="24"/>
      <c r="L324" s="24"/>
      <c r="M324" s="15"/>
      <c r="N324" s="15"/>
      <c r="O324" s="15"/>
      <c r="P324" s="15"/>
    </row>
    <row r="325" spans="9:16" x14ac:dyDescent="0.25">
      <c r="J325" s="23"/>
      <c r="K325" s="24"/>
      <c r="L325" s="24"/>
      <c r="M325" s="15"/>
      <c r="N325" s="15"/>
      <c r="O325" s="15"/>
      <c r="P325" s="15"/>
    </row>
    <row r="326" spans="9:16" x14ac:dyDescent="0.25">
      <c r="I326" s="13"/>
      <c r="J326" s="24"/>
      <c r="K326" s="24"/>
      <c r="L326" s="24"/>
      <c r="M326" s="15"/>
      <c r="N326" s="15"/>
      <c r="O326" s="15"/>
      <c r="P326" s="15"/>
    </row>
    <row r="327" spans="9:16" x14ac:dyDescent="0.25">
      <c r="I327" s="13"/>
      <c r="J327" s="24"/>
      <c r="K327" s="24"/>
      <c r="L327" s="24"/>
      <c r="M327" s="15"/>
      <c r="N327" s="15"/>
      <c r="O327" s="15"/>
      <c r="P327" s="15"/>
    </row>
    <row r="328" spans="9:16" x14ac:dyDescent="0.25">
      <c r="I328" s="13"/>
      <c r="J328" s="24"/>
      <c r="K328" s="24"/>
      <c r="L328" s="24"/>
      <c r="M328" s="15"/>
      <c r="N328" s="15"/>
      <c r="O328" s="15"/>
      <c r="P328" s="15"/>
    </row>
    <row r="329" spans="9:16" x14ac:dyDescent="0.25">
      <c r="L329" s="13"/>
      <c r="M329" s="15"/>
      <c r="N329" s="15"/>
      <c r="O329" s="15"/>
      <c r="P329" s="15"/>
    </row>
    <row r="330" spans="9:16" x14ac:dyDescent="0.25">
      <c r="L330" s="13"/>
      <c r="M330" s="15"/>
      <c r="N330" s="15"/>
      <c r="O330" s="15"/>
      <c r="P330" s="15"/>
    </row>
    <row r="331" spans="9:16" x14ac:dyDescent="0.25">
      <c r="L331" s="13"/>
      <c r="M331" s="15"/>
      <c r="N331" s="15"/>
      <c r="O331" s="15"/>
      <c r="P331" s="15"/>
    </row>
    <row r="332" spans="9:16" x14ac:dyDescent="0.25">
      <c r="L332" s="13"/>
      <c r="M332" s="15"/>
      <c r="N332" s="15"/>
      <c r="O332" s="15"/>
      <c r="P332" s="15"/>
    </row>
    <row r="333" spans="9:16" x14ac:dyDescent="0.25">
      <c r="L333" s="13"/>
      <c r="M333" s="15"/>
      <c r="N333" s="15"/>
      <c r="O333" s="15"/>
      <c r="P333" s="15"/>
    </row>
    <row r="334" spans="9:16" x14ac:dyDescent="0.25">
      <c r="L334" s="13"/>
      <c r="M334" s="15"/>
      <c r="N334" s="15"/>
      <c r="O334" s="15"/>
      <c r="P334" s="15"/>
    </row>
    <row r="335" spans="9:16" x14ac:dyDescent="0.25">
      <c r="L335" s="13"/>
      <c r="M335" s="15"/>
      <c r="N335" s="15"/>
      <c r="O335" s="15"/>
      <c r="P335" s="15"/>
    </row>
    <row r="336" spans="9:16" x14ac:dyDescent="0.25">
      <c r="L336" s="13"/>
      <c r="M336" s="15"/>
      <c r="N336" s="15"/>
      <c r="O336" s="15"/>
      <c r="P336" s="15"/>
    </row>
    <row r="337" spans="2:16" x14ac:dyDescent="0.25">
      <c r="B337" s="25"/>
      <c r="L337" s="13"/>
      <c r="M337" s="15"/>
      <c r="N337" s="15"/>
      <c r="O337" s="15"/>
      <c r="P337" s="15"/>
    </row>
    <row r="338" spans="2:16" x14ac:dyDescent="0.25">
      <c r="L338" s="13"/>
      <c r="M338" s="15"/>
      <c r="N338" s="15"/>
      <c r="O338" s="15"/>
      <c r="P338" s="15"/>
    </row>
    <row r="339" spans="2:16" x14ac:dyDescent="0.25">
      <c r="L339" s="13"/>
      <c r="M339" s="15"/>
      <c r="N339" s="15"/>
      <c r="O339" s="15"/>
      <c r="P339" s="15"/>
    </row>
    <row r="340" spans="2:16" x14ac:dyDescent="0.25">
      <c r="L340" s="13"/>
      <c r="M340" s="15"/>
      <c r="N340" s="15"/>
      <c r="O340" s="15"/>
      <c r="P340" s="15"/>
    </row>
    <row r="341" spans="2:16" x14ac:dyDescent="0.25">
      <c r="L341" s="13"/>
      <c r="M341" s="15"/>
      <c r="N341" s="15"/>
      <c r="O341" s="15"/>
      <c r="P341" s="15"/>
    </row>
    <row r="342" spans="2:16" x14ac:dyDescent="0.25">
      <c r="L342" s="13"/>
      <c r="M342" s="15"/>
      <c r="N342" s="15"/>
      <c r="O342" s="15"/>
      <c r="P342" s="15"/>
    </row>
    <row r="343" spans="2:16" x14ac:dyDescent="0.25">
      <c r="I343" s="13"/>
      <c r="J343" s="24"/>
      <c r="K343" s="24"/>
      <c r="L343" s="24"/>
      <c r="M343" s="15"/>
      <c r="N343" s="15"/>
      <c r="O343" s="15"/>
      <c r="P343" s="15"/>
    </row>
    <row r="344" spans="2:16" x14ac:dyDescent="0.25">
      <c r="I344" s="13"/>
      <c r="J344" s="24"/>
      <c r="K344" s="24"/>
      <c r="L344" s="24"/>
      <c r="M344" s="15"/>
      <c r="N344" s="15"/>
      <c r="O344" s="15"/>
      <c r="P344" s="15"/>
    </row>
    <row r="345" spans="2:16" x14ac:dyDescent="0.25">
      <c r="L345" s="13"/>
      <c r="M345" s="15"/>
      <c r="N345" s="15"/>
      <c r="O345" s="15"/>
      <c r="P345" s="15"/>
    </row>
    <row r="346" spans="2:16" x14ac:dyDescent="0.25">
      <c r="L346" s="13"/>
      <c r="M346" s="15"/>
      <c r="N346" s="15"/>
      <c r="O346" s="15"/>
      <c r="P346" s="15"/>
    </row>
    <row r="347" spans="2:16" x14ac:dyDescent="0.25">
      <c r="L347" s="13"/>
      <c r="M347" s="15"/>
      <c r="N347" s="15"/>
      <c r="O347" s="15"/>
      <c r="P347" s="15"/>
    </row>
    <row r="348" spans="2:16" x14ac:dyDescent="0.25">
      <c r="L348" s="13"/>
      <c r="M348" s="15"/>
      <c r="N348" s="15"/>
      <c r="O348" s="15"/>
      <c r="P348" s="15"/>
    </row>
    <row r="349" spans="2:16" x14ac:dyDescent="0.25">
      <c r="L349" s="13"/>
      <c r="M349" s="15"/>
      <c r="N349" s="15"/>
      <c r="O349" s="15"/>
      <c r="P349" s="15"/>
    </row>
    <row r="350" spans="2:16" x14ac:dyDescent="0.25">
      <c r="L350" s="13"/>
      <c r="M350" s="15"/>
      <c r="N350" s="15"/>
      <c r="O350" s="15"/>
      <c r="P350" s="15"/>
    </row>
    <row r="351" spans="2:16" x14ac:dyDescent="0.25">
      <c r="L351" s="13"/>
      <c r="M351" s="15"/>
      <c r="N351" s="15"/>
      <c r="O351" s="15"/>
      <c r="P351" s="15"/>
    </row>
    <row r="352" spans="2:16" x14ac:dyDescent="0.25">
      <c r="I352" s="13"/>
      <c r="J352" s="24"/>
      <c r="K352"/>
      <c r="L352" s="24"/>
      <c r="M352" s="15"/>
      <c r="N352" s="15"/>
      <c r="O352" s="15"/>
      <c r="P352" s="15"/>
    </row>
    <row r="353" spans="9:16" x14ac:dyDescent="0.25">
      <c r="L353" s="13"/>
      <c r="M353" s="15"/>
      <c r="N353" s="15"/>
      <c r="O353" s="15"/>
      <c r="P353" s="15"/>
    </row>
    <row r="354" spans="9:16" x14ac:dyDescent="0.25">
      <c r="L354" s="13"/>
      <c r="M354" s="15"/>
      <c r="N354" s="15"/>
      <c r="O354" s="15"/>
      <c r="P354" s="15"/>
    </row>
    <row r="355" spans="9:16" x14ac:dyDescent="0.25">
      <c r="L355" s="13"/>
      <c r="M355" s="15"/>
      <c r="N355" s="15"/>
      <c r="O355" s="15"/>
      <c r="P355" s="15"/>
    </row>
    <row r="356" spans="9:16" x14ac:dyDescent="0.25">
      <c r="L356" s="13"/>
      <c r="M356" s="15"/>
      <c r="N356" s="15"/>
      <c r="O356" s="15"/>
      <c r="P356" s="15"/>
    </row>
    <row r="357" spans="9:16" x14ac:dyDescent="0.25">
      <c r="I357" s="13"/>
      <c r="J357" s="24"/>
      <c r="K357"/>
      <c r="L357" s="24"/>
      <c r="M357" s="15"/>
      <c r="N357" s="15"/>
      <c r="O357" s="15"/>
      <c r="P357" s="15"/>
    </row>
    <row r="358" spans="9:16" x14ac:dyDescent="0.25">
      <c r="L358" s="13"/>
      <c r="M358" s="15"/>
      <c r="N358" s="15"/>
      <c r="O358" s="15"/>
      <c r="P358" s="15"/>
    </row>
    <row r="359" spans="9:16" x14ac:dyDescent="0.25">
      <c r="L359" s="13"/>
      <c r="M359" s="15"/>
      <c r="N359" s="15"/>
      <c r="O359" s="15"/>
      <c r="P359" s="15"/>
    </row>
    <row r="360" spans="9:16" x14ac:dyDescent="0.25">
      <c r="L360" s="13"/>
      <c r="M360" s="15"/>
      <c r="N360" s="15"/>
      <c r="O360" s="15"/>
      <c r="P360" s="15"/>
    </row>
    <row r="361" spans="9:16" x14ac:dyDescent="0.25">
      <c r="L361" s="13"/>
      <c r="M361" s="15"/>
      <c r="N361" s="15"/>
      <c r="O361" s="15"/>
      <c r="P361" s="15"/>
    </row>
    <row r="362" spans="9:16" x14ac:dyDescent="0.25">
      <c r="L362" s="13"/>
      <c r="M362" s="15"/>
      <c r="N362" s="15"/>
      <c r="O362" s="15"/>
      <c r="P362" s="15"/>
    </row>
    <row r="363" spans="9:16" x14ac:dyDescent="0.25">
      <c r="L363" s="13"/>
      <c r="M363" s="15"/>
      <c r="N363" s="15"/>
      <c r="O363" s="15"/>
      <c r="P363" s="15"/>
    </row>
    <row r="364" spans="9:16" x14ac:dyDescent="0.25">
      <c r="L364" s="13"/>
      <c r="M364" s="15"/>
      <c r="N364" s="15"/>
      <c r="O364" s="15"/>
      <c r="P364" s="15"/>
    </row>
    <row r="365" spans="9:16" x14ac:dyDescent="0.25">
      <c r="L365" s="13"/>
      <c r="M365" s="15"/>
      <c r="N365" s="15"/>
      <c r="O365" s="15"/>
      <c r="P365" s="15"/>
    </row>
    <row r="366" spans="9:16" x14ac:dyDescent="0.25">
      <c r="L366" s="13"/>
      <c r="M366" s="15"/>
      <c r="N366" s="15"/>
      <c r="O366" s="15"/>
      <c r="P366" s="15"/>
    </row>
    <row r="367" spans="9:16" x14ac:dyDescent="0.25">
      <c r="I367" s="13"/>
      <c r="J367" s="24"/>
      <c r="K367"/>
      <c r="L367" s="24"/>
      <c r="M367" s="15"/>
      <c r="N367" s="15"/>
      <c r="O367" s="15"/>
      <c r="P367" s="15"/>
    </row>
    <row r="368" spans="9:16" x14ac:dyDescent="0.25">
      <c r="L368" s="13"/>
      <c r="M368" s="15"/>
      <c r="N368" s="15"/>
      <c r="O368" s="15"/>
      <c r="P368" s="15"/>
    </row>
    <row r="369" spans="9:16" x14ac:dyDescent="0.25">
      <c r="L369" s="13"/>
      <c r="M369" s="15"/>
      <c r="N369" s="15"/>
      <c r="O369" s="15"/>
      <c r="P369" s="15"/>
    </row>
    <row r="370" spans="9:16" x14ac:dyDescent="0.25">
      <c r="L370" s="13"/>
      <c r="M370" s="15"/>
      <c r="N370" s="15"/>
      <c r="O370" s="15"/>
      <c r="P370" s="15"/>
    </row>
    <row r="371" spans="9:16" x14ac:dyDescent="0.25">
      <c r="L371" s="13"/>
      <c r="M371" s="15"/>
      <c r="N371" s="15"/>
      <c r="O371" s="15"/>
      <c r="P371" s="15"/>
    </row>
    <row r="372" spans="9:16" x14ac:dyDescent="0.25">
      <c r="L372" s="13"/>
      <c r="M372" s="15"/>
      <c r="N372" s="15"/>
      <c r="O372" s="15"/>
      <c r="P372" s="15"/>
    </row>
    <row r="373" spans="9:16" x14ac:dyDescent="0.25">
      <c r="L373" s="13"/>
      <c r="M373" s="15"/>
      <c r="N373" s="15"/>
      <c r="O373" s="15"/>
      <c r="P373" s="15"/>
    </row>
    <row r="374" spans="9:16" x14ac:dyDescent="0.25">
      <c r="L374" s="13"/>
      <c r="M374" s="15"/>
      <c r="N374" s="15"/>
      <c r="O374" s="15"/>
      <c r="P374" s="15"/>
    </row>
    <row r="375" spans="9:16" x14ac:dyDescent="0.25">
      <c r="L375" s="13"/>
      <c r="M375" s="15"/>
      <c r="N375" s="15"/>
      <c r="O375" s="15"/>
      <c r="P375" s="15"/>
    </row>
    <row r="376" spans="9:16" x14ac:dyDescent="0.25">
      <c r="L376" s="13"/>
      <c r="M376" s="15"/>
      <c r="N376" s="15"/>
      <c r="O376" s="15"/>
      <c r="P376" s="15"/>
    </row>
    <row r="377" spans="9:16" x14ac:dyDescent="0.25">
      <c r="I377" s="13"/>
      <c r="J377" s="24"/>
      <c r="K377"/>
      <c r="L377" s="24"/>
      <c r="M377" s="15"/>
      <c r="N377" s="15"/>
      <c r="O377" s="15"/>
      <c r="P377" s="15"/>
    </row>
    <row r="378" spans="9:16" x14ac:dyDescent="0.25">
      <c r="I378" s="13"/>
      <c r="J378" s="24"/>
      <c r="K378"/>
      <c r="L378" s="24"/>
      <c r="M378" s="15"/>
      <c r="N378" s="15"/>
      <c r="O378" s="15"/>
      <c r="P378" s="15"/>
    </row>
    <row r="379" spans="9:16" x14ac:dyDescent="0.25">
      <c r="I379" s="13"/>
      <c r="J379" s="24"/>
      <c r="K379"/>
      <c r="L379" s="24"/>
      <c r="M379" s="15"/>
      <c r="N379" s="15"/>
      <c r="O379" s="15"/>
      <c r="P379" s="15"/>
    </row>
    <row r="380" spans="9:16" x14ac:dyDescent="0.25">
      <c r="I380" s="13"/>
      <c r="J380" s="24"/>
      <c r="L380" s="24"/>
      <c r="M380" s="15"/>
      <c r="N380" s="15"/>
      <c r="O380" s="15"/>
      <c r="P380" s="15"/>
    </row>
    <row r="381" spans="9:16" x14ac:dyDescent="0.25">
      <c r="J381" s="23"/>
      <c r="K381" s="26"/>
      <c r="L381" s="24"/>
      <c r="M381" s="15"/>
      <c r="N381" s="15"/>
      <c r="O381" s="15"/>
      <c r="P381" s="15"/>
    </row>
    <row r="382" spans="9:16" x14ac:dyDescent="0.25">
      <c r="L382" s="13"/>
      <c r="M382" s="15"/>
      <c r="N382" s="15"/>
      <c r="O382" s="15"/>
      <c r="P382" s="15"/>
    </row>
    <row r="383" spans="9:16" x14ac:dyDescent="0.25">
      <c r="L383" s="13"/>
      <c r="M383" s="15"/>
      <c r="N383" s="15"/>
      <c r="O383" s="15"/>
      <c r="P383" s="15"/>
    </row>
    <row r="384" spans="9:16" x14ac:dyDescent="0.25">
      <c r="L384" s="13"/>
      <c r="M384" s="15"/>
      <c r="N384" s="15"/>
      <c r="O384" s="15"/>
      <c r="P384" s="15"/>
    </row>
    <row r="385" spans="9:16" x14ac:dyDescent="0.25">
      <c r="L385" s="13"/>
      <c r="M385" s="15"/>
      <c r="N385" s="15"/>
      <c r="O385" s="15"/>
      <c r="P385" s="15"/>
    </row>
    <row r="386" spans="9:16" x14ac:dyDescent="0.25">
      <c r="L386" s="13"/>
      <c r="M386" s="15"/>
      <c r="N386" s="15"/>
      <c r="O386" s="15"/>
      <c r="P386" s="15"/>
    </row>
    <row r="387" spans="9:16" x14ac:dyDescent="0.25">
      <c r="I387" s="13"/>
      <c r="J387" s="24"/>
      <c r="L387" s="13"/>
      <c r="M387" s="15"/>
      <c r="N387" s="15"/>
      <c r="O387" s="15"/>
      <c r="P387" s="15"/>
    </row>
    <row r="388" spans="9:16" x14ac:dyDescent="0.25">
      <c r="I388" s="13"/>
      <c r="J388" s="24"/>
      <c r="L388" s="13"/>
      <c r="M388" s="15"/>
      <c r="N388" s="15"/>
      <c r="O388" s="15"/>
      <c r="P388" s="15"/>
    </row>
    <row r="389" spans="9:16" x14ac:dyDescent="0.25">
      <c r="I389" s="13"/>
      <c r="J389" s="24"/>
      <c r="L389" s="13"/>
      <c r="M389" s="15"/>
      <c r="N389" s="15"/>
      <c r="O389" s="15"/>
      <c r="P389" s="15"/>
    </row>
    <row r="390" spans="9:16" x14ac:dyDescent="0.25">
      <c r="I390" s="13"/>
      <c r="J390" s="24"/>
      <c r="L390" s="13"/>
      <c r="M390" s="15"/>
      <c r="N390" s="15"/>
      <c r="O390" s="15"/>
      <c r="P390" s="15"/>
    </row>
    <row r="391" spans="9:16" x14ac:dyDescent="0.25">
      <c r="I391" s="13"/>
      <c r="J391" s="24"/>
      <c r="L391" s="13"/>
      <c r="M391" s="15"/>
      <c r="N391" s="15"/>
      <c r="O391" s="15"/>
      <c r="P391" s="15"/>
    </row>
    <row r="392" spans="9:16" x14ac:dyDescent="0.25">
      <c r="I392" s="13"/>
      <c r="J392" s="24"/>
      <c r="L392" s="13"/>
      <c r="M392" s="15"/>
      <c r="N392" s="15"/>
      <c r="O392" s="15"/>
      <c r="P392" s="15"/>
    </row>
    <row r="393" spans="9:16" x14ac:dyDescent="0.25">
      <c r="I393" s="13"/>
      <c r="J393" s="24"/>
      <c r="L393" s="13"/>
      <c r="M393" s="15"/>
      <c r="N393" s="15"/>
      <c r="O393" s="15"/>
      <c r="P393" s="15"/>
    </row>
    <row r="394" spans="9:16" x14ac:dyDescent="0.25">
      <c r="I394" s="13"/>
      <c r="J394" s="24"/>
      <c r="L394" s="13"/>
      <c r="M394" s="15"/>
      <c r="N394" s="15"/>
      <c r="O394" s="15"/>
      <c r="P394" s="15"/>
    </row>
    <row r="395" spans="9:16" x14ac:dyDescent="0.25">
      <c r="I395" s="13"/>
      <c r="J395" s="24"/>
      <c r="L395" s="13"/>
      <c r="M395" s="15"/>
      <c r="N395" s="15"/>
      <c r="O395" s="15"/>
      <c r="P395" s="15"/>
    </row>
    <row r="396" spans="9:16" x14ac:dyDescent="0.25">
      <c r="I396" s="13"/>
      <c r="J396" s="24"/>
      <c r="L396" s="13"/>
      <c r="M396" s="15"/>
      <c r="N396" s="15"/>
      <c r="O396" s="15"/>
      <c r="P396" s="15"/>
    </row>
    <row r="397" spans="9:16" x14ac:dyDescent="0.25">
      <c r="I397" s="13"/>
      <c r="J397" s="24"/>
      <c r="L397" s="13"/>
      <c r="M397" s="15"/>
      <c r="N397" s="15"/>
      <c r="O397" s="15"/>
      <c r="P397" s="15"/>
    </row>
    <row r="398" spans="9:16" x14ac:dyDescent="0.25">
      <c r="I398" s="13"/>
      <c r="J398" s="24"/>
      <c r="L398" s="13"/>
      <c r="M398" s="15"/>
      <c r="N398" s="15"/>
      <c r="O398" s="15"/>
      <c r="P398" s="15"/>
    </row>
    <row r="399" spans="9:16" x14ac:dyDescent="0.25">
      <c r="I399" s="13"/>
      <c r="J399" s="24"/>
      <c r="L399" s="13"/>
      <c r="M399" s="15"/>
      <c r="N399" s="15"/>
      <c r="O399" s="15"/>
      <c r="P399" s="15"/>
    </row>
    <row r="400" spans="9:16" x14ac:dyDescent="0.25">
      <c r="I400" s="13"/>
      <c r="J400" s="24"/>
      <c r="L400" s="13"/>
      <c r="M400" s="15"/>
      <c r="N400" s="15"/>
      <c r="O400" s="15"/>
      <c r="P400" s="15"/>
    </row>
    <row r="401" spans="9:16" x14ac:dyDescent="0.25">
      <c r="I401" s="13"/>
      <c r="J401" s="24"/>
      <c r="L401" s="13"/>
      <c r="M401" s="15"/>
      <c r="N401" s="15"/>
      <c r="O401" s="15"/>
      <c r="P401" s="15"/>
    </row>
    <row r="402" spans="9:16" x14ac:dyDescent="0.25">
      <c r="I402" s="13"/>
      <c r="J402" s="24"/>
      <c r="L402" s="13"/>
      <c r="M402" s="15"/>
      <c r="N402" s="15"/>
      <c r="O402" s="15"/>
      <c r="P402" s="15"/>
    </row>
    <row r="403" spans="9:16" x14ac:dyDescent="0.25">
      <c r="I403" s="13"/>
      <c r="J403" s="24"/>
      <c r="L403" s="13"/>
      <c r="M403" s="15"/>
      <c r="N403" s="15"/>
      <c r="O403" s="15"/>
      <c r="P403" s="15"/>
    </row>
    <row r="404" spans="9:16" x14ac:dyDescent="0.25">
      <c r="L404" s="13"/>
      <c r="M404" s="15"/>
      <c r="N404" s="15"/>
      <c r="O404" s="15"/>
      <c r="P404" s="15"/>
    </row>
    <row r="405" spans="9:16" x14ac:dyDescent="0.25">
      <c r="L405" s="13"/>
      <c r="M405" s="15"/>
      <c r="N405" s="15"/>
      <c r="O405" s="15"/>
      <c r="P405" s="15"/>
    </row>
    <row r="406" spans="9:16" x14ac:dyDescent="0.25">
      <c r="L406" s="13"/>
      <c r="M406" s="15"/>
      <c r="N406" s="15"/>
      <c r="O406" s="15"/>
      <c r="P406" s="15"/>
    </row>
    <row r="407" spans="9:16" x14ac:dyDescent="0.25">
      <c r="L407" s="13"/>
      <c r="M407" s="15"/>
      <c r="N407" s="15"/>
      <c r="O407" s="15"/>
      <c r="P407" s="15"/>
    </row>
    <row r="408" spans="9:16" x14ac:dyDescent="0.25">
      <c r="L408" s="13"/>
      <c r="M408" s="15"/>
      <c r="N408" s="15"/>
      <c r="O408" s="15"/>
      <c r="P408" s="15"/>
    </row>
    <row r="409" spans="9:16" x14ac:dyDescent="0.25">
      <c r="L409" s="13"/>
      <c r="M409" s="15"/>
      <c r="N409" s="15"/>
      <c r="O409" s="15"/>
      <c r="P409" s="15"/>
    </row>
    <row r="410" spans="9:16" x14ac:dyDescent="0.25">
      <c r="L410" s="13"/>
      <c r="M410" s="15"/>
      <c r="N410" s="15"/>
      <c r="O410" s="15"/>
      <c r="P410" s="15"/>
    </row>
    <row r="411" spans="9:16" x14ac:dyDescent="0.25">
      <c r="L411" s="13"/>
      <c r="M411" s="15"/>
      <c r="N411" s="15"/>
      <c r="O411" s="15"/>
      <c r="P411" s="15"/>
    </row>
    <row r="412" spans="9:16" x14ac:dyDescent="0.25">
      <c r="L412" s="13"/>
      <c r="M412" s="15"/>
      <c r="N412" s="15"/>
      <c r="O412" s="15"/>
      <c r="P412" s="15"/>
    </row>
    <row r="413" spans="9:16" x14ac:dyDescent="0.25">
      <c r="L413" s="13"/>
      <c r="M413" s="15"/>
      <c r="N413" s="15"/>
      <c r="O413" s="15"/>
      <c r="P413" s="15"/>
    </row>
    <row r="414" spans="9:16" x14ac:dyDescent="0.25">
      <c r="L414" s="13"/>
      <c r="M414" s="15"/>
      <c r="N414" s="15"/>
      <c r="O414" s="15"/>
      <c r="P414" s="15"/>
    </row>
    <row r="415" spans="9:16" x14ac:dyDescent="0.25">
      <c r="L415" s="13"/>
      <c r="M415" s="15"/>
      <c r="N415" s="15"/>
      <c r="O415" s="15"/>
      <c r="P415" s="23"/>
    </row>
    <row r="416" spans="9:16" x14ac:dyDescent="0.25">
      <c r="L416" s="13"/>
      <c r="M416" s="15"/>
      <c r="N416" s="15"/>
      <c r="O416" s="15"/>
      <c r="P416" s="14"/>
    </row>
    <row r="417" spans="12:16" x14ac:dyDescent="0.25">
      <c r="L417" s="13"/>
      <c r="M417" s="15"/>
      <c r="N417" s="15"/>
      <c r="O417" s="15"/>
      <c r="P417" s="14"/>
    </row>
    <row r="418" spans="12:16" x14ac:dyDescent="0.25">
      <c r="L418" s="13"/>
      <c r="M418" s="15"/>
      <c r="N418" s="15"/>
      <c r="O418" s="15"/>
      <c r="P418" s="14"/>
    </row>
    <row r="419" spans="12:16" x14ac:dyDescent="0.25">
      <c r="L419" s="13"/>
      <c r="M419" s="15"/>
      <c r="N419" s="15"/>
      <c r="O419" s="15"/>
      <c r="P419" s="14"/>
    </row>
    <row r="420" spans="12:16" x14ac:dyDescent="0.25">
      <c r="L420" s="13"/>
      <c r="M420" s="15"/>
      <c r="N420" s="15"/>
      <c r="O420" s="15"/>
      <c r="P420" s="14"/>
    </row>
    <row r="421" spans="12:16" x14ac:dyDescent="0.25">
      <c r="L421" s="13"/>
      <c r="M421" s="15"/>
      <c r="N421" s="15"/>
      <c r="O421" s="15"/>
      <c r="P421" s="14"/>
    </row>
    <row r="422" spans="12:16" x14ac:dyDescent="0.25">
      <c r="L422" s="13"/>
      <c r="M422" s="15"/>
      <c r="N422" s="15"/>
      <c r="O422" s="15"/>
      <c r="P422" s="14"/>
    </row>
    <row r="423" spans="12:16" x14ac:dyDescent="0.25">
      <c r="L423" s="13"/>
      <c r="M423" s="15"/>
      <c r="N423" s="15"/>
      <c r="O423" s="15"/>
      <c r="P423" s="14"/>
    </row>
    <row r="424" spans="12:16" x14ac:dyDescent="0.25">
      <c r="L424" s="13"/>
      <c r="M424" s="15"/>
      <c r="N424" s="15"/>
      <c r="O424" s="15"/>
      <c r="P424" s="15"/>
    </row>
    <row r="425" spans="12:16" x14ac:dyDescent="0.25">
      <c r="L425" s="13"/>
      <c r="M425" s="15"/>
      <c r="N425" s="15"/>
      <c r="O425" s="15"/>
      <c r="P425" s="15"/>
    </row>
    <row r="426" spans="12:16" x14ac:dyDescent="0.25">
      <c r="L426" s="13"/>
      <c r="M426" s="23"/>
      <c r="N426" s="15"/>
      <c r="O426" s="15"/>
      <c r="P426" s="15"/>
    </row>
    <row r="427" spans="12:16" x14ac:dyDescent="0.25">
      <c r="L427" s="13"/>
      <c r="M427" s="23"/>
      <c r="N427" s="15"/>
      <c r="O427" s="15"/>
      <c r="P427" s="15"/>
    </row>
    <row r="428" spans="12:16" x14ac:dyDescent="0.25">
      <c r="L428" s="13"/>
      <c r="M428" s="23"/>
      <c r="N428" s="15"/>
      <c r="O428" s="15"/>
      <c r="P428" s="15"/>
    </row>
    <row r="429" spans="12:16" x14ac:dyDescent="0.25">
      <c r="L429" s="13"/>
      <c r="M429" s="23"/>
      <c r="N429" s="15"/>
      <c r="O429" s="15"/>
      <c r="P429" s="15"/>
    </row>
    <row r="430" spans="12:16" x14ac:dyDescent="0.25">
      <c r="L430" s="13"/>
      <c r="M430" s="23"/>
      <c r="N430" s="15"/>
      <c r="O430" s="15"/>
      <c r="P430" s="15"/>
    </row>
    <row r="431" spans="12:16" x14ac:dyDescent="0.25">
      <c r="L431" s="13"/>
      <c r="M431" s="23"/>
      <c r="N431" s="15"/>
      <c r="O431" s="15"/>
      <c r="P431" s="15"/>
    </row>
    <row r="432" spans="12:16" x14ac:dyDescent="0.25">
      <c r="L432" s="13"/>
      <c r="M432" s="23"/>
      <c r="N432" s="15"/>
      <c r="O432" s="15"/>
      <c r="P432" s="15"/>
    </row>
    <row r="433" spans="12:16" x14ac:dyDescent="0.25">
      <c r="L433" s="13"/>
      <c r="M433" s="23"/>
      <c r="N433" s="15"/>
      <c r="O433" s="15"/>
      <c r="P433" s="15"/>
    </row>
    <row r="434" spans="12:16" x14ac:dyDescent="0.25">
      <c r="L434" s="13"/>
      <c r="M434" s="23"/>
      <c r="N434" s="15"/>
      <c r="O434" s="15"/>
      <c r="P434" s="15"/>
    </row>
    <row r="435" spans="12:16" x14ac:dyDescent="0.25">
      <c r="L435" s="13"/>
      <c r="M435" s="23"/>
      <c r="N435" s="15"/>
      <c r="O435" s="15"/>
      <c r="P435" s="23"/>
    </row>
    <row r="436" spans="12:16" x14ac:dyDescent="0.25">
      <c r="L436" s="13"/>
      <c r="M436" s="23"/>
      <c r="N436" s="15"/>
      <c r="O436" s="15"/>
      <c r="P436" s="14"/>
    </row>
    <row r="437" spans="12:16" x14ac:dyDescent="0.25">
      <c r="L437" s="13"/>
      <c r="M437" s="23"/>
      <c r="N437" s="15"/>
      <c r="O437" s="15"/>
      <c r="P437" s="14"/>
    </row>
    <row r="438" spans="12:16" x14ac:dyDescent="0.25">
      <c r="L438" s="13"/>
      <c r="M438" s="23"/>
      <c r="N438" s="15"/>
      <c r="O438" s="15"/>
      <c r="P438" s="14"/>
    </row>
    <row r="439" spans="12:16" x14ac:dyDescent="0.25">
      <c r="L439" s="13"/>
      <c r="M439" s="23"/>
      <c r="N439" s="15"/>
      <c r="O439" s="15"/>
      <c r="P439" s="14"/>
    </row>
    <row r="440" spans="12:16" x14ac:dyDescent="0.25">
      <c r="L440" s="13"/>
      <c r="M440" s="23"/>
      <c r="N440" s="15"/>
      <c r="O440" s="15"/>
      <c r="P440" s="14"/>
    </row>
    <row r="441" spans="12:16" x14ac:dyDescent="0.25">
      <c r="L441" s="13"/>
      <c r="M441" s="23"/>
      <c r="N441" s="15"/>
      <c r="O441" s="15"/>
      <c r="P441" s="14"/>
    </row>
    <row r="442" spans="12:16" x14ac:dyDescent="0.25">
      <c r="L442" s="13"/>
      <c r="M442" s="23"/>
      <c r="N442" s="15"/>
      <c r="O442" s="15"/>
      <c r="P442" s="14"/>
    </row>
    <row r="443" spans="12:16" x14ac:dyDescent="0.25">
      <c r="L443" s="13"/>
      <c r="M443" s="23"/>
      <c r="N443" s="15"/>
      <c r="O443" s="15"/>
      <c r="P443" s="14"/>
    </row>
    <row r="444" spans="12:16" x14ac:dyDescent="0.25">
      <c r="L444" s="13"/>
      <c r="M444" s="23"/>
      <c r="N444" s="15"/>
      <c r="O444" s="15"/>
      <c r="P444" s="14"/>
    </row>
    <row r="445" spans="12:16" x14ac:dyDescent="0.25">
      <c r="L445" s="13"/>
      <c r="M445" s="23"/>
      <c r="N445" s="15"/>
      <c r="O445" s="15"/>
      <c r="P445" s="14"/>
    </row>
    <row r="446" spans="12:16" x14ac:dyDescent="0.25">
      <c r="L446" s="13"/>
      <c r="M446" s="23"/>
      <c r="N446" s="15"/>
      <c r="O446" s="15"/>
      <c r="P446" s="14"/>
    </row>
    <row r="447" spans="12:16" x14ac:dyDescent="0.25">
      <c r="L447" s="13"/>
      <c r="M447" s="23"/>
      <c r="N447" s="15"/>
      <c r="O447" s="15"/>
      <c r="P447" s="14"/>
    </row>
    <row r="448" spans="12:16" x14ac:dyDescent="0.25">
      <c r="L448" s="13"/>
      <c r="M448" s="23"/>
      <c r="N448" s="15"/>
      <c r="O448" s="15"/>
      <c r="P448" s="14"/>
    </row>
    <row r="449" spans="12:16" x14ac:dyDescent="0.25">
      <c r="L449" s="13"/>
      <c r="M449" s="23"/>
      <c r="N449" s="15"/>
      <c r="O449" s="15"/>
      <c r="P449" s="14"/>
    </row>
    <row r="450" spans="12:16" x14ac:dyDescent="0.25">
      <c r="L450" s="13"/>
      <c r="M450" s="23"/>
      <c r="N450" s="15"/>
      <c r="O450" s="15"/>
      <c r="P450" s="14"/>
    </row>
    <row r="451" spans="12:16" x14ac:dyDescent="0.25">
      <c r="L451" s="13"/>
      <c r="M451" s="23"/>
      <c r="N451" s="15"/>
      <c r="O451" s="15"/>
      <c r="P451" s="14"/>
    </row>
    <row r="452" spans="12:16" x14ac:dyDescent="0.25">
      <c r="L452" s="13"/>
      <c r="M452" s="23"/>
      <c r="N452" s="15"/>
      <c r="O452" s="15"/>
      <c r="P452" s="14"/>
    </row>
    <row r="453" spans="12:16" x14ac:dyDescent="0.25">
      <c r="L453" s="13"/>
      <c r="M453" s="23"/>
      <c r="N453" s="15"/>
      <c r="O453" s="15"/>
      <c r="P453" s="14"/>
    </row>
    <row r="454" spans="12:16" x14ac:dyDescent="0.25">
      <c r="L454" s="13"/>
      <c r="M454" s="23"/>
      <c r="N454" s="15"/>
      <c r="O454" s="15"/>
      <c r="P454" s="14"/>
    </row>
    <row r="455" spans="12:16" x14ac:dyDescent="0.25">
      <c r="L455" s="13"/>
      <c r="M455" s="23"/>
      <c r="N455" s="15"/>
      <c r="O455" s="15"/>
      <c r="P455" s="14"/>
    </row>
    <row r="456" spans="12:16" x14ac:dyDescent="0.25">
      <c r="L456" s="13"/>
      <c r="M456" s="23"/>
      <c r="N456" s="15"/>
      <c r="O456" s="15"/>
      <c r="P456" s="14"/>
    </row>
    <row r="457" spans="12:16" x14ac:dyDescent="0.25">
      <c r="L457" s="13"/>
      <c r="M457" s="23"/>
      <c r="N457" s="15"/>
      <c r="O457" s="15"/>
      <c r="P457" s="14"/>
    </row>
    <row r="458" spans="12:16" x14ac:dyDescent="0.25">
      <c r="L458" s="13"/>
      <c r="M458" s="23"/>
      <c r="N458" s="15"/>
      <c r="O458" s="15"/>
      <c r="P458" s="14"/>
    </row>
    <row r="459" spans="12:16" x14ac:dyDescent="0.25">
      <c r="L459" s="13"/>
      <c r="M459" s="23"/>
      <c r="N459" s="15"/>
      <c r="O459" s="15"/>
      <c r="P459" s="23"/>
    </row>
    <row r="460" spans="12:16" x14ac:dyDescent="0.25">
      <c r="L460" s="13"/>
      <c r="M460" s="23"/>
      <c r="N460" s="15"/>
      <c r="O460" s="15"/>
      <c r="P460" s="23"/>
    </row>
    <row r="461" spans="12:16" x14ac:dyDescent="0.25">
      <c r="L461" s="13"/>
      <c r="M461" s="23"/>
      <c r="N461" s="15"/>
      <c r="O461" s="15"/>
      <c r="P461" s="23"/>
    </row>
    <row r="462" spans="12:16" x14ac:dyDescent="0.25">
      <c r="L462" s="13"/>
      <c r="M462" s="23"/>
      <c r="N462" s="15"/>
      <c r="O462" s="15"/>
      <c r="P462" s="23"/>
    </row>
    <row r="463" spans="12:16" x14ac:dyDescent="0.25">
      <c r="L463" s="13"/>
      <c r="M463" s="23"/>
      <c r="N463" s="15"/>
      <c r="O463" s="15"/>
      <c r="P463" s="23"/>
    </row>
    <row r="464" spans="12:16" x14ac:dyDescent="0.25">
      <c r="L464" s="13"/>
      <c r="M464" s="23"/>
      <c r="N464" s="15"/>
      <c r="O464" s="15"/>
      <c r="P464" s="14"/>
    </row>
    <row r="465" spans="12:16" x14ac:dyDescent="0.25">
      <c r="L465" s="13"/>
      <c r="M465" s="23"/>
      <c r="N465" s="15"/>
      <c r="O465" s="15"/>
      <c r="P465" s="23"/>
    </row>
    <row r="466" spans="12:16" x14ac:dyDescent="0.25">
      <c r="L466" s="13"/>
      <c r="M466" s="23"/>
      <c r="N466" s="15"/>
      <c r="O466" s="15"/>
      <c r="P466" s="23"/>
    </row>
    <row r="467" spans="12:16" x14ac:dyDescent="0.25">
      <c r="L467" s="13"/>
      <c r="M467" s="23"/>
      <c r="N467" s="15"/>
      <c r="O467" s="15"/>
      <c r="P467" s="23"/>
    </row>
    <row r="468" spans="12:16" x14ac:dyDescent="0.25">
      <c r="L468" s="13"/>
      <c r="M468" s="23"/>
      <c r="N468" s="15"/>
      <c r="O468" s="15"/>
      <c r="P468" s="23"/>
    </row>
    <row r="469" spans="12:16" x14ac:dyDescent="0.25">
      <c r="L469" s="13"/>
      <c r="M469" s="23"/>
      <c r="N469" s="15"/>
      <c r="O469" s="15"/>
      <c r="P469" s="23"/>
    </row>
    <row r="470" spans="12:16" x14ac:dyDescent="0.25">
      <c r="L470" s="13"/>
      <c r="M470" s="23"/>
      <c r="N470" s="15"/>
      <c r="O470" s="15"/>
      <c r="P470" s="23"/>
    </row>
    <row r="471" spans="12:16" x14ac:dyDescent="0.25">
      <c r="L471" s="13"/>
      <c r="M471" s="23"/>
      <c r="N471" s="15"/>
      <c r="O471" s="15"/>
      <c r="P471" s="23"/>
    </row>
    <row r="472" spans="12:16" x14ac:dyDescent="0.25">
      <c r="L472" s="13"/>
      <c r="M472" s="23"/>
      <c r="N472" s="15"/>
      <c r="O472" s="15"/>
      <c r="P472" s="23"/>
    </row>
    <row r="473" spans="12:16" x14ac:dyDescent="0.25">
      <c r="L473" s="13"/>
      <c r="M473" s="23"/>
      <c r="N473" s="15"/>
      <c r="O473" s="15"/>
      <c r="P473" s="23"/>
    </row>
    <row r="474" spans="12:16" x14ac:dyDescent="0.25">
      <c r="L474" s="13"/>
      <c r="M474" s="23"/>
      <c r="N474" s="15"/>
      <c r="O474" s="15"/>
      <c r="P474" s="23"/>
    </row>
    <row r="475" spans="12:16" x14ac:dyDescent="0.25">
      <c r="L475" s="13"/>
      <c r="M475" s="23"/>
      <c r="N475" s="15"/>
      <c r="O475" s="15"/>
      <c r="P475" s="23"/>
    </row>
    <row r="476" spans="12:16" x14ac:dyDescent="0.25">
      <c r="L476" s="13"/>
      <c r="M476" s="23"/>
      <c r="N476" s="15"/>
      <c r="O476" s="15"/>
      <c r="P476" s="23"/>
    </row>
    <row r="477" spans="12:16" x14ac:dyDescent="0.25">
      <c r="L477" s="13"/>
      <c r="M477" s="23"/>
      <c r="N477" s="15"/>
      <c r="O477" s="15"/>
      <c r="P477" s="23"/>
    </row>
    <row r="478" spans="12:16" x14ac:dyDescent="0.25">
      <c r="L478" s="13"/>
      <c r="M478" s="23"/>
      <c r="N478" s="15"/>
      <c r="O478" s="15"/>
      <c r="P478" s="23"/>
    </row>
    <row r="479" spans="12:16" x14ac:dyDescent="0.25">
      <c r="L479" s="13"/>
      <c r="M479" s="23"/>
      <c r="N479" s="15"/>
      <c r="O479" s="15"/>
      <c r="P479" s="23"/>
    </row>
    <row r="480" spans="12:16" x14ac:dyDescent="0.25">
      <c r="L480" s="13"/>
      <c r="M480" s="23"/>
      <c r="N480" s="15"/>
      <c r="O480" s="15"/>
      <c r="P480" s="14"/>
    </row>
    <row r="481" spans="12:16" x14ac:dyDescent="0.25">
      <c r="L481" s="13"/>
      <c r="M481" s="23"/>
      <c r="N481" s="15"/>
      <c r="O481" s="15"/>
      <c r="P481" s="23"/>
    </row>
    <row r="482" spans="12:16" x14ac:dyDescent="0.25">
      <c r="L482" s="13"/>
      <c r="M482" s="23"/>
      <c r="N482" s="15"/>
      <c r="O482" s="15"/>
      <c r="P482" s="23"/>
    </row>
    <row r="483" spans="12:16" x14ac:dyDescent="0.25">
      <c r="L483" s="13"/>
      <c r="M483" s="23"/>
      <c r="N483" s="15"/>
      <c r="O483" s="15"/>
      <c r="P483" s="23"/>
    </row>
    <row r="484" spans="12:16" x14ac:dyDescent="0.25">
      <c r="L484" s="13"/>
      <c r="M484" s="23"/>
      <c r="N484" s="15"/>
      <c r="O484" s="15"/>
      <c r="P484" s="23"/>
    </row>
    <row r="485" spans="12:16" x14ac:dyDescent="0.25">
      <c r="L485" s="13"/>
      <c r="M485" s="23"/>
      <c r="N485" s="15"/>
      <c r="O485" s="15"/>
      <c r="P485" s="23"/>
    </row>
    <row r="486" spans="12:16" x14ac:dyDescent="0.25">
      <c r="L486" s="13"/>
      <c r="M486" s="23"/>
      <c r="N486" s="15"/>
      <c r="O486" s="15"/>
      <c r="P486" s="23"/>
    </row>
    <row r="487" spans="12:16" x14ac:dyDescent="0.25">
      <c r="L487" s="13"/>
      <c r="M487" s="23"/>
      <c r="N487" s="15"/>
      <c r="O487" s="15"/>
      <c r="P487" s="23"/>
    </row>
    <row r="488" spans="12:16" x14ac:dyDescent="0.25">
      <c r="L488" s="13"/>
      <c r="M488" s="23"/>
      <c r="N488" s="15"/>
      <c r="O488" s="15"/>
      <c r="P488" s="23"/>
    </row>
    <row r="489" spans="12:16" x14ac:dyDescent="0.25">
      <c r="L489" s="13"/>
      <c r="M489" s="23"/>
      <c r="N489" s="15"/>
      <c r="O489" s="15"/>
      <c r="P489" s="23"/>
    </row>
    <row r="490" spans="12:16" x14ac:dyDescent="0.25">
      <c r="L490" s="13"/>
      <c r="M490" s="23"/>
      <c r="N490" s="15"/>
      <c r="O490" s="15"/>
      <c r="P490" s="23"/>
    </row>
    <row r="491" spans="12:16" x14ac:dyDescent="0.25">
      <c r="L491" s="13"/>
      <c r="M491" s="23"/>
      <c r="N491" s="15"/>
      <c r="O491" s="15"/>
      <c r="P491" s="23"/>
    </row>
    <row r="492" spans="12:16" x14ac:dyDescent="0.25">
      <c r="L492" s="13"/>
      <c r="M492" s="23"/>
      <c r="N492" s="15"/>
      <c r="O492" s="15"/>
      <c r="P492" s="23"/>
    </row>
    <row r="493" spans="12:16" x14ac:dyDescent="0.25">
      <c r="L493" s="13"/>
      <c r="M493" s="23"/>
      <c r="N493" s="15"/>
      <c r="O493" s="15"/>
      <c r="P493" s="23"/>
    </row>
    <row r="494" spans="12:16" x14ac:dyDescent="0.25">
      <c r="L494" s="13"/>
      <c r="M494" s="23"/>
      <c r="N494" s="15"/>
      <c r="O494" s="15"/>
      <c r="P494" s="23"/>
    </row>
    <row r="495" spans="12:16" x14ac:dyDescent="0.25">
      <c r="L495" s="13"/>
      <c r="M495" s="23"/>
      <c r="N495" s="15"/>
      <c r="O495" s="15"/>
      <c r="P495" s="23"/>
    </row>
    <row r="496" spans="12:16" x14ac:dyDescent="0.25">
      <c r="L496" s="13"/>
      <c r="M496" s="23"/>
      <c r="N496" s="15"/>
      <c r="O496" s="15"/>
      <c r="P496" s="14"/>
    </row>
    <row r="497" spans="12:16" x14ac:dyDescent="0.25">
      <c r="L497" s="13"/>
      <c r="M497" s="23"/>
      <c r="N497" s="15"/>
      <c r="O497" s="15"/>
      <c r="P497" s="23"/>
    </row>
    <row r="498" spans="12:16" x14ac:dyDescent="0.25">
      <c r="L498" s="13"/>
      <c r="M498" s="23"/>
      <c r="N498" s="15"/>
      <c r="O498" s="15"/>
      <c r="P498" s="23"/>
    </row>
    <row r="499" spans="12:16" x14ac:dyDescent="0.25">
      <c r="L499" s="13"/>
      <c r="M499" s="23"/>
      <c r="N499" s="15"/>
      <c r="O499" s="15"/>
      <c r="P499" s="23"/>
    </row>
    <row r="500" spans="12:16" x14ac:dyDescent="0.25">
      <c r="L500" s="13"/>
      <c r="N500" s="15"/>
      <c r="O500" s="15"/>
    </row>
    <row r="501" spans="12:16" x14ac:dyDescent="0.25">
      <c r="L501" s="13"/>
      <c r="N501" s="15"/>
      <c r="O501" s="15"/>
    </row>
    <row r="502" spans="12:16" x14ac:dyDescent="0.25">
      <c r="L502" s="13"/>
      <c r="N502" s="15"/>
      <c r="O502" s="15"/>
    </row>
    <row r="503" spans="12:16" x14ac:dyDescent="0.25">
      <c r="L503" s="13"/>
      <c r="N503" s="15"/>
      <c r="O503" s="15"/>
    </row>
    <row r="504" spans="12:16" x14ac:dyDescent="0.25">
      <c r="L504" s="13"/>
      <c r="N504" s="15"/>
      <c r="O504" s="15"/>
    </row>
    <row r="505" spans="12:16" x14ac:dyDescent="0.25">
      <c r="N505" s="15"/>
      <c r="O505" s="15"/>
    </row>
    <row r="506" spans="12:16" x14ac:dyDescent="0.25">
      <c r="O506" s="15"/>
    </row>
    <row r="507" spans="12:16" x14ac:dyDescent="0.25">
      <c r="O507" s="15"/>
    </row>
    <row r="508" spans="12:16" x14ac:dyDescent="0.25">
      <c r="O508" s="15"/>
    </row>
    <row r="509" spans="12:16" x14ac:dyDescent="0.25">
      <c r="O509" s="15"/>
    </row>
    <row r="510" spans="12:16" x14ac:dyDescent="0.25">
      <c r="O510" s="15"/>
    </row>
    <row r="511" spans="12:16" x14ac:dyDescent="0.25">
      <c r="O511" s="15"/>
    </row>
    <row r="512" spans="12:16" x14ac:dyDescent="0.25">
      <c r="O512" s="15"/>
    </row>
    <row r="513" spans="15:15" x14ac:dyDescent="0.25">
      <c r="O513" s="15"/>
    </row>
  </sheetData>
  <autoFilter ref="B10:P505" xr:uid="{00000000-0009-0000-0000-000001000000}"/>
  <customSheetViews>
    <customSheetView guid="{DB9894F0-96BC-4C04-8D04-FF3607BEBF53}" scale="94" showGridLines="0" showAutoFilter="1">
      <pane xSplit="3" ySplit="10" topLeftCell="D98" activePane="bottomRight" state="frozen"/>
      <selection pane="bottomRight" activeCell="L100" sqref="L100"/>
      <pageMargins left="0" right="0" top="0" bottom="0" header="0" footer="0"/>
      <pageSetup paperSize="9" orientation="portrait" r:id="rId1"/>
      <autoFilter ref="B10:P505" xr:uid="{883166EA-7DF5-4E2E-972E-C356AF30F43A}"/>
    </customSheetView>
    <customSheetView guid="{8D8BE001-C296-444A-B8AC-56385A059ADB}" scale="94" showGridLines="0" showAutoFilter="1">
      <pane xSplit="3" ySplit="10" topLeftCell="D11" activePane="bottomRight" state="frozen"/>
      <selection pane="bottomRight" activeCell="B11" sqref="B11"/>
      <pageMargins left="0" right="0" top="0" bottom="0" header="0" footer="0"/>
      <pageSetup paperSize="9" orientation="portrait" r:id="rId2"/>
      <autoFilter ref="B10:P505" xr:uid="{7576FA4B-FA34-4F8E-A66F-44BC53929F5D}"/>
    </customSheetView>
    <customSheetView guid="{5A7B666F-E305-4A9E-98DD-F5DEC8A780A3}" scale="94" showGridLines="0" showAutoFilter="1">
      <pane xSplit="3" ySplit="10" topLeftCell="D11" activePane="bottomRight" state="frozen"/>
      <selection pane="bottomRight" activeCell="D21" sqref="D21"/>
      <pageMargins left="0" right="0" top="0" bottom="0" header="0" footer="0"/>
      <pageSetup paperSize="9" orientation="portrait" r:id="rId3"/>
      <autoFilter ref="B10:P505" xr:uid="{BDDFB3D9-7394-4E61-8111-0FD2A3C86098}"/>
    </customSheetView>
    <customSheetView guid="{A8BCBFE8-6A1E-4872-B017-B3136BC584DB}" scale="94" showGridLines="0" showAutoFilter="1">
      <pane xSplit="3" ySplit="10" topLeftCell="D11" activePane="bottomRight" state="frozen"/>
      <selection pane="bottomRight" activeCell="B10" sqref="B10"/>
      <pageMargins left="0" right="0" top="0" bottom="0" header="0" footer="0"/>
      <pageSetup paperSize="9" orientation="portrait" r:id="rId4"/>
      <autoFilter ref="B10:P505" xr:uid="{2B7778FF-5A72-4A2B-AEC2-7ECBF0D559E1}"/>
    </customSheetView>
  </customSheetViews>
  <dataValidations count="2">
    <dataValidation type="list" allowBlank="1" showInputMessage="1" showErrorMessage="1" sqref="N9" xr:uid="{00000000-0002-0000-0100-000000000000}">
      <formula1>$N$2:$N$3</formula1>
    </dataValidation>
    <dataValidation type="list" allowBlank="1" showInputMessage="1" showErrorMessage="1" sqref="D11:D112" xr:uid="{00000000-0002-0000-0100-000001000000}">
      <formula1>$D$2:$D$4</formula1>
    </dataValidation>
  </dataValidations>
  <pageMargins left="0.7" right="0.7" top="0.75" bottom="0.75" header="0.3" footer="0.3"/>
  <pageSetup paperSize="9" orientation="portrait" r:id="rId5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3">
    <tabColor rgb="FF00B050"/>
  </sheetPr>
  <dimension ref="A1:EK693"/>
  <sheetViews>
    <sheetView showGridLines="0" tabSelected="1" zoomScale="90" zoomScaleNormal="98" workbookViewId="0">
      <pane xSplit="7" ySplit="6" topLeftCell="H7" activePane="bottomRight" state="frozen"/>
      <selection pane="topRight" activeCell="H1" sqref="H1"/>
      <selection pane="bottomLeft" activeCell="A7" sqref="A7"/>
      <selection pane="bottomRight" activeCell="B8" sqref="B8"/>
    </sheetView>
  </sheetViews>
  <sheetFormatPr baseColWidth="10" defaultColWidth="11.42578125" defaultRowHeight="15" x14ac:dyDescent="0.25"/>
  <cols>
    <col min="1" max="1" width="7.85546875" style="30" customWidth="1"/>
    <col min="2" max="2" width="45.28515625" style="30" bestFit="1" customWidth="1"/>
    <col min="3" max="3" width="6.5703125" style="29" customWidth="1"/>
    <col min="4" max="5" width="16.140625" style="30" customWidth="1"/>
    <col min="6" max="6" width="12.42578125" style="30" customWidth="1"/>
    <col min="7" max="7" width="10" style="29" customWidth="1"/>
    <col min="8" max="8" width="6.5703125" style="31" customWidth="1"/>
    <col min="9" max="9" width="7.7109375" style="31" customWidth="1"/>
    <col min="10" max="10" width="8.5703125" style="31" bestFit="1" customWidth="1"/>
    <col min="11" max="11" width="7.5703125" style="31" customWidth="1"/>
    <col min="12" max="12" width="8.5703125" style="31" customWidth="1"/>
    <col min="13" max="13" width="7.7109375" style="31" customWidth="1"/>
    <col min="14" max="14" width="5.85546875" style="30" customWidth="1"/>
    <col min="15" max="16" width="7.28515625" style="30" customWidth="1"/>
    <col min="17" max="17" width="7.7109375" style="31" customWidth="1"/>
    <col min="18" max="18" width="7.140625" style="30" bestFit="1" customWidth="1"/>
    <col min="19" max="19" width="7.28515625" style="30" bestFit="1" customWidth="1"/>
    <col min="20" max="20" width="9.42578125" style="30" bestFit="1" customWidth="1"/>
    <col min="21" max="21" width="5.7109375" style="31" customWidth="1"/>
    <col min="22" max="22" width="7.7109375" style="32" customWidth="1"/>
    <col min="23" max="23" width="10" style="31" bestFit="1" customWidth="1"/>
    <col min="24" max="24" width="6.5703125" style="31" customWidth="1"/>
    <col min="25" max="25" width="7.28515625" style="31" customWidth="1"/>
    <col min="26" max="26" width="7.7109375" style="32" customWidth="1"/>
    <col min="27" max="27" width="7" style="30" customWidth="1"/>
    <col min="28" max="28" width="7.5703125" style="30" customWidth="1"/>
    <col min="29" max="29" width="7.140625" style="30" customWidth="1"/>
    <col min="30" max="30" width="7.7109375" style="32" customWidth="1"/>
    <col min="31" max="31" width="5.85546875" style="30" customWidth="1"/>
    <col min="32" max="32" width="6.140625" style="30" customWidth="1"/>
    <col min="33" max="33" width="7.28515625" style="30" customWidth="1"/>
    <col min="34" max="34" width="5.7109375" style="31" customWidth="1"/>
    <col min="35" max="35" width="7.7109375" style="32" customWidth="1"/>
    <col min="36" max="36" width="12.42578125" style="31" bestFit="1" customWidth="1"/>
    <col min="37" max="37" width="6.7109375" style="31" customWidth="1"/>
    <col min="38" max="38" width="7.28515625" style="31" customWidth="1"/>
    <col min="39" max="39" width="7.7109375" style="32" customWidth="1"/>
    <col min="40" max="40" width="6" style="30" customWidth="1"/>
    <col min="41" max="41" width="6.5703125" style="30" customWidth="1"/>
    <col min="42" max="42" width="7.28515625" style="30" customWidth="1"/>
    <col min="43" max="43" width="7.7109375" style="32" customWidth="1"/>
    <col min="44" max="44" width="6.7109375" style="30" customWidth="1"/>
    <col min="45" max="45" width="6.5703125" style="30" customWidth="1"/>
    <col min="46" max="46" width="7.28515625" style="30" customWidth="1"/>
    <col min="47" max="47" width="5.7109375" style="31" customWidth="1"/>
    <col min="48" max="48" width="7.7109375" style="32" customWidth="1"/>
    <col min="49" max="49" width="9.5703125" style="31" bestFit="1" customWidth="1"/>
    <col min="50" max="50" width="7.28515625" style="31" customWidth="1"/>
    <col min="51" max="51" width="9.28515625" style="31" customWidth="1"/>
    <col min="52" max="52" width="7.7109375" style="32" customWidth="1"/>
    <col min="53" max="53" width="6.5703125" style="30" customWidth="1"/>
    <col min="54" max="54" width="6.7109375" style="30" customWidth="1"/>
    <col min="55" max="55" width="7.140625" style="30" customWidth="1"/>
    <col min="56" max="56" width="7.7109375" style="32" customWidth="1"/>
    <col min="57" max="57" width="6.140625" style="30" customWidth="1"/>
    <col min="58" max="58" width="6" style="30" customWidth="1"/>
    <col min="59" max="59" width="7.28515625" style="30" customWidth="1"/>
    <col min="60" max="60" width="5.7109375" style="31" customWidth="1"/>
    <col min="61" max="61" width="7.7109375" style="32" customWidth="1"/>
    <col min="62" max="62" width="10.28515625" style="31" bestFit="1" customWidth="1"/>
    <col min="63" max="63" width="7.42578125" style="31" customWidth="1"/>
    <col min="64" max="64" width="7.140625" style="31" customWidth="1"/>
    <col min="65" max="65" width="7.7109375" style="32" customWidth="1"/>
    <col min="66" max="67" width="6" style="30" customWidth="1"/>
    <col min="68" max="68" width="7.140625" style="30" customWidth="1"/>
    <col min="69" max="69" width="7.7109375" style="32" customWidth="1"/>
    <col min="70" max="71" width="6" style="30" customWidth="1"/>
    <col min="72" max="72" width="7.140625" style="30" customWidth="1"/>
    <col min="73" max="73" width="5.7109375" style="31" customWidth="1"/>
    <col min="74" max="74" width="7.7109375" style="32" customWidth="1"/>
    <col min="75" max="75" width="10.28515625" style="31" bestFit="1" customWidth="1"/>
    <col min="76" max="76" width="6.28515625" style="31" customWidth="1"/>
    <col min="77" max="77" width="7.28515625" style="31" customWidth="1"/>
    <col min="78" max="78" width="7.7109375" style="32" customWidth="1"/>
    <col min="79" max="79" width="6" style="30" customWidth="1"/>
    <col min="80" max="80" width="7.28515625" style="30" customWidth="1"/>
    <col min="81" max="81" width="7.5703125" style="30" customWidth="1"/>
    <col min="82" max="82" width="7.7109375" style="32" customWidth="1"/>
    <col min="83" max="83" width="6" style="30" customWidth="1"/>
    <col min="84" max="84" width="7.28515625" style="30" customWidth="1"/>
    <col min="85" max="85" width="8.42578125" style="30" customWidth="1"/>
    <col min="86" max="86" width="5.7109375" style="31" customWidth="1"/>
    <col min="87" max="87" width="7.7109375" style="32" customWidth="1"/>
    <col min="88" max="88" width="11.7109375" style="31" bestFit="1" customWidth="1"/>
    <col min="89" max="89" width="6.140625" style="31" customWidth="1"/>
    <col min="90" max="90" width="7.140625" style="31" customWidth="1"/>
    <col min="91" max="91" width="7.7109375" style="32" customWidth="1"/>
    <col min="92" max="92" width="5.85546875" style="30" customWidth="1"/>
    <col min="93" max="93" width="6.28515625" style="30" customWidth="1"/>
    <col min="94" max="94" width="6.7109375" style="30" customWidth="1"/>
    <col min="95" max="95" width="7.7109375" style="32" customWidth="1"/>
    <col min="96" max="96" width="5.85546875" style="30" customWidth="1"/>
    <col min="97" max="97" width="6.28515625" style="30" customWidth="1"/>
    <col min="98" max="98" width="6.7109375" style="30" customWidth="1"/>
    <col min="99" max="99" width="11.140625" style="29" customWidth="1"/>
    <col min="100" max="100" width="13.42578125" style="30" customWidth="1"/>
    <col min="101" max="104" width="11.42578125" style="30" customWidth="1"/>
    <col min="105" max="109" width="11.140625" style="30" customWidth="1"/>
    <col min="110" max="110" width="11.42578125" style="30" customWidth="1"/>
    <col min="111" max="111" width="12.140625" style="30" customWidth="1"/>
    <col min="112" max="112" width="13.7109375" style="30" customWidth="1"/>
    <col min="113" max="113" width="11.85546875" style="29" customWidth="1"/>
    <col min="114" max="115" width="10.5703125" style="30" customWidth="1"/>
    <col min="116" max="116" width="11.42578125" style="30" customWidth="1"/>
    <col min="117" max="117" width="10.5703125" style="30" customWidth="1"/>
    <col min="118" max="119" width="9.5703125" style="30" customWidth="1"/>
    <col min="120" max="120" width="10.42578125" style="30" customWidth="1"/>
    <col min="121" max="121" width="11.28515625" style="30" customWidth="1"/>
    <col min="122" max="122" width="12.28515625" style="30" customWidth="1"/>
    <col min="123" max="123" width="14.140625" style="29" customWidth="1"/>
    <col min="124" max="124" width="10.5703125" style="30" customWidth="1"/>
    <col min="125" max="125" width="17.140625" style="30" customWidth="1"/>
    <col min="126" max="126" width="14.140625" style="30" customWidth="1"/>
    <col min="127" max="127" width="15" style="30" customWidth="1"/>
    <col min="128" max="131" width="11.42578125" style="30" customWidth="1"/>
    <col min="132" max="132" width="9.140625" style="30" customWidth="1"/>
    <col min="133" max="133" width="12.28515625" style="30" customWidth="1"/>
    <col min="134" max="134" width="19.28515625" style="30" bestFit="1" customWidth="1"/>
    <col min="135" max="135" width="23.5703125" style="30" bestFit="1" customWidth="1"/>
    <col min="136" max="139" width="11.42578125" style="30"/>
    <col min="140" max="140" width="11.42578125" style="29"/>
    <col min="141" max="16384" width="11.42578125" style="30"/>
  </cols>
  <sheetData>
    <row r="1" spans="1:141" ht="15.75" thickBot="1" x14ac:dyDescent="0.3">
      <c r="A1" s="27">
        <v>1</v>
      </c>
      <c r="B1" s="28">
        <v>45652</v>
      </c>
      <c r="D1" s="134"/>
      <c r="E1" s="134"/>
      <c r="F1" s="134"/>
      <c r="H1" s="137"/>
      <c r="I1" s="137"/>
      <c r="J1" s="137"/>
      <c r="K1" s="137"/>
      <c r="L1" s="137"/>
      <c r="M1" s="137"/>
      <c r="N1" s="134"/>
      <c r="O1" s="134"/>
      <c r="P1" s="137"/>
      <c r="Q1" s="137"/>
      <c r="R1" s="134"/>
      <c r="S1" s="134"/>
      <c r="T1" s="137"/>
      <c r="U1" s="137"/>
      <c r="W1" s="137"/>
      <c r="X1" s="137"/>
      <c r="Y1" s="137"/>
      <c r="AA1" s="134"/>
      <c r="AB1" s="134"/>
      <c r="AC1" s="134"/>
      <c r="AE1" s="134"/>
      <c r="AF1" s="134"/>
      <c r="AG1" s="134"/>
      <c r="AH1" s="137"/>
      <c r="AJ1" s="137"/>
      <c r="AK1" s="137"/>
      <c r="AL1" s="137"/>
      <c r="AN1" s="134"/>
      <c r="AO1" s="134"/>
      <c r="AP1" s="134"/>
      <c r="AR1" s="134"/>
      <c r="AS1" s="134"/>
      <c r="AT1" s="134"/>
      <c r="AU1" s="137"/>
      <c r="AW1" s="137"/>
      <c r="AX1" s="137"/>
      <c r="AY1" s="137"/>
      <c r="BA1" s="134"/>
      <c r="BB1" s="134"/>
      <c r="BC1" s="134"/>
      <c r="BE1" s="134"/>
      <c r="BF1" s="134"/>
      <c r="BG1" s="134"/>
      <c r="BH1" s="137"/>
      <c r="BJ1" s="137"/>
      <c r="BK1" s="137"/>
      <c r="BL1" s="137"/>
      <c r="BN1" s="134"/>
      <c r="BO1" s="134"/>
      <c r="BP1" s="134"/>
      <c r="BR1" s="134"/>
      <c r="BS1" s="134"/>
      <c r="BT1" s="134"/>
      <c r="BU1" s="137"/>
      <c r="BW1" s="137"/>
      <c r="BX1" s="137"/>
      <c r="BY1" s="137"/>
      <c r="CA1" s="134"/>
      <c r="CB1" s="134"/>
      <c r="CC1" s="134"/>
      <c r="CE1" s="134"/>
      <c r="CF1" s="134"/>
      <c r="CG1" s="134"/>
      <c r="CH1" s="137"/>
      <c r="CJ1" s="137"/>
      <c r="CK1" s="137"/>
      <c r="CL1" s="137"/>
      <c r="CN1" s="134"/>
      <c r="CO1" s="134"/>
      <c r="CP1" s="134"/>
      <c r="CQ1" s="32" t="s">
        <v>9</v>
      </c>
      <c r="CR1" s="134"/>
      <c r="CS1" s="134"/>
      <c r="CT1" s="134"/>
      <c r="CV1" s="134"/>
      <c r="CW1" s="134"/>
      <c r="CX1" s="168"/>
      <c r="CY1" s="168"/>
      <c r="CZ1" s="197" t="s">
        <v>150</v>
      </c>
      <c r="DA1" s="134">
        <v>1</v>
      </c>
      <c r="DB1" s="134">
        <v>1</v>
      </c>
      <c r="DC1" s="134">
        <v>1</v>
      </c>
      <c r="DD1" s="158">
        <v>1</v>
      </c>
      <c r="DE1" s="134"/>
      <c r="DF1" s="134"/>
      <c r="DG1" s="134"/>
      <c r="DH1" s="134"/>
      <c r="DJ1" s="138">
        <f>48/24</f>
        <v>2</v>
      </c>
      <c r="DK1" s="138"/>
      <c r="DL1" s="138"/>
      <c r="DM1" s="134"/>
      <c r="DN1" s="134"/>
      <c r="DO1" s="134"/>
      <c r="DP1" s="196" t="s">
        <v>153</v>
      </c>
      <c r="DQ1" s="134"/>
      <c r="DR1" s="134"/>
      <c r="DT1" s="134"/>
      <c r="DU1" s="134"/>
      <c r="DV1" s="134"/>
      <c r="DW1" s="134"/>
      <c r="DX1" s="134"/>
      <c r="DY1" s="134"/>
      <c r="DZ1" s="134"/>
      <c r="EA1" s="134"/>
      <c r="EB1" s="139">
        <v>0.375</v>
      </c>
      <c r="EC1" s="134"/>
      <c r="ED1" s="134"/>
      <c r="EE1" s="134"/>
      <c r="EF1" s="134"/>
      <c r="EG1" s="134"/>
      <c r="EH1" s="134"/>
      <c r="EI1" s="134" t="s">
        <v>74</v>
      </c>
      <c r="EK1" s="134"/>
    </row>
    <row r="2" spans="1:141" customFormat="1" x14ac:dyDescent="0.25">
      <c r="A2" s="33" t="s">
        <v>75</v>
      </c>
      <c r="B2" s="34">
        <v>45656</v>
      </c>
      <c r="C2" s="35"/>
      <c r="G2" s="35"/>
      <c r="H2" s="36"/>
      <c r="I2" s="36"/>
      <c r="J2" s="36"/>
      <c r="K2" s="36"/>
      <c r="L2" s="36">
        <f>SUBTOTAL(9,L$7:L$678)</f>
        <v>1.625</v>
      </c>
      <c r="M2" s="36"/>
      <c r="N2" s="36"/>
      <c r="O2" s="36"/>
      <c r="P2" s="36">
        <f>SUBTOTAL(9,P$7:P$678)</f>
        <v>0</v>
      </c>
      <c r="Q2" s="36"/>
      <c r="R2" s="36"/>
      <c r="S2" s="36"/>
      <c r="T2" s="36">
        <f>SUBTOTAL(9,T$7:T$678)</f>
        <v>0</v>
      </c>
      <c r="U2" s="36"/>
      <c r="V2" s="32"/>
      <c r="W2" s="36"/>
      <c r="X2" s="36"/>
      <c r="Y2" s="36">
        <f>SUBTOTAL(9,Y$7:Y$678)</f>
        <v>1.625</v>
      </c>
      <c r="Z2" s="32"/>
      <c r="AA2" s="36"/>
      <c r="AB2" s="36"/>
      <c r="AC2" s="36">
        <f>SUBTOTAL(9,AC$7:AC$678)</f>
        <v>0</v>
      </c>
      <c r="AD2" s="32"/>
      <c r="AE2" s="36"/>
      <c r="AF2" s="36"/>
      <c r="AG2" s="36">
        <f>SUBTOTAL(9,AG$7:AG$678)</f>
        <v>0</v>
      </c>
      <c r="AH2" s="36"/>
      <c r="AI2" s="32"/>
      <c r="AJ2" s="36"/>
      <c r="AK2" s="36"/>
      <c r="AL2" s="36">
        <f>SUBTOTAL(9,AL$7:AL$678)</f>
        <v>1.75</v>
      </c>
      <c r="AM2" s="32"/>
      <c r="AN2" s="36"/>
      <c r="AO2" s="36"/>
      <c r="AP2" s="36">
        <f>SUBTOTAL(9,AP$7:AP$678)</f>
        <v>0</v>
      </c>
      <c r="AQ2" s="32"/>
      <c r="AR2" s="36"/>
      <c r="AS2" s="36"/>
      <c r="AT2" s="36">
        <f>SUBTOTAL(9,AT$7:AT$678)</f>
        <v>0</v>
      </c>
      <c r="AU2" s="36"/>
      <c r="AV2" s="32"/>
      <c r="AW2" s="36"/>
      <c r="AX2" s="36"/>
      <c r="AY2" s="36">
        <f>SUBTOTAL(9,AY$7:AY$678)</f>
        <v>1.5</v>
      </c>
      <c r="AZ2" s="32"/>
      <c r="BA2" s="36"/>
      <c r="BB2" s="36"/>
      <c r="BC2" s="36">
        <f>SUBTOTAL(9,BC$7:BC$678)</f>
        <v>0</v>
      </c>
      <c r="BD2" s="32"/>
      <c r="BE2" s="36"/>
      <c r="BF2" s="36"/>
      <c r="BG2" s="36">
        <f>SUBTOTAL(9,BG$7:BG$678)</f>
        <v>0</v>
      </c>
      <c r="BH2" s="36"/>
      <c r="BI2" s="32"/>
      <c r="BJ2" s="36"/>
      <c r="BK2" s="36"/>
      <c r="BL2" s="36">
        <f>SUBTOTAL(9,BL$7:BL$678)</f>
        <v>1.7499999999999996</v>
      </c>
      <c r="BM2" s="32"/>
      <c r="BN2" s="36"/>
      <c r="BO2" s="36"/>
      <c r="BP2" s="36">
        <f>SUBTOTAL(9,BP$7:BP$678)</f>
        <v>0</v>
      </c>
      <c r="BQ2" s="32"/>
      <c r="BR2" s="36"/>
      <c r="BS2" s="36"/>
      <c r="BT2" s="36">
        <f>SUBTOTAL(9,BT$7:BT$678)</f>
        <v>0</v>
      </c>
      <c r="BU2" s="36"/>
      <c r="BV2" s="32"/>
      <c r="BW2" s="36"/>
      <c r="BX2" s="36"/>
      <c r="BY2" s="36">
        <f>SUBTOTAL(9,BY$7:BY$678)</f>
        <v>0</v>
      </c>
      <c r="BZ2" s="32"/>
      <c r="CA2" s="36"/>
      <c r="CB2" s="36"/>
      <c r="CC2" s="36">
        <f>SUBTOTAL(9,CC$7:CC$678)</f>
        <v>0</v>
      </c>
      <c r="CD2" s="32"/>
      <c r="CE2" s="36"/>
      <c r="CF2" s="36"/>
      <c r="CG2" s="36">
        <f>SUBTOTAL(9,CG$7:CG$678)</f>
        <v>0</v>
      </c>
      <c r="CH2" s="36"/>
      <c r="CI2" s="32"/>
      <c r="CJ2" s="36"/>
      <c r="CK2" s="36"/>
      <c r="CL2" s="36">
        <f>SUBTOTAL(9,CL$7:CL$678)</f>
        <v>0</v>
      </c>
      <c r="CM2" s="32"/>
      <c r="CN2" s="36"/>
      <c r="CO2" s="36"/>
      <c r="CP2" s="36">
        <f>SUBTOTAL(9,CP$7:CP$678)</f>
        <v>0</v>
      </c>
      <c r="CQ2" s="32"/>
      <c r="CR2" s="36"/>
      <c r="CS2" s="36"/>
      <c r="CT2" s="36">
        <f>SUBTOTAL(9,CT$7:CT$678)</f>
        <v>0</v>
      </c>
      <c r="CU2" s="35"/>
      <c r="CZ2" s="198" t="s">
        <v>149</v>
      </c>
      <c r="DA2" s="168"/>
      <c r="DI2" s="35"/>
      <c r="DS2" s="35"/>
      <c r="EB2" s="37"/>
      <c r="EI2" t="s">
        <v>6</v>
      </c>
      <c r="EJ2" s="35"/>
    </row>
    <row r="3" spans="1:141" customFormat="1" ht="15.75" thickBot="1" x14ac:dyDescent="0.3">
      <c r="A3" s="38" t="s">
        <v>76</v>
      </c>
      <c r="B3" s="39">
        <f>B2+7-1</f>
        <v>45662</v>
      </c>
      <c r="C3" s="40"/>
      <c r="D3" s="41"/>
      <c r="E3" s="41"/>
      <c r="G3" s="40"/>
      <c r="V3" s="42"/>
      <c r="Z3" s="42"/>
      <c r="AD3" s="42"/>
      <c r="AI3" s="42"/>
      <c r="AM3" s="42"/>
      <c r="AQ3" s="42"/>
      <c r="AV3" s="42"/>
      <c r="AZ3" s="42"/>
      <c r="BD3" s="42"/>
      <c r="BI3" s="42"/>
      <c r="BM3" s="42"/>
      <c r="BQ3" s="42"/>
      <c r="BV3" s="42"/>
      <c r="BZ3" s="42"/>
      <c r="CD3" s="42"/>
      <c r="CI3" s="42"/>
      <c r="CM3" s="42"/>
      <c r="CQ3" s="42"/>
      <c r="CU3" s="40"/>
      <c r="DA3" s="168"/>
      <c r="DB3" s="168"/>
      <c r="DG3" s="23">
        <f>DG4+CY4</f>
        <v>0</v>
      </c>
      <c r="DI3" s="35"/>
      <c r="DS3" s="35" t="e">
        <f>DS4-DH4</f>
        <v>#N/A</v>
      </c>
      <c r="DU3" s="35"/>
      <c r="EI3" t="s">
        <v>4</v>
      </c>
      <c r="EJ3" s="35"/>
    </row>
    <row r="4" spans="1:141" customFormat="1" ht="15.75" thickBot="1" x14ac:dyDescent="0.3">
      <c r="B4" s="43" t="str">
        <f>"SEMANA "&amp;(ROUND(((B2-B1)/7),0)+1&amp;" - DEL "&amp;TEXT(B2,"DD")&amp;UPPER(IF(TEXT(B2,"MMMM")=TEXT(B3,"MMMM"),"",CONCATENATE(" DE ",TEXT(B2,"MMMM")))&amp;" AL "&amp;TEXT(B3,"DD")&amp;" DE "&amp;UPPER(TEXT(B3,"MMMM"))&amp;" DEL "&amp;TEXT(B3,"AAAA")))</f>
        <v>SEMANA 2 - DEL 30 DE DICIEMBRE AL 05 DE ENERO DEL 2025</v>
      </c>
      <c r="C4" s="35"/>
      <c r="G4" s="35"/>
      <c r="H4" s="44"/>
      <c r="I4" s="44"/>
      <c r="J4" s="44"/>
      <c r="K4" s="44"/>
      <c r="L4" s="44">
        <f t="shared" ref="L4:T4" si="0">$J$5</f>
        <v>45656</v>
      </c>
      <c r="M4" s="44">
        <f t="shared" si="0"/>
        <v>45656</v>
      </c>
      <c r="N4" s="44">
        <f t="shared" si="0"/>
        <v>45656</v>
      </c>
      <c r="O4" s="44">
        <f t="shared" si="0"/>
        <v>45656</v>
      </c>
      <c r="P4" s="44">
        <f t="shared" si="0"/>
        <v>45656</v>
      </c>
      <c r="Q4" s="44">
        <f t="shared" si="0"/>
        <v>45656</v>
      </c>
      <c r="R4" s="44">
        <f t="shared" si="0"/>
        <v>45656</v>
      </c>
      <c r="S4" s="44">
        <f t="shared" si="0"/>
        <v>45656</v>
      </c>
      <c r="T4" s="44">
        <f t="shared" si="0"/>
        <v>45656</v>
      </c>
      <c r="U4" s="44">
        <f t="shared" ref="U4:AG4" si="1">$W$5</f>
        <v>45657</v>
      </c>
      <c r="V4" s="45">
        <f t="shared" si="1"/>
        <v>45657</v>
      </c>
      <c r="W4" s="44">
        <f t="shared" si="1"/>
        <v>45657</v>
      </c>
      <c r="X4" s="44">
        <f t="shared" si="1"/>
        <v>45657</v>
      </c>
      <c r="Y4" s="44">
        <f t="shared" si="1"/>
        <v>45657</v>
      </c>
      <c r="Z4" s="45">
        <f t="shared" si="1"/>
        <v>45657</v>
      </c>
      <c r="AA4" s="44">
        <f t="shared" si="1"/>
        <v>45657</v>
      </c>
      <c r="AB4" s="44">
        <f t="shared" si="1"/>
        <v>45657</v>
      </c>
      <c r="AC4" s="44">
        <f t="shared" si="1"/>
        <v>45657</v>
      </c>
      <c r="AD4" s="45">
        <f t="shared" si="1"/>
        <v>45657</v>
      </c>
      <c r="AE4" s="44">
        <f t="shared" si="1"/>
        <v>45657</v>
      </c>
      <c r="AF4" s="44">
        <f t="shared" si="1"/>
        <v>45657</v>
      </c>
      <c r="AG4" s="44">
        <f t="shared" si="1"/>
        <v>45657</v>
      </c>
      <c r="AH4" s="44">
        <f t="shared" ref="AH4:AT4" si="2">$AJ$5</f>
        <v>45658</v>
      </c>
      <c r="AI4" s="45">
        <f t="shared" si="2"/>
        <v>45658</v>
      </c>
      <c r="AJ4" s="44">
        <f t="shared" si="2"/>
        <v>45658</v>
      </c>
      <c r="AK4" s="44">
        <f t="shared" si="2"/>
        <v>45658</v>
      </c>
      <c r="AL4" s="44">
        <f t="shared" si="2"/>
        <v>45658</v>
      </c>
      <c r="AM4" s="45">
        <f t="shared" si="2"/>
        <v>45658</v>
      </c>
      <c r="AN4" s="44">
        <f t="shared" si="2"/>
        <v>45658</v>
      </c>
      <c r="AO4" s="44">
        <f t="shared" si="2"/>
        <v>45658</v>
      </c>
      <c r="AP4" s="44">
        <f t="shared" si="2"/>
        <v>45658</v>
      </c>
      <c r="AQ4" s="45">
        <f t="shared" si="2"/>
        <v>45658</v>
      </c>
      <c r="AR4" s="44">
        <f t="shared" si="2"/>
        <v>45658</v>
      </c>
      <c r="AS4" s="44">
        <f t="shared" si="2"/>
        <v>45658</v>
      </c>
      <c r="AT4" s="44">
        <f t="shared" si="2"/>
        <v>45658</v>
      </c>
      <c r="AU4" s="44">
        <f t="shared" ref="AU4:BG4" si="3">$AW$5</f>
        <v>45659</v>
      </c>
      <c r="AV4" s="45">
        <f t="shared" si="3"/>
        <v>45659</v>
      </c>
      <c r="AW4" s="44">
        <f t="shared" si="3"/>
        <v>45659</v>
      </c>
      <c r="AX4" s="44">
        <f t="shared" si="3"/>
        <v>45659</v>
      </c>
      <c r="AY4" s="44">
        <f t="shared" si="3"/>
        <v>45659</v>
      </c>
      <c r="AZ4" s="45">
        <f t="shared" si="3"/>
        <v>45659</v>
      </c>
      <c r="BA4" s="44">
        <f t="shared" si="3"/>
        <v>45659</v>
      </c>
      <c r="BB4" s="44">
        <f t="shared" si="3"/>
        <v>45659</v>
      </c>
      <c r="BC4" s="44">
        <f t="shared" si="3"/>
        <v>45659</v>
      </c>
      <c r="BD4" s="45">
        <f t="shared" si="3"/>
        <v>45659</v>
      </c>
      <c r="BE4" s="44">
        <f t="shared" si="3"/>
        <v>45659</v>
      </c>
      <c r="BF4" s="44">
        <f t="shared" si="3"/>
        <v>45659</v>
      </c>
      <c r="BG4" s="44">
        <f t="shared" si="3"/>
        <v>45659</v>
      </c>
      <c r="BH4" s="44">
        <f t="shared" ref="BH4:BT4" si="4">$BJ$5</f>
        <v>45660</v>
      </c>
      <c r="BI4" s="45">
        <f t="shared" si="4"/>
        <v>45660</v>
      </c>
      <c r="BJ4" s="44">
        <f t="shared" si="4"/>
        <v>45660</v>
      </c>
      <c r="BK4" s="44">
        <f t="shared" si="4"/>
        <v>45660</v>
      </c>
      <c r="BL4" s="44">
        <f t="shared" si="4"/>
        <v>45660</v>
      </c>
      <c r="BM4" s="45">
        <f t="shared" si="4"/>
        <v>45660</v>
      </c>
      <c r="BN4" s="44">
        <f t="shared" si="4"/>
        <v>45660</v>
      </c>
      <c r="BO4" s="44">
        <f t="shared" si="4"/>
        <v>45660</v>
      </c>
      <c r="BP4" s="44">
        <f t="shared" si="4"/>
        <v>45660</v>
      </c>
      <c r="BQ4" s="45">
        <f t="shared" si="4"/>
        <v>45660</v>
      </c>
      <c r="BR4" s="44">
        <f t="shared" si="4"/>
        <v>45660</v>
      </c>
      <c r="BS4" s="44">
        <f t="shared" si="4"/>
        <v>45660</v>
      </c>
      <c r="BT4" s="44">
        <f t="shared" si="4"/>
        <v>45660</v>
      </c>
      <c r="BU4" s="44">
        <f t="shared" ref="BU4:CG4" si="5">$BW$5</f>
        <v>45661</v>
      </c>
      <c r="BV4" s="45">
        <f t="shared" si="5"/>
        <v>45661</v>
      </c>
      <c r="BW4" s="44">
        <f t="shared" si="5"/>
        <v>45661</v>
      </c>
      <c r="BX4" s="44">
        <f t="shared" si="5"/>
        <v>45661</v>
      </c>
      <c r="BY4" s="44">
        <f t="shared" si="5"/>
        <v>45661</v>
      </c>
      <c r="BZ4" s="45">
        <f t="shared" si="5"/>
        <v>45661</v>
      </c>
      <c r="CA4" s="44">
        <f t="shared" si="5"/>
        <v>45661</v>
      </c>
      <c r="CB4" s="44">
        <f t="shared" si="5"/>
        <v>45661</v>
      </c>
      <c r="CC4" s="44">
        <f t="shared" si="5"/>
        <v>45661</v>
      </c>
      <c r="CD4" s="45">
        <f t="shared" si="5"/>
        <v>45661</v>
      </c>
      <c r="CE4" s="44">
        <f t="shared" si="5"/>
        <v>45661</v>
      </c>
      <c r="CF4" s="44">
        <f t="shared" si="5"/>
        <v>45661</v>
      </c>
      <c r="CG4" s="44">
        <f t="shared" si="5"/>
        <v>45661</v>
      </c>
      <c r="CH4" s="44">
        <f t="shared" ref="CH4:CT4" si="6">$CJ$5</f>
        <v>45662</v>
      </c>
      <c r="CI4" s="45">
        <f t="shared" si="6"/>
        <v>45662</v>
      </c>
      <c r="CJ4" s="44">
        <f t="shared" si="6"/>
        <v>45662</v>
      </c>
      <c r="CK4" s="44">
        <f t="shared" si="6"/>
        <v>45662</v>
      </c>
      <c r="CL4" s="44">
        <f t="shared" si="6"/>
        <v>45662</v>
      </c>
      <c r="CM4" s="45">
        <f t="shared" si="6"/>
        <v>45662</v>
      </c>
      <c r="CN4" s="44">
        <f t="shared" si="6"/>
        <v>45662</v>
      </c>
      <c r="CO4" s="44">
        <f t="shared" si="6"/>
        <v>45662</v>
      </c>
      <c r="CP4" s="44">
        <f t="shared" si="6"/>
        <v>45662</v>
      </c>
      <c r="CQ4" s="45">
        <f t="shared" si="6"/>
        <v>45662</v>
      </c>
      <c r="CR4" s="44">
        <f t="shared" si="6"/>
        <v>45662</v>
      </c>
      <c r="CS4" s="44">
        <f t="shared" si="6"/>
        <v>45662</v>
      </c>
      <c r="CT4" s="44">
        <f t="shared" si="6"/>
        <v>45662</v>
      </c>
      <c r="CU4" s="35">
        <f t="shared" ref="CU4:DJ4" si="7">SUBTOTAL(9,CU$7:CU$678)</f>
        <v>1</v>
      </c>
      <c r="CV4" s="36">
        <f t="shared" si="7"/>
        <v>8.2499999999999982</v>
      </c>
      <c r="CW4" s="35">
        <f t="shared" si="7"/>
        <v>0</v>
      </c>
      <c r="CX4" s="35">
        <f t="shared" si="7"/>
        <v>0</v>
      </c>
      <c r="CY4" s="35">
        <f t="shared" si="7"/>
        <v>0</v>
      </c>
      <c r="CZ4" s="35">
        <f t="shared" si="7"/>
        <v>0</v>
      </c>
      <c r="DA4" s="35">
        <f t="shared" si="7"/>
        <v>0</v>
      </c>
      <c r="DB4" s="35">
        <f t="shared" si="7"/>
        <v>0</v>
      </c>
      <c r="DC4" s="35">
        <f t="shared" si="7"/>
        <v>0</v>
      </c>
      <c r="DD4" s="35">
        <f t="shared" si="7"/>
        <v>0</v>
      </c>
      <c r="DE4" s="35">
        <f t="shared" si="7"/>
        <v>0</v>
      </c>
      <c r="DF4" s="35">
        <f t="shared" si="7"/>
        <v>0</v>
      </c>
      <c r="DG4" s="35">
        <f t="shared" si="7"/>
        <v>0</v>
      </c>
      <c r="DH4" s="35">
        <f t="shared" si="7"/>
        <v>0</v>
      </c>
      <c r="DI4" s="35">
        <f t="shared" si="7"/>
        <v>12424.875</v>
      </c>
      <c r="DJ4" s="35">
        <f t="shared" si="7"/>
        <v>0</v>
      </c>
      <c r="DK4" s="35"/>
      <c r="DL4" s="35">
        <f t="shared" ref="DL4:DW4" si="8">SUBTOTAL(9,DL$7:DL$678)</f>
        <v>0</v>
      </c>
      <c r="DM4" s="35">
        <f t="shared" si="8"/>
        <v>1000</v>
      </c>
      <c r="DN4" s="35" t="e">
        <f t="shared" si="8"/>
        <v>#N/A</v>
      </c>
      <c r="DO4" s="35" t="e">
        <f t="shared" si="8"/>
        <v>#N/A</v>
      </c>
      <c r="DP4" s="35">
        <f t="shared" si="8"/>
        <v>0</v>
      </c>
      <c r="DQ4" s="35">
        <f t="shared" si="8"/>
        <v>0</v>
      </c>
      <c r="DR4" s="35">
        <f t="shared" si="8"/>
        <v>0</v>
      </c>
      <c r="DS4" s="35" t="e">
        <f t="shared" si="8"/>
        <v>#N/A</v>
      </c>
      <c r="DT4" s="35">
        <f t="shared" si="8"/>
        <v>0</v>
      </c>
      <c r="DU4" s="35" t="e">
        <f t="shared" si="8"/>
        <v>#N/A</v>
      </c>
      <c r="DV4" s="35" t="e">
        <f t="shared" si="8"/>
        <v>#N/A</v>
      </c>
      <c r="DW4" s="35" t="e">
        <f t="shared" si="8"/>
        <v>#N/A</v>
      </c>
      <c r="EB4" s="36">
        <f>SUBTOTAL(9,EB$7:EB$678)</f>
        <v>0</v>
      </c>
      <c r="EI4" t="s">
        <v>5</v>
      </c>
      <c r="EJ4" s="35"/>
    </row>
    <row r="5" spans="1:141" customFormat="1" ht="15.75" thickBot="1" x14ac:dyDescent="0.3">
      <c r="A5" s="46"/>
      <c r="B5" s="6"/>
      <c r="C5" s="35"/>
      <c r="G5" s="35"/>
      <c r="H5" s="47"/>
      <c r="I5" s="48"/>
      <c r="J5" s="48">
        <f>$B$2</f>
        <v>45656</v>
      </c>
      <c r="K5" s="48"/>
      <c r="L5" s="48"/>
      <c r="M5" s="48"/>
      <c r="N5" s="48"/>
      <c r="O5" s="48"/>
      <c r="P5" s="48"/>
      <c r="Q5" s="48"/>
      <c r="R5" s="48"/>
      <c r="S5" s="48"/>
      <c r="T5" s="49"/>
      <c r="U5" s="50"/>
      <c r="V5" s="51"/>
      <c r="W5" s="51">
        <f>$B$2+1</f>
        <v>45657</v>
      </c>
      <c r="X5" s="51"/>
      <c r="Y5" s="51"/>
      <c r="Z5" s="51"/>
      <c r="AA5" s="51"/>
      <c r="AB5" s="51"/>
      <c r="AC5" s="51"/>
      <c r="AD5" s="51"/>
      <c r="AE5" s="51"/>
      <c r="AF5" s="51"/>
      <c r="AG5" s="52"/>
      <c r="AH5" s="47"/>
      <c r="AI5" s="48"/>
      <c r="AJ5" s="48">
        <f>W5+1</f>
        <v>45658</v>
      </c>
      <c r="AK5" s="48"/>
      <c r="AL5" s="48"/>
      <c r="AM5" s="48"/>
      <c r="AN5" s="48"/>
      <c r="AO5" s="48"/>
      <c r="AP5" s="48"/>
      <c r="AQ5" s="48"/>
      <c r="AR5" s="48"/>
      <c r="AS5" s="48"/>
      <c r="AT5" s="49"/>
      <c r="AU5" s="50"/>
      <c r="AV5" s="51"/>
      <c r="AW5" s="51">
        <f>AJ5+1</f>
        <v>45659</v>
      </c>
      <c r="AX5" s="51"/>
      <c r="AY5" s="51"/>
      <c r="AZ5" s="51"/>
      <c r="BA5" s="51"/>
      <c r="BB5" s="51"/>
      <c r="BC5" s="51"/>
      <c r="BD5" s="51"/>
      <c r="BE5" s="51"/>
      <c r="BF5" s="51"/>
      <c r="BG5" s="52"/>
      <c r="BH5" s="47"/>
      <c r="BI5" s="48"/>
      <c r="BJ5" s="48">
        <f>AW5+1</f>
        <v>45660</v>
      </c>
      <c r="BK5" s="48"/>
      <c r="BL5" s="48"/>
      <c r="BM5" s="48"/>
      <c r="BN5" s="48"/>
      <c r="BO5" s="48"/>
      <c r="BP5" s="48"/>
      <c r="BQ5" s="48"/>
      <c r="BR5" s="48"/>
      <c r="BS5" s="48"/>
      <c r="BT5" s="49"/>
      <c r="BU5" s="50"/>
      <c r="BV5" s="51"/>
      <c r="BW5" s="51">
        <f>BJ5+1</f>
        <v>45661</v>
      </c>
      <c r="BX5" s="51"/>
      <c r="BY5" s="51"/>
      <c r="BZ5" s="51"/>
      <c r="CA5" s="51"/>
      <c r="CB5" s="51"/>
      <c r="CC5" s="51"/>
      <c r="CD5" s="51"/>
      <c r="CE5" s="51"/>
      <c r="CF5" s="51"/>
      <c r="CG5" s="52"/>
      <c r="CH5" s="47"/>
      <c r="CI5" s="48"/>
      <c r="CJ5" s="48">
        <f>BW5+1</f>
        <v>45662</v>
      </c>
      <c r="CK5" s="48"/>
      <c r="CL5" s="48"/>
      <c r="CM5" s="48"/>
      <c r="CN5" s="48"/>
      <c r="CO5" s="48"/>
      <c r="CP5" s="48"/>
      <c r="CQ5" s="48"/>
      <c r="CR5" s="48"/>
      <c r="CS5" s="48"/>
      <c r="CT5" s="49"/>
      <c r="CU5" s="35"/>
      <c r="CV5" s="53" t="s">
        <v>77</v>
      </c>
      <c r="CX5" s="54" t="s">
        <v>78</v>
      </c>
      <c r="CY5" s="54"/>
      <c r="CZ5" s="55"/>
      <c r="DI5" s="35"/>
      <c r="DS5" s="35"/>
      <c r="EB5">
        <v>1</v>
      </c>
      <c r="ED5">
        <v>2</v>
      </c>
      <c r="EI5" t="s">
        <v>7</v>
      </c>
      <c r="EJ5" s="56"/>
    </row>
    <row r="6" spans="1:141" customFormat="1" ht="15.75" thickBot="1" x14ac:dyDescent="0.3">
      <c r="A6" s="57" t="s">
        <v>62</v>
      </c>
      <c r="B6" s="58" t="s">
        <v>63</v>
      </c>
      <c r="C6" s="59" t="s">
        <v>66</v>
      </c>
      <c r="D6" s="60" t="s">
        <v>10</v>
      </c>
      <c r="E6" s="60" t="s">
        <v>65</v>
      </c>
      <c r="F6" s="58" t="s">
        <v>79</v>
      </c>
      <c r="G6" s="61" t="s">
        <v>64</v>
      </c>
      <c r="H6" s="62" t="s">
        <v>80</v>
      </c>
      <c r="I6" s="63" t="s">
        <v>81</v>
      </c>
      <c r="J6" s="63" t="s">
        <v>82</v>
      </c>
      <c r="K6" s="63" t="s">
        <v>83</v>
      </c>
      <c r="L6" s="63" t="s">
        <v>77</v>
      </c>
      <c r="M6" s="63" t="s">
        <v>81</v>
      </c>
      <c r="N6" s="63" t="s">
        <v>82</v>
      </c>
      <c r="O6" s="63" t="s">
        <v>83</v>
      </c>
      <c r="P6" s="63" t="s">
        <v>77</v>
      </c>
      <c r="Q6" s="63" t="s">
        <v>81</v>
      </c>
      <c r="R6" s="63" t="s">
        <v>82</v>
      </c>
      <c r="S6" s="63" t="s">
        <v>83</v>
      </c>
      <c r="T6" s="64" t="s">
        <v>77</v>
      </c>
      <c r="U6" s="62" t="s">
        <v>80</v>
      </c>
      <c r="V6" s="63" t="s">
        <v>81</v>
      </c>
      <c r="W6" s="63" t="s">
        <v>82</v>
      </c>
      <c r="X6" s="63" t="s">
        <v>83</v>
      </c>
      <c r="Y6" s="63" t="s">
        <v>77</v>
      </c>
      <c r="Z6" s="63" t="s">
        <v>81</v>
      </c>
      <c r="AA6" s="63" t="s">
        <v>82</v>
      </c>
      <c r="AB6" s="63" t="s">
        <v>83</v>
      </c>
      <c r="AC6" s="63" t="s">
        <v>77</v>
      </c>
      <c r="AD6" s="63" t="s">
        <v>81</v>
      </c>
      <c r="AE6" s="63" t="s">
        <v>82</v>
      </c>
      <c r="AF6" s="63" t="s">
        <v>83</v>
      </c>
      <c r="AG6" s="64" t="s">
        <v>77</v>
      </c>
      <c r="AH6" s="62" t="s">
        <v>80</v>
      </c>
      <c r="AI6" s="63" t="s">
        <v>81</v>
      </c>
      <c r="AJ6" s="63" t="s">
        <v>82</v>
      </c>
      <c r="AK6" s="63" t="s">
        <v>83</v>
      </c>
      <c r="AL6" s="63" t="s">
        <v>77</v>
      </c>
      <c r="AM6" s="63" t="s">
        <v>81</v>
      </c>
      <c r="AN6" s="63" t="s">
        <v>82</v>
      </c>
      <c r="AO6" s="63" t="s">
        <v>83</v>
      </c>
      <c r="AP6" s="63" t="s">
        <v>77</v>
      </c>
      <c r="AQ6" s="63" t="s">
        <v>81</v>
      </c>
      <c r="AR6" s="63" t="s">
        <v>82</v>
      </c>
      <c r="AS6" s="63" t="s">
        <v>83</v>
      </c>
      <c r="AT6" s="64" t="s">
        <v>77</v>
      </c>
      <c r="AU6" s="62" t="s">
        <v>80</v>
      </c>
      <c r="AV6" s="63" t="s">
        <v>81</v>
      </c>
      <c r="AW6" s="63" t="s">
        <v>82</v>
      </c>
      <c r="AX6" s="63" t="s">
        <v>83</v>
      </c>
      <c r="AY6" s="63" t="s">
        <v>77</v>
      </c>
      <c r="AZ6" s="63" t="s">
        <v>81</v>
      </c>
      <c r="BA6" s="63" t="s">
        <v>82</v>
      </c>
      <c r="BB6" s="63" t="s">
        <v>83</v>
      </c>
      <c r="BC6" s="63" t="s">
        <v>77</v>
      </c>
      <c r="BD6" s="63" t="s">
        <v>81</v>
      </c>
      <c r="BE6" s="63" t="s">
        <v>82</v>
      </c>
      <c r="BF6" s="63" t="s">
        <v>83</v>
      </c>
      <c r="BG6" s="64" t="s">
        <v>77</v>
      </c>
      <c r="BH6" s="62" t="s">
        <v>80</v>
      </c>
      <c r="BI6" s="63" t="s">
        <v>81</v>
      </c>
      <c r="BJ6" s="63" t="s">
        <v>82</v>
      </c>
      <c r="BK6" s="63" t="s">
        <v>83</v>
      </c>
      <c r="BL6" s="63" t="s">
        <v>77</v>
      </c>
      <c r="BM6" s="63" t="s">
        <v>81</v>
      </c>
      <c r="BN6" s="63" t="s">
        <v>82</v>
      </c>
      <c r="BO6" s="63" t="s">
        <v>83</v>
      </c>
      <c r="BP6" s="63" t="s">
        <v>77</v>
      </c>
      <c r="BQ6" s="63" t="s">
        <v>81</v>
      </c>
      <c r="BR6" s="63" t="s">
        <v>82</v>
      </c>
      <c r="BS6" s="63" t="s">
        <v>83</v>
      </c>
      <c r="BT6" s="64" t="s">
        <v>77</v>
      </c>
      <c r="BU6" s="62" t="s">
        <v>80</v>
      </c>
      <c r="BV6" s="63" t="s">
        <v>81</v>
      </c>
      <c r="BW6" s="63" t="s">
        <v>82</v>
      </c>
      <c r="BX6" s="63" t="s">
        <v>83</v>
      </c>
      <c r="BY6" s="63" t="s">
        <v>77</v>
      </c>
      <c r="BZ6" s="63" t="s">
        <v>81</v>
      </c>
      <c r="CA6" s="63" t="s">
        <v>82</v>
      </c>
      <c r="CB6" s="63" t="s">
        <v>83</v>
      </c>
      <c r="CC6" s="63" t="s">
        <v>77</v>
      </c>
      <c r="CD6" s="63" t="s">
        <v>81</v>
      </c>
      <c r="CE6" s="63" t="s">
        <v>82</v>
      </c>
      <c r="CF6" s="63" t="s">
        <v>83</v>
      </c>
      <c r="CG6" s="64" t="s">
        <v>77</v>
      </c>
      <c r="CH6" s="62" t="s">
        <v>80</v>
      </c>
      <c r="CI6" s="63" t="s">
        <v>81</v>
      </c>
      <c r="CJ6" s="63" t="s">
        <v>82</v>
      </c>
      <c r="CK6" s="63" t="s">
        <v>83</v>
      </c>
      <c r="CL6" s="63" t="s">
        <v>77</v>
      </c>
      <c r="CM6" s="63" t="s">
        <v>81</v>
      </c>
      <c r="CN6" s="63" t="s">
        <v>82</v>
      </c>
      <c r="CO6" s="63" t="s">
        <v>83</v>
      </c>
      <c r="CP6" s="63" t="s">
        <v>77</v>
      </c>
      <c r="CQ6" s="63" t="s">
        <v>81</v>
      </c>
      <c r="CR6" s="63" t="s">
        <v>82</v>
      </c>
      <c r="CS6" s="63" t="s">
        <v>83</v>
      </c>
      <c r="CT6" s="64" t="s">
        <v>77</v>
      </c>
      <c r="CU6" s="61" t="s">
        <v>84</v>
      </c>
      <c r="CV6" s="65" t="s">
        <v>85</v>
      </c>
      <c r="CW6" s="66" t="s">
        <v>28</v>
      </c>
      <c r="CX6" s="66" t="s">
        <v>72</v>
      </c>
      <c r="CY6" s="66" t="s">
        <v>86</v>
      </c>
      <c r="CZ6" s="66" t="s">
        <v>87</v>
      </c>
      <c r="DA6" s="66" t="s">
        <v>88</v>
      </c>
      <c r="DB6" s="66" t="s">
        <v>89</v>
      </c>
      <c r="DC6" s="66" t="s">
        <v>90</v>
      </c>
      <c r="DD6" s="66" t="s">
        <v>91</v>
      </c>
      <c r="DE6" s="66" t="s">
        <v>92</v>
      </c>
      <c r="DF6" s="66" t="s">
        <v>93</v>
      </c>
      <c r="DG6" s="66" t="s">
        <v>94</v>
      </c>
      <c r="DH6" s="67" t="s">
        <v>95</v>
      </c>
      <c r="DI6" s="59" t="s">
        <v>96</v>
      </c>
      <c r="DJ6" s="66" t="s">
        <v>97</v>
      </c>
      <c r="DK6" s="66" t="s">
        <v>98</v>
      </c>
      <c r="DL6" s="66" t="s">
        <v>99</v>
      </c>
      <c r="DM6" s="66" t="s">
        <v>69</v>
      </c>
      <c r="DN6" s="66" t="s">
        <v>100</v>
      </c>
      <c r="DO6" s="66" t="s">
        <v>101</v>
      </c>
      <c r="DP6" s="66" t="s">
        <v>102</v>
      </c>
      <c r="DQ6" s="66" t="s">
        <v>103</v>
      </c>
      <c r="DR6" s="66" t="s">
        <v>104</v>
      </c>
      <c r="DS6" s="68" t="s">
        <v>105</v>
      </c>
      <c r="DT6" s="66" t="s">
        <v>48</v>
      </c>
      <c r="DU6" s="66" t="s">
        <v>106</v>
      </c>
      <c r="DV6" s="66" t="s">
        <v>78</v>
      </c>
      <c r="DW6" s="69" t="s">
        <v>107</v>
      </c>
      <c r="DY6" s="70" t="s">
        <v>108</v>
      </c>
      <c r="EA6" s="116"/>
      <c r="EB6" s="70" t="s">
        <v>109</v>
      </c>
      <c r="ED6" s="70" t="s">
        <v>109</v>
      </c>
      <c r="EE6" s="35"/>
      <c r="EF6" s="70" t="s">
        <v>110</v>
      </c>
      <c r="EG6" s="70" t="s">
        <v>111</v>
      </c>
      <c r="EI6" s="71" t="s">
        <v>148</v>
      </c>
      <c r="EJ6" s="35"/>
    </row>
    <row r="7" spans="1:141" ht="15" customHeight="1" x14ac:dyDescent="0.25">
      <c r="A7" s="140">
        <v>15996</v>
      </c>
      <c r="B7" s="5" t="s">
        <v>172</v>
      </c>
      <c r="C7" s="213">
        <v>2</v>
      </c>
      <c r="D7" s="214" t="s">
        <v>24</v>
      </c>
      <c r="E7" s="214" t="s">
        <v>173</v>
      </c>
      <c r="F7" s="215">
        <v>1308364548</v>
      </c>
      <c r="G7" s="216"/>
      <c r="H7" s="217"/>
      <c r="I7" s="218" t="s">
        <v>174</v>
      </c>
      <c r="J7" s="219">
        <v>0.25</v>
      </c>
      <c r="K7" s="219">
        <v>0.625</v>
      </c>
      <c r="L7" s="220">
        <v>0.375</v>
      </c>
      <c r="M7" s="221"/>
      <c r="N7" s="222"/>
      <c r="O7" s="222"/>
      <c r="P7" s="220">
        <v>0</v>
      </c>
      <c r="Q7" s="221"/>
      <c r="R7" s="223"/>
      <c r="S7" s="223"/>
      <c r="T7" s="220">
        <v>0</v>
      </c>
      <c r="U7" s="217"/>
      <c r="V7" s="218" t="s">
        <v>174</v>
      </c>
      <c r="W7" s="219">
        <v>0.25</v>
      </c>
      <c r="X7" s="219">
        <v>0.625</v>
      </c>
      <c r="Y7" s="220">
        <v>0.375</v>
      </c>
      <c r="Z7" s="221"/>
      <c r="AA7" s="222"/>
      <c r="AB7" s="222"/>
      <c r="AC7" s="220">
        <v>0</v>
      </c>
      <c r="AD7" s="221"/>
      <c r="AE7" s="223"/>
      <c r="AF7" s="223"/>
      <c r="AG7" s="224">
        <v>0</v>
      </c>
      <c r="AH7" s="217"/>
      <c r="AI7" s="218" t="s">
        <v>174</v>
      </c>
      <c r="AJ7" s="219">
        <v>0.25</v>
      </c>
      <c r="AK7" s="219">
        <v>0.66666666666666663</v>
      </c>
      <c r="AL7" s="220">
        <v>0.41666666666666663</v>
      </c>
      <c r="AM7" s="218"/>
      <c r="AN7" s="222"/>
      <c r="AO7" s="222"/>
      <c r="AP7" s="220">
        <v>0</v>
      </c>
      <c r="AQ7" s="221"/>
      <c r="AR7" s="222"/>
      <c r="AS7" s="222"/>
      <c r="AT7" s="224">
        <v>0</v>
      </c>
      <c r="AU7" s="217"/>
      <c r="AV7" s="218" t="s">
        <v>174</v>
      </c>
      <c r="AW7" s="219">
        <v>0.25</v>
      </c>
      <c r="AX7" s="219">
        <v>0.66666666666666663</v>
      </c>
      <c r="AY7" s="220">
        <v>0.41666666666666663</v>
      </c>
      <c r="AZ7" s="218"/>
      <c r="BA7" s="222"/>
      <c r="BB7" s="222"/>
      <c r="BC7" s="220">
        <v>0</v>
      </c>
      <c r="BD7" s="221"/>
      <c r="BE7" s="222"/>
      <c r="BF7" s="222"/>
      <c r="BG7" s="224">
        <v>0</v>
      </c>
      <c r="BH7" s="217"/>
      <c r="BI7" s="218" t="s">
        <v>174</v>
      </c>
      <c r="BJ7" s="219">
        <v>0.25</v>
      </c>
      <c r="BK7" s="219">
        <v>0.66666666666666663</v>
      </c>
      <c r="BL7" s="220">
        <v>0.41666666666666663</v>
      </c>
      <c r="BM7" s="221"/>
      <c r="BN7" s="222"/>
      <c r="BO7" s="222"/>
      <c r="BP7" s="220">
        <v>0</v>
      </c>
      <c r="BQ7" s="221"/>
      <c r="BR7" s="222"/>
      <c r="BS7" s="222"/>
      <c r="BT7" s="224">
        <v>0</v>
      </c>
      <c r="BU7" s="217" t="s">
        <v>2</v>
      </c>
      <c r="BV7" s="218"/>
      <c r="BW7" s="219"/>
      <c r="BX7" s="219"/>
      <c r="BY7" s="220">
        <v>0</v>
      </c>
      <c r="BZ7" s="221"/>
      <c r="CA7" s="222"/>
      <c r="CB7" s="222"/>
      <c r="CC7" s="220">
        <v>0</v>
      </c>
      <c r="CD7" s="221"/>
      <c r="CE7" s="222"/>
      <c r="CF7" s="222"/>
      <c r="CG7" s="224">
        <v>0</v>
      </c>
      <c r="CH7" s="217" t="s">
        <v>2</v>
      </c>
      <c r="CI7" s="218"/>
      <c r="CJ7" s="219"/>
      <c r="CK7" s="219"/>
      <c r="CL7" s="220">
        <v>0</v>
      </c>
      <c r="CM7" s="221"/>
      <c r="CN7" s="222"/>
      <c r="CO7" s="222"/>
      <c r="CP7" s="220">
        <v>0</v>
      </c>
      <c r="CQ7" s="221"/>
      <c r="CR7" s="222"/>
      <c r="CS7" s="222"/>
      <c r="CT7" s="224">
        <v>0</v>
      </c>
      <c r="CU7" s="225">
        <v>0</v>
      </c>
      <c r="CV7" s="226">
        <v>1.9999999999999996</v>
      </c>
      <c r="CW7" s="227"/>
      <c r="CX7" s="228">
        <v>0</v>
      </c>
      <c r="CY7" s="228">
        <v>0</v>
      </c>
      <c r="CZ7" s="229">
        <v>0</v>
      </c>
      <c r="DA7" s="230"/>
      <c r="DB7" s="231"/>
      <c r="DC7" s="231"/>
      <c r="DD7" s="231"/>
      <c r="DE7" s="231"/>
      <c r="DF7" s="228">
        <v>0</v>
      </c>
      <c r="DG7" s="228">
        <v>0</v>
      </c>
      <c r="DH7" s="232">
        <v>0</v>
      </c>
      <c r="DI7" s="233">
        <v>2939.16</v>
      </c>
      <c r="DJ7" s="228">
        <v>0</v>
      </c>
      <c r="DK7" s="228">
        <v>0</v>
      </c>
      <c r="DL7" s="227"/>
      <c r="DM7" s="228">
        <v>0</v>
      </c>
      <c r="DN7" s="229">
        <v>0</v>
      </c>
      <c r="DO7" s="227">
        <v>0</v>
      </c>
      <c r="DP7" s="229"/>
      <c r="DQ7" s="234"/>
      <c r="DR7" s="229"/>
      <c r="DS7" s="233">
        <v>2939.16</v>
      </c>
      <c r="DT7" s="235"/>
      <c r="DU7" s="236">
        <v>2939.16</v>
      </c>
      <c r="DV7" s="236">
        <v>0</v>
      </c>
      <c r="DW7" s="227">
        <v>2939.16</v>
      </c>
      <c r="DX7" s="134"/>
      <c r="DY7" s="29"/>
      <c r="DZ7" s="150"/>
      <c r="EA7" s="134"/>
      <c r="EB7" s="137">
        <f>IF(CV7&lt;=$DJ$1,0,IF((CV7-$DJ$1)&gt;$EB$1,$EB$1,CV7-$DJ$1))</f>
        <v>0</v>
      </c>
      <c r="EC7" s="138">
        <f t="shared" ref="EC7:EC70" si="9">EB7*24</f>
        <v>0</v>
      </c>
      <c r="ED7" s="137">
        <f>IF(CV7&lt;=($EB$1+$DJ$1),0,CV7-($EB$1+$DJ$1))</f>
        <v>0</v>
      </c>
      <c r="EE7" s="132">
        <f t="shared" ref="EE7:EE70" si="10">ED7*24</f>
        <v>0</v>
      </c>
      <c r="EF7" s="29"/>
      <c r="EG7" s="134"/>
      <c r="EH7" s="134"/>
      <c r="EI7" s="29"/>
      <c r="EJ7" s="134"/>
    </row>
    <row r="8" spans="1:141" ht="15" customHeight="1" x14ac:dyDescent="0.25">
      <c r="A8" s="140">
        <f ca="1">RANDBETWEEN(1000,99999)</f>
        <v>22827</v>
      </c>
      <c r="B8" s="5" t="s">
        <v>176</v>
      </c>
      <c r="C8" s="213">
        <v>2</v>
      </c>
      <c r="D8" s="214" t="s">
        <v>24</v>
      </c>
      <c r="E8" s="214" t="s">
        <v>173</v>
      </c>
      <c r="F8" s="215">
        <v>1284341120</v>
      </c>
      <c r="G8" s="216"/>
      <c r="H8" s="217"/>
      <c r="I8" s="218" t="s">
        <v>174</v>
      </c>
      <c r="J8" s="219">
        <v>0.25</v>
      </c>
      <c r="K8" s="219">
        <v>0.5</v>
      </c>
      <c r="L8" s="220">
        <v>0.25</v>
      </c>
      <c r="M8" s="221"/>
      <c r="N8" s="222"/>
      <c r="O8" s="222"/>
      <c r="P8" s="220">
        <v>0</v>
      </c>
      <c r="Q8" s="221"/>
      <c r="R8" s="223"/>
      <c r="S8" s="223"/>
      <c r="T8" s="220">
        <v>0</v>
      </c>
      <c r="U8" s="217"/>
      <c r="V8" s="218" t="s">
        <v>174</v>
      </c>
      <c r="W8" s="219">
        <v>0.25</v>
      </c>
      <c r="X8" s="219">
        <v>0.5</v>
      </c>
      <c r="Y8" s="220">
        <v>0.25</v>
      </c>
      <c r="Z8" s="221"/>
      <c r="AA8" s="222"/>
      <c r="AB8" s="222"/>
      <c r="AC8" s="220">
        <v>0</v>
      </c>
      <c r="AD8" s="221"/>
      <c r="AE8" s="223"/>
      <c r="AF8" s="223"/>
      <c r="AG8" s="224">
        <v>0</v>
      </c>
      <c r="AH8" s="217"/>
      <c r="AI8" s="218" t="s">
        <v>174</v>
      </c>
      <c r="AJ8" s="219">
        <v>0.25</v>
      </c>
      <c r="AK8" s="219">
        <v>0.5</v>
      </c>
      <c r="AL8" s="220">
        <v>0.25</v>
      </c>
      <c r="AM8" s="218"/>
      <c r="AN8" s="222"/>
      <c r="AO8" s="222"/>
      <c r="AP8" s="220">
        <v>0</v>
      </c>
      <c r="AQ8" s="221"/>
      <c r="AR8" s="222"/>
      <c r="AS8" s="222"/>
      <c r="AT8" s="224">
        <v>0</v>
      </c>
      <c r="AU8" s="217" t="s">
        <v>8</v>
      </c>
      <c r="AV8" s="218"/>
      <c r="AW8" s="219"/>
      <c r="AX8" s="219"/>
      <c r="AY8" s="220">
        <v>0</v>
      </c>
      <c r="AZ8" s="218"/>
      <c r="BA8" s="222"/>
      <c r="BB8" s="222"/>
      <c r="BC8" s="220">
        <v>0</v>
      </c>
      <c r="BD8" s="221"/>
      <c r="BE8" s="222"/>
      <c r="BF8" s="222"/>
      <c r="BG8" s="224">
        <v>0</v>
      </c>
      <c r="BH8" s="217"/>
      <c r="BI8" s="218" t="s">
        <v>174</v>
      </c>
      <c r="BJ8" s="219">
        <v>0.29166666666666669</v>
      </c>
      <c r="BK8" s="219">
        <v>0.54166666666666663</v>
      </c>
      <c r="BL8" s="220">
        <v>0.24999999999999994</v>
      </c>
      <c r="BM8" s="221"/>
      <c r="BN8" s="222"/>
      <c r="BO8" s="222"/>
      <c r="BP8" s="220">
        <v>0</v>
      </c>
      <c r="BQ8" s="221"/>
      <c r="BR8" s="222"/>
      <c r="BS8" s="222"/>
      <c r="BT8" s="224">
        <v>0</v>
      </c>
      <c r="BU8" s="217" t="s">
        <v>2</v>
      </c>
      <c r="BV8" s="218"/>
      <c r="BW8" s="219"/>
      <c r="BX8" s="219"/>
      <c r="BY8" s="220">
        <v>0</v>
      </c>
      <c r="BZ8" s="221"/>
      <c r="CA8" s="222"/>
      <c r="CB8" s="222"/>
      <c r="CC8" s="220">
        <v>0</v>
      </c>
      <c r="CD8" s="221"/>
      <c r="CE8" s="222"/>
      <c r="CF8" s="222"/>
      <c r="CG8" s="224">
        <v>0</v>
      </c>
      <c r="CH8" s="217" t="s">
        <v>2</v>
      </c>
      <c r="CI8" s="218"/>
      <c r="CJ8" s="219"/>
      <c r="CK8" s="219"/>
      <c r="CL8" s="220">
        <v>0</v>
      </c>
      <c r="CM8" s="221"/>
      <c r="CN8" s="222"/>
      <c r="CO8" s="222"/>
      <c r="CP8" s="220">
        <v>0</v>
      </c>
      <c r="CQ8" s="221"/>
      <c r="CR8" s="222"/>
      <c r="CS8" s="222"/>
      <c r="CT8" s="224">
        <v>0</v>
      </c>
      <c r="CU8" s="225">
        <v>1</v>
      </c>
      <c r="CV8" s="226">
        <v>1</v>
      </c>
      <c r="CW8" s="227"/>
      <c r="CX8" s="228">
        <v>0</v>
      </c>
      <c r="CY8" s="228">
        <v>0</v>
      </c>
      <c r="CZ8" s="229"/>
      <c r="DA8" s="230"/>
      <c r="DB8" s="231"/>
      <c r="DC8" s="231"/>
      <c r="DD8" s="231"/>
      <c r="DE8" s="231"/>
      <c r="DF8" s="228">
        <v>0</v>
      </c>
      <c r="DG8" s="228">
        <v>0</v>
      </c>
      <c r="DH8" s="232">
        <v>0</v>
      </c>
      <c r="DI8" s="233">
        <v>1469.58</v>
      </c>
      <c r="DJ8" s="228">
        <v>0</v>
      </c>
      <c r="DK8" s="228">
        <v>0</v>
      </c>
      <c r="DL8" s="227"/>
      <c r="DM8" s="228">
        <v>0</v>
      </c>
      <c r="DN8" s="229">
        <v>0</v>
      </c>
      <c r="DO8" s="227">
        <v>0</v>
      </c>
      <c r="DP8" s="229"/>
      <c r="DQ8" s="234"/>
      <c r="DR8" s="229"/>
      <c r="DS8" s="233">
        <v>1469.58</v>
      </c>
      <c r="DT8" s="235"/>
      <c r="DU8" s="236">
        <v>1469.58</v>
      </c>
      <c r="DV8" s="236">
        <v>0</v>
      </c>
      <c r="DW8" s="227">
        <v>1469.58</v>
      </c>
      <c r="DX8" s="134"/>
      <c r="DY8" s="29"/>
      <c r="DZ8" s="150"/>
      <c r="EA8" s="134"/>
      <c r="EB8" s="137">
        <f t="shared" ref="EB8:EB71" si="11">IF(CV8&lt;=$DJ$1,0,IF((CV8-$DJ$1)&gt;$EB$1,$EB$1,CV8-$DJ$1))</f>
        <v>0</v>
      </c>
      <c r="EC8" s="138">
        <f t="shared" si="9"/>
        <v>0</v>
      </c>
      <c r="ED8" s="137">
        <f t="shared" ref="ED8:ED71" si="12">IF(CV8&lt;=($EB$1+$DJ$1),0,CV8-($EB$1+$DJ$1))</f>
        <v>0</v>
      </c>
      <c r="EE8" s="132">
        <f t="shared" si="10"/>
        <v>0</v>
      </c>
      <c r="EF8" s="29"/>
      <c r="EG8" s="134"/>
      <c r="EH8" s="134"/>
      <c r="EI8" s="29"/>
      <c r="EJ8" s="134"/>
    </row>
    <row r="9" spans="1:141" ht="15" customHeight="1" x14ac:dyDescent="0.25">
      <c r="A9" s="140">
        <f t="shared" ref="A9:A11" ca="1" si="13">RANDBETWEEN(1000,99999)</f>
        <v>90430</v>
      </c>
      <c r="B9" s="5" t="s">
        <v>177</v>
      </c>
      <c r="C9" s="213">
        <v>3</v>
      </c>
      <c r="D9" s="214" t="s">
        <v>24</v>
      </c>
      <c r="E9" s="214" t="s">
        <v>175</v>
      </c>
      <c r="F9" s="215">
        <v>1070132549</v>
      </c>
      <c r="G9" s="216"/>
      <c r="H9" s="217"/>
      <c r="I9" s="218" t="s">
        <v>174</v>
      </c>
      <c r="J9" s="219">
        <v>0.25</v>
      </c>
      <c r="K9" s="219">
        <v>0.625</v>
      </c>
      <c r="L9" s="220">
        <v>0.375</v>
      </c>
      <c r="M9" s="221"/>
      <c r="N9" s="222"/>
      <c r="O9" s="222"/>
      <c r="P9" s="220">
        <v>0</v>
      </c>
      <c r="Q9" s="221"/>
      <c r="R9" s="223"/>
      <c r="S9" s="223"/>
      <c r="T9" s="220">
        <v>0</v>
      </c>
      <c r="U9" s="217"/>
      <c r="V9" s="218" t="s">
        <v>174</v>
      </c>
      <c r="W9" s="219">
        <v>0.25</v>
      </c>
      <c r="X9" s="219">
        <v>0.625</v>
      </c>
      <c r="Y9" s="220">
        <v>0.375</v>
      </c>
      <c r="Z9" s="221"/>
      <c r="AA9" s="222"/>
      <c r="AB9" s="222"/>
      <c r="AC9" s="220">
        <v>0</v>
      </c>
      <c r="AD9" s="221"/>
      <c r="AE9" s="223"/>
      <c r="AF9" s="223"/>
      <c r="AG9" s="224">
        <v>0</v>
      </c>
      <c r="AH9" s="217"/>
      <c r="AI9" s="218" t="s">
        <v>174</v>
      </c>
      <c r="AJ9" s="219">
        <v>0.25</v>
      </c>
      <c r="AK9" s="219">
        <v>0.66666666666666663</v>
      </c>
      <c r="AL9" s="220">
        <v>0.41666666666666663</v>
      </c>
      <c r="AM9" s="218"/>
      <c r="AN9" s="222"/>
      <c r="AO9" s="222"/>
      <c r="AP9" s="220">
        <v>0</v>
      </c>
      <c r="AQ9" s="221"/>
      <c r="AR9" s="222"/>
      <c r="AS9" s="222"/>
      <c r="AT9" s="224">
        <v>0</v>
      </c>
      <c r="AU9" s="217"/>
      <c r="AV9" s="218" t="s">
        <v>174</v>
      </c>
      <c r="AW9" s="219">
        <v>0.25</v>
      </c>
      <c r="AX9" s="219">
        <v>0.66666666666666663</v>
      </c>
      <c r="AY9" s="220">
        <v>0.41666666666666663</v>
      </c>
      <c r="AZ9" s="218"/>
      <c r="BA9" s="222"/>
      <c r="BB9" s="222"/>
      <c r="BC9" s="220">
        <v>0</v>
      </c>
      <c r="BD9" s="221"/>
      <c r="BE9" s="222"/>
      <c r="BF9" s="222"/>
      <c r="BG9" s="224">
        <v>0</v>
      </c>
      <c r="BH9" s="217"/>
      <c r="BI9" s="218" t="s">
        <v>174</v>
      </c>
      <c r="BJ9" s="219">
        <v>0.25</v>
      </c>
      <c r="BK9" s="219">
        <v>0.66666666666666663</v>
      </c>
      <c r="BL9" s="220">
        <v>0.41666666666666663</v>
      </c>
      <c r="BM9" s="221"/>
      <c r="BN9" s="222"/>
      <c r="BO9" s="222"/>
      <c r="BP9" s="220">
        <v>0</v>
      </c>
      <c r="BQ9" s="221"/>
      <c r="BR9" s="222"/>
      <c r="BS9" s="222"/>
      <c r="BT9" s="224">
        <v>0</v>
      </c>
      <c r="BU9" s="217" t="s">
        <v>2</v>
      </c>
      <c r="BV9" s="218"/>
      <c r="BW9" s="219"/>
      <c r="BX9" s="219"/>
      <c r="BY9" s="220">
        <v>0</v>
      </c>
      <c r="BZ9" s="221"/>
      <c r="CA9" s="222"/>
      <c r="CB9" s="222"/>
      <c r="CC9" s="220">
        <v>0</v>
      </c>
      <c r="CD9" s="221"/>
      <c r="CE9" s="222"/>
      <c r="CF9" s="222"/>
      <c r="CG9" s="224">
        <v>0</v>
      </c>
      <c r="CH9" s="217" t="s">
        <v>2</v>
      </c>
      <c r="CI9" s="218"/>
      <c r="CJ9" s="219"/>
      <c r="CK9" s="219"/>
      <c r="CL9" s="220">
        <v>0</v>
      </c>
      <c r="CM9" s="221"/>
      <c r="CN9" s="222"/>
      <c r="CO9" s="222"/>
      <c r="CP9" s="220">
        <v>0</v>
      </c>
      <c r="CQ9" s="221"/>
      <c r="CR9" s="222"/>
      <c r="CS9" s="222"/>
      <c r="CT9" s="224">
        <v>0</v>
      </c>
      <c r="CU9" s="225">
        <v>0</v>
      </c>
      <c r="CV9" s="226">
        <v>1.9999999999999996</v>
      </c>
      <c r="CW9" s="227"/>
      <c r="CX9" s="228">
        <v>0</v>
      </c>
      <c r="CY9" s="228">
        <v>0</v>
      </c>
      <c r="CZ9" s="229"/>
      <c r="DA9" s="230"/>
      <c r="DB9" s="231"/>
      <c r="DC9" s="231"/>
      <c r="DD9" s="231"/>
      <c r="DE9" s="231"/>
      <c r="DF9" s="228">
        <v>0</v>
      </c>
      <c r="DG9" s="228">
        <v>0</v>
      </c>
      <c r="DH9" s="232">
        <v>0</v>
      </c>
      <c r="DI9" s="233">
        <v>3240</v>
      </c>
      <c r="DJ9" s="228">
        <v>0</v>
      </c>
      <c r="DK9" s="228">
        <v>0</v>
      </c>
      <c r="DL9" s="227"/>
      <c r="DM9" s="228">
        <v>1000</v>
      </c>
      <c r="DN9" s="229">
        <v>0</v>
      </c>
      <c r="DO9" s="227">
        <v>0</v>
      </c>
      <c r="DP9" s="229"/>
      <c r="DQ9" s="234"/>
      <c r="DR9" s="229"/>
      <c r="DS9" s="233">
        <v>4240</v>
      </c>
      <c r="DT9" s="235"/>
      <c r="DU9" s="236">
        <v>4240</v>
      </c>
      <c r="DV9" s="236">
        <v>0</v>
      </c>
      <c r="DW9" s="227">
        <v>4240</v>
      </c>
      <c r="DX9" s="134"/>
      <c r="DY9" s="29"/>
      <c r="DZ9" s="150"/>
      <c r="EA9" s="134"/>
      <c r="EB9" s="137">
        <f t="shared" si="11"/>
        <v>0</v>
      </c>
      <c r="EC9" s="138">
        <f t="shared" si="9"/>
        <v>0</v>
      </c>
      <c r="ED9" s="137">
        <f t="shared" si="12"/>
        <v>0</v>
      </c>
      <c r="EE9" s="132">
        <f t="shared" si="10"/>
        <v>0</v>
      </c>
      <c r="EF9" s="29"/>
      <c r="EG9" s="134"/>
      <c r="EH9" s="134"/>
      <c r="EI9" s="29"/>
      <c r="EJ9" s="134"/>
    </row>
    <row r="10" spans="1:141" ht="15" customHeight="1" x14ac:dyDescent="0.25">
      <c r="A10" s="140">
        <f t="shared" ca="1" si="13"/>
        <v>25393</v>
      </c>
      <c r="B10" s="5" t="s">
        <v>178</v>
      </c>
      <c r="C10" s="213">
        <v>2</v>
      </c>
      <c r="D10" s="214" t="s">
        <v>24</v>
      </c>
      <c r="E10" s="214" t="s">
        <v>173</v>
      </c>
      <c r="F10" s="215">
        <v>1198761861</v>
      </c>
      <c r="G10" s="216"/>
      <c r="H10" s="217"/>
      <c r="I10" s="218" t="s">
        <v>174</v>
      </c>
      <c r="J10" s="219">
        <v>0.25</v>
      </c>
      <c r="K10" s="219">
        <v>0.625</v>
      </c>
      <c r="L10" s="220">
        <v>0.375</v>
      </c>
      <c r="M10" s="221"/>
      <c r="N10" s="222"/>
      <c r="O10" s="222"/>
      <c r="P10" s="220">
        <v>0</v>
      </c>
      <c r="Q10" s="221"/>
      <c r="R10" s="223"/>
      <c r="S10" s="223"/>
      <c r="T10" s="220">
        <v>0</v>
      </c>
      <c r="U10" s="217"/>
      <c r="V10" s="218" t="s">
        <v>174</v>
      </c>
      <c r="W10" s="219">
        <v>0.25</v>
      </c>
      <c r="X10" s="219">
        <v>0.625</v>
      </c>
      <c r="Y10" s="220">
        <v>0.375</v>
      </c>
      <c r="Z10" s="221"/>
      <c r="AA10" s="222"/>
      <c r="AB10" s="222"/>
      <c r="AC10" s="220">
        <v>0</v>
      </c>
      <c r="AD10" s="221"/>
      <c r="AE10" s="223"/>
      <c r="AF10" s="223"/>
      <c r="AG10" s="224">
        <v>0</v>
      </c>
      <c r="AH10" s="217"/>
      <c r="AI10" s="218" t="s">
        <v>174</v>
      </c>
      <c r="AJ10" s="219">
        <v>0.25</v>
      </c>
      <c r="AK10" s="219">
        <v>0.66666666666666663</v>
      </c>
      <c r="AL10" s="220">
        <v>0.41666666666666663</v>
      </c>
      <c r="AM10" s="218"/>
      <c r="AN10" s="222"/>
      <c r="AO10" s="222"/>
      <c r="AP10" s="220">
        <v>0</v>
      </c>
      <c r="AQ10" s="221"/>
      <c r="AR10" s="222"/>
      <c r="AS10" s="222"/>
      <c r="AT10" s="224">
        <v>0</v>
      </c>
      <c r="AU10" s="217"/>
      <c r="AV10" s="218" t="s">
        <v>174</v>
      </c>
      <c r="AW10" s="219">
        <v>0.25</v>
      </c>
      <c r="AX10" s="219">
        <v>0.66666666666666663</v>
      </c>
      <c r="AY10" s="220">
        <v>0.41666666666666663</v>
      </c>
      <c r="AZ10" s="218"/>
      <c r="BA10" s="222"/>
      <c r="BB10" s="222"/>
      <c r="BC10" s="220">
        <v>0</v>
      </c>
      <c r="BD10" s="221"/>
      <c r="BE10" s="222"/>
      <c r="BF10" s="222"/>
      <c r="BG10" s="224">
        <v>0</v>
      </c>
      <c r="BH10" s="217"/>
      <c r="BI10" s="218" t="s">
        <v>174</v>
      </c>
      <c r="BJ10" s="219">
        <v>0.25</v>
      </c>
      <c r="BK10" s="219">
        <v>0.66666666666666663</v>
      </c>
      <c r="BL10" s="220">
        <v>0.41666666666666663</v>
      </c>
      <c r="BM10" s="221"/>
      <c r="BN10" s="222"/>
      <c r="BO10" s="222"/>
      <c r="BP10" s="220">
        <v>0</v>
      </c>
      <c r="BQ10" s="221"/>
      <c r="BR10" s="222"/>
      <c r="BS10" s="222"/>
      <c r="BT10" s="224">
        <v>0</v>
      </c>
      <c r="BU10" s="217" t="s">
        <v>2</v>
      </c>
      <c r="BV10" s="218"/>
      <c r="BW10" s="219"/>
      <c r="BX10" s="219"/>
      <c r="BY10" s="220">
        <v>0</v>
      </c>
      <c r="BZ10" s="221"/>
      <c r="CA10" s="222"/>
      <c r="CB10" s="222"/>
      <c r="CC10" s="220">
        <v>0</v>
      </c>
      <c r="CD10" s="221"/>
      <c r="CE10" s="222"/>
      <c r="CF10" s="222"/>
      <c r="CG10" s="224">
        <v>0</v>
      </c>
      <c r="CH10" s="217" t="s">
        <v>2</v>
      </c>
      <c r="CI10" s="218"/>
      <c r="CJ10" s="237"/>
      <c r="CK10" s="237"/>
      <c r="CL10" s="220">
        <v>0</v>
      </c>
      <c r="CM10" s="221"/>
      <c r="CN10" s="238"/>
      <c r="CO10" s="238"/>
      <c r="CP10" s="220">
        <v>0</v>
      </c>
      <c r="CQ10" s="221"/>
      <c r="CR10" s="238"/>
      <c r="CS10" s="238"/>
      <c r="CT10" s="224">
        <v>0</v>
      </c>
      <c r="CU10" s="225">
        <v>0</v>
      </c>
      <c r="CV10" s="226">
        <v>1.9999999999999996</v>
      </c>
      <c r="CW10" s="227"/>
      <c r="CX10" s="228">
        <v>0</v>
      </c>
      <c r="CY10" s="228">
        <v>0</v>
      </c>
      <c r="CZ10" s="227"/>
      <c r="DA10" s="231"/>
      <c r="DB10" s="231"/>
      <c r="DC10" s="231"/>
      <c r="DD10" s="231"/>
      <c r="DE10" s="231"/>
      <c r="DF10" s="228">
        <v>0</v>
      </c>
      <c r="DG10" s="228">
        <v>0</v>
      </c>
      <c r="DH10" s="232">
        <v>0</v>
      </c>
      <c r="DI10" s="233">
        <v>2939.16</v>
      </c>
      <c r="DJ10" s="228">
        <v>0</v>
      </c>
      <c r="DK10" s="228">
        <v>0</v>
      </c>
      <c r="DL10" s="227"/>
      <c r="DM10" s="228">
        <v>0</v>
      </c>
      <c r="DN10" s="229">
        <v>0</v>
      </c>
      <c r="DO10" s="227">
        <v>0</v>
      </c>
      <c r="DP10" s="229"/>
      <c r="DQ10" s="229"/>
      <c r="DR10" s="229"/>
      <c r="DS10" s="233">
        <v>2939.16</v>
      </c>
      <c r="DT10" s="235"/>
      <c r="DU10" s="236">
        <v>2939.16</v>
      </c>
      <c r="DV10" s="236">
        <v>0</v>
      </c>
      <c r="DW10" s="227">
        <v>2939.16</v>
      </c>
      <c r="DX10" s="134"/>
      <c r="DY10" s="29"/>
      <c r="DZ10" s="150"/>
      <c r="EA10" s="134"/>
      <c r="EB10" s="137">
        <f t="shared" si="11"/>
        <v>0</v>
      </c>
      <c r="EC10" s="138">
        <f t="shared" si="9"/>
        <v>0</v>
      </c>
      <c r="ED10" s="137">
        <f t="shared" si="12"/>
        <v>0</v>
      </c>
      <c r="EE10" s="132">
        <f t="shared" si="10"/>
        <v>0</v>
      </c>
      <c r="EF10" s="29"/>
      <c r="EG10" s="134"/>
      <c r="EH10" s="134"/>
      <c r="EI10" s="29"/>
      <c r="EJ10" s="134"/>
    </row>
    <row r="11" spans="1:141" ht="15" customHeight="1" x14ac:dyDescent="0.25">
      <c r="A11" s="140">
        <f t="shared" ca="1" si="13"/>
        <v>85967</v>
      </c>
      <c r="B11" s="5" t="s">
        <v>179</v>
      </c>
      <c r="C11" s="213">
        <v>2</v>
      </c>
      <c r="D11" s="214" t="s">
        <v>24</v>
      </c>
      <c r="E11" s="214" t="s">
        <v>173</v>
      </c>
      <c r="F11" s="215">
        <v>1136076594</v>
      </c>
      <c r="G11" s="216"/>
      <c r="H11" s="217"/>
      <c r="I11" s="218" t="s">
        <v>174</v>
      </c>
      <c r="J11" s="219">
        <v>0.25</v>
      </c>
      <c r="K11" s="219">
        <v>0.5</v>
      </c>
      <c r="L11" s="220">
        <v>0.25</v>
      </c>
      <c r="M11" s="221"/>
      <c r="N11" s="222"/>
      <c r="O11" s="222"/>
      <c r="P11" s="220">
        <v>0</v>
      </c>
      <c r="Q11" s="221"/>
      <c r="R11" s="223"/>
      <c r="S11" s="223"/>
      <c r="T11" s="220">
        <v>0</v>
      </c>
      <c r="U11" s="217"/>
      <c r="V11" s="218" t="s">
        <v>174</v>
      </c>
      <c r="W11" s="219">
        <v>0.25</v>
      </c>
      <c r="X11" s="219">
        <v>0.5</v>
      </c>
      <c r="Y11" s="220">
        <v>0.25</v>
      </c>
      <c r="Z11" s="221"/>
      <c r="AA11" s="222"/>
      <c r="AB11" s="222"/>
      <c r="AC11" s="220">
        <v>0</v>
      </c>
      <c r="AD11" s="221"/>
      <c r="AE11" s="223"/>
      <c r="AF11" s="223"/>
      <c r="AG11" s="224">
        <v>0</v>
      </c>
      <c r="AH11" s="217"/>
      <c r="AI11" s="218" t="s">
        <v>174</v>
      </c>
      <c r="AJ11" s="219">
        <v>0.25</v>
      </c>
      <c r="AK11" s="219">
        <v>0.5</v>
      </c>
      <c r="AL11" s="220">
        <v>0.25</v>
      </c>
      <c r="AM11" s="218"/>
      <c r="AN11" s="222"/>
      <c r="AO11" s="222"/>
      <c r="AP11" s="220">
        <v>0</v>
      </c>
      <c r="AQ11" s="221"/>
      <c r="AR11" s="222"/>
      <c r="AS11" s="222"/>
      <c r="AT11" s="224">
        <v>0</v>
      </c>
      <c r="AU11" s="217"/>
      <c r="AV11" s="218" t="s">
        <v>174</v>
      </c>
      <c r="AW11" s="219">
        <v>0.25</v>
      </c>
      <c r="AX11" s="219">
        <v>0.5</v>
      </c>
      <c r="AY11" s="220">
        <v>0.25</v>
      </c>
      <c r="AZ11" s="218"/>
      <c r="BA11" s="222"/>
      <c r="BB11" s="222"/>
      <c r="BC11" s="220">
        <v>0</v>
      </c>
      <c r="BD11" s="221"/>
      <c r="BE11" s="222"/>
      <c r="BF11" s="222"/>
      <c r="BG11" s="224">
        <v>0</v>
      </c>
      <c r="BH11" s="217"/>
      <c r="BI11" s="218" t="s">
        <v>174</v>
      </c>
      <c r="BJ11" s="219">
        <v>0.25</v>
      </c>
      <c r="BK11" s="219">
        <v>0.5</v>
      </c>
      <c r="BL11" s="220">
        <v>0.25</v>
      </c>
      <c r="BM11" s="221"/>
      <c r="BN11" s="222"/>
      <c r="BO11" s="222"/>
      <c r="BP11" s="220">
        <v>0</v>
      </c>
      <c r="BQ11" s="221"/>
      <c r="BR11" s="222"/>
      <c r="BS11" s="222"/>
      <c r="BT11" s="224">
        <v>0</v>
      </c>
      <c r="BU11" s="217" t="s">
        <v>2</v>
      </c>
      <c r="BV11" s="218"/>
      <c r="BW11" s="219"/>
      <c r="BX11" s="219"/>
      <c r="BY11" s="220">
        <v>0</v>
      </c>
      <c r="BZ11" s="221"/>
      <c r="CA11" s="222"/>
      <c r="CB11" s="222"/>
      <c r="CC11" s="220">
        <v>0</v>
      </c>
      <c r="CD11" s="221"/>
      <c r="CE11" s="222"/>
      <c r="CF11" s="222"/>
      <c r="CG11" s="224">
        <v>0</v>
      </c>
      <c r="CH11" s="217" t="s">
        <v>2</v>
      </c>
      <c r="CI11" s="218"/>
      <c r="CJ11" s="237"/>
      <c r="CK11" s="237"/>
      <c r="CL11" s="220">
        <v>0</v>
      </c>
      <c r="CM11" s="221"/>
      <c r="CN11" s="238"/>
      <c r="CO11" s="238"/>
      <c r="CP11" s="220">
        <v>0</v>
      </c>
      <c r="CQ11" s="221"/>
      <c r="CR11" s="238"/>
      <c r="CS11" s="238"/>
      <c r="CT11" s="224">
        <v>0</v>
      </c>
      <c r="CU11" s="225">
        <v>0</v>
      </c>
      <c r="CV11" s="226">
        <v>1.25</v>
      </c>
      <c r="CW11" s="227"/>
      <c r="CX11" s="228">
        <v>0</v>
      </c>
      <c r="CY11" s="228">
        <v>0</v>
      </c>
      <c r="CZ11" s="227"/>
      <c r="DA11" s="231"/>
      <c r="DB11" s="231"/>
      <c r="DC11" s="231"/>
      <c r="DD11" s="231"/>
      <c r="DE11" s="231"/>
      <c r="DF11" s="228">
        <v>0</v>
      </c>
      <c r="DG11" s="228">
        <v>0</v>
      </c>
      <c r="DH11" s="232">
        <v>0</v>
      </c>
      <c r="DI11" s="233">
        <v>1836.9749999999999</v>
      </c>
      <c r="DJ11" s="228">
        <v>0</v>
      </c>
      <c r="DK11" s="228">
        <v>0</v>
      </c>
      <c r="DL11" s="227"/>
      <c r="DM11" s="228">
        <v>0</v>
      </c>
      <c r="DN11" s="229">
        <v>0</v>
      </c>
      <c r="DO11" s="227">
        <v>0</v>
      </c>
      <c r="DP11" s="229"/>
      <c r="DQ11" s="229"/>
      <c r="DR11" s="229"/>
      <c r="DS11" s="233">
        <v>1836.9749999999999</v>
      </c>
      <c r="DT11" s="235"/>
      <c r="DU11" s="236">
        <v>1836.9749999999999</v>
      </c>
      <c r="DV11" s="236">
        <v>0</v>
      </c>
      <c r="DW11" s="227">
        <v>1836.9749999999999</v>
      </c>
      <c r="DX11" s="134"/>
      <c r="DY11" s="29"/>
      <c r="DZ11" s="150"/>
      <c r="EA11" s="134"/>
      <c r="EB11" s="137">
        <f t="shared" si="11"/>
        <v>0</v>
      </c>
      <c r="EC11" s="138">
        <f t="shared" si="9"/>
        <v>0</v>
      </c>
      <c r="ED11" s="137">
        <f t="shared" si="12"/>
        <v>0</v>
      </c>
      <c r="EE11" s="132">
        <f t="shared" si="10"/>
        <v>0</v>
      </c>
      <c r="EF11" s="29"/>
      <c r="EG11" s="134"/>
      <c r="EH11" s="134"/>
      <c r="EI11" s="29"/>
      <c r="EJ11" s="134"/>
    </row>
    <row r="12" spans="1:141" ht="15" customHeight="1" x14ac:dyDescent="0.25">
      <c r="A12" s="140"/>
      <c r="B12" s="5"/>
      <c r="C12" s="72"/>
      <c r="D12" s="73"/>
      <c r="E12" s="73"/>
      <c r="F12" s="141"/>
      <c r="G12" s="74"/>
      <c r="H12" s="75"/>
      <c r="I12" s="76"/>
      <c r="J12" s="135"/>
      <c r="K12" s="135"/>
      <c r="L12" s="77">
        <f t="shared" ref="L7:L70" si="14">IF((K12-J12)&gt;=0,(K12-J12),$A$1+(K12-J12))</f>
        <v>0</v>
      </c>
      <c r="M12" s="78"/>
      <c r="N12" s="142"/>
      <c r="O12" s="142"/>
      <c r="P12" s="77">
        <f t="shared" ref="P7:P70" si="15">IF((O12-N12)&gt;=0,(O12-N12),$A$1+(O12-N12))</f>
        <v>0</v>
      </c>
      <c r="Q12" s="78"/>
      <c r="R12" s="143"/>
      <c r="S12" s="143"/>
      <c r="T12" s="77">
        <f t="shared" ref="T8:T70" si="16">IF((S12-R12)&gt;=0,(S12-R12),$A$1+(S12-R12))</f>
        <v>0</v>
      </c>
      <c r="U12" s="75"/>
      <c r="V12" s="76"/>
      <c r="W12" s="135"/>
      <c r="X12" s="135"/>
      <c r="Y12" s="77">
        <f t="shared" ref="Y7:Y70" si="17">IF((X12-W12)&gt;=0,(X12-W12),$A$1+(X12-W12))</f>
        <v>0</v>
      </c>
      <c r="Z12" s="78"/>
      <c r="AA12" s="142"/>
      <c r="AB12" s="142"/>
      <c r="AC12" s="77">
        <f t="shared" ref="AC7:AC70" si="18">IF((AB12-AA12)&gt;=0,(AB12-AA12),$A$1+(AB12-AA12))</f>
        <v>0</v>
      </c>
      <c r="AD12" s="78"/>
      <c r="AE12" s="143"/>
      <c r="AF12" s="143"/>
      <c r="AG12" s="79">
        <f t="shared" ref="AG7:AG70" si="19">IF((AF12-AE12)&gt;=0,(AF12-AE12),$A$1+(AF12-AE12))</f>
        <v>0</v>
      </c>
      <c r="AH12" s="75"/>
      <c r="AI12" s="76"/>
      <c r="AJ12" s="135"/>
      <c r="AK12" s="135"/>
      <c r="AL12" s="77">
        <f t="shared" ref="AL7:AL70" si="20">IF((AK12-AJ12)&gt;=0,(AK12-AJ12),$A$1+(AK12-AJ12))</f>
        <v>0</v>
      </c>
      <c r="AM12" s="76"/>
      <c r="AN12" s="142"/>
      <c r="AO12" s="142"/>
      <c r="AP12" s="77">
        <f t="shared" ref="AP8:AP70" si="21">IF((AO12-AN12)&gt;=0,(AO12-AN12),$A$1+(AO12-AN12))</f>
        <v>0</v>
      </c>
      <c r="AQ12" s="78"/>
      <c r="AR12" s="142"/>
      <c r="AS12" s="142"/>
      <c r="AT12" s="79">
        <f t="shared" ref="AT8:AT70" si="22">IF((AS12-AR12)&gt;=0,(AS12-AR12),$A$1+(AS12-AR12))</f>
        <v>0</v>
      </c>
      <c r="AU12" s="75"/>
      <c r="AV12" s="76"/>
      <c r="AW12" s="135"/>
      <c r="AX12" s="135"/>
      <c r="AY12" s="77">
        <f t="shared" ref="AY8:AY70" si="23">IF((AX12-AW12)&gt;=0,(AX12-AW12),$A$1+(AX12-AW12))</f>
        <v>0</v>
      </c>
      <c r="AZ12" s="76"/>
      <c r="BA12" s="142"/>
      <c r="BB12" s="142"/>
      <c r="BC12" s="77">
        <f t="shared" ref="BC7:BC70" si="24">IF((BB12-BA12)&gt;=0,(BB12-BA12),$A$1+(BB12-BA12))</f>
        <v>0</v>
      </c>
      <c r="BD12" s="78"/>
      <c r="BE12" s="142"/>
      <c r="BF12" s="142"/>
      <c r="BG12" s="79">
        <f t="shared" ref="BG7:BG70" si="25">IF((BF12-BE12)&gt;=0,(BF12-BE12),$A$1+(BF12-BE12))</f>
        <v>0</v>
      </c>
      <c r="BH12" s="75"/>
      <c r="BI12" s="76"/>
      <c r="BJ12" s="135"/>
      <c r="BK12" s="135"/>
      <c r="BL12" s="77">
        <f t="shared" ref="BL7:BL70" si="26">IF((BK12-BJ12)&gt;=0,(BK12-BJ12),$A$1+(BK12-BJ12))</f>
        <v>0</v>
      </c>
      <c r="BM12" s="78"/>
      <c r="BN12" s="142"/>
      <c r="BO12" s="142"/>
      <c r="BP12" s="77">
        <f t="shared" ref="BP8:BP70" si="27">IF((BO12-BN12)&gt;=0,(BO12-BN12),$A$1+(BO12-BN12))</f>
        <v>0</v>
      </c>
      <c r="BQ12" s="78"/>
      <c r="BR12" s="142"/>
      <c r="BS12" s="142"/>
      <c r="BT12" s="79">
        <f t="shared" ref="BT7:BT70" si="28">IF((BS12-BR12)&gt;=0,(BS12-BR12),$A$1+(BS12-BR12))</f>
        <v>0</v>
      </c>
      <c r="BU12" s="75"/>
      <c r="BV12" s="76"/>
      <c r="BW12" s="135"/>
      <c r="BX12" s="135"/>
      <c r="BY12" s="77">
        <f t="shared" ref="BY8:BY70" si="29">IF((BX12-BW12)&gt;=0,(BX12-BW12),$A$1+(BX12-BW12))</f>
        <v>0</v>
      </c>
      <c r="BZ12" s="78"/>
      <c r="CA12" s="142"/>
      <c r="CB12" s="142"/>
      <c r="CC12" s="77">
        <f t="shared" ref="CC7:CC70" si="30">IF((CB12-CA12)&gt;=0,(CB12-CA12),$A$1+(CB12-CA12))</f>
        <v>0</v>
      </c>
      <c r="CD12" s="78"/>
      <c r="CE12" s="142"/>
      <c r="CF12" s="142"/>
      <c r="CG12" s="79">
        <f t="shared" ref="CG7:CG70" si="31">IF((CF12-CE12)&gt;=0,(CF12-CE12),$A$1+(CF12-CE12))</f>
        <v>0</v>
      </c>
      <c r="CH12" s="75"/>
      <c r="CI12" s="76"/>
      <c r="CJ12" s="135"/>
      <c r="CK12" s="135"/>
      <c r="CL12" s="77">
        <f t="shared" ref="CL7:CL70" si="32">IF((CK12-CJ12)&gt;=0,(CK12-CJ12),$A$1+(CK12-CJ12))</f>
        <v>0</v>
      </c>
      <c r="CM12" s="78"/>
      <c r="CN12" s="142"/>
      <c r="CO12" s="142"/>
      <c r="CP12" s="77">
        <f t="shared" ref="CP7:CP70" si="33">IF((CO12-CN12)&gt;=0,(CO12-CN12),$A$1+(CO12-CN12))</f>
        <v>0</v>
      </c>
      <c r="CQ12" s="78"/>
      <c r="CR12" s="142"/>
      <c r="CS12" s="142"/>
      <c r="CT12" s="79">
        <f t="shared" ref="CT7:CT70" si="34">IF((CS12-CR12)&gt;=0,(CS12-CR12),$A$1+(CS12-CR12))</f>
        <v>0</v>
      </c>
      <c r="CU12" s="80">
        <f t="shared" ref="CU7:CU104" si="35">COUNTIF($H12:$CL12,"F")+COUNTIF($H12:$CL12,"PSG")+COUNTIF($H12:$CL12,"INC")</f>
        <v>0</v>
      </c>
      <c r="CV12" s="81">
        <f t="shared" ref="CV8:CV104" si="36">SUMIFS($J12:$CT12,$J$6:$CT$6,$CV$5)</f>
        <v>0</v>
      </c>
      <c r="CW12" s="144"/>
      <c r="CX12" s="145">
        <f>IF(ISERROR(VLOOKUP($A12,FIJOS!$B$11:$O$590,14,FALSE)),0,VLOOKUP($A12,FIJOS!$B$11:$O$590,14,FALSE))</f>
        <v>0</v>
      </c>
      <c r="CY12" s="145">
        <f>IF(ISERROR(VLOOKUP(A12,FIJOS!$B$10:$P$590,15,FALSE)),0,VLOOKUP(A12,FIJOS!$B$10:$P$590,15,FALSE))</f>
        <v>0</v>
      </c>
      <c r="CZ12" s="155"/>
      <c r="DA12" s="146"/>
      <c r="DB12" s="147"/>
      <c r="DC12" s="147"/>
      <c r="DD12" s="147"/>
      <c r="DE12" s="147"/>
      <c r="DF12" s="145">
        <f>IF(ISERROR(VLOOKUP($A12,FIJOS!$B$11:$N$590,13,FALSE)),0,VLOOKUP($A12,FIJOS!$B$11:$N$590,13,FALSE))</f>
        <v>0</v>
      </c>
      <c r="DG12" s="145">
        <f>IF(ISERROR(VLOOKUP($A12,FIJOS!$B$11:$P$447,12,FALSE)),0,VLOOKUP($A12,FIJOS!$B$11:$P$447,12,FALSE))</f>
        <v>0</v>
      </c>
      <c r="DH12" s="82">
        <f t="shared" ref="DH7:DH70" si="37">SUM(CW12:DG12)</f>
        <v>0</v>
      </c>
      <c r="DI12" s="83" t="b">
        <f>IF($C12=1,(VLOOKUP($A12,FIJOS!$B$11:$P$545,10,FALSE)/7)*(7-$CU12),IF(AND($C12=2,CV12&lt;$DJ$1),(VLOOKUP($D12,HORAS!$B$4:$C$42,2,FALSE)*24)*$CV12,IF(AND($C12=2,CV12&gt;=$DJ$1),VLOOKUP($D12,HORAS!$B$4:$D$42,3,FALSE),IF(AND($C12=3,$CV12&gt;=$DJ$1),VLOOKUP($A12,FIJOS!$B$11:$P$545,10,FALSE),IF(AND($C12=3,$CV12&lt;$DJ$1),((VLOOKUP($A12,FIJOS!$B$11:$P$545,10,FALSE)/48)*24)*$CV12,IF(AND($C12=4,$CV12&gt;=(42/24)),VLOOKUP($D12,HORAS!$B$4:$D$42,3,FALSE),IF(AND($C12=5,$CV12&gt;=(36/24)),VLOOKUP($D12,HORAS!$B$4:$D$42,3,FALSE))))))))</f>
        <v>0</v>
      </c>
      <c r="DJ12" s="145">
        <f>IF(OR($C12=2),VLOOKUP($D12,HORAS!$B$4:$E$42,4,FALSE)*$EC12,IF(ISERROR(VLOOKUP($A12,FIJOS!$B$11:$P$108,9,FALSE)),0,VLOOKUP($A12,FIJOS!$B$11:$P$231,9,FALSE)*$EC12))</f>
        <v>0</v>
      </c>
      <c r="DK12" s="145">
        <f>IF(OR($C12=2),VLOOKUP($D12,HORAS!$B$4:$F$42,5,FALSE)*$EE12,IF(ISERROR(VLOOKUP($A12,FIJOS!$B$11:$P$108,9,FALSE)),0,VLOOKUP($A12,FIJOS!$B$11:$P$231,9,FALSE)*$EE12))</f>
        <v>0</v>
      </c>
      <c r="DL12" s="144"/>
      <c r="DM12" s="145">
        <f>IF(ISERROR(VLOOKUP($A12,FIJOS!$B$11:$L$646,11,FALSE)),0,VLOOKUP($A12,FIJOS!$B$11:$L$646,11,FALSE))</f>
        <v>0</v>
      </c>
      <c r="DN12" s="148" t="e">
        <f>IF(OR($C12=1,$C12=3),0,IF((VLOOKUP(CAPTURA!D12,HORAS!$B$4:$K$42,10,FALSE)/4)*COUNTIF($H12:$CT12,3)&gt;100,100,(VLOOKUP(CAPTURA!D12,HORAS!$B$4:$K$42,10,FALSE)/4)*COUNTIF($H12:$CT12,3)))</f>
        <v>#N/A</v>
      </c>
      <c r="DO12" s="144" t="e">
        <f>IF(OR($C12=1,$C12=3),0,IF($C12=5,VLOOKUP(D12,HORAS!$B$4:$G$42,6,FALSE),IF(AND($C12=4,$CV12&gt;=(42/24)),VLOOKUP(D12,HORAS!$B$4:$G$42,6,FALSE),IF(COUNTIF($H12:$CL12,"F")&gt;0,0,IF(CV12&gt;$DJ$1,$DJ$1*(VLOOKUP(D12,HORAS!$B$4:$G$42,6,FALSE)/$DJ$1),CV12*(VLOOKUP(D12,HORAS!$B$4:$G$42,6,FALSE)/$DJ$1))))))</f>
        <v>#N/A</v>
      </c>
      <c r="DP12" s="156"/>
      <c r="DQ12" s="148"/>
      <c r="DR12" s="148"/>
      <c r="DS12" s="83" t="e">
        <f t="shared" ref="DS8:DS71" si="38">SUM(DI12:DR12)</f>
        <v>#N/A</v>
      </c>
      <c r="DT12" s="84"/>
      <c r="DU12" s="149" t="e">
        <f t="shared" ref="DU8:DU71" si="39">IF(DW12-DV12=0,0,DW12-DV12)</f>
        <v>#N/A</v>
      </c>
      <c r="DV12" s="149" t="e">
        <f t="shared" ref="DV8:DV71" si="40">IF(DS12&gt;DY12,DY12,DS12)-(CZ12+CY12)</f>
        <v>#N/A</v>
      </c>
      <c r="DW12" s="144" t="e">
        <f t="shared" ref="DW8:DW71" si="41">DS12-DH12</f>
        <v>#N/A</v>
      </c>
      <c r="DX12" s="134"/>
      <c r="DY12" s="29"/>
      <c r="DZ12" s="150"/>
      <c r="EA12" s="134"/>
      <c r="EB12" s="137">
        <f t="shared" si="11"/>
        <v>0</v>
      </c>
      <c r="EC12" s="138">
        <f t="shared" si="9"/>
        <v>0</v>
      </c>
      <c r="ED12" s="137">
        <f t="shared" si="12"/>
        <v>0</v>
      </c>
      <c r="EE12" s="132">
        <f t="shared" si="10"/>
        <v>0</v>
      </c>
      <c r="EF12" s="29"/>
      <c r="EG12" s="134"/>
      <c r="EH12" s="134"/>
      <c r="EI12" s="29"/>
      <c r="EJ12" s="134"/>
    </row>
    <row r="13" spans="1:141" ht="15" customHeight="1" x14ac:dyDescent="0.25">
      <c r="A13" s="140"/>
      <c r="B13" s="5"/>
      <c r="C13" s="72"/>
      <c r="D13" s="73"/>
      <c r="E13" s="73"/>
      <c r="F13" s="141"/>
      <c r="G13" s="74"/>
      <c r="H13" s="75"/>
      <c r="I13" s="76"/>
      <c r="J13" s="135"/>
      <c r="K13" s="135"/>
      <c r="L13" s="77">
        <f t="shared" si="14"/>
        <v>0</v>
      </c>
      <c r="M13" s="78"/>
      <c r="N13" s="142"/>
      <c r="O13" s="142"/>
      <c r="P13" s="77">
        <f t="shared" si="15"/>
        <v>0</v>
      </c>
      <c r="Q13" s="78"/>
      <c r="R13" s="143"/>
      <c r="S13" s="143"/>
      <c r="T13" s="77">
        <f t="shared" si="16"/>
        <v>0</v>
      </c>
      <c r="U13" s="75"/>
      <c r="V13" s="76"/>
      <c r="W13" s="135"/>
      <c r="X13" s="135"/>
      <c r="Y13" s="77">
        <f t="shared" si="17"/>
        <v>0</v>
      </c>
      <c r="Z13" s="78"/>
      <c r="AA13" s="142"/>
      <c r="AB13" s="142"/>
      <c r="AC13" s="77">
        <f t="shared" si="18"/>
        <v>0</v>
      </c>
      <c r="AD13" s="78"/>
      <c r="AE13" s="143"/>
      <c r="AF13" s="143"/>
      <c r="AG13" s="79">
        <f t="shared" si="19"/>
        <v>0</v>
      </c>
      <c r="AH13" s="75"/>
      <c r="AI13" s="76"/>
      <c r="AJ13" s="135"/>
      <c r="AK13" s="135"/>
      <c r="AL13" s="77">
        <f t="shared" si="20"/>
        <v>0</v>
      </c>
      <c r="AM13" s="76"/>
      <c r="AN13" s="142"/>
      <c r="AO13" s="142"/>
      <c r="AP13" s="77">
        <f t="shared" si="21"/>
        <v>0</v>
      </c>
      <c r="AQ13" s="78"/>
      <c r="AR13" s="142"/>
      <c r="AS13" s="142"/>
      <c r="AT13" s="79">
        <f t="shared" si="22"/>
        <v>0</v>
      </c>
      <c r="AU13" s="75"/>
      <c r="AV13" s="76"/>
      <c r="AW13" s="135"/>
      <c r="AX13" s="135"/>
      <c r="AY13" s="77">
        <f t="shared" si="23"/>
        <v>0</v>
      </c>
      <c r="AZ13" s="76"/>
      <c r="BA13" s="142"/>
      <c r="BB13" s="142"/>
      <c r="BC13" s="77">
        <f t="shared" si="24"/>
        <v>0</v>
      </c>
      <c r="BD13" s="78"/>
      <c r="BE13" s="142"/>
      <c r="BF13" s="142"/>
      <c r="BG13" s="79">
        <f t="shared" si="25"/>
        <v>0</v>
      </c>
      <c r="BH13" s="75"/>
      <c r="BI13" s="76"/>
      <c r="BJ13" s="135"/>
      <c r="BK13" s="135"/>
      <c r="BL13" s="77">
        <f t="shared" si="26"/>
        <v>0</v>
      </c>
      <c r="BM13" s="78"/>
      <c r="BN13" s="142"/>
      <c r="BO13" s="142"/>
      <c r="BP13" s="77">
        <f t="shared" si="27"/>
        <v>0</v>
      </c>
      <c r="BQ13" s="78"/>
      <c r="BR13" s="142"/>
      <c r="BS13" s="142"/>
      <c r="BT13" s="79">
        <f t="shared" si="28"/>
        <v>0</v>
      </c>
      <c r="BU13" s="75"/>
      <c r="BV13" s="76"/>
      <c r="BW13" s="135"/>
      <c r="BX13" s="135"/>
      <c r="BY13" s="77">
        <f t="shared" si="29"/>
        <v>0</v>
      </c>
      <c r="BZ13" s="78"/>
      <c r="CA13" s="142"/>
      <c r="CB13" s="142"/>
      <c r="CC13" s="77">
        <f t="shared" si="30"/>
        <v>0</v>
      </c>
      <c r="CD13" s="78"/>
      <c r="CE13" s="142"/>
      <c r="CF13" s="142"/>
      <c r="CG13" s="79">
        <f t="shared" si="31"/>
        <v>0</v>
      </c>
      <c r="CH13" s="75"/>
      <c r="CI13" s="76"/>
      <c r="CJ13" s="135"/>
      <c r="CK13" s="135"/>
      <c r="CL13" s="77">
        <f t="shared" si="32"/>
        <v>0</v>
      </c>
      <c r="CM13" s="78"/>
      <c r="CN13" s="142"/>
      <c r="CO13" s="142"/>
      <c r="CP13" s="77">
        <f t="shared" si="33"/>
        <v>0</v>
      </c>
      <c r="CQ13" s="78"/>
      <c r="CR13" s="142"/>
      <c r="CS13" s="142"/>
      <c r="CT13" s="79">
        <f t="shared" si="34"/>
        <v>0</v>
      </c>
      <c r="CU13" s="80">
        <f t="shared" si="35"/>
        <v>0</v>
      </c>
      <c r="CV13" s="81">
        <f t="shared" si="36"/>
        <v>0</v>
      </c>
      <c r="CW13" s="144"/>
      <c r="CX13" s="145">
        <f>IF(ISERROR(VLOOKUP($A13,FIJOS!$B$11:$O$590,14,FALSE)),0,VLOOKUP($A13,FIJOS!$B$11:$O$590,14,FALSE))</f>
        <v>0</v>
      </c>
      <c r="CY13" s="145">
        <f>IF(ISERROR(VLOOKUP(A13,FIJOS!$B$10:$P$590,15,FALSE)),0,VLOOKUP(A13,FIJOS!$B$10:$P$590,15,FALSE))</f>
        <v>0</v>
      </c>
      <c r="CZ13" s="155"/>
      <c r="DA13" s="146"/>
      <c r="DB13" s="147"/>
      <c r="DC13" s="147"/>
      <c r="DD13" s="147"/>
      <c r="DE13" s="147"/>
      <c r="DF13" s="145">
        <f>IF(ISERROR(VLOOKUP($A13,FIJOS!$B$11:$N$590,13,FALSE)),0,VLOOKUP($A13,FIJOS!$B$11:$N$590,13,FALSE))</f>
        <v>0</v>
      </c>
      <c r="DG13" s="145">
        <f>IF(ISERROR(VLOOKUP($A13,FIJOS!$B$11:$P$447,12,FALSE)),0,VLOOKUP($A13,FIJOS!$B$11:$P$447,12,FALSE))</f>
        <v>0</v>
      </c>
      <c r="DH13" s="82">
        <f t="shared" si="37"/>
        <v>0</v>
      </c>
      <c r="DI13" s="83" t="b">
        <f>IF($C13=1,(VLOOKUP($A13,FIJOS!$B$11:$P$545,10,FALSE)/7)*(7-$CU13),IF(AND($C13=2,CV13&lt;$DJ$1),(VLOOKUP($D13,HORAS!$B$4:$C$42,2,FALSE)*24)*$CV13,IF(AND($C13=2,CV13&gt;=$DJ$1),VLOOKUP($D13,HORAS!$B$4:$D$42,3,FALSE),IF(AND($C13=3,$CV13&gt;=$DJ$1),VLOOKUP($A13,FIJOS!$B$11:$P$545,10,FALSE),IF(AND($C13=3,$CV13&lt;$DJ$1),((VLOOKUP($A13,FIJOS!$B$11:$P$545,10,FALSE)/48)*24)*$CV13,IF(AND($C13=4,$CV13&gt;=(42/24)),VLOOKUP($D13,HORAS!$B$4:$D$42,3,FALSE),IF(AND($C13=5,$CV13&gt;=(36/24)),VLOOKUP($D13,HORAS!$B$4:$D$42,3,FALSE))))))))</f>
        <v>0</v>
      </c>
      <c r="DJ13" s="145">
        <f>IF(OR($C13=2),VLOOKUP($D13,HORAS!$B$4:$E$42,4,FALSE)*$EC13,IF(ISERROR(VLOOKUP($A13,FIJOS!$B$11:$P$108,9,FALSE)),0,VLOOKUP($A13,FIJOS!$B$11:$P$231,9,FALSE)*$EC13))</f>
        <v>0</v>
      </c>
      <c r="DK13" s="145">
        <f>IF(OR($C13=2),VLOOKUP($D13,HORAS!$B$4:$F$42,5,FALSE)*$EE13,IF(ISERROR(VLOOKUP($A13,FIJOS!$B$11:$P$108,9,FALSE)),0,VLOOKUP($A13,FIJOS!$B$11:$P$231,9,FALSE)*$EE13))</f>
        <v>0</v>
      </c>
      <c r="DL13" s="144"/>
      <c r="DM13" s="145">
        <f>IF(ISERROR(VLOOKUP($A13,FIJOS!$B$11:$L$646,11,FALSE)),0,VLOOKUP($A13,FIJOS!$B$11:$L$646,11,FALSE))</f>
        <v>0</v>
      </c>
      <c r="DN13" s="148" t="e">
        <f>IF(OR($C13=1,$C13=3),0,IF((VLOOKUP(CAPTURA!D13,HORAS!$B$4:$K$42,10,FALSE)/4)*COUNTIF($H13:$CT13,3)&gt;100,100,(VLOOKUP(CAPTURA!D13,HORAS!$B$4:$K$42,10,FALSE)/4)*COUNTIF($H13:$CT13,3)))</f>
        <v>#N/A</v>
      </c>
      <c r="DO13" s="144" t="e">
        <f>IF(OR($C13=1,$C13=3),0,IF($C13=5,VLOOKUP(D13,HORAS!$B$4:$G$42,6,FALSE),IF(AND($C13=4,$CV13&gt;=(42/24)),VLOOKUP(D13,HORAS!$B$4:$G$42,6,FALSE),IF(COUNTIF($H13:$CL13,"F")&gt;0,0,IF(CV13&gt;$DJ$1,$DJ$1*(VLOOKUP(D13,HORAS!$B$4:$G$42,6,FALSE)/$DJ$1),CV13*(VLOOKUP(D13,HORAS!$B$4:$G$42,6,FALSE)/$DJ$1))))))</f>
        <v>#N/A</v>
      </c>
      <c r="DP13" s="156"/>
      <c r="DQ13" s="148"/>
      <c r="DR13" s="148"/>
      <c r="DS13" s="83" t="e">
        <f t="shared" si="38"/>
        <v>#N/A</v>
      </c>
      <c r="DT13" s="84"/>
      <c r="DU13" s="149" t="e">
        <f t="shared" si="39"/>
        <v>#N/A</v>
      </c>
      <c r="DV13" s="149" t="e">
        <f t="shared" si="40"/>
        <v>#N/A</v>
      </c>
      <c r="DW13" s="144" t="e">
        <f t="shared" si="41"/>
        <v>#N/A</v>
      </c>
      <c r="DX13" s="134"/>
      <c r="DY13" s="29"/>
      <c r="DZ13" s="150"/>
      <c r="EA13" s="134"/>
      <c r="EB13" s="137">
        <f t="shared" si="11"/>
        <v>0</v>
      </c>
      <c r="EC13" s="138">
        <f t="shared" si="9"/>
        <v>0</v>
      </c>
      <c r="ED13" s="137">
        <f t="shared" si="12"/>
        <v>0</v>
      </c>
      <c r="EE13" s="132">
        <f t="shared" si="10"/>
        <v>0</v>
      </c>
      <c r="EF13" s="29"/>
      <c r="EG13" s="134"/>
      <c r="EH13" s="134"/>
      <c r="EI13" s="29"/>
      <c r="EJ13" s="134"/>
    </row>
    <row r="14" spans="1:141" ht="15" customHeight="1" x14ac:dyDescent="0.25">
      <c r="A14" s="140"/>
      <c r="B14" s="5"/>
      <c r="C14" s="72"/>
      <c r="D14" s="73"/>
      <c r="E14" s="73"/>
      <c r="F14" s="141"/>
      <c r="G14" s="74"/>
      <c r="H14" s="75"/>
      <c r="I14" s="76"/>
      <c r="J14" s="135"/>
      <c r="K14" s="135"/>
      <c r="L14" s="77">
        <f t="shared" si="14"/>
        <v>0</v>
      </c>
      <c r="M14" s="78"/>
      <c r="N14" s="142"/>
      <c r="O14" s="142"/>
      <c r="P14" s="77">
        <f t="shared" si="15"/>
        <v>0</v>
      </c>
      <c r="Q14" s="78"/>
      <c r="R14" s="143"/>
      <c r="S14" s="143"/>
      <c r="T14" s="77">
        <f t="shared" si="16"/>
        <v>0</v>
      </c>
      <c r="U14" s="75"/>
      <c r="V14" s="76"/>
      <c r="W14" s="135"/>
      <c r="X14" s="135"/>
      <c r="Y14" s="77">
        <f t="shared" si="17"/>
        <v>0</v>
      </c>
      <c r="Z14" s="78"/>
      <c r="AA14" s="142"/>
      <c r="AB14" s="142"/>
      <c r="AC14" s="77">
        <f t="shared" si="18"/>
        <v>0</v>
      </c>
      <c r="AD14" s="78"/>
      <c r="AE14" s="143"/>
      <c r="AF14" s="143"/>
      <c r="AG14" s="79">
        <f t="shared" si="19"/>
        <v>0</v>
      </c>
      <c r="AH14" s="75"/>
      <c r="AI14" s="76"/>
      <c r="AJ14" s="135"/>
      <c r="AK14" s="135"/>
      <c r="AL14" s="77">
        <f t="shared" si="20"/>
        <v>0</v>
      </c>
      <c r="AM14" s="76"/>
      <c r="AN14" s="142"/>
      <c r="AO14" s="142"/>
      <c r="AP14" s="77">
        <f t="shared" si="21"/>
        <v>0</v>
      </c>
      <c r="AQ14" s="78"/>
      <c r="AR14" s="142"/>
      <c r="AS14" s="142"/>
      <c r="AT14" s="79">
        <f t="shared" si="22"/>
        <v>0</v>
      </c>
      <c r="AU14" s="75"/>
      <c r="AV14" s="76"/>
      <c r="AW14" s="135"/>
      <c r="AX14" s="135"/>
      <c r="AY14" s="77">
        <f t="shared" si="23"/>
        <v>0</v>
      </c>
      <c r="AZ14" s="76"/>
      <c r="BA14" s="142"/>
      <c r="BB14" s="142"/>
      <c r="BC14" s="77">
        <f t="shared" si="24"/>
        <v>0</v>
      </c>
      <c r="BD14" s="78"/>
      <c r="BE14" s="142"/>
      <c r="BF14" s="142"/>
      <c r="BG14" s="79">
        <f t="shared" si="25"/>
        <v>0</v>
      </c>
      <c r="BH14" s="75"/>
      <c r="BI14" s="76"/>
      <c r="BJ14" s="135"/>
      <c r="BK14" s="135"/>
      <c r="BL14" s="77">
        <f t="shared" si="26"/>
        <v>0</v>
      </c>
      <c r="BM14" s="78"/>
      <c r="BN14" s="142"/>
      <c r="BO14" s="142"/>
      <c r="BP14" s="77">
        <f t="shared" si="27"/>
        <v>0</v>
      </c>
      <c r="BQ14" s="78"/>
      <c r="BR14" s="142"/>
      <c r="BS14" s="142"/>
      <c r="BT14" s="79">
        <f t="shared" si="28"/>
        <v>0</v>
      </c>
      <c r="BU14" s="75"/>
      <c r="BV14" s="76"/>
      <c r="BW14" s="135"/>
      <c r="BX14" s="135"/>
      <c r="BY14" s="77">
        <f t="shared" si="29"/>
        <v>0</v>
      </c>
      <c r="BZ14" s="78"/>
      <c r="CA14" s="142"/>
      <c r="CB14" s="142"/>
      <c r="CC14" s="77">
        <f t="shared" si="30"/>
        <v>0</v>
      </c>
      <c r="CD14" s="78"/>
      <c r="CE14" s="142"/>
      <c r="CF14" s="142"/>
      <c r="CG14" s="79">
        <f t="shared" si="31"/>
        <v>0</v>
      </c>
      <c r="CH14" s="75"/>
      <c r="CI14" s="76"/>
      <c r="CJ14" s="135"/>
      <c r="CK14" s="135"/>
      <c r="CL14" s="77">
        <f t="shared" si="32"/>
        <v>0</v>
      </c>
      <c r="CM14" s="78"/>
      <c r="CN14" s="142"/>
      <c r="CO14" s="142"/>
      <c r="CP14" s="77">
        <f t="shared" si="33"/>
        <v>0</v>
      </c>
      <c r="CQ14" s="78"/>
      <c r="CR14" s="142"/>
      <c r="CS14" s="142"/>
      <c r="CT14" s="79">
        <f t="shared" si="34"/>
        <v>0</v>
      </c>
      <c r="CU14" s="80">
        <f t="shared" si="35"/>
        <v>0</v>
      </c>
      <c r="CV14" s="81">
        <f t="shared" si="36"/>
        <v>0</v>
      </c>
      <c r="CW14" s="144"/>
      <c r="CX14" s="145">
        <f>IF(ISERROR(VLOOKUP($A14,FIJOS!$B$11:$O$590,14,FALSE)),0,VLOOKUP($A14,FIJOS!$B$11:$O$590,14,FALSE))</f>
        <v>0</v>
      </c>
      <c r="CY14" s="145">
        <f>IF(ISERROR(VLOOKUP(A14,FIJOS!$B$10:$P$590,15,FALSE)),0,VLOOKUP(A14,FIJOS!$B$10:$P$590,15,FALSE))</f>
        <v>0</v>
      </c>
      <c r="CZ14" s="155"/>
      <c r="DA14" s="146"/>
      <c r="DB14" s="147"/>
      <c r="DC14" s="147"/>
      <c r="DD14" s="147"/>
      <c r="DE14" s="147"/>
      <c r="DF14" s="145">
        <f>IF(ISERROR(VLOOKUP($A14,FIJOS!$B$11:$N$590,13,FALSE)),0,VLOOKUP($A14,FIJOS!$B$11:$N$590,13,FALSE))</f>
        <v>0</v>
      </c>
      <c r="DG14" s="145">
        <f>IF(ISERROR(VLOOKUP($A14,FIJOS!$B$11:$P$447,12,FALSE)),0,VLOOKUP($A14,FIJOS!$B$11:$P$447,12,FALSE))</f>
        <v>0</v>
      </c>
      <c r="DH14" s="82">
        <f t="shared" si="37"/>
        <v>0</v>
      </c>
      <c r="DI14" s="83" t="b">
        <f>IF($C14=1,(VLOOKUP($A14,FIJOS!$B$11:$P$545,10,FALSE)/7)*(7-$CU14),IF(AND($C14=2,CV14&lt;$DJ$1),(VLOOKUP($D14,HORAS!$B$4:$C$42,2,FALSE)*24)*$CV14,IF(AND($C14=2,CV14&gt;=$DJ$1),VLOOKUP($D14,HORAS!$B$4:$D$42,3,FALSE),IF(AND($C14=3,$CV14&gt;=$DJ$1),VLOOKUP($A14,FIJOS!$B$11:$P$545,10,FALSE),IF(AND($C14=3,$CV14&lt;$DJ$1),((VLOOKUP($A14,FIJOS!$B$11:$P$545,10,FALSE)/48)*24)*$CV14,IF(AND($C14=4,$CV14&gt;=(42/24)),VLOOKUP($D14,HORAS!$B$4:$D$42,3,FALSE),IF(AND($C14=5,$CV14&gt;=(36/24)),VLOOKUP($D14,HORAS!$B$4:$D$42,3,FALSE))))))))</f>
        <v>0</v>
      </c>
      <c r="DJ14" s="145">
        <f>IF(OR($C14=2),VLOOKUP($D14,HORAS!$B$4:$E$42,4,FALSE)*$EC14,IF(ISERROR(VLOOKUP($A14,FIJOS!$B$11:$P$108,9,FALSE)),0,VLOOKUP($A14,FIJOS!$B$11:$P$231,9,FALSE)*$EC14))</f>
        <v>0</v>
      </c>
      <c r="DK14" s="145">
        <f>IF(OR($C14=2),VLOOKUP($D14,HORAS!$B$4:$F$42,5,FALSE)*$EE14,IF(ISERROR(VLOOKUP($A14,FIJOS!$B$11:$P$108,9,FALSE)),0,VLOOKUP($A14,FIJOS!$B$11:$P$231,9,FALSE)*$EE14))</f>
        <v>0</v>
      </c>
      <c r="DL14" s="144"/>
      <c r="DM14" s="145">
        <f>IF(ISERROR(VLOOKUP($A14,FIJOS!$B$11:$L$646,11,FALSE)),0,VLOOKUP($A14,FIJOS!$B$11:$L$646,11,FALSE))</f>
        <v>0</v>
      </c>
      <c r="DN14" s="148" t="e">
        <f>IF(OR($C14=1,$C14=3),0,IF((VLOOKUP(CAPTURA!D14,HORAS!$B$4:$K$42,10,FALSE)/4)*COUNTIF($H14:$CT14,3)&gt;100,100,(VLOOKUP(CAPTURA!D14,HORAS!$B$4:$K$42,10,FALSE)/4)*COUNTIF($H14:$CT14,3)))</f>
        <v>#N/A</v>
      </c>
      <c r="DO14" s="144" t="e">
        <f>IF(OR($C14=1,$C14=3),0,IF($C14=5,VLOOKUP(D14,HORAS!$B$4:$G$42,6,FALSE),IF(AND($C14=4,$CV14&gt;=(42/24)),VLOOKUP(D14,HORAS!$B$4:$G$42,6,FALSE),IF(COUNTIF($H14:$CL14,"F")&gt;0,0,IF(CV14&gt;$DJ$1,$DJ$1*(VLOOKUP(D14,HORAS!$B$4:$G$42,6,FALSE)/$DJ$1),CV14*(VLOOKUP(D14,HORAS!$B$4:$G$42,6,FALSE)/$DJ$1))))))</f>
        <v>#N/A</v>
      </c>
      <c r="DP14" s="156"/>
      <c r="DQ14" s="148"/>
      <c r="DR14" s="148"/>
      <c r="DS14" s="83" t="e">
        <f t="shared" si="38"/>
        <v>#N/A</v>
      </c>
      <c r="DT14" s="84"/>
      <c r="DU14" s="149" t="e">
        <f t="shared" si="39"/>
        <v>#N/A</v>
      </c>
      <c r="DV14" s="149" t="e">
        <f t="shared" si="40"/>
        <v>#N/A</v>
      </c>
      <c r="DW14" s="144" t="e">
        <f t="shared" si="41"/>
        <v>#N/A</v>
      </c>
      <c r="DX14" s="134"/>
      <c r="DY14" s="29"/>
      <c r="DZ14" s="150"/>
      <c r="EA14" s="134"/>
      <c r="EB14" s="137">
        <f t="shared" si="11"/>
        <v>0</v>
      </c>
      <c r="EC14" s="138">
        <f t="shared" si="9"/>
        <v>0</v>
      </c>
      <c r="ED14" s="137">
        <f t="shared" si="12"/>
        <v>0</v>
      </c>
      <c r="EE14" s="132">
        <f t="shared" si="10"/>
        <v>0</v>
      </c>
      <c r="EF14" s="29"/>
      <c r="EG14" s="134"/>
      <c r="EH14" s="134"/>
      <c r="EI14" s="29"/>
      <c r="EJ14" s="134"/>
    </row>
    <row r="15" spans="1:141" ht="15" customHeight="1" x14ac:dyDescent="0.25">
      <c r="A15" s="140"/>
      <c r="B15" s="5"/>
      <c r="C15" s="72"/>
      <c r="D15" s="73"/>
      <c r="E15" s="73"/>
      <c r="F15" s="141"/>
      <c r="G15" s="74"/>
      <c r="H15" s="75"/>
      <c r="I15" s="76"/>
      <c r="J15" s="135"/>
      <c r="K15" s="135"/>
      <c r="L15" s="77">
        <f t="shared" si="14"/>
        <v>0</v>
      </c>
      <c r="M15" s="78"/>
      <c r="N15" s="142"/>
      <c r="O15" s="142"/>
      <c r="P15" s="77">
        <f t="shared" si="15"/>
        <v>0</v>
      </c>
      <c r="Q15" s="78"/>
      <c r="R15" s="143"/>
      <c r="S15" s="143"/>
      <c r="T15" s="77">
        <f t="shared" si="16"/>
        <v>0</v>
      </c>
      <c r="U15" s="75"/>
      <c r="V15" s="76"/>
      <c r="W15" s="135"/>
      <c r="X15" s="135"/>
      <c r="Y15" s="77">
        <f t="shared" si="17"/>
        <v>0</v>
      </c>
      <c r="Z15" s="78"/>
      <c r="AA15" s="142"/>
      <c r="AB15" s="142"/>
      <c r="AC15" s="77">
        <f t="shared" si="18"/>
        <v>0</v>
      </c>
      <c r="AD15" s="78"/>
      <c r="AE15" s="143"/>
      <c r="AF15" s="143"/>
      <c r="AG15" s="79">
        <f t="shared" si="19"/>
        <v>0</v>
      </c>
      <c r="AH15" s="75"/>
      <c r="AI15" s="76"/>
      <c r="AJ15" s="135"/>
      <c r="AK15" s="135"/>
      <c r="AL15" s="77">
        <f t="shared" si="20"/>
        <v>0</v>
      </c>
      <c r="AM15" s="76"/>
      <c r="AN15" s="142"/>
      <c r="AO15" s="142"/>
      <c r="AP15" s="77">
        <f t="shared" si="21"/>
        <v>0</v>
      </c>
      <c r="AQ15" s="78"/>
      <c r="AR15" s="142"/>
      <c r="AS15" s="142"/>
      <c r="AT15" s="79">
        <f t="shared" si="22"/>
        <v>0</v>
      </c>
      <c r="AU15" s="75"/>
      <c r="AV15" s="76"/>
      <c r="AW15" s="135"/>
      <c r="AX15" s="135"/>
      <c r="AY15" s="77">
        <f t="shared" si="23"/>
        <v>0</v>
      </c>
      <c r="AZ15" s="76"/>
      <c r="BA15" s="142"/>
      <c r="BB15" s="142"/>
      <c r="BC15" s="77">
        <f t="shared" si="24"/>
        <v>0</v>
      </c>
      <c r="BD15" s="78"/>
      <c r="BE15" s="142"/>
      <c r="BF15" s="142"/>
      <c r="BG15" s="79">
        <f t="shared" si="25"/>
        <v>0</v>
      </c>
      <c r="BH15" s="75"/>
      <c r="BI15" s="76"/>
      <c r="BJ15" s="135"/>
      <c r="BK15" s="135"/>
      <c r="BL15" s="77">
        <f t="shared" si="26"/>
        <v>0</v>
      </c>
      <c r="BM15" s="78"/>
      <c r="BN15" s="142"/>
      <c r="BO15" s="142"/>
      <c r="BP15" s="77">
        <f t="shared" si="27"/>
        <v>0</v>
      </c>
      <c r="BQ15" s="78"/>
      <c r="BR15" s="142"/>
      <c r="BS15" s="142"/>
      <c r="BT15" s="79">
        <f t="shared" si="28"/>
        <v>0</v>
      </c>
      <c r="BU15" s="75"/>
      <c r="BV15" s="76"/>
      <c r="BW15" s="135"/>
      <c r="BX15" s="135"/>
      <c r="BY15" s="77">
        <f t="shared" si="29"/>
        <v>0</v>
      </c>
      <c r="BZ15" s="78"/>
      <c r="CA15" s="142"/>
      <c r="CB15" s="142"/>
      <c r="CC15" s="77">
        <f t="shared" si="30"/>
        <v>0</v>
      </c>
      <c r="CD15" s="78"/>
      <c r="CE15" s="142"/>
      <c r="CF15" s="142"/>
      <c r="CG15" s="79">
        <f t="shared" si="31"/>
        <v>0</v>
      </c>
      <c r="CH15" s="75"/>
      <c r="CI15" s="76"/>
      <c r="CJ15" s="135"/>
      <c r="CK15" s="135"/>
      <c r="CL15" s="77">
        <f t="shared" si="32"/>
        <v>0</v>
      </c>
      <c r="CM15" s="78"/>
      <c r="CN15" s="142"/>
      <c r="CO15" s="142"/>
      <c r="CP15" s="77">
        <f t="shared" si="33"/>
        <v>0</v>
      </c>
      <c r="CQ15" s="78"/>
      <c r="CR15" s="142"/>
      <c r="CS15" s="142"/>
      <c r="CT15" s="79">
        <f t="shared" si="34"/>
        <v>0</v>
      </c>
      <c r="CU15" s="80">
        <f t="shared" si="35"/>
        <v>0</v>
      </c>
      <c r="CV15" s="81">
        <f t="shared" si="36"/>
        <v>0</v>
      </c>
      <c r="CW15" s="144"/>
      <c r="CX15" s="145">
        <f>IF(ISERROR(VLOOKUP($A15,FIJOS!$B$11:$O$590,14,FALSE)),0,VLOOKUP($A15,FIJOS!$B$11:$O$590,14,FALSE))</f>
        <v>0</v>
      </c>
      <c r="CY15" s="145">
        <f>IF(ISERROR(VLOOKUP(A15,FIJOS!$B$10:$P$590,15,FALSE)),0,VLOOKUP(A15,FIJOS!$B$10:$P$590,15,FALSE))</f>
        <v>0</v>
      </c>
      <c r="CZ15" s="155"/>
      <c r="DA15" s="146"/>
      <c r="DB15" s="147"/>
      <c r="DC15" s="147"/>
      <c r="DD15" s="147"/>
      <c r="DE15" s="147"/>
      <c r="DF15" s="145">
        <f>IF(ISERROR(VLOOKUP($A15,FIJOS!$B$11:$N$590,13,FALSE)),0,VLOOKUP($A15,FIJOS!$B$11:$N$590,13,FALSE))</f>
        <v>0</v>
      </c>
      <c r="DG15" s="145">
        <f>IF(ISERROR(VLOOKUP($A15,FIJOS!$B$11:$P$447,12,FALSE)),0,VLOOKUP($A15,FIJOS!$B$11:$P$447,12,FALSE))</f>
        <v>0</v>
      </c>
      <c r="DH15" s="82">
        <f t="shared" si="37"/>
        <v>0</v>
      </c>
      <c r="DI15" s="83" t="b">
        <f>IF($C15=1,(VLOOKUP($A15,FIJOS!$B$11:$P$545,10,FALSE)/7)*(7-$CU15),IF(AND($C15=2,CV15&lt;$DJ$1),(VLOOKUP($D15,HORAS!$B$4:$C$42,2,FALSE)*24)*$CV15,IF(AND($C15=2,CV15&gt;=$DJ$1),VLOOKUP($D15,HORAS!$B$4:$D$42,3,FALSE),IF(AND($C15=3,$CV15&gt;=$DJ$1),VLOOKUP($A15,FIJOS!$B$11:$P$545,10,FALSE),IF(AND($C15=3,$CV15&lt;$DJ$1),((VLOOKUP($A15,FIJOS!$B$11:$P$545,10,FALSE)/48)*24)*$CV15,IF(AND($C15=4,$CV15&gt;=(42/24)),VLOOKUP($D15,HORAS!$B$4:$D$42,3,FALSE),IF(AND($C15=5,$CV15&gt;=(36/24)),VLOOKUP($D15,HORAS!$B$4:$D$42,3,FALSE))))))))</f>
        <v>0</v>
      </c>
      <c r="DJ15" s="145">
        <f>IF(OR($C15=2),VLOOKUP($D15,HORAS!$B$4:$E$42,4,FALSE)*$EC15,IF(ISERROR(VLOOKUP($A15,FIJOS!$B$11:$P$108,9,FALSE)),0,VLOOKUP($A15,FIJOS!$B$11:$P$231,9,FALSE)*$EC15))</f>
        <v>0</v>
      </c>
      <c r="DK15" s="145">
        <f>IF(OR($C15=2),VLOOKUP($D15,HORAS!$B$4:$F$42,5,FALSE)*$EE15,IF(ISERROR(VLOOKUP($A15,FIJOS!$B$11:$P$108,9,FALSE)),0,VLOOKUP($A15,FIJOS!$B$11:$P$231,9,FALSE)*$EE15))</f>
        <v>0</v>
      </c>
      <c r="DL15" s="144"/>
      <c r="DM15" s="145">
        <f>IF(ISERROR(VLOOKUP($A15,FIJOS!$B$11:$L$646,11,FALSE)),0,VLOOKUP($A15,FIJOS!$B$11:$L$646,11,FALSE))</f>
        <v>0</v>
      </c>
      <c r="DN15" s="148" t="e">
        <f>IF(OR($C15=1,$C15=3),0,IF((VLOOKUP(CAPTURA!D15,HORAS!$B$4:$K$42,10,FALSE)/4)*COUNTIF($H15:$CT15,3)&gt;100,100,(VLOOKUP(CAPTURA!D15,HORAS!$B$4:$K$42,10,FALSE)/4)*COUNTIF($H15:$CT15,3)))</f>
        <v>#N/A</v>
      </c>
      <c r="DO15" s="144" t="e">
        <f>IF(OR($C15=1,$C15=3),0,IF($C15=5,VLOOKUP(D15,HORAS!$B$4:$G$42,6,FALSE),IF(AND($C15=4,$CV15&gt;=(42/24)),VLOOKUP(D15,HORAS!$B$4:$G$42,6,FALSE),IF(COUNTIF($H15:$CL15,"F")&gt;0,0,IF(CV15&gt;$DJ$1,$DJ$1*(VLOOKUP(D15,HORAS!$B$4:$G$42,6,FALSE)/$DJ$1),CV15*(VLOOKUP(D15,HORAS!$B$4:$G$42,6,FALSE)/$DJ$1))))))</f>
        <v>#N/A</v>
      </c>
      <c r="DP15" s="156"/>
      <c r="DQ15" s="148"/>
      <c r="DR15" s="148"/>
      <c r="DS15" s="83" t="e">
        <f t="shared" si="38"/>
        <v>#N/A</v>
      </c>
      <c r="DT15" s="84"/>
      <c r="DU15" s="149" t="e">
        <f t="shared" si="39"/>
        <v>#N/A</v>
      </c>
      <c r="DV15" s="149" t="e">
        <f t="shared" si="40"/>
        <v>#N/A</v>
      </c>
      <c r="DW15" s="144" t="e">
        <f t="shared" si="41"/>
        <v>#N/A</v>
      </c>
      <c r="DX15" s="134"/>
      <c r="DY15" s="29"/>
      <c r="DZ15" s="150"/>
      <c r="EA15" s="134"/>
      <c r="EB15" s="137">
        <f t="shared" si="11"/>
        <v>0</v>
      </c>
      <c r="EC15" s="138">
        <f t="shared" si="9"/>
        <v>0</v>
      </c>
      <c r="ED15" s="137">
        <f t="shared" si="12"/>
        <v>0</v>
      </c>
      <c r="EE15" s="132">
        <f t="shared" si="10"/>
        <v>0</v>
      </c>
      <c r="EF15" s="29"/>
      <c r="EG15" s="134"/>
      <c r="EH15" s="134"/>
      <c r="EI15" s="29"/>
      <c r="EJ15" s="134"/>
    </row>
    <row r="16" spans="1:141" ht="15" customHeight="1" x14ac:dyDescent="0.25">
      <c r="A16" s="140"/>
      <c r="B16" s="5"/>
      <c r="C16" s="72"/>
      <c r="D16" s="73"/>
      <c r="E16" s="73"/>
      <c r="F16" s="141"/>
      <c r="G16" s="74"/>
      <c r="H16" s="75"/>
      <c r="I16" s="76"/>
      <c r="J16" s="135"/>
      <c r="K16" s="135"/>
      <c r="L16" s="77">
        <f t="shared" si="14"/>
        <v>0</v>
      </c>
      <c r="M16" s="78"/>
      <c r="N16" s="142"/>
      <c r="O16" s="142"/>
      <c r="P16" s="77">
        <f t="shared" si="15"/>
        <v>0</v>
      </c>
      <c r="Q16" s="78"/>
      <c r="R16" s="143"/>
      <c r="S16" s="143"/>
      <c r="T16" s="77">
        <f t="shared" si="16"/>
        <v>0</v>
      </c>
      <c r="U16" s="75"/>
      <c r="V16" s="76"/>
      <c r="W16" s="135"/>
      <c r="X16" s="135"/>
      <c r="Y16" s="77">
        <f t="shared" si="17"/>
        <v>0</v>
      </c>
      <c r="Z16" s="78"/>
      <c r="AA16" s="142"/>
      <c r="AB16" s="142"/>
      <c r="AC16" s="77">
        <f t="shared" si="18"/>
        <v>0</v>
      </c>
      <c r="AD16" s="78"/>
      <c r="AE16" s="143"/>
      <c r="AF16" s="143"/>
      <c r="AG16" s="79">
        <f t="shared" si="19"/>
        <v>0</v>
      </c>
      <c r="AH16" s="75"/>
      <c r="AI16" s="76"/>
      <c r="AJ16" s="135"/>
      <c r="AK16" s="135"/>
      <c r="AL16" s="77">
        <f t="shared" si="20"/>
        <v>0</v>
      </c>
      <c r="AM16" s="76"/>
      <c r="AN16" s="142"/>
      <c r="AO16" s="142"/>
      <c r="AP16" s="77">
        <f t="shared" si="21"/>
        <v>0</v>
      </c>
      <c r="AQ16" s="78"/>
      <c r="AR16" s="142"/>
      <c r="AS16" s="142"/>
      <c r="AT16" s="79">
        <f t="shared" si="22"/>
        <v>0</v>
      </c>
      <c r="AU16" s="75"/>
      <c r="AV16" s="76"/>
      <c r="AW16" s="135"/>
      <c r="AX16" s="135"/>
      <c r="AY16" s="77">
        <f t="shared" si="23"/>
        <v>0</v>
      </c>
      <c r="AZ16" s="76"/>
      <c r="BA16" s="142"/>
      <c r="BB16" s="142"/>
      <c r="BC16" s="77">
        <f t="shared" si="24"/>
        <v>0</v>
      </c>
      <c r="BD16" s="78"/>
      <c r="BE16" s="142"/>
      <c r="BF16" s="142"/>
      <c r="BG16" s="79">
        <f t="shared" si="25"/>
        <v>0</v>
      </c>
      <c r="BH16" s="75"/>
      <c r="BI16" s="76"/>
      <c r="BJ16" s="135"/>
      <c r="BK16" s="135"/>
      <c r="BL16" s="77">
        <f t="shared" si="26"/>
        <v>0</v>
      </c>
      <c r="BM16" s="78"/>
      <c r="BN16" s="142"/>
      <c r="BO16" s="142"/>
      <c r="BP16" s="77">
        <f t="shared" si="27"/>
        <v>0</v>
      </c>
      <c r="BQ16" s="78"/>
      <c r="BR16" s="142"/>
      <c r="BS16" s="142"/>
      <c r="BT16" s="79">
        <f t="shared" si="28"/>
        <v>0</v>
      </c>
      <c r="BU16" s="75"/>
      <c r="BV16" s="76"/>
      <c r="BW16" s="135"/>
      <c r="BX16" s="135"/>
      <c r="BY16" s="77">
        <f t="shared" si="29"/>
        <v>0</v>
      </c>
      <c r="BZ16" s="78"/>
      <c r="CA16" s="142"/>
      <c r="CB16" s="142"/>
      <c r="CC16" s="77">
        <f t="shared" si="30"/>
        <v>0</v>
      </c>
      <c r="CD16" s="78"/>
      <c r="CE16" s="142"/>
      <c r="CF16" s="142"/>
      <c r="CG16" s="79">
        <f t="shared" si="31"/>
        <v>0</v>
      </c>
      <c r="CH16" s="75"/>
      <c r="CI16" s="76"/>
      <c r="CJ16" s="135"/>
      <c r="CK16" s="135"/>
      <c r="CL16" s="77">
        <f t="shared" si="32"/>
        <v>0</v>
      </c>
      <c r="CM16" s="78"/>
      <c r="CN16" s="142"/>
      <c r="CO16" s="142"/>
      <c r="CP16" s="77">
        <f t="shared" si="33"/>
        <v>0</v>
      </c>
      <c r="CQ16" s="78"/>
      <c r="CR16" s="142"/>
      <c r="CS16" s="142"/>
      <c r="CT16" s="79">
        <f t="shared" si="34"/>
        <v>0</v>
      </c>
      <c r="CU16" s="80">
        <f t="shared" si="35"/>
        <v>0</v>
      </c>
      <c r="CV16" s="81">
        <f t="shared" si="36"/>
        <v>0</v>
      </c>
      <c r="CW16" s="144"/>
      <c r="CX16" s="145">
        <f>IF(ISERROR(VLOOKUP($A16,FIJOS!$B$11:$O$590,14,FALSE)),0,VLOOKUP($A16,FIJOS!$B$11:$O$590,14,FALSE))</f>
        <v>0</v>
      </c>
      <c r="CY16" s="145">
        <f>IF(ISERROR(VLOOKUP(A16,FIJOS!$B$10:$P$590,15,FALSE)),0,VLOOKUP(A16,FIJOS!$B$10:$P$590,15,FALSE))</f>
        <v>0</v>
      </c>
      <c r="CZ16" s="155"/>
      <c r="DA16" s="146"/>
      <c r="DB16" s="147"/>
      <c r="DC16" s="147"/>
      <c r="DD16" s="147"/>
      <c r="DE16" s="147"/>
      <c r="DF16" s="145">
        <f>IF(ISERROR(VLOOKUP($A16,FIJOS!$B$11:$N$590,13,FALSE)),0,VLOOKUP($A16,FIJOS!$B$11:$N$590,13,FALSE))</f>
        <v>0</v>
      </c>
      <c r="DG16" s="145">
        <f>IF(ISERROR(VLOOKUP($A16,FIJOS!$B$11:$P$447,12,FALSE)),0,VLOOKUP($A16,FIJOS!$B$11:$P$447,12,FALSE))</f>
        <v>0</v>
      </c>
      <c r="DH16" s="82">
        <f t="shared" si="37"/>
        <v>0</v>
      </c>
      <c r="DI16" s="83" t="b">
        <f>IF($C16=1,(VLOOKUP($A16,FIJOS!$B$11:$P$545,10,FALSE)/7)*(7-$CU16),IF(AND($C16=2,CV16&lt;$DJ$1),(VLOOKUP($D16,HORAS!$B$4:$C$42,2,FALSE)*24)*$CV16,IF(AND($C16=2,CV16&gt;=$DJ$1),VLOOKUP($D16,HORAS!$B$4:$D$42,3,FALSE),IF(AND($C16=3,$CV16&gt;=$DJ$1),VLOOKUP($A16,FIJOS!$B$11:$P$545,10,FALSE),IF(AND($C16=3,$CV16&lt;$DJ$1),((VLOOKUP($A16,FIJOS!$B$11:$P$545,10,FALSE)/48)*24)*$CV16,IF(AND($C16=4,$CV16&gt;=(42/24)),VLOOKUP($D16,HORAS!$B$4:$D$42,3,FALSE),IF(AND($C16=5,$CV16&gt;=(36/24)),VLOOKUP($D16,HORAS!$B$4:$D$42,3,FALSE))))))))</f>
        <v>0</v>
      </c>
      <c r="DJ16" s="145">
        <f>IF(OR($C16=2),VLOOKUP($D16,HORAS!$B$4:$E$42,4,FALSE)*$EC16,IF(ISERROR(VLOOKUP($A16,FIJOS!$B$11:$P$108,9,FALSE)),0,VLOOKUP($A16,FIJOS!$B$11:$P$231,9,FALSE)*$EC16))</f>
        <v>0</v>
      </c>
      <c r="DK16" s="145">
        <f>IF(OR($C16=2),VLOOKUP($D16,HORAS!$B$4:$F$42,5,FALSE)*$EE16,IF(ISERROR(VLOOKUP($A16,FIJOS!$B$11:$P$108,9,FALSE)),0,VLOOKUP($A16,FIJOS!$B$11:$P$231,9,FALSE)*$EE16))</f>
        <v>0</v>
      </c>
      <c r="DL16" s="144"/>
      <c r="DM16" s="145">
        <f>IF(ISERROR(VLOOKUP($A16,FIJOS!$B$11:$L$646,11,FALSE)),0,VLOOKUP($A16,FIJOS!$B$11:$L$646,11,FALSE))</f>
        <v>0</v>
      </c>
      <c r="DN16" s="148" t="e">
        <f>IF(OR($C16=1,$C16=3),0,IF((VLOOKUP(CAPTURA!D16,HORAS!$B$4:$K$42,10,FALSE)/4)*COUNTIF($H16:$CT16,3)&gt;100,100,(VLOOKUP(CAPTURA!D16,HORAS!$B$4:$K$42,10,FALSE)/4)*COUNTIF($H16:$CT16,3)))</f>
        <v>#N/A</v>
      </c>
      <c r="DO16" s="144" t="e">
        <f>IF(OR($C16=1,$C16=3),0,IF($C16=5,VLOOKUP(D16,HORAS!$B$4:$G$42,6,FALSE),IF(AND($C16=4,$CV16&gt;=(42/24)),VLOOKUP(D16,HORAS!$B$4:$G$42,6,FALSE),IF(COUNTIF($H16:$CL16,"F")&gt;0,0,IF(CV16&gt;$DJ$1,$DJ$1*(VLOOKUP(D16,HORAS!$B$4:$G$42,6,FALSE)/$DJ$1),CV16*(VLOOKUP(D16,HORAS!$B$4:$G$42,6,FALSE)/$DJ$1))))))</f>
        <v>#N/A</v>
      </c>
      <c r="DP16" s="156"/>
      <c r="DQ16" s="148"/>
      <c r="DR16" s="148"/>
      <c r="DS16" s="83" t="e">
        <f t="shared" si="38"/>
        <v>#N/A</v>
      </c>
      <c r="DT16" s="84"/>
      <c r="DU16" s="149" t="e">
        <f t="shared" si="39"/>
        <v>#N/A</v>
      </c>
      <c r="DV16" s="149" t="e">
        <f t="shared" si="40"/>
        <v>#N/A</v>
      </c>
      <c r="DW16" s="144" t="e">
        <f t="shared" si="41"/>
        <v>#N/A</v>
      </c>
      <c r="DX16" s="134"/>
      <c r="DY16" s="29"/>
      <c r="DZ16" s="150"/>
      <c r="EA16" s="134"/>
      <c r="EB16" s="137">
        <f t="shared" si="11"/>
        <v>0</v>
      </c>
      <c r="EC16" s="138">
        <f t="shared" si="9"/>
        <v>0</v>
      </c>
      <c r="ED16" s="137">
        <f t="shared" si="12"/>
        <v>0</v>
      </c>
      <c r="EE16" s="132">
        <f t="shared" si="10"/>
        <v>0</v>
      </c>
      <c r="EF16" s="29"/>
      <c r="EG16" s="134"/>
      <c r="EH16" s="134"/>
      <c r="EI16" s="29"/>
      <c r="EJ16" s="134"/>
    </row>
    <row r="17" spans="1:140" ht="15" customHeight="1" x14ac:dyDescent="0.25">
      <c r="A17" s="140"/>
      <c r="B17" s="5"/>
      <c r="C17" s="72"/>
      <c r="D17" s="73"/>
      <c r="E17" s="73"/>
      <c r="F17" s="141"/>
      <c r="G17" s="74"/>
      <c r="H17" s="75"/>
      <c r="I17" s="76"/>
      <c r="J17" s="135"/>
      <c r="K17" s="135"/>
      <c r="L17" s="77">
        <f t="shared" si="14"/>
        <v>0</v>
      </c>
      <c r="M17" s="78"/>
      <c r="N17" s="142"/>
      <c r="O17" s="142"/>
      <c r="P17" s="77">
        <f t="shared" si="15"/>
        <v>0</v>
      </c>
      <c r="Q17" s="78"/>
      <c r="R17" s="143"/>
      <c r="S17" s="143"/>
      <c r="T17" s="77">
        <f t="shared" si="16"/>
        <v>0</v>
      </c>
      <c r="U17" s="75"/>
      <c r="V17" s="76"/>
      <c r="W17" s="135"/>
      <c r="X17" s="135"/>
      <c r="Y17" s="77">
        <f t="shared" si="17"/>
        <v>0</v>
      </c>
      <c r="Z17" s="78"/>
      <c r="AA17" s="142"/>
      <c r="AB17" s="142"/>
      <c r="AC17" s="77">
        <f t="shared" si="18"/>
        <v>0</v>
      </c>
      <c r="AD17" s="78"/>
      <c r="AE17" s="143"/>
      <c r="AF17" s="143"/>
      <c r="AG17" s="79">
        <f t="shared" si="19"/>
        <v>0</v>
      </c>
      <c r="AH17" s="75"/>
      <c r="AI17" s="76"/>
      <c r="AJ17" s="135"/>
      <c r="AK17" s="135"/>
      <c r="AL17" s="77">
        <f t="shared" si="20"/>
        <v>0</v>
      </c>
      <c r="AM17" s="76"/>
      <c r="AN17" s="142"/>
      <c r="AO17" s="142"/>
      <c r="AP17" s="77">
        <f t="shared" si="21"/>
        <v>0</v>
      </c>
      <c r="AQ17" s="78"/>
      <c r="AR17" s="142"/>
      <c r="AS17" s="142"/>
      <c r="AT17" s="79">
        <f t="shared" si="22"/>
        <v>0</v>
      </c>
      <c r="AU17" s="75"/>
      <c r="AV17" s="76"/>
      <c r="AW17" s="135"/>
      <c r="AX17" s="135"/>
      <c r="AY17" s="77">
        <f t="shared" si="23"/>
        <v>0</v>
      </c>
      <c r="AZ17" s="76"/>
      <c r="BA17" s="142"/>
      <c r="BB17" s="142"/>
      <c r="BC17" s="77">
        <f t="shared" si="24"/>
        <v>0</v>
      </c>
      <c r="BD17" s="78"/>
      <c r="BE17" s="142"/>
      <c r="BF17" s="142"/>
      <c r="BG17" s="79">
        <f t="shared" si="25"/>
        <v>0</v>
      </c>
      <c r="BH17" s="75"/>
      <c r="BI17" s="76"/>
      <c r="BJ17" s="135"/>
      <c r="BK17" s="135"/>
      <c r="BL17" s="77">
        <f t="shared" si="26"/>
        <v>0</v>
      </c>
      <c r="BM17" s="78"/>
      <c r="BN17" s="142"/>
      <c r="BO17" s="142"/>
      <c r="BP17" s="77">
        <f t="shared" si="27"/>
        <v>0</v>
      </c>
      <c r="BQ17" s="78"/>
      <c r="BR17" s="142"/>
      <c r="BS17" s="142"/>
      <c r="BT17" s="79">
        <f t="shared" si="28"/>
        <v>0</v>
      </c>
      <c r="BU17" s="75"/>
      <c r="BV17" s="76"/>
      <c r="BW17" s="135"/>
      <c r="BX17" s="135"/>
      <c r="BY17" s="77">
        <f t="shared" si="29"/>
        <v>0</v>
      </c>
      <c r="BZ17" s="78"/>
      <c r="CA17" s="142"/>
      <c r="CB17" s="142"/>
      <c r="CC17" s="77">
        <f t="shared" si="30"/>
        <v>0</v>
      </c>
      <c r="CD17" s="78"/>
      <c r="CE17" s="142"/>
      <c r="CF17" s="142"/>
      <c r="CG17" s="79">
        <f t="shared" si="31"/>
        <v>0</v>
      </c>
      <c r="CH17" s="75"/>
      <c r="CI17" s="76"/>
      <c r="CJ17" s="135"/>
      <c r="CK17" s="135"/>
      <c r="CL17" s="77">
        <f t="shared" si="32"/>
        <v>0</v>
      </c>
      <c r="CM17" s="78"/>
      <c r="CN17" s="142"/>
      <c r="CO17" s="142"/>
      <c r="CP17" s="77">
        <f t="shared" si="33"/>
        <v>0</v>
      </c>
      <c r="CQ17" s="78"/>
      <c r="CR17" s="142"/>
      <c r="CS17" s="142"/>
      <c r="CT17" s="79">
        <f t="shared" si="34"/>
        <v>0</v>
      </c>
      <c r="CU17" s="80">
        <f t="shared" si="35"/>
        <v>0</v>
      </c>
      <c r="CV17" s="81">
        <f t="shared" si="36"/>
        <v>0</v>
      </c>
      <c r="CW17" s="144"/>
      <c r="CX17" s="145">
        <f>IF(ISERROR(VLOOKUP($A17,FIJOS!$B$11:$O$590,14,FALSE)),0,VLOOKUP($A17,FIJOS!$B$11:$O$590,14,FALSE))</f>
        <v>0</v>
      </c>
      <c r="CY17" s="145">
        <f>IF(ISERROR(VLOOKUP(A17,FIJOS!$B$10:$P$590,15,FALSE)),0,VLOOKUP(A17,FIJOS!$B$10:$P$590,15,FALSE))</f>
        <v>0</v>
      </c>
      <c r="CZ17" s="155"/>
      <c r="DA17" s="146"/>
      <c r="DB17" s="147"/>
      <c r="DC17" s="147"/>
      <c r="DD17" s="147"/>
      <c r="DE17" s="147"/>
      <c r="DF17" s="145">
        <f>IF(ISERROR(VLOOKUP($A17,FIJOS!$B$11:$N$590,13,FALSE)),0,VLOOKUP($A17,FIJOS!$B$11:$N$590,13,FALSE))</f>
        <v>0</v>
      </c>
      <c r="DG17" s="145">
        <f>IF(ISERROR(VLOOKUP($A17,FIJOS!$B$11:$P$447,12,FALSE)),0,VLOOKUP($A17,FIJOS!$B$11:$P$447,12,FALSE))</f>
        <v>0</v>
      </c>
      <c r="DH17" s="82">
        <f t="shared" si="37"/>
        <v>0</v>
      </c>
      <c r="DI17" s="83" t="b">
        <f>IF($C17=1,(VLOOKUP($A17,FIJOS!$B$11:$P$545,10,FALSE)/7)*(7-$CU17),IF(AND($C17=2,CV17&lt;$DJ$1),(VLOOKUP($D17,HORAS!$B$4:$C$42,2,FALSE)*24)*$CV17,IF(AND($C17=2,CV17&gt;=$DJ$1),VLOOKUP($D17,HORAS!$B$4:$D$42,3,FALSE),IF(AND($C17=3,$CV17&gt;=$DJ$1),VLOOKUP($A17,FIJOS!$B$11:$P$545,10,FALSE),IF(AND($C17=3,$CV17&lt;$DJ$1),((VLOOKUP($A17,FIJOS!$B$11:$P$545,10,FALSE)/48)*24)*$CV17,IF(AND($C17=4,$CV17&gt;=(42/24)),VLOOKUP($D17,HORAS!$B$4:$D$42,3,FALSE),IF(AND($C17=5,$CV17&gt;=(36/24)),VLOOKUP($D17,HORAS!$B$4:$D$42,3,FALSE))))))))</f>
        <v>0</v>
      </c>
      <c r="DJ17" s="145">
        <f>IF(OR($C17=2),VLOOKUP($D17,HORAS!$B$4:$E$42,4,FALSE)*$EC17,IF(ISERROR(VLOOKUP($A17,FIJOS!$B$11:$P$108,9,FALSE)),0,VLOOKUP($A17,FIJOS!$B$11:$P$231,9,FALSE)*$EC17))</f>
        <v>0</v>
      </c>
      <c r="DK17" s="145">
        <f>IF(OR($C17=2),VLOOKUP($D17,HORAS!$B$4:$F$42,5,FALSE)*$EE17,IF(ISERROR(VLOOKUP($A17,FIJOS!$B$11:$P$108,9,FALSE)),0,VLOOKUP($A17,FIJOS!$B$11:$P$231,9,FALSE)*$EE17))</f>
        <v>0</v>
      </c>
      <c r="DL17" s="144"/>
      <c r="DM17" s="145">
        <f>IF(ISERROR(VLOOKUP($A17,FIJOS!$B$11:$L$646,11,FALSE)),0,VLOOKUP($A17,FIJOS!$B$11:$L$646,11,FALSE))</f>
        <v>0</v>
      </c>
      <c r="DN17" s="148" t="e">
        <f>IF(OR($C17=1,$C17=3),0,IF((VLOOKUP(CAPTURA!D17,HORAS!$B$4:$K$42,10,FALSE)/4)*COUNTIF($H17:$CT17,3)&gt;100,100,(VLOOKUP(CAPTURA!D17,HORAS!$B$4:$K$42,10,FALSE)/4)*COUNTIF($H17:$CT17,3)))</f>
        <v>#N/A</v>
      </c>
      <c r="DO17" s="144" t="e">
        <f>IF(OR($C17=1,$C17=3),0,IF($C17=5,VLOOKUP(D17,HORAS!$B$4:$G$42,6,FALSE),IF(AND($C17=4,$CV17&gt;=(42/24)),VLOOKUP(D17,HORAS!$B$4:$G$42,6,FALSE),IF(COUNTIF($H17:$CL17,"F")&gt;0,0,IF(CV17&gt;$DJ$1,$DJ$1*(VLOOKUP(D17,HORAS!$B$4:$G$42,6,FALSE)/$DJ$1),CV17*(VLOOKUP(D17,HORAS!$B$4:$G$42,6,FALSE)/$DJ$1))))))</f>
        <v>#N/A</v>
      </c>
      <c r="DP17" s="156"/>
      <c r="DQ17" s="148"/>
      <c r="DR17" s="148"/>
      <c r="DS17" s="83" t="e">
        <f t="shared" si="38"/>
        <v>#N/A</v>
      </c>
      <c r="DT17" s="84"/>
      <c r="DU17" s="149" t="e">
        <f t="shared" si="39"/>
        <v>#N/A</v>
      </c>
      <c r="DV17" s="149" t="e">
        <f t="shared" si="40"/>
        <v>#N/A</v>
      </c>
      <c r="DW17" s="144" t="e">
        <f t="shared" si="41"/>
        <v>#N/A</v>
      </c>
      <c r="DX17" s="134"/>
      <c r="DY17" s="29"/>
      <c r="DZ17" s="150"/>
      <c r="EA17" s="134"/>
      <c r="EB17" s="137">
        <f t="shared" si="11"/>
        <v>0</v>
      </c>
      <c r="EC17" s="138">
        <f t="shared" si="9"/>
        <v>0</v>
      </c>
      <c r="ED17" s="137">
        <f t="shared" si="12"/>
        <v>0</v>
      </c>
      <c r="EE17" s="132">
        <f t="shared" si="10"/>
        <v>0</v>
      </c>
      <c r="EF17" s="29"/>
      <c r="EG17" s="134"/>
      <c r="EH17" s="134"/>
      <c r="EI17" s="29"/>
      <c r="EJ17" s="134"/>
    </row>
    <row r="18" spans="1:140" ht="15" customHeight="1" x14ac:dyDescent="0.25">
      <c r="A18" s="140"/>
      <c r="B18" s="5"/>
      <c r="C18" s="72"/>
      <c r="D18" s="73"/>
      <c r="E18" s="73"/>
      <c r="F18" s="141"/>
      <c r="G18" s="74"/>
      <c r="H18" s="75"/>
      <c r="I18" s="76"/>
      <c r="J18" s="135"/>
      <c r="K18" s="135"/>
      <c r="L18" s="77">
        <f t="shared" si="14"/>
        <v>0</v>
      </c>
      <c r="M18" s="78"/>
      <c r="N18" s="142"/>
      <c r="O18" s="142"/>
      <c r="P18" s="77">
        <f t="shared" si="15"/>
        <v>0</v>
      </c>
      <c r="Q18" s="78"/>
      <c r="R18" s="143"/>
      <c r="S18" s="143"/>
      <c r="T18" s="77">
        <f t="shared" si="16"/>
        <v>0</v>
      </c>
      <c r="U18" s="75"/>
      <c r="V18" s="76"/>
      <c r="W18" s="135"/>
      <c r="X18" s="135"/>
      <c r="Y18" s="77">
        <f t="shared" si="17"/>
        <v>0</v>
      </c>
      <c r="Z18" s="78"/>
      <c r="AA18" s="142"/>
      <c r="AB18" s="142"/>
      <c r="AC18" s="77">
        <f t="shared" si="18"/>
        <v>0</v>
      </c>
      <c r="AD18" s="78"/>
      <c r="AE18" s="143"/>
      <c r="AF18" s="143"/>
      <c r="AG18" s="79">
        <f t="shared" si="19"/>
        <v>0</v>
      </c>
      <c r="AH18" s="75"/>
      <c r="AI18" s="76"/>
      <c r="AJ18" s="135"/>
      <c r="AK18" s="135"/>
      <c r="AL18" s="77">
        <f t="shared" si="20"/>
        <v>0</v>
      </c>
      <c r="AM18" s="76"/>
      <c r="AN18" s="142"/>
      <c r="AO18" s="142"/>
      <c r="AP18" s="77">
        <f t="shared" si="21"/>
        <v>0</v>
      </c>
      <c r="AQ18" s="78"/>
      <c r="AR18" s="142"/>
      <c r="AS18" s="142"/>
      <c r="AT18" s="79">
        <f t="shared" si="22"/>
        <v>0</v>
      </c>
      <c r="AU18" s="75"/>
      <c r="AV18" s="76"/>
      <c r="AW18" s="135"/>
      <c r="AX18" s="135"/>
      <c r="AY18" s="77">
        <f t="shared" si="23"/>
        <v>0</v>
      </c>
      <c r="AZ18" s="76"/>
      <c r="BA18" s="142"/>
      <c r="BB18" s="142"/>
      <c r="BC18" s="77">
        <f t="shared" si="24"/>
        <v>0</v>
      </c>
      <c r="BD18" s="78"/>
      <c r="BE18" s="142"/>
      <c r="BF18" s="142"/>
      <c r="BG18" s="79">
        <f t="shared" si="25"/>
        <v>0</v>
      </c>
      <c r="BH18" s="75"/>
      <c r="BI18" s="76"/>
      <c r="BJ18" s="135"/>
      <c r="BK18" s="135"/>
      <c r="BL18" s="77">
        <f t="shared" si="26"/>
        <v>0</v>
      </c>
      <c r="BM18" s="78"/>
      <c r="BN18" s="142"/>
      <c r="BO18" s="142"/>
      <c r="BP18" s="77">
        <f t="shared" si="27"/>
        <v>0</v>
      </c>
      <c r="BQ18" s="78"/>
      <c r="BR18" s="142"/>
      <c r="BS18" s="142"/>
      <c r="BT18" s="79">
        <f t="shared" si="28"/>
        <v>0</v>
      </c>
      <c r="BU18" s="75"/>
      <c r="BV18" s="76"/>
      <c r="BW18" s="135"/>
      <c r="BX18" s="135"/>
      <c r="BY18" s="77">
        <f t="shared" si="29"/>
        <v>0</v>
      </c>
      <c r="BZ18" s="78"/>
      <c r="CA18" s="142"/>
      <c r="CB18" s="142"/>
      <c r="CC18" s="77">
        <f t="shared" si="30"/>
        <v>0</v>
      </c>
      <c r="CD18" s="78"/>
      <c r="CE18" s="142"/>
      <c r="CF18" s="142"/>
      <c r="CG18" s="79">
        <f t="shared" si="31"/>
        <v>0</v>
      </c>
      <c r="CH18" s="75"/>
      <c r="CI18" s="76"/>
      <c r="CJ18" s="135"/>
      <c r="CK18" s="135"/>
      <c r="CL18" s="77">
        <f t="shared" si="32"/>
        <v>0</v>
      </c>
      <c r="CM18" s="78"/>
      <c r="CN18" s="142"/>
      <c r="CO18" s="142"/>
      <c r="CP18" s="77">
        <f t="shared" si="33"/>
        <v>0</v>
      </c>
      <c r="CQ18" s="78"/>
      <c r="CR18" s="142"/>
      <c r="CS18" s="142"/>
      <c r="CT18" s="79">
        <f t="shared" si="34"/>
        <v>0</v>
      </c>
      <c r="CU18" s="80">
        <f t="shared" si="35"/>
        <v>0</v>
      </c>
      <c r="CV18" s="81">
        <f t="shared" si="36"/>
        <v>0</v>
      </c>
      <c r="CW18" s="144"/>
      <c r="CX18" s="145">
        <f>IF(ISERROR(VLOOKUP($A18,FIJOS!$B$11:$O$590,14,FALSE)),0,VLOOKUP($A18,FIJOS!$B$11:$O$590,14,FALSE))</f>
        <v>0</v>
      </c>
      <c r="CY18" s="145">
        <f>IF(ISERROR(VLOOKUP(A18,FIJOS!$B$10:$P$590,15,FALSE)),0,VLOOKUP(A18,FIJOS!$B$10:$P$590,15,FALSE))</f>
        <v>0</v>
      </c>
      <c r="CZ18" s="155"/>
      <c r="DA18" s="146"/>
      <c r="DB18" s="147"/>
      <c r="DC18" s="147"/>
      <c r="DD18" s="147"/>
      <c r="DE18" s="147"/>
      <c r="DF18" s="145">
        <f>IF(ISERROR(VLOOKUP($A18,FIJOS!$B$11:$N$590,13,FALSE)),0,VLOOKUP($A18,FIJOS!$B$11:$N$590,13,FALSE))</f>
        <v>0</v>
      </c>
      <c r="DG18" s="145">
        <f>IF(ISERROR(VLOOKUP($A18,FIJOS!$B$11:$P$447,12,FALSE)),0,VLOOKUP($A18,FIJOS!$B$11:$P$447,12,FALSE))</f>
        <v>0</v>
      </c>
      <c r="DH18" s="82">
        <f t="shared" si="37"/>
        <v>0</v>
      </c>
      <c r="DI18" s="83" t="b">
        <f>IF($C18=1,(VLOOKUP($A18,FIJOS!$B$11:$P$545,10,FALSE)/7)*(7-$CU18),IF(AND($C18=2,CV18&lt;$DJ$1),(VLOOKUP($D18,HORAS!$B$4:$C$42,2,FALSE)*24)*$CV18,IF(AND($C18=2,CV18&gt;=$DJ$1),VLOOKUP($D18,HORAS!$B$4:$D$42,3,FALSE),IF(AND($C18=3,$CV18&gt;=$DJ$1),VLOOKUP($A18,FIJOS!$B$11:$P$545,10,FALSE),IF(AND($C18=3,$CV18&lt;$DJ$1),((VLOOKUP($A18,FIJOS!$B$11:$P$545,10,FALSE)/48)*24)*$CV18,IF(AND($C18=4,$CV18&gt;=(42/24)),VLOOKUP($D18,HORAS!$B$4:$D$42,3,FALSE),IF(AND($C18=5,$CV18&gt;=(36/24)),VLOOKUP($D18,HORAS!$B$4:$D$42,3,FALSE))))))))</f>
        <v>0</v>
      </c>
      <c r="DJ18" s="145">
        <f>IF(OR($C18=2),VLOOKUP($D18,HORAS!$B$4:$E$42,4,FALSE)*$EC18,IF(ISERROR(VLOOKUP($A18,FIJOS!$B$11:$P$108,9,FALSE)),0,VLOOKUP($A18,FIJOS!$B$11:$P$231,9,FALSE)*$EC18))</f>
        <v>0</v>
      </c>
      <c r="DK18" s="145">
        <f>IF(OR($C18=2),VLOOKUP($D18,HORAS!$B$4:$F$42,5,FALSE)*$EE18,IF(ISERROR(VLOOKUP($A18,FIJOS!$B$11:$P$108,9,FALSE)),0,VLOOKUP($A18,FIJOS!$B$11:$P$231,9,FALSE)*$EE18))</f>
        <v>0</v>
      </c>
      <c r="DL18" s="144"/>
      <c r="DM18" s="145">
        <f>IF(ISERROR(VLOOKUP($A18,FIJOS!$B$11:$L$646,11,FALSE)),0,VLOOKUP($A18,FIJOS!$B$11:$L$646,11,FALSE))</f>
        <v>0</v>
      </c>
      <c r="DN18" s="148" t="e">
        <f>IF(OR($C18=1,$C18=3),0,IF((VLOOKUP(CAPTURA!D18,HORAS!$B$4:$K$42,10,FALSE)/4)*COUNTIF($H18:$CT18,3)&gt;100,100,(VLOOKUP(CAPTURA!D18,HORAS!$B$4:$K$42,10,FALSE)/4)*COUNTIF($H18:$CT18,3)))</f>
        <v>#N/A</v>
      </c>
      <c r="DO18" s="144" t="e">
        <f>IF(OR($C18=1,$C18=3),0,IF($C18=5,VLOOKUP(D18,HORAS!$B$4:$G$42,6,FALSE),IF(AND($C18=4,$CV18&gt;=(42/24)),VLOOKUP(D18,HORAS!$B$4:$G$42,6,FALSE),IF(COUNTIF($H18:$CL18,"F")&gt;0,0,IF(CV18&gt;$DJ$1,$DJ$1*(VLOOKUP(D18,HORAS!$B$4:$G$42,6,FALSE)/$DJ$1),CV18*(VLOOKUP(D18,HORAS!$B$4:$G$42,6,FALSE)/$DJ$1))))))</f>
        <v>#N/A</v>
      </c>
      <c r="DP18" s="156"/>
      <c r="DQ18" s="148"/>
      <c r="DR18" s="148"/>
      <c r="DS18" s="83" t="e">
        <f t="shared" si="38"/>
        <v>#N/A</v>
      </c>
      <c r="DT18" s="84"/>
      <c r="DU18" s="149" t="e">
        <f t="shared" si="39"/>
        <v>#N/A</v>
      </c>
      <c r="DV18" s="149" t="e">
        <f t="shared" si="40"/>
        <v>#N/A</v>
      </c>
      <c r="DW18" s="144" t="e">
        <f t="shared" si="41"/>
        <v>#N/A</v>
      </c>
      <c r="DX18" s="134"/>
      <c r="DY18" s="29"/>
      <c r="DZ18" s="150"/>
      <c r="EA18" s="134"/>
      <c r="EB18" s="137">
        <f t="shared" si="11"/>
        <v>0</v>
      </c>
      <c r="EC18" s="138">
        <f t="shared" si="9"/>
        <v>0</v>
      </c>
      <c r="ED18" s="137">
        <f t="shared" si="12"/>
        <v>0</v>
      </c>
      <c r="EE18" s="132">
        <f t="shared" si="10"/>
        <v>0</v>
      </c>
      <c r="EF18" s="29"/>
      <c r="EG18" s="134"/>
      <c r="EH18" s="134"/>
      <c r="EI18" s="29"/>
      <c r="EJ18" s="134"/>
    </row>
    <row r="19" spans="1:140" ht="15" customHeight="1" x14ac:dyDescent="0.25">
      <c r="A19" s="140"/>
      <c r="B19" s="5"/>
      <c r="C19" s="72"/>
      <c r="D19" s="73"/>
      <c r="E19" s="73"/>
      <c r="F19" s="141"/>
      <c r="G19" s="74"/>
      <c r="H19" s="75"/>
      <c r="I19" s="76"/>
      <c r="J19" s="135"/>
      <c r="K19" s="135"/>
      <c r="L19" s="77">
        <f t="shared" si="14"/>
        <v>0</v>
      </c>
      <c r="M19" s="78"/>
      <c r="N19" s="142"/>
      <c r="O19" s="142"/>
      <c r="P19" s="77">
        <f t="shared" si="15"/>
        <v>0</v>
      </c>
      <c r="Q19" s="78"/>
      <c r="R19" s="143"/>
      <c r="S19" s="143"/>
      <c r="T19" s="77">
        <f t="shared" si="16"/>
        <v>0</v>
      </c>
      <c r="U19" s="75"/>
      <c r="V19" s="76"/>
      <c r="W19" s="135"/>
      <c r="X19" s="135"/>
      <c r="Y19" s="77">
        <f t="shared" si="17"/>
        <v>0</v>
      </c>
      <c r="Z19" s="78"/>
      <c r="AA19" s="142"/>
      <c r="AB19" s="142"/>
      <c r="AC19" s="77">
        <f t="shared" si="18"/>
        <v>0</v>
      </c>
      <c r="AD19" s="78"/>
      <c r="AE19" s="143"/>
      <c r="AF19" s="143"/>
      <c r="AG19" s="79">
        <f t="shared" si="19"/>
        <v>0</v>
      </c>
      <c r="AH19" s="75"/>
      <c r="AI19" s="76"/>
      <c r="AJ19" s="135"/>
      <c r="AK19" s="135"/>
      <c r="AL19" s="77">
        <f t="shared" si="20"/>
        <v>0</v>
      </c>
      <c r="AM19" s="76"/>
      <c r="AN19" s="142"/>
      <c r="AO19" s="142"/>
      <c r="AP19" s="77">
        <f t="shared" si="21"/>
        <v>0</v>
      </c>
      <c r="AQ19" s="78"/>
      <c r="AR19" s="142"/>
      <c r="AS19" s="142"/>
      <c r="AT19" s="79">
        <f t="shared" si="22"/>
        <v>0</v>
      </c>
      <c r="AU19" s="75"/>
      <c r="AV19" s="76"/>
      <c r="AW19" s="135"/>
      <c r="AX19" s="135"/>
      <c r="AY19" s="77">
        <f t="shared" si="23"/>
        <v>0</v>
      </c>
      <c r="AZ19" s="76"/>
      <c r="BA19" s="142"/>
      <c r="BB19" s="142"/>
      <c r="BC19" s="77">
        <f t="shared" si="24"/>
        <v>0</v>
      </c>
      <c r="BD19" s="78"/>
      <c r="BE19" s="142"/>
      <c r="BF19" s="142"/>
      <c r="BG19" s="79">
        <f t="shared" si="25"/>
        <v>0</v>
      </c>
      <c r="BH19" s="75"/>
      <c r="BI19" s="76"/>
      <c r="BJ19" s="135"/>
      <c r="BK19" s="135"/>
      <c r="BL19" s="77">
        <f t="shared" si="26"/>
        <v>0</v>
      </c>
      <c r="BM19" s="78"/>
      <c r="BN19" s="142"/>
      <c r="BO19" s="142"/>
      <c r="BP19" s="77">
        <f t="shared" si="27"/>
        <v>0</v>
      </c>
      <c r="BQ19" s="78"/>
      <c r="BR19" s="142"/>
      <c r="BS19" s="142"/>
      <c r="BT19" s="79">
        <f t="shared" si="28"/>
        <v>0</v>
      </c>
      <c r="BU19" s="75"/>
      <c r="BV19" s="76"/>
      <c r="BW19" s="135"/>
      <c r="BX19" s="135"/>
      <c r="BY19" s="77">
        <f t="shared" si="29"/>
        <v>0</v>
      </c>
      <c r="BZ19" s="78"/>
      <c r="CA19" s="142"/>
      <c r="CB19" s="142"/>
      <c r="CC19" s="77">
        <f t="shared" si="30"/>
        <v>0</v>
      </c>
      <c r="CD19" s="78"/>
      <c r="CE19" s="142"/>
      <c r="CF19" s="142"/>
      <c r="CG19" s="79">
        <f t="shared" si="31"/>
        <v>0</v>
      </c>
      <c r="CH19" s="75"/>
      <c r="CI19" s="76"/>
      <c r="CJ19" s="135"/>
      <c r="CK19" s="135"/>
      <c r="CL19" s="77">
        <f t="shared" si="32"/>
        <v>0</v>
      </c>
      <c r="CM19" s="78"/>
      <c r="CN19" s="142"/>
      <c r="CO19" s="142"/>
      <c r="CP19" s="77">
        <f t="shared" si="33"/>
        <v>0</v>
      </c>
      <c r="CQ19" s="78"/>
      <c r="CR19" s="142"/>
      <c r="CS19" s="142"/>
      <c r="CT19" s="79">
        <f t="shared" si="34"/>
        <v>0</v>
      </c>
      <c r="CU19" s="80">
        <f t="shared" si="35"/>
        <v>0</v>
      </c>
      <c r="CV19" s="81">
        <f t="shared" si="36"/>
        <v>0</v>
      </c>
      <c r="CW19" s="144"/>
      <c r="CX19" s="145">
        <f>IF(ISERROR(VLOOKUP($A19,FIJOS!$B$11:$O$590,14,FALSE)),0,VLOOKUP($A19,FIJOS!$B$11:$O$590,14,FALSE))</f>
        <v>0</v>
      </c>
      <c r="CY19" s="145">
        <f>IF(ISERROR(VLOOKUP(A19,FIJOS!$B$10:$P$590,15,FALSE)),0,VLOOKUP(A19,FIJOS!$B$10:$P$590,15,FALSE))</f>
        <v>0</v>
      </c>
      <c r="CZ19" s="155"/>
      <c r="DA19" s="146"/>
      <c r="DB19" s="147"/>
      <c r="DC19" s="147"/>
      <c r="DD19" s="147"/>
      <c r="DE19" s="147"/>
      <c r="DF19" s="145">
        <f>IF(ISERROR(VLOOKUP($A19,FIJOS!$B$11:$N$590,13,FALSE)),0,VLOOKUP($A19,FIJOS!$B$11:$N$590,13,FALSE))</f>
        <v>0</v>
      </c>
      <c r="DG19" s="145">
        <f>IF(ISERROR(VLOOKUP($A19,FIJOS!$B$11:$P$447,12,FALSE)),0,VLOOKUP($A19,FIJOS!$B$11:$P$447,12,FALSE))</f>
        <v>0</v>
      </c>
      <c r="DH19" s="82">
        <f t="shared" si="37"/>
        <v>0</v>
      </c>
      <c r="DI19" s="83" t="b">
        <f>IF($C19=1,(VLOOKUP($A19,FIJOS!$B$11:$P$545,10,FALSE)/7)*(7-$CU19),IF(AND($C19=2,CV19&lt;$DJ$1),(VLOOKUP($D19,HORAS!$B$4:$C$42,2,FALSE)*24)*$CV19,IF(AND($C19=2,CV19&gt;=$DJ$1),VLOOKUP($D19,HORAS!$B$4:$D$42,3,FALSE),IF(AND($C19=3,$CV19&gt;=$DJ$1),VLOOKUP($A19,FIJOS!$B$11:$P$545,10,FALSE),IF(AND($C19=3,$CV19&lt;$DJ$1),((VLOOKUP($A19,FIJOS!$B$11:$P$545,10,FALSE)/48)*24)*$CV19,IF(AND($C19=4,$CV19&gt;=(42/24)),VLOOKUP($D19,HORAS!$B$4:$D$42,3,FALSE),IF(AND($C19=5,$CV19&gt;=(36/24)),VLOOKUP($D19,HORAS!$B$4:$D$42,3,FALSE))))))))</f>
        <v>0</v>
      </c>
      <c r="DJ19" s="145">
        <f>IF(OR($C19=2),VLOOKUP($D19,HORAS!$B$4:$E$42,4,FALSE)*$EC19,IF(ISERROR(VLOOKUP($A19,FIJOS!$B$11:$P$108,9,FALSE)),0,VLOOKUP($A19,FIJOS!$B$11:$P$231,9,FALSE)*$EC19))</f>
        <v>0</v>
      </c>
      <c r="DK19" s="145">
        <f>IF(OR($C19=2),VLOOKUP($D19,HORAS!$B$4:$F$42,5,FALSE)*$EE19,IF(ISERROR(VLOOKUP($A19,FIJOS!$B$11:$P$108,9,FALSE)),0,VLOOKUP($A19,FIJOS!$B$11:$P$231,9,FALSE)*$EE19))</f>
        <v>0</v>
      </c>
      <c r="DL19" s="144"/>
      <c r="DM19" s="145">
        <f>IF(ISERROR(VLOOKUP($A19,FIJOS!$B$11:$L$646,11,FALSE)),0,VLOOKUP($A19,FIJOS!$B$11:$L$646,11,FALSE))</f>
        <v>0</v>
      </c>
      <c r="DN19" s="148" t="e">
        <f>IF(OR($C19=1,$C19=3),0,IF((VLOOKUP(CAPTURA!D19,HORAS!$B$4:$K$42,10,FALSE)/4)*COUNTIF($H19:$CT19,3)&gt;100,100,(VLOOKUP(CAPTURA!D19,HORAS!$B$4:$K$42,10,FALSE)/4)*COUNTIF($H19:$CT19,3)))</f>
        <v>#N/A</v>
      </c>
      <c r="DO19" s="144" t="e">
        <f>IF(OR($C19=1,$C19=3),0,IF($C19=5,VLOOKUP(D19,HORAS!$B$4:$G$42,6,FALSE),IF(AND($C19=4,$CV19&gt;=(42/24)),VLOOKUP(D19,HORAS!$B$4:$G$42,6,FALSE),IF(COUNTIF($H19:$CL19,"F")&gt;0,0,IF(CV19&gt;$DJ$1,$DJ$1*(VLOOKUP(D19,HORAS!$B$4:$G$42,6,FALSE)/$DJ$1),CV19*(VLOOKUP(D19,HORAS!$B$4:$G$42,6,FALSE)/$DJ$1))))))</f>
        <v>#N/A</v>
      </c>
      <c r="DP19" s="156"/>
      <c r="DQ19" s="148"/>
      <c r="DR19" s="148"/>
      <c r="DS19" s="83" t="e">
        <f t="shared" si="38"/>
        <v>#N/A</v>
      </c>
      <c r="DT19" s="84"/>
      <c r="DU19" s="149" t="e">
        <f t="shared" si="39"/>
        <v>#N/A</v>
      </c>
      <c r="DV19" s="149" t="e">
        <f t="shared" si="40"/>
        <v>#N/A</v>
      </c>
      <c r="DW19" s="144" t="e">
        <f t="shared" si="41"/>
        <v>#N/A</v>
      </c>
      <c r="DX19" s="134"/>
      <c r="DY19" s="29"/>
      <c r="DZ19" s="150"/>
      <c r="EA19" s="134"/>
      <c r="EB19" s="137">
        <f t="shared" si="11"/>
        <v>0</v>
      </c>
      <c r="EC19" s="138">
        <f t="shared" si="9"/>
        <v>0</v>
      </c>
      <c r="ED19" s="137">
        <f t="shared" si="12"/>
        <v>0</v>
      </c>
      <c r="EE19" s="132">
        <f t="shared" si="10"/>
        <v>0</v>
      </c>
      <c r="EF19" s="29"/>
      <c r="EG19" s="134"/>
      <c r="EH19" s="134"/>
      <c r="EI19" s="29"/>
      <c r="EJ19" s="134"/>
    </row>
    <row r="20" spans="1:140" ht="15" customHeight="1" x14ac:dyDescent="0.25">
      <c r="A20" s="140"/>
      <c r="B20" s="5"/>
      <c r="C20" s="72"/>
      <c r="D20" s="73"/>
      <c r="E20" s="73"/>
      <c r="F20" s="141"/>
      <c r="G20" s="74"/>
      <c r="H20" s="75"/>
      <c r="I20" s="76"/>
      <c r="J20" s="135"/>
      <c r="K20" s="135"/>
      <c r="L20" s="77">
        <f t="shared" si="14"/>
        <v>0</v>
      </c>
      <c r="M20" s="78"/>
      <c r="N20" s="142"/>
      <c r="O20" s="142"/>
      <c r="P20" s="77">
        <f t="shared" si="15"/>
        <v>0</v>
      </c>
      <c r="Q20" s="78"/>
      <c r="R20" s="143"/>
      <c r="S20" s="143"/>
      <c r="T20" s="77">
        <f t="shared" si="16"/>
        <v>0</v>
      </c>
      <c r="U20" s="75"/>
      <c r="V20" s="76"/>
      <c r="W20" s="135"/>
      <c r="X20" s="135"/>
      <c r="Y20" s="77">
        <f t="shared" si="17"/>
        <v>0</v>
      </c>
      <c r="Z20" s="78"/>
      <c r="AA20" s="142"/>
      <c r="AB20" s="142"/>
      <c r="AC20" s="77">
        <f t="shared" si="18"/>
        <v>0</v>
      </c>
      <c r="AD20" s="78"/>
      <c r="AE20" s="143"/>
      <c r="AF20" s="143"/>
      <c r="AG20" s="79">
        <f t="shared" si="19"/>
        <v>0</v>
      </c>
      <c r="AH20" s="75"/>
      <c r="AI20" s="76"/>
      <c r="AJ20" s="135"/>
      <c r="AK20" s="135"/>
      <c r="AL20" s="77">
        <f t="shared" si="20"/>
        <v>0</v>
      </c>
      <c r="AM20" s="76"/>
      <c r="AN20" s="142"/>
      <c r="AO20" s="142"/>
      <c r="AP20" s="77">
        <f t="shared" si="21"/>
        <v>0</v>
      </c>
      <c r="AQ20" s="78"/>
      <c r="AR20" s="142"/>
      <c r="AS20" s="142"/>
      <c r="AT20" s="79">
        <f t="shared" si="22"/>
        <v>0</v>
      </c>
      <c r="AU20" s="75"/>
      <c r="AV20" s="76"/>
      <c r="AW20" s="135"/>
      <c r="AX20" s="135"/>
      <c r="AY20" s="77">
        <f t="shared" si="23"/>
        <v>0</v>
      </c>
      <c r="AZ20" s="76"/>
      <c r="BA20" s="142"/>
      <c r="BB20" s="142"/>
      <c r="BC20" s="77">
        <f t="shared" si="24"/>
        <v>0</v>
      </c>
      <c r="BD20" s="78"/>
      <c r="BE20" s="142"/>
      <c r="BF20" s="142"/>
      <c r="BG20" s="79">
        <f t="shared" si="25"/>
        <v>0</v>
      </c>
      <c r="BH20" s="75"/>
      <c r="BI20" s="76"/>
      <c r="BJ20" s="135"/>
      <c r="BK20" s="135"/>
      <c r="BL20" s="77">
        <f t="shared" si="26"/>
        <v>0</v>
      </c>
      <c r="BM20" s="78"/>
      <c r="BN20" s="142"/>
      <c r="BO20" s="142"/>
      <c r="BP20" s="77">
        <f t="shared" si="27"/>
        <v>0</v>
      </c>
      <c r="BQ20" s="78"/>
      <c r="BR20" s="142"/>
      <c r="BS20" s="142"/>
      <c r="BT20" s="79">
        <f t="shared" si="28"/>
        <v>0</v>
      </c>
      <c r="BU20" s="75"/>
      <c r="BV20" s="76"/>
      <c r="BW20" s="135"/>
      <c r="BX20" s="135"/>
      <c r="BY20" s="77">
        <f t="shared" si="29"/>
        <v>0</v>
      </c>
      <c r="BZ20" s="78"/>
      <c r="CA20" s="142"/>
      <c r="CB20" s="142"/>
      <c r="CC20" s="77">
        <f t="shared" si="30"/>
        <v>0</v>
      </c>
      <c r="CD20" s="78"/>
      <c r="CE20" s="142"/>
      <c r="CF20" s="142"/>
      <c r="CG20" s="79">
        <f t="shared" si="31"/>
        <v>0</v>
      </c>
      <c r="CH20" s="75"/>
      <c r="CI20" s="76"/>
      <c r="CJ20" s="135"/>
      <c r="CK20" s="135"/>
      <c r="CL20" s="77">
        <f t="shared" si="32"/>
        <v>0</v>
      </c>
      <c r="CM20" s="78"/>
      <c r="CN20" s="142"/>
      <c r="CO20" s="142"/>
      <c r="CP20" s="77">
        <f t="shared" si="33"/>
        <v>0</v>
      </c>
      <c r="CQ20" s="78"/>
      <c r="CR20" s="142"/>
      <c r="CS20" s="142"/>
      <c r="CT20" s="79">
        <f t="shared" si="34"/>
        <v>0</v>
      </c>
      <c r="CU20" s="80">
        <f t="shared" si="35"/>
        <v>0</v>
      </c>
      <c r="CV20" s="81">
        <f t="shared" si="36"/>
        <v>0</v>
      </c>
      <c r="CW20" s="144"/>
      <c r="CX20" s="145">
        <f>IF(ISERROR(VLOOKUP($A20,FIJOS!$B$11:$O$590,14,FALSE)),0,VLOOKUP($A20,FIJOS!$B$11:$O$590,14,FALSE))</f>
        <v>0</v>
      </c>
      <c r="CY20" s="145">
        <f>IF(ISERROR(VLOOKUP(A20,FIJOS!$B$10:$P$590,15,FALSE)),0,VLOOKUP(A20,FIJOS!$B$10:$P$590,15,FALSE))</f>
        <v>0</v>
      </c>
      <c r="CZ20" s="155"/>
      <c r="DA20" s="146"/>
      <c r="DB20" s="147"/>
      <c r="DC20" s="147"/>
      <c r="DD20" s="147"/>
      <c r="DE20" s="147"/>
      <c r="DF20" s="145">
        <f>IF(ISERROR(VLOOKUP($A20,FIJOS!$B$11:$N$590,13,FALSE)),0,VLOOKUP($A20,FIJOS!$B$11:$N$590,13,FALSE))</f>
        <v>0</v>
      </c>
      <c r="DG20" s="145">
        <f>IF(ISERROR(VLOOKUP($A20,FIJOS!$B$11:$P$447,12,FALSE)),0,VLOOKUP($A20,FIJOS!$B$11:$P$447,12,FALSE))</f>
        <v>0</v>
      </c>
      <c r="DH20" s="82">
        <f t="shared" si="37"/>
        <v>0</v>
      </c>
      <c r="DI20" s="83" t="b">
        <f>IF($C20=1,(VLOOKUP($A20,FIJOS!$B$11:$P$545,10,FALSE)/7)*(7-$CU20),IF(AND($C20=2,CV20&lt;$DJ$1),(VLOOKUP($D20,HORAS!$B$4:$C$42,2,FALSE)*24)*$CV20,IF(AND($C20=2,CV20&gt;=$DJ$1),VLOOKUP($D20,HORAS!$B$4:$D$42,3,FALSE),IF(AND($C20=3,$CV20&gt;=$DJ$1),VLOOKUP($A20,FIJOS!$B$11:$P$545,10,FALSE),IF(AND($C20=3,$CV20&lt;$DJ$1),((VLOOKUP($A20,FIJOS!$B$11:$P$545,10,FALSE)/48)*24)*$CV20,IF(AND($C20=4,$CV20&gt;=(42/24)),VLOOKUP($D20,HORAS!$B$4:$D$42,3,FALSE),IF(AND($C20=5,$CV20&gt;=(36/24)),VLOOKUP($D20,HORAS!$B$4:$D$42,3,FALSE))))))))</f>
        <v>0</v>
      </c>
      <c r="DJ20" s="145">
        <f>IF(OR($C20=2),VLOOKUP($D20,HORAS!$B$4:$E$42,4,FALSE)*$EC20,IF(ISERROR(VLOOKUP($A20,FIJOS!$B$11:$P$108,9,FALSE)),0,VLOOKUP($A20,FIJOS!$B$11:$P$231,9,FALSE)*$EC20))</f>
        <v>0</v>
      </c>
      <c r="DK20" s="145">
        <f>IF(OR($C20=2),VLOOKUP($D20,HORAS!$B$4:$F$42,5,FALSE)*$EE20,IF(ISERROR(VLOOKUP($A20,FIJOS!$B$11:$P$108,9,FALSE)),0,VLOOKUP($A20,FIJOS!$B$11:$P$231,9,FALSE)*$EE20))</f>
        <v>0</v>
      </c>
      <c r="DL20" s="144"/>
      <c r="DM20" s="145">
        <f>IF(ISERROR(VLOOKUP($A20,FIJOS!$B$11:$L$646,11,FALSE)),0,VLOOKUP($A20,FIJOS!$B$11:$L$646,11,FALSE))</f>
        <v>0</v>
      </c>
      <c r="DN20" s="148" t="e">
        <f>IF(OR($C20=1,$C20=3),0,IF((VLOOKUP(CAPTURA!D20,HORAS!$B$4:$K$42,10,FALSE)/4)*COUNTIF($H20:$CT20,3)&gt;100,100,(VLOOKUP(CAPTURA!D20,HORAS!$B$4:$K$42,10,FALSE)/4)*COUNTIF($H20:$CT20,3)))</f>
        <v>#N/A</v>
      </c>
      <c r="DO20" s="144" t="e">
        <f>IF(OR($C20=1,$C20=3),0,IF($C20=5,VLOOKUP(D20,HORAS!$B$4:$G$42,6,FALSE),IF(AND($C20=4,$CV20&gt;=(42/24)),VLOOKUP(D20,HORAS!$B$4:$G$42,6,FALSE),IF(COUNTIF($H20:$CL20,"F")&gt;0,0,IF(CV20&gt;$DJ$1,$DJ$1*(VLOOKUP(D20,HORAS!$B$4:$G$42,6,FALSE)/$DJ$1),CV20*(VLOOKUP(D20,HORAS!$B$4:$G$42,6,FALSE)/$DJ$1))))))</f>
        <v>#N/A</v>
      </c>
      <c r="DP20" s="156"/>
      <c r="DQ20" s="148"/>
      <c r="DR20" s="148"/>
      <c r="DS20" s="83" t="e">
        <f t="shared" si="38"/>
        <v>#N/A</v>
      </c>
      <c r="DT20" s="84"/>
      <c r="DU20" s="149" t="e">
        <f t="shared" si="39"/>
        <v>#N/A</v>
      </c>
      <c r="DV20" s="149" t="e">
        <f t="shared" si="40"/>
        <v>#N/A</v>
      </c>
      <c r="DW20" s="144" t="e">
        <f t="shared" si="41"/>
        <v>#N/A</v>
      </c>
      <c r="DX20" s="134"/>
      <c r="DY20" s="29"/>
      <c r="DZ20" s="150"/>
      <c r="EA20" s="134"/>
      <c r="EB20" s="137">
        <f t="shared" si="11"/>
        <v>0</v>
      </c>
      <c r="EC20" s="138">
        <f t="shared" si="9"/>
        <v>0</v>
      </c>
      <c r="ED20" s="137">
        <f t="shared" si="12"/>
        <v>0</v>
      </c>
      <c r="EE20" s="132">
        <f t="shared" si="10"/>
        <v>0</v>
      </c>
      <c r="EF20" s="29"/>
      <c r="EG20" s="134"/>
      <c r="EH20" s="134"/>
      <c r="EI20" s="29"/>
      <c r="EJ20" s="134"/>
    </row>
    <row r="21" spans="1:140" ht="15" customHeight="1" x14ac:dyDescent="0.25">
      <c r="A21" s="140"/>
      <c r="B21" s="5"/>
      <c r="C21" s="72"/>
      <c r="D21" s="73"/>
      <c r="E21" s="73"/>
      <c r="F21" s="141"/>
      <c r="G21" s="74"/>
      <c r="H21" s="75"/>
      <c r="I21" s="76"/>
      <c r="J21" s="135"/>
      <c r="K21" s="135"/>
      <c r="L21" s="77">
        <f t="shared" si="14"/>
        <v>0</v>
      </c>
      <c r="M21" s="78"/>
      <c r="N21" s="142"/>
      <c r="O21" s="142"/>
      <c r="P21" s="77">
        <f t="shared" si="15"/>
        <v>0</v>
      </c>
      <c r="Q21" s="78"/>
      <c r="R21" s="143"/>
      <c r="S21" s="143"/>
      <c r="T21" s="77">
        <f t="shared" si="16"/>
        <v>0</v>
      </c>
      <c r="U21" s="75"/>
      <c r="V21" s="76"/>
      <c r="W21" s="135"/>
      <c r="X21" s="135"/>
      <c r="Y21" s="77">
        <f t="shared" si="17"/>
        <v>0</v>
      </c>
      <c r="Z21" s="78"/>
      <c r="AA21" s="142"/>
      <c r="AB21" s="142"/>
      <c r="AC21" s="77">
        <f t="shared" si="18"/>
        <v>0</v>
      </c>
      <c r="AD21" s="78"/>
      <c r="AE21" s="143"/>
      <c r="AF21" s="143"/>
      <c r="AG21" s="79">
        <f t="shared" si="19"/>
        <v>0</v>
      </c>
      <c r="AH21" s="75"/>
      <c r="AI21" s="76"/>
      <c r="AJ21" s="135"/>
      <c r="AK21" s="135"/>
      <c r="AL21" s="77">
        <f t="shared" si="20"/>
        <v>0</v>
      </c>
      <c r="AM21" s="76"/>
      <c r="AN21" s="142"/>
      <c r="AO21" s="142"/>
      <c r="AP21" s="77">
        <f t="shared" si="21"/>
        <v>0</v>
      </c>
      <c r="AQ21" s="78"/>
      <c r="AR21" s="142"/>
      <c r="AS21" s="142"/>
      <c r="AT21" s="79">
        <f t="shared" si="22"/>
        <v>0</v>
      </c>
      <c r="AU21" s="75"/>
      <c r="AV21" s="76"/>
      <c r="AW21" s="135"/>
      <c r="AX21" s="135"/>
      <c r="AY21" s="77">
        <f t="shared" si="23"/>
        <v>0</v>
      </c>
      <c r="AZ21" s="76"/>
      <c r="BA21" s="142"/>
      <c r="BB21" s="142"/>
      <c r="BC21" s="77">
        <f t="shared" si="24"/>
        <v>0</v>
      </c>
      <c r="BD21" s="78"/>
      <c r="BE21" s="142"/>
      <c r="BF21" s="142"/>
      <c r="BG21" s="79">
        <f t="shared" si="25"/>
        <v>0</v>
      </c>
      <c r="BH21" s="75"/>
      <c r="BI21" s="76"/>
      <c r="BJ21" s="135"/>
      <c r="BK21" s="135"/>
      <c r="BL21" s="77">
        <f t="shared" si="26"/>
        <v>0</v>
      </c>
      <c r="BM21" s="78"/>
      <c r="BN21" s="142"/>
      <c r="BO21" s="142"/>
      <c r="BP21" s="77">
        <f t="shared" si="27"/>
        <v>0</v>
      </c>
      <c r="BQ21" s="78"/>
      <c r="BR21" s="142"/>
      <c r="BS21" s="142"/>
      <c r="BT21" s="79">
        <f t="shared" si="28"/>
        <v>0</v>
      </c>
      <c r="BU21" s="75"/>
      <c r="BV21" s="76"/>
      <c r="BW21" s="135"/>
      <c r="BX21" s="135"/>
      <c r="BY21" s="77">
        <f t="shared" si="29"/>
        <v>0</v>
      </c>
      <c r="BZ21" s="78"/>
      <c r="CA21" s="142"/>
      <c r="CB21" s="142"/>
      <c r="CC21" s="77">
        <f t="shared" si="30"/>
        <v>0</v>
      </c>
      <c r="CD21" s="78"/>
      <c r="CE21" s="142"/>
      <c r="CF21" s="142"/>
      <c r="CG21" s="79">
        <f t="shared" si="31"/>
        <v>0</v>
      </c>
      <c r="CH21" s="75"/>
      <c r="CI21" s="76"/>
      <c r="CJ21" s="135"/>
      <c r="CK21" s="135"/>
      <c r="CL21" s="77">
        <f t="shared" si="32"/>
        <v>0</v>
      </c>
      <c r="CM21" s="78"/>
      <c r="CN21" s="142"/>
      <c r="CO21" s="142"/>
      <c r="CP21" s="77">
        <f t="shared" si="33"/>
        <v>0</v>
      </c>
      <c r="CQ21" s="78"/>
      <c r="CR21" s="142"/>
      <c r="CS21" s="142"/>
      <c r="CT21" s="79">
        <f t="shared" si="34"/>
        <v>0</v>
      </c>
      <c r="CU21" s="80">
        <f t="shared" si="35"/>
        <v>0</v>
      </c>
      <c r="CV21" s="81">
        <f t="shared" si="36"/>
        <v>0</v>
      </c>
      <c r="CW21" s="144"/>
      <c r="CX21" s="145">
        <f>IF(ISERROR(VLOOKUP($A21,FIJOS!$B$11:$O$590,14,FALSE)),0,VLOOKUP($A21,FIJOS!$B$11:$O$590,14,FALSE))</f>
        <v>0</v>
      </c>
      <c r="CY21" s="145">
        <f>IF(ISERROR(VLOOKUP(A21,FIJOS!$B$10:$P$590,15,FALSE)),0,VLOOKUP(A21,FIJOS!$B$10:$P$590,15,FALSE))</f>
        <v>0</v>
      </c>
      <c r="CZ21" s="155"/>
      <c r="DA21" s="146"/>
      <c r="DB21" s="147"/>
      <c r="DC21" s="147"/>
      <c r="DD21" s="147"/>
      <c r="DE21" s="147"/>
      <c r="DF21" s="145">
        <f>IF(ISERROR(VLOOKUP($A21,FIJOS!$B$11:$N$590,13,FALSE)),0,VLOOKUP($A21,FIJOS!$B$11:$N$590,13,FALSE))</f>
        <v>0</v>
      </c>
      <c r="DG21" s="145">
        <f>IF(ISERROR(VLOOKUP($A21,FIJOS!$B$11:$P$447,12,FALSE)),0,VLOOKUP($A21,FIJOS!$B$11:$P$447,12,FALSE))</f>
        <v>0</v>
      </c>
      <c r="DH21" s="82">
        <f t="shared" si="37"/>
        <v>0</v>
      </c>
      <c r="DI21" s="83" t="b">
        <f>IF($C21=1,(VLOOKUP($A21,FIJOS!$B$11:$P$545,10,FALSE)/7)*(7-$CU21),IF(AND($C21=2,CV21&lt;$DJ$1),(VLOOKUP($D21,HORAS!$B$4:$C$42,2,FALSE)*24)*$CV21,IF(AND($C21=2,CV21&gt;=$DJ$1),VLOOKUP($D21,HORAS!$B$4:$D$42,3,FALSE),IF(AND($C21=3,$CV21&gt;=$DJ$1),VLOOKUP($A21,FIJOS!$B$11:$P$545,10,FALSE),IF(AND($C21=3,$CV21&lt;$DJ$1),((VLOOKUP($A21,FIJOS!$B$11:$P$545,10,FALSE)/48)*24)*$CV21,IF(AND($C21=4,$CV21&gt;=(42/24)),VLOOKUP($D21,HORAS!$B$4:$D$42,3,FALSE),IF(AND($C21=5,$CV21&gt;=(36/24)),VLOOKUP($D21,HORAS!$B$4:$D$42,3,FALSE))))))))</f>
        <v>0</v>
      </c>
      <c r="DJ21" s="145">
        <f>IF(OR($C21=2),VLOOKUP($D21,HORAS!$B$4:$E$42,4,FALSE)*$EC21,IF(ISERROR(VLOOKUP($A21,FIJOS!$B$11:$P$108,9,FALSE)),0,VLOOKUP($A21,FIJOS!$B$11:$P$231,9,FALSE)*$EC21))</f>
        <v>0</v>
      </c>
      <c r="DK21" s="145">
        <f>IF(OR($C21=2),VLOOKUP($D21,HORAS!$B$4:$F$42,5,FALSE)*$EE21,IF(ISERROR(VLOOKUP($A21,FIJOS!$B$11:$P$108,9,FALSE)),0,VLOOKUP($A21,FIJOS!$B$11:$P$231,9,FALSE)*$EE21))</f>
        <v>0</v>
      </c>
      <c r="DL21" s="144"/>
      <c r="DM21" s="145">
        <f>IF(ISERROR(VLOOKUP($A21,FIJOS!$B$11:$L$646,11,FALSE)),0,VLOOKUP($A21,FIJOS!$B$11:$L$646,11,FALSE))</f>
        <v>0</v>
      </c>
      <c r="DN21" s="148" t="e">
        <f>IF(OR($C21=1,$C21=3),0,IF((VLOOKUP(CAPTURA!D21,HORAS!$B$4:$K$42,10,FALSE)/4)*COUNTIF($H21:$CT21,3)&gt;100,100,(VLOOKUP(CAPTURA!D21,HORAS!$B$4:$K$42,10,FALSE)/4)*COUNTIF($H21:$CT21,3)))</f>
        <v>#N/A</v>
      </c>
      <c r="DO21" s="144" t="e">
        <f>IF(OR($C21=1,$C21=3),0,IF($C21=5,VLOOKUP(D21,HORAS!$B$4:$G$42,6,FALSE),IF(AND($C21=4,$CV21&gt;=(42/24)),VLOOKUP(D21,HORAS!$B$4:$G$42,6,FALSE),IF(COUNTIF($H21:$CL21,"F")&gt;0,0,IF(CV21&gt;$DJ$1,$DJ$1*(VLOOKUP(D21,HORAS!$B$4:$G$42,6,FALSE)/$DJ$1),CV21*(VLOOKUP(D21,HORAS!$B$4:$G$42,6,FALSE)/$DJ$1))))))</f>
        <v>#N/A</v>
      </c>
      <c r="DP21" s="156"/>
      <c r="DQ21" s="148"/>
      <c r="DR21" s="148"/>
      <c r="DS21" s="83" t="e">
        <f t="shared" si="38"/>
        <v>#N/A</v>
      </c>
      <c r="DT21" s="84"/>
      <c r="DU21" s="149" t="e">
        <f t="shared" si="39"/>
        <v>#N/A</v>
      </c>
      <c r="DV21" s="149" t="e">
        <f t="shared" si="40"/>
        <v>#N/A</v>
      </c>
      <c r="DW21" s="144" t="e">
        <f t="shared" si="41"/>
        <v>#N/A</v>
      </c>
      <c r="DX21" s="134"/>
      <c r="DY21" s="29"/>
      <c r="DZ21" s="150"/>
      <c r="EA21" s="134"/>
      <c r="EB21" s="137">
        <f t="shared" si="11"/>
        <v>0</v>
      </c>
      <c r="EC21" s="138">
        <f t="shared" si="9"/>
        <v>0</v>
      </c>
      <c r="ED21" s="137">
        <f t="shared" si="12"/>
        <v>0</v>
      </c>
      <c r="EE21" s="132">
        <f t="shared" si="10"/>
        <v>0</v>
      </c>
      <c r="EF21" s="29"/>
      <c r="EG21" s="134"/>
      <c r="EH21" s="134"/>
      <c r="EI21" s="29"/>
      <c r="EJ21" s="134"/>
    </row>
    <row r="22" spans="1:140" ht="15" customHeight="1" x14ac:dyDescent="0.25">
      <c r="A22" s="140"/>
      <c r="B22" s="5"/>
      <c r="C22" s="72"/>
      <c r="D22" s="73"/>
      <c r="E22" s="73"/>
      <c r="F22" s="141"/>
      <c r="G22" s="74"/>
      <c r="H22" s="75"/>
      <c r="I22" s="76"/>
      <c r="J22" s="135"/>
      <c r="K22" s="135"/>
      <c r="L22" s="77">
        <f t="shared" si="14"/>
        <v>0</v>
      </c>
      <c r="M22" s="78"/>
      <c r="N22" s="142"/>
      <c r="O22" s="142"/>
      <c r="P22" s="77">
        <f t="shared" si="15"/>
        <v>0</v>
      </c>
      <c r="Q22" s="78"/>
      <c r="R22" s="143"/>
      <c r="S22" s="143"/>
      <c r="T22" s="77">
        <f t="shared" si="16"/>
        <v>0</v>
      </c>
      <c r="U22" s="75"/>
      <c r="V22" s="76"/>
      <c r="W22" s="135"/>
      <c r="X22" s="135"/>
      <c r="Y22" s="77">
        <f t="shared" si="17"/>
        <v>0</v>
      </c>
      <c r="Z22" s="78"/>
      <c r="AA22" s="142"/>
      <c r="AB22" s="142"/>
      <c r="AC22" s="77">
        <f t="shared" si="18"/>
        <v>0</v>
      </c>
      <c r="AD22" s="78"/>
      <c r="AE22" s="143"/>
      <c r="AF22" s="143"/>
      <c r="AG22" s="79">
        <f t="shared" si="19"/>
        <v>0</v>
      </c>
      <c r="AH22" s="75"/>
      <c r="AI22" s="76"/>
      <c r="AJ22" s="135"/>
      <c r="AK22" s="135"/>
      <c r="AL22" s="77">
        <f t="shared" si="20"/>
        <v>0</v>
      </c>
      <c r="AM22" s="76"/>
      <c r="AN22" s="142"/>
      <c r="AO22" s="142"/>
      <c r="AP22" s="77">
        <f t="shared" si="21"/>
        <v>0</v>
      </c>
      <c r="AQ22" s="78"/>
      <c r="AR22" s="142"/>
      <c r="AS22" s="142"/>
      <c r="AT22" s="79">
        <f t="shared" si="22"/>
        <v>0</v>
      </c>
      <c r="AU22" s="75"/>
      <c r="AV22" s="76"/>
      <c r="AW22" s="135"/>
      <c r="AX22" s="135"/>
      <c r="AY22" s="77">
        <f t="shared" si="23"/>
        <v>0</v>
      </c>
      <c r="AZ22" s="76"/>
      <c r="BA22" s="142"/>
      <c r="BB22" s="142"/>
      <c r="BC22" s="77">
        <f t="shared" si="24"/>
        <v>0</v>
      </c>
      <c r="BD22" s="78"/>
      <c r="BE22" s="142"/>
      <c r="BF22" s="142"/>
      <c r="BG22" s="79">
        <f t="shared" si="25"/>
        <v>0</v>
      </c>
      <c r="BH22" s="75"/>
      <c r="BI22" s="76"/>
      <c r="BJ22" s="135"/>
      <c r="BK22" s="135"/>
      <c r="BL22" s="77">
        <f t="shared" si="26"/>
        <v>0</v>
      </c>
      <c r="BM22" s="78"/>
      <c r="BN22" s="142"/>
      <c r="BO22" s="142"/>
      <c r="BP22" s="77">
        <f t="shared" si="27"/>
        <v>0</v>
      </c>
      <c r="BQ22" s="78"/>
      <c r="BR22" s="142"/>
      <c r="BS22" s="142"/>
      <c r="BT22" s="79">
        <f t="shared" si="28"/>
        <v>0</v>
      </c>
      <c r="BU22" s="75"/>
      <c r="BV22" s="76"/>
      <c r="BW22" s="135"/>
      <c r="BX22" s="135"/>
      <c r="BY22" s="77">
        <f t="shared" si="29"/>
        <v>0</v>
      </c>
      <c r="BZ22" s="78"/>
      <c r="CA22" s="142"/>
      <c r="CB22" s="142"/>
      <c r="CC22" s="77">
        <f t="shared" si="30"/>
        <v>0</v>
      </c>
      <c r="CD22" s="78"/>
      <c r="CE22" s="142"/>
      <c r="CF22" s="142"/>
      <c r="CG22" s="79">
        <f t="shared" si="31"/>
        <v>0</v>
      </c>
      <c r="CH22" s="75"/>
      <c r="CI22" s="76"/>
      <c r="CJ22" s="135"/>
      <c r="CK22" s="135"/>
      <c r="CL22" s="77">
        <f t="shared" si="32"/>
        <v>0</v>
      </c>
      <c r="CM22" s="78"/>
      <c r="CN22" s="142"/>
      <c r="CO22" s="142"/>
      <c r="CP22" s="77">
        <f t="shared" si="33"/>
        <v>0</v>
      </c>
      <c r="CQ22" s="78"/>
      <c r="CR22" s="142"/>
      <c r="CS22" s="142"/>
      <c r="CT22" s="79">
        <f t="shared" si="34"/>
        <v>0</v>
      </c>
      <c r="CU22" s="80">
        <f t="shared" si="35"/>
        <v>0</v>
      </c>
      <c r="CV22" s="81">
        <f t="shared" si="36"/>
        <v>0</v>
      </c>
      <c r="CW22" s="144"/>
      <c r="CX22" s="145">
        <f>IF(ISERROR(VLOOKUP($A22,FIJOS!$B$11:$O$590,14,FALSE)),0,VLOOKUP($A22,FIJOS!$B$11:$O$590,14,FALSE))</f>
        <v>0</v>
      </c>
      <c r="CY22" s="145">
        <f>IF(ISERROR(VLOOKUP(A22,FIJOS!$B$10:$P$590,15,FALSE)),0,VLOOKUP(A22,FIJOS!$B$10:$P$590,15,FALSE))</f>
        <v>0</v>
      </c>
      <c r="CZ22" s="155"/>
      <c r="DA22" s="146"/>
      <c r="DB22" s="147"/>
      <c r="DC22" s="147"/>
      <c r="DD22" s="147"/>
      <c r="DE22" s="147"/>
      <c r="DF22" s="145">
        <f>IF(ISERROR(VLOOKUP($A22,FIJOS!$B$11:$N$590,13,FALSE)),0,VLOOKUP($A22,FIJOS!$B$11:$N$590,13,FALSE))</f>
        <v>0</v>
      </c>
      <c r="DG22" s="145">
        <f>IF(ISERROR(VLOOKUP($A22,FIJOS!$B$11:$P$447,12,FALSE)),0,VLOOKUP($A22,FIJOS!$B$11:$P$447,12,FALSE))</f>
        <v>0</v>
      </c>
      <c r="DH22" s="82">
        <f t="shared" si="37"/>
        <v>0</v>
      </c>
      <c r="DI22" s="83" t="b">
        <f>IF($C22=1,(VLOOKUP($A22,FIJOS!$B$11:$P$545,10,FALSE)/7)*(7-$CU22),IF(AND($C22=2,CV22&lt;$DJ$1),(VLOOKUP($D22,HORAS!$B$4:$C$42,2,FALSE)*24)*$CV22,IF(AND($C22=2,CV22&gt;=$DJ$1),VLOOKUP($D22,HORAS!$B$4:$D$42,3,FALSE),IF(AND($C22=3,$CV22&gt;=$DJ$1),VLOOKUP($A22,FIJOS!$B$11:$P$545,10,FALSE),IF(AND($C22=3,$CV22&lt;$DJ$1),((VLOOKUP($A22,FIJOS!$B$11:$P$545,10,FALSE)/48)*24)*$CV22,IF(AND($C22=4,$CV22&gt;=(42/24)),VLOOKUP($D22,HORAS!$B$4:$D$42,3,FALSE),IF(AND($C22=5,$CV22&gt;=(36/24)),VLOOKUP($D22,HORAS!$B$4:$D$42,3,FALSE))))))))</f>
        <v>0</v>
      </c>
      <c r="DJ22" s="145">
        <f>IF(OR($C22=2),VLOOKUP($D22,HORAS!$B$4:$E$42,4,FALSE)*$EC22,IF(ISERROR(VLOOKUP($A22,FIJOS!$B$11:$P$108,9,FALSE)),0,VLOOKUP($A22,FIJOS!$B$11:$P$231,9,FALSE)*$EC22))</f>
        <v>0</v>
      </c>
      <c r="DK22" s="145">
        <f>IF(OR($C22=2),VLOOKUP($D22,HORAS!$B$4:$F$42,5,FALSE)*$EE22,IF(ISERROR(VLOOKUP($A22,FIJOS!$B$11:$P$108,9,FALSE)),0,VLOOKUP($A22,FIJOS!$B$11:$P$231,9,FALSE)*$EE22))</f>
        <v>0</v>
      </c>
      <c r="DL22" s="144"/>
      <c r="DM22" s="145">
        <f>IF(ISERROR(VLOOKUP($A22,FIJOS!$B$11:$L$646,11,FALSE)),0,VLOOKUP($A22,FIJOS!$B$11:$L$646,11,FALSE))</f>
        <v>0</v>
      </c>
      <c r="DN22" s="148" t="e">
        <f>IF(OR($C22=1,$C22=3),0,IF((VLOOKUP(CAPTURA!D22,HORAS!$B$4:$K$42,10,FALSE)/4)*COUNTIF($H22:$CT22,3)&gt;100,100,(VLOOKUP(CAPTURA!D22,HORAS!$B$4:$K$42,10,FALSE)/4)*COUNTIF($H22:$CT22,3)))</f>
        <v>#N/A</v>
      </c>
      <c r="DO22" s="144" t="e">
        <f>IF(OR($C22=1,$C22=3),0,IF($C22=5,VLOOKUP(D22,HORAS!$B$4:$G$42,6,FALSE),IF(AND($C22=4,$CV22&gt;=(42/24)),VLOOKUP(D22,HORAS!$B$4:$G$42,6,FALSE),IF(COUNTIF($H22:$CL22,"F")&gt;0,0,IF(CV22&gt;$DJ$1,$DJ$1*(VLOOKUP(D22,HORAS!$B$4:$G$42,6,FALSE)/$DJ$1),CV22*(VLOOKUP(D22,HORAS!$B$4:$G$42,6,FALSE)/$DJ$1))))))</f>
        <v>#N/A</v>
      </c>
      <c r="DP22" s="156"/>
      <c r="DQ22" s="148"/>
      <c r="DR22" s="148"/>
      <c r="DS22" s="83" t="e">
        <f t="shared" si="38"/>
        <v>#N/A</v>
      </c>
      <c r="DT22" s="84"/>
      <c r="DU22" s="149" t="e">
        <f t="shared" si="39"/>
        <v>#N/A</v>
      </c>
      <c r="DV22" s="149" t="e">
        <f t="shared" si="40"/>
        <v>#N/A</v>
      </c>
      <c r="DW22" s="144" t="e">
        <f t="shared" si="41"/>
        <v>#N/A</v>
      </c>
      <c r="DX22" s="134"/>
      <c r="DY22" s="29"/>
      <c r="DZ22" s="150"/>
      <c r="EA22" s="134"/>
      <c r="EB22" s="137">
        <f t="shared" si="11"/>
        <v>0</v>
      </c>
      <c r="EC22" s="138">
        <f t="shared" si="9"/>
        <v>0</v>
      </c>
      <c r="ED22" s="137">
        <f t="shared" si="12"/>
        <v>0</v>
      </c>
      <c r="EE22" s="132">
        <f t="shared" si="10"/>
        <v>0</v>
      </c>
      <c r="EF22" s="29"/>
      <c r="EG22" s="134"/>
      <c r="EH22" s="134"/>
      <c r="EI22" s="29"/>
      <c r="EJ22" s="134"/>
    </row>
    <row r="23" spans="1:140" ht="15" customHeight="1" x14ac:dyDescent="0.25">
      <c r="A23" s="140"/>
      <c r="B23" s="5"/>
      <c r="C23" s="72"/>
      <c r="D23" s="73"/>
      <c r="E23" s="73"/>
      <c r="F23" s="141"/>
      <c r="G23" s="74"/>
      <c r="H23" s="75"/>
      <c r="I23" s="76"/>
      <c r="J23" s="135"/>
      <c r="K23" s="135"/>
      <c r="L23" s="77">
        <f t="shared" si="14"/>
        <v>0</v>
      </c>
      <c r="M23" s="78"/>
      <c r="N23" s="142"/>
      <c r="O23" s="142"/>
      <c r="P23" s="77">
        <f t="shared" si="15"/>
        <v>0</v>
      </c>
      <c r="Q23" s="78"/>
      <c r="R23" s="143"/>
      <c r="S23" s="143"/>
      <c r="T23" s="77">
        <f t="shared" si="16"/>
        <v>0</v>
      </c>
      <c r="U23" s="75"/>
      <c r="V23" s="76"/>
      <c r="W23" s="135"/>
      <c r="X23" s="135"/>
      <c r="Y23" s="77">
        <f t="shared" si="17"/>
        <v>0</v>
      </c>
      <c r="Z23" s="78"/>
      <c r="AA23" s="142"/>
      <c r="AB23" s="142"/>
      <c r="AC23" s="77">
        <f t="shared" si="18"/>
        <v>0</v>
      </c>
      <c r="AD23" s="78"/>
      <c r="AE23" s="143"/>
      <c r="AF23" s="143"/>
      <c r="AG23" s="79">
        <f t="shared" si="19"/>
        <v>0</v>
      </c>
      <c r="AH23" s="75"/>
      <c r="AI23" s="76"/>
      <c r="AJ23" s="135"/>
      <c r="AK23" s="135"/>
      <c r="AL23" s="77">
        <f t="shared" si="20"/>
        <v>0</v>
      </c>
      <c r="AM23" s="76"/>
      <c r="AN23" s="142"/>
      <c r="AO23" s="142"/>
      <c r="AP23" s="77">
        <f t="shared" si="21"/>
        <v>0</v>
      </c>
      <c r="AQ23" s="78"/>
      <c r="AR23" s="142"/>
      <c r="AS23" s="142"/>
      <c r="AT23" s="79">
        <f t="shared" si="22"/>
        <v>0</v>
      </c>
      <c r="AU23" s="75"/>
      <c r="AV23" s="76"/>
      <c r="AW23" s="135"/>
      <c r="AX23" s="135"/>
      <c r="AY23" s="77">
        <f t="shared" si="23"/>
        <v>0</v>
      </c>
      <c r="AZ23" s="76"/>
      <c r="BA23" s="142"/>
      <c r="BB23" s="142"/>
      <c r="BC23" s="77">
        <f t="shared" si="24"/>
        <v>0</v>
      </c>
      <c r="BD23" s="78"/>
      <c r="BE23" s="142"/>
      <c r="BF23" s="142"/>
      <c r="BG23" s="79">
        <f t="shared" si="25"/>
        <v>0</v>
      </c>
      <c r="BH23" s="75"/>
      <c r="BI23" s="76"/>
      <c r="BJ23" s="135"/>
      <c r="BK23" s="135"/>
      <c r="BL23" s="77">
        <f t="shared" si="26"/>
        <v>0</v>
      </c>
      <c r="BM23" s="78"/>
      <c r="BN23" s="142"/>
      <c r="BO23" s="142"/>
      <c r="BP23" s="77">
        <f t="shared" si="27"/>
        <v>0</v>
      </c>
      <c r="BQ23" s="78"/>
      <c r="BR23" s="142"/>
      <c r="BS23" s="142"/>
      <c r="BT23" s="79">
        <f t="shared" si="28"/>
        <v>0</v>
      </c>
      <c r="BU23" s="75"/>
      <c r="BV23" s="76"/>
      <c r="BW23" s="135"/>
      <c r="BX23" s="135"/>
      <c r="BY23" s="77">
        <f t="shared" si="29"/>
        <v>0</v>
      </c>
      <c r="BZ23" s="78"/>
      <c r="CA23" s="142"/>
      <c r="CB23" s="142"/>
      <c r="CC23" s="77">
        <f t="shared" si="30"/>
        <v>0</v>
      </c>
      <c r="CD23" s="78"/>
      <c r="CE23" s="142"/>
      <c r="CF23" s="142"/>
      <c r="CG23" s="79">
        <f t="shared" si="31"/>
        <v>0</v>
      </c>
      <c r="CH23" s="75"/>
      <c r="CI23" s="76"/>
      <c r="CJ23" s="135"/>
      <c r="CK23" s="135"/>
      <c r="CL23" s="77">
        <f t="shared" si="32"/>
        <v>0</v>
      </c>
      <c r="CM23" s="78"/>
      <c r="CN23" s="142"/>
      <c r="CO23" s="142"/>
      <c r="CP23" s="77">
        <f t="shared" si="33"/>
        <v>0</v>
      </c>
      <c r="CQ23" s="78"/>
      <c r="CR23" s="142"/>
      <c r="CS23" s="142"/>
      <c r="CT23" s="79">
        <f t="shared" si="34"/>
        <v>0</v>
      </c>
      <c r="CU23" s="80">
        <f t="shared" si="35"/>
        <v>0</v>
      </c>
      <c r="CV23" s="81">
        <f t="shared" si="36"/>
        <v>0</v>
      </c>
      <c r="CW23" s="144"/>
      <c r="CX23" s="145">
        <f>IF(ISERROR(VLOOKUP($A23,FIJOS!$B$11:$O$590,14,FALSE)),0,VLOOKUP($A23,FIJOS!$B$11:$O$590,14,FALSE))</f>
        <v>0</v>
      </c>
      <c r="CY23" s="145">
        <f>IF(ISERROR(VLOOKUP(A23,FIJOS!$B$10:$P$590,15,FALSE)),0,VLOOKUP(A23,FIJOS!$B$10:$P$590,15,FALSE))</f>
        <v>0</v>
      </c>
      <c r="CZ23" s="155"/>
      <c r="DA23" s="146"/>
      <c r="DB23" s="147"/>
      <c r="DC23" s="147"/>
      <c r="DD23" s="147"/>
      <c r="DE23" s="147"/>
      <c r="DF23" s="145">
        <f>IF(ISERROR(VLOOKUP($A23,FIJOS!$B$11:$N$590,13,FALSE)),0,VLOOKUP($A23,FIJOS!$B$11:$N$590,13,FALSE))</f>
        <v>0</v>
      </c>
      <c r="DG23" s="145">
        <f>IF(ISERROR(VLOOKUP($A23,FIJOS!$B$11:$P$447,12,FALSE)),0,VLOOKUP($A23,FIJOS!$B$11:$P$447,12,FALSE))</f>
        <v>0</v>
      </c>
      <c r="DH23" s="82">
        <f t="shared" si="37"/>
        <v>0</v>
      </c>
      <c r="DI23" s="83" t="b">
        <f>IF($C23=1,(VLOOKUP($A23,FIJOS!$B$11:$P$545,10,FALSE)/7)*(7-$CU23),IF(AND($C23=2,CV23&lt;$DJ$1),(VLOOKUP($D23,HORAS!$B$4:$C$42,2,FALSE)*24)*$CV23,IF(AND($C23=2,CV23&gt;=$DJ$1),VLOOKUP($D23,HORAS!$B$4:$D$42,3,FALSE),IF(AND($C23=3,$CV23&gt;=$DJ$1),VLOOKUP($A23,FIJOS!$B$11:$P$545,10,FALSE),IF(AND($C23=3,$CV23&lt;$DJ$1),((VLOOKUP($A23,FIJOS!$B$11:$P$545,10,FALSE)/48)*24)*$CV23,IF(AND($C23=4,$CV23&gt;=(42/24)),VLOOKUP($D23,HORAS!$B$4:$D$42,3,FALSE),IF(AND($C23=5,$CV23&gt;=(36/24)),VLOOKUP($D23,HORAS!$B$4:$D$42,3,FALSE))))))))</f>
        <v>0</v>
      </c>
      <c r="DJ23" s="145">
        <f>IF(OR($C23=2),VLOOKUP($D23,HORAS!$B$4:$E$42,4,FALSE)*$EC23,IF(ISERROR(VLOOKUP($A23,FIJOS!$B$11:$P$108,9,FALSE)),0,VLOOKUP($A23,FIJOS!$B$11:$P$231,9,FALSE)*$EC23))</f>
        <v>0</v>
      </c>
      <c r="DK23" s="145">
        <f>IF(OR($C23=2),VLOOKUP($D23,HORAS!$B$4:$F$42,5,FALSE)*$EE23,IF(ISERROR(VLOOKUP($A23,FIJOS!$B$11:$P$108,9,FALSE)),0,VLOOKUP($A23,FIJOS!$B$11:$P$231,9,FALSE)*$EE23))</f>
        <v>0</v>
      </c>
      <c r="DL23" s="144"/>
      <c r="DM23" s="145">
        <f>IF(ISERROR(VLOOKUP($A23,FIJOS!$B$11:$L$646,11,FALSE)),0,VLOOKUP($A23,FIJOS!$B$11:$L$646,11,FALSE))</f>
        <v>0</v>
      </c>
      <c r="DN23" s="148" t="e">
        <f>IF(OR($C23=1,$C23=3),0,IF((VLOOKUP(CAPTURA!D23,HORAS!$B$4:$K$42,10,FALSE)/4)*COUNTIF($H23:$CT23,3)&gt;100,100,(VLOOKUP(CAPTURA!D23,HORAS!$B$4:$K$42,10,FALSE)/4)*COUNTIF($H23:$CT23,3)))</f>
        <v>#N/A</v>
      </c>
      <c r="DO23" s="144" t="e">
        <f>IF(OR($C23=1,$C23=3),0,IF($C23=5,VLOOKUP(D23,HORAS!$B$4:$G$42,6,FALSE),IF(AND($C23=4,$CV23&gt;=(42/24)),VLOOKUP(D23,HORAS!$B$4:$G$42,6,FALSE),IF(COUNTIF($H23:$CL23,"F")&gt;0,0,IF(CV23&gt;$DJ$1,$DJ$1*(VLOOKUP(D23,HORAS!$B$4:$G$42,6,FALSE)/$DJ$1),CV23*(VLOOKUP(D23,HORAS!$B$4:$G$42,6,FALSE)/$DJ$1))))))</f>
        <v>#N/A</v>
      </c>
      <c r="DP23" s="156"/>
      <c r="DQ23" s="148"/>
      <c r="DR23" s="148"/>
      <c r="DS23" s="83" t="e">
        <f t="shared" si="38"/>
        <v>#N/A</v>
      </c>
      <c r="DT23" s="84"/>
      <c r="DU23" s="149" t="e">
        <f t="shared" si="39"/>
        <v>#N/A</v>
      </c>
      <c r="DV23" s="149" t="e">
        <f t="shared" si="40"/>
        <v>#N/A</v>
      </c>
      <c r="DW23" s="144" t="e">
        <f t="shared" si="41"/>
        <v>#N/A</v>
      </c>
      <c r="DX23" s="134"/>
      <c r="DY23" s="29"/>
      <c r="DZ23" s="150"/>
      <c r="EA23" s="134"/>
      <c r="EB23" s="137">
        <f t="shared" si="11"/>
        <v>0</v>
      </c>
      <c r="EC23" s="138">
        <f t="shared" si="9"/>
        <v>0</v>
      </c>
      <c r="ED23" s="137">
        <f t="shared" si="12"/>
        <v>0</v>
      </c>
      <c r="EE23" s="132">
        <f t="shared" si="10"/>
        <v>0</v>
      </c>
      <c r="EF23" s="29"/>
      <c r="EG23" s="134"/>
      <c r="EH23" s="134"/>
      <c r="EI23" s="29"/>
      <c r="EJ23" s="134"/>
    </row>
    <row r="24" spans="1:140" ht="15" customHeight="1" x14ac:dyDescent="0.25">
      <c r="A24" s="140"/>
      <c r="B24" s="5"/>
      <c r="C24" s="72"/>
      <c r="D24" s="73"/>
      <c r="E24" s="73"/>
      <c r="F24" s="141"/>
      <c r="G24" s="74"/>
      <c r="H24" s="75"/>
      <c r="I24" s="76"/>
      <c r="J24" s="135"/>
      <c r="K24" s="135"/>
      <c r="L24" s="77">
        <f t="shared" si="14"/>
        <v>0</v>
      </c>
      <c r="M24" s="78"/>
      <c r="N24" s="142"/>
      <c r="O24" s="142"/>
      <c r="P24" s="77">
        <f t="shared" si="15"/>
        <v>0</v>
      </c>
      <c r="Q24" s="78"/>
      <c r="R24" s="143"/>
      <c r="S24" s="143"/>
      <c r="T24" s="77">
        <f t="shared" si="16"/>
        <v>0</v>
      </c>
      <c r="U24" s="75"/>
      <c r="V24" s="76"/>
      <c r="W24" s="135"/>
      <c r="X24" s="135"/>
      <c r="Y24" s="77">
        <f t="shared" si="17"/>
        <v>0</v>
      </c>
      <c r="Z24" s="78"/>
      <c r="AA24" s="142"/>
      <c r="AB24" s="142"/>
      <c r="AC24" s="77">
        <f t="shared" si="18"/>
        <v>0</v>
      </c>
      <c r="AD24" s="78"/>
      <c r="AE24" s="143"/>
      <c r="AF24" s="143"/>
      <c r="AG24" s="79">
        <f t="shared" si="19"/>
        <v>0</v>
      </c>
      <c r="AH24" s="75"/>
      <c r="AI24" s="76"/>
      <c r="AJ24" s="135"/>
      <c r="AK24" s="135"/>
      <c r="AL24" s="77">
        <f t="shared" si="20"/>
        <v>0</v>
      </c>
      <c r="AM24" s="76"/>
      <c r="AN24" s="142"/>
      <c r="AO24" s="142"/>
      <c r="AP24" s="77">
        <f t="shared" si="21"/>
        <v>0</v>
      </c>
      <c r="AQ24" s="78"/>
      <c r="AR24" s="142"/>
      <c r="AS24" s="142"/>
      <c r="AT24" s="79">
        <f t="shared" si="22"/>
        <v>0</v>
      </c>
      <c r="AU24" s="75"/>
      <c r="AV24" s="76"/>
      <c r="AW24" s="135"/>
      <c r="AX24" s="135"/>
      <c r="AY24" s="77">
        <f t="shared" si="23"/>
        <v>0</v>
      </c>
      <c r="AZ24" s="76"/>
      <c r="BA24" s="142"/>
      <c r="BB24" s="142"/>
      <c r="BC24" s="77">
        <f t="shared" si="24"/>
        <v>0</v>
      </c>
      <c r="BD24" s="78"/>
      <c r="BE24" s="142"/>
      <c r="BF24" s="142"/>
      <c r="BG24" s="79">
        <f t="shared" si="25"/>
        <v>0</v>
      </c>
      <c r="BH24" s="75"/>
      <c r="BI24" s="76"/>
      <c r="BJ24" s="135"/>
      <c r="BK24" s="135"/>
      <c r="BL24" s="77">
        <f t="shared" si="26"/>
        <v>0</v>
      </c>
      <c r="BM24" s="78"/>
      <c r="BN24" s="142"/>
      <c r="BO24" s="142"/>
      <c r="BP24" s="77">
        <f t="shared" si="27"/>
        <v>0</v>
      </c>
      <c r="BQ24" s="78"/>
      <c r="BR24" s="142"/>
      <c r="BS24" s="142"/>
      <c r="BT24" s="79">
        <f t="shared" si="28"/>
        <v>0</v>
      </c>
      <c r="BU24" s="75"/>
      <c r="BV24" s="76"/>
      <c r="BW24" s="135"/>
      <c r="BX24" s="135"/>
      <c r="BY24" s="77">
        <f t="shared" si="29"/>
        <v>0</v>
      </c>
      <c r="BZ24" s="78"/>
      <c r="CA24" s="142"/>
      <c r="CB24" s="142"/>
      <c r="CC24" s="77">
        <f t="shared" si="30"/>
        <v>0</v>
      </c>
      <c r="CD24" s="78"/>
      <c r="CE24" s="142"/>
      <c r="CF24" s="142"/>
      <c r="CG24" s="79">
        <f t="shared" si="31"/>
        <v>0</v>
      </c>
      <c r="CH24" s="75"/>
      <c r="CI24" s="76"/>
      <c r="CJ24" s="135"/>
      <c r="CK24" s="135"/>
      <c r="CL24" s="77">
        <f t="shared" si="32"/>
        <v>0</v>
      </c>
      <c r="CM24" s="78"/>
      <c r="CN24" s="142"/>
      <c r="CO24" s="142"/>
      <c r="CP24" s="77">
        <f t="shared" si="33"/>
        <v>0</v>
      </c>
      <c r="CQ24" s="78"/>
      <c r="CR24" s="142"/>
      <c r="CS24" s="142"/>
      <c r="CT24" s="79">
        <f t="shared" si="34"/>
        <v>0</v>
      </c>
      <c r="CU24" s="80">
        <f t="shared" si="35"/>
        <v>0</v>
      </c>
      <c r="CV24" s="81">
        <f t="shared" si="36"/>
        <v>0</v>
      </c>
      <c r="CW24" s="144"/>
      <c r="CX24" s="145">
        <f>IF(ISERROR(VLOOKUP($A24,FIJOS!$B$11:$O$590,14,FALSE)),0,VLOOKUP($A24,FIJOS!$B$11:$O$590,14,FALSE))</f>
        <v>0</v>
      </c>
      <c r="CY24" s="145">
        <f>IF(ISERROR(VLOOKUP(A24,FIJOS!$B$10:$P$590,15,FALSE)),0,VLOOKUP(A24,FIJOS!$B$10:$P$590,15,FALSE))</f>
        <v>0</v>
      </c>
      <c r="CZ24" s="155"/>
      <c r="DA24" s="146"/>
      <c r="DB24" s="147"/>
      <c r="DC24" s="147"/>
      <c r="DD24" s="147"/>
      <c r="DE24" s="147"/>
      <c r="DF24" s="145">
        <f>IF(ISERROR(VLOOKUP($A24,FIJOS!$B$11:$N$590,13,FALSE)),0,VLOOKUP($A24,FIJOS!$B$11:$N$590,13,FALSE))</f>
        <v>0</v>
      </c>
      <c r="DG24" s="145">
        <f>IF(ISERROR(VLOOKUP($A24,FIJOS!$B$11:$P$447,12,FALSE)),0,VLOOKUP($A24,FIJOS!$B$11:$P$447,12,FALSE))</f>
        <v>0</v>
      </c>
      <c r="DH24" s="82">
        <f t="shared" si="37"/>
        <v>0</v>
      </c>
      <c r="DI24" s="83" t="b">
        <f>IF($C24=1,(VLOOKUP($A24,FIJOS!$B$11:$P$545,10,FALSE)/7)*(7-$CU24),IF(AND($C24=2,CV24&lt;$DJ$1),(VLOOKUP($D24,HORAS!$B$4:$C$42,2,FALSE)*24)*$CV24,IF(AND($C24=2,CV24&gt;=$DJ$1),VLOOKUP($D24,HORAS!$B$4:$D$42,3,FALSE),IF(AND($C24=3,$CV24&gt;=$DJ$1),VLOOKUP($A24,FIJOS!$B$11:$P$545,10,FALSE),IF(AND($C24=3,$CV24&lt;$DJ$1),((VLOOKUP($A24,FIJOS!$B$11:$P$545,10,FALSE)/48)*24)*$CV24,IF(AND($C24=4,$CV24&gt;=(42/24)),VLOOKUP($D24,HORAS!$B$4:$D$42,3,FALSE),IF(AND($C24=5,$CV24&gt;=(36/24)),VLOOKUP($D24,HORAS!$B$4:$D$42,3,FALSE))))))))</f>
        <v>0</v>
      </c>
      <c r="DJ24" s="145">
        <f>IF(OR($C24=2),VLOOKUP($D24,HORAS!$B$4:$E$42,4,FALSE)*$EC24,IF(ISERROR(VLOOKUP($A24,FIJOS!$B$11:$P$108,9,FALSE)),0,VLOOKUP($A24,FIJOS!$B$11:$P$231,9,FALSE)*$EC24))</f>
        <v>0</v>
      </c>
      <c r="DK24" s="145">
        <f>IF(OR($C24=2),VLOOKUP($D24,HORAS!$B$4:$F$42,5,FALSE)*$EE24,IF(ISERROR(VLOOKUP($A24,FIJOS!$B$11:$P$108,9,FALSE)),0,VLOOKUP($A24,FIJOS!$B$11:$P$231,9,FALSE)*$EE24))</f>
        <v>0</v>
      </c>
      <c r="DL24" s="144"/>
      <c r="DM24" s="145">
        <f>IF(ISERROR(VLOOKUP($A24,FIJOS!$B$11:$L$646,11,FALSE)),0,VLOOKUP($A24,FIJOS!$B$11:$L$646,11,FALSE))</f>
        <v>0</v>
      </c>
      <c r="DN24" s="148" t="e">
        <f>IF(OR($C24=1,$C24=3),0,IF((VLOOKUP(CAPTURA!D24,HORAS!$B$4:$K$42,10,FALSE)/4)*COUNTIF($H24:$CT24,3)&gt;100,100,(VLOOKUP(CAPTURA!D24,HORAS!$B$4:$K$42,10,FALSE)/4)*COUNTIF($H24:$CT24,3)))</f>
        <v>#N/A</v>
      </c>
      <c r="DO24" s="144" t="e">
        <f>IF(OR($C24=1,$C24=3),0,IF($C24=5,VLOOKUP(D24,HORAS!$B$4:$G$42,6,FALSE),IF(AND($C24=4,$CV24&gt;=(42/24)),VLOOKUP(D24,HORAS!$B$4:$G$42,6,FALSE),IF(COUNTIF($H24:$CL24,"F")&gt;0,0,IF(CV24&gt;$DJ$1,$DJ$1*(VLOOKUP(D24,HORAS!$B$4:$G$42,6,FALSE)/$DJ$1),CV24*(VLOOKUP(D24,HORAS!$B$4:$G$42,6,FALSE)/$DJ$1))))))</f>
        <v>#N/A</v>
      </c>
      <c r="DP24" s="156"/>
      <c r="DQ24" s="148"/>
      <c r="DR24" s="148"/>
      <c r="DS24" s="83" t="e">
        <f t="shared" si="38"/>
        <v>#N/A</v>
      </c>
      <c r="DT24" s="84"/>
      <c r="DU24" s="149" t="e">
        <f t="shared" si="39"/>
        <v>#N/A</v>
      </c>
      <c r="DV24" s="149" t="e">
        <f t="shared" si="40"/>
        <v>#N/A</v>
      </c>
      <c r="DW24" s="144" t="e">
        <f t="shared" si="41"/>
        <v>#N/A</v>
      </c>
      <c r="DX24" s="134"/>
      <c r="DY24" s="29"/>
      <c r="DZ24" s="150"/>
      <c r="EA24" s="134"/>
      <c r="EB24" s="137">
        <f t="shared" si="11"/>
        <v>0</v>
      </c>
      <c r="EC24" s="138">
        <f t="shared" si="9"/>
        <v>0</v>
      </c>
      <c r="ED24" s="137">
        <f t="shared" si="12"/>
        <v>0</v>
      </c>
      <c r="EE24" s="132">
        <f t="shared" si="10"/>
        <v>0</v>
      </c>
      <c r="EF24" s="29"/>
      <c r="EG24" s="134"/>
      <c r="EH24" s="134"/>
      <c r="EI24" s="29"/>
      <c r="EJ24" s="134"/>
    </row>
    <row r="25" spans="1:140" ht="15" customHeight="1" x14ac:dyDescent="0.25">
      <c r="A25" s="140"/>
      <c r="B25" s="5"/>
      <c r="C25" s="72"/>
      <c r="D25" s="73"/>
      <c r="E25" s="73"/>
      <c r="F25" s="141"/>
      <c r="G25" s="74"/>
      <c r="H25" s="75"/>
      <c r="I25" s="76"/>
      <c r="J25" s="135"/>
      <c r="K25" s="135"/>
      <c r="L25" s="77">
        <f t="shared" si="14"/>
        <v>0</v>
      </c>
      <c r="M25" s="78"/>
      <c r="N25" s="142"/>
      <c r="O25" s="142"/>
      <c r="P25" s="77">
        <f t="shared" si="15"/>
        <v>0</v>
      </c>
      <c r="Q25" s="78"/>
      <c r="R25" s="143"/>
      <c r="S25" s="143"/>
      <c r="T25" s="77">
        <f t="shared" si="16"/>
        <v>0</v>
      </c>
      <c r="U25" s="75"/>
      <c r="V25" s="76"/>
      <c r="W25" s="135"/>
      <c r="X25" s="135"/>
      <c r="Y25" s="77">
        <f t="shared" si="17"/>
        <v>0</v>
      </c>
      <c r="Z25" s="78"/>
      <c r="AA25" s="142"/>
      <c r="AB25" s="142"/>
      <c r="AC25" s="77">
        <f t="shared" si="18"/>
        <v>0</v>
      </c>
      <c r="AD25" s="78"/>
      <c r="AE25" s="143"/>
      <c r="AF25" s="143"/>
      <c r="AG25" s="79">
        <f t="shared" si="19"/>
        <v>0</v>
      </c>
      <c r="AH25" s="75"/>
      <c r="AI25" s="76"/>
      <c r="AJ25" s="135"/>
      <c r="AK25" s="135"/>
      <c r="AL25" s="77">
        <f t="shared" si="20"/>
        <v>0</v>
      </c>
      <c r="AM25" s="76"/>
      <c r="AN25" s="142"/>
      <c r="AO25" s="142"/>
      <c r="AP25" s="77">
        <f t="shared" si="21"/>
        <v>0</v>
      </c>
      <c r="AQ25" s="78"/>
      <c r="AR25" s="142"/>
      <c r="AS25" s="142"/>
      <c r="AT25" s="79">
        <f t="shared" si="22"/>
        <v>0</v>
      </c>
      <c r="AU25" s="75"/>
      <c r="AV25" s="76"/>
      <c r="AW25" s="135"/>
      <c r="AX25" s="135"/>
      <c r="AY25" s="77">
        <f t="shared" si="23"/>
        <v>0</v>
      </c>
      <c r="AZ25" s="76"/>
      <c r="BA25" s="142"/>
      <c r="BB25" s="142"/>
      <c r="BC25" s="77">
        <f t="shared" si="24"/>
        <v>0</v>
      </c>
      <c r="BD25" s="78"/>
      <c r="BE25" s="142"/>
      <c r="BF25" s="142"/>
      <c r="BG25" s="79">
        <f t="shared" si="25"/>
        <v>0</v>
      </c>
      <c r="BH25" s="75"/>
      <c r="BI25" s="76"/>
      <c r="BJ25" s="135"/>
      <c r="BK25" s="135"/>
      <c r="BL25" s="77">
        <f t="shared" si="26"/>
        <v>0</v>
      </c>
      <c r="BM25" s="78"/>
      <c r="BN25" s="142"/>
      <c r="BO25" s="142"/>
      <c r="BP25" s="77">
        <f t="shared" si="27"/>
        <v>0</v>
      </c>
      <c r="BQ25" s="78"/>
      <c r="BR25" s="142"/>
      <c r="BS25" s="142"/>
      <c r="BT25" s="79">
        <f t="shared" si="28"/>
        <v>0</v>
      </c>
      <c r="BU25" s="75"/>
      <c r="BV25" s="76"/>
      <c r="BW25" s="135"/>
      <c r="BX25" s="135"/>
      <c r="BY25" s="77">
        <f t="shared" si="29"/>
        <v>0</v>
      </c>
      <c r="BZ25" s="78"/>
      <c r="CA25" s="142"/>
      <c r="CB25" s="142"/>
      <c r="CC25" s="77">
        <f t="shared" si="30"/>
        <v>0</v>
      </c>
      <c r="CD25" s="78"/>
      <c r="CE25" s="142"/>
      <c r="CF25" s="142"/>
      <c r="CG25" s="79">
        <f t="shared" si="31"/>
        <v>0</v>
      </c>
      <c r="CH25" s="75"/>
      <c r="CI25" s="76"/>
      <c r="CJ25" s="135"/>
      <c r="CK25" s="135"/>
      <c r="CL25" s="77">
        <f t="shared" si="32"/>
        <v>0</v>
      </c>
      <c r="CM25" s="78"/>
      <c r="CN25" s="142"/>
      <c r="CO25" s="142"/>
      <c r="CP25" s="77">
        <f t="shared" si="33"/>
        <v>0</v>
      </c>
      <c r="CQ25" s="78"/>
      <c r="CR25" s="142"/>
      <c r="CS25" s="142"/>
      <c r="CT25" s="79">
        <f t="shared" si="34"/>
        <v>0</v>
      </c>
      <c r="CU25" s="80">
        <f t="shared" si="35"/>
        <v>0</v>
      </c>
      <c r="CV25" s="81">
        <f t="shared" si="36"/>
        <v>0</v>
      </c>
      <c r="CW25" s="144"/>
      <c r="CX25" s="145">
        <f>IF(ISERROR(VLOOKUP($A25,FIJOS!$B$11:$O$590,14,FALSE)),0,VLOOKUP($A25,FIJOS!$B$11:$O$590,14,FALSE))</f>
        <v>0</v>
      </c>
      <c r="CY25" s="145">
        <f>IF(ISERROR(VLOOKUP(A25,FIJOS!$B$10:$P$590,15,FALSE)),0,VLOOKUP(A25,FIJOS!$B$10:$P$590,15,FALSE))</f>
        <v>0</v>
      </c>
      <c r="CZ25" s="155"/>
      <c r="DA25" s="146"/>
      <c r="DB25" s="147"/>
      <c r="DC25" s="147"/>
      <c r="DD25" s="147"/>
      <c r="DE25" s="147"/>
      <c r="DF25" s="145">
        <f>IF(ISERROR(VLOOKUP($A25,FIJOS!$B$11:$N$590,13,FALSE)),0,VLOOKUP($A25,FIJOS!$B$11:$N$590,13,FALSE))</f>
        <v>0</v>
      </c>
      <c r="DG25" s="145">
        <f>IF(ISERROR(VLOOKUP($A25,FIJOS!$B$11:$P$447,12,FALSE)),0,VLOOKUP($A25,FIJOS!$B$11:$P$447,12,FALSE))</f>
        <v>0</v>
      </c>
      <c r="DH25" s="82">
        <f t="shared" si="37"/>
        <v>0</v>
      </c>
      <c r="DI25" s="83" t="b">
        <f>IF($C25=1,(VLOOKUP($A25,FIJOS!$B$11:$P$545,10,FALSE)/7)*(7-$CU25),IF(AND($C25=2,CV25&lt;$DJ$1),(VLOOKUP($D25,HORAS!$B$4:$C$42,2,FALSE)*24)*$CV25,IF(AND($C25=2,CV25&gt;=$DJ$1),VLOOKUP($D25,HORAS!$B$4:$D$42,3,FALSE),IF(AND($C25=3,$CV25&gt;=$DJ$1),VLOOKUP($A25,FIJOS!$B$11:$P$545,10,FALSE),IF(AND($C25=3,$CV25&lt;$DJ$1),((VLOOKUP($A25,FIJOS!$B$11:$P$545,10,FALSE)/48)*24)*$CV25,IF(AND($C25=4,$CV25&gt;=(42/24)),VLOOKUP($D25,HORAS!$B$4:$D$42,3,FALSE),IF(AND($C25=5,$CV25&gt;=(36/24)),VLOOKUP($D25,HORAS!$B$4:$D$42,3,FALSE))))))))</f>
        <v>0</v>
      </c>
      <c r="DJ25" s="145">
        <f>IF(OR($C25=2),VLOOKUP($D25,HORAS!$B$4:$E$42,4,FALSE)*$EC25,IF(ISERROR(VLOOKUP($A25,FIJOS!$B$11:$P$108,9,FALSE)),0,VLOOKUP($A25,FIJOS!$B$11:$P$231,9,FALSE)*$EC25))</f>
        <v>0</v>
      </c>
      <c r="DK25" s="145">
        <f>IF(OR($C25=2),VLOOKUP($D25,HORAS!$B$4:$F$42,5,FALSE)*$EE25,IF(ISERROR(VLOOKUP($A25,FIJOS!$B$11:$P$108,9,FALSE)),0,VLOOKUP($A25,FIJOS!$B$11:$P$231,9,FALSE)*$EE25))</f>
        <v>0</v>
      </c>
      <c r="DL25" s="144"/>
      <c r="DM25" s="145">
        <f>IF(ISERROR(VLOOKUP($A25,FIJOS!$B$11:$L$646,11,FALSE)),0,VLOOKUP($A25,FIJOS!$B$11:$L$646,11,FALSE))</f>
        <v>0</v>
      </c>
      <c r="DN25" s="148" t="e">
        <f>IF(OR($C25=1,$C25=3),0,IF((VLOOKUP(CAPTURA!D25,HORAS!$B$4:$K$42,10,FALSE)/4)*COUNTIF($H25:$CT25,3)&gt;100,100,(VLOOKUP(CAPTURA!D25,HORAS!$B$4:$K$42,10,FALSE)/4)*COUNTIF($H25:$CT25,3)))</f>
        <v>#N/A</v>
      </c>
      <c r="DO25" s="144" t="e">
        <f>IF(OR($C25=1,$C25=3),0,IF($C25=5,VLOOKUP(D25,HORAS!$B$4:$G$42,6,FALSE),IF(AND($C25=4,$CV25&gt;=(42/24)),VLOOKUP(D25,HORAS!$B$4:$G$42,6,FALSE),IF(COUNTIF($H25:$CL25,"F")&gt;0,0,IF(CV25&gt;$DJ$1,$DJ$1*(VLOOKUP(D25,HORAS!$B$4:$G$42,6,FALSE)/$DJ$1),CV25*(VLOOKUP(D25,HORAS!$B$4:$G$42,6,FALSE)/$DJ$1))))))</f>
        <v>#N/A</v>
      </c>
      <c r="DP25" s="156"/>
      <c r="DQ25" s="148"/>
      <c r="DR25" s="148"/>
      <c r="DS25" s="83" t="e">
        <f t="shared" si="38"/>
        <v>#N/A</v>
      </c>
      <c r="DT25" s="84"/>
      <c r="DU25" s="149" t="e">
        <f t="shared" si="39"/>
        <v>#N/A</v>
      </c>
      <c r="DV25" s="149" t="e">
        <f t="shared" si="40"/>
        <v>#N/A</v>
      </c>
      <c r="DW25" s="144" t="e">
        <f t="shared" si="41"/>
        <v>#N/A</v>
      </c>
      <c r="DX25" s="134"/>
      <c r="DY25" s="29"/>
      <c r="DZ25" s="150"/>
      <c r="EA25" s="134"/>
      <c r="EB25" s="137">
        <f t="shared" si="11"/>
        <v>0</v>
      </c>
      <c r="EC25" s="138">
        <f t="shared" si="9"/>
        <v>0</v>
      </c>
      <c r="ED25" s="137">
        <f t="shared" si="12"/>
        <v>0</v>
      </c>
      <c r="EE25" s="132">
        <f t="shared" si="10"/>
        <v>0</v>
      </c>
      <c r="EF25" s="29"/>
      <c r="EG25" s="134"/>
      <c r="EH25" s="134"/>
      <c r="EI25" s="29"/>
      <c r="EJ25" s="134"/>
    </row>
    <row r="26" spans="1:140" ht="15" customHeight="1" x14ac:dyDescent="0.25">
      <c r="A26" s="140"/>
      <c r="B26" s="5"/>
      <c r="C26" s="72"/>
      <c r="D26" s="73"/>
      <c r="E26" s="73"/>
      <c r="F26" s="141"/>
      <c r="G26" s="74"/>
      <c r="H26" s="75"/>
      <c r="I26" s="76"/>
      <c r="J26" s="135"/>
      <c r="K26" s="135"/>
      <c r="L26" s="77">
        <f t="shared" si="14"/>
        <v>0</v>
      </c>
      <c r="M26" s="78"/>
      <c r="N26" s="142"/>
      <c r="O26" s="142"/>
      <c r="P26" s="77">
        <f t="shared" si="15"/>
        <v>0</v>
      </c>
      <c r="Q26" s="78"/>
      <c r="R26" s="143"/>
      <c r="S26" s="143"/>
      <c r="T26" s="77">
        <f t="shared" si="16"/>
        <v>0</v>
      </c>
      <c r="U26" s="75"/>
      <c r="V26" s="76"/>
      <c r="W26" s="135"/>
      <c r="X26" s="135"/>
      <c r="Y26" s="77">
        <f t="shared" si="17"/>
        <v>0</v>
      </c>
      <c r="Z26" s="78"/>
      <c r="AA26" s="142"/>
      <c r="AB26" s="142"/>
      <c r="AC26" s="77">
        <f t="shared" si="18"/>
        <v>0</v>
      </c>
      <c r="AD26" s="78"/>
      <c r="AE26" s="143"/>
      <c r="AF26" s="143"/>
      <c r="AG26" s="79">
        <f t="shared" si="19"/>
        <v>0</v>
      </c>
      <c r="AH26" s="75"/>
      <c r="AI26" s="76"/>
      <c r="AJ26" s="135"/>
      <c r="AK26" s="135"/>
      <c r="AL26" s="77">
        <f t="shared" si="20"/>
        <v>0</v>
      </c>
      <c r="AM26" s="76"/>
      <c r="AN26" s="142"/>
      <c r="AO26" s="142"/>
      <c r="AP26" s="77">
        <f t="shared" si="21"/>
        <v>0</v>
      </c>
      <c r="AQ26" s="78"/>
      <c r="AR26" s="142"/>
      <c r="AS26" s="142"/>
      <c r="AT26" s="79">
        <f t="shared" si="22"/>
        <v>0</v>
      </c>
      <c r="AU26" s="75"/>
      <c r="AV26" s="76"/>
      <c r="AW26" s="135"/>
      <c r="AX26" s="135"/>
      <c r="AY26" s="77">
        <f t="shared" si="23"/>
        <v>0</v>
      </c>
      <c r="AZ26" s="76"/>
      <c r="BA26" s="142"/>
      <c r="BB26" s="142"/>
      <c r="BC26" s="77">
        <f t="shared" si="24"/>
        <v>0</v>
      </c>
      <c r="BD26" s="78"/>
      <c r="BE26" s="142"/>
      <c r="BF26" s="142"/>
      <c r="BG26" s="79">
        <f t="shared" si="25"/>
        <v>0</v>
      </c>
      <c r="BH26" s="75"/>
      <c r="BI26" s="76"/>
      <c r="BJ26" s="135"/>
      <c r="BK26" s="135"/>
      <c r="BL26" s="77">
        <f t="shared" si="26"/>
        <v>0</v>
      </c>
      <c r="BM26" s="78"/>
      <c r="BN26" s="142"/>
      <c r="BO26" s="142"/>
      <c r="BP26" s="77">
        <f t="shared" si="27"/>
        <v>0</v>
      </c>
      <c r="BQ26" s="78"/>
      <c r="BR26" s="142"/>
      <c r="BS26" s="142"/>
      <c r="BT26" s="79">
        <f t="shared" si="28"/>
        <v>0</v>
      </c>
      <c r="BU26" s="75"/>
      <c r="BV26" s="76"/>
      <c r="BW26" s="135"/>
      <c r="BX26" s="135"/>
      <c r="BY26" s="77">
        <f t="shared" si="29"/>
        <v>0</v>
      </c>
      <c r="BZ26" s="78"/>
      <c r="CA26" s="142"/>
      <c r="CB26" s="142"/>
      <c r="CC26" s="77">
        <f t="shared" si="30"/>
        <v>0</v>
      </c>
      <c r="CD26" s="78"/>
      <c r="CE26" s="142"/>
      <c r="CF26" s="142"/>
      <c r="CG26" s="79">
        <f t="shared" si="31"/>
        <v>0</v>
      </c>
      <c r="CH26" s="75"/>
      <c r="CI26" s="76"/>
      <c r="CJ26" s="135"/>
      <c r="CK26" s="135"/>
      <c r="CL26" s="77">
        <f t="shared" si="32"/>
        <v>0</v>
      </c>
      <c r="CM26" s="78"/>
      <c r="CN26" s="142"/>
      <c r="CO26" s="142"/>
      <c r="CP26" s="77">
        <f t="shared" si="33"/>
        <v>0</v>
      </c>
      <c r="CQ26" s="78"/>
      <c r="CR26" s="142"/>
      <c r="CS26" s="142"/>
      <c r="CT26" s="79">
        <f t="shared" si="34"/>
        <v>0</v>
      </c>
      <c r="CU26" s="80">
        <f t="shared" si="35"/>
        <v>0</v>
      </c>
      <c r="CV26" s="81">
        <f t="shared" si="36"/>
        <v>0</v>
      </c>
      <c r="CW26" s="144"/>
      <c r="CX26" s="145">
        <f>IF(ISERROR(VLOOKUP($A26,FIJOS!$B$11:$O$590,14,FALSE)),0,VLOOKUP($A26,FIJOS!$B$11:$O$590,14,FALSE))</f>
        <v>0</v>
      </c>
      <c r="CY26" s="145">
        <f>IF(ISERROR(VLOOKUP(A26,FIJOS!$B$10:$P$590,15,FALSE)),0,VLOOKUP(A26,FIJOS!$B$10:$P$590,15,FALSE))</f>
        <v>0</v>
      </c>
      <c r="CZ26" s="155"/>
      <c r="DA26" s="146"/>
      <c r="DB26" s="147"/>
      <c r="DC26" s="147"/>
      <c r="DD26" s="147"/>
      <c r="DE26" s="147"/>
      <c r="DF26" s="145">
        <f>IF(ISERROR(VLOOKUP($A26,FIJOS!$B$11:$N$590,13,FALSE)),0,VLOOKUP($A26,FIJOS!$B$11:$N$590,13,FALSE))</f>
        <v>0</v>
      </c>
      <c r="DG26" s="145">
        <f>IF(ISERROR(VLOOKUP($A26,FIJOS!$B$11:$P$447,12,FALSE)),0,VLOOKUP($A26,FIJOS!$B$11:$P$447,12,FALSE))</f>
        <v>0</v>
      </c>
      <c r="DH26" s="82">
        <f t="shared" si="37"/>
        <v>0</v>
      </c>
      <c r="DI26" s="83" t="b">
        <f>IF($C26=1,(VLOOKUP($A26,FIJOS!$B$11:$P$545,10,FALSE)/7)*(7-$CU26),IF(AND($C26=2,CV26&lt;$DJ$1),(VLOOKUP($D26,HORAS!$B$4:$C$42,2,FALSE)*24)*$CV26,IF(AND($C26=2,CV26&gt;=$DJ$1),VLOOKUP($D26,HORAS!$B$4:$D$42,3,FALSE),IF(AND($C26=3,$CV26&gt;=$DJ$1),VLOOKUP($A26,FIJOS!$B$11:$P$545,10,FALSE),IF(AND($C26=3,$CV26&lt;$DJ$1),((VLOOKUP($A26,FIJOS!$B$11:$P$545,10,FALSE)/48)*24)*$CV26,IF(AND($C26=4,$CV26&gt;=(42/24)),VLOOKUP($D26,HORAS!$B$4:$D$42,3,FALSE),IF(AND($C26=5,$CV26&gt;=(36/24)),VLOOKUP($D26,HORAS!$B$4:$D$42,3,FALSE))))))))</f>
        <v>0</v>
      </c>
      <c r="DJ26" s="145">
        <f>IF(OR($C26=2),VLOOKUP($D26,HORAS!$B$4:$E$42,4,FALSE)*$EC26,IF(ISERROR(VLOOKUP($A26,FIJOS!$B$11:$P$108,9,FALSE)),0,VLOOKUP($A26,FIJOS!$B$11:$P$231,9,FALSE)*$EC26))</f>
        <v>0</v>
      </c>
      <c r="DK26" s="145">
        <f>IF(OR($C26=2),VLOOKUP($D26,HORAS!$B$4:$F$42,5,FALSE)*$EE26,IF(ISERROR(VLOOKUP($A26,FIJOS!$B$11:$P$108,9,FALSE)),0,VLOOKUP($A26,FIJOS!$B$11:$P$231,9,FALSE)*$EE26))</f>
        <v>0</v>
      </c>
      <c r="DL26" s="144"/>
      <c r="DM26" s="145">
        <f>IF(ISERROR(VLOOKUP($A26,FIJOS!$B$11:$L$646,11,FALSE)),0,VLOOKUP($A26,FIJOS!$B$11:$L$646,11,FALSE))</f>
        <v>0</v>
      </c>
      <c r="DN26" s="148" t="e">
        <f>IF(OR($C26=1,$C26=3),0,IF((VLOOKUP(CAPTURA!D26,HORAS!$B$4:$K$42,10,FALSE)/4)*COUNTIF($H26:$CT26,3)&gt;100,100,(VLOOKUP(CAPTURA!D26,HORAS!$B$4:$K$42,10,FALSE)/4)*COUNTIF($H26:$CT26,3)))</f>
        <v>#N/A</v>
      </c>
      <c r="DO26" s="144" t="e">
        <f>IF(OR($C26=1,$C26=3),0,IF($C26=5,VLOOKUP(D26,HORAS!$B$4:$G$42,6,FALSE),IF(AND($C26=4,$CV26&gt;=(42/24)),VLOOKUP(D26,HORAS!$B$4:$G$42,6,FALSE),IF(COUNTIF($H26:$CL26,"F")&gt;0,0,IF(CV26&gt;$DJ$1,$DJ$1*(VLOOKUP(D26,HORAS!$B$4:$G$42,6,FALSE)/$DJ$1),CV26*(VLOOKUP(D26,HORAS!$B$4:$G$42,6,FALSE)/$DJ$1))))))</f>
        <v>#N/A</v>
      </c>
      <c r="DP26" s="156"/>
      <c r="DQ26" s="148"/>
      <c r="DR26" s="148"/>
      <c r="DS26" s="83" t="e">
        <f t="shared" si="38"/>
        <v>#N/A</v>
      </c>
      <c r="DT26" s="84"/>
      <c r="DU26" s="149" t="e">
        <f t="shared" si="39"/>
        <v>#N/A</v>
      </c>
      <c r="DV26" s="149" t="e">
        <f t="shared" si="40"/>
        <v>#N/A</v>
      </c>
      <c r="DW26" s="144" t="e">
        <f t="shared" si="41"/>
        <v>#N/A</v>
      </c>
      <c r="DX26" s="134"/>
      <c r="DY26" s="29"/>
      <c r="DZ26" s="150"/>
      <c r="EA26" s="134"/>
      <c r="EB26" s="137">
        <f t="shared" si="11"/>
        <v>0</v>
      </c>
      <c r="EC26" s="138">
        <f t="shared" si="9"/>
        <v>0</v>
      </c>
      <c r="ED26" s="137">
        <f t="shared" si="12"/>
        <v>0</v>
      </c>
      <c r="EE26" s="132">
        <f t="shared" si="10"/>
        <v>0</v>
      </c>
      <c r="EF26" s="29"/>
      <c r="EG26" s="134"/>
      <c r="EH26" s="134"/>
      <c r="EI26" s="29"/>
      <c r="EJ26" s="134"/>
    </row>
    <row r="27" spans="1:140" ht="15" customHeight="1" x14ac:dyDescent="0.25">
      <c r="A27" s="140"/>
      <c r="B27" s="5"/>
      <c r="C27" s="72"/>
      <c r="D27" s="73"/>
      <c r="E27" s="73"/>
      <c r="F27" s="141"/>
      <c r="G27" s="74"/>
      <c r="H27" s="75"/>
      <c r="I27" s="76"/>
      <c r="J27" s="135"/>
      <c r="K27" s="135"/>
      <c r="L27" s="77">
        <f t="shared" si="14"/>
        <v>0</v>
      </c>
      <c r="M27" s="78"/>
      <c r="N27" s="142"/>
      <c r="O27" s="142"/>
      <c r="P27" s="77">
        <f t="shared" si="15"/>
        <v>0</v>
      </c>
      <c r="Q27" s="78"/>
      <c r="R27" s="143"/>
      <c r="S27" s="143"/>
      <c r="T27" s="77">
        <f t="shared" si="16"/>
        <v>0</v>
      </c>
      <c r="U27" s="75"/>
      <c r="V27" s="76"/>
      <c r="W27" s="135"/>
      <c r="X27" s="135"/>
      <c r="Y27" s="77">
        <f t="shared" si="17"/>
        <v>0</v>
      </c>
      <c r="Z27" s="78"/>
      <c r="AA27" s="142"/>
      <c r="AB27" s="142"/>
      <c r="AC27" s="77">
        <f t="shared" si="18"/>
        <v>0</v>
      </c>
      <c r="AD27" s="78"/>
      <c r="AE27" s="143"/>
      <c r="AF27" s="143"/>
      <c r="AG27" s="79">
        <f t="shared" si="19"/>
        <v>0</v>
      </c>
      <c r="AH27" s="75"/>
      <c r="AI27" s="76"/>
      <c r="AJ27" s="135"/>
      <c r="AK27" s="135"/>
      <c r="AL27" s="77">
        <f t="shared" si="20"/>
        <v>0</v>
      </c>
      <c r="AM27" s="76"/>
      <c r="AN27" s="142"/>
      <c r="AO27" s="142"/>
      <c r="AP27" s="77">
        <f t="shared" si="21"/>
        <v>0</v>
      </c>
      <c r="AQ27" s="78"/>
      <c r="AR27" s="142"/>
      <c r="AS27" s="142"/>
      <c r="AT27" s="79">
        <f t="shared" si="22"/>
        <v>0</v>
      </c>
      <c r="AU27" s="75"/>
      <c r="AV27" s="76"/>
      <c r="AW27" s="135"/>
      <c r="AX27" s="135"/>
      <c r="AY27" s="77">
        <f t="shared" si="23"/>
        <v>0</v>
      </c>
      <c r="AZ27" s="76"/>
      <c r="BA27" s="142"/>
      <c r="BB27" s="142"/>
      <c r="BC27" s="77">
        <f t="shared" si="24"/>
        <v>0</v>
      </c>
      <c r="BD27" s="78"/>
      <c r="BE27" s="142"/>
      <c r="BF27" s="142"/>
      <c r="BG27" s="79">
        <f t="shared" si="25"/>
        <v>0</v>
      </c>
      <c r="BH27" s="75"/>
      <c r="BI27" s="76"/>
      <c r="BJ27" s="135"/>
      <c r="BK27" s="135"/>
      <c r="BL27" s="77">
        <f t="shared" si="26"/>
        <v>0</v>
      </c>
      <c r="BM27" s="78"/>
      <c r="BN27" s="142"/>
      <c r="BO27" s="142"/>
      <c r="BP27" s="77">
        <f t="shared" si="27"/>
        <v>0</v>
      </c>
      <c r="BQ27" s="78"/>
      <c r="BR27" s="142"/>
      <c r="BS27" s="142"/>
      <c r="BT27" s="79">
        <f t="shared" si="28"/>
        <v>0</v>
      </c>
      <c r="BU27" s="75"/>
      <c r="BV27" s="76"/>
      <c r="BW27" s="135"/>
      <c r="BX27" s="135"/>
      <c r="BY27" s="77">
        <f t="shared" si="29"/>
        <v>0</v>
      </c>
      <c r="BZ27" s="78"/>
      <c r="CA27" s="142"/>
      <c r="CB27" s="142"/>
      <c r="CC27" s="77">
        <f t="shared" si="30"/>
        <v>0</v>
      </c>
      <c r="CD27" s="78"/>
      <c r="CE27" s="142"/>
      <c r="CF27" s="142"/>
      <c r="CG27" s="79">
        <f t="shared" si="31"/>
        <v>0</v>
      </c>
      <c r="CH27" s="75"/>
      <c r="CI27" s="76"/>
      <c r="CJ27" s="135"/>
      <c r="CK27" s="135"/>
      <c r="CL27" s="77">
        <f t="shared" si="32"/>
        <v>0</v>
      </c>
      <c r="CM27" s="78"/>
      <c r="CN27" s="142"/>
      <c r="CO27" s="142"/>
      <c r="CP27" s="77">
        <f t="shared" si="33"/>
        <v>0</v>
      </c>
      <c r="CQ27" s="78"/>
      <c r="CR27" s="142"/>
      <c r="CS27" s="142"/>
      <c r="CT27" s="79">
        <f t="shared" si="34"/>
        <v>0</v>
      </c>
      <c r="CU27" s="80">
        <f t="shared" si="35"/>
        <v>0</v>
      </c>
      <c r="CV27" s="81">
        <f t="shared" si="36"/>
        <v>0</v>
      </c>
      <c r="CW27" s="144"/>
      <c r="CX27" s="145">
        <f>IF(ISERROR(VLOOKUP($A27,FIJOS!$B$11:$O$590,14,FALSE)),0,VLOOKUP($A27,FIJOS!$B$11:$O$590,14,FALSE))</f>
        <v>0</v>
      </c>
      <c r="CY27" s="145">
        <f>IF(ISERROR(VLOOKUP(A27,FIJOS!$B$10:$P$590,15,FALSE)),0,VLOOKUP(A27,FIJOS!$B$10:$P$590,15,FALSE))</f>
        <v>0</v>
      </c>
      <c r="CZ27" s="155"/>
      <c r="DA27" s="146"/>
      <c r="DB27" s="147"/>
      <c r="DC27" s="147"/>
      <c r="DD27" s="147"/>
      <c r="DE27" s="147"/>
      <c r="DF27" s="145">
        <f>IF(ISERROR(VLOOKUP($A27,FIJOS!$B$11:$N$590,13,FALSE)),0,VLOOKUP($A27,FIJOS!$B$11:$N$590,13,FALSE))</f>
        <v>0</v>
      </c>
      <c r="DG27" s="145">
        <f>IF(ISERROR(VLOOKUP($A27,FIJOS!$B$11:$P$447,12,FALSE)),0,VLOOKUP($A27,FIJOS!$B$11:$P$447,12,FALSE))</f>
        <v>0</v>
      </c>
      <c r="DH27" s="82">
        <f t="shared" si="37"/>
        <v>0</v>
      </c>
      <c r="DI27" s="83" t="b">
        <f>IF($C27=1,(VLOOKUP($A27,FIJOS!$B$11:$P$545,10,FALSE)/7)*(7-$CU27),IF(AND($C27=2,CV27&lt;$DJ$1),(VLOOKUP($D27,HORAS!$B$4:$C$42,2,FALSE)*24)*$CV27,IF(AND($C27=2,CV27&gt;=$DJ$1),VLOOKUP($D27,HORAS!$B$4:$D$42,3,FALSE),IF(AND($C27=3,$CV27&gt;=$DJ$1),VLOOKUP($A27,FIJOS!$B$11:$P$545,10,FALSE),IF(AND($C27=3,$CV27&lt;$DJ$1),((VLOOKUP($A27,FIJOS!$B$11:$P$545,10,FALSE)/48)*24)*$CV27,IF(AND($C27=4,$CV27&gt;=(42/24)),VLOOKUP($D27,HORAS!$B$4:$D$42,3,FALSE),IF(AND($C27=5,$CV27&gt;=(36/24)),VLOOKUP($D27,HORAS!$B$4:$D$42,3,FALSE))))))))</f>
        <v>0</v>
      </c>
      <c r="DJ27" s="145">
        <f>IF(OR($C27=2),VLOOKUP($D27,HORAS!$B$4:$E$42,4,FALSE)*$EC27,IF(ISERROR(VLOOKUP($A27,FIJOS!$B$11:$P$108,9,FALSE)),0,VLOOKUP($A27,FIJOS!$B$11:$P$231,9,FALSE)*$EC27))</f>
        <v>0</v>
      </c>
      <c r="DK27" s="145">
        <f>IF(OR($C27=2),VLOOKUP($D27,HORAS!$B$4:$F$42,5,FALSE)*$EE27,IF(ISERROR(VLOOKUP($A27,FIJOS!$B$11:$P$108,9,FALSE)),0,VLOOKUP($A27,FIJOS!$B$11:$P$231,9,FALSE)*$EE27))</f>
        <v>0</v>
      </c>
      <c r="DL27" s="144"/>
      <c r="DM27" s="145">
        <f>IF(ISERROR(VLOOKUP($A27,FIJOS!$B$11:$L$646,11,FALSE)),0,VLOOKUP($A27,FIJOS!$B$11:$L$646,11,FALSE))</f>
        <v>0</v>
      </c>
      <c r="DN27" s="148" t="e">
        <f>IF(OR($C27=1,$C27=3),0,IF((VLOOKUP(CAPTURA!D27,HORAS!$B$4:$K$42,10,FALSE)/4)*COUNTIF($H27:$CT27,3)&gt;100,100,(VLOOKUP(CAPTURA!D27,HORAS!$B$4:$K$42,10,FALSE)/4)*COUNTIF($H27:$CT27,3)))</f>
        <v>#N/A</v>
      </c>
      <c r="DO27" s="144" t="e">
        <f>IF(OR($C27=1,$C27=3),0,IF($C27=5,VLOOKUP(D27,HORAS!$B$4:$G$42,6,FALSE),IF(AND($C27=4,$CV27&gt;=(42/24)),VLOOKUP(D27,HORAS!$B$4:$G$42,6,FALSE),IF(COUNTIF($H27:$CL27,"F")&gt;0,0,IF(CV27&gt;$DJ$1,$DJ$1*(VLOOKUP(D27,HORAS!$B$4:$G$42,6,FALSE)/$DJ$1),CV27*(VLOOKUP(D27,HORAS!$B$4:$G$42,6,FALSE)/$DJ$1))))))</f>
        <v>#N/A</v>
      </c>
      <c r="DP27" s="156"/>
      <c r="DQ27" s="148"/>
      <c r="DR27" s="148"/>
      <c r="DS27" s="83" t="e">
        <f t="shared" si="38"/>
        <v>#N/A</v>
      </c>
      <c r="DT27" s="84"/>
      <c r="DU27" s="149" t="e">
        <f t="shared" si="39"/>
        <v>#N/A</v>
      </c>
      <c r="DV27" s="149" t="e">
        <f t="shared" si="40"/>
        <v>#N/A</v>
      </c>
      <c r="DW27" s="144" t="e">
        <f t="shared" si="41"/>
        <v>#N/A</v>
      </c>
      <c r="DX27" s="134"/>
      <c r="DY27" s="29"/>
      <c r="DZ27" s="150"/>
      <c r="EA27" s="134"/>
      <c r="EB27" s="137">
        <f t="shared" si="11"/>
        <v>0</v>
      </c>
      <c r="EC27" s="138">
        <f t="shared" si="9"/>
        <v>0</v>
      </c>
      <c r="ED27" s="137">
        <f t="shared" si="12"/>
        <v>0</v>
      </c>
      <c r="EE27" s="132">
        <f t="shared" si="10"/>
        <v>0</v>
      </c>
      <c r="EF27" s="29"/>
      <c r="EG27" s="134"/>
      <c r="EH27" s="134"/>
      <c r="EI27" s="29"/>
      <c r="EJ27" s="134"/>
    </row>
    <row r="28" spans="1:140" ht="15" customHeight="1" x14ac:dyDescent="0.25">
      <c r="A28" s="140"/>
      <c r="B28" s="5"/>
      <c r="C28" s="72"/>
      <c r="D28" s="73"/>
      <c r="E28" s="73"/>
      <c r="F28" s="141"/>
      <c r="G28" s="74"/>
      <c r="H28" s="75"/>
      <c r="I28" s="76"/>
      <c r="J28" s="135"/>
      <c r="K28" s="135"/>
      <c r="L28" s="77">
        <f t="shared" si="14"/>
        <v>0</v>
      </c>
      <c r="M28" s="78"/>
      <c r="N28" s="142"/>
      <c r="O28" s="142"/>
      <c r="P28" s="77">
        <f t="shared" si="15"/>
        <v>0</v>
      </c>
      <c r="Q28" s="78"/>
      <c r="R28" s="143"/>
      <c r="S28" s="143"/>
      <c r="T28" s="77">
        <f t="shared" si="16"/>
        <v>0</v>
      </c>
      <c r="U28" s="75"/>
      <c r="V28" s="76"/>
      <c r="W28" s="135"/>
      <c r="X28" s="135"/>
      <c r="Y28" s="77">
        <f t="shared" si="17"/>
        <v>0</v>
      </c>
      <c r="Z28" s="78"/>
      <c r="AA28" s="142"/>
      <c r="AB28" s="142"/>
      <c r="AC28" s="77">
        <f t="shared" si="18"/>
        <v>0</v>
      </c>
      <c r="AD28" s="78"/>
      <c r="AE28" s="143"/>
      <c r="AF28" s="143"/>
      <c r="AG28" s="79">
        <f t="shared" si="19"/>
        <v>0</v>
      </c>
      <c r="AH28" s="75"/>
      <c r="AI28" s="76"/>
      <c r="AJ28" s="135"/>
      <c r="AK28" s="135"/>
      <c r="AL28" s="77">
        <f t="shared" si="20"/>
        <v>0</v>
      </c>
      <c r="AM28" s="76"/>
      <c r="AN28" s="142"/>
      <c r="AO28" s="142"/>
      <c r="AP28" s="77">
        <f t="shared" si="21"/>
        <v>0</v>
      </c>
      <c r="AQ28" s="78"/>
      <c r="AR28" s="142"/>
      <c r="AS28" s="142"/>
      <c r="AT28" s="79">
        <f t="shared" si="22"/>
        <v>0</v>
      </c>
      <c r="AU28" s="75"/>
      <c r="AV28" s="76"/>
      <c r="AW28" s="135"/>
      <c r="AX28" s="135"/>
      <c r="AY28" s="77">
        <f t="shared" si="23"/>
        <v>0</v>
      </c>
      <c r="AZ28" s="76"/>
      <c r="BA28" s="142"/>
      <c r="BB28" s="142"/>
      <c r="BC28" s="77">
        <f t="shared" si="24"/>
        <v>0</v>
      </c>
      <c r="BD28" s="78"/>
      <c r="BE28" s="142"/>
      <c r="BF28" s="142"/>
      <c r="BG28" s="79">
        <f t="shared" si="25"/>
        <v>0</v>
      </c>
      <c r="BH28" s="75"/>
      <c r="BI28" s="76"/>
      <c r="BJ28" s="135"/>
      <c r="BK28" s="135"/>
      <c r="BL28" s="77">
        <f t="shared" si="26"/>
        <v>0</v>
      </c>
      <c r="BM28" s="78"/>
      <c r="BN28" s="142"/>
      <c r="BO28" s="142"/>
      <c r="BP28" s="77">
        <f t="shared" si="27"/>
        <v>0</v>
      </c>
      <c r="BQ28" s="78"/>
      <c r="BR28" s="142"/>
      <c r="BS28" s="142"/>
      <c r="BT28" s="79">
        <f t="shared" si="28"/>
        <v>0</v>
      </c>
      <c r="BU28" s="75"/>
      <c r="BV28" s="76"/>
      <c r="BW28" s="135"/>
      <c r="BX28" s="135"/>
      <c r="BY28" s="77">
        <f t="shared" si="29"/>
        <v>0</v>
      </c>
      <c r="BZ28" s="78"/>
      <c r="CA28" s="142"/>
      <c r="CB28" s="142"/>
      <c r="CC28" s="77">
        <f t="shared" si="30"/>
        <v>0</v>
      </c>
      <c r="CD28" s="78"/>
      <c r="CE28" s="142"/>
      <c r="CF28" s="142"/>
      <c r="CG28" s="79">
        <f t="shared" si="31"/>
        <v>0</v>
      </c>
      <c r="CH28" s="75"/>
      <c r="CI28" s="76"/>
      <c r="CJ28" s="135"/>
      <c r="CK28" s="135"/>
      <c r="CL28" s="77">
        <f t="shared" si="32"/>
        <v>0</v>
      </c>
      <c r="CM28" s="78"/>
      <c r="CN28" s="142"/>
      <c r="CO28" s="142"/>
      <c r="CP28" s="77">
        <f t="shared" si="33"/>
        <v>0</v>
      </c>
      <c r="CQ28" s="78"/>
      <c r="CR28" s="142"/>
      <c r="CS28" s="142"/>
      <c r="CT28" s="79">
        <f t="shared" si="34"/>
        <v>0</v>
      </c>
      <c r="CU28" s="80">
        <f t="shared" si="35"/>
        <v>0</v>
      </c>
      <c r="CV28" s="81">
        <f t="shared" si="36"/>
        <v>0</v>
      </c>
      <c r="CW28" s="144"/>
      <c r="CX28" s="145">
        <f>IF(ISERROR(VLOOKUP($A28,FIJOS!$B$11:$O$590,14,FALSE)),0,VLOOKUP($A28,FIJOS!$B$11:$O$590,14,FALSE))</f>
        <v>0</v>
      </c>
      <c r="CY28" s="145">
        <f>IF(ISERROR(VLOOKUP(A28,FIJOS!$B$10:$P$590,15,FALSE)),0,VLOOKUP(A28,FIJOS!$B$10:$P$590,15,FALSE))</f>
        <v>0</v>
      </c>
      <c r="CZ28" s="155"/>
      <c r="DA28" s="146"/>
      <c r="DB28" s="147"/>
      <c r="DC28" s="147"/>
      <c r="DD28" s="147"/>
      <c r="DE28" s="147"/>
      <c r="DF28" s="145">
        <f>IF(ISERROR(VLOOKUP($A28,FIJOS!$B$11:$N$590,13,FALSE)),0,VLOOKUP($A28,FIJOS!$B$11:$N$590,13,FALSE))</f>
        <v>0</v>
      </c>
      <c r="DG28" s="145">
        <f>IF(ISERROR(VLOOKUP($A28,FIJOS!$B$11:$P$447,12,FALSE)),0,VLOOKUP($A28,FIJOS!$B$11:$P$447,12,FALSE))</f>
        <v>0</v>
      </c>
      <c r="DH28" s="82">
        <f t="shared" si="37"/>
        <v>0</v>
      </c>
      <c r="DI28" s="83" t="b">
        <f>IF($C28=1,(VLOOKUP($A28,FIJOS!$B$11:$P$545,10,FALSE)/7)*(7-$CU28),IF(AND($C28=2,CV28&lt;$DJ$1),(VLOOKUP($D28,HORAS!$B$4:$C$42,2,FALSE)*24)*$CV28,IF(AND($C28=2,CV28&gt;=$DJ$1),VLOOKUP($D28,HORAS!$B$4:$D$42,3,FALSE),IF(AND($C28=3,$CV28&gt;=$DJ$1),VLOOKUP($A28,FIJOS!$B$11:$P$545,10,FALSE),IF(AND($C28=3,$CV28&lt;$DJ$1),((VLOOKUP($A28,FIJOS!$B$11:$P$545,10,FALSE)/48)*24)*$CV28,IF(AND($C28=4,$CV28&gt;=(42/24)),VLOOKUP($D28,HORAS!$B$4:$D$42,3,FALSE),IF(AND($C28=5,$CV28&gt;=(36/24)),VLOOKUP($D28,HORAS!$B$4:$D$42,3,FALSE))))))))</f>
        <v>0</v>
      </c>
      <c r="DJ28" s="145">
        <f>IF(OR($C28=2),VLOOKUP($D28,HORAS!$B$4:$E$42,4,FALSE)*$EC28,IF(ISERROR(VLOOKUP($A28,FIJOS!$B$11:$P$108,9,FALSE)),0,VLOOKUP($A28,FIJOS!$B$11:$P$231,9,FALSE)*$EC28))</f>
        <v>0</v>
      </c>
      <c r="DK28" s="145">
        <f>IF(OR($C28=2),VLOOKUP($D28,HORAS!$B$4:$F$42,5,FALSE)*$EE28,IF(ISERROR(VLOOKUP($A28,FIJOS!$B$11:$P$108,9,FALSE)),0,VLOOKUP($A28,FIJOS!$B$11:$P$231,9,FALSE)*$EE28))</f>
        <v>0</v>
      </c>
      <c r="DL28" s="144"/>
      <c r="DM28" s="145">
        <f>IF(ISERROR(VLOOKUP($A28,FIJOS!$B$11:$L$646,11,FALSE)),0,VLOOKUP($A28,FIJOS!$B$11:$L$646,11,FALSE))</f>
        <v>0</v>
      </c>
      <c r="DN28" s="148" t="e">
        <f>IF(OR($C28=1,$C28=3),0,IF((VLOOKUP(CAPTURA!D28,HORAS!$B$4:$K$42,10,FALSE)/4)*COUNTIF($H28:$CT28,3)&gt;100,100,(VLOOKUP(CAPTURA!D28,HORAS!$B$4:$K$42,10,FALSE)/4)*COUNTIF($H28:$CT28,3)))</f>
        <v>#N/A</v>
      </c>
      <c r="DO28" s="144" t="e">
        <f>IF(OR($C28=1,$C28=3),0,IF($C28=5,VLOOKUP(D28,HORAS!$B$4:$G$42,6,FALSE),IF(AND($C28=4,$CV28&gt;=(42/24)),VLOOKUP(D28,HORAS!$B$4:$G$42,6,FALSE),IF(COUNTIF($H28:$CL28,"F")&gt;0,0,IF(CV28&gt;$DJ$1,$DJ$1*(VLOOKUP(D28,HORAS!$B$4:$G$42,6,FALSE)/$DJ$1),CV28*(VLOOKUP(D28,HORAS!$B$4:$G$42,6,FALSE)/$DJ$1))))))</f>
        <v>#N/A</v>
      </c>
      <c r="DP28" s="156"/>
      <c r="DQ28" s="148"/>
      <c r="DR28" s="148"/>
      <c r="DS28" s="83" t="e">
        <f t="shared" si="38"/>
        <v>#N/A</v>
      </c>
      <c r="DT28" s="84"/>
      <c r="DU28" s="149" t="e">
        <f t="shared" si="39"/>
        <v>#N/A</v>
      </c>
      <c r="DV28" s="149" t="e">
        <f t="shared" si="40"/>
        <v>#N/A</v>
      </c>
      <c r="DW28" s="144" t="e">
        <f t="shared" si="41"/>
        <v>#N/A</v>
      </c>
      <c r="DX28" s="134"/>
      <c r="DY28" s="29"/>
      <c r="DZ28" s="150"/>
      <c r="EA28" s="134"/>
      <c r="EB28" s="137">
        <f t="shared" si="11"/>
        <v>0</v>
      </c>
      <c r="EC28" s="138">
        <f t="shared" si="9"/>
        <v>0</v>
      </c>
      <c r="ED28" s="137">
        <f t="shared" si="12"/>
        <v>0</v>
      </c>
      <c r="EE28" s="132">
        <f t="shared" si="10"/>
        <v>0</v>
      </c>
      <c r="EF28" s="29"/>
      <c r="EG28" s="134"/>
      <c r="EH28" s="134"/>
      <c r="EI28" s="29"/>
      <c r="EJ28" s="134"/>
    </row>
    <row r="29" spans="1:140" ht="15" customHeight="1" x14ac:dyDescent="0.25">
      <c r="A29" s="140"/>
      <c r="B29" s="5"/>
      <c r="C29" s="72"/>
      <c r="D29" s="73"/>
      <c r="E29" s="73"/>
      <c r="F29" s="141"/>
      <c r="G29" s="74"/>
      <c r="H29" s="75"/>
      <c r="I29" s="76"/>
      <c r="J29" s="135"/>
      <c r="K29" s="135"/>
      <c r="L29" s="77">
        <f t="shared" si="14"/>
        <v>0</v>
      </c>
      <c r="M29" s="78"/>
      <c r="N29" s="142"/>
      <c r="O29" s="142"/>
      <c r="P29" s="77">
        <f t="shared" si="15"/>
        <v>0</v>
      </c>
      <c r="Q29" s="78"/>
      <c r="R29" s="143"/>
      <c r="S29" s="143"/>
      <c r="T29" s="77">
        <f t="shared" si="16"/>
        <v>0</v>
      </c>
      <c r="U29" s="75"/>
      <c r="V29" s="76"/>
      <c r="W29" s="135"/>
      <c r="X29" s="135"/>
      <c r="Y29" s="77">
        <f t="shared" si="17"/>
        <v>0</v>
      </c>
      <c r="Z29" s="78"/>
      <c r="AA29" s="142"/>
      <c r="AB29" s="142"/>
      <c r="AC29" s="77">
        <f t="shared" si="18"/>
        <v>0</v>
      </c>
      <c r="AD29" s="78"/>
      <c r="AE29" s="143"/>
      <c r="AF29" s="143"/>
      <c r="AG29" s="79">
        <f t="shared" si="19"/>
        <v>0</v>
      </c>
      <c r="AH29" s="75"/>
      <c r="AI29" s="76"/>
      <c r="AJ29" s="135"/>
      <c r="AK29" s="135"/>
      <c r="AL29" s="77">
        <f t="shared" si="20"/>
        <v>0</v>
      </c>
      <c r="AM29" s="76"/>
      <c r="AN29" s="142"/>
      <c r="AO29" s="142"/>
      <c r="AP29" s="77">
        <f t="shared" si="21"/>
        <v>0</v>
      </c>
      <c r="AQ29" s="78"/>
      <c r="AR29" s="142"/>
      <c r="AS29" s="142"/>
      <c r="AT29" s="79">
        <f t="shared" si="22"/>
        <v>0</v>
      </c>
      <c r="AU29" s="75"/>
      <c r="AV29" s="76"/>
      <c r="AW29" s="135"/>
      <c r="AX29" s="135"/>
      <c r="AY29" s="77">
        <f t="shared" si="23"/>
        <v>0</v>
      </c>
      <c r="AZ29" s="76"/>
      <c r="BA29" s="142"/>
      <c r="BB29" s="142"/>
      <c r="BC29" s="77">
        <f t="shared" si="24"/>
        <v>0</v>
      </c>
      <c r="BD29" s="78"/>
      <c r="BE29" s="142"/>
      <c r="BF29" s="142"/>
      <c r="BG29" s="79">
        <f t="shared" si="25"/>
        <v>0</v>
      </c>
      <c r="BH29" s="75"/>
      <c r="BI29" s="76"/>
      <c r="BJ29" s="135"/>
      <c r="BK29" s="135"/>
      <c r="BL29" s="77">
        <f t="shared" si="26"/>
        <v>0</v>
      </c>
      <c r="BM29" s="78"/>
      <c r="BN29" s="142"/>
      <c r="BO29" s="142"/>
      <c r="BP29" s="77">
        <f t="shared" si="27"/>
        <v>0</v>
      </c>
      <c r="BQ29" s="78"/>
      <c r="BR29" s="142"/>
      <c r="BS29" s="142"/>
      <c r="BT29" s="79">
        <f t="shared" si="28"/>
        <v>0</v>
      </c>
      <c r="BU29" s="75"/>
      <c r="BV29" s="76"/>
      <c r="BW29" s="135"/>
      <c r="BX29" s="135"/>
      <c r="BY29" s="77">
        <f t="shared" si="29"/>
        <v>0</v>
      </c>
      <c r="BZ29" s="78"/>
      <c r="CA29" s="142"/>
      <c r="CB29" s="142"/>
      <c r="CC29" s="77">
        <f t="shared" si="30"/>
        <v>0</v>
      </c>
      <c r="CD29" s="78"/>
      <c r="CE29" s="142"/>
      <c r="CF29" s="142"/>
      <c r="CG29" s="79">
        <f t="shared" si="31"/>
        <v>0</v>
      </c>
      <c r="CH29" s="75"/>
      <c r="CI29" s="76"/>
      <c r="CJ29" s="135"/>
      <c r="CK29" s="135"/>
      <c r="CL29" s="77">
        <f t="shared" si="32"/>
        <v>0</v>
      </c>
      <c r="CM29" s="78"/>
      <c r="CN29" s="142"/>
      <c r="CO29" s="142"/>
      <c r="CP29" s="77">
        <f t="shared" si="33"/>
        <v>0</v>
      </c>
      <c r="CQ29" s="78"/>
      <c r="CR29" s="142"/>
      <c r="CS29" s="142"/>
      <c r="CT29" s="79">
        <f t="shared" si="34"/>
        <v>0</v>
      </c>
      <c r="CU29" s="80">
        <f t="shared" si="35"/>
        <v>0</v>
      </c>
      <c r="CV29" s="81">
        <f t="shared" si="36"/>
        <v>0</v>
      </c>
      <c r="CW29" s="144"/>
      <c r="CX29" s="145">
        <f>IF(ISERROR(VLOOKUP($A29,FIJOS!$B$11:$O$590,14,FALSE)),0,VLOOKUP($A29,FIJOS!$B$11:$O$590,14,FALSE))</f>
        <v>0</v>
      </c>
      <c r="CY29" s="145">
        <f>IF(ISERROR(VLOOKUP(A29,FIJOS!$B$10:$P$590,15,FALSE)),0,VLOOKUP(A29,FIJOS!$B$10:$P$590,15,FALSE))</f>
        <v>0</v>
      </c>
      <c r="CZ29" s="155"/>
      <c r="DA29" s="146"/>
      <c r="DB29" s="147"/>
      <c r="DC29" s="147"/>
      <c r="DD29" s="147"/>
      <c r="DE29" s="147"/>
      <c r="DF29" s="145">
        <f>IF(ISERROR(VLOOKUP($A29,FIJOS!$B$11:$N$590,13,FALSE)),0,VLOOKUP($A29,FIJOS!$B$11:$N$590,13,FALSE))</f>
        <v>0</v>
      </c>
      <c r="DG29" s="145">
        <f>IF(ISERROR(VLOOKUP($A29,FIJOS!$B$11:$P$447,12,FALSE)),0,VLOOKUP($A29,FIJOS!$B$11:$P$447,12,FALSE))</f>
        <v>0</v>
      </c>
      <c r="DH29" s="82">
        <f t="shared" si="37"/>
        <v>0</v>
      </c>
      <c r="DI29" s="83" t="b">
        <f>IF($C29=1,(VLOOKUP($A29,FIJOS!$B$11:$P$545,10,FALSE)/7)*(7-$CU29),IF(AND($C29=2,CV29&lt;$DJ$1),(VLOOKUP($D29,HORAS!$B$4:$C$42,2,FALSE)*24)*$CV29,IF(AND($C29=2,CV29&gt;=$DJ$1),VLOOKUP($D29,HORAS!$B$4:$D$42,3,FALSE),IF(AND($C29=3,$CV29&gt;=$DJ$1),VLOOKUP($A29,FIJOS!$B$11:$P$545,10,FALSE),IF(AND($C29=3,$CV29&lt;$DJ$1),((VLOOKUP($A29,FIJOS!$B$11:$P$545,10,FALSE)/48)*24)*$CV29,IF(AND($C29=4,$CV29&gt;=(42/24)),VLOOKUP($D29,HORAS!$B$4:$D$42,3,FALSE),IF(AND($C29=5,$CV29&gt;=(36/24)),VLOOKUP($D29,HORAS!$B$4:$D$42,3,FALSE))))))))</f>
        <v>0</v>
      </c>
      <c r="DJ29" s="145">
        <f>IF(OR($C29=2),VLOOKUP($D29,HORAS!$B$4:$E$42,4,FALSE)*$EC29,IF(ISERROR(VLOOKUP($A29,FIJOS!$B$11:$P$108,9,FALSE)),0,VLOOKUP($A29,FIJOS!$B$11:$P$231,9,FALSE)*$EC29))</f>
        <v>0</v>
      </c>
      <c r="DK29" s="145">
        <f>IF(OR($C29=2),VLOOKUP($D29,HORAS!$B$4:$F$42,5,FALSE)*$EE29,IF(ISERROR(VLOOKUP($A29,FIJOS!$B$11:$P$108,9,FALSE)),0,VLOOKUP($A29,FIJOS!$B$11:$P$231,9,FALSE)*$EE29))</f>
        <v>0</v>
      </c>
      <c r="DL29" s="144"/>
      <c r="DM29" s="145">
        <f>IF(ISERROR(VLOOKUP($A29,FIJOS!$B$11:$L$646,11,FALSE)),0,VLOOKUP($A29,FIJOS!$B$11:$L$646,11,FALSE))</f>
        <v>0</v>
      </c>
      <c r="DN29" s="148" t="e">
        <f>IF(OR($C29=1,$C29=3),0,IF((VLOOKUP(CAPTURA!D29,HORAS!$B$4:$K$42,10,FALSE)/4)*COUNTIF($H29:$CT29,3)&gt;100,100,(VLOOKUP(CAPTURA!D29,HORAS!$B$4:$K$42,10,FALSE)/4)*COUNTIF($H29:$CT29,3)))</f>
        <v>#N/A</v>
      </c>
      <c r="DO29" s="144" t="e">
        <f>IF(OR($C29=1,$C29=3),0,IF($C29=5,VLOOKUP(D29,HORAS!$B$4:$G$42,6,FALSE),IF(AND($C29=4,$CV29&gt;=(42/24)),VLOOKUP(D29,HORAS!$B$4:$G$42,6,FALSE),IF(COUNTIF($H29:$CL29,"F")&gt;0,0,IF(CV29&gt;$DJ$1,$DJ$1*(VLOOKUP(D29,HORAS!$B$4:$G$42,6,FALSE)/$DJ$1),CV29*(VLOOKUP(D29,HORAS!$B$4:$G$42,6,FALSE)/$DJ$1))))))</f>
        <v>#N/A</v>
      </c>
      <c r="DP29" s="156"/>
      <c r="DQ29" s="148"/>
      <c r="DR29" s="148"/>
      <c r="DS29" s="83" t="e">
        <f t="shared" si="38"/>
        <v>#N/A</v>
      </c>
      <c r="DT29" s="84"/>
      <c r="DU29" s="149" t="e">
        <f t="shared" si="39"/>
        <v>#N/A</v>
      </c>
      <c r="DV29" s="149" t="e">
        <f t="shared" si="40"/>
        <v>#N/A</v>
      </c>
      <c r="DW29" s="144" t="e">
        <f t="shared" si="41"/>
        <v>#N/A</v>
      </c>
      <c r="DX29" s="134"/>
      <c r="DY29" s="29"/>
      <c r="DZ29" s="150"/>
      <c r="EA29" s="134"/>
      <c r="EB29" s="137">
        <f t="shared" si="11"/>
        <v>0</v>
      </c>
      <c r="EC29" s="138">
        <f t="shared" si="9"/>
        <v>0</v>
      </c>
      <c r="ED29" s="137">
        <f t="shared" si="12"/>
        <v>0</v>
      </c>
      <c r="EE29" s="132">
        <f t="shared" si="10"/>
        <v>0</v>
      </c>
      <c r="EF29" s="29"/>
      <c r="EG29" s="134"/>
      <c r="EH29" s="134"/>
      <c r="EI29" s="29"/>
      <c r="EJ29" s="134"/>
    </row>
    <row r="30" spans="1:140" ht="15" customHeight="1" x14ac:dyDescent="0.25">
      <c r="A30" s="140"/>
      <c r="B30" s="5"/>
      <c r="C30" s="72"/>
      <c r="D30" s="73"/>
      <c r="E30" s="73"/>
      <c r="F30" s="141"/>
      <c r="G30" s="74"/>
      <c r="H30" s="75"/>
      <c r="I30" s="76"/>
      <c r="J30" s="135"/>
      <c r="K30" s="135"/>
      <c r="L30" s="77">
        <f t="shared" si="14"/>
        <v>0</v>
      </c>
      <c r="M30" s="78"/>
      <c r="N30" s="142"/>
      <c r="O30" s="142"/>
      <c r="P30" s="77">
        <f t="shared" si="15"/>
        <v>0</v>
      </c>
      <c r="Q30" s="78"/>
      <c r="R30" s="143"/>
      <c r="S30" s="143"/>
      <c r="T30" s="77">
        <f t="shared" si="16"/>
        <v>0</v>
      </c>
      <c r="U30" s="75"/>
      <c r="V30" s="76"/>
      <c r="W30" s="135"/>
      <c r="X30" s="135"/>
      <c r="Y30" s="77">
        <f t="shared" si="17"/>
        <v>0</v>
      </c>
      <c r="Z30" s="78"/>
      <c r="AA30" s="142"/>
      <c r="AB30" s="142"/>
      <c r="AC30" s="77">
        <f t="shared" si="18"/>
        <v>0</v>
      </c>
      <c r="AD30" s="78"/>
      <c r="AE30" s="143"/>
      <c r="AF30" s="143"/>
      <c r="AG30" s="79">
        <f t="shared" si="19"/>
        <v>0</v>
      </c>
      <c r="AH30" s="75"/>
      <c r="AI30" s="76"/>
      <c r="AJ30" s="135"/>
      <c r="AK30" s="135"/>
      <c r="AL30" s="77">
        <f t="shared" si="20"/>
        <v>0</v>
      </c>
      <c r="AM30" s="76"/>
      <c r="AN30" s="142"/>
      <c r="AO30" s="142"/>
      <c r="AP30" s="77">
        <f t="shared" si="21"/>
        <v>0</v>
      </c>
      <c r="AQ30" s="78"/>
      <c r="AR30" s="142"/>
      <c r="AS30" s="142"/>
      <c r="AT30" s="79">
        <f t="shared" si="22"/>
        <v>0</v>
      </c>
      <c r="AU30" s="75"/>
      <c r="AV30" s="76"/>
      <c r="AW30" s="135"/>
      <c r="AX30" s="135"/>
      <c r="AY30" s="77">
        <f t="shared" si="23"/>
        <v>0</v>
      </c>
      <c r="AZ30" s="76"/>
      <c r="BA30" s="142"/>
      <c r="BB30" s="142"/>
      <c r="BC30" s="77">
        <f t="shared" si="24"/>
        <v>0</v>
      </c>
      <c r="BD30" s="78"/>
      <c r="BE30" s="142"/>
      <c r="BF30" s="142"/>
      <c r="BG30" s="79">
        <f t="shared" si="25"/>
        <v>0</v>
      </c>
      <c r="BH30" s="75"/>
      <c r="BI30" s="76"/>
      <c r="BJ30" s="135"/>
      <c r="BK30" s="135"/>
      <c r="BL30" s="77">
        <f t="shared" si="26"/>
        <v>0</v>
      </c>
      <c r="BM30" s="78"/>
      <c r="BN30" s="142"/>
      <c r="BO30" s="142"/>
      <c r="BP30" s="77">
        <f t="shared" si="27"/>
        <v>0</v>
      </c>
      <c r="BQ30" s="78"/>
      <c r="BR30" s="142"/>
      <c r="BS30" s="142"/>
      <c r="BT30" s="79">
        <f t="shared" si="28"/>
        <v>0</v>
      </c>
      <c r="BU30" s="75"/>
      <c r="BV30" s="76"/>
      <c r="BW30" s="135"/>
      <c r="BX30" s="135"/>
      <c r="BY30" s="77">
        <f t="shared" si="29"/>
        <v>0</v>
      </c>
      <c r="BZ30" s="78"/>
      <c r="CA30" s="142"/>
      <c r="CB30" s="142"/>
      <c r="CC30" s="77">
        <f t="shared" si="30"/>
        <v>0</v>
      </c>
      <c r="CD30" s="78"/>
      <c r="CE30" s="142"/>
      <c r="CF30" s="142"/>
      <c r="CG30" s="79">
        <f t="shared" si="31"/>
        <v>0</v>
      </c>
      <c r="CH30" s="75"/>
      <c r="CI30" s="76"/>
      <c r="CJ30" s="135"/>
      <c r="CK30" s="135"/>
      <c r="CL30" s="77">
        <f t="shared" si="32"/>
        <v>0</v>
      </c>
      <c r="CM30" s="78"/>
      <c r="CN30" s="142"/>
      <c r="CO30" s="142"/>
      <c r="CP30" s="77">
        <f t="shared" si="33"/>
        <v>0</v>
      </c>
      <c r="CQ30" s="78"/>
      <c r="CR30" s="142"/>
      <c r="CS30" s="142"/>
      <c r="CT30" s="79">
        <f t="shared" si="34"/>
        <v>0</v>
      </c>
      <c r="CU30" s="80">
        <f t="shared" si="35"/>
        <v>0</v>
      </c>
      <c r="CV30" s="81">
        <f t="shared" si="36"/>
        <v>0</v>
      </c>
      <c r="CW30" s="144"/>
      <c r="CX30" s="145">
        <f>IF(ISERROR(VLOOKUP($A30,FIJOS!$B$11:$O$590,14,FALSE)),0,VLOOKUP($A30,FIJOS!$B$11:$O$590,14,FALSE))</f>
        <v>0</v>
      </c>
      <c r="CY30" s="145">
        <f>IF(ISERROR(VLOOKUP(A30,FIJOS!$B$10:$P$590,15,FALSE)),0,VLOOKUP(A30,FIJOS!$B$10:$P$590,15,FALSE))</f>
        <v>0</v>
      </c>
      <c r="CZ30" s="155"/>
      <c r="DA30" s="146"/>
      <c r="DB30" s="147"/>
      <c r="DC30" s="147"/>
      <c r="DD30" s="147"/>
      <c r="DE30" s="147"/>
      <c r="DF30" s="145">
        <f>IF(ISERROR(VLOOKUP($A30,FIJOS!$B$11:$N$590,13,FALSE)),0,VLOOKUP($A30,FIJOS!$B$11:$N$590,13,FALSE))</f>
        <v>0</v>
      </c>
      <c r="DG30" s="145">
        <f>IF(ISERROR(VLOOKUP($A30,FIJOS!$B$11:$P$447,12,FALSE)),0,VLOOKUP($A30,FIJOS!$B$11:$P$447,12,FALSE))</f>
        <v>0</v>
      </c>
      <c r="DH30" s="82">
        <f t="shared" si="37"/>
        <v>0</v>
      </c>
      <c r="DI30" s="83" t="b">
        <f>IF($C30=1,(VLOOKUP($A30,FIJOS!$B$11:$P$545,10,FALSE)/7)*(7-$CU30),IF(AND($C30=2,CV30&lt;$DJ$1),(VLOOKUP($D30,HORAS!$B$4:$C$42,2,FALSE)*24)*$CV30,IF(AND($C30=2,CV30&gt;=$DJ$1),VLOOKUP($D30,HORAS!$B$4:$D$42,3,FALSE),IF(AND($C30=3,$CV30&gt;=$DJ$1),VLOOKUP($A30,FIJOS!$B$11:$P$545,10,FALSE),IF(AND($C30=3,$CV30&lt;$DJ$1),((VLOOKUP($A30,FIJOS!$B$11:$P$545,10,FALSE)/48)*24)*$CV30,IF(AND($C30=4,$CV30&gt;=(42/24)),VLOOKUP($D30,HORAS!$B$4:$D$42,3,FALSE),IF(AND($C30=5,$CV30&gt;=(36/24)),VLOOKUP($D30,HORAS!$B$4:$D$42,3,FALSE))))))))</f>
        <v>0</v>
      </c>
      <c r="DJ30" s="145">
        <f>IF(OR($C30=2),VLOOKUP($D30,HORAS!$B$4:$E$42,4,FALSE)*$EC30,IF(ISERROR(VLOOKUP($A30,FIJOS!$B$11:$P$108,9,FALSE)),0,VLOOKUP($A30,FIJOS!$B$11:$P$231,9,FALSE)*$EC30))</f>
        <v>0</v>
      </c>
      <c r="DK30" s="145">
        <f>IF(OR($C30=2),VLOOKUP($D30,HORAS!$B$4:$F$42,5,FALSE)*$EE30,IF(ISERROR(VLOOKUP($A30,FIJOS!$B$11:$P$108,9,FALSE)),0,VLOOKUP($A30,FIJOS!$B$11:$P$231,9,FALSE)*$EE30))</f>
        <v>0</v>
      </c>
      <c r="DL30" s="144"/>
      <c r="DM30" s="145">
        <f>IF(ISERROR(VLOOKUP($A30,FIJOS!$B$11:$L$646,11,FALSE)),0,VLOOKUP($A30,FIJOS!$B$11:$L$646,11,FALSE))</f>
        <v>0</v>
      </c>
      <c r="DN30" s="148" t="e">
        <f>IF(OR($C30=1,$C30=3),0,IF((VLOOKUP(CAPTURA!D30,HORAS!$B$4:$K$42,10,FALSE)/4)*COUNTIF($H30:$CT30,3)&gt;100,100,(VLOOKUP(CAPTURA!D30,HORAS!$B$4:$K$42,10,FALSE)/4)*COUNTIF($H30:$CT30,3)))</f>
        <v>#N/A</v>
      </c>
      <c r="DO30" s="144" t="e">
        <f>IF(OR($C30=1,$C30=3),0,IF($C30=5,VLOOKUP(D30,HORAS!$B$4:$G$42,6,FALSE),IF(AND($C30=4,$CV30&gt;=(42/24)),VLOOKUP(D30,HORAS!$B$4:$G$42,6,FALSE),IF(COUNTIF($H30:$CL30,"F")&gt;0,0,IF(CV30&gt;$DJ$1,$DJ$1*(VLOOKUP(D30,HORAS!$B$4:$G$42,6,FALSE)/$DJ$1),CV30*(VLOOKUP(D30,HORAS!$B$4:$G$42,6,FALSE)/$DJ$1))))))</f>
        <v>#N/A</v>
      </c>
      <c r="DP30" s="156"/>
      <c r="DQ30" s="148"/>
      <c r="DR30" s="148"/>
      <c r="DS30" s="83" t="e">
        <f t="shared" si="38"/>
        <v>#N/A</v>
      </c>
      <c r="DT30" s="84"/>
      <c r="DU30" s="149" t="e">
        <f t="shared" si="39"/>
        <v>#N/A</v>
      </c>
      <c r="DV30" s="149" t="e">
        <f t="shared" si="40"/>
        <v>#N/A</v>
      </c>
      <c r="DW30" s="144" t="e">
        <f t="shared" si="41"/>
        <v>#N/A</v>
      </c>
      <c r="DX30" s="134"/>
      <c r="DY30" s="29"/>
      <c r="DZ30" s="150"/>
      <c r="EA30" s="134"/>
      <c r="EB30" s="137">
        <f t="shared" si="11"/>
        <v>0</v>
      </c>
      <c r="EC30" s="138">
        <f t="shared" si="9"/>
        <v>0</v>
      </c>
      <c r="ED30" s="137">
        <f t="shared" si="12"/>
        <v>0</v>
      </c>
      <c r="EE30" s="132">
        <f t="shared" si="10"/>
        <v>0</v>
      </c>
      <c r="EF30" s="29"/>
      <c r="EG30" s="134"/>
      <c r="EH30" s="134"/>
      <c r="EI30" s="29"/>
      <c r="EJ30" s="134"/>
    </row>
    <row r="31" spans="1:140" ht="15" customHeight="1" x14ac:dyDescent="0.25">
      <c r="A31" s="140"/>
      <c r="B31" s="5"/>
      <c r="C31" s="72"/>
      <c r="D31" s="73"/>
      <c r="E31" s="73"/>
      <c r="F31" s="141"/>
      <c r="G31" s="74"/>
      <c r="H31" s="75"/>
      <c r="I31" s="76"/>
      <c r="J31" s="135"/>
      <c r="K31" s="135"/>
      <c r="L31" s="77">
        <f t="shared" si="14"/>
        <v>0</v>
      </c>
      <c r="M31" s="78"/>
      <c r="N31" s="142"/>
      <c r="O31" s="142"/>
      <c r="P31" s="77">
        <f t="shared" si="15"/>
        <v>0</v>
      </c>
      <c r="Q31" s="78"/>
      <c r="R31" s="143"/>
      <c r="S31" s="143"/>
      <c r="T31" s="77">
        <f t="shared" si="16"/>
        <v>0</v>
      </c>
      <c r="U31" s="75"/>
      <c r="V31" s="76"/>
      <c r="W31" s="135"/>
      <c r="X31" s="135"/>
      <c r="Y31" s="77">
        <f t="shared" si="17"/>
        <v>0</v>
      </c>
      <c r="Z31" s="78"/>
      <c r="AA31" s="142"/>
      <c r="AB31" s="142"/>
      <c r="AC31" s="77">
        <f t="shared" si="18"/>
        <v>0</v>
      </c>
      <c r="AD31" s="78"/>
      <c r="AE31" s="143"/>
      <c r="AF31" s="143"/>
      <c r="AG31" s="79">
        <f t="shared" si="19"/>
        <v>0</v>
      </c>
      <c r="AH31" s="75"/>
      <c r="AI31" s="76"/>
      <c r="AJ31" s="135"/>
      <c r="AK31" s="135"/>
      <c r="AL31" s="77">
        <f t="shared" si="20"/>
        <v>0</v>
      </c>
      <c r="AM31" s="76"/>
      <c r="AN31" s="142"/>
      <c r="AO31" s="142"/>
      <c r="AP31" s="77">
        <f t="shared" si="21"/>
        <v>0</v>
      </c>
      <c r="AQ31" s="78"/>
      <c r="AR31" s="142"/>
      <c r="AS31" s="142"/>
      <c r="AT31" s="79">
        <f t="shared" si="22"/>
        <v>0</v>
      </c>
      <c r="AU31" s="75"/>
      <c r="AV31" s="76"/>
      <c r="AW31" s="135"/>
      <c r="AX31" s="135"/>
      <c r="AY31" s="77">
        <f t="shared" si="23"/>
        <v>0</v>
      </c>
      <c r="AZ31" s="76"/>
      <c r="BA31" s="142"/>
      <c r="BB31" s="142"/>
      <c r="BC31" s="77">
        <f t="shared" si="24"/>
        <v>0</v>
      </c>
      <c r="BD31" s="78"/>
      <c r="BE31" s="142"/>
      <c r="BF31" s="142"/>
      <c r="BG31" s="79">
        <f t="shared" si="25"/>
        <v>0</v>
      </c>
      <c r="BH31" s="75"/>
      <c r="BI31" s="76"/>
      <c r="BJ31" s="135"/>
      <c r="BK31" s="135"/>
      <c r="BL31" s="77">
        <f t="shared" si="26"/>
        <v>0</v>
      </c>
      <c r="BM31" s="78"/>
      <c r="BN31" s="142"/>
      <c r="BO31" s="142"/>
      <c r="BP31" s="77">
        <f t="shared" si="27"/>
        <v>0</v>
      </c>
      <c r="BQ31" s="78"/>
      <c r="BR31" s="142"/>
      <c r="BS31" s="142"/>
      <c r="BT31" s="79">
        <f t="shared" si="28"/>
        <v>0</v>
      </c>
      <c r="BU31" s="75"/>
      <c r="BV31" s="76"/>
      <c r="BW31" s="135"/>
      <c r="BX31" s="135"/>
      <c r="BY31" s="77">
        <f t="shared" si="29"/>
        <v>0</v>
      </c>
      <c r="BZ31" s="78"/>
      <c r="CA31" s="142"/>
      <c r="CB31" s="142"/>
      <c r="CC31" s="77">
        <f t="shared" si="30"/>
        <v>0</v>
      </c>
      <c r="CD31" s="78"/>
      <c r="CE31" s="142"/>
      <c r="CF31" s="142"/>
      <c r="CG31" s="79">
        <f t="shared" si="31"/>
        <v>0</v>
      </c>
      <c r="CH31" s="75"/>
      <c r="CI31" s="76"/>
      <c r="CJ31" s="135"/>
      <c r="CK31" s="135"/>
      <c r="CL31" s="77">
        <f t="shared" si="32"/>
        <v>0</v>
      </c>
      <c r="CM31" s="78"/>
      <c r="CN31" s="142"/>
      <c r="CO31" s="142"/>
      <c r="CP31" s="77">
        <f t="shared" si="33"/>
        <v>0</v>
      </c>
      <c r="CQ31" s="78"/>
      <c r="CR31" s="142"/>
      <c r="CS31" s="142"/>
      <c r="CT31" s="79">
        <f t="shared" si="34"/>
        <v>0</v>
      </c>
      <c r="CU31" s="80">
        <f t="shared" si="35"/>
        <v>0</v>
      </c>
      <c r="CV31" s="81">
        <f t="shared" si="36"/>
        <v>0</v>
      </c>
      <c r="CW31" s="144"/>
      <c r="CX31" s="145">
        <f>IF(ISERROR(VLOOKUP($A31,FIJOS!$B$11:$O$590,14,FALSE)),0,VLOOKUP($A31,FIJOS!$B$11:$O$590,14,FALSE))</f>
        <v>0</v>
      </c>
      <c r="CY31" s="145">
        <f>IF(ISERROR(VLOOKUP(A31,FIJOS!$B$10:$P$590,15,FALSE)),0,VLOOKUP(A31,FIJOS!$B$10:$P$590,15,FALSE))</f>
        <v>0</v>
      </c>
      <c r="CZ31" s="155"/>
      <c r="DA31" s="146"/>
      <c r="DB31" s="147"/>
      <c r="DC31" s="147"/>
      <c r="DD31" s="147"/>
      <c r="DE31" s="147"/>
      <c r="DF31" s="145">
        <f>IF(ISERROR(VLOOKUP($A31,FIJOS!$B$11:$N$590,13,FALSE)),0,VLOOKUP($A31,FIJOS!$B$11:$N$590,13,FALSE))</f>
        <v>0</v>
      </c>
      <c r="DG31" s="145">
        <f>IF(ISERROR(VLOOKUP($A31,FIJOS!$B$11:$P$447,12,FALSE)),0,VLOOKUP($A31,FIJOS!$B$11:$P$447,12,FALSE))</f>
        <v>0</v>
      </c>
      <c r="DH31" s="82">
        <f t="shared" si="37"/>
        <v>0</v>
      </c>
      <c r="DI31" s="83" t="b">
        <f>IF($C31=1,(VLOOKUP($A31,FIJOS!$B$11:$P$545,10,FALSE)/7)*(7-$CU31),IF(AND($C31=2,CV31&lt;$DJ$1),(VLOOKUP($D31,HORAS!$B$4:$C$42,2,FALSE)*24)*$CV31,IF(AND($C31=2,CV31&gt;=$DJ$1),VLOOKUP($D31,HORAS!$B$4:$D$42,3,FALSE),IF(AND($C31=3,$CV31&gt;=$DJ$1),VLOOKUP($A31,FIJOS!$B$11:$P$545,10,FALSE),IF(AND($C31=3,$CV31&lt;$DJ$1),((VLOOKUP($A31,FIJOS!$B$11:$P$545,10,FALSE)/48)*24)*$CV31,IF(AND($C31=4,$CV31&gt;=(42/24)),VLOOKUP($D31,HORAS!$B$4:$D$42,3,FALSE),IF(AND($C31=5,$CV31&gt;=(36/24)),VLOOKUP($D31,HORAS!$B$4:$D$42,3,FALSE))))))))</f>
        <v>0</v>
      </c>
      <c r="DJ31" s="145">
        <f>IF(OR($C31=2),VLOOKUP($D31,HORAS!$B$4:$E$42,4,FALSE)*$EC31,IF(ISERROR(VLOOKUP($A31,FIJOS!$B$11:$P$108,9,FALSE)),0,VLOOKUP($A31,FIJOS!$B$11:$P$231,9,FALSE)*$EC31))</f>
        <v>0</v>
      </c>
      <c r="DK31" s="145">
        <f>IF(OR($C31=2),VLOOKUP($D31,HORAS!$B$4:$F$42,5,FALSE)*$EE31,IF(ISERROR(VLOOKUP($A31,FIJOS!$B$11:$P$108,9,FALSE)),0,VLOOKUP($A31,FIJOS!$B$11:$P$231,9,FALSE)*$EE31))</f>
        <v>0</v>
      </c>
      <c r="DL31" s="144"/>
      <c r="DM31" s="145">
        <f>IF(ISERROR(VLOOKUP($A31,FIJOS!$B$11:$L$646,11,FALSE)),0,VLOOKUP($A31,FIJOS!$B$11:$L$646,11,FALSE))</f>
        <v>0</v>
      </c>
      <c r="DN31" s="148" t="e">
        <f>IF(OR($C31=1,$C31=3),0,IF((VLOOKUP(CAPTURA!D31,HORAS!$B$4:$K$42,10,FALSE)/4)*COUNTIF($H31:$CT31,3)&gt;100,100,(VLOOKUP(CAPTURA!D31,HORAS!$B$4:$K$42,10,FALSE)/4)*COUNTIF($H31:$CT31,3)))</f>
        <v>#N/A</v>
      </c>
      <c r="DO31" s="144" t="e">
        <f>IF(OR($C31=1,$C31=3),0,IF($C31=5,VLOOKUP(D31,HORAS!$B$4:$G$42,6,FALSE),IF(AND($C31=4,$CV31&gt;=(42/24)),VLOOKUP(D31,HORAS!$B$4:$G$42,6,FALSE),IF(COUNTIF($H31:$CL31,"F")&gt;0,0,IF(CV31&gt;$DJ$1,$DJ$1*(VLOOKUP(D31,HORAS!$B$4:$G$42,6,FALSE)/$DJ$1),CV31*(VLOOKUP(D31,HORAS!$B$4:$G$42,6,FALSE)/$DJ$1))))))</f>
        <v>#N/A</v>
      </c>
      <c r="DP31" s="156"/>
      <c r="DQ31" s="148"/>
      <c r="DR31" s="148"/>
      <c r="DS31" s="83" t="e">
        <f t="shared" si="38"/>
        <v>#N/A</v>
      </c>
      <c r="DT31" s="84"/>
      <c r="DU31" s="149" t="e">
        <f t="shared" si="39"/>
        <v>#N/A</v>
      </c>
      <c r="DV31" s="149" t="e">
        <f t="shared" si="40"/>
        <v>#N/A</v>
      </c>
      <c r="DW31" s="144" t="e">
        <f t="shared" si="41"/>
        <v>#N/A</v>
      </c>
      <c r="DX31" s="134"/>
      <c r="DY31" s="29"/>
      <c r="DZ31" s="150"/>
      <c r="EA31" s="134"/>
      <c r="EB31" s="137">
        <f t="shared" si="11"/>
        <v>0</v>
      </c>
      <c r="EC31" s="138">
        <f t="shared" si="9"/>
        <v>0</v>
      </c>
      <c r="ED31" s="137">
        <f t="shared" si="12"/>
        <v>0</v>
      </c>
      <c r="EE31" s="132">
        <f t="shared" si="10"/>
        <v>0</v>
      </c>
      <c r="EF31" s="29"/>
      <c r="EG31" s="134"/>
      <c r="EH31" s="134"/>
      <c r="EI31" s="29"/>
      <c r="EJ31" s="134"/>
    </row>
    <row r="32" spans="1:140" ht="15" customHeight="1" x14ac:dyDescent="0.25">
      <c r="A32" s="140"/>
      <c r="B32" s="5"/>
      <c r="C32" s="72"/>
      <c r="D32" s="73"/>
      <c r="E32" s="73"/>
      <c r="F32" s="141"/>
      <c r="G32" s="74"/>
      <c r="H32" s="75"/>
      <c r="I32" s="76"/>
      <c r="J32" s="135"/>
      <c r="K32" s="135"/>
      <c r="L32" s="77">
        <f t="shared" si="14"/>
        <v>0</v>
      </c>
      <c r="M32" s="78"/>
      <c r="N32" s="142"/>
      <c r="O32" s="142"/>
      <c r="P32" s="77">
        <f t="shared" si="15"/>
        <v>0</v>
      </c>
      <c r="Q32" s="78"/>
      <c r="R32" s="143"/>
      <c r="S32" s="143"/>
      <c r="T32" s="77">
        <f t="shared" si="16"/>
        <v>0</v>
      </c>
      <c r="U32" s="75"/>
      <c r="V32" s="76"/>
      <c r="W32" s="135"/>
      <c r="X32" s="135"/>
      <c r="Y32" s="77">
        <f t="shared" si="17"/>
        <v>0</v>
      </c>
      <c r="Z32" s="78"/>
      <c r="AA32" s="142"/>
      <c r="AB32" s="142"/>
      <c r="AC32" s="77">
        <f t="shared" si="18"/>
        <v>0</v>
      </c>
      <c r="AD32" s="78"/>
      <c r="AE32" s="143"/>
      <c r="AF32" s="143"/>
      <c r="AG32" s="79">
        <f t="shared" si="19"/>
        <v>0</v>
      </c>
      <c r="AH32" s="75"/>
      <c r="AI32" s="76"/>
      <c r="AJ32" s="135"/>
      <c r="AK32" s="135"/>
      <c r="AL32" s="77">
        <f t="shared" si="20"/>
        <v>0</v>
      </c>
      <c r="AM32" s="76"/>
      <c r="AN32" s="142"/>
      <c r="AO32" s="142"/>
      <c r="AP32" s="77">
        <f t="shared" si="21"/>
        <v>0</v>
      </c>
      <c r="AQ32" s="78"/>
      <c r="AR32" s="142"/>
      <c r="AS32" s="142"/>
      <c r="AT32" s="79">
        <f t="shared" si="22"/>
        <v>0</v>
      </c>
      <c r="AU32" s="75"/>
      <c r="AV32" s="76"/>
      <c r="AW32" s="135"/>
      <c r="AX32" s="135"/>
      <c r="AY32" s="77">
        <f t="shared" si="23"/>
        <v>0</v>
      </c>
      <c r="AZ32" s="76"/>
      <c r="BA32" s="142"/>
      <c r="BB32" s="142"/>
      <c r="BC32" s="77">
        <f t="shared" si="24"/>
        <v>0</v>
      </c>
      <c r="BD32" s="78"/>
      <c r="BE32" s="142"/>
      <c r="BF32" s="142"/>
      <c r="BG32" s="79">
        <f t="shared" si="25"/>
        <v>0</v>
      </c>
      <c r="BH32" s="75"/>
      <c r="BI32" s="76"/>
      <c r="BJ32" s="135"/>
      <c r="BK32" s="135"/>
      <c r="BL32" s="77">
        <f t="shared" si="26"/>
        <v>0</v>
      </c>
      <c r="BM32" s="78"/>
      <c r="BN32" s="142"/>
      <c r="BO32" s="142"/>
      <c r="BP32" s="77">
        <f t="shared" si="27"/>
        <v>0</v>
      </c>
      <c r="BQ32" s="78"/>
      <c r="BR32" s="142"/>
      <c r="BS32" s="142"/>
      <c r="BT32" s="79">
        <f t="shared" si="28"/>
        <v>0</v>
      </c>
      <c r="BU32" s="75"/>
      <c r="BV32" s="76"/>
      <c r="BW32" s="135"/>
      <c r="BX32" s="135"/>
      <c r="BY32" s="77">
        <f t="shared" si="29"/>
        <v>0</v>
      </c>
      <c r="BZ32" s="78"/>
      <c r="CA32" s="142"/>
      <c r="CB32" s="142"/>
      <c r="CC32" s="77">
        <f t="shared" si="30"/>
        <v>0</v>
      </c>
      <c r="CD32" s="78"/>
      <c r="CE32" s="142"/>
      <c r="CF32" s="142"/>
      <c r="CG32" s="79">
        <f t="shared" si="31"/>
        <v>0</v>
      </c>
      <c r="CH32" s="75"/>
      <c r="CI32" s="76"/>
      <c r="CJ32" s="135"/>
      <c r="CK32" s="135"/>
      <c r="CL32" s="77">
        <f t="shared" si="32"/>
        <v>0</v>
      </c>
      <c r="CM32" s="78"/>
      <c r="CN32" s="142"/>
      <c r="CO32" s="142"/>
      <c r="CP32" s="77">
        <f t="shared" si="33"/>
        <v>0</v>
      </c>
      <c r="CQ32" s="78"/>
      <c r="CR32" s="142"/>
      <c r="CS32" s="142"/>
      <c r="CT32" s="79">
        <f t="shared" si="34"/>
        <v>0</v>
      </c>
      <c r="CU32" s="80">
        <f t="shared" si="35"/>
        <v>0</v>
      </c>
      <c r="CV32" s="81">
        <f t="shared" si="36"/>
        <v>0</v>
      </c>
      <c r="CW32" s="144"/>
      <c r="CX32" s="145">
        <f>IF(ISERROR(VLOOKUP($A32,FIJOS!$B$11:$O$590,14,FALSE)),0,VLOOKUP($A32,FIJOS!$B$11:$O$590,14,FALSE))</f>
        <v>0</v>
      </c>
      <c r="CY32" s="145">
        <f>IF(ISERROR(VLOOKUP(A32,FIJOS!$B$10:$P$590,15,FALSE)),0,VLOOKUP(A32,FIJOS!$B$10:$P$590,15,FALSE))</f>
        <v>0</v>
      </c>
      <c r="CZ32" s="155"/>
      <c r="DA32" s="146"/>
      <c r="DB32" s="147"/>
      <c r="DC32" s="147"/>
      <c r="DD32" s="147"/>
      <c r="DE32" s="147"/>
      <c r="DF32" s="145">
        <f>IF(ISERROR(VLOOKUP($A32,FIJOS!$B$11:$N$590,13,FALSE)),0,VLOOKUP($A32,FIJOS!$B$11:$N$590,13,FALSE))</f>
        <v>0</v>
      </c>
      <c r="DG32" s="145">
        <f>IF(ISERROR(VLOOKUP($A32,FIJOS!$B$11:$P$447,12,FALSE)),0,VLOOKUP($A32,FIJOS!$B$11:$P$447,12,FALSE))</f>
        <v>0</v>
      </c>
      <c r="DH32" s="82">
        <f t="shared" si="37"/>
        <v>0</v>
      </c>
      <c r="DI32" s="83" t="b">
        <f>IF($C32=1,(VLOOKUP($A32,FIJOS!$B$11:$P$545,10,FALSE)/7)*(7-$CU32),IF(AND($C32=2,CV32&lt;$DJ$1),(VLOOKUP($D32,HORAS!$B$4:$C$42,2,FALSE)*24)*$CV32,IF(AND($C32=2,CV32&gt;=$DJ$1),VLOOKUP($D32,HORAS!$B$4:$D$42,3,FALSE),IF(AND($C32=3,$CV32&gt;=$DJ$1),VLOOKUP($A32,FIJOS!$B$11:$P$545,10,FALSE),IF(AND($C32=3,$CV32&lt;$DJ$1),((VLOOKUP($A32,FIJOS!$B$11:$P$545,10,FALSE)/48)*24)*$CV32,IF(AND($C32=4,$CV32&gt;=(42/24)),VLOOKUP($D32,HORAS!$B$4:$D$42,3,FALSE),IF(AND($C32=5,$CV32&gt;=(36/24)),VLOOKUP($D32,HORAS!$B$4:$D$42,3,FALSE))))))))</f>
        <v>0</v>
      </c>
      <c r="DJ32" s="145">
        <f>IF(OR($C32=2),VLOOKUP($D32,HORAS!$B$4:$E$42,4,FALSE)*$EC32,IF(ISERROR(VLOOKUP($A32,FIJOS!$B$11:$P$108,9,FALSE)),0,VLOOKUP($A32,FIJOS!$B$11:$P$231,9,FALSE)*$EC32))</f>
        <v>0</v>
      </c>
      <c r="DK32" s="145">
        <f>IF(OR($C32=2),VLOOKUP($D32,HORAS!$B$4:$F$42,5,FALSE)*$EE32,IF(ISERROR(VLOOKUP($A32,FIJOS!$B$11:$P$108,9,FALSE)),0,VLOOKUP($A32,FIJOS!$B$11:$P$231,9,FALSE)*$EE32))</f>
        <v>0</v>
      </c>
      <c r="DL32" s="144"/>
      <c r="DM32" s="145">
        <f>IF(ISERROR(VLOOKUP($A32,FIJOS!$B$11:$L$646,11,FALSE)),0,VLOOKUP($A32,FIJOS!$B$11:$L$646,11,FALSE))</f>
        <v>0</v>
      </c>
      <c r="DN32" s="148" t="e">
        <f>IF(OR($C32=1,$C32=3),0,IF((VLOOKUP(CAPTURA!D32,HORAS!$B$4:$K$42,10,FALSE)/4)*COUNTIF($H32:$CT32,3)&gt;100,100,(VLOOKUP(CAPTURA!D32,HORAS!$B$4:$K$42,10,FALSE)/4)*COUNTIF($H32:$CT32,3)))</f>
        <v>#N/A</v>
      </c>
      <c r="DO32" s="144" t="e">
        <f>IF(OR($C32=1,$C32=3),0,IF($C32=5,VLOOKUP(D32,HORAS!$B$4:$G$42,6,FALSE),IF(AND($C32=4,$CV32&gt;=(42/24)),VLOOKUP(D32,HORAS!$B$4:$G$42,6,FALSE),IF(COUNTIF($H32:$CL32,"F")&gt;0,0,IF(CV32&gt;$DJ$1,$DJ$1*(VLOOKUP(D32,HORAS!$B$4:$G$42,6,FALSE)/$DJ$1),CV32*(VLOOKUP(D32,HORAS!$B$4:$G$42,6,FALSE)/$DJ$1))))))</f>
        <v>#N/A</v>
      </c>
      <c r="DP32" s="156"/>
      <c r="DQ32" s="148"/>
      <c r="DR32" s="148"/>
      <c r="DS32" s="83" t="e">
        <f t="shared" si="38"/>
        <v>#N/A</v>
      </c>
      <c r="DT32" s="84"/>
      <c r="DU32" s="149" t="e">
        <f t="shared" si="39"/>
        <v>#N/A</v>
      </c>
      <c r="DV32" s="149" t="e">
        <f t="shared" si="40"/>
        <v>#N/A</v>
      </c>
      <c r="DW32" s="144" t="e">
        <f t="shared" si="41"/>
        <v>#N/A</v>
      </c>
      <c r="DX32" s="134"/>
      <c r="DY32" s="29"/>
      <c r="DZ32" s="150"/>
      <c r="EA32" s="134"/>
      <c r="EB32" s="137">
        <f t="shared" si="11"/>
        <v>0</v>
      </c>
      <c r="EC32" s="138">
        <f t="shared" si="9"/>
        <v>0</v>
      </c>
      <c r="ED32" s="137">
        <f t="shared" si="12"/>
        <v>0</v>
      </c>
      <c r="EE32" s="132">
        <f t="shared" si="10"/>
        <v>0</v>
      </c>
      <c r="EF32" s="29"/>
      <c r="EG32" s="134"/>
      <c r="EH32" s="134"/>
      <c r="EI32" s="29"/>
      <c r="EJ32" s="134"/>
    </row>
    <row r="33" spans="1:141" ht="15" customHeight="1" x14ac:dyDescent="0.25">
      <c r="A33" s="140"/>
      <c r="B33" s="5"/>
      <c r="C33" s="72"/>
      <c r="D33" s="73"/>
      <c r="E33" s="73"/>
      <c r="F33" s="141"/>
      <c r="G33" s="74"/>
      <c r="H33" s="75"/>
      <c r="I33" s="76"/>
      <c r="J33" s="135"/>
      <c r="K33" s="135"/>
      <c r="L33" s="77">
        <f t="shared" si="14"/>
        <v>0</v>
      </c>
      <c r="M33" s="78"/>
      <c r="N33" s="142"/>
      <c r="O33" s="142"/>
      <c r="P33" s="77">
        <f t="shared" si="15"/>
        <v>0</v>
      </c>
      <c r="Q33" s="78"/>
      <c r="R33" s="143"/>
      <c r="S33" s="143"/>
      <c r="T33" s="77">
        <f t="shared" si="16"/>
        <v>0</v>
      </c>
      <c r="U33" s="75"/>
      <c r="V33" s="76"/>
      <c r="W33" s="135"/>
      <c r="X33" s="135"/>
      <c r="Y33" s="77">
        <f t="shared" si="17"/>
        <v>0</v>
      </c>
      <c r="Z33" s="78"/>
      <c r="AA33" s="142"/>
      <c r="AB33" s="142"/>
      <c r="AC33" s="77">
        <f t="shared" si="18"/>
        <v>0</v>
      </c>
      <c r="AD33" s="78"/>
      <c r="AE33" s="143"/>
      <c r="AF33" s="143"/>
      <c r="AG33" s="79">
        <f t="shared" si="19"/>
        <v>0</v>
      </c>
      <c r="AH33" s="75"/>
      <c r="AI33" s="76"/>
      <c r="AJ33" s="135"/>
      <c r="AK33" s="135"/>
      <c r="AL33" s="77">
        <f t="shared" si="20"/>
        <v>0</v>
      </c>
      <c r="AM33" s="76"/>
      <c r="AN33" s="142"/>
      <c r="AO33" s="142"/>
      <c r="AP33" s="77">
        <f t="shared" si="21"/>
        <v>0</v>
      </c>
      <c r="AQ33" s="78"/>
      <c r="AR33" s="142"/>
      <c r="AS33" s="142"/>
      <c r="AT33" s="79">
        <f t="shared" si="22"/>
        <v>0</v>
      </c>
      <c r="AU33" s="75"/>
      <c r="AV33" s="76"/>
      <c r="AW33" s="135"/>
      <c r="AX33" s="135"/>
      <c r="AY33" s="77">
        <f t="shared" si="23"/>
        <v>0</v>
      </c>
      <c r="AZ33" s="76"/>
      <c r="BA33" s="142"/>
      <c r="BB33" s="142"/>
      <c r="BC33" s="77">
        <f t="shared" si="24"/>
        <v>0</v>
      </c>
      <c r="BD33" s="78"/>
      <c r="BE33" s="142"/>
      <c r="BF33" s="142"/>
      <c r="BG33" s="79">
        <f t="shared" si="25"/>
        <v>0</v>
      </c>
      <c r="BH33" s="75"/>
      <c r="BI33" s="76"/>
      <c r="BJ33" s="135"/>
      <c r="BK33" s="135"/>
      <c r="BL33" s="77">
        <f t="shared" si="26"/>
        <v>0</v>
      </c>
      <c r="BM33" s="78"/>
      <c r="BN33" s="142"/>
      <c r="BO33" s="142"/>
      <c r="BP33" s="77">
        <f t="shared" si="27"/>
        <v>0</v>
      </c>
      <c r="BQ33" s="78"/>
      <c r="BR33" s="142"/>
      <c r="BS33" s="142"/>
      <c r="BT33" s="79">
        <f t="shared" si="28"/>
        <v>0</v>
      </c>
      <c r="BU33" s="75"/>
      <c r="BV33" s="76"/>
      <c r="BW33" s="135"/>
      <c r="BX33" s="135"/>
      <c r="BY33" s="77">
        <f t="shared" si="29"/>
        <v>0</v>
      </c>
      <c r="BZ33" s="78"/>
      <c r="CA33" s="142"/>
      <c r="CB33" s="142"/>
      <c r="CC33" s="77">
        <f t="shared" si="30"/>
        <v>0</v>
      </c>
      <c r="CD33" s="78"/>
      <c r="CE33" s="142"/>
      <c r="CF33" s="142"/>
      <c r="CG33" s="79">
        <f t="shared" si="31"/>
        <v>0</v>
      </c>
      <c r="CH33" s="75"/>
      <c r="CI33" s="76"/>
      <c r="CJ33" s="135"/>
      <c r="CK33" s="135"/>
      <c r="CL33" s="77">
        <f t="shared" si="32"/>
        <v>0</v>
      </c>
      <c r="CM33" s="78"/>
      <c r="CN33" s="142"/>
      <c r="CO33" s="142"/>
      <c r="CP33" s="77">
        <f t="shared" si="33"/>
        <v>0</v>
      </c>
      <c r="CQ33" s="78"/>
      <c r="CR33" s="142"/>
      <c r="CS33" s="142"/>
      <c r="CT33" s="79">
        <f t="shared" si="34"/>
        <v>0</v>
      </c>
      <c r="CU33" s="80">
        <f t="shared" si="35"/>
        <v>0</v>
      </c>
      <c r="CV33" s="81">
        <f t="shared" si="36"/>
        <v>0</v>
      </c>
      <c r="CW33" s="144"/>
      <c r="CX33" s="145">
        <f>IF(ISERROR(VLOOKUP($A33,FIJOS!$B$11:$O$590,14,FALSE)),0,VLOOKUP($A33,FIJOS!$B$11:$O$590,14,FALSE))</f>
        <v>0</v>
      </c>
      <c r="CY33" s="145">
        <f>IF(ISERROR(VLOOKUP(A33,FIJOS!$B$10:$P$590,15,FALSE)),0,VLOOKUP(A33,FIJOS!$B$10:$P$590,15,FALSE))</f>
        <v>0</v>
      </c>
      <c r="CZ33" s="155"/>
      <c r="DA33" s="146"/>
      <c r="DB33" s="147"/>
      <c r="DC33" s="147"/>
      <c r="DD33" s="147"/>
      <c r="DE33" s="147"/>
      <c r="DF33" s="145">
        <f>IF(ISERROR(VLOOKUP($A33,FIJOS!$B$11:$N$590,13,FALSE)),0,VLOOKUP($A33,FIJOS!$B$11:$N$590,13,FALSE))</f>
        <v>0</v>
      </c>
      <c r="DG33" s="145">
        <f>IF(ISERROR(VLOOKUP($A33,FIJOS!$B$11:$P$447,12,FALSE)),0,VLOOKUP($A33,FIJOS!$B$11:$P$447,12,FALSE))</f>
        <v>0</v>
      </c>
      <c r="DH33" s="82">
        <f t="shared" si="37"/>
        <v>0</v>
      </c>
      <c r="DI33" s="83" t="b">
        <f>IF($C33=1,(VLOOKUP($A33,FIJOS!$B$11:$P$545,10,FALSE)/7)*(7-$CU33),IF(AND($C33=2,CV33&lt;$DJ$1),(VLOOKUP($D33,HORAS!$B$4:$C$42,2,FALSE)*24)*$CV33,IF(AND($C33=2,CV33&gt;=$DJ$1),VLOOKUP($D33,HORAS!$B$4:$D$42,3,FALSE),IF(AND($C33=3,$CV33&gt;=$DJ$1),VLOOKUP($A33,FIJOS!$B$11:$P$545,10,FALSE),IF(AND($C33=3,$CV33&lt;$DJ$1),((VLOOKUP($A33,FIJOS!$B$11:$P$545,10,FALSE)/48)*24)*$CV33,IF(AND($C33=4,$CV33&gt;=(42/24)),VLOOKUP($D33,HORAS!$B$4:$D$42,3,FALSE),IF(AND($C33=5,$CV33&gt;=(36/24)),VLOOKUP($D33,HORAS!$B$4:$D$42,3,FALSE))))))))</f>
        <v>0</v>
      </c>
      <c r="DJ33" s="145">
        <f>IF(OR($C33=2),VLOOKUP($D33,HORAS!$B$4:$E$42,4,FALSE)*$EC33,IF(ISERROR(VLOOKUP($A33,FIJOS!$B$11:$P$108,9,FALSE)),0,VLOOKUP($A33,FIJOS!$B$11:$P$231,9,FALSE)*$EC33))</f>
        <v>0</v>
      </c>
      <c r="DK33" s="145">
        <f>IF(OR($C33=2),VLOOKUP($D33,HORAS!$B$4:$F$42,5,FALSE)*$EE33,IF(ISERROR(VLOOKUP($A33,FIJOS!$B$11:$P$108,9,FALSE)),0,VLOOKUP($A33,FIJOS!$B$11:$P$231,9,FALSE)*$EE33))</f>
        <v>0</v>
      </c>
      <c r="DL33" s="144"/>
      <c r="DM33" s="145">
        <f>IF(ISERROR(VLOOKUP($A33,FIJOS!$B$11:$L$646,11,FALSE)),0,VLOOKUP($A33,FIJOS!$B$11:$L$646,11,FALSE))</f>
        <v>0</v>
      </c>
      <c r="DN33" s="148" t="e">
        <f>IF(OR($C33=1,$C33=3),0,IF((VLOOKUP(CAPTURA!D33,HORAS!$B$4:$K$42,10,FALSE)/4)*COUNTIF($H33:$CT33,3)&gt;100,100,(VLOOKUP(CAPTURA!D33,HORAS!$B$4:$K$42,10,FALSE)/4)*COUNTIF($H33:$CT33,3)))</f>
        <v>#N/A</v>
      </c>
      <c r="DO33" s="144" t="e">
        <f>IF(OR($C33=1,$C33=3),0,IF($C33=5,VLOOKUP(D33,HORAS!$B$4:$G$42,6,FALSE),IF(AND($C33=4,$CV33&gt;=(42/24)),VLOOKUP(D33,HORAS!$B$4:$G$42,6,FALSE),IF(COUNTIF($H33:$CL33,"F")&gt;0,0,IF(CV33&gt;$DJ$1,$DJ$1*(VLOOKUP(D33,HORAS!$B$4:$G$42,6,FALSE)/$DJ$1),CV33*(VLOOKUP(D33,HORAS!$B$4:$G$42,6,FALSE)/$DJ$1))))))</f>
        <v>#N/A</v>
      </c>
      <c r="DP33" s="156"/>
      <c r="DQ33" s="148"/>
      <c r="DR33" s="148"/>
      <c r="DS33" s="83" t="e">
        <f t="shared" si="38"/>
        <v>#N/A</v>
      </c>
      <c r="DT33" s="84"/>
      <c r="DU33" s="149" t="e">
        <f t="shared" si="39"/>
        <v>#N/A</v>
      </c>
      <c r="DV33" s="149" t="e">
        <f t="shared" si="40"/>
        <v>#N/A</v>
      </c>
      <c r="DW33" s="144" t="e">
        <f t="shared" si="41"/>
        <v>#N/A</v>
      </c>
      <c r="DX33" s="134"/>
      <c r="DY33" s="29"/>
      <c r="DZ33" s="150"/>
      <c r="EA33" s="134"/>
      <c r="EB33" s="137">
        <f t="shared" si="11"/>
        <v>0</v>
      </c>
      <c r="EC33" s="138">
        <f t="shared" si="9"/>
        <v>0</v>
      </c>
      <c r="ED33" s="137">
        <f t="shared" si="12"/>
        <v>0</v>
      </c>
      <c r="EE33" s="132">
        <f t="shared" si="10"/>
        <v>0</v>
      </c>
      <c r="EF33" s="29"/>
      <c r="EG33" s="134"/>
      <c r="EH33" s="134"/>
      <c r="EI33" s="29"/>
      <c r="EJ33" s="134"/>
    </row>
    <row r="34" spans="1:141" ht="15" customHeight="1" x14ac:dyDescent="0.25">
      <c r="A34" s="140"/>
      <c r="B34" s="5"/>
      <c r="C34" s="72"/>
      <c r="D34" s="73"/>
      <c r="E34" s="73"/>
      <c r="F34" s="141"/>
      <c r="G34" s="74"/>
      <c r="H34" s="75"/>
      <c r="I34" s="76"/>
      <c r="J34" s="135"/>
      <c r="K34" s="135"/>
      <c r="L34" s="77">
        <f t="shared" si="14"/>
        <v>0</v>
      </c>
      <c r="M34" s="78"/>
      <c r="N34" s="142"/>
      <c r="O34" s="142"/>
      <c r="P34" s="77">
        <f t="shared" si="15"/>
        <v>0</v>
      </c>
      <c r="Q34" s="78"/>
      <c r="R34" s="143"/>
      <c r="S34" s="143"/>
      <c r="T34" s="77">
        <f t="shared" si="16"/>
        <v>0</v>
      </c>
      <c r="U34" s="75"/>
      <c r="V34" s="76"/>
      <c r="W34" s="135"/>
      <c r="X34" s="135"/>
      <c r="Y34" s="77">
        <f t="shared" si="17"/>
        <v>0</v>
      </c>
      <c r="Z34" s="78"/>
      <c r="AA34" s="142"/>
      <c r="AB34" s="142"/>
      <c r="AC34" s="77">
        <f t="shared" si="18"/>
        <v>0</v>
      </c>
      <c r="AD34" s="78"/>
      <c r="AE34" s="143"/>
      <c r="AF34" s="143"/>
      <c r="AG34" s="79">
        <f t="shared" si="19"/>
        <v>0</v>
      </c>
      <c r="AH34" s="75"/>
      <c r="AI34" s="76"/>
      <c r="AJ34" s="135"/>
      <c r="AK34" s="135"/>
      <c r="AL34" s="77">
        <f t="shared" si="20"/>
        <v>0</v>
      </c>
      <c r="AM34" s="76"/>
      <c r="AN34" s="142"/>
      <c r="AO34" s="142"/>
      <c r="AP34" s="77">
        <f t="shared" si="21"/>
        <v>0</v>
      </c>
      <c r="AQ34" s="78"/>
      <c r="AR34" s="142"/>
      <c r="AS34" s="142"/>
      <c r="AT34" s="79">
        <f t="shared" si="22"/>
        <v>0</v>
      </c>
      <c r="AU34" s="75"/>
      <c r="AV34" s="76"/>
      <c r="AW34" s="135"/>
      <c r="AX34" s="135"/>
      <c r="AY34" s="77">
        <f t="shared" si="23"/>
        <v>0</v>
      </c>
      <c r="AZ34" s="76"/>
      <c r="BA34" s="142"/>
      <c r="BB34" s="142"/>
      <c r="BC34" s="77">
        <f t="shared" si="24"/>
        <v>0</v>
      </c>
      <c r="BD34" s="78"/>
      <c r="BE34" s="142"/>
      <c r="BF34" s="142"/>
      <c r="BG34" s="79">
        <f t="shared" si="25"/>
        <v>0</v>
      </c>
      <c r="BH34" s="75"/>
      <c r="BI34" s="76"/>
      <c r="BJ34" s="135"/>
      <c r="BK34" s="135"/>
      <c r="BL34" s="77">
        <f t="shared" si="26"/>
        <v>0</v>
      </c>
      <c r="BM34" s="78"/>
      <c r="BN34" s="142"/>
      <c r="BO34" s="142"/>
      <c r="BP34" s="77">
        <f t="shared" si="27"/>
        <v>0</v>
      </c>
      <c r="BQ34" s="78"/>
      <c r="BR34" s="142"/>
      <c r="BS34" s="142"/>
      <c r="BT34" s="79">
        <f t="shared" si="28"/>
        <v>0</v>
      </c>
      <c r="BU34" s="75"/>
      <c r="BV34" s="76"/>
      <c r="BW34" s="135"/>
      <c r="BX34" s="135"/>
      <c r="BY34" s="77">
        <f t="shared" si="29"/>
        <v>0</v>
      </c>
      <c r="BZ34" s="78"/>
      <c r="CA34" s="142"/>
      <c r="CB34" s="142"/>
      <c r="CC34" s="77">
        <f t="shared" si="30"/>
        <v>0</v>
      </c>
      <c r="CD34" s="78"/>
      <c r="CE34" s="142"/>
      <c r="CF34" s="142"/>
      <c r="CG34" s="79">
        <f t="shared" si="31"/>
        <v>0</v>
      </c>
      <c r="CH34" s="75"/>
      <c r="CI34" s="76"/>
      <c r="CJ34" s="135"/>
      <c r="CK34" s="135"/>
      <c r="CL34" s="77">
        <f t="shared" si="32"/>
        <v>0</v>
      </c>
      <c r="CM34" s="78"/>
      <c r="CN34" s="142"/>
      <c r="CO34" s="142"/>
      <c r="CP34" s="77">
        <f t="shared" si="33"/>
        <v>0</v>
      </c>
      <c r="CQ34" s="78"/>
      <c r="CR34" s="142"/>
      <c r="CS34" s="142"/>
      <c r="CT34" s="79">
        <f t="shared" si="34"/>
        <v>0</v>
      </c>
      <c r="CU34" s="80">
        <f t="shared" si="35"/>
        <v>0</v>
      </c>
      <c r="CV34" s="81">
        <f t="shared" si="36"/>
        <v>0</v>
      </c>
      <c r="CW34" s="144"/>
      <c r="CX34" s="145">
        <f>IF(ISERROR(VLOOKUP($A34,FIJOS!$B$11:$O$590,14,FALSE)),0,VLOOKUP($A34,FIJOS!$B$11:$O$590,14,FALSE))</f>
        <v>0</v>
      </c>
      <c r="CY34" s="145">
        <f>IF(ISERROR(VLOOKUP(A34,FIJOS!$B$10:$P$590,15,FALSE)),0,VLOOKUP(A34,FIJOS!$B$10:$P$590,15,FALSE))</f>
        <v>0</v>
      </c>
      <c r="CZ34" s="155"/>
      <c r="DA34" s="146"/>
      <c r="DB34" s="147"/>
      <c r="DC34" s="147"/>
      <c r="DD34" s="147"/>
      <c r="DE34" s="147"/>
      <c r="DF34" s="145">
        <f>IF(ISERROR(VLOOKUP($A34,FIJOS!$B$11:$N$590,13,FALSE)),0,VLOOKUP($A34,FIJOS!$B$11:$N$590,13,FALSE))</f>
        <v>0</v>
      </c>
      <c r="DG34" s="145">
        <f>IF(ISERROR(VLOOKUP($A34,FIJOS!$B$11:$P$447,12,FALSE)),0,VLOOKUP($A34,FIJOS!$B$11:$P$447,12,FALSE))</f>
        <v>0</v>
      </c>
      <c r="DH34" s="82">
        <f t="shared" si="37"/>
        <v>0</v>
      </c>
      <c r="DI34" s="83" t="b">
        <f>IF($C34=1,(VLOOKUP($A34,FIJOS!$B$11:$P$545,10,FALSE)/7)*(7-$CU34),IF(AND($C34=2,CV34&lt;$DJ$1),(VLOOKUP($D34,HORAS!$B$4:$C$42,2,FALSE)*24)*$CV34,IF(AND($C34=2,CV34&gt;=$DJ$1),VLOOKUP($D34,HORAS!$B$4:$D$42,3,FALSE),IF(AND($C34=3,$CV34&gt;=$DJ$1),VLOOKUP($A34,FIJOS!$B$11:$P$545,10,FALSE),IF(AND($C34=3,$CV34&lt;$DJ$1),((VLOOKUP($A34,FIJOS!$B$11:$P$545,10,FALSE)/48)*24)*$CV34,IF(AND($C34=4,$CV34&gt;=(42/24)),VLOOKUP($D34,HORAS!$B$4:$D$42,3,FALSE),IF(AND($C34=5,$CV34&gt;=(36/24)),VLOOKUP($D34,HORAS!$B$4:$D$42,3,FALSE))))))))</f>
        <v>0</v>
      </c>
      <c r="DJ34" s="145">
        <f>IF(OR($C34=2),VLOOKUP($D34,HORAS!$B$4:$E$42,4,FALSE)*$EC34,IF(ISERROR(VLOOKUP($A34,FIJOS!$B$11:$P$108,9,FALSE)),0,VLOOKUP($A34,FIJOS!$B$11:$P$231,9,FALSE)*$EC34))</f>
        <v>0</v>
      </c>
      <c r="DK34" s="145">
        <f>IF(OR($C34=2),VLOOKUP($D34,HORAS!$B$4:$F$42,5,FALSE)*$EE34,IF(ISERROR(VLOOKUP($A34,FIJOS!$B$11:$P$108,9,FALSE)),0,VLOOKUP($A34,FIJOS!$B$11:$P$231,9,FALSE)*$EE34))</f>
        <v>0</v>
      </c>
      <c r="DL34" s="144"/>
      <c r="DM34" s="145">
        <f>IF(ISERROR(VLOOKUP($A34,FIJOS!$B$11:$L$646,11,FALSE)),0,VLOOKUP($A34,FIJOS!$B$11:$L$646,11,FALSE))</f>
        <v>0</v>
      </c>
      <c r="DN34" s="148" t="e">
        <f>IF(OR($C34=1,$C34=3),0,IF((VLOOKUP(CAPTURA!D34,HORAS!$B$4:$K$42,10,FALSE)/4)*COUNTIF($H34:$CT34,3)&gt;100,100,(VLOOKUP(CAPTURA!D34,HORAS!$B$4:$K$42,10,FALSE)/4)*COUNTIF($H34:$CT34,3)))</f>
        <v>#N/A</v>
      </c>
      <c r="DO34" s="144" t="e">
        <f>IF(OR($C34=1,$C34=3),0,IF($C34=5,VLOOKUP(D34,HORAS!$B$4:$G$42,6,FALSE),IF(AND($C34=4,$CV34&gt;=(42/24)),VLOOKUP(D34,HORAS!$B$4:$G$42,6,FALSE),IF(COUNTIF($H34:$CL34,"F")&gt;0,0,IF(CV34&gt;$DJ$1,$DJ$1*(VLOOKUP(D34,HORAS!$B$4:$G$42,6,FALSE)/$DJ$1),CV34*(VLOOKUP(D34,HORAS!$B$4:$G$42,6,FALSE)/$DJ$1))))))</f>
        <v>#N/A</v>
      </c>
      <c r="DP34" s="156"/>
      <c r="DQ34" s="148"/>
      <c r="DR34" s="148"/>
      <c r="DS34" s="83" t="e">
        <f t="shared" si="38"/>
        <v>#N/A</v>
      </c>
      <c r="DT34" s="84"/>
      <c r="DU34" s="149" t="e">
        <f t="shared" si="39"/>
        <v>#N/A</v>
      </c>
      <c r="DV34" s="149" t="e">
        <f t="shared" si="40"/>
        <v>#N/A</v>
      </c>
      <c r="DW34" s="144" t="e">
        <f t="shared" si="41"/>
        <v>#N/A</v>
      </c>
      <c r="DX34" s="134"/>
      <c r="DY34" s="29"/>
      <c r="DZ34" s="150"/>
      <c r="EA34" s="134"/>
      <c r="EB34" s="137">
        <f t="shared" si="11"/>
        <v>0</v>
      </c>
      <c r="EC34" s="138">
        <f t="shared" si="9"/>
        <v>0</v>
      </c>
      <c r="ED34" s="137">
        <f t="shared" si="12"/>
        <v>0</v>
      </c>
      <c r="EE34" s="132">
        <f t="shared" si="10"/>
        <v>0</v>
      </c>
      <c r="EF34" s="29"/>
      <c r="EG34" s="134"/>
      <c r="EH34" s="134"/>
      <c r="EI34" s="29"/>
      <c r="EJ34" s="134"/>
    </row>
    <row r="35" spans="1:141" ht="15" customHeight="1" x14ac:dyDescent="0.25">
      <c r="A35" s="140"/>
      <c r="B35" s="5"/>
      <c r="C35" s="72"/>
      <c r="D35" s="73"/>
      <c r="E35" s="73"/>
      <c r="F35" s="141"/>
      <c r="G35" s="74"/>
      <c r="H35" s="75"/>
      <c r="I35" s="76"/>
      <c r="J35" s="135"/>
      <c r="K35" s="135"/>
      <c r="L35" s="77">
        <f t="shared" si="14"/>
        <v>0</v>
      </c>
      <c r="M35" s="78"/>
      <c r="N35" s="142"/>
      <c r="O35" s="142"/>
      <c r="P35" s="77">
        <f t="shared" si="15"/>
        <v>0</v>
      </c>
      <c r="Q35" s="78"/>
      <c r="R35" s="143"/>
      <c r="S35" s="143"/>
      <c r="T35" s="77">
        <f t="shared" si="16"/>
        <v>0</v>
      </c>
      <c r="U35" s="75"/>
      <c r="V35" s="76"/>
      <c r="W35" s="135"/>
      <c r="X35" s="135"/>
      <c r="Y35" s="77">
        <f t="shared" si="17"/>
        <v>0</v>
      </c>
      <c r="Z35" s="78"/>
      <c r="AA35" s="142"/>
      <c r="AB35" s="142"/>
      <c r="AC35" s="77">
        <f t="shared" si="18"/>
        <v>0</v>
      </c>
      <c r="AD35" s="78"/>
      <c r="AE35" s="143"/>
      <c r="AF35" s="143"/>
      <c r="AG35" s="79">
        <f t="shared" si="19"/>
        <v>0</v>
      </c>
      <c r="AH35" s="75"/>
      <c r="AI35" s="76"/>
      <c r="AJ35" s="135"/>
      <c r="AK35" s="135"/>
      <c r="AL35" s="77">
        <f t="shared" si="20"/>
        <v>0</v>
      </c>
      <c r="AM35" s="76"/>
      <c r="AN35" s="142"/>
      <c r="AO35" s="142"/>
      <c r="AP35" s="77">
        <f t="shared" si="21"/>
        <v>0</v>
      </c>
      <c r="AQ35" s="78"/>
      <c r="AR35" s="142"/>
      <c r="AS35" s="142"/>
      <c r="AT35" s="79">
        <f t="shared" si="22"/>
        <v>0</v>
      </c>
      <c r="AU35" s="75"/>
      <c r="AV35" s="76"/>
      <c r="AW35" s="135"/>
      <c r="AX35" s="135"/>
      <c r="AY35" s="77">
        <f t="shared" si="23"/>
        <v>0</v>
      </c>
      <c r="AZ35" s="76"/>
      <c r="BA35" s="142"/>
      <c r="BB35" s="142"/>
      <c r="BC35" s="77">
        <f t="shared" si="24"/>
        <v>0</v>
      </c>
      <c r="BD35" s="78"/>
      <c r="BE35" s="142"/>
      <c r="BF35" s="142"/>
      <c r="BG35" s="79">
        <f t="shared" si="25"/>
        <v>0</v>
      </c>
      <c r="BH35" s="75"/>
      <c r="BI35" s="76"/>
      <c r="BJ35" s="135"/>
      <c r="BK35" s="135"/>
      <c r="BL35" s="77">
        <f t="shared" si="26"/>
        <v>0</v>
      </c>
      <c r="BM35" s="78"/>
      <c r="BN35" s="142"/>
      <c r="BO35" s="142"/>
      <c r="BP35" s="77">
        <f t="shared" si="27"/>
        <v>0</v>
      </c>
      <c r="BQ35" s="78"/>
      <c r="BR35" s="142"/>
      <c r="BS35" s="142"/>
      <c r="BT35" s="79">
        <f t="shared" si="28"/>
        <v>0</v>
      </c>
      <c r="BU35" s="75"/>
      <c r="BV35" s="76"/>
      <c r="BW35" s="135"/>
      <c r="BX35" s="135"/>
      <c r="BY35" s="77">
        <f t="shared" si="29"/>
        <v>0</v>
      </c>
      <c r="BZ35" s="78"/>
      <c r="CA35" s="142"/>
      <c r="CB35" s="142"/>
      <c r="CC35" s="77">
        <f t="shared" si="30"/>
        <v>0</v>
      </c>
      <c r="CD35" s="78"/>
      <c r="CE35" s="142"/>
      <c r="CF35" s="142"/>
      <c r="CG35" s="79">
        <f t="shared" si="31"/>
        <v>0</v>
      </c>
      <c r="CH35" s="75"/>
      <c r="CI35" s="76"/>
      <c r="CJ35" s="135"/>
      <c r="CK35" s="135"/>
      <c r="CL35" s="77">
        <f t="shared" si="32"/>
        <v>0</v>
      </c>
      <c r="CM35" s="78"/>
      <c r="CN35" s="142"/>
      <c r="CO35" s="142"/>
      <c r="CP35" s="77">
        <f t="shared" si="33"/>
        <v>0</v>
      </c>
      <c r="CQ35" s="78"/>
      <c r="CR35" s="142"/>
      <c r="CS35" s="142"/>
      <c r="CT35" s="79">
        <f t="shared" si="34"/>
        <v>0</v>
      </c>
      <c r="CU35" s="80">
        <f t="shared" si="35"/>
        <v>0</v>
      </c>
      <c r="CV35" s="81">
        <f t="shared" si="36"/>
        <v>0</v>
      </c>
      <c r="CW35" s="144"/>
      <c r="CX35" s="145">
        <f>IF(ISERROR(VLOOKUP($A35,FIJOS!$B$11:$O$590,14,FALSE)),0,VLOOKUP($A35,FIJOS!$B$11:$O$590,14,FALSE))</f>
        <v>0</v>
      </c>
      <c r="CY35" s="145">
        <f>IF(ISERROR(VLOOKUP(A35,FIJOS!$B$10:$P$590,15,FALSE)),0,VLOOKUP(A35,FIJOS!$B$10:$P$590,15,FALSE))</f>
        <v>0</v>
      </c>
      <c r="CZ35" s="155"/>
      <c r="DA35" s="146"/>
      <c r="DB35" s="147"/>
      <c r="DC35" s="147"/>
      <c r="DD35" s="147"/>
      <c r="DE35" s="147"/>
      <c r="DF35" s="145">
        <f>IF(ISERROR(VLOOKUP($A35,FIJOS!$B$11:$N$590,13,FALSE)),0,VLOOKUP($A35,FIJOS!$B$11:$N$590,13,FALSE))</f>
        <v>0</v>
      </c>
      <c r="DG35" s="145">
        <f>IF(ISERROR(VLOOKUP($A35,FIJOS!$B$11:$P$447,12,FALSE)),0,VLOOKUP($A35,FIJOS!$B$11:$P$447,12,FALSE))</f>
        <v>0</v>
      </c>
      <c r="DH35" s="82">
        <f t="shared" si="37"/>
        <v>0</v>
      </c>
      <c r="DI35" s="83" t="b">
        <f>IF($C35=1,(VLOOKUP($A35,FIJOS!$B$11:$P$545,10,FALSE)/7)*(7-$CU35),IF(AND($C35=2,CV35&lt;$DJ$1),(VLOOKUP($D35,HORAS!$B$4:$C$42,2,FALSE)*24)*$CV35,IF(AND($C35=2,CV35&gt;=$DJ$1),VLOOKUP($D35,HORAS!$B$4:$D$42,3,FALSE),IF(AND($C35=3,$CV35&gt;=$DJ$1),VLOOKUP($A35,FIJOS!$B$11:$P$545,10,FALSE),IF(AND($C35=3,$CV35&lt;$DJ$1),((VLOOKUP($A35,FIJOS!$B$11:$P$545,10,FALSE)/48)*24)*$CV35,IF(AND($C35=4,$CV35&gt;=(42/24)),VLOOKUP($D35,HORAS!$B$4:$D$42,3,FALSE),IF(AND($C35=5,$CV35&gt;=(36/24)),VLOOKUP($D35,HORAS!$B$4:$D$42,3,FALSE))))))))</f>
        <v>0</v>
      </c>
      <c r="DJ35" s="145">
        <f>IF(OR($C35=2),VLOOKUP($D35,HORAS!$B$4:$E$42,4,FALSE)*$EC35,IF(ISERROR(VLOOKUP($A35,FIJOS!$B$11:$P$108,9,FALSE)),0,VLOOKUP($A35,FIJOS!$B$11:$P$231,9,FALSE)*$EC35))</f>
        <v>0</v>
      </c>
      <c r="DK35" s="145">
        <f>IF(OR($C35=2),VLOOKUP($D35,HORAS!$B$4:$F$42,5,FALSE)*$EE35,IF(ISERROR(VLOOKUP($A35,FIJOS!$B$11:$P$108,9,FALSE)),0,VLOOKUP($A35,FIJOS!$B$11:$P$231,9,FALSE)*$EE35))</f>
        <v>0</v>
      </c>
      <c r="DL35" s="144"/>
      <c r="DM35" s="145">
        <f>IF(ISERROR(VLOOKUP($A35,FIJOS!$B$11:$L$646,11,FALSE)),0,VLOOKUP($A35,FIJOS!$B$11:$L$646,11,FALSE))</f>
        <v>0</v>
      </c>
      <c r="DN35" s="148" t="e">
        <f>IF(OR($C35=1,$C35=3),0,IF((VLOOKUP(CAPTURA!D35,HORAS!$B$4:$K$42,10,FALSE)/4)*COUNTIF($H35:$CT35,3)&gt;100,100,(VLOOKUP(CAPTURA!D35,HORAS!$B$4:$K$42,10,FALSE)/4)*COUNTIF($H35:$CT35,3)))</f>
        <v>#N/A</v>
      </c>
      <c r="DO35" s="144" t="e">
        <f>IF(OR($C35=1,$C35=3),0,IF($C35=5,VLOOKUP(D35,HORAS!$B$4:$G$42,6,FALSE),IF(AND($C35=4,$CV35&gt;=(42/24)),VLOOKUP(D35,HORAS!$B$4:$G$42,6,FALSE),IF(COUNTIF($H35:$CL35,"F")&gt;0,0,IF(CV35&gt;$DJ$1,$DJ$1*(VLOOKUP(D35,HORAS!$B$4:$G$42,6,FALSE)/$DJ$1),CV35*(VLOOKUP(D35,HORAS!$B$4:$G$42,6,FALSE)/$DJ$1))))))</f>
        <v>#N/A</v>
      </c>
      <c r="DP35" s="156"/>
      <c r="DQ35" s="148"/>
      <c r="DR35" s="148"/>
      <c r="DS35" s="83" t="e">
        <f t="shared" si="38"/>
        <v>#N/A</v>
      </c>
      <c r="DT35" s="84"/>
      <c r="DU35" s="149" t="e">
        <f t="shared" si="39"/>
        <v>#N/A</v>
      </c>
      <c r="DV35" s="149" t="e">
        <f t="shared" si="40"/>
        <v>#N/A</v>
      </c>
      <c r="DW35" s="144" t="e">
        <f t="shared" si="41"/>
        <v>#N/A</v>
      </c>
      <c r="DX35" s="134"/>
      <c r="DY35" s="29"/>
      <c r="DZ35" s="150"/>
      <c r="EA35" s="134"/>
      <c r="EB35" s="137">
        <f t="shared" si="11"/>
        <v>0</v>
      </c>
      <c r="EC35" s="138">
        <f t="shared" si="9"/>
        <v>0</v>
      </c>
      <c r="ED35" s="137">
        <f t="shared" si="12"/>
        <v>0</v>
      </c>
      <c r="EE35" s="132">
        <f t="shared" si="10"/>
        <v>0</v>
      </c>
      <c r="EF35" s="29"/>
      <c r="EG35" s="134"/>
      <c r="EH35" s="134"/>
      <c r="EI35" s="29"/>
      <c r="EJ35" s="134"/>
    </row>
    <row r="36" spans="1:141" ht="15" customHeight="1" x14ac:dyDescent="0.25">
      <c r="A36" s="140"/>
      <c r="B36" s="5"/>
      <c r="C36" s="72"/>
      <c r="D36" s="73"/>
      <c r="E36" s="73"/>
      <c r="F36" s="141"/>
      <c r="G36" s="74"/>
      <c r="H36" s="75"/>
      <c r="I36" s="76"/>
      <c r="J36" s="135"/>
      <c r="K36" s="135"/>
      <c r="L36" s="77">
        <f t="shared" si="14"/>
        <v>0</v>
      </c>
      <c r="M36" s="78"/>
      <c r="N36" s="142"/>
      <c r="O36" s="142"/>
      <c r="P36" s="77">
        <f t="shared" si="15"/>
        <v>0</v>
      </c>
      <c r="Q36" s="78"/>
      <c r="R36" s="143"/>
      <c r="S36" s="143"/>
      <c r="T36" s="77">
        <f t="shared" si="16"/>
        <v>0</v>
      </c>
      <c r="U36" s="75"/>
      <c r="V36" s="76"/>
      <c r="W36" s="135"/>
      <c r="X36" s="135"/>
      <c r="Y36" s="77">
        <f t="shared" si="17"/>
        <v>0</v>
      </c>
      <c r="Z36" s="78"/>
      <c r="AA36" s="142"/>
      <c r="AB36" s="142"/>
      <c r="AC36" s="77">
        <f t="shared" si="18"/>
        <v>0</v>
      </c>
      <c r="AD36" s="78"/>
      <c r="AE36" s="143"/>
      <c r="AF36" s="143"/>
      <c r="AG36" s="79">
        <f t="shared" si="19"/>
        <v>0</v>
      </c>
      <c r="AH36" s="75"/>
      <c r="AI36" s="76"/>
      <c r="AJ36" s="135"/>
      <c r="AK36" s="135"/>
      <c r="AL36" s="77">
        <f t="shared" si="20"/>
        <v>0</v>
      </c>
      <c r="AM36" s="76"/>
      <c r="AN36" s="142"/>
      <c r="AO36" s="142"/>
      <c r="AP36" s="77">
        <f t="shared" si="21"/>
        <v>0</v>
      </c>
      <c r="AQ36" s="78"/>
      <c r="AR36" s="142"/>
      <c r="AS36" s="142"/>
      <c r="AT36" s="79">
        <f t="shared" si="22"/>
        <v>0</v>
      </c>
      <c r="AU36" s="75"/>
      <c r="AV36" s="76"/>
      <c r="AW36" s="135"/>
      <c r="AX36" s="135"/>
      <c r="AY36" s="77">
        <f t="shared" si="23"/>
        <v>0</v>
      </c>
      <c r="AZ36" s="76"/>
      <c r="BA36" s="142"/>
      <c r="BB36" s="142"/>
      <c r="BC36" s="77">
        <f t="shared" si="24"/>
        <v>0</v>
      </c>
      <c r="BD36" s="78"/>
      <c r="BE36" s="142"/>
      <c r="BF36" s="142"/>
      <c r="BG36" s="79">
        <f t="shared" si="25"/>
        <v>0</v>
      </c>
      <c r="BH36" s="75"/>
      <c r="BI36" s="76"/>
      <c r="BJ36" s="135"/>
      <c r="BK36" s="135"/>
      <c r="BL36" s="77">
        <f t="shared" si="26"/>
        <v>0</v>
      </c>
      <c r="BM36" s="78"/>
      <c r="BN36" s="142"/>
      <c r="BO36" s="142"/>
      <c r="BP36" s="77">
        <f t="shared" si="27"/>
        <v>0</v>
      </c>
      <c r="BQ36" s="78"/>
      <c r="BR36" s="142"/>
      <c r="BS36" s="142"/>
      <c r="BT36" s="79">
        <f t="shared" si="28"/>
        <v>0</v>
      </c>
      <c r="BU36" s="75"/>
      <c r="BV36" s="76"/>
      <c r="BW36" s="135"/>
      <c r="BX36" s="135"/>
      <c r="BY36" s="77">
        <f t="shared" si="29"/>
        <v>0</v>
      </c>
      <c r="BZ36" s="78"/>
      <c r="CA36" s="142"/>
      <c r="CB36" s="142"/>
      <c r="CC36" s="77">
        <f t="shared" si="30"/>
        <v>0</v>
      </c>
      <c r="CD36" s="78"/>
      <c r="CE36" s="142"/>
      <c r="CF36" s="142"/>
      <c r="CG36" s="79">
        <f t="shared" si="31"/>
        <v>0</v>
      </c>
      <c r="CH36" s="75"/>
      <c r="CI36" s="76"/>
      <c r="CJ36" s="135"/>
      <c r="CK36" s="135"/>
      <c r="CL36" s="77">
        <f t="shared" si="32"/>
        <v>0</v>
      </c>
      <c r="CM36" s="78"/>
      <c r="CN36" s="142"/>
      <c r="CO36" s="142"/>
      <c r="CP36" s="77">
        <f t="shared" si="33"/>
        <v>0</v>
      </c>
      <c r="CQ36" s="78"/>
      <c r="CR36" s="142"/>
      <c r="CS36" s="142"/>
      <c r="CT36" s="79">
        <f t="shared" si="34"/>
        <v>0</v>
      </c>
      <c r="CU36" s="80">
        <f t="shared" si="35"/>
        <v>0</v>
      </c>
      <c r="CV36" s="81">
        <f t="shared" si="36"/>
        <v>0</v>
      </c>
      <c r="CW36" s="144"/>
      <c r="CX36" s="145">
        <f>IF(ISERROR(VLOOKUP($A36,FIJOS!$B$11:$O$590,14,FALSE)),0,VLOOKUP($A36,FIJOS!$B$11:$O$590,14,FALSE))</f>
        <v>0</v>
      </c>
      <c r="CY36" s="145">
        <f>IF(ISERROR(VLOOKUP(A36,FIJOS!$B$10:$P$590,15,FALSE)),0,VLOOKUP(A36,FIJOS!$B$10:$P$590,15,FALSE))</f>
        <v>0</v>
      </c>
      <c r="CZ36" s="155"/>
      <c r="DA36" s="146"/>
      <c r="DB36" s="147"/>
      <c r="DC36" s="147"/>
      <c r="DD36" s="147"/>
      <c r="DE36" s="147"/>
      <c r="DF36" s="145">
        <f>IF(ISERROR(VLOOKUP($A36,FIJOS!$B$11:$N$590,13,FALSE)),0,VLOOKUP($A36,FIJOS!$B$11:$N$590,13,FALSE))</f>
        <v>0</v>
      </c>
      <c r="DG36" s="145">
        <f>IF(ISERROR(VLOOKUP($A36,FIJOS!$B$11:$P$447,12,FALSE)),0,VLOOKUP($A36,FIJOS!$B$11:$P$447,12,FALSE))</f>
        <v>0</v>
      </c>
      <c r="DH36" s="82">
        <f t="shared" si="37"/>
        <v>0</v>
      </c>
      <c r="DI36" s="83" t="b">
        <f>IF($C36=1,(VLOOKUP($A36,FIJOS!$B$11:$P$545,10,FALSE)/7)*(7-$CU36),IF(AND($C36=2,CV36&lt;$DJ$1),(VLOOKUP($D36,HORAS!$B$4:$C$42,2,FALSE)*24)*$CV36,IF(AND($C36=2,CV36&gt;=$DJ$1),VLOOKUP($D36,HORAS!$B$4:$D$42,3,FALSE),IF(AND($C36=3,$CV36&gt;=$DJ$1),VLOOKUP($A36,FIJOS!$B$11:$P$545,10,FALSE),IF(AND($C36=3,$CV36&lt;$DJ$1),((VLOOKUP($A36,FIJOS!$B$11:$P$545,10,FALSE)/48)*24)*$CV36,IF(AND($C36=4,$CV36&gt;=(42/24)),VLOOKUP($D36,HORAS!$B$4:$D$42,3,FALSE),IF(AND($C36=5,$CV36&gt;=(36/24)),VLOOKUP($D36,HORAS!$B$4:$D$42,3,FALSE))))))))</f>
        <v>0</v>
      </c>
      <c r="DJ36" s="145">
        <f>IF(OR($C36=2),VLOOKUP($D36,HORAS!$B$4:$E$42,4,FALSE)*$EC36,IF(ISERROR(VLOOKUP($A36,FIJOS!$B$11:$P$108,9,FALSE)),0,VLOOKUP($A36,FIJOS!$B$11:$P$231,9,FALSE)*$EC36))</f>
        <v>0</v>
      </c>
      <c r="DK36" s="145">
        <f>IF(OR($C36=2),VLOOKUP($D36,HORAS!$B$4:$F$42,5,FALSE)*$EE36,IF(ISERROR(VLOOKUP($A36,FIJOS!$B$11:$P$108,9,FALSE)),0,VLOOKUP($A36,FIJOS!$B$11:$P$231,9,FALSE)*$EE36))</f>
        <v>0</v>
      </c>
      <c r="DL36" s="144"/>
      <c r="DM36" s="145">
        <f>IF(ISERROR(VLOOKUP($A36,FIJOS!$B$11:$L$646,11,FALSE)),0,VLOOKUP($A36,FIJOS!$B$11:$L$646,11,FALSE))</f>
        <v>0</v>
      </c>
      <c r="DN36" s="148" t="e">
        <f>IF(OR($C36=1,$C36=3),0,IF((VLOOKUP(CAPTURA!D36,HORAS!$B$4:$K$42,10,FALSE)/4)*COUNTIF($H36:$CT36,3)&gt;100,100,(VLOOKUP(CAPTURA!D36,HORAS!$B$4:$K$42,10,FALSE)/4)*COUNTIF($H36:$CT36,3)))</f>
        <v>#N/A</v>
      </c>
      <c r="DO36" s="144" t="e">
        <f>IF(OR($C36=1,$C36=3),0,IF($C36=5,VLOOKUP(D36,HORAS!$B$4:$G$42,6,FALSE),IF(AND($C36=4,$CV36&gt;=(42/24)),VLOOKUP(D36,HORAS!$B$4:$G$42,6,FALSE),IF(COUNTIF($H36:$CL36,"F")&gt;0,0,IF(CV36&gt;$DJ$1,$DJ$1*(VLOOKUP(D36,HORAS!$B$4:$G$42,6,FALSE)/$DJ$1),CV36*(VLOOKUP(D36,HORAS!$B$4:$G$42,6,FALSE)/$DJ$1))))))</f>
        <v>#N/A</v>
      </c>
      <c r="DP36" s="156"/>
      <c r="DQ36" s="148"/>
      <c r="DR36" s="148"/>
      <c r="DS36" s="83" t="e">
        <f t="shared" si="38"/>
        <v>#N/A</v>
      </c>
      <c r="DT36" s="84"/>
      <c r="DU36" s="149" t="e">
        <f t="shared" si="39"/>
        <v>#N/A</v>
      </c>
      <c r="DV36" s="149" t="e">
        <f t="shared" si="40"/>
        <v>#N/A</v>
      </c>
      <c r="DW36" s="144" t="e">
        <f t="shared" si="41"/>
        <v>#N/A</v>
      </c>
      <c r="DX36" s="134"/>
      <c r="DY36" s="29"/>
      <c r="DZ36" s="150"/>
      <c r="EA36" s="134"/>
      <c r="EB36" s="137">
        <f t="shared" si="11"/>
        <v>0</v>
      </c>
      <c r="EC36" s="138">
        <f t="shared" si="9"/>
        <v>0</v>
      </c>
      <c r="ED36" s="137">
        <f t="shared" si="12"/>
        <v>0</v>
      </c>
      <c r="EE36" s="132">
        <f t="shared" si="10"/>
        <v>0</v>
      </c>
      <c r="EF36" s="29"/>
      <c r="EG36" s="134"/>
      <c r="EH36" s="134"/>
      <c r="EI36" s="29"/>
      <c r="EJ36" s="134"/>
    </row>
    <row r="37" spans="1:141" ht="15" customHeight="1" x14ac:dyDescent="0.25">
      <c r="A37" s="140"/>
      <c r="B37" s="5"/>
      <c r="C37" s="72"/>
      <c r="D37" s="73"/>
      <c r="E37" s="73"/>
      <c r="F37" s="141"/>
      <c r="G37" s="74"/>
      <c r="H37" s="75"/>
      <c r="I37" s="76"/>
      <c r="J37" s="135"/>
      <c r="K37" s="135"/>
      <c r="L37" s="77">
        <f t="shared" si="14"/>
        <v>0</v>
      </c>
      <c r="M37" s="78"/>
      <c r="N37" s="142"/>
      <c r="O37" s="142"/>
      <c r="P37" s="77">
        <f t="shared" si="15"/>
        <v>0</v>
      </c>
      <c r="Q37" s="78"/>
      <c r="R37" s="143"/>
      <c r="S37" s="143"/>
      <c r="T37" s="77">
        <f t="shared" si="16"/>
        <v>0</v>
      </c>
      <c r="U37" s="75"/>
      <c r="V37" s="76"/>
      <c r="W37" s="135"/>
      <c r="X37" s="135"/>
      <c r="Y37" s="77">
        <f t="shared" si="17"/>
        <v>0</v>
      </c>
      <c r="Z37" s="78"/>
      <c r="AA37" s="142"/>
      <c r="AB37" s="142"/>
      <c r="AC37" s="77">
        <f t="shared" si="18"/>
        <v>0</v>
      </c>
      <c r="AD37" s="78"/>
      <c r="AE37" s="143"/>
      <c r="AF37" s="143"/>
      <c r="AG37" s="79">
        <f t="shared" si="19"/>
        <v>0</v>
      </c>
      <c r="AH37" s="75"/>
      <c r="AI37" s="76"/>
      <c r="AJ37" s="135"/>
      <c r="AK37" s="135"/>
      <c r="AL37" s="77">
        <f t="shared" si="20"/>
        <v>0</v>
      </c>
      <c r="AM37" s="76"/>
      <c r="AN37" s="142"/>
      <c r="AO37" s="142"/>
      <c r="AP37" s="77">
        <f t="shared" si="21"/>
        <v>0</v>
      </c>
      <c r="AQ37" s="78"/>
      <c r="AR37" s="142"/>
      <c r="AS37" s="142"/>
      <c r="AT37" s="79">
        <f t="shared" si="22"/>
        <v>0</v>
      </c>
      <c r="AU37" s="75"/>
      <c r="AV37" s="76"/>
      <c r="AW37" s="135"/>
      <c r="AX37" s="135"/>
      <c r="AY37" s="77">
        <f t="shared" si="23"/>
        <v>0</v>
      </c>
      <c r="AZ37" s="76"/>
      <c r="BA37" s="142"/>
      <c r="BB37" s="142"/>
      <c r="BC37" s="77">
        <f t="shared" si="24"/>
        <v>0</v>
      </c>
      <c r="BD37" s="78"/>
      <c r="BE37" s="142"/>
      <c r="BF37" s="142"/>
      <c r="BG37" s="79">
        <f t="shared" si="25"/>
        <v>0</v>
      </c>
      <c r="BH37" s="75"/>
      <c r="BI37" s="76"/>
      <c r="BJ37" s="135"/>
      <c r="BK37" s="135"/>
      <c r="BL37" s="77">
        <f t="shared" si="26"/>
        <v>0</v>
      </c>
      <c r="BM37" s="78"/>
      <c r="BN37" s="142"/>
      <c r="BO37" s="142"/>
      <c r="BP37" s="77">
        <f t="shared" si="27"/>
        <v>0</v>
      </c>
      <c r="BQ37" s="78"/>
      <c r="BR37" s="142"/>
      <c r="BS37" s="142"/>
      <c r="BT37" s="79">
        <f t="shared" si="28"/>
        <v>0</v>
      </c>
      <c r="BU37" s="75"/>
      <c r="BV37" s="76"/>
      <c r="BW37" s="135"/>
      <c r="BX37" s="135"/>
      <c r="BY37" s="77">
        <f t="shared" si="29"/>
        <v>0</v>
      </c>
      <c r="BZ37" s="78"/>
      <c r="CA37" s="142"/>
      <c r="CB37" s="142"/>
      <c r="CC37" s="77">
        <f t="shared" si="30"/>
        <v>0</v>
      </c>
      <c r="CD37" s="78"/>
      <c r="CE37" s="142"/>
      <c r="CF37" s="142"/>
      <c r="CG37" s="79">
        <f t="shared" si="31"/>
        <v>0</v>
      </c>
      <c r="CH37" s="75"/>
      <c r="CI37" s="76"/>
      <c r="CJ37" s="135"/>
      <c r="CK37" s="135"/>
      <c r="CL37" s="77">
        <f t="shared" si="32"/>
        <v>0</v>
      </c>
      <c r="CM37" s="78"/>
      <c r="CN37" s="142"/>
      <c r="CO37" s="142"/>
      <c r="CP37" s="77">
        <f t="shared" si="33"/>
        <v>0</v>
      </c>
      <c r="CQ37" s="78"/>
      <c r="CR37" s="142"/>
      <c r="CS37" s="142"/>
      <c r="CT37" s="79">
        <f t="shared" si="34"/>
        <v>0</v>
      </c>
      <c r="CU37" s="80">
        <f t="shared" si="35"/>
        <v>0</v>
      </c>
      <c r="CV37" s="81">
        <f t="shared" si="36"/>
        <v>0</v>
      </c>
      <c r="CW37" s="144"/>
      <c r="CX37" s="145">
        <f>IF(ISERROR(VLOOKUP($A37,FIJOS!$B$11:$O$590,14,FALSE)),0,VLOOKUP($A37,FIJOS!$B$11:$O$590,14,FALSE))</f>
        <v>0</v>
      </c>
      <c r="CY37" s="145">
        <f>IF(ISERROR(VLOOKUP(A37,FIJOS!$B$10:$P$590,15,FALSE)),0,VLOOKUP(A37,FIJOS!$B$10:$P$590,15,FALSE))</f>
        <v>0</v>
      </c>
      <c r="CZ37" s="155"/>
      <c r="DA37" s="146"/>
      <c r="DB37" s="147"/>
      <c r="DC37" s="147"/>
      <c r="DD37" s="147"/>
      <c r="DE37" s="147"/>
      <c r="DF37" s="145">
        <f>IF(ISERROR(VLOOKUP($A37,FIJOS!$B$11:$N$590,13,FALSE)),0,VLOOKUP($A37,FIJOS!$B$11:$N$590,13,FALSE))</f>
        <v>0</v>
      </c>
      <c r="DG37" s="145">
        <f>IF(ISERROR(VLOOKUP($A37,FIJOS!$B$11:$P$447,12,FALSE)),0,VLOOKUP($A37,FIJOS!$B$11:$P$447,12,FALSE))</f>
        <v>0</v>
      </c>
      <c r="DH37" s="82">
        <f t="shared" si="37"/>
        <v>0</v>
      </c>
      <c r="DI37" s="83" t="b">
        <f>IF($C37=1,(VLOOKUP($A37,FIJOS!$B$11:$P$545,10,FALSE)/7)*(7-$CU37),IF(AND($C37=2,CV37&lt;$DJ$1),(VLOOKUP($D37,HORAS!$B$4:$C$42,2,FALSE)*24)*$CV37,IF(AND($C37=2,CV37&gt;=$DJ$1),VLOOKUP($D37,HORAS!$B$4:$D$42,3,FALSE),IF(AND($C37=3,$CV37&gt;=$DJ$1),VLOOKUP($A37,FIJOS!$B$11:$P$545,10,FALSE),IF(AND($C37=3,$CV37&lt;$DJ$1),((VLOOKUP($A37,FIJOS!$B$11:$P$545,10,FALSE)/48)*24)*$CV37,IF(AND($C37=4,$CV37&gt;=(42/24)),VLOOKUP($D37,HORAS!$B$4:$D$42,3,FALSE),IF(AND($C37=5,$CV37&gt;=(36/24)),VLOOKUP($D37,HORAS!$B$4:$D$42,3,FALSE))))))))</f>
        <v>0</v>
      </c>
      <c r="DJ37" s="145">
        <f>IF(OR($C37=2),VLOOKUP($D37,HORAS!$B$4:$E$42,4,FALSE)*$EC37,IF(ISERROR(VLOOKUP($A37,FIJOS!$B$11:$P$108,9,FALSE)),0,VLOOKUP($A37,FIJOS!$B$11:$P$231,9,FALSE)*$EC37))</f>
        <v>0</v>
      </c>
      <c r="DK37" s="145">
        <f>IF(OR($C37=2),VLOOKUP($D37,HORAS!$B$4:$F$42,5,FALSE)*$EE37,IF(ISERROR(VLOOKUP($A37,FIJOS!$B$11:$P$108,9,FALSE)),0,VLOOKUP($A37,FIJOS!$B$11:$P$231,9,FALSE)*$EE37))</f>
        <v>0</v>
      </c>
      <c r="DL37" s="144"/>
      <c r="DM37" s="145">
        <f>IF(ISERROR(VLOOKUP($A37,FIJOS!$B$11:$L$646,11,FALSE)),0,VLOOKUP($A37,FIJOS!$B$11:$L$646,11,FALSE))</f>
        <v>0</v>
      </c>
      <c r="DN37" s="148" t="e">
        <f>IF(OR($C37=1,$C37=3),0,IF((VLOOKUP(CAPTURA!D37,HORAS!$B$4:$K$42,10,FALSE)/4)*COUNTIF($H37:$CT37,3)&gt;100,100,(VLOOKUP(CAPTURA!D37,HORAS!$B$4:$K$42,10,FALSE)/4)*COUNTIF($H37:$CT37,3)))</f>
        <v>#N/A</v>
      </c>
      <c r="DO37" s="144" t="e">
        <f>IF(OR($C37=1,$C37=3),0,IF($C37=5,VLOOKUP(D37,HORAS!$B$4:$G$42,6,FALSE),IF(AND($C37=4,$CV37&gt;=(42/24)),VLOOKUP(D37,HORAS!$B$4:$G$42,6,FALSE),IF(COUNTIF($H37:$CL37,"F")&gt;0,0,IF(CV37&gt;$DJ$1,$DJ$1*(VLOOKUP(D37,HORAS!$B$4:$G$42,6,FALSE)/$DJ$1),CV37*(VLOOKUP(D37,HORAS!$B$4:$G$42,6,FALSE)/$DJ$1))))))</f>
        <v>#N/A</v>
      </c>
      <c r="DP37" s="156"/>
      <c r="DQ37" s="148"/>
      <c r="DR37" s="148"/>
      <c r="DS37" s="83" t="e">
        <f t="shared" si="38"/>
        <v>#N/A</v>
      </c>
      <c r="DT37" s="84"/>
      <c r="DU37" s="149" t="e">
        <f t="shared" si="39"/>
        <v>#N/A</v>
      </c>
      <c r="DV37" s="149" t="e">
        <f t="shared" si="40"/>
        <v>#N/A</v>
      </c>
      <c r="DW37" s="144" t="e">
        <f t="shared" si="41"/>
        <v>#N/A</v>
      </c>
      <c r="DX37" s="134"/>
      <c r="DY37" s="29"/>
      <c r="DZ37" s="150"/>
      <c r="EA37" s="134"/>
      <c r="EB37" s="137">
        <f t="shared" si="11"/>
        <v>0</v>
      </c>
      <c r="EC37" s="138">
        <f t="shared" si="9"/>
        <v>0</v>
      </c>
      <c r="ED37" s="137">
        <f t="shared" si="12"/>
        <v>0</v>
      </c>
      <c r="EE37" s="132">
        <f t="shared" si="10"/>
        <v>0</v>
      </c>
      <c r="EF37" s="29"/>
      <c r="EG37" s="134"/>
      <c r="EH37" s="134"/>
      <c r="EI37" s="29"/>
      <c r="EJ37" s="134"/>
    </row>
    <row r="38" spans="1:141" ht="15" customHeight="1" x14ac:dyDescent="0.25">
      <c r="A38" s="140"/>
      <c r="B38" s="5"/>
      <c r="C38" s="72"/>
      <c r="D38" s="73"/>
      <c r="E38" s="73"/>
      <c r="F38" s="141"/>
      <c r="G38" s="74"/>
      <c r="H38" s="75"/>
      <c r="I38" s="76"/>
      <c r="J38" s="135"/>
      <c r="K38" s="135"/>
      <c r="L38" s="77">
        <f t="shared" si="14"/>
        <v>0</v>
      </c>
      <c r="M38" s="78"/>
      <c r="N38" s="142"/>
      <c r="O38" s="142"/>
      <c r="P38" s="77">
        <f t="shared" si="15"/>
        <v>0</v>
      </c>
      <c r="Q38" s="78"/>
      <c r="R38" s="143"/>
      <c r="S38" s="143"/>
      <c r="T38" s="77">
        <f t="shared" si="16"/>
        <v>0</v>
      </c>
      <c r="U38" s="75"/>
      <c r="V38" s="76"/>
      <c r="W38" s="135"/>
      <c r="X38" s="135"/>
      <c r="Y38" s="77">
        <f t="shared" si="17"/>
        <v>0</v>
      </c>
      <c r="Z38" s="78"/>
      <c r="AA38" s="142"/>
      <c r="AB38" s="142"/>
      <c r="AC38" s="77">
        <f t="shared" si="18"/>
        <v>0</v>
      </c>
      <c r="AD38" s="78"/>
      <c r="AE38" s="143"/>
      <c r="AF38" s="143"/>
      <c r="AG38" s="79">
        <f t="shared" si="19"/>
        <v>0</v>
      </c>
      <c r="AH38" s="75"/>
      <c r="AI38" s="76"/>
      <c r="AJ38" s="135"/>
      <c r="AK38" s="135"/>
      <c r="AL38" s="77">
        <f t="shared" si="20"/>
        <v>0</v>
      </c>
      <c r="AM38" s="76"/>
      <c r="AN38" s="142"/>
      <c r="AO38" s="142"/>
      <c r="AP38" s="77">
        <f t="shared" si="21"/>
        <v>0</v>
      </c>
      <c r="AQ38" s="78"/>
      <c r="AR38" s="142"/>
      <c r="AS38" s="142"/>
      <c r="AT38" s="79">
        <f t="shared" si="22"/>
        <v>0</v>
      </c>
      <c r="AU38" s="75"/>
      <c r="AV38" s="76"/>
      <c r="AW38" s="135"/>
      <c r="AX38" s="135"/>
      <c r="AY38" s="77">
        <f t="shared" si="23"/>
        <v>0</v>
      </c>
      <c r="AZ38" s="76"/>
      <c r="BA38" s="142"/>
      <c r="BB38" s="142"/>
      <c r="BC38" s="77">
        <f t="shared" si="24"/>
        <v>0</v>
      </c>
      <c r="BD38" s="78"/>
      <c r="BE38" s="142"/>
      <c r="BF38" s="142"/>
      <c r="BG38" s="79">
        <f t="shared" si="25"/>
        <v>0</v>
      </c>
      <c r="BH38" s="75"/>
      <c r="BI38" s="76"/>
      <c r="BJ38" s="135"/>
      <c r="BK38" s="135"/>
      <c r="BL38" s="77">
        <f t="shared" si="26"/>
        <v>0</v>
      </c>
      <c r="BM38" s="78"/>
      <c r="BN38" s="142"/>
      <c r="BO38" s="142"/>
      <c r="BP38" s="77">
        <f t="shared" si="27"/>
        <v>0</v>
      </c>
      <c r="BQ38" s="78"/>
      <c r="BR38" s="142"/>
      <c r="BS38" s="142"/>
      <c r="BT38" s="79">
        <f t="shared" si="28"/>
        <v>0</v>
      </c>
      <c r="BU38" s="75"/>
      <c r="BV38" s="76"/>
      <c r="BW38" s="135"/>
      <c r="BX38" s="135"/>
      <c r="BY38" s="77">
        <f t="shared" si="29"/>
        <v>0</v>
      </c>
      <c r="BZ38" s="78"/>
      <c r="CA38" s="142"/>
      <c r="CB38" s="142"/>
      <c r="CC38" s="77">
        <f t="shared" si="30"/>
        <v>0</v>
      </c>
      <c r="CD38" s="78"/>
      <c r="CE38" s="142"/>
      <c r="CF38" s="142"/>
      <c r="CG38" s="79">
        <f t="shared" si="31"/>
        <v>0</v>
      </c>
      <c r="CH38" s="75"/>
      <c r="CI38" s="76"/>
      <c r="CJ38" s="135"/>
      <c r="CK38" s="135"/>
      <c r="CL38" s="77">
        <f t="shared" si="32"/>
        <v>0</v>
      </c>
      <c r="CM38" s="78"/>
      <c r="CN38" s="142"/>
      <c r="CO38" s="142"/>
      <c r="CP38" s="77">
        <f t="shared" si="33"/>
        <v>0</v>
      </c>
      <c r="CQ38" s="78"/>
      <c r="CR38" s="142"/>
      <c r="CS38" s="142"/>
      <c r="CT38" s="79">
        <f t="shared" si="34"/>
        <v>0</v>
      </c>
      <c r="CU38" s="80">
        <f t="shared" si="35"/>
        <v>0</v>
      </c>
      <c r="CV38" s="81">
        <f t="shared" si="36"/>
        <v>0</v>
      </c>
      <c r="CW38" s="144"/>
      <c r="CX38" s="145">
        <f>IF(ISERROR(VLOOKUP($A38,FIJOS!$B$11:$O$590,14,FALSE)),0,VLOOKUP($A38,FIJOS!$B$11:$O$590,14,FALSE))</f>
        <v>0</v>
      </c>
      <c r="CY38" s="145">
        <f>IF(ISERROR(VLOOKUP(A38,FIJOS!$B$10:$P$590,15,FALSE)),0,VLOOKUP(A38,FIJOS!$B$10:$P$590,15,FALSE))</f>
        <v>0</v>
      </c>
      <c r="CZ38" s="155"/>
      <c r="DA38" s="146"/>
      <c r="DB38" s="147"/>
      <c r="DC38" s="147"/>
      <c r="DD38" s="147"/>
      <c r="DE38" s="147"/>
      <c r="DF38" s="145">
        <f>IF(ISERROR(VLOOKUP($A38,FIJOS!$B$11:$N$590,13,FALSE)),0,VLOOKUP($A38,FIJOS!$B$11:$N$590,13,FALSE))</f>
        <v>0</v>
      </c>
      <c r="DG38" s="145">
        <f>IF(ISERROR(VLOOKUP($A38,FIJOS!$B$11:$P$447,12,FALSE)),0,VLOOKUP($A38,FIJOS!$B$11:$P$447,12,FALSE))</f>
        <v>0</v>
      </c>
      <c r="DH38" s="82">
        <f t="shared" si="37"/>
        <v>0</v>
      </c>
      <c r="DI38" s="83" t="b">
        <f>IF($C38=1,(VLOOKUP($A38,FIJOS!$B$11:$P$545,10,FALSE)/7)*(7-$CU38),IF(AND($C38=2,CV38&lt;$DJ$1),(VLOOKUP($D38,HORAS!$B$4:$C$42,2,FALSE)*24)*$CV38,IF(AND($C38=2,CV38&gt;=$DJ$1),VLOOKUP($D38,HORAS!$B$4:$D$42,3,FALSE),IF(AND($C38=3,$CV38&gt;=$DJ$1),VLOOKUP($A38,FIJOS!$B$11:$P$545,10,FALSE),IF(AND($C38=3,$CV38&lt;$DJ$1),((VLOOKUP($A38,FIJOS!$B$11:$P$545,10,FALSE)/48)*24)*$CV38,IF(AND($C38=4,$CV38&gt;=(42/24)),VLOOKUP($D38,HORAS!$B$4:$D$42,3,FALSE),IF(AND($C38=5,$CV38&gt;=(36/24)),VLOOKUP($D38,HORAS!$B$4:$D$42,3,FALSE))))))))</f>
        <v>0</v>
      </c>
      <c r="DJ38" s="145">
        <f>IF(OR($C38=2),VLOOKUP($D38,HORAS!$B$4:$E$42,4,FALSE)*$EC38,IF(ISERROR(VLOOKUP($A38,FIJOS!$B$11:$P$108,9,FALSE)),0,VLOOKUP($A38,FIJOS!$B$11:$P$231,9,FALSE)*$EC38))</f>
        <v>0</v>
      </c>
      <c r="DK38" s="145">
        <f>IF(OR($C38=2),VLOOKUP($D38,HORAS!$B$4:$F$42,5,FALSE)*$EE38,IF(ISERROR(VLOOKUP($A38,FIJOS!$B$11:$P$108,9,FALSE)),0,VLOOKUP($A38,FIJOS!$B$11:$P$231,9,FALSE)*$EE38))</f>
        <v>0</v>
      </c>
      <c r="DL38" s="144"/>
      <c r="DM38" s="145">
        <f>IF(ISERROR(VLOOKUP($A38,FIJOS!$B$11:$L$646,11,FALSE)),0,VLOOKUP($A38,FIJOS!$B$11:$L$646,11,FALSE))</f>
        <v>0</v>
      </c>
      <c r="DN38" s="148" t="e">
        <f>IF(OR($C38=1,$C38=3),0,IF((VLOOKUP(CAPTURA!D38,HORAS!$B$4:$K$42,10,FALSE)/4)*COUNTIF($H38:$CT38,3)&gt;100,100,(VLOOKUP(CAPTURA!D38,HORAS!$B$4:$K$42,10,FALSE)/4)*COUNTIF($H38:$CT38,3)))</f>
        <v>#N/A</v>
      </c>
      <c r="DO38" s="144" t="e">
        <f>IF(OR($C38=1,$C38=3),0,IF($C38=5,VLOOKUP(D38,HORAS!$B$4:$G$42,6,FALSE),IF(AND($C38=4,$CV38&gt;=(42/24)),VLOOKUP(D38,HORAS!$B$4:$G$42,6,FALSE),IF(COUNTIF($H38:$CL38,"F")&gt;0,0,IF(CV38&gt;$DJ$1,$DJ$1*(VLOOKUP(D38,HORAS!$B$4:$G$42,6,FALSE)/$DJ$1),CV38*(VLOOKUP(D38,HORAS!$B$4:$G$42,6,FALSE)/$DJ$1))))))</f>
        <v>#N/A</v>
      </c>
      <c r="DP38" s="156"/>
      <c r="DQ38" s="148"/>
      <c r="DR38" s="148"/>
      <c r="DS38" s="83" t="e">
        <f t="shared" si="38"/>
        <v>#N/A</v>
      </c>
      <c r="DT38" s="84"/>
      <c r="DU38" s="149" t="e">
        <f t="shared" si="39"/>
        <v>#N/A</v>
      </c>
      <c r="DV38" s="149" t="e">
        <f t="shared" si="40"/>
        <v>#N/A</v>
      </c>
      <c r="DW38" s="144" t="e">
        <f t="shared" si="41"/>
        <v>#N/A</v>
      </c>
      <c r="DX38" s="134"/>
      <c r="DY38" s="29"/>
      <c r="DZ38" s="150"/>
      <c r="EA38" s="134"/>
      <c r="EB38" s="137">
        <f t="shared" si="11"/>
        <v>0</v>
      </c>
      <c r="EC38" s="138">
        <f t="shared" si="9"/>
        <v>0</v>
      </c>
      <c r="ED38" s="137">
        <f t="shared" si="12"/>
        <v>0</v>
      </c>
      <c r="EE38" s="132">
        <f t="shared" si="10"/>
        <v>0</v>
      </c>
      <c r="EF38" s="29"/>
      <c r="EG38" s="134"/>
      <c r="EH38" s="134"/>
      <c r="EI38" s="29"/>
      <c r="EJ38" s="134"/>
    </row>
    <row r="39" spans="1:141" ht="15" customHeight="1" x14ac:dyDescent="0.25">
      <c r="A39" s="140"/>
      <c r="B39" s="5"/>
      <c r="C39" s="72"/>
      <c r="D39" s="73"/>
      <c r="E39" s="73"/>
      <c r="F39" s="141"/>
      <c r="G39" s="74"/>
      <c r="H39" s="75"/>
      <c r="I39" s="76"/>
      <c r="J39" s="135"/>
      <c r="K39" s="135"/>
      <c r="L39" s="77">
        <f t="shared" si="14"/>
        <v>0</v>
      </c>
      <c r="M39" s="78"/>
      <c r="N39" s="142"/>
      <c r="O39" s="142"/>
      <c r="P39" s="77">
        <f t="shared" si="15"/>
        <v>0</v>
      </c>
      <c r="Q39" s="78"/>
      <c r="R39" s="143"/>
      <c r="S39" s="143"/>
      <c r="T39" s="77">
        <f t="shared" si="16"/>
        <v>0</v>
      </c>
      <c r="U39" s="75"/>
      <c r="V39" s="76"/>
      <c r="W39" s="135"/>
      <c r="X39" s="135"/>
      <c r="Y39" s="77">
        <f t="shared" si="17"/>
        <v>0</v>
      </c>
      <c r="Z39" s="78"/>
      <c r="AA39" s="142"/>
      <c r="AB39" s="142"/>
      <c r="AC39" s="77">
        <f t="shared" si="18"/>
        <v>0</v>
      </c>
      <c r="AD39" s="78"/>
      <c r="AE39" s="143"/>
      <c r="AF39" s="143"/>
      <c r="AG39" s="79">
        <f t="shared" si="19"/>
        <v>0</v>
      </c>
      <c r="AH39" s="75"/>
      <c r="AI39" s="76"/>
      <c r="AJ39" s="135"/>
      <c r="AK39" s="135"/>
      <c r="AL39" s="77">
        <f t="shared" si="20"/>
        <v>0</v>
      </c>
      <c r="AM39" s="76"/>
      <c r="AN39" s="142"/>
      <c r="AO39" s="142"/>
      <c r="AP39" s="77">
        <f t="shared" si="21"/>
        <v>0</v>
      </c>
      <c r="AQ39" s="78"/>
      <c r="AR39" s="142"/>
      <c r="AS39" s="142"/>
      <c r="AT39" s="79">
        <f t="shared" si="22"/>
        <v>0</v>
      </c>
      <c r="AU39" s="75"/>
      <c r="AV39" s="76"/>
      <c r="AW39" s="135"/>
      <c r="AX39" s="135"/>
      <c r="AY39" s="77">
        <f t="shared" si="23"/>
        <v>0</v>
      </c>
      <c r="AZ39" s="76"/>
      <c r="BA39" s="142"/>
      <c r="BB39" s="142"/>
      <c r="BC39" s="77">
        <f t="shared" si="24"/>
        <v>0</v>
      </c>
      <c r="BD39" s="78"/>
      <c r="BE39" s="142"/>
      <c r="BF39" s="142"/>
      <c r="BG39" s="79">
        <f t="shared" si="25"/>
        <v>0</v>
      </c>
      <c r="BH39" s="75"/>
      <c r="BI39" s="76"/>
      <c r="BJ39" s="135"/>
      <c r="BK39" s="135"/>
      <c r="BL39" s="77">
        <f t="shared" si="26"/>
        <v>0</v>
      </c>
      <c r="BM39" s="78"/>
      <c r="BN39" s="142"/>
      <c r="BO39" s="142"/>
      <c r="BP39" s="77">
        <f t="shared" si="27"/>
        <v>0</v>
      </c>
      <c r="BQ39" s="78"/>
      <c r="BR39" s="142"/>
      <c r="BS39" s="142"/>
      <c r="BT39" s="79">
        <f t="shared" si="28"/>
        <v>0</v>
      </c>
      <c r="BU39" s="75"/>
      <c r="BV39" s="76"/>
      <c r="BW39" s="135"/>
      <c r="BX39" s="135"/>
      <c r="BY39" s="77">
        <f t="shared" si="29"/>
        <v>0</v>
      </c>
      <c r="BZ39" s="78"/>
      <c r="CA39" s="142"/>
      <c r="CB39" s="142"/>
      <c r="CC39" s="77">
        <f t="shared" si="30"/>
        <v>0</v>
      </c>
      <c r="CD39" s="78"/>
      <c r="CE39" s="142"/>
      <c r="CF39" s="142"/>
      <c r="CG39" s="79">
        <f t="shared" si="31"/>
        <v>0</v>
      </c>
      <c r="CH39" s="75"/>
      <c r="CI39" s="76"/>
      <c r="CJ39" s="135"/>
      <c r="CK39" s="135"/>
      <c r="CL39" s="77">
        <f t="shared" si="32"/>
        <v>0</v>
      </c>
      <c r="CM39" s="78"/>
      <c r="CN39" s="142"/>
      <c r="CO39" s="142"/>
      <c r="CP39" s="77">
        <f t="shared" si="33"/>
        <v>0</v>
      </c>
      <c r="CQ39" s="78"/>
      <c r="CR39" s="142"/>
      <c r="CS39" s="142"/>
      <c r="CT39" s="79">
        <f t="shared" si="34"/>
        <v>0</v>
      </c>
      <c r="CU39" s="80">
        <f t="shared" si="35"/>
        <v>0</v>
      </c>
      <c r="CV39" s="81">
        <f t="shared" si="36"/>
        <v>0</v>
      </c>
      <c r="CW39" s="144"/>
      <c r="CX39" s="145">
        <f>IF(ISERROR(VLOOKUP($A39,FIJOS!$B$11:$O$590,14,FALSE)),0,VLOOKUP($A39,FIJOS!$B$11:$O$590,14,FALSE))</f>
        <v>0</v>
      </c>
      <c r="CY39" s="145">
        <f>IF(ISERROR(VLOOKUP(A39,FIJOS!$B$10:$P$590,15,FALSE)),0,VLOOKUP(A39,FIJOS!$B$10:$P$590,15,FALSE))</f>
        <v>0</v>
      </c>
      <c r="CZ39" s="155"/>
      <c r="DA39" s="146"/>
      <c r="DB39" s="147"/>
      <c r="DC39" s="147"/>
      <c r="DD39" s="147"/>
      <c r="DE39" s="147"/>
      <c r="DF39" s="145">
        <f>IF(ISERROR(VLOOKUP($A39,FIJOS!$B$11:$N$590,13,FALSE)),0,VLOOKUP($A39,FIJOS!$B$11:$N$590,13,FALSE))</f>
        <v>0</v>
      </c>
      <c r="DG39" s="145">
        <f>IF(ISERROR(VLOOKUP($A39,FIJOS!$B$11:$P$447,12,FALSE)),0,VLOOKUP($A39,FIJOS!$B$11:$P$447,12,FALSE))</f>
        <v>0</v>
      </c>
      <c r="DH39" s="82">
        <f t="shared" si="37"/>
        <v>0</v>
      </c>
      <c r="DI39" s="83" t="b">
        <f>IF($C39=1,(VLOOKUP($A39,FIJOS!$B$11:$P$545,10,FALSE)/7)*(7-$CU39),IF(AND($C39=2,CV39&lt;$DJ$1),(VLOOKUP($D39,HORAS!$B$4:$C$42,2,FALSE)*24)*$CV39,IF(AND($C39=2,CV39&gt;=$DJ$1),VLOOKUP($D39,HORAS!$B$4:$D$42,3,FALSE),IF(AND($C39=3,$CV39&gt;=$DJ$1),VLOOKUP($A39,FIJOS!$B$11:$P$545,10,FALSE),IF(AND($C39=3,$CV39&lt;$DJ$1),((VLOOKUP($A39,FIJOS!$B$11:$P$545,10,FALSE)/48)*24)*$CV39,IF(AND($C39=4,$CV39&gt;=(42/24)),VLOOKUP($D39,HORAS!$B$4:$D$42,3,FALSE),IF(AND($C39=5,$CV39&gt;=(36/24)),VLOOKUP($D39,HORAS!$B$4:$D$42,3,FALSE))))))))</f>
        <v>0</v>
      </c>
      <c r="DJ39" s="145">
        <f>IF(OR($C39=2),VLOOKUP($D39,HORAS!$B$4:$E$42,4,FALSE)*$EC39,IF(ISERROR(VLOOKUP($A39,FIJOS!$B$11:$P$108,9,FALSE)),0,VLOOKUP($A39,FIJOS!$B$11:$P$231,9,FALSE)*$EC39))</f>
        <v>0</v>
      </c>
      <c r="DK39" s="145">
        <f>IF(OR($C39=2),VLOOKUP($D39,HORAS!$B$4:$F$42,5,FALSE)*$EE39,IF(ISERROR(VLOOKUP($A39,FIJOS!$B$11:$P$108,9,FALSE)),0,VLOOKUP($A39,FIJOS!$B$11:$P$231,9,FALSE)*$EE39))</f>
        <v>0</v>
      </c>
      <c r="DL39" s="144"/>
      <c r="DM39" s="145">
        <f>IF(ISERROR(VLOOKUP($A39,FIJOS!$B$11:$L$646,11,FALSE)),0,VLOOKUP($A39,FIJOS!$B$11:$L$646,11,FALSE))</f>
        <v>0</v>
      </c>
      <c r="DN39" s="148" t="e">
        <f>IF(OR($C39=1,$C39=3),0,IF((VLOOKUP(CAPTURA!D39,HORAS!$B$4:$K$42,10,FALSE)/4)*COUNTIF($H39:$CT39,3)&gt;100,100,(VLOOKUP(CAPTURA!D39,HORAS!$B$4:$K$42,10,FALSE)/4)*COUNTIF($H39:$CT39,3)))</f>
        <v>#N/A</v>
      </c>
      <c r="DO39" s="144" t="e">
        <f>IF(OR($C39=1,$C39=3),0,IF($C39=5,VLOOKUP(D39,HORAS!$B$4:$G$42,6,FALSE),IF(AND($C39=4,$CV39&gt;=(42/24)),VLOOKUP(D39,HORAS!$B$4:$G$42,6,FALSE),IF(COUNTIF($H39:$CL39,"F")&gt;0,0,IF(CV39&gt;$DJ$1,$DJ$1*(VLOOKUP(D39,HORAS!$B$4:$G$42,6,FALSE)/$DJ$1),CV39*(VLOOKUP(D39,HORAS!$B$4:$G$42,6,FALSE)/$DJ$1))))))</f>
        <v>#N/A</v>
      </c>
      <c r="DP39" s="156"/>
      <c r="DQ39" s="148"/>
      <c r="DR39" s="148"/>
      <c r="DS39" s="83" t="e">
        <f t="shared" si="38"/>
        <v>#N/A</v>
      </c>
      <c r="DT39" s="84"/>
      <c r="DU39" s="149" t="e">
        <f t="shared" si="39"/>
        <v>#N/A</v>
      </c>
      <c r="DV39" s="149" t="e">
        <f t="shared" si="40"/>
        <v>#N/A</v>
      </c>
      <c r="DW39" s="144" t="e">
        <f t="shared" si="41"/>
        <v>#N/A</v>
      </c>
      <c r="DX39" s="134"/>
      <c r="DY39" s="29"/>
      <c r="DZ39" s="150"/>
      <c r="EA39" s="134"/>
      <c r="EB39" s="137">
        <f t="shared" si="11"/>
        <v>0</v>
      </c>
      <c r="EC39" s="138">
        <f t="shared" si="9"/>
        <v>0</v>
      </c>
      <c r="ED39" s="137">
        <f t="shared" si="12"/>
        <v>0</v>
      </c>
      <c r="EE39" s="132">
        <f t="shared" si="10"/>
        <v>0</v>
      </c>
      <c r="EF39" s="29"/>
      <c r="EG39" s="134"/>
      <c r="EH39" s="134"/>
      <c r="EI39" s="29"/>
      <c r="EJ39" s="134"/>
    </row>
    <row r="40" spans="1:141" ht="15" customHeight="1" x14ac:dyDescent="0.25">
      <c r="A40" s="140"/>
      <c r="B40" s="5"/>
      <c r="C40" s="72"/>
      <c r="D40" s="73"/>
      <c r="E40" s="73"/>
      <c r="F40" s="141"/>
      <c r="G40" s="74"/>
      <c r="H40" s="75"/>
      <c r="I40" s="76"/>
      <c r="J40" s="135"/>
      <c r="K40" s="135"/>
      <c r="L40" s="77">
        <f t="shared" si="14"/>
        <v>0</v>
      </c>
      <c r="M40" s="78"/>
      <c r="N40" s="142"/>
      <c r="O40" s="142"/>
      <c r="P40" s="77">
        <f t="shared" si="15"/>
        <v>0</v>
      </c>
      <c r="Q40" s="78"/>
      <c r="R40" s="143"/>
      <c r="S40" s="143"/>
      <c r="T40" s="77">
        <f t="shared" si="16"/>
        <v>0</v>
      </c>
      <c r="U40" s="75"/>
      <c r="V40" s="76"/>
      <c r="W40" s="135"/>
      <c r="X40" s="135"/>
      <c r="Y40" s="77">
        <f t="shared" si="17"/>
        <v>0</v>
      </c>
      <c r="Z40" s="78"/>
      <c r="AA40" s="142"/>
      <c r="AB40" s="142"/>
      <c r="AC40" s="77">
        <f t="shared" si="18"/>
        <v>0</v>
      </c>
      <c r="AD40" s="78"/>
      <c r="AE40" s="143"/>
      <c r="AF40" s="143"/>
      <c r="AG40" s="79">
        <f t="shared" si="19"/>
        <v>0</v>
      </c>
      <c r="AH40" s="75"/>
      <c r="AI40" s="76"/>
      <c r="AJ40" s="135"/>
      <c r="AK40" s="135"/>
      <c r="AL40" s="77">
        <f t="shared" si="20"/>
        <v>0</v>
      </c>
      <c r="AM40" s="76"/>
      <c r="AN40" s="142"/>
      <c r="AO40" s="142"/>
      <c r="AP40" s="77">
        <f t="shared" si="21"/>
        <v>0</v>
      </c>
      <c r="AQ40" s="78"/>
      <c r="AR40" s="142"/>
      <c r="AS40" s="142"/>
      <c r="AT40" s="79">
        <f t="shared" si="22"/>
        <v>0</v>
      </c>
      <c r="AU40" s="75"/>
      <c r="AV40" s="76"/>
      <c r="AW40" s="135"/>
      <c r="AX40" s="135"/>
      <c r="AY40" s="77">
        <f t="shared" si="23"/>
        <v>0</v>
      </c>
      <c r="AZ40" s="76"/>
      <c r="BA40" s="142"/>
      <c r="BB40" s="142"/>
      <c r="BC40" s="77">
        <f t="shared" si="24"/>
        <v>0</v>
      </c>
      <c r="BD40" s="78"/>
      <c r="BE40" s="142"/>
      <c r="BF40" s="142"/>
      <c r="BG40" s="79">
        <f t="shared" si="25"/>
        <v>0</v>
      </c>
      <c r="BH40" s="75"/>
      <c r="BI40" s="76"/>
      <c r="BJ40" s="135"/>
      <c r="BK40" s="135"/>
      <c r="BL40" s="77">
        <f t="shared" si="26"/>
        <v>0</v>
      </c>
      <c r="BM40" s="78"/>
      <c r="BN40" s="142"/>
      <c r="BO40" s="142"/>
      <c r="BP40" s="77">
        <f t="shared" si="27"/>
        <v>0</v>
      </c>
      <c r="BQ40" s="78"/>
      <c r="BR40" s="142"/>
      <c r="BS40" s="142"/>
      <c r="BT40" s="79">
        <f t="shared" si="28"/>
        <v>0</v>
      </c>
      <c r="BU40" s="75"/>
      <c r="BV40" s="76"/>
      <c r="BW40" s="135"/>
      <c r="BX40" s="135"/>
      <c r="BY40" s="77">
        <f t="shared" si="29"/>
        <v>0</v>
      </c>
      <c r="BZ40" s="78"/>
      <c r="CA40" s="142"/>
      <c r="CB40" s="142"/>
      <c r="CC40" s="77">
        <f t="shared" si="30"/>
        <v>0</v>
      </c>
      <c r="CD40" s="78"/>
      <c r="CE40" s="142"/>
      <c r="CF40" s="142"/>
      <c r="CG40" s="79">
        <f t="shared" si="31"/>
        <v>0</v>
      </c>
      <c r="CH40" s="75"/>
      <c r="CI40" s="76"/>
      <c r="CJ40" s="135"/>
      <c r="CK40" s="135"/>
      <c r="CL40" s="77">
        <f t="shared" si="32"/>
        <v>0</v>
      </c>
      <c r="CM40" s="78"/>
      <c r="CN40" s="142"/>
      <c r="CO40" s="142"/>
      <c r="CP40" s="77">
        <f t="shared" si="33"/>
        <v>0</v>
      </c>
      <c r="CQ40" s="78"/>
      <c r="CR40" s="142"/>
      <c r="CS40" s="142"/>
      <c r="CT40" s="79">
        <f t="shared" si="34"/>
        <v>0</v>
      </c>
      <c r="CU40" s="80">
        <f t="shared" si="35"/>
        <v>0</v>
      </c>
      <c r="CV40" s="81">
        <f t="shared" si="36"/>
        <v>0</v>
      </c>
      <c r="CW40" s="144"/>
      <c r="CX40" s="145">
        <f>IF(ISERROR(VLOOKUP($A40,FIJOS!$B$11:$O$590,14,FALSE)),0,VLOOKUP($A40,FIJOS!$B$11:$O$590,14,FALSE))</f>
        <v>0</v>
      </c>
      <c r="CY40" s="145">
        <f>IF(ISERROR(VLOOKUP(A40,FIJOS!$B$10:$P$590,15,FALSE)),0,VLOOKUP(A40,FIJOS!$B$10:$P$590,15,FALSE))</f>
        <v>0</v>
      </c>
      <c r="CZ40" s="155"/>
      <c r="DA40" s="146"/>
      <c r="DB40" s="147"/>
      <c r="DC40" s="147"/>
      <c r="DD40" s="147"/>
      <c r="DE40" s="147"/>
      <c r="DF40" s="145">
        <f>IF(ISERROR(VLOOKUP($A40,FIJOS!$B$11:$N$590,13,FALSE)),0,VLOOKUP($A40,FIJOS!$B$11:$N$590,13,FALSE))</f>
        <v>0</v>
      </c>
      <c r="DG40" s="145">
        <f>IF(ISERROR(VLOOKUP($A40,FIJOS!$B$11:$P$447,12,FALSE)),0,VLOOKUP($A40,FIJOS!$B$11:$P$447,12,FALSE))</f>
        <v>0</v>
      </c>
      <c r="DH40" s="82">
        <f t="shared" si="37"/>
        <v>0</v>
      </c>
      <c r="DI40" s="83" t="b">
        <f>IF($C40=1,(VLOOKUP($A40,FIJOS!$B$11:$P$545,10,FALSE)/7)*(7-$CU40),IF(AND($C40=2,CV40&lt;$DJ$1),(VLOOKUP($D40,HORAS!$B$4:$C$42,2,FALSE)*24)*$CV40,IF(AND($C40=2,CV40&gt;=$DJ$1),VLOOKUP($D40,HORAS!$B$4:$D$42,3,FALSE),IF(AND($C40=3,$CV40&gt;=$DJ$1),VLOOKUP($A40,FIJOS!$B$11:$P$545,10,FALSE),IF(AND($C40=3,$CV40&lt;$DJ$1),((VLOOKUP($A40,FIJOS!$B$11:$P$545,10,FALSE)/48)*24)*$CV40,IF(AND($C40=4,$CV40&gt;=(42/24)),VLOOKUP($D40,HORAS!$B$4:$D$42,3,FALSE),IF(AND($C40=5,$CV40&gt;=(36/24)),VLOOKUP($D40,HORAS!$B$4:$D$42,3,FALSE))))))))</f>
        <v>0</v>
      </c>
      <c r="DJ40" s="145">
        <f>IF(OR($C40=2),VLOOKUP($D40,HORAS!$B$4:$E$42,4,FALSE)*$EC40,IF(ISERROR(VLOOKUP($A40,FIJOS!$B$11:$P$108,9,FALSE)),0,VLOOKUP($A40,FIJOS!$B$11:$P$231,9,FALSE)*$EC40))</f>
        <v>0</v>
      </c>
      <c r="DK40" s="145">
        <f>IF(OR($C40=2),VLOOKUP($D40,HORAS!$B$4:$F$42,5,FALSE)*$EE40,IF(ISERROR(VLOOKUP($A40,FIJOS!$B$11:$P$108,9,FALSE)),0,VLOOKUP($A40,FIJOS!$B$11:$P$231,9,FALSE)*$EE40))</f>
        <v>0</v>
      </c>
      <c r="DL40" s="144"/>
      <c r="DM40" s="145">
        <f>IF(ISERROR(VLOOKUP($A40,FIJOS!$B$11:$L$646,11,FALSE)),0,VLOOKUP($A40,FIJOS!$B$11:$L$646,11,FALSE))</f>
        <v>0</v>
      </c>
      <c r="DN40" s="148" t="e">
        <f>IF(OR($C40=1,$C40=3),0,IF((VLOOKUP(CAPTURA!D40,HORAS!$B$4:$K$42,10,FALSE)/4)*COUNTIF($H40:$CT40,3)&gt;100,100,(VLOOKUP(CAPTURA!D40,HORAS!$B$4:$K$42,10,FALSE)/4)*COUNTIF($H40:$CT40,3)))</f>
        <v>#N/A</v>
      </c>
      <c r="DO40" s="144" t="e">
        <f>IF(OR($C40=1,$C40=3),0,IF($C40=5,VLOOKUP(D40,HORAS!$B$4:$G$42,6,FALSE),IF(AND($C40=4,$CV40&gt;=(42/24)),VLOOKUP(D40,HORAS!$B$4:$G$42,6,FALSE),IF(COUNTIF($H40:$CL40,"F")&gt;0,0,IF(CV40&gt;$DJ$1,$DJ$1*(VLOOKUP(D40,HORAS!$B$4:$G$42,6,FALSE)/$DJ$1),CV40*(VLOOKUP(D40,HORAS!$B$4:$G$42,6,FALSE)/$DJ$1))))))</f>
        <v>#N/A</v>
      </c>
      <c r="DP40" s="156"/>
      <c r="DQ40" s="148"/>
      <c r="DR40" s="148"/>
      <c r="DS40" s="83" t="e">
        <f t="shared" si="38"/>
        <v>#N/A</v>
      </c>
      <c r="DT40" s="84"/>
      <c r="DU40" s="149" t="e">
        <f t="shared" si="39"/>
        <v>#N/A</v>
      </c>
      <c r="DV40" s="149" t="e">
        <f t="shared" si="40"/>
        <v>#N/A</v>
      </c>
      <c r="DW40" s="144" t="e">
        <f t="shared" si="41"/>
        <v>#N/A</v>
      </c>
      <c r="DX40" s="134"/>
      <c r="DY40" s="29"/>
      <c r="DZ40" s="150"/>
      <c r="EA40" s="134"/>
      <c r="EB40" s="137">
        <f t="shared" si="11"/>
        <v>0</v>
      </c>
      <c r="EC40" s="138">
        <f t="shared" si="9"/>
        <v>0</v>
      </c>
      <c r="ED40" s="137">
        <f t="shared" si="12"/>
        <v>0</v>
      </c>
      <c r="EE40" s="132">
        <f t="shared" si="10"/>
        <v>0</v>
      </c>
      <c r="EF40" s="29"/>
      <c r="EG40" s="134"/>
      <c r="EH40" s="134"/>
      <c r="EI40" s="29"/>
      <c r="EJ40" s="134"/>
    </row>
    <row r="41" spans="1:141" ht="15" customHeight="1" x14ac:dyDescent="0.25">
      <c r="A41" s="140"/>
      <c r="B41" s="5"/>
      <c r="C41" s="72"/>
      <c r="D41" s="73"/>
      <c r="E41" s="73"/>
      <c r="F41" s="141"/>
      <c r="G41" s="74"/>
      <c r="H41" s="75"/>
      <c r="I41" s="76"/>
      <c r="J41" s="135"/>
      <c r="K41" s="135"/>
      <c r="L41" s="77">
        <f t="shared" si="14"/>
        <v>0</v>
      </c>
      <c r="M41" s="78"/>
      <c r="N41" s="142"/>
      <c r="O41" s="142"/>
      <c r="P41" s="77">
        <f t="shared" si="15"/>
        <v>0</v>
      </c>
      <c r="Q41" s="78"/>
      <c r="R41" s="143"/>
      <c r="S41" s="143"/>
      <c r="T41" s="77">
        <f t="shared" si="16"/>
        <v>0</v>
      </c>
      <c r="U41" s="75"/>
      <c r="V41" s="76"/>
      <c r="W41" s="135"/>
      <c r="X41" s="135"/>
      <c r="Y41" s="77">
        <f t="shared" si="17"/>
        <v>0</v>
      </c>
      <c r="Z41" s="78"/>
      <c r="AA41" s="142"/>
      <c r="AB41" s="142"/>
      <c r="AC41" s="77">
        <f t="shared" si="18"/>
        <v>0</v>
      </c>
      <c r="AD41" s="78"/>
      <c r="AE41" s="143"/>
      <c r="AF41" s="143"/>
      <c r="AG41" s="79">
        <f t="shared" si="19"/>
        <v>0</v>
      </c>
      <c r="AH41" s="75"/>
      <c r="AI41" s="76"/>
      <c r="AJ41" s="135"/>
      <c r="AK41" s="135"/>
      <c r="AL41" s="77">
        <f t="shared" si="20"/>
        <v>0</v>
      </c>
      <c r="AM41" s="76"/>
      <c r="AN41" s="142"/>
      <c r="AO41" s="142"/>
      <c r="AP41" s="77">
        <f t="shared" si="21"/>
        <v>0</v>
      </c>
      <c r="AQ41" s="78"/>
      <c r="AR41" s="142"/>
      <c r="AS41" s="142"/>
      <c r="AT41" s="79">
        <f t="shared" si="22"/>
        <v>0</v>
      </c>
      <c r="AU41" s="75"/>
      <c r="AV41" s="76"/>
      <c r="AW41" s="135"/>
      <c r="AX41" s="135"/>
      <c r="AY41" s="77">
        <f t="shared" si="23"/>
        <v>0</v>
      </c>
      <c r="AZ41" s="76"/>
      <c r="BA41" s="142"/>
      <c r="BB41" s="142"/>
      <c r="BC41" s="77">
        <f t="shared" si="24"/>
        <v>0</v>
      </c>
      <c r="BD41" s="78"/>
      <c r="BE41" s="142"/>
      <c r="BF41" s="142"/>
      <c r="BG41" s="79">
        <f t="shared" si="25"/>
        <v>0</v>
      </c>
      <c r="BH41" s="75"/>
      <c r="BI41" s="76"/>
      <c r="BJ41" s="135"/>
      <c r="BK41" s="135"/>
      <c r="BL41" s="77">
        <f t="shared" si="26"/>
        <v>0</v>
      </c>
      <c r="BM41" s="78"/>
      <c r="BN41" s="142"/>
      <c r="BO41" s="142"/>
      <c r="BP41" s="77">
        <f t="shared" si="27"/>
        <v>0</v>
      </c>
      <c r="BQ41" s="78"/>
      <c r="BR41" s="142"/>
      <c r="BS41" s="142"/>
      <c r="BT41" s="79">
        <f t="shared" si="28"/>
        <v>0</v>
      </c>
      <c r="BU41" s="75"/>
      <c r="BV41" s="76"/>
      <c r="BW41" s="135"/>
      <c r="BX41" s="135"/>
      <c r="BY41" s="77">
        <f t="shared" si="29"/>
        <v>0</v>
      </c>
      <c r="BZ41" s="78"/>
      <c r="CA41" s="142"/>
      <c r="CB41" s="142"/>
      <c r="CC41" s="77">
        <f t="shared" si="30"/>
        <v>0</v>
      </c>
      <c r="CD41" s="78"/>
      <c r="CE41" s="142"/>
      <c r="CF41" s="142"/>
      <c r="CG41" s="79">
        <f t="shared" si="31"/>
        <v>0</v>
      </c>
      <c r="CH41" s="75"/>
      <c r="CI41" s="76"/>
      <c r="CJ41" s="135"/>
      <c r="CK41" s="135"/>
      <c r="CL41" s="77">
        <f t="shared" si="32"/>
        <v>0</v>
      </c>
      <c r="CM41" s="78"/>
      <c r="CN41" s="142"/>
      <c r="CO41" s="142"/>
      <c r="CP41" s="77">
        <f t="shared" si="33"/>
        <v>0</v>
      </c>
      <c r="CQ41" s="78"/>
      <c r="CR41" s="142"/>
      <c r="CS41" s="142"/>
      <c r="CT41" s="79">
        <f t="shared" si="34"/>
        <v>0</v>
      </c>
      <c r="CU41" s="80">
        <f t="shared" si="35"/>
        <v>0</v>
      </c>
      <c r="CV41" s="81">
        <f t="shared" si="36"/>
        <v>0</v>
      </c>
      <c r="CW41" s="144"/>
      <c r="CX41" s="145">
        <f>IF(ISERROR(VLOOKUP($A41,FIJOS!$B$11:$O$590,14,FALSE)),0,VLOOKUP($A41,FIJOS!$B$11:$O$590,14,FALSE))</f>
        <v>0</v>
      </c>
      <c r="CY41" s="145">
        <f>IF(ISERROR(VLOOKUP(A41,FIJOS!$B$10:$P$590,15,FALSE)),0,VLOOKUP(A41,FIJOS!$B$10:$P$590,15,FALSE))</f>
        <v>0</v>
      </c>
      <c r="CZ41" s="155"/>
      <c r="DA41" s="146"/>
      <c r="DB41" s="147"/>
      <c r="DC41" s="147"/>
      <c r="DD41" s="147"/>
      <c r="DE41" s="147"/>
      <c r="DF41" s="145">
        <f>IF(ISERROR(VLOOKUP($A41,FIJOS!$B$11:$N$590,13,FALSE)),0,VLOOKUP($A41,FIJOS!$B$11:$N$590,13,FALSE))</f>
        <v>0</v>
      </c>
      <c r="DG41" s="145">
        <f>IF(ISERROR(VLOOKUP($A41,FIJOS!$B$11:$P$447,12,FALSE)),0,VLOOKUP($A41,FIJOS!$B$11:$P$447,12,FALSE))</f>
        <v>0</v>
      </c>
      <c r="DH41" s="82">
        <f t="shared" si="37"/>
        <v>0</v>
      </c>
      <c r="DI41" s="83" t="b">
        <f>IF($C41=1,(VLOOKUP($A41,FIJOS!$B$11:$P$545,10,FALSE)/7)*(7-$CU41),IF(AND($C41=2,CV41&lt;$DJ$1),(VLOOKUP($D41,HORAS!$B$4:$C$42,2,FALSE)*24)*$CV41,IF(AND($C41=2,CV41&gt;=$DJ$1),VLOOKUP($D41,HORAS!$B$4:$D$42,3,FALSE),IF(AND($C41=3,$CV41&gt;=$DJ$1),VLOOKUP($A41,FIJOS!$B$11:$P$545,10,FALSE),IF(AND($C41=3,$CV41&lt;$DJ$1),((VLOOKUP($A41,FIJOS!$B$11:$P$545,10,FALSE)/48)*24)*$CV41,IF(AND($C41=4,$CV41&gt;=(42/24)),VLOOKUP($D41,HORAS!$B$4:$D$42,3,FALSE),IF(AND($C41=5,$CV41&gt;=(36/24)),VLOOKUP($D41,HORAS!$B$4:$D$42,3,FALSE))))))))</f>
        <v>0</v>
      </c>
      <c r="DJ41" s="145">
        <f>IF(OR($C41=2),VLOOKUP($D41,HORAS!$B$4:$E$42,4,FALSE)*$EC41,IF(ISERROR(VLOOKUP($A41,FIJOS!$B$11:$P$108,9,FALSE)),0,VLOOKUP($A41,FIJOS!$B$11:$P$231,9,FALSE)*$EC41))</f>
        <v>0</v>
      </c>
      <c r="DK41" s="145">
        <f>IF(OR($C41=2),VLOOKUP($D41,HORAS!$B$4:$F$42,5,FALSE)*$EE41,IF(ISERROR(VLOOKUP($A41,FIJOS!$B$11:$P$108,9,FALSE)),0,VLOOKUP($A41,FIJOS!$B$11:$P$231,9,FALSE)*$EE41))</f>
        <v>0</v>
      </c>
      <c r="DL41" s="144"/>
      <c r="DM41" s="145">
        <f>IF(ISERROR(VLOOKUP($A41,FIJOS!$B$11:$L$646,11,FALSE)),0,VLOOKUP($A41,FIJOS!$B$11:$L$646,11,FALSE))</f>
        <v>0</v>
      </c>
      <c r="DN41" s="148" t="e">
        <f>IF(OR($C41=1,$C41=3),0,IF((VLOOKUP(CAPTURA!D41,HORAS!$B$4:$K$42,10,FALSE)/4)*COUNTIF($H41:$CT41,3)&gt;100,100,(VLOOKUP(CAPTURA!D41,HORAS!$B$4:$K$42,10,FALSE)/4)*COUNTIF($H41:$CT41,3)))</f>
        <v>#N/A</v>
      </c>
      <c r="DO41" s="144" t="e">
        <f>IF(OR($C41=1,$C41=3),0,IF($C41=5,VLOOKUP(D41,HORAS!$B$4:$G$42,6,FALSE),IF(AND($C41=4,$CV41&gt;=(42/24)),VLOOKUP(D41,HORAS!$B$4:$G$42,6,FALSE),IF(COUNTIF($H41:$CL41,"F")&gt;0,0,IF(CV41&gt;$DJ$1,$DJ$1*(VLOOKUP(D41,HORAS!$B$4:$G$42,6,FALSE)/$DJ$1),CV41*(VLOOKUP(D41,HORAS!$B$4:$G$42,6,FALSE)/$DJ$1))))))</f>
        <v>#N/A</v>
      </c>
      <c r="DP41" s="156"/>
      <c r="DQ41" s="148"/>
      <c r="DR41" s="148"/>
      <c r="DS41" s="83" t="e">
        <f t="shared" si="38"/>
        <v>#N/A</v>
      </c>
      <c r="DT41" s="84"/>
      <c r="DU41" s="149" t="e">
        <f t="shared" si="39"/>
        <v>#N/A</v>
      </c>
      <c r="DV41" s="149" t="e">
        <f t="shared" si="40"/>
        <v>#N/A</v>
      </c>
      <c r="DW41" s="144" t="e">
        <f t="shared" si="41"/>
        <v>#N/A</v>
      </c>
      <c r="DX41" s="134"/>
      <c r="DY41" s="29"/>
      <c r="DZ41" s="150"/>
      <c r="EA41" s="134"/>
      <c r="EB41" s="137">
        <f t="shared" si="11"/>
        <v>0</v>
      </c>
      <c r="EC41" s="138">
        <f t="shared" si="9"/>
        <v>0</v>
      </c>
      <c r="ED41" s="137">
        <f t="shared" si="12"/>
        <v>0</v>
      </c>
      <c r="EE41" s="132">
        <f t="shared" si="10"/>
        <v>0</v>
      </c>
      <c r="EF41" s="29"/>
      <c r="EG41" s="134"/>
      <c r="EH41" s="134"/>
      <c r="EI41" s="29"/>
      <c r="EJ41" s="134"/>
    </row>
    <row r="42" spans="1:141" ht="15" customHeight="1" x14ac:dyDescent="0.25">
      <c r="A42" s="140"/>
      <c r="B42" s="5"/>
      <c r="C42" s="72"/>
      <c r="D42" s="73"/>
      <c r="E42" s="73"/>
      <c r="F42" s="141"/>
      <c r="G42" s="74"/>
      <c r="H42" s="75"/>
      <c r="I42" s="76"/>
      <c r="J42" s="135"/>
      <c r="K42" s="135"/>
      <c r="L42" s="77">
        <f t="shared" si="14"/>
        <v>0</v>
      </c>
      <c r="M42" s="78"/>
      <c r="N42" s="142"/>
      <c r="O42" s="142"/>
      <c r="P42" s="77">
        <f t="shared" si="15"/>
        <v>0</v>
      </c>
      <c r="Q42" s="78"/>
      <c r="R42" s="143"/>
      <c r="S42" s="143"/>
      <c r="T42" s="77">
        <f t="shared" si="16"/>
        <v>0</v>
      </c>
      <c r="U42" s="75"/>
      <c r="V42" s="76"/>
      <c r="W42" s="135"/>
      <c r="X42" s="135"/>
      <c r="Y42" s="77">
        <f t="shared" si="17"/>
        <v>0</v>
      </c>
      <c r="Z42" s="78"/>
      <c r="AA42" s="142"/>
      <c r="AB42" s="142"/>
      <c r="AC42" s="77">
        <f t="shared" si="18"/>
        <v>0</v>
      </c>
      <c r="AD42" s="78"/>
      <c r="AE42" s="143"/>
      <c r="AF42" s="143"/>
      <c r="AG42" s="79">
        <f t="shared" si="19"/>
        <v>0</v>
      </c>
      <c r="AH42" s="75"/>
      <c r="AI42" s="76"/>
      <c r="AJ42" s="135"/>
      <c r="AK42" s="135"/>
      <c r="AL42" s="77">
        <f t="shared" si="20"/>
        <v>0</v>
      </c>
      <c r="AM42" s="76"/>
      <c r="AN42" s="142"/>
      <c r="AO42" s="142"/>
      <c r="AP42" s="77">
        <f t="shared" si="21"/>
        <v>0</v>
      </c>
      <c r="AQ42" s="78"/>
      <c r="AR42" s="142"/>
      <c r="AS42" s="142"/>
      <c r="AT42" s="79">
        <f t="shared" si="22"/>
        <v>0</v>
      </c>
      <c r="AU42" s="75"/>
      <c r="AV42" s="76"/>
      <c r="AW42" s="135"/>
      <c r="AX42" s="135"/>
      <c r="AY42" s="77">
        <f t="shared" si="23"/>
        <v>0</v>
      </c>
      <c r="AZ42" s="76"/>
      <c r="BA42" s="142"/>
      <c r="BB42" s="142"/>
      <c r="BC42" s="77">
        <f t="shared" si="24"/>
        <v>0</v>
      </c>
      <c r="BD42" s="78"/>
      <c r="BE42" s="142"/>
      <c r="BF42" s="142"/>
      <c r="BG42" s="79">
        <f t="shared" si="25"/>
        <v>0</v>
      </c>
      <c r="BH42" s="75"/>
      <c r="BI42" s="76"/>
      <c r="BJ42" s="135"/>
      <c r="BK42" s="135"/>
      <c r="BL42" s="77">
        <f t="shared" si="26"/>
        <v>0</v>
      </c>
      <c r="BM42" s="78"/>
      <c r="BN42" s="142"/>
      <c r="BO42" s="142"/>
      <c r="BP42" s="77">
        <f t="shared" si="27"/>
        <v>0</v>
      </c>
      <c r="BQ42" s="78"/>
      <c r="BR42" s="142"/>
      <c r="BS42" s="142"/>
      <c r="BT42" s="79">
        <f t="shared" si="28"/>
        <v>0</v>
      </c>
      <c r="BU42" s="75"/>
      <c r="BV42" s="76"/>
      <c r="BW42" s="135"/>
      <c r="BX42" s="135"/>
      <c r="BY42" s="77">
        <f t="shared" si="29"/>
        <v>0</v>
      </c>
      <c r="BZ42" s="78"/>
      <c r="CA42" s="142"/>
      <c r="CB42" s="142"/>
      <c r="CC42" s="77">
        <f t="shared" si="30"/>
        <v>0</v>
      </c>
      <c r="CD42" s="78"/>
      <c r="CE42" s="142"/>
      <c r="CF42" s="142"/>
      <c r="CG42" s="79">
        <f t="shared" si="31"/>
        <v>0</v>
      </c>
      <c r="CH42" s="75"/>
      <c r="CI42" s="76"/>
      <c r="CJ42" s="135"/>
      <c r="CK42" s="135"/>
      <c r="CL42" s="77">
        <f t="shared" si="32"/>
        <v>0</v>
      </c>
      <c r="CM42" s="78"/>
      <c r="CN42" s="142"/>
      <c r="CO42" s="142"/>
      <c r="CP42" s="77">
        <f t="shared" si="33"/>
        <v>0</v>
      </c>
      <c r="CQ42" s="78"/>
      <c r="CR42" s="142"/>
      <c r="CS42" s="142"/>
      <c r="CT42" s="79">
        <f t="shared" si="34"/>
        <v>0</v>
      </c>
      <c r="CU42" s="80">
        <f t="shared" si="35"/>
        <v>0</v>
      </c>
      <c r="CV42" s="81">
        <f t="shared" si="36"/>
        <v>0</v>
      </c>
      <c r="CW42" s="144"/>
      <c r="CX42" s="145">
        <f>IF(ISERROR(VLOOKUP($A42,FIJOS!$B$11:$O$590,14,FALSE)),0,VLOOKUP($A42,FIJOS!$B$11:$O$590,14,FALSE))</f>
        <v>0</v>
      </c>
      <c r="CY42" s="145">
        <f>IF(ISERROR(VLOOKUP(A42,FIJOS!$B$10:$P$590,15,FALSE)),0,VLOOKUP(A42,FIJOS!$B$10:$P$590,15,FALSE))</f>
        <v>0</v>
      </c>
      <c r="CZ42" s="155"/>
      <c r="DA42" s="146"/>
      <c r="DB42" s="147"/>
      <c r="DC42" s="147"/>
      <c r="DD42" s="147"/>
      <c r="DE42" s="147"/>
      <c r="DF42" s="145">
        <f>IF(ISERROR(VLOOKUP($A42,FIJOS!$B$11:$N$590,13,FALSE)),0,VLOOKUP($A42,FIJOS!$B$11:$N$590,13,FALSE))</f>
        <v>0</v>
      </c>
      <c r="DG42" s="145">
        <f>IF(ISERROR(VLOOKUP($A42,FIJOS!$B$11:$P$447,12,FALSE)),0,VLOOKUP($A42,FIJOS!$B$11:$P$447,12,FALSE))</f>
        <v>0</v>
      </c>
      <c r="DH42" s="82">
        <f t="shared" si="37"/>
        <v>0</v>
      </c>
      <c r="DI42" s="83" t="b">
        <f>IF($C42=1,(VLOOKUP($A42,FIJOS!$B$11:$P$545,10,FALSE)/7)*(7-$CU42),IF(AND($C42=2,CV42&lt;$DJ$1),(VLOOKUP($D42,HORAS!$B$4:$C$42,2,FALSE)*24)*$CV42,IF(AND($C42=2,CV42&gt;=$DJ$1),VLOOKUP($D42,HORAS!$B$4:$D$42,3,FALSE),IF(AND($C42=3,$CV42&gt;=$DJ$1),VLOOKUP($A42,FIJOS!$B$11:$P$545,10,FALSE),IF(AND($C42=3,$CV42&lt;$DJ$1),((VLOOKUP($A42,FIJOS!$B$11:$P$545,10,FALSE)/48)*24)*$CV42,IF(AND($C42=4,$CV42&gt;=(42/24)),VLOOKUP($D42,HORAS!$B$4:$D$42,3,FALSE),IF(AND($C42=5,$CV42&gt;=(36/24)),VLOOKUP($D42,HORAS!$B$4:$D$42,3,FALSE))))))))</f>
        <v>0</v>
      </c>
      <c r="DJ42" s="145">
        <f>IF(OR($C42=2),VLOOKUP($D42,HORAS!$B$4:$E$42,4,FALSE)*$EC42,IF(ISERROR(VLOOKUP($A42,FIJOS!$B$11:$P$108,9,FALSE)),0,VLOOKUP($A42,FIJOS!$B$11:$P$231,9,FALSE)*$EC42))</f>
        <v>0</v>
      </c>
      <c r="DK42" s="145">
        <f>IF(OR($C42=2),VLOOKUP($D42,HORAS!$B$4:$F$42,5,FALSE)*$EE42,IF(ISERROR(VLOOKUP($A42,FIJOS!$B$11:$P$108,9,FALSE)),0,VLOOKUP($A42,FIJOS!$B$11:$P$231,9,FALSE)*$EE42))</f>
        <v>0</v>
      </c>
      <c r="DL42" s="144"/>
      <c r="DM42" s="145">
        <f>IF(ISERROR(VLOOKUP($A42,FIJOS!$B$11:$L$646,11,FALSE)),0,VLOOKUP($A42,FIJOS!$B$11:$L$646,11,FALSE))</f>
        <v>0</v>
      </c>
      <c r="DN42" s="148" t="e">
        <f>IF(OR($C42=1,$C42=3),0,IF((VLOOKUP(CAPTURA!D42,HORAS!$B$4:$K$42,10,FALSE)/4)*COUNTIF($H42:$CT42,3)&gt;100,100,(VLOOKUP(CAPTURA!D42,HORAS!$B$4:$K$42,10,FALSE)/4)*COUNTIF($H42:$CT42,3)))</f>
        <v>#N/A</v>
      </c>
      <c r="DO42" s="144" t="e">
        <f>IF(OR($C42=1,$C42=3),0,IF($C42=5,VLOOKUP(D42,HORAS!$B$4:$G$42,6,FALSE),IF(AND($C42=4,$CV42&gt;=(42/24)),VLOOKUP(D42,HORAS!$B$4:$G$42,6,FALSE),IF(COUNTIF($H42:$CL42,"F")&gt;0,0,IF(CV42&gt;$DJ$1,$DJ$1*(VLOOKUP(D42,HORAS!$B$4:$G$42,6,FALSE)/$DJ$1),CV42*(VLOOKUP(D42,HORAS!$B$4:$G$42,6,FALSE)/$DJ$1))))))</f>
        <v>#N/A</v>
      </c>
      <c r="DP42" s="156"/>
      <c r="DQ42" s="148"/>
      <c r="DR42" s="148"/>
      <c r="DS42" s="83" t="e">
        <f t="shared" si="38"/>
        <v>#N/A</v>
      </c>
      <c r="DT42" s="84"/>
      <c r="DU42" s="149" t="e">
        <f t="shared" si="39"/>
        <v>#N/A</v>
      </c>
      <c r="DV42" s="149" t="e">
        <f t="shared" si="40"/>
        <v>#N/A</v>
      </c>
      <c r="DW42" s="144" t="e">
        <f t="shared" si="41"/>
        <v>#N/A</v>
      </c>
      <c r="DX42" s="134"/>
      <c r="DY42" s="29"/>
      <c r="DZ42" s="150"/>
      <c r="EA42" s="134"/>
      <c r="EB42" s="137">
        <f t="shared" si="11"/>
        <v>0</v>
      </c>
      <c r="EC42" s="138">
        <f t="shared" si="9"/>
        <v>0</v>
      </c>
      <c r="ED42" s="137">
        <f t="shared" si="12"/>
        <v>0</v>
      </c>
      <c r="EE42" s="132">
        <f t="shared" si="10"/>
        <v>0</v>
      </c>
      <c r="EF42" s="29"/>
      <c r="EG42" s="134"/>
      <c r="EH42" s="134"/>
      <c r="EI42" s="175"/>
      <c r="EJ42" s="134"/>
    </row>
    <row r="43" spans="1:141" ht="15" customHeight="1" x14ac:dyDescent="0.25">
      <c r="A43" s="87"/>
      <c r="B43" s="88"/>
      <c r="C43" s="72"/>
      <c r="D43" s="73"/>
      <c r="E43" s="73"/>
      <c r="F43" s="141"/>
      <c r="G43" s="74"/>
      <c r="H43" s="75"/>
      <c r="I43" s="76"/>
      <c r="J43" s="135"/>
      <c r="K43" s="135"/>
      <c r="L43" s="77">
        <f t="shared" si="14"/>
        <v>0</v>
      </c>
      <c r="M43" s="78"/>
      <c r="N43" s="142"/>
      <c r="O43" s="142"/>
      <c r="P43" s="77">
        <f t="shared" si="15"/>
        <v>0</v>
      </c>
      <c r="Q43" s="78"/>
      <c r="R43" s="143"/>
      <c r="S43" s="143"/>
      <c r="T43" s="77">
        <f t="shared" si="16"/>
        <v>0</v>
      </c>
      <c r="U43" s="75"/>
      <c r="V43" s="76"/>
      <c r="W43" s="135"/>
      <c r="X43" s="135"/>
      <c r="Y43" s="77">
        <f t="shared" si="17"/>
        <v>0</v>
      </c>
      <c r="Z43" s="78"/>
      <c r="AA43" s="142"/>
      <c r="AB43" s="142"/>
      <c r="AC43" s="77">
        <f t="shared" si="18"/>
        <v>0</v>
      </c>
      <c r="AD43" s="78"/>
      <c r="AE43" s="143"/>
      <c r="AF43" s="143"/>
      <c r="AG43" s="79">
        <f t="shared" si="19"/>
        <v>0</v>
      </c>
      <c r="AH43" s="75"/>
      <c r="AI43" s="76"/>
      <c r="AJ43" s="135"/>
      <c r="AK43" s="135"/>
      <c r="AL43" s="77">
        <f t="shared" si="20"/>
        <v>0</v>
      </c>
      <c r="AM43" s="76"/>
      <c r="AN43" s="142"/>
      <c r="AO43" s="142"/>
      <c r="AP43" s="77">
        <f t="shared" si="21"/>
        <v>0</v>
      </c>
      <c r="AQ43" s="78"/>
      <c r="AR43" s="142"/>
      <c r="AS43" s="142"/>
      <c r="AT43" s="79">
        <f t="shared" si="22"/>
        <v>0</v>
      </c>
      <c r="AU43" s="75"/>
      <c r="AV43" s="76"/>
      <c r="AW43" s="135"/>
      <c r="AX43" s="135"/>
      <c r="AY43" s="77">
        <f t="shared" si="23"/>
        <v>0</v>
      </c>
      <c r="AZ43" s="76"/>
      <c r="BA43" s="142"/>
      <c r="BB43" s="142"/>
      <c r="BC43" s="77">
        <f t="shared" si="24"/>
        <v>0</v>
      </c>
      <c r="BD43" s="78"/>
      <c r="BE43" s="142"/>
      <c r="BF43" s="142"/>
      <c r="BG43" s="79">
        <f t="shared" si="25"/>
        <v>0</v>
      </c>
      <c r="BH43" s="75"/>
      <c r="BI43" s="76"/>
      <c r="BJ43" s="135"/>
      <c r="BK43" s="135"/>
      <c r="BL43" s="77">
        <f t="shared" si="26"/>
        <v>0</v>
      </c>
      <c r="BM43" s="78"/>
      <c r="BN43" s="142"/>
      <c r="BO43" s="142"/>
      <c r="BP43" s="77">
        <f t="shared" si="27"/>
        <v>0</v>
      </c>
      <c r="BQ43" s="78"/>
      <c r="BR43" s="142"/>
      <c r="BS43" s="142"/>
      <c r="BT43" s="79">
        <f t="shared" si="28"/>
        <v>0</v>
      </c>
      <c r="BU43" s="75"/>
      <c r="BV43" s="76"/>
      <c r="BW43" s="135"/>
      <c r="BX43" s="135"/>
      <c r="BY43" s="77">
        <f t="shared" si="29"/>
        <v>0</v>
      </c>
      <c r="BZ43" s="78"/>
      <c r="CA43" s="142"/>
      <c r="CB43" s="142"/>
      <c r="CC43" s="77">
        <f t="shared" si="30"/>
        <v>0</v>
      </c>
      <c r="CD43" s="78"/>
      <c r="CE43" s="142"/>
      <c r="CF43" s="142"/>
      <c r="CG43" s="79">
        <f t="shared" si="31"/>
        <v>0</v>
      </c>
      <c r="CH43" s="75"/>
      <c r="CI43" s="76"/>
      <c r="CJ43" s="135"/>
      <c r="CK43" s="135"/>
      <c r="CL43" s="77">
        <f t="shared" si="32"/>
        <v>0</v>
      </c>
      <c r="CM43" s="78"/>
      <c r="CN43" s="142"/>
      <c r="CO43" s="142"/>
      <c r="CP43" s="77">
        <f t="shared" si="33"/>
        <v>0</v>
      </c>
      <c r="CQ43" s="78"/>
      <c r="CR43" s="142"/>
      <c r="CS43" s="142"/>
      <c r="CT43" s="79">
        <f t="shared" si="34"/>
        <v>0</v>
      </c>
      <c r="CU43" s="80">
        <f t="shared" si="35"/>
        <v>0</v>
      </c>
      <c r="CV43" s="81">
        <f t="shared" si="36"/>
        <v>0</v>
      </c>
      <c r="CW43" s="144"/>
      <c r="CX43" s="145">
        <f>IF(ISERROR(VLOOKUP($A43,FIJOS!$B$11:$O$590,14,FALSE)),0,VLOOKUP($A43,FIJOS!$B$11:$O$590,14,FALSE))</f>
        <v>0</v>
      </c>
      <c r="CY43" s="145">
        <f>IF(ISERROR(VLOOKUP(A43,FIJOS!$B$10:$P$590,15,FALSE)),0,VLOOKUP(A43,FIJOS!$B$10:$P$590,15,FALSE))</f>
        <v>0</v>
      </c>
      <c r="CZ43" s="155"/>
      <c r="DA43" s="146"/>
      <c r="DB43" s="147"/>
      <c r="DC43" s="147"/>
      <c r="DD43" s="147"/>
      <c r="DE43" s="147"/>
      <c r="DF43" s="145">
        <f>IF(ISERROR(VLOOKUP($A43,FIJOS!$B$11:$N$590,13,FALSE)),0,VLOOKUP($A43,FIJOS!$B$11:$N$590,13,FALSE))</f>
        <v>0</v>
      </c>
      <c r="DG43" s="145">
        <f>IF(ISERROR(VLOOKUP($A43,FIJOS!$B$11:$P$447,12,FALSE)),0,VLOOKUP($A43,FIJOS!$B$11:$P$447,12,FALSE))</f>
        <v>0</v>
      </c>
      <c r="DH43" s="82">
        <f t="shared" si="37"/>
        <v>0</v>
      </c>
      <c r="DI43" s="83" t="b">
        <f>IF($C43=1,(VLOOKUP($A43,FIJOS!$B$11:$P$545,10,FALSE)/7)*(7-$CU43),IF(AND($C43=2,CV43&lt;$DJ$1),(VLOOKUP($D43,HORAS!$B$4:$C$42,2,FALSE)*24)*$CV43,IF(AND($C43=2,CV43&gt;=$DJ$1),VLOOKUP($D43,HORAS!$B$4:$D$42,3,FALSE),IF(AND($C43=3,$CV43&gt;=$DJ$1),VLOOKUP($A43,FIJOS!$B$11:$P$545,10,FALSE),IF(AND($C43=3,$CV43&lt;$DJ$1),((VLOOKUP($A43,FIJOS!$B$11:$P$545,10,FALSE)/48)*24)*$CV43,IF(AND($C43=4,$CV43&gt;=(42/24)),VLOOKUP($D43,HORAS!$B$4:$D$42,3,FALSE),IF(AND($C43=5,$CV43&gt;=(36/24)),VLOOKUP($D43,HORAS!$B$4:$D$42,3,FALSE))))))))</f>
        <v>0</v>
      </c>
      <c r="DJ43" s="145">
        <f>IF(OR($C43=2),VLOOKUP($D43,HORAS!$B$4:$E$42,4,FALSE)*$EC43,IF(ISERROR(VLOOKUP($A43,FIJOS!$B$11:$P$108,9,FALSE)),0,VLOOKUP($A43,FIJOS!$B$11:$P$231,9,FALSE)*$EC43))</f>
        <v>0</v>
      </c>
      <c r="DK43" s="145">
        <f>IF(OR($C43=2),VLOOKUP($D43,HORAS!$B$4:$F$42,5,FALSE)*$EE43,IF(ISERROR(VLOOKUP($A43,FIJOS!$B$11:$P$108,9,FALSE)),0,VLOOKUP($A43,FIJOS!$B$11:$P$231,9,FALSE)*$EE43))</f>
        <v>0</v>
      </c>
      <c r="DL43" s="144"/>
      <c r="DM43" s="145">
        <f>IF(ISERROR(VLOOKUP($A43,FIJOS!$B$11:$L$646,11,FALSE)),0,VLOOKUP($A43,FIJOS!$B$11:$L$646,11,FALSE))</f>
        <v>0</v>
      </c>
      <c r="DN43" s="148" t="e">
        <f>IF(OR($C43=1,$C43=3),0,IF((VLOOKUP(CAPTURA!D43,HORAS!$B$4:$K$42,10,FALSE)/4)*COUNTIF($H43:$CT43,3)&gt;100,100,(VLOOKUP(CAPTURA!D43,HORAS!$B$4:$K$42,10,FALSE)/4)*COUNTIF($H43:$CT43,3)))</f>
        <v>#N/A</v>
      </c>
      <c r="DO43" s="144" t="e">
        <f>IF(OR($C43=1,$C43=3),0,IF($C43=5,VLOOKUP(D43,HORAS!$B$4:$G$42,6,FALSE),IF(AND($C43=4,$CV43&gt;=(42/24)),VLOOKUP(D43,HORAS!$B$4:$G$42,6,FALSE),IF(COUNTIF($H43:$CL43,"F")&gt;0,0,IF(CV43&gt;$DJ$1,$DJ$1*(VLOOKUP(D43,HORAS!$B$4:$G$42,6,FALSE)/$DJ$1),CV43*(VLOOKUP(D43,HORAS!$B$4:$G$42,6,FALSE)/$DJ$1))))))</f>
        <v>#N/A</v>
      </c>
      <c r="DP43" s="156"/>
      <c r="DQ43" s="148"/>
      <c r="DR43" s="148"/>
      <c r="DS43" s="83" t="e">
        <f t="shared" si="38"/>
        <v>#N/A</v>
      </c>
      <c r="DT43" s="84"/>
      <c r="DU43" s="149" t="e">
        <f t="shared" si="39"/>
        <v>#N/A</v>
      </c>
      <c r="DV43" s="149" t="e">
        <f t="shared" si="40"/>
        <v>#N/A</v>
      </c>
      <c r="DW43" s="144" t="e">
        <f t="shared" si="41"/>
        <v>#N/A</v>
      </c>
      <c r="DX43" s="134"/>
      <c r="DY43" s="29"/>
      <c r="DZ43" s="150"/>
      <c r="EA43" s="134"/>
      <c r="EB43" s="137">
        <f t="shared" si="11"/>
        <v>0</v>
      </c>
      <c r="EC43" s="138">
        <f t="shared" si="9"/>
        <v>0</v>
      </c>
      <c r="ED43" s="137">
        <f t="shared" si="12"/>
        <v>0</v>
      </c>
      <c r="EE43" s="132">
        <f t="shared" si="10"/>
        <v>0</v>
      </c>
      <c r="EF43" s="29"/>
      <c r="EG43" s="134"/>
      <c r="EH43" s="134"/>
      <c r="EI43" s="176"/>
      <c r="EK43" s="29"/>
    </row>
    <row r="44" spans="1:141" ht="15" customHeight="1" x14ac:dyDescent="0.25">
      <c r="A44" s="140"/>
      <c r="B44" s="5"/>
      <c r="C44" s="72"/>
      <c r="D44" s="73"/>
      <c r="E44" s="73"/>
      <c r="F44" s="141"/>
      <c r="G44" s="74"/>
      <c r="H44" s="75"/>
      <c r="I44" s="76"/>
      <c r="J44" s="135"/>
      <c r="K44" s="135"/>
      <c r="L44" s="77">
        <f t="shared" si="14"/>
        <v>0</v>
      </c>
      <c r="M44" s="78"/>
      <c r="N44" s="142"/>
      <c r="O44" s="142"/>
      <c r="P44" s="77">
        <f t="shared" si="15"/>
        <v>0</v>
      </c>
      <c r="Q44" s="78"/>
      <c r="R44" s="143"/>
      <c r="S44" s="143"/>
      <c r="T44" s="77">
        <f t="shared" si="16"/>
        <v>0</v>
      </c>
      <c r="U44" s="75"/>
      <c r="V44" s="76"/>
      <c r="W44" s="135"/>
      <c r="X44" s="135"/>
      <c r="Y44" s="77">
        <f t="shared" si="17"/>
        <v>0</v>
      </c>
      <c r="Z44" s="78"/>
      <c r="AA44" s="142"/>
      <c r="AB44" s="142"/>
      <c r="AC44" s="77">
        <f t="shared" si="18"/>
        <v>0</v>
      </c>
      <c r="AD44" s="78"/>
      <c r="AE44" s="143"/>
      <c r="AF44" s="143"/>
      <c r="AG44" s="79">
        <f t="shared" si="19"/>
        <v>0</v>
      </c>
      <c r="AH44" s="75"/>
      <c r="AI44" s="76"/>
      <c r="AJ44" s="135"/>
      <c r="AK44" s="135"/>
      <c r="AL44" s="77">
        <f t="shared" si="20"/>
        <v>0</v>
      </c>
      <c r="AM44" s="76"/>
      <c r="AN44" s="142"/>
      <c r="AO44" s="142"/>
      <c r="AP44" s="77">
        <f t="shared" si="21"/>
        <v>0</v>
      </c>
      <c r="AQ44" s="78"/>
      <c r="AR44" s="142"/>
      <c r="AS44" s="142"/>
      <c r="AT44" s="79">
        <f t="shared" si="22"/>
        <v>0</v>
      </c>
      <c r="AU44" s="75"/>
      <c r="AV44" s="76"/>
      <c r="AW44" s="135"/>
      <c r="AX44" s="135"/>
      <c r="AY44" s="77">
        <f t="shared" si="23"/>
        <v>0</v>
      </c>
      <c r="AZ44" s="76"/>
      <c r="BA44" s="142"/>
      <c r="BB44" s="142"/>
      <c r="BC44" s="77">
        <f t="shared" si="24"/>
        <v>0</v>
      </c>
      <c r="BD44" s="78"/>
      <c r="BE44" s="142"/>
      <c r="BF44" s="142"/>
      <c r="BG44" s="79">
        <f t="shared" si="25"/>
        <v>0</v>
      </c>
      <c r="BH44" s="75"/>
      <c r="BI44" s="76"/>
      <c r="BJ44" s="135"/>
      <c r="BK44" s="135"/>
      <c r="BL44" s="77">
        <f t="shared" si="26"/>
        <v>0</v>
      </c>
      <c r="BM44" s="78"/>
      <c r="BN44" s="142"/>
      <c r="BO44" s="142"/>
      <c r="BP44" s="77">
        <f t="shared" si="27"/>
        <v>0</v>
      </c>
      <c r="BQ44" s="78"/>
      <c r="BR44" s="142"/>
      <c r="BS44" s="142"/>
      <c r="BT44" s="79">
        <f t="shared" si="28"/>
        <v>0</v>
      </c>
      <c r="BU44" s="75"/>
      <c r="BV44" s="76"/>
      <c r="BW44" s="135"/>
      <c r="BX44" s="135"/>
      <c r="BY44" s="77">
        <f t="shared" si="29"/>
        <v>0</v>
      </c>
      <c r="BZ44" s="78"/>
      <c r="CA44" s="142"/>
      <c r="CB44" s="142"/>
      <c r="CC44" s="77">
        <f t="shared" si="30"/>
        <v>0</v>
      </c>
      <c r="CD44" s="78"/>
      <c r="CE44" s="142"/>
      <c r="CF44" s="142"/>
      <c r="CG44" s="79">
        <f t="shared" si="31"/>
        <v>0</v>
      </c>
      <c r="CH44" s="75"/>
      <c r="CI44" s="76"/>
      <c r="CJ44" s="135"/>
      <c r="CK44" s="135"/>
      <c r="CL44" s="77">
        <f t="shared" si="32"/>
        <v>0</v>
      </c>
      <c r="CM44" s="78"/>
      <c r="CN44" s="142"/>
      <c r="CO44" s="142"/>
      <c r="CP44" s="77">
        <f t="shared" si="33"/>
        <v>0</v>
      </c>
      <c r="CQ44" s="78"/>
      <c r="CR44" s="142"/>
      <c r="CS44" s="142"/>
      <c r="CT44" s="79">
        <f t="shared" si="34"/>
        <v>0</v>
      </c>
      <c r="CU44" s="80">
        <f t="shared" si="35"/>
        <v>0</v>
      </c>
      <c r="CV44" s="81">
        <f t="shared" si="36"/>
        <v>0</v>
      </c>
      <c r="CW44" s="144"/>
      <c r="CX44" s="145">
        <f>IF(ISERROR(VLOOKUP($A44,FIJOS!$B$11:$O$590,14,FALSE)),0,VLOOKUP($A44,FIJOS!$B$11:$O$590,14,FALSE))</f>
        <v>0</v>
      </c>
      <c r="CY44" s="145">
        <f>IF(ISERROR(VLOOKUP(A44,FIJOS!$B$10:$P$590,15,FALSE)),0,VLOOKUP(A44,FIJOS!$B$10:$P$590,15,FALSE))</f>
        <v>0</v>
      </c>
      <c r="CZ44" s="155"/>
      <c r="DA44" s="146"/>
      <c r="DB44" s="147"/>
      <c r="DC44" s="147"/>
      <c r="DD44" s="147"/>
      <c r="DE44" s="147"/>
      <c r="DF44" s="145">
        <f>IF(ISERROR(VLOOKUP($A44,FIJOS!$B$11:$N$590,13,FALSE)),0,VLOOKUP($A44,FIJOS!$B$11:$N$590,13,FALSE))</f>
        <v>0</v>
      </c>
      <c r="DG44" s="145">
        <f>IF(ISERROR(VLOOKUP($A44,FIJOS!$B$11:$P$447,12,FALSE)),0,VLOOKUP($A44,FIJOS!$B$11:$P$447,12,FALSE))</f>
        <v>0</v>
      </c>
      <c r="DH44" s="82">
        <f t="shared" si="37"/>
        <v>0</v>
      </c>
      <c r="DI44" s="83" t="b">
        <f>IF($C44=1,(VLOOKUP($A44,FIJOS!$B$11:$P$545,10,FALSE)/7)*(7-$CU44),IF(AND($C44=2,CV44&lt;$DJ$1),(VLOOKUP($D44,HORAS!$B$4:$C$42,2,FALSE)*24)*$CV44,IF(AND($C44=2,CV44&gt;=$DJ$1),VLOOKUP($D44,HORAS!$B$4:$D$42,3,FALSE),IF(AND($C44=3,$CV44&gt;=$DJ$1),VLOOKUP($A44,FIJOS!$B$11:$P$545,10,FALSE),IF(AND($C44=3,$CV44&lt;$DJ$1),((VLOOKUP($A44,FIJOS!$B$11:$P$545,10,FALSE)/48)*24)*$CV44,IF(AND($C44=4,$CV44&gt;=(42/24)),VLOOKUP($D44,HORAS!$B$4:$D$42,3,FALSE),IF(AND($C44=5,$CV44&gt;=(36/24)),VLOOKUP($D44,HORAS!$B$4:$D$42,3,FALSE))))))))</f>
        <v>0</v>
      </c>
      <c r="DJ44" s="145">
        <f>IF(OR($C44=2),VLOOKUP($D44,HORAS!$B$4:$E$42,4,FALSE)*$EC44,IF(ISERROR(VLOOKUP($A44,FIJOS!$B$11:$P$108,9,FALSE)),0,VLOOKUP($A44,FIJOS!$B$11:$P$231,9,FALSE)*$EC44))</f>
        <v>0</v>
      </c>
      <c r="DK44" s="145">
        <f>IF(OR($C44=2),VLOOKUP($D44,HORAS!$B$4:$F$42,5,FALSE)*$EE44,IF(ISERROR(VLOOKUP($A44,FIJOS!$B$11:$P$108,9,FALSE)),0,VLOOKUP($A44,FIJOS!$B$11:$P$231,9,FALSE)*$EE44))</f>
        <v>0</v>
      </c>
      <c r="DL44" s="144"/>
      <c r="DM44" s="145">
        <f>IF(ISERROR(VLOOKUP($A44,FIJOS!$B$11:$L$646,11,FALSE)),0,VLOOKUP($A44,FIJOS!$B$11:$L$646,11,FALSE))</f>
        <v>0</v>
      </c>
      <c r="DN44" s="148" t="e">
        <f>IF(OR($C44=1,$C44=3),0,IF((VLOOKUP(CAPTURA!D44,HORAS!$B$4:$K$42,10,FALSE)/4)*COUNTIF($H44:$CT44,3)&gt;100,100,(VLOOKUP(CAPTURA!D44,HORAS!$B$4:$K$42,10,FALSE)/4)*COUNTIF($H44:$CT44,3)))</f>
        <v>#N/A</v>
      </c>
      <c r="DO44" s="144" t="e">
        <f>IF(OR($C44=1,$C44=3),0,IF($C44=5,VLOOKUP(D44,HORAS!$B$4:$G$42,6,FALSE),IF(AND($C44=4,$CV44&gt;=(42/24)),VLOOKUP(D44,HORAS!$B$4:$G$42,6,FALSE),IF(COUNTIF($H44:$CL44,"F")&gt;0,0,IF(CV44&gt;$DJ$1,$DJ$1*(VLOOKUP(D44,HORAS!$B$4:$G$42,6,FALSE)/$DJ$1),CV44*(VLOOKUP(D44,HORAS!$B$4:$G$42,6,FALSE)/$DJ$1))))))</f>
        <v>#N/A</v>
      </c>
      <c r="DP44" s="156"/>
      <c r="DQ44" s="148"/>
      <c r="DR44" s="148"/>
      <c r="DS44" s="83" t="e">
        <f t="shared" si="38"/>
        <v>#N/A</v>
      </c>
      <c r="DT44" s="84"/>
      <c r="DU44" s="149" t="e">
        <f t="shared" si="39"/>
        <v>#N/A</v>
      </c>
      <c r="DV44" s="149" t="e">
        <f t="shared" si="40"/>
        <v>#N/A</v>
      </c>
      <c r="DW44" s="144" t="e">
        <f t="shared" si="41"/>
        <v>#N/A</v>
      </c>
      <c r="DX44" s="134"/>
      <c r="DY44" s="29"/>
      <c r="DZ44" s="150"/>
      <c r="EA44" s="134"/>
      <c r="EB44" s="137">
        <f t="shared" si="11"/>
        <v>0</v>
      </c>
      <c r="EC44" s="138">
        <f t="shared" si="9"/>
        <v>0</v>
      </c>
      <c r="ED44" s="137">
        <f t="shared" si="12"/>
        <v>0</v>
      </c>
      <c r="EE44" s="132">
        <f t="shared" si="10"/>
        <v>0</v>
      </c>
      <c r="EF44" s="29"/>
      <c r="EG44" s="134"/>
      <c r="EH44" s="134"/>
      <c r="EI44" s="134"/>
      <c r="EK44" s="29"/>
    </row>
    <row r="45" spans="1:141" ht="15" customHeight="1" x14ac:dyDescent="0.25">
      <c r="A45" s="140"/>
      <c r="B45" s="5"/>
      <c r="C45" s="72"/>
      <c r="D45" s="73"/>
      <c r="E45" s="73"/>
      <c r="F45" s="141"/>
      <c r="G45" s="74"/>
      <c r="H45" s="75"/>
      <c r="I45" s="76"/>
      <c r="J45" s="135"/>
      <c r="K45" s="135"/>
      <c r="L45" s="77">
        <f t="shared" si="14"/>
        <v>0</v>
      </c>
      <c r="M45" s="78"/>
      <c r="N45" s="142"/>
      <c r="O45" s="142"/>
      <c r="P45" s="77">
        <f t="shared" si="15"/>
        <v>0</v>
      </c>
      <c r="Q45" s="78"/>
      <c r="R45" s="143"/>
      <c r="S45" s="143"/>
      <c r="T45" s="77">
        <f t="shared" si="16"/>
        <v>0</v>
      </c>
      <c r="U45" s="75"/>
      <c r="V45" s="76"/>
      <c r="W45" s="135"/>
      <c r="X45" s="135"/>
      <c r="Y45" s="77">
        <f t="shared" si="17"/>
        <v>0</v>
      </c>
      <c r="Z45" s="78"/>
      <c r="AA45" s="142"/>
      <c r="AB45" s="142"/>
      <c r="AC45" s="77">
        <f t="shared" si="18"/>
        <v>0</v>
      </c>
      <c r="AD45" s="78"/>
      <c r="AE45" s="143"/>
      <c r="AF45" s="143"/>
      <c r="AG45" s="79">
        <f t="shared" si="19"/>
        <v>0</v>
      </c>
      <c r="AH45" s="75"/>
      <c r="AI45" s="76"/>
      <c r="AJ45" s="135"/>
      <c r="AK45" s="135"/>
      <c r="AL45" s="77">
        <f t="shared" si="20"/>
        <v>0</v>
      </c>
      <c r="AM45" s="76"/>
      <c r="AN45" s="142"/>
      <c r="AO45" s="142"/>
      <c r="AP45" s="77">
        <f t="shared" si="21"/>
        <v>0</v>
      </c>
      <c r="AQ45" s="78"/>
      <c r="AR45" s="142"/>
      <c r="AS45" s="142"/>
      <c r="AT45" s="79">
        <f t="shared" si="22"/>
        <v>0</v>
      </c>
      <c r="AU45" s="75"/>
      <c r="AV45" s="76"/>
      <c r="AW45" s="135"/>
      <c r="AX45" s="135"/>
      <c r="AY45" s="77">
        <f t="shared" si="23"/>
        <v>0</v>
      </c>
      <c r="AZ45" s="76"/>
      <c r="BA45" s="142"/>
      <c r="BB45" s="142"/>
      <c r="BC45" s="77">
        <f t="shared" si="24"/>
        <v>0</v>
      </c>
      <c r="BD45" s="78"/>
      <c r="BE45" s="142"/>
      <c r="BF45" s="142"/>
      <c r="BG45" s="79">
        <f t="shared" si="25"/>
        <v>0</v>
      </c>
      <c r="BH45" s="75"/>
      <c r="BI45" s="76"/>
      <c r="BJ45" s="135"/>
      <c r="BK45" s="135"/>
      <c r="BL45" s="77">
        <f t="shared" si="26"/>
        <v>0</v>
      </c>
      <c r="BM45" s="78"/>
      <c r="BN45" s="142"/>
      <c r="BO45" s="142"/>
      <c r="BP45" s="77">
        <f t="shared" si="27"/>
        <v>0</v>
      </c>
      <c r="BQ45" s="78"/>
      <c r="BR45" s="142"/>
      <c r="BS45" s="142"/>
      <c r="BT45" s="79">
        <f t="shared" si="28"/>
        <v>0</v>
      </c>
      <c r="BU45" s="75"/>
      <c r="BV45" s="76"/>
      <c r="BW45" s="135"/>
      <c r="BX45" s="135"/>
      <c r="BY45" s="77">
        <f t="shared" si="29"/>
        <v>0</v>
      </c>
      <c r="BZ45" s="78"/>
      <c r="CA45" s="142"/>
      <c r="CB45" s="142"/>
      <c r="CC45" s="77">
        <f t="shared" si="30"/>
        <v>0</v>
      </c>
      <c r="CD45" s="78"/>
      <c r="CE45" s="142"/>
      <c r="CF45" s="142"/>
      <c r="CG45" s="79">
        <f t="shared" si="31"/>
        <v>0</v>
      </c>
      <c r="CH45" s="75"/>
      <c r="CI45" s="76"/>
      <c r="CJ45" s="135"/>
      <c r="CK45" s="135"/>
      <c r="CL45" s="77">
        <f t="shared" si="32"/>
        <v>0</v>
      </c>
      <c r="CM45" s="78"/>
      <c r="CN45" s="142"/>
      <c r="CO45" s="142"/>
      <c r="CP45" s="77">
        <f t="shared" si="33"/>
        <v>0</v>
      </c>
      <c r="CQ45" s="78"/>
      <c r="CR45" s="142"/>
      <c r="CS45" s="142"/>
      <c r="CT45" s="79">
        <f t="shared" si="34"/>
        <v>0</v>
      </c>
      <c r="CU45" s="80">
        <f t="shared" si="35"/>
        <v>0</v>
      </c>
      <c r="CV45" s="81">
        <f t="shared" si="36"/>
        <v>0</v>
      </c>
      <c r="CW45" s="144"/>
      <c r="CX45" s="145">
        <f>IF(ISERROR(VLOOKUP($A45,FIJOS!$B$11:$O$590,14,FALSE)),0,VLOOKUP($A45,FIJOS!$B$11:$O$590,14,FALSE))</f>
        <v>0</v>
      </c>
      <c r="CY45" s="145">
        <f>IF(ISERROR(VLOOKUP(A45,FIJOS!$B$10:$P$590,15,FALSE)),0,VLOOKUP(A45,FIJOS!$B$10:$P$590,15,FALSE))</f>
        <v>0</v>
      </c>
      <c r="CZ45" s="155"/>
      <c r="DA45" s="146"/>
      <c r="DB45" s="147"/>
      <c r="DC45" s="147"/>
      <c r="DD45" s="147"/>
      <c r="DE45" s="147"/>
      <c r="DF45" s="145">
        <f>IF(ISERROR(VLOOKUP($A45,FIJOS!$B$11:$N$590,13,FALSE)),0,VLOOKUP($A45,FIJOS!$B$11:$N$590,13,FALSE))</f>
        <v>0</v>
      </c>
      <c r="DG45" s="145">
        <f>IF(ISERROR(VLOOKUP($A45,FIJOS!$B$11:$P$447,12,FALSE)),0,VLOOKUP($A45,FIJOS!$B$11:$P$447,12,FALSE))</f>
        <v>0</v>
      </c>
      <c r="DH45" s="82">
        <f t="shared" si="37"/>
        <v>0</v>
      </c>
      <c r="DI45" s="83" t="b">
        <f>IF($C45=1,(VLOOKUP($A45,FIJOS!$B$11:$P$545,10,FALSE)/7)*(7-$CU45),IF(AND($C45=2,CV45&lt;$DJ$1),(VLOOKUP($D45,HORAS!$B$4:$C$42,2,FALSE)*24)*$CV45,IF(AND($C45=2,CV45&gt;=$DJ$1),VLOOKUP($D45,HORAS!$B$4:$D$42,3,FALSE),IF(AND($C45=3,$CV45&gt;=$DJ$1),VLOOKUP($A45,FIJOS!$B$11:$P$545,10,FALSE),IF(AND($C45=3,$CV45&lt;$DJ$1),((VLOOKUP($A45,FIJOS!$B$11:$P$545,10,FALSE)/48)*24)*$CV45,IF(AND($C45=4,$CV45&gt;=(42/24)),VLOOKUP($D45,HORAS!$B$4:$D$42,3,FALSE),IF(AND($C45=5,$CV45&gt;=(36/24)),VLOOKUP($D45,HORAS!$B$4:$D$42,3,FALSE))))))))</f>
        <v>0</v>
      </c>
      <c r="DJ45" s="145">
        <f>IF(OR($C45=2),VLOOKUP($D45,HORAS!$B$4:$E$42,4,FALSE)*$EC45,IF(ISERROR(VLOOKUP($A45,FIJOS!$B$11:$P$108,9,FALSE)),0,VLOOKUP($A45,FIJOS!$B$11:$P$231,9,FALSE)*$EC45))</f>
        <v>0</v>
      </c>
      <c r="DK45" s="145">
        <f>IF(OR($C45=2),VLOOKUP($D45,HORAS!$B$4:$F$42,5,FALSE)*$EE45,IF(ISERROR(VLOOKUP($A45,FIJOS!$B$11:$P$108,9,FALSE)),0,VLOOKUP($A45,FIJOS!$B$11:$P$231,9,FALSE)*$EE45))</f>
        <v>0</v>
      </c>
      <c r="DL45" s="144"/>
      <c r="DM45" s="145">
        <f>IF(ISERROR(VLOOKUP($A45,FIJOS!$B$11:$L$646,11,FALSE)),0,VLOOKUP($A45,FIJOS!$B$11:$L$646,11,FALSE))</f>
        <v>0</v>
      </c>
      <c r="DN45" s="148" t="e">
        <f>IF(OR($C45=1,$C45=3),0,IF((VLOOKUP(CAPTURA!D45,HORAS!$B$4:$K$42,10,FALSE)/4)*COUNTIF($H45:$CT45,3)&gt;100,100,(VLOOKUP(CAPTURA!D45,HORAS!$B$4:$K$42,10,FALSE)/4)*COUNTIF($H45:$CT45,3)))</f>
        <v>#N/A</v>
      </c>
      <c r="DO45" s="144" t="e">
        <f>IF(OR($C45=1,$C45=3),0,IF($C45=5,VLOOKUP(D45,HORAS!$B$4:$G$42,6,FALSE),IF(AND($C45=4,$CV45&gt;=(42/24)),VLOOKUP(D45,HORAS!$B$4:$G$42,6,FALSE),IF(COUNTIF($H45:$CL45,"F")&gt;0,0,IF(CV45&gt;$DJ$1,$DJ$1*(VLOOKUP(D45,HORAS!$B$4:$G$42,6,FALSE)/$DJ$1),CV45*(VLOOKUP(D45,HORAS!$B$4:$G$42,6,FALSE)/$DJ$1))))))</f>
        <v>#N/A</v>
      </c>
      <c r="DP45" s="156"/>
      <c r="DQ45" s="148"/>
      <c r="DR45" s="148"/>
      <c r="DS45" s="83" t="e">
        <f t="shared" si="38"/>
        <v>#N/A</v>
      </c>
      <c r="DT45" s="84"/>
      <c r="DU45" s="149" t="e">
        <f t="shared" si="39"/>
        <v>#N/A</v>
      </c>
      <c r="DV45" s="149" t="e">
        <f t="shared" si="40"/>
        <v>#N/A</v>
      </c>
      <c r="DW45" s="144" t="e">
        <f t="shared" si="41"/>
        <v>#N/A</v>
      </c>
      <c r="DX45" s="134"/>
      <c r="DY45" s="29"/>
      <c r="DZ45" s="150"/>
      <c r="EA45" s="137"/>
      <c r="EB45" s="137">
        <f t="shared" si="11"/>
        <v>0</v>
      </c>
      <c r="EC45" s="138">
        <f t="shared" si="9"/>
        <v>0</v>
      </c>
      <c r="ED45" s="137">
        <f t="shared" si="12"/>
        <v>0</v>
      </c>
      <c r="EE45" s="132">
        <f t="shared" si="10"/>
        <v>0</v>
      </c>
      <c r="EF45" s="29"/>
      <c r="EG45" s="134"/>
      <c r="EH45" s="134"/>
      <c r="EI45" s="134"/>
      <c r="EK45" s="29"/>
    </row>
    <row r="46" spans="1:141" ht="15" customHeight="1" x14ac:dyDescent="0.25">
      <c r="A46" s="140"/>
      <c r="B46" s="5"/>
      <c r="C46" s="72"/>
      <c r="D46" s="73"/>
      <c r="E46" s="73"/>
      <c r="F46" s="141"/>
      <c r="G46" s="74"/>
      <c r="H46" s="75"/>
      <c r="I46" s="76"/>
      <c r="J46" s="135"/>
      <c r="K46" s="135"/>
      <c r="L46" s="77">
        <f t="shared" si="14"/>
        <v>0</v>
      </c>
      <c r="M46" s="78"/>
      <c r="N46" s="142"/>
      <c r="O46" s="142"/>
      <c r="P46" s="77">
        <f t="shared" si="15"/>
        <v>0</v>
      </c>
      <c r="Q46" s="78"/>
      <c r="R46" s="143"/>
      <c r="S46" s="143"/>
      <c r="T46" s="77">
        <f t="shared" si="16"/>
        <v>0</v>
      </c>
      <c r="U46" s="75"/>
      <c r="V46" s="76"/>
      <c r="W46" s="135"/>
      <c r="X46" s="135"/>
      <c r="Y46" s="77">
        <f t="shared" si="17"/>
        <v>0</v>
      </c>
      <c r="Z46" s="78"/>
      <c r="AA46" s="142"/>
      <c r="AB46" s="142"/>
      <c r="AC46" s="77">
        <f t="shared" si="18"/>
        <v>0</v>
      </c>
      <c r="AD46" s="78"/>
      <c r="AE46" s="143"/>
      <c r="AF46" s="143"/>
      <c r="AG46" s="79">
        <f t="shared" si="19"/>
        <v>0</v>
      </c>
      <c r="AH46" s="75"/>
      <c r="AI46" s="76"/>
      <c r="AJ46" s="135"/>
      <c r="AK46" s="135"/>
      <c r="AL46" s="77">
        <f t="shared" si="20"/>
        <v>0</v>
      </c>
      <c r="AM46" s="76"/>
      <c r="AN46" s="142"/>
      <c r="AO46" s="142"/>
      <c r="AP46" s="77">
        <f t="shared" si="21"/>
        <v>0</v>
      </c>
      <c r="AQ46" s="78"/>
      <c r="AR46" s="142"/>
      <c r="AS46" s="142"/>
      <c r="AT46" s="79">
        <f t="shared" si="22"/>
        <v>0</v>
      </c>
      <c r="AU46" s="75"/>
      <c r="AV46" s="76"/>
      <c r="AW46" s="135"/>
      <c r="AX46" s="135"/>
      <c r="AY46" s="77">
        <f t="shared" si="23"/>
        <v>0</v>
      </c>
      <c r="AZ46" s="76"/>
      <c r="BA46" s="142"/>
      <c r="BB46" s="142"/>
      <c r="BC46" s="77">
        <f t="shared" si="24"/>
        <v>0</v>
      </c>
      <c r="BD46" s="78"/>
      <c r="BE46" s="142"/>
      <c r="BF46" s="142"/>
      <c r="BG46" s="79">
        <f t="shared" si="25"/>
        <v>0</v>
      </c>
      <c r="BH46" s="75"/>
      <c r="BI46" s="76"/>
      <c r="BJ46" s="135"/>
      <c r="BK46" s="135"/>
      <c r="BL46" s="77">
        <f t="shared" si="26"/>
        <v>0</v>
      </c>
      <c r="BM46" s="78"/>
      <c r="BN46" s="142"/>
      <c r="BO46" s="142"/>
      <c r="BP46" s="77">
        <f t="shared" si="27"/>
        <v>0</v>
      </c>
      <c r="BQ46" s="78"/>
      <c r="BR46" s="142"/>
      <c r="BS46" s="142"/>
      <c r="BT46" s="79">
        <f t="shared" si="28"/>
        <v>0</v>
      </c>
      <c r="BU46" s="75"/>
      <c r="BV46" s="76"/>
      <c r="BW46" s="135"/>
      <c r="BX46" s="135"/>
      <c r="BY46" s="77">
        <f t="shared" si="29"/>
        <v>0</v>
      </c>
      <c r="BZ46" s="78"/>
      <c r="CA46" s="142"/>
      <c r="CB46" s="142"/>
      <c r="CC46" s="77">
        <f t="shared" si="30"/>
        <v>0</v>
      </c>
      <c r="CD46" s="78"/>
      <c r="CE46" s="142"/>
      <c r="CF46" s="142"/>
      <c r="CG46" s="79">
        <f t="shared" si="31"/>
        <v>0</v>
      </c>
      <c r="CH46" s="75"/>
      <c r="CI46" s="76"/>
      <c r="CJ46" s="135"/>
      <c r="CK46" s="135"/>
      <c r="CL46" s="77">
        <f t="shared" si="32"/>
        <v>0</v>
      </c>
      <c r="CM46" s="78"/>
      <c r="CN46" s="142"/>
      <c r="CO46" s="142"/>
      <c r="CP46" s="77">
        <f t="shared" si="33"/>
        <v>0</v>
      </c>
      <c r="CQ46" s="78"/>
      <c r="CR46" s="142"/>
      <c r="CS46" s="142"/>
      <c r="CT46" s="79">
        <f t="shared" si="34"/>
        <v>0</v>
      </c>
      <c r="CU46" s="80">
        <f t="shared" si="35"/>
        <v>0</v>
      </c>
      <c r="CV46" s="81">
        <f t="shared" si="36"/>
        <v>0</v>
      </c>
      <c r="CW46" s="144"/>
      <c r="CX46" s="145">
        <f>IF(ISERROR(VLOOKUP($A46,FIJOS!$B$11:$O$590,14,FALSE)),0,VLOOKUP($A46,FIJOS!$B$11:$O$590,14,FALSE))</f>
        <v>0</v>
      </c>
      <c r="CY46" s="145">
        <f>IF(ISERROR(VLOOKUP(A46,FIJOS!$B$10:$P$590,15,FALSE)),0,VLOOKUP(A46,FIJOS!$B$10:$P$590,15,FALSE))</f>
        <v>0</v>
      </c>
      <c r="CZ46" s="155"/>
      <c r="DA46" s="146"/>
      <c r="DB46" s="147"/>
      <c r="DC46" s="147"/>
      <c r="DD46" s="147"/>
      <c r="DE46" s="147"/>
      <c r="DF46" s="145">
        <f>IF(ISERROR(VLOOKUP($A46,FIJOS!$B$11:$N$590,13,FALSE)),0,VLOOKUP($A46,FIJOS!$B$11:$N$590,13,FALSE))</f>
        <v>0</v>
      </c>
      <c r="DG46" s="145">
        <f>IF(ISERROR(VLOOKUP($A46,FIJOS!$B$11:$P$447,12,FALSE)),0,VLOOKUP($A46,FIJOS!$B$11:$P$447,12,FALSE))</f>
        <v>0</v>
      </c>
      <c r="DH46" s="82">
        <f t="shared" si="37"/>
        <v>0</v>
      </c>
      <c r="DI46" s="83" t="b">
        <f>IF($C46=1,(VLOOKUP($A46,FIJOS!$B$11:$P$545,10,FALSE)/7)*(7-$CU46),IF(AND($C46=2,CV46&lt;$DJ$1),(VLOOKUP($D46,HORAS!$B$4:$C$42,2,FALSE)*24)*$CV46,IF(AND($C46=2,CV46&gt;=$DJ$1),VLOOKUP($D46,HORAS!$B$4:$D$42,3,FALSE),IF(AND($C46=3,$CV46&gt;=$DJ$1),VLOOKUP($A46,FIJOS!$B$11:$P$545,10,FALSE),IF(AND($C46=3,$CV46&lt;$DJ$1),((VLOOKUP($A46,FIJOS!$B$11:$P$545,10,FALSE)/48)*24)*$CV46,IF(AND($C46=4,$CV46&gt;=(42/24)),VLOOKUP($D46,HORAS!$B$4:$D$42,3,FALSE),IF(AND($C46=5,$CV46&gt;=(36/24)),VLOOKUP($D46,HORAS!$B$4:$D$42,3,FALSE))))))))</f>
        <v>0</v>
      </c>
      <c r="DJ46" s="145">
        <f>IF(OR($C46=2),VLOOKUP($D46,HORAS!$B$4:$E$42,4,FALSE)*$EC46,IF(ISERROR(VLOOKUP($A46,FIJOS!$B$11:$P$108,9,FALSE)),0,VLOOKUP($A46,FIJOS!$B$11:$P$231,9,FALSE)*$EC46))</f>
        <v>0</v>
      </c>
      <c r="DK46" s="145">
        <f>IF(OR($C46=2),VLOOKUP($D46,HORAS!$B$4:$F$42,5,FALSE)*$EE46,IF(ISERROR(VLOOKUP($A46,FIJOS!$B$11:$P$108,9,FALSE)),0,VLOOKUP($A46,FIJOS!$B$11:$P$231,9,FALSE)*$EE46))</f>
        <v>0</v>
      </c>
      <c r="DL46" s="144"/>
      <c r="DM46" s="145">
        <f>IF(ISERROR(VLOOKUP($A46,FIJOS!$B$11:$L$646,11,FALSE)),0,VLOOKUP($A46,FIJOS!$B$11:$L$646,11,FALSE))</f>
        <v>0</v>
      </c>
      <c r="DN46" s="148" t="e">
        <f>IF(OR($C46=1,$C46=3),0,IF((VLOOKUP(CAPTURA!D46,HORAS!$B$4:$K$42,10,FALSE)/4)*COUNTIF($H46:$CT46,3)&gt;100,100,(VLOOKUP(CAPTURA!D46,HORAS!$B$4:$K$42,10,FALSE)/4)*COUNTIF($H46:$CT46,3)))</f>
        <v>#N/A</v>
      </c>
      <c r="DO46" s="144" t="e">
        <f>IF(OR($C46=1,$C46=3),0,IF($C46=5,VLOOKUP(D46,HORAS!$B$4:$G$42,6,FALSE),IF(AND($C46=4,$CV46&gt;=(42/24)),VLOOKUP(D46,HORAS!$B$4:$G$42,6,FALSE),IF(COUNTIF($H46:$CL46,"F")&gt;0,0,IF(CV46&gt;$DJ$1,$DJ$1*(VLOOKUP(D46,HORAS!$B$4:$G$42,6,FALSE)/$DJ$1),CV46*(VLOOKUP(D46,HORAS!$B$4:$G$42,6,FALSE)/$DJ$1))))))</f>
        <v>#N/A</v>
      </c>
      <c r="DP46" s="156"/>
      <c r="DQ46" s="148"/>
      <c r="DR46" s="148"/>
      <c r="DS46" s="83" t="e">
        <f t="shared" si="38"/>
        <v>#N/A</v>
      </c>
      <c r="DT46" s="84"/>
      <c r="DU46" s="149" t="e">
        <f t="shared" si="39"/>
        <v>#N/A</v>
      </c>
      <c r="DV46" s="149" t="e">
        <f t="shared" si="40"/>
        <v>#N/A</v>
      </c>
      <c r="DW46" s="144" t="e">
        <f t="shared" si="41"/>
        <v>#N/A</v>
      </c>
      <c r="DX46" s="134"/>
      <c r="DY46" s="29"/>
      <c r="DZ46" s="150"/>
      <c r="EA46" s="134"/>
      <c r="EB46" s="137">
        <f t="shared" si="11"/>
        <v>0</v>
      </c>
      <c r="EC46" s="138">
        <f t="shared" si="9"/>
        <v>0</v>
      </c>
      <c r="ED46" s="137">
        <f t="shared" si="12"/>
        <v>0</v>
      </c>
      <c r="EE46" s="132">
        <f t="shared" si="10"/>
        <v>0</v>
      </c>
      <c r="EF46" s="29"/>
      <c r="EG46" s="134"/>
      <c r="EH46" s="134"/>
      <c r="EI46" s="134"/>
      <c r="EK46" s="29"/>
    </row>
    <row r="47" spans="1:141" ht="15" customHeight="1" x14ac:dyDescent="0.25">
      <c r="A47" s="140"/>
      <c r="B47" s="151"/>
      <c r="C47" s="72"/>
      <c r="D47" s="73"/>
      <c r="E47" s="73"/>
      <c r="F47" s="141"/>
      <c r="G47" s="74"/>
      <c r="H47" s="75"/>
      <c r="I47" s="76"/>
      <c r="J47" s="135"/>
      <c r="K47" s="135"/>
      <c r="L47" s="77">
        <f t="shared" si="14"/>
        <v>0</v>
      </c>
      <c r="M47" s="78"/>
      <c r="N47" s="142"/>
      <c r="O47" s="142"/>
      <c r="P47" s="77">
        <f t="shared" si="15"/>
        <v>0</v>
      </c>
      <c r="Q47" s="78"/>
      <c r="R47" s="143"/>
      <c r="S47" s="143"/>
      <c r="T47" s="77">
        <f t="shared" si="16"/>
        <v>0</v>
      </c>
      <c r="U47" s="75"/>
      <c r="V47" s="76"/>
      <c r="W47" s="135"/>
      <c r="X47" s="135"/>
      <c r="Y47" s="77">
        <f t="shared" si="17"/>
        <v>0</v>
      </c>
      <c r="Z47" s="78"/>
      <c r="AA47" s="142"/>
      <c r="AB47" s="142"/>
      <c r="AC47" s="77">
        <f t="shared" si="18"/>
        <v>0</v>
      </c>
      <c r="AD47" s="78"/>
      <c r="AE47" s="143"/>
      <c r="AF47" s="143"/>
      <c r="AG47" s="79">
        <f t="shared" si="19"/>
        <v>0</v>
      </c>
      <c r="AH47" s="75"/>
      <c r="AI47" s="76"/>
      <c r="AJ47" s="135"/>
      <c r="AK47" s="135"/>
      <c r="AL47" s="77">
        <f t="shared" si="20"/>
        <v>0</v>
      </c>
      <c r="AM47" s="76"/>
      <c r="AN47" s="142"/>
      <c r="AO47" s="142"/>
      <c r="AP47" s="77">
        <f t="shared" si="21"/>
        <v>0</v>
      </c>
      <c r="AQ47" s="78"/>
      <c r="AR47" s="142"/>
      <c r="AS47" s="142"/>
      <c r="AT47" s="79">
        <f t="shared" si="22"/>
        <v>0</v>
      </c>
      <c r="AU47" s="75"/>
      <c r="AV47" s="76"/>
      <c r="AW47" s="135"/>
      <c r="AX47" s="86"/>
      <c r="AY47" s="77">
        <f t="shared" si="23"/>
        <v>0</v>
      </c>
      <c r="AZ47" s="76"/>
      <c r="BA47" s="142"/>
      <c r="BB47" s="142"/>
      <c r="BC47" s="77">
        <f t="shared" si="24"/>
        <v>0</v>
      </c>
      <c r="BD47" s="78"/>
      <c r="BE47" s="142"/>
      <c r="BF47" s="142"/>
      <c r="BG47" s="79">
        <f t="shared" si="25"/>
        <v>0</v>
      </c>
      <c r="BH47" s="75"/>
      <c r="BI47" s="76"/>
      <c r="BJ47" s="135"/>
      <c r="BK47" s="135"/>
      <c r="BL47" s="77">
        <f t="shared" si="26"/>
        <v>0</v>
      </c>
      <c r="BM47" s="78"/>
      <c r="BN47" s="142"/>
      <c r="BO47" s="142"/>
      <c r="BP47" s="77">
        <f t="shared" si="27"/>
        <v>0</v>
      </c>
      <c r="BQ47" s="78"/>
      <c r="BR47" s="142"/>
      <c r="BS47" s="142"/>
      <c r="BT47" s="79">
        <f t="shared" si="28"/>
        <v>0</v>
      </c>
      <c r="BU47" s="75"/>
      <c r="BV47" s="76"/>
      <c r="BW47" s="135"/>
      <c r="BX47" s="135"/>
      <c r="BY47" s="77">
        <f t="shared" si="29"/>
        <v>0</v>
      </c>
      <c r="BZ47" s="78"/>
      <c r="CA47" s="142"/>
      <c r="CB47" s="142"/>
      <c r="CC47" s="77">
        <f t="shared" si="30"/>
        <v>0</v>
      </c>
      <c r="CD47" s="78"/>
      <c r="CE47" s="142"/>
      <c r="CF47" s="142"/>
      <c r="CG47" s="79">
        <f t="shared" si="31"/>
        <v>0</v>
      </c>
      <c r="CH47" s="75"/>
      <c r="CI47" s="76"/>
      <c r="CJ47" s="135"/>
      <c r="CK47" s="135"/>
      <c r="CL47" s="77">
        <f t="shared" si="32"/>
        <v>0</v>
      </c>
      <c r="CM47" s="78"/>
      <c r="CN47" s="142"/>
      <c r="CO47" s="142"/>
      <c r="CP47" s="77">
        <f t="shared" si="33"/>
        <v>0</v>
      </c>
      <c r="CQ47" s="78"/>
      <c r="CR47" s="142"/>
      <c r="CS47" s="142"/>
      <c r="CT47" s="79">
        <f t="shared" si="34"/>
        <v>0</v>
      </c>
      <c r="CU47" s="80">
        <f t="shared" si="35"/>
        <v>0</v>
      </c>
      <c r="CV47" s="81">
        <f t="shared" si="36"/>
        <v>0</v>
      </c>
      <c r="CW47" s="144"/>
      <c r="CX47" s="145">
        <f>IF(ISERROR(VLOOKUP($A47,FIJOS!$B$11:$O$590,14,FALSE)),0,VLOOKUP($A47,FIJOS!$B$11:$O$590,14,FALSE))</f>
        <v>0</v>
      </c>
      <c r="CY47" s="145">
        <f>IF(ISERROR(VLOOKUP(A47,FIJOS!$B$10:$P$590,15,FALSE)),0,VLOOKUP(A47,FIJOS!$B$10:$P$590,15,FALSE))</f>
        <v>0</v>
      </c>
      <c r="CZ47" s="155"/>
      <c r="DA47" s="146"/>
      <c r="DB47" s="147"/>
      <c r="DC47" s="147"/>
      <c r="DD47" s="147"/>
      <c r="DE47" s="147"/>
      <c r="DF47" s="145">
        <f>IF(ISERROR(VLOOKUP($A47,FIJOS!$B$11:$N$590,13,FALSE)),0,VLOOKUP($A47,FIJOS!$B$11:$N$590,13,FALSE))</f>
        <v>0</v>
      </c>
      <c r="DG47" s="145">
        <f>IF(ISERROR(VLOOKUP($A47,FIJOS!$B$11:$P$447,12,FALSE)),0,VLOOKUP($A47,FIJOS!$B$11:$P$447,12,FALSE))</f>
        <v>0</v>
      </c>
      <c r="DH47" s="82">
        <f t="shared" si="37"/>
        <v>0</v>
      </c>
      <c r="DI47" s="83" t="b">
        <f>IF($C47=1,(VLOOKUP($A47,FIJOS!$B$11:$P$545,10,FALSE)/7)*(7-$CU47),IF(AND($C47=2,CV47&lt;$DJ$1),(VLOOKUP($D47,HORAS!$B$4:$C$42,2,FALSE)*24)*$CV47,IF(AND($C47=2,CV47&gt;=$DJ$1),VLOOKUP($D47,HORAS!$B$4:$D$42,3,FALSE),IF(AND($C47=3,$CV47&gt;=$DJ$1),VLOOKUP($A47,FIJOS!$B$11:$P$545,10,FALSE),IF(AND($C47=3,$CV47&lt;$DJ$1),((VLOOKUP($A47,FIJOS!$B$11:$P$545,10,FALSE)/48)*24)*$CV47,IF(AND($C47=4,$CV47&gt;=(42/24)),VLOOKUP($D47,HORAS!$B$4:$D$42,3,FALSE),IF(AND($C47=5,$CV47&gt;=(36/24)),VLOOKUP($D47,HORAS!$B$4:$D$42,3,FALSE))))))))</f>
        <v>0</v>
      </c>
      <c r="DJ47" s="145">
        <f>IF(OR($C47=2),VLOOKUP($D47,HORAS!$B$4:$E$42,4,FALSE)*$EC47,IF(ISERROR(VLOOKUP($A47,FIJOS!$B$11:$P$108,9,FALSE)),0,VLOOKUP($A47,FIJOS!$B$11:$P$231,9,FALSE)*$EC47))</f>
        <v>0</v>
      </c>
      <c r="DK47" s="145">
        <f>IF(OR($C47=2),VLOOKUP($D47,HORAS!$B$4:$F$42,5,FALSE)*$EE47,IF(ISERROR(VLOOKUP($A47,FIJOS!$B$11:$P$108,9,FALSE)),0,VLOOKUP($A47,FIJOS!$B$11:$P$231,9,FALSE)*$EE47))</f>
        <v>0</v>
      </c>
      <c r="DL47" s="144"/>
      <c r="DM47" s="145">
        <f>IF(ISERROR(VLOOKUP($A47,FIJOS!$B$11:$L$646,11,FALSE)),0,VLOOKUP($A47,FIJOS!$B$11:$L$646,11,FALSE))</f>
        <v>0</v>
      </c>
      <c r="DN47" s="148" t="e">
        <f>IF(OR($C47=1,$C47=3),0,IF((VLOOKUP(CAPTURA!D47,HORAS!$B$4:$K$42,10,FALSE)/4)*COUNTIF($H47:$CT47,3)&gt;100,100,(VLOOKUP(CAPTURA!D47,HORAS!$B$4:$K$42,10,FALSE)/4)*COUNTIF($H47:$CT47,3)))</f>
        <v>#N/A</v>
      </c>
      <c r="DO47" s="144" t="e">
        <f>IF(OR($C47=1,$C47=3),0,IF($C47=5,VLOOKUP(D47,HORAS!$B$4:$G$42,6,FALSE),IF(AND($C47=4,$CV47&gt;=(42/24)),VLOOKUP(D47,HORAS!$B$4:$G$42,6,FALSE),IF(COUNTIF($H47:$CL47,"F")&gt;0,0,IF(CV47&gt;$DJ$1,$DJ$1*(VLOOKUP(D47,HORAS!$B$4:$G$42,6,FALSE)/$DJ$1),CV47*(VLOOKUP(D47,HORAS!$B$4:$G$42,6,FALSE)/$DJ$1))))))</f>
        <v>#N/A</v>
      </c>
      <c r="DP47" s="156"/>
      <c r="DQ47" s="148"/>
      <c r="DR47" s="148"/>
      <c r="DS47" s="83" t="e">
        <f t="shared" si="38"/>
        <v>#N/A</v>
      </c>
      <c r="DT47" s="84"/>
      <c r="DU47" s="149" t="e">
        <f t="shared" si="39"/>
        <v>#N/A</v>
      </c>
      <c r="DV47" s="149" t="e">
        <f t="shared" si="40"/>
        <v>#N/A</v>
      </c>
      <c r="DW47" s="144" t="e">
        <f t="shared" si="41"/>
        <v>#N/A</v>
      </c>
      <c r="DX47"/>
      <c r="DY47" s="29"/>
      <c r="DZ47" s="150"/>
      <c r="EA47" s="134"/>
      <c r="EB47" s="137">
        <f t="shared" si="11"/>
        <v>0</v>
      </c>
      <c r="EC47" s="138">
        <f t="shared" si="9"/>
        <v>0</v>
      </c>
      <c r="ED47" s="137">
        <f t="shared" si="12"/>
        <v>0</v>
      </c>
      <c r="EE47" s="132">
        <f t="shared" si="10"/>
        <v>0</v>
      </c>
      <c r="EF47" s="29"/>
      <c r="EG47" s="134"/>
      <c r="EH47" s="134"/>
      <c r="EI47" s="134"/>
      <c r="EK47" s="29"/>
    </row>
    <row r="48" spans="1:141" x14ac:dyDescent="0.25">
      <c r="A48" s="140"/>
      <c r="B48" s="5"/>
      <c r="C48" s="72"/>
      <c r="D48" s="73"/>
      <c r="E48" s="73"/>
      <c r="F48" s="141"/>
      <c r="G48" s="74"/>
      <c r="H48" s="75"/>
      <c r="I48" s="76"/>
      <c r="J48" s="135"/>
      <c r="K48" s="135"/>
      <c r="L48" s="77">
        <f t="shared" si="14"/>
        <v>0</v>
      </c>
      <c r="M48" s="78"/>
      <c r="N48" s="142"/>
      <c r="O48" s="142"/>
      <c r="P48" s="77">
        <f t="shared" si="15"/>
        <v>0</v>
      </c>
      <c r="Q48" s="78"/>
      <c r="R48" s="143"/>
      <c r="S48" s="143"/>
      <c r="T48" s="77">
        <f t="shared" si="16"/>
        <v>0</v>
      </c>
      <c r="U48" s="75"/>
      <c r="V48" s="76"/>
      <c r="W48" s="135"/>
      <c r="X48" s="135"/>
      <c r="Y48" s="77">
        <f t="shared" si="17"/>
        <v>0</v>
      </c>
      <c r="Z48" s="78"/>
      <c r="AA48" s="142"/>
      <c r="AB48" s="142"/>
      <c r="AC48" s="77">
        <f t="shared" si="18"/>
        <v>0</v>
      </c>
      <c r="AD48" s="78"/>
      <c r="AE48" s="143"/>
      <c r="AF48" s="143"/>
      <c r="AG48" s="79">
        <f t="shared" si="19"/>
        <v>0</v>
      </c>
      <c r="AH48" s="75"/>
      <c r="AI48" s="76"/>
      <c r="AJ48" s="135"/>
      <c r="AK48" s="135"/>
      <c r="AL48" s="77">
        <f t="shared" si="20"/>
        <v>0</v>
      </c>
      <c r="AM48" s="76"/>
      <c r="AN48" s="142"/>
      <c r="AO48" s="142"/>
      <c r="AP48" s="77">
        <f t="shared" si="21"/>
        <v>0</v>
      </c>
      <c r="AQ48" s="78"/>
      <c r="AR48" s="142"/>
      <c r="AS48" s="142"/>
      <c r="AT48" s="79">
        <f t="shared" si="22"/>
        <v>0</v>
      </c>
      <c r="AU48" s="75"/>
      <c r="AV48" s="76"/>
      <c r="AW48" s="135"/>
      <c r="AX48" s="135"/>
      <c r="AY48" s="77">
        <f t="shared" si="23"/>
        <v>0</v>
      </c>
      <c r="AZ48" s="76"/>
      <c r="BA48" s="142"/>
      <c r="BB48" s="142"/>
      <c r="BC48" s="77">
        <f t="shared" si="24"/>
        <v>0</v>
      </c>
      <c r="BD48" s="78"/>
      <c r="BE48" s="142"/>
      <c r="BF48" s="142"/>
      <c r="BG48" s="79">
        <f t="shared" si="25"/>
        <v>0</v>
      </c>
      <c r="BH48" s="75"/>
      <c r="BI48" s="76"/>
      <c r="BJ48" s="135"/>
      <c r="BK48" s="135"/>
      <c r="BL48" s="77">
        <f t="shared" si="26"/>
        <v>0</v>
      </c>
      <c r="BM48" s="78"/>
      <c r="BN48" s="142"/>
      <c r="BO48" s="142"/>
      <c r="BP48" s="77">
        <f t="shared" si="27"/>
        <v>0</v>
      </c>
      <c r="BQ48" s="78"/>
      <c r="BR48" s="142"/>
      <c r="BS48" s="142"/>
      <c r="BT48" s="79">
        <f t="shared" si="28"/>
        <v>0</v>
      </c>
      <c r="BU48" s="75"/>
      <c r="BV48" s="76"/>
      <c r="BW48" s="135"/>
      <c r="BX48" s="135"/>
      <c r="BY48" s="77">
        <f t="shared" si="29"/>
        <v>0</v>
      </c>
      <c r="BZ48" s="78"/>
      <c r="CA48" s="142"/>
      <c r="CB48" s="142"/>
      <c r="CC48" s="77">
        <f t="shared" si="30"/>
        <v>0</v>
      </c>
      <c r="CD48" s="78"/>
      <c r="CE48" s="142"/>
      <c r="CF48" s="142"/>
      <c r="CG48" s="79">
        <f t="shared" si="31"/>
        <v>0</v>
      </c>
      <c r="CH48" s="75"/>
      <c r="CI48" s="76"/>
      <c r="CJ48" s="135"/>
      <c r="CK48" s="135"/>
      <c r="CL48" s="77">
        <f t="shared" si="32"/>
        <v>0</v>
      </c>
      <c r="CM48" s="78"/>
      <c r="CN48" s="142"/>
      <c r="CO48" s="142"/>
      <c r="CP48" s="77">
        <f t="shared" si="33"/>
        <v>0</v>
      </c>
      <c r="CQ48" s="78"/>
      <c r="CR48" s="142"/>
      <c r="CS48" s="142"/>
      <c r="CT48" s="79">
        <f t="shared" si="34"/>
        <v>0</v>
      </c>
      <c r="CU48" s="80">
        <f t="shared" si="35"/>
        <v>0</v>
      </c>
      <c r="CV48" s="81">
        <f t="shared" si="36"/>
        <v>0</v>
      </c>
      <c r="CW48" s="144"/>
      <c r="CX48" s="145">
        <f>IF(ISERROR(VLOOKUP($A48,FIJOS!$B$11:$O$590,14,FALSE)),0,VLOOKUP($A48,FIJOS!$B$11:$O$590,14,FALSE))</f>
        <v>0</v>
      </c>
      <c r="CY48" s="145">
        <f>IF(ISERROR(VLOOKUP(A48,FIJOS!$B$10:$P$590,15,FALSE)),0,VLOOKUP(A48,FIJOS!$B$10:$P$590,15,FALSE))</f>
        <v>0</v>
      </c>
      <c r="CZ48" s="155"/>
      <c r="DA48" s="146"/>
      <c r="DB48" s="147"/>
      <c r="DC48" s="147"/>
      <c r="DD48" s="147"/>
      <c r="DE48" s="147"/>
      <c r="DF48" s="145">
        <f>IF(ISERROR(VLOOKUP($A48,FIJOS!$B$11:$N$590,13,FALSE)),0,VLOOKUP($A48,FIJOS!$B$11:$N$590,13,FALSE))</f>
        <v>0</v>
      </c>
      <c r="DG48" s="145">
        <f>IF(ISERROR(VLOOKUP($A48,FIJOS!$B$11:$P$447,12,FALSE)),0,VLOOKUP($A48,FIJOS!$B$11:$P$447,12,FALSE))</f>
        <v>0</v>
      </c>
      <c r="DH48" s="82">
        <f t="shared" si="37"/>
        <v>0</v>
      </c>
      <c r="DI48" s="83" t="b">
        <f>IF($C48=1,(VLOOKUP($A48,FIJOS!$B$11:$P$545,10,FALSE)/7)*(7-$CU48),IF(AND($C48=2,CV48&lt;$DJ$1),(VLOOKUP($D48,HORAS!$B$4:$C$42,2,FALSE)*24)*$CV48,IF(AND($C48=2,CV48&gt;=$DJ$1),VLOOKUP($D48,HORAS!$B$4:$D$42,3,FALSE),IF(AND($C48=3,$CV48&gt;=$DJ$1),VLOOKUP($A48,FIJOS!$B$11:$P$545,10,FALSE),IF(AND($C48=3,$CV48&lt;$DJ$1),((VLOOKUP($A48,FIJOS!$B$11:$P$545,10,FALSE)/48)*24)*$CV48,IF(AND($C48=4,$CV48&gt;=(42/24)),VLOOKUP($D48,HORAS!$B$4:$D$42,3,FALSE),IF(AND($C48=5,$CV48&gt;=(36/24)),VLOOKUP($D48,HORAS!$B$4:$D$42,3,FALSE))))))))</f>
        <v>0</v>
      </c>
      <c r="DJ48" s="145">
        <f>IF(OR($C48=2),VLOOKUP($D48,HORAS!$B$4:$E$42,4,FALSE)*$EC48,IF(ISERROR(VLOOKUP($A48,FIJOS!$B$11:$P$108,9,FALSE)),0,VLOOKUP($A48,FIJOS!$B$11:$P$231,9,FALSE)*$EC48))</f>
        <v>0</v>
      </c>
      <c r="DK48" s="145">
        <f>IF(OR($C48=2),VLOOKUP($D48,HORAS!$B$4:$F$42,5,FALSE)*$EE48,IF(ISERROR(VLOOKUP($A48,FIJOS!$B$11:$P$108,9,FALSE)),0,VLOOKUP($A48,FIJOS!$B$11:$P$231,9,FALSE)*$EE48))</f>
        <v>0</v>
      </c>
      <c r="DL48" s="144"/>
      <c r="DM48" s="145">
        <f>IF(ISERROR(VLOOKUP($A48,FIJOS!$B$11:$L$646,11,FALSE)),0,VLOOKUP($A48,FIJOS!$B$11:$L$646,11,FALSE))</f>
        <v>0</v>
      </c>
      <c r="DN48" s="148" t="e">
        <f>IF(OR($C48=1,$C48=3),0,IF((VLOOKUP(CAPTURA!D48,HORAS!$B$4:$K$42,10,FALSE)/4)*COUNTIF($H48:$CT48,3)&gt;100,100,(VLOOKUP(CAPTURA!D48,HORAS!$B$4:$K$42,10,FALSE)/4)*COUNTIF($H48:$CT48,3)))</f>
        <v>#N/A</v>
      </c>
      <c r="DO48" s="144" t="e">
        <f>IF(OR($C48=1,$C48=3),0,IF($C48=5,VLOOKUP(D48,HORAS!$B$4:$G$42,6,FALSE),IF(AND($C48=4,$CV48&gt;=(42/24)),VLOOKUP(D48,HORAS!$B$4:$G$42,6,FALSE),IF(COUNTIF($H48:$CL48,"F")&gt;0,0,IF(CV48&gt;$DJ$1,$DJ$1*(VLOOKUP(D48,HORAS!$B$4:$G$42,6,FALSE)/$DJ$1),CV48*(VLOOKUP(D48,HORAS!$B$4:$G$42,6,FALSE)/$DJ$1))))))</f>
        <v>#N/A</v>
      </c>
      <c r="DP48" s="156"/>
      <c r="DQ48" s="148"/>
      <c r="DR48" s="148"/>
      <c r="DS48" s="83" t="e">
        <f t="shared" si="38"/>
        <v>#N/A</v>
      </c>
      <c r="DT48" s="84"/>
      <c r="DU48" s="149" t="e">
        <f t="shared" si="39"/>
        <v>#N/A</v>
      </c>
      <c r="DV48" s="149" t="e">
        <f t="shared" si="40"/>
        <v>#N/A</v>
      </c>
      <c r="DW48" s="144" t="e">
        <f t="shared" si="41"/>
        <v>#N/A</v>
      </c>
      <c r="DX48"/>
      <c r="DY48" s="29"/>
      <c r="DZ48" s="150"/>
      <c r="EA48" s="134"/>
      <c r="EB48" s="137">
        <f t="shared" si="11"/>
        <v>0</v>
      </c>
      <c r="EC48" s="138">
        <f t="shared" si="9"/>
        <v>0</v>
      </c>
      <c r="ED48" s="137">
        <f t="shared" si="12"/>
        <v>0</v>
      </c>
      <c r="EE48" s="132">
        <f t="shared" si="10"/>
        <v>0</v>
      </c>
      <c r="EF48" s="29"/>
      <c r="EG48" s="134"/>
      <c r="EH48" s="134"/>
      <c r="EI48" s="134"/>
      <c r="EK48" s="29"/>
    </row>
    <row r="49" spans="1:141" ht="15" customHeight="1" x14ac:dyDescent="0.25">
      <c r="A49" s="140"/>
      <c r="B49" s="5"/>
      <c r="C49" s="72"/>
      <c r="D49" s="73"/>
      <c r="E49" s="73"/>
      <c r="F49" s="141"/>
      <c r="G49" s="74"/>
      <c r="H49" s="75"/>
      <c r="I49" s="76"/>
      <c r="J49" s="135"/>
      <c r="K49" s="135"/>
      <c r="L49" s="77">
        <f t="shared" si="14"/>
        <v>0</v>
      </c>
      <c r="M49" s="78"/>
      <c r="N49" s="142"/>
      <c r="O49" s="142"/>
      <c r="P49" s="77">
        <f t="shared" si="15"/>
        <v>0</v>
      </c>
      <c r="Q49" s="78"/>
      <c r="R49" s="143"/>
      <c r="S49" s="143"/>
      <c r="T49" s="77">
        <f t="shared" si="16"/>
        <v>0</v>
      </c>
      <c r="U49" s="75"/>
      <c r="V49" s="76"/>
      <c r="W49" s="135"/>
      <c r="X49" s="135"/>
      <c r="Y49" s="77">
        <f t="shared" si="17"/>
        <v>0</v>
      </c>
      <c r="Z49" s="78"/>
      <c r="AA49" s="142"/>
      <c r="AB49" s="142"/>
      <c r="AC49" s="77">
        <f t="shared" si="18"/>
        <v>0</v>
      </c>
      <c r="AD49" s="78"/>
      <c r="AE49" s="143"/>
      <c r="AF49" s="143"/>
      <c r="AG49" s="79">
        <f t="shared" si="19"/>
        <v>0</v>
      </c>
      <c r="AH49" s="75"/>
      <c r="AI49" s="76"/>
      <c r="AJ49" s="135"/>
      <c r="AK49" s="135"/>
      <c r="AL49" s="77">
        <f t="shared" si="20"/>
        <v>0</v>
      </c>
      <c r="AM49" s="76"/>
      <c r="AN49" s="142"/>
      <c r="AO49" s="142"/>
      <c r="AP49" s="77">
        <f t="shared" si="21"/>
        <v>0</v>
      </c>
      <c r="AQ49" s="78"/>
      <c r="AR49" s="142"/>
      <c r="AS49" s="142"/>
      <c r="AT49" s="79">
        <f t="shared" si="22"/>
        <v>0</v>
      </c>
      <c r="AU49" s="75"/>
      <c r="AV49" s="76"/>
      <c r="AW49" s="135"/>
      <c r="AX49" s="135"/>
      <c r="AY49" s="77">
        <f t="shared" si="23"/>
        <v>0</v>
      </c>
      <c r="AZ49" s="76"/>
      <c r="BA49" s="142"/>
      <c r="BB49" s="142"/>
      <c r="BC49" s="77">
        <f t="shared" si="24"/>
        <v>0</v>
      </c>
      <c r="BD49" s="78"/>
      <c r="BE49" s="142"/>
      <c r="BF49" s="142"/>
      <c r="BG49" s="79">
        <f t="shared" si="25"/>
        <v>0</v>
      </c>
      <c r="BH49" s="75"/>
      <c r="BI49" s="76"/>
      <c r="BJ49" s="135"/>
      <c r="BK49" s="135"/>
      <c r="BL49" s="77">
        <f t="shared" si="26"/>
        <v>0</v>
      </c>
      <c r="BM49" s="78"/>
      <c r="BN49" s="142"/>
      <c r="BO49" s="142"/>
      <c r="BP49" s="77">
        <f t="shared" si="27"/>
        <v>0</v>
      </c>
      <c r="BQ49" s="78"/>
      <c r="BR49" s="142"/>
      <c r="BS49" s="142"/>
      <c r="BT49" s="79">
        <f t="shared" si="28"/>
        <v>0</v>
      </c>
      <c r="BU49" s="75"/>
      <c r="BV49" s="76"/>
      <c r="BW49" s="135"/>
      <c r="BX49" s="135"/>
      <c r="BY49" s="77">
        <f t="shared" si="29"/>
        <v>0</v>
      </c>
      <c r="BZ49" s="78"/>
      <c r="CA49" s="142"/>
      <c r="CB49" s="142"/>
      <c r="CC49" s="77">
        <f t="shared" si="30"/>
        <v>0</v>
      </c>
      <c r="CD49" s="78"/>
      <c r="CE49" s="142"/>
      <c r="CF49" s="142"/>
      <c r="CG49" s="79">
        <f t="shared" si="31"/>
        <v>0</v>
      </c>
      <c r="CH49" s="75"/>
      <c r="CI49" s="76"/>
      <c r="CJ49" s="135"/>
      <c r="CK49" s="135"/>
      <c r="CL49" s="77">
        <f t="shared" si="32"/>
        <v>0</v>
      </c>
      <c r="CM49" s="78"/>
      <c r="CN49" s="142"/>
      <c r="CO49" s="142"/>
      <c r="CP49" s="77">
        <f t="shared" si="33"/>
        <v>0</v>
      </c>
      <c r="CQ49" s="78"/>
      <c r="CR49" s="142"/>
      <c r="CS49" s="142"/>
      <c r="CT49" s="79">
        <f t="shared" si="34"/>
        <v>0</v>
      </c>
      <c r="CU49" s="80">
        <f t="shared" si="35"/>
        <v>0</v>
      </c>
      <c r="CV49" s="81">
        <f t="shared" si="36"/>
        <v>0</v>
      </c>
      <c r="CW49" s="144"/>
      <c r="CX49" s="145">
        <f>IF(ISERROR(VLOOKUP($A49,FIJOS!$B$11:$O$590,14,FALSE)),0,VLOOKUP($A49,FIJOS!$B$11:$O$590,14,FALSE))</f>
        <v>0</v>
      </c>
      <c r="CY49" s="145">
        <f>IF(ISERROR(VLOOKUP(A49,FIJOS!$B$10:$P$590,15,FALSE)),0,VLOOKUP(A49,FIJOS!$B$10:$P$590,15,FALSE))</f>
        <v>0</v>
      </c>
      <c r="CZ49" s="155"/>
      <c r="DA49" s="146"/>
      <c r="DB49" s="147"/>
      <c r="DC49" s="147"/>
      <c r="DD49" s="147"/>
      <c r="DE49" s="147"/>
      <c r="DF49" s="145">
        <f>IF(ISERROR(VLOOKUP($A49,FIJOS!$B$11:$N$590,13,FALSE)),0,VLOOKUP($A49,FIJOS!$B$11:$N$590,13,FALSE))</f>
        <v>0</v>
      </c>
      <c r="DG49" s="145">
        <f>IF(ISERROR(VLOOKUP($A49,FIJOS!$B$11:$P$447,12,FALSE)),0,VLOOKUP($A49,FIJOS!$B$11:$P$447,12,FALSE))</f>
        <v>0</v>
      </c>
      <c r="DH49" s="82">
        <f t="shared" si="37"/>
        <v>0</v>
      </c>
      <c r="DI49" s="83" t="b">
        <f>IF($C49=1,(VLOOKUP($A49,FIJOS!$B$11:$P$545,10,FALSE)/7)*(7-$CU49),IF(AND($C49=2,CV49&lt;$DJ$1),(VLOOKUP($D49,HORAS!$B$4:$C$42,2,FALSE)*24)*$CV49,IF(AND($C49=2,CV49&gt;=$DJ$1),VLOOKUP($D49,HORAS!$B$4:$D$42,3,FALSE),IF(AND($C49=3,$CV49&gt;=$DJ$1),VLOOKUP($A49,FIJOS!$B$11:$P$545,10,FALSE),IF(AND($C49=3,$CV49&lt;$DJ$1),((VLOOKUP($A49,FIJOS!$B$11:$P$545,10,FALSE)/48)*24)*$CV49,IF(AND($C49=4,$CV49&gt;=(42/24)),VLOOKUP($D49,HORAS!$B$4:$D$42,3,FALSE),IF(AND($C49=5,$CV49&gt;=(36/24)),VLOOKUP($D49,HORAS!$B$4:$D$42,3,FALSE))))))))</f>
        <v>0</v>
      </c>
      <c r="DJ49" s="145">
        <f>IF(OR($C49=2),VLOOKUP($D49,HORAS!$B$4:$E$42,4,FALSE)*$EC49,IF(ISERROR(VLOOKUP($A49,FIJOS!$B$11:$P$108,9,FALSE)),0,VLOOKUP($A49,FIJOS!$B$11:$P$231,9,FALSE)*$EC49))</f>
        <v>0</v>
      </c>
      <c r="DK49" s="145">
        <f>IF(OR($C49=2),VLOOKUP($D49,HORAS!$B$4:$F$42,5,FALSE)*$EE49,IF(ISERROR(VLOOKUP($A49,FIJOS!$B$11:$P$108,9,FALSE)),0,VLOOKUP($A49,FIJOS!$B$11:$P$231,9,FALSE)*$EE49))</f>
        <v>0</v>
      </c>
      <c r="DL49" s="144"/>
      <c r="DM49" s="145">
        <f>IF(ISERROR(VLOOKUP($A49,FIJOS!$B$11:$L$646,11,FALSE)),0,VLOOKUP($A49,FIJOS!$B$11:$L$646,11,FALSE))</f>
        <v>0</v>
      </c>
      <c r="DN49" s="148" t="e">
        <f>IF(OR($C49=1,$C49=3),0,IF((VLOOKUP(CAPTURA!D49,HORAS!$B$4:$K$42,10,FALSE)/4)*COUNTIF($H49:$CT49,3)&gt;100,100,(VLOOKUP(CAPTURA!D49,HORAS!$B$4:$K$42,10,FALSE)/4)*COUNTIF($H49:$CT49,3)))</f>
        <v>#N/A</v>
      </c>
      <c r="DO49" s="144" t="e">
        <f>IF(OR($C49=1,$C49=3),0,IF($C49=5,VLOOKUP(D49,HORAS!$B$4:$G$42,6,FALSE),IF(AND($C49=4,$CV49&gt;=(42/24)),VLOOKUP(D49,HORAS!$B$4:$G$42,6,FALSE),IF(COUNTIF($H49:$CL49,"F")&gt;0,0,IF(CV49&gt;$DJ$1,$DJ$1*(VLOOKUP(D49,HORAS!$B$4:$G$42,6,FALSE)/$DJ$1),CV49*(VLOOKUP(D49,HORAS!$B$4:$G$42,6,FALSE)/$DJ$1))))))</f>
        <v>#N/A</v>
      </c>
      <c r="DP49" s="177"/>
      <c r="DQ49" s="148"/>
      <c r="DR49" s="148"/>
      <c r="DS49" s="83" t="e">
        <f t="shared" si="38"/>
        <v>#N/A</v>
      </c>
      <c r="DT49" s="84"/>
      <c r="DU49" s="149" t="e">
        <f t="shared" si="39"/>
        <v>#N/A</v>
      </c>
      <c r="DV49" s="149" t="e">
        <f t="shared" si="40"/>
        <v>#N/A</v>
      </c>
      <c r="DW49" s="144" t="e">
        <f t="shared" si="41"/>
        <v>#N/A</v>
      </c>
      <c r="DX49" s="134"/>
      <c r="DY49" s="29"/>
      <c r="DZ49" s="150"/>
      <c r="EA49" s="134"/>
      <c r="EB49" s="137">
        <f t="shared" si="11"/>
        <v>0</v>
      </c>
      <c r="EC49" s="138">
        <f t="shared" si="9"/>
        <v>0</v>
      </c>
      <c r="ED49" s="137">
        <f t="shared" si="12"/>
        <v>0</v>
      </c>
      <c r="EE49" s="132">
        <f t="shared" si="10"/>
        <v>0</v>
      </c>
      <c r="EF49" s="29"/>
      <c r="EG49" s="134"/>
      <c r="EH49" s="134"/>
      <c r="EI49" s="134"/>
      <c r="EK49" s="29"/>
    </row>
    <row r="50" spans="1:141" ht="15" customHeight="1" x14ac:dyDescent="0.25">
      <c r="A50" s="140"/>
      <c r="B50" s="5"/>
      <c r="C50" s="72"/>
      <c r="D50" s="73"/>
      <c r="E50" s="73"/>
      <c r="F50" s="141"/>
      <c r="G50" s="74"/>
      <c r="H50" s="75"/>
      <c r="I50" s="76"/>
      <c r="J50" s="135"/>
      <c r="K50" s="135"/>
      <c r="L50" s="77">
        <f t="shared" si="14"/>
        <v>0</v>
      </c>
      <c r="M50" s="78"/>
      <c r="N50" s="142"/>
      <c r="O50" s="142"/>
      <c r="P50" s="77">
        <f t="shared" si="15"/>
        <v>0</v>
      </c>
      <c r="Q50" s="78"/>
      <c r="R50" s="143"/>
      <c r="S50" s="143"/>
      <c r="T50" s="77">
        <f t="shared" si="16"/>
        <v>0</v>
      </c>
      <c r="U50" s="75"/>
      <c r="V50" s="76"/>
      <c r="W50" s="135"/>
      <c r="X50" s="135"/>
      <c r="Y50" s="77">
        <f t="shared" si="17"/>
        <v>0</v>
      </c>
      <c r="Z50" s="78"/>
      <c r="AA50" s="142"/>
      <c r="AB50" s="142"/>
      <c r="AC50" s="77">
        <f t="shared" si="18"/>
        <v>0</v>
      </c>
      <c r="AD50" s="78"/>
      <c r="AE50" s="143"/>
      <c r="AF50" s="143"/>
      <c r="AG50" s="79">
        <f t="shared" si="19"/>
        <v>0</v>
      </c>
      <c r="AH50" s="75"/>
      <c r="AI50" s="76"/>
      <c r="AJ50" s="135"/>
      <c r="AK50" s="135"/>
      <c r="AL50" s="77">
        <f t="shared" si="20"/>
        <v>0</v>
      </c>
      <c r="AM50" s="76"/>
      <c r="AN50" s="142"/>
      <c r="AO50" s="142"/>
      <c r="AP50" s="77">
        <f t="shared" si="21"/>
        <v>0</v>
      </c>
      <c r="AQ50" s="78"/>
      <c r="AR50" s="142"/>
      <c r="AS50" s="142"/>
      <c r="AT50" s="79">
        <f t="shared" si="22"/>
        <v>0</v>
      </c>
      <c r="AU50" s="75"/>
      <c r="AV50" s="76"/>
      <c r="AW50" s="135"/>
      <c r="AX50" s="135"/>
      <c r="AY50" s="77">
        <f t="shared" si="23"/>
        <v>0</v>
      </c>
      <c r="AZ50" s="76"/>
      <c r="BA50" s="142"/>
      <c r="BB50" s="142"/>
      <c r="BC50" s="77">
        <f t="shared" si="24"/>
        <v>0</v>
      </c>
      <c r="BD50" s="78"/>
      <c r="BE50" s="142"/>
      <c r="BF50" s="142"/>
      <c r="BG50" s="79">
        <f t="shared" si="25"/>
        <v>0</v>
      </c>
      <c r="BH50" s="75"/>
      <c r="BI50" s="76"/>
      <c r="BJ50" s="135"/>
      <c r="BK50" s="135"/>
      <c r="BL50" s="77">
        <f t="shared" si="26"/>
        <v>0</v>
      </c>
      <c r="BM50" s="78"/>
      <c r="BN50" s="142"/>
      <c r="BO50" s="142"/>
      <c r="BP50" s="77">
        <f t="shared" si="27"/>
        <v>0</v>
      </c>
      <c r="BQ50" s="78"/>
      <c r="BR50" s="142"/>
      <c r="BS50" s="142"/>
      <c r="BT50" s="79">
        <f t="shared" si="28"/>
        <v>0</v>
      </c>
      <c r="BU50" s="75"/>
      <c r="BV50" s="76"/>
      <c r="BW50" s="135"/>
      <c r="BX50" s="135"/>
      <c r="BY50" s="77">
        <f t="shared" si="29"/>
        <v>0</v>
      </c>
      <c r="BZ50" s="78"/>
      <c r="CA50" s="142"/>
      <c r="CB50" s="142"/>
      <c r="CC50" s="77">
        <f t="shared" si="30"/>
        <v>0</v>
      </c>
      <c r="CD50" s="78"/>
      <c r="CE50" s="142"/>
      <c r="CF50" s="142"/>
      <c r="CG50" s="79">
        <f t="shared" si="31"/>
        <v>0</v>
      </c>
      <c r="CH50" s="75"/>
      <c r="CI50" s="76"/>
      <c r="CJ50" s="135"/>
      <c r="CK50" s="135"/>
      <c r="CL50" s="77">
        <f t="shared" si="32"/>
        <v>0</v>
      </c>
      <c r="CM50" s="78"/>
      <c r="CN50" s="142"/>
      <c r="CO50" s="142"/>
      <c r="CP50" s="77">
        <f t="shared" si="33"/>
        <v>0</v>
      </c>
      <c r="CQ50" s="78"/>
      <c r="CR50" s="142"/>
      <c r="CS50" s="142"/>
      <c r="CT50" s="79">
        <f t="shared" si="34"/>
        <v>0</v>
      </c>
      <c r="CU50" s="80">
        <f t="shared" si="35"/>
        <v>0</v>
      </c>
      <c r="CV50" s="81">
        <f t="shared" si="36"/>
        <v>0</v>
      </c>
      <c r="CW50" s="144"/>
      <c r="CX50" s="145">
        <f>IF(ISERROR(VLOOKUP($A50,FIJOS!$B$11:$O$590,14,FALSE)),0,VLOOKUP($A50,FIJOS!$B$11:$O$590,14,FALSE))</f>
        <v>0</v>
      </c>
      <c r="CY50" s="145">
        <f>IF(ISERROR(VLOOKUP(A50,FIJOS!$B$10:$P$590,15,FALSE)),0,VLOOKUP(A50,FIJOS!$B$10:$P$590,15,FALSE))</f>
        <v>0</v>
      </c>
      <c r="CZ50" s="155"/>
      <c r="DA50" s="146"/>
      <c r="DB50" s="147"/>
      <c r="DC50" s="147"/>
      <c r="DD50" s="147"/>
      <c r="DE50" s="147"/>
      <c r="DF50" s="145">
        <f>IF(ISERROR(VLOOKUP($A50,FIJOS!$B$11:$N$590,13,FALSE)),0,VLOOKUP($A50,FIJOS!$B$11:$N$590,13,FALSE))</f>
        <v>0</v>
      </c>
      <c r="DG50" s="145">
        <f>IF(ISERROR(VLOOKUP($A50,FIJOS!$B$11:$P$447,12,FALSE)),0,VLOOKUP($A50,FIJOS!$B$11:$P$447,12,FALSE))</f>
        <v>0</v>
      </c>
      <c r="DH50" s="82">
        <f t="shared" si="37"/>
        <v>0</v>
      </c>
      <c r="DI50" s="83" t="b">
        <f>IF($C50=1,(VLOOKUP($A50,FIJOS!$B$11:$P$545,10,FALSE)/7)*(7-$CU50),IF(AND($C50=2,CV50&lt;$DJ$1),(VLOOKUP($D50,HORAS!$B$4:$C$42,2,FALSE)*24)*$CV50,IF(AND($C50=2,CV50&gt;=$DJ$1),VLOOKUP($D50,HORAS!$B$4:$D$42,3,FALSE),IF(AND($C50=3,$CV50&gt;=$DJ$1),VLOOKUP($A50,FIJOS!$B$11:$P$545,10,FALSE),IF(AND($C50=3,$CV50&lt;$DJ$1),((VLOOKUP($A50,FIJOS!$B$11:$P$545,10,FALSE)/48)*24)*$CV50,IF(AND($C50=4,$CV50&gt;=(42/24)),VLOOKUP($D50,HORAS!$B$4:$D$42,3,FALSE),IF(AND($C50=5,$CV50&gt;=(36/24)),VLOOKUP($D50,HORAS!$B$4:$D$42,3,FALSE))))))))</f>
        <v>0</v>
      </c>
      <c r="DJ50" s="145">
        <f>IF(OR($C50=2),VLOOKUP($D50,HORAS!$B$4:$E$42,4,FALSE)*$EC50,IF(ISERROR(VLOOKUP($A50,FIJOS!$B$11:$P$108,9,FALSE)),0,VLOOKUP($A50,FIJOS!$B$11:$P$231,9,FALSE)*$EC50))</f>
        <v>0</v>
      </c>
      <c r="DK50" s="145">
        <f>IF(OR($C50=2),VLOOKUP($D50,HORAS!$B$4:$F$42,5,FALSE)*$EE50,IF(ISERROR(VLOOKUP($A50,FIJOS!$B$11:$P$108,9,FALSE)),0,VLOOKUP($A50,FIJOS!$B$11:$P$231,9,FALSE)*$EE50))</f>
        <v>0</v>
      </c>
      <c r="DL50" s="144"/>
      <c r="DM50" s="145">
        <f>IF(ISERROR(VLOOKUP($A50,FIJOS!$B$11:$L$646,11,FALSE)),0,VLOOKUP($A50,FIJOS!$B$11:$L$646,11,FALSE))</f>
        <v>0</v>
      </c>
      <c r="DN50" s="148" t="e">
        <f>IF(OR($C50=1,$C50=3),0,IF((VLOOKUP(CAPTURA!D50,HORAS!$B$4:$K$42,10,FALSE)/4)*COUNTIF($H50:$CT50,3)&gt;100,100,(VLOOKUP(CAPTURA!D50,HORAS!$B$4:$K$42,10,FALSE)/4)*COUNTIF($H50:$CT50,3)))</f>
        <v>#N/A</v>
      </c>
      <c r="DO50" s="144" t="e">
        <f>IF(OR($C50=1,$C50=3),0,IF($C50=5,VLOOKUP(D50,HORAS!$B$4:$G$42,6,FALSE),IF(AND($C50=4,$CV50&gt;=(42/24)),VLOOKUP(D50,HORAS!$B$4:$G$42,6,FALSE),IF(COUNTIF($H50:$CL50,"F")&gt;0,0,IF(CV50&gt;$DJ$1,$DJ$1*(VLOOKUP(D50,HORAS!$B$4:$G$42,6,FALSE)/$DJ$1),CV50*(VLOOKUP(D50,HORAS!$B$4:$G$42,6,FALSE)/$DJ$1))))))</f>
        <v>#N/A</v>
      </c>
      <c r="DP50" s="156"/>
      <c r="DQ50" s="148"/>
      <c r="DR50" s="148"/>
      <c r="DS50" s="83" t="e">
        <f t="shared" si="38"/>
        <v>#N/A</v>
      </c>
      <c r="DT50" s="84"/>
      <c r="DU50" s="149" t="e">
        <f t="shared" si="39"/>
        <v>#N/A</v>
      </c>
      <c r="DV50" s="149" t="e">
        <f t="shared" si="40"/>
        <v>#N/A</v>
      </c>
      <c r="DW50" s="144" t="e">
        <f t="shared" si="41"/>
        <v>#N/A</v>
      </c>
      <c r="DX50"/>
      <c r="DY50" s="29"/>
      <c r="DZ50" s="150"/>
      <c r="EA50" s="134"/>
      <c r="EB50" s="137">
        <f t="shared" si="11"/>
        <v>0</v>
      </c>
      <c r="EC50" s="138">
        <f t="shared" si="9"/>
        <v>0</v>
      </c>
      <c r="ED50" s="137">
        <f t="shared" si="12"/>
        <v>0</v>
      </c>
      <c r="EE50" s="132">
        <f t="shared" si="10"/>
        <v>0</v>
      </c>
      <c r="EF50" s="29"/>
      <c r="EG50" s="134"/>
      <c r="EH50" s="134"/>
      <c r="EI50" s="134"/>
      <c r="EK50" s="29"/>
    </row>
    <row r="51" spans="1:141" ht="15" customHeight="1" x14ac:dyDescent="0.25">
      <c r="A51" s="87"/>
      <c r="B51" s="5"/>
      <c r="C51" s="152"/>
      <c r="D51" s="73"/>
      <c r="E51" s="73"/>
      <c r="F51" s="141"/>
      <c r="G51" s="74"/>
      <c r="H51" s="75"/>
      <c r="I51" s="76"/>
      <c r="J51" s="135"/>
      <c r="K51" s="135"/>
      <c r="L51" s="77">
        <f t="shared" si="14"/>
        <v>0</v>
      </c>
      <c r="M51" s="78"/>
      <c r="N51" s="142"/>
      <c r="O51" s="142"/>
      <c r="P51" s="77">
        <f t="shared" si="15"/>
        <v>0</v>
      </c>
      <c r="Q51" s="78"/>
      <c r="R51" s="143"/>
      <c r="S51" s="143"/>
      <c r="T51" s="77">
        <f t="shared" si="16"/>
        <v>0</v>
      </c>
      <c r="U51" s="75"/>
      <c r="V51" s="76"/>
      <c r="W51" s="135"/>
      <c r="X51" s="135"/>
      <c r="Y51" s="77">
        <f t="shared" si="17"/>
        <v>0</v>
      </c>
      <c r="Z51" s="78"/>
      <c r="AA51" s="142"/>
      <c r="AB51" s="142"/>
      <c r="AC51" s="77">
        <f t="shared" si="18"/>
        <v>0</v>
      </c>
      <c r="AD51" s="78"/>
      <c r="AE51" s="143"/>
      <c r="AF51" s="143"/>
      <c r="AG51" s="79">
        <f t="shared" si="19"/>
        <v>0</v>
      </c>
      <c r="AH51" s="75"/>
      <c r="AI51" s="76"/>
      <c r="AJ51" s="135"/>
      <c r="AK51" s="135"/>
      <c r="AL51" s="77">
        <f t="shared" si="20"/>
        <v>0</v>
      </c>
      <c r="AM51" s="76"/>
      <c r="AN51" s="142"/>
      <c r="AO51" s="142"/>
      <c r="AP51" s="77">
        <f t="shared" si="21"/>
        <v>0</v>
      </c>
      <c r="AQ51" s="78"/>
      <c r="AR51" s="142"/>
      <c r="AS51" s="142"/>
      <c r="AT51" s="79">
        <f t="shared" si="22"/>
        <v>0</v>
      </c>
      <c r="AU51" s="75"/>
      <c r="AV51" s="76"/>
      <c r="AW51" s="135"/>
      <c r="AX51" s="135"/>
      <c r="AY51" s="77">
        <f t="shared" si="23"/>
        <v>0</v>
      </c>
      <c r="AZ51" s="76"/>
      <c r="BA51" s="142"/>
      <c r="BB51" s="142"/>
      <c r="BC51" s="77">
        <f t="shared" si="24"/>
        <v>0</v>
      </c>
      <c r="BD51" s="78"/>
      <c r="BE51" s="142"/>
      <c r="BF51" s="142"/>
      <c r="BG51" s="79">
        <f t="shared" si="25"/>
        <v>0</v>
      </c>
      <c r="BH51" s="75"/>
      <c r="BI51" s="76"/>
      <c r="BJ51" s="135"/>
      <c r="BK51" s="135"/>
      <c r="BL51" s="77">
        <f t="shared" si="26"/>
        <v>0</v>
      </c>
      <c r="BM51" s="78"/>
      <c r="BN51" s="142"/>
      <c r="BO51" s="142"/>
      <c r="BP51" s="77">
        <f t="shared" si="27"/>
        <v>0</v>
      </c>
      <c r="BQ51" s="78"/>
      <c r="BR51" s="142"/>
      <c r="BS51" s="142"/>
      <c r="BT51" s="79">
        <f t="shared" si="28"/>
        <v>0</v>
      </c>
      <c r="BU51" s="75"/>
      <c r="BV51" s="76"/>
      <c r="BW51" s="135"/>
      <c r="BX51" s="135"/>
      <c r="BY51" s="77">
        <f t="shared" si="29"/>
        <v>0</v>
      </c>
      <c r="BZ51" s="78"/>
      <c r="CA51" s="142"/>
      <c r="CB51" s="142"/>
      <c r="CC51" s="77">
        <f t="shared" si="30"/>
        <v>0</v>
      </c>
      <c r="CD51" s="78"/>
      <c r="CE51" s="142"/>
      <c r="CF51" s="142"/>
      <c r="CG51" s="79">
        <f t="shared" si="31"/>
        <v>0</v>
      </c>
      <c r="CH51" s="75"/>
      <c r="CI51" s="76"/>
      <c r="CJ51" s="135"/>
      <c r="CK51" s="135"/>
      <c r="CL51" s="77">
        <f t="shared" si="32"/>
        <v>0</v>
      </c>
      <c r="CM51" s="78"/>
      <c r="CN51" s="142"/>
      <c r="CO51" s="142"/>
      <c r="CP51" s="77">
        <f t="shared" si="33"/>
        <v>0</v>
      </c>
      <c r="CQ51" s="78"/>
      <c r="CR51" s="142"/>
      <c r="CS51" s="142"/>
      <c r="CT51" s="79">
        <f t="shared" si="34"/>
        <v>0</v>
      </c>
      <c r="CU51" s="80">
        <f t="shared" si="35"/>
        <v>0</v>
      </c>
      <c r="CV51" s="81">
        <f t="shared" si="36"/>
        <v>0</v>
      </c>
      <c r="CW51" s="144"/>
      <c r="CX51" s="145">
        <f>IF(ISERROR(VLOOKUP($A51,FIJOS!$B$11:$O$590,14,FALSE)),0,VLOOKUP($A51,FIJOS!$B$11:$O$590,14,FALSE))</f>
        <v>0</v>
      </c>
      <c r="CY51" s="145">
        <f>IF(ISERROR(VLOOKUP(A51,FIJOS!$B$10:$P$590,15,FALSE)),0,VLOOKUP(A51,FIJOS!$B$10:$P$590,15,FALSE))</f>
        <v>0</v>
      </c>
      <c r="CZ51" s="155"/>
      <c r="DA51" s="146"/>
      <c r="DB51" s="147"/>
      <c r="DC51" s="147"/>
      <c r="DD51" s="147"/>
      <c r="DE51" s="147"/>
      <c r="DF51" s="145">
        <f>IF(ISERROR(VLOOKUP($A51,FIJOS!$B$11:$N$590,13,FALSE)),0,VLOOKUP($A51,FIJOS!$B$11:$N$590,13,FALSE))</f>
        <v>0</v>
      </c>
      <c r="DG51" s="145">
        <f>IF(ISERROR(VLOOKUP($A51,FIJOS!$B$11:$P$447,12,FALSE)),0,VLOOKUP($A51,FIJOS!$B$11:$P$447,12,FALSE))</f>
        <v>0</v>
      </c>
      <c r="DH51" s="82">
        <f t="shared" si="37"/>
        <v>0</v>
      </c>
      <c r="DI51" s="83" t="b">
        <f>IF($C51=1,(VLOOKUP($A51,FIJOS!$B$11:$P$545,10,FALSE)/7)*(7-$CU51),IF(AND($C51=2,CV51&lt;$DJ$1),(VLOOKUP($D51,HORAS!$B$4:$C$42,2,FALSE)*24)*$CV51,IF(AND($C51=2,CV51&gt;=$DJ$1),VLOOKUP($D51,HORAS!$B$4:$D$42,3,FALSE),IF(AND($C51=3,$CV51&gt;=$DJ$1),VLOOKUP($A51,FIJOS!$B$11:$P$545,10,FALSE),IF(AND($C51=3,$CV51&lt;$DJ$1),((VLOOKUP($A51,FIJOS!$B$11:$P$545,10,FALSE)/48)*24)*$CV51,IF(AND($C51=4,$CV51&gt;=(42/24)),VLOOKUP($D51,HORAS!$B$4:$D$42,3,FALSE),IF(AND($C51=5,$CV51&gt;=(36/24)),VLOOKUP($D51,HORAS!$B$4:$D$42,3,FALSE))))))))</f>
        <v>0</v>
      </c>
      <c r="DJ51" s="145">
        <f>IF(OR($C51=2),VLOOKUP($D51,HORAS!$B$4:$E$42,4,FALSE)*$EC51,IF(ISERROR(VLOOKUP($A51,FIJOS!$B$11:$P$108,9,FALSE)),0,VLOOKUP($A51,FIJOS!$B$11:$P$231,9,FALSE)*$EC51))</f>
        <v>0</v>
      </c>
      <c r="DK51" s="145">
        <f>IF(OR($C51=2),VLOOKUP($D51,HORAS!$B$4:$F$42,5,FALSE)*$EE51,IF(ISERROR(VLOOKUP($A51,FIJOS!$B$11:$P$108,9,FALSE)),0,VLOOKUP($A51,FIJOS!$B$11:$P$231,9,FALSE)*$EE51))</f>
        <v>0</v>
      </c>
      <c r="DL51" s="144"/>
      <c r="DM51" s="145">
        <f>IF(ISERROR(VLOOKUP($A51,FIJOS!$B$11:$L$646,11,FALSE)),0,VLOOKUP($A51,FIJOS!$B$11:$L$646,11,FALSE))</f>
        <v>0</v>
      </c>
      <c r="DN51" s="148" t="e">
        <f>IF(OR($C51=1,$C51=3),0,IF((VLOOKUP(CAPTURA!D51,HORAS!$B$4:$K$42,10,FALSE)/4)*COUNTIF($H51:$CT51,3)&gt;100,100,(VLOOKUP(CAPTURA!D51,HORAS!$B$4:$K$42,10,FALSE)/4)*COUNTIF($H51:$CT51,3)))</f>
        <v>#N/A</v>
      </c>
      <c r="DO51" s="144" t="e">
        <f>IF(OR($C51=1,$C51=3),0,IF($C51=5,VLOOKUP(D51,HORAS!$B$4:$G$42,6,FALSE),IF(AND($C51=4,$CV51&gt;=(42/24)),VLOOKUP(D51,HORAS!$B$4:$G$42,6,FALSE),IF(COUNTIF($H51:$CL51,"F")&gt;0,0,IF(CV51&gt;$DJ$1,$DJ$1*(VLOOKUP(D51,HORAS!$B$4:$G$42,6,FALSE)/$DJ$1),CV51*(VLOOKUP(D51,HORAS!$B$4:$G$42,6,FALSE)/$DJ$1))))))</f>
        <v>#N/A</v>
      </c>
      <c r="DP51" s="156"/>
      <c r="DQ51" s="146"/>
      <c r="DR51" s="148"/>
      <c r="DS51" s="83" t="e">
        <f t="shared" si="38"/>
        <v>#N/A</v>
      </c>
      <c r="DT51" s="84"/>
      <c r="DU51" s="149" t="e">
        <f t="shared" si="39"/>
        <v>#N/A</v>
      </c>
      <c r="DV51" s="149" t="e">
        <f t="shared" si="40"/>
        <v>#N/A</v>
      </c>
      <c r="DW51" s="144" t="e">
        <f t="shared" si="41"/>
        <v>#N/A</v>
      </c>
      <c r="DX51" s="134"/>
      <c r="DY51" s="29"/>
      <c r="DZ51" s="150"/>
      <c r="EA51" s="134"/>
      <c r="EB51" s="137">
        <f t="shared" si="11"/>
        <v>0</v>
      </c>
      <c r="EC51" s="138">
        <f t="shared" si="9"/>
        <v>0</v>
      </c>
      <c r="ED51" s="137">
        <f t="shared" si="12"/>
        <v>0</v>
      </c>
      <c r="EE51" s="132">
        <f t="shared" si="10"/>
        <v>0</v>
      </c>
      <c r="EF51" s="29"/>
      <c r="EG51" s="134"/>
      <c r="EH51" s="134"/>
      <c r="EI51" s="134"/>
      <c r="EK51" s="29"/>
    </row>
    <row r="52" spans="1:141" ht="15" customHeight="1" x14ac:dyDescent="0.25">
      <c r="A52" s="140"/>
      <c r="B52" s="5"/>
      <c r="C52" s="72"/>
      <c r="D52" s="73"/>
      <c r="E52" s="73"/>
      <c r="F52" s="141"/>
      <c r="G52" s="74"/>
      <c r="H52" s="75"/>
      <c r="I52" s="76"/>
      <c r="J52" s="135"/>
      <c r="K52" s="135"/>
      <c r="L52" s="77">
        <f t="shared" si="14"/>
        <v>0</v>
      </c>
      <c r="M52" s="78"/>
      <c r="N52" s="142"/>
      <c r="O52" s="142"/>
      <c r="P52" s="77">
        <f t="shared" si="15"/>
        <v>0</v>
      </c>
      <c r="Q52" s="78"/>
      <c r="R52" s="143"/>
      <c r="S52" s="143"/>
      <c r="T52" s="77">
        <f t="shared" si="16"/>
        <v>0</v>
      </c>
      <c r="U52" s="75"/>
      <c r="V52" s="76"/>
      <c r="W52" s="135"/>
      <c r="X52" s="135"/>
      <c r="Y52" s="77">
        <f t="shared" si="17"/>
        <v>0</v>
      </c>
      <c r="Z52" s="78"/>
      <c r="AA52" s="142"/>
      <c r="AB52" s="142"/>
      <c r="AC52" s="77">
        <f t="shared" si="18"/>
        <v>0</v>
      </c>
      <c r="AD52" s="78"/>
      <c r="AE52" s="143"/>
      <c r="AF52" s="143"/>
      <c r="AG52" s="79">
        <f t="shared" si="19"/>
        <v>0</v>
      </c>
      <c r="AH52" s="75"/>
      <c r="AI52" s="76"/>
      <c r="AJ52" s="135"/>
      <c r="AK52" s="135"/>
      <c r="AL52" s="77">
        <f t="shared" si="20"/>
        <v>0</v>
      </c>
      <c r="AM52" s="76"/>
      <c r="AN52" s="142"/>
      <c r="AO52" s="142"/>
      <c r="AP52" s="77">
        <f t="shared" si="21"/>
        <v>0</v>
      </c>
      <c r="AQ52" s="78"/>
      <c r="AR52" s="142"/>
      <c r="AS52" s="142"/>
      <c r="AT52" s="79">
        <f t="shared" si="22"/>
        <v>0</v>
      </c>
      <c r="AU52" s="75"/>
      <c r="AV52" s="76"/>
      <c r="AW52" s="135"/>
      <c r="AX52" s="135"/>
      <c r="AY52" s="77">
        <f t="shared" si="23"/>
        <v>0</v>
      </c>
      <c r="AZ52" s="76"/>
      <c r="BA52" s="142"/>
      <c r="BB52" s="142"/>
      <c r="BC52" s="77">
        <f t="shared" si="24"/>
        <v>0</v>
      </c>
      <c r="BD52" s="78"/>
      <c r="BE52" s="142"/>
      <c r="BF52" s="142"/>
      <c r="BG52" s="79">
        <f t="shared" si="25"/>
        <v>0</v>
      </c>
      <c r="BH52" s="75"/>
      <c r="BI52" s="76"/>
      <c r="BJ52" s="135"/>
      <c r="BK52" s="135"/>
      <c r="BL52" s="77">
        <f t="shared" si="26"/>
        <v>0</v>
      </c>
      <c r="BM52" s="78"/>
      <c r="BN52" s="142"/>
      <c r="BO52" s="142"/>
      <c r="BP52" s="77">
        <f t="shared" si="27"/>
        <v>0</v>
      </c>
      <c r="BQ52" s="78"/>
      <c r="BR52" s="142"/>
      <c r="BS52" s="142"/>
      <c r="BT52" s="79">
        <f t="shared" si="28"/>
        <v>0</v>
      </c>
      <c r="BU52" s="75"/>
      <c r="BV52" s="76"/>
      <c r="BW52" s="135"/>
      <c r="BX52" s="135"/>
      <c r="BY52" s="77">
        <f t="shared" si="29"/>
        <v>0</v>
      </c>
      <c r="BZ52" s="78"/>
      <c r="CA52" s="142"/>
      <c r="CB52" s="142"/>
      <c r="CC52" s="77">
        <f t="shared" si="30"/>
        <v>0</v>
      </c>
      <c r="CD52" s="78"/>
      <c r="CE52" s="142"/>
      <c r="CF52" s="142"/>
      <c r="CG52" s="79">
        <f t="shared" si="31"/>
        <v>0</v>
      </c>
      <c r="CH52" s="75"/>
      <c r="CI52" s="76"/>
      <c r="CJ52" s="135"/>
      <c r="CK52" s="135"/>
      <c r="CL52" s="77">
        <f t="shared" si="32"/>
        <v>0</v>
      </c>
      <c r="CM52" s="78"/>
      <c r="CN52" s="142"/>
      <c r="CO52" s="142"/>
      <c r="CP52" s="77">
        <f t="shared" si="33"/>
        <v>0</v>
      </c>
      <c r="CQ52" s="78"/>
      <c r="CR52" s="142"/>
      <c r="CS52" s="142"/>
      <c r="CT52" s="79">
        <f t="shared" si="34"/>
        <v>0</v>
      </c>
      <c r="CU52" s="80">
        <f t="shared" si="35"/>
        <v>0</v>
      </c>
      <c r="CV52" s="81">
        <f t="shared" si="36"/>
        <v>0</v>
      </c>
      <c r="CW52" s="144"/>
      <c r="CX52" s="145">
        <f>IF(ISERROR(VLOOKUP($A52,FIJOS!$B$11:$O$590,14,FALSE)),0,VLOOKUP($A52,FIJOS!$B$11:$O$590,14,FALSE))</f>
        <v>0</v>
      </c>
      <c r="CY52" s="145">
        <f>IF(ISERROR(VLOOKUP(A52,FIJOS!$B$10:$P$590,15,FALSE)),0,VLOOKUP(A52,FIJOS!$B$10:$P$590,15,FALSE))</f>
        <v>0</v>
      </c>
      <c r="CZ52" s="155"/>
      <c r="DA52" s="146"/>
      <c r="DB52" s="147"/>
      <c r="DC52" s="147"/>
      <c r="DD52" s="147"/>
      <c r="DE52" s="147"/>
      <c r="DF52" s="145">
        <f>IF(ISERROR(VLOOKUP($A52,FIJOS!$B$11:$N$590,13,FALSE)),0,VLOOKUP($A52,FIJOS!$B$11:$N$590,13,FALSE))</f>
        <v>0</v>
      </c>
      <c r="DG52" s="145">
        <f>IF(ISERROR(VLOOKUP($A52,FIJOS!$B$11:$P$447,12,FALSE)),0,VLOOKUP($A52,FIJOS!$B$11:$P$447,12,FALSE))</f>
        <v>0</v>
      </c>
      <c r="DH52" s="82">
        <f t="shared" si="37"/>
        <v>0</v>
      </c>
      <c r="DI52" s="83" t="b">
        <f>IF($C52=1,(VLOOKUP($A52,FIJOS!$B$11:$P$545,10,FALSE)/7)*(7-$CU52),IF(AND($C52=2,CV52&lt;$DJ$1),(VLOOKUP($D52,HORAS!$B$4:$C$42,2,FALSE)*24)*$CV52,IF(AND($C52=2,CV52&gt;=$DJ$1),VLOOKUP($D52,HORAS!$B$4:$D$42,3,FALSE),IF(AND($C52=3,$CV52&gt;=$DJ$1),VLOOKUP($A52,FIJOS!$B$11:$P$545,10,FALSE),IF(AND($C52=3,$CV52&lt;$DJ$1),((VLOOKUP($A52,FIJOS!$B$11:$P$545,10,FALSE)/48)*24)*$CV52,IF(AND($C52=4,$CV52&gt;=(42/24)),VLOOKUP($D52,HORAS!$B$4:$D$42,3,FALSE),IF(AND($C52=5,$CV52&gt;=(36/24)),VLOOKUP($D52,HORAS!$B$4:$D$42,3,FALSE))))))))</f>
        <v>0</v>
      </c>
      <c r="DJ52" s="145">
        <f>IF(OR($C52=2),VLOOKUP($D52,HORAS!$B$4:$E$42,4,FALSE)*$EC52,IF(ISERROR(VLOOKUP($A52,FIJOS!$B$11:$P$108,9,FALSE)),0,VLOOKUP($A52,FIJOS!$B$11:$P$231,9,FALSE)*$EC52))</f>
        <v>0</v>
      </c>
      <c r="DK52" s="145">
        <f>IF(OR($C52=2),VLOOKUP($D52,HORAS!$B$4:$F$42,5,FALSE)*$EE52,IF(ISERROR(VLOOKUP($A52,FIJOS!$B$11:$P$108,9,FALSE)),0,VLOOKUP($A52,FIJOS!$B$11:$P$231,9,FALSE)*$EE52))</f>
        <v>0</v>
      </c>
      <c r="DL52" s="144"/>
      <c r="DM52" s="145">
        <f>IF(ISERROR(VLOOKUP($A52,FIJOS!$B$11:$L$646,11,FALSE)),0,VLOOKUP($A52,FIJOS!$B$11:$L$646,11,FALSE))</f>
        <v>0</v>
      </c>
      <c r="DN52" s="148" t="e">
        <f>IF(OR($C52=1,$C52=3),0,IF((VLOOKUP(CAPTURA!D52,HORAS!$B$4:$K$42,10,FALSE)/4)*COUNTIF($H52:$CT52,3)&gt;100,100,(VLOOKUP(CAPTURA!D52,HORAS!$B$4:$K$42,10,FALSE)/4)*COUNTIF($H52:$CT52,3)))</f>
        <v>#N/A</v>
      </c>
      <c r="DO52" s="144" t="e">
        <f>IF(OR($C52=1,$C52=3),0,IF($C52=5,VLOOKUP(D52,HORAS!$B$4:$G$42,6,FALSE),IF(AND($C52=4,$CV52&gt;=(42/24)),VLOOKUP(D52,HORAS!$B$4:$G$42,6,FALSE),IF(COUNTIF($H52:$CL52,"F")&gt;0,0,IF(CV52&gt;$DJ$1,$DJ$1*(VLOOKUP(D52,HORAS!$B$4:$G$42,6,FALSE)/$DJ$1),CV52*(VLOOKUP(D52,HORAS!$B$4:$G$42,6,FALSE)/$DJ$1))))))</f>
        <v>#N/A</v>
      </c>
      <c r="DP52" s="156"/>
      <c r="DQ52" s="148"/>
      <c r="DR52" s="148"/>
      <c r="DS52" s="83" t="e">
        <f t="shared" si="38"/>
        <v>#N/A</v>
      </c>
      <c r="DT52" s="84"/>
      <c r="DU52" s="149" t="e">
        <f t="shared" si="39"/>
        <v>#N/A</v>
      </c>
      <c r="DV52" s="149" t="e">
        <f t="shared" si="40"/>
        <v>#N/A</v>
      </c>
      <c r="DW52" s="144" t="e">
        <f t="shared" si="41"/>
        <v>#N/A</v>
      </c>
      <c r="DX52" s="134"/>
      <c r="DY52" s="29"/>
      <c r="DZ52" s="150"/>
      <c r="EA52" s="134"/>
      <c r="EB52" s="137">
        <f t="shared" si="11"/>
        <v>0</v>
      </c>
      <c r="EC52" s="138">
        <f t="shared" si="9"/>
        <v>0</v>
      </c>
      <c r="ED52" s="137">
        <f t="shared" si="12"/>
        <v>0</v>
      </c>
      <c r="EE52" s="132">
        <f t="shared" si="10"/>
        <v>0</v>
      </c>
      <c r="EF52" s="29"/>
      <c r="EG52" s="134"/>
      <c r="EH52" s="134"/>
      <c r="EI52" s="134"/>
      <c r="EK52" s="29"/>
    </row>
    <row r="53" spans="1:141" ht="15" customHeight="1" x14ac:dyDescent="0.25">
      <c r="A53" s="87"/>
      <c r="B53" s="5"/>
      <c r="C53" s="72"/>
      <c r="D53" s="73"/>
      <c r="E53" s="73"/>
      <c r="F53" s="141"/>
      <c r="G53" s="74"/>
      <c r="H53" s="75"/>
      <c r="I53" s="76"/>
      <c r="J53" s="135"/>
      <c r="K53" s="135"/>
      <c r="L53" s="77">
        <f t="shared" si="14"/>
        <v>0</v>
      </c>
      <c r="M53" s="78"/>
      <c r="N53" s="142"/>
      <c r="O53" s="142"/>
      <c r="P53" s="77">
        <f t="shared" si="15"/>
        <v>0</v>
      </c>
      <c r="Q53" s="78"/>
      <c r="R53" s="143"/>
      <c r="S53" s="143"/>
      <c r="T53" s="77">
        <f t="shared" si="16"/>
        <v>0</v>
      </c>
      <c r="U53" s="75"/>
      <c r="V53" s="76"/>
      <c r="W53" s="135"/>
      <c r="X53" s="135"/>
      <c r="Y53" s="77">
        <f t="shared" si="17"/>
        <v>0</v>
      </c>
      <c r="Z53" s="78"/>
      <c r="AA53" s="142"/>
      <c r="AB53" s="142"/>
      <c r="AC53" s="77">
        <f t="shared" si="18"/>
        <v>0</v>
      </c>
      <c r="AD53" s="78"/>
      <c r="AE53" s="143"/>
      <c r="AF53" s="143"/>
      <c r="AG53" s="79">
        <f t="shared" si="19"/>
        <v>0</v>
      </c>
      <c r="AH53" s="75"/>
      <c r="AI53" s="76"/>
      <c r="AJ53" s="135"/>
      <c r="AK53" s="135"/>
      <c r="AL53" s="77">
        <f t="shared" si="20"/>
        <v>0</v>
      </c>
      <c r="AM53" s="76"/>
      <c r="AN53" s="142"/>
      <c r="AO53" s="142"/>
      <c r="AP53" s="77">
        <f t="shared" si="21"/>
        <v>0</v>
      </c>
      <c r="AQ53" s="78"/>
      <c r="AR53" s="142"/>
      <c r="AS53" s="142"/>
      <c r="AT53" s="79">
        <f t="shared" si="22"/>
        <v>0</v>
      </c>
      <c r="AU53" s="75"/>
      <c r="AV53" s="76"/>
      <c r="AW53" s="135"/>
      <c r="AX53" s="135"/>
      <c r="AY53" s="77">
        <f t="shared" si="23"/>
        <v>0</v>
      </c>
      <c r="AZ53" s="76"/>
      <c r="BA53" s="142"/>
      <c r="BB53" s="142"/>
      <c r="BC53" s="77">
        <f t="shared" si="24"/>
        <v>0</v>
      </c>
      <c r="BD53" s="78"/>
      <c r="BE53" s="142"/>
      <c r="BF53" s="142"/>
      <c r="BG53" s="79">
        <f t="shared" si="25"/>
        <v>0</v>
      </c>
      <c r="BH53" s="75"/>
      <c r="BI53" s="76"/>
      <c r="BJ53" s="135"/>
      <c r="BK53" s="135"/>
      <c r="BL53" s="77">
        <f t="shared" si="26"/>
        <v>0</v>
      </c>
      <c r="BM53" s="78"/>
      <c r="BN53" s="142"/>
      <c r="BO53" s="142"/>
      <c r="BP53" s="77">
        <f t="shared" si="27"/>
        <v>0</v>
      </c>
      <c r="BQ53" s="78"/>
      <c r="BR53" s="142"/>
      <c r="BS53" s="142"/>
      <c r="BT53" s="79">
        <f t="shared" si="28"/>
        <v>0</v>
      </c>
      <c r="BU53" s="75"/>
      <c r="BV53" s="76"/>
      <c r="BW53" s="135"/>
      <c r="BX53" s="135"/>
      <c r="BY53" s="77">
        <f t="shared" si="29"/>
        <v>0</v>
      </c>
      <c r="BZ53" s="78"/>
      <c r="CA53" s="142"/>
      <c r="CB53" s="142"/>
      <c r="CC53" s="77">
        <f t="shared" si="30"/>
        <v>0</v>
      </c>
      <c r="CD53" s="78"/>
      <c r="CE53" s="142"/>
      <c r="CF53" s="142"/>
      <c r="CG53" s="79">
        <f t="shared" si="31"/>
        <v>0</v>
      </c>
      <c r="CH53" s="75"/>
      <c r="CI53" s="76"/>
      <c r="CJ53" s="135"/>
      <c r="CK53" s="135"/>
      <c r="CL53" s="77">
        <f t="shared" si="32"/>
        <v>0</v>
      </c>
      <c r="CM53" s="78"/>
      <c r="CN53" s="142"/>
      <c r="CO53" s="142"/>
      <c r="CP53" s="77">
        <f t="shared" si="33"/>
        <v>0</v>
      </c>
      <c r="CQ53" s="78"/>
      <c r="CR53" s="142"/>
      <c r="CS53" s="142"/>
      <c r="CT53" s="79">
        <f t="shared" si="34"/>
        <v>0</v>
      </c>
      <c r="CU53" s="80">
        <f t="shared" si="35"/>
        <v>0</v>
      </c>
      <c r="CV53" s="81">
        <f t="shared" si="36"/>
        <v>0</v>
      </c>
      <c r="CW53" s="144"/>
      <c r="CX53" s="145">
        <f>IF(ISERROR(VLOOKUP($A53,FIJOS!$B$11:$O$590,14,FALSE)),0,VLOOKUP($A53,FIJOS!$B$11:$O$590,14,FALSE))</f>
        <v>0</v>
      </c>
      <c r="CY53" s="145">
        <f>IF(ISERROR(VLOOKUP(A53,FIJOS!$B$10:$P$590,15,FALSE)),0,VLOOKUP(A53,FIJOS!$B$10:$P$590,15,FALSE))</f>
        <v>0</v>
      </c>
      <c r="CZ53" s="155"/>
      <c r="DA53" s="146"/>
      <c r="DB53" s="147"/>
      <c r="DC53" s="147"/>
      <c r="DD53" s="147"/>
      <c r="DE53" s="147"/>
      <c r="DF53" s="145">
        <f>IF(ISERROR(VLOOKUP($A53,FIJOS!$B$11:$N$590,13,FALSE)),0,VLOOKUP($A53,FIJOS!$B$11:$N$590,13,FALSE))</f>
        <v>0</v>
      </c>
      <c r="DG53" s="145">
        <f>IF(ISERROR(VLOOKUP($A53,FIJOS!$B$11:$P$447,12,FALSE)),0,VLOOKUP($A53,FIJOS!$B$11:$P$447,12,FALSE))</f>
        <v>0</v>
      </c>
      <c r="DH53" s="82">
        <f t="shared" si="37"/>
        <v>0</v>
      </c>
      <c r="DI53" s="83" t="b">
        <f>IF($C53=1,(VLOOKUP($A53,FIJOS!$B$11:$P$545,10,FALSE)/7)*(7-$CU53),IF(AND($C53=2,CV53&lt;$DJ$1),(VLOOKUP($D53,HORAS!$B$4:$C$42,2,FALSE)*24)*$CV53,IF(AND($C53=2,CV53&gt;=$DJ$1),VLOOKUP($D53,HORAS!$B$4:$D$42,3,FALSE),IF(AND($C53=3,$CV53&gt;=$DJ$1),VLOOKUP($A53,FIJOS!$B$11:$P$545,10,FALSE),IF(AND($C53=3,$CV53&lt;$DJ$1),((VLOOKUP($A53,FIJOS!$B$11:$P$545,10,FALSE)/48)*24)*$CV53,IF(AND($C53=4,$CV53&gt;=(42/24)),VLOOKUP($D53,HORAS!$B$4:$D$42,3,FALSE),IF(AND($C53=5,$CV53&gt;=(36/24)),VLOOKUP($D53,HORAS!$B$4:$D$42,3,FALSE))))))))</f>
        <v>0</v>
      </c>
      <c r="DJ53" s="145">
        <f>IF(OR($C53=2),VLOOKUP($D53,HORAS!$B$4:$E$42,4,FALSE)*$EC53,IF(ISERROR(VLOOKUP($A53,FIJOS!$B$11:$P$108,9,FALSE)),0,VLOOKUP($A53,FIJOS!$B$11:$P$231,9,FALSE)*$EC53))</f>
        <v>0</v>
      </c>
      <c r="DK53" s="145">
        <f>IF(OR($C53=2),VLOOKUP($D53,HORAS!$B$4:$F$42,5,FALSE)*$EE53,IF(ISERROR(VLOOKUP($A53,FIJOS!$B$11:$P$108,9,FALSE)),0,VLOOKUP($A53,FIJOS!$B$11:$P$231,9,FALSE)*$EE53))</f>
        <v>0</v>
      </c>
      <c r="DL53" s="144"/>
      <c r="DM53" s="145">
        <f>IF(ISERROR(VLOOKUP($A53,FIJOS!$B$11:$L$646,11,FALSE)),0,VLOOKUP($A53,FIJOS!$B$11:$L$646,11,FALSE))</f>
        <v>0</v>
      </c>
      <c r="DN53" s="148" t="e">
        <f>IF(OR($C53=1,$C53=3),0,IF((VLOOKUP(CAPTURA!D53,HORAS!$B$4:$K$42,10,FALSE)/4)*COUNTIF($H53:$CT53,3)&gt;100,100,(VLOOKUP(CAPTURA!D53,HORAS!$B$4:$K$42,10,FALSE)/4)*COUNTIF($H53:$CT53,3)))</f>
        <v>#N/A</v>
      </c>
      <c r="DO53" s="144" t="e">
        <f>IF(OR($C53=1,$C53=3),0,IF($C53=5,VLOOKUP(D53,HORAS!$B$4:$G$42,6,FALSE),IF(AND($C53=4,$CV53&gt;=(42/24)),VLOOKUP(D53,HORAS!$B$4:$G$42,6,FALSE),IF(COUNTIF($H53:$CL53,"F")&gt;0,0,IF(CV53&gt;$DJ$1,$DJ$1*(VLOOKUP(D53,HORAS!$B$4:$G$42,6,FALSE)/$DJ$1),CV53*(VLOOKUP(D53,HORAS!$B$4:$G$42,6,FALSE)/$DJ$1))))))</f>
        <v>#N/A</v>
      </c>
      <c r="DP53" s="156"/>
      <c r="DQ53" s="148"/>
      <c r="DR53" s="148"/>
      <c r="DS53" s="83" t="e">
        <f t="shared" si="38"/>
        <v>#N/A</v>
      </c>
      <c r="DT53" s="84"/>
      <c r="DU53" s="149" t="e">
        <f t="shared" si="39"/>
        <v>#N/A</v>
      </c>
      <c r="DV53" s="149" t="e">
        <f t="shared" si="40"/>
        <v>#N/A</v>
      </c>
      <c r="DW53" s="144" t="e">
        <f t="shared" si="41"/>
        <v>#N/A</v>
      </c>
      <c r="DX53" s="134"/>
      <c r="DY53" s="29"/>
      <c r="DZ53" s="150"/>
      <c r="EA53" s="134"/>
      <c r="EB53" s="137">
        <f t="shared" si="11"/>
        <v>0</v>
      </c>
      <c r="EC53" s="138">
        <f t="shared" si="9"/>
        <v>0</v>
      </c>
      <c r="ED53" s="137">
        <f t="shared" si="12"/>
        <v>0</v>
      </c>
      <c r="EE53" s="132">
        <f t="shared" si="10"/>
        <v>0</v>
      </c>
      <c r="EF53" s="29"/>
      <c r="EG53" s="134"/>
      <c r="EH53" s="134"/>
      <c r="EI53" s="134"/>
      <c r="EK53" s="29"/>
    </row>
    <row r="54" spans="1:141" ht="15" customHeight="1" x14ac:dyDescent="0.25">
      <c r="A54" s="140"/>
      <c r="B54" s="5"/>
      <c r="C54" s="72"/>
      <c r="D54" s="73"/>
      <c r="E54" s="73"/>
      <c r="F54" s="141"/>
      <c r="G54" s="74"/>
      <c r="H54" s="75"/>
      <c r="I54" s="76"/>
      <c r="J54" s="135"/>
      <c r="K54" s="135"/>
      <c r="L54" s="77">
        <f t="shared" si="14"/>
        <v>0</v>
      </c>
      <c r="M54" s="78"/>
      <c r="N54" s="142"/>
      <c r="O54" s="142"/>
      <c r="P54" s="77">
        <f t="shared" si="15"/>
        <v>0</v>
      </c>
      <c r="Q54" s="78"/>
      <c r="R54" s="143"/>
      <c r="S54" s="143"/>
      <c r="T54" s="77">
        <f t="shared" si="16"/>
        <v>0</v>
      </c>
      <c r="U54" s="75"/>
      <c r="V54" s="76"/>
      <c r="W54" s="135"/>
      <c r="X54" s="135"/>
      <c r="Y54" s="77">
        <f t="shared" si="17"/>
        <v>0</v>
      </c>
      <c r="Z54" s="78"/>
      <c r="AA54" s="142"/>
      <c r="AB54" s="142"/>
      <c r="AC54" s="77">
        <f t="shared" si="18"/>
        <v>0</v>
      </c>
      <c r="AD54" s="78"/>
      <c r="AE54" s="143"/>
      <c r="AF54" s="143"/>
      <c r="AG54" s="79">
        <f t="shared" si="19"/>
        <v>0</v>
      </c>
      <c r="AH54" s="75"/>
      <c r="AI54" s="76"/>
      <c r="AJ54" s="135"/>
      <c r="AK54" s="135"/>
      <c r="AL54" s="77">
        <f t="shared" si="20"/>
        <v>0</v>
      </c>
      <c r="AM54" s="76"/>
      <c r="AN54" s="142"/>
      <c r="AO54" s="142"/>
      <c r="AP54" s="77">
        <f t="shared" si="21"/>
        <v>0</v>
      </c>
      <c r="AQ54" s="78"/>
      <c r="AR54" s="142"/>
      <c r="AS54" s="142"/>
      <c r="AT54" s="79">
        <f t="shared" si="22"/>
        <v>0</v>
      </c>
      <c r="AU54" s="75"/>
      <c r="AV54" s="76"/>
      <c r="AW54" s="135"/>
      <c r="AX54" s="135"/>
      <c r="AY54" s="77">
        <f t="shared" si="23"/>
        <v>0</v>
      </c>
      <c r="AZ54" s="76"/>
      <c r="BA54" s="142"/>
      <c r="BB54" s="142"/>
      <c r="BC54" s="77">
        <f t="shared" si="24"/>
        <v>0</v>
      </c>
      <c r="BD54" s="78"/>
      <c r="BE54" s="142"/>
      <c r="BF54" s="142"/>
      <c r="BG54" s="79">
        <f t="shared" si="25"/>
        <v>0</v>
      </c>
      <c r="BH54" s="75"/>
      <c r="BI54" s="76"/>
      <c r="BJ54" s="135"/>
      <c r="BK54" s="135"/>
      <c r="BL54" s="77">
        <f t="shared" si="26"/>
        <v>0</v>
      </c>
      <c r="BM54" s="78"/>
      <c r="BN54" s="142"/>
      <c r="BO54" s="142"/>
      <c r="BP54" s="77">
        <f t="shared" si="27"/>
        <v>0</v>
      </c>
      <c r="BQ54" s="78"/>
      <c r="BR54" s="142"/>
      <c r="BS54" s="142"/>
      <c r="BT54" s="79">
        <f t="shared" si="28"/>
        <v>0</v>
      </c>
      <c r="BU54" s="75"/>
      <c r="BV54" s="76"/>
      <c r="BW54" s="135"/>
      <c r="BX54" s="135"/>
      <c r="BY54" s="77">
        <f t="shared" si="29"/>
        <v>0</v>
      </c>
      <c r="BZ54" s="78"/>
      <c r="CA54" s="142"/>
      <c r="CB54" s="142"/>
      <c r="CC54" s="77">
        <f t="shared" si="30"/>
        <v>0</v>
      </c>
      <c r="CD54" s="78"/>
      <c r="CE54" s="142"/>
      <c r="CF54" s="142"/>
      <c r="CG54" s="79">
        <f t="shared" si="31"/>
        <v>0</v>
      </c>
      <c r="CH54" s="75"/>
      <c r="CI54" s="76"/>
      <c r="CJ54" s="135"/>
      <c r="CK54" s="135"/>
      <c r="CL54" s="77">
        <f t="shared" si="32"/>
        <v>0</v>
      </c>
      <c r="CM54" s="78"/>
      <c r="CN54" s="142"/>
      <c r="CO54" s="142"/>
      <c r="CP54" s="77">
        <f t="shared" si="33"/>
        <v>0</v>
      </c>
      <c r="CQ54" s="78"/>
      <c r="CR54" s="142"/>
      <c r="CS54" s="142"/>
      <c r="CT54" s="79">
        <f t="shared" si="34"/>
        <v>0</v>
      </c>
      <c r="CU54" s="80">
        <f t="shared" si="35"/>
        <v>0</v>
      </c>
      <c r="CV54" s="81">
        <f t="shared" si="36"/>
        <v>0</v>
      </c>
      <c r="CW54" s="144"/>
      <c r="CX54" s="145">
        <f>IF(ISERROR(VLOOKUP($A54,FIJOS!$B$11:$O$590,14,FALSE)),0,VLOOKUP($A54,FIJOS!$B$11:$O$590,14,FALSE))</f>
        <v>0</v>
      </c>
      <c r="CY54" s="145">
        <f>IF(ISERROR(VLOOKUP(A54,FIJOS!$B$10:$P$590,15,FALSE)),0,VLOOKUP(A54,FIJOS!$B$10:$P$590,15,FALSE))</f>
        <v>0</v>
      </c>
      <c r="CZ54" s="156"/>
      <c r="DA54" s="146"/>
      <c r="DB54" s="147"/>
      <c r="DC54" s="147"/>
      <c r="DD54" s="147"/>
      <c r="DE54" s="147"/>
      <c r="DF54" s="145">
        <f>IF(ISERROR(VLOOKUP($A54,FIJOS!$B$11:$N$590,13,FALSE)),0,VLOOKUP($A54,FIJOS!$B$11:$N$590,13,FALSE))</f>
        <v>0</v>
      </c>
      <c r="DG54" s="145">
        <f>IF(ISERROR(VLOOKUP($A54,FIJOS!$B$11:$P$447,12,FALSE)),0,VLOOKUP($A54,FIJOS!$B$11:$P$447,12,FALSE))</f>
        <v>0</v>
      </c>
      <c r="DH54" s="82">
        <f t="shared" si="37"/>
        <v>0</v>
      </c>
      <c r="DI54" s="83" t="b">
        <f>IF($C54=1,(VLOOKUP($A54,FIJOS!$B$11:$P$545,10,FALSE)/7)*(7-$CU54),IF(AND($C54=2,CV54&lt;$DJ$1),(VLOOKUP($D54,HORAS!$B$4:$C$42,2,FALSE)*24)*$CV54,IF(AND($C54=2,CV54&gt;=$DJ$1),VLOOKUP($D54,HORAS!$B$4:$D$42,3,FALSE),IF(AND($C54=3,$CV54&gt;=$DJ$1),VLOOKUP($A54,FIJOS!$B$11:$P$545,10,FALSE),IF(AND($C54=3,$CV54&lt;$DJ$1),((VLOOKUP($A54,FIJOS!$B$11:$P$545,10,FALSE)/48)*24)*$CV54,IF(AND($C54=4,$CV54&gt;=(42/24)),VLOOKUP($D54,HORAS!$B$4:$D$42,3,FALSE),IF(AND($C54=5,$CV54&gt;=(36/24)),VLOOKUP($D54,HORAS!$B$4:$D$42,3,FALSE))))))))</f>
        <v>0</v>
      </c>
      <c r="DJ54" s="145">
        <f>IF(OR($C54=2),VLOOKUP($D54,HORAS!$B$4:$E$42,4,FALSE)*$EC54,IF(ISERROR(VLOOKUP($A54,FIJOS!$B$11:$P$108,9,FALSE)),0,VLOOKUP($A54,FIJOS!$B$11:$P$231,9,FALSE)*$EC54))</f>
        <v>0</v>
      </c>
      <c r="DK54" s="145">
        <f>IF(OR($C54=2),VLOOKUP($D54,HORAS!$B$4:$F$42,5,FALSE)*$EE54,IF(ISERROR(VLOOKUP($A54,FIJOS!$B$11:$P$108,9,FALSE)),0,VLOOKUP($A54,FIJOS!$B$11:$P$231,9,FALSE)*$EE54))</f>
        <v>0</v>
      </c>
      <c r="DL54" s="144"/>
      <c r="DM54" s="145">
        <f>IF(ISERROR(VLOOKUP($A54,FIJOS!$B$11:$L$646,11,FALSE)),0,VLOOKUP($A54,FIJOS!$B$11:$L$646,11,FALSE))</f>
        <v>0</v>
      </c>
      <c r="DN54" s="148" t="e">
        <f>IF(OR($C54=1,$C54=3),0,IF((VLOOKUP(CAPTURA!D54,HORAS!$B$4:$K$42,10,FALSE)/4)*COUNTIF($H54:$CT54,3)&gt;100,100,(VLOOKUP(CAPTURA!D54,HORAS!$B$4:$K$42,10,FALSE)/4)*COUNTIF($H54:$CT54,3)))</f>
        <v>#N/A</v>
      </c>
      <c r="DO54" s="144" t="e">
        <f>IF(OR($C54=1,$C54=3),0,IF($C54=5,VLOOKUP(D54,HORAS!$B$4:$G$42,6,FALSE),IF(AND($C54=4,$CV54&gt;=(42/24)),VLOOKUP(D54,HORAS!$B$4:$G$42,6,FALSE),IF(COUNTIF($H54:$CL54,"F")&gt;0,0,IF(CV54&gt;$DJ$1,$DJ$1*(VLOOKUP(D54,HORAS!$B$4:$G$42,6,FALSE)/$DJ$1),CV54*(VLOOKUP(D54,HORAS!$B$4:$G$42,6,FALSE)/$DJ$1))))))</f>
        <v>#N/A</v>
      </c>
      <c r="DP54" s="156"/>
      <c r="DQ54" s="148"/>
      <c r="DR54" s="148"/>
      <c r="DS54" s="83" t="e">
        <f t="shared" si="38"/>
        <v>#N/A</v>
      </c>
      <c r="DT54" s="84"/>
      <c r="DU54" s="149" t="e">
        <f t="shared" si="39"/>
        <v>#N/A</v>
      </c>
      <c r="DV54" s="149" t="e">
        <f t="shared" si="40"/>
        <v>#N/A</v>
      </c>
      <c r="DW54" s="144" t="e">
        <f t="shared" si="41"/>
        <v>#N/A</v>
      </c>
      <c r="DX54" s="134"/>
      <c r="DY54" s="29"/>
      <c r="DZ54" s="150"/>
      <c r="EA54" s="134"/>
      <c r="EB54" s="137">
        <f t="shared" si="11"/>
        <v>0</v>
      </c>
      <c r="EC54" s="138">
        <f t="shared" si="9"/>
        <v>0</v>
      </c>
      <c r="ED54" s="137">
        <f t="shared" si="12"/>
        <v>0</v>
      </c>
      <c r="EE54" s="132">
        <f t="shared" si="10"/>
        <v>0</v>
      </c>
      <c r="EF54" s="29"/>
      <c r="EG54" s="134"/>
      <c r="EH54" s="134"/>
      <c r="EI54" s="134"/>
      <c r="EK54" s="29"/>
    </row>
    <row r="55" spans="1:141" ht="15" customHeight="1" x14ac:dyDescent="0.25">
      <c r="A55" s="140"/>
      <c r="B55" s="5"/>
      <c r="C55" s="72"/>
      <c r="D55" s="73"/>
      <c r="E55" s="73"/>
      <c r="F55" s="141"/>
      <c r="G55" s="74"/>
      <c r="H55" s="75"/>
      <c r="I55" s="76"/>
      <c r="J55" s="135"/>
      <c r="K55" s="135"/>
      <c r="L55" s="77">
        <f t="shared" si="14"/>
        <v>0</v>
      </c>
      <c r="M55" s="78"/>
      <c r="N55" s="142"/>
      <c r="O55" s="142"/>
      <c r="P55" s="77">
        <f t="shared" si="15"/>
        <v>0</v>
      </c>
      <c r="Q55" s="78"/>
      <c r="R55" s="143"/>
      <c r="S55" s="143"/>
      <c r="T55" s="77">
        <f t="shared" si="16"/>
        <v>0</v>
      </c>
      <c r="U55" s="75"/>
      <c r="V55" s="76"/>
      <c r="W55" s="135"/>
      <c r="X55" s="135"/>
      <c r="Y55" s="77">
        <f t="shared" si="17"/>
        <v>0</v>
      </c>
      <c r="Z55" s="78"/>
      <c r="AA55" s="142"/>
      <c r="AB55" s="142"/>
      <c r="AC55" s="77">
        <f t="shared" si="18"/>
        <v>0</v>
      </c>
      <c r="AD55" s="78"/>
      <c r="AE55" s="143"/>
      <c r="AF55" s="143"/>
      <c r="AG55" s="79">
        <f t="shared" si="19"/>
        <v>0</v>
      </c>
      <c r="AH55" s="75"/>
      <c r="AI55" s="76"/>
      <c r="AJ55" s="135"/>
      <c r="AK55" s="135"/>
      <c r="AL55" s="77">
        <f t="shared" si="20"/>
        <v>0</v>
      </c>
      <c r="AM55" s="76"/>
      <c r="AN55" s="142"/>
      <c r="AO55" s="142"/>
      <c r="AP55" s="77">
        <f t="shared" si="21"/>
        <v>0</v>
      </c>
      <c r="AQ55" s="78"/>
      <c r="AR55" s="142"/>
      <c r="AS55" s="142"/>
      <c r="AT55" s="79">
        <f t="shared" si="22"/>
        <v>0</v>
      </c>
      <c r="AU55" s="75"/>
      <c r="AV55" s="76"/>
      <c r="AW55" s="135"/>
      <c r="AX55" s="135"/>
      <c r="AY55" s="77">
        <f t="shared" si="23"/>
        <v>0</v>
      </c>
      <c r="AZ55" s="76"/>
      <c r="BA55" s="142"/>
      <c r="BB55" s="142"/>
      <c r="BC55" s="77">
        <f t="shared" si="24"/>
        <v>0</v>
      </c>
      <c r="BD55" s="78"/>
      <c r="BE55" s="142"/>
      <c r="BF55" s="142"/>
      <c r="BG55" s="79">
        <f t="shared" si="25"/>
        <v>0</v>
      </c>
      <c r="BH55" s="75"/>
      <c r="BI55" s="76"/>
      <c r="BJ55" s="135"/>
      <c r="BK55" s="135"/>
      <c r="BL55" s="77">
        <f t="shared" si="26"/>
        <v>0</v>
      </c>
      <c r="BM55" s="78"/>
      <c r="BN55" s="142"/>
      <c r="BO55" s="142"/>
      <c r="BP55" s="77">
        <f t="shared" si="27"/>
        <v>0</v>
      </c>
      <c r="BQ55" s="78"/>
      <c r="BR55" s="142"/>
      <c r="BS55" s="142"/>
      <c r="BT55" s="79">
        <f t="shared" si="28"/>
        <v>0</v>
      </c>
      <c r="BU55" s="75"/>
      <c r="BV55" s="76"/>
      <c r="BW55" s="135"/>
      <c r="BX55" s="135"/>
      <c r="BY55" s="77">
        <f t="shared" si="29"/>
        <v>0</v>
      </c>
      <c r="BZ55" s="78"/>
      <c r="CA55" s="142"/>
      <c r="CB55" s="142"/>
      <c r="CC55" s="77">
        <f t="shared" si="30"/>
        <v>0</v>
      </c>
      <c r="CD55" s="78"/>
      <c r="CE55" s="142"/>
      <c r="CF55" s="142"/>
      <c r="CG55" s="79">
        <f t="shared" si="31"/>
        <v>0</v>
      </c>
      <c r="CH55" s="75"/>
      <c r="CI55" s="76"/>
      <c r="CJ55" s="135"/>
      <c r="CK55" s="135"/>
      <c r="CL55" s="77">
        <f t="shared" si="32"/>
        <v>0</v>
      </c>
      <c r="CM55" s="78"/>
      <c r="CN55" s="142"/>
      <c r="CO55" s="142"/>
      <c r="CP55" s="77">
        <f t="shared" si="33"/>
        <v>0</v>
      </c>
      <c r="CQ55" s="78"/>
      <c r="CR55" s="142"/>
      <c r="CS55" s="142"/>
      <c r="CT55" s="79">
        <f t="shared" si="34"/>
        <v>0</v>
      </c>
      <c r="CU55" s="80">
        <f t="shared" si="35"/>
        <v>0</v>
      </c>
      <c r="CV55" s="81">
        <f t="shared" si="36"/>
        <v>0</v>
      </c>
      <c r="CW55" s="144"/>
      <c r="CX55" s="145">
        <f>IF(ISERROR(VLOOKUP($A55,FIJOS!$B$11:$O$590,14,FALSE)),0,VLOOKUP($A55,FIJOS!$B$11:$O$590,14,FALSE))</f>
        <v>0</v>
      </c>
      <c r="CY55" s="145">
        <f>IF(ISERROR(VLOOKUP(A55,FIJOS!$B$10:$P$590,15,FALSE)),0,VLOOKUP(A55,FIJOS!$B$10:$P$590,15,FALSE))</f>
        <v>0</v>
      </c>
      <c r="CZ55" s="155"/>
      <c r="DA55" s="146"/>
      <c r="DB55" s="147"/>
      <c r="DC55" s="147"/>
      <c r="DD55" s="147"/>
      <c r="DE55" s="147"/>
      <c r="DF55" s="145">
        <f>IF(ISERROR(VLOOKUP($A55,FIJOS!$B$11:$N$590,13,FALSE)),0,VLOOKUP($A55,FIJOS!$B$11:$N$590,13,FALSE))</f>
        <v>0</v>
      </c>
      <c r="DG55" s="145">
        <f>IF(ISERROR(VLOOKUP($A55,FIJOS!$B$11:$P$447,12,FALSE)),0,VLOOKUP($A55,FIJOS!$B$11:$P$447,12,FALSE))</f>
        <v>0</v>
      </c>
      <c r="DH55" s="82">
        <f t="shared" si="37"/>
        <v>0</v>
      </c>
      <c r="DI55" s="83" t="b">
        <f>IF($C55=1,(VLOOKUP($A55,FIJOS!$B$11:$P$545,10,FALSE)/7)*(7-$CU55),IF(AND($C55=2,CV55&lt;$DJ$1),(VLOOKUP($D55,HORAS!$B$4:$C$42,2,FALSE)*24)*$CV55,IF(AND($C55=2,CV55&gt;=$DJ$1),VLOOKUP($D55,HORAS!$B$4:$D$42,3,FALSE),IF(AND($C55=3,$CV55&gt;=$DJ$1),VLOOKUP($A55,FIJOS!$B$11:$P$545,10,FALSE),IF(AND($C55=3,$CV55&lt;$DJ$1),((VLOOKUP($A55,FIJOS!$B$11:$P$545,10,FALSE)/48)*24)*$CV55,IF(AND($C55=4,$CV55&gt;=(42/24)),VLOOKUP($D55,HORAS!$B$4:$D$42,3,FALSE),IF(AND($C55=5,$CV55&gt;=(36/24)),VLOOKUP($D55,HORAS!$B$4:$D$42,3,FALSE))))))))</f>
        <v>0</v>
      </c>
      <c r="DJ55" s="145">
        <f>IF(OR($C55=2),VLOOKUP($D55,HORAS!$B$4:$E$42,4,FALSE)*$EC55,IF(ISERROR(VLOOKUP($A55,FIJOS!$B$11:$P$108,9,FALSE)),0,VLOOKUP($A55,FIJOS!$B$11:$P$231,9,FALSE)*$EC55))</f>
        <v>0</v>
      </c>
      <c r="DK55" s="145">
        <f>IF(OR($C55=2),VLOOKUP($D55,HORAS!$B$4:$F$42,5,FALSE)*$EE55,IF(ISERROR(VLOOKUP($A55,FIJOS!$B$11:$P$108,9,FALSE)),0,VLOOKUP($A55,FIJOS!$B$11:$P$231,9,FALSE)*$EE55))</f>
        <v>0</v>
      </c>
      <c r="DL55" s="144"/>
      <c r="DM55" s="145">
        <f>IF(ISERROR(VLOOKUP($A55,FIJOS!$B$11:$L$646,11,FALSE)),0,VLOOKUP($A55,FIJOS!$B$11:$L$646,11,FALSE))</f>
        <v>0</v>
      </c>
      <c r="DN55" s="148" t="e">
        <f>IF(OR($C55=1,$C55=3),0,IF((VLOOKUP(CAPTURA!D55,HORAS!$B$4:$K$42,10,FALSE)/4)*COUNTIF($H55:$CT55,3)&gt;100,100,(VLOOKUP(CAPTURA!D55,HORAS!$B$4:$K$42,10,FALSE)/4)*COUNTIF($H55:$CT55,3)))</f>
        <v>#N/A</v>
      </c>
      <c r="DO55" s="144" t="e">
        <f>IF(OR($C55=1,$C55=3),0,IF($C55=5,VLOOKUP(D55,HORAS!$B$4:$G$42,6,FALSE),IF(AND($C55=4,$CV55&gt;=(42/24)),VLOOKUP(D55,HORAS!$B$4:$G$42,6,FALSE),IF(COUNTIF($H55:$CL55,"F")&gt;0,0,IF(CV55&gt;$DJ$1,$DJ$1*(VLOOKUP(D55,HORAS!$B$4:$G$42,6,FALSE)/$DJ$1),CV55*(VLOOKUP(D55,HORAS!$B$4:$G$42,6,FALSE)/$DJ$1))))))</f>
        <v>#N/A</v>
      </c>
      <c r="DP55" s="156"/>
      <c r="DQ55" s="148"/>
      <c r="DR55" s="148"/>
      <c r="DS55" s="83" t="e">
        <f t="shared" si="38"/>
        <v>#N/A</v>
      </c>
      <c r="DT55" s="84"/>
      <c r="DU55" s="149" t="e">
        <f t="shared" si="39"/>
        <v>#N/A</v>
      </c>
      <c r="DV55" s="149" t="e">
        <f t="shared" si="40"/>
        <v>#N/A</v>
      </c>
      <c r="DW55" s="144" t="e">
        <f t="shared" si="41"/>
        <v>#N/A</v>
      </c>
      <c r="DX55" s="134"/>
      <c r="DY55" s="29"/>
      <c r="DZ55" s="150"/>
      <c r="EA55" s="134"/>
      <c r="EB55" s="137">
        <f t="shared" si="11"/>
        <v>0</v>
      </c>
      <c r="EC55" s="138">
        <f t="shared" si="9"/>
        <v>0</v>
      </c>
      <c r="ED55" s="137">
        <f t="shared" si="12"/>
        <v>0</v>
      </c>
      <c r="EE55" s="132">
        <f t="shared" si="10"/>
        <v>0</v>
      </c>
      <c r="EF55" s="29"/>
      <c r="EG55" s="134"/>
      <c r="EH55" s="134"/>
      <c r="EI55" s="134"/>
      <c r="EK55" s="29"/>
    </row>
    <row r="56" spans="1:141" ht="15" customHeight="1" x14ac:dyDescent="0.25">
      <c r="A56" s="140"/>
      <c r="B56" s="5"/>
      <c r="C56" s="72"/>
      <c r="D56" s="73"/>
      <c r="E56" s="73"/>
      <c r="F56" s="141"/>
      <c r="G56" s="74"/>
      <c r="H56" s="75"/>
      <c r="I56" s="76"/>
      <c r="J56" s="135"/>
      <c r="K56" s="135"/>
      <c r="L56" s="77">
        <f t="shared" si="14"/>
        <v>0</v>
      </c>
      <c r="M56" s="78"/>
      <c r="N56" s="142"/>
      <c r="O56" s="142"/>
      <c r="P56" s="77">
        <f t="shared" si="15"/>
        <v>0</v>
      </c>
      <c r="Q56" s="78"/>
      <c r="R56" s="143"/>
      <c r="S56" s="143"/>
      <c r="T56" s="77">
        <f t="shared" si="16"/>
        <v>0</v>
      </c>
      <c r="U56" s="75"/>
      <c r="V56" s="78"/>
      <c r="W56" s="135"/>
      <c r="X56" s="135"/>
      <c r="Y56" s="77">
        <f t="shared" si="17"/>
        <v>0</v>
      </c>
      <c r="Z56" s="78"/>
      <c r="AA56" s="142"/>
      <c r="AB56" s="142"/>
      <c r="AC56" s="77">
        <f t="shared" si="18"/>
        <v>0</v>
      </c>
      <c r="AD56" s="78"/>
      <c r="AE56" s="143"/>
      <c r="AF56" s="143"/>
      <c r="AG56" s="79">
        <f t="shared" si="19"/>
        <v>0</v>
      </c>
      <c r="AH56" s="75"/>
      <c r="AI56" s="76"/>
      <c r="AJ56" s="135"/>
      <c r="AK56" s="135"/>
      <c r="AL56" s="77">
        <f t="shared" si="20"/>
        <v>0</v>
      </c>
      <c r="AM56" s="76"/>
      <c r="AN56" s="142"/>
      <c r="AO56" s="142"/>
      <c r="AP56" s="77">
        <f t="shared" si="21"/>
        <v>0</v>
      </c>
      <c r="AQ56" s="78"/>
      <c r="AR56" s="142"/>
      <c r="AS56" s="142"/>
      <c r="AT56" s="79">
        <f t="shared" si="22"/>
        <v>0</v>
      </c>
      <c r="AU56" s="75"/>
      <c r="AV56" s="76"/>
      <c r="AW56" s="135"/>
      <c r="AX56" s="135"/>
      <c r="AY56" s="77">
        <f t="shared" si="23"/>
        <v>0</v>
      </c>
      <c r="AZ56" s="76"/>
      <c r="BA56" s="142"/>
      <c r="BB56" s="142"/>
      <c r="BC56" s="77">
        <f t="shared" si="24"/>
        <v>0</v>
      </c>
      <c r="BD56" s="78"/>
      <c r="BE56" s="142"/>
      <c r="BF56" s="142"/>
      <c r="BG56" s="79">
        <f t="shared" si="25"/>
        <v>0</v>
      </c>
      <c r="BH56" s="75"/>
      <c r="BI56" s="76"/>
      <c r="BJ56" s="135"/>
      <c r="BK56" s="135"/>
      <c r="BL56" s="77">
        <f t="shared" si="26"/>
        <v>0</v>
      </c>
      <c r="BM56" s="78"/>
      <c r="BN56" s="142"/>
      <c r="BO56" s="142"/>
      <c r="BP56" s="77">
        <f t="shared" si="27"/>
        <v>0</v>
      </c>
      <c r="BQ56" s="78"/>
      <c r="BR56" s="142"/>
      <c r="BS56" s="142"/>
      <c r="BT56" s="79">
        <f t="shared" si="28"/>
        <v>0</v>
      </c>
      <c r="BU56" s="75"/>
      <c r="BV56" s="76"/>
      <c r="BW56" s="135"/>
      <c r="BX56" s="135"/>
      <c r="BY56" s="77">
        <f t="shared" si="29"/>
        <v>0</v>
      </c>
      <c r="BZ56" s="78"/>
      <c r="CA56" s="142"/>
      <c r="CB56" s="142"/>
      <c r="CC56" s="77">
        <f t="shared" si="30"/>
        <v>0</v>
      </c>
      <c r="CD56" s="78"/>
      <c r="CE56" s="142"/>
      <c r="CF56" s="142"/>
      <c r="CG56" s="79">
        <f t="shared" si="31"/>
        <v>0</v>
      </c>
      <c r="CH56" s="75"/>
      <c r="CI56" s="76"/>
      <c r="CJ56" s="135"/>
      <c r="CK56" s="135"/>
      <c r="CL56" s="77">
        <f t="shared" si="32"/>
        <v>0</v>
      </c>
      <c r="CM56" s="78"/>
      <c r="CN56" s="142"/>
      <c r="CO56" s="142"/>
      <c r="CP56" s="77">
        <f t="shared" si="33"/>
        <v>0</v>
      </c>
      <c r="CQ56" s="78"/>
      <c r="CR56" s="142"/>
      <c r="CS56" s="142"/>
      <c r="CT56" s="79">
        <f t="shared" si="34"/>
        <v>0</v>
      </c>
      <c r="CU56" s="80">
        <f t="shared" si="35"/>
        <v>0</v>
      </c>
      <c r="CV56" s="81">
        <f t="shared" si="36"/>
        <v>0</v>
      </c>
      <c r="CW56" s="144"/>
      <c r="CX56" s="145">
        <f>IF(ISERROR(VLOOKUP($A56,FIJOS!$B$11:$O$590,14,FALSE)),0,VLOOKUP($A56,FIJOS!$B$11:$O$590,14,FALSE))</f>
        <v>0</v>
      </c>
      <c r="CY56" s="145">
        <f>IF(ISERROR(VLOOKUP(A56,FIJOS!$B$10:$P$590,15,FALSE)),0,VLOOKUP(A56,FIJOS!$B$10:$P$590,15,FALSE))</f>
        <v>0</v>
      </c>
      <c r="CZ56" s="155"/>
      <c r="DA56" s="146"/>
      <c r="DB56" s="147"/>
      <c r="DC56" s="147"/>
      <c r="DD56" s="147"/>
      <c r="DE56" s="147"/>
      <c r="DF56" s="145">
        <f>IF(ISERROR(VLOOKUP($A56,FIJOS!$B$11:$N$590,13,FALSE)),0,VLOOKUP($A56,FIJOS!$B$11:$N$590,13,FALSE))</f>
        <v>0</v>
      </c>
      <c r="DG56" s="145">
        <f>IF(ISERROR(VLOOKUP($A56,FIJOS!$B$11:$P$447,12,FALSE)),0,VLOOKUP($A56,FIJOS!$B$11:$P$447,12,FALSE))</f>
        <v>0</v>
      </c>
      <c r="DH56" s="82">
        <f t="shared" si="37"/>
        <v>0</v>
      </c>
      <c r="DI56" s="83" t="b">
        <f>IF($C56=1,(VLOOKUP($A56,FIJOS!$B$11:$P$545,10,FALSE)/7)*(7-$CU56),IF(AND($C56=2,CV56&lt;$DJ$1),(VLOOKUP($D56,HORAS!$B$4:$C$42,2,FALSE)*24)*$CV56,IF(AND($C56=2,CV56&gt;=$DJ$1),VLOOKUP($D56,HORAS!$B$4:$D$42,3,FALSE),IF(AND($C56=3,$CV56&gt;=$DJ$1),VLOOKUP($A56,FIJOS!$B$11:$P$545,10,FALSE),IF(AND($C56=3,$CV56&lt;$DJ$1),((VLOOKUP($A56,FIJOS!$B$11:$P$545,10,FALSE)/48)*24)*$CV56,IF(AND($C56=4,$CV56&gt;=(42/24)),VLOOKUP($D56,HORAS!$B$4:$D$42,3,FALSE),IF(AND($C56=5,$CV56&gt;=(36/24)),VLOOKUP($D56,HORAS!$B$4:$D$42,3,FALSE))))))))</f>
        <v>0</v>
      </c>
      <c r="DJ56" s="145">
        <f>IF(OR($C56=2),VLOOKUP($D56,HORAS!$B$4:$E$42,4,FALSE)*$EC56,IF(ISERROR(VLOOKUP($A56,FIJOS!$B$11:$P$108,9,FALSE)),0,VLOOKUP($A56,FIJOS!$B$11:$P$231,9,FALSE)*$EC56))</f>
        <v>0</v>
      </c>
      <c r="DK56" s="145">
        <f>IF(OR($C56=2),VLOOKUP($D56,HORAS!$B$4:$F$42,5,FALSE)*$EE56,IF(ISERROR(VLOOKUP($A56,FIJOS!$B$11:$P$108,9,FALSE)),0,VLOOKUP($A56,FIJOS!$B$11:$P$231,9,FALSE)*$EE56))</f>
        <v>0</v>
      </c>
      <c r="DL56" s="144"/>
      <c r="DM56" s="145">
        <f>IF(ISERROR(VLOOKUP($A56,FIJOS!$B$11:$L$646,11,FALSE)),0,VLOOKUP($A56,FIJOS!$B$11:$L$646,11,FALSE))</f>
        <v>0</v>
      </c>
      <c r="DN56" s="148" t="e">
        <f>IF(OR($C56=1,$C56=3),0,IF((VLOOKUP(CAPTURA!D56,HORAS!$B$4:$K$42,10,FALSE)/4)*COUNTIF($H56:$CT56,3)&gt;100,100,(VLOOKUP(CAPTURA!D56,HORAS!$B$4:$K$42,10,FALSE)/4)*COUNTIF($H56:$CT56,3)))</f>
        <v>#N/A</v>
      </c>
      <c r="DO56" s="144" t="e">
        <f>IF(OR($C56=1,$C56=3),0,IF($C56=5,VLOOKUP(D56,HORAS!$B$4:$G$42,6,FALSE),IF(AND($C56=4,$CV56&gt;=(42/24)),VLOOKUP(D56,HORAS!$B$4:$G$42,6,FALSE),IF(COUNTIF($H56:$CL56,"F")&gt;0,0,IF(CV56&gt;$DJ$1,$DJ$1*(VLOOKUP(D56,HORAS!$B$4:$G$42,6,FALSE)/$DJ$1),CV56*(VLOOKUP(D56,HORAS!$B$4:$G$42,6,FALSE)/$DJ$1))))))</f>
        <v>#N/A</v>
      </c>
      <c r="DP56" s="156"/>
      <c r="DQ56" s="148"/>
      <c r="DR56" s="148"/>
      <c r="DS56" s="83" t="e">
        <f t="shared" si="38"/>
        <v>#N/A</v>
      </c>
      <c r="DT56" s="84"/>
      <c r="DU56" s="149" t="e">
        <f t="shared" si="39"/>
        <v>#N/A</v>
      </c>
      <c r="DV56" s="149" t="e">
        <f t="shared" si="40"/>
        <v>#N/A</v>
      </c>
      <c r="DW56" s="144" t="e">
        <f t="shared" si="41"/>
        <v>#N/A</v>
      </c>
      <c r="DX56" s="134"/>
      <c r="DY56" s="29"/>
      <c r="DZ56" s="150"/>
      <c r="EA56" s="134"/>
      <c r="EB56" s="137">
        <f t="shared" si="11"/>
        <v>0</v>
      </c>
      <c r="EC56" s="138">
        <f t="shared" si="9"/>
        <v>0</v>
      </c>
      <c r="ED56" s="137">
        <f t="shared" si="12"/>
        <v>0</v>
      </c>
      <c r="EE56" s="132">
        <f t="shared" si="10"/>
        <v>0</v>
      </c>
      <c r="EF56" s="29"/>
      <c r="EG56" s="134"/>
      <c r="EH56" s="134"/>
      <c r="EI56" s="134"/>
      <c r="EK56" s="29"/>
    </row>
    <row r="57" spans="1:141" ht="15" customHeight="1" x14ac:dyDescent="0.25">
      <c r="A57" s="140"/>
      <c r="B57" s="5"/>
      <c r="C57" s="72"/>
      <c r="D57" s="73"/>
      <c r="E57" s="73"/>
      <c r="F57" s="141"/>
      <c r="G57" s="74"/>
      <c r="H57" s="75"/>
      <c r="I57" s="76"/>
      <c r="J57" s="135"/>
      <c r="K57" s="135"/>
      <c r="L57" s="77">
        <f t="shared" si="14"/>
        <v>0</v>
      </c>
      <c r="M57" s="78"/>
      <c r="N57" s="142"/>
      <c r="O57" s="142"/>
      <c r="P57" s="77">
        <f t="shared" si="15"/>
        <v>0</v>
      </c>
      <c r="Q57" s="78"/>
      <c r="R57" s="143"/>
      <c r="S57" s="143"/>
      <c r="T57" s="77">
        <f t="shared" si="16"/>
        <v>0</v>
      </c>
      <c r="U57" s="75"/>
      <c r="V57" s="76"/>
      <c r="W57" s="135"/>
      <c r="X57" s="135"/>
      <c r="Y57" s="77">
        <f t="shared" si="17"/>
        <v>0</v>
      </c>
      <c r="Z57" s="78"/>
      <c r="AA57" s="142"/>
      <c r="AB57" s="142"/>
      <c r="AC57" s="77">
        <f t="shared" si="18"/>
        <v>0</v>
      </c>
      <c r="AD57" s="78"/>
      <c r="AE57" s="143"/>
      <c r="AF57" s="143"/>
      <c r="AG57" s="79">
        <f t="shared" si="19"/>
        <v>0</v>
      </c>
      <c r="AH57" s="75"/>
      <c r="AI57" s="76"/>
      <c r="AJ57" s="135"/>
      <c r="AK57" s="135"/>
      <c r="AL57" s="77">
        <f t="shared" si="20"/>
        <v>0</v>
      </c>
      <c r="AM57" s="76"/>
      <c r="AN57" s="142"/>
      <c r="AO57" s="142"/>
      <c r="AP57" s="77">
        <f t="shared" si="21"/>
        <v>0</v>
      </c>
      <c r="AQ57" s="78"/>
      <c r="AR57" s="142"/>
      <c r="AS57" s="142"/>
      <c r="AT57" s="79">
        <f t="shared" si="22"/>
        <v>0</v>
      </c>
      <c r="AU57" s="75"/>
      <c r="AV57" s="76"/>
      <c r="AW57" s="135"/>
      <c r="AX57" s="135"/>
      <c r="AY57" s="77">
        <f t="shared" si="23"/>
        <v>0</v>
      </c>
      <c r="AZ57" s="76"/>
      <c r="BA57" s="142"/>
      <c r="BB57" s="142"/>
      <c r="BC57" s="77">
        <f t="shared" si="24"/>
        <v>0</v>
      </c>
      <c r="BD57" s="78"/>
      <c r="BE57" s="142"/>
      <c r="BF57" s="142"/>
      <c r="BG57" s="79">
        <f t="shared" si="25"/>
        <v>0</v>
      </c>
      <c r="BH57" s="75"/>
      <c r="BI57" s="76"/>
      <c r="BJ57" s="135"/>
      <c r="BK57" s="135"/>
      <c r="BL57" s="77">
        <f t="shared" si="26"/>
        <v>0</v>
      </c>
      <c r="BM57" s="78"/>
      <c r="BN57" s="142"/>
      <c r="BO57" s="142"/>
      <c r="BP57" s="77">
        <f t="shared" si="27"/>
        <v>0</v>
      </c>
      <c r="BQ57" s="78"/>
      <c r="BR57" s="142"/>
      <c r="BS57" s="142"/>
      <c r="BT57" s="79">
        <f t="shared" si="28"/>
        <v>0</v>
      </c>
      <c r="BU57" s="75"/>
      <c r="BV57" s="76"/>
      <c r="BW57" s="135"/>
      <c r="BX57" s="135"/>
      <c r="BY57" s="77">
        <f t="shared" si="29"/>
        <v>0</v>
      </c>
      <c r="BZ57" s="78"/>
      <c r="CA57" s="142"/>
      <c r="CB57" s="142"/>
      <c r="CC57" s="77">
        <f t="shared" si="30"/>
        <v>0</v>
      </c>
      <c r="CD57" s="78"/>
      <c r="CE57" s="142"/>
      <c r="CF57" s="142"/>
      <c r="CG57" s="79">
        <f t="shared" si="31"/>
        <v>0</v>
      </c>
      <c r="CH57" s="75"/>
      <c r="CI57" s="76"/>
      <c r="CJ57" s="135"/>
      <c r="CK57" s="135"/>
      <c r="CL57" s="77">
        <f t="shared" si="32"/>
        <v>0</v>
      </c>
      <c r="CM57" s="78"/>
      <c r="CN57" s="142"/>
      <c r="CO57" s="142"/>
      <c r="CP57" s="77">
        <f t="shared" si="33"/>
        <v>0</v>
      </c>
      <c r="CQ57" s="78"/>
      <c r="CR57" s="142"/>
      <c r="CS57" s="142"/>
      <c r="CT57" s="79">
        <f t="shared" si="34"/>
        <v>0</v>
      </c>
      <c r="CU57" s="80">
        <f t="shared" si="35"/>
        <v>0</v>
      </c>
      <c r="CV57" s="81">
        <f t="shared" si="36"/>
        <v>0</v>
      </c>
      <c r="CW57" s="144"/>
      <c r="CX57" s="145">
        <f>IF(ISERROR(VLOOKUP($A57,FIJOS!$B$11:$O$590,14,FALSE)),0,VLOOKUP($A57,FIJOS!$B$11:$O$590,14,FALSE))</f>
        <v>0</v>
      </c>
      <c r="CY57" s="145">
        <f>IF(ISERROR(VLOOKUP(A57,FIJOS!$B$10:$P$590,15,FALSE)),0,VLOOKUP(A57,FIJOS!$B$10:$P$590,15,FALSE))</f>
        <v>0</v>
      </c>
      <c r="CZ57" s="156"/>
      <c r="DA57" s="146"/>
      <c r="DB57" s="147"/>
      <c r="DC57" s="147"/>
      <c r="DD57" s="147"/>
      <c r="DE57" s="147"/>
      <c r="DF57" s="145">
        <f>IF(ISERROR(VLOOKUP($A57,FIJOS!$B$11:$N$590,13,FALSE)),0,VLOOKUP($A57,FIJOS!$B$11:$N$590,13,FALSE))</f>
        <v>0</v>
      </c>
      <c r="DG57" s="145">
        <f>IF(ISERROR(VLOOKUP($A57,FIJOS!$B$11:$P$447,12,FALSE)),0,VLOOKUP($A57,FIJOS!$B$11:$P$447,12,FALSE))</f>
        <v>0</v>
      </c>
      <c r="DH57" s="82">
        <f t="shared" si="37"/>
        <v>0</v>
      </c>
      <c r="DI57" s="83" t="b">
        <f>IF($C57=1,(VLOOKUP($A57,FIJOS!$B$11:$P$545,10,FALSE)/7)*(7-$CU57),IF(AND($C57=2,CV57&lt;$DJ$1),(VLOOKUP($D57,HORAS!$B$4:$C$42,2,FALSE)*24)*$CV57,IF(AND($C57=2,CV57&gt;=$DJ$1),VLOOKUP($D57,HORAS!$B$4:$D$42,3,FALSE),IF(AND($C57=3,$CV57&gt;=$DJ$1),VLOOKUP($A57,FIJOS!$B$11:$P$545,10,FALSE),IF(AND($C57=3,$CV57&lt;$DJ$1),((VLOOKUP($A57,FIJOS!$B$11:$P$545,10,FALSE)/48)*24)*$CV57,IF(AND($C57=4,$CV57&gt;=(42/24)),VLOOKUP($D57,HORAS!$B$4:$D$42,3,FALSE),IF(AND($C57=5,$CV57&gt;=(36/24)),VLOOKUP($D57,HORAS!$B$4:$D$42,3,FALSE))))))))</f>
        <v>0</v>
      </c>
      <c r="DJ57" s="145">
        <f>IF(OR($C57=2),VLOOKUP($D57,HORAS!$B$4:$E$42,4,FALSE)*$EC57,IF(ISERROR(VLOOKUP($A57,FIJOS!$B$11:$P$108,9,FALSE)),0,VLOOKUP($A57,FIJOS!$B$11:$P$231,9,FALSE)*$EC57))</f>
        <v>0</v>
      </c>
      <c r="DK57" s="145">
        <f>IF(OR($C57=2),VLOOKUP($D57,HORAS!$B$4:$F$42,5,FALSE)*$EE57,IF(ISERROR(VLOOKUP($A57,FIJOS!$B$11:$P$108,9,FALSE)),0,VLOOKUP($A57,FIJOS!$B$11:$P$231,9,FALSE)*$EE57))</f>
        <v>0</v>
      </c>
      <c r="DL57" s="144"/>
      <c r="DM57" s="145">
        <f>IF(ISERROR(VLOOKUP($A57,FIJOS!$B$11:$L$646,11,FALSE)),0,VLOOKUP($A57,FIJOS!$B$11:$L$646,11,FALSE))</f>
        <v>0</v>
      </c>
      <c r="DN57" s="148" t="e">
        <f>IF(OR($C57=1,$C57=3),0,IF((VLOOKUP(CAPTURA!D57,HORAS!$B$4:$K$42,10,FALSE)/4)*COUNTIF($H57:$CT57,3)&gt;100,100,(VLOOKUP(CAPTURA!D57,HORAS!$B$4:$K$42,10,FALSE)/4)*COUNTIF($H57:$CT57,3)))</f>
        <v>#N/A</v>
      </c>
      <c r="DO57" s="144" t="e">
        <f>IF(OR($C57=1,$C57=3),0,IF($C57=5,VLOOKUP(D57,HORAS!$B$4:$G$42,6,FALSE),IF(AND($C57=4,$CV57&gt;=(42/24)),VLOOKUP(D57,HORAS!$B$4:$G$42,6,FALSE),IF(COUNTIF($H57:$CL57,"F")&gt;0,0,IF(CV57&gt;$DJ$1,$DJ$1*(VLOOKUP(D57,HORAS!$B$4:$G$42,6,FALSE)/$DJ$1),CV57*(VLOOKUP(D57,HORAS!$B$4:$G$42,6,FALSE)/$DJ$1))))))</f>
        <v>#N/A</v>
      </c>
      <c r="DP57" s="156"/>
      <c r="DQ57" s="148"/>
      <c r="DR57" s="148"/>
      <c r="DS57" s="83" t="e">
        <f t="shared" si="38"/>
        <v>#N/A</v>
      </c>
      <c r="DT57" s="84"/>
      <c r="DU57" s="149" t="e">
        <f t="shared" si="39"/>
        <v>#N/A</v>
      </c>
      <c r="DV57" s="149" t="e">
        <f t="shared" si="40"/>
        <v>#N/A</v>
      </c>
      <c r="DW57" s="144" t="e">
        <f t="shared" si="41"/>
        <v>#N/A</v>
      </c>
      <c r="DX57" s="134"/>
      <c r="DY57" s="29"/>
      <c r="DZ57" s="150"/>
      <c r="EA57" s="134"/>
      <c r="EB57" s="137">
        <f t="shared" si="11"/>
        <v>0</v>
      </c>
      <c r="EC57" s="138">
        <f t="shared" si="9"/>
        <v>0</v>
      </c>
      <c r="ED57" s="137">
        <f t="shared" si="12"/>
        <v>0</v>
      </c>
      <c r="EE57" s="132">
        <f t="shared" si="10"/>
        <v>0</v>
      </c>
      <c r="EF57" s="29"/>
      <c r="EG57" s="134"/>
      <c r="EH57" s="134"/>
      <c r="EI57" s="134"/>
      <c r="EK57" s="29"/>
    </row>
    <row r="58" spans="1:141" ht="15" customHeight="1" x14ac:dyDescent="0.25">
      <c r="A58" s="140"/>
      <c r="B58" s="5"/>
      <c r="C58" s="72"/>
      <c r="D58" s="73"/>
      <c r="E58" s="73"/>
      <c r="F58" s="141"/>
      <c r="G58" s="74"/>
      <c r="H58" s="75"/>
      <c r="I58" s="76"/>
      <c r="J58" s="135"/>
      <c r="K58" s="135"/>
      <c r="L58" s="77">
        <f t="shared" si="14"/>
        <v>0</v>
      </c>
      <c r="M58" s="78"/>
      <c r="N58" s="142"/>
      <c r="O58" s="142"/>
      <c r="P58" s="77">
        <f t="shared" si="15"/>
        <v>0</v>
      </c>
      <c r="Q58" s="78"/>
      <c r="R58" s="143"/>
      <c r="S58" s="143"/>
      <c r="T58" s="77">
        <f t="shared" si="16"/>
        <v>0</v>
      </c>
      <c r="U58" s="75"/>
      <c r="V58" s="76"/>
      <c r="W58" s="135"/>
      <c r="X58" s="135"/>
      <c r="Y58" s="77">
        <f t="shared" si="17"/>
        <v>0</v>
      </c>
      <c r="Z58" s="78"/>
      <c r="AA58" s="142"/>
      <c r="AB58" s="142"/>
      <c r="AC58" s="77">
        <f t="shared" si="18"/>
        <v>0</v>
      </c>
      <c r="AD58" s="78"/>
      <c r="AE58" s="143"/>
      <c r="AF58" s="143"/>
      <c r="AG58" s="79">
        <f t="shared" si="19"/>
        <v>0</v>
      </c>
      <c r="AH58" s="75"/>
      <c r="AI58" s="76"/>
      <c r="AJ58" s="135"/>
      <c r="AK58" s="135"/>
      <c r="AL58" s="77">
        <f t="shared" si="20"/>
        <v>0</v>
      </c>
      <c r="AM58" s="76"/>
      <c r="AN58" s="142"/>
      <c r="AO58" s="142"/>
      <c r="AP58" s="77">
        <f t="shared" si="21"/>
        <v>0</v>
      </c>
      <c r="AQ58" s="78"/>
      <c r="AR58" s="142"/>
      <c r="AS58" s="142"/>
      <c r="AT58" s="79">
        <f t="shared" si="22"/>
        <v>0</v>
      </c>
      <c r="AU58" s="75"/>
      <c r="AV58" s="76"/>
      <c r="AW58" s="135"/>
      <c r="AX58" s="135"/>
      <c r="AY58" s="77">
        <f t="shared" si="23"/>
        <v>0</v>
      </c>
      <c r="AZ58" s="76"/>
      <c r="BA58" s="142"/>
      <c r="BB58" s="142"/>
      <c r="BC58" s="77">
        <f t="shared" si="24"/>
        <v>0</v>
      </c>
      <c r="BD58" s="78"/>
      <c r="BE58" s="85"/>
      <c r="BF58" s="142"/>
      <c r="BG58" s="79">
        <f t="shared" si="25"/>
        <v>0</v>
      </c>
      <c r="BH58" s="75"/>
      <c r="BI58" s="76"/>
      <c r="BJ58" s="135"/>
      <c r="BK58" s="135"/>
      <c r="BL58" s="77">
        <f t="shared" si="26"/>
        <v>0</v>
      </c>
      <c r="BM58" s="78"/>
      <c r="BN58" s="142"/>
      <c r="BO58" s="142"/>
      <c r="BP58" s="77">
        <f t="shared" si="27"/>
        <v>0</v>
      </c>
      <c r="BQ58" s="78"/>
      <c r="BR58" s="142"/>
      <c r="BS58" s="142"/>
      <c r="BT58" s="79">
        <f t="shared" si="28"/>
        <v>0</v>
      </c>
      <c r="BU58" s="75"/>
      <c r="BV58" s="76"/>
      <c r="BW58" s="135"/>
      <c r="BX58" s="135"/>
      <c r="BY58" s="77">
        <f t="shared" si="29"/>
        <v>0</v>
      </c>
      <c r="BZ58" s="78"/>
      <c r="CA58" s="142"/>
      <c r="CB58" s="142"/>
      <c r="CC58" s="77">
        <f t="shared" si="30"/>
        <v>0</v>
      </c>
      <c r="CD58" s="78"/>
      <c r="CE58" s="142"/>
      <c r="CF58" s="142"/>
      <c r="CG58" s="79">
        <f t="shared" si="31"/>
        <v>0</v>
      </c>
      <c r="CH58" s="75"/>
      <c r="CI58" s="76"/>
      <c r="CJ58" s="135"/>
      <c r="CK58" s="135"/>
      <c r="CL58" s="77">
        <f t="shared" si="32"/>
        <v>0</v>
      </c>
      <c r="CM58" s="78"/>
      <c r="CN58" s="142"/>
      <c r="CO58" s="142"/>
      <c r="CP58" s="77">
        <f t="shared" si="33"/>
        <v>0</v>
      </c>
      <c r="CQ58" s="78"/>
      <c r="CR58" s="142"/>
      <c r="CS58" s="142"/>
      <c r="CT58" s="79">
        <f t="shared" si="34"/>
        <v>0</v>
      </c>
      <c r="CU58" s="80">
        <f t="shared" si="35"/>
        <v>0</v>
      </c>
      <c r="CV58" s="81">
        <f t="shared" si="36"/>
        <v>0</v>
      </c>
      <c r="CW58" s="144"/>
      <c r="CX58" s="145">
        <f>IF(ISERROR(VLOOKUP($A58,FIJOS!$B$11:$O$590,14,FALSE)),0,VLOOKUP($A58,FIJOS!$B$11:$O$590,14,FALSE))</f>
        <v>0</v>
      </c>
      <c r="CY58" s="145">
        <f>IF(ISERROR(VLOOKUP(A58,FIJOS!$B$10:$P$590,15,FALSE)),0,VLOOKUP(A58,FIJOS!$B$10:$P$590,15,FALSE))</f>
        <v>0</v>
      </c>
      <c r="CZ58" s="155"/>
      <c r="DA58" s="146"/>
      <c r="DB58" s="147"/>
      <c r="DC58" s="147"/>
      <c r="DD58" s="147"/>
      <c r="DE58" s="147"/>
      <c r="DF58" s="145">
        <f>IF(ISERROR(VLOOKUP($A58,FIJOS!$B$11:$N$590,13,FALSE)),0,VLOOKUP($A58,FIJOS!$B$11:$N$590,13,FALSE))</f>
        <v>0</v>
      </c>
      <c r="DG58" s="145">
        <f>IF(ISERROR(VLOOKUP($A58,FIJOS!$B$11:$P$447,12,FALSE)),0,VLOOKUP($A58,FIJOS!$B$11:$P$447,12,FALSE))</f>
        <v>0</v>
      </c>
      <c r="DH58" s="82">
        <f t="shared" si="37"/>
        <v>0</v>
      </c>
      <c r="DI58" s="83" t="b">
        <f>IF($C58=1,(VLOOKUP($A58,FIJOS!$B$11:$P$545,10,FALSE)/7)*(7-$CU58),IF(AND($C58=2,CV58&lt;$DJ$1),(VLOOKUP($D58,HORAS!$B$4:$C$42,2,FALSE)*24)*$CV58,IF(AND($C58=2,CV58&gt;=$DJ$1),VLOOKUP($D58,HORAS!$B$4:$D$42,3,FALSE),IF(AND($C58=3,$CV58&gt;=$DJ$1),VLOOKUP($A58,FIJOS!$B$11:$P$545,10,FALSE),IF(AND($C58=3,$CV58&lt;$DJ$1),((VLOOKUP($A58,FIJOS!$B$11:$P$545,10,FALSE)/48)*24)*$CV58,IF(AND($C58=4,$CV58&gt;=(42/24)),VLOOKUP($D58,HORAS!$B$4:$D$42,3,FALSE),IF(AND($C58=5,$CV58&gt;=(36/24)),VLOOKUP($D58,HORAS!$B$4:$D$42,3,FALSE))))))))</f>
        <v>0</v>
      </c>
      <c r="DJ58" s="145">
        <f>IF(OR($C58=2),VLOOKUP($D58,HORAS!$B$4:$E$42,4,FALSE)*$EC58,IF(ISERROR(VLOOKUP($A58,FIJOS!$B$11:$P$108,9,FALSE)),0,VLOOKUP($A58,FIJOS!$B$11:$P$231,9,FALSE)*$EC58))</f>
        <v>0</v>
      </c>
      <c r="DK58" s="145">
        <f>IF(OR($C58=2),VLOOKUP($D58,HORAS!$B$4:$F$42,5,FALSE)*$EE58,IF(ISERROR(VLOOKUP($A58,FIJOS!$B$11:$P$108,9,FALSE)),0,VLOOKUP($A58,FIJOS!$B$11:$P$231,9,FALSE)*$EE58))</f>
        <v>0</v>
      </c>
      <c r="DL58" s="144"/>
      <c r="DM58" s="145">
        <f>IF(ISERROR(VLOOKUP($A58,FIJOS!$B$11:$L$646,11,FALSE)),0,VLOOKUP($A58,FIJOS!$B$11:$L$646,11,FALSE))</f>
        <v>0</v>
      </c>
      <c r="DN58" s="148" t="e">
        <f>IF(OR($C58=1,$C58=3),0,IF((VLOOKUP(CAPTURA!D58,HORAS!$B$4:$K$42,10,FALSE)/4)*COUNTIF($H58:$CT58,3)&gt;100,100,(VLOOKUP(CAPTURA!D58,HORAS!$B$4:$K$42,10,FALSE)/4)*COUNTIF($H58:$CT58,3)))</f>
        <v>#N/A</v>
      </c>
      <c r="DO58" s="144" t="e">
        <f>IF(OR($C58=1,$C58=3),0,IF($C58=5,VLOOKUP(D58,HORAS!$B$4:$G$42,6,FALSE),IF(AND($C58=4,$CV58&gt;=(42/24)),VLOOKUP(D58,HORAS!$B$4:$G$42,6,FALSE),IF(COUNTIF($H58:$CL58,"F")&gt;0,0,IF(CV58&gt;$DJ$1,$DJ$1*(VLOOKUP(D58,HORAS!$B$4:$G$42,6,FALSE)/$DJ$1),CV58*(VLOOKUP(D58,HORAS!$B$4:$G$42,6,FALSE)/$DJ$1))))))</f>
        <v>#N/A</v>
      </c>
      <c r="DP58" s="156"/>
      <c r="DQ58" s="148"/>
      <c r="DR58" s="148"/>
      <c r="DS58" s="83" t="e">
        <f t="shared" si="38"/>
        <v>#N/A</v>
      </c>
      <c r="DT58" s="84"/>
      <c r="DU58" s="149" t="e">
        <f t="shared" si="39"/>
        <v>#N/A</v>
      </c>
      <c r="DV58" s="149" t="e">
        <f t="shared" si="40"/>
        <v>#N/A</v>
      </c>
      <c r="DW58" s="144" t="e">
        <f t="shared" si="41"/>
        <v>#N/A</v>
      </c>
      <c r="DX58" s="134"/>
      <c r="DY58" s="29"/>
      <c r="DZ58" s="150"/>
      <c r="EA58" s="137"/>
      <c r="EB58" s="137">
        <f t="shared" si="11"/>
        <v>0</v>
      </c>
      <c r="EC58" s="138">
        <f t="shared" si="9"/>
        <v>0</v>
      </c>
      <c r="ED58" s="137">
        <f t="shared" si="12"/>
        <v>0</v>
      </c>
      <c r="EE58" s="132">
        <f t="shared" si="10"/>
        <v>0</v>
      </c>
      <c r="EF58" s="29"/>
      <c r="EG58" s="134"/>
      <c r="EH58" s="134"/>
      <c r="EI58" s="134"/>
      <c r="EK58" s="29"/>
    </row>
    <row r="59" spans="1:141" ht="15" customHeight="1" x14ac:dyDescent="0.25">
      <c r="A59" s="140"/>
      <c r="B59" s="5"/>
      <c r="C59" s="72"/>
      <c r="D59" s="73"/>
      <c r="E59" s="73"/>
      <c r="F59" s="141"/>
      <c r="G59" s="74"/>
      <c r="H59" s="75"/>
      <c r="I59" s="76"/>
      <c r="J59" s="135"/>
      <c r="K59" s="135"/>
      <c r="L59" s="77">
        <f t="shared" si="14"/>
        <v>0</v>
      </c>
      <c r="M59" s="78"/>
      <c r="N59" s="142"/>
      <c r="O59" s="142"/>
      <c r="P59" s="77">
        <f t="shared" si="15"/>
        <v>0</v>
      </c>
      <c r="Q59" s="78"/>
      <c r="R59" s="143"/>
      <c r="S59" s="143"/>
      <c r="T59" s="77">
        <f t="shared" si="16"/>
        <v>0</v>
      </c>
      <c r="U59" s="75"/>
      <c r="V59" s="76"/>
      <c r="W59" s="135"/>
      <c r="X59" s="135"/>
      <c r="Y59" s="77">
        <f t="shared" si="17"/>
        <v>0</v>
      </c>
      <c r="Z59" s="78"/>
      <c r="AA59" s="142"/>
      <c r="AB59" s="142"/>
      <c r="AC59" s="77">
        <f t="shared" si="18"/>
        <v>0</v>
      </c>
      <c r="AD59" s="78"/>
      <c r="AE59" s="143"/>
      <c r="AF59" s="143"/>
      <c r="AG59" s="79">
        <f t="shared" si="19"/>
        <v>0</v>
      </c>
      <c r="AH59" s="75"/>
      <c r="AI59" s="76"/>
      <c r="AJ59" s="135"/>
      <c r="AK59" s="135"/>
      <c r="AL59" s="77">
        <f t="shared" si="20"/>
        <v>0</v>
      </c>
      <c r="AM59" s="76"/>
      <c r="AN59" s="142"/>
      <c r="AO59" s="142"/>
      <c r="AP59" s="77">
        <f t="shared" si="21"/>
        <v>0</v>
      </c>
      <c r="AQ59" s="78"/>
      <c r="AR59" s="142"/>
      <c r="AS59" s="142"/>
      <c r="AT59" s="79">
        <f t="shared" si="22"/>
        <v>0</v>
      </c>
      <c r="AU59" s="75"/>
      <c r="AV59" s="76"/>
      <c r="AW59" s="135"/>
      <c r="AX59" s="135"/>
      <c r="AY59" s="77">
        <f t="shared" si="23"/>
        <v>0</v>
      </c>
      <c r="AZ59" s="76"/>
      <c r="BA59" s="142"/>
      <c r="BB59" s="142"/>
      <c r="BC59" s="77">
        <f t="shared" si="24"/>
        <v>0</v>
      </c>
      <c r="BD59" s="78"/>
      <c r="BE59" s="142"/>
      <c r="BF59" s="142"/>
      <c r="BG59" s="79">
        <f t="shared" si="25"/>
        <v>0</v>
      </c>
      <c r="BH59" s="75"/>
      <c r="BI59" s="76"/>
      <c r="BJ59" s="135"/>
      <c r="BK59" s="135"/>
      <c r="BL59" s="77">
        <f t="shared" si="26"/>
        <v>0</v>
      </c>
      <c r="BM59" s="78"/>
      <c r="BN59" s="142"/>
      <c r="BO59" s="142"/>
      <c r="BP59" s="77">
        <f t="shared" si="27"/>
        <v>0</v>
      </c>
      <c r="BQ59" s="78"/>
      <c r="BR59" s="142"/>
      <c r="BS59" s="142"/>
      <c r="BT59" s="79">
        <f t="shared" si="28"/>
        <v>0</v>
      </c>
      <c r="BU59" s="75"/>
      <c r="BV59" s="76"/>
      <c r="BW59" s="135"/>
      <c r="BX59" s="135"/>
      <c r="BY59" s="77">
        <f t="shared" si="29"/>
        <v>0</v>
      </c>
      <c r="BZ59" s="78"/>
      <c r="CA59" s="142"/>
      <c r="CB59" s="142"/>
      <c r="CC59" s="77">
        <f t="shared" si="30"/>
        <v>0</v>
      </c>
      <c r="CD59" s="78"/>
      <c r="CE59" s="142"/>
      <c r="CF59" s="142"/>
      <c r="CG59" s="79">
        <f t="shared" si="31"/>
        <v>0</v>
      </c>
      <c r="CH59" s="75"/>
      <c r="CI59" s="76"/>
      <c r="CJ59" s="135"/>
      <c r="CK59" s="135"/>
      <c r="CL59" s="77">
        <f t="shared" si="32"/>
        <v>0</v>
      </c>
      <c r="CM59" s="78"/>
      <c r="CN59" s="142"/>
      <c r="CO59" s="142"/>
      <c r="CP59" s="77">
        <f t="shared" si="33"/>
        <v>0</v>
      </c>
      <c r="CQ59" s="78"/>
      <c r="CR59" s="142"/>
      <c r="CS59" s="142"/>
      <c r="CT59" s="79">
        <f t="shared" si="34"/>
        <v>0</v>
      </c>
      <c r="CU59" s="80">
        <f t="shared" si="35"/>
        <v>0</v>
      </c>
      <c r="CV59" s="81">
        <f t="shared" si="36"/>
        <v>0</v>
      </c>
      <c r="CW59" s="144"/>
      <c r="CX59" s="145">
        <f>IF(ISERROR(VLOOKUP($A59,FIJOS!$B$11:$O$590,14,FALSE)),0,VLOOKUP($A59,FIJOS!$B$11:$O$590,14,FALSE))</f>
        <v>0</v>
      </c>
      <c r="CY59" s="145">
        <f>IF(ISERROR(VLOOKUP(A59,FIJOS!$B$10:$P$590,15,FALSE)),0,VLOOKUP(A59,FIJOS!$B$10:$P$590,15,FALSE))</f>
        <v>0</v>
      </c>
      <c r="CZ59" s="156"/>
      <c r="DA59" s="146"/>
      <c r="DB59" s="147"/>
      <c r="DC59" s="147"/>
      <c r="DD59" s="147"/>
      <c r="DE59" s="147"/>
      <c r="DF59" s="145">
        <f>IF(ISERROR(VLOOKUP($A59,FIJOS!$B$11:$N$590,13,FALSE)),0,VLOOKUP($A59,FIJOS!$B$11:$N$590,13,FALSE))</f>
        <v>0</v>
      </c>
      <c r="DG59" s="145">
        <f>IF(ISERROR(VLOOKUP($A59,FIJOS!$B$11:$P$447,12,FALSE)),0,VLOOKUP($A59,FIJOS!$B$11:$P$447,12,FALSE))</f>
        <v>0</v>
      </c>
      <c r="DH59" s="82">
        <f t="shared" si="37"/>
        <v>0</v>
      </c>
      <c r="DI59" s="83" t="b">
        <f>IF($C59=1,(VLOOKUP($A59,FIJOS!$B$11:$P$545,10,FALSE)/7)*(7-$CU59),IF(AND($C59=2,CV59&lt;$DJ$1),(VLOOKUP($D59,HORAS!$B$4:$C$42,2,FALSE)*24)*$CV59,IF(AND($C59=2,CV59&gt;=$DJ$1),VLOOKUP($D59,HORAS!$B$4:$D$42,3,FALSE),IF(AND($C59=3,$CV59&gt;=$DJ$1),VLOOKUP($A59,FIJOS!$B$11:$P$545,10,FALSE),IF(AND($C59=3,$CV59&lt;$DJ$1),((VLOOKUP($A59,FIJOS!$B$11:$P$545,10,FALSE)/48)*24)*$CV59,IF(AND($C59=4,$CV59&gt;=(42/24)),VLOOKUP($D59,HORAS!$B$4:$D$42,3,FALSE),IF(AND($C59=5,$CV59&gt;=(36/24)),VLOOKUP($D59,HORAS!$B$4:$D$42,3,FALSE))))))))</f>
        <v>0</v>
      </c>
      <c r="DJ59" s="145">
        <f>IF(OR($C59=2),VLOOKUP($D59,HORAS!$B$4:$E$42,4,FALSE)*$EC59,IF(ISERROR(VLOOKUP($A59,FIJOS!$B$11:$P$108,9,FALSE)),0,VLOOKUP($A59,FIJOS!$B$11:$P$231,9,FALSE)*$EC59))</f>
        <v>0</v>
      </c>
      <c r="DK59" s="145">
        <f>IF(OR($C59=2),VLOOKUP($D59,HORAS!$B$4:$F$42,5,FALSE)*$EE59,IF(ISERROR(VLOOKUP($A59,FIJOS!$B$11:$P$108,9,FALSE)),0,VLOOKUP($A59,FIJOS!$B$11:$P$231,9,FALSE)*$EE59))</f>
        <v>0</v>
      </c>
      <c r="DL59" s="144"/>
      <c r="DM59" s="145">
        <f>IF(ISERROR(VLOOKUP($A59,FIJOS!$B$11:$L$646,11,FALSE)),0,VLOOKUP($A59,FIJOS!$B$11:$L$646,11,FALSE))</f>
        <v>0</v>
      </c>
      <c r="DN59" s="148" t="e">
        <f>IF(OR($C59=1,$C59=3),0,IF((VLOOKUP(CAPTURA!D59,HORAS!$B$4:$K$42,10,FALSE)/4)*COUNTIF($H59:$CT59,3)&gt;100,100,(VLOOKUP(CAPTURA!D59,HORAS!$B$4:$K$42,10,FALSE)/4)*COUNTIF($H59:$CT59,3)))</f>
        <v>#N/A</v>
      </c>
      <c r="DO59" s="144" t="e">
        <f>IF(OR($C59=1,$C59=3),0,IF($C59=5,VLOOKUP(D59,HORAS!$B$4:$G$42,6,FALSE),IF(AND($C59=4,$CV59&gt;=(42/24)),VLOOKUP(D59,HORAS!$B$4:$G$42,6,FALSE),IF(COUNTIF($H59:$CL59,"F")&gt;0,0,IF(CV59&gt;$DJ$1,$DJ$1*(VLOOKUP(D59,HORAS!$B$4:$G$42,6,FALSE)/$DJ$1),CV59*(VLOOKUP(D59,HORAS!$B$4:$G$42,6,FALSE)/$DJ$1))))))</f>
        <v>#N/A</v>
      </c>
      <c r="DP59" s="178"/>
      <c r="DQ59" s="148"/>
      <c r="DR59" s="148"/>
      <c r="DS59" s="83" t="e">
        <f t="shared" si="38"/>
        <v>#N/A</v>
      </c>
      <c r="DT59" s="84"/>
      <c r="DU59" s="149" t="e">
        <f t="shared" si="39"/>
        <v>#N/A</v>
      </c>
      <c r="DV59" s="149" t="e">
        <f t="shared" si="40"/>
        <v>#N/A</v>
      </c>
      <c r="DW59" s="144" t="e">
        <f t="shared" si="41"/>
        <v>#N/A</v>
      </c>
      <c r="DX59" s="134"/>
      <c r="DY59" s="29"/>
      <c r="DZ59" s="150"/>
      <c r="EA59" s="137"/>
      <c r="EB59" s="137">
        <f t="shared" si="11"/>
        <v>0</v>
      </c>
      <c r="EC59" s="138">
        <f t="shared" si="9"/>
        <v>0</v>
      </c>
      <c r="ED59" s="137">
        <f t="shared" si="12"/>
        <v>0</v>
      </c>
      <c r="EE59" s="132">
        <f t="shared" si="10"/>
        <v>0</v>
      </c>
      <c r="EF59" s="29"/>
      <c r="EG59" s="134"/>
      <c r="EH59" s="134"/>
      <c r="EI59" s="134"/>
      <c r="EK59" s="29"/>
    </row>
    <row r="60" spans="1:141" ht="15" customHeight="1" x14ac:dyDescent="0.25">
      <c r="A60" s="140"/>
      <c r="B60" s="151"/>
      <c r="C60" s="72"/>
      <c r="D60" s="73"/>
      <c r="E60" s="73"/>
      <c r="F60" s="141"/>
      <c r="G60" s="74"/>
      <c r="H60" s="75"/>
      <c r="I60" s="76"/>
      <c r="J60" s="135"/>
      <c r="K60" s="135"/>
      <c r="L60" s="77">
        <f t="shared" si="14"/>
        <v>0</v>
      </c>
      <c r="M60" s="78"/>
      <c r="N60" s="142"/>
      <c r="O60" s="142"/>
      <c r="P60" s="77">
        <f t="shared" si="15"/>
        <v>0</v>
      </c>
      <c r="Q60" s="78"/>
      <c r="R60" s="143"/>
      <c r="S60" s="143"/>
      <c r="T60" s="77">
        <f t="shared" si="16"/>
        <v>0</v>
      </c>
      <c r="U60" s="75"/>
      <c r="V60" s="76"/>
      <c r="W60" s="135"/>
      <c r="X60" s="135"/>
      <c r="Y60" s="77">
        <f t="shared" si="17"/>
        <v>0</v>
      </c>
      <c r="Z60" s="78"/>
      <c r="AA60" s="142"/>
      <c r="AB60" s="142"/>
      <c r="AC60" s="77">
        <f t="shared" si="18"/>
        <v>0</v>
      </c>
      <c r="AD60" s="78"/>
      <c r="AE60" s="143"/>
      <c r="AF60" s="143"/>
      <c r="AG60" s="79">
        <f t="shared" si="19"/>
        <v>0</v>
      </c>
      <c r="AH60" s="75"/>
      <c r="AI60" s="76"/>
      <c r="AJ60" s="135"/>
      <c r="AK60" s="135"/>
      <c r="AL60" s="77">
        <f t="shared" si="20"/>
        <v>0</v>
      </c>
      <c r="AM60" s="76"/>
      <c r="AN60" s="142"/>
      <c r="AO60" s="142"/>
      <c r="AP60" s="77">
        <f t="shared" si="21"/>
        <v>0</v>
      </c>
      <c r="AQ60" s="78"/>
      <c r="AR60" s="142"/>
      <c r="AS60" s="142"/>
      <c r="AT60" s="79">
        <f t="shared" si="22"/>
        <v>0</v>
      </c>
      <c r="AU60" s="75"/>
      <c r="AV60" s="76"/>
      <c r="AW60" s="135"/>
      <c r="AX60" s="135"/>
      <c r="AY60" s="77">
        <f t="shared" si="23"/>
        <v>0</v>
      </c>
      <c r="AZ60" s="76"/>
      <c r="BA60" s="142"/>
      <c r="BB60" s="142"/>
      <c r="BC60" s="77">
        <f t="shared" si="24"/>
        <v>0</v>
      </c>
      <c r="BD60" s="78"/>
      <c r="BE60" s="142"/>
      <c r="BF60" s="142"/>
      <c r="BG60" s="79">
        <f t="shared" si="25"/>
        <v>0</v>
      </c>
      <c r="BH60" s="75"/>
      <c r="BI60" s="76"/>
      <c r="BJ60" s="135"/>
      <c r="BK60" s="135"/>
      <c r="BL60" s="77">
        <f t="shared" si="26"/>
        <v>0</v>
      </c>
      <c r="BM60" s="78"/>
      <c r="BN60" s="142"/>
      <c r="BO60" s="142"/>
      <c r="BP60" s="77">
        <f t="shared" si="27"/>
        <v>0</v>
      </c>
      <c r="BQ60" s="78"/>
      <c r="BR60" s="142"/>
      <c r="BS60" s="142"/>
      <c r="BT60" s="79">
        <f t="shared" si="28"/>
        <v>0</v>
      </c>
      <c r="BU60" s="75"/>
      <c r="BV60" s="76"/>
      <c r="BW60" s="135"/>
      <c r="BX60" s="135"/>
      <c r="BY60" s="77">
        <f t="shared" si="29"/>
        <v>0</v>
      </c>
      <c r="BZ60" s="78"/>
      <c r="CA60" s="142"/>
      <c r="CB60" s="142"/>
      <c r="CC60" s="77">
        <f t="shared" si="30"/>
        <v>0</v>
      </c>
      <c r="CD60" s="78"/>
      <c r="CE60" s="142"/>
      <c r="CF60" s="142"/>
      <c r="CG60" s="79">
        <f t="shared" si="31"/>
        <v>0</v>
      </c>
      <c r="CH60" s="75"/>
      <c r="CI60" s="76"/>
      <c r="CJ60" s="135"/>
      <c r="CK60" s="135"/>
      <c r="CL60" s="77">
        <f t="shared" si="32"/>
        <v>0</v>
      </c>
      <c r="CM60" s="78"/>
      <c r="CN60" s="142"/>
      <c r="CO60" s="142"/>
      <c r="CP60" s="77">
        <f t="shared" si="33"/>
        <v>0</v>
      </c>
      <c r="CQ60" s="78"/>
      <c r="CR60" s="142"/>
      <c r="CS60" s="142"/>
      <c r="CT60" s="79">
        <f t="shared" si="34"/>
        <v>0</v>
      </c>
      <c r="CU60" s="80">
        <f t="shared" si="35"/>
        <v>0</v>
      </c>
      <c r="CV60" s="81">
        <f t="shared" si="36"/>
        <v>0</v>
      </c>
      <c r="CW60" s="144"/>
      <c r="CX60" s="145">
        <f>IF(ISERROR(VLOOKUP($A60,FIJOS!$B$11:$O$590,14,FALSE)),0,VLOOKUP($A60,FIJOS!$B$11:$O$590,14,FALSE))</f>
        <v>0</v>
      </c>
      <c r="CY60" s="145">
        <f>IF(ISERROR(VLOOKUP(A60,FIJOS!$B$10:$P$590,15,FALSE)),0,VLOOKUP(A60,FIJOS!$B$10:$P$590,15,FALSE))</f>
        <v>0</v>
      </c>
      <c r="CZ60" s="156"/>
      <c r="DA60" s="146"/>
      <c r="DB60" s="147"/>
      <c r="DC60" s="147"/>
      <c r="DD60" s="147"/>
      <c r="DE60" s="147"/>
      <c r="DF60" s="145">
        <f>IF(ISERROR(VLOOKUP($A60,FIJOS!$B$11:$N$590,13,FALSE)),0,VLOOKUP($A60,FIJOS!$B$11:$N$590,13,FALSE))</f>
        <v>0</v>
      </c>
      <c r="DG60" s="145">
        <f>IF(ISERROR(VLOOKUP($A60,FIJOS!$B$11:$P$447,12,FALSE)),0,VLOOKUP($A60,FIJOS!$B$11:$P$447,12,FALSE))</f>
        <v>0</v>
      </c>
      <c r="DH60" s="82">
        <f t="shared" si="37"/>
        <v>0</v>
      </c>
      <c r="DI60" s="83" t="b">
        <f>IF($C60=1,(VLOOKUP($A60,FIJOS!$B$11:$P$545,10,FALSE)/7)*(7-$CU60),IF(AND($C60=2,CV60&lt;$DJ$1),(VLOOKUP($D60,HORAS!$B$4:$C$42,2,FALSE)*24)*$CV60,IF(AND($C60=2,CV60&gt;=$DJ$1),VLOOKUP($D60,HORAS!$B$4:$D$42,3,FALSE),IF(AND($C60=3,$CV60&gt;=$DJ$1),VLOOKUP($A60,FIJOS!$B$11:$P$545,10,FALSE),IF(AND($C60=3,$CV60&lt;$DJ$1),((VLOOKUP($A60,FIJOS!$B$11:$P$545,10,FALSE)/48)*24)*$CV60,IF(AND($C60=4,$CV60&gt;=(42/24)),VLOOKUP($D60,HORAS!$B$4:$D$42,3,FALSE),IF(AND($C60=5,$CV60&gt;=(36/24)),VLOOKUP($D60,HORAS!$B$4:$D$42,3,FALSE))))))))</f>
        <v>0</v>
      </c>
      <c r="DJ60" s="145">
        <f>IF(OR($C60=2),VLOOKUP($D60,HORAS!$B$4:$E$42,4,FALSE)*$EC60,IF(ISERROR(VLOOKUP($A60,FIJOS!$B$11:$P$108,9,FALSE)),0,VLOOKUP($A60,FIJOS!$B$11:$P$231,9,FALSE)*$EC60))</f>
        <v>0</v>
      </c>
      <c r="DK60" s="145">
        <f>IF(OR($C60=2),VLOOKUP($D60,HORAS!$B$4:$F$42,5,FALSE)*$EE60,IF(ISERROR(VLOOKUP($A60,FIJOS!$B$11:$P$108,9,FALSE)),0,VLOOKUP($A60,FIJOS!$B$11:$P$231,9,FALSE)*$EE60))</f>
        <v>0</v>
      </c>
      <c r="DL60" s="144"/>
      <c r="DM60" s="145">
        <f>IF(ISERROR(VLOOKUP($A60,FIJOS!$B$11:$L$646,11,FALSE)),0,VLOOKUP($A60,FIJOS!$B$11:$L$646,11,FALSE))</f>
        <v>0</v>
      </c>
      <c r="DN60" s="148" t="e">
        <f>IF(OR($C60=1,$C60=3),0,IF((VLOOKUP(CAPTURA!D60,HORAS!$B$4:$K$42,10,FALSE)/4)*COUNTIF($H60:$CT60,3)&gt;100,100,(VLOOKUP(CAPTURA!D60,HORAS!$B$4:$K$42,10,FALSE)/4)*COUNTIF($H60:$CT60,3)))</f>
        <v>#N/A</v>
      </c>
      <c r="DO60" s="144" t="e">
        <f>IF(OR($C60=1,$C60=3),0,IF($C60=5,VLOOKUP(D60,HORAS!$B$4:$G$42,6,FALSE),IF(AND($C60=4,$CV60&gt;=(42/24)),VLOOKUP(D60,HORAS!$B$4:$G$42,6,FALSE),IF(COUNTIF($H60:$CL60,"F")&gt;0,0,IF(CV60&gt;$DJ$1,$DJ$1*(VLOOKUP(D60,HORAS!$B$4:$G$42,6,FALSE)/$DJ$1),CV60*(VLOOKUP(D60,HORAS!$B$4:$G$42,6,FALSE)/$DJ$1))))))</f>
        <v>#N/A</v>
      </c>
      <c r="DP60" s="156"/>
      <c r="DQ60" s="89"/>
      <c r="DR60" s="148"/>
      <c r="DS60" s="83" t="e">
        <f t="shared" si="38"/>
        <v>#N/A</v>
      </c>
      <c r="DT60" s="84"/>
      <c r="DU60" s="149" t="e">
        <f t="shared" si="39"/>
        <v>#N/A</v>
      </c>
      <c r="DV60" s="149" t="e">
        <f t="shared" si="40"/>
        <v>#N/A</v>
      </c>
      <c r="DW60" s="144" t="e">
        <f t="shared" si="41"/>
        <v>#N/A</v>
      </c>
      <c r="DX60" s="134"/>
      <c r="DY60" s="29"/>
      <c r="DZ60" s="150"/>
      <c r="EA60" s="134"/>
      <c r="EB60" s="137">
        <f t="shared" si="11"/>
        <v>0</v>
      </c>
      <c r="EC60" s="138">
        <f t="shared" si="9"/>
        <v>0</v>
      </c>
      <c r="ED60" s="137">
        <f t="shared" si="12"/>
        <v>0</v>
      </c>
      <c r="EE60" s="132">
        <f t="shared" si="10"/>
        <v>0</v>
      </c>
      <c r="EF60" s="29"/>
      <c r="EG60" s="134"/>
      <c r="EH60" s="134"/>
      <c r="EI60" s="134"/>
      <c r="EK60" s="29"/>
    </row>
    <row r="61" spans="1:141" ht="15" customHeight="1" x14ac:dyDescent="0.25">
      <c r="A61" s="140"/>
      <c r="B61" s="5"/>
      <c r="C61" s="72"/>
      <c r="D61" s="73"/>
      <c r="E61" s="73"/>
      <c r="F61" s="141"/>
      <c r="G61" s="74"/>
      <c r="H61" s="75"/>
      <c r="I61" s="76"/>
      <c r="J61" s="157"/>
      <c r="K61" s="135"/>
      <c r="L61" s="77">
        <f t="shared" si="14"/>
        <v>0</v>
      </c>
      <c r="M61" s="78"/>
      <c r="N61" s="142"/>
      <c r="O61" s="142"/>
      <c r="P61" s="77">
        <f t="shared" si="15"/>
        <v>0</v>
      </c>
      <c r="Q61" s="78"/>
      <c r="R61" s="143"/>
      <c r="S61" s="143"/>
      <c r="T61" s="77">
        <f t="shared" si="16"/>
        <v>0</v>
      </c>
      <c r="U61" s="75"/>
      <c r="V61" s="76"/>
      <c r="W61" s="157"/>
      <c r="X61" s="135"/>
      <c r="Y61" s="77">
        <f t="shared" si="17"/>
        <v>0</v>
      </c>
      <c r="Z61" s="78"/>
      <c r="AA61" s="142"/>
      <c r="AB61" s="142"/>
      <c r="AC61" s="77">
        <f t="shared" si="18"/>
        <v>0</v>
      </c>
      <c r="AD61" s="78"/>
      <c r="AE61" s="143"/>
      <c r="AF61" s="143"/>
      <c r="AG61" s="79">
        <f t="shared" si="19"/>
        <v>0</v>
      </c>
      <c r="AH61" s="75"/>
      <c r="AI61" s="76"/>
      <c r="AJ61" s="157"/>
      <c r="AK61" s="135"/>
      <c r="AL61" s="77">
        <f t="shared" si="20"/>
        <v>0</v>
      </c>
      <c r="AM61" s="76"/>
      <c r="AN61" s="142"/>
      <c r="AO61" s="142"/>
      <c r="AP61" s="77">
        <f t="shared" si="21"/>
        <v>0</v>
      </c>
      <c r="AQ61" s="78"/>
      <c r="AR61" s="142"/>
      <c r="AS61" s="142"/>
      <c r="AT61" s="79">
        <f t="shared" si="22"/>
        <v>0</v>
      </c>
      <c r="AU61" s="75"/>
      <c r="AV61" s="76"/>
      <c r="AW61" s="157"/>
      <c r="AX61" s="135"/>
      <c r="AY61" s="77">
        <f t="shared" si="23"/>
        <v>0</v>
      </c>
      <c r="AZ61" s="76"/>
      <c r="BA61" s="142"/>
      <c r="BB61" s="142"/>
      <c r="BC61" s="77">
        <f t="shared" si="24"/>
        <v>0</v>
      </c>
      <c r="BD61" s="78"/>
      <c r="BE61" s="142"/>
      <c r="BF61" s="142"/>
      <c r="BG61" s="79">
        <f t="shared" si="25"/>
        <v>0</v>
      </c>
      <c r="BH61" s="75"/>
      <c r="BI61" s="76"/>
      <c r="BJ61" s="135"/>
      <c r="BK61" s="135"/>
      <c r="BL61" s="77">
        <f t="shared" si="26"/>
        <v>0</v>
      </c>
      <c r="BM61" s="76"/>
      <c r="BN61" s="142"/>
      <c r="BO61" s="142"/>
      <c r="BP61" s="77">
        <f t="shared" si="27"/>
        <v>0</v>
      </c>
      <c r="BQ61" s="78"/>
      <c r="BR61" s="142"/>
      <c r="BS61" s="142"/>
      <c r="BT61" s="79">
        <f t="shared" si="28"/>
        <v>0</v>
      </c>
      <c r="BU61" s="75"/>
      <c r="BV61" s="76"/>
      <c r="BW61" s="135"/>
      <c r="BX61" s="135"/>
      <c r="BY61" s="77">
        <f t="shared" si="29"/>
        <v>0</v>
      </c>
      <c r="BZ61" s="78"/>
      <c r="CA61" s="142"/>
      <c r="CB61" s="142"/>
      <c r="CC61" s="77">
        <f t="shared" si="30"/>
        <v>0</v>
      </c>
      <c r="CD61" s="78"/>
      <c r="CE61" s="142"/>
      <c r="CF61" s="142"/>
      <c r="CG61" s="79">
        <f t="shared" si="31"/>
        <v>0</v>
      </c>
      <c r="CH61" s="75"/>
      <c r="CI61" s="76"/>
      <c r="CJ61" s="135"/>
      <c r="CK61" s="135"/>
      <c r="CL61" s="77">
        <f t="shared" si="32"/>
        <v>0</v>
      </c>
      <c r="CM61" s="78"/>
      <c r="CN61" s="142"/>
      <c r="CO61" s="142"/>
      <c r="CP61" s="77">
        <f t="shared" si="33"/>
        <v>0</v>
      </c>
      <c r="CQ61" s="78"/>
      <c r="CR61" s="142"/>
      <c r="CS61" s="142"/>
      <c r="CT61" s="79">
        <f t="shared" si="34"/>
        <v>0</v>
      </c>
      <c r="CU61" s="80">
        <f t="shared" si="35"/>
        <v>0</v>
      </c>
      <c r="CV61" s="81">
        <f t="shared" si="36"/>
        <v>0</v>
      </c>
      <c r="CW61" s="144"/>
      <c r="CX61" s="145">
        <f>IF(ISERROR(VLOOKUP($A61,FIJOS!$B$11:$O$590,14,FALSE)),0,VLOOKUP($A61,FIJOS!$B$11:$O$590,14,FALSE))</f>
        <v>0</v>
      </c>
      <c r="CY61" s="145">
        <f>IF(ISERROR(VLOOKUP(A61,FIJOS!$B$10:$P$590,15,FALSE)),0,VLOOKUP(A61,FIJOS!$B$10:$P$590,15,FALSE))</f>
        <v>0</v>
      </c>
      <c r="CZ61" s="156"/>
      <c r="DA61" s="146"/>
      <c r="DB61" s="147"/>
      <c r="DC61" s="147"/>
      <c r="DD61" s="147"/>
      <c r="DE61" s="147"/>
      <c r="DF61" s="145">
        <f>IF(ISERROR(VLOOKUP($A61,FIJOS!$B$11:$N$590,13,FALSE)),0,VLOOKUP($A61,FIJOS!$B$11:$N$590,13,FALSE))</f>
        <v>0</v>
      </c>
      <c r="DG61" s="145">
        <f>IF(ISERROR(VLOOKUP($A61,FIJOS!$B$11:$P$447,12,FALSE)),0,VLOOKUP($A61,FIJOS!$B$11:$P$447,12,FALSE))</f>
        <v>0</v>
      </c>
      <c r="DH61" s="82">
        <f t="shared" si="37"/>
        <v>0</v>
      </c>
      <c r="DI61" s="83" t="b">
        <f>IF($C61=1,(VLOOKUP($A61,FIJOS!$B$11:$P$545,10,FALSE)/7)*(7-$CU61),IF(AND($C61=2,CV61&lt;$DJ$1),(VLOOKUP($D61,HORAS!$B$4:$C$42,2,FALSE)*24)*$CV61,IF(AND($C61=2,CV61&gt;=$DJ$1),VLOOKUP($D61,HORAS!$B$4:$D$42,3,FALSE),IF(AND($C61=3,$CV61&gt;=$DJ$1),VLOOKUP($A61,FIJOS!$B$11:$P$545,10,FALSE),IF(AND($C61=3,$CV61&lt;$DJ$1),((VLOOKUP($A61,FIJOS!$B$11:$P$545,10,FALSE)/48)*24)*$CV61,IF(AND($C61=4,$CV61&gt;=(42/24)),VLOOKUP($D61,HORAS!$B$4:$D$42,3,FALSE),IF(AND($C61=5,$CV61&gt;=(36/24)),VLOOKUP($D61,HORAS!$B$4:$D$42,3,FALSE))))))))</f>
        <v>0</v>
      </c>
      <c r="DJ61" s="145">
        <f>IF(OR($C61=2),VLOOKUP($D61,HORAS!$B$4:$E$42,4,FALSE)*$EC61,IF(ISERROR(VLOOKUP($A61,FIJOS!$B$11:$P$108,9,FALSE)),0,VLOOKUP($A61,FIJOS!$B$11:$P$231,9,FALSE)*$EC61))</f>
        <v>0</v>
      </c>
      <c r="DK61" s="145">
        <f>IF(OR($C61=2),VLOOKUP($D61,HORAS!$B$4:$F$42,5,FALSE)*$EE61,IF(ISERROR(VLOOKUP($A61,FIJOS!$B$11:$P$108,9,FALSE)),0,VLOOKUP($A61,FIJOS!$B$11:$P$231,9,FALSE)*$EE61))</f>
        <v>0</v>
      </c>
      <c r="DL61" s="144"/>
      <c r="DM61" s="145">
        <f>IF(ISERROR(VLOOKUP($A61,FIJOS!$B$11:$L$646,11,FALSE)),0,VLOOKUP($A61,FIJOS!$B$11:$L$646,11,FALSE))</f>
        <v>0</v>
      </c>
      <c r="DN61" s="148" t="e">
        <f>IF(OR($C61=1,$C61=3),0,IF((VLOOKUP(CAPTURA!D61,HORAS!$B$4:$K$42,10,FALSE)/4)*COUNTIF($H61:$CT61,3)&gt;100,100,(VLOOKUP(CAPTURA!D61,HORAS!$B$4:$K$42,10,FALSE)/4)*COUNTIF($H61:$CT61,3)))</f>
        <v>#N/A</v>
      </c>
      <c r="DO61" s="144" t="e">
        <f>IF(OR($C61=1,$C61=3),0,IF($C61=5,VLOOKUP(D61,HORAS!$B$4:$G$42,6,FALSE),IF(AND($C61=4,$CV61&gt;=(42/24)),VLOOKUP(D61,HORAS!$B$4:$G$42,6,FALSE),IF(COUNTIF($H61:$CL61,"F")&gt;0,0,IF(CV61&gt;$DJ$1,$DJ$1*(VLOOKUP(D61,HORAS!$B$4:$G$42,6,FALSE)/$DJ$1),CV61*(VLOOKUP(D61,HORAS!$B$4:$G$42,6,FALSE)/$DJ$1))))))</f>
        <v>#N/A</v>
      </c>
      <c r="DP61" s="156"/>
      <c r="DQ61" s="89"/>
      <c r="DR61" s="148"/>
      <c r="DS61" s="83" t="e">
        <f t="shared" si="38"/>
        <v>#N/A</v>
      </c>
      <c r="DT61" s="84"/>
      <c r="DU61" s="149" t="e">
        <f t="shared" si="39"/>
        <v>#N/A</v>
      </c>
      <c r="DV61" s="149" t="e">
        <f t="shared" si="40"/>
        <v>#N/A</v>
      </c>
      <c r="DW61" s="144" t="e">
        <f t="shared" si="41"/>
        <v>#N/A</v>
      </c>
      <c r="DX61" s="134"/>
      <c r="DY61" s="29"/>
      <c r="DZ61" s="150"/>
      <c r="EA61" s="137"/>
      <c r="EB61" s="137">
        <f t="shared" si="11"/>
        <v>0</v>
      </c>
      <c r="EC61" s="138">
        <f t="shared" si="9"/>
        <v>0</v>
      </c>
      <c r="ED61" s="137">
        <f t="shared" si="12"/>
        <v>0</v>
      </c>
      <c r="EE61" s="132">
        <f t="shared" si="10"/>
        <v>0</v>
      </c>
      <c r="EF61" s="29"/>
      <c r="EG61" s="134"/>
      <c r="EH61" s="134"/>
      <c r="EI61" s="134"/>
      <c r="EK61" s="29"/>
    </row>
    <row r="62" spans="1:141" ht="15" customHeight="1" x14ac:dyDescent="0.25">
      <c r="A62" s="140"/>
      <c r="B62" s="161"/>
      <c r="C62" s="72"/>
      <c r="D62" s="73"/>
      <c r="E62" s="73"/>
      <c r="F62" s="141"/>
      <c r="G62" s="74"/>
      <c r="H62" s="75"/>
      <c r="I62" s="76"/>
      <c r="J62" s="135"/>
      <c r="K62" s="135"/>
      <c r="L62" s="77">
        <f t="shared" si="14"/>
        <v>0</v>
      </c>
      <c r="M62" s="78"/>
      <c r="N62" s="142"/>
      <c r="O62" s="142"/>
      <c r="P62" s="77">
        <f t="shared" si="15"/>
        <v>0</v>
      </c>
      <c r="Q62" s="78"/>
      <c r="R62" s="143"/>
      <c r="S62" s="143"/>
      <c r="T62" s="77">
        <f t="shared" si="16"/>
        <v>0</v>
      </c>
      <c r="U62" s="75"/>
      <c r="V62" s="76"/>
      <c r="W62" s="135"/>
      <c r="X62" s="135"/>
      <c r="Y62" s="77">
        <f t="shared" si="17"/>
        <v>0</v>
      </c>
      <c r="Z62" s="78"/>
      <c r="AA62" s="142"/>
      <c r="AB62" s="142"/>
      <c r="AC62" s="77">
        <f t="shared" si="18"/>
        <v>0</v>
      </c>
      <c r="AD62" s="78"/>
      <c r="AE62" s="143"/>
      <c r="AF62" s="143"/>
      <c r="AG62" s="79">
        <f t="shared" si="19"/>
        <v>0</v>
      </c>
      <c r="AH62" s="75"/>
      <c r="AI62" s="76"/>
      <c r="AJ62" s="135"/>
      <c r="AK62" s="135"/>
      <c r="AL62" s="77">
        <f t="shared" si="20"/>
        <v>0</v>
      </c>
      <c r="AM62" s="76"/>
      <c r="AN62" s="142"/>
      <c r="AO62" s="142"/>
      <c r="AP62" s="77">
        <f t="shared" si="21"/>
        <v>0</v>
      </c>
      <c r="AQ62" s="78"/>
      <c r="AR62" s="142"/>
      <c r="AS62" s="142"/>
      <c r="AT62" s="79">
        <f t="shared" si="22"/>
        <v>0</v>
      </c>
      <c r="AU62" s="75"/>
      <c r="AV62" s="76"/>
      <c r="AW62" s="135"/>
      <c r="AX62" s="135"/>
      <c r="AY62" s="77">
        <f t="shared" si="23"/>
        <v>0</v>
      </c>
      <c r="AZ62" s="76"/>
      <c r="BA62" s="142"/>
      <c r="BB62" s="142"/>
      <c r="BC62" s="77">
        <f t="shared" si="24"/>
        <v>0</v>
      </c>
      <c r="BD62" s="78"/>
      <c r="BE62" s="142"/>
      <c r="BF62" s="142"/>
      <c r="BG62" s="79">
        <f t="shared" si="25"/>
        <v>0</v>
      </c>
      <c r="BH62" s="75"/>
      <c r="BI62" s="76"/>
      <c r="BJ62" s="135"/>
      <c r="BK62" s="135"/>
      <c r="BL62" s="77">
        <f t="shared" si="26"/>
        <v>0</v>
      </c>
      <c r="BM62" s="78"/>
      <c r="BN62" s="142"/>
      <c r="BO62" s="142"/>
      <c r="BP62" s="77">
        <f t="shared" si="27"/>
        <v>0</v>
      </c>
      <c r="BQ62" s="78"/>
      <c r="BR62" s="142"/>
      <c r="BS62" s="142"/>
      <c r="BT62" s="79">
        <f t="shared" si="28"/>
        <v>0</v>
      </c>
      <c r="BU62" s="75"/>
      <c r="BV62" s="76"/>
      <c r="BW62" s="135"/>
      <c r="BX62" s="135"/>
      <c r="BY62" s="77">
        <f t="shared" si="29"/>
        <v>0</v>
      </c>
      <c r="BZ62" s="76"/>
      <c r="CA62" s="142"/>
      <c r="CB62" s="142"/>
      <c r="CC62" s="77">
        <f t="shared" si="30"/>
        <v>0</v>
      </c>
      <c r="CD62" s="76"/>
      <c r="CE62" s="142"/>
      <c r="CF62" s="142"/>
      <c r="CG62" s="79">
        <f t="shared" si="31"/>
        <v>0</v>
      </c>
      <c r="CH62" s="75"/>
      <c r="CI62" s="76"/>
      <c r="CJ62" s="135"/>
      <c r="CK62" s="135"/>
      <c r="CL62" s="77">
        <f t="shared" si="32"/>
        <v>0</v>
      </c>
      <c r="CM62" s="78"/>
      <c r="CN62" s="142"/>
      <c r="CO62" s="142"/>
      <c r="CP62" s="77">
        <f t="shared" si="33"/>
        <v>0</v>
      </c>
      <c r="CQ62" s="78"/>
      <c r="CR62" s="142"/>
      <c r="CS62" s="142"/>
      <c r="CT62" s="79">
        <f t="shared" si="34"/>
        <v>0</v>
      </c>
      <c r="CU62" s="80">
        <f t="shared" si="35"/>
        <v>0</v>
      </c>
      <c r="CV62" s="81">
        <f t="shared" si="36"/>
        <v>0</v>
      </c>
      <c r="CW62" s="144"/>
      <c r="CX62" s="145">
        <f>IF(ISERROR(VLOOKUP($A62,FIJOS!$B$11:$O$590,14,FALSE)),0,VLOOKUP($A62,FIJOS!$B$11:$O$590,14,FALSE))</f>
        <v>0</v>
      </c>
      <c r="CY62" s="145">
        <f>IF(ISERROR(VLOOKUP(A62,FIJOS!$B$10:$P$590,15,FALSE)),0,VLOOKUP(A62,FIJOS!$B$10:$P$590,15,FALSE))</f>
        <v>0</v>
      </c>
      <c r="CZ62" s="156"/>
      <c r="DA62" s="146"/>
      <c r="DB62" s="147"/>
      <c r="DC62" s="147"/>
      <c r="DD62" s="147"/>
      <c r="DE62" s="147"/>
      <c r="DF62" s="145">
        <f>IF(ISERROR(VLOOKUP($A62,FIJOS!$B$11:$N$590,13,FALSE)),0,VLOOKUP($A62,FIJOS!$B$11:$N$590,13,FALSE))</f>
        <v>0</v>
      </c>
      <c r="DG62" s="145">
        <f>IF(ISERROR(VLOOKUP($A62,FIJOS!$B$11:$P$447,12,FALSE)),0,VLOOKUP($A62,FIJOS!$B$11:$P$447,12,FALSE))</f>
        <v>0</v>
      </c>
      <c r="DH62" s="82">
        <f t="shared" si="37"/>
        <v>0</v>
      </c>
      <c r="DI62" s="83" t="b">
        <f>IF($C62=1,(VLOOKUP($A62,FIJOS!$B$11:$P$545,10,FALSE)/7)*(7-$CU62),IF(AND($C62=2,CV62&lt;$DJ$1),(VLOOKUP($D62,HORAS!$B$4:$C$42,2,FALSE)*24)*$CV62,IF(AND($C62=2,CV62&gt;=$DJ$1),VLOOKUP($D62,HORAS!$B$4:$D$42,3,FALSE),IF(AND($C62=3,$CV62&gt;=$DJ$1),VLOOKUP($A62,FIJOS!$B$11:$P$545,10,FALSE),IF(AND($C62=3,$CV62&lt;$DJ$1),((VLOOKUP($A62,FIJOS!$B$11:$P$545,10,FALSE)/48)*24)*$CV62,IF(AND($C62=4,$CV62&gt;=(42/24)),VLOOKUP($D62,HORAS!$B$4:$D$42,3,FALSE),IF(AND($C62=5,$CV62&gt;=(36/24)),VLOOKUP($D62,HORAS!$B$4:$D$42,3,FALSE))))))))</f>
        <v>0</v>
      </c>
      <c r="DJ62" s="145">
        <f>IF(OR($C62=2),VLOOKUP($D62,HORAS!$B$4:$E$42,4,FALSE)*$EC62,IF(ISERROR(VLOOKUP($A62,FIJOS!$B$11:$P$108,9,FALSE)),0,VLOOKUP($A62,FIJOS!$B$11:$P$231,9,FALSE)*$EC62))</f>
        <v>0</v>
      </c>
      <c r="DK62" s="145">
        <f>IF(OR($C62=2),VLOOKUP($D62,HORAS!$B$4:$F$42,5,FALSE)*$EE62,IF(ISERROR(VLOOKUP($A62,FIJOS!$B$11:$P$108,9,FALSE)),0,VLOOKUP($A62,FIJOS!$B$11:$P$231,9,FALSE)*$EE62))</f>
        <v>0</v>
      </c>
      <c r="DL62" s="144"/>
      <c r="DM62" s="145">
        <f>IF(ISERROR(VLOOKUP($A62,FIJOS!$B$11:$L$646,11,FALSE)),0,VLOOKUP($A62,FIJOS!$B$11:$L$646,11,FALSE))</f>
        <v>0</v>
      </c>
      <c r="DN62" s="148" t="e">
        <f>IF(OR($C62=1,$C62=3),0,IF((VLOOKUP(CAPTURA!D62,HORAS!$B$4:$K$42,10,FALSE)/4)*COUNTIF($H62:$CT62,3)&gt;100,100,(VLOOKUP(CAPTURA!D62,HORAS!$B$4:$K$42,10,FALSE)/4)*COUNTIF($H62:$CT62,3)))</f>
        <v>#N/A</v>
      </c>
      <c r="DO62" s="144" t="e">
        <f>IF(OR($C62=1,$C62=3),0,IF($C62=5,VLOOKUP(D62,HORAS!$B$4:$G$42,6,FALSE),IF(AND($C62=4,$CV62&gt;=(42/24)),VLOOKUP(D62,HORAS!$B$4:$G$42,6,FALSE),IF(COUNTIF($H62:$CL62,"F")&gt;0,0,IF(CV62&gt;$DJ$1,$DJ$1*(VLOOKUP(D62,HORAS!$B$4:$G$42,6,FALSE)/$DJ$1),CV62*(VLOOKUP(D62,HORAS!$B$4:$G$42,6,FALSE)/$DJ$1))))))</f>
        <v>#N/A</v>
      </c>
      <c r="DP62" s="156"/>
      <c r="DQ62" s="89"/>
      <c r="DR62" s="148"/>
      <c r="DS62" s="83" t="e">
        <f t="shared" si="38"/>
        <v>#N/A</v>
      </c>
      <c r="DT62" s="84"/>
      <c r="DU62" s="149" t="e">
        <f t="shared" si="39"/>
        <v>#N/A</v>
      </c>
      <c r="DV62" s="149" t="e">
        <f t="shared" si="40"/>
        <v>#N/A</v>
      </c>
      <c r="DW62" s="144" t="e">
        <f t="shared" si="41"/>
        <v>#N/A</v>
      </c>
      <c r="DX62" s="134"/>
      <c r="DY62" s="29"/>
      <c r="DZ62" s="150"/>
      <c r="EA62" s="134"/>
      <c r="EB62" s="137">
        <f t="shared" si="11"/>
        <v>0</v>
      </c>
      <c r="EC62" s="138">
        <f t="shared" si="9"/>
        <v>0</v>
      </c>
      <c r="ED62" s="137">
        <f t="shared" si="12"/>
        <v>0</v>
      </c>
      <c r="EE62" s="132">
        <f t="shared" si="10"/>
        <v>0</v>
      </c>
      <c r="EF62" s="29"/>
      <c r="EG62" s="134"/>
      <c r="EH62" s="134"/>
      <c r="EI62" s="134"/>
      <c r="EK62" s="29"/>
    </row>
    <row r="63" spans="1:141" ht="15" customHeight="1" x14ac:dyDescent="0.25">
      <c r="A63" s="140"/>
      <c r="B63" s="151"/>
      <c r="C63" s="72"/>
      <c r="D63" s="73"/>
      <c r="E63" s="73"/>
      <c r="F63" s="141"/>
      <c r="G63" s="74"/>
      <c r="H63" s="75"/>
      <c r="I63" s="76"/>
      <c r="J63" s="135"/>
      <c r="K63" s="135"/>
      <c r="L63" s="77">
        <f t="shared" si="14"/>
        <v>0</v>
      </c>
      <c r="M63" s="78"/>
      <c r="N63" s="142"/>
      <c r="O63" s="85"/>
      <c r="P63" s="77">
        <f t="shared" si="15"/>
        <v>0</v>
      </c>
      <c r="Q63" s="78"/>
      <c r="R63" s="143"/>
      <c r="S63" s="143"/>
      <c r="T63" s="77">
        <f t="shared" si="16"/>
        <v>0</v>
      </c>
      <c r="U63" s="75"/>
      <c r="V63" s="76"/>
      <c r="W63" s="135"/>
      <c r="X63" s="135"/>
      <c r="Y63" s="77">
        <f t="shared" si="17"/>
        <v>0</v>
      </c>
      <c r="Z63" s="78"/>
      <c r="AA63" s="142"/>
      <c r="AB63" s="142"/>
      <c r="AC63" s="77">
        <f t="shared" si="18"/>
        <v>0</v>
      </c>
      <c r="AD63" s="78"/>
      <c r="AE63" s="143"/>
      <c r="AF63" s="143"/>
      <c r="AG63" s="79">
        <f t="shared" si="19"/>
        <v>0</v>
      </c>
      <c r="AH63" s="75"/>
      <c r="AI63" s="76"/>
      <c r="AJ63" s="135"/>
      <c r="AK63" s="135"/>
      <c r="AL63" s="77">
        <f t="shared" si="20"/>
        <v>0</v>
      </c>
      <c r="AM63" s="76"/>
      <c r="AN63" s="142"/>
      <c r="AO63" s="142"/>
      <c r="AP63" s="77">
        <f t="shared" si="21"/>
        <v>0</v>
      </c>
      <c r="AQ63" s="78"/>
      <c r="AR63" s="142"/>
      <c r="AS63" s="142"/>
      <c r="AT63" s="79">
        <f t="shared" si="22"/>
        <v>0</v>
      </c>
      <c r="AU63" s="75"/>
      <c r="AV63" s="76"/>
      <c r="AW63" s="135"/>
      <c r="AX63" s="135"/>
      <c r="AY63" s="77">
        <f t="shared" si="23"/>
        <v>0</v>
      </c>
      <c r="AZ63" s="76"/>
      <c r="BA63" s="142"/>
      <c r="BB63" s="142"/>
      <c r="BC63" s="77">
        <f t="shared" si="24"/>
        <v>0</v>
      </c>
      <c r="BD63" s="78"/>
      <c r="BE63" s="142"/>
      <c r="BF63" s="142"/>
      <c r="BG63" s="79">
        <f t="shared" si="25"/>
        <v>0</v>
      </c>
      <c r="BH63" s="75"/>
      <c r="BI63" s="76"/>
      <c r="BJ63" s="135"/>
      <c r="BK63" s="135"/>
      <c r="BL63" s="77">
        <f t="shared" si="26"/>
        <v>0</v>
      </c>
      <c r="BM63" s="78"/>
      <c r="BN63" s="142"/>
      <c r="BO63" s="142"/>
      <c r="BP63" s="77">
        <f t="shared" si="27"/>
        <v>0</v>
      </c>
      <c r="BQ63" s="78"/>
      <c r="BR63" s="142"/>
      <c r="BS63" s="142"/>
      <c r="BT63" s="79">
        <f t="shared" si="28"/>
        <v>0</v>
      </c>
      <c r="BU63" s="75"/>
      <c r="BV63" s="76"/>
      <c r="BW63" s="135"/>
      <c r="BX63" s="135"/>
      <c r="BY63" s="77">
        <f t="shared" si="29"/>
        <v>0</v>
      </c>
      <c r="BZ63" s="78"/>
      <c r="CA63" s="142"/>
      <c r="CB63" s="142"/>
      <c r="CC63" s="77">
        <f t="shared" si="30"/>
        <v>0</v>
      </c>
      <c r="CD63" s="78"/>
      <c r="CE63" s="142"/>
      <c r="CF63" s="142"/>
      <c r="CG63" s="79">
        <f t="shared" si="31"/>
        <v>0</v>
      </c>
      <c r="CH63" s="75"/>
      <c r="CI63" s="76"/>
      <c r="CJ63" s="135"/>
      <c r="CK63" s="135"/>
      <c r="CL63" s="77">
        <f t="shared" si="32"/>
        <v>0</v>
      </c>
      <c r="CM63" s="78"/>
      <c r="CN63" s="142"/>
      <c r="CO63" s="142"/>
      <c r="CP63" s="77">
        <f t="shared" si="33"/>
        <v>0</v>
      </c>
      <c r="CQ63" s="78"/>
      <c r="CR63" s="142"/>
      <c r="CS63" s="142"/>
      <c r="CT63" s="79">
        <f t="shared" si="34"/>
        <v>0</v>
      </c>
      <c r="CU63" s="80">
        <f t="shared" si="35"/>
        <v>0</v>
      </c>
      <c r="CV63" s="81">
        <f t="shared" si="36"/>
        <v>0</v>
      </c>
      <c r="CW63" s="144"/>
      <c r="CX63" s="145">
        <f>IF(ISERROR(VLOOKUP($A63,FIJOS!$B$11:$O$590,14,FALSE)),0,VLOOKUP($A63,FIJOS!$B$11:$O$590,14,FALSE))</f>
        <v>0</v>
      </c>
      <c r="CY63" s="145">
        <f>IF(ISERROR(VLOOKUP(A63,FIJOS!$B$10:$P$590,15,FALSE)),0,VLOOKUP(A63,FIJOS!$B$10:$P$590,15,FALSE))</f>
        <v>0</v>
      </c>
      <c r="CZ63" s="156"/>
      <c r="DA63" s="146"/>
      <c r="DB63" s="147"/>
      <c r="DC63" s="147"/>
      <c r="DD63" s="147"/>
      <c r="DE63" s="147"/>
      <c r="DF63" s="145">
        <f>IF(ISERROR(VLOOKUP($A63,FIJOS!$B$11:$N$590,13,FALSE)),0,VLOOKUP($A63,FIJOS!$B$11:$N$590,13,FALSE))</f>
        <v>0</v>
      </c>
      <c r="DG63" s="145">
        <f>IF(ISERROR(VLOOKUP($A63,FIJOS!$B$11:$P$447,12,FALSE)),0,VLOOKUP($A63,FIJOS!$B$11:$P$447,12,FALSE))</f>
        <v>0</v>
      </c>
      <c r="DH63" s="82">
        <f t="shared" si="37"/>
        <v>0</v>
      </c>
      <c r="DI63" s="83" t="b">
        <f>IF($C63=1,(VLOOKUP($A63,FIJOS!$B$11:$P$545,10,FALSE)/7)*(7-$CU63),IF(AND($C63=2,CV63&lt;$DJ$1),(VLOOKUP($D63,HORAS!$B$4:$C$42,2,FALSE)*24)*$CV63,IF(AND($C63=2,CV63&gt;=$DJ$1),VLOOKUP($D63,HORAS!$B$4:$D$42,3,FALSE),IF(AND($C63=3,$CV63&gt;=$DJ$1),VLOOKUP($A63,FIJOS!$B$11:$P$545,10,FALSE),IF(AND($C63=3,$CV63&lt;$DJ$1),((VLOOKUP($A63,FIJOS!$B$11:$P$545,10,FALSE)/48)*24)*$CV63,IF(AND($C63=4,$CV63&gt;=(42/24)),VLOOKUP($D63,HORAS!$B$4:$D$42,3,FALSE),IF(AND($C63=5,$CV63&gt;=(36/24)),VLOOKUP($D63,HORAS!$B$4:$D$42,3,FALSE))))))))</f>
        <v>0</v>
      </c>
      <c r="DJ63" s="145">
        <f>IF(OR($C63=2),VLOOKUP($D63,HORAS!$B$4:$E$42,4,FALSE)*$EC63,IF(ISERROR(VLOOKUP($A63,FIJOS!$B$11:$P$108,9,FALSE)),0,VLOOKUP($A63,FIJOS!$B$11:$P$231,9,FALSE)*$EC63))</f>
        <v>0</v>
      </c>
      <c r="DK63" s="145">
        <f>IF(OR($C63=2),VLOOKUP($D63,HORAS!$B$4:$F$42,5,FALSE)*$EE63,IF(ISERROR(VLOOKUP($A63,FIJOS!$B$11:$P$108,9,FALSE)),0,VLOOKUP($A63,FIJOS!$B$11:$P$231,9,FALSE)*$EE63))</f>
        <v>0</v>
      </c>
      <c r="DL63" s="144"/>
      <c r="DM63" s="145">
        <f>IF(ISERROR(VLOOKUP($A63,FIJOS!$B$11:$L$646,11,FALSE)),0,VLOOKUP($A63,FIJOS!$B$11:$L$646,11,FALSE))</f>
        <v>0</v>
      </c>
      <c r="DN63" s="148" t="e">
        <f>IF(OR($C63=1,$C63=3),0,IF((VLOOKUP(CAPTURA!D63,HORAS!$B$4:$K$42,10,FALSE)/4)*COUNTIF($H63:$CT63,3)&gt;100,100,(VLOOKUP(CAPTURA!D63,HORAS!$B$4:$K$42,10,FALSE)/4)*COUNTIF($H63:$CT63,3)))</f>
        <v>#N/A</v>
      </c>
      <c r="DO63" s="144" t="e">
        <f>IF(OR($C63=1,$C63=3),0,IF($C63=5,VLOOKUP(D63,HORAS!$B$4:$G$42,6,FALSE),IF(AND($C63=4,$CV63&gt;=(42/24)),VLOOKUP(D63,HORAS!$B$4:$G$42,6,FALSE),IF(COUNTIF($H63:$CL63,"F")&gt;0,0,IF(CV63&gt;$DJ$1,$DJ$1*(VLOOKUP(D63,HORAS!$B$4:$G$42,6,FALSE)/$DJ$1),CV63*(VLOOKUP(D63,HORAS!$B$4:$G$42,6,FALSE)/$DJ$1))))))</f>
        <v>#N/A</v>
      </c>
      <c r="DP63" s="156"/>
      <c r="DQ63" s="89"/>
      <c r="DR63" s="148"/>
      <c r="DS63" s="83" t="e">
        <f t="shared" si="38"/>
        <v>#N/A</v>
      </c>
      <c r="DT63" s="84"/>
      <c r="DU63" s="149" t="e">
        <f t="shared" si="39"/>
        <v>#N/A</v>
      </c>
      <c r="DV63" s="149" t="e">
        <f t="shared" si="40"/>
        <v>#N/A</v>
      </c>
      <c r="DW63" s="144" t="e">
        <f t="shared" si="41"/>
        <v>#N/A</v>
      </c>
      <c r="DX63" s="134"/>
      <c r="DY63" s="29"/>
      <c r="DZ63" s="150"/>
      <c r="EA63" s="134"/>
      <c r="EB63" s="137">
        <f t="shared" si="11"/>
        <v>0</v>
      </c>
      <c r="EC63" s="138">
        <f t="shared" si="9"/>
        <v>0</v>
      </c>
      <c r="ED63" s="137">
        <f t="shared" si="12"/>
        <v>0</v>
      </c>
      <c r="EE63" s="132">
        <f t="shared" si="10"/>
        <v>0</v>
      </c>
      <c r="EF63" s="29"/>
      <c r="EG63" s="134"/>
      <c r="EH63" s="134"/>
      <c r="EI63" s="134"/>
      <c r="EK63" s="29"/>
    </row>
    <row r="64" spans="1:141" ht="15" customHeight="1" x14ac:dyDescent="0.25">
      <c r="A64" s="140"/>
      <c r="B64" s="151"/>
      <c r="C64" s="72"/>
      <c r="D64" s="73"/>
      <c r="E64" s="73"/>
      <c r="F64" s="141"/>
      <c r="G64" s="74"/>
      <c r="H64" s="75"/>
      <c r="I64" s="76"/>
      <c r="J64" s="135"/>
      <c r="K64" s="135"/>
      <c r="L64" s="77">
        <f t="shared" si="14"/>
        <v>0</v>
      </c>
      <c r="M64" s="78"/>
      <c r="N64" s="142"/>
      <c r="O64" s="142"/>
      <c r="P64" s="77">
        <f t="shared" si="15"/>
        <v>0</v>
      </c>
      <c r="Q64" s="78"/>
      <c r="R64" s="143"/>
      <c r="S64" s="143"/>
      <c r="T64" s="77">
        <f t="shared" si="16"/>
        <v>0</v>
      </c>
      <c r="U64" s="75"/>
      <c r="V64" s="76"/>
      <c r="W64" s="135"/>
      <c r="X64" s="135"/>
      <c r="Y64" s="77">
        <f t="shared" si="17"/>
        <v>0</v>
      </c>
      <c r="Z64" s="78"/>
      <c r="AA64" s="142"/>
      <c r="AB64" s="142"/>
      <c r="AC64" s="77">
        <f t="shared" si="18"/>
        <v>0</v>
      </c>
      <c r="AD64" s="78"/>
      <c r="AE64" s="143"/>
      <c r="AF64" s="143"/>
      <c r="AG64" s="79">
        <f t="shared" si="19"/>
        <v>0</v>
      </c>
      <c r="AH64" s="75"/>
      <c r="AI64" s="76"/>
      <c r="AJ64" s="135"/>
      <c r="AK64" s="135"/>
      <c r="AL64" s="77">
        <f t="shared" si="20"/>
        <v>0</v>
      </c>
      <c r="AM64" s="76"/>
      <c r="AN64" s="142"/>
      <c r="AO64" s="142"/>
      <c r="AP64" s="77">
        <f t="shared" si="21"/>
        <v>0</v>
      </c>
      <c r="AQ64" s="78"/>
      <c r="AR64" s="142"/>
      <c r="AS64" s="142"/>
      <c r="AT64" s="79">
        <f t="shared" si="22"/>
        <v>0</v>
      </c>
      <c r="AU64" s="75"/>
      <c r="AV64" s="76"/>
      <c r="AW64" s="135"/>
      <c r="AX64" s="135"/>
      <c r="AY64" s="77">
        <f t="shared" si="23"/>
        <v>0</v>
      </c>
      <c r="AZ64" s="76"/>
      <c r="BA64" s="142"/>
      <c r="BB64" s="142"/>
      <c r="BC64" s="77">
        <f t="shared" si="24"/>
        <v>0</v>
      </c>
      <c r="BD64" s="78"/>
      <c r="BE64" s="142"/>
      <c r="BF64" s="142"/>
      <c r="BG64" s="79">
        <f t="shared" si="25"/>
        <v>0</v>
      </c>
      <c r="BH64" s="75"/>
      <c r="BI64" s="76"/>
      <c r="BJ64" s="135"/>
      <c r="BK64" s="135"/>
      <c r="BL64" s="77">
        <f t="shared" si="26"/>
        <v>0</v>
      </c>
      <c r="BM64" s="78"/>
      <c r="BN64" s="142"/>
      <c r="BO64" s="142"/>
      <c r="BP64" s="77">
        <f t="shared" si="27"/>
        <v>0</v>
      </c>
      <c r="BQ64" s="78"/>
      <c r="BR64" s="142"/>
      <c r="BS64" s="142"/>
      <c r="BT64" s="79">
        <f t="shared" si="28"/>
        <v>0</v>
      </c>
      <c r="BU64" s="75"/>
      <c r="BV64" s="76"/>
      <c r="BW64" s="135"/>
      <c r="BX64" s="135"/>
      <c r="BY64" s="77">
        <f t="shared" si="29"/>
        <v>0</v>
      </c>
      <c r="BZ64" s="78"/>
      <c r="CA64" s="142"/>
      <c r="CB64" s="142"/>
      <c r="CC64" s="77">
        <f t="shared" si="30"/>
        <v>0</v>
      </c>
      <c r="CD64" s="78"/>
      <c r="CE64" s="142"/>
      <c r="CF64" s="142"/>
      <c r="CG64" s="79">
        <f t="shared" si="31"/>
        <v>0</v>
      </c>
      <c r="CH64" s="75"/>
      <c r="CI64" s="76"/>
      <c r="CJ64" s="135"/>
      <c r="CK64" s="135"/>
      <c r="CL64" s="77">
        <f t="shared" si="32"/>
        <v>0</v>
      </c>
      <c r="CM64" s="78"/>
      <c r="CN64" s="142"/>
      <c r="CO64" s="142"/>
      <c r="CP64" s="77">
        <f t="shared" si="33"/>
        <v>0</v>
      </c>
      <c r="CQ64" s="78"/>
      <c r="CR64" s="142"/>
      <c r="CS64" s="142"/>
      <c r="CT64" s="79">
        <f t="shared" si="34"/>
        <v>0</v>
      </c>
      <c r="CU64" s="80">
        <f t="shared" si="35"/>
        <v>0</v>
      </c>
      <c r="CV64" s="81">
        <f t="shared" si="36"/>
        <v>0</v>
      </c>
      <c r="CW64" s="144"/>
      <c r="CX64" s="145">
        <f>IF(ISERROR(VLOOKUP($A64,FIJOS!$B$11:$O$590,14,FALSE)),0,VLOOKUP($A64,FIJOS!$B$11:$O$590,14,FALSE))</f>
        <v>0</v>
      </c>
      <c r="CY64" s="145">
        <f>IF(ISERROR(VLOOKUP(A64,FIJOS!$B$10:$P$590,15,FALSE)),0,VLOOKUP(A64,FIJOS!$B$10:$P$590,15,FALSE))</f>
        <v>0</v>
      </c>
      <c r="CZ64" s="156"/>
      <c r="DA64" s="146"/>
      <c r="DB64" s="147"/>
      <c r="DC64" s="147"/>
      <c r="DD64" s="147"/>
      <c r="DE64" s="147"/>
      <c r="DF64" s="145">
        <f>IF(ISERROR(VLOOKUP($A64,FIJOS!$B$11:$N$590,13,FALSE)),0,VLOOKUP($A64,FIJOS!$B$11:$N$590,13,FALSE))</f>
        <v>0</v>
      </c>
      <c r="DG64" s="145">
        <f>IF(ISERROR(VLOOKUP($A64,FIJOS!$B$11:$P$447,12,FALSE)),0,VLOOKUP($A64,FIJOS!$B$11:$P$447,12,FALSE))</f>
        <v>0</v>
      </c>
      <c r="DH64" s="82">
        <f t="shared" si="37"/>
        <v>0</v>
      </c>
      <c r="DI64" s="83" t="b">
        <f>IF($C64=1,(VLOOKUP($A64,FIJOS!$B$11:$P$545,10,FALSE)/7)*(7-$CU64),IF(AND($C64=2,CV64&lt;$DJ$1),(VLOOKUP($D64,HORAS!$B$4:$C$42,2,FALSE)*24)*$CV64,IF(AND($C64=2,CV64&gt;=$DJ$1),VLOOKUP($D64,HORAS!$B$4:$D$42,3,FALSE),IF(AND($C64=3,$CV64&gt;=$DJ$1),VLOOKUP($A64,FIJOS!$B$11:$P$545,10,FALSE),IF(AND($C64=3,$CV64&lt;$DJ$1),((VLOOKUP($A64,FIJOS!$B$11:$P$545,10,FALSE)/48)*24)*$CV64,IF(AND($C64=4,$CV64&gt;=(42/24)),VLOOKUP($D64,HORAS!$B$4:$D$42,3,FALSE),IF(AND($C64=5,$CV64&gt;=(36/24)),VLOOKUP($D64,HORAS!$B$4:$D$42,3,FALSE))))))))</f>
        <v>0</v>
      </c>
      <c r="DJ64" s="145">
        <f>IF(OR($C64=2),VLOOKUP($D64,HORAS!$B$4:$E$42,4,FALSE)*$EC64,IF(ISERROR(VLOOKUP($A64,FIJOS!$B$11:$P$108,9,FALSE)),0,VLOOKUP($A64,FIJOS!$B$11:$P$231,9,FALSE)*$EC64))</f>
        <v>0</v>
      </c>
      <c r="DK64" s="145">
        <f>IF(OR($C64=2),VLOOKUP($D64,HORAS!$B$4:$F$42,5,FALSE)*$EE64,IF(ISERROR(VLOOKUP($A64,FIJOS!$B$11:$P$108,9,FALSE)),0,VLOOKUP($A64,FIJOS!$B$11:$P$231,9,FALSE)*$EE64))</f>
        <v>0</v>
      </c>
      <c r="DL64" s="144"/>
      <c r="DM64" s="145">
        <f>IF(ISERROR(VLOOKUP($A64,FIJOS!$B$11:$L$646,11,FALSE)),0,VLOOKUP($A64,FIJOS!$B$11:$L$646,11,FALSE))</f>
        <v>0</v>
      </c>
      <c r="DN64" s="148" t="e">
        <f>IF(OR($C64=1,$C64=3),0,IF((VLOOKUP(CAPTURA!D64,HORAS!$B$4:$K$42,10,FALSE)/4)*COUNTIF($H64:$CT64,3)&gt;100,100,(VLOOKUP(CAPTURA!D64,HORAS!$B$4:$K$42,10,FALSE)/4)*COUNTIF($H64:$CT64,3)))</f>
        <v>#N/A</v>
      </c>
      <c r="DO64" s="144" t="e">
        <f>IF(OR($C64=1,$C64=3),0,IF($C64=5,VLOOKUP(D64,HORAS!$B$4:$G$42,6,FALSE),IF(AND($C64=4,$CV64&gt;=(42/24)),VLOOKUP(D64,HORAS!$B$4:$G$42,6,FALSE),IF(COUNTIF($H64:$CL64,"F")&gt;0,0,IF(CV64&gt;$DJ$1,$DJ$1*(VLOOKUP(D64,HORAS!$B$4:$G$42,6,FALSE)/$DJ$1),CV64*(VLOOKUP(D64,HORAS!$B$4:$G$42,6,FALSE)/$DJ$1))))))</f>
        <v>#N/A</v>
      </c>
      <c r="DP64" s="156"/>
      <c r="DQ64" s="89"/>
      <c r="DR64" s="148"/>
      <c r="DS64" s="83" t="e">
        <f t="shared" si="38"/>
        <v>#N/A</v>
      </c>
      <c r="DT64" s="84"/>
      <c r="DU64" s="149" t="e">
        <f t="shared" si="39"/>
        <v>#N/A</v>
      </c>
      <c r="DV64" s="149" t="e">
        <f t="shared" si="40"/>
        <v>#N/A</v>
      </c>
      <c r="DW64" s="144" t="e">
        <f t="shared" si="41"/>
        <v>#N/A</v>
      </c>
      <c r="DX64" s="134"/>
      <c r="DY64" s="29"/>
      <c r="DZ64" s="150"/>
      <c r="EA64" s="134"/>
      <c r="EB64" s="137">
        <f t="shared" si="11"/>
        <v>0</v>
      </c>
      <c r="EC64" s="138">
        <f t="shared" si="9"/>
        <v>0</v>
      </c>
      <c r="ED64" s="137">
        <f t="shared" si="12"/>
        <v>0</v>
      </c>
      <c r="EE64" s="132">
        <f t="shared" si="10"/>
        <v>0</v>
      </c>
      <c r="EF64" s="29"/>
      <c r="EG64" s="134"/>
      <c r="EH64" s="134"/>
      <c r="EI64" s="134"/>
      <c r="EK64" s="29"/>
    </row>
    <row r="65" spans="1:141" ht="15" customHeight="1" x14ac:dyDescent="0.25">
      <c r="A65" s="140"/>
      <c r="B65" s="151"/>
      <c r="C65" s="72"/>
      <c r="D65" s="73"/>
      <c r="E65" s="73"/>
      <c r="F65" s="141"/>
      <c r="G65" s="74"/>
      <c r="H65" s="75"/>
      <c r="I65" s="76"/>
      <c r="J65" s="135"/>
      <c r="K65" s="135"/>
      <c r="L65" s="77">
        <f t="shared" si="14"/>
        <v>0</v>
      </c>
      <c r="M65" s="78"/>
      <c r="N65" s="142"/>
      <c r="O65" s="142"/>
      <c r="P65" s="77">
        <f t="shared" si="15"/>
        <v>0</v>
      </c>
      <c r="Q65" s="78"/>
      <c r="R65" s="143"/>
      <c r="S65" s="143"/>
      <c r="T65" s="77">
        <f t="shared" si="16"/>
        <v>0</v>
      </c>
      <c r="U65" s="75"/>
      <c r="V65" s="76"/>
      <c r="W65" s="135"/>
      <c r="X65" s="135"/>
      <c r="Y65" s="77">
        <f t="shared" si="17"/>
        <v>0</v>
      </c>
      <c r="Z65" s="78"/>
      <c r="AA65" s="142"/>
      <c r="AB65" s="142"/>
      <c r="AC65" s="77">
        <f t="shared" si="18"/>
        <v>0</v>
      </c>
      <c r="AD65" s="78"/>
      <c r="AE65" s="143"/>
      <c r="AF65" s="143"/>
      <c r="AG65" s="79">
        <f t="shared" si="19"/>
        <v>0</v>
      </c>
      <c r="AH65" s="75"/>
      <c r="AI65" s="76"/>
      <c r="AJ65" s="135"/>
      <c r="AK65" s="135"/>
      <c r="AL65" s="77">
        <f t="shared" si="20"/>
        <v>0</v>
      </c>
      <c r="AM65" s="76"/>
      <c r="AN65" s="142"/>
      <c r="AO65" s="142"/>
      <c r="AP65" s="77">
        <f t="shared" si="21"/>
        <v>0</v>
      </c>
      <c r="AQ65" s="78"/>
      <c r="AR65" s="142"/>
      <c r="AS65" s="142"/>
      <c r="AT65" s="79">
        <f t="shared" si="22"/>
        <v>0</v>
      </c>
      <c r="AU65" s="75"/>
      <c r="AV65" s="76"/>
      <c r="AW65" s="135"/>
      <c r="AX65" s="135"/>
      <c r="AY65" s="77">
        <f t="shared" si="23"/>
        <v>0</v>
      </c>
      <c r="AZ65" s="76"/>
      <c r="BA65" s="142"/>
      <c r="BB65" s="142"/>
      <c r="BC65" s="77">
        <f t="shared" si="24"/>
        <v>0</v>
      </c>
      <c r="BD65" s="78"/>
      <c r="BE65" s="142"/>
      <c r="BF65" s="142"/>
      <c r="BG65" s="79">
        <f t="shared" si="25"/>
        <v>0</v>
      </c>
      <c r="BH65" s="75"/>
      <c r="BI65" s="76"/>
      <c r="BJ65" s="135"/>
      <c r="BK65" s="135"/>
      <c r="BL65" s="77">
        <f t="shared" si="26"/>
        <v>0</v>
      </c>
      <c r="BM65" s="76"/>
      <c r="BN65" s="142"/>
      <c r="BO65" s="142"/>
      <c r="BP65" s="77">
        <f t="shared" si="27"/>
        <v>0</v>
      </c>
      <c r="BQ65" s="78"/>
      <c r="BR65" s="142"/>
      <c r="BS65" s="142"/>
      <c r="BT65" s="79">
        <f t="shared" si="28"/>
        <v>0</v>
      </c>
      <c r="BU65" s="75"/>
      <c r="BV65" s="76"/>
      <c r="BW65" s="135"/>
      <c r="BX65" s="135"/>
      <c r="BY65" s="77">
        <f t="shared" si="29"/>
        <v>0</v>
      </c>
      <c r="BZ65" s="78"/>
      <c r="CA65" s="142"/>
      <c r="CB65" s="142"/>
      <c r="CC65" s="77">
        <f t="shared" si="30"/>
        <v>0</v>
      </c>
      <c r="CD65" s="78"/>
      <c r="CE65" s="142"/>
      <c r="CF65" s="142"/>
      <c r="CG65" s="79">
        <f t="shared" si="31"/>
        <v>0</v>
      </c>
      <c r="CH65" s="75"/>
      <c r="CI65" s="76"/>
      <c r="CJ65" s="135"/>
      <c r="CK65" s="135"/>
      <c r="CL65" s="77">
        <f t="shared" si="32"/>
        <v>0</v>
      </c>
      <c r="CM65" s="78"/>
      <c r="CN65" s="142"/>
      <c r="CO65" s="142"/>
      <c r="CP65" s="77">
        <f t="shared" si="33"/>
        <v>0</v>
      </c>
      <c r="CQ65" s="78"/>
      <c r="CR65" s="142"/>
      <c r="CS65" s="142"/>
      <c r="CT65" s="79">
        <f t="shared" si="34"/>
        <v>0</v>
      </c>
      <c r="CU65" s="80">
        <f t="shared" si="35"/>
        <v>0</v>
      </c>
      <c r="CV65" s="81">
        <f t="shared" si="36"/>
        <v>0</v>
      </c>
      <c r="CW65" s="144"/>
      <c r="CX65" s="145">
        <f>IF(ISERROR(VLOOKUP($A65,FIJOS!$B$11:$O$590,14,FALSE)),0,VLOOKUP($A65,FIJOS!$B$11:$O$590,14,FALSE))</f>
        <v>0</v>
      </c>
      <c r="CY65" s="145">
        <f>IF(ISERROR(VLOOKUP(A65,FIJOS!$B$10:$P$590,15,FALSE)),0,VLOOKUP(A65,FIJOS!$B$10:$P$590,15,FALSE))</f>
        <v>0</v>
      </c>
      <c r="CZ65" s="156"/>
      <c r="DA65" s="146"/>
      <c r="DB65" s="147"/>
      <c r="DC65" s="147"/>
      <c r="DD65" s="147"/>
      <c r="DE65" s="147"/>
      <c r="DF65" s="145">
        <f>IF(ISERROR(VLOOKUP($A65,FIJOS!$B$11:$N$590,13,FALSE)),0,VLOOKUP($A65,FIJOS!$B$11:$N$590,13,FALSE))</f>
        <v>0</v>
      </c>
      <c r="DG65" s="145">
        <f>IF(ISERROR(VLOOKUP($A65,FIJOS!$B$11:$P$447,12,FALSE)),0,VLOOKUP($A65,FIJOS!$B$11:$P$447,12,FALSE))</f>
        <v>0</v>
      </c>
      <c r="DH65" s="82">
        <f t="shared" si="37"/>
        <v>0</v>
      </c>
      <c r="DI65" s="83" t="b">
        <f>IF($C65=1,(VLOOKUP($A65,FIJOS!$B$11:$P$545,10,FALSE)/7)*(7-$CU65),IF(AND($C65=2,CV65&lt;$DJ$1),(VLOOKUP($D65,HORAS!$B$4:$C$42,2,FALSE)*24)*$CV65,IF(AND($C65=2,CV65&gt;=$DJ$1),VLOOKUP($D65,HORAS!$B$4:$D$42,3,FALSE),IF(AND($C65=3,$CV65&gt;=$DJ$1),VLOOKUP($A65,FIJOS!$B$11:$P$545,10,FALSE),IF(AND($C65=3,$CV65&lt;$DJ$1),((VLOOKUP($A65,FIJOS!$B$11:$P$545,10,FALSE)/48)*24)*$CV65,IF(AND($C65=4,$CV65&gt;=(42/24)),VLOOKUP($D65,HORAS!$B$4:$D$42,3,FALSE),IF(AND($C65=5,$CV65&gt;=(36/24)),VLOOKUP($D65,HORAS!$B$4:$D$42,3,FALSE))))))))</f>
        <v>0</v>
      </c>
      <c r="DJ65" s="145">
        <f>IF(OR($C65=2),VLOOKUP($D65,HORAS!$B$4:$E$42,4,FALSE)*$EC65,IF(ISERROR(VLOOKUP($A65,FIJOS!$B$11:$P$108,9,FALSE)),0,VLOOKUP($A65,FIJOS!$B$11:$P$231,9,FALSE)*$EC65))</f>
        <v>0</v>
      </c>
      <c r="DK65" s="145">
        <f>IF(OR($C65=2),VLOOKUP($D65,HORAS!$B$4:$F$42,5,FALSE)*$EE65,IF(ISERROR(VLOOKUP($A65,FIJOS!$B$11:$P$108,9,FALSE)),0,VLOOKUP($A65,FIJOS!$B$11:$P$231,9,FALSE)*$EE65))</f>
        <v>0</v>
      </c>
      <c r="DL65" s="144"/>
      <c r="DM65" s="145">
        <f>IF(ISERROR(VLOOKUP($A65,FIJOS!$B$11:$L$646,11,FALSE)),0,VLOOKUP($A65,FIJOS!$B$11:$L$646,11,FALSE))</f>
        <v>0</v>
      </c>
      <c r="DN65" s="148" t="e">
        <f>IF(OR($C65=1,$C65=3),0,IF((VLOOKUP(CAPTURA!D65,HORAS!$B$4:$K$42,10,FALSE)/4)*COUNTIF($H65:$CT65,3)&gt;100,100,(VLOOKUP(CAPTURA!D65,HORAS!$B$4:$K$42,10,FALSE)/4)*COUNTIF($H65:$CT65,3)))</f>
        <v>#N/A</v>
      </c>
      <c r="DO65" s="144" t="e">
        <f>IF(OR($C65=1,$C65=3),0,IF($C65=5,VLOOKUP(D65,HORAS!$B$4:$G$42,6,FALSE),IF(AND($C65=4,$CV65&gt;=(42/24)),VLOOKUP(D65,HORAS!$B$4:$G$42,6,FALSE),IF(COUNTIF($H65:$CL65,"F")&gt;0,0,IF(CV65&gt;$DJ$1,$DJ$1*(VLOOKUP(D65,HORAS!$B$4:$G$42,6,FALSE)/$DJ$1),CV65*(VLOOKUP(D65,HORAS!$B$4:$G$42,6,FALSE)/$DJ$1))))))</f>
        <v>#N/A</v>
      </c>
      <c r="DP65" s="177"/>
      <c r="DQ65" s="148"/>
      <c r="DR65" s="148"/>
      <c r="DS65" s="83" t="e">
        <f t="shared" si="38"/>
        <v>#N/A</v>
      </c>
      <c r="DT65" s="84"/>
      <c r="DU65" s="149" t="e">
        <f t="shared" si="39"/>
        <v>#N/A</v>
      </c>
      <c r="DV65" s="149" t="e">
        <f t="shared" si="40"/>
        <v>#N/A</v>
      </c>
      <c r="DW65" s="144" t="e">
        <f t="shared" si="41"/>
        <v>#N/A</v>
      </c>
      <c r="DX65" s="134"/>
      <c r="DY65" s="29"/>
      <c r="DZ65" s="150"/>
      <c r="EA65" s="134"/>
      <c r="EB65" s="137">
        <f t="shared" si="11"/>
        <v>0</v>
      </c>
      <c r="EC65" s="138">
        <f t="shared" si="9"/>
        <v>0</v>
      </c>
      <c r="ED65" s="137">
        <f t="shared" si="12"/>
        <v>0</v>
      </c>
      <c r="EE65" s="132">
        <f t="shared" si="10"/>
        <v>0</v>
      </c>
      <c r="EF65" s="29"/>
      <c r="EG65" s="134"/>
      <c r="EH65" s="134"/>
      <c r="EI65" s="134"/>
      <c r="EK65" s="29"/>
    </row>
    <row r="66" spans="1:141" ht="15" customHeight="1" x14ac:dyDescent="0.25">
      <c r="A66" s="140"/>
      <c r="B66" s="5"/>
      <c r="C66" s="72"/>
      <c r="D66" s="73"/>
      <c r="E66" s="73"/>
      <c r="F66" s="141"/>
      <c r="G66" s="74"/>
      <c r="H66" s="75"/>
      <c r="I66" s="76"/>
      <c r="J66" s="135"/>
      <c r="K66" s="135"/>
      <c r="L66" s="77">
        <f t="shared" si="14"/>
        <v>0</v>
      </c>
      <c r="M66" s="78"/>
      <c r="N66" s="142"/>
      <c r="O66" s="142"/>
      <c r="P66" s="77">
        <f t="shared" si="15"/>
        <v>0</v>
      </c>
      <c r="Q66" s="78"/>
      <c r="R66" s="143"/>
      <c r="S66" s="143"/>
      <c r="T66" s="77">
        <f t="shared" si="16"/>
        <v>0</v>
      </c>
      <c r="U66" s="75"/>
      <c r="V66" s="76"/>
      <c r="W66" s="135"/>
      <c r="X66" s="135"/>
      <c r="Y66" s="77">
        <f t="shared" si="17"/>
        <v>0</v>
      </c>
      <c r="Z66" s="78"/>
      <c r="AA66" s="142"/>
      <c r="AB66" s="142"/>
      <c r="AC66" s="77">
        <f t="shared" si="18"/>
        <v>0</v>
      </c>
      <c r="AD66" s="78"/>
      <c r="AE66" s="143"/>
      <c r="AF66" s="143"/>
      <c r="AG66" s="79">
        <f t="shared" si="19"/>
        <v>0</v>
      </c>
      <c r="AH66" s="75"/>
      <c r="AI66" s="76"/>
      <c r="AJ66" s="135"/>
      <c r="AK66" s="135"/>
      <c r="AL66" s="77">
        <f t="shared" si="20"/>
        <v>0</v>
      </c>
      <c r="AM66" s="76"/>
      <c r="AN66" s="142"/>
      <c r="AO66" s="142"/>
      <c r="AP66" s="77">
        <f t="shared" si="21"/>
        <v>0</v>
      </c>
      <c r="AQ66" s="78"/>
      <c r="AR66" s="142"/>
      <c r="AS66" s="142"/>
      <c r="AT66" s="79">
        <f t="shared" si="22"/>
        <v>0</v>
      </c>
      <c r="AU66" s="75"/>
      <c r="AV66" s="76"/>
      <c r="AW66" s="135"/>
      <c r="AX66" s="135"/>
      <c r="AY66" s="77">
        <f t="shared" si="23"/>
        <v>0</v>
      </c>
      <c r="AZ66" s="76"/>
      <c r="BA66" s="142"/>
      <c r="BB66" s="142"/>
      <c r="BC66" s="77">
        <f t="shared" si="24"/>
        <v>0</v>
      </c>
      <c r="BD66" s="78"/>
      <c r="BE66" s="142"/>
      <c r="BF66" s="142"/>
      <c r="BG66" s="79">
        <f t="shared" si="25"/>
        <v>0</v>
      </c>
      <c r="BH66" s="75"/>
      <c r="BI66" s="76"/>
      <c r="BJ66" s="135"/>
      <c r="BK66" s="135"/>
      <c r="BL66" s="77">
        <f t="shared" si="26"/>
        <v>0</v>
      </c>
      <c r="BM66" s="76"/>
      <c r="BN66" s="142"/>
      <c r="BO66" s="142"/>
      <c r="BP66" s="77">
        <f t="shared" si="27"/>
        <v>0</v>
      </c>
      <c r="BQ66" s="78"/>
      <c r="BR66" s="142"/>
      <c r="BS66" s="142"/>
      <c r="BT66" s="79">
        <f t="shared" si="28"/>
        <v>0</v>
      </c>
      <c r="BU66" s="75"/>
      <c r="BV66" s="76"/>
      <c r="BW66" s="135"/>
      <c r="BX66" s="135"/>
      <c r="BY66" s="77">
        <f t="shared" si="29"/>
        <v>0</v>
      </c>
      <c r="BZ66" s="78"/>
      <c r="CA66" s="142"/>
      <c r="CB66" s="142"/>
      <c r="CC66" s="77">
        <f t="shared" si="30"/>
        <v>0</v>
      </c>
      <c r="CD66" s="78"/>
      <c r="CE66" s="142"/>
      <c r="CF66" s="142"/>
      <c r="CG66" s="79">
        <f t="shared" si="31"/>
        <v>0</v>
      </c>
      <c r="CH66" s="75"/>
      <c r="CI66" s="76"/>
      <c r="CJ66" s="135"/>
      <c r="CK66" s="135"/>
      <c r="CL66" s="77">
        <f t="shared" si="32"/>
        <v>0</v>
      </c>
      <c r="CM66" s="78"/>
      <c r="CN66" s="142"/>
      <c r="CO66" s="142"/>
      <c r="CP66" s="77">
        <f t="shared" si="33"/>
        <v>0</v>
      </c>
      <c r="CQ66" s="78"/>
      <c r="CR66" s="142"/>
      <c r="CS66" s="142"/>
      <c r="CT66" s="79">
        <f t="shared" si="34"/>
        <v>0</v>
      </c>
      <c r="CU66" s="80">
        <f t="shared" si="35"/>
        <v>0</v>
      </c>
      <c r="CV66" s="81">
        <f t="shared" si="36"/>
        <v>0</v>
      </c>
      <c r="CW66" s="144"/>
      <c r="CX66" s="145">
        <f>IF(ISERROR(VLOOKUP($A66,FIJOS!$B$11:$O$590,14,FALSE)),0,VLOOKUP($A66,FIJOS!$B$11:$O$590,14,FALSE))</f>
        <v>0</v>
      </c>
      <c r="CY66" s="145">
        <f>IF(ISERROR(VLOOKUP(A66,FIJOS!$B$10:$P$590,15,FALSE)),0,VLOOKUP(A66,FIJOS!$B$10:$P$590,15,FALSE))</f>
        <v>0</v>
      </c>
      <c r="CZ66" s="156"/>
      <c r="DA66" s="146"/>
      <c r="DB66" s="147"/>
      <c r="DC66" s="147"/>
      <c r="DD66" s="147"/>
      <c r="DE66" s="147"/>
      <c r="DF66" s="145">
        <f>IF(ISERROR(VLOOKUP($A66,FIJOS!$B$11:$N$590,13,FALSE)),0,VLOOKUP($A66,FIJOS!$B$11:$N$590,13,FALSE))</f>
        <v>0</v>
      </c>
      <c r="DG66" s="145">
        <f>IF(ISERROR(VLOOKUP($A66,FIJOS!$B$11:$P$447,12,FALSE)),0,VLOOKUP($A66,FIJOS!$B$11:$P$447,12,FALSE))</f>
        <v>0</v>
      </c>
      <c r="DH66" s="82">
        <f t="shared" si="37"/>
        <v>0</v>
      </c>
      <c r="DI66" s="83" t="b">
        <f>IF($C66=1,(VLOOKUP($A66,FIJOS!$B$11:$P$545,10,FALSE)/7)*(7-$CU66),IF(AND($C66=2,CV66&lt;$DJ$1),(VLOOKUP($D66,HORAS!$B$4:$C$42,2,FALSE)*24)*$CV66,IF(AND($C66=2,CV66&gt;=$DJ$1),VLOOKUP($D66,HORAS!$B$4:$D$42,3,FALSE),IF(AND($C66=3,$CV66&gt;=$DJ$1),VLOOKUP($A66,FIJOS!$B$11:$P$545,10,FALSE),IF(AND($C66=3,$CV66&lt;$DJ$1),((VLOOKUP($A66,FIJOS!$B$11:$P$545,10,FALSE)/48)*24)*$CV66,IF(AND($C66=4,$CV66&gt;=(42/24)),VLOOKUP($D66,HORAS!$B$4:$D$42,3,FALSE),IF(AND($C66=5,$CV66&gt;=(36/24)),VLOOKUP($D66,HORAS!$B$4:$D$42,3,FALSE))))))))</f>
        <v>0</v>
      </c>
      <c r="DJ66" s="145">
        <f>IF(OR($C66=2),VLOOKUP($D66,HORAS!$B$4:$E$42,4,FALSE)*$EC66,IF(ISERROR(VLOOKUP($A66,FIJOS!$B$11:$P$108,9,FALSE)),0,VLOOKUP($A66,FIJOS!$B$11:$P$231,9,FALSE)*$EC66))</f>
        <v>0</v>
      </c>
      <c r="DK66" s="145">
        <f>IF(OR($C66=2),VLOOKUP($D66,HORAS!$B$4:$F$42,5,FALSE)*$EE66,IF(ISERROR(VLOOKUP($A66,FIJOS!$B$11:$P$108,9,FALSE)),0,VLOOKUP($A66,FIJOS!$B$11:$P$231,9,FALSE)*$EE66))</f>
        <v>0</v>
      </c>
      <c r="DL66" s="144"/>
      <c r="DM66" s="145">
        <f>IF(ISERROR(VLOOKUP($A66,FIJOS!$B$11:$L$646,11,FALSE)),0,VLOOKUP($A66,FIJOS!$B$11:$L$646,11,FALSE))</f>
        <v>0</v>
      </c>
      <c r="DN66" s="148" t="e">
        <f>IF(OR($C66=1,$C66=3),0,IF((VLOOKUP(CAPTURA!D66,HORAS!$B$4:$K$42,10,FALSE)/4)*COUNTIF($H66:$CT66,3)&gt;100,100,(VLOOKUP(CAPTURA!D66,HORAS!$B$4:$K$42,10,FALSE)/4)*COUNTIF($H66:$CT66,3)))</f>
        <v>#N/A</v>
      </c>
      <c r="DO66" s="144" t="e">
        <f>IF(OR($C66=1,$C66=3),0,IF($C66=5,VLOOKUP(D66,HORAS!$B$4:$G$42,6,FALSE),IF(AND($C66=4,$CV66&gt;=(42/24)),VLOOKUP(D66,HORAS!$B$4:$G$42,6,FALSE),IF(COUNTIF($H66:$CL66,"F")&gt;0,0,IF(CV66&gt;$DJ$1,$DJ$1*(VLOOKUP(D66,HORAS!$B$4:$G$42,6,FALSE)/$DJ$1),CV66*(VLOOKUP(D66,HORAS!$B$4:$G$42,6,FALSE)/$DJ$1))))))</f>
        <v>#N/A</v>
      </c>
      <c r="DP66" s="156"/>
      <c r="DQ66" s="89"/>
      <c r="DR66" s="148"/>
      <c r="DS66" s="83" t="e">
        <f t="shared" si="38"/>
        <v>#N/A</v>
      </c>
      <c r="DT66" s="84"/>
      <c r="DU66" s="149" t="e">
        <f t="shared" si="39"/>
        <v>#N/A</v>
      </c>
      <c r="DV66" s="149" t="e">
        <f t="shared" si="40"/>
        <v>#N/A</v>
      </c>
      <c r="DW66" s="144" t="e">
        <f t="shared" si="41"/>
        <v>#N/A</v>
      </c>
      <c r="DX66"/>
      <c r="DY66" s="29"/>
      <c r="DZ66" s="150"/>
      <c r="EA66" s="134"/>
      <c r="EB66" s="137">
        <f t="shared" si="11"/>
        <v>0</v>
      </c>
      <c r="EC66" s="138">
        <f t="shared" si="9"/>
        <v>0</v>
      </c>
      <c r="ED66" s="137">
        <f t="shared" si="12"/>
        <v>0</v>
      </c>
      <c r="EE66" s="132">
        <f t="shared" si="10"/>
        <v>0</v>
      </c>
      <c r="EF66" s="29"/>
      <c r="EG66" s="134"/>
      <c r="EH66" s="134"/>
      <c r="EI66" s="134"/>
      <c r="EK66" s="29"/>
    </row>
    <row r="67" spans="1:141" ht="15" customHeight="1" x14ac:dyDescent="0.25">
      <c r="A67" s="140"/>
      <c r="B67" s="151"/>
      <c r="C67" s="72"/>
      <c r="D67" s="73"/>
      <c r="E67" s="73"/>
      <c r="F67" s="141"/>
      <c r="G67" s="74"/>
      <c r="H67" s="75"/>
      <c r="I67" s="76"/>
      <c r="J67" s="135"/>
      <c r="K67" s="135"/>
      <c r="L67" s="77">
        <f t="shared" si="14"/>
        <v>0</v>
      </c>
      <c r="M67" s="78"/>
      <c r="N67" s="142"/>
      <c r="O67" s="142"/>
      <c r="P67" s="77">
        <f t="shared" si="15"/>
        <v>0</v>
      </c>
      <c r="Q67" s="78"/>
      <c r="R67" s="143"/>
      <c r="S67" s="143"/>
      <c r="T67" s="77">
        <f t="shared" si="16"/>
        <v>0</v>
      </c>
      <c r="U67" s="75"/>
      <c r="V67" s="76"/>
      <c r="W67" s="135"/>
      <c r="X67" s="135"/>
      <c r="Y67" s="77">
        <f t="shared" si="17"/>
        <v>0</v>
      </c>
      <c r="Z67" s="78"/>
      <c r="AA67" s="142"/>
      <c r="AB67" s="142"/>
      <c r="AC67" s="77">
        <f t="shared" si="18"/>
        <v>0</v>
      </c>
      <c r="AD67" s="78"/>
      <c r="AE67" s="143"/>
      <c r="AF67" s="143"/>
      <c r="AG67" s="79">
        <f t="shared" si="19"/>
        <v>0</v>
      </c>
      <c r="AH67" s="75"/>
      <c r="AI67" s="76"/>
      <c r="AJ67" s="135"/>
      <c r="AK67" s="135"/>
      <c r="AL67" s="77">
        <f t="shared" si="20"/>
        <v>0</v>
      </c>
      <c r="AM67" s="76"/>
      <c r="AN67" s="142"/>
      <c r="AO67" s="142"/>
      <c r="AP67" s="77">
        <f t="shared" si="21"/>
        <v>0</v>
      </c>
      <c r="AQ67" s="78"/>
      <c r="AR67" s="142"/>
      <c r="AS67" s="142"/>
      <c r="AT67" s="79">
        <f t="shared" si="22"/>
        <v>0</v>
      </c>
      <c r="AU67" s="75"/>
      <c r="AV67" s="76"/>
      <c r="AW67" s="135"/>
      <c r="AX67" s="135"/>
      <c r="AY67" s="77">
        <f t="shared" si="23"/>
        <v>0</v>
      </c>
      <c r="AZ67" s="76"/>
      <c r="BA67" s="142"/>
      <c r="BB67" s="142"/>
      <c r="BC67" s="77">
        <f t="shared" si="24"/>
        <v>0</v>
      </c>
      <c r="BD67" s="78"/>
      <c r="BE67" s="142"/>
      <c r="BF67" s="142"/>
      <c r="BG67" s="79">
        <f t="shared" si="25"/>
        <v>0</v>
      </c>
      <c r="BH67" s="75"/>
      <c r="BI67" s="76"/>
      <c r="BJ67" s="135"/>
      <c r="BK67" s="135"/>
      <c r="BL67" s="77">
        <f t="shared" si="26"/>
        <v>0</v>
      </c>
      <c r="BM67" s="78"/>
      <c r="BN67" s="142"/>
      <c r="BO67" s="142"/>
      <c r="BP67" s="77">
        <f t="shared" si="27"/>
        <v>0</v>
      </c>
      <c r="BQ67" s="78"/>
      <c r="BR67" s="142"/>
      <c r="BS67" s="142"/>
      <c r="BT67" s="79">
        <f t="shared" si="28"/>
        <v>0</v>
      </c>
      <c r="BU67" s="75"/>
      <c r="BV67" s="76"/>
      <c r="BW67" s="135"/>
      <c r="BX67" s="135"/>
      <c r="BY67" s="77">
        <f t="shared" si="29"/>
        <v>0</v>
      </c>
      <c r="BZ67" s="78"/>
      <c r="CA67" s="142"/>
      <c r="CB67" s="142"/>
      <c r="CC67" s="77">
        <f t="shared" si="30"/>
        <v>0</v>
      </c>
      <c r="CD67" s="78"/>
      <c r="CE67" s="142"/>
      <c r="CF67" s="142"/>
      <c r="CG67" s="79">
        <f t="shared" si="31"/>
        <v>0</v>
      </c>
      <c r="CH67" s="75"/>
      <c r="CI67" s="76"/>
      <c r="CJ67" s="157"/>
      <c r="CK67" s="135"/>
      <c r="CL67" s="77">
        <f t="shared" si="32"/>
        <v>0</v>
      </c>
      <c r="CM67" s="78"/>
      <c r="CN67" s="142"/>
      <c r="CO67" s="142"/>
      <c r="CP67" s="77">
        <f t="shared" si="33"/>
        <v>0</v>
      </c>
      <c r="CQ67" s="78"/>
      <c r="CR67" s="142"/>
      <c r="CS67" s="142"/>
      <c r="CT67" s="79">
        <f t="shared" si="34"/>
        <v>0</v>
      </c>
      <c r="CU67" s="80">
        <f t="shared" si="35"/>
        <v>0</v>
      </c>
      <c r="CV67" s="81">
        <f t="shared" si="36"/>
        <v>0</v>
      </c>
      <c r="CW67" s="144"/>
      <c r="CX67" s="145">
        <f>IF(ISERROR(VLOOKUP($A67,FIJOS!$B$11:$O$590,14,FALSE)),0,VLOOKUP($A67,FIJOS!$B$11:$O$590,14,FALSE))</f>
        <v>0</v>
      </c>
      <c r="CY67" s="145">
        <f>IF(ISERROR(VLOOKUP(A67,FIJOS!$B$10:$P$590,15,FALSE)),0,VLOOKUP(A67,FIJOS!$B$10:$P$590,15,FALSE))</f>
        <v>0</v>
      </c>
      <c r="CZ67" s="156"/>
      <c r="DA67" s="146"/>
      <c r="DB67" s="147"/>
      <c r="DC67" s="147"/>
      <c r="DD67" s="147"/>
      <c r="DE67" s="147"/>
      <c r="DF67" s="145">
        <f>IF(ISERROR(VLOOKUP($A67,FIJOS!$B$11:$N$590,13,FALSE)),0,VLOOKUP($A67,FIJOS!$B$11:$N$590,13,FALSE))</f>
        <v>0</v>
      </c>
      <c r="DG67" s="145">
        <f>IF(ISERROR(VLOOKUP($A67,FIJOS!$B$11:$P$447,12,FALSE)),0,VLOOKUP($A67,FIJOS!$B$11:$P$447,12,FALSE))</f>
        <v>0</v>
      </c>
      <c r="DH67" s="82">
        <f t="shared" si="37"/>
        <v>0</v>
      </c>
      <c r="DI67" s="83" t="b">
        <f>IF($C67=1,(VLOOKUP($A67,FIJOS!$B$11:$P$545,10,FALSE)/7)*(7-$CU67),IF(AND($C67=2,CV67&lt;$DJ$1),(VLOOKUP($D67,HORAS!$B$4:$C$42,2,FALSE)*24)*$CV67,IF(AND($C67=2,CV67&gt;=$DJ$1),VLOOKUP($D67,HORAS!$B$4:$D$42,3,FALSE),IF(AND($C67=3,$CV67&gt;=$DJ$1),VLOOKUP($A67,FIJOS!$B$11:$P$545,10,FALSE),IF(AND($C67=3,$CV67&lt;$DJ$1),((VLOOKUP($A67,FIJOS!$B$11:$P$545,10,FALSE)/48)*24)*$CV67,IF(AND($C67=4,$CV67&gt;=(42/24)),VLOOKUP($D67,HORAS!$B$4:$D$42,3,FALSE),IF(AND($C67=5,$CV67&gt;=(36/24)),VLOOKUP($D67,HORAS!$B$4:$D$42,3,FALSE))))))))</f>
        <v>0</v>
      </c>
      <c r="DJ67" s="145">
        <f>IF(OR($C67=2),VLOOKUP($D67,HORAS!$B$4:$E$42,4,FALSE)*$EC67,IF(ISERROR(VLOOKUP($A67,FIJOS!$B$11:$P$108,9,FALSE)),0,VLOOKUP($A67,FIJOS!$B$11:$P$231,9,FALSE)*$EC67))</f>
        <v>0</v>
      </c>
      <c r="DK67" s="145">
        <f>IF(OR($C67=2),VLOOKUP($D67,HORAS!$B$4:$F$42,5,FALSE)*$EE67,IF(ISERROR(VLOOKUP($A67,FIJOS!$B$11:$P$108,9,FALSE)),0,VLOOKUP($A67,FIJOS!$B$11:$P$231,9,FALSE)*$EE67))</f>
        <v>0</v>
      </c>
      <c r="DL67" s="144"/>
      <c r="DM67" s="145">
        <f>IF(ISERROR(VLOOKUP($A67,FIJOS!$B$11:$L$646,11,FALSE)),0,VLOOKUP($A67,FIJOS!$B$11:$L$646,11,FALSE))</f>
        <v>0</v>
      </c>
      <c r="DN67" s="148" t="e">
        <f>IF(OR($C67=1,$C67=3),0,IF((VLOOKUP(CAPTURA!D67,HORAS!$B$4:$K$42,10,FALSE)/4)*COUNTIF($H67:$CT67,3)&gt;100,100,(VLOOKUP(CAPTURA!D67,HORAS!$B$4:$K$42,10,FALSE)/4)*COUNTIF($H67:$CT67,3)))</f>
        <v>#N/A</v>
      </c>
      <c r="DO67" s="144" t="e">
        <f>IF(OR($C67=1,$C67=3),0,IF($C67=5,VLOOKUP(D67,HORAS!$B$4:$G$42,6,FALSE),IF(AND($C67=4,$CV67&gt;=(42/24)),VLOOKUP(D67,HORAS!$B$4:$G$42,6,FALSE),IF(COUNTIF($H67:$CL67,"F")&gt;0,0,IF(CV67&gt;$DJ$1,$DJ$1*(VLOOKUP(D67,HORAS!$B$4:$G$42,6,FALSE)/$DJ$1),CV67*(VLOOKUP(D67,HORAS!$B$4:$G$42,6,FALSE)/$DJ$1))))))</f>
        <v>#N/A</v>
      </c>
      <c r="DP67" s="156"/>
      <c r="DQ67" s="148"/>
      <c r="DR67" s="148"/>
      <c r="DS67" s="83" t="e">
        <f t="shared" si="38"/>
        <v>#N/A</v>
      </c>
      <c r="DT67" s="84"/>
      <c r="DU67" s="149" t="e">
        <f t="shared" si="39"/>
        <v>#N/A</v>
      </c>
      <c r="DV67" s="149" t="e">
        <f t="shared" si="40"/>
        <v>#N/A</v>
      </c>
      <c r="DW67" s="144" t="e">
        <f t="shared" si="41"/>
        <v>#N/A</v>
      </c>
      <c r="DX67" s="134"/>
      <c r="DY67" s="29"/>
      <c r="DZ67" s="150"/>
      <c r="EA67" s="134"/>
      <c r="EB67" s="137">
        <f t="shared" si="11"/>
        <v>0</v>
      </c>
      <c r="EC67" s="138">
        <f t="shared" si="9"/>
        <v>0</v>
      </c>
      <c r="ED67" s="137">
        <f t="shared" si="12"/>
        <v>0</v>
      </c>
      <c r="EE67" s="132">
        <f t="shared" si="10"/>
        <v>0</v>
      </c>
      <c r="EF67" s="29"/>
      <c r="EG67" s="134"/>
      <c r="EH67" s="134"/>
      <c r="EI67" s="134"/>
      <c r="EK67" s="29"/>
    </row>
    <row r="68" spans="1:141" ht="15" customHeight="1" x14ac:dyDescent="0.25">
      <c r="A68" s="140"/>
      <c r="B68" s="151"/>
      <c r="C68" s="72"/>
      <c r="D68" s="73"/>
      <c r="E68" s="73"/>
      <c r="F68" s="141"/>
      <c r="G68" s="74"/>
      <c r="H68" s="75"/>
      <c r="I68" s="76"/>
      <c r="J68" s="135"/>
      <c r="K68" s="135"/>
      <c r="L68" s="77">
        <f t="shared" si="14"/>
        <v>0</v>
      </c>
      <c r="M68" s="78"/>
      <c r="N68" s="142"/>
      <c r="O68" s="142"/>
      <c r="P68" s="77">
        <f t="shared" si="15"/>
        <v>0</v>
      </c>
      <c r="Q68" s="78"/>
      <c r="R68" s="143"/>
      <c r="S68" s="143"/>
      <c r="T68" s="77">
        <f t="shared" si="16"/>
        <v>0</v>
      </c>
      <c r="U68" s="75"/>
      <c r="V68" s="76"/>
      <c r="W68" s="135"/>
      <c r="X68" s="135"/>
      <c r="Y68" s="77">
        <f t="shared" si="17"/>
        <v>0</v>
      </c>
      <c r="Z68" s="78"/>
      <c r="AA68" s="142"/>
      <c r="AB68" s="142"/>
      <c r="AC68" s="77">
        <f t="shared" si="18"/>
        <v>0</v>
      </c>
      <c r="AD68" s="78"/>
      <c r="AE68" s="143"/>
      <c r="AF68" s="143"/>
      <c r="AG68" s="79">
        <f t="shared" si="19"/>
        <v>0</v>
      </c>
      <c r="AH68" s="75"/>
      <c r="AI68" s="76"/>
      <c r="AJ68" s="135"/>
      <c r="AK68" s="135"/>
      <c r="AL68" s="77">
        <f t="shared" si="20"/>
        <v>0</v>
      </c>
      <c r="AM68" s="76"/>
      <c r="AN68" s="142"/>
      <c r="AO68" s="142"/>
      <c r="AP68" s="77">
        <f t="shared" si="21"/>
        <v>0</v>
      </c>
      <c r="AQ68" s="78"/>
      <c r="AR68" s="142"/>
      <c r="AS68" s="142"/>
      <c r="AT68" s="79">
        <f t="shared" si="22"/>
        <v>0</v>
      </c>
      <c r="AU68" s="75"/>
      <c r="AV68" s="76"/>
      <c r="AW68" s="135"/>
      <c r="AX68" s="135"/>
      <c r="AY68" s="77">
        <f t="shared" si="23"/>
        <v>0</v>
      </c>
      <c r="AZ68" s="76"/>
      <c r="BA68" s="142"/>
      <c r="BB68" s="142"/>
      <c r="BC68" s="77">
        <f t="shared" si="24"/>
        <v>0</v>
      </c>
      <c r="BD68" s="78"/>
      <c r="BE68" s="142"/>
      <c r="BF68" s="142"/>
      <c r="BG68" s="79">
        <f t="shared" si="25"/>
        <v>0</v>
      </c>
      <c r="BH68" s="75"/>
      <c r="BI68" s="76"/>
      <c r="BJ68" s="135"/>
      <c r="BK68" s="135"/>
      <c r="BL68" s="77">
        <f t="shared" si="26"/>
        <v>0</v>
      </c>
      <c r="BM68" s="78"/>
      <c r="BN68" s="142"/>
      <c r="BO68" s="142"/>
      <c r="BP68" s="77">
        <f t="shared" si="27"/>
        <v>0</v>
      </c>
      <c r="BQ68" s="78"/>
      <c r="BR68" s="142"/>
      <c r="BS68" s="142"/>
      <c r="BT68" s="79">
        <f t="shared" si="28"/>
        <v>0</v>
      </c>
      <c r="BU68" s="75"/>
      <c r="BV68" s="76"/>
      <c r="BW68" s="135"/>
      <c r="BX68" s="135"/>
      <c r="BY68" s="77">
        <f t="shared" si="29"/>
        <v>0</v>
      </c>
      <c r="BZ68" s="76"/>
      <c r="CA68" s="142"/>
      <c r="CB68" s="142"/>
      <c r="CC68" s="77">
        <f t="shared" si="30"/>
        <v>0</v>
      </c>
      <c r="CD68" s="76"/>
      <c r="CE68" s="142"/>
      <c r="CF68" s="142"/>
      <c r="CG68" s="79">
        <f t="shared" si="31"/>
        <v>0</v>
      </c>
      <c r="CH68" s="75"/>
      <c r="CI68" s="76"/>
      <c r="CJ68" s="135"/>
      <c r="CK68" s="135"/>
      <c r="CL68" s="77">
        <f t="shared" si="32"/>
        <v>0</v>
      </c>
      <c r="CM68" s="78"/>
      <c r="CN68" s="142"/>
      <c r="CO68" s="142"/>
      <c r="CP68" s="77">
        <f t="shared" si="33"/>
        <v>0</v>
      </c>
      <c r="CQ68" s="78"/>
      <c r="CR68" s="142"/>
      <c r="CS68" s="142"/>
      <c r="CT68" s="79">
        <f t="shared" si="34"/>
        <v>0</v>
      </c>
      <c r="CU68" s="80">
        <f t="shared" si="35"/>
        <v>0</v>
      </c>
      <c r="CV68" s="81">
        <f t="shared" si="36"/>
        <v>0</v>
      </c>
      <c r="CW68" s="144"/>
      <c r="CX68" s="145">
        <f>IF(ISERROR(VLOOKUP($A68,FIJOS!$B$11:$O$590,14,FALSE)),0,VLOOKUP($A68,FIJOS!$B$11:$O$590,14,FALSE))</f>
        <v>0</v>
      </c>
      <c r="CY68" s="145">
        <f>IF(ISERROR(VLOOKUP(A68,FIJOS!$B$10:$P$590,15,FALSE)),0,VLOOKUP(A68,FIJOS!$B$10:$P$590,15,FALSE))</f>
        <v>0</v>
      </c>
      <c r="CZ68" s="156"/>
      <c r="DA68" s="146"/>
      <c r="DB68" s="147"/>
      <c r="DC68" s="147"/>
      <c r="DD68" s="147"/>
      <c r="DE68" s="147"/>
      <c r="DF68" s="145">
        <f>IF(ISERROR(VLOOKUP($A68,FIJOS!$B$11:$N$590,13,FALSE)),0,VLOOKUP($A68,FIJOS!$B$11:$N$590,13,FALSE))</f>
        <v>0</v>
      </c>
      <c r="DG68" s="145">
        <f>IF(ISERROR(VLOOKUP($A68,FIJOS!$B$11:$P$447,12,FALSE)),0,VLOOKUP($A68,FIJOS!$B$11:$P$447,12,FALSE))</f>
        <v>0</v>
      </c>
      <c r="DH68" s="82">
        <f t="shared" si="37"/>
        <v>0</v>
      </c>
      <c r="DI68" s="83" t="b">
        <f>IF($C68=1,(VLOOKUP($A68,FIJOS!$B$11:$P$545,10,FALSE)/7)*(7-$CU68),IF(AND($C68=2,CV68&lt;$DJ$1),(VLOOKUP($D68,HORAS!$B$4:$C$42,2,FALSE)*24)*$CV68,IF(AND($C68=2,CV68&gt;=$DJ$1),VLOOKUP($D68,HORAS!$B$4:$D$42,3,FALSE),IF(AND($C68=3,$CV68&gt;=$DJ$1),VLOOKUP($A68,FIJOS!$B$11:$P$545,10,FALSE),IF(AND($C68=3,$CV68&lt;$DJ$1),((VLOOKUP($A68,FIJOS!$B$11:$P$545,10,FALSE)/48)*24)*$CV68,IF(AND($C68=4,$CV68&gt;=(42/24)),VLOOKUP($D68,HORAS!$B$4:$D$42,3,FALSE),IF(AND($C68=5,$CV68&gt;=(36/24)),VLOOKUP($D68,HORAS!$B$4:$D$42,3,FALSE))))))))</f>
        <v>0</v>
      </c>
      <c r="DJ68" s="145">
        <f>IF(OR($C68=2),VLOOKUP($D68,HORAS!$B$4:$E$42,4,FALSE)*$EC68,IF(ISERROR(VLOOKUP($A68,FIJOS!$B$11:$P$108,9,FALSE)),0,VLOOKUP($A68,FIJOS!$B$11:$P$231,9,FALSE)*$EC68))</f>
        <v>0</v>
      </c>
      <c r="DK68" s="145">
        <f>IF(OR($C68=2),VLOOKUP($D68,HORAS!$B$4:$F$42,5,FALSE)*$EE68,IF(ISERROR(VLOOKUP($A68,FIJOS!$B$11:$P$108,9,FALSE)),0,VLOOKUP($A68,FIJOS!$B$11:$P$231,9,FALSE)*$EE68))</f>
        <v>0</v>
      </c>
      <c r="DL68" s="144"/>
      <c r="DM68" s="145">
        <f>IF(ISERROR(VLOOKUP($A68,FIJOS!$B$11:$L$646,11,FALSE)),0,VLOOKUP($A68,FIJOS!$B$11:$L$646,11,FALSE))</f>
        <v>0</v>
      </c>
      <c r="DN68" s="148" t="e">
        <f>IF(OR($C68=1,$C68=3),0,IF((VLOOKUP(CAPTURA!D68,HORAS!$B$4:$K$42,10,FALSE)/4)*COUNTIF($H68:$CT68,3)&gt;100,100,(VLOOKUP(CAPTURA!D68,HORAS!$B$4:$K$42,10,FALSE)/4)*COUNTIF($H68:$CT68,3)))</f>
        <v>#N/A</v>
      </c>
      <c r="DO68" s="144" t="e">
        <f>IF(OR($C68=1,$C68=3),0,IF($C68=5,VLOOKUP(D68,HORAS!$B$4:$G$42,6,FALSE),IF(AND($C68=4,$CV68&gt;=(42/24)),VLOOKUP(D68,HORAS!$B$4:$G$42,6,FALSE),IF(COUNTIF($H68:$CL68,"F")&gt;0,0,IF(CV68&gt;$DJ$1,$DJ$1*(VLOOKUP(D68,HORAS!$B$4:$G$42,6,FALSE)/$DJ$1),CV68*(VLOOKUP(D68,HORAS!$B$4:$G$42,6,FALSE)/$DJ$1))))))</f>
        <v>#N/A</v>
      </c>
      <c r="DP68" s="156"/>
      <c r="DQ68" s="89"/>
      <c r="DR68" s="148"/>
      <c r="DS68" s="83" t="e">
        <f t="shared" si="38"/>
        <v>#N/A</v>
      </c>
      <c r="DT68" s="84"/>
      <c r="DU68" s="149" t="e">
        <f t="shared" si="39"/>
        <v>#N/A</v>
      </c>
      <c r="DV68" s="149" t="e">
        <f t="shared" si="40"/>
        <v>#N/A</v>
      </c>
      <c r="DW68" s="144" t="e">
        <f t="shared" si="41"/>
        <v>#N/A</v>
      </c>
      <c r="DX68" s="134"/>
      <c r="DY68" s="29"/>
      <c r="DZ68" s="150"/>
      <c r="EA68" s="134"/>
      <c r="EB68" s="137">
        <f t="shared" si="11"/>
        <v>0</v>
      </c>
      <c r="EC68" s="138">
        <f t="shared" si="9"/>
        <v>0</v>
      </c>
      <c r="ED68" s="137">
        <f t="shared" si="12"/>
        <v>0</v>
      </c>
      <c r="EE68" s="132">
        <f t="shared" si="10"/>
        <v>0</v>
      </c>
      <c r="EF68" s="29"/>
      <c r="EG68" s="134"/>
      <c r="EH68" s="134"/>
      <c r="EI68" s="134"/>
      <c r="EK68" s="29"/>
    </row>
    <row r="69" spans="1:141" ht="15" customHeight="1" x14ac:dyDescent="0.25">
      <c r="A69" s="140"/>
      <c r="B69" s="5"/>
      <c r="C69" s="72"/>
      <c r="D69" s="73"/>
      <c r="E69" s="73"/>
      <c r="F69" s="141"/>
      <c r="G69" s="74"/>
      <c r="H69" s="75"/>
      <c r="I69" s="76"/>
      <c r="J69" s="135"/>
      <c r="K69" s="135"/>
      <c r="L69" s="77">
        <f t="shared" si="14"/>
        <v>0</v>
      </c>
      <c r="M69" s="78"/>
      <c r="N69" s="142"/>
      <c r="O69" s="142"/>
      <c r="P69" s="77">
        <f t="shared" si="15"/>
        <v>0</v>
      </c>
      <c r="Q69" s="78"/>
      <c r="R69" s="143"/>
      <c r="S69" s="143"/>
      <c r="T69" s="77">
        <f t="shared" si="16"/>
        <v>0</v>
      </c>
      <c r="U69" s="75"/>
      <c r="V69" s="76"/>
      <c r="W69" s="135"/>
      <c r="X69" s="135"/>
      <c r="Y69" s="77">
        <f t="shared" si="17"/>
        <v>0</v>
      </c>
      <c r="Z69" s="78"/>
      <c r="AA69" s="142"/>
      <c r="AB69" s="142"/>
      <c r="AC69" s="77">
        <f t="shared" si="18"/>
        <v>0</v>
      </c>
      <c r="AD69" s="78"/>
      <c r="AE69" s="143"/>
      <c r="AF69" s="143"/>
      <c r="AG69" s="79">
        <f t="shared" si="19"/>
        <v>0</v>
      </c>
      <c r="AH69" s="75"/>
      <c r="AI69" s="76"/>
      <c r="AJ69" s="135"/>
      <c r="AK69" s="135"/>
      <c r="AL69" s="77">
        <f t="shared" si="20"/>
        <v>0</v>
      </c>
      <c r="AM69" s="76"/>
      <c r="AN69" s="142"/>
      <c r="AO69" s="142"/>
      <c r="AP69" s="77">
        <f t="shared" si="21"/>
        <v>0</v>
      </c>
      <c r="AQ69" s="78"/>
      <c r="AR69" s="142"/>
      <c r="AS69" s="142"/>
      <c r="AT69" s="79">
        <f t="shared" si="22"/>
        <v>0</v>
      </c>
      <c r="AU69" s="75"/>
      <c r="AV69" s="76"/>
      <c r="AW69" s="135"/>
      <c r="AX69" s="135"/>
      <c r="AY69" s="77">
        <f t="shared" si="23"/>
        <v>0</v>
      </c>
      <c r="AZ69" s="76"/>
      <c r="BA69" s="142"/>
      <c r="BB69" s="142"/>
      <c r="BC69" s="77">
        <f t="shared" si="24"/>
        <v>0</v>
      </c>
      <c r="BD69" s="78"/>
      <c r="BE69" s="142"/>
      <c r="BF69" s="142"/>
      <c r="BG69" s="79">
        <f t="shared" si="25"/>
        <v>0</v>
      </c>
      <c r="BH69" s="75"/>
      <c r="BI69" s="76"/>
      <c r="BJ69" s="135"/>
      <c r="BK69" s="135"/>
      <c r="BL69" s="77">
        <f t="shared" si="26"/>
        <v>0</v>
      </c>
      <c r="BM69" s="78"/>
      <c r="BN69" s="142"/>
      <c r="BO69" s="142"/>
      <c r="BP69" s="77">
        <f t="shared" si="27"/>
        <v>0</v>
      </c>
      <c r="BQ69" s="78"/>
      <c r="BR69" s="142"/>
      <c r="BS69" s="142"/>
      <c r="BT69" s="79">
        <f t="shared" si="28"/>
        <v>0</v>
      </c>
      <c r="BU69" s="75"/>
      <c r="BV69" s="76"/>
      <c r="BW69" s="135"/>
      <c r="BX69" s="135"/>
      <c r="BY69" s="77">
        <f t="shared" si="29"/>
        <v>0</v>
      </c>
      <c r="BZ69" s="78"/>
      <c r="CA69" s="142"/>
      <c r="CB69" s="142"/>
      <c r="CC69" s="77">
        <f t="shared" si="30"/>
        <v>0</v>
      </c>
      <c r="CD69" s="78"/>
      <c r="CE69" s="142"/>
      <c r="CF69" s="142"/>
      <c r="CG69" s="79">
        <f t="shared" si="31"/>
        <v>0</v>
      </c>
      <c r="CH69" s="75"/>
      <c r="CI69" s="76"/>
      <c r="CJ69" s="135"/>
      <c r="CK69" s="135"/>
      <c r="CL69" s="77">
        <f t="shared" si="32"/>
        <v>0</v>
      </c>
      <c r="CM69" s="78"/>
      <c r="CN69" s="142"/>
      <c r="CO69" s="142"/>
      <c r="CP69" s="77">
        <f t="shared" si="33"/>
        <v>0</v>
      </c>
      <c r="CQ69" s="78"/>
      <c r="CR69" s="142"/>
      <c r="CS69" s="142"/>
      <c r="CT69" s="79">
        <f t="shared" si="34"/>
        <v>0</v>
      </c>
      <c r="CU69" s="80">
        <f t="shared" si="35"/>
        <v>0</v>
      </c>
      <c r="CV69" s="81">
        <f t="shared" si="36"/>
        <v>0</v>
      </c>
      <c r="CW69" s="144"/>
      <c r="CX69" s="145">
        <f>IF(ISERROR(VLOOKUP($A69,FIJOS!$B$11:$O$590,14,FALSE)),0,VLOOKUP($A69,FIJOS!$B$11:$O$590,14,FALSE))</f>
        <v>0</v>
      </c>
      <c r="CY69" s="145">
        <f>IF(ISERROR(VLOOKUP(A69,FIJOS!$B$10:$P$590,15,FALSE)),0,VLOOKUP(A69,FIJOS!$B$10:$P$590,15,FALSE))</f>
        <v>0</v>
      </c>
      <c r="CZ69" s="156"/>
      <c r="DA69" s="146"/>
      <c r="DB69" s="147"/>
      <c r="DC69" s="147"/>
      <c r="DD69" s="147"/>
      <c r="DE69" s="147"/>
      <c r="DF69" s="145">
        <f>IF(ISERROR(VLOOKUP($A69,FIJOS!$B$11:$N$590,13,FALSE)),0,VLOOKUP($A69,FIJOS!$B$11:$N$590,13,FALSE))</f>
        <v>0</v>
      </c>
      <c r="DG69" s="145">
        <f>IF(ISERROR(VLOOKUP($A69,FIJOS!$B$11:$P$447,12,FALSE)),0,VLOOKUP($A69,FIJOS!$B$11:$P$447,12,FALSE))</f>
        <v>0</v>
      </c>
      <c r="DH69" s="82">
        <f t="shared" si="37"/>
        <v>0</v>
      </c>
      <c r="DI69" s="83" t="b">
        <f>IF($C69=1,(VLOOKUP($A69,FIJOS!$B$11:$P$545,10,FALSE)/7)*(7-$CU69),IF(AND($C69=2,CV69&lt;$DJ$1),(VLOOKUP($D69,HORAS!$B$4:$C$42,2,FALSE)*24)*$CV69,IF(AND($C69=2,CV69&gt;=$DJ$1),VLOOKUP($D69,HORAS!$B$4:$D$42,3,FALSE),IF(AND($C69=3,$CV69&gt;=$DJ$1),VLOOKUP($A69,FIJOS!$B$11:$P$545,10,FALSE),IF(AND($C69=3,$CV69&lt;$DJ$1),((VLOOKUP($A69,FIJOS!$B$11:$P$545,10,FALSE)/48)*24)*$CV69,IF(AND($C69=4,$CV69&gt;=(42/24)),VLOOKUP($D69,HORAS!$B$4:$D$42,3,FALSE),IF(AND($C69=5,$CV69&gt;=(36/24)),VLOOKUP($D69,HORAS!$B$4:$D$42,3,FALSE))))))))</f>
        <v>0</v>
      </c>
      <c r="DJ69" s="145">
        <f>IF(OR($C69=2),VLOOKUP($D69,HORAS!$B$4:$E$42,4,FALSE)*$EC69,IF(ISERROR(VLOOKUP($A69,FIJOS!$B$11:$P$108,9,FALSE)),0,VLOOKUP($A69,FIJOS!$B$11:$P$231,9,FALSE)*$EC69))</f>
        <v>0</v>
      </c>
      <c r="DK69" s="145">
        <f>IF(OR($C69=2),VLOOKUP($D69,HORAS!$B$4:$F$42,5,FALSE)*$EE69,IF(ISERROR(VLOOKUP($A69,FIJOS!$B$11:$P$108,9,FALSE)),0,VLOOKUP($A69,FIJOS!$B$11:$P$231,9,FALSE)*$EE69))</f>
        <v>0</v>
      </c>
      <c r="DL69" s="144"/>
      <c r="DM69" s="145">
        <f>IF(ISERROR(VLOOKUP($A69,FIJOS!$B$11:$L$646,11,FALSE)),0,VLOOKUP($A69,FIJOS!$B$11:$L$646,11,FALSE))</f>
        <v>0</v>
      </c>
      <c r="DN69" s="148" t="e">
        <f>IF(OR($C69=1,$C69=3),0,IF((VLOOKUP(CAPTURA!D69,HORAS!$B$4:$K$42,10,FALSE)/4)*COUNTIF($H69:$CT69,3)&gt;100,100,(VLOOKUP(CAPTURA!D69,HORAS!$B$4:$K$42,10,FALSE)/4)*COUNTIF($H69:$CT69,3)))</f>
        <v>#N/A</v>
      </c>
      <c r="DO69" s="144" t="e">
        <f>IF(OR($C69=1,$C69=3),0,IF($C69=5,VLOOKUP(D69,HORAS!$B$4:$G$42,6,FALSE),IF(AND($C69=4,$CV69&gt;=(42/24)),VLOOKUP(D69,HORAS!$B$4:$G$42,6,FALSE),IF(COUNTIF($H69:$CL69,"F")&gt;0,0,IF(CV69&gt;$DJ$1,$DJ$1*(VLOOKUP(D69,HORAS!$B$4:$G$42,6,FALSE)/$DJ$1),CV69*(VLOOKUP(D69,HORAS!$B$4:$G$42,6,FALSE)/$DJ$1))))))</f>
        <v>#N/A</v>
      </c>
      <c r="DP69" s="156"/>
      <c r="DQ69" s="89"/>
      <c r="DR69" s="148"/>
      <c r="DS69" s="83" t="e">
        <f t="shared" si="38"/>
        <v>#N/A</v>
      </c>
      <c r="DT69" s="84"/>
      <c r="DU69" s="149" t="e">
        <f t="shared" si="39"/>
        <v>#N/A</v>
      </c>
      <c r="DV69" s="149" t="e">
        <f t="shared" si="40"/>
        <v>#N/A</v>
      </c>
      <c r="DW69" s="144" t="e">
        <f t="shared" si="41"/>
        <v>#N/A</v>
      </c>
      <c r="DX69" s="134"/>
      <c r="DY69" s="29"/>
      <c r="DZ69" s="150"/>
      <c r="EA69" s="134"/>
      <c r="EB69" s="137">
        <f t="shared" si="11"/>
        <v>0</v>
      </c>
      <c r="EC69" s="138">
        <f t="shared" si="9"/>
        <v>0</v>
      </c>
      <c r="ED69" s="137">
        <f t="shared" si="12"/>
        <v>0</v>
      </c>
      <c r="EE69" s="132">
        <f t="shared" si="10"/>
        <v>0</v>
      </c>
      <c r="EF69" s="29"/>
      <c r="EG69" s="134"/>
      <c r="EH69" s="134"/>
      <c r="EI69" s="134"/>
      <c r="EK69" s="29"/>
    </row>
    <row r="70" spans="1:141" ht="15" customHeight="1" x14ac:dyDescent="0.25">
      <c r="A70" s="140"/>
      <c r="B70" s="151"/>
      <c r="C70" s="72"/>
      <c r="D70" s="73"/>
      <c r="E70" s="73"/>
      <c r="F70" s="141"/>
      <c r="G70" s="74"/>
      <c r="H70" s="75"/>
      <c r="I70" s="76"/>
      <c r="J70" s="135"/>
      <c r="K70" s="135"/>
      <c r="L70" s="77">
        <f t="shared" si="14"/>
        <v>0</v>
      </c>
      <c r="M70" s="78"/>
      <c r="N70" s="142"/>
      <c r="O70" s="142"/>
      <c r="P70" s="77">
        <f t="shared" si="15"/>
        <v>0</v>
      </c>
      <c r="Q70" s="78"/>
      <c r="R70" s="143"/>
      <c r="S70" s="143"/>
      <c r="T70" s="77">
        <f t="shared" si="16"/>
        <v>0</v>
      </c>
      <c r="U70" s="75"/>
      <c r="V70" s="76"/>
      <c r="W70" s="135"/>
      <c r="X70" s="135"/>
      <c r="Y70" s="77">
        <f t="shared" si="17"/>
        <v>0</v>
      </c>
      <c r="Z70" s="78"/>
      <c r="AA70" s="142"/>
      <c r="AB70" s="142"/>
      <c r="AC70" s="77">
        <f t="shared" si="18"/>
        <v>0</v>
      </c>
      <c r="AD70" s="78"/>
      <c r="AE70" s="143"/>
      <c r="AF70" s="143"/>
      <c r="AG70" s="79">
        <f t="shared" si="19"/>
        <v>0</v>
      </c>
      <c r="AH70" s="75"/>
      <c r="AI70" s="76"/>
      <c r="AJ70" s="135"/>
      <c r="AK70" s="135"/>
      <c r="AL70" s="77">
        <f t="shared" si="20"/>
        <v>0</v>
      </c>
      <c r="AM70" s="76"/>
      <c r="AN70" s="142"/>
      <c r="AO70" s="142"/>
      <c r="AP70" s="77">
        <f t="shared" si="21"/>
        <v>0</v>
      </c>
      <c r="AQ70" s="78"/>
      <c r="AR70" s="142"/>
      <c r="AS70" s="142"/>
      <c r="AT70" s="79">
        <f t="shared" si="22"/>
        <v>0</v>
      </c>
      <c r="AU70" s="75"/>
      <c r="AV70" s="76"/>
      <c r="AW70" s="135"/>
      <c r="AX70" s="135"/>
      <c r="AY70" s="77">
        <f t="shared" si="23"/>
        <v>0</v>
      </c>
      <c r="AZ70" s="76"/>
      <c r="BA70" s="142"/>
      <c r="BB70" s="142"/>
      <c r="BC70" s="77">
        <f t="shared" si="24"/>
        <v>0</v>
      </c>
      <c r="BD70" s="78"/>
      <c r="BE70" s="142"/>
      <c r="BF70" s="142"/>
      <c r="BG70" s="79">
        <f t="shared" si="25"/>
        <v>0</v>
      </c>
      <c r="BH70" s="75"/>
      <c r="BI70" s="76"/>
      <c r="BJ70" s="135"/>
      <c r="BK70" s="135"/>
      <c r="BL70" s="77">
        <f t="shared" si="26"/>
        <v>0</v>
      </c>
      <c r="BM70" s="78"/>
      <c r="BN70" s="142"/>
      <c r="BO70" s="142"/>
      <c r="BP70" s="77">
        <f t="shared" si="27"/>
        <v>0</v>
      </c>
      <c r="BQ70" s="78"/>
      <c r="BR70" s="142"/>
      <c r="BS70" s="142"/>
      <c r="BT70" s="79">
        <f t="shared" si="28"/>
        <v>0</v>
      </c>
      <c r="BU70" s="75"/>
      <c r="BV70" s="76"/>
      <c r="BW70" s="135"/>
      <c r="BX70" s="135"/>
      <c r="BY70" s="77">
        <f t="shared" si="29"/>
        <v>0</v>
      </c>
      <c r="BZ70" s="78"/>
      <c r="CA70" s="142"/>
      <c r="CB70" s="142"/>
      <c r="CC70" s="77">
        <f t="shared" si="30"/>
        <v>0</v>
      </c>
      <c r="CD70" s="78"/>
      <c r="CE70" s="142"/>
      <c r="CF70" s="142"/>
      <c r="CG70" s="79">
        <f t="shared" si="31"/>
        <v>0</v>
      </c>
      <c r="CH70" s="75"/>
      <c r="CI70" s="76"/>
      <c r="CJ70" s="135"/>
      <c r="CK70" s="135"/>
      <c r="CL70" s="77">
        <f t="shared" si="32"/>
        <v>0</v>
      </c>
      <c r="CM70" s="78"/>
      <c r="CN70" s="142"/>
      <c r="CO70" s="142"/>
      <c r="CP70" s="77">
        <f t="shared" si="33"/>
        <v>0</v>
      </c>
      <c r="CQ70" s="78"/>
      <c r="CR70" s="142"/>
      <c r="CS70" s="142"/>
      <c r="CT70" s="79">
        <f t="shared" si="34"/>
        <v>0</v>
      </c>
      <c r="CU70" s="80">
        <f t="shared" si="35"/>
        <v>0</v>
      </c>
      <c r="CV70" s="81">
        <f t="shared" si="36"/>
        <v>0</v>
      </c>
      <c r="CW70" s="144"/>
      <c r="CX70" s="145">
        <f>IF(ISERROR(VLOOKUP($A70,FIJOS!$B$11:$O$590,14,FALSE)),0,VLOOKUP($A70,FIJOS!$B$11:$O$590,14,FALSE))</f>
        <v>0</v>
      </c>
      <c r="CY70" s="145">
        <f>IF(ISERROR(VLOOKUP(A70,FIJOS!$B$10:$P$590,15,FALSE)),0,VLOOKUP(A70,FIJOS!$B$10:$P$590,15,FALSE))</f>
        <v>0</v>
      </c>
      <c r="CZ70" s="156"/>
      <c r="DA70" s="146"/>
      <c r="DB70" s="147"/>
      <c r="DC70" s="147"/>
      <c r="DD70" s="147"/>
      <c r="DE70" s="147"/>
      <c r="DF70" s="145">
        <f>IF(ISERROR(VLOOKUP($A70,FIJOS!$B$11:$N$590,13,FALSE)),0,VLOOKUP($A70,FIJOS!$B$11:$N$590,13,FALSE))</f>
        <v>0</v>
      </c>
      <c r="DG70" s="145">
        <f>IF(ISERROR(VLOOKUP($A70,FIJOS!$B$11:$P$447,12,FALSE)),0,VLOOKUP($A70,FIJOS!$B$11:$P$447,12,FALSE))</f>
        <v>0</v>
      </c>
      <c r="DH70" s="82">
        <f t="shared" si="37"/>
        <v>0</v>
      </c>
      <c r="DI70" s="83" t="b">
        <f>IF($C70=1,(VLOOKUP($A70,FIJOS!$B$11:$P$545,10,FALSE)/7)*(7-$CU70),IF(AND($C70=2,CV70&lt;$DJ$1),(VLOOKUP($D70,HORAS!$B$4:$C$42,2,FALSE)*24)*$CV70,IF(AND($C70=2,CV70&gt;=$DJ$1),VLOOKUP($D70,HORAS!$B$4:$D$42,3,FALSE),IF(AND($C70=3,$CV70&gt;=$DJ$1),VLOOKUP($A70,FIJOS!$B$11:$P$545,10,FALSE),IF(AND($C70=3,$CV70&lt;$DJ$1),((VLOOKUP($A70,FIJOS!$B$11:$P$545,10,FALSE)/48)*24)*$CV70,IF(AND($C70=4,$CV70&gt;=(42/24)),VLOOKUP($D70,HORAS!$B$4:$D$42,3,FALSE),IF(AND($C70=5,$CV70&gt;=(36/24)),VLOOKUP($D70,HORAS!$B$4:$D$42,3,FALSE))))))))</f>
        <v>0</v>
      </c>
      <c r="DJ70" s="145">
        <f>IF(OR($C70=2),VLOOKUP($D70,HORAS!$B$4:$E$42,4,FALSE)*$EC70,IF(ISERROR(VLOOKUP($A70,FIJOS!$B$11:$P$108,9,FALSE)),0,VLOOKUP($A70,FIJOS!$B$11:$P$231,9,FALSE)*$EC70))</f>
        <v>0</v>
      </c>
      <c r="DK70" s="145">
        <f>IF(OR($C70=2),VLOOKUP($D70,HORAS!$B$4:$F$42,5,FALSE)*$EE70,IF(ISERROR(VLOOKUP($A70,FIJOS!$B$11:$P$108,9,FALSE)),0,VLOOKUP($A70,FIJOS!$B$11:$P$231,9,FALSE)*$EE70))</f>
        <v>0</v>
      </c>
      <c r="DL70" s="144"/>
      <c r="DM70" s="145">
        <f>IF(ISERROR(VLOOKUP($A70,FIJOS!$B$11:$L$646,11,FALSE)),0,VLOOKUP($A70,FIJOS!$B$11:$L$646,11,FALSE))</f>
        <v>0</v>
      </c>
      <c r="DN70" s="148" t="e">
        <f>IF(OR($C70=1,$C70=3),0,IF((VLOOKUP(CAPTURA!D70,HORAS!$B$4:$K$42,10,FALSE)/4)*COUNTIF($H70:$CT70,3)&gt;100,100,(VLOOKUP(CAPTURA!D70,HORAS!$B$4:$K$42,10,FALSE)/4)*COUNTIF($H70:$CT70,3)))</f>
        <v>#N/A</v>
      </c>
      <c r="DO70" s="144" t="e">
        <f>IF(OR($C70=1,$C70=3),0,IF($C70=5,VLOOKUP(D70,HORAS!$B$4:$G$42,6,FALSE),IF(AND($C70=4,$CV70&gt;=(42/24)),VLOOKUP(D70,HORAS!$B$4:$G$42,6,FALSE),IF(COUNTIF($H70:$CL70,"F")&gt;0,0,IF(CV70&gt;$DJ$1,$DJ$1*(VLOOKUP(D70,HORAS!$B$4:$G$42,6,FALSE)/$DJ$1),CV70*(VLOOKUP(D70,HORAS!$B$4:$G$42,6,FALSE)/$DJ$1))))))</f>
        <v>#N/A</v>
      </c>
      <c r="DP70" s="156"/>
      <c r="DQ70" s="89"/>
      <c r="DR70" s="148"/>
      <c r="DS70" s="83" t="e">
        <f t="shared" si="38"/>
        <v>#N/A</v>
      </c>
      <c r="DT70" s="84"/>
      <c r="DU70" s="149" t="e">
        <f t="shared" si="39"/>
        <v>#N/A</v>
      </c>
      <c r="DV70" s="149" t="e">
        <f t="shared" si="40"/>
        <v>#N/A</v>
      </c>
      <c r="DW70" s="144" t="e">
        <f t="shared" si="41"/>
        <v>#N/A</v>
      </c>
      <c r="DX70" s="134"/>
      <c r="DY70" s="29"/>
      <c r="DZ70" s="150"/>
      <c r="EA70" s="134"/>
      <c r="EB70" s="137">
        <f t="shared" si="11"/>
        <v>0</v>
      </c>
      <c r="EC70" s="138">
        <f t="shared" si="9"/>
        <v>0</v>
      </c>
      <c r="ED70" s="137">
        <f t="shared" si="12"/>
        <v>0</v>
      </c>
      <c r="EE70" s="132">
        <f t="shared" si="10"/>
        <v>0</v>
      </c>
      <c r="EF70" s="29"/>
      <c r="EG70" s="134"/>
      <c r="EH70" s="134"/>
      <c r="EI70" s="134"/>
      <c r="EK70" s="29"/>
    </row>
    <row r="71" spans="1:141" ht="15" customHeight="1" x14ac:dyDescent="0.25">
      <c r="A71" s="140"/>
      <c r="B71" s="151"/>
      <c r="C71" s="72"/>
      <c r="D71" s="73"/>
      <c r="E71" s="73"/>
      <c r="F71" s="141"/>
      <c r="G71" s="74"/>
      <c r="H71" s="75"/>
      <c r="I71" s="76"/>
      <c r="J71" s="86"/>
      <c r="K71" s="135"/>
      <c r="L71" s="77">
        <f t="shared" ref="L71:L134" si="42">IF((K71-J71)&gt;=0,(K71-J71),$A$1+(K71-J71))</f>
        <v>0</v>
      </c>
      <c r="M71" s="78"/>
      <c r="N71" s="142"/>
      <c r="O71" s="142"/>
      <c r="P71" s="77">
        <f t="shared" ref="P71:P134" si="43">IF((O71-N71)&gt;=0,(O71-N71),$A$1+(O71-N71))</f>
        <v>0</v>
      </c>
      <c r="Q71" s="78"/>
      <c r="R71" s="143"/>
      <c r="S71" s="143"/>
      <c r="T71" s="77">
        <f t="shared" ref="T71:T134" si="44">IF((S71-R71)&gt;=0,(S71-R71),$A$1+(S71-R71))</f>
        <v>0</v>
      </c>
      <c r="U71" s="75"/>
      <c r="V71" s="76"/>
      <c r="W71" s="86"/>
      <c r="X71" s="135"/>
      <c r="Y71" s="77">
        <f t="shared" ref="Y71:Y134" si="45">IF((X71-W71)&gt;=0,(X71-W71),$A$1+(X71-W71))</f>
        <v>0</v>
      </c>
      <c r="Z71" s="76"/>
      <c r="AA71" s="142"/>
      <c r="AB71" s="142"/>
      <c r="AC71" s="77">
        <f t="shared" ref="AC71:AC134" si="46">IF((AB71-AA71)&gt;=0,(AB71-AA71),$A$1+(AB71-AA71))</f>
        <v>0</v>
      </c>
      <c r="AD71" s="78"/>
      <c r="AE71" s="143"/>
      <c r="AF71" s="143"/>
      <c r="AG71" s="79">
        <f t="shared" ref="AG71:AG134" si="47">IF((AF71-AE71)&gt;=0,(AF71-AE71),$A$1+(AF71-AE71))</f>
        <v>0</v>
      </c>
      <c r="AH71" s="75"/>
      <c r="AI71" s="76"/>
      <c r="AJ71" s="86"/>
      <c r="AK71" s="135"/>
      <c r="AL71" s="77">
        <f t="shared" ref="AL71:AL134" si="48">IF((AK71-AJ71)&gt;=0,(AK71-AJ71),$A$1+(AK71-AJ71))</f>
        <v>0</v>
      </c>
      <c r="AM71" s="76"/>
      <c r="AN71" s="142"/>
      <c r="AO71" s="142"/>
      <c r="AP71" s="77">
        <f t="shared" ref="AP71:AP134" si="49">IF((AO71-AN71)&gt;=0,(AO71-AN71),$A$1+(AO71-AN71))</f>
        <v>0</v>
      </c>
      <c r="AQ71" s="76"/>
      <c r="AR71" s="142"/>
      <c r="AS71" s="142"/>
      <c r="AT71" s="79">
        <f t="shared" ref="AT71:AT134" si="50">IF((AS71-AR71)&gt;=0,(AS71-AR71),$A$1+(AS71-AR71))</f>
        <v>0</v>
      </c>
      <c r="AU71" s="75"/>
      <c r="AV71" s="76"/>
      <c r="AW71" s="86"/>
      <c r="AX71" s="135"/>
      <c r="AY71" s="77">
        <f t="shared" ref="AY71:AY134" si="51">IF((AX71-AW71)&gt;=0,(AX71-AW71),$A$1+(AX71-AW71))</f>
        <v>0</v>
      </c>
      <c r="AZ71" s="76"/>
      <c r="BA71" s="142"/>
      <c r="BB71" s="142"/>
      <c r="BC71" s="77">
        <f t="shared" ref="BC71:BC134" si="52">IF((BB71-BA71)&gt;=0,(BB71-BA71),$A$1+(BB71-BA71))</f>
        <v>0</v>
      </c>
      <c r="BD71" s="78"/>
      <c r="BE71" s="142"/>
      <c r="BF71" s="142"/>
      <c r="BG71" s="79">
        <f t="shared" ref="BG71:BG134" si="53">IF((BF71-BE71)&gt;=0,(BF71-BE71),$A$1+(BF71-BE71))</f>
        <v>0</v>
      </c>
      <c r="BH71" s="75"/>
      <c r="BI71" s="76"/>
      <c r="BJ71" s="86"/>
      <c r="BK71" s="135"/>
      <c r="BL71" s="77">
        <f t="shared" ref="BL71:BL134" si="54">IF((BK71-BJ71)&gt;=0,(BK71-BJ71),$A$1+(BK71-BJ71))</f>
        <v>0</v>
      </c>
      <c r="BM71" s="78"/>
      <c r="BN71" s="142"/>
      <c r="BO71" s="142"/>
      <c r="BP71" s="77">
        <f t="shared" ref="BP71:BP134" si="55">IF((BO71-BN71)&gt;=0,(BO71-BN71),$A$1+(BO71-BN71))</f>
        <v>0</v>
      </c>
      <c r="BQ71" s="76"/>
      <c r="BR71" s="142"/>
      <c r="BS71" s="142"/>
      <c r="BT71" s="79">
        <f t="shared" ref="BT71:BT134" si="56">IF((BS71-BR71)&gt;=0,(BS71-BR71),$A$1+(BS71-BR71))</f>
        <v>0</v>
      </c>
      <c r="BU71" s="75"/>
      <c r="BV71" s="76"/>
      <c r="BW71" s="135"/>
      <c r="BX71" s="135"/>
      <c r="BY71" s="77">
        <f t="shared" ref="BY71:BY134" si="57">IF((BX71-BW71)&gt;=0,(BX71-BW71),$A$1+(BX71-BW71))</f>
        <v>0</v>
      </c>
      <c r="BZ71" s="76"/>
      <c r="CA71" s="142"/>
      <c r="CB71" s="142"/>
      <c r="CC71" s="77">
        <f t="shared" ref="CC71:CC134" si="58">IF((CB71-CA71)&gt;=0,(CB71-CA71),$A$1+(CB71-CA71))</f>
        <v>0</v>
      </c>
      <c r="CD71" s="76"/>
      <c r="CE71" s="142"/>
      <c r="CF71" s="142"/>
      <c r="CG71" s="79">
        <f t="shared" ref="CG71:CG134" si="59">IF((CF71-CE71)&gt;=0,(CF71-CE71),$A$1+(CF71-CE71))</f>
        <v>0</v>
      </c>
      <c r="CH71" s="75"/>
      <c r="CI71" s="76"/>
      <c r="CJ71" s="135"/>
      <c r="CK71" s="135"/>
      <c r="CL71" s="77">
        <f t="shared" ref="CL71:CL134" si="60">IF((CK71-CJ71)&gt;=0,(CK71-CJ71),$A$1+(CK71-CJ71))</f>
        <v>0</v>
      </c>
      <c r="CM71" s="78"/>
      <c r="CN71" s="142"/>
      <c r="CO71" s="142"/>
      <c r="CP71" s="77">
        <f t="shared" ref="CP71:CP134" si="61">IF((CO71-CN71)&gt;=0,(CO71-CN71),$A$1+(CO71-CN71))</f>
        <v>0</v>
      </c>
      <c r="CQ71" s="78"/>
      <c r="CR71" s="142"/>
      <c r="CS71" s="142"/>
      <c r="CT71" s="79">
        <f t="shared" ref="CT71:CT134" si="62">IF((CS71-CR71)&gt;=0,(CS71-CR71),$A$1+(CS71-CR71))</f>
        <v>0</v>
      </c>
      <c r="CU71" s="80">
        <f t="shared" si="35"/>
        <v>0</v>
      </c>
      <c r="CV71" s="81">
        <f t="shared" si="36"/>
        <v>0</v>
      </c>
      <c r="CW71" s="144"/>
      <c r="CX71" s="145">
        <f>IF(ISERROR(VLOOKUP($A71,FIJOS!$B$11:$O$590,14,FALSE)),0,VLOOKUP($A71,FIJOS!$B$11:$O$590,14,FALSE))</f>
        <v>0</v>
      </c>
      <c r="CY71" s="145">
        <f>IF(ISERROR(VLOOKUP(A71,FIJOS!$B$10:$P$590,15,FALSE)),0,VLOOKUP(A71,FIJOS!$B$10:$P$590,15,FALSE))</f>
        <v>0</v>
      </c>
      <c r="CZ71" s="156"/>
      <c r="DA71" s="146"/>
      <c r="DB71" s="147"/>
      <c r="DC71" s="147"/>
      <c r="DD71" s="147"/>
      <c r="DE71" s="147"/>
      <c r="DF71" s="145">
        <f>IF(ISERROR(VLOOKUP($A71,FIJOS!$B$11:$N$590,13,FALSE)),0,VLOOKUP($A71,FIJOS!$B$11:$N$590,13,FALSE))</f>
        <v>0</v>
      </c>
      <c r="DG71" s="145">
        <f>IF(ISERROR(VLOOKUP($A71,FIJOS!$B$11:$P$447,12,FALSE)),0,VLOOKUP($A71,FIJOS!$B$11:$P$447,12,FALSE))</f>
        <v>0</v>
      </c>
      <c r="DH71" s="82">
        <f t="shared" ref="DH71:DH134" si="63">SUM(CW71:DG71)</f>
        <v>0</v>
      </c>
      <c r="DI71" s="83" t="b">
        <f>IF($C71=1,(VLOOKUP($A71,FIJOS!$B$11:$P$545,10,FALSE)/7)*(7-$CU71),IF(AND($C71=2,CV71&lt;$DJ$1),(VLOOKUP($D71,HORAS!$B$4:$C$42,2,FALSE)*24)*$CV71,IF(AND($C71=2,CV71&gt;=$DJ$1),VLOOKUP($D71,HORAS!$B$4:$D$42,3,FALSE),IF(AND($C71=3,$CV71&gt;=$DJ$1),VLOOKUP($A71,FIJOS!$B$11:$P$545,10,FALSE),IF(AND($C71=3,$CV71&lt;$DJ$1),((VLOOKUP($A71,FIJOS!$B$11:$P$545,10,FALSE)/48)*24)*$CV71,IF(AND($C71=4,$CV71&gt;=(42/24)),VLOOKUP($D71,HORAS!$B$4:$D$42,3,FALSE),IF(AND($C71=5,$CV71&gt;=(36/24)),VLOOKUP($D71,HORAS!$B$4:$D$42,3,FALSE))))))))</f>
        <v>0</v>
      </c>
      <c r="DJ71" s="145">
        <f>IF(OR($C71=2),VLOOKUP($D71,HORAS!$B$4:$E$42,4,FALSE)*$EC71,IF(ISERROR(VLOOKUP($A71,FIJOS!$B$11:$P$108,9,FALSE)),0,VLOOKUP($A71,FIJOS!$B$11:$P$231,9,FALSE)*$EC71))</f>
        <v>0</v>
      </c>
      <c r="DK71" s="145">
        <f>IF(OR($C71=2),VLOOKUP($D71,HORAS!$B$4:$F$42,5,FALSE)*$EE71,IF(ISERROR(VLOOKUP($A71,FIJOS!$B$11:$P$108,9,FALSE)),0,VLOOKUP($A71,FIJOS!$B$11:$P$231,9,FALSE)*$EE71))</f>
        <v>0</v>
      </c>
      <c r="DL71" s="144"/>
      <c r="DM71" s="145">
        <f>IF(ISERROR(VLOOKUP($A71,FIJOS!$B$11:$L$646,11,FALSE)),0,VLOOKUP($A71,FIJOS!$B$11:$L$646,11,FALSE))</f>
        <v>0</v>
      </c>
      <c r="DN71" s="148" t="e">
        <f>IF(OR($C71=1,$C71=3),0,IF((VLOOKUP(CAPTURA!D71,HORAS!$B$4:$K$42,10,FALSE)/4)*COUNTIF($H71:$CT71,3)&gt;100,100,(VLOOKUP(CAPTURA!D71,HORAS!$B$4:$K$42,10,FALSE)/4)*COUNTIF($H71:$CT71,3)))</f>
        <v>#N/A</v>
      </c>
      <c r="DO71" s="144" t="e">
        <f>IF(OR($C71=1,$C71=3),0,IF($C71=5,VLOOKUP(D71,HORAS!$B$4:$G$42,6,FALSE),IF(AND($C71=4,$CV71&gt;=(42/24)),VLOOKUP(D71,HORAS!$B$4:$G$42,6,FALSE),IF(COUNTIF($H71:$CL71,"F")&gt;0,0,IF(CV71&gt;$DJ$1,$DJ$1*(VLOOKUP(D71,HORAS!$B$4:$G$42,6,FALSE)/$DJ$1),CV71*(VLOOKUP(D71,HORAS!$B$4:$G$42,6,FALSE)/$DJ$1))))))</f>
        <v>#N/A</v>
      </c>
      <c r="DP71" s="156"/>
      <c r="DQ71" s="89"/>
      <c r="DR71" s="148"/>
      <c r="DS71" s="83" t="e">
        <f t="shared" si="38"/>
        <v>#N/A</v>
      </c>
      <c r="DT71" s="84"/>
      <c r="DU71" s="149" t="e">
        <f t="shared" si="39"/>
        <v>#N/A</v>
      </c>
      <c r="DV71" s="149" t="e">
        <f t="shared" si="40"/>
        <v>#N/A</v>
      </c>
      <c r="DW71" s="144" t="e">
        <f t="shared" si="41"/>
        <v>#N/A</v>
      </c>
      <c r="DX71" s="134"/>
      <c r="DY71" s="29"/>
      <c r="DZ71" s="150"/>
      <c r="EA71" s="134"/>
      <c r="EB71" s="137">
        <f t="shared" si="11"/>
        <v>0</v>
      </c>
      <c r="EC71" s="138">
        <f t="shared" ref="EC71:EC134" si="64">EB71*24</f>
        <v>0</v>
      </c>
      <c r="ED71" s="137">
        <f t="shared" si="12"/>
        <v>0</v>
      </c>
      <c r="EE71" s="132">
        <f t="shared" ref="EE71:EE134" si="65">ED71*24</f>
        <v>0</v>
      </c>
      <c r="EF71" s="29"/>
      <c r="EG71" s="134"/>
      <c r="EH71" s="134"/>
      <c r="EI71" s="134"/>
      <c r="EK71" s="29"/>
    </row>
    <row r="72" spans="1:141" ht="15" customHeight="1" x14ac:dyDescent="0.25">
      <c r="A72" s="140"/>
      <c r="B72" s="151"/>
      <c r="C72" s="72"/>
      <c r="D72" s="73"/>
      <c r="E72" s="73"/>
      <c r="F72" s="141"/>
      <c r="G72" s="74"/>
      <c r="H72" s="75"/>
      <c r="I72" s="76"/>
      <c r="J72" s="135"/>
      <c r="K72" s="135"/>
      <c r="L72" s="77">
        <f t="shared" si="42"/>
        <v>0</v>
      </c>
      <c r="M72" s="78"/>
      <c r="N72" s="142"/>
      <c r="O72" s="142"/>
      <c r="P72" s="77">
        <f t="shared" si="43"/>
        <v>0</v>
      </c>
      <c r="Q72" s="78"/>
      <c r="R72" s="143"/>
      <c r="S72" s="143"/>
      <c r="T72" s="77">
        <f t="shared" si="44"/>
        <v>0</v>
      </c>
      <c r="U72" s="75"/>
      <c r="V72" s="76"/>
      <c r="W72" s="135"/>
      <c r="X72" s="135"/>
      <c r="Y72" s="77">
        <f t="shared" si="45"/>
        <v>0</v>
      </c>
      <c r="Z72" s="78"/>
      <c r="AA72" s="142"/>
      <c r="AB72" s="142"/>
      <c r="AC72" s="77">
        <f t="shared" si="46"/>
        <v>0</v>
      </c>
      <c r="AD72" s="78"/>
      <c r="AE72" s="143"/>
      <c r="AF72" s="143"/>
      <c r="AG72" s="79">
        <f t="shared" si="47"/>
        <v>0</v>
      </c>
      <c r="AH72" s="75"/>
      <c r="AI72" s="76"/>
      <c r="AJ72" s="135"/>
      <c r="AK72" s="135"/>
      <c r="AL72" s="77">
        <f t="shared" si="48"/>
        <v>0</v>
      </c>
      <c r="AM72" s="76"/>
      <c r="AN72" s="142"/>
      <c r="AO72" s="142"/>
      <c r="AP72" s="77">
        <f t="shared" si="49"/>
        <v>0</v>
      </c>
      <c r="AQ72" s="78"/>
      <c r="AR72" s="142"/>
      <c r="AS72" s="142"/>
      <c r="AT72" s="79">
        <f t="shared" si="50"/>
        <v>0</v>
      </c>
      <c r="AU72" s="75"/>
      <c r="AV72" s="76"/>
      <c r="AW72" s="135"/>
      <c r="AX72" s="135"/>
      <c r="AY72" s="77">
        <f t="shared" si="51"/>
        <v>0</v>
      </c>
      <c r="AZ72" s="76"/>
      <c r="BA72" s="142"/>
      <c r="BB72" s="142"/>
      <c r="BC72" s="77">
        <f t="shared" si="52"/>
        <v>0</v>
      </c>
      <c r="BD72" s="78"/>
      <c r="BE72" s="142"/>
      <c r="BF72" s="142"/>
      <c r="BG72" s="79">
        <f t="shared" si="53"/>
        <v>0</v>
      </c>
      <c r="BH72" s="75"/>
      <c r="BI72" s="76"/>
      <c r="BJ72" s="135"/>
      <c r="BK72" s="135"/>
      <c r="BL72" s="77">
        <f t="shared" si="54"/>
        <v>0</v>
      </c>
      <c r="BM72" s="78"/>
      <c r="BN72" s="142"/>
      <c r="BO72" s="142"/>
      <c r="BP72" s="77">
        <f t="shared" si="55"/>
        <v>0</v>
      </c>
      <c r="BQ72" s="78"/>
      <c r="BR72" s="142"/>
      <c r="BS72" s="142"/>
      <c r="BT72" s="79">
        <f t="shared" si="56"/>
        <v>0</v>
      </c>
      <c r="BU72" s="75"/>
      <c r="BV72" s="76"/>
      <c r="BW72" s="135"/>
      <c r="BX72" s="135"/>
      <c r="BY72" s="77">
        <f t="shared" si="57"/>
        <v>0</v>
      </c>
      <c r="BZ72" s="78"/>
      <c r="CA72" s="142"/>
      <c r="CB72" s="142"/>
      <c r="CC72" s="77">
        <f t="shared" si="58"/>
        <v>0</v>
      </c>
      <c r="CD72" s="78"/>
      <c r="CE72" s="142"/>
      <c r="CF72" s="142"/>
      <c r="CG72" s="79">
        <f t="shared" si="59"/>
        <v>0</v>
      </c>
      <c r="CH72" s="75"/>
      <c r="CI72" s="76"/>
      <c r="CJ72" s="135"/>
      <c r="CK72" s="135"/>
      <c r="CL72" s="77">
        <f t="shared" si="60"/>
        <v>0</v>
      </c>
      <c r="CM72" s="78"/>
      <c r="CN72" s="142"/>
      <c r="CO72" s="142"/>
      <c r="CP72" s="77">
        <f t="shared" si="61"/>
        <v>0</v>
      </c>
      <c r="CQ72" s="78"/>
      <c r="CR72" s="142"/>
      <c r="CS72" s="142"/>
      <c r="CT72" s="79">
        <f t="shared" si="62"/>
        <v>0</v>
      </c>
      <c r="CU72" s="80">
        <f t="shared" si="35"/>
        <v>0</v>
      </c>
      <c r="CV72" s="81">
        <f t="shared" si="36"/>
        <v>0</v>
      </c>
      <c r="CW72" s="144"/>
      <c r="CX72" s="145">
        <f>IF(ISERROR(VLOOKUP($A72,FIJOS!$B$11:$O$590,14,FALSE)),0,VLOOKUP($A72,FIJOS!$B$11:$O$590,14,FALSE))</f>
        <v>0</v>
      </c>
      <c r="CY72" s="145">
        <f>IF(ISERROR(VLOOKUP(A72,FIJOS!$B$10:$P$590,15,FALSE)),0,VLOOKUP(A72,FIJOS!$B$10:$P$590,15,FALSE))</f>
        <v>0</v>
      </c>
      <c r="CZ72" s="156"/>
      <c r="DA72" s="146"/>
      <c r="DB72" s="147"/>
      <c r="DC72" s="147"/>
      <c r="DD72" s="147"/>
      <c r="DE72" s="147"/>
      <c r="DF72" s="145">
        <f>IF(ISERROR(VLOOKUP($A72,FIJOS!$B$11:$N$590,13,FALSE)),0,VLOOKUP($A72,FIJOS!$B$11:$N$590,13,FALSE))</f>
        <v>0</v>
      </c>
      <c r="DG72" s="145">
        <f>IF(ISERROR(VLOOKUP($A72,FIJOS!$B$11:$P$447,12,FALSE)),0,VLOOKUP($A72,FIJOS!$B$11:$P$447,12,FALSE))</f>
        <v>0</v>
      </c>
      <c r="DH72" s="82">
        <f t="shared" si="63"/>
        <v>0</v>
      </c>
      <c r="DI72" s="83" t="b">
        <f>IF($C72=1,(VLOOKUP($A72,FIJOS!$B$11:$P$545,10,FALSE)/7)*(7-$CU72),IF(AND($C72=2,CV72&lt;$DJ$1),(VLOOKUP($D72,HORAS!$B$4:$C$42,2,FALSE)*24)*$CV72,IF(AND($C72=2,CV72&gt;=$DJ$1),VLOOKUP($D72,HORAS!$B$4:$D$42,3,FALSE),IF(AND($C72=3,$CV72&gt;=$DJ$1),VLOOKUP($A72,FIJOS!$B$11:$P$545,10,FALSE),IF(AND($C72=3,$CV72&lt;$DJ$1),((VLOOKUP($A72,FIJOS!$B$11:$P$545,10,FALSE)/48)*24)*$CV72,IF(AND($C72=4,$CV72&gt;=(42/24)),VLOOKUP($D72,HORAS!$B$4:$D$42,3,FALSE),IF(AND($C72=5,$CV72&gt;=(36/24)),VLOOKUP($D72,HORAS!$B$4:$D$42,3,FALSE))))))))</f>
        <v>0</v>
      </c>
      <c r="DJ72" s="145">
        <f>IF(OR($C72=2),VLOOKUP($D72,HORAS!$B$4:$E$42,4,FALSE)*$EC72,IF(ISERROR(VLOOKUP($A72,FIJOS!$B$11:$P$108,9,FALSE)),0,VLOOKUP($A72,FIJOS!$B$11:$P$231,9,FALSE)*$EC72))</f>
        <v>0</v>
      </c>
      <c r="DK72" s="145">
        <f>IF(OR($C72=2),VLOOKUP($D72,HORAS!$B$4:$F$42,5,FALSE)*$EE72,IF(ISERROR(VLOOKUP($A72,FIJOS!$B$11:$P$108,9,FALSE)),0,VLOOKUP($A72,FIJOS!$B$11:$P$231,9,FALSE)*$EE72))</f>
        <v>0</v>
      </c>
      <c r="DL72" s="144"/>
      <c r="DM72" s="145">
        <f>IF(ISERROR(VLOOKUP($A72,FIJOS!$B$11:$L$646,11,FALSE)),0,VLOOKUP($A72,FIJOS!$B$11:$L$646,11,FALSE))</f>
        <v>0</v>
      </c>
      <c r="DN72" s="148" t="e">
        <f>IF(OR($C72=1,$C72=3),0,IF((VLOOKUP(CAPTURA!D72,HORAS!$B$4:$K$42,10,FALSE)/4)*COUNTIF($H72:$CT72,3)&gt;100,100,(VLOOKUP(CAPTURA!D72,HORAS!$B$4:$K$42,10,FALSE)/4)*COUNTIF($H72:$CT72,3)))</f>
        <v>#N/A</v>
      </c>
      <c r="DO72" s="144" t="e">
        <f>IF(OR($C72=1,$C72=3),0,IF($C72=5,VLOOKUP(D72,HORAS!$B$4:$G$42,6,FALSE),IF(AND($C72=4,$CV72&gt;=(42/24)),VLOOKUP(D72,HORAS!$B$4:$G$42,6,FALSE),IF(COUNTIF($H72:$CL72,"F")&gt;0,0,IF(CV72&gt;$DJ$1,$DJ$1*(VLOOKUP(D72,HORAS!$B$4:$G$42,6,FALSE)/$DJ$1),CV72*(VLOOKUP(D72,HORAS!$B$4:$G$42,6,FALSE)/$DJ$1))))))</f>
        <v>#N/A</v>
      </c>
      <c r="DP72" s="156"/>
      <c r="DQ72" s="148"/>
      <c r="DR72" s="148"/>
      <c r="DS72" s="83" t="e">
        <f t="shared" ref="DS72:DS135" si="66">SUM(DI72:DR72)</f>
        <v>#N/A</v>
      </c>
      <c r="DT72" s="84"/>
      <c r="DU72" s="149" t="e">
        <f t="shared" ref="DU72:DU135" si="67">IF(DW72-DV72=0,0,DW72-DV72)</f>
        <v>#N/A</v>
      </c>
      <c r="DV72" s="149" t="e">
        <f t="shared" ref="DV72:DV135" si="68">IF(DS72&gt;DY72,DY72,DS72)-(CZ72+CY72)</f>
        <v>#N/A</v>
      </c>
      <c r="DW72" s="144" t="e">
        <f t="shared" ref="DW72:DW135" si="69">DS72-DH72</f>
        <v>#N/A</v>
      </c>
      <c r="DX72" s="134"/>
      <c r="DY72" s="29"/>
      <c r="DZ72" s="150"/>
      <c r="EA72" s="134"/>
      <c r="EB72" s="137">
        <f t="shared" ref="EB72:EB135" si="70">IF(CV72&lt;=$DJ$1,0,IF((CV72-$DJ$1)&gt;$EB$1,$EB$1,CV72-$DJ$1))</f>
        <v>0</v>
      </c>
      <c r="EC72" s="138">
        <f t="shared" si="64"/>
        <v>0</v>
      </c>
      <c r="ED72" s="137">
        <f t="shared" ref="ED72:ED135" si="71">IF(CV72&lt;=($EB$1+$DJ$1),0,CV72-($EB$1+$DJ$1))</f>
        <v>0</v>
      </c>
      <c r="EE72" s="132">
        <f t="shared" si="65"/>
        <v>0</v>
      </c>
      <c r="EF72" s="29"/>
      <c r="EG72" s="134"/>
      <c r="EH72" s="134"/>
      <c r="EI72" s="134"/>
      <c r="EK72" s="29"/>
    </row>
    <row r="73" spans="1:141" ht="15" customHeight="1" x14ac:dyDescent="0.25">
      <c r="A73" s="140"/>
      <c r="B73" s="151"/>
      <c r="C73" s="72"/>
      <c r="D73" s="73"/>
      <c r="E73" s="73"/>
      <c r="F73" s="141"/>
      <c r="G73" s="74"/>
      <c r="H73" s="75"/>
      <c r="I73" s="76"/>
      <c r="J73" s="135"/>
      <c r="K73" s="135"/>
      <c r="L73" s="77">
        <f t="shared" si="42"/>
        <v>0</v>
      </c>
      <c r="M73" s="78"/>
      <c r="N73" s="142"/>
      <c r="O73" s="142"/>
      <c r="P73" s="77">
        <f t="shared" si="43"/>
        <v>0</v>
      </c>
      <c r="Q73" s="78"/>
      <c r="R73" s="143"/>
      <c r="S73" s="143"/>
      <c r="T73" s="77">
        <f t="shared" si="44"/>
        <v>0</v>
      </c>
      <c r="U73" s="75"/>
      <c r="V73" s="76"/>
      <c r="W73" s="135"/>
      <c r="X73" s="135"/>
      <c r="Y73" s="77">
        <f t="shared" si="45"/>
        <v>0</v>
      </c>
      <c r="Z73" s="78"/>
      <c r="AA73" s="142"/>
      <c r="AB73" s="142"/>
      <c r="AC73" s="77">
        <f t="shared" si="46"/>
        <v>0</v>
      </c>
      <c r="AD73" s="78"/>
      <c r="AE73" s="143"/>
      <c r="AF73" s="143"/>
      <c r="AG73" s="79">
        <f t="shared" si="47"/>
        <v>0</v>
      </c>
      <c r="AH73" s="75"/>
      <c r="AI73" s="76"/>
      <c r="AJ73" s="135"/>
      <c r="AK73" s="135"/>
      <c r="AL73" s="77">
        <f t="shared" si="48"/>
        <v>0</v>
      </c>
      <c r="AM73" s="76"/>
      <c r="AN73" s="142"/>
      <c r="AO73" s="142"/>
      <c r="AP73" s="77">
        <f t="shared" si="49"/>
        <v>0</v>
      </c>
      <c r="AQ73" s="78"/>
      <c r="AR73" s="142"/>
      <c r="AS73" s="142"/>
      <c r="AT73" s="79">
        <f t="shared" si="50"/>
        <v>0</v>
      </c>
      <c r="AU73" s="75"/>
      <c r="AV73" s="76"/>
      <c r="AW73" s="135"/>
      <c r="AX73" s="135"/>
      <c r="AY73" s="77">
        <f t="shared" si="51"/>
        <v>0</v>
      </c>
      <c r="AZ73" s="76"/>
      <c r="BA73" s="142"/>
      <c r="BB73" s="142"/>
      <c r="BC73" s="77">
        <f t="shared" si="52"/>
        <v>0</v>
      </c>
      <c r="BD73" s="78"/>
      <c r="BE73" s="142"/>
      <c r="BF73" s="142"/>
      <c r="BG73" s="79">
        <f t="shared" si="53"/>
        <v>0</v>
      </c>
      <c r="BH73" s="75"/>
      <c r="BI73" s="76"/>
      <c r="BJ73" s="135"/>
      <c r="BK73" s="135"/>
      <c r="BL73" s="77">
        <f t="shared" si="54"/>
        <v>0</v>
      </c>
      <c r="BM73" s="78"/>
      <c r="BN73" s="142"/>
      <c r="BO73" s="142"/>
      <c r="BP73" s="77">
        <f t="shared" si="55"/>
        <v>0</v>
      </c>
      <c r="BQ73" s="78"/>
      <c r="BR73" s="142"/>
      <c r="BS73" s="142"/>
      <c r="BT73" s="79">
        <f t="shared" si="56"/>
        <v>0</v>
      </c>
      <c r="BU73" s="75"/>
      <c r="BV73" s="76"/>
      <c r="BW73" s="135"/>
      <c r="BX73" s="135"/>
      <c r="BY73" s="77">
        <f t="shared" si="57"/>
        <v>0</v>
      </c>
      <c r="BZ73" s="78"/>
      <c r="CA73" s="142"/>
      <c r="CB73" s="142"/>
      <c r="CC73" s="77">
        <f t="shared" si="58"/>
        <v>0</v>
      </c>
      <c r="CD73" s="78"/>
      <c r="CE73" s="142"/>
      <c r="CF73" s="142"/>
      <c r="CG73" s="79">
        <f t="shared" si="59"/>
        <v>0</v>
      </c>
      <c r="CH73" s="75"/>
      <c r="CI73" s="76"/>
      <c r="CJ73" s="86"/>
      <c r="CK73" s="135"/>
      <c r="CL73" s="77">
        <f t="shared" si="60"/>
        <v>0</v>
      </c>
      <c r="CM73" s="78"/>
      <c r="CN73" s="142"/>
      <c r="CO73" s="142"/>
      <c r="CP73" s="77">
        <f t="shared" si="61"/>
        <v>0</v>
      </c>
      <c r="CQ73" s="78"/>
      <c r="CR73" s="142"/>
      <c r="CS73" s="142"/>
      <c r="CT73" s="79">
        <f t="shared" si="62"/>
        <v>0</v>
      </c>
      <c r="CU73" s="80">
        <f t="shared" si="35"/>
        <v>0</v>
      </c>
      <c r="CV73" s="81">
        <f t="shared" si="36"/>
        <v>0</v>
      </c>
      <c r="CW73" s="144"/>
      <c r="CX73" s="145">
        <f>IF(ISERROR(VLOOKUP($A73,FIJOS!$B$11:$O$590,14,FALSE)),0,VLOOKUP($A73,FIJOS!$B$11:$O$590,14,FALSE))</f>
        <v>0</v>
      </c>
      <c r="CY73" s="145">
        <f>IF(ISERROR(VLOOKUP(A73,FIJOS!$B$10:$P$590,15,FALSE)),0,VLOOKUP(A73,FIJOS!$B$10:$P$590,15,FALSE))</f>
        <v>0</v>
      </c>
      <c r="CZ73" s="156"/>
      <c r="DA73" s="146"/>
      <c r="DB73" s="147"/>
      <c r="DC73" s="147"/>
      <c r="DD73" s="147"/>
      <c r="DE73" s="147"/>
      <c r="DF73" s="145">
        <f>IF(ISERROR(VLOOKUP($A73,FIJOS!$B$11:$N$590,13,FALSE)),0,VLOOKUP($A73,FIJOS!$B$11:$N$590,13,FALSE))</f>
        <v>0</v>
      </c>
      <c r="DG73" s="145">
        <f>IF(ISERROR(VLOOKUP($A73,FIJOS!$B$11:$P$447,12,FALSE)),0,VLOOKUP($A73,FIJOS!$B$11:$P$447,12,FALSE))</f>
        <v>0</v>
      </c>
      <c r="DH73" s="82">
        <f t="shared" si="63"/>
        <v>0</v>
      </c>
      <c r="DI73" s="83" t="b">
        <f>IF($C73=1,(VLOOKUP($A73,FIJOS!$B$11:$P$545,10,FALSE)/7)*(7-$CU73),IF(AND($C73=2,CV73&lt;$DJ$1),(VLOOKUP($D73,HORAS!$B$4:$C$42,2,FALSE)*24)*$CV73,IF(AND($C73=2,CV73&gt;=$DJ$1),VLOOKUP($D73,HORAS!$B$4:$D$42,3,FALSE),IF(AND($C73=3,$CV73&gt;=$DJ$1),VLOOKUP($A73,FIJOS!$B$11:$P$545,10,FALSE),IF(AND($C73=3,$CV73&lt;$DJ$1),((VLOOKUP($A73,FIJOS!$B$11:$P$545,10,FALSE)/48)*24)*$CV73,IF(AND($C73=4,$CV73&gt;=(42/24)),VLOOKUP($D73,HORAS!$B$4:$D$42,3,FALSE),IF(AND($C73=5,$CV73&gt;=(36/24)),VLOOKUP($D73,HORAS!$B$4:$D$42,3,FALSE))))))))</f>
        <v>0</v>
      </c>
      <c r="DJ73" s="145">
        <f>IF(OR($C73=2),VLOOKUP($D73,HORAS!$B$4:$E$42,4,FALSE)*$EC73,IF(ISERROR(VLOOKUP($A73,FIJOS!$B$11:$P$108,9,FALSE)),0,VLOOKUP($A73,FIJOS!$B$11:$P$231,9,FALSE)*$EC73))</f>
        <v>0</v>
      </c>
      <c r="DK73" s="145">
        <f>IF(OR($C73=2),VLOOKUP($D73,HORAS!$B$4:$F$42,5,FALSE)*$EE73,IF(ISERROR(VLOOKUP($A73,FIJOS!$B$11:$P$108,9,FALSE)),0,VLOOKUP($A73,FIJOS!$B$11:$P$231,9,FALSE)*$EE73))</f>
        <v>0</v>
      </c>
      <c r="DL73" s="144"/>
      <c r="DM73" s="145">
        <f>IF(ISERROR(VLOOKUP($A73,FIJOS!$B$11:$L$646,11,FALSE)),0,VLOOKUP($A73,FIJOS!$B$11:$L$646,11,FALSE))</f>
        <v>0</v>
      </c>
      <c r="DN73" s="148" t="e">
        <f>IF(OR($C73=1,$C73=3),0,IF((VLOOKUP(CAPTURA!D73,HORAS!$B$4:$K$42,10,FALSE)/4)*COUNTIF($H73:$CT73,3)&gt;100,100,(VLOOKUP(CAPTURA!D73,HORAS!$B$4:$K$42,10,FALSE)/4)*COUNTIF($H73:$CT73,3)))</f>
        <v>#N/A</v>
      </c>
      <c r="DO73" s="144" t="e">
        <f>IF(OR($C73=1,$C73=3),0,IF($C73=5,VLOOKUP(D73,HORAS!$B$4:$G$42,6,FALSE),IF(AND($C73=4,$CV73&gt;=(42/24)),VLOOKUP(D73,HORAS!$B$4:$G$42,6,FALSE),IF(COUNTIF($H73:$CL73,"F")&gt;0,0,IF(CV73&gt;$DJ$1,$DJ$1*(VLOOKUP(D73,HORAS!$B$4:$G$42,6,FALSE)/$DJ$1),CV73*(VLOOKUP(D73,HORAS!$B$4:$G$42,6,FALSE)/$DJ$1))))))</f>
        <v>#N/A</v>
      </c>
      <c r="DP73" s="156"/>
      <c r="DQ73" s="89"/>
      <c r="DR73" s="148"/>
      <c r="DS73" s="83" t="e">
        <f t="shared" si="66"/>
        <v>#N/A</v>
      </c>
      <c r="DT73" s="84"/>
      <c r="DU73" s="149" t="e">
        <f t="shared" si="67"/>
        <v>#N/A</v>
      </c>
      <c r="DV73" s="149" t="e">
        <f t="shared" si="68"/>
        <v>#N/A</v>
      </c>
      <c r="DW73" s="144" t="e">
        <f t="shared" si="69"/>
        <v>#N/A</v>
      </c>
      <c r="DX73" s="134"/>
      <c r="DY73" s="29"/>
      <c r="DZ73" s="150"/>
      <c r="EA73" s="134"/>
      <c r="EB73" s="137">
        <f t="shared" si="70"/>
        <v>0</v>
      </c>
      <c r="EC73" s="138">
        <f t="shared" si="64"/>
        <v>0</v>
      </c>
      <c r="ED73" s="137">
        <f t="shared" si="71"/>
        <v>0</v>
      </c>
      <c r="EE73" s="132">
        <f t="shared" si="65"/>
        <v>0</v>
      </c>
      <c r="EF73" s="29"/>
      <c r="EG73" s="134"/>
      <c r="EH73" s="134"/>
      <c r="EI73" s="134"/>
      <c r="EK73" s="29"/>
    </row>
    <row r="74" spans="1:141" ht="15" customHeight="1" x14ac:dyDescent="0.25">
      <c r="A74" s="140"/>
      <c r="B74" s="151"/>
      <c r="C74" s="72"/>
      <c r="D74" s="73"/>
      <c r="E74" s="73"/>
      <c r="F74" s="141"/>
      <c r="G74" s="74"/>
      <c r="H74" s="75"/>
      <c r="I74" s="76"/>
      <c r="J74" s="135"/>
      <c r="K74" s="135"/>
      <c r="L74" s="77">
        <f t="shared" si="42"/>
        <v>0</v>
      </c>
      <c r="M74" s="78"/>
      <c r="N74" s="142"/>
      <c r="O74" s="142"/>
      <c r="P74" s="77">
        <f t="shared" si="43"/>
        <v>0</v>
      </c>
      <c r="Q74" s="78"/>
      <c r="R74" s="143"/>
      <c r="S74" s="143"/>
      <c r="T74" s="77">
        <f t="shared" si="44"/>
        <v>0</v>
      </c>
      <c r="U74" s="75"/>
      <c r="V74" s="76"/>
      <c r="W74" s="135"/>
      <c r="X74" s="135"/>
      <c r="Y74" s="77">
        <f t="shared" si="45"/>
        <v>0</v>
      </c>
      <c r="Z74" s="78"/>
      <c r="AA74" s="142"/>
      <c r="AB74" s="142"/>
      <c r="AC74" s="77">
        <f t="shared" si="46"/>
        <v>0</v>
      </c>
      <c r="AD74" s="78"/>
      <c r="AE74" s="143"/>
      <c r="AF74" s="143"/>
      <c r="AG74" s="79">
        <f t="shared" si="47"/>
        <v>0</v>
      </c>
      <c r="AH74" s="75"/>
      <c r="AI74" s="76"/>
      <c r="AJ74" s="135"/>
      <c r="AK74" s="135"/>
      <c r="AL74" s="77">
        <f t="shared" si="48"/>
        <v>0</v>
      </c>
      <c r="AM74" s="76"/>
      <c r="AN74" s="142"/>
      <c r="AO74" s="142"/>
      <c r="AP74" s="77">
        <f t="shared" si="49"/>
        <v>0</v>
      </c>
      <c r="AQ74" s="78"/>
      <c r="AR74" s="142"/>
      <c r="AS74" s="142"/>
      <c r="AT74" s="79">
        <f t="shared" si="50"/>
        <v>0</v>
      </c>
      <c r="AU74" s="75"/>
      <c r="AV74" s="76"/>
      <c r="AW74" s="135"/>
      <c r="AX74" s="135"/>
      <c r="AY74" s="77">
        <f t="shared" si="51"/>
        <v>0</v>
      </c>
      <c r="AZ74" s="76"/>
      <c r="BA74" s="142"/>
      <c r="BB74" s="142"/>
      <c r="BC74" s="77">
        <f t="shared" si="52"/>
        <v>0</v>
      </c>
      <c r="BD74" s="78"/>
      <c r="BE74" s="142"/>
      <c r="BF74" s="142"/>
      <c r="BG74" s="79">
        <f t="shared" si="53"/>
        <v>0</v>
      </c>
      <c r="BH74" s="75"/>
      <c r="BI74" s="76"/>
      <c r="BJ74" s="135"/>
      <c r="BK74" s="135"/>
      <c r="BL74" s="77">
        <f t="shared" si="54"/>
        <v>0</v>
      </c>
      <c r="BM74" s="76"/>
      <c r="BN74" s="142"/>
      <c r="BO74" s="142"/>
      <c r="BP74" s="77">
        <f t="shared" si="55"/>
        <v>0</v>
      </c>
      <c r="BQ74" s="78"/>
      <c r="BR74" s="142"/>
      <c r="BS74" s="142"/>
      <c r="BT74" s="79">
        <f t="shared" si="56"/>
        <v>0</v>
      </c>
      <c r="BU74" s="75"/>
      <c r="BV74" s="76"/>
      <c r="BW74" s="135"/>
      <c r="BX74" s="135"/>
      <c r="BY74" s="77">
        <f t="shared" si="57"/>
        <v>0</v>
      </c>
      <c r="BZ74" s="78"/>
      <c r="CA74" s="142"/>
      <c r="CB74" s="142"/>
      <c r="CC74" s="77">
        <f t="shared" si="58"/>
        <v>0</v>
      </c>
      <c r="CD74" s="78"/>
      <c r="CE74" s="142"/>
      <c r="CF74" s="142"/>
      <c r="CG74" s="79">
        <f t="shared" si="59"/>
        <v>0</v>
      </c>
      <c r="CH74" s="75"/>
      <c r="CI74" s="76"/>
      <c r="CJ74" s="135"/>
      <c r="CK74" s="135"/>
      <c r="CL74" s="77">
        <f t="shared" si="60"/>
        <v>0</v>
      </c>
      <c r="CM74" s="78"/>
      <c r="CN74" s="142"/>
      <c r="CO74" s="142"/>
      <c r="CP74" s="77">
        <f t="shared" si="61"/>
        <v>0</v>
      </c>
      <c r="CQ74" s="78"/>
      <c r="CR74" s="142"/>
      <c r="CS74" s="142"/>
      <c r="CT74" s="79">
        <f t="shared" si="62"/>
        <v>0</v>
      </c>
      <c r="CU74" s="80">
        <f t="shared" si="35"/>
        <v>0</v>
      </c>
      <c r="CV74" s="81">
        <f t="shared" si="36"/>
        <v>0</v>
      </c>
      <c r="CW74" s="144"/>
      <c r="CX74" s="145">
        <f>IF(ISERROR(VLOOKUP($A74,FIJOS!$B$11:$O$590,14,FALSE)),0,VLOOKUP($A74,FIJOS!$B$11:$O$590,14,FALSE))</f>
        <v>0</v>
      </c>
      <c r="CY74" s="145">
        <f>IF(ISERROR(VLOOKUP(A74,FIJOS!$B$10:$P$590,15,FALSE)),0,VLOOKUP(A74,FIJOS!$B$10:$P$590,15,FALSE))</f>
        <v>0</v>
      </c>
      <c r="CZ74" s="156"/>
      <c r="DA74" s="146"/>
      <c r="DB74" s="147"/>
      <c r="DC74" s="147"/>
      <c r="DD74" s="147"/>
      <c r="DE74" s="147"/>
      <c r="DF74" s="145">
        <f>IF(ISERROR(VLOOKUP($A74,FIJOS!$B$11:$N$590,13,FALSE)),0,VLOOKUP($A74,FIJOS!$B$11:$N$590,13,FALSE))</f>
        <v>0</v>
      </c>
      <c r="DG74" s="145">
        <f>IF(ISERROR(VLOOKUP($A74,FIJOS!$B$11:$P$447,12,FALSE)),0,VLOOKUP($A74,FIJOS!$B$11:$P$447,12,FALSE))</f>
        <v>0</v>
      </c>
      <c r="DH74" s="82">
        <f t="shared" si="63"/>
        <v>0</v>
      </c>
      <c r="DI74" s="83" t="b">
        <f>IF($C74=1,(VLOOKUP($A74,FIJOS!$B$11:$P$545,10,FALSE)/7)*(7-$CU74),IF(AND($C74=2,CV74&lt;$DJ$1),(VLOOKUP($D74,HORAS!$B$4:$C$42,2,FALSE)*24)*$CV74,IF(AND($C74=2,CV74&gt;=$DJ$1),VLOOKUP($D74,HORAS!$B$4:$D$42,3,FALSE),IF(AND($C74=3,$CV74&gt;=$DJ$1),VLOOKUP($A74,FIJOS!$B$11:$P$545,10,FALSE),IF(AND($C74=3,$CV74&lt;$DJ$1),((VLOOKUP($A74,FIJOS!$B$11:$P$545,10,FALSE)/48)*24)*$CV74,IF(AND($C74=4,$CV74&gt;=(42/24)),VLOOKUP($D74,HORAS!$B$4:$D$42,3,FALSE),IF(AND($C74=5,$CV74&gt;=(36/24)),VLOOKUP($D74,HORAS!$B$4:$D$42,3,FALSE))))))))</f>
        <v>0</v>
      </c>
      <c r="DJ74" s="145">
        <f>IF(OR($C74=2),VLOOKUP($D74,HORAS!$B$4:$E$42,4,FALSE)*$EC74,IF(ISERROR(VLOOKUP($A74,FIJOS!$B$11:$P$108,9,FALSE)),0,VLOOKUP($A74,FIJOS!$B$11:$P$231,9,FALSE)*$EC74))</f>
        <v>0</v>
      </c>
      <c r="DK74" s="145">
        <f>IF(OR($C74=2),VLOOKUP($D74,HORAS!$B$4:$F$42,5,FALSE)*$EE74,IF(ISERROR(VLOOKUP($A74,FIJOS!$B$11:$P$108,9,FALSE)),0,VLOOKUP($A74,FIJOS!$B$11:$P$231,9,FALSE)*$EE74))</f>
        <v>0</v>
      </c>
      <c r="DL74" s="144"/>
      <c r="DM74" s="145">
        <f>IF(ISERROR(VLOOKUP($A74,FIJOS!$B$11:$L$646,11,FALSE)),0,VLOOKUP($A74,FIJOS!$B$11:$L$646,11,FALSE))</f>
        <v>0</v>
      </c>
      <c r="DN74" s="148" t="e">
        <f>IF(OR($C74=1,$C74=3),0,IF((VLOOKUP(CAPTURA!D74,HORAS!$B$4:$K$42,10,FALSE)/4)*COUNTIF($H74:$CT74,3)&gt;100,100,(VLOOKUP(CAPTURA!D74,HORAS!$B$4:$K$42,10,FALSE)/4)*COUNTIF($H74:$CT74,3)))</f>
        <v>#N/A</v>
      </c>
      <c r="DO74" s="144" t="e">
        <f>IF(OR($C74=1,$C74=3),0,IF($C74=5,VLOOKUP(D74,HORAS!$B$4:$G$42,6,FALSE),IF(AND($C74=4,$CV74&gt;=(42/24)),VLOOKUP(D74,HORAS!$B$4:$G$42,6,FALSE),IF(COUNTIF($H74:$CL74,"F")&gt;0,0,IF(CV74&gt;$DJ$1,$DJ$1*(VLOOKUP(D74,HORAS!$B$4:$G$42,6,FALSE)/$DJ$1),CV74*(VLOOKUP(D74,HORAS!$B$4:$G$42,6,FALSE)/$DJ$1))))))</f>
        <v>#N/A</v>
      </c>
      <c r="DP74" s="156"/>
      <c r="DQ74" s="89"/>
      <c r="DR74" s="148"/>
      <c r="DS74" s="83" t="e">
        <f t="shared" si="66"/>
        <v>#N/A</v>
      </c>
      <c r="DT74" s="84"/>
      <c r="DU74" s="149" t="e">
        <f t="shared" si="67"/>
        <v>#N/A</v>
      </c>
      <c r="DV74" s="149" t="e">
        <f t="shared" si="68"/>
        <v>#N/A</v>
      </c>
      <c r="DW74" s="144" t="e">
        <f t="shared" si="69"/>
        <v>#N/A</v>
      </c>
      <c r="DX74" s="134"/>
      <c r="DY74" s="29"/>
      <c r="DZ74" s="150"/>
      <c r="EA74" s="134"/>
      <c r="EB74" s="137">
        <f t="shared" si="70"/>
        <v>0</v>
      </c>
      <c r="EC74" s="138">
        <f t="shared" si="64"/>
        <v>0</v>
      </c>
      <c r="ED74" s="137">
        <f t="shared" si="71"/>
        <v>0</v>
      </c>
      <c r="EE74" s="132">
        <f t="shared" si="65"/>
        <v>0</v>
      </c>
      <c r="EF74" s="29"/>
      <c r="EG74" s="134"/>
      <c r="EH74" s="134"/>
      <c r="EI74" s="134"/>
      <c r="EK74" s="29"/>
    </row>
    <row r="75" spans="1:141" ht="15" customHeight="1" x14ac:dyDescent="0.25">
      <c r="A75" s="140"/>
      <c r="B75" s="151"/>
      <c r="C75" s="72"/>
      <c r="D75" s="73"/>
      <c r="E75" s="73"/>
      <c r="F75" s="141"/>
      <c r="G75" s="74"/>
      <c r="H75" s="75"/>
      <c r="I75" s="76"/>
      <c r="J75" s="135"/>
      <c r="K75" s="135"/>
      <c r="L75" s="77">
        <f t="shared" si="42"/>
        <v>0</v>
      </c>
      <c r="M75" s="78"/>
      <c r="N75" s="142"/>
      <c r="O75" s="142"/>
      <c r="P75" s="77">
        <f t="shared" si="43"/>
        <v>0</v>
      </c>
      <c r="Q75" s="78"/>
      <c r="R75" s="143"/>
      <c r="S75" s="143"/>
      <c r="T75" s="77">
        <f t="shared" si="44"/>
        <v>0</v>
      </c>
      <c r="U75" s="75"/>
      <c r="V75" s="76"/>
      <c r="W75" s="135"/>
      <c r="X75" s="157"/>
      <c r="Y75" s="77">
        <f t="shared" si="45"/>
        <v>0</v>
      </c>
      <c r="Z75" s="78"/>
      <c r="AA75" s="142"/>
      <c r="AB75" s="142"/>
      <c r="AC75" s="77">
        <f t="shared" si="46"/>
        <v>0</v>
      </c>
      <c r="AD75" s="78"/>
      <c r="AE75" s="143"/>
      <c r="AF75" s="143"/>
      <c r="AG75" s="79">
        <f t="shared" si="47"/>
        <v>0</v>
      </c>
      <c r="AH75" s="75"/>
      <c r="AI75" s="76"/>
      <c r="AJ75" s="135"/>
      <c r="AK75" s="135"/>
      <c r="AL75" s="77">
        <f t="shared" si="48"/>
        <v>0</v>
      </c>
      <c r="AM75" s="76"/>
      <c r="AN75" s="142"/>
      <c r="AO75" s="142"/>
      <c r="AP75" s="77">
        <f t="shared" si="49"/>
        <v>0</v>
      </c>
      <c r="AQ75" s="78"/>
      <c r="AR75" s="142"/>
      <c r="AS75" s="142"/>
      <c r="AT75" s="79">
        <f t="shared" si="50"/>
        <v>0</v>
      </c>
      <c r="AU75" s="75"/>
      <c r="AV75" s="76"/>
      <c r="AW75" s="135"/>
      <c r="AX75" s="135"/>
      <c r="AY75" s="77">
        <f t="shared" si="51"/>
        <v>0</v>
      </c>
      <c r="AZ75" s="76"/>
      <c r="BA75" s="142"/>
      <c r="BB75" s="142"/>
      <c r="BC75" s="77">
        <f t="shared" si="52"/>
        <v>0</v>
      </c>
      <c r="BD75" s="78"/>
      <c r="BE75" s="142"/>
      <c r="BF75" s="142"/>
      <c r="BG75" s="79">
        <f t="shared" si="53"/>
        <v>0</v>
      </c>
      <c r="BH75" s="75"/>
      <c r="BI75" s="76"/>
      <c r="BJ75" s="135"/>
      <c r="BK75" s="135"/>
      <c r="BL75" s="77">
        <f t="shared" si="54"/>
        <v>0</v>
      </c>
      <c r="BM75" s="78"/>
      <c r="BN75" s="142"/>
      <c r="BO75" s="142"/>
      <c r="BP75" s="77">
        <f t="shared" si="55"/>
        <v>0</v>
      </c>
      <c r="BQ75" s="78"/>
      <c r="BR75" s="142"/>
      <c r="BS75" s="142"/>
      <c r="BT75" s="79">
        <f t="shared" si="56"/>
        <v>0</v>
      </c>
      <c r="BU75" s="75"/>
      <c r="BV75" s="76"/>
      <c r="BW75" s="135"/>
      <c r="BX75" s="135"/>
      <c r="BY75" s="77">
        <f t="shared" si="57"/>
        <v>0</v>
      </c>
      <c r="BZ75" s="78"/>
      <c r="CA75" s="142"/>
      <c r="CB75" s="142"/>
      <c r="CC75" s="77">
        <f t="shared" si="58"/>
        <v>0</v>
      </c>
      <c r="CD75" s="78"/>
      <c r="CE75" s="142"/>
      <c r="CF75" s="142"/>
      <c r="CG75" s="79">
        <f t="shared" si="59"/>
        <v>0</v>
      </c>
      <c r="CH75" s="75"/>
      <c r="CI75" s="76"/>
      <c r="CJ75" s="135"/>
      <c r="CK75" s="135"/>
      <c r="CL75" s="77">
        <f t="shared" si="60"/>
        <v>0</v>
      </c>
      <c r="CM75" s="78"/>
      <c r="CN75" s="142"/>
      <c r="CO75" s="142"/>
      <c r="CP75" s="77">
        <f t="shared" si="61"/>
        <v>0</v>
      </c>
      <c r="CQ75" s="78"/>
      <c r="CR75" s="142"/>
      <c r="CS75" s="142"/>
      <c r="CT75" s="79">
        <f t="shared" si="62"/>
        <v>0</v>
      </c>
      <c r="CU75" s="80">
        <f t="shared" si="35"/>
        <v>0</v>
      </c>
      <c r="CV75" s="81">
        <f t="shared" si="36"/>
        <v>0</v>
      </c>
      <c r="CW75" s="144"/>
      <c r="CX75" s="145">
        <f>IF(ISERROR(VLOOKUP($A75,FIJOS!$B$11:$O$590,14,FALSE)),0,VLOOKUP($A75,FIJOS!$B$11:$O$590,14,FALSE))</f>
        <v>0</v>
      </c>
      <c r="CY75" s="145">
        <f>IF(ISERROR(VLOOKUP(A75,FIJOS!$B$10:$P$590,15,FALSE)),0,VLOOKUP(A75,FIJOS!$B$10:$P$590,15,FALSE))</f>
        <v>0</v>
      </c>
      <c r="CZ75" s="156"/>
      <c r="DA75" s="146"/>
      <c r="DB75" s="147"/>
      <c r="DC75" s="147"/>
      <c r="DD75" s="147"/>
      <c r="DE75" s="147"/>
      <c r="DF75" s="145">
        <f>IF(ISERROR(VLOOKUP($A75,FIJOS!$B$11:$N$590,13,FALSE)),0,VLOOKUP($A75,FIJOS!$B$11:$N$590,13,FALSE))</f>
        <v>0</v>
      </c>
      <c r="DG75" s="145">
        <f>IF(ISERROR(VLOOKUP($A75,FIJOS!$B$11:$P$447,12,FALSE)),0,VLOOKUP($A75,FIJOS!$B$11:$P$447,12,FALSE))</f>
        <v>0</v>
      </c>
      <c r="DH75" s="82">
        <f t="shared" si="63"/>
        <v>0</v>
      </c>
      <c r="DI75" s="83" t="b">
        <f>IF($C75=1,(VLOOKUP($A75,FIJOS!$B$11:$P$545,10,FALSE)/7)*(7-$CU75),IF(AND($C75=2,CV75&lt;$DJ$1),(VLOOKUP($D75,HORAS!$B$4:$C$42,2,FALSE)*24)*$CV75,IF(AND($C75=2,CV75&gt;=$DJ$1),VLOOKUP($D75,HORAS!$B$4:$D$42,3,FALSE),IF(AND($C75=3,$CV75&gt;=$DJ$1),VLOOKUP($A75,FIJOS!$B$11:$P$545,10,FALSE),IF(AND($C75=3,$CV75&lt;$DJ$1),((VLOOKUP($A75,FIJOS!$B$11:$P$545,10,FALSE)/48)*24)*$CV75,IF(AND($C75=4,$CV75&gt;=(42/24)),VLOOKUP($D75,HORAS!$B$4:$D$42,3,FALSE),IF(AND($C75=5,$CV75&gt;=(36/24)),VLOOKUP($D75,HORAS!$B$4:$D$42,3,FALSE))))))))</f>
        <v>0</v>
      </c>
      <c r="DJ75" s="145">
        <f>IF(OR($C75=2),VLOOKUP($D75,HORAS!$B$4:$E$42,4,FALSE)*$EC75,IF(ISERROR(VLOOKUP($A75,FIJOS!$B$11:$P$108,9,FALSE)),0,VLOOKUP($A75,FIJOS!$B$11:$P$231,9,FALSE)*$EC75))</f>
        <v>0</v>
      </c>
      <c r="DK75" s="145">
        <f>IF(OR($C75=2),VLOOKUP($D75,HORAS!$B$4:$F$42,5,FALSE)*$EE75,IF(ISERROR(VLOOKUP($A75,FIJOS!$B$11:$P$108,9,FALSE)),0,VLOOKUP($A75,FIJOS!$B$11:$P$231,9,FALSE)*$EE75))</f>
        <v>0</v>
      </c>
      <c r="DL75" s="144"/>
      <c r="DM75" s="145">
        <f>IF(ISERROR(VLOOKUP($A75,FIJOS!$B$11:$L$646,11,FALSE)),0,VLOOKUP($A75,FIJOS!$B$11:$L$646,11,FALSE))</f>
        <v>0</v>
      </c>
      <c r="DN75" s="148" t="e">
        <f>IF(OR($C75=1,$C75=3),0,IF((VLOOKUP(CAPTURA!D75,HORAS!$B$4:$K$42,10,FALSE)/4)*COUNTIF($H75:$CT75,3)&gt;100,100,(VLOOKUP(CAPTURA!D75,HORAS!$B$4:$K$42,10,FALSE)/4)*COUNTIF($H75:$CT75,3)))</f>
        <v>#N/A</v>
      </c>
      <c r="DO75" s="144" t="e">
        <f>IF(OR($C75=1,$C75=3),0,IF($C75=5,VLOOKUP(D75,HORAS!$B$4:$G$42,6,FALSE),IF(AND($C75=4,$CV75&gt;=(42/24)),VLOOKUP(D75,HORAS!$B$4:$G$42,6,FALSE),IF(COUNTIF($H75:$CL75,"F")&gt;0,0,IF(CV75&gt;$DJ$1,$DJ$1*(VLOOKUP(D75,HORAS!$B$4:$G$42,6,FALSE)/$DJ$1),CV75*(VLOOKUP(D75,HORAS!$B$4:$G$42,6,FALSE)/$DJ$1))))))</f>
        <v>#N/A</v>
      </c>
      <c r="DP75" s="156"/>
      <c r="DQ75" s="89"/>
      <c r="DR75" s="148"/>
      <c r="DS75" s="83" t="e">
        <f t="shared" si="66"/>
        <v>#N/A</v>
      </c>
      <c r="DT75" s="84"/>
      <c r="DU75" s="149" t="e">
        <f t="shared" si="67"/>
        <v>#N/A</v>
      </c>
      <c r="DV75" s="149" t="e">
        <f t="shared" si="68"/>
        <v>#N/A</v>
      </c>
      <c r="DW75" s="144" t="e">
        <f t="shared" si="69"/>
        <v>#N/A</v>
      </c>
      <c r="DX75" s="134"/>
      <c r="DY75" s="29"/>
      <c r="DZ75" s="150"/>
      <c r="EA75" s="134"/>
      <c r="EB75" s="137">
        <f t="shared" si="70"/>
        <v>0</v>
      </c>
      <c r="EC75" s="138">
        <f t="shared" si="64"/>
        <v>0</v>
      </c>
      <c r="ED75" s="137">
        <f t="shared" si="71"/>
        <v>0</v>
      </c>
      <c r="EE75" s="132">
        <f t="shared" si="65"/>
        <v>0</v>
      </c>
      <c r="EF75" s="29"/>
      <c r="EG75" s="134"/>
      <c r="EH75" s="134"/>
      <c r="EI75" s="134"/>
      <c r="EK75" s="29"/>
    </row>
    <row r="76" spans="1:141" ht="15" customHeight="1" x14ac:dyDescent="0.25">
      <c r="A76" s="140"/>
      <c r="B76" s="5"/>
      <c r="C76" s="72"/>
      <c r="D76" s="73"/>
      <c r="E76" s="73"/>
      <c r="F76" s="141"/>
      <c r="G76" s="74"/>
      <c r="H76" s="75"/>
      <c r="I76" s="76"/>
      <c r="J76" s="135"/>
      <c r="K76" s="135"/>
      <c r="L76" s="77">
        <f t="shared" si="42"/>
        <v>0</v>
      </c>
      <c r="M76" s="78"/>
      <c r="N76" s="142"/>
      <c r="O76" s="142"/>
      <c r="P76" s="77">
        <f t="shared" si="43"/>
        <v>0</v>
      </c>
      <c r="Q76" s="78"/>
      <c r="R76" s="143"/>
      <c r="S76" s="143"/>
      <c r="T76" s="77">
        <f t="shared" si="44"/>
        <v>0</v>
      </c>
      <c r="U76" s="75"/>
      <c r="V76" s="76"/>
      <c r="W76" s="135"/>
      <c r="X76" s="135"/>
      <c r="Y76" s="77">
        <f t="shared" si="45"/>
        <v>0</v>
      </c>
      <c r="Z76" s="78"/>
      <c r="AA76" s="142"/>
      <c r="AB76" s="142"/>
      <c r="AC76" s="77">
        <f t="shared" si="46"/>
        <v>0</v>
      </c>
      <c r="AD76" s="78"/>
      <c r="AE76" s="143"/>
      <c r="AF76" s="143"/>
      <c r="AG76" s="79">
        <f t="shared" si="47"/>
        <v>0</v>
      </c>
      <c r="AH76" s="75"/>
      <c r="AI76" s="76"/>
      <c r="AJ76" s="135"/>
      <c r="AK76" s="135"/>
      <c r="AL76" s="77">
        <f t="shared" si="48"/>
        <v>0</v>
      </c>
      <c r="AM76" s="76"/>
      <c r="AN76" s="142"/>
      <c r="AO76" s="142"/>
      <c r="AP76" s="77">
        <f t="shared" si="49"/>
        <v>0</v>
      </c>
      <c r="AQ76" s="78"/>
      <c r="AR76" s="142"/>
      <c r="AS76" s="142"/>
      <c r="AT76" s="79">
        <f t="shared" si="50"/>
        <v>0</v>
      </c>
      <c r="AU76" s="75"/>
      <c r="AV76" s="76"/>
      <c r="AW76" s="135"/>
      <c r="AX76" s="135"/>
      <c r="AY76" s="77">
        <f t="shared" si="51"/>
        <v>0</v>
      </c>
      <c r="AZ76" s="76"/>
      <c r="BA76" s="142"/>
      <c r="BB76" s="142"/>
      <c r="BC76" s="77">
        <f t="shared" si="52"/>
        <v>0</v>
      </c>
      <c r="BD76" s="78"/>
      <c r="BE76" s="142"/>
      <c r="BF76" s="142"/>
      <c r="BG76" s="79">
        <f t="shared" si="53"/>
        <v>0</v>
      </c>
      <c r="BH76" s="75"/>
      <c r="BI76" s="76"/>
      <c r="BJ76" s="135"/>
      <c r="BK76" s="135"/>
      <c r="BL76" s="77">
        <f t="shared" si="54"/>
        <v>0</v>
      </c>
      <c r="BM76" s="78"/>
      <c r="BN76" s="142"/>
      <c r="BO76" s="142"/>
      <c r="BP76" s="77">
        <f t="shared" si="55"/>
        <v>0</v>
      </c>
      <c r="BQ76" s="78"/>
      <c r="BR76" s="142"/>
      <c r="BS76" s="142"/>
      <c r="BT76" s="79">
        <f t="shared" si="56"/>
        <v>0</v>
      </c>
      <c r="BU76" s="75"/>
      <c r="BV76" s="76"/>
      <c r="BW76" s="135"/>
      <c r="BX76" s="135"/>
      <c r="BY76" s="77">
        <f t="shared" si="57"/>
        <v>0</v>
      </c>
      <c r="BZ76" s="78"/>
      <c r="CA76" s="142"/>
      <c r="CB76" s="142"/>
      <c r="CC76" s="77">
        <f t="shared" si="58"/>
        <v>0</v>
      </c>
      <c r="CD76" s="78"/>
      <c r="CE76" s="142"/>
      <c r="CF76" s="142"/>
      <c r="CG76" s="79">
        <f t="shared" si="59"/>
        <v>0</v>
      </c>
      <c r="CH76" s="75"/>
      <c r="CI76" s="76"/>
      <c r="CJ76" s="135"/>
      <c r="CK76" s="135"/>
      <c r="CL76" s="77">
        <f t="shared" si="60"/>
        <v>0</v>
      </c>
      <c r="CM76" s="78"/>
      <c r="CN76" s="142"/>
      <c r="CO76" s="142"/>
      <c r="CP76" s="77">
        <f t="shared" si="61"/>
        <v>0</v>
      </c>
      <c r="CQ76" s="78"/>
      <c r="CR76" s="142"/>
      <c r="CS76" s="142"/>
      <c r="CT76" s="79">
        <f t="shared" si="62"/>
        <v>0</v>
      </c>
      <c r="CU76" s="80">
        <f t="shared" si="35"/>
        <v>0</v>
      </c>
      <c r="CV76" s="81">
        <f t="shared" si="36"/>
        <v>0</v>
      </c>
      <c r="CW76" s="144"/>
      <c r="CX76" s="145">
        <f>IF(ISERROR(VLOOKUP($A76,FIJOS!$B$11:$O$590,14,FALSE)),0,VLOOKUP($A76,FIJOS!$B$11:$O$590,14,FALSE))</f>
        <v>0</v>
      </c>
      <c r="CY76" s="145">
        <f>IF(ISERROR(VLOOKUP(A76,FIJOS!$B$10:$P$590,15,FALSE)),0,VLOOKUP(A76,FIJOS!$B$10:$P$590,15,FALSE))</f>
        <v>0</v>
      </c>
      <c r="CZ76" s="156"/>
      <c r="DA76" s="146"/>
      <c r="DB76" s="147"/>
      <c r="DC76" s="147"/>
      <c r="DD76" s="147"/>
      <c r="DE76" s="147"/>
      <c r="DF76" s="145">
        <f>IF(ISERROR(VLOOKUP($A76,FIJOS!$B$11:$N$590,13,FALSE)),0,VLOOKUP($A76,FIJOS!$B$11:$N$590,13,FALSE))</f>
        <v>0</v>
      </c>
      <c r="DG76" s="145">
        <f>IF(ISERROR(VLOOKUP($A76,FIJOS!$B$11:$P$447,12,FALSE)),0,VLOOKUP($A76,FIJOS!$B$11:$P$447,12,FALSE))</f>
        <v>0</v>
      </c>
      <c r="DH76" s="82">
        <f t="shared" si="63"/>
        <v>0</v>
      </c>
      <c r="DI76" s="83" t="b">
        <f>IF($C76=1,(VLOOKUP($A76,FIJOS!$B$11:$P$545,10,FALSE)/7)*(7-$CU76),IF(AND($C76=2,CV76&lt;$DJ$1),(VLOOKUP($D76,HORAS!$B$4:$C$42,2,FALSE)*24)*$CV76,IF(AND($C76=2,CV76&gt;=$DJ$1),VLOOKUP($D76,HORAS!$B$4:$D$42,3,FALSE),IF(AND($C76=3,$CV76&gt;=$DJ$1),VLOOKUP($A76,FIJOS!$B$11:$P$545,10,FALSE),IF(AND($C76=3,$CV76&lt;$DJ$1),((VLOOKUP($A76,FIJOS!$B$11:$P$545,10,FALSE)/48)*24)*$CV76,IF(AND($C76=4,$CV76&gt;=(42/24)),VLOOKUP($D76,HORAS!$B$4:$D$42,3,FALSE),IF(AND($C76=5,$CV76&gt;=(36/24)),VLOOKUP($D76,HORAS!$B$4:$D$42,3,FALSE))))))))</f>
        <v>0</v>
      </c>
      <c r="DJ76" s="145">
        <f>IF(OR($C76=2),VLOOKUP($D76,HORAS!$B$4:$E$42,4,FALSE)*$EC76,IF(ISERROR(VLOOKUP($A76,FIJOS!$B$11:$P$108,9,FALSE)),0,VLOOKUP($A76,FIJOS!$B$11:$P$231,9,FALSE)*$EC76))</f>
        <v>0</v>
      </c>
      <c r="DK76" s="145">
        <f>IF(OR($C76=2),VLOOKUP($D76,HORAS!$B$4:$F$42,5,FALSE)*$EE76,IF(ISERROR(VLOOKUP($A76,FIJOS!$B$11:$P$108,9,FALSE)),0,VLOOKUP($A76,FIJOS!$B$11:$P$231,9,FALSE)*$EE76))</f>
        <v>0</v>
      </c>
      <c r="DL76" s="144"/>
      <c r="DM76" s="145">
        <f>IF(ISERROR(VLOOKUP($A76,FIJOS!$B$11:$L$646,11,FALSE)),0,VLOOKUP($A76,FIJOS!$B$11:$L$646,11,FALSE))</f>
        <v>0</v>
      </c>
      <c r="DN76" s="148" t="e">
        <f>IF(OR($C76=1,$C76=3),0,IF((VLOOKUP(CAPTURA!D76,HORAS!$B$4:$K$42,10,FALSE)/4)*COUNTIF($H76:$CT76,3)&gt;100,100,(VLOOKUP(CAPTURA!D76,HORAS!$B$4:$K$42,10,FALSE)/4)*COUNTIF($H76:$CT76,3)))</f>
        <v>#N/A</v>
      </c>
      <c r="DO76" s="144" t="e">
        <f>IF(OR($C76=1,$C76=3),0,IF($C76=5,VLOOKUP(D76,HORAS!$B$4:$G$42,6,FALSE),IF(AND($C76=4,$CV76&gt;=(42/24)),VLOOKUP(D76,HORAS!$B$4:$G$42,6,FALSE),IF(COUNTIF($H76:$CL76,"F")&gt;0,0,IF(CV76&gt;$DJ$1,$DJ$1*(VLOOKUP(D76,HORAS!$B$4:$G$42,6,FALSE)/$DJ$1),CV76*(VLOOKUP(D76,HORAS!$B$4:$G$42,6,FALSE)/$DJ$1))))))</f>
        <v>#N/A</v>
      </c>
      <c r="DP76" s="156"/>
      <c r="DQ76" s="148"/>
      <c r="DR76" s="148"/>
      <c r="DS76" s="83" t="e">
        <f t="shared" si="66"/>
        <v>#N/A</v>
      </c>
      <c r="DT76" s="84"/>
      <c r="DU76" s="149" t="e">
        <f t="shared" si="67"/>
        <v>#N/A</v>
      </c>
      <c r="DV76" s="149" t="e">
        <f t="shared" si="68"/>
        <v>#N/A</v>
      </c>
      <c r="DW76" s="144" t="e">
        <f t="shared" si="69"/>
        <v>#N/A</v>
      </c>
      <c r="DX76" s="134"/>
      <c r="DY76" s="29"/>
      <c r="DZ76" s="150"/>
      <c r="EA76" s="134"/>
      <c r="EB76" s="137">
        <f t="shared" si="70"/>
        <v>0</v>
      </c>
      <c r="EC76" s="138">
        <f t="shared" si="64"/>
        <v>0</v>
      </c>
      <c r="ED76" s="137">
        <f t="shared" si="71"/>
        <v>0</v>
      </c>
      <c r="EE76" s="132">
        <f t="shared" si="65"/>
        <v>0</v>
      </c>
      <c r="EF76" s="29"/>
      <c r="EG76" s="134"/>
      <c r="EH76" s="134"/>
      <c r="EI76" s="134"/>
      <c r="EK76" s="29"/>
    </row>
    <row r="77" spans="1:141" ht="15" customHeight="1" x14ac:dyDescent="0.25">
      <c r="A77" s="140"/>
      <c r="B77" s="151"/>
      <c r="C77" s="72"/>
      <c r="D77" s="73"/>
      <c r="E77" s="73"/>
      <c r="F77" s="141"/>
      <c r="G77" s="74"/>
      <c r="H77" s="75"/>
      <c r="I77" s="76"/>
      <c r="J77" s="135"/>
      <c r="K77" s="135"/>
      <c r="L77" s="77">
        <f t="shared" si="42"/>
        <v>0</v>
      </c>
      <c r="M77" s="78"/>
      <c r="N77" s="142"/>
      <c r="O77" s="142"/>
      <c r="P77" s="77">
        <f t="shared" si="43"/>
        <v>0</v>
      </c>
      <c r="Q77" s="78"/>
      <c r="R77" s="143"/>
      <c r="S77" s="143"/>
      <c r="T77" s="77">
        <f t="shared" si="44"/>
        <v>0</v>
      </c>
      <c r="U77" s="75"/>
      <c r="V77" s="76"/>
      <c r="W77" s="135"/>
      <c r="X77" s="135"/>
      <c r="Y77" s="77">
        <f t="shared" si="45"/>
        <v>0</v>
      </c>
      <c r="Z77" s="78"/>
      <c r="AA77" s="142"/>
      <c r="AB77" s="142"/>
      <c r="AC77" s="77">
        <f t="shared" si="46"/>
        <v>0</v>
      </c>
      <c r="AD77" s="78"/>
      <c r="AE77" s="143"/>
      <c r="AF77" s="143"/>
      <c r="AG77" s="79">
        <f t="shared" si="47"/>
        <v>0</v>
      </c>
      <c r="AH77" s="75"/>
      <c r="AI77" s="76"/>
      <c r="AJ77" s="135"/>
      <c r="AK77" s="135"/>
      <c r="AL77" s="77">
        <f t="shared" si="48"/>
        <v>0</v>
      </c>
      <c r="AM77" s="76"/>
      <c r="AN77" s="142"/>
      <c r="AO77" s="142"/>
      <c r="AP77" s="77">
        <f t="shared" si="49"/>
        <v>0</v>
      </c>
      <c r="AQ77" s="78"/>
      <c r="AR77" s="142"/>
      <c r="AS77" s="142"/>
      <c r="AT77" s="79">
        <f t="shared" si="50"/>
        <v>0</v>
      </c>
      <c r="AU77" s="75"/>
      <c r="AV77" s="76"/>
      <c r="AW77" s="135"/>
      <c r="AX77" s="135"/>
      <c r="AY77" s="77">
        <f t="shared" si="51"/>
        <v>0</v>
      </c>
      <c r="AZ77" s="76"/>
      <c r="BA77" s="142"/>
      <c r="BB77" s="142"/>
      <c r="BC77" s="77">
        <f t="shared" si="52"/>
        <v>0</v>
      </c>
      <c r="BD77" s="78"/>
      <c r="BE77" s="142"/>
      <c r="BF77" s="142"/>
      <c r="BG77" s="79">
        <f t="shared" si="53"/>
        <v>0</v>
      </c>
      <c r="BH77" s="75"/>
      <c r="BI77" s="76"/>
      <c r="BJ77" s="135"/>
      <c r="BK77" s="135"/>
      <c r="BL77" s="77">
        <f t="shared" si="54"/>
        <v>0</v>
      </c>
      <c r="BM77" s="78"/>
      <c r="BN77" s="142"/>
      <c r="BO77" s="142"/>
      <c r="BP77" s="77">
        <f t="shared" si="55"/>
        <v>0</v>
      </c>
      <c r="BQ77" s="78"/>
      <c r="BR77" s="142"/>
      <c r="BS77" s="159"/>
      <c r="BT77" s="79">
        <f t="shared" si="56"/>
        <v>0</v>
      </c>
      <c r="BU77" s="75"/>
      <c r="BV77" s="76"/>
      <c r="BW77" s="135"/>
      <c r="BX77" s="135"/>
      <c r="BY77" s="77">
        <f t="shared" si="57"/>
        <v>0</v>
      </c>
      <c r="BZ77" s="78"/>
      <c r="CA77" s="142"/>
      <c r="CB77" s="142"/>
      <c r="CC77" s="77">
        <f t="shared" si="58"/>
        <v>0</v>
      </c>
      <c r="CD77" s="78"/>
      <c r="CE77" s="142"/>
      <c r="CF77" s="142"/>
      <c r="CG77" s="79">
        <f t="shared" si="59"/>
        <v>0</v>
      </c>
      <c r="CH77" s="75"/>
      <c r="CI77" s="76"/>
      <c r="CJ77" s="135"/>
      <c r="CK77" s="135"/>
      <c r="CL77" s="77">
        <f t="shared" si="60"/>
        <v>0</v>
      </c>
      <c r="CM77" s="78"/>
      <c r="CN77" s="142"/>
      <c r="CO77" s="142"/>
      <c r="CP77" s="77">
        <f t="shared" si="61"/>
        <v>0</v>
      </c>
      <c r="CQ77" s="78"/>
      <c r="CR77" s="142"/>
      <c r="CS77" s="142"/>
      <c r="CT77" s="79">
        <f t="shared" si="62"/>
        <v>0</v>
      </c>
      <c r="CU77" s="80">
        <f t="shared" si="35"/>
        <v>0</v>
      </c>
      <c r="CV77" s="81">
        <f t="shared" si="36"/>
        <v>0</v>
      </c>
      <c r="CW77" s="144"/>
      <c r="CX77" s="145">
        <f>IF(ISERROR(VLOOKUP($A77,FIJOS!$B$11:$O$590,14,FALSE)),0,VLOOKUP($A77,FIJOS!$B$11:$O$590,14,FALSE))</f>
        <v>0</v>
      </c>
      <c r="CY77" s="145">
        <f>IF(ISERROR(VLOOKUP(A77,FIJOS!$B$10:$P$590,15,FALSE)),0,VLOOKUP(A77,FIJOS!$B$10:$P$590,15,FALSE))</f>
        <v>0</v>
      </c>
      <c r="CZ77" s="156"/>
      <c r="DA77" s="146"/>
      <c r="DB77" s="147"/>
      <c r="DC77" s="147"/>
      <c r="DD77" s="147"/>
      <c r="DE77" s="147"/>
      <c r="DF77" s="145">
        <f>IF(ISERROR(VLOOKUP($A77,FIJOS!$B$11:$N$590,13,FALSE)),0,VLOOKUP($A77,FIJOS!$B$11:$N$590,13,FALSE))</f>
        <v>0</v>
      </c>
      <c r="DG77" s="145">
        <f>IF(ISERROR(VLOOKUP($A77,FIJOS!$B$11:$P$447,12,FALSE)),0,VLOOKUP($A77,FIJOS!$B$11:$P$447,12,FALSE))</f>
        <v>0</v>
      </c>
      <c r="DH77" s="82">
        <f t="shared" si="63"/>
        <v>0</v>
      </c>
      <c r="DI77" s="83" t="b">
        <f>IF($C77=1,(VLOOKUP($A77,FIJOS!$B$11:$P$545,10,FALSE)/7)*(7-$CU77),IF(AND($C77=2,CV77&lt;$DJ$1),(VLOOKUP($D77,HORAS!$B$4:$C$42,2,FALSE)*24)*$CV77,IF(AND($C77=2,CV77&gt;=$DJ$1),VLOOKUP($D77,HORAS!$B$4:$D$42,3,FALSE),IF(AND($C77=3,$CV77&gt;=$DJ$1),VLOOKUP($A77,FIJOS!$B$11:$P$545,10,FALSE),IF(AND($C77=3,$CV77&lt;$DJ$1),((VLOOKUP($A77,FIJOS!$B$11:$P$545,10,FALSE)/48)*24)*$CV77,IF(AND($C77=4,$CV77&gt;=(42/24)),VLOOKUP($D77,HORAS!$B$4:$D$42,3,FALSE),IF(AND($C77=5,$CV77&gt;=(36/24)),VLOOKUP($D77,HORAS!$B$4:$D$42,3,FALSE))))))))</f>
        <v>0</v>
      </c>
      <c r="DJ77" s="145">
        <f>IF(OR($C77=2),VLOOKUP($D77,HORAS!$B$4:$E$42,4,FALSE)*$EC77,IF(ISERROR(VLOOKUP($A77,FIJOS!$B$11:$P$108,9,FALSE)),0,VLOOKUP($A77,FIJOS!$B$11:$P$231,9,FALSE)*$EC77))</f>
        <v>0</v>
      </c>
      <c r="DK77" s="145">
        <f>IF(OR($C77=2),VLOOKUP($D77,HORAS!$B$4:$F$42,5,FALSE)*$EE77,IF(ISERROR(VLOOKUP($A77,FIJOS!$B$11:$P$108,9,FALSE)),0,VLOOKUP($A77,FIJOS!$B$11:$P$231,9,FALSE)*$EE77))</f>
        <v>0</v>
      </c>
      <c r="DL77" s="144"/>
      <c r="DM77" s="145">
        <f>IF(ISERROR(VLOOKUP($A77,FIJOS!$B$11:$L$646,11,FALSE)),0,VLOOKUP($A77,FIJOS!$B$11:$L$646,11,FALSE))</f>
        <v>0</v>
      </c>
      <c r="DN77" s="148" t="e">
        <f>IF(OR($C77=1,$C77=3),0,IF((VLOOKUP(CAPTURA!D77,HORAS!$B$4:$K$42,10,FALSE)/4)*COUNTIF($H77:$CT77,3)&gt;100,100,(VLOOKUP(CAPTURA!D77,HORAS!$B$4:$K$42,10,FALSE)/4)*COUNTIF($H77:$CT77,3)))</f>
        <v>#N/A</v>
      </c>
      <c r="DO77" s="144" t="e">
        <f>IF(OR($C77=1,$C77=3),0,IF($C77=5,VLOOKUP(D77,HORAS!$B$4:$G$42,6,FALSE),IF(AND($C77=4,$CV77&gt;=(42/24)),VLOOKUP(D77,HORAS!$B$4:$G$42,6,FALSE),IF(COUNTIF($H77:$CL77,"F")&gt;0,0,IF(CV77&gt;$DJ$1,$DJ$1*(VLOOKUP(D77,HORAS!$B$4:$G$42,6,FALSE)/$DJ$1),CV77*(VLOOKUP(D77,HORAS!$B$4:$G$42,6,FALSE)/$DJ$1))))))</f>
        <v>#N/A</v>
      </c>
      <c r="DP77" s="156"/>
      <c r="DQ77" s="89"/>
      <c r="DR77" s="148"/>
      <c r="DS77" s="83" t="e">
        <f t="shared" si="66"/>
        <v>#N/A</v>
      </c>
      <c r="DT77" s="84"/>
      <c r="DU77" s="149" t="e">
        <f t="shared" si="67"/>
        <v>#N/A</v>
      </c>
      <c r="DV77" s="149" t="e">
        <f t="shared" si="68"/>
        <v>#N/A</v>
      </c>
      <c r="DW77" s="144" t="e">
        <f t="shared" si="69"/>
        <v>#N/A</v>
      </c>
      <c r="DX77"/>
      <c r="DY77" s="29"/>
      <c r="DZ77" s="150"/>
      <c r="EA77" s="134"/>
      <c r="EB77" s="137">
        <f t="shared" si="70"/>
        <v>0</v>
      </c>
      <c r="EC77" s="138">
        <f t="shared" si="64"/>
        <v>0</v>
      </c>
      <c r="ED77" s="137">
        <f t="shared" si="71"/>
        <v>0</v>
      </c>
      <c r="EE77" s="132">
        <f t="shared" si="65"/>
        <v>0</v>
      </c>
      <c r="EF77" s="29"/>
      <c r="EG77" s="134"/>
      <c r="EH77" s="134"/>
      <c r="EI77" s="134"/>
      <c r="EK77" s="29"/>
    </row>
    <row r="78" spans="1:141" ht="15" customHeight="1" x14ac:dyDescent="0.25">
      <c r="A78" s="140"/>
      <c r="B78" s="5"/>
      <c r="C78" s="72"/>
      <c r="D78" s="73"/>
      <c r="E78" s="73"/>
      <c r="F78" s="141"/>
      <c r="G78" s="74"/>
      <c r="H78" s="75"/>
      <c r="I78" s="76"/>
      <c r="J78" s="135"/>
      <c r="K78" s="135"/>
      <c r="L78" s="77">
        <f t="shared" si="42"/>
        <v>0</v>
      </c>
      <c r="M78" s="78"/>
      <c r="N78" s="142"/>
      <c r="O78" s="142"/>
      <c r="P78" s="77">
        <f t="shared" si="43"/>
        <v>0</v>
      </c>
      <c r="Q78" s="78"/>
      <c r="R78" s="143"/>
      <c r="S78" s="143"/>
      <c r="T78" s="77">
        <f t="shared" si="44"/>
        <v>0</v>
      </c>
      <c r="U78" s="75"/>
      <c r="V78" s="76"/>
      <c r="W78" s="135"/>
      <c r="X78" s="86"/>
      <c r="Y78" s="77">
        <f t="shared" si="45"/>
        <v>0</v>
      </c>
      <c r="Z78" s="78"/>
      <c r="AA78" s="142"/>
      <c r="AB78" s="142"/>
      <c r="AC78" s="77">
        <f t="shared" si="46"/>
        <v>0</v>
      </c>
      <c r="AD78" s="78"/>
      <c r="AE78" s="143"/>
      <c r="AF78" s="143"/>
      <c r="AG78" s="79">
        <f t="shared" si="47"/>
        <v>0</v>
      </c>
      <c r="AH78" s="75"/>
      <c r="AI78" s="76"/>
      <c r="AJ78" s="135"/>
      <c r="AK78" s="135"/>
      <c r="AL78" s="77">
        <f t="shared" si="48"/>
        <v>0</v>
      </c>
      <c r="AM78" s="76"/>
      <c r="AN78" s="142"/>
      <c r="AO78" s="142"/>
      <c r="AP78" s="77">
        <f t="shared" si="49"/>
        <v>0</v>
      </c>
      <c r="AQ78" s="78"/>
      <c r="AR78" s="142"/>
      <c r="AS78" s="142"/>
      <c r="AT78" s="79">
        <f t="shared" si="50"/>
        <v>0</v>
      </c>
      <c r="AU78" s="75"/>
      <c r="AV78" s="76"/>
      <c r="AW78" s="135"/>
      <c r="AX78" s="135"/>
      <c r="AY78" s="77">
        <f t="shared" si="51"/>
        <v>0</v>
      </c>
      <c r="AZ78" s="76"/>
      <c r="BA78" s="142"/>
      <c r="BB78" s="142"/>
      <c r="BC78" s="77">
        <f t="shared" si="52"/>
        <v>0</v>
      </c>
      <c r="BD78" s="78"/>
      <c r="BE78" s="142"/>
      <c r="BF78" s="142"/>
      <c r="BG78" s="79">
        <f t="shared" si="53"/>
        <v>0</v>
      </c>
      <c r="BH78" s="75"/>
      <c r="BI78" s="76"/>
      <c r="BJ78" s="135"/>
      <c r="BK78" s="135"/>
      <c r="BL78" s="77">
        <f t="shared" si="54"/>
        <v>0</v>
      </c>
      <c r="BM78" s="78"/>
      <c r="BN78" s="142"/>
      <c r="BO78" s="142"/>
      <c r="BP78" s="77">
        <f t="shared" si="55"/>
        <v>0</v>
      </c>
      <c r="BQ78" s="78"/>
      <c r="BR78" s="142"/>
      <c r="BS78" s="142"/>
      <c r="BT78" s="79">
        <f t="shared" si="56"/>
        <v>0</v>
      </c>
      <c r="BU78" s="75"/>
      <c r="BV78" s="76"/>
      <c r="BW78" s="135"/>
      <c r="BX78" s="135"/>
      <c r="BY78" s="77">
        <f t="shared" si="57"/>
        <v>0</v>
      </c>
      <c r="BZ78" s="78"/>
      <c r="CA78" s="142"/>
      <c r="CB78" s="142"/>
      <c r="CC78" s="77">
        <f t="shared" si="58"/>
        <v>0</v>
      </c>
      <c r="CD78" s="78"/>
      <c r="CE78" s="142"/>
      <c r="CF78" s="142"/>
      <c r="CG78" s="79">
        <f t="shared" si="59"/>
        <v>0</v>
      </c>
      <c r="CH78" s="75"/>
      <c r="CI78" s="76"/>
      <c r="CJ78" s="135"/>
      <c r="CK78" s="135"/>
      <c r="CL78" s="77">
        <f t="shared" si="60"/>
        <v>0</v>
      </c>
      <c r="CM78" s="78"/>
      <c r="CN78" s="142"/>
      <c r="CO78" s="142"/>
      <c r="CP78" s="77">
        <f t="shared" si="61"/>
        <v>0</v>
      </c>
      <c r="CQ78" s="78"/>
      <c r="CR78" s="142"/>
      <c r="CS78" s="142"/>
      <c r="CT78" s="79">
        <f t="shared" si="62"/>
        <v>0</v>
      </c>
      <c r="CU78" s="80">
        <f t="shared" si="35"/>
        <v>0</v>
      </c>
      <c r="CV78" s="81">
        <f t="shared" si="36"/>
        <v>0</v>
      </c>
      <c r="CW78" s="144"/>
      <c r="CX78" s="145">
        <f>IF(ISERROR(VLOOKUP($A78,FIJOS!$B$11:$O$590,14,FALSE)),0,VLOOKUP($A78,FIJOS!$B$11:$O$590,14,FALSE))</f>
        <v>0</v>
      </c>
      <c r="CY78" s="145">
        <f>IF(ISERROR(VLOOKUP(A78,FIJOS!$B$10:$P$590,15,FALSE)),0,VLOOKUP(A78,FIJOS!$B$10:$P$590,15,FALSE))</f>
        <v>0</v>
      </c>
      <c r="CZ78" s="156"/>
      <c r="DA78" s="146"/>
      <c r="DB78" s="147"/>
      <c r="DC78" s="147"/>
      <c r="DD78" s="147"/>
      <c r="DE78" s="147"/>
      <c r="DF78" s="145">
        <f>IF(ISERROR(VLOOKUP($A78,FIJOS!$B$11:$N$590,13,FALSE)),0,VLOOKUP($A78,FIJOS!$B$11:$N$590,13,FALSE))</f>
        <v>0</v>
      </c>
      <c r="DG78" s="145">
        <f>IF(ISERROR(VLOOKUP($A78,FIJOS!$B$11:$P$447,12,FALSE)),0,VLOOKUP($A78,FIJOS!$B$11:$P$447,12,FALSE))</f>
        <v>0</v>
      </c>
      <c r="DH78" s="82">
        <f t="shared" si="63"/>
        <v>0</v>
      </c>
      <c r="DI78" s="83" t="b">
        <f>IF($C78=1,(VLOOKUP($A78,FIJOS!$B$11:$P$545,10,FALSE)/7)*(7-$CU78),IF(AND($C78=2,CV78&lt;$DJ$1),(VLOOKUP($D78,HORAS!$B$4:$C$42,2,FALSE)*24)*$CV78,IF(AND($C78=2,CV78&gt;=$DJ$1),VLOOKUP($D78,HORAS!$B$4:$D$42,3,FALSE),IF(AND($C78=3,$CV78&gt;=$DJ$1),VLOOKUP($A78,FIJOS!$B$11:$P$545,10,FALSE),IF(AND($C78=3,$CV78&lt;$DJ$1),((VLOOKUP($A78,FIJOS!$B$11:$P$545,10,FALSE)/48)*24)*$CV78,IF(AND($C78=4,$CV78&gt;=(42/24)),VLOOKUP($D78,HORAS!$B$4:$D$42,3,FALSE),IF(AND($C78=5,$CV78&gt;=(36/24)),VLOOKUP($D78,HORAS!$B$4:$D$42,3,FALSE))))))))</f>
        <v>0</v>
      </c>
      <c r="DJ78" s="145">
        <f>IF(OR($C78=2),VLOOKUP($D78,HORAS!$B$4:$E$42,4,FALSE)*$EC78,IF(ISERROR(VLOOKUP($A78,FIJOS!$B$11:$P$108,9,FALSE)),0,VLOOKUP($A78,FIJOS!$B$11:$P$231,9,FALSE)*$EC78))</f>
        <v>0</v>
      </c>
      <c r="DK78" s="145">
        <f>IF(OR($C78=2),VLOOKUP($D78,HORAS!$B$4:$F$42,5,FALSE)*$EE78,IF(ISERROR(VLOOKUP($A78,FIJOS!$B$11:$P$108,9,FALSE)),0,VLOOKUP($A78,FIJOS!$B$11:$P$231,9,FALSE)*$EE78))</f>
        <v>0</v>
      </c>
      <c r="DL78" s="144"/>
      <c r="DM78" s="145">
        <f>IF(ISERROR(VLOOKUP($A78,FIJOS!$B$11:$L$646,11,FALSE)),0,VLOOKUP($A78,FIJOS!$B$11:$L$646,11,FALSE))</f>
        <v>0</v>
      </c>
      <c r="DN78" s="148" t="e">
        <f>IF(OR($C78=1,$C78=3),0,IF((VLOOKUP(CAPTURA!D78,HORAS!$B$4:$K$42,10,FALSE)/4)*COUNTIF($H78:$CT78,3)&gt;100,100,(VLOOKUP(CAPTURA!D78,HORAS!$B$4:$K$42,10,FALSE)/4)*COUNTIF($H78:$CT78,3)))</f>
        <v>#N/A</v>
      </c>
      <c r="DO78" s="144" t="e">
        <f>IF(OR($C78=1,$C78=3),0,IF($C78=5,VLOOKUP(D78,HORAS!$B$4:$G$42,6,FALSE),IF(AND($C78=4,$CV78&gt;=(42/24)),VLOOKUP(D78,HORAS!$B$4:$G$42,6,FALSE),IF(COUNTIF($H78:$CL78,"F")&gt;0,0,IF(CV78&gt;$DJ$1,$DJ$1*(VLOOKUP(D78,HORAS!$B$4:$G$42,6,FALSE)/$DJ$1),CV78*(VLOOKUP(D78,HORAS!$B$4:$G$42,6,FALSE)/$DJ$1))))))</f>
        <v>#N/A</v>
      </c>
      <c r="DP78" s="156"/>
      <c r="DQ78" s="89"/>
      <c r="DR78" s="148"/>
      <c r="DS78" s="83" t="e">
        <f t="shared" si="66"/>
        <v>#N/A</v>
      </c>
      <c r="DT78" s="84"/>
      <c r="DU78" s="149" t="e">
        <f t="shared" si="67"/>
        <v>#N/A</v>
      </c>
      <c r="DV78" s="149" t="e">
        <f t="shared" si="68"/>
        <v>#N/A</v>
      </c>
      <c r="DW78" s="144" t="e">
        <f t="shared" si="69"/>
        <v>#N/A</v>
      </c>
      <c r="DX78" s="134"/>
      <c r="DY78" s="29"/>
      <c r="DZ78" s="150"/>
      <c r="EA78" s="134"/>
      <c r="EB78" s="137">
        <f t="shared" si="70"/>
        <v>0</v>
      </c>
      <c r="EC78" s="138">
        <f t="shared" si="64"/>
        <v>0</v>
      </c>
      <c r="ED78" s="137">
        <f t="shared" si="71"/>
        <v>0</v>
      </c>
      <c r="EE78" s="132">
        <f t="shared" si="65"/>
        <v>0</v>
      </c>
      <c r="EF78" s="29"/>
      <c r="EG78" s="134"/>
      <c r="EH78" s="134"/>
      <c r="EI78" s="134"/>
      <c r="EK78" s="29"/>
    </row>
    <row r="79" spans="1:141" ht="15" customHeight="1" x14ac:dyDescent="0.25">
      <c r="A79" s="140"/>
      <c r="B79" s="151"/>
      <c r="C79" s="72"/>
      <c r="D79" s="73"/>
      <c r="E79" s="73"/>
      <c r="F79" s="141"/>
      <c r="G79" s="74"/>
      <c r="H79" s="75"/>
      <c r="I79" s="76"/>
      <c r="J79" s="135"/>
      <c r="K79" s="135"/>
      <c r="L79" s="77">
        <f t="shared" si="42"/>
        <v>0</v>
      </c>
      <c r="M79" s="78"/>
      <c r="N79" s="142"/>
      <c r="O79" s="142"/>
      <c r="P79" s="77">
        <f t="shared" si="43"/>
        <v>0</v>
      </c>
      <c r="Q79" s="78"/>
      <c r="R79" s="143"/>
      <c r="S79" s="143"/>
      <c r="T79" s="77">
        <f t="shared" si="44"/>
        <v>0</v>
      </c>
      <c r="U79" s="75"/>
      <c r="V79" s="76"/>
      <c r="W79" s="135"/>
      <c r="X79" s="135"/>
      <c r="Y79" s="77">
        <f t="shared" si="45"/>
        <v>0</v>
      </c>
      <c r="Z79" s="78"/>
      <c r="AA79" s="142"/>
      <c r="AB79" s="142"/>
      <c r="AC79" s="77">
        <f t="shared" si="46"/>
        <v>0</v>
      </c>
      <c r="AD79" s="78"/>
      <c r="AE79" s="143"/>
      <c r="AF79" s="143"/>
      <c r="AG79" s="79">
        <f t="shared" si="47"/>
        <v>0</v>
      </c>
      <c r="AH79" s="75"/>
      <c r="AI79" s="76"/>
      <c r="AJ79" s="135"/>
      <c r="AK79" s="135"/>
      <c r="AL79" s="77">
        <f t="shared" si="48"/>
        <v>0</v>
      </c>
      <c r="AM79" s="76"/>
      <c r="AN79" s="142"/>
      <c r="AO79" s="142"/>
      <c r="AP79" s="77">
        <f t="shared" si="49"/>
        <v>0</v>
      </c>
      <c r="AQ79" s="78"/>
      <c r="AR79" s="142"/>
      <c r="AS79" s="142"/>
      <c r="AT79" s="79">
        <f t="shared" si="50"/>
        <v>0</v>
      </c>
      <c r="AU79" s="75"/>
      <c r="AV79" s="76"/>
      <c r="AW79" s="135"/>
      <c r="AX79" s="135"/>
      <c r="AY79" s="77">
        <f t="shared" si="51"/>
        <v>0</v>
      </c>
      <c r="AZ79" s="76"/>
      <c r="BA79" s="142"/>
      <c r="BB79" s="142"/>
      <c r="BC79" s="77">
        <f t="shared" si="52"/>
        <v>0</v>
      </c>
      <c r="BD79" s="78"/>
      <c r="BE79" s="142"/>
      <c r="BF79" s="142"/>
      <c r="BG79" s="79">
        <f t="shared" si="53"/>
        <v>0</v>
      </c>
      <c r="BH79" s="75"/>
      <c r="BI79" s="76"/>
      <c r="BJ79" s="135"/>
      <c r="BK79" s="135"/>
      <c r="BL79" s="77">
        <f t="shared" si="54"/>
        <v>0</v>
      </c>
      <c r="BM79" s="78"/>
      <c r="BN79" s="142"/>
      <c r="BO79" s="142"/>
      <c r="BP79" s="77">
        <f t="shared" si="55"/>
        <v>0</v>
      </c>
      <c r="BQ79" s="78"/>
      <c r="BR79" s="142"/>
      <c r="BS79" s="142"/>
      <c r="BT79" s="79">
        <f t="shared" si="56"/>
        <v>0</v>
      </c>
      <c r="BU79" s="75"/>
      <c r="BV79" s="76"/>
      <c r="BW79" s="135"/>
      <c r="BX79" s="135"/>
      <c r="BY79" s="77">
        <f t="shared" si="57"/>
        <v>0</v>
      </c>
      <c r="BZ79" s="78"/>
      <c r="CA79" s="142"/>
      <c r="CB79" s="142"/>
      <c r="CC79" s="77">
        <f t="shared" si="58"/>
        <v>0</v>
      </c>
      <c r="CD79" s="78"/>
      <c r="CE79" s="142"/>
      <c r="CF79" s="142"/>
      <c r="CG79" s="79">
        <f t="shared" si="59"/>
        <v>0</v>
      </c>
      <c r="CH79" s="75"/>
      <c r="CI79" s="76"/>
      <c r="CJ79" s="135"/>
      <c r="CK79" s="135"/>
      <c r="CL79" s="77">
        <f t="shared" si="60"/>
        <v>0</v>
      </c>
      <c r="CM79" s="78"/>
      <c r="CN79" s="142"/>
      <c r="CO79" s="142"/>
      <c r="CP79" s="77">
        <f t="shared" si="61"/>
        <v>0</v>
      </c>
      <c r="CQ79" s="78"/>
      <c r="CR79" s="142"/>
      <c r="CS79" s="142"/>
      <c r="CT79" s="79">
        <f t="shared" si="62"/>
        <v>0</v>
      </c>
      <c r="CU79" s="80">
        <f t="shared" si="35"/>
        <v>0</v>
      </c>
      <c r="CV79" s="81">
        <f t="shared" si="36"/>
        <v>0</v>
      </c>
      <c r="CW79" s="144"/>
      <c r="CX79" s="145">
        <f>IF(ISERROR(VLOOKUP($A79,FIJOS!$B$11:$O$590,14,FALSE)),0,VLOOKUP($A79,FIJOS!$B$11:$O$590,14,FALSE))</f>
        <v>0</v>
      </c>
      <c r="CY79" s="145">
        <f>IF(ISERROR(VLOOKUP(A79,FIJOS!$B$10:$P$590,15,FALSE)),0,VLOOKUP(A79,FIJOS!$B$10:$P$590,15,FALSE))</f>
        <v>0</v>
      </c>
      <c r="CZ79" s="156"/>
      <c r="DA79" s="146"/>
      <c r="DB79" s="147"/>
      <c r="DC79" s="147"/>
      <c r="DD79" s="147"/>
      <c r="DE79" s="147"/>
      <c r="DF79" s="145">
        <f>IF(ISERROR(VLOOKUP($A79,FIJOS!$B$11:$N$590,13,FALSE)),0,VLOOKUP($A79,FIJOS!$B$11:$N$590,13,FALSE))</f>
        <v>0</v>
      </c>
      <c r="DG79" s="145">
        <f>IF(ISERROR(VLOOKUP($A79,FIJOS!$B$11:$P$447,12,FALSE)),0,VLOOKUP($A79,FIJOS!$B$11:$P$447,12,FALSE))</f>
        <v>0</v>
      </c>
      <c r="DH79" s="82">
        <f t="shared" si="63"/>
        <v>0</v>
      </c>
      <c r="DI79" s="83" t="b">
        <f>IF($C79=1,(VLOOKUP($A79,FIJOS!$B$11:$P$545,10,FALSE)/7)*(7-$CU79),IF(AND($C79=2,CV79&lt;$DJ$1),(VLOOKUP($D79,HORAS!$B$4:$C$42,2,FALSE)*24)*$CV79,IF(AND($C79=2,CV79&gt;=$DJ$1),VLOOKUP($D79,HORAS!$B$4:$D$42,3,FALSE),IF(AND($C79=3,$CV79&gt;=$DJ$1),VLOOKUP($A79,FIJOS!$B$11:$P$545,10,FALSE),IF(AND($C79=3,$CV79&lt;$DJ$1),((VLOOKUP($A79,FIJOS!$B$11:$P$545,10,FALSE)/48)*24)*$CV79,IF(AND($C79=4,$CV79&gt;=(42/24)),VLOOKUP($D79,HORAS!$B$4:$D$42,3,FALSE),IF(AND($C79=5,$CV79&gt;=(36/24)),VLOOKUP($D79,HORAS!$B$4:$D$42,3,FALSE))))))))</f>
        <v>0</v>
      </c>
      <c r="DJ79" s="145">
        <f>IF(OR($C79=2),VLOOKUP($D79,HORAS!$B$4:$E$42,4,FALSE)*$EC79,IF(ISERROR(VLOOKUP($A79,FIJOS!$B$11:$P$108,9,FALSE)),0,VLOOKUP($A79,FIJOS!$B$11:$P$231,9,FALSE)*$EC79))</f>
        <v>0</v>
      </c>
      <c r="DK79" s="145">
        <f>IF(OR($C79=2),VLOOKUP($D79,HORAS!$B$4:$F$42,5,FALSE)*$EE79,IF(ISERROR(VLOOKUP($A79,FIJOS!$B$11:$P$108,9,FALSE)),0,VLOOKUP($A79,FIJOS!$B$11:$P$231,9,FALSE)*$EE79))</f>
        <v>0</v>
      </c>
      <c r="DL79" s="144"/>
      <c r="DM79" s="145">
        <f>IF(ISERROR(VLOOKUP($A79,FIJOS!$B$11:$L$646,11,FALSE)),0,VLOOKUP($A79,FIJOS!$B$11:$L$646,11,FALSE))</f>
        <v>0</v>
      </c>
      <c r="DN79" s="148" t="e">
        <f>IF(OR($C79=1,$C79=3),0,IF((VLOOKUP(CAPTURA!D79,HORAS!$B$4:$K$42,10,FALSE)/4)*COUNTIF($H79:$CT79,3)&gt;100,100,(VLOOKUP(CAPTURA!D79,HORAS!$B$4:$K$42,10,FALSE)/4)*COUNTIF($H79:$CT79,3)))</f>
        <v>#N/A</v>
      </c>
      <c r="DO79" s="144" t="e">
        <f>IF(OR($C79=1,$C79=3),0,IF($C79=5,VLOOKUP(D79,HORAS!$B$4:$G$42,6,FALSE),IF(AND($C79=4,$CV79&gt;=(42/24)),VLOOKUP(D79,HORAS!$B$4:$G$42,6,FALSE),IF(COUNTIF($H79:$CL79,"F")&gt;0,0,IF(CV79&gt;$DJ$1,$DJ$1*(VLOOKUP(D79,HORAS!$B$4:$G$42,6,FALSE)/$DJ$1),CV79*(VLOOKUP(D79,HORAS!$B$4:$G$42,6,FALSE)/$DJ$1))))))</f>
        <v>#N/A</v>
      </c>
      <c r="DP79" s="156"/>
      <c r="DQ79" s="89"/>
      <c r="DR79" s="148"/>
      <c r="DS79" s="83" t="e">
        <f t="shared" si="66"/>
        <v>#N/A</v>
      </c>
      <c r="DT79" s="84"/>
      <c r="DU79" s="149" t="e">
        <f t="shared" si="67"/>
        <v>#N/A</v>
      </c>
      <c r="DV79" s="149" t="e">
        <f t="shared" si="68"/>
        <v>#N/A</v>
      </c>
      <c r="DW79" s="144" t="e">
        <f t="shared" si="69"/>
        <v>#N/A</v>
      </c>
      <c r="DX79"/>
      <c r="DY79" s="29"/>
      <c r="DZ79" s="150"/>
      <c r="EA79" s="134"/>
      <c r="EB79" s="137">
        <f t="shared" si="70"/>
        <v>0</v>
      </c>
      <c r="EC79" s="138">
        <f t="shared" si="64"/>
        <v>0</v>
      </c>
      <c r="ED79" s="137">
        <f t="shared" si="71"/>
        <v>0</v>
      </c>
      <c r="EE79" s="132">
        <f t="shared" si="65"/>
        <v>0</v>
      </c>
      <c r="EF79" s="29"/>
      <c r="EG79" s="134"/>
      <c r="EH79" s="134"/>
      <c r="EI79" s="134"/>
      <c r="EK79" s="29"/>
    </row>
    <row r="80" spans="1:141" ht="15" customHeight="1" x14ac:dyDescent="0.25">
      <c r="A80" s="140"/>
      <c r="B80" s="151"/>
      <c r="C80" s="72"/>
      <c r="D80" s="73"/>
      <c r="E80" s="73"/>
      <c r="F80" s="141"/>
      <c r="G80" s="74"/>
      <c r="H80" s="75"/>
      <c r="I80" s="76"/>
      <c r="J80" s="135"/>
      <c r="K80" s="135"/>
      <c r="L80" s="77">
        <f t="shared" si="42"/>
        <v>0</v>
      </c>
      <c r="M80" s="78"/>
      <c r="N80" s="142"/>
      <c r="O80" s="142"/>
      <c r="P80" s="77">
        <f t="shared" si="43"/>
        <v>0</v>
      </c>
      <c r="Q80" s="78"/>
      <c r="R80" s="143"/>
      <c r="S80" s="143"/>
      <c r="T80" s="77">
        <f t="shared" si="44"/>
        <v>0</v>
      </c>
      <c r="U80" s="75"/>
      <c r="V80" s="76"/>
      <c r="W80" s="135"/>
      <c r="X80" s="135"/>
      <c r="Y80" s="77">
        <f t="shared" si="45"/>
        <v>0</v>
      </c>
      <c r="Z80" s="78"/>
      <c r="AA80" s="142"/>
      <c r="AB80" s="142"/>
      <c r="AC80" s="77">
        <f t="shared" si="46"/>
        <v>0</v>
      </c>
      <c r="AD80" s="78"/>
      <c r="AE80" s="143"/>
      <c r="AF80" s="143"/>
      <c r="AG80" s="79">
        <f t="shared" si="47"/>
        <v>0</v>
      </c>
      <c r="AH80" s="75"/>
      <c r="AI80" s="76"/>
      <c r="AJ80" s="135"/>
      <c r="AK80" s="135"/>
      <c r="AL80" s="77">
        <f t="shared" si="48"/>
        <v>0</v>
      </c>
      <c r="AM80" s="76"/>
      <c r="AN80" s="142"/>
      <c r="AO80" s="142"/>
      <c r="AP80" s="77">
        <f t="shared" si="49"/>
        <v>0</v>
      </c>
      <c r="AQ80" s="78"/>
      <c r="AR80" s="142"/>
      <c r="AS80" s="142"/>
      <c r="AT80" s="79">
        <f t="shared" si="50"/>
        <v>0</v>
      </c>
      <c r="AU80" s="75"/>
      <c r="AV80" s="76"/>
      <c r="AW80" s="135"/>
      <c r="AX80" s="135"/>
      <c r="AY80" s="77">
        <f t="shared" si="51"/>
        <v>0</v>
      </c>
      <c r="AZ80" s="76"/>
      <c r="BA80" s="142"/>
      <c r="BB80" s="142"/>
      <c r="BC80" s="77">
        <f t="shared" si="52"/>
        <v>0</v>
      </c>
      <c r="BD80" s="78"/>
      <c r="BE80" s="142"/>
      <c r="BF80" s="142"/>
      <c r="BG80" s="79">
        <f t="shared" si="53"/>
        <v>0</v>
      </c>
      <c r="BH80" s="75"/>
      <c r="BI80" s="76"/>
      <c r="BJ80" s="135"/>
      <c r="BK80" s="135"/>
      <c r="BL80" s="77">
        <f t="shared" si="54"/>
        <v>0</v>
      </c>
      <c r="BM80" s="78"/>
      <c r="BN80" s="142"/>
      <c r="BO80" s="142"/>
      <c r="BP80" s="77">
        <f t="shared" si="55"/>
        <v>0</v>
      </c>
      <c r="BQ80" s="78"/>
      <c r="BR80" s="142"/>
      <c r="BS80" s="142"/>
      <c r="BT80" s="79">
        <f t="shared" si="56"/>
        <v>0</v>
      </c>
      <c r="BU80" s="75"/>
      <c r="BV80" s="76"/>
      <c r="BW80" s="135"/>
      <c r="BX80" s="135"/>
      <c r="BY80" s="77">
        <f t="shared" si="57"/>
        <v>0</v>
      </c>
      <c r="BZ80" s="78"/>
      <c r="CA80" s="142"/>
      <c r="CB80" s="142"/>
      <c r="CC80" s="77">
        <f t="shared" si="58"/>
        <v>0</v>
      </c>
      <c r="CD80" s="78"/>
      <c r="CE80" s="142"/>
      <c r="CF80" s="142"/>
      <c r="CG80" s="79">
        <f t="shared" si="59"/>
        <v>0</v>
      </c>
      <c r="CH80" s="75"/>
      <c r="CI80" s="76"/>
      <c r="CJ80" s="135"/>
      <c r="CK80" s="135"/>
      <c r="CL80" s="77">
        <f t="shared" si="60"/>
        <v>0</v>
      </c>
      <c r="CM80" s="78"/>
      <c r="CN80" s="142"/>
      <c r="CO80" s="142"/>
      <c r="CP80" s="77">
        <f t="shared" si="61"/>
        <v>0</v>
      </c>
      <c r="CQ80" s="78"/>
      <c r="CR80" s="142"/>
      <c r="CS80" s="142"/>
      <c r="CT80" s="79">
        <f t="shared" si="62"/>
        <v>0</v>
      </c>
      <c r="CU80" s="80">
        <f t="shared" si="35"/>
        <v>0</v>
      </c>
      <c r="CV80" s="81">
        <f t="shared" si="36"/>
        <v>0</v>
      </c>
      <c r="CW80" s="144"/>
      <c r="CX80" s="145">
        <f>IF(ISERROR(VLOOKUP($A80,FIJOS!$B$11:$O$590,14,FALSE)),0,VLOOKUP($A80,FIJOS!$B$11:$O$590,14,FALSE))</f>
        <v>0</v>
      </c>
      <c r="CY80" s="145">
        <f>IF(ISERROR(VLOOKUP(A80,FIJOS!$B$10:$P$590,15,FALSE)),0,VLOOKUP(A80,FIJOS!$B$10:$P$590,15,FALSE))</f>
        <v>0</v>
      </c>
      <c r="CZ80" s="156"/>
      <c r="DA80" s="146"/>
      <c r="DB80" s="147"/>
      <c r="DC80" s="147"/>
      <c r="DD80" s="147"/>
      <c r="DE80" s="147"/>
      <c r="DF80" s="145">
        <f>IF(ISERROR(VLOOKUP($A80,FIJOS!$B$11:$N$590,13,FALSE)),0,VLOOKUP($A80,FIJOS!$B$11:$N$590,13,FALSE))</f>
        <v>0</v>
      </c>
      <c r="DG80" s="145">
        <f>IF(ISERROR(VLOOKUP($A80,FIJOS!$B$11:$P$447,12,FALSE)),0,VLOOKUP($A80,FIJOS!$B$11:$P$447,12,FALSE))</f>
        <v>0</v>
      </c>
      <c r="DH80" s="82">
        <f t="shared" si="63"/>
        <v>0</v>
      </c>
      <c r="DI80" s="83" t="b">
        <f>IF($C80=1,(VLOOKUP($A80,FIJOS!$B$11:$P$545,10,FALSE)/7)*(7-$CU80),IF(AND($C80=2,CV80&lt;$DJ$1),(VLOOKUP($D80,HORAS!$B$4:$C$42,2,FALSE)*24)*$CV80,IF(AND($C80=2,CV80&gt;=$DJ$1),VLOOKUP($D80,HORAS!$B$4:$D$42,3,FALSE),IF(AND($C80=3,$CV80&gt;=$DJ$1),VLOOKUP($A80,FIJOS!$B$11:$P$545,10,FALSE),IF(AND($C80=3,$CV80&lt;$DJ$1),((VLOOKUP($A80,FIJOS!$B$11:$P$545,10,FALSE)/48)*24)*$CV80,IF(AND($C80=4,$CV80&gt;=(42/24)),VLOOKUP($D80,HORAS!$B$4:$D$42,3,FALSE),IF(AND($C80=5,$CV80&gt;=(36/24)),VLOOKUP($D80,HORAS!$B$4:$D$42,3,FALSE))))))))</f>
        <v>0</v>
      </c>
      <c r="DJ80" s="145">
        <f>IF(OR($C80=2),VLOOKUP($D80,HORAS!$B$4:$E$42,4,FALSE)*$EC80,IF(ISERROR(VLOOKUP($A80,FIJOS!$B$11:$P$108,9,FALSE)),0,VLOOKUP($A80,FIJOS!$B$11:$P$231,9,FALSE)*$EC80))</f>
        <v>0</v>
      </c>
      <c r="DK80" s="145">
        <f>IF(OR($C80=2),VLOOKUP($D80,HORAS!$B$4:$F$42,5,FALSE)*$EE80,IF(ISERROR(VLOOKUP($A80,FIJOS!$B$11:$P$108,9,FALSE)),0,VLOOKUP($A80,FIJOS!$B$11:$P$231,9,FALSE)*$EE80))</f>
        <v>0</v>
      </c>
      <c r="DL80" s="144"/>
      <c r="DM80" s="145">
        <f>IF(ISERROR(VLOOKUP($A80,FIJOS!$B$11:$L$646,11,FALSE)),0,VLOOKUP($A80,FIJOS!$B$11:$L$646,11,FALSE))</f>
        <v>0</v>
      </c>
      <c r="DN80" s="148" t="e">
        <f>IF(OR($C80=1,$C80=3),0,IF((VLOOKUP(CAPTURA!D80,HORAS!$B$4:$K$42,10,FALSE)/4)*COUNTIF($H80:$CT80,3)&gt;100,100,(VLOOKUP(CAPTURA!D80,HORAS!$B$4:$K$42,10,FALSE)/4)*COUNTIF($H80:$CT80,3)))</f>
        <v>#N/A</v>
      </c>
      <c r="DO80" s="144" t="e">
        <f>IF(OR($C80=1,$C80=3),0,IF($C80=5,VLOOKUP(D80,HORAS!$B$4:$G$42,6,FALSE),IF(AND($C80=4,$CV80&gt;=(42/24)),VLOOKUP(D80,HORAS!$B$4:$G$42,6,FALSE),IF(COUNTIF($H80:$CL80,"F")&gt;0,0,IF(CV80&gt;$DJ$1,$DJ$1*(VLOOKUP(D80,HORAS!$B$4:$G$42,6,FALSE)/$DJ$1),CV80*(VLOOKUP(D80,HORAS!$B$4:$G$42,6,FALSE)/$DJ$1))))))</f>
        <v>#N/A</v>
      </c>
      <c r="DP80" s="156"/>
      <c r="DQ80" s="89"/>
      <c r="DR80" s="148"/>
      <c r="DS80" s="83" t="e">
        <f t="shared" si="66"/>
        <v>#N/A</v>
      </c>
      <c r="DT80" s="84"/>
      <c r="DU80" s="149" t="e">
        <f t="shared" si="67"/>
        <v>#N/A</v>
      </c>
      <c r="DV80" s="149" t="e">
        <f t="shared" si="68"/>
        <v>#N/A</v>
      </c>
      <c r="DW80" s="144" t="e">
        <f t="shared" si="69"/>
        <v>#N/A</v>
      </c>
      <c r="DX80" s="134"/>
      <c r="DY80" s="29"/>
      <c r="DZ80" s="150"/>
      <c r="EA80" s="134"/>
      <c r="EB80" s="137">
        <f t="shared" si="70"/>
        <v>0</v>
      </c>
      <c r="EC80" s="138">
        <f t="shared" si="64"/>
        <v>0</v>
      </c>
      <c r="ED80" s="137">
        <f t="shared" si="71"/>
        <v>0</v>
      </c>
      <c r="EE80" s="132">
        <f t="shared" si="65"/>
        <v>0</v>
      </c>
      <c r="EF80" s="29"/>
      <c r="EG80" s="134"/>
      <c r="EH80" s="134"/>
      <c r="EI80" s="134"/>
      <c r="EK80" s="29"/>
    </row>
    <row r="81" spans="1:141" ht="15" customHeight="1" x14ac:dyDescent="0.25">
      <c r="A81" s="140"/>
      <c r="B81" s="151"/>
      <c r="C81" s="72"/>
      <c r="D81" s="73"/>
      <c r="E81" s="73"/>
      <c r="F81" s="141"/>
      <c r="G81" s="74"/>
      <c r="H81" s="75"/>
      <c r="I81" s="76"/>
      <c r="J81" s="135"/>
      <c r="K81" s="135"/>
      <c r="L81" s="77">
        <f t="shared" si="42"/>
        <v>0</v>
      </c>
      <c r="M81" s="78"/>
      <c r="N81" s="142"/>
      <c r="O81" s="142"/>
      <c r="P81" s="77">
        <f t="shared" si="43"/>
        <v>0</v>
      </c>
      <c r="Q81" s="78"/>
      <c r="R81" s="143"/>
      <c r="S81" s="143"/>
      <c r="T81" s="77">
        <f t="shared" si="44"/>
        <v>0</v>
      </c>
      <c r="U81" s="75"/>
      <c r="V81" s="76"/>
      <c r="W81" s="135"/>
      <c r="X81" s="135"/>
      <c r="Y81" s="77">
        <f t="shared" si="45"/>
        <v>0</v>
      </c>
      <c r="Z81" s="78"/>
      <c r="AA81" s="142"/>
      <c r="AB81" s="142"/>
      <c r="AC81" s="77">
        <f t="shared" si="46"/>
        <v>0</v>
      </c>
      <c r="AD81" s="78"/>
      <c r="AE81" s="143"/>
      <c r="AF81" s="143"/>
      <c r="AG81" s="79">
        <f t="shared" si="47"/>
        <v>0</v>
      </c>
      <c r="AH81" s="75"/>
      <c r="AI81" s="76"/>
      <c r="AJ81" s="135"/>
      <c r="AK81" s="135"/>
      <c r="AL81" s="77">
        <f t="shared" si="48"/>
        <v>0</v>
      </c>
      <c r="AM81" s="76"/>
      <c r="AN81" s="142"/>
      <c r="AO81" s="142"/>
      <c r="AP81" s="77">
        <f t="shared" si="49"/>
        <v>0</v>
      </c>
      <c r="AQ81" s="78"/>
      <c r="AR81" s="142"/>
      <c r="AS81" s="142"/>
      <c r="AT81" s="79">
        <f t="shared" si="50"/>
        <v>0</v>
      </c>
      <c r="AU81" s="75"/>
      <c r="AV81" s="76"/>
      <c r="AW81" s="135"/>
      <c r="AX81" s="135"/>
      <c r="AY81" s="77">
        <f t="shared" si="51"/>
        <v>0</v>
      </c>
      <c r="AZ81" s="76"/>
      <c r="BA81" s="142"/>
      <c r="BB81" s="142"/>
      <c r="BC81" s="77">
        <f t="shared" si="52"/>
        <v>0</v>
      </c>
      <c r="BD81" s="78"/>
      <c r="BE81" s="142"/>
      <c r="BF81" s="142"/>
      <c r="BG81" s="79">
        <f t="shared" si="53"/>
        <v>0</v>
      </c>
      <c r="BH81" s="75"/>
      <c r="BI81" s="76"/>
      <c r="BJ81" s="135"/>
      <c r="BK81" s="135"/>
      <c r="BL81" s="77">
        <f t="shared" si="54"/>
        <v>0</v>
      </c>
      <c r="BM81" s="78"/>
      <c r="BN81" s="142"/>
      <c r="BO81" s="142"/>
      <c r="BP81" s="77">
        <f t="shared" si="55"/>
        <v>0</v>
      </c>
      <c r="BQ81" s="78"/>
      <c r="BR81" s="142"/>
      <c r="BS81" s="142"/>
      <c r="BT81" s="79">
        <f t="shared" si="56"/>
        <v>0</v>
      </c>
      <c r="BU81" s="75"/>
      <c r="BV81" s="76"/>
      <c r="BW81" s="135"/>
      <c r="BX81" s="135"/>
      <c r="BY81" s="77">
        <f t="shared" si="57"/>
        <v>0</v>
      </c>
      <c r="BZ81" s="78"/>
      <c r="CA81" s="142"/>
      <c r="CB81" s="142"/>
      <c r="CC81" s="77">
        <f t="shared" si="58"/>
        <v>0</v>
      </c>
      <c r="CD81" s="78"/>
      <c r="CE81" s="142"/>
      <c r="CF81" s="142"/>
      <c r="CG81" s="79">
        <f t="shared" si="59"/>
        <v>0</v>
      </c>
      <c r="CH81" s="75"/>
      <c r="CI81" s="76"/>
      <c r="CJ81" s="135"/>
      <c r="CK81" s="135"/>
      <c r="CL81" s="77">
        <f t="shared" si="60"/>
        <v>0</v>
      </c>
      <c r="CM81" s="78"/>
      <c r="CN81" s="142"/>
      <c r="CO81" s="142"/>
      <c r="CP81" s="77">
        <f t="shared" si="61"/>
        <v>0</v>
      </c>
      <c r="CQ81" s="78"/>
      <c r="CR81" s="142"/>
      <c r="CS81" s="142"/>
      <c r="CT81" s="79">
        <f t="shared" si="62"/>
        <v>0</v>
      </c>
      <c r="CU81" s="80">
        <f t="shared" si="35"/>
        <v>0</v>
      </c>
      <c r="CV81" s="81">
        <f t="shared" si="36"/>
        <v>0</v>
      </c>
      <c r="CW81" s="144"/>
      <c r="CX81" s="145">
        <f>IF(ISERROR(VLOOKUP($A81,FIJOS!$B$11:$O$590,14,FALSE)),0,VLOOKUP($A81,FIJOS!$B$11:$O$590,14,FALSE))</f>
        <v>0</v>
      </c>
      <c r="CY81" s="145">
        <f>IF(ISERROR(VLOOKUP(A81,FIJOS!$B$10:$P$590,15,FALSE)),0,VLOOKUP(A81,FIJOS!$B$10:$P$590,15,FALSE))</f>
        <v>0</v>
      </c>
      <c r="CZ81" s="156"/>
      <c r="DA81" s="146"/>
      <c r="DB81" s="147"/>
      <c r="DC81" s="147"/>
      <c r="DD81" s="147"/>
      <c r="DE81" s="147"/>
      <c r="DF81" s="145">
        <f>IF(ISERROR(VLOOKUP($A81,FIJOS!$B$11:$N$590,13,FALSE)),0,VLOOKUP($A81,FIJOS!$B$11:$N$590,13,FALSE))</f>
        <v>0</v>
      </c>
      <c r="DG81" s="145">
        <f>IF(ISERROR(VLOOKUP($A81,FIJOS!$B$11:$P$447,12,FALSE)),0,VLOOKUP($A81,FIJOS!$B$11:$P$447,12,FALSE))</f>
        <v>0</v>
      </c>
      <c r="DH81" s="82">
        <f t="shared" si="63"/>
        <v>0</v>
      </c>
      <c r="DI81" s="83" t="b">
        <f>IF($C81=1,(VLOOKUP($A81,FIJOS!$B$11:$P$545,10,FALSE)/7)*(7-$CU81),IF(AND($C81=2,CV81&lt;$DJ$1),(VLOOKUP($D81,HORAS!$B$4:$C$42,2,FALSE)*24)*$CV81,IF(AND($C81=2,CV81&gt;=$DJ$1),VLOOKUP($D81,HORAS!$B$4:$D$42,3,FALSE),IF(AND($C81=3,$CV81&gt;=$DJ$1),VLOOKUP($A81,FIJOS!$B$11:$P$545,10,FALSE),IF(AND($C81=3,$CV81&lt;$DJ$1),((VLOOKUP($A81,FIJOS!$B$11:$P$545,10,FALSE)/48)*24)*$CV81,IF(AND($C81=4,$CV81&gt;=(42/24)),VLOOKUP($D81,HORAS!$B$4:$D$42,3,FALSE),IF(AND($C81=5,$CV81&gt;=(36/24)),VLOOKUP($D81,HORAS!$B$4:$D$42,3,FALSE))))))))</f>
        <v>0</v>
      </c>
      <c r="DJ81" s="145">
        <f>IF(OR($C81=2),VLOOKUP($D81,HORAS!$B$4:$E$42,4,FALSE)*$EC81,IF(ISERROR(VLOOKUP($A81,FIJOS!$B$11:$P$108,9,FALSE)),0,VLOOKUP($A81,FIJOS!$B$11:$P$231,9,FALSE)*$EC81))</f>
        <v>0</v>
      </c>
      <c r="DK81" s="145">
        <f>IF(OR($C81=2),VLOOKUP($D81,HORAS!$B$4:$F$42,5,FALSE)*$EE81,IF(ISERROR(VLOOKUP($A81,FIJOS!$B$11:$P$108,9,FALSE)),0,VLOOKUP($A81,FIJOS!$B$11:$P$231,9,FALSE)*$EE81))</f>
        <v>0</v>
      </c>
      <c r="DL81" s="144"/>
      <c r="DM81" s="145">
        <f>IF(ISERROR(VLOOKUP($A81,FIJOS!$B$11:$L$646,11,FALSE)),0,VLOOKUP($A81,FIJOS!$B$11:$L$646,11,FALSE))</f>
        <v>0</v>
      </c>
      <c r="DN81" s="148" t="e">
        <f>IF(OR($C81=1,$C81=3),0,IF((VLOOKUP(CAPTURA!D81,HORAS!$B$4:$K$42,10,FALSE)/4)*COUNTIF($H81:$CT81,3)&gt;100,100,(VLOOKUP(CAPTURA!D81,HORAS!$B$4:$K$42,10,FALSE)/4)*COUNTIF($H81:$CT81,3)))</f>
        <v>#N/A</v>
      </c>
      <c r="DO81" s="144" t="e">
        <f>IF(OR($C81=1,$C81=3),0,IF($C81=5,VLOOKUP(D81,HORAS!$B$4:$G$42,6,FALSE),IF(AND($C81=4,$CV81&gt;=(42/24)),VLOOKUP(D81,HORAS!$B$4:$G$42,6,FALSE),IF(COUNTIF($H81:$CL81,"F")&gt;0,0,IF(CV81&gt;$DJ$1,$DJ$1*(VLOOKUP(D81,HORAS!$B$4:$G$42,6,FALSE)/$DJ$1),CV81*(VLOOKUP(D81,HORAS!$B$4:$G$42,6,FALSE)/$DJ$1))))))</f>
        <v>#N/A</v>
      </c>
      <c r="DP81" s="156"/>
      <c r="DQ81" s="89"/>
      <c r="DR81" s="148"/>
      <c r="DS81" s="83" t="e">
        <f t="shared" si="66"/>
        <v>#N/A</v>
      </c>
      <c r="DT81" s="84"/>
      <c r="DU81" s="149" t="e">
        <f t="shared" si="67"/>
        <v>#N/A</v>
      </c>
      <c r="DV81" s="149" t="e">
        <f t="shared" si="68"/>
        <v>#N/A</v>
      </c>
      <c r="DW81" s="144" t="e">
        <f t="shared" si="69"/>
        <v>#N/A</v>
      </c>
      <c r="DX81" s="134"/>
      <c r="DY81" s="29"/>
      <c r="DZ81" s="150"/>
      <c r="EA81" s="134"/>
      <c r="EB81" s="137">
        <f t="shared" si="70"/>
        <v>0</v>
      </c>
      <c r="EC81" s="138">
        <f t="shared" si="64"/>
        <v>0</v>
      </c>
      <c r="ED81" s="137">
        <f t="shared" si="71"/>
        <v>0</v>
      </c>
      <c r="EE81" s="132">
        <f t="shared" si="65"/>
        <v>0</v>
      </c>
      <c r="EF81" s="29"/>
      <c r="EG81" s="134"/>
      <c r="EH81" s="134"/>
      <c r="EI81" s="134"/>
      <c r="EK81" s="29"/>
    </row>
    <row r="82" spans="1:141" ht="15" customHeight="1" x14ac:dyDescent="0.25">
      <c r="A82" s="140"/>
      <c r="B82" s="151"/>
      <c r="C82" s="72"/>
      <c r="D82" s="73"/>
      <c r="E82" s="73"/>
      <c r="F82" s="141"/>
      <c r="G82" s="74"/>
      <c r="H82" s="75"/>
      <c r="I82" s="76"/>
      <c r="J82" s="135"/>
      <c r="K82" s="135"/>
      <c r="L82" s="77">
        <f t="shared" si="42"/>
        <v>0</v>
      </c>
      <c r="M82" s="78"/>
      <c r="N82" s="142"/>
      <c r="O82" s="142"/>
      <c r="P82" s="77">
        <f t="shared" si="43"/>
        <v>0</v>
      </c>
      <c r="Q82" s="78"/>
      <c r="R82" s="143"/>
      <c r="S82" s="143"/>
      <c r="T82" s="77">
        <f t="shared" si="44"/>
        <v>0</v>
      </c>
      <c r="U82" s="75"/>
      <c r="V82" s="76"/>
      <c r="W82" s="135"/>
      <c r="X82" s="135"/>
      <c r="Y82" s="77">
        <f t="shared" si="45"/>
        <v>0</v>
      </c>
      <c r="Z82" s="78"/>
      <c r="AA82" s="142"/>
      <c r="AB82" s="142"/>
      <c r="AC82" s="77">
        <f t="shared" si="46"/>
        <v>0</v>
      </c>
      <c r="AD82" s="78"/>
      <c r="AE82" s="143"/>
      <c r="AF82" s="143"/>
      <c r="AG82" s="79">
        <f t="shared" si="47"/>
        <v>0</v>
      </c>
      <c r="AH82" s="75"/>
      <c r="AI82" s="76"/>
      <c r="AJ82" s="135"/>
      <c r="AK82" s="135"/>
      <c r="AL82" s="77">
        <f t="shared" si="48"/>
        <v>0</v>
      </c>
      <c r="AM82" s="76"/>
      <c r="AN82" s="142"/>
      <c r="AO82" s="142"/>
      <c r="AP82" s="77">
        <f t="shared" si="49"/>
        <v>0</v>
      </c>
      <c r="AQ82" s="78"/>
      <c r="AR82" s="142"/>
      <c r="AS82" s="142"/>
      <c r="AT82" s="79">
        <f t="shared" si="50"/>
        <v>0</v>
      </c>
      <c r="AU82" s="75"/>
      <c r="AV82" s="76"/>
      <c r="AW82" s="135"/>
      <c r="AX82" s="135"/>
      <c r="AY82" s="77">
        <f t="shared" si="51"/>
        <v>0</v>
      </c>
      <c r="AZ82" s="76"/>
      <c r="BA82" s="142"/>
      <c r="BB82" s="142"/>
      <c r="BC82" s="77">
        <f t="shared" si="52"/>
        <v>0</v>
      </c>
      <c r="BD82" s="78"/>
      <c r="BE82" s="142"/>
      <c r="BF82" s="142"/>
      <c r="BG82" s="79">
        <f t="shared" si="53"/>
        <v>0</v>
      </c>
      <c r="BH82" s="75"/>
      <c r="BI82" s="76"/>
      <c r="BJ82" s="135"/>
      <c r="BK82" s="135"/>
      <c r="BL82" s="77">
        <f t="shared" si="54"/>
        <v>0</v>
      </c>
      <c r="BM82" s="78"/>
      <c r="BN82" s="142"/>
      <c r="BO82" s="142"/>
      <c r="BP82" s="77">
        <f t="shared" si="55"/>
        <v>0</v>
      </c>
      <c r="BQ82" s="78"/>
      <c r="BR82" s="142"/>
      <c r="BS82" s="142"/>
      <c r="BT82" s="79">
        <f t="shared" si="56"/>
        <v>0</v>
      </c>
      <c r="BU82" s="75"/>
      <c r="BV82" s="76"/>
      <c r="BW82" s="135"/>
      <c r="BX82" s="135"/>
      <c r="BY82" s="77">
        <f t="shared" si="57"/>
        <v>0</v>
      </c>
      <c r="BZ82" s="78"/>
      <c r="CA82" s="142"/>
      <c r="CB82" s="142"/>
      <c r="CC82" s="77">
        <f t="shared" si="58"/>
        <v>0</v>
      </c>
      <c r="CD82" s="78"/>
      <c r="CE82" s="142"/>
      <c r="CF82" s="142"/>
      <c r="CG82" s="79">
        <f t="shared" si="59"/>
        <v>0</v>
      </c>
      <c r="CH82" s="75"/>
      <c r="CI82" s="76"/>
      <c r="CJ82" s="135"/>
      <c r="CK82" s="135"/>
      <c r="CL82" s="77">
        <f t="shared" si="60"/>
        <v>0</v>
      </c>
      <c r="CM82" s="78"/>
      <c r="CN82" s="142"/>
      <c r="CO82" s="142"/>
      <c r="CP82" s="77">
        <f t="shared" si="61"/>
        <v>0</v>
      </c>
      <c r="CQ82" s="78"/>
      <c r="CR82" s="142"/>
      <c r="CS82" s="142"/>
      <c r="CT82" s="79">
        <f t="shared" si="62"/>
        <v>0</v>
      </c>
      <c r="CU82" s="80">
        <f t="shared" si="35"/>
        <v>0</v>
      </c>
      <c r="CV82" s="81">
        <f t="shared" si="36"/>
        <v>0</v>
      </c>
      <c r="CW82" s="144"/>
      <c r="CX82" s="145">
        <f>IF(ISERROR(VLOOKUP($A82,FIJOS!$B$11:$O$590,14,FALSE)),0,VLOOKUP($A82,FIJOS!$B$11:$O$590,14,FALSE))</f>
        <v>0</v>
      </c>
      <c r="CY82" s="145">
        <f>IF(ISERROR(VLOOKUP(A82,FIJOS!$B$10:$P$590,15,FALSE)),0,VLOOKUP(A82,FIJOS!$B$10:$P$590,15,FALSE))</f>
        <v>0</v>
      </c>
      <c r="CZ82" s="156"/>
      <c r="DA82" s="146"/>
      <c r="DB82" s="147"/>
      <c r="DC82" s="147"/>
      <c r="DD82" s="147"/>
      <c r="DE82" s="147"/>
      <c r="DF82" s="145">
        <f>IF(ISERROR(VLOOKUP($A82,FIJOS!$B$11:$N$590,13,FALSE)),0,VLOOKUP($A82,FIJOS!$B$11:$N$590,13,FALSE))</f>
        <v>0</v>
      </c>
      <c r="DG82" s="145">
        <f>IF(ISERROR(VLOOKUP($A82,FIJOS!$B$11:$P$447,12,FALSE)),0,VLOOKUP($A82,FIJOS!$B$11:$P$447,12,FALSE))</f>
        <v>0</v>
      </c>
      <c r="DH82" s="82">
        <f t="shared" si="63"/>
        <v>0</v>
      </c>
      <c r="DI82" s="83" t="b">
        <f>IF($C82=1,(VLOOKUP($A82,FIJOS!$B$11:$P$545,10,FALSE)/7)*(7-$CU82),IF(AND($C82=2,CV82&lt;$DJ$1),(VLOOKUP($D82,HORAS!$B$4:$C$42,2,FALSE)*24)*$CV82,IF(AND($C82=2,CV82&gt;=$DJ$1),VLOOKUP($D82,HORAS!$B$4:$D$42,3,FALSE),IF(AND($C82=3,$CV82&gt;=$DJ$1),VLOOKUP($A82,FIJOS!$B$11:$P$545,10,FALSE),IF(AND($C82=3,$CV82&lt;$DJ$1),((VLOOKUP($A82,FIJOS!$B$11:$P$545,10,FALSE)/48)*24)*$CV82,IF(AND($C82=4,$CV82&gt;=(42/24)),VLOOKUP($D82,HORAS!$B$4:$D$42,3,FALSE),IF(AND($C82=5,$CV82&gt;=(36/24)),VLOOKUP($D82,HORAS!$B$4:$D$42,3,FALSE))))))))</f>
        <v>0</v>
      </c>
      <c r="DJ82" s="145">
        <f>IF(OR($C82=2),VLOOKUP($D82,HORAS!$B$4:$E$42,4,FALSE)*$EC82,IF(ISERROR(VLOOKUP($A82,FIJOS!$B$11:$P$108,9,FALSE)),0,VLOOKUP($A82,FIJOS!$B$11:$P$231,9,FALSE)*$EC82))</f>
        <v>0</v>
      </c>
      <c r="DK82" s="145">
        <f>IF(OR($C82=2),VLOOKUP($D82,HORAS!$B$4:$F$42,5,FALSE)*$EE82,IF(ISERROR(VLOOKUP($A82,FIJOS!$B$11:$P$108,9,FALSE)),0,VLOOKUP($A82,FIJOS!$B$11:$P$231,9,FALSE)*$EE82))</f>
        <v>0</v>
      </c>
      <c r="DL82" s="144"/>
      <c r="DM82" s="145">
        <f>IF(ISERROR(VLOOKUP($A82,FIJOS!$B$11:$L$646,11,FALSE)),0,VLOOKUP($A82,FIJOS!$B$11:$L$646,11,FALSE))</f>
        <v>0</v>
      </c>
      <c r="DN82" s="148" t="e">
        <f>IF(OR($C82=1,$C82=3),0,IF((VLOOKUP(CAPTURA!D82,HORAS!$B$4:$K$42,10,FALSE)/4)*COUNTIF($H82:$CT82,3)&gt;100,100,(VLOOKUP(CAPTURA!D82,HORAS!$B$4:$K$42,10,FALSE)/4)*COUNTIF($H82:$CT82,3)))</f>
        <v>#N/A</v>
      </c>
      <c r="DO82" s="144" t="e">
        <f>IF(OR($C82=1,$C82=3),0,IF($C82=5,VLOOKUP(D82,HORAS!$B$4:$G$42,6,FALSE),IF(AND($C82=4,$CV82&gt;=(42/24)),VLOOKUP(D82,HORAS!$B$4:$G$42,6,FALSE),IF(COUNTIF($H82:$CL82,"F")&gt;0,0,IF(CV82&gt;$DJ$1,$DJ$1*(VLOOKUP(D82,HORAS!$B$4:$G$42,6,FALSE)/$DJ$1),CV82*(VLOOKUP(D82,HORAS!$B$4:$G$42,6,FALSE)/$DJ$1))))))</f>
        <v>#N/A</v>
      </c>
      <c r="DP82" s="156"/>
      <c r="DQ82" s="89"/>
      <c r="DR82" s="148"/>
      <c r="DS82" s="83" t="e">
        <f t="shared" si="66"/>
        <v>#N/A</v>
      </c>
      <c r="DT82" s="84"/>
      <c r="DU82" s="149" t="e">
        <f t="shared" si="67"/>
        <v>#N/A</v>
      </c>
      <c r="DV82" s="149" t="e">
        <f t="shared" si="68"/>
        <v>#N/A</v>
      </c>
      <c r="DW82" s="144" t="e">
        <f t="shared" si="69"/>
        <v>#N/A</v>
      </c>
      <c r="DX82" s="134"/>
      <c r="DY82" s="29"/>
      <c r="DZ82" s="150"/>
      <c r="EA82" s="134"/>
      <c r="EB82" s="137">
        <f t="shared" si="70"/>
        <v>0</v>
      </c>
      <c r="EC82" s="138">
        <f t="shared" si="64"/>
        <v>0</v>
      </c>
      <c r="ED82" s="137">
        <f t="shared" si="71"/>
        <v>0</v>
      </c>
      <c r="EE82" s="132">
        <f t="shared" si="65"/>
        <v>0</v>
      </c>
      <c r="EF82" s="29"/>
      <c r="EG82" s="134"/>
      <c r="EH82" s="134"/>
      <c r="EI82" s="134"/>
      <c r="EK82" s="29"/>
    </row>
    <row r="83" spans="1:141" ht="15" customHeight="1" x14ac:dyDescent="0.25">
      <c r="A83" s="140"/>
      <c r="B83" s="151"/>
      <c r="C83" s="72"/>
      <c r="D83" s="73"/>
      <c r="E83" s="73"/>
      <c r="F83" s="141"/>
      <c r="G83" s="74"/>
      <c r="H83" s="75"/>
      <c r="I83" s="76"/>
      <c r="J83" s="135"/>
      <c r="K83" s="135"/>
      <c r="L83" s="77">
        <f t="shared" si="42"/>
        <v>0</v>
      </c>
      <c r="M83" s="78"/>
      <c r="N83" s="142"/>
      <c r="O83" s="142"/>
      <c r="P83" s="77">
        <f t="shared" si="43"/>
        <v>0</v>
      </c>
      <c r="Q83" s="78"/>
      <c r="R83" s="143"/>
      <c r="S83" s="143"/>
      <c r="T83" s="77">
        <f t="shared" si="44"/>
        <v>0</v>
      </c>
      <c r="U83" s="75"/>
      <c r="V83" s="76"/>
      <c r="W83" s="135"/>
      <c r="X83" s="135"/>
      <c r="Y83" s="77">
        <f t="shared" si="45"/>
        <v>0</v>
      </c>
      <c r="Z83" s="78"/>
      <c r="AA83" s="142"/>
      <c r="AB83" s="142"/>
      <c r="AC83" s="77">
        <f t="shared" si="46"/>
        <v>0</v>
      </c>
      <c r="AD83" s="78"/>
      <c r="AE83" s="143"/>
      <c r="AF83" s="143"/>
      <c r="AG83" s="79">
        <f t="shared" si="47"/>
        <v>0</v>
      </c>
      <c r="AH83" s="75"/>
      <c r="AI83" s="76"/>
      <c r="AJ83" s="135"/>
      <c r="AK83" s="135"/>
      <c r="AL83" s="77">
        <f t="shared" si="48"/>
        <v>0</v>
      </c>
      <c r="AM83" s="76"/>
      <c r="AN83" s="142"/>
      <c r="AO83" s="142"/>
      <c r="AP83" s="77">
        <f t="shared" si="49"/>
        <v>0</v>
      </c>
      <c r="AQ83" s="78"/>
      <c r="AR83" s="142"/>
      <c r="AS83" s="142"/>
      <c r="AT83" s="79">
        <f t="shared" si="50"/>
        <v>0</v>
      </c>
      <c r="AU83" s="75"/>
      <c r="AV83" s="76"/>
      <c r="AW83" s="135"/>
      <c r="AX83" s="135"/>
      <c r="AY83" s="77">
        <f t="shared" si="51"/>
        <v>0</v>
      </c>
      <c r="AZ83" s="76"/>
      <c r="BA83" s="142"/>
      <c r="BB83" s="142"/>
      <c r="BC83" s="77">
        <f t="shared" si="52"/>
        <v>0</v>
      </c>
      <c r="BD83" s="78"/>
      <c r="BE83" s="142"/>
      <c r="BF83" s="142"/>
      <c r="BG83" s="79">
        <f t="shared" si="53"/>
        <v>0</v>
      </c>
      <c r="BH83" s="75"/>
      <c r="BI83" s="76"/>
      <c r="BJ83" s="135"/>
      <c r="BK83" s="135"/>
      <c r="BL83" s="77">
        <f t="shared" si="54"/>
        <v>0</v>
      </c>
      <c r="BM83" s="78"/>
      <c r="BN83" s="142"/>
      <c r="BO83" s="142"/>
      <c r="BP83" s="77">
        <f t="shared" si="55"/>
        <v>0</v>
      </c>
      <c r="BQ83" s="78"/>
      <c r="BR83" s="142"/>
      <c r="BS83" s="142"/>
      <c r="BT83" s="79">
        <f t="shared" si="56"/>
        <v>0</v>
      </c>
      <c r="BU83" s="75"/>
      <c r="BV83" s="76"/>
      <c r="BW83" s="135"/>
      <c r="BX83" s="135"/>
      <c r="BY83" s="77">
        <f t="shared" si="57"/>
        <v>0</v>
      </c>
      <c r="BZ83" s="78"/>
      <c r="CA83" s="142"/>
      <c r="CB83" s="142"/>
      <c r="CC83" s="77">
        <f t="shared" si="58"/>
        <v>0</v>
      </c>
      <c r="CD83" s="78"/>
      <c r="CE83" s="142"/>
      <c r="CF83" s="142"/>
      <c r="CG83" s="79">
        <f t="shared" si="59"/>
        <v>0</v>
      </c>
      <c r="CH83" s="75"/>
      <c r="CI83" s="76"/>
      <c r="CJ83" s="135"/>
      <c r="CK83" s="135"/>
      <c r="CL83" s="77">
        <f t="shared" si="60"/>
        <v>0</v>
      </c>
      <c r="CM83" s="78"/>
      <c r="CN83" s="142"/>
      <c r="CO83" s="142"/>
      <c r="CP83" s="77">
        <f t="shared" si="61"/>
        <v>0</v>
      </c>
      <c r="CQ83" s="78"/>
      <c r="CR83" s="142"/>
      <c r="CS83" s="142"/>
      <c r="CT83" s="79">
        <f t="shared" si="62"/>
        <v>0</v>
      </c>
      <c r="CU83" s="80">
        <f t="shared" si="35"/>
        <v>0</v>
      </c>
      <c r="CV83" s="81">
        <f t="shared" si="36"/>
        <v>0</v>
      </c>
      <c r="CW83" s="144"/>
      <c r="CX83" s="145">
        <f>IF(ISERROR(VLOOKUP($A83,FIJOS!$B$11:$O$590,14,FALSE)),0,VLOOKUP($A83,FIJOS!$B$11:$O$590,14,FALSE))</f>
        <v>0</v>
      </c>
      <c r="CY83" s="145">
        <f>IF(ISERROR(VLOOKUP(A83,FIJOS!$B$10:$P$590,15,FALSE)),0,VLOOKUP(A83,FIJOS!$B$10:$P$590,15,FALSE))</f>
        <v>0</v>
      </c>
      <c r="CZ83" s="156"/>
      <c r="DA83" s="146"/>
      <c r="DB83" s="147"/>
      <c r="DC83" s="147"/>
      <c r="DD83" s="147"/>
      <c r="DE83" s="147"/>
      <c r="DF83" s="145">
        <f>IF(ISERROR(VLOOKUP($A83,FIJOS!$B$11:$N$590,13,FALSE)),0,VLOOKUP($A83,FIJOS!$B$11:$N$590,13,FALSE))</f>
        <v>0</v>
      </c>
      <c r="DG83" s="145">
        <f>IF(ISERROR(VLOOKUP($A83,FIJOS!$B$11:$P$447,12,FALSE)),0,VLOOKUP($A83,FIJOS!$B$11:$P$447,12,FALSE))</f>
        <v>0</v>
      </c>
      <c r="DH83" s="82">
        <f t="shared" si="63"/>
        <v>0</v>
      </c>
      <c r="DI83" s="83" t="b">
        <f>IF($C83=1,(VLOOKUP($A83,FIJOS!$B$11:$P$545,10,FALSE)/7)*(7-$CU83),IF(AND($C83=2,CV83&lt;$DJ$1),(VLOOKUP($D83,HORAS!$B$4:$C$42,2,FALSE)*24)*$CV83,IF(AND($C83=2,CV83&gt;=$DJ$1),VLOOKUP($D83,HORAS!$B$4:$D$42,3,FALSE),IF(AND($C83=3,$CV83&gt;=$DJ$1),VLOOKUP($A83,FIJOS!$B$11:$P$545,10,FALSE),IF(AND($C83=3,$CV83&lt;$DJ$1),((VLOOKUP($A83,FIJOS!$B$11:$P$545,10,FALSE)/48)*24)*$CV83,IF(AND($C83=4,$CV83&gt;=(42/24)),VLOOKUP($D83,HORAS!$B$4:$D$42,3,FALSE),IF(AND($C83=5,$CV83&gt;=(36/24)),VLOOKUP($D83,HORAS!$B$4:$D$42,3,FALSE))))))))</f>
        <v>0</v>
      </c>
      <c r="DJ83" s="145">
        <f>IF(OR($C83=2),VLOOKUP($D83,HORAS!$B$4:$E$42,4,FALSE)*$EC83,IF(ISERROR(VLOOKUP($A83,FIJOS!$B$11:$P$108,9,FALSE)),0,VLOOKUP($A83,FIJOS!$B$11:$P$231,9,FALSE)*$EC83))</f>
        <v>0</v>
      </c>
      <c r="DK83" s="145">
        <f>IF(OR($C83=2),VLOOKUP($D83,HORAS!$B$4:$F$42,5,FALSE)*$EE83,IF(ISERROR(VLOOKUP($A83,FIJOS!$B$11:$P$108,9,FALSE)),0,VLOOKUP($A83,FIJOS!$B$11:$P$231,9,FALSE)*$EE83))</f>
        <v>0</v>
      </c>
      <c r="DL83" s="144"/>
      <c r="DM83" s="145">
        <f>IF(ISERROR(VLOOKUP($A83,FIJOS!$B$11:$L$646,11,FALSE)),0,VLOOKUP($A83,FIJOS!$B$11:$L$646,11,FALSE))</f>
        <v>0</v>
      </c>
      <c r="DN83" s="148" t="e">
        <f>IF(OR($C83=1,$C83=3),0,IF((VLOOKUP(CAPTURA!D83,HORAS!$B$4:$K$42,10,FALSE)/4)*COUNTIF($H83:$CT83,3)&gt;100,100,(VLOOKUP(CAPTURA!D83,HORAS!$B$4:$K$42,10,FALSE)/4)*COUNTIF($H83:$CT83,3)))</f>
        <v>#N/A</v>
      </c>
      <c r="DO83" s="144" t="e">
        <f>IF(OR($C83=1,$C83=3),0,IF($C83=5,VLOOKUP(D83,HORAS!$B$4:$G$42,6,FALSE),IF(AND($C83=4,$CV83&gt;=(42/24)),VLOOKUP(D83,HORAS!$B$4:$G$42,6,FALSE),IF(COUNTIF($H83:$CL83,"F")&gt;0,0,IF(CV83&gt;$DJ$1,$DJ$1*(VLOOKUP(D83,HORAS!$B$4:$G$42,6,FALSE)/$DJ$1),CV83*(VLOOKUP(D83,HORAS!$B$4:$G$42,6,FALSE)/$DJ$1))))))</f>
        <v>#N/A</v>
      </c>
      <c r="DP83" s="156"/>
      <c r="DQ83" s="89"/>
      <c r="DR83" s="148"/>
      <c r="DS83" s="83" t="e">
        <f t="shared" si="66"/>
        <v>#N/A</v>
      </c>
      <c r="DT83" s="84"/>
      <c r="DU83" s="149" t="e">
        <f t="shared" si="67"/>
        <v>#N/A</v>
      </c>
      <c r="DV83" s="149" t="e">
        <f t="shared" si="68"/>
        <v>#N/A</v>
      </c>
      <c r="DW83" s="144" t="e">
        <f t="shared" si="69"/>
        <v>#N/A</v>
      </c>
      <c r="DX83" s="134"/>
      <c r="DY83" s="29"/>
      <c r="DZ83" s="150"/>
      <c r="EA83" s="137"/>
      <c r="EB83" s="137">
        <f t="shared" si="70"/>
        <v>0</v>
      </c>
      <c r="EC83" s="138">
        <f t="shared" si="64"/>
        <v>0</v>
      </c>
      <c r="ED83" s="137">
        <f t="shared" si="71"/>
        <v>0</v>
      </c>
      <c r="EE83" s="132">
        <f t="shared" si="65"/>
        <v>0</v>
      </c>
      <c r="EF83" s="29"/>
      <c r="EG83" s="134"/>
      <c r="EH83" s="134"/>
      <c r="EI83" s="134"/>
      <c r="EK83" s="29"/>
    </row>
    <row r="84" spans="1:141" ht="15" customHeight="1" x14ac:dyDescent="0.25">
      <c r="A84" s="140"/>
      <c r="B84" s="5"/>
      <c r="C84" s="72"/>
      <c r="D84" s="73"/>
      <c r="E84" s="73"/>
      <c r="F84" s="141"/>
      <c r="G84" s="74"/>
      <c r="H84" s="75"/>
      <c r="I84" s="76"/>
      <c r="J84" s="135"/>
      <c r="K84" s="135"/>
      <c r="L84" s="77">
        <f t="shared" si="42"/>
        <v>0</v>
      </c>
      <c r="M84" s="78"/>
      <c r="N84" s="142"/>
      <c r="O84" s="142"/>
      <c r="P84" s="77">
        <f t="shared" si="43"/>
        <v>0</v>
      </c>
      <c r="Q84" s="78"/>
      <c r="R84" s="143"/>
      <c r="S84" s="143"/>
      <c r="T84" s="77">
        <f t="shared" si="44"/>
        <v>0</v>
      </c>
      <c r="U84" s="75"/>
      <c r="V84" s="76"/>
      <c r="W84" s="135"/>
      <c r="X84" s="135"/>
      <c r="Y84" s="77">
        <f t="shared" si="45"/>
        <v>0</v>
      </c>
      <c r="Z84" s="78"/>
      <c r="AA84" s="142"/>
      <c r="AB84" s="142"/>
      <c r="AC84" s="77">
        <f t="shared" si="46"/>
        <v>0</v>
      </c>
      <c r="AD84" s="78"/>
      <c r="AE84" s="143"/>
      <c r="AF84" s="143"/>
      <c r="AG84" s="79">
        <f t="shared" si="47"/>
        <v>0</v>
      </c>
      <c r="AH84" s="75"/>
      <c r="AI84" s="76"/>
      <c r="AJ84" s="135"/>
      <c r="AK84" s="135"/>
      <c r="AL84" s="77">
        <f t="shared" si="48"/>
        <v>0</v>
      </c>
      <c r="AM84" s="76"/>
      <c r="AN84" s="142"/>
      <c r="AO84" s="142"/>
      <c r="AP84" s="77">
        <f t="shared" si="49"/>
        <v>0</v>
      </c>
      <c r="AQ84" s="78"/>
      <c r="AR84" s="142"/>
      <c r="AS84" s="142"/>
      <c r="AT84" s="79">
        <f t="shared" si="50"/>
        <v>0</v>
      </c>
      <c r="AU84" s="75"/>
      <c r="AV84" s="76"/>
      <c r="AW84" s="135"/>
      <c r="AX84" s="135"/>
      <c r="AY84" s="77">
        <f t="shared" si="51"/>
        <v>0</v>
      </c>
      <c r="AZ84" s="76"/>
      <c r="BA84" s="142"/>
      <c r="BB84" s="142"/>
      <c r="BC84" s="77">
        <f t="shared" si="52"/>
        <v>0</v>
      </c>
      <c r="BD84" s="78"/>
      <c r="BE84" s="142"/>
      <c r="BF84" s="142"/>
      <c r="BG84" s="79">
        <f t="shared" si="53"/>
        <v>0</v>
      </c>
      <c r="BH84" s="75"/>
      <c r="BI84" s="76"/>
      <c r="BJ84" s="135"/>
      <c r="BK84" s="135"/>
      <c r="BL84" s="77">
        <f t="shared" si="54"/>
        <v>0</v>
      </c>
      <c r="BM84" s="78"/>
      <c r="BN84" s="142"/>
      <c r="BO84" s="142"/>
      <c r="BP84" s="77">
        <f t="shared" si="55"/>
        <v>0</v>
      </c>
      <c r="BQ84" s="78"/>
      <c r="BR84" s="142"/>
      <c r="BS84" s="142"/>
      <c r="BT84" s="79">
        <f t="shared" si="56"/>
        <v>0</v>
      </c>
      <c r="BU84" s="75"/>
      <c r="BV84" s="76"/>
      <c r="BW84" s="135"/>
      <c r="BX84" s="135"/>
      <c r="BY84" s="77">
        <f t="shared" si="57"/>
        <v>0</v>
      </c>
      <c r="BZ84" s="76"/>
      <c r="CA84" s="142"/>
      <c r="CB84" s="142"/>
      <c r="CC84" s="77">
        <f t="shared" si="58"/>
        <v>0</v>
      </c>
      <c r="CD84" s="76"/>
      <c r="CE84" s="142"/>
      <c r="CF84" s="142"/>
      <c r="CG84" s="79">
        <f t="shared" si="59"/>
        <v>0</v>
      </c>
      <c r="CH84" s="75"/>
      <c r="CI84" s="76"/>
      <c r="CJ84" s="135"/>
      <c r="CK84" s="135"/>
      <c r="CL84" s="77">
        <f t="shared" si="60"/>
        <v>0</v>
      </c>
      <c r="CM84" s="78"/>
      <c r="CN84" s="142"/>
      <c r="CO84" s="142"/>
      <c r="CP84" s="77">
        <f t="shared" si="61"/>
        <v>0</v>
      </c>
      <c r="CQ84" s="78"/>
      <c r="CR84" s="142"/>
      <c r="CS84" s="142"/>
      <c r="CT84" s="79">
        <f t="shared" si="62"/>
        <v>0</v>
      </c>
      <c r="CU84" s="80">
        <f t="shared" si="35"/>
        <v>0</v>
      </c>
      <c r="CV84" s="81">
        <f t="shared" si="36"/>
        <v>0</v>
      </c>
      <c r="CW84" s="144"/>
      <c r="CX84" s="145">
        <f>IF(ISERROR(VLOOKUP($A84,FIJOS!$B$11:$O$590,14,FALSE)),0,VLOOKUP($A84,FIJOS!$B$11:$O$590,14,FALSE))</f>
        <v>0</v>
      </c>
      <c r="CY84" s="145">
        <f>IF(ISERROR(VLOOKUP(A84,FIJOS!$B$10:$P$590,15,FALSE)),0,VLOOKUP(A84,FIJOS!$B$10:$P$590,15,FALSE))</f>
        <v>0</v>
      </c>
      <c r="CZ84" s="156"/>
      <c r="DA84" s="146"/>
      <c r="DB84" s="147"/>
      <c r="DC84" s="147"/>
      <c r="DD84" s="147"/>
      <c r="DE84" s="147"/>
      <c r="DF84" s="145">
        <f>IF(ISERROR(VLOOKUP($A84,FIJOS!$B$11:$N$590,13,FALSE)),0,VLOOKUP($A84,FIJOS!$B$11:$N$590,13,FALSE))</f>
        <v>0</v>
      </c>
      <c r="DG84" s="145">
        <f>IF(ISERROR(VLOOKUP($A84,FIJOS!$B$11:$P$447,12,FALSE)),0,VLOOKUP($A84,FIJOS!$B$11:$P$447,12,FALSE))</f>
        <v>0</v>
      </c>
      <c r="DH84" s="82">
        <f t="shared" si="63"/>
        <v>0</v>
      </c>
      <c r="DI84" s="83" t="b">
        <f>IF($C84=1,(VLOOKUP($A84,FIJOS!$B$11:$P$545,10,FALSE)/7)*(7-$CU84),IF(AND($C84=2,CV84&lt;$DJ$1),(VLOOKUP($D84,HORAS!$B$4:$C$42,2,FALSE)*24)*$CV84,IF(AND($C84=2,CV84&gt;=$DJ$1),VLOOKUP($D84,HORAS!$B$4:$D$42,3,FALSE),IF(AND($C84=3,$CV84&gt;=$DJ$1),VLOOKUP($A84,FIJOS!$B$11:$P$545,10,FALSE),IF(AND($C84=3,$CV84&lt;$DJ$1),((VLOOKUP($A84,FIJOS!$B$11:$P$545,10,FALSE)/48)*24)*$CV84,IF(AND($C84=4,$CV84&gt;=(42/24)),VLOOKUP($D84,HORAS!$B$4:$D$42,3,FALSE),IF(AND($C84=5,$CV84&gt;=(36/24)),VLOOKUP($D84,HORAS!$B$4:$D$42,3,FALSE))))))))</f>
        <v>0</v>
      </c>
      <c r="DJ84" s="145">
        <f>IF(OR($C84=2),VLOOKUP($D84,HORAS!$B$4:$E$42,4,FALSE)*$EC84,IF(ISERROR(VLOOKUP($A84,FIJOS!$B$11:$P$108,9,FALSE)),0,VLOOKUP($A84,FIJOS!$B$11:$P$231,9,FALSE)*$EC84))</f>
        <v>0</v>
      </c>
      <c r="DK84" s="145">
        <f>IF(OR($C84=2),VLOOKUP($D84,HORAS!$B$4:$F$42,5,FALSE)*$EE84,IF(ISERROR(VLOOKUP($A84,FIJOS!$B$11:$P$108,9,FALSE)),0,VLOOKUP($A84,FIJOS!$B$11:$P$231,9,FALSE)*$EE84))</f>
        <v>0</v>
      </c>
      <c r="DL84" s="144"/>
      <c r="DM84" s="145">
        <f>IF(ISERROR(VLOOKUP($A84,FIJOS!$B$11:$L$646,11,FALSE)),0,VLOOKUP($A84,FIJOS!$B$11:$L$646,11,FALSE))</f>
        <v>0</v>
      </c>
      <c r="DN84" s="148" t="e">
        <f>IF(OR($C84=1,$C84=3),0,IF((VLOOKUP(CAPTURA!D84,HORAS!$B$4:$K$42,10,FALSE)/4)*COUNTIF($H84:$CT84,3)&gt;100,100,(VLOOKUP(CAPTURA!D84,HORAS!$B$4:$K$42,10,FALSE)/4)*COUNTIF($H84:$CT84,3)))</f>
        <v>#N/A</v>
      </c>
      <c r="DO84" s="144" t="e">
        <f>IF(OR($C84=1,$C84=3),0,IF($C84=5,VLOOKUP(D84,HORAS!$B$4:$G$42,6,FALSE),IF(AND($C84=4,$CV84&gt;=(42/24)),VLOOKUP(D84,HORAS!$B$4:$G$42,6,FALSE),IF(COUNTIF($H84:$CL84,"F")&gt;0,0,IF(CV84&gt;$DJ$1,$DJ$1*(VLOOKUP(D84,HORAS!$B$4:$G$42,6,FALSE)/$DJ$1),CV84*(VLOOKUP(D84,HORAS!$B$4:$G$42,6,FALSE)/$DJ$1))))))</f>
        <v>#N/A</v>
      </c>
      <c r="DP84" s="156"/>
      <c r="DQ84" s="148"/>
      <c r="DR84" s="148"/>
      <c r="DS84" s="83" t="e">
        <f t="shared" si="66"/>
        <v>#N/A</v>
      </c>
      <c r="DT84" s="84"/>
      <c r="DU84" s="149" t="e">
        <f t="shared" si="67"/>
        <v>#N/A</v>
      </c>
      <c r="DV84" s="149" t="e">
        <f t="shared" si="68"/>
        <v>#N/A</v>
      </c>
      <c r="DW84" s="144" t="e">
        <f t="shared" si="69"/>
        <v>#N/A</v>
      </c>
      <c r="DX84" s="134"/>
      <c r="DY84" s="29"/>
      <c r="DZ84" s="150"/>
      <c r="EA84" s="134"/>
      <c r="EB84" s="137">
        <f t="shared" si="70"/>
        <v>0</v>
      </c>
      <c r="EC84" s="138">
        <f t="shared" si="64"/>
        <v>0</v>
      </c>
      <c r="ED84" s="137">
        <f t="shared" si="71"/>
        <v>0</v>
      </c>
      <c r="EE84" s="132">
        <f t="shared" si="65"/>
        <v>0</v>
      </c>
      <c r="EF84" s="29"/>
      <c r="EG84" s="134"/>
      <c r="EH84" s="134"/>
      <c r="EI84" s="134"/>
      <c r="EK84" s="29"/>
    </row>
    <row r="85" spans="1:141" ht="15" customHeight="1" x14ac:dyDescent="0.25">
      <c r="A85" s="140"/>
      <c r="B85" s="151"/>
      <c r="C85" s="72"/>
      <c r="D85" s="73"/>
      <c r="E85" s="73"/>
      <c r="F85" s="141"/>
      <c r="G85" s="74"/>
      <c r="H85" s="75"/>
      <c r="I85" s="76"/>
      <c r="J85" s="135"/>
      <c r="K85" s="135"/>
      <c r="L85" s="77">
        <f t="shared" si="42"/>
        <v>0</v>
      </c>
      <c r="M85" s="78"/>
      <c r="N85" s="142"/>
      <c r="O85" s="142"/>
      <c r="P85" s="77">
        <f t="shared" si="43"/>
        <v>0</v>
      </c>
      <c r="Q85" s="78"/>
      <c r="R85" s="143"/>
      <c r="S85" s="143"/>
      <c r="T85" s="77">
        <f t="shared" si="44"/>
        <v>0</v>
      </c>
      <c r="U85" s="75"/>
      <c r="V85" s="76"/>
      <c r="W85" s="135"/>
      <c r="X85" s="135"/>
      <c r="Y85" s="77">
        <f t="shared" si="45"/>
        <v>0</v>
      </c>
      <c r="Z85" s="78"/>
      <c r="AA85" s="142"/>
      <c r="AB85" s="142"/>
      <c r="AC85" s="77">
        <f t="shared" si="46"/>
        <v>0</v>
      </c>
      <c r="AD85" s="78"/>
      <c r="AE85" s="143"/>
      <c r="AF85" s="143"/>
      <c r="AG85" s="79">
        <f t="shared" si="47"/>
        <v>0</v>
      </c>
      <c r="AH85" s="75"/>
      <c r="AI85" s="76"/>
      <c r="AJ85" s="135"/>
      <c r="AK85" s="135"/>
      <c r="AL85" s="77">
        <f t="shared" si="48"/>
        <v>0</v>
      </c>
      <c r="AM85" s="76"/>
      <c r="AN85" s="142"/>
      <c r="AO85" s="142"/>
      <c r="AP85" s="77">
        <f t="shared" si="49"/>
        <v>0</v>
      </c>
      <c r="AQ85" s="78"/>
      <c r="AR85" s="142"/>
      <c r="AS85" s="142"/>
      <c r="AT85" s="79">
        <f t="shared" si="50"/>
        <v>0</v>
      </c>
      <c r="AU85" s="75"/>
      <c r="AV85" s="76"/>
      <c r="AW85" s="135"/>
      <c r="AX85" s="135"/>
      <c r="AY85" s="77">
        <f t="shared" si="51"/>
        <v>0</v>
      </c>
      <c r="AZ85" s="76"/>
      <c r="BA85" s="142"/>
      <c r="BB85" s="142"/>
      <c r="BC85" s="77">
        <f t="shared" si="52"/>
        <v>0</v>
      </c>
      <c r="BD85" s="78"/>
      <c r="BE85" s="142"/>
      <c r="BF85" s="142"/>
      <c r="BG85" s="79">
        <f t="shared" si="53"/>
        <v>0</v>
      </c>
      <c r="BH85" s="75"/>
      <c r="BI85" s="76"/>
      <c r="BJ85" s="135"/>
      <c r="BK85" s="135"/>
      <c r="BL85" s="77">
        <f t="shared" si="54"/>
        <v>0</v>
      </c>
      <c r="BM85" s="78"/>
      <c r="BN85" s="142"/>
      <c r="BO85" s="142"/>
      <c r="BP85" s="77">
        <f t="shared" si="55"/>
        <v>0</v>
      </c>
      <c r="BQ85" s="78"/>
      <c r="BR85" s="142"/>
      <c r="BS85" s="142"/>
      <c r="BT85" s="79">
        <f t="shared" si="56"/>
        <v>0</v>
      </c>
      <c r="BU85" s="75"/>
      <c r="BV85" s="76"/>
      <c r="BW85" s="135"/>
      <c r="BX85" s="135"/>
      <c r="BY85" s="77">
        <f t="shared" si="57"/>
        <v>0</v>
      </c>
      <c r="BZ85" s="78"/>
      <c r="CA85" s="142"/>
      <c r="CB85" s="142"/>
      <c r="CC85" s="77">
        <f t="shared" si="58"/>
        <v>0</v>
      </c>
      <c r="CD85" s="78"/>
      <c r="CE85" s="142"/>
      <c r="CF85" s="142"/>
      <c r="CG85" s="79">
        <f t="shared" si="59"/>
        <v>0</v>
      </c>
      <c r="CH85" s="75"/>
      <c r="CI85" s="76"/>
      <c r="CJ85" s="135"/>
      <c r="CK85" s="135"/>
      <c r="CL85" s="77">
        <f t="shared" si="60"/>
        <v>0</v>
      </c>
      <c r="CM85" s="78"/>
      <c r="CN85" s="142"/>
      <c r="CO85" s="142"/>
      <c r="CP85" s="77">
        <f t="shared" si="61"/>
        <v>0</v>
      </c>
      <c r="CQ85" s="78"/>
      <c r="CR85" s="142"/>
      <c r="CS85" s="142"/>
      <c r="CT85" s="79">
        <f t="shared" si="62"/>
        <v>0</v>
      </c>
      <c r="CU85" s="80">
        <f t="shared" si="35"/>
        <v>0</v>
      </c>
      <c r="CV85" s="81">
        <f t="shared" si="36"/>
        <v>0</v>
      </c>
      <c r="CW85" s="144"/>
      <c r="CX85" s="145">
        <f>IF(ISERROR(VLOOKUP($A85,FIJOS!$B$11:$O$590,14,FALSE)),0,VLOOKUP($A85,FIJOS!$B$11:$O$590,14,FALSE))</f>
        <v>0</v>
      </c>
      <c r="CY85" s="145">
        <f>IF(ISERROR(VLOOKUP(A85,FIJOS!$B$10:$P$590,15,FALSE)),0,VLOOKUP(A85,FIJOS!$B$10:$P$590,15,FALSE))</f>
        <v>0</v>
      </c>
      <c r="CZ85" s="156"/>
      <c r="DA85" s="146"/>
      <c r="DB85" s="147"/>
      <c r="DC85" s="147"/>
      <c r="DD85" s="147"/>
      <c r="DE85" s="147"/>
      <c r="DF85" s="145">
        <f>IF(ISERROR(VLOOKUP($A85,FIJOS!$B$11:$N$590,13,FALSE)),0,VLOOKUP($A85,FIJOS!$B$11:$N$590,13,FALSE))</f>
        <v>0</v>
      </c>
      <c r="DG85" s="145">
        <f>IF(ISERROR(VLOOKUP($A85,FIJOS!$B$11:$P$447,12,FALSE)),0,VLOOKUP($A85,FIJOS!$B$11:$P$447,12,FALSE))</f>
        <v>0</v>
      </c>
      <c r="DH85" s="82">
        <f t="shared" si="63"/>
        <v>0</v>
      </c>
      <c r="DI85" s="83" t="b">
        <f>IF($C85=1,(VLOOKUP($A85,FIJOS!$B$11:$P$545,10,FALSE)/7)*(7-$CU85),IF(AND($C85=2,CV85&lt;$DJ$1),(VLOOKUP($D85,HORAS!$B$4:$C$42,2,FALSE)*24)*$CV85,IF(AND($C85=2,CV85&gt;=$DJ$1),VLOOKUP($D85,HORAS!$B$4:$D$42,3,FALSE),IF(AND($C85=3,$CV85&gt;=$DJ$1),VLOOKUP($A85,FIJOS!$B$11:$P$545,10,FALSE),IF(AND($C85=3,$CV85&lt;$DJ$1),((VLOOKUP($A85,FIJOS!$B$11:$P$545,10,FALSE)/48)*24)*$CV85,IF(AND($C85=4,$CV85&gt;=(42/24)),VLOOKUP($D85,HORAS!$B$4:$D$42,3,FALSE),IF(AND($C85=5,$CV85&gt;=(36/24)),VLOOKUP($D85,HORAS!$B$4:$D$42,3,FALSE))))))))</f>
        <v>0</v>
      </c>
      <c r="DJ85" s="145">
        <f>IF(OR($C85=2),VLOOKUP($D85,HORAS!$B$4:$E$42,4,FALSE)*$EC85,IF(ISERROR(VLOOKUP($A85,FIJOS!$B$11:$P$108,9,FALSE)),0,VLOOKUP($A85,FIJOS!$B$11:$P$231,9,FALSE)*$EC85))</f>
        <v>0</v>
      </c>
      <c r="DK85" s="145">
        <f>IF(OR($C85=2),VLOOKUP($D85,HORAS!$B$4:$F$42,5,FALSE)*$EE85,IF(ISERROR(VLOOKUP($A85,FIJOS!$B$11:$P$108,9,FALSE)),0,VLOOKUP($A85,FIJOS!$B$11:$P$231,9,FALSE)*$EE85))</f>
        <v>0</v>
      </c>
      <c r="DL85" s="144"/>
      <c r="DM85" s="145">
        <f>IF(ISERROR(VLOOKUP($A85,FIJOS!$B$11:$L$646,11,FALSE)),0,VLOOKUP($A85,FIJOS!$B$11:$L$646,11,FALSE))</f>
        <v>0</v>
      </c>
      <c r="DN85" s="148" t="e">
        <f>IF(OR($C85=1,$C85=3),0,IF((VLOOKUP(CAPTURA!D85,HORAS!$B$4:$K$42,10,FALSE)/4)*COUNTIF($H85:$CT85,3)&gt;100,100,(VLOOKUP(CAPTURA!D85,HORAS!$B$4:$K$42,10,FALSE)/4)*COUNTIF($H85:$CT85,3)))</f>
        <v>#N/A</v>
      </c>
      <c r="DO85" s="144" t="e">
        <f>IF(OR($C85=1,$C85=3),0,IF($C85=5,VLOOKUP(D85,HORAS!$B$4:$G$42,6,FALSE),IF(AND($C85=4,$CV85&gt;=(42/24)),VLOOKUP(D85,HORAS!$B$4:$G$42,6,FALSE),IF(COUNTIF($H85:$CL85,"F")&gt;0,0,IF(CV85&gt;$DJ$1,$DJ$1*(VLOOKUP(D85,HORAS!$B$4:$G$42,6,FALSE)/$DJ$1),CV85*(VLOOKUP(D85,HORAS!$B$4:$G$42,6,FALSE)/$DJ$1))))))</f>
        <v>#N/A</v>
      </c>
      <c r="DP85" s="156"/>
      <c r="DQ85" s="89"/>
      <c r="DR85" s="148"/>
      <c r="DS85" s="83" t="e">
        <f t="shared" si="66"/>
        <v>#N/A</v>
      </c>
      <c r="DT85" s="84"/>
      <c r="DU85" s="149" t="e">
        <f t="shared" si="67"/>
        <v>#N/A</v>
      </c>
      <c r="DV85" s="149" t="e">
        <f t="shared" si="68"/>
        <v>#N/A</v>
      </c>
      <c r="DW85" s="144" t="e">
        <f t="shared" si="69"/>
        <v>#N/A</v>
      </c>
      <c r="DX85" s="134"/>
      <c r="DY85" s="29"/>
      <c r="DZ85" s="150"/>
      <c r="EA85" s="134"/>
      <c r="EB85" s="137">
        <f t="shared" si="70"/>
        <v>0</v>
      </c>
      <c r="EC85" s="138">
        <f t="shared" si="64"/>
        <v>0</v>
      </c>
      <c r="ED85" s="137">
        <f t="shared" si="71"/>
        <v>0</v>
      </c>
      <c r="EE85" s="132">
        <f t="shared" si="65"/>
        <v>0</v>
      </c>
      <c r="EF85" s="29"/>
      <c r="EG85" s="134"/>
      <c r="EH85" s="134"/>
      <c r="EI85" s="134"/>
      <c r="EK85" s="29"/>
    </row>
    <row r="86" spans="1:141" ht="15" customHeight="1" x14ac:dyDescent="0.25">
      <c r="A86" s="140"/>
      <c r="B86" s="151"/>
      <c r="C86" s="72"/>
      <c r="D86" s="73"/>
      <c r="E86" s="73"/>
      <c r="F86" s="141"/>
      <c r="G86" s="74"/>
      <c r="H86" s="75"/>
      <c r="I86" s="76"/>
      <c r="J86" s="135"/>
      <c r="K86" s="135"/>
      <c r="L86" s="77">
        <f t="shared" si="42"/>
        <v>0</v>
      </c>
      <c r="M86" s="78"/>
      <c r="N86" s="142"/>
      <c r="O86" s="142"/>
      <c r="P86" s="77">
        <f t="shared" si="43"/>
        <v>0</v>
      </c>
      <c r="Q86" s="78"/>
      <c r="R86" s="143"/>
      <c r="S86" s="143"/>
      <c r="T86" s="77">
        <f t="shared" si="44"/>
        <v>0</v>
      </c>
      <c r="U86" s="75"/>
      <c r="V86" s="76"/>
      <c r="W86" s="135"/>
      <c r="X86" s="135"/>
      <c r="Y86" s="77">
        <f t="shared" si="45"/>
        <v>0</v>
      </c>
      <c r="Z86" s="78"/>
      <c r="AA86" s="142"/>
      <c r="AB86" s="142"/>
      <c r="AC86" s="77">
        <f t="shared" si="46"/>
        <v>0</v>
      </c>
      <c r="AD86" s="78"/>
      <c r="AE86" s="143"/>
      <c r="AF86" s="143"/>
      <c r="AG86" s="79">
        <f t="shared" si="47"/>
        <v>0</v>
      </c>
      <c r="AH86" s="75"/>
      <c r="AI86" s="76"/>
      <c r="AJ86" s="135"/>
      <c r="AK86" s="135"/>
      <c r="AL86" s="77">
        <f t="shared" si="48"/>
        <v>0</v>
      </c>
      <c r="AM86" s="76"/>
      <c r="AN86" s="142"/>
      <c r="AO86" s="142"/>
      <c r="AP86" s="77">
        <f t="shared" si="49"/>
        <v>0</v>
      </c>
      <c r="AQ86" s="78"/>
      <c r="AR86" s="142"/>
      <c r="AS86" s="142"/>
      <c r="AT86" s="79">
        <f t="shared" si="50"/>
        <v>0</v>
      </c>
      <c r="AU86" s="75"/>
      <c r="AV86" s="76"/>
      <c r="AW86" s="135"/>
      <c r="AX86" s="135"/>
      <c r="AY86" s="77">
        <f t="shared" si="51"/>
        <v>0</v>
      </c>
      <c r="AZ86" s="76"/>
      <c r="BA86" s="142"/>
      <c r="BB86" s="142"/>
      <c r="BC86" s="77">
        <f t="shared" si="52"/>
        <v>0</v>
      </c>
      <c r="BD86" s="78"/>
      <c r="BE86" s="142"/>
      <c r="BF86" s="142"/>
      <c r="BG86" s="79">
        <f t="shared" si="53"/>
        <v>0</v>
      </c>
      <c r="BH86" s="75"/>
      <c r="BI86" s="76"/>
      <c r="BJ86" s="135"/>
      <c r="BK86" s="135"/>
      <c r="BL86" s="77">
        <f t="shared" si="54"/>
        <v>0</v>
      </c>
      <c r="BM86" s="78"/>
      <c r="BN86" s="142"/>
      <c r="BO86" s="142"/>
      <c r="BP86" s="77">
        <f t="shared" si="55"/>
        <v>0</v>
      </c>
      <c r="BQ86" s="78"/>
      <c r="BR86" s="142"/>
      <c r="BS86" s="142"/>
      <c r="BT86" s="79">
        <f t="shared" si="56"/>
        <v>0</v>
      </c>
      <c r="BU86" s="75"/>
      <c r="BV86" s="76"/>
      <c r="BW86" s="135"/>
      <c r="BX86" s="135"/>
      <c r="BY86" s="77">
        <f t="shared" si="57"/>
        <v>0</v>
      </c>
      <c r="BZ86" s="78"/>
      <c r="CA86" s="142"/>
      <c r="CB86" s="142"/>
      <c r="CC86" s="77">
        <f t="shared" si="58"/>
        <v>0</v>
      </c>
      <c r="CD86" s="78"/>
      <c r="CE86" s="142"/>
      <c r="CF86" s="142"/>
      <c r="CG86" s="79">
        <f t="shared" si="59"/>
        <v>0</v>
      </c>
      <c r="CH86" s="75"/>
      <c r="CI86" s="76"/>
      <c r="CJ86" s="135"/>
      <c r="CK86" s="135"/>
      <c r="CL86" s="77">
        <f t="shared" si="60"/>
        <v>0</v>
      </c>
      <c r="CM86" s="78"/>
      <c r="CN86" s="142"/>
      <c r="CO86" s="142"/>
      <c r="CP86" s="77">
        <f t="shared" si="61"/>
        <v>0</v>
      </c>
      <c r="CQ86" s="78"/>
      <c r="CR86" s="142"/>
      <c r="CS86" s="142"/>
      <c r="CT86" s="79">
        <f t="shared" si="62"/>
        <v>0</v>
      </c>
      <c r="CU86" s="80">
        <f t="shared" si="35"/>
        <v>0</v>
      </c>
      <c r="CV86" s="81">
        <f t="shared" si="36"/>
        <v>0</v>
      </c>
      <c r="CW86" s="144"/>
      <c r="CX86" s="145">
        <f>IF(ISERROR(VLOOKUP($A86,FIJOS!$B$11:$O$590,14,FALSE)),0,VLOOKUP($A86,FIJOS!$B$11:$O$590,14,FALSE))</f>
        <v>0</v>
      </c>
      <c r="CY86" s="145">
        <f>IF(ISERROR(VLOOKUP(A86,FIJOS!$B$10:$P$590,15,FALSE)),0,VLOOKUP(A86,FIJOS!$B$10:$P$590,15,FALSE))</f>
        <v>0</v>
      </c>
      <c r="CZ86" s="156"/>
      <c r="DA86" s="146"/>
      <c r="DB86" s="147"/>
      <c r="DC86" s="147"/>
      <c r="DD86" s="147"/>
      <c r="DE86" s="147"/>
      <c r="DF86" s="145">
        <f>IF(ISERROR(VLOOKUP($A86,FIJOS!$B$11:$N$590,13,FALSE)),0,VLOOKUP($A86,FIJOS!$B$11:$N$590,13,FALSE))</f>
        <v>0</v>
      </c>
      <c r="DG86" s="145">
        <f>IF(ISERROR(VLOOKUP($A86,FIJOS!$B$11:$P$447,12,FALSE)),0,VLOOKUP($A86,FIJOS!$B$11:$P$447,12,FALSE))</f>
        <v>0</v>
      </c>
      <c r="DH86" s="82">
        <f t="shared" si="63"/>
        <v>0</v>
      </c>
      <c r="DI86" s="83" t="b">
        <f>IF($C86=1,(VLOOKUP($A86,FIJOS!$B$11:$P$545,10,FALSE)/7)*(7-$CU86),IF(AND($C86=2,CV86&lt;$DJ$1),(VLOOKUP($D86,HORAS!$B$4:$C$42,2,FALSE)*24)*$CV86,IF(AND($C86=2,CV86&gt;=$DJ$1),VLOOKUP($D86,HORAS!$B$4:$D$42,3,FALSE),IF(AND($C86=3,$CV86&gt;=$DJ$1),VLOOKUP($A86,FIJOS!$B$11:$P$545,10,FALSE),IF(AND($C86=3,$CV86&lt;$DJ$1),((VLOOKUP($A86,FIJOS!$B$11:$P$545,10,FALSE)/48)*24)*$CV86,IF(AND($C86=4,$CV86&gt;=(42/24)),VLOOKUP($D86,HORAS!$B$4:$D$42,3,FALSE),IF(AND($C86=5,$CV86&gt;=(36/24)),VLOOKUP($D86,HORAS!$B$4:$D$42,3,FALSE))))))))</f>
        <v>0</v>
      </c>
      <c r="DJ86" s="145">
        <f>IF(OR($C86=2),VLOOKUP($D86,HORAS!$B$4:$E$42,4,FALSE)*$EC86,IF(ISERROR(VLOOKUP($A86,FIJOS!$B$11:$P$108,9,FALSE)),0,VLOOKUP($A86,FIJOS!$B$11:$P$231,9,FALSE)*$EC86))</f>
        <v>0</v>
      </c>
      <c r="DK86" s="145">
        <f>IF(OR($C86=2),VLOOKUP($D86,HORAS!$B$4:$F$42,5,FALSE)*$EE86,IF(ISERROR(VLOOKUP($A86,FIJOS!$B$11:$P$108,9,FALSE)),0,VLOOKUP($A86,FIJOS!$B$11:$P$231,9,FALSE)*$EE86))</f>
        <v>0</v>
      </c>
      <c r="DL86" s="144"/>
      <c r="DM86" s="145">
        <f>IF(ISERROR(VLOOKUP($A86,FIJOS!$B$11:$L$646,11,FALSE)),0,VLOOKUP($A86,FIJOS!$B$11:$L$646,11,FALSE))</f>
        <v>0</v>
      </c>
      <c r="DN86" s="148" t="e">
        <f>IF(OR($C86=1,$C86=3),0,IF((VLOOKUP(CAPTURA!D86,HORAS!$B$4:$K$42,10,FALSE)/4)*COUNTIF($H86:$CT86,3)&gt;100,100,(VLOOKUP(CAPTURA!D86,HORAS!$B$4:$K$42,10,FALSE)/4)*COUNTIF($H86:$CT86,3)))</f>
        <v>#N/A</v>
      </c>
      <c r="DO86" s="144" t="e">
        <f>IF(OR($C86=1,$C86=3),0,IF($C86=5,VLOOKUP(D86,HORAS!$B$4:$G$42,6,FALSE),IF(AND($C86=4,$CV86&gt;=(42/24)),VLOOKUP(D86,HORAS!$B$4:$G$42,6,FALSE),IF(COUNTIF($H86:$CL86,"F")&gt;0,0,IF(CV86&gt;$DJ$1,$DJ$1*(VLOOKUP(D86,HORAS!$B$4:$G$42,6,FALSE)/$DJ$1),CV86*(VLOOKUP(D86,HORAS!$B$4:$G$42,6,FALSE)/$DJ$1))))))</f>
        <v>#N/A</v>
      </c>
      <c r="DP86" s="156"/>
      <c r="DQ86" s="89"/>
      <c r="DR86" s="148"/>
      <c r="DS86" s="83" t="e">
        <f t="shared" si="66"/>
        <v>#N/A</v>
      </c>
      <c r="DT86" s="84"/>
      <c r="DU86" s="149" t="e">
        <f t="shared" si="67"/>
        <v>#N/A</v>
      </c>
      <c r="DV86" s="149" t="e">
        <f t="shared" si="68"/>
        <v>#N/A</v>
      </c>
      <c r="DW86" s="144" t="e">
        <f t="shared" si="69"/>
        <v>#N/A</v>
      </c>
      <c r="DX86"/>
      <c r="DY86" s="29"/>
      <c r="DZ86" s="150"/>
      <c r="EA86" s="134"/>
      <c r="EB86" s="137">
        <f t="shared" si="70"/>
        <v>0</v>
      </c>
      <c r="EC86" s="138">
        <f t="shared" si="64"/>
        <v>0</v>
      </c>
      <c r="ED86" s="137">
        <f t="shared" si="71"/>
        <v>0</v>
      </c>
      <c r="EE86" s="132">
        <f t="shared" si="65"/>
        <v>0</v>
      </c>
      <c r="EF86" s="29"/>
      <c r="EG86" s="134"/>
      <c r="EH86" s="134"/>
      <c r="EI86" s="134"/>
      <c r="EK86" s="29"/>
    </row>
    <row r="87" spans="1:141" ht="15" customHeight="1" x14ac:dyDescent="0.25">
      <c r="A87" s="140"/>
      <c r="B87" s="151"/>
      <c r="C87" s="72"/>
      <c r="D87" s="73"/>
      <c r="E87" s="73"/>
      <c r="F87" s="141"/>
      <c r="G87" s="74"/>
      <c r="H87" s="75"/>
      <c r="I87" s="76"/>
      <c r="J87" s="135"/>
      <c r="K87" s="135"/>
      <c r="L87" s="77">
        <f t="shared" si="42"/>
        <v>0</v>
      </c>
      <c r="M87" s="78"/>
      <c r="N87" s="142"/>
      <c r="O87" s="142"/>
      <c r="P87" s="77">
        <f t="shared" si="43"/>
        <v>0</v>
      </c>
      <c r="Q87" s="78"/>
      <c r="R87" s="143"/>
      <c r="S87" s="143"/>
      <c r="T87" s="77">
        <f t="shared" si="44"/>
        <v>0</v>
      </c>
      <c r="U87" s="75"/>
      <c r="V87" s="76"/>
      <c r="W87" s="135"/>
      <c r="X87" s="135"/>
      <c r="Y87" s="77">
        <f t="shared" si="45"/>
        <v>0</v>
      </c>
      <c r="Z87" s="78"/>
      <c r="AA87" s="142"/>
      <c r="AB87" s="159"/>
      <c r="AC87" s="77">
        <f t="shared" si="46"/>
        <v>0</v>
      </c>
      <c r="AD87" s="78"/>
      <c r="AE87" s="143"/>
      <c r="AF87" s="143"/>
      <c r="AG87" s="79">
        <f t="shared" si="47"/>
        <v>0</v>
      </c>
      <c r="AH87" s="75"/>
      <c r="AI87" s="76"/>
      <c r="AJ87" s="135"/>
      <c r="AK87" s="135"/>
      <c r="AL87" s="77">
        <f t="shared" si="48"/>
        <v>0</v>
      </c>
      <c r="AM87" s="76"/>
      <c r="AN87" s="142"/>
      <c r="AO87" s="142"/>
      <c r="AP87" s="77">
        <f t="shared" si="49"/>
        <v>0</v>
      </c>
      <c r="AQ87" s="78"/>
      <c r="AR87" s="142"/>
      <c r="AS87" s="142"/>
      <c r="AT87" s="79">
        <f t="shared" si="50"/>
        <v>0</v>
      </c>
      <c r="AU87" s="75"/>
      <c r="AV87" s="76"/>
      <c r="AW87" s="135"/>
      <c r="AX87" s="135"/>
      <c r="AY87" s="77">
        <f t="shared" si="51"/>
        <v>0</v>
      </c>
      <c r="AZ87" s="78"/>
      <c r="BA87" s="142"/>
      <c r="BB87" s="142"/>
      <c r="BC87" s="77">
        <f t="shared" si="52"/>
        <v>0</v>
      </c>
      <c r="BD87" s="78"/>
      <c r="BE87" s="142"/>
      <c r="BF87" s="142"/>
      <c r="BG87" s="79">
        <f t="shared" si="53"/>
        <v>0</v>
      </c>
      <c r="BH87" s="75"/>
      <c r="BI87" s="76"/>
      <c r="BJ87" s="135"/>
      <c r="BK87" s="135"/>
      <c r="BL87" s="77">
        <f t="shared" si="54"/>
        <v>0</v>
      </c>
      <c r="BM87" s="78"/>
      <c r="BN87" s="142"/>
      <c r="BO87" s="142"/>
      <c r="BP87" s="77">
        <f t="shared" si="55"/>
        <v>0</v>
      </c>
      <c r="BQ87" s="78"/>
      <c r="BR87" s="142"/>
      <c r="BS87" s="142"/>
      <c r="BT87" s="79">
        <f t="shared" si="56"/>
        <v>0</v>
      </c>
      <c r="BU87" s="75"/>
      <c r="BV87" s="76"/>
      <c r="BW87" s="135"/>
      <c r="BX87" s="135"/>
      <c r="BY87" s="77">
        <f t="shared" si="57"/>
        <v>0</v>
      </c>
      <c r="BZ87" s="78"/>
      <c r="CA87" s="142"/>
      <c r="CB87" s="142"/>
      <c r="CC87" s="77">
        <f t="shared" si="58"/>
        <v>0</v>
      </c>
      <c r="CD87" s="78"/>
      <c r="CE87" s="142"/>
      <c r="CF87" s="142"/>
      <c r="CG87" s="79">
        <f t="shared" si="59"/>
        <v>0</v>
      </c>
      <c r="CH87" s="75"/>
      <c r="CI87" s="76"/>
      <c r="CJ87" s="135"/>
      <c r="CK87" s="135"/>
      <c r="CL87" s="77">
        <f t="shared" si="60"/>
        <v>0</v>
      </c>
      <c r="CM87" s="78"/>
      <c r="CN87" s="142"/>
      <c r="CO87" s="142"/>
      <c r="CP87" s="77">
        <f t="shared" si="61"/>
        <v>0</v>
      </c>
      <c r="CQ87" s="78"/>
      <c r="CR87" s="142"/>
      <c r="CS87" s="142"/>
      <c r="CT87" s="79">
        <f t="shared" si="62"/>
        <v>0</v>
      </c>
      <c r="CU87" s="80">
        <f t="shared" si="35"/>
        <v>0</v>
      </c>
      <c r="CV87" s="81">
        <f t="shared" si="36"/>
        <v>0</v>
      </c>
      <c r="CW87" s="144"/>
      <c r="CX87" s="145">
        <f>IF(ISERROR(VLOOKUP($A87,FIJOS!$B$11:$O$590,14,FALSE)),0,VLOOKUP($A87,FIJOS!$B$11:$O$590,14,FALSE))</f>
        <v>0</v>
      </c>
      <c r="CY87" s="145">
        <f>IF(ISERROR(VLOOKUP(A87,FIJOS!$B$10:$P$590,15,FALSE)),0,VLOOKUP(A87,FIJOS!$B$10:$P$590,15,FALSE))</f>
        <v>0</v>
      </c>
      <c r="CZ87" s="156"/>
      <c r="DA87" s="146"/>
      <c r="DB87" s="147"/>
      <c r="DC87" s="147"/>
      <c r="DD87" s="147"/>
      <c r="DE87" s="147"/>
      <c r="DF87" s="145">
        <f>IF(ISERROR(VLOOKUP($A87,FIJOS!$B$11:$N$590,13,FALSE)),0,VLOOKUP($A87,FIJOS!$B$11:$N$590,13,FALSE))</f>
        <v>0</v>
      </c>
      <c r="DG87" s="145">
        <f>IF(ISERROR(VLOOKUP($A87,FIJOS!$B$11:$P$447,12,FALSE)),0,VLOOKUP($A87,FIJOS!$B$11:$P$447,12,FALSE))</f>
        <v>0</v>
      </c>
      <c r="DH87" s="82">
        <f t="shared" si="63"/>
        <v>0</v>
      </c>
      <c r="DI87" s="83" t="b">
        <f>IF($C87=1,(VLOOKUP($A87,FIJOS!$B$11:$P$545,10,FALSE)/7)*(7-$CU87),IF(AND($C87=2,CV87&lt;$DJ$1),(VLOOKUP($D87,HORAS!$B$4:$C$42,2,FALSE)*24)*$CV87,IF(AND($C87=2,CV87&gt;=$DJ$1),VLOOKUP($D87,HORAS!$B$4:$D$42,3,FALSE),IF(AND($C87=3,$CV87&gt;=$DJ$1),VLOOKUP($A87,FIJOS!$B$11:$P$545,10,FALSE),IF(AND($C87=3,$CV87&lt;$DJ$1),((VLOOKUP($A87,FIJOS!$B$11:$P$545,10,FALSE)/48)*24)*$CV87,IF(AND($C87=4,$CV87&gt;=(42/24)),VLOOKUP($D87,HORAS!$B$4:$D$42,3,FALSE),IF(AND($C87=5,$CV87&gt;=(36/24)),VLOOKUP($D87,HORAS!$B$4:$D$42,3,FALSE))))))))</f>
        <v>0</v>
      </c>
      <c r="DJ87" s="145">
        <f>IF(OR($C87=2),VLOOKUP($D87,HORAS!$B$4:$E$42,4,FALSE)*$EC87,IF(ISERROR(VLOOKUP($A87,FIJOS!$B$11:$P$108,9,FALSE)),0,VLOOKUP($A87,FIJOS!$B$11:$P$231,9,FALSE)*$EC87))</f>
        <v>0</v>
      </c>
      <c r="DK87" s="145">
        <f>IF(OR($C87=2),VLOOKUP($D87,HORAS!$B$4:$F$42,5,FALSE)*$EE87,IF(ISERROR(VLOOKUP($A87,FIJOS!$B$11:$P$108,9,FALSE)),0,VLOOKUP($A87,FIJOS!$B$11:$P$231,9,FALSE)*$EE87))</f>
        <v>0</v>
      </c>
      <c r="DL87" s="144"/>
      <c r="DM87" s="145">
        <f>IF(ISERROR(VLOOKUP($A87,FIJOS!$B$11:$L$646,11,FALSE)),0,VLOOKUP($A87,FIJOS!$B$11:$L$646,11,FALSE))</f>
        <v>0</v>
      </c>
      <c r="DN87" s="148" t="e">
        <f>IF(OR($C87=1,$C87=3),0,IF((VLOOKUP(CAPTURA!D87,HORAS!$B$4:$K$42,10,FALSE)/4)*COUNTIF($H87:$CT87,3)&gt;100,100,(VLOOKUP(CAPTURA!D87,HORAS!$B$4:$K$42,10,FALSE)/4)*COUNTIF($H87:$CT87,3)))</f>
        <v>#N/A</v>
      </c>
      <c r="DO87" s="144" t="e">
        <f>IF(OR($C87=1,$C87=3),0,IF($C87=5,VLOOKUP(D87,HORAS!$B$4:$G$42,6,FALSE),IF(AND($C87=4,$CV87&gt;=(42/24)),VLOOKUP(D87,HORAS!$B$4:$G$42,6,FALSE),IF(COUNTIF($H87:$CL87,"F")&gt;0,0,IF(CV87&gt;$DJ$1,$DJ$1*(VLOOKUP(D87,HORAS!$B$4:$G$42,6,FALSE)/$DJ$1),CV87*(VLOOKUP(D87,HORAS!$B$4:$G$42,6,FALSE)/$DJ$1))))))</f>
        <v>#N/A</v>
      </c>
      <c r="DP87" s="156"/>
      <c r="DQ87" s="89"/>
      <c r="DR87" s="148"/>
      <c r="DS87" s="83" t="e">
        <f t="shared" si="66"/>
        <v>#N/A</v>
      </c>
      <c r="DT87" s="84"/>
      <c r="DU87" s="149" t="e">
        <f t="shared" si="67"/>
        <v>#N/A</v>
      </c>
      <c r="DV87" s="149" t="e">
        <f t="shared" si="68"/>
        <v>#N/A</v>
      </c>
      <c r="DW87" s="144" t="e">
        <f t="shared" si="69"/>
        <v>#N/A</v>
      </c>
      <c r="DX87"/>
      <c r="DY87" s="29"/>
      <c r="DZ87" s="150"/>
      <c r="EA87" s="134"/>
      <c r="EB87" s="137">
        <f t="shared" si="70"/>
        <v>0</v>
      </c>
      <c r="EC87" s="138">
        <f t="shared" si="64"/>
        <v>0</v>
      </c>
      <c r="ED87" s="137">
        <f t="shared" si="71"/>
        <v>0</v>
      </c>
      <c r="EE87" s="132">
        <f t="shared" si="65"/>
        <v>0</v>
      </c>
      <c r="EF87" s="29"/>
      <c r="EG87" s="134"/>
      <c r="EH87" s="134"/>
      <c r="EI87" s="134"/>
      <c r="EK87" s="29"/>
    </row>
    <row r="88" spans="1:141" ht="15" customHeight="1" x14ac:dyDescent="0.25">
      <c r="A88" s="140"/>
      <c r="B88" s="151"/>
      <c r="C88" s="72"/>
      <c r="D88" s="73"/>
      <c r="E88" s="73"/>
      <c r="F88" s="141"/>
      <c r="G88" s="74"/>
      <c r="H88" s="75"/>
      <c r="I88" s="76"/>
      <c r="J88" s="135"/>
      <c r="K88" s="135"/>
      <c r="L88" s="77">
        <f t="shared" si="42"/>
        <v>0</v>
      </c>
      <c r="M88" s="78"/>
      <c r="N88" s="142"/>
      <c r="O88" s="142"/>
      <c r="P88" s="77">
        <f t="shared" si="43"/>
        <v>0</v>
      </c>
      <c r="Q88" s="78"/>
      <c r="R88" s="143"/>
      <c r="S88" s="143"/>
      <c r="T88" s="77">
        <f t="shared" si="44"/>
        <v>0</v>
      </c>
      <c r="U88" s="75"/>
      <c r="V88" s="76"/>
      <c r="W88" s="135"/>
      <c r="X88" s="135"/>
      <c r="Y88" s="77">
        <f t="shared" si="45"/>
        <v>0</v>
      </c>
      <c r="Z88" s="78"/>
      <c r="AA88" s="142"/>
      <c r="AB88" s="142"/>
      <c r="AC88" s="77">
        <f t="shared" si="46"/>
        <v>0</v>
      </c>
      <c r="AD88" s="78"/>
      <c r="AE88" s="143"/>
      <c r="AF88" s="143"/>
      <c r="AG88" s="79">
        <f t="shared" si="47"/>
        <v>0</v>
      </c>
      <c r="AH88" s="75"/>
      <c r="AI88" s="76"/>
      <c r="AJ88" s="135"/>
      <c r="AK88" s="135"/>
      <c r="AL88" s="77">
        <f t="shared" si="48"/>
        <v>0</v>
      </c>
      <c r="AM88" s="76"/>
      <c r="AN88" s="142"/>
      <c r="AO88" s="142"/>
      <c r="AP88" s="77">
        <f t="shared" si="49"/>
        <v>0</v>
      </c>
      <c r="AQ88" s="78"/>
      <c r="AR88" s="142"/>
      <c r="AS88" s="142"/>
      <c r="AT88" s="79">
        <f t="shared" si="50"/>
        <v>0</v>
      </c>
      <c r="AU88" s="75"/>
      <c r="AV88" s="76"/>
      <c r="AW88" s="135"/>
      <c r="AX88" s="135"/>
      <c r="AY88" s="77">
        <f t="shared" si="51"/>
        <v>0</v>
      </c>
      <c r="AZ88" s="76"/>
      <c r="BA88" s="142"/>
      <c r="BB88" s="142"/>
      <c r="BC88" s="77">
        <f t="shared" si="52"/>
        <v>0</v>
      </c>
      <c r="BD88" s="78"/>
      <c r="BE88" s="142"/>
      <c r="BF88" s="142"/>
      <c r="BG88" s="79">
        <f t="shared" si="53"/>
        <v>0</v>
      </c>
      <c r="BH88" s="75"/>
      <c r="BI88" s="76"/>
      <c r="BJ88" s="135"/>
      <c r="BK88" s="135"/>
      <c r="BL88" s="77">
        <f t="shared" si="54"/>
        <v>0</v>
      </c>
      <c r="BM88" s="78"/>
      <c r="BN88" s="142"/>
      <c r="BO88" s="142"/>
      <c r="BP88" s="77">
        <f t="shared" si="55"/>
        <v>0</v>
      </c>
      <c r="BQ88" s="78"/>
      <c r="BR88" s="142"/>
      <c r="BS88" s="142"/>
      <c r="BT88" s="79">
        <f t="shared" si="56"/>
        <v>0</v>
      </c>
      <c r="BU88" s="75"/>
      <c r="BV88" s="76"/>
      <c r="BW88" s="135"/>
      <c r="BX88" s="135"/>
      <c r="BY88" s="77">
        <f t="shared" si="57"/>
        <v>0</v>
      </c>
      <c r="BZ88" s="78"/>
      <c r="CA88" s="142"/>
      <c r="CB88" s="142"/>
      <c r="CC88" s="77">
        <f t="shared" si="58"/>
        <v>0</v>
      </c>
      <c r="CD88" s="78"/>
      <c r="CE88" s="142"/>
      <c r="CF88" s="142"/>
      <c r="CG88" s="79">
        <f t="shared" si="59"/>
        <v>0</v>
      </c>
      <c r="CH88" s="75"/>
      <c r="CI88" s="76"/>
      <c r="CJ88" s="135"/>
      <c r="CK88" s="135"/>
      <c r="CL88" s="77">
        <f t="shared" si="60"/>
        <v>0</v>
      </c>
      <c r="CM88" s="78"/>
      <c r="CN88" s="142"/>
      <c r="CO88" s="142"/>
      <c r="CP88" s="77">
        <f t="shared" si="61"/>
        <v>0</v>
      </c>
      <c r="CQ88" s="78"/>
      <c r="CR88" s="142"/>
      <c r="CS88" s="142"/>
      <c r="CT88" s="79">
        <f t="shared" si="62"/>
        <v>0</v>
      </c>
      <c r="CU88" s="80">
        <f t="shared" si="35"/>
        <v>0</v>
      </c>
      <c r="CV88" s="81">
        <f t="shared" si="36"/>
        <v>0</v>
      </c>
      <c r="CW88" s="144"/>
      <c r="CX88" s="145">
        <f>IF(ISERROR(VLOOKUP($A88,FIJOS!$B$11:$O$590,14,FALSE)),0,VLOOKUP($A88,FIJOS!$B$11:$O$590,14,FALSE))</f>
        <v>0</v>
      </c>
      <c r="CY88" s="145">
        <f>IF(ISERROR(VLOOKUP(A88,FIJOS!$B$10:$P$590,15,FALSE)),0,VLOOKUP(A88,FIJOS!$B$10:$P$590,15,FALSE))</f>
        <v>0</v>
      </c>
      <c r="CZ88" s="156"/>
      <c r="DA88" s="146"/>
      <c r="DB88" s="147"/>
      <c r="DC88" s="147"/>
      <c r="DD88" s="147"/>
      <c r="DE88" s="147"/>
      <c r="DF88" s="145">
        <f>IF(ISERROR(VLOOKUP($A88,FIJOS!$B$11:$N$590,13,FALSE)),0,VLOOKUP($A88,FIJOS!$B$11:$N$590,13,FALSE))</f>
        <v>0</v>
      </c>
      <c r="DG88" s="145">
        <f>IF(ISERROR(VLOOKUP($A88,FIJOS!$B$11:$P$447,12,FALSE)),0,VLOOKUP($A88,FIJOS!$B$11:$P$447,12,FALSE))</f>
        <v>0</v>
      </c>
      <c r="DH88" s="82">
        <f t="shared" si="63"/>
        <v>0</v>
      </c>
      <c r="DI88" s="83" t="b">
        <f>IF($C88=1,(VLOOKUP($A88,FIJOS!$B$11:$P$545,10,FALSE)/7)*(7-$CU88),IF(AND($C88=2,CV88&lt;$DJ$1),(VLOOKUP($D88,HORAS!$B$4:$C$42,2,FALSE)*24)*$CV88,IF(AND($C88=2,CV88&gt;=$DJ$1),VLOOKUP($D88,HORAS!$B$4:$D$42,3,FALSE),IF(AND($C88=3,$CV88&gt;=$DJ$1),VLOOKUP($A88,FIJOS!$B$11:$P$545,10,FALSE),IF(AND($C88=3,$CV88&lt;$DJ$1),((VLOOKUP($A88,FIJOS!$B$11:$P$545,10,FALSE)/48)*24)*$CV88,IF(AND($C88=4,$CV88&gt;=(42/24)),VLOOKUP($D88,HORAS!$B$4:$D$42,3,FALSE),IF(AND($C88=5,$CV88&gt;=(36/24)),VLOOKUP($D88,HORAS!$B$4:$D$42,3,FALSE))))))))</f>
        <v>0</v>
      </c>
      <c r="DJ88" s="145">
        <f>IF(OR($C88=2),VLOOKUP($D88,HORAS!$B$4:$E$42,4,FALSE)*$EC88,IF(ISERROR(VLOOKUP($A88,FIJOS!$B$11:$P$108,9,FALSE)),0,VLOOKUP($A88,FIJOS!$B$11:$P$231,9,FALSE)*$EC88))</f>
        <v>0</v>
      </c>
      <c r="DK88" s="145">
        <f>IF(OR($C88=2),VLOOKUP($D88,HORAS!$B$4:$F$42,5,FALSE)*$EE88,IF(ISERROR(VLOOKUP($A88,FIJOS!$B$11:$P$108,9,FALSE)),0,VLOOKUP($A88,FIJOS!$B$11:$P$231,9,FALSE)*$EE88))</f>
        <v>0</v>
      </c>
      <c r="DL88" s="144"/>
      <c r="DM88" s="145">
        <f>IF(ISERROR(VLOOKUP($A88,FIJOS!$B$11:$L$646,11,FALSE)),0,VLOOKUP($A88,FIJOS!$B$11:$L$646,11,FALSE))</f>
        <v>0</v>
      </c>
      <c r="DN88" s="148" t="e">
        <f>IF(OR($C88=1,$C88=3),0,IF((VLOOKUP(CAPTURA!D88,HORAS!$B$4:$K$42,10,FALSE)/4)*COUNTIF($H88:$CT88,3)&gt;100,100,(VLOOKUP(CAPTURA!D88,HORAS!$B$4:$K$42,10,FALSE)/4)*COUNTIF($H88:$CT88,3)))</f>
        <v>#N/A</v>
      </c>
      <c r="DO88" s="144" t="e">
        <f>IF(OR($C88=1,$C88=3),0,IF($C88=5,VLOOKUP(D88,HORAS!$B$4:$G$42,6,FALSE),IF(AND($C88=4,$CV88&gt;=(42/24)),VLOOKUP(D88,HORAS!$B$4:$G$42,6,FALSE),IF(COUNTIF($H88:$CL88,"F")&gt;0,0,IF(CV88&gt;$DJ$1,$DJ$1*(VLOOKUP(D88,HORAS!$B$4:$G$42,6,FALSE)/$DJ$1),CV88*(VLOOKUP(D88,HORAS!$B$4:$G$42,6,FALSE)/$DJ$1))))))</f>
        <v>#N/A</v>
      </c>
      <c r="DP88" s="156"/>
      <c r="DQ88" s="89"/>
      <c r="DR88" s="148"/>
      <c r="DS88" s="83" t="e">
        <f t="shared" si="66"/>
        <v>#N/A</v>
      </c>
      <c r="DT88" s="84"/>
      <c r="DU88" s="149" t="e">
        <f t="shared" si="67"/>
        <v>#N/A</v>
      </c>
      <c r="DV88" s="149" t="e">
        <f t="shared" si="68"/>
        <v>#N/A</v>
      </c>
      <c r="DW88" s="144" t="e">
        <f t="shared" si="69"/>
        <v>#N/A</v>
      </c>
      <c r="DX88" s="134"/>
      <c r="DY88" s="29"/>
      <c r="DZ88" s="150"/>
      <c r="EA88" s="137"/>
      <c r="EB88" s="137">
        <f t="shared" si="70"/>
        <v>0</v>
      </c>
      <c r="EC88" s="138">
        <f t="shared" si="64"/>
        <v>0</v>
      </c>
      <c r="ED88" s="137">
        <f t="shared" si="71"/>
        <v>0</v>
      </c>
      <c r="EE88" s="132">
        <f t="shared" si="65"/>
        <v>0</v>
      </c>
      <c r="EF88" s="29"/>
      <c r="EG88" s="134"/>
      <c r="EH88" s="134"/>
      <c r="EI88" s="134"/>
      <c r="EK88" s="35"/>
    </row>
    <row r="89" spans="1:141" ht="15" customHeight="1" x14ac:dyDescent="0.25">
      <c r="A89" s="140"/>
      <c r="B89" s="151"/>
      <c r="C89" s="72"/>
      <c r="D89" s="73"/>
      <c r="E89" s="73"/>
      <c r="F89" s="141"/>
      <c r="G89" s="74"/>
      <c r="H89" s="75"/>
      <c r="I89" s="76"/>
      <c r="J89" s="135"/>
      <c r="K89" s="135"/>
      <c r="L89" s="77">
        <f t="shared" si="42"/>
        <v>0</v>
      </c>
      <c r="M89" s="78"/>
      <c r="N89" s="159"/>
      <c r="O89" s="142"/>
      <c r="P89" s="77">
        <f t="shared" si="43"/>
        <v>0</v>
      </c>
      <c r="Q89" s="78"/>
      <c r="R89" s="143"/>
      <c r="S89" s="143"/>
      <c r="T89" s="77">
        <f t="shared" si="44"/>
        <v>0</v>
      </c>
      <c r="U89" s="75"/>
      <c r="V89" s="76"/>
      <c r="W89" s="135"/>
      <c r="X89" s="135"/>
      <c r="Y89" s="77">
        <f t="shared" si="45"/>
        <v>0</v>
      </c>
      <c r="Z89" s="78"/>
      <c r="AA89" s="142"/>
      <c r="AB89" s="142"/>
      <c r="AC89" s="77">
        <f t="shared" si="46"/>
        <v>0</v>
      </c>
      <c r="AD89" s="78"/>
      <c r="AE89" s="143"/>
      <c r="AF89" s="143"/>
      <c r="AG89" s="79">
        <f t="shared" si="47"/>
        <v>0</v>
      </c>
      <c r="AH89" s="75"/>
      <c r="AI89" s="76"/>
      <c r="AJ89" s="135"/>
      <c r="AK89" s="135"/>
      <c r="AL89" s="77">
        <f t="shared" si="48"/>
        <v>0</v>
      </c>
      <c r="AM89" s="76"/>
      <c r="AN89" s="142"/>
      <c r="AO89" s="142"/>
      <c r="AP89" s="77">
        <f t="shared" si="49"/>
        <v>0</v>
      </c>
      <c r="AQ89" s="78"/>
      <c r="AR89" s="142"/>
      <c r="AS89" s="142"/>
      <c r="AT89" s="79">
        <f t="shared" si="50"/>
        <v>0</v>
      </c>
      <c r="AU89" s="75"/>
      <c r="AV89" s="76"/>
      <c r="AW89" s="135"/>
      <c r="AX89" s="135"/>
      <c r="AY89" s="77">
        <f t="shared" si="51"/>
        <v>0</v>
      </c>
      <c r="AZ89" s="76"/>
      <c r="BA89" s="142"/>
      <c r="BB89" s="142"/>
      <c r="BC89" s="77">
        <f t="shared" si="52"/>
        <v>0</v>
      </c>
      <c r="BD89" s="78"/>
      <c r="BE89" s="142"/>
      <c r="BF89" s="142"/>
      <c r="BG89" s="79">
        <f t="shared" si="53"/>
        <v>0</v>
      </c>
      <c r="BH89" s="75"/>
      <c r="BI89" s="76"/>
      <c r="BJ89" s="135"/>
      <c r="BK89" s="135"/>
      <c r="BL89" s="77">
        <f t="shared" si="54"/>
        <v>0</v>
      </c>
      <c r="BM89" s="78"/>
      <c r="BN89" s="142"/>
      <c r="BO89" s="142"/>
      <c r="BP89" s="77">
        <f t="shared" si="55"/>
        <v>0</v>
      </c>
      <c r="BQ89" s="78"/>
      <c r="BR89" s="142"/>
      <c r="BS89" s="142"/>
      <c r="BT89" s="79">
        <f t="shared" si="56"/>
        <v>0</v>
      </c>
      <c r="BU89" s="75"/>
      <c r="BV89" s="76"/>
      <c r="BW89" s="135"/>
      <c r="BX89" s="135"/>
      <c r="BY89" s="77">
        <f t="shared" si="57"/>
        <v>0</v>
      </c>
      <c r="BZ89" s="78"/>
      <c r="CA89" s="142"/>
      <c r="CB89" s="159"/>
      <c r="CC89" s="77">
        <f t="shared" si="58"/>
        <v>0</v>
      </c>
      <c r="CD89" s="78"/>
      <c r="CE89" s="142"/>
      <c r="CF89" s="142"/>
      <c r="CG89" s="79">
        <f t="shared" si="59"/>
        <v>0</v>
      </c>
      <c r="CH89" s="75"/>
      <c r="CI89" s="76"/>
      <c r="CJ89" s="135"/>
      <c r="CK89" s="135"/>
      <c r="CL89" s="77">
        <f t="shared" si="60"/>
        <v>0</v>
      </c>
      <c r="CM89" s="78"/>
      <c r="CN89" s="142"/>
      <c r="CO89" s="142"/>
      <c r="CP89" s="77">
        <f t="shared" si="61"/>
        <v>0</v>
      </c>
      <c r="CQ89" s="78"/>
      <c r="CR89" s="142"/>
      <c r="CS89" s="142"/>
      <c r="CT89" s="79">
        <f t="shared" si="62"/>
        <v>0</v>
      </c>
      <c r="CU89" s="80">
        <f t="shared" si="35"/>
        <v>0</v>
      </c>
      <c r="CV89" s="81">
        <f t="shared" si="36"/>
        <v>0</v>
      </c>
      <c r="CW89" s="144"/>
      <c r="CX89" s="145">
        <f>IF(ISERROR(VLOOKUP($A89,FIJOS!$B$11:$O$590,14,FALSE)),0,VLOOKUP($A89,FIJOS!$B$11:$O$590,14,FALSE))</f>
        <v>0</v>
      </c>
      <c r="CY89" s="145">
        <f>IF(ISERROR(VLOOKUP(A89,FIJOS!$B$10:$P$590,15,FALSE)),0,VLOOKUP(A89,FIJOS!$B$10:$P$590,15,FALSE))</f>
        <v>0</v>
      </c>
      <c r="CZ89" s="156"/>
      <c r="DA89" s="146"/>
      <c r="DB89" s="147"/>
      <c r="DC89" s="147"/>
      <c r="DD89" s="147"/>
      <c r="DE89" s="147"/>
      <c r="DF89" s="145">
        <f>IF(ISERROR(VLOOKUP($A89,FIJOS!$B$11:$N$590,13,FALSE)),0,VLOOKUP($A89,FIJOS!$B$11:$N$590,13,FALSE))</f>
        <v>0</v>
      </c>
      <c r="DG89" s="145">
        <f>IF(ISERROR(VLOOKUP($A89,FIJOS!$B$11:$P$447,12,FALSE)),0,VLOOKUP($A89,FIJOS!$B$11:$P$447,12,FALSE))</f>
        <v>0</v>
      </c>
      <c r="DH89" s="82">
        <f t="shared" si="63"/>
        <v>0</v>
      </c>
      <c r="DI89" s="83" t="b">
        <f>IF($C89=1,(VLOOKUP($A89,FIJOS!$B$11:$P$545,10,FALSE)/7)*(7-$CU89),IF(AND($C89=2,CV89&lt;$DJ$1),(VLOOKUP($D89,HORAS!$B$4:$C$42,2,FALSE)*24)*$CV89,IF(AND($C89=2,CV89&gt;=$DJ$1),VLOOKUP($D89,HORAS!$B$4:$D$42,3,FALSE),IF(AND($C89=3,$CV89&gt;=$DJ$1),VLOOKUP($A89,FIJOS!$B$11:$P$545,10,FALSE),IF(AND($C89=3,$CV89&lt;$DJ$1),((VLOOKUP($A89,FIJOS!$B$11:$P$545,10,FALSE)/48)*24)*$CV89,IF(AND($C89=4,$CV89&gt;=(42/24)),VLOOKUP($D89,HORAS!$B$4:$D$42,3,FALSE),IF(AND($C89=5,$CV89&gt;=(36/24)),VLOOKUP($D89,HORAS!$B$4:$D$42,3,FALSE))))))))</f>
        <v>0</v>
      </c>
      <c r="DJ89" s="145">
        <f>IF(OR($C89=2),VLOOKUP($D89,HORAS!$B$4:$E$42,4,FALSE)*$EC89,IF(ISERROR(VLOOKUP($A89,FIJOS!$B$11:$P$108,9,FALSE)),0,VLOOKUP($A89,FIJOS!$B$11:$P$231,9,FALSE)*$EC89))</f>
        <v>0</v>
      </c>
      <c r="DK89" s="145">
        <f>IF(OR($C89=2),VLOOKUP($D89,HORAS!$B$4:$F$42,5,FALSE)*$EE89,IF(ISERROR(VLOOKUP($A89,FIJOS!$B$11:$P$108,9,FALSE)),0,VLOOKUP($A89,FIJOS!$B$11:$P$231,9,FALSE)*$EE89))</f>
        <v>0</v>
      </c>
      <c r="DL89" s="144"/>
      <c r="DM89" s="145">
        <f>IF(ISERROR(VLOOKUP($A89,FIJOS!$B$11:$L$646,11,FALSE)),0,VLOOKUP($A89,FIJOS!$B$11:$L$646,11,FALSE))</f>
        <v>0</v>
      </c>
      <c r="DN89" s="148" t="e">
        <f>IF(OR($C89=1,$C89=3),0,IF((VLOOKUP(CAPTURA!D89,HORAS!$B$4:$K$42,10,FALSE)/4)*COUNTIF($H89:$CT89,3)&gt;100,100,(VLOOKUP(CAPTURA!D89,HORAS!$B$4:$K$42,10,FALSE)/4)*COUNTIF($H89:$CT89,3)))</f>
        <v>#N/A</v>
      </c>
      <c r="DO89" s="144" t="e">
        <f>IF(OR($C89=1,$C89=3),0,IF($C89=5,VLOOKUP(D89,HORAS!$B$4:$G$42,6,FALSE),IF(AND($C89=4,$CV89&gt;=(42/24)),VLOOKUP(D89,HORAS!$B$4:$G$42,6,FALSE),IF(COUNTIF($H89:$CL89,"F")&gt;0,0,IF(CV89&gt;$DJ$1,$DJ$1*(VLOOKUP(D89,HORAS!$B$4:$G$42,6,FALSE)/$DJ$1),CV89*(VLOOKUP(D89,HORAS!$B$4:$G$42,6,FALSE)/$DJ$1))))))</f>
        <v>#N/A</v>
      </c>
      <c r="DP89" s="156"/>
      <c r="DQ89" s="89"/>
      <c r="DR89" s="148"/>
      <c r="DS89" s="83" t="e">
        <f t="shared" si="66"/>
        <v>#N/A</v>
      </c>
      <c r="DT89" s="84"/>
      <c r="DU89" s="149" t="e">
        <f t="shared" si="67"/>
        <v>#N/A</v>
      </c>
      <c r="DV89" s="149" t="e">
        <f t="shared" si="68"/>
        <v>#N/A</v>
      </c>
      <c r="DW89" s="144" t="e">
        <f t="shared" si="69"/>
        <v>#N/A</v>
      </c>
      <c r="DX89" s="134"/>
      <c r="DY89" s="29"/>
      <c r="DZ89" s="150"/>
      <c r="EA89" s="134"/>
      <c r="EB89" s="137">
        <f t="shared" si="70"/>
        <v>0</v>
      </c>
      <c r="EC89" s="138">
        <f t="shared" si="64"/>
        <v>0</v>
      </c>
      <c r="ED89" s="137">
        <f t="shared" si="71"/>
        <v>0</v>
      </c>
      <c r="EE89" s="132">
        <f t="shared" si="65"/>
        <v>0</v>
      </c>
      <c r="EF89" s="29"/>
      <c r="EG89" s="134"/>
      <c r="EH89" s="134"/>
      <c r="EI89" s="134"/>
      <c r="EK89" s="29"/>
    </row>
    <row r="90" spans="1:141" ht="15" customHeight="1" x14ac:dyDescent="0.25">
      <c r="A90" s="140"/>
      <c r="B90" s="151"/>
      <c r="C90" s="72"/>
      <c r="D90" s="73"/>
      <c r="E90" s="73"/>
      <c r="F90" s="141"/>
      <c r="G90" s="74"/>
      <c r="H90" s="75"/>
      <c r="I90" s="76"/>
      <c r="J90" s="135"/>
      <c r="K90" s="135"/>
      <c r="L90" s="77">
        <f t="shared" si="42"/>
        <v>0</v>
      </c>
      <c r="M90" s="78"/>
      <c r="N90" s="142"/>
      <c r="O90" s="142"/>
      <c r="P90" s="77">
        <f t="shared" si="43"/>
        <v>0</v>
      </c>
      <c r="Q90" s="78"/>
      <c r="R90" s="143"/>
      <c r="S90" s="143"/>
      <c r="T90" s="77">
        <f t="shared" si="44"/>
        <v>0</v>
      </c>
      <c r="U90" s="75"/>
      <c r="V90" s="76"/>
      <c r="W90" s="135"/>
      <c r="X90" s="135"/>
      <c r="Y90" s="77">
        <f t="shared" si="45"/>
        <v>0</v>
      </c>
      <c r="Z90" s="78"/>
      <c r="AA90" s="142"/>
      <c r="AB90" s="142"/>
      <c r="AC90" s="77">
        <f t="shared" si="46"/>
        <v>0</v>
      </c>
      <c r="AD90" s="78"/>
      <c r="AE90" s="143"/>
      <c r="AF90" s="143"/>
      <c r="AG90" s="79">
        <f t="shared" si="47"/>
        <v>0</v>
      </c>
      <c r="AH90" s="75"/>
      <c r="AI90" s="76"/>
      <c r="AJ90" s="135"/>
      <c r="AK90" s="135"/>
      <c r="AL90" s="77">
        <f t="shared" si="48"/>
        <v>0</v>
      </c>
      <c r="AM90" s="76"/>
      <c r="AN90" s="142"/>
      <c r="AO90" s="142"/>
      <c r="AP90" s="77">
        <f t="shared" si="49"/>
        <v>0</v>
      </c>
      <c r="AQ90" s="78"/>
      <c r="AR90" s="142"/>
      <c r="AS90" s="142"/>
      <c r="AT90" s="79">
        <f t="shared" si="50"/>
        <v>0</v>
      </c>
      <c r="AU90" s="75"/>
      <c r="AV90" s="76"/>
      <c r="AW90" s="135"/>
      <c r="AX90" s="135"/>
      <c r="AY90" s="77">
        <f t="shared" si="51"/>
        <v>0</v>
      </c>
      <c r="AZ90" s="76"/>
      <c r="BA90" s="142"/>
      <c r="BB90" s="142"/>
      <c r="BC90" s="77">
        <f t="shared" si="52"/>
        <v>0</v>
      </c>
      <c r="BD90" s="78"/>
      <c r="BE90" s="142"/>
      <c r="BF90" s="142"/>
      <c r="BG90" s="79">
        <f t="shared" si="53"/>
        <v>0</v>
      </c>
      <c r="BH90" s="75"/>
      <c r="BI90" s="76"/>
      <c r="BJ90" s="135"/>
      <c r="BK90" s="135"/>
      <c r="BL90" s="77">
        <f t="shared" si="54"/>
        <v>0</v>
      </c>
      <c r="BM90" s="78"/>
      <c r="BN90" s="142"/>
      <c r="BO90" s="142"/>
      <c r="BP90" s="77">
        <f t="shared" si="55"/>
        <v>0</v>
      </c>
      <c r="BQ90" s="78"/>
      <c r="BR90" s="142"/>
      <c r="BS90" s="142"/>
      <c r="BT90" s="79">
        <f t="shared" si="56"/>
        <v>0</v>
      </c>
      <c r="BU90" s="75"/>
      <c r="BV90" s="76"/>
      <c r="BW90" s="135"/>
      <c r="BX90" s="135"/>
      <c r="BY90" s="77">
        <f t="shared" si="57"/>
        <v>0</v>
      </c>
      <c r="BZ90" s="78"/>
      <c r="CA90" s="142"/>
      <c r="CB90" s="142"/>
      <c r="CC90" s="77">
        <f t="shared" si="58"/>
        <v>0</v>
      </c>
      <c r="CD90" s="78"/>
      <c r="CE90" s="142"/>
      <c r="CF90" s="142"/>
      <c r="CG90" s="79">
        <f t="shared" si="59"/>
        <v>0</v>
      </c>
      <c r="CH90" s="75"/>
      <c r="CI90" s="76"/>
      <c r="CJ90" s="135"/>
      <c r="CK90" s="135"/>
      <c r="CL90" s="77">
        <f t="shared" si="60"/>
        <v>0</v>
      </c>
      <c r="CM90" s="78"/>
      <c r="CN90" s="142"/>
      <c r="CO90" s="142"/>
      <c r="CP90" s="77">
        <f t="shared" si="61"/>
        <v>0</v>
      </c>
      <c r="CQ90" s="78"/>
      <c r="CR90" s="142"/>
      <c r="CS90" s="142"/>
      <c r="CT90" s="79">
        <f t="shared" si="62"/>
        <v>0</v>
      </c>
      <c r="CU90" s="80">
        <f t="shared" si="35"/>
        <v>0</v>
      </c>
      <c r="CV90" s="81">
        <f t="shared" si="36"/>
        <v>0</v>
      </c>
      <c r="CW90" s="144"/>
      <c r="CX90" s="145">
        <f>IF(ISERROR(VLOOKUP($A90,FIJOS!$B$11:$O$590,14,FALSE)),0,VLOOKUP($A90,FIJOS!$B$11:$O$590,14,FALSE))</f>
        <v>0</v>
      </c>
      <c r="CY90" s="145">
        <f>IF(ISERROR(VLOOKUP(A90,FIJOS!$B$10:$P$590,15,FALSE)),0,VLOOKUP(A90,FIJOS!$B$10:$P$590,15,FALSE))</f>
        <v>0</v>
      </c>
      <c r="CZ90" s="156"/>
      <c r="DA90" s="146"/>
      <c r="DB90" s="147"/>
      <c r="DC90" s="147"/>
      <c r="DD90" s="147"/>
      <c r="DE90" s="147"/>
      <c r="DF90" s="145">
        <f>IF(ISERROR(VLOOKUP($A90,FIJOS!$B$11:$N$590,13,FALSE)),0,VLOOKUP($A90,FIJOS!$B$11:$N$590,13,FALSE))</f>
        <v>0</v>
      </c>
      <c r="DG90" s="145">
        <f>IF(ISERROR(VLOOKUP($A90,FIJOS!$B$11:$P$447,12,FALSE)),0,VLOOKUP($A90,FIJOS!$B$11:$P$447,12,FALSE))</f>
        <v>0</v>
      </c>
      <c r="DH90" s="82">
        <f t="shared" si="63"/>
        <v>0</v>
      </c>
      <c r="DI90" s="83" t="b">
        <f>IF($C90=1,(VLOOKUP($A90,FIJOS!$B$11:$P$545,10,FALSE)/7)*(7-$CU90),IF(AND($C90=2,CV90&lt;$DJ$1),(VLOOKUP($D90,HORAS!$B$4:$C$42,2,FALSE)*24)*$CV90,IF(AND($C90=2,CV90&gt;=$DJ$1),VLOOKUP($D90,HORAS!$B$4:$D$42,3,FALSE),IF(AND($C90=3,$CV90&gt;=$DJ$1),VLOOKUP($A90,FIJOS!$B$11:$P$545,10,FALSE),IF(AND($C90=3,$CV90&lt;$DJ$1),((VLOOKUP($A90,FIJOS!$B$11:$P$545,10,FALSE)/48)*24)*$CV90,IF(AND($C90=4,$CV90&gt;=(42/24)),VLOOKUP($D90,HORAS!$B$4:$D$42,3,FALSE),IF(AND($C90=5,$CV90&gt;=(36/24)),VLOOKUP($D90,HORAS!$B$4:$D$42,3,FALSE))))))))</f>
        <v>0</v>
      </c>
      <c r="DJ90" s="145">
        <f>IF(OR($C90=2),VLOOKUP($D90,HORAS!$B$4:$E$42,4,FALSE)*$EC90,IF(ISERROR(VLOOKUP($A90,FIJOS!$B$11:$P$108,9,FALSE)),0,VLOOKUP($A90,FIJOS!$B$11:$P$231,9,FALSE)*$EC90))</f>
        <v>0</v>
      </c>
      <c r="DK90" s="145">
        <f>IF(OR($C90=2),VLOOKUP($D90,HORAS!$B$4:$F$42,5,FALSE)*$EE90,IF(ISERROR(VLOOKUP($A90,FIJOS!$B$11:$P$108,9,FALSE)),0,VLOOKUP($A90,FIJOS!$B$11:$P$231,9,FALSE)*$EE90))</f>
        <v>0</v>
      </c>
      <c r="DL90" s="144"/>
      <c r="DM90" s="145">
        <f>IF(ISERROR(VLOOKUP($A90,FIJOS!$B$11:$L$646,11,FALSE)),0,VLOOKUP($A90,FIJOS!$B$11:$L$646,11,FALSE))</f>
        <v>0</v>
      </c>
      <c r="DN90" s="148" t="e">
        <f>IF(OR($C90=1,$C90=3),0,IF((VLOOKUP(CAPTURA!D90,HORAS!$B$4:$K$42,10,FALSE)/4)*COUNTIF($H90:$CT90,3)&gt;100,100,(VLOOKUP(CAPTURA!D90,HORAS!$B$4:$K$42,10,FALSE)/4)*COUNTIF($H90:$CT90,3)))</f>
        <v>#N/A</v>
      </c>
      <c r="DO90" s="144" t="e">
        <f>IF(OR($C90=1,$C90=3),0,IF($C90=5,VLOOKUP(D90,HORAS!$B$4:$G$42,6,FALSE),IF(AND($C90=4,$CV90&gt;=(42/24)),VLOOKUP(D90,HORAS!$B$4:$G$42,6,FALSE),IF(COUNTIF($H90:$CL90,"F")&gt;0,0,IF(CV90&gt;$DJ$1,$DJ$1*(VLOOKUP(D90,HORAS!$B$4:$G$42,6,FALSE)/$DJ$1),CV90*(VLOOKUP(D90,HORAS!$B$4:$G$42,6,FALSE)/$DJ$1))))))</f>
        <v>#N/A</v>
      </c>
      <c r="DP90" s="156"/>
      <c r="DQ90" s="89"/>
      <c r="DR90" s="148"/>
      <c r="DS90" s="83" t="e">
        <f t="shared" si="66"/>
        <v>#N/A</v>
      </c>
      <c r="DT90" s="84"/>
      <c r="DU90" s="149" t="e">
        <f t="shared" si="67"/>
        <v>#N/A</v>
      </c>
      <c r="DV90" s="149" t="e">
        <f t="shared" si="68"/>
        <v>#N/A</v>
      </c>
      <c r="DW90" s="144" t="e">
        <f t="shared" si="69"/>
        <v>#N/A</v>
      </c>
      <c r="DX90"/>
      <c r="DY90" s="29"/>
      <c r="DZ90" s="150"/>
      <c r="EA90" s="137"/>
      <c r="EB90" s="137">
        <f t="shared" si="70"/>
        <v>0</v>
      </c>
      <c r="EC90" s="138">
        <f t="shared" si="64"/>
        <v>0</v>
      </c>
      <c r="ED90" s="137">
        <f t="shared" si="71"/>
        <v>0</v>
      </c>
      <c r="EE90" s="132">
        <f t="shared" si="65"/>
        <v>0</v>
      </c>
      <c r="EF90" s="29"/>
      <c r="EG90" s="134"/>
      <c r="EH90" s="134"/>
      <c r="EI90" s="134"/>
      <c r="EK90" s="29"/>
    </row>
    <row r="91" spans="1:141" ht="15" customHeight="1" x14ac:dyDescent="0.25">
      <c r="A91" s="140"/>
      <c r="B91" s="151"/>
      <c r="C91" s="72"/>
      <c r="D91" s="73"/>
      <c r="E91" s="73"/>
      <c r="F91" s="141"/>
      <c r="G91" s="74"/>
      <c r="H91" s="75"/>
      <c r="I91" s="76"/>
      <c r="J91" s="135"/>
      <c r="K91" s="135"/>
      <c r="L91" s="77">
        <f t="shared" si="42"/>
        <v>0</v>
      </c>
      <c r="M91" s="78"/>
      <c r="N91" s="142"/>
      <c r="O91" s="142"/>
      <c r="P91" s="77">
        <f t="shared" si="43"/>
        <v>0</v>
      </c>
      <c r="Q91" s="78"/>
      <c r="R91" s="143"/>
      <c r="S91" s="143"/>
      <c r="T91" s="77">
        <f t="shared" si="44"/>
        <v>0</v>
      </c>
      <c r="U91" s="75"/>
      <c r="V91" s="76"/>
      <c r="W91" s="135"/>
      <c r="X91" s="135"/>
      <c r="Y91" s="77">
        <f t="shared" si="45"/>
        <v>0</v>
      </c>
      <c r="Z91" s="78"/>
      <c r="AA91" s="142"/>
      <c r="AB91" s="142"/>
      <c r="AC91" s="77">
        <f t="shared" si="46"/>
        <v>0</v>
      </c>
      <c r="AD91" s="78"/>
      <c r="AE91" s="143"/>
      <c r="AF91" s="143"/>
      <c r="AG91" s="79">
        <f t="shared" si="47"/>
        <v>0</v>
      </c>
      <c r="AH91" s="75"/>
      <c r="AI91" s="76"/>
      <c r="AJ91" s="135"/>
      <c r="AK91" s="135"/>
      <c r="AL91" s="77">
        <f t="shared" si="48"/>
        <v>0</v>
      </c>
      <c r="AM91" s="76"/>
      <c r="AN91" s="142"/>
      <c r="AO91" s="142"/>
      <c r="AP91" s="77">
        <f t="shared" si="49"/>
        <v>0</v>
      </c>
      <c r="AQ91" s="78"/>
      <c r="AR91" s="142"/>
      <c r="AS91" s="142"/>
      <c r="AT91" s="79">
        <f t="shared" si="50"/>
        <v>0</v>
      </c>
      <c r="AU91" s="75"/>
      <c r="AV91" s="76"/>
      <c r="AW91" s="135"/>
      <c r="AX91" s="86"/>
      <c r="AY91" s="77">
        <f t="shared" si="51"/>
        <v>0</v>
      </c>
      <c r="AZ91" s="76"/>
      <c r="BA91" s="142"/>
      <c r="BB91" s="142"/>
      <c r="BC91" s="77">
        <f t="shared" si="52"/>
        <v>0</v>
      </c>
      <c r="BD91" s="78"/>
      <c r="BE91" s="142"/>
      <c r="BF91" s="142"/>
      <c r="BG91" s="79">
        <f t="shared" si="53"/>
        <v>0</v>
      </c>
      <c r="BH91" s="75"/>
      <c r="BI91" s="76"/>
      <c r="BJ91" s="135"/>
      <c r="BK91" s="86"/>
      <c r="BL91" s="77">
        <f t="shared" si="54"/>
        <v>0</v>
      </c>
      <c r="BM91" s="78"/>
      <c r="BN91" s="142"/>
      <c r="BO91" s="142"/>
      <c r="BP91" s="77">
        <f t="shared" si="55"/>
        <v>0</v>
      </c>
      <c r="BQ91" s="78"/>
      <c r="BR91" s="142"/>
      <c r="BS91" s="142"/>
      <c r="BT91" s="79">
        <f t="shared" si="56"/>
        <v>0</v>
      </c>
      <c r="BU91" s="75"/>
      <c r="BV91" s="76"/>
      <c r="BW91" s="135"/>
      <c r="BX91" s="86"/>
      <c r="BY91" s="77">
        <f t="shared" si="57"/>
        <v>0</v>
      </c>
      <c r="BZ91" s="78"/>
      <c r="CA91" s="142"/>
      <c r="CB91" s="142"/>
      <c r="CC91" s="77">
        <f t="shared" si="58"/>
        <v>0</v>
      </c>
      <c r="CD91" s="78"/>
      <c r="CE91" s="142"/>
      <c r="CF91" s="142"/>
      <c r="CG91" s="79">
        <f t="shared" si="59"/>
        <v>0</v>
      </c>
      <c r="CH91" s="75"/>
      <c r="CI91" s="76"/>
      <c r="CJ91" s="135"/>
      <c r="CK91" s="135"/>
      <c r="CL91" s="77">
        <f t="shared" si="60"/>
        <v>0</v>
      </c>
      <c r="CM91" s="78"/>
      <c r="CN91" s="142"/>
      <c r="CO91" s="142"/>
      <c r="CP91" s="77">
        <f t="shared" si="61"/>
        <v>0</v>
      </c>
      <c r="CQ91" s="78"/>
      <c r="CR91" s="142"/>
      <c r="CS91" s="142"/>
      <c r="CT91" s="79">
        <f t="shared" si="62"/>
        <v>0</v>
      </c>
      <c r="CU91" s="80">
        <f t="shared" si="35"/>
        <v>0</v>
      </c>
      <c r="CV91" s="81">
        <f t="shared" si="36"/>
        <v>0</v>
      </c>
      <c r="CW91" s="144"/>
      <c r="CX91" s="145">
        <f>IF(ISERROR(VLOOKUP($A91,FIJOS!$B$11:$O$590,14,FALSE)),0,VLOOKUP($A91,FIJOS!$B$11:$O$590,14,FALSE))</f>
        <v>0</v>
      </c>
      <c r="CY91" s="145">
        <f>IF(ISERROR(VLOOKUP(A91,FIJOS!$B$10:$P$590,15,FALSE)),0,VLOOKUP(A91,FIJOS!$B$10:$P$590,15,FALSE))</f>
        <v>0</v>
      </c>
      <c r="CZ91" s="156"/>
      <c r="DA91" s="146"/>
      <c r="DB91" s="147"/>
      <c r="DC91" s="147"/>
      <c r="DD91" s="147"/>
      <c r="DE91" s="147"/>
      <c r="DF91" s="145">
        <f>IF(ISERROR(VLOOKUP($A91,FIJOS!$B$11:$N$590,13,FALSE)),0,VLOOKUP($A91,FIJOS!$B$11:$N$590,13,FALSE))</f>
        <v>0</v>
      </c>
      <c r="DG91" s="145">
        <f>IF(ISERROR(VLOOKUP($A91,FIJOS!$B$11:$P$447,12,FALSE)),0,VLOOKUP($A91,FIJOS!$B$11:$P$447,12,FALSE))</f>
        <v>0</v>
      </c>
      <c r="DH91" s="82">
        <f t="shared" si="63"/>
        <v>0</v>
      </c>
      <c r="DI91" s="83" t="b">
        <f>IF($C91=1,(VLOOKUP($A91,FIJOS!$B$11:$P$545,10,FALSE)/7)*(7-$CU91),IF(AND($C91=2,CV91&lt;$DJ$1),(VLOOKUP($D91,HORAS!$B$4:$C$42,2,FALSE)*24)*$CV91,IF(AND($C91=2,CV91&gt;=$DJ$1),VLOOKUP($D91,HORAS!$B$4:$D$42,3,FALSE),IF(AND($C91=3,$CV91&gt;=$DJ$1),VLOOKUP($A91,FIJOS!$B$11:$P$545,10,FALSE),IF(AND($C91=3,$CV91&lt;$DJ$1),((VLOOKUP($A91,FIJOS!$B$11:$P$545,10,FALSE)/48)*24)*$CV91,IF(AND($C91=4,$CV91&gt;=(42/24)),VLOOKUP($D91,HORAS!$B$4:$D$42,3,FALSE),IF(AND($C91=5,$CV91&gt;=(36/24)),VLOOKUP($D91,HORAS!$B$4:$D$42,3,FALSE))))))))</f>
        <v>0</v>
      </c>
      <c r="DJ91" s="145">
        <f>IF(OR($C91=2),VLOOKUP($D91,HORAS!$B$4:$E$42,4,FALSE)*$EC91,IF(ISERROR(VLOOKUP($A91,FIJOS!$B$11:$P$108,9,FALSE)),0,VLOOKUP($A91,FIJOS!$B$11:$P$231,9,FALSE)*$EC91))</f>
        <v>0</v>
      </c>
      <c r="DK91" s="145">
        <f>IF(OR($C91=2),VLOOKUP($D91,HORAS!$B$4:$F$42,5,FALSE)*$EE91,IF(ISERROR(VLOOKUP($A91,FIJOS!$B$11:$P$108,9,FALSE)),0,VLOOKUP($A91,FIJOS!$B$11:$P$231,9,FALSE)*$EE91))</f>
        <v>0</v>
      </c>
      <c r="DL91" s="144"/>
      <c r="DM91" s="145">
        <f>IF(ISERROR(VLOOKUP($A91,FIJOS!$B$11:$L$646,11,FALSE)),0,VLOOKUP($A91,FIJOS!$B$11:$L$646,11,FALSE))</f>
        <v>0</v>
      </c>
      <c r="DN91" s="148" t="e">
        <f>IF(OR($C91=1,$C91=3),0,IF((VLOOKUP(CAPTURA!D91,HORAS!$B$4:$K$42,10,FALSE)/4)*COUNTIF($H91:$CT91,3)&gt;100,100,(VLOOKUP(CAPTURA!D91,HORAS!$B$4:$K$42,10,FALSE)/4)*COUNTIF($H91:$CT91,3)))</f>
        <v>#N/A</v>
      </c>
      <c r="DO91" s="144" t="e">
        <f>IF(OR($C91=1,$C91=3),0,IF($C91=5,VLOOKUP(D91,HORAS!$B$4:$G$42,6,FALSE),IF(AND($C91=4,$CV91&gt;=(42/24)),VLOOKUP(D91,HORAS!$B$4:$G$42,6,FALSE),IF(COUNTIF($H91:$CL91,"F")&gt;0,0,IF(CV91&gt;$DJ$1,$DJ$1*(VLOOKUP(D91,HORAS!$B$4:$G$42,6,FALSE)/$DJ$1),CV91*(VLOOKUP(D91,HORAS!$B$4:$G$42,6,FALSE)/$DJ$1))))))</f>
        <v>#N/A</v>
      </c>
      <c r="DP91" s="156"/>
      <c r="DQ91" s="89"/>
      <c r="DR91" s="148"/>
      <c r="DS91" s="83" t="e">
        <f t="shared" si="66"/>
        <v>#N/A</v>
      </c>
      <c r="DT91" s="84"/>
      <c r="DU91" s="149" t="e">
        <f t="shared" si="67"/>
        <v>#N/A</v>
      </c>
      <c r="DV91" s="149" t="e">
        <f t="shared" si="68"/>
        <v>#N/A</v>
      </c>
      <c r="DW91" s="144" t="e">
        <f t="shared" si="69"/>
        <v>#N/A</v>
      </c>
      <c r="DX91"/>
      <c r="DY91" s="29"/>
      <c r="DZ91" s="150"/>
      <c r="EA91" s="134"/>
      <c r="EB91" s="137">
        <f t="shared" si="70"/>
        <v>0</v>
      </c>
      <c r="EC91" s="138">
        <f t="shared" si="64"/>
        <v>0</v>
      </c>
      <c r="ED91" s="137">
        <f t="shared" si="71"/>
        <v>0</v>
      </c>
      <c r="EE91" s="132">
        <f t="shared" si="65"/>
        <v>0</v>
      </c>
      <c r="EF91" s="29"/>
      <c r="EG91" s="134"/>
      <c r="EH91" s="134"/>
      <c r="EI91" s="134"/>
      <c r="EK91" s="29"/>
    </row>
    <row r="92" spans="1:141" ht="15" customHeight="1" x14ac:dyDescent="0.25">
      <c r="A92" s="140"/>
      <c r="B92" s="151"/>
      <c r="C92" s="72"/>
      <c r="D92" s="73"/>
      <c r="E92" s="73"/>
      <c r="F92" s="141"/>
      <c r="G92" s="74"/>
      <c r="H92" s="75"/>
      <c r="I92" s="76"/>
      <c r="J92" s="135"/>
      <c r="K92" s="135"/>
      <c r="L92" s="77">
        <f t="shared" si="42"/>
        <v>0</v>
      </c>
      <c r="M92" s="78"/>
      <c r="N92" s="142"/>
      <c r="O92" s="142"/>
      <c r="P92" s="77">
        <f t="shared" si="43"/>
        <v>0</v>
      </c>
      <c r="Q92" s="78"/>
      <c r="R92" s="143"/>
      <c r="S92" s="143"/>
      <c r="T92" s="77">
        <f t="shared" si="44"/>
        <v>0</v>
      </c>
      <c r="U92" s="75"/>
      <c r="V92" s="76"/>
      <c r="W92" s="135"/>
      <c r="X92" s="135"/>
      <c r="Y92" s="77">
        <f t="shared" si="45"/>
        <v>0</v>
      </c>
      <c r="Z92" s="78"/>
      <c r="AA92" s="142"/>
      <c r="AB92" s="142"/>
      <c r="AC92" s="77">
        <f t="shared" si="46"/>
        <v>0</v>
      </c>
      <c r="AD92" s="78"/>
      <c r="AE92" s="143"/>
      <c r="AF92" s="143"/>
      <c r="AG92" s="79">
        <f t="shared" si="47"/>
        <v>0</v>
      </c>
      <c r="AH92" s="75"/>
      <c r="AI92" s="78"/>
      <c r="AJ92" s="135"/>
      <c r="AK92" s="135"/>
      <c r="AL92" s="77">
        <f t="shared" si="48"/>
        <v>0</v>
      </c>
      <c r="AM92" s="76"/>
      <c r="AN92" s="142"/>
      <c r="AO92" s="142"/>
      <c r="AP92" s="77">
        <f t="shared" si="49"/>
        <v>0</v>
      </c>
      <c r="AQ92" s="78"/>
      <c r="AR92" s="142"/>
      <c r="AS92" s="142"/>
      <c r="AT92" s="79">
        <f t="shared" si="50"/>
        <v>0</v>
      </c>
      <c r="AU92" s="75"/>
      <c r="AV92" s="76"/>
      <c r="AW92" s="135"/>
      <c r="AX92" s="135"/>
      <c r="AY92" s="77">
        <f t="shared" si="51"/>
        <v>0</v>
      </c>
      <c r="AZ92" s="76"/>
      <c r="BA92" s="142"/>
      <c r="BB92" s="142"/>
      <c r="BC92" s="77">
        <f t="shared" si="52"/>
        <v>0</v>
      </c>
      <c r="BD92" s="78"/>
      <c r="BE92" s="142"/>
      <c r="BF92" s="142"/>
      <c r="BG92" s="79">
        <f t="shared" si="53"/>
        <v>0</v>
      </c>
      <c r="BH92" s="75"/>
      <c r="BI92" s="76"/>
      <c r="BJ92" s="135"/>
      <c r="BK92" s="135"/>
      <c r="BL92" s="77">
        <f t="shared" si="54"/>
        <v>0</v>
      </c>
      <c r="BM92" s="78"/>
      <c r="BN92" s="142"/>
      <c r="BO92" s="142"/>
      <c r="BP92" s="77">
        <f t="shared" si="55"/>
        <v>0</v>
      </c>
      <c r="BQ92" s="78"/>
      <c r="BR92" s="142"/>
      <c r="BS92" s="142"/>
      <c r="BT92" s="79">
        <f t="shared" si="56"/>
        <v>0</v>
      </c>
      <c r="BU92" s="75"/>
      <c r="BV92" s="76"/>
      <c r="BW92" s="135"/>
      <c r="BX92" s="135"/>
      <c r="BY92" s="77">
        <f t="shared" si="57"/>
        <v>0</v>
      </c>
      <c r="BZ92" s="78"/>
      <c r="CA92" s="142"/>
      <c r="CB92" s="142"/>
      <c r="CC92" s="77">
        <f t="shared" si="58"/>
        <v>0</v>
      </c>
      <c r="CD92" s="78"/>
      <c r="CE92" s="142"/>
      <c r="CF92" s="142"/>
      <c r="CG92" s="79">
        <f t="shared" si="59"/>
        <v>0</v>
      </c>
      <c r="CH92" s="75"/>
      <c r="CI92" s="76"/>
      <c r="CJ92" s="135"/>
      <c r="CK92" s="135"/>
      <c r="CL92" s="77">
        <f t="shared" si="60"/>
        <v>0</v>
      </c>
      <c r="CM92" s="78"/>
      <c r="CN92" s="142"/>
      <c r="CO92" s="142"/>
      <c r="CP92" s="77">
        <f t="shared" si="61"/>
        <v>0</v>
      </c>
      <c r="CQ92" s="78"/>
      <c r="CR92" s="142"/>
      <c r="CS92" s="142"/>
      <c r="CT92" s="79">
        <f t="shared" si="62"/>
        <v>0</v>
      </c>
      <c r="CU92" s="80">
        <f t="shared" si="35"/>
        <v>0</v>
      </c>
      <c r="CV92" s="81">
        <f t="shared" si="36"/>
        <v>0</v>
      </c>
      <c r="CW92" s="144"/>
      <c r="CX92" s="145">
        <f>IF(ISERROR(VLOOKUP($A92,FIJOS!$B$11:$O$590,14,FALSE)),0,VLOOKUP($A92,FIJOS!$B$11:$O$590,14,FALSE))</f>
        <v>0</v>
      </c>
      <c r="CY92" s="145">
        <f>IF(ISERROR(VLOOKUP(A92,FIJOS!$B$10:$P$590,15,FALSE)),0,VLOOKUP(A92,FIJOS!$B$10:$P$590,15,FALSE))</f>
        <v>0</v>
      </c>
      <c r="CZ92" s="156"/>
      <c r="DA92" s="146"/>
      <c r="DB92" s="147"/>
      <c r="DC92" s="147"/>
      <c r="DD92" s="147"/>
      <c r="DE92" s="147"/>
      <c r="DF92" s="145">
        <f>IF(ISERROR(VLOOKUP($A92,FIJOS!$B$11:$N$590,13,FALSE)),0,VLOOKUP($A92,FIJOS!$B$11:$N$590,13,FALSE))</f>
        <v>0</v>
      </c>
      <c r="DG92" s="145">
        <f>IF(ISERROR(VLOOKUP($A92,FIJOS!$B$11:$P$447,12,FALSE)),0,VLOOKUP($A92,FIJOS!$B$11:$P$447,12,FALSE))</f>
        <v>0</v>
      </c>
      <c r="DH92" s="82">
        <f t="shared" si="63"/>
        <v>0</v>
      </c>
      <c r="DI92" s="83" t="b">
        <f>IF($C92=1,(VLOOKUP($A92,FIJOS!$B$11:$P$545,10,FALSE)/7)*(7-$CU92),IF(AND($C92=2,CV92&lt;$DJ$1),(VLOOKUP($D92,HORAS!$B$4:$C$42,2,FALSE)*24)*$CV92,IF(AND($C92=2,CV92&gt;=$DJ$1),VLOOKUP($D92,HORAS!$B$4:$D$42,3,FALSE),IF(AND($C92=3,$CV92&gt;=$DJ$1),VLOOKUP($A92,FIJOS!$B$11:$P$545,10,FALSE),IF(AND($C92=3,$CV92&lt;$DJ$1),((VLOOKUP($A92,FIJOS!$B$11:$P$545,10,FALSE)/48)*24)*$CV92,IF(AND($C92=4,$CV92&gt;=(42/24)),VLOOKUP($D92,HORAS!$B$4:$D$42,3,FALSE),IF(AND($C92=5,$CV92&gt;=(36/24)),VLOOKUP($D92,HORAS!$B$4:$D$42,3,FALSE))))))))</f>
        <v>0</v>
      </c>
      <c r="DJ92" s="145">
        <f>IF(OR($C92=2),VLOOKUP($D92,HORAS!$B$4:$E$42,4,FALSE)*$EC92,IF(ISERROR(VLOOKUP($A92,FIJOS!$B$11:$P$108,9,FALSE)),0,VLOOKUP($A92,FIJOS!$B$11:$P$231,9,FALSE)*$EC92))</f>
        <v>0</v>
      </c>
      <c r="DK92" s="145">
        <f>IF(OR($C92=2),VLOOKUP($D92,HORAS!$B$4:$F$42,5,FALSE)*$EE92,IF(ISERROR(VLOOKUP($A92,FIJOS!$B$11:$P$108,9,FALSE)),0,VLOOKUP($A92,FIJOS!$B$11:$P$231,9,FALSE)*$EE92))</f>
        <v>0</v>
      </c>
      <c r="DL92" s="144"/>
      <c r="DM92" s="145">
        <f>IF(ISERROR(VLOOKUP($A92,FIJOS!$B$11:$L$646,11,FALSE)),0,VLOOKUP($A92,FIJOS!$B$11:$L$646,11,FALSE))</f>
        <v>0</v>
      </c>
      <c r="DN92" s="148" t="e">
        <f>IF(OR($C92=1,$C92=3),0,IF((VLOOKUP(CAPTURA!D92,HORAS!$B$4:$K$42,10,FALSE)/4)*COUNTIF($H92:$CT92,3)&gt;100,100,(VLOOKUP(CAPTURA!D92,HORAS!$B$4:$K$42,10,FALSE)/4)*COUNTIF($H92:$CT92,3)))</f>
        <v>#N/A</v>
      </c>
      <c r="DO92" s="144" t="e">
        <f>IF(OR($C92=1,$C92=3),0,IF($C92=5,VLOOKUP(D92,HORAS!$B$4:$G$42,6,FALSE),IF(AND($C92=4,$CV92&gt;=(42/24)),VLOOKUP(D92,HORAS!$B$4:$G$42,6,FALSE),IF(COUNTIF($H92:$CL92,"F")&gt;0,0,IF(CV92&gt;$DJ$1,$DJ$1*(VLOOKUP(D92,HORAS!$B$4:$G$42,6,FALSE)/$DJ$1),CV92*(VLOOKUP(D92,HORAS!$B$4:$G$42,6,FALSE)/$DJ$1))))))</f>
        <v>#N/A</v>
      </c>
      <c r="DP92" s="156"/>
      <c r="DQ92" s="89"/>
      <c r="DR92" s="148"/>
      <c r="DS92" s="83" t="e">
        <f t="shared" si="66"/>
        <v>#N/A</v>
      </c>
      <c r="DT92" s="84"/>
      <c r="DU92" s="149" t="e">
        <f t="shared" si="67"/>
        <v>#N/A</v>
      </c>
      <c r="DV92" s="149" t="e">
        <f t="shared" si="68"/>
        <v>#N/A</v>
      </c>
      <c r="DW92" s="144" t="e">
        <f t="shared" si="69"/>
        <v>#N/A</v>
      </c>
      <c r="DX92" s="134"/>
      <c r="DY92" s="29"/>
      <c r="DZ92" s="150"/>
      <c r="EA92" s="134"/>
      <c r="EB92" s="137">
        <f t="shared" si="70"/>
        <v>0</v>
      </c>
      <c r="EC92" s="138">
        <f t="shared" si="64"/>
        <v>0</v>
      </c>
      <c r="ED92" s="137">
        <f t="shared" si="71"/>
        <v>0</v>
      </c>
      <c r="EE92" s="132">
        <f t="shared" si="65"/>
        <v>0</v>
      </c>
      <c r="EF92" s="29"/>
      <c r="EG92" s="134"/>
      <c r="EH92" s="134"/>
      <c r="EI92" s="134"/>
      <c r="EK92" s="29"/>
    </row>
    <row r="93" spans="1:141" ht="15" customHeight="1" x14ac:dyDescent="0.25">
      <c r="A93" s="140"/>
      <c r="B93" s="151"/>
      <c r="C93" s="72"/>
      <c r="D93" s="73"/>
      <c r="E93" s="73"/>
      <c r="F93" s="141"/>
      <c r="G93" s="74"/>
      <c r="H93" s="75"/>
      <c r="I93" s="76"/>
      <c r="J93" s="135"/>
      <c r="K93" s="135"/>
      <c r="L93" s="77">
        <f t="shared" si="42"/>
        <v>0</v>
      </c>
      <c r="M93" s="78"/>
      <c r="N93" s="142"/>
      <c r="O93" s="142"/>
      <c r="P93" s="77">
        <f t="shared" si="43"/>
        <v>0</v>
      </c>
      <c r="Q93" s="78"/>
      <c r="R93" s="143"/>
      <c r="S93" s="143"/>
      <c r="T93" s="77">
        <f t="shared" si="44"/>
        <v>0</v>
      </c>
      <c r="U93" s="75"/>
      <c r="V93" s="76"/>
      <c r="W93" s="135"/>
      <c r="X93" s="135"/>
      <c r="Y93" s="77">
        <f t="shared" si="45"/>
        <v>0</v>
      </c>
      <c r="Z93" s="78"/>
      <c r="AA93" s="142"/>
      <c r="AB93" s="142"/>
      <c r="AC93" s="77">
        <f t="shared" si="46"/>
        <v>0</v>
      </c>
      <c r="AD93" s="78"/>
      <c r="AE93" s="143"/>
      <c r="AF93" s="143"/>
      <c r="AG93" s="79">
        <f t="shared" si="47"/>
        <v>0</v>
      </c>
      <c r="AH93" s="75"/>
      <c r="AI93" s="76"/>
      <c r="AJ93" s="135"/>
      <c r="AK93" s="135"/>
      <c r="AL93" s="77">
        <f t="shared" si="48"/>
        <v>0</v>
      </c>
      <c r="AM93" s="76"/>
      <c r="AN93" s="142"/>
      <c r="AO93" s="142"/>
      <c r="AP93" s="77">
        <f t="shared" si="49"/>
        <v>0</v>
      </c>
      <c r="AQ93" s="78"/>
      <c r="AR93" s="142"/>
      <c r="AS93" s="142"/>
      <c r="AT93" s="79">
        <f t="shared" si="50"/>
        <v>0</v>
      </c>
      <c r="AU93" s="75"/>
      <c r="AV93" s="76"/>
      <c r="AW93" s="135"/>
      <c r="AX93" s="135"/>
      <c r="AY93" s="77">
        <f t="shared" si="51"/>
        <v>0</v>
      </c>
      <c r="AZ93" s="76"/>
      <c r="BA93" s="142"/>
      <c r="BB93" s="142"/>
      <c r="BC93" s="77">
        <f t="shared" si="52"/>
        <v>0</v>
      </c>
      <c r="BD93" s="78"/>
      <c r="BE93" s="142"/>
      <c r="BF93" s="142"/>
      <c r="BG93" s="79">
        <f t="shared" si="53"/>
        <v>0</v>
      </c>
      <c r="BH93" s="75"/>
      <c r="BI93" s="76"/>
      <c r="BJ93" s="135"/>
      <c r="BK93" s="135"/>
      <c r="BL93" s="77">
        <f t="shared" si="54"/>
        <v>0</v>
      </c>
      <c r="BM93" s="78"/>
      <c r="BN93" s="142"/>
      <c r="BO93" s="142"/>
      <c r="BP93" s="77">
        <f t="shared" si="55"/>
        <v>0</v>
      </c>
      <c r="BQ93" s="78"/>
      <c r="BR93" s="142"/>
      <c r="BS93" s="85"/>
      <c r="BT93" s="79">
        <f t="shared" si="56"/>
        <v>0</v>
      </c>
      <c r="BU93" s="75"/>
      <c r="BV93" s="76"/>
      <c r="BW93" s="135"/>
      <c r="BX93" s="135"/>
      <c r="BY93" s="77">
        <f t="shared" si="57"/>
        <v>0</v>
      </c>
      <c r="BZ93" s="78"/>
      <c r="CA93" s="142"/>
      <c r="CB93" s="142"/>
      <c r="CC93" s="77">
        <f t="shared" si="58"/>
        <v>0</v>
      </c>
      <c r="CD93" s="78"/>
      <c r="CE93" s="142"/>
      <c r="CF93" s="142"/>
      <c r="CG93" s="79">
        <f t="shared" si="59"/>
        <v>0</v>
      </c>
      <c r="CH93" s="75"/>
      <c r="CI93" s="76"/>
      <c r="CJ93" s="135"/>
      <c r="CK93" s="135"/>
      <c r="CL93" s="77">
        <f t="shared" si="60"/>
        <v>0</v>
      </c>
      <c r="CM93" s="78"/>
      <c r="CN93" s="142"/>
      <c r="CO93" s="142"/>
      <c r="CP93" s="77">
        <f t="shared" si="61"/>
        <v>0</v>
      </c>
      <c r="CQ93" s="78"/>
      <c r="CR93" s="142"/>
      <c r="CS93" s="142"/>
      <c r="CT93" s="79">
        <f t="shared" si="62"/>
        <v>0</v>
      </c>
      <c r="CU93" s="80">
        <f t="shared" si="35"/>
        <v>0</v>
      </c>
      <c r="CV93" s="81">
        <f t="shared" si="36"/>
        <v>0</v>
      </c>
      <c r="CW93" s="144"/>
      <c r="CX93" s="145">
        <f>IF(ISERROR(VLOOKUP($A93,FIJOS!$B$11:$O$590,14,FALSE)),0,VLOOKUP($A93,FIJOS!$B$11:$O$590,14,FALSE))</f>
        <v>0</v>
      </c>
      <c r="CY93" s="145">
        <f>IF(ISERROR(VLOOKUP(A93,FIJOS!$B$10:$P$590,15,FALSE)),0,VLOOKUP(A93,FIJOS!$B$10:$P$590,15,FALSE))</f>
        <v>0</v>
      </c>
      <c r="CZ93" s="156"/>
      <c r="DA93" s="146"/>
      <c r="DB93" s="147"/>
      <c r="DC93" s="147"/>
      <c r="DD93" s="147"/>
      <c r="DE93" s="147"/>
      <c r="DF93" s="145">
        <f>IF(ISERROR(VLOOKUP($A93,FIJOS!$B$11:$N$590,13,FALSE)),0,VLOOKUP($A93,FIJOS!$B$11:$N$590,13,FALSE))</f>
        <v>0</v>
      </c>
      <c r="DG93" s="145">
        <f>IF(ISERROR(VLOOKUP($A93,FIJOS!$B$11:$P$447,12,FALSE)),0,VLOOKUP($A93,FIJOS!$B$11:$P$447,12,FALSE))</f>
        <v>0</v>
      </c>
      <c r="DH93" s="82">
        <f t="shared" si="63"/>
        <v>0</v>
      </c>
      <c r="DI93" s="83" t="b">
        <f>IF($C93=1,(VLOOKUP($A93,FIJOS!$B$11:$P$545,10,FALSE)/7)*(7-$CU93),IF(AND($C93=2,CV93&lt;$DJ$1),(VLOOKUP($D93,HORAS!$B$4:$C$42,2,FALSE)*24)*$CV93,IF(AND($C93=2,CV93&gt;=$DJ$1),VLOOKUP($D93,HORAS!$B$4:$D$42,3,FALSE),IF(AND($C93=3,$CV93&gt;=$DJ$1),VLOOKUP($A93,FIJOS!$B$11:$P$545,10,FALSE),IF(AND($C93=3,$CV93&lt;$DJ$1),((VLOOKUP($A93,FIJOS!$B$11:$P$545,10,FALSE)/48)*24)*$CV93,IF(AND($C93=4,$CV93&gt;=(42/24)),VLOOKUP($D93,HORAS!$B$4:$D$42,3,FALSE),IF(AND($C93=5,$CV93&gt;=(36/24)),VLOOKUP($D93,HORAS!$B$4:$D$42,3,FALSE))))))))</f>
        <v>0</v>
      </c>
      <c r="DJ93" s="145">
        <f>IF(OR($C93=2),VLOOKUP($D93,HORAS!$B$4:$E$42,4,FALSE)*$EC93,IF(ISERROR(VLOOKUP($A93,FIJOS!$B$11:$P$108,9,FALSE)),0,VLOOKUP($A93,FIJOS!$B$11:$P$231,9,FALSE)*$EC93))</f>
        <v>0</v>
      </c>
      <c r="DK93" s="145">
        <f>IF(OR($C93=2),VLOOKUP($D93,HORAS!$B$4:$F$42,5,FALSE)*$EE93,IF(ISERROR(VLOOKUP($A93,FIJOS!$B$11:$P$108,9,FALSE)),0,VLOOKUP($A93,FIJOS!$B$11:$P$231,9,FALSE)*$EE93))</f>
        <v>0</v>
      </c>
      <c r="DL93" s="144"/>
      <c r="DM93" s="145">
        <f>IF(ISERROR(VLOOKUP($A93,FIJOS!$B$11:$L$646,11,FALSE)),0,VLOOKUP($A93,FIJOS!$B$11:$L$646,11,FALSE))</f>
        <v>0</v>
      </c>
      <c r="DN93" s="148" t="e">
        <f>IF(OR($C93=1,$C93=3),0,IF((VLOOKUP(CAPTURA!D93,HORAS!$B$4:$K$42,10,FALSE)/4)*COUNTIF($H93:$CT93,3)&gt;100,100,(VLOOKUP(CAPTURA!D93,HORAS!$B$4:$K$42,10,FALSE)/4)*COUNTIF($H93:$CT93,3)))</f>
        <v>#N/A</v>
      </c>
      <c r="DO93" s="144" t="e">
        <f>IF(OR($C93=1,$C93=3),0,IF($C93=5,VLOOKUP(D93,HORAS!$B$4:$G$42,6,FALSE),IF(AND($C93=4,$CV93&gt;=(42/24)),VLOOKUP(D93,HORAS!$B$4:$G$42,6,FALSE),IF(COUNTIF($H93:$CL93,"F")&gt;0,0,IF(CV93&gt;$DJ$1,$DJ$1*(VLOOKUP(D93,HORAS!$B$4:$G$42,6,FALSE)/$DJ$1),CV93*(VLOOKUP(D93,HORAS!$B$4:$G$42,6,FALSE)/$DJ$1))))))</f>
        <v>#N/A</v>
      </c>
      <c r="DP93" s="156"/>
      <c r="DQ93" s="89"/>
      <c r="DR93" s="148"/>
      <c r="DS93" s="83" t="e">
        <f t="shared" si="66"/>
        <v>#N/A</v>
      </c>
      <c r="DT93" s="84"/>
      <c r="DU93" s="149" t="e">
        <f t="shared" si="67"/>
        <v>#N/A</v>
      </c>
      <c r="DV93" s="149" t="e">
        <f t="shared" si="68"/>
        <v>#N/A</v>
      </c>
      <c r="DW93" s="144" t="e">
        <f t="shared" si="69"/>
        <v>#N/A</v>
      </c>
      <c r="DX93" s="134"/>
      <c r="DY93" s="29"/>
      <c r="DZ93" s="150"/>
      <c r="EA93" s="137"/>
      <c r="EB93" s="137">
        <f t="shared" si="70"/>
        <v>0</v>
      </c>
      <c r="EC93" s="138">
        <f t="shared" si="64"/>
        <v>0</v>
      </c>
      <c r="ED93" s="137">
        <f t="shared" si="71"/>
        <v>0</v>
      </c>
      <c r="EE93" s="132">
        <f t="shared" si="65"/>
        <v>0</v>
      </c>
      <c r="EF93" s="29"/>
      <c r="EG93" s="134"/>
      <c r="EH93" s="134"/>
      <c r="EI93" s="134"/>
      <c r="EK93" s="29"/>
    </row>
    <row r="94" spans="1:141" ht="15" customHeight="1" x14ac:dyDescent="0.25">
      <c r="A94" s="140"/>
      <c r="B94" s="151"/>
      <c r="C94" s="72"/>
      <c r="D94" s="73"/>
      <c r="E94" s="73"/>
      <c r="F94" s="141"/>
      <c r="G94" s="74"/>
      <c r="H94" s="75"/>
      <c r="I94" s="76"/>
      <c r="J94" s="135"/>
      <c r="K94" s="135"/>
      <c r="L94" s="77">
        <f t="shared" si="42"/>
        <v>0</v>
      </c>
      <c r="M94" s="78"/>
      <c r="N94" s="142"/>
      <c r="O94" s="142"/>
      <c r="P94" s="77">
        <f t="shared" si="43"/>
        <v>0</v>
      </c>
      <c r="Q94" s="78"/>
      <c r="R94" s="143"/>
      <c r="S94" s="143"/>
      <c r="T94" s="77">
        <f t="shared" si="44"/>
        <v>0</v>
      </c>
      <c r="U94" s="75"/>
      <c r="V94" s="76"/>
      <c r="W94" s="135"/>
      <c r="X94" s="135"/>
      <c r="Y94" s="77">
        <f t="shared" si="45"/>
        <v>0</v>
      </c>
      <c r="Z94" s="78"/>
      <c r="AA94" s="142"/>
      <c r="AB94" s="142"/>
      <c r="AC94" s="77">
        <f t="shared" si="46"/>
        <v>0</v>
      </c>
      <c r="AD94" s="78"/>
      <c r="AE94" s="143"/>
      <c r="AF94" s="143"/>
      <c r="AG94" s="79">
        <f t="shared" si="47"/>
        <v>0</v>
      </c>
      <c r="AH94" s="75"/>
      <c r="AI94" s="76"/>
      <c r="AJ94" s="135"/>
      <c r="AK94" s="135"/>
      <c r="AL94" s="77">
        <f t="shared" si="48"/>
        <v>0</v>
      </c>
      <c r="AM94" s="76"/>
      <c r="AN94" s="142"/>
      <c r="AO94" s="142"/>
      <c r="AP94" s="77">
        <f t="shared" si="49"/>
        <v>0</v>
      </c>
      <c r="AQ94" s="78"/>
      <c r="AR94" s="142"/>
      <c r="AS94" s="142"/>
      <c r="AT94" s="79">
        <f t="shared" si="50"/>
        <v>0</v>
      </c>
      <c r="AU94" s="75"/>
      <c r="AV94" s="76"/>
      <c r="AW94" s="135"/>
      <c r="AX94" s="135"/>
      <c r="AY94" s="77">
        <f t="shared" si="51"/>
        <v>0</v>
      </c>
      <c r="AZ94" s="76"/>
      <c r="BA94" s="142"/>
      <c r="BB94" s="142"/>
      <c r="BC94" s="77">
        <f t="shared" si="52"/>
        <v>0</v>
      </c>
      <c r="BD94" s="78"/>
      <c r="BE94" s="142"/>
      <c r="BF94" s="142"/>
      <c r="BG94" s="79">
        <f t="shared" si="53"/>
        <v>0</v>
      </c>
      <c r="BH94" s="75"/>
      <c r="BI94" s="76"/>
      <c r="BJ94" s="135"/>
      <c r="BK94" s="135"/>
      <c r="BL94" s="77">
        <f t="shared" si="54"/>
        <v>0</v>
      </c>
      <c r="BM94" s="78"/>
      <c r="BN94" s="142"/>
      <c r="BO94" s="142"/>
      <c r="BP94" s="77">
        <f t="shared" si="55"/>
        <v>0</v>
      </c>
      <c r="BQ94" s="78"/>
      <c r="BR94" s="142"/>
      <c r="BS94" s="142"/>
      <c r="BT94" s="79">
        <f t="shared" si="56"/>
        <v>0</v>
      </c>
      <c r="BU94" s="75"/>
      <c r="BV94" s="76"/>
      <c r="BW94" s="135"/>
      <c r="BX94" s="135"/>
      <c r="BY94" s="77">
        <f t="shared" si="57"/>
        <v>0</v>
      </c>
      <c r="BZ94" s="78"/>
      <c r="CA94" s="142"/>
      <c r="CB94" s="142"/>
      <c r="CC94" s="77">
        <f t="shared" si="58"/>
        <v>0</v>
      </c>
      <c r="CD94" s="78"/>
      <c r="CE94" s="142"/>
      <c r="CF94" s="142"/>
      <c r="CG94" s="79">
        <f t="shared" si="59"/>
        <v>0</v>
      </c>
      <c r="CH94" s="75"/>
      <c r="CI94" s="76"/>
      <c r="CJ94" s="135"/>
      <c r="CK94" s="135"/>
      <c r="CL94" s="77">
        <f t="shared" si="60"/>
        <v>0</v>
      </c>
      <c r="CM94" s="78"/>
      <c r="CN94" s="142"/>
      <c r="CO94" s="142"/>
      <c r="CP94" s="77">
        <f t="shared" si="61"/>
        <v>0</v>
      </c>
      <c r="CQ94" s="78"/>
      <c r="CR94" s="142"/>
      <c r="CS94" s="142"/>
      <c r="CT94" s="79">
        <f t="shared" si="62"/>
        <v>0</v>
      </c>
      <c r="CU94" s="80">
        <f t="shared" si="35"/>
        <v>0</v>
      </c>
      <c r="CV94" s="81">
        <f t="shared" si="36"/>
        <v>0</v>
      </c>
      <c r="CW94" s="144"/>
      <c r="CX94" s="145">
        <f>IF(ISERROR(VLOOKUP($A94,FIJOS!$B$11:$O$590,14,FALSE)),0,VLOOKUP($A94,FIJOS!$B$11:$O$590,14,FALSE))</f>
        <v>0</v>
      </c>
      <c r="CY94" s="145">
        <f>IF(ISERROR(VLOOKUP(A94,FIJOS!$B$10:$P$590,15,FALSE)),0,VLOOKUP(A94,FIJOS!$B$10:$P$590,15,FALSE))</f>
        <v>0</v>
      </c>
      <c r="CZ94" s="156"/>
      <c r="DA94" s="146"/>
      <c r="DB94" s="147"/>
      <c r="DC94" s="147"/>
      <c r="DD94" s="147"/>
      <c r="DE94" s="147"/>
      <c r="DF94" s="145">
        <f>IF(ISERROR(VLOOKUP($A94,FIJOS!$B$11:$N$590,13,FALSE)),0,VLOOKUP($A94,FIJOS!$B$11:$N$590,13,FALSE))</f>
        <v>0</v>
      </c>
      <c r="DG94" s="145">
        <f>IF(ISERROR(VLOOKUP($A94,FIJOS!$B$11:$P$447,12,FALSE)),0,VLOOKUP($A94,FIJOS!$B$11:$P$447,12,FALSE))</f>
        <v>0</v>
      </c>
      <c r="DH94" s="82">
        <f t="shared" si="63"/>
        <v>0</v>
      </c>
      <c r="DI94" s="83" t="b">
        <f>IF($C94=1,(VLOOKUP($A94,FIJOS!$B$11:$P$545,10,FALSE)/7)*(7-$CU94),IF(AND($C94=2,CV94&lt;$DJ$1),(VLOOKUP($D94,HORAS!$B$4:$C$42,2,FALSE)*24)*$CV94,IF(AND($C94=2,CV94&gt;=$DJ$1),VLOOKUP($D94,HORAS!$B$4:$D$42,3,FALSE),IF(AND($C94=3,$CV94&gt;=$DJ$1),VLOOKUP($A94,FIJOS!$B$11:$P$545,10,FALSE),IF(AND($C94=3,$CV94&lt;$DJ$1),((VLOOKUP($A94,FIJOS!$B$11:$P$545,10,FALSE)/48)*24)*$CV94,IF(AND($C94=4,$CV94&gt;=(42/24)),VLOOKUP($D94,HORAS!$B$4:$D$42,3,FALSE),IF(AND($C94=5,$CV94&gt;=(36/24)),VLOOKUP($D94,HORAS!$B$4:$D$42,3,FALSE))))))))</f>
        <v>0</v>
      </c>
      <c r="DJ94" s="145">
        <f>IF(OR($C94=2),VLOOKUP($D94,HORAS!$B$4:$E$42,4,FALSE)*$EC94,IF(ISERROR(VLOOKUP($A94,FIJOS!$B$11:$P$108,9,FALSE)),0,VLOOKUP($A94,FIJOS!$B$11:$P$231,9,FALSE)*$EC94))</f>
        <v>0</v>
      </c>
      <c r="DK94" s="145">
        <f>IF(OR($C94=2),VLOOKUP($D94,HORAS!$B$4:$F$42,5,FALSE)*$EE94,IF(ISERROR(VLOOKUP($A94,FIJOS!$B$11:$P$108,9,FALSE)),0,VLOOKUP($A94,FIJOS!$B$11:$P$231,9,FALSE)*$EE94))</f>
        <v>0</v>
      </c>
      <c r="DL94" s="144"/>
      <c r="DM94" s="145">
        <f>IF(ISERROR(VLOOKUP($A94,FIJOS!$B$11:$L$646,11,FALSE)),0,VLOOKUP($A94,FIJOS!$B$11:$L$646,11,FALSE))</f>
        <v>0</v>
      </c>
      <c r="DN94" s="148" t="e">
        <f>IF(OR($C94=1,$C94=3),0,IF((VLOOKUP(CAPTURA!D94,HORAS!$B$4:$K$42,10,FALSE)/4)*COUNTIF($H94:$CT94,3)&gt;100,100,(VLOOKUP(CAPTURA!D94,HORAS!$B$4:$K$42,10,FALSE)/4)*COUNTIF($H94:$CT94,3)))</f>
        <v>#N/A</v>
      </c>
      <c r="DO94" s="144" t="e">
        <f>IF(OR($C94=1,$C94=3),0,IF($C94=5,VLOOKUP(D94,HORAS!$B$4:$G$42,6,FALSE),IF(AND($C94=4,$CV94&gt;=(42/24)),VLOOKUP(D94,HORAS!$B$4:$G$42,6,FALSE),IF(COUNTIF($H94:$CL94,"F")&gt;0,0,IF(CV94&gt;$DJ$1,$DJ$1*(VLOOKUP(D94,HORAS!$B$4:$G$42,6,FALSE)/$DJ$1),CV94*(VLOOKUP(D94,HORAS!$B$4:$G$42,6,FALSE)/$DJ$1))))))</f>
        <v>#N/A</v>
      </c>
      <c r="DP94" s="156"/>
      <c r="DQ94" s="89"/>
      <c r="DR94" s="148"/>
      <c r="DS94" s="83" t="e">
        <f t="shared" si="66"/>
        <v>#N/A</v>
      </c>
      <c r="DT94" s="84"/>
      <c r="DU94" s="149" t="e">
        <f t="shared" si="67"/>
        <v>#N/A</v>
      </c>
      <c r="DV94" s="149" t="e">
        <f t="shared" si="68"/>
        <v>#N/A</v>
      </c>
      <c r="DW94" s="144" t="e">
        <f t="shared" si="69"/>
        <v>#N/A</v>
      </c>
      <c r="DX94" s="134"/>
      <c r="DY94" s="29"/>
      <c r="DZ94" s="150"/>
      <c r="EA94" s="134"/>
      <c r="EB94" s="137">
        <f t="shared" si="70"/>
        <v>0</v>
      </c>
      <c r="EC94" s="138">
        <f t="shared" si="64"/>
        <v>0</v>
      </c>
      <c r="ED94" s="137">
        <f t="shared" si="71"/>
        <v>0</v>
      </c>
      <c r="EE94" s="132">
        <f t="shared" si="65"/>
        <v>0</v>
      </c>
      <c r="EF94" s="29"/>
      <c r="EG94" s="134"/>
      <c r="EH94" s="134"/>
      <c r="EI94" s="134"/>
      <c r="EK94" s="35"/>
    </row>
    <row r="95" spans="1:141" ht="15" customHeight="1" x14ac:dyDescent="0.25">
      <c r="A95" s="140"/>
      <c r="B95" s="151"/>
      <c r="C95" s="72"/>
      <c r="D95" s="73"/>
      <c r="E95" s="73"/>
      <c r="F95" s="141"/>
      <c r="G95" s="74"/>
      <c r="H95" s="75"/>
      <c r="I95" s="76"/>
      <c r="J95" s="135"/>
      <c r="K95" s="135"/>
      <c r="L95" s="77">
        <f t="shared" si="42"/>
        <v>0</v>
      </c>
      <c r="M95" s="78"/>
      <c r="N95" s="142"/>
      <c r="O95" s="142"/>
      <c r="P95" s="77">
        <f t="shared" si="43"/>
        <v>0</v>
      </c>
      <c r="Q95" s="78"/>
      <c r="R95" s="143"/>
      <c r="S95" s="143"/>
      <c r="T95" s="77">
        <f t="shared" si="44"/>
        <v>0</v>
      </c>
      <c r="U95" s="75"/>
      <c r="V95" s="76"/>
      <c r="W95" s="135"/>
      <c r="X95" s="135"/>
      <c r="Y95" s="77">
        <f t="shared" si="45"/>
        <v>0</v>
      </c>
      <c r="Z95" s="78"/>
      <c r="AA95" s="142"/>
      <c r="AB95" s="142"/>
      <c r="AC95" s="77">
        <f t="shared" si="46"/>
        <v>0</v>
      </c>
      <c r="AD95" s="78"/>
      <c r="AE95" s="143"/>
      <c r="AF95" s="143"/>
      <c r="AG95" s="79">
        <f t="shared" si="47"/>
        <v>0</v>
      </c>
      <c r="AH95" s="75"/>
      <c r="AI95" s="76"/>
      <c r="AJ95" s="135"/>
      <c r="AK95" s="135"/>
      <c r="AL95" s="77">
        <f t="shared" si="48"/>
        <v>0</v>
      </c>
      <c r="AM95" s="76"/>
      <c r="AN95" s="142"/>
      <c r="AO95" s="142"/>
      <c r="AP95" s="77">
        <f t="shared" si="49"/>
        <v>0</v>
      </c>
      <c r="AQ95" s="78"/>
      <c r="AR95" s="142"/>
      <c r="AS95" s="142"/>
      <c r="AT95" s="79">
        <f t="shared" si="50"/>
        <v>0</v>
      </c>
      <c r="AU95" s="75"/>
      <c r="AV95" s="76"/>
      <c r="AW95" s="135"/>
      <c r="AX95" s="135"/>
      <c r="AY95" s="77">
        <f t="shared" si="51"/>
        <v>0</v>
      </c>
      <c r="AZ95" s="76"/>
      <c r="BA95" s="142"/>
      <c r="BB95" s="142"/>
      <c r="BC95" s="77">
        <f t="shared" si="52"/>
        <v>0</v>
      </c>
      <c r="BD95" s="78"/>
      <c r="BE95" s="142"/>
      <c r="BF95" s="142"/>
      <c r="BG95" s="79">
        <f t="shared" si="53"/>
        <v>0</v>
      </c>
      <c r="BH95" s="75"/>
      <c r="BI95" s="76"/>
      <c r="BJ95" s="135"/>
      <c r="BK95" s="135"/>
      <c r="BL95" s="77">
        <f t="shared" si="54"/>
        <v>0</v>
      </c>
      <c r="BM95" s="78"/>
      <c r="BN95" s="142"/>
      <c r="BO95" s="142"/>
      <c r="BP95" s="77">
        <f t="shared" si="55"/>
        <v>0</v>
      </c>
      <c r="BQ95" s="78"/>
      <c r="BR95" s="142"/>
      <c r="BS95" s="142"/>
      <c r="BT95" s="79">
        <f t="shared" si="56"/>
        <v>0</v>
      </c>
      <c r="BU95" s="75"/>
      <c r="BV95" s="76"/>
      <c r="BW95" s="135"/>
      <c r="BX95" s="135"/>
      <c r="BY95" s="77">
        <f t="shared" si="57"/>
        <v>0</v>
      </c>
      <c r="BZ95" s="78"/>
      <c r="CA95" s="142"/>
      <c r="CB95" s="142"/>
      <c r="CC95" s="77">
        <f t="shared" si="58"/>
        <v>0</v>
      </c>
      <c r="CD95" s="78"/>
      <c r="CE95" s="142"/>
      <c r="CF95" s="142"/>
      <c r="CG95" s="79">
        <f t="shared" si="59"/>
        <v>0</v>
      </c>
      <c r="CH95" s="75"/>
      <c r="CI95" s="76"/>
      <c r="CJ95" s="135"/>
      <c r="CK95" s="135"/>
      <c r="CL95" s="77">
        <f t="shared" si="60"/>
        <v>0</v>
      </c>
      <c r="CM95" s="78"/>
      <c r="CN95" s="142"/>
      <c r="CO95" s="142"/>
      <c r="CP95" s="77">
        <f t="shared" si="61"/>
        <v>0</v>
      </c>
      <c r="CQ95" s="78"/>
      <c r="CR95" s="142"/>
      <c r="CS95" s="142"/>
      <c r="CT95" s="79">
        <f t="shared" si="62"/>
        <v>0</v>
      </c>
      <c r="CU95" s="80">
        <f t="shared" si="35"/>
        <v>0</v>
      </c>
      <c r="CV95" s="81">
        <f t="shared" si="36"/>
        <v>0</v>
      </c>
      <c r="CW95" s="144"/>
      <c r="CX95" s="145">
        <f>IF(ISERROR(VLOOKUP($A95,FIJOS!$B$11:$O$590,14,FALSE)),0,VLOOKUP($A95,FIJOS!$B$11:$O$590,14,FALSE))</f>
        <v>0</v>
      </c>
      <c r="CY95" s="145">
        <f>IF(ISERROR(VLOOKUP(A95,FIJOS!$B$10:$P$590,15,FALSE)),0,VLOOKUP(A95,FIJOS!$B$10:$P$590,15,FALSE))</f>
        <v>0</v>
      </c>
      <c r="CZ95" s="156"/>
      <c r="DA95" s="146"/>
      <c r="DB95" s="147"/>
      <c r="DC95" s="147"/>
      <c r="DD95" s="147"/>
      <c r="DE95" s="147"/>
      <c r="DF95" s="145">
        <f>IF(ISERROR(VLOOKUP($A95,FIJOS!$B$11:$N$590,13,FALSE)),0,VLOOKUP($A95,FIJOS!$B$11:$N$590,13,FALSE))</f>
        <v>0</v>
      </c>
      <c r="DG95" s="145">
        <f>IF(ISERROR(VLOOKUP($A95,FIJOS!$B$11:$P$447,12,FALSE)),0,VLOOKUP($A95,FIJOS!$B$11:$P$447,12,FALSE))</f>
        <v>0</v>
      </c>
      <c r="DH95" s="82">
        <f t="shared" si="63"/>
        <v>0</v>
      </c>
      <c r="DI95" s="83" t="b">
        <f>IF($C95=1,(VLOOKUP($A95,FIJOS!$B$11:$P$545,10,FALSE)/7)*(7-$CU95),IF(AND($C95=2,CV95&lt;$DJ$1),(VLOOKUP($D95,HORAS!$B$4:$C$42,2,FALSE)*24)*$CV95,IF(AND($C95=2,CV95&gt;=$DJ$1),VLOOKUP($D95,HORAS!$B$4:$D$42,3,FALSE),IF(AND($C95=3,$CV95&gt;=$DJ$1),VLOOKUP($A95,FIJOS!$B$11:$P$545,10,FALSE),IF(AND($C95=3,$CV95&lt;$DJ$1),((VLOOKUP($A95,FIJOS!$B$11:$P$545,10,FALSE)/48)*24)*$CV95,IF(AND($C95=4,$CV95&gt;=(42/24)),VLOOKUP($D95,HORAS!$B$4:$D$42,3,FALSE),IF(AND($C95=5,$CV95&gt;=(36/24)),VLOOKUP($D95,HORAS!$B$4:$D$42,3,FALSE))))))))</f>
        <v>0</v>
      </c>
      <c r="DJ95" s="145">
        <f>IF(OR($C95=2),VLOOKUP($D95,HORAS!$B$4:$E$42,4,FALSE)*$EC95,IF(ISERROR(VLOOKUP($A95,FIJOS!$B$11:$P$108,9,FALSE)),0,VLOOKUP($A95,FIJOS!$B$11:$P$231,9,FALSE)*$EC95))</f>
        <v>0</v>
      </c>
      <c r="DK95" s="145">
        <f>IF(OR($C95=2),VLOOKUP($D95,HORAS!$B$4:$F$42,5,FALSE)*$EE95,IF(ISERROR(VLOOKUP($A95,FIJOS!$B$11:$P$108,9,FALSE)),0,VLOOKUP($A95,FIJOS!$B$11:$P$231,9,FALSE)*$EE95))</f>
        <v>0</v>
      </c>
      <c r="DL95" s="144"/>
      <c r="DM95" s="145">
        <f>IF(ISERROR(VLOOKUP($A95,FIJOS!$B$11:$L$646,11,FALSE)),0,VLOOKUP($A95,FIJOS!$B$11:$L$646,11,FALSE))</f>
        <v>0</v>
      </c>
      <c r="DN95" s="148" t="e">
        <f>IF(OR($C95=1,$C95=3),0,IF((VLOOKUP(CAPTURA!D95,HORAS!$B$4:$K$42,10,FALSE)/4)*COUNTIF($H95:$CT95,3)&gt;100,100,(VLOOKUP(CAPTURA!D95,HORAS!$B$4:$K$42,10,FALSE)/4)*COUNTIF($H95:$CT95,3)))</f>
        <v>#N/A</v>
      </c>
      <c r="DO95" s="144" t="e">
        <f>IF(OR($C95=1,$C95=3),0,IF($C95=5,VLOOKUP(D95,HORAS!$B$4:$G$42,6,FALSE),IF(AND($C95=4,$CV95&gt;=(42/24)),VLOOKUP(D95,HORAS!$B$4:$G$42,6,FALSE),IF(COUNTIF($H95:$CL95,"F")&gt;0,0,IF(CV95&gt;$DJ$1,$DJ$1*(VLOOKUP(D95,HORAS!$B$4:$G$42,6,FALSE)/$DJ$1),CV95*(VLOOKUP(D95,HORAS!$B$4:$G$42,6,FALSE)/$DJ$1))))))</f>
        <v>#N/A</v>
      </c>
      <c r="DP95" s="156"/>
      <c r="DQ95" s="89"/>
      <c r="DR95" s="148"/>
      <c r="DS95" s="83" t="e">
        <f t="shared" si="66"/>
        <v>#N/A</v>
      </c>
      <c r="DT95" s="84"/>
      <c r="DU95" s="149" t="e">
        <f t="shared" si="67"/>
        <v>#N/A</v>
      </c>
      <c r="DV95" s="149" t="e">
        <f t="shared" si="68"/>
        <v>#N/A</v>
      </c>
      <c r="DW95" s="144" t="e">
        <f t="shared" si="69"/>
        <v>#N/A</v>
      </c>
      <c r="DX95"/>
      <c r="DY95" s="29"/>
      <c r="DZ95" s="150"/>
      <c r="EA95" s="137"/>
      <c r="EB95" s="137">
        <f t="shared" si="70"/>
        <v>0</v>
      </c>
      <c r="EC95" s="138">
        <f t="shared" si="64"/>
        <v>0</v>
      </c>
      <c r="ED95" s="137">
        <f t="shared" si="71"/>
        <v>0</v>
      </c>
      <c r="EE95" s="132">
        <f t="shared" si="65"/>
        <v>0</v>
      </c>
      <c r="EF95" s="29"/>
      <c r="EG95" s="134"/>
      <c r="EH95" s="134"/>
      <c r="EI95" s="134"/>
      <c r="EK95" s="29"/>
    </row>
    <row r="96" spans="1:141" ht="15" customHeight="1" x14ac:dyDescent="0.25">
      <c r="A96" s="140"/>
      <c r="B96" s="5"/>
      <c r="C96" s="72"/>
      <c r="D96" s="73"/>
      <c r="E96" s="73"/>
      <c r="F96" s="141"/>
      <c r="G96" s="74"/>
      <c r="H96" s="75"/>
      <c r="I96" s="76"/>
      <c r="J96" s="135"/>
      <c r="K96" s="135"/>
      <c r="L96" s="77">
        <f t="shared" si="42"/>
        <v>0</v>
      </c>
      <c r="M96" s="78"/>
      <c r="N96" s="142"/>
      <c r="O96" s="142"/>
      <c r="P96" s="77">
        <f t="shared" si="43"/>
        <v>0</v>
      </c>
      <c r="Q96" s="78"/>
      <c r="R96" s="143"/>
      <c r="S96" s="143"/>
      <c r="T96" s="77">
        <f t="shared" si="44"/>
        <v>0</v>
      </c>
      <c r="U96" s="75"/>
      <c r="V96" s="76"/>
      <c r="W96" s="135"/>
      <c r="X96" s="135"/>
      <c r="Y96" s="77">
        <f t="shared" si="45"/>
        <v>0</v>
      </c>
      <c r="Z96" s="78"/>
      <c r="AA96" s="142"/>
      <c r="AB96" s="142"/>
      <c r="AC96" s="77">
        <f t="shared" si="46"/>
        <v>0</v>
      </c>
      <c r="AD96" s="78"/>
      <c r="AE96" s="143"/>
      <c r="AF96" s="143"/>
      <c r="AG96" s="79">
        <f t="shared" si="47"/>
        <v>0</v>
      </c>
      <c r="AH96" s="75"/>
      <c r="AI96" s="76"/>
      <c r="AJ96" s="135"/>
      <c r="AK96" s="135"/>
      <c r="AL96" s="77">
        <f t="shared" si="48"/>
        <v>0</v>
      </c>
      <c r="AM96" s="76"/>
      <c r="AN96" s="142"/>
      <c r="AO96" s="142"/>
      <c r="AP96" s="77">
        <f t="shared" si="49"/>
        <v>0</v>
      </c>
      <c r="AQ96" s="78"/>
      <c r="AR96" s="142"/>
      <c r="AS96" s="142"/>
      <c r="AT96" s="79">
        <f t="shared" si="50"/>
        <v>0</v>
      </c>
      <c r="AU96" s="75"/>
      <c r="AV96" s="76"/>
      <c r="AW96" s="135"/>
      <c r="AX96" s="135"/>
      <c r="AY96" s="77">
        <f t="shared" si="51"/>
        <v>0</v>
      </c>
      <c r="AZ96" s="76"/>
      <c r="BA96" s="142"/>
      <c r="BB96" s="142"/>
      <c r="BC96" s="77">
        <f t="shared" si="52"/>
        <v>0</v>
      </c>
      <c r="BD96" s="78"/>
      <c r="BE96" s="142"/>
      <c r="BF96" s="142"/>
      <c r="BG96" s="79">
        <f t="shared" si="53"/>
        <v>0</v>
      </c>
      <c r="BH96" s="75"/>
      <c r="BI96" s="76"/>
      <c r="BJ96" s="135"/>
      <c r="BK96" s="135"/>
      <c r="BL96" s="77">
        <f t="shared" si="54"/>
        <v>0</v>
      </c>
      <c r="BM96" s="78"/>
      <c r="BN96" s="142"/>
      <c r="BO96" s="142"/>
      <c r="BP96" s="77">
        <f t="shared" si="55"/>
        <v>0</v>
      </c>
      <c r="BQ96" s="78"/>
      <c r="BR96" s="142"/>
      <c r="BS96" s="142"/>
      <c r="BT96" s="79">
        <f t="shared" si="56"/>
        <v>0</v>
      </c>
      <c r="BU96" s="75"/>
      <c r="BV96" s="76"/>
      <c r="BW96" s="135"/>
      <c r="BX96" s="135"/>
      <c r="BY96" s="77">
        <f t="shared" si="57"/>
        <v>0</v>
      </c>
      <c r="BZ96" s="78"/>
      <c r="CA96" s="142"/>
      <c r="CB96" s="142"/>
      <c r="CC96" s="77">
        <f t="shared" si="58"/>
        <v>0</v>
      </c>
      <c r="CD96" s="78"/>
      <c r="CE96" s="142"/>
      <c r="CF96" s="142"/>
      <c r="CG96" s="79">
        <f t="shared" si="59"/>
        <v>0</v>
      </c>
      <c r="CH96" s="75"/>
      <c r="CI96" s="76"/>
      <c r="CJ96" s="135"/>
      <c r="CK96" s="135"/>
      <c r="CL96" s="77">
        <f t="shared" si="60"/>
        <v>0</v>
      </c>
      <c r="CM96" s="78"/>
      <c r="CN96" s="142"/>
      <c r="CO96" s="142"/>
      <c r="CP96" s="77">
        <f t="shared" si="61"/>
        <v>0</v>
      </c>
      <c r="CQ96" s="78"/>
      <c r="CR96" s="142"/>
      <c r="CS96" s="142"/>
      <c r="CT96" s="79">
        <f t="shared" si="62"/>
        <v>0</v>
      </c>
      <c r="CU96" s="80">
        <f t="shared" si="35"/>
        <v>0</v>
      </c>
      <c r="CV96" s="81">
        <f t="shared" si="36"/>
        <v>0</v>
      </c>
      <c r="CW96" s="144"/>
      <c r="CX96" s="145">
        <f>IF(ISERROR(VLOOKUP($A96,FIJOS!$B$11:$O$590,14,FALSE)),0,VLOOKUP($A96,FIJOS!$B$11:$O$590,14,FALSE))</f>
        <v>0</v>
      </c>
      <c r="CY96" s="145">
        <f>IF(ISERROR(VLOOKUP(A96,FIJOS!$B$10:$P$590,15,FALSE)),0,VLOOKUP(A96,FIJOS!$B$10:$P$590,15,FALSE))</f>
        <v>0</v>
      </c>
      <c r="CZ96" s="156"/>
      <c r="DA96" s="146"/>
      <c r="DB96" s="147"/>
      <c r="DC96" s="147"/>
      <c r="DD96" s="147"/>
      <c r="DE96" s="147"/>
      <c r="DF96" s="145">
        <f>IF(ISERROR(VLOOKUP($A96,FIJOS!$B$11:$N$590,13,FALSE)),0,VLOOKUP($A96,FIJOS!$B$11:$N$590,13,FALSE))</f>
        <v>0</v>
      </c>
      <c r="DG96" s="145">
        <f>IF(ISERROR(VLOOKUP($A96,FIJOS!$B$11:$P$447,12,FALSE)),0,VLOOKUP($A96,FIJOS!$B$11:$P$447,12,FALSE))</f>
        <v>0</v>
      </c>
      <c r="DH96" s="82">
        <f t="shared" si="63"/>
        <v>0</v>
      </c>
      <c r="DI96" s="83" t="b">
        <f>IF($C96=1,(VLOOKUP($A96,FIJOS!$B$11:$P$545,10,FALSE)/7)*(7-$CU96),IF(AND($C96=2,CV96&lt;$DJ$1),(VLOOKUP($D96,HORAS!$B$4:$C$42,2,FALSE)*24)*$CV96,IF(AND($C96=2,CV96&gt;=$DJ$1),VLOOKUP($D96,HORAS!$B$4:$D$42,3,FALSE),IF(AND($C96=3,$CV96&gt;=$DJ$1),VLOOKUP($A96,FIJOS!$B$11:$P$545,10,FALSE),IF(AND($C96=3,$CV96&lt;$DJ$1),((VLOOKUP($A96,FIJOS!$B$11:$P$545,10,FALSE)/48)*24)*$CV96,IF(AND($C96=4,$CV96&gt;=(42/24)),VLOOKUP($D96,HORAS!$B$4:$D$42,3,FALSE),IF(AND($C96=5,$CV96&gt;=(36/24)),VLOOKUP($D96,HORAS!$B$4:$D$42,3,FALSE))))))))</f>
        <v>0</v>
      </c>
      <c r="DJ96" s="145">
        <f>IF(OR($C96=2),VLOOKUP($D96,HORAS!$B$4:$E$42,4,FALSE)*$EC96,IF(ISERROR(VLOOKUP($A96,FIJOS!$B$11:$P$108,9,FALSE)),0,VLOOKUP($A96,FIJOS!$B$11:$P$231,9,FALSE)*$EC96))</f>
        <v>0</v>
      </c>
      <c r="DK96" s="145">
        <f>IF(OR($C96=2),VLOOKUP($D96,HORAS!$B$4:$F$42,5,FALSE)*$EE96,IF(ISERROR(VLOOKUP($A96,FIJOS!$B$11:$P$108,9,FALSE)),0,VLOOKUP($A96,FIJOS!$B$11:$P$231,9,FALSE)*$EE96))</f>
        <v>0</v>
      </c>
      <c r="DL96" s="144"/>
      <c r="DM96" s="145">
        <f>IF(ISERROR(VLOOKUP($A96,FIJOS!$B$11:$L$646,11,FALSE)),0,VLOOKUP($A96,FIJOS!$B$11:$L$646,11,FALSE))</f>
        <v>0</v>
      </c>
      <c r="DN96" s="148" t="e">
        <f>IF(OR($C96=1,$C96=3),0,IF((VLOOKUP(CAPTURA!D96,HORAS!$B$4:$K$42,10,FALSE)/4)*COUNTIF($H96:$CT96,3)&gt;100,100,(VLOOKUP(CAPTURA!D96,HORAS!$B$4:$K$42,10,FALSE)/4)*COUNTIF($H96:$CT96,3)))</f>
        <v>#N/A</v>
      </c>
      <c r="DO96" s="144" t="e">
        <f>IF(OR($C96=1,$C96=3),0,IF($C96=5,VLOOKUP(D96,HORAS!$B$4:$G$42,6,FALSE),IF(AND($C96=4,$CV96&gt;=(42/24)),VLOOKUP(D96,HORAS!$B$4:$G$42,6,FALSE),IF(COUNTIF($H96:$CL96,"F")&gt;0,0,IF(CV96&gt;$DJ$1,$DJ$1*(VLOOKUP(D96,HORAS!$B$4:$G$42,6,FALSE)/$DJ$1),CV96*(VLOOKUP(D96,HORAS!$B$4:$G$42,6,FALSE)/$DJ$1))))))</f>
        <v>#N/A</v>
      </c>
      <c r="DP96" s="156"/>
      <c r="DQ96" s="148"/>
      <c r="DR96" s="148"/>
      <c r="DS96" s="83" t="e">
        <f t="shared" si="66"/>
        <v>#N/A</v>
      </c>
      <c r="DT96" s="84"/>
      <c r="DU96" s="149" t="e">
        <f t="shared" si="67"/>
        <v>#N/A</v>
      </c>
      <c r="DV96" s="149" t="e">
        <f t="shared" si="68"/>
        <v>#N/A</v>
      </c>
      <c r="DW96" s="144" t="e">
        <f t="shared" si="69"/>
        <v>#N/A</v>
      </c>
      <c r="DX96" s="134"/>
      <c r="DY96" s="29"/>
      <c r="DZ96" s="150"/>
      <c r="EA96" s="134"/>
      <c r="EB96" s="137">
        <f t="shared" si="70"/>
        <v>0</v>
      </c>
      <c r="EC96" s="138">
        <f t="shared" si="64"/>
        <v>0</v>
      </c>
      <c r="ED96" s="137">
        <f t="shared" si="71"/>
        <v>0</v>
      </c>
      <c r="EE96" s="132">
        <f t="shared" si="65"/>
        <v>0</v>
      </c>
      <c r="EF96" s="29"/>
      <c r="EG96" s="134"/>
      <c r="EH96" s="134"/>
      <c r="EI96" s="134"/>
      <c r="EK96" s="29"/>
    </row>
    <row r="97" spans="1:141" ht="15" customHeight="1" x14ac:dyDescent="0.25">
      <c r="A97" s="140"/>
      <c r="B97" s="5"/>
      <c r="C97" s="72"/>
      <c r="D97" s="73"/>
      <c r="E97" s="73"/>
      <c r="F97" s="141"/>
      <c r="G97" s="74"/>
      <c r="H97" s="75"/>
      <c r="I97" s="76"/>
      <c r="J97" s="86"/>
      <c r="K97" s="135"/>
      <c r="L97" s="77">
        <f t="shared" si="42"/>
        <v>0</v>
      </c>
      <c r="M97" s="78"/>
      <c r="N97" s="142"/>
      <c r="O97" s="142"/>
      <c r="P97" s="77">
        <f t="shared" si="43"/>
        <v>0</v>
      </c>
      <c r="Q97" s="78"/>
      <c r="R97" s="143"/>
      <c r="S97" s="143"/>
      <c r="T97" s="77">
        <f t="shared" si="44"/>
        <v>0</v>
      </c>
      <c r="U97" s="75"/>
      <c r="V97" s="76"/>
      <c r="W97" s="86"/>
      <c r="X97" s="135"/>
      <c r="Y97" s="77">
        <f t="shared" si="45"/>
        <v>0</v>
      </c>
      <c r="Z97" s="78"/>
      <c r="AA97" s="142"/>
      <c r="AB97" s="142"/>
      <c r="AC97" s="77">
        <f t="shared" si="46"/>
        <v>0</v>
      </c>
      <c r="AD97" s="78"/>
      <c r="AE97" s="143"/>
      <c r="AF97" s="143"/>
      <c r="AG97" s="79">
        <f t="shared" si="47"/>
        <v>0</v>
      </c>
      <c r="AH97" s="75"/>
      <c r="AI97" s="76"/>
      <c r="AJ97" s="86"/>
      <c r="AK97" s="135"/>
      <c r="AL97" s="77">
        <f t="shared" si="48"/>
        <v>0</v>
      </c>
      <c r="AM97" s="76"/>
      <c r="AN97" s="142"/>
      <c r="AO97" s="142"/>
      <c r="AP97" s="77">
        <f t="shared" si="49"/>
        <v>0</v>
      </c>
      <c r="AQ97" s="78"/>
      <c r="AR97" s="142"/>
      <c r="AS97" s="142"/>
      <c r="AT97" s="79">
        <f t="shared" si="50"/>
        <v>0</v>
      </c>
      <c r="AU97" s="75"/>
      <c r="AV97" s="76"/>
      <c r="AW97" s="86"/>
      <c r="AX97" s="135"/>
      <c r="AY97" s="77">
        <f t="shared" si="51"/>
        <v>0</v>
      </c>
      <c r="AZ97" s="76"/>
      <c r="BA97" s="142"/>
      <c r="BB97" s="142"/>
      <c r="BC97" s="77">
        <f t="shared" si="52"/>
        <v>0</v>
      </c>
      <c r="BD97" s="78"/>
      <c r="BE97" s="142"/>
      <c r="BF97" s="142"/>
      <c r="BG97" s="79">
        <f t="shared" si="53"/>
        <v>0</v>
      </c>
      <c r="BH97" s="75"/>
      <c r="BI97" s="76"/>
      <c r="BJ97" s="86"/>
      <c r="BK97" s="135"/>
      <c r="BL97" s="77">
        <f t="shared" si="54"/>
        <v>0</v>
      </c>
      <c r="BM97" s="78"/>
      <c r="BN97" s="142"/>
      <c r="BO97" s="142"/>
      <c r="BP97" s="77">
        <f t="shared" si="55"/>
        <v>0</v>
      </c>
      <c r="BQ97" s="78"/>
      <c r="BR97" s="142"/>
      <c r="BS97" s="142"/>
      <c r="BT97" s="79">
        <f t="shared" si="56"/>
        <v>0</v>
      </c>
      <c r="BU97" s="75"/>
      <c r="BV97" s="76"/>
      <c r="BW97" s="135"/>
      <c r="BX97" s="135"/>
      <c r="BY97" s="77">
        <f t="shared" si="57"/>
        <v>0</v>
      </c>
      <c r="BZ97" s="78"/>
      <c r="CA97" s="142"/>
      <c r="CB97" s="142"/>
      <c r="CC97" s="77">
        <f t="shared" si="58"/>
        <v>0</v>
      </c>
      <c r="CD97" s="78"/>
      <c r="CE97" s="142"/>
      <c r="CF97" s="142"/>
      <c r="CG97" s="79">
        <f t="shared" si="59"/>
        <v>0</v>
      </c>
      <c r="CH97" s="75"/>
      <c r="CI97" s="76"/>
      <c r="CJ97" s="135"/>
      <c r="CK97" s="135"/>
      <c r="CL97" s="77">
        <f t="shared" si="60"/>
        <v>0</v>
      </c>
      <c r="CM97" s="78"/>
      <c r="CN97" s="142"/>
      <c r="CO97" s="142"/>
      <c r="CP97" s="77">
        <f t="shared" si="61"/>
        <v>0</v>
      </c>
      <c r="CQ97" s="78"/>
      <c r="CR97" s="142"/>
      <c r="CS97" s="142"/>
      <c r="CT97" s="79">
        <f t="shared" si="62"/>
        <v>0</v>
      </c>
      <c r="CU97" s="80">
        <f t="shared" si="35"/>
        <v>0</v>
      </c>
      <c r="CV97" s="81">
        <f t="shared" si="36"/>
        <v>0</v>
      </c>
      <c r="CW97" s="144"/>
      <c r="CX97" s="145">
        <f>IF(ISERROR(VLOOKUP($A97,FIJOS!$B$11:$O$590,14,FALSE)),0,VLOOKUP($A97,FIJOS!$B$11:$O$590,14,FALSE))</f>
        <v>0</v>
      </c>
      <c r="CY97" s="145">
        <f>IF(ISERROR(VLOOKUP(A97,FIJOS!$B$10:$P$590,15,FALSE)),0,VLOOKUP(A97,FIJOS!$B$10:$P$590,15,FALSE))</f>
        <v>0</v>
      </c>
      <c r="CZ97" s="156"/>
      <c r="DA97" s="146"/>
      <c r="DB97" s="147"/>
      <c r="DC97" s="147"/>
      <c r="DD97" s="147"/>
      <c r="DE97" s="147"/>
      <c r="DF97" s="145">
        <f>IF(ISERROR(VLOOKUP($A97,FIJOS!$B$11:$N$590,13,FALSE)),0,VLOOKUP($A97,FIJOS!$B$11:$N$590,13,FALSE))</f>
        <v>0</v>
      </c>
      <c r="DG97" s="145">
        <f>IF(ISERROR(VLOOKUP($A97,FIJOS!$B$11:$P$447,12,FALSE)),0,VLOOKUP($A97,FIJOS!$B$11:$P$447,12,FALSE))</f>
        <v>0</v>
      </c>
      <c r="DH97" s="82">
        <f t="shared" si="63"/>
        <v>0</v>
      </c>
      <c r="DI97" s="83" t="b">
        <f>IF($C97=1,(VLOOKUP($A97,FIJOS!$B$11:$P$545,10,FALSE)/7)*(7-$CU97),IF(AND($C97=2,CV97&lt;$DJ$1),(VLOOKUP($D97,HORAS!$B$4:$C$42,2,FALSE)*24)*$CV97,IF(AND($C97=2,CV97&gt;=$DJ$1),VLOOKUP($D97,HORAS!$B$4:$D$42,3,FALSE),IF(AND($C97=3,$CV97&gt;=$DJ$1),VLOOKUP($A97,FIJOS!$B$11:$P$545,10,FALSE),IF(AND($C97=3,$CV97&lt;$DJ$1),((VLOOKUP($A97,FIJOS!$B$11:$P$545,10,FALSE)/48)*24)*$CV97,IF(AND($C97=4,$CV97&gt;=(42/24)),VLOOKUP($D97,HORAS!$B$4:$D$42,3,FALSE),IF(AND($C97=5,$CV97&gt;=(36/24)),VLOOKUP($D97,HORAS!$B$4:$D$42,3,FALSE))))))))</f>
        <v>0</v>
      </c>
      <c r="DJ97" s="145">
        <f>IF(OR($C97=2),VLOOKUP($D97,HORAS!$B$4:$E$42,4,FALSE)*$EC97,IF(ISERROR(VLOOKUP($A97,FIJOS!$B$11:$P$108,9,FALSE)),0,VLOOKUP($A97,FIJOS!$B$11:$P$231,9,FALSE)*$EC97))</f>
        <v>0</v>
      </c>
      <c r="DK97" s="145">
        <f>IF(OR($C97=2),VLOOKUP($D97,HORAS!$B$4:$F$42,5,FALSE)*$EE97,IF(ISERROR(VLOOKUP($A97,FIJOS!$B$11:$P$108,9,FALSE)),0,VLOOKUP($A97,FIJOS!$B$11:$P$231,9,FALSE)*$EE97))</f>
        <v>0</v>
      </c>
      <c r="DL97" s="144"/>
      <c r="DM97" s="145">
        <f>IF(ISERROR(VLOOKUP($A97,FIJOS!$B$11:$L$646,11,FALSE)),0,VLOOKUP($A97,FIJOS!$B$11:$L$646,11,FALSE))</f>
        <v>0</v>
      </c>
      <c r="DN97" s="148" t="e">
        <f>IF(OR($C97=1,$C97=3),0,IF((VLOOKUP(CAPTURA!D97,HORAS!$B$4:$K$42,10,FALSE)/4)*COUNTIF($H97:$CT97,3)&gt;100,100,(VLOOKUP(CAPTURA!D97,HORAS!$B$4:$K$42,10,FALSE)/4)*COUNTIF($H97:$CT97,3)))</f>
        <v>#N/A</v>
      </c>
      <c r="DO97" s="144" t="e">
        <f>IF(OR($C97=1,$C97=3),0,IF($C97=5,VLOOKUP(D97,HORAS!$B$4:$G$42,6,FALSE),IF(AND($C97=4,$CV97&gt;=(42/24)),VLOOKUP(D97,HORAS!$B$4:$G$42,6,FALSE),IF(COUNTIF($H97:$CL97,"F")&gt;0,0,IF(CV97&gt;$DJ$1,$DJ$1*(VLOOKUP(D97,HORAS!$B$4:$G$42,6,FALSE)/$DJ$1),CV97*(VLOOKUP(D97,HORAS!$B$4:$G$42,6,FALSE)/$DJ$1))))))</f>
        <v>#N/A</v>
      </c>
      <c r="DP97" s="156"/>
      <c r="DQ97" s="89"/>
      <c r="DR97" s="148"/>
      <c r="DS97" s="83" t="e">
        <f t="shared" si="66"/>
        <v>#N/A</v>
      </c>
      <c r="DT97" s="84"/>
      <c r="DU97" s="149" t="e">
        <f t="shared" si="67"/>
        <v>#N/A</v>
      </c>
      <c r="DV97" s="149" t="e">
        <f t="shared" si="68"/>
        <v>#N/A</v>
      </c>
      <c r="DW97" s="144" t="e">
        <f t="shared" si="69"/>
        <v>#N/A</v>
      </c>
      <c r="DX97" s="134"/>
      <c r="DY97" s="29"/>
      <c r="DZ97" s="150"/>
      <c r="EA97" s="134"/>
      <c r="EB97" s="137">
        <f t="shared" si="70"/>
        <v>0</v>
      </c>
      <c r="EC97" s="138">
        <f t="shared" si="64"/>
        <v>0</v>
      </c>
      <c r="ED97" s="137">
        <f t="shared" si="71"/>
        <v>0</v>
      </c>
      <c r="EE97" s="132">
        <f t="shared" si="65"/>
        <v>0</v>
      </c>
      <c r="EF97" s="29"/>
      <c r="EG97" s="134"/>
      <c r="EH97" s="134"/>
      <c r="EI97" s="134"/>
      <c r="EK97" s="29"/>
    </row>
    <row r="98" spans="1:141" ht="15" customHeight="1" x14ac:dyDescent="0.25">
      <c r="A98" s="140"/>
      <c r="B98" s="151"/>
      <c r="C98" s="72"/>
      <c r="D98" s="73"/>
      <c r="E98" s="73"/>
      <c r="F98" s="141"/>
      <c r="G98" s="74"/>
      <c r="H98" s="75"/>
      <c r="I98" s="76"/>
      <c r="J98" s="86"/>
      <c r="K98" s="135"/>
      <c r="L98" s="77">
        <f t="shared" si="42"/>
        <v>0</v>
      </c>
      <c r="M98" s="78"/>
      <c r="N98" s="142"/>
      <c r="O98" s="142"/>
      <c r="P98" s="77">
        <f t="shared" si="43"/>
        <v>0</v>
      </c>
      <c r="Q98" s="78"/>
      <c r="R98" s="143"/>
      <c r="S98" s="143"/>
      <c r="T98" s="77">
        <f t="shared" si="44"/>
        <v>0</v>
      </c>
      <c r="U98" s="75"/>
      <c r="V98" s="76"/>
      <c r="W98" s="86"/>
      <c r="X98" s="135"/>
      <c r="Y98" s="77">
        <f t="shared" si="45"/>
        <v>0</v>
      </c>
      <c r="Z98" s="78"/>
      <c r="AA98" s="142"/>
      <c r="AB98" s="142"/>
      <c r="AC98" s="77">
        <f t="shared" si="46"/>
        <v>0</v>
      </c>
      <c r="AD98" s="78"/>
      <c r="AE98" s="143"/>
      <c r="AF98" s="143"/>
      <c r="AG98" s="79">
        <f t="shared" si="47"/>
        <v>0</v>
      </c>
      <c r="AH98" s="75"/>
      <c r="AI98" s="76"/>
      <c r="AJ98" s="86"/>
      <c r="AK98" s="135"/>
      <c r="AL98" s="77">
        <f t="shared" si="48"/>
        <v>0</v>
      </c>
      <c r="AM98" s="76"/>
      <c r="AN98" s="142"/>
      <c r="AO98" s="142"/>
      <c r="AP98" s="77">
        <f t="shared" si="49"/>
        <v>0</v>
      </c>
      <c r="AQ98" s="78"/>
      <c r="AR98" s="142"/>
      <c r="AS98" s="142"/>
      <c r="AT98" s="79">
        <f t="shared" si="50"/>
        <v>0</v>
      </c>
      <c r="AU98" s="75"/>
      <c r="AV98" s="76"/>
      <c r="AW98" s="86"/>
      <c r="AX98" s="135"/>
      <c r="AY98" s="77">
        <f t="shared" si="51"/>
        <v>0</v>
      </c>
      <c r="AZ98" s="76"/>
      <c r="BA98" s="142"/>
      <c r="BB98" s="142"/>
      <c r="BC98" s="77">
        <f t="shared" si="52"/>
        <v>0</v>
      </c>
      <c r="BD98" s="78"/>
      <c r="BE98" s="142"/>
      <c r="BF98" s="142"/>
      <c r="BG98" s="79">
        <f t="shared" si="53"/>
        <v>0</v>
      </c>
      <c r="BH98" s="75"/>
      <c r="BI98" s="76"/>
      <c r="BJ98" s="135"/>
      <c r="BK98" s="135"/>
      <c r="BL98" s="77">
        <f t="shared" si="54"/>
        <v>0</v>
      </c>
      <c r="BM98" s="78"/>
      <c r="BN98" s="142"/>
      <c r="BO98" s="142"/>
      <c r="BP98" s="77">
        <f t="shared" si="55"/>
        <v>0</v>
      </c>
      <c r="BQ98" s="78"/>
      <c r="BR98" s="142"/>
      <c r="BS98" s="142"/>
      <c r="BT98" s="79">
        <f t="shared" si="56"/>
        <v>0</v>
      </c>
      <c r="BU98" s="75"/>
      <c r="BV98" s="76"/>
      <c r="BW98" s="135"/>
      <c r="BX98" s="135"/>
      <c r="BY98" s="77">
        <f t="shared" si="57"/>
        <v>0</v>
      </c>
      <c r="BZ98" s="78"/>
      <c r="CA98" s="142"/>
      <c r="CB98" s="142"/>
      <c r="CC98" s="77">
        <f t="shared" si="58"/>
        <v>0</v>
      </c>
      <c r="CD98" s="78"/>
      <c r="CE98" s="142"/>
      <c r="CF98" s="142"/>
      <c r="CG98" s="79">
        <f t="shared" si="59"/>
        <v>0</v>
      </c>
      <c r="CH98" s="75"/>
      <c r="CI98" s="76"/>
      <c r="CJ98" s="135"/>
      <c r="CK98" s="135"/>
      <c r="CL98" s="77">
        <f t="shared" si="60"/>
        <v>0</v>
      </c>
      <c r="CM98" s="78"/>
      <c r="CN98" s="142"/>
      <c r="CO98" s="142"/>
      <c r="CP98" s="77">
        <f t="shared" si="61"/>
        <v>0</v>
      </c>
      <c r="CQ98" s="78"/>
      <c r="CR98" s="142"/>
      <c r="CS98" s="142"/>
      <c r="CT98" s="79">
        <f t="shared" si="62"/>
        <v>0</v>
      </c>
      <c r="CU98" s="80">
        <f t="shared" si="35"/>
        <v>0</v>
      </c>
      <c r="CV98" s="81">
        <f t="shared" si="36"/>
        <v>0</v>
      </c>
      <c r="CW98" s="144"/>
      <c r="CX98" s="145">
        <f>IF(ISERROR(VLOOKUP($A98,FIJOS!$B$11:$O$590,14,FALSE)),0,VLOOKUP($A98,FIJOS!$B$11:$O$590,14,FALSE))</f>
        <v>0</v>
      </c>
      <c r="CY98" s="145">
        <f>IF(ISERROR(VLOOKUP(A98,FIJOS!$B$10:$P$590,15,FALSE)),0,VLOOKUP(A98,FIJOS!$B$10:$P$590,15,FALSE))</f>
        <v>0</v>
      </c>
      <c r="CZ98" s="156"/>
      <c r="DA98" s="146"/>
      <c r="DB98" s="147"/>
      <c r="DC98" s="147"/>
      <c r="DD98" s="147"/>
      <c r="DE98" s="147"/>
      <c r="DF98" s="145">
        <f>IF(ISERROR(VLOOKUP($A98,FIJOS!$B$11:$N$590,13,FALSE)),0,VLOOKUP($A98,FIJOS!$B$11:$N$590,13,FALSE))</f>
        <v>0</v>
      </c>
      <c r="DG98" s="145">
        <f>IF(ISERROR(VLOOKUP($A98,FIJOS!$B$11:$P$447,12,FALSE)),0,VLOOKUP($A98,FIJOS!$B$11:$P$447,12,FALSE))</f>
        <v>0</v>
      </c>
      <c r="DH98" s="82">
        <f t="shared" si="63"/>
        <v>0</v>
      </c>
      <c r="DI98" s="83" t="b">
        <f>IF($C98=1,(VLOOKUP($A98,FIJOS!$B$11:$P$545,10,FALSE)/7)*(7-$CU98),IF(AND($C98=2,CV98&lt;$DJ$1),(VLOOKUP($D98,HORAS!$B$4:$C$42,2,FALSE)*24)*$CV98,IF(AND($C98=2,CV98&gt;=$DJ$1),VLOOKUP($D98,HORAS!$B$4:$D$42,3,FALSE),IF(AND($C98=3,$CV98&gt;=$DJ$1),VLOOKUP($A98,FIJOS!$B$11:$P$545,10,FALSE),IF(AND($C98=3,$CV98&lt;$DJ$1),((VLOOKUP($A98,FIJOS!$B$11:$P$545,10,FALSE)/48)*24)*$CV98,IF(AND($C98=4,$CV98&gt;=(42/24)),VLOOKUP($D98,HORAS!$B$4:$D$42,3,FALSE),IF(AND($C98=5,$CV98&gt;=(36/24)),VLOOKUP($D98,HORAS!$B$4:$D$42,3,FALSE))))))))</f>
        <v>0</v>
      </c>
      <c r="DJ98" s="145">
        <f>IF(OR($C98=2),VLOOKUP($D98,HORAS!$B$4:$E$42,4,FALSE)*$EC98,IF(ISERROR(VLOOKUP($A98,FIJOS!$B$11:$P$108,9,FALSE)),0,VLOOKUP($A98,FIJOS!$B$11:$P$231,9,FALSE)*$EC98))</f>
        <v>0</v>
      </c>
      <c r="DK98" s="145">
        <f>IF(OR($C98=2),VLOOKUP($D98,HORAS!$B$4:$F$42,5,FALSE)*$EE98,IF(ISERROR(VLOOKUP($A98,FIJOS!$B$11:$P$108,9,FALSE)),0,VLOOKUP($A98,FIJOS!$B$11:$P$231,9,FALSE)*$EE98))</f>
        <v>0</v>
      </c>
      <c r="DL98" s="144"/>
      <c r="DM98" s="145">
        <f>IF(ISERROR(VLOOKUP($A98,FIJOS!$B$11:$L$646,11,FALSE)),0,VLOOKUP($A98,FIJOS!$B$11:$L$646,11,FALSE))</f>
        <v>0</v>
      </c>
      <c r="DN98" s="148" t="e">
        <f>IF(OR($C98=1,$C98=3),0,IF((VLOOKUP(CAPTURA!D98,HORAS!$B$4:$K$42,10,FALSE)/4)*COUNTIF($H98:$CT98,3)&gt;100,100,(VLOOKUP(CAPTURA!D98,HORAS!$B$4:$K$42,10,FALSE)/4)*COUNTIF($H98:$CT98,3)))</f>
        <v>#N/A</v>
      </c>
      <c r="DO98" s="144" t="e">
        <f>IF(OR($C98=1,$C98=3),0,IF($C98=5,VLOOKUP(D98,HORAS!$B$4:$G$42,6,FALSE),IF(AND($C98=4,$CV98&gt;=(42/24)),VLOOKUP(D98,HORAS!$B$4:$G$42,6,FALSE),IF(COUNTIF($H98:$CL98,"F")&gt;0,0,IF(CV98&gt;$DJ$1,$DJ$1*(VLOOKUP(D98,HORAS!$B$4:$G$42,6,FALSE)/$DJ$1),CV98*(VLOOKUP(D98,HORAS!$B$4:$G$42,6,FALSE)/$DJ$1))))))</f>
        <v>#N/A</v>
      </c>
      <c r="DP98" s="156"/>
      <c r="DQ98" s="148"/>
      <c r="DR98" s="148"/>
      <c r="DS98" s="83" t="e">
        <f t="shared" si="66"/>
        <v>#N/A</v>
      </c>
      <c r="DT98" s="84"/>
      <c r="DU98" s="149" t="e">
        <f t="shared" si="67"/>
        <v>#N/A</v>
      </c>
      <c r="DV98" s="149" t="e">
        <f t="shared" si="68"/>
        <v>#N/A</v>
      </c>
      <c r="DW98" s="144" t="e">
        <f t="shared" si="69"/>
        <v>#N/A</v>
      </c>
      <c r="DX98" s="134"/>
      <c r="DY98" s="29"/>
      <c r="DZ98" s="150"/>
      <c r="EA98" s="134"/>
      <c r="EB98" s="137">
        <f t="shared" si="70"/>
        <v>0</v>
      </c>
      <c r="EC98" s="138">
        <f t="shared" si="64"/>
        <v>0</v>
      </c>
      <c r="ED98" s="137">
        <f t="shared" si="71"/>
        <v>0</v>
      </c>
      <c r="EE98" s="132">
        <f t="shared" si="65"/>
        <v>0</v>
      </c>
      <c r="EF98" s="29"/>
      <c r="EG98" s="134"/>
      <c r="EH98" s="134"/>
      <c r="EI98" s="134"/>
      <c r="EK98" s="29"/>
    </row>
    <row r="99" spans="1:141" ht="15" customHeight="1" x14ac:dyDescent="0.25">
      <c r="A99" s="140"/>
      <c r="B99" s="151"/>
      <c r="C99" s="72"/>
      <c r="D99" s="73"/>
      <c r="E99" s="73"/>
      <c r="F99" s="141"/>
      <c r="G99" s="74"/>
      <c r="H99" s="75"/>
      <c r="I99" s="76"/>
      <c r="J99" s="135"/>
      <c r="K99" s="135"/>
      <c r="L99" s="77">
        <f t="shared" si="42"/>
        <v>0</v>
      </c>
      <c r="M99" s="78"/>
      <c r="N99" s="142"/>
      <c r="O99" s="142"/>
      <c r="P99" s="77">
        <f t="shared" si="43"/>
        <v>0</v>
      </c>
      <c r="Q99" s="78"/>
      <c r="R99" s="143"/>
      <c r="S99" s="143"/>
      <c r="T99" s="77">
        <f t="shared" si="44"/>
        <v>0</v>
      </c>
      <c r="U99" s="75"/>
      <c r="V99" s="76"/>
      <c r="W99" s="135"/>
      <c r="X99" s="135"/>
      <c r="Y99" s="77">
        <f t="shared" si="45"/>
        <v>0</v>
      </c>
      <c r="Z99" s="78"/>
      <c r="AA99" s="142"/>
      <c r="AB99" s="142"/>
      <c r="AC99" s="77">
        <f t="shared" si="46"/>
        <v>0</v>
      </c>
      <c r="AD99" s="78"/>
      <c r="AE99" s="143"/>
      <c r="AF99" s="143"/>
      <c r="AG99" s="79">
        <f t="shared" si="47"/>
        <v>0</v>
      </c>
      <c r="AH99" s="75"/>
      <c r="AI99" s="76"/>
      <c r="AJ99" s="135"/>
      <c r="AK99" s="135"/>
      <c r="AL99" s="77">
        <f t="shared" si="48"/>
        <v>0</v>
      </c>
      <c r="AM99" s="76"/>
      <c r="AN99" s="142"/>
      <c r="AO99" s="142"/>
      <c r="AP99" s="77">
        <f t="shared" si="49"/>
        <v>0</v>
      </c>
      <c r="AQ99" s="78"/>
      <c r="AR99" s="142"/>
      <c r="AS99" s="142"/>
      <c r="AT99" s="79">
        <f t="shared" si="50"/>
        <v>0</v>
      </c>
      <c r="AU99" s="75"/>
      <c r="AV99" s="76"/>
      <c r="AW99" s="135"/>
      <c r="AX99" s="135"/>
      <c r="AY99" s="77">
        <f t="shared" si="51"/>
        <v>0</v>
      </c>
      <c r="AZ99" s="76"/>
      <c r="BA99" s="142"/>
      <c r="BB99" s="142"/>
      <c r="BC99" s="77">
        <f t="shared" si="52"/>
        <v>0</v>
      </c>
      <c r="BD99" s="78"/>
      <c r="BE99" s="142"/>
      <c r="BF99" s="142"/>
      <c r="BG99" s="79">
        <f t="shared" si="53"/>
        <v>0</v>
      </c>
      <c r="BH99" s="75"/>
      <c r="BI99" s="76"/>
      <c r="BJ99" s="135"/>
      <c r="BK99" s="135"/>
      <c r="BL99" s="77">
        <f t="shared" si="54"/>
        <v>0</v>
      </c>
      <c r="BM99" s="78"/>
      <c r="BN99" s="142"/>
      <c r="BO99" s="142"/>
      <c r="BP99" s="77">
        <f t="shared" si="55"/>
        <v>0</v>
      </c>
      <c r="BQ99" s="78"/>
      <c r="BR99" s="142"/>
      <c r="BS99" s="142"/>
      <c r="BT99" s="79">
        <f t="shared" si="56"/>
        <v>0</v>
      </c>
      <c r="BU99" s="75"/>
      <c r="BV99" s="76"/>
      <c r="BW99" s="135"/>
      <c r="BX99" s="135"/>
      <c r="BY99" s="77">
        <f t="shared" si="57"/>
        <v>0</v>
      </c>
      <c r="BZ99" s="78"/>
      <c r="CA99" s="142"/>
      <c r="CB99" s="142"/>
      <c r="CC99" s="77">
        <f t="shared" si="58"/>
        <v>0</v>
      </c>
      <c r="CD99" s="78"/>
      <c r="CE99" s="142"/>
      <c r="CF99" s="142"/>
      <c r="CG99" s="79">
        <f t="shared" si="59"/>
        <v>0</v>
      </c>
      <c r="CH99" s="75"/>
      <c r="CI99" s="76"/>
      <c r="CJ99" s="135"/>
      <c r="CK99" s="135"/>
      <c r="CL99" s="77">
        <f t="shared" si="60"/>
        <v>0</v>
      </c>
      <c r="CM99" s="78"/>
      <c r="CN99" s="142"/>
      <c r="CO99" s="142"/>
      <c r="CP99" s="77">
        <f t="shared" si="61"/>
        <v>0</v>
      </c>
      <c r="CQ99" s="78"/>
      <c r="CR99" s="142"/>
      <c r="CS99" s="142"/>
      <c r="CT99" s="79">
        <f t="shared" si="62"/>
        <v>0</v>
      </c>
      <c r="CU99" s="80">
        <f t="shared" si="35"/>
        <v>0</v>
      </c>
      <c r="CV99" s="81">
        <f t="shared" si="36"/>
        <v>0</v>
      </c>
      <c r="CW99" s="144"/>
      <c r="CX99" s="145">
        <f>IF(ISERROR(VLOOKUP($A99,FIJOS!$B$11:$O$590,14,FALSE)),0,VLOOKUP($A99,FIJOS!$B$11:$O$590,14,FALSE))</f>
        <v>0</v>
      </c>
      <c r="CY99" s="145">
        <f>IF(ISERROR(VLOOKUP(A99,FIJOS!$B$10:$P$590,15,FALSE)),0,VLOOKUP(A99,FIJOS!$B$10:$P$590,15,FALSE))</f>
        <v>0</v>
      </c>
      <c r="CZ99" s="156"/>
      <c r="DA99" s="146"/>
      <c r="DB99" s="147"/>
      <c r="DC99" s="147"/>
      <c r="DD99" s="147"/>
      <c r="DE99" s="147"/>
      <c r="DF99" s="145">
        <f>IF(ISERROR(VLOOKUP($A99,FIJOS!$B$11:$N$590,13,FALSE)),0,VLOOKUP($A99,FIJOS!$B$11:$N$590,13,FALSE))</f>
        <v>0</v>
      </c>
      <c r="DG99" s="145">
        <f>IF(ISERROR(VLOOKUP($A99,FIJOS!$B$11:$P$447,12,FALSE)),0,VLOOKUP($A99,FIJOS!$B$11:$P$447,12,FALSE))</f>
        <v>0</v>
      </c>
      <c r="DH99" s="82">
        <f t="shared" si="63"/>
        <v>0</v>
      </c>
      <c r="DI99" s="83" t="b">
        <f>IF($C99=1,(VLOOKUP($A99,FIJOS!$B$11:$P$545,10,FALSE)/7)*(7-$CU99),IF(AND($C99=2,CV99&lt;$DJ$1),(VLOOKUP($D99,HORAS!$B$4:$C$42,2,FALSE)*24)*$CV99,IF(AND($C99=2,CV99&gt;=$DJ$1),VLOOKUP($D99,HORAS!$B$4:$D$42,3,FALSE),IF(AND($C99=3,$CV99&gt;=$DJ$1),VLOOKUP($A99,FIJOS!$B$11:$P$545,10,FALSE),IF(AND($C99=3,$CV99&lt;$DJ$1),((VLOOKUP($A99,FIJOS!$B$11:$P$545,10,FALSE)/48)*24)*$CV99,IF(AND($C99=4,$CV99&gt;=(42/24)),VLOOKUP($D99,HORAS!$B$4:$D$42,3,FALSE),IF(AND($C99=5,$CV99&gt;=(36/24)),VLOOKUP($D99,HORAS!$B$4:$D$42,3,FALSE))))))))</f>
        <v>0</v>
      </c>
      <c r="DJ99" s="145">
        <f>IF(OR($C99=2),VLOOKUP($D99,HORAS!$B$4:$E$42,4,FALSE)*$EC99,IF(ISERROR(VLOOKUP($A99,FIJOS!$B$11:$P$108,9,FALSE)),0,VLOOKUP($A99,FIJOS!$B$11:$P$231,9,FALSE)*$EC99))</f>
        <v>0</v>
      </c>
      <c r="DK99" s="145">
        <f>IF(OR($C99=2),VLOOKUP($D99,HORAS!$B$4:$F$42,5,FALSE)*$EE99,IF(ISERROR(VLOOKUP($A99,FIJOS!$B$11:$P$108,9,FALSE)),0,VLOOKUP($A99,FIJOS!$B$11:$P$231,9,FALSE)*$EE99))</f>
        <v>0</v>
      </c>
      <c r="DL99" s="144"/>
      <c r="DM99" s="145">
        <f>IF(ISERROR(VLOOKUP($A99,FIJOS!$B$11:$L$646,11,FALSE)),0,VLOOKUP($A99,FIJOS!$B$11:$L$646,11,FALSE))</f>
        <v>0</v>
      </c>
      <c r="DN99" s="148" t="e">
        <f>IF(OR($C99=1,$C99=3),0,IF((VLOOKUP(CAPTURA!D99,HORAS!$B$4:$K$42,10,FALSE)/4)*COUNTIF($H99:$CT99,3)&gt;100,100,(VLOOKUP(CAPTURA!D99,HORAS!$B$4:$K$42,10,FALSE)/4)*COUNTIF($H99:$CT99,3)))</f>
        <v>#N/A</v>
      </c>
      <c r="DO99" s="144" t="e">
        <f>IF(OR($C99=1,$C99=3),0,IF($C99=5,VLOOKUP(D99,HORAS!$B$4:$G$42,6,FALSE),IF(AND($C99=4,$CV99&gt;=(42/24)),VLOOKUP(D99,HORAS!$B$4:$G$42,6,FALSE),IF(COUNTIF($H99:$CL99,"F")&gt;0,0,IF(CV99&gt;$DJ$1,$DJ$1*(VLOOKUP(D99,HORAS!$B$4:$G$42,6,FALSE)/$DJ$1),CV99*(VLOOKUP(D99,HORAS!$B$4:$G$42,6,FALSE)/$DJ$1))))))</f>
        <v>#N/A</v>
      </c>
      <c r="DP99" s="156"/>
      <c r="DQ99" s="89"/>
      <c r="DR99" s="148"/>
      <c r="DS99" s="83" t="e">
        <f t="shared" si="66"/>
        <v>#N/A</v>
      </c>
      <c r="DT99" s="84"/>
      <c r="DU99" s="149" t="e">
        <f t="shared" si="67"/>
        <v>#N/A</v>
      </c>
      <c r="DV99" s="149" t="e">
        <f t="shared" si="68"/>
        <v>#N/A</v>
      </c>
      <c r="DW99" s="144" t="e">
        <f t="shared" si="69"/>
        <v>#N/A</v>
      </c>
      <c r="DX99" s="134"/>
      <c r="DY99" s="29"/>
      <c r="DZ99" s="150"/>
      <c r="EA99" s="134"/>
      <c r="EB99" s="137">
        <f t="shared" si="70"/>
        <v>0</v>
      </c>
      <c r="EC99" s="138">
        <f t="shared" si="64"/>
        <v>0</v>
      </c>
      <c r="ED99" s="137">
        <f t="shared" si="71"/>
        <v>0</v>
      </c>
      <c r="EE99" s="132">
        <f t="shared" si="65"/>
        <v>0</v>
      </c>
      <c r="EF99" s="29"/>
      <c r="EG99" s="134"/>
      <c r="EH99" s="134"/>
      <c r="EI99" s="134"/>
      <c r="EK99" s="29"/>
    </row>
    <row r="100" spans="1:141" ht="15" customHeight="1" x14ac:dyDescent="0.25">
      <c r="A100" s="140"/>
      <c r="B100" s="151"/>
      <c r="C100" s="72"/>
      <c r="D100" s="73"/>
      <c r="E100" s="73"/>
      <c r="F100" s="141"/>
      <c r="G100" s="74"/>
      <c r="H100" s="75"/>
      <c r="I100" s="76"/>
      <c r="J100" s="135"/>
      <c r="K100" s="135"/>
      <c r="L100" s="77">
        <f t="shared" si="42"/>
        <v>0</v>
      </c>
      <c r="M100" s="78"/>
      <c r="N100" s="142"/>
      <c r="O100" s="142"/>
      <c r="P100" s="77">
        <f t="shared" si="43"/>
        <v>0</v>
      </c>
      <c r="Q100" s="78"/>
      <c r="R100" s="143"/>
      <c r="S100" s="143"/>
      <c r="T100" s="77">
        <f t="shared" si="44"/>
        <v>0</v>
      </c>
      <c r="U100" s="75"/>
      <c r="V100" s="76"/>
      <c r="W100" s="135"/>
      <c r="X100" s="135"/>
      <c r="Y100" s="77">
        <f t="shared" si="45"/>
        <v>0</v>
      </c>
      <c r="Z100" s="78"/>
      <c r="AA100" s="142"/>
      <c r="AB100" s="142"/>
      <c r="AC100" s="77">
        <f t="shared" si="46"/>
        <v>0</v>
      </c>
      <c r="AD100" s="78"/>
      <c r="AE100" s="143"/>
      <c r="AF100" s="143"/>
      <c r="AG100" s="79">
        <f t="shared" si="47"/>
        <v>0</v>
      </c>
      <c r="AH100" s="75"/>
      <c r="AI100" s="76"/>
      <c r="AJ100" s="135"/>
      <c r="AK100" s="135"/>
      <c r="AL100" s="77">
        <f t="shared" si="48"/>
        <v>0</v>
      </c>
      <c r="AM100" s="76"/>
      <c r="AN100" s="142"/>
      <c r="AO100" s="142"/>
      <c r="AP100" s="77">
        <f t="shared" si="49"/>
        <v>0</v>
      </c>
      <c r="AQ100" s="78"/>
      <c r="AR100" s="142"/>
      <c r="AS100" s="142"/>
      <c r="AT100" s="79">
        <f t="shared" si="50"/>
        <v>0</v>
      </c>
      <c r="AU100" s="75"/>
      <c r="AV100" s="76"/>
      <c r="AW100" s="135"/>
      <c r="AX100" s="135"/>
      <c r="AY100" s="77">
        <f t="shared" si="51"/>
        <v>0</v>
      </c>
      <c r="AZ100" s="76"/>
      <c r="BA100" s="142"/>
      <c r="BB100" s="142"/>
      <c r="BC100" s="77">
        <f t="shared" si="52"/>
        <v>0</v>
      </c>
      <c r="BD100" s="78"/>
      <c r="BE100" s="142"/>
      <c r="BF100" s="142"/>
      <c r="BG100" s="79">
        <f t="shared" si="53"/>
        <v>0</v>
      </c>
      <c r="BH100" s="75"/>
      <c r="BI100" s="76"/>
      <c r="BJ100" s="135"/>
      <c r="BK100" s="135"/>
      <c r="BL100" s="77">
        <f t="shared" si="54"/>
        <v>0</v>
      </c>
      <c r="BM100" s="78"/>
      <c r="BN100" s="142"/>
      <c r="BO100" s="142"/>
      <c r="BP100" s="77">
        <f t="shared" si="55"/>
        <v>0</v>
      </c>
      <c r="BQ100" s="78"/>
      <c r="BR100" s="142"/>
      <c r="BS100" s="142"/>
      <c r="BT100" s="79">
        <f t="shared" si="56"/>
        <v>0</v>
      </c>
      <c r="BU100" s="75"/>
      <c r="BV100" s="76"/>
      <c r="BW100" s="135"/>
      <c r="BX100" s="135"/>
      <c r="BY100" s="77">
        <f t="shared" si="57"/>
        <v>0</v>
      </c>
      <c r="BZ100" s="78"/>
      <c r="CA100" s="142"/>
      <c r="CB100" s="142"/>
      <c r="CC100" s="77">
        <f t="shared" si="58"/>
        <v>0</v>
      </c>
      <c r="CD100" s="78"/>
      <c r="CE100" s="142"/>
      <c r="CF100" s="142"/>
      <c r="CG100" s="79">
        <f t="shared" si="59"/>
        <v>0</v>
      </c>
      <c r="CH100" s="75"/>
      <c r="CI100" s="76"/>
      <c r="CJ100" s="135"/>
      <c r="CK100" s="135"/>
      <c r="CL100" s="77">
        <f t="shared" si="60"/>
        <v>0</v>
      </c>
      <c r="CM100" s="78"/>
      <c r="CN100" s="142"/>
      <c r="CO100" s="142"/>
      <c r="CP100" s="77">
        <f t="shared" si="61"/>
        <v>0</v>
      </c>
      <c r="CQ100" s="78"/>
      <c r="CR100" s="142"/>
      <c r="CS100" s="142"/>
      <c r="CT100" s="79">
        <f t="shared" si="62"/>
        <v>0</v>
      </c>
      <c r="CU100" s="80">
        <f t="shared" si="35"/>
        <v>0</v>
      </c>
      <c r="CV100" s="81">
        <f t="shared" si="36"/>
        <v>0</v>
      </c>
      <c r="CW100" s="144"/>
      <c r="CX100" s="145">
        <f>IF(ISERROR(VLOOKUP($A100,FIJOS!$B$11:$O$590,14,FALSE)),0,VLOOKUP($A100,FIJOS!$B$11:$O$590,14,FALSE))</f>
        <v>0</v>
      </c>
      <c r="CY100" s="145">
        <f>IF(ISERROR(VLOOKUP(A100,FIJOS!$B$10:$P$590,15,FALSE)),0,VLOOKUP(A100,FIJOS!$B$10:$P$590,15,FALSE))</f>
        <v>0</v>
      </c>
      <c r="CZ100" s="156"/>
      <c r="DA100" s="146"/>
      <c r="DB100" s="147"/>
      <c r="DC100" s="147"/>
      <c r="DD100" s="147"/>
      <c r="DE100" s="147"/>
      <c r="DF100" s="145">
        <f>IF(ISERROR(VLOOKUP($A100,FIJOS!$B$11:$N$590,13,FALSE)),0,VLOOKUP($A100,FIJOS!$B$11:$N$590,13,FALSE))</f>
        <v>0</v>
      </c>
      <c r="DG100" s="145">
        <f>IF(ISERROR(VLOOKUP($A100,FIJOS!$B$11:$P$447,12,FALSE)),0,VLOOKUP($A100,FIJOS!$B$11:$P$447,12,FALSE))</f>
        <v>0</v>
      </c>
      <c r="DH100" s="82">
        <f t="shared" si="63"/>
        <v>0</v>
      </c>
      <c r="DI100" s="83" t="b">
        <f>IF($C100=1,(VLOOKUP($A100,FIJOS!$B$11:$P$545,10,FALSE)/7)*(7-$CU100),IF(AND($C100=2,CV100&lt;$DJ$1),(VLOOKUP($D100,HORAS!$B$4:$C$42,2,FALSE)*24)*$CV100,IF(AND($C100=2,CV100&gt;=$DJ$1),VLOOKUP($D100,HORAS!$B$4:$D$42,3,FALSE),IF(AND($C100=3,$CV100&gt;=$DJ$1),VLOOKUP($A100,FIJOS!$B$11:$P$545,10,FALSE),IF(AND($C100=3,$CV100&lt;$DJ$1),((VLOOKUP($A100,FIJOS!$B$11:$P$545,10,FALSE)/48)*24)*$CV100,IF(AND($C100=4,$CV100&gt;=(42/24)),VLOOKUP($D100,HORAS!$B$4:$D$42,3,FALSE),IF(AND($C100=5,$CV100&gt;=(36/24)),VLOOKUP($D100,HORAS!$B$4:$D$42,3,FALSE))))))))</f>
        <v>0</v>
      </c>
      <c r="DJ100" s="145">
        <f>IF(OR($C100=2),VLOOKUP($D100,HORAS!$B$4:$E$42,4,FALSE)*$EC100,IF(ISERROR(VLOOKUP($A100,FIJOS!$B$11:$P$108,9,FALSE)),0,VLOOKUP($A100,FIJOS!$B$11:$P$231,9,FALSE)*$EC100))</f>
        <v>0</v>
      </c>
      <c r="DK100" s="145">
        <f>IF(OR($C100=2),VLOOKUP($D100,HORAS!$B$4:$F$42,5,FALSE)*$EE100,IF(ISERROR(VLOOKUP($A100,FIJOS!$B$11:$P$108,9,FALSE)),0,VLOOKUP($A100,FIJOS!$B$11:$P$231,9,FALSE)*$EE100))</f>
        <v>0</v>
      </c>
      <c r="DL100" s="144"/>
      <c r="DM100" s="145">
        <f>IF(ISERROR(VLOOKUP($A100,FIJOS!$B$11:$L$646,11,FALSE)),0,VLOOKUP($A100,FIJOS!$B$11:$L$646,11,FALSE))</f>
        <v>0</v>
      </c>
      <c r="DN100" s="148" t="e">
        <f>IF(OR($C100=1,$C100=3),0,IF((VLOOKUP(CAPTURA!D100,HORAS!$B$4:$K$42,10,FALSE)/4)*COUNTIF($H100:$CT100,3)&gt;100,100,(VLOOKUP(CAPTURA!D100,HORAS!$B$4:$K$42,10,FALSE)/4)*COUNTIF($H100:$CT100,3)))</f>
        <v>#N/A</v>
      </c>
      <c r="DO100" s="144" t="e">
        <f>IF(OR($C100=1,$C100=3),0,IF($C100=5,VLOOKUP(D100,HORAS!$B$4:$G$42,6,FALSE),IF(AND($C100=4,$CV100&gt;=(42/24)),VLOOKUP(D100,HORAS!$B$4:$G$42,6,FALSE),IF(COUNTIF($H100:$CL100,"F")&gt;0,0,IF(CV100&gt;$DJ$1,$DJ$1*(VLOOKUP(D100,HORAS!$B$4:$G$42,6,FALSE)/$DJ$1),CV100*(VLOOKUP(D100,HORAS!$B$4:$G$42,6,FALSE)/$DJ$1))))))</f>
        <v>#N/A</v>
      </c>
      <c r="DP100" s="156"/>
      <c r="DQ100" s="148"/>
      <c r="DR100" s="148"/>
      <c r="DS100" s="83" t="e">
        <f t="shared" si="66"/>
        <v>#N/A</v>
      </c>
      <c r="DT100" s="84"/>
      <c r="DU100" s="149" t="e">
        <f t="shared" si="67"/>
        <v>#N/A</v>
      </c>
      <c r="DV100" s="149" t="e">
        <f t="shared" si="68"/>
        <v>#N/A</v>
      </c>
      <c r="DW100" s="144" t="e">
        <f t="shared" si="69"/>
        <v>#N/A</v>
      </c>
      <c r="DX100" s="134"/>
      <c r="DY100" s="29"/>
      <c r="DZ100" s="150"/>
      <c r="EA100" s="134"/>
      <c r="EB100" s="137">
        <f t="shared" si="70"/>
        <v>0</v>
      </c>
      <c r="EC100" s="138">
        <f t="shared" si="64"/>
        <v>0</v>
      </c>
      <c r="ED100" s="137">
        <f t="shared" si="71"/>
        <v>0</v>
      </c>
      <c r="EE100" s="132">
        <f t="shared" si="65"/>
        <v>0</v>
      </c>
      <c r="EF100" s="29"/>
      <c r="EG100" s="134"/>
      <c r="EH100" s="134"/>
      <c r="EI100" s="134"/>
      <c r="EK100" s="29"/>
    </row>
    <row r="101" spans="1:141" ht="15" customHeight="1" x14ac:dyDescent="0.25">
      <c r="A101" s="140"/>
      <c r="B101" s="151"/>
      <c r="C101" s="72"/>
      <c r="D101" s="73"/>
      <c r="E101" s="73"/>
      <c r="F101" s="141"/>
      <c r="G101" s="74"/>
      <c r="H101" s="75"/>
      <c r="I101" s="76"/>
      <c r="J101" s="135"/>
      <c r="K101" s="135"/>
      <c r="L101" s="77">
        <f t="shared" si="42"/>
        <v>0</v>
      </c>
      <c r="M101" s="78"/>
      <c r="N101" s="142"/>
      <c r="O101" s="142"/>
      <c r="P101" s="77">
        <f t="shared" si="43"/>
        <v>0</v>
      </c>
      <c r="Q101" s="78"/>
      <c r="R101" s="143"/>
      <c r="S101" s="143"/>
      <c r="T101" s="77">
        <f t="shared" si="44"/>
        <v>0</v>
      </c>
      <c r="U101" s="75"/>
      <c r="V101" s="76"/>
      <c r="W101" s="135"/>
      <c r="X101" s="135"/>
      <c r="Y101" s="77">
        <f t="shared" si="45"/>
        <v>0</v>
      </c>
      <c r="Z101" s="78"/>
      <c r="AA101" s="142"/>
      <c r="AB101" s="142"/>
      <c r="AC101" s="77">
        <f t="shared" si="46"/>
        <v>0</v>
      </c>
      <c r="AD101" s="78"/>
      <c r="AE101" s="143"/>
      <c r="AF101" s="143"/>
      <c r="AG101" s="79">
        <f t="shared" si="47"/>
        <v>0</v>
      </c>
      <c r="AH101" s="75"/>
      <c r="AI101" s="76"/>
      <c r="AJ101" s="135"/>
      <c r="AK101" s="135"/>
      <c r="AL101" s="77">
        <f t="shared" si="48"/>
        <v>0</v>
      </c>
      <c r="AM101" s="76"/>
      <c r="AN101" s="142"/>
      <c r="AO101" s="142"/>
      <c r="AP101" s="77">
        <f t="shared" si="49"/>
        <v>0</v>
      </c>
      <c r="AQ101" s="78"/>
      <c r="AR101" s="142"/>
      <c r="AS101" s="142"/>
      <c r="AT101" s="79">
        <f t="shared" si="50"/>
        <v>0</v>
      </c>
      <c r="AU101" s="75"/>
      <c r="AV101" s="76"/>
      <c r="AW101" s="135"/>
      <c r="AX101" s="135"/>
      <c r="AY101" s="77">
        <f t="shared" si="51"/>
        <v>0</v>
      </c>
      <c r="AZ101" s="76"/>
      <c r="BA101" s="142"/>
      <c r="BB101" s="142"/>
      <c r="BC101" s="77">
        <f t="shared" si="52"/>
        <v>0</v>
      </c>
      <c r="BD101" s="78"/>
      <c r="BE101" s="142"/>
      <c r="BF101" s="142"/>
      <c r="BG101" s="79">
        <f t="shared" si="53"/>
        <v>0</v>
      </c>
      <c r="BH101" s="75"/>
      <c r="BI101" s="76"/>
      <c r="BJ101" s="135"/>
      <c r="BK101" s="135"/>
      <c r="BL101" s="77">
        <f t="shared" si="54"/>
        <v>0</v>
      </c>
      <c r="BM101" s="78"/>
      <c r="BN101" s="142"/>
      <c r="BO101" s="142"/>
      <c r="BP101" s="77">
        <f t="shared" si="55"/>
        <v>0</v>
      </c>
      <c r="BQ101" s="78"/>
      <c r="BR101" s="142"/>
      <c r="BS101" s="142"/>
      <c r="BT101" s="79">
        <f t="shared" si="56"/>
        <v>0</v>
      </c>
      <c r="BU101" s="75"/>
      <c r="BV101" s="76"/>
      <c r="BW101" s="135"/>
      <c r="BX101" s="135"/>
      <c r="BY101" s="77">
        <f t="shared" si="57"/>
        <v>0</v>
      </c>
      <c r="BZ101" s="78"/>
      <c r="CA101" s="142"/>
      <c r="CB101" s="142"/>
      <c r="CC101" s="77">
        <f t="shared" si="58"/>
        <v>0</v>
      </c>
      <c r="CD101" s="78"/>
      <c r="CE101" s="142"/>
      <c r="CF101" s="142"/>
      <c r="CG101" s="79">
        <f t="shared" si="59"/>
        <v>0</v>
      </c>
      <c r="CH101" s="75"/>
      <c r="CI101" s="76"/>
      <c r="CJ101" s="135"/>
      <c r="CK101" s="135"/>
      <c r="CL101" s="77">
        <f t="shared" si="60"/>
        <v>0</v>
      </c>
      <c r="CM101" s="78"/>
      <c r="CN101" s="142"/>
      <c r="CO101" s="142"/>
      <c r="CP101" s="77">
        <f t="shared" si="61"/>
        <v>0</v>
      </c>
      <c r="CQ101" s="78"/>
      <c r="CR101" s="142"/>
      <c r="CS101" s="142"/>
      <c r="CT101" s="79">
        <f t="shared" si="62"/>
        <v>0</v>
      </c>
      <c r="CU101" s="80">
        <f t="shared" si="35"/>
        <v>0</v>
      </c>
      <c r="CV101" s="81">
        <f t="shared" si="36"/>
        <v>0</v>
      </c>
      <c r="CW101" s="144"/>
      <c r="CX101" s="145">
        <f>IF(ISERROR(VLOOKUP($A101,FIJOS!$B$11:$O$590,14,FALSE)),0,VLOOKUP($A101,FIJOS!$B$11:$O$590,14,FALSE))</f>
        <v>0</v>
      </c>
      <c r="CY101" s="145">
        <f>IF(ISERROR(VLOOKUP(A101,FIJOS!$B$10:$P$590,15,FALSE)),0,VLOOKUP(A101,FIJOS!$B$10:$P$590,15,FALSE))</f>
        <v>0</v>
      </c>
      <c r="CZ101" s="156"/>
      <c r="DA101" s="146"/>
      <c r="DB101" s="147"/>
      <c r="DC101" s="147"/>
      <c r="DD101" s="147"/>
      <c r="DE101" s="147"/>
      <c r="DF101" s="145">
        <f>IF(ISERROR(VLOOKUP($A101,FIJOS!$B$11:$N$590,13,FALSE)),0,VLOOKUP($A101,FIJOS!$B$11:$N$590,13,FALSE))</f>
        <v>0</v>
      </c>
      <c r="DG101" s="145">
        <f>IF(ISERROR(VLOOKUP($A101,FIJOS!$B$11:$P$447,12,FALSE)),0,VLOOKUP($A101,FIJOS!$B$11:$P$447,12,FALSE))</f>
        <v>0</v>
      </c>
      <c r="DH101" s="82">
        <f t="shared" si="63"/>
        <v>0</v>
      </c>
      <c r="DI101" s="83" t="b">
        <f>IF($C101=1,(VLOOKUP($A101,FIJOS!$B$11:$P$545,10,FALSE)/7)*(7-$CU101),IF(AND($C101=2,CV101&lt;$DJ$1),(VLOOKUP($D101,HORAS!$B$4:$C$42,2,FALSE)*24)*$CV101,IF(AND($C101=2,CV101&gt;=$DJ$1),VLOOKUP($D101,HORAS!$B$4:$D$42,3,FALSE),IF(AND($C101=3,$CV101&gt;=$DJ$1),VLOOKUP($A101,FIJOS!$B$11:$P$545,10,FALSE),IF(AND($C101=3,$CV101&lt;$DJ$1),((VLOOKUP($A101,FIJOS!$B$11:$P$545,10,FALSE)/48)*24)*$CV101,IF(AND($C101=4,$CV101&gt;=(42/24)),VLOOKUP($D101,HORAS!$B$4:$D$42,3,FALSE),IF(AND($C101=5,$CV101&gt;=(36/24)),VLOOKUP($D101,HORAS!$B$4:$D$42,3,FALSE))))))))</f>
        <v>0</v>
      </c>
      <c r="DJ101" s="145">
        <f>IF(OR($C101=2),VLOOKUP($D101,HORAS!$B$4:$E$42,4,FALSE)*$EC101,IF(ISERROR(VLOOKUP($A101,FIJOS!$B$11:$P$108,9,FALSE)),0,VLOOKUP($A101,FIJOS!$B$11:$P$231,9,FALSE)*$EC101))</f>
        <v>0</v>
      </c>
      <c r="DK101" s="145">
        <f>IF(OR($C101=2),VLOOKUP($D101,HORAS!$B$4:$F$42,5,FALSE)*$EE101,IF(ISERROR(VLOOKUP($A101,FIJOS!$B$11:$P$108,9,FALSE)),0,VLOOKUP($A101,FIJOS!$B$11:$P$231,9,FALSE)*$EE101))</f>
        <v>0</v>
      </c>
      <c r="DL101" s="144"/>
      <c r="DM101" s="145">
        <f>IF(ISERROR(VLOOKUP($A101,FIJOS!$B$11:$L$646,11,FALSE)),0,VLOOKUP($A101,FIJOS!$B$11:$L$646,11,FALSE))</f>
        <v>0</v>
      </c>
      <c r="DN101" s="148" t="e">
        <f>IF(OR($C101=1,$C101=3),0,IF((VLOOKUP(CAPTURA!D101,HORAS!$B$4:$K$42,10,FALSE)/4)*COUNTIF($H101:$CT101,3)&gt;100,100,(VLOOKUP(CAPTURA!D101,HORAS!$B$4:$K$42,10,FALSE)/4)*COUNTIF($H101:$CT101,3)))</f>
        <v>#N/A</v>
      </c>
      <c r="DO101" s="144" t="e">
        <f>IF(OR($C101=1,$C101=3),0,IF($C101=5,VLOOKUP(D101,HORAS!$B$4:$G$42,6,FALSE),IF(AND($C101=4,$CV101&gt;=(42/24)),VLOOKUP(D101,HORAS!$B$4:$G$42,6,FALSE),IF(COUNTIF($H101:$CL101,"F")&gt;0,0,IF(CV101&gt;$DJ$1,$DJ$1*(VLOOKUP(D101,HORAS!$B$4:$G$42,6,FALSE)/$DJ$1),CV101*(VLOOKUP(D101,HORAS!$B$4:$G$42,6,FALSE)/$DJ$1))))))</f>
        <v>#N/A</v>
      </c>
      <c r="DP101" s="156"/>
      <c r="DQ101" s="89"/>
      <c r="DR101" s="148"/>
      <c r="DS101" s="83" t="e">
        <f t="shared" si="66"/>
        <v>#N/A</v>
      </c>
      <c r="DT101" s="84"/>
      <c r="DU101" s="149" t="e">
        <f t="shared" si="67"/>
        <v>#N/A</v>
      </c>
      <c r="DV101" s="149" t="e">
        <f t="shared" si="68"/>
        <v>#N/A</v>
      </c>
      <c r="DW101" s="144" t="e">
        <f t="shared" si="69"/>
        <v>#N/A</v>
      </c>
      <c r="DX101"/>
      <c r="DY101" s="29"/>
      <c r="DZ101" s="150"/>
      <c r="EA101" s="134"/>
      <c r="EB101" s="137">
        <f t="shared" si="70"/>
        <v>0</v>
      </c>
      <c r="EC101" s="138">
        <f t="shared" si="64"/>
        <v>0</v>
      </c>
      <c r="ED101" s="137">
        <f t="shared" si="71"/>
        <v>0</v>
      </c>
      <c r="EE101" s="132">
        <f t="shared" si="65"/>
        <v>0</v>
      </c>
      <c r="EF101" s="29"/>
      <c r="EG101" s="134"/>
      <c r="EH101" s="134"/>
      <c r="EI101" s="134"/>
      <c r="EK101" s="29"/>
    </row>
    <row r="102" spans="1:141" ht="15" customHeight="1" x14ac:dyDescent="0.25">
      <c r="A102" s="140"/>
      <c r="B102" s="151"/>
      <c r="C102" s="72"/>
      <c r="D102" s="73"/>
      <c r="E102" s="73"/>
      <c r="F102" s="141"/>
      <c r="G102" s="74"/>
      <c r="H102" s="75"/>
      <c r="I102" s="76"/>
      <c r="J102" s="135"/>
      <c r="K102" s="135"/>
      <c r="L102" s="77">
        <f t="shared" si="42"/>
        <v>0</v>
      </c>
      <c r="M102" s="78"/>
      <c r="N102" s="142"/>
      <c r="O102" s="142"/>
      <c r="P102" s="77">
        <f t="shared" si="43"/>
        <v>0</v>
      </c>
      <c r="Q102" s="78"/>
      <c r="R102" s="143"/>
      <c r="S102" s="143"/>
      <c r="T102" s="77">
        <f t="shared" si="44"/>
        <v>0</v>
      </c>
      <c r="U102" s="75"/>
      <c r="V102" s="76"/>
      <c r="W102" s="135"/>
      <c r="X102" s="135"/>
      <c r="Y102" s="77">
        <f t="shared" si="45"/>
        <v>0</v>
      </c>
      <c r="Z102" s="78"/>
      <c r="AA102" s="142"/>
      <c r="AB102" s="142"/>
      <c r="AC102" s="77">
        <f t="shared" si="46"/>
        <v>0</v>
      </c>
      <c r="AD102" s="78"/>
      <c r="AE102" s="143"/>
      <c r="AF102" s="143"/>
      <c r="AG102" s="79">
        <f t="shared" si="47"/>
        <v>0</v>
      </c>
      <c r="AH102" s="75"/>
      <c r="AI102" s="76"/>
      <c r="AJ102" s="135"/>
      <c r="AK102" s="135"/>
      <c r="AL102" s="77">
        <f t="shared" si="48"/>
        <v>0</v>
      </c>
      <c r="AM102" s="76"/>
      <c r="AN102" s="142"/>
      <c r="AO102" s="142"/>
      <c r="AP102" s="77">
        <f t="shared" si="49"/>
        <v>0</v>
      </c>
      <c r="AQ102" s="78"/>
      <c r="AR102" s="142"/>
      <c r="AS102" s="142"/>
      <c r="AT102" s="79">
        <f t="shared" si="50"/>
        <v>0</v>
      </c>
      <c r="AU102" s="75"/>
      <c r="AV102" s="76"/>
      <c r="AW102" s="135"/>
      <c r="AX102" s="135"/>
      <c r="AY102" s="77">
        <f t="shared" si="51"/>
        <v>0</v>
      </c>
      <c r="AZ102" s="76"/>
      <c r="BA102" s="142"/>
      <c r="BB102" s="142"/>
      <c r="BC102" s="77">
        <f t="shared" si="52"/>
        <v>0</v>
      </c>
      <c r="BD102" s="78"/>
      <c r="BE102" s="142"/>
      <c r="BF102" s="142"/>
      <c r="BG102" s="79">
        <f t="shared" si="53"/>
        <v>0</v>
      </c>
      <c r="BH102" s="75"/>
      <c r="BI102" s="76"/>
      <c r="BJ102" s="135"/>
      <c r="BK102" s="135"/>
      <c r="BL102" s="77">
        <f t="shared" si="54"/>
        <v>0</v>
      </c>
      <c r="BM102" s="78"/>
      <c r="BN102" s="142"/>
      <c r="BO102" s="142"/>
      <c r="BP102" s="77">
        <f t="shared" si="55"/>
        <v>0</v>
      </c>
      <c r="BQ102" s="78"/>
      <c r="BR102" s="142"/>
      <c r="BS102" s="142"/>
      <c r="BT102" s="79">
        <f t="shared" si="56"/>
        <v>0</v>
      </c>
      <c r="BU102" s="75"/>
      <c r="BV102" s="76"/>
      <c r="BW102" s="135"/>
      <c r="BX102" s="135"/>
      <c r="BY102" s="77">
        <f t="shared" si="57"/>
        <v>0</v>
      </c>
      <c r="BZ102" s="78"/>
      <c r="CA102" s="142"/>
      <c r="CB102" s="142"/>
      <c r="CC102" s="77">
        <f t="shared" si="58"/>
        <v>0</v>
      </c>
      <c r="CD102" s="78"/>
      <c r="CE102" s="142"/>
      <c r="CF102" s="142"/>
      <c r="CG102" s="79">
        <f t="shared" si="59"/>
        <v>0</v>
      </c>
      <c r="CH102" s="75"/>
      <c r="CI102" s="76"/>
      <c r="CJ102" s="135"/>
      <c r="CK102" s="135"/>
      <c r="CL102" s="77">
        <f t="shared" si="60"/>
        <v>0</v>
      </c>
      <c r="CM102" s="78"/>
      <c r="CN102" s="142"/>
      <c r="CO102" s="142"/>
      <c r="CP102" s="77">
        <f t="shared" si="61"/>
        <v>0</v>
      </c>
      <c r="CQ102" s="78"/>
      <c r="CR102" s="142"/>
      <c r="CS102" s="142"/>
      <c r="CT102" s="79">
        <f t="shared" si="62"/>
        <v>0</v>
      </c>
      <c r="CU102" s="80">
        <f t="shared" si="35"/>
        <v>0</v>
      </c>
      <c r="CV102" s="81">
        <f t="shared" si="36"/>
        <v>0</v>
      </c>
      <c r="CW102" s="144"/>
      <c r="CX102" s="145">
        <f>IF(ISERROR(VLOOKUP($A102,FIJOS!$B$11:$O$590,14,FALSE)),0,VLOOKUP($A102,FIJOS!$B$11:$O$590,14,FALSE))</f>
        <v>0</v>
      </c>
      <c r="CY102" s="145">
        <f>IF(ISERROR(VLOOKUP(A102,FIJOS!$B$10:$P$590,15,FALSE)),0,VLOOKUP(A102,FIJOS!$B$10:$P$590,15,FALSE))</f>
        <v>0</v>
      </c>
      <c r="CZ102" s="156"/>
      <c r="DA102" s="146"/>
      <c r="DB102" s="147"/>
      <c r="DC102" s="147"/>
      <c r="DD102" s="147"/>
      <c r="DE102" s="147"/>
      <c r="DF102" s="145">
        <f>IF(ISERROR(VLOOKUP($A102,FIJOS!$B$11:$N$590,13,FALSE)),0,VLOOKUP($A102,FIJOS!$B$11:$N$590,13,FALSE))</f>
        <v>0</v>
      </c>
      <c r="DG102" s="145">
        <f>IF(ISERROR(VLOOKUP($A102,FIJOS!$B$11:$P$447,12,FALSE)),0,VLOOKUP($A102,FIJOS!$B$11:$P$447,12,FALSE))</f>
        <v>0</v>
      </c>
      <c r="DH102" s="82">
        <f t="shared" si="63"/>
        <v>0</v>
      </c>
      <c r="DI102" s="83" t="b">
        <f>IF($C102=1,(VLOOKUP($A102,FIJOS!$B$11:$P$545,10,FALSE)/7)*(7-$CU102),IF(AND($C102=2,CV102&lt;$DJ$1),(VLOOKUP($D102,HORAS!$B$4:$C$42,2,FALSE)*24)*$CV102,IF(AND($C102=2,CV102&gt;=$DJ$1),VLOOKUP($D102,HORAS!$B$4:$D$42,3,FALSE),IF(AND($C102=3,$CV102&gt;=$DJ$1),VLOOKUP($A102,FIJOS!$B$11:$P$545,10,FALSE),IF(AND($C102=3,$CV102&lt;$DJ$1),((VLOOKUP($A102,FIJOS!$B$11:$P$545,10,FALSE)/48)*24)*$CV102,IF(AND($C102=4,$CV102&gt;=(42/24)),VLOOKUP($D102,HORAS!$B$4:$D$42,3,FALSE),IF(AND($C102=5,$CV102&gt;=(36/24)),VLOOKUP($D102,HORAS!$B$4:$D$42,3,FALSE))))))))</f>
        <v>0</v>
      </c>
      <c r="DJ102" s="145">
        <f>IF(OR($C102=2),VLOOKUP($D102,HORAS!$B$4:$E$42,4,FALSE)*$EC102,IF(ISERROR(VLOOKUP($A102,FIJOS!$B$11:$P$108,9,FALSE)),0,VLOOKUP($A102,FIJOS!$B$11:$P$231,9,FALSE)*$EC102))</f>
        <v>0</v>
      </c>
      <c r="DK102" s="145">
        <f>IF(OR($C102=2),VLOOKUP($D102,HORAS!$B$4:$F$42,5,FALSE)*$EE102,IF(ISERROR(VLOOKUP($A102,FIJOS!$B$11:$P$108,9,FALSE)),0,VLOOKUP($A102,FIJOS!$B$11:$P$231,9,FALSE)*$EE102))</f>
        <v>0</v>
      </c>
      <c r="DL102" s="144"/>
      <c r="DM102" s="145">
        <f>IF(ISERROR(VLOOKUP($A102,FIJOS!$B$11:$L$646,11,FALSE)),0,VLOOKUP($A102,FIJOS!$B$11:$L$646,11,FALSE))</f>
        <v>0</v>
      </c>
      <c r="DN102" s="148" t="e">
        <f>IF(OR($C102=1,$C102=3),0,IF((VLOOKUP(CAPTURA!D102,HORAS!$B$4:$K$42,10,FALSE)/4)*COUNTIF($H102:$CT102,3)&gt;100,100,(VLOOKUP(CAPTURA!D102,HORAS!$B$4:$K$42,10,FALSE)/4)*COUNTIF($H102:$CT102,3)))</f>
        <v>#N/A</v>
      </c>
      <c r="DO102" s="144" t="e">
        <f>IF(OR($C102=1,$C102=3),0,IF($C102=5,VLOOKUP(D102,HORAS!$B$4:$G$42,6,FALSE),IF(AND($C102=4,$CV102&gt;=(42/24)),VLOOKUP(D102,HORAS!$B$4:$G$42,6,FALSE),IF(COUNTIF($H102:$CL102,"F")&gt;0,0,IF(CV102&gt;$DJ$1,$DJ$1*(VLOOKUP(D102,HORAS!$B$4:$G$42,6,FALSE)/$DJ$1),CV102*(VLOOKUP(D102,HORAS!$B$4:$G$42,6,FALSE)/$DJ$1))))))</f>
        <v>#N/A</v>
      </c>
      <c r="DP102" s="156"/>
      <c r="DQ102" s="89"/>
      <c r="DR102" s="148"/>
      <c r="DS102" s="83" t="e">
        <f t="shared" si="66"/>
        <v>#N/A</v>
      </c>
      <c r="DT102" s="84"/>
      <c r="DU102" s="149" t="e">
        <f t="shared" si="67"/>
        <v>#N/A</v>
      </c>
      <c r="DV102" s="149" t="e">
        <f t="shared" si="68"/>
        <v>#N/A</v>
      </c>
      <c r="DW102" s="144" t="e">
        <f t="shared" si="69"/>
        <v>#N/A</v>
      </c>
      <c r="DX102"/>
      <c r="DY102" s="29"/>
      <c r="DZ102" s="150"/>
      <c r="EA102" s="134"/>
      <c r="EB102" s="137">
        <f t="shared" si="70"/>
        <v>0</v>
      </c>
      <c r="EC102" s="138">
        <f t="shared" si="64"/>
        <v>0</v>
      </c>
      <c r="ED102" s="137">
        <f t="shared" si="71"/>
        <v>0</v>
      </c>
      <c r="EE102" s="132">
        <f t="shared" si="65"/>
        <v>0</v>
      </c>
      <c r="EF102" s="29"/>
      <c r="EG102" s="134"/>
      <c r="EH102" s="134"/>
      <c r="EI102" s="134"/>
      <c r="EK102" s="29"/>
    </row>
    <row r="103" spans="1:141" ht="15" customHeight="1" x14ac:dyDescent="0.25">
      <c r="A103" s="140"/>
      <c r="B103" s="5"/>
      <c r="C103" s="72"/>
      <c r="D103" s="73"/>
      <c r="E103" s="73"/>
      <c r="F103" s="141"/>
      <c r="G103" s="74"/>
      <c r="H103" s="75"/>
      <c r="I103" s="76"/>
      <c r="J103" s="135"/>
      <c r="K103" s="135"/>
      <c r="L103" s="77">
        <f t="shared" si="42"/>
        <v>0</v>
      </c>
      <c r="M103" s="78"/>
      <c r="N103" s="142"/>
      <c r="O103" s="142"/>
      <c r="P103" s="77">
        <f t="shared" si="43"/>
        <v>0</v>
      </c>
      <c r="Q103" s="78"/>
      <c r="R103" s="143"/>
      <c r="S103" s="143"/>
      <c r="T103" s="77">
        <f t="shared" si="44"/>
        <v>0</v>
      </c>
      <c r="U103" s="75"/>
      <c r="V103" s="76"/>
      <c r="W103" s="135"/>
      <c r="X103" s="135"/>
      <c r="Y103" s="77">
        <f t="shared" si="45"/>
        <v>0</v>
      </c>
      <c r="Z103" s="78"/>
      <c r="AA103" s="142"/>
      <c r="AB103" s="142"/>
      <c r="AC103" s="77">
        <f t="shared" si="46"/>
        <v>0</v>
      </c>
      <c r="AD103" s="78"/>
      <c r="AE103" s="143"/>
      <c r="AF103" s="143"/>
      <c r="AG103" s="79">
        <f t="shared" si="47"/>
        <v>0</v>
      </c>
      <c r="AH103" s="75"/>
      <c r="AI103" s="76"/>
      <c r="AJ103" s="135"/>
      <c r="AK103" s="135"/>
      <c r="AL103" s="77">
        <f t="shared" si="48"/>
        <v>0</v>
      </c>
      <c r="AM103" s="76"/>
      <c r="AN103" s="142"/>
      <c r="AO103" s="142"/>
      <c r="AP103" s="77">
        <f t="shared" si="49"/>
        <v>0</v>
      </c>
      <c r="AQ103" s="78"/>
      <c r="AR103" s="142"/>
      <c r="AS103" s="142"/>
      <c r="AT103" s="79">
        <f t="shared" si="50"/>
        <v>0</v>
      </c>
      <c r="AU103" s="75"/>
      <c r="AV103" s="76"/>
      <c r="AW103" s="135"/>
      <c r="AX103" s="135"/>
      <c r="AY103" s="77">
        <f t="shared" si="51"/>
        <v>0</v>
      </c>
      <c r="AZ103" s="76"/>
      <c r="BA103" s="142"/>
      <c r="BB103" s="142"/>
      <c r="BC103" s="77">
        <f t="shared" si="52"/>
        <v>0</v>
      </c>
      <c r="BD103" s="78"/>
      <c r="BE103" s="142"/>
      <c r="BF103" s="142"/>
      <c r="BG103" s="79">
        <f t="shared" si="53"/>
        <v>0</v>
      </c>
      <c r="BH103" s="75"/>
      <c r="BI103" s="76"/>
      <c r="BJ103" s="135"/>
      <c r="BK103" s="135"/>
      <c r="BL103" s="77">
        <f t="shared" si="54"/>
        <v>0</v>
      </c>
      <c r="BM103" s="78"/>
      <c r="BN103" s="142"/>
      <c r="BO103" s="142"/>
      <c r="BP103" s="77">
        <f t="shared" si="55"/>
        <v>0</v>
      </c>
      <c r="BQ103" s="78"/>
      <c r="BR103" s="142"/>
      <c r="BS103" s="142"/>
      <c r="BT103" s="79">
        <f t="shared" si="56"/>
        <v>0</v>
      </c>
      <c r="BU103" s="75"/>
      <c r="BV103" s="76"/>
      <c r="BW103" s="135"/>
      <c r="BX103" s="135"/>
      <c r="BY103" s="77">
        <f t="shared" si="57"/>
        <v>0</v>
      </c>
      <c r="BZ103" s="78"/>
      <c r="CA103" s="142"/>
      <c r="CB103" s="142"/>
      <c r="CC103" s="77">
        <f t="shared" si="58"/>
        <v>0</v>
      </c>
      <c r="CD103" s="78"/>
      <c r="CE103" s="142"/>
      <c r="CF103" s="142"/>
      <c r="CG103" s="79">
        <f t="shared" si="59"/>
        <v>0</v>
      </c>
      <c r="CH103" s="75"/>
      <c r="CI103" s="76"/>
      <c r="CJ103" s="135"/>
      <c r="CK103" s="135"/>
      <c r="CL103" s="77">
        <f t="shared" si="60"/>
        <v>0</v>
      </c>
      <c r="CM103" s="78"/>
      <c r="CN103" s="142"/>
      <c r="CO103" s="142"/>
      <c r="CP103" s="77">
        <f t="shared" si="61"/>
        <v>0</v>
      </c>
      <c r="CQ103" s="78"/>
      <c r="CR103" s="142"/>
      <c r="CS103" s="142"/>
      <c r="CT103" s="79">
        <f t="shared" si="62"/>
        <v>0</v>
      </c>
      <c r="CU103" s="80">
        <f t="shared" si="35"/>
        <v>0</v>
      </c>
      <c r="CV103" s="81">
        <f t="shared" si="36"/>
        <v>0</v>
      </c>
      <c r="CW103" s="144"/>
      <c r="CX103" s="145">
        <f>IF(ISERROR(VLOOKUP($A103,FIJOS!$B$11:$O$590,14,FALSE)),0,VLOOKUP($A103,FIJOS!$B$11:$O$590,14,FALSE))</f>
        <v>0</v>
      </c>
      <c r="CY103" s="145">
        <f>IF(ISERROR(VLOOKUP(A103,FIJOS!$B$10:$P$590,15,FALSE)),0,VLOOKUP(A103,FIJOS!$B$10:$P$590,15,FALSE))</f>
        <v>0</v>
      </c>
      <c r="CZ103" s="156"/>
      <c r="DA103" s="146"/>
      <c r="DB103" s="147"/>
      <c r="DC103" s="147"/>
      <c r="DD103" s="147"/>
      <c r="DE103" s="147"/>
      <c r="DF103" s="145">
        <f>IF(ISERROR(VLOOKUP($A103,FIJOS!$B$11:$N$590,13,FALSE)),0,VLOOKUP($A103,FIJOS!$B$11:$N$590,13,FALSE))</f>
        <v>0</v>
      </c>
      <c r="DG103" s="145">
        <f>IF(ISERROR(VLOOKUP($A103,FIJOS!$B$11:$P$447,12,FALSE)),0,VLOOKUP($A103,FIJOS!$B$11:$P$447,12,FALSE))</f>
        <v>0</v>
      </c>
      <c r="DH103" s="82">
        <f t="shared" si="63"/>
        <v>0</v>
      </c>
      <c r="DI103" s="83" t="b">
        <f>IF($C103=1,(VLOOKUP($A103,FIJOS!$B$11:$P$545,10,FALSE)/7)*(7-$CU103),IF(AND($C103=2,CV103&lt;$DJ$1),(VLOOKUP($D103,HORAS!$B$4:$C$42,2,FALSE)*24)*$CV103,IF(AND($C103=2,CV103&gt;=$DJ$1),VLOOKUP($D103,HORAS!$B$4:$D$42,3,FALSE),IF(AND($C103=3,$CV103&gt;=$DJ$1),VLOOKUP($A103,FIJOS!$B$11:$P$545,10,FALSE),IF(AND($C103=3,$CV103&lt;$DJ$1),((VLOOKUP($A103,FIJOS!$B$11:$P$545,10,FALSE)/48)*24)*$CV103,IF(AND($C103=4,$CV103&gt;=(42/24)),VLOOKUP($D103,HORAS!$B$4:$D$42,3,FALSE),IF(AND($C103=5,$CV103&gt;=(36/24)),VLOOKUP($D103,HORAS!$B$4:$D$42,3,FALSE))))))))</f>
        <v>0</v>
      </c>
      <c r="DJ103" s="145">
        <f>IF(OR($C103=2),VLOOKUP($D103,HORAS!$B$4:$E$42,4,FALSE)*$EC103,IF(ISERROR(VLOOKUP($A103,FIJOS!$B$11:$P$108,9,FALSE)),0,VLOOKUP($A103,FIJOS!$B$11:$P$231,9,FALSE)*$EC103))</f>
        <v>0</v>
      </c>
      <c r="DK103" s="145">
        <f>IF(OR($C103=2),VLOOKUP($D103,HORAS!$B$4:$F$42,5,FALSE)*$EE103,IF(ISERROR(VLOOKUP($A103,FIJOS!$B$11:$P$108,9,FALSE)),0,VLOOKUP($A103,FIJOS!$B$11:$P$231,9,FALSE)*$EE103))</f>
        <v>0</v>
      </c>
      <c r="DL103" s="144"/>
      <c r="DM103" s="145">
        <f>IF(ISERROR(VLOOKUP($A103,FIJOS!$B$11:$L$646,11,FALSE)),0,VLOOKUP($A103,FIJOS!$B$11:$L$646,11,FALSE))</f>
        <v>0</v>
      </c>
      <c r="DN103" s="148" t="e">
        <f>IF(OR($C103=1,$C103=3),0,IF((VLOOKUP(CAPTURA!D103,HORAS!$B$4:$K$42,10,FALSE)/4)*COUNTIF($H103:$CT103,3)&gt;100,100,(VLOOKUP(CAPTURA!D103,HORAS!$B$4:$K$42,10,FALSE)/4)*COUNTIF($H103:$CT103,3)))</f>
        <v>#N/A</v>
      </c>
      <c r="DO103" s="144" t="e">
        <f>IF(OR($C103=1,$C103=3),0,IF($C103=5,VLOOKUP(D103,HORAS!$B$4:$G$42,6,FALSE),IF(AND($C103=4,$CV103&gt;=(42/24)),VLOOKUP(D103,HORAS!$B$4:$G$42,6,FALSE),IF(COUNTIF($H103:$CL103,"F")&gt;0,0,IF(CV103&gt;$DJ$1,$DJ$1*(VLOOKUP(D103,HORAS!$B$4:$G$42,6,FALSE)/$DJ$1),CV103*(VLOOKUP(D103,HORAS!$B$4:$G$42,6,FALSE)/$DJ$1))))))</f>
        <v>#N/A</v>
      </c>
      <c r="DP103" s="156"/>
      <c r="DQ103" s="89"/>
      <c r="DR103" s="148"/>
      <c r="DS103" s="83" t="e">
        <f t="shared" si="66"/>
        <v>#N/A</v>
      </c>
      <c r="DT103" s="84"/>
      <c r="DU103" s="149" t="e">
        <f t="shared" si="67"/>
        <v>#N/A</v>
      </c>
      <c r="DV103" s="149" t="e">
        <f t="shared" si="68"/>
        <v>#N/A</v>
      </c>
      <c r="DW103" s="144" t="e">
        <f t="shared" si="69"/>
        <v>#N/A</v>
      </c>
      <c r="DX103" s="134"/>
      <c r="DY103" s="29"/>
      <c r="DZ103" s="150"/>
      <c r="EA103" s="134"/>
      <c r="EB103" s="137">
        <f t="shared" si="70"/>
        <v>0</v>
      </c>
      <c r="EC103" s="138">
        <f t="shared" si="64"/>
        <v>0</v>
      </c>
      <c r="ED103" s="137">
        <f t="shared" si="71"/>
        <v>0</v>
      </c>
      <c r="EE103" s="132">
        <f t="shared" si="65"/>
        <v>0</v>
      </c>
      <c r="EF103" s="29"/>
      <c r="EG103" s="134"/>
      <c r="EH103" s="134"/>
      <c r="EI103" s="134"/>
      <c r="EK103" s="29"/>
    </row>
    <row r="104" spans="1:141" ht="15" customHeight="1" x14ac:dyDescent="0.25">
      <c r="A104" s="140"/>
      <c r="B104" s="151"/>
      <c r="C104" s="72"/>
      <c r="D104" s="73"/>
      <c r="E104" s="73"/>
      <c r="F104" s="141"/>
      <c r="G104" s="74"/>
      <c r="H104" s="75"/>
      <c r="I104" s="76"/>
      <c r="J104" s="135"/>
      <c r="K104" s="135"/>
      <c r="L104" s="77">
        <f t="shared" si="42"/>
        <v>0</v>
      </c>
      <c r="M104" s="78"/>
      <c r="N104" s="142"/>
      <c r="O104" s="142"/>
      <c r="P104" s="77">
        <f t="shared" si="43"/>
        <v>0</v>
      </c>
      <c r="Q104" s="78"/>
      <c r="R104" s="143"/>
      <c r="S104" s="143"/>
      <c r="T104" s="77">
        <f t="shared" si="44"/>
        <v>0</v>
      </c>
      <c r="U104" s="75"/>
      <c r="V104" s="76"/>
      <c r="W104" s="135"/>
      <c r="X104" s="135"/>
      <c r="Y104" s="77">
        <f t="shared" si="45"/>
        <v>0</v>
      </c>
      <c r="Z104" s="78"/>
      <c r="AA104" s="142"/>
      <c r="AB104" s="142"/>
      <c r="AC104" s="77">
        <f t="shared" si="46"/>
        <v>0</v>
      </c>
      <c r="AD104" s="78"/>
      <c r="AE104" s="143"/>
      <c r="AF104" s="143"/>
      <c r="AG104" s="79">
        <f t="shared" si="47"/>
        <v>0</v>
      </c>
      <c r="AH104" s="75"/>
      <c r="AI104" s="76"/>
      <c r="AJ104" s="135"/>
      <c r="AK104" s="135"/>
      <c r="AL104" s="77">
        <f t="shared" si="48"/>
        <v>0</v>
      </c>
      <c r="AM104" s="76"/>
      <c r="AN104" s="142"/>
      <c r="AO104" s="142"/>
      <c r="AP104" s="77">
        <f t="shared" si="49"/>
        <v>0</v>
      </c>
      <c r="AQ104" s="78"/>
      <c r="AR104" s="142"/>
      <c r="AS104" s="142"/>
      <c r="AT104" s="79">
        <f t="shared" si="50"/>
        <v>0</v>
      </c>
      <c r="AU104" s="75"/>
      <c r="AV104" s="76"/>
      <c r="AW104" s="135"/>
      <c r="AX104" s="135"/>
      <c r="AY104" s="77">
        <f t="shared" si="51"/>
        <v>0</v>
      </c>
      <c r="AZ104" s="76"/>
      <c r="BA104" s="142"/>
      <c r="BB104" s="142"/>
      <c r="BC104" s="77">
        <f t="shared" si="52"/>
        <v>0</v>
      </c>
      <c r="BD104" s="78"/>
      <c r="BE104" s="142"/>
      <c r="BF104" s="142"/>
      <c r="BG104" s="79">
        <f t="shared" si="53"/>
        <v>0</v>
      </c>
      <c r="BH104" s="75"/>
      <c r="BI104" s="76"/>
      <c r="BJ104" s="135"/>
      <c r="BK104" s="135"/>
      <c r="BL104" s="77">
        <f t="shared" si="54"/>
        <v>0</v>
      </c>
      <c r="BM104" s="78"/>
      <c r="BN104" s="142"/>
      <c r="BO104" s="142"/>
      <c r="BP104" s="77">
        <f t="shared" si="55"/>
        <v>0</v>
      </c>
      <c r="BQ104" s="78"/>
      <c r="BR104" s="142"/>
      <c r="BS104" s="142"/>
      <c r="BT104" s="79">
        <f t="shared" si="56"/>
        <v>0</v>
      </c>
      <c r="BU104" s="75"/>
      <c r="BV104" s="76"/>
      <c r="BW104" s="135"/>
      <c r="BX104" s="135"/>
      <c r="BY104" s="77">
        <f t="shared" si="57"/>
        <v>0</v>
      </c>
      <c r="BZ104" s="78"/>
      <c r="CA104" s="142"/>
      <c r="CB104" s="142"/>
      <c r="CC104" s="77">
        <f t="shared" si="58"/>
        <v>0</v>
      </c>
      <c r="CD104" s="78"/>
      <c r="CE104" s="142"/>
      <c r="CF104" s="142"/>
      <c r="CG104" s="79">
        <f t="shared" si="59"/>
        <v>0</v>
      </c>
      <c r="CH104" s="75"/>
      <c r="CI104" s="76"/>
      <c r="CJ104" s="135"/>
      <c r="CK104" s="135"/>
      <c r="CL104" s="77">
        <f t="shared" si="60"/>
        <v>0</v>
      </c>
      <c r="CM104" s="78"/>
      <c r="CN104" s="142"/>
      <c r="CO104" s="142"/>
      <c r="CP104" s="77">
        <f t="shared" si="61"/>
        <v>0</v>
      </c>
      <c r="CQ104" s="78"/>
      <c r="CR104" s="142"/>
      <c r="CS104" s="142"/>
      <c r="CT104" s="79">
        <f t="shared" si="62"/>
        <v>0</v>
      </c>
      <c r="CU104" s="80">
        <f t="shared" si="35"/>
        <v>0</v>
      </c>
      <c r="CV104" s="81">
        <f t="shared" si="36"/>
        <v>0</v>
      </c>
      <c r="CW104" s="144"/>
      <c r="CX104" s="145">
        <f>IF(ISERROR(VLOOKUP($A104,FIJOS!$B$11:$O$590,14,FALSE)),0,VLOOKUP($A104,FIJOS!$B$11:$O$590,14,FALSE))</f>
        <v>0</v>
      </c>
      <c r="CY104" s="145">
        <f>IF(ISERROR(VLOOKUP(A104,FIJOS!$B$10:$P$590,15,FALSE)),0,VLOOKUP(A104,FIJOS!$B$10:$P$590,15,FALSE))</f>
        <v>0</v>
      </c>
      <c r="CZ104" s="156"/>
      <c r="DA104" s="146"/>
      <c r="DB104" s="147"/>
      <c r="DC104" s="147"/>
      <c r="DD104" s="147"/>
      <c r="DE104" s="147"/>
      <c r="DF104" s="145">
        <f>IF(ISERROR(VLOOKUP($A104,FIJOS!$B$11:$N$590,13,FALSE)),0,VLOOKUP($A104,FIJOS!$B$11:$N$590,13,FALSE))</f>
        <v>0</v>
      </c>
      <c r="DG104" s="145">
        <f>IF(ISERROR(VLOOKUP($A104,FIJOS!$B$11:$P$447,12,FALSE)),0,VLOOKUP($A104,FIJOS!$B$11:$P$447,12,FALSE))</f>
        <v>0</v>
      </c>
      <c r="DH104" s="82">
        <f t="shared" si="63"/>
        <v>0</v>
      </c>
      <c r="DI104" s="83" t="b">
        <f>IF($C104=1,(VLOOKUP($A104,FIJOS!$B$11:$P$545,10,FALSE)/7)*(7-$CU104),IF(AND($C104=2,CV104&lt;$DJ$1),(VLOOKUP($D104,HORAS!$B$4:$C$42,2,FALSE)*24)*$CV104,IF(AND($C104=2,CV104&gt;=$DJ$1),VLOOKUP($D104,HORAS!$B$4:$D$42,3,FALSE),IF(AND($C104=3,$CV104&gt;=$DJ$1),VLOOKUP($A104,FIJOS!$B$11:$P$545,10,FALSE),IF(AND($C104=3,$CV104&lt;$DJ$1),((VLOOKUP($A104,FIJOS!$B$11:$P$545,10,FALSE)/48)*24)*$CV104,IF(AND($C104=4,$CV104&gt;=(42/24)),VLOOKUP($D104,HORAS!$B$4:$D$42,3,FALSE),IF(AND($C104=5,$CV104&gt;=(36/24)),VLOOKUP($D104,HORAS!$B$4:$D$42,3,FALSE))))))))</f>
        <v>0</v>
      </c>
      <c r="DJ104" s="145">
        <f>IF(OR($C104=2),VLOOKUP($D104,HORAS!$B$4:$E$42,4,FALSE)*$EC104,IF(ISERROR(VLOOKUP($A104,FIJOS!$B$11:$P$108,9,FALSE)),0,VLOOKUP($A104,FIJOS!$B$11:$P$231,9,FALSE)*$EC104))</f>
        <v>0</v>
      </c>
      <c r="DK104" s="145">
        <f>IF(OR($C104=2),VLOOKUP($D104,HORAS!$B$4:$F$42,5,FALSE)*$EE104,IF(ISERROR(VLOOKUP($A104,FIJOS!$B$11:$P$108,9,FALSE)),0,VLOOKUP($A104,FIJOS!$B$11:$P$231,9,FALSE)*$EE104))</f>
        <v>0</v>
      </c>
      <c r="DL104" s="144"/>
      <c r="DM104" s="145">
        <f>IF(ISERROR(VLOOKUP($A104,FIJOS!$B$11:$L$646,11,FALSE)),0,VLOOKUP($A104,FIJOS!$B$11:$L$646,11,FALSE))</f>
        <v>0</v>
      </c>
      <c r="DN104" s="148" t="e">
        <f>IF(OR($C104=1,$C104=3),0,IF((VLOOKUP(CAPTURA!D104,HORAS!$B$4:$K$42,10,FALSE)/4)*COUNTIF($H104:$CT104,3)&gt;100,100,(VLOOKUP(CAPTURA!D104,HORAS!$B$4:$K$42,10,FALSE)/4)*COUNTIF($H104:$CT104,3)))</f>
        <v>#N/A</v>
      </c>
      <c r="DO104" s="144" t="e">
        <f>IF(OR($C104=1,$C104=3),0,IF($C104=5,VLOOKUP(D104,HORAS!$B$4:$G$42,6,FALSE),IF(AND($C104=4,$CV104&gt;=(42/24)),VLOOKUP(D104,HORAS!$B$4:$G$42,6,FALSE),IF(COUNTIF($H104:$CL104,"F")&gt;0,0,IF(CV104&gt;$DJ$1,$DJ$1*(VLOOKUP(D104,HORAS!$B$4:$G$42,6,FALSE)/$DJ$1),CV104*(VLOOKUP(D104,HORAS!$B$4:$G$42,6,FALSE)/$DJ$1))))))</f>
        <v>#N/A</v>
      </c>
      <c r="DP104" s="156"/>
      <c r="DQ104" s="89"/>
      <c r="DR104" s="148"/>
      <c r="DS104" s="83" t="e">
        <f t="shared" si="66"/>
        <v>#N/A</v>
      </c>
      <c r="DT104" s="84"/>
      <c r="DU104" s="149" t="e">
        <f t="shared" si="67"/>
        <v>#N/A</v>
      </c>
      <c r="DV104" s="149" t="e">
        <f t="shared" si="68"/>
        <v>#N/A</v>
      </c>
      <c r="DW104" s="144" t="e">
        <f t="shared" si="69"/>
        <v>#N/A</v>
      </c>
      <c r="DX104"/>
      <c r="DY104" s="29"/>
      <c r="DZ104" s="150"/>
      <c r="EA104" s="134"/>
      <c r="EB104" s="137">
        <f t="shared" si="70"/>
        <v>0</v>
      </c>
      <c r="EC104" s="138">
        <f t="shared" si="64"/>
        <v>0</v>
      </c>
      <c r="ED104" s="137">
        <f t="shared" si="71"/>
        <v>0</v>
      </c>
      <c r="EE104" s="132">
        <f t="shared" si="65"/>
        <v>0</v>
      </c>
      <c r="EF104" s="29"/>
      <c r="EG104" s="134"/>
      <c r="EH104" s="134"/>
      <c r="EI104" s="134"/>
      <c r="EK104" s="29"/>
    </row>
    <row r="105" spans="1:141" ht="15" customHeight="1" x14ac:dyDescent="0.25">
      <c r="A105" s="140"/>
      <c r="B105" s="5"/>
      <c r="C105" s="72"/>
      <c r="D105" s="73"/>
      <c r="E105" s="73"/>
      <c r="F105" s="141"/>
      <c r="G105" s="74"/>
      <c r="H105" s="75"/>
      <c r="I105" s="76"/>
      <c r="J105" s="135"/>
      <c r="K105" s="135"/>
      <c r="L105" s="77">
        <f t="shared" si="42"/>
        <v>0</v>
      </c>
      <c r="M105" s="78"/>
      <c r="N105" s="142"/>
      <c r="O105" s="142"/>
      <c r="P105" s="77">
        <f t="shared" si="43"/>
        <v>0</v>
      </c>
      <c r="Q105" s="78"/>
      <c r="R105" s="143"/>
      <c r="S105" s="143"/>
      <c r="T105" s="77">
        <f t="shared" si="44"/>
        <v>0</v>
      </c>
      <c r="U105" s="75"/>
      <c r="V105" s="76"/>
      <c r="W105" s="135"/>
      <c r="X105" s="135"/>
      <c r="Y105" s="77">
        <f t="shared" si="45"/>
        <v>0</v>
      </c>
      <c r="Z105" s="78"/>
      <c r="AA105" s="142"/>
      <c r="AB105" s="142"/>
      <c r="AC105" s="77">
        <f t="shared" si="46"/>
        <v>0</v>
      </c>
      <c r="AD105" s="78"/>
      <c r="AE105" s="143"/>
      <c r="AF105" s="143"/>
      <c r="AG105" s="79">
        <f t="shared" si="47"/>
        <v>0</v>
      </c>
      <c r="AH105" s="75"/>
      <c r="AI105" s="76"/>
      <c r="AJ105" s="135"/>
      <c r="AK105" s="135"/>
      <c r="AL105" s="77">
        <f t="shared" si="48"/>
        <v>0</v>
      </c>
      <c r="AM105" s="76"/>
      <c r="AN105" s="142"/>
      <c r="AO105" s="142"/>
      <c r="AP105" s="77">
        <f t="shared" si="49"/>
        <v>0</v>
      </c>
      <c r="AQ105" s="78"/>
      <c r="AR105" s="142"/>
      <c r="AS105" s="142"/>
      <c r="AT105" s="79">
        <f t="shared" si="50"/>
        <v>0</v>
      </c>
      <c r="AU105" s="75"/>
      <c r="AV105" s="76"/>
      <c r="AW105" s="135"/>
      <c r="AX105" s="135"/>
      <c r="AY105" s="77">
        <f t="shared" si="51"/>
        <v>0</v>
      </c>
      <c r="AZ105" s="76"/>
      <c r="BA105" s="142"/>
      <c r="BB105" s="142"/>
      <c r="BC105" s="77">
        <f t="shared" si="52"/>
        <v>0</v>
      </c>
      <c r="BD105" s="78"/>
      <c r="BE105" s="142"/>
      <c r="BF105" s="142"/>
      <c r="BG105" s="79">
        <f t="shared" si="53"/>
        <v>0</v>
      </c>
      <c r="BH105" s="75"/>
      <c r="BI105" s="76"/>
      <c r="BJ105" s="135"/>
      <c r="BK105" s="86"/>
      <c r="BL105" s="77">
        <f t="shared" si="54"/>
        <v>0</v>
      </c>
      <c r="BM105" s="78"/>
      <c r="BN105" s="142"/>
      <c r="BO105" s="142"/>
      <c r="BP105" s="77">
        <f t="shared" si="55"/>
        <v>0</v>
      </c>
      <c r="BQ105" s="78"/>
      <c r="BR105" s="142"/>
      <c r="BS105" s="142"/>
      <c r="BT105" s="79">
        <f t="shared" si="56"/>
        <v>0</v>
      </c>
      <c r="BU105" s="75"/>
      <c r="BV105" s="76"/>
      <c r="BW105" s="135"/>
      <c r="BX105" s="135"/>
      <c r="BY105" s="77">
        <f t="shared" si="57"/>
        <v>0</v>
      </c>
      <c r="BZ105" s="78"/>
      <c r="CA105" s="142"/>
      <c r="CB105" s="142"/>
      <c r="CC105" s="77">
        <f t="shared" si="58"/>
        <v>0</v>
      </c>
      <c r="CD105" s="78"/>
      <c r="CE105" s="142"/>
      <c r="CF105" s="142"/>
      <c r="CG105" s="79">
        <f t="shared" si="59"/>
        <v>0</v>
      </c>
      <c r="CH105" s="75"/>
      <c r="CI105" s="76"/>
      <c r="CJ105" s="135"/>
      <c r="CK105" s="135"/>
      <c r="CL105" s="77">
        <f t="shared" si="60"/>
        <v>0</v>
      </c>
      <c r="CM105" s="78"/>
      <c r="CN105" s="142"/>
      <c r="CO105" s="142"/>
      <c r="CP105" s="77">
        <f t="shared" si="61"/>
        <v>0</v>
      </c>
      <c r="CQ105" s="78"/>
      <c r="CR105" s="142"/>
      <c r="CS105" s="142"/>
      <c r="CT105" s="79">
        <f t="shared" si="62"/>
        <v>0</v>
      </c>
      <c r="CU105" s="80">
        <f t="shared" ref="CU105:CU168" si="72">COUNTIF($H105:$CL105,"F")+COUNTIF($H105:$CL105,"PSG")+COUNTIF($H105:$CL105,"INC")</f>
        <v>0</v>
      </c>
      <c r="CV105" s="81">
        <f t="shared" ref="CV105:CV168" si="73">SUMIFS($J105:$CT105,$J$6:$CT$6,$CV$5)</f>
        <v>0</v>
      </c>
      <c r="CW105" s="144"/>
      <c r="CX105" s="145">
        <f>IF(ISERROR(VLOOKUP($A105,FIJOS!$B$11:$O$590,14,FALSE)),0,VLOOKUP($A105,FIJOS!$B$11:$O$590,14,FALSE))</f>
        <v>0</v>
      </c>
      <c r="CY105" s="145">
        <f>IF(ISERROR(VLOOKUP(A105,FIJOS!$B$10:$P$590,15,FALSE)),0,VLOOKUP(A105,FIJOS!$B$10:$P$590,15,FALSE))</f>
        <v>0</v>
      </c>
      <c r="CZ105" s="156"/>
      <c r="DA105" s="146"/>
      <c r="DB105" s="147"/>
      <c r="DC105" s="147"/>
      <c r="DD105" s="147"/>
      <c r="DE105" s="147"/>
      <c r="DF105" s="145">
        <f>IF(ISERROR(VLOOKUP($A105,FIJOS!$B$11:$N$590,13,FALSE)),0,VLOOKUP($A105,FIJOS!$B$11:$N$590,13,FALSE))</f>
        <v>0</v>
      </c>
      <c r="DG105" s="145">
        <f>IF(ISERROR(VLOOKUP($A105,FIJOS!$B$11:$P$447,12,FALSE)),0,VLOOKUP($A105,FIJOS!$B$11:$P$447,12,FALSE))</f>
        <v>0</v>
      </c>
      <c r="DH105" s="82">
        <f t="shared" si="63"/>
        <v>0</v>
      </c>
      <c r="DI105" s="83" t="b">
        <f>IF($C105=1,(VLOOKUP($A105,FIJOS!$B$11:$P$545,10,FALSE)/7)*(7-$CU105),IF(AND($C105=2,CV105&lt;$DJ$1),(VLOOKUP($D105,HORAS!$B$4:$C$42,2,FALSE)*24)*$CV105,IF(AND($C105=2,CV105&gt;=$DJ$1),VLOOKUP($D105,HORAS!$B$4:$D$42,3,FALSE),IF(AND($C105=3,$CV105&gt;=$DJ$1),VLOOKUP($A105,FIJOS!$B$11:$P$545,10,FALSE),IF(AND($C105=3,$CV105&lt;$DJ$1),((VLOOKUP($A105,FIJOS!$B$11:$P$545,10,FALSE)/48)*24)*$CV105,IF(AND($C105=4,$CV105&gt;=(42/24)),VLOOKUP($D105,HORAS!$B$4:$D$42,3,FALSE),IF(AND($C105=5,$CV105&gt;=(36/24)),VLOOKUP($D105,HORAS!$B$4:$D$42,3,FALSE))))))))</f>
        <v>0</v>
      </c>
      <c r="DJ105" s="145">
        <f>IF(OR($C105=2),VLOOKUP($D105,HORAS!$B$4:$E$42,4,FALSE)*$EC105,IF(ISERROR(VLOOKUP($A105,FIJOS!$B$11:$P$108,9,FALSE)),0,VLOOKUP($A105,FIJOS!$B$11:$P$231,9,FALSE)*$EC105))</f>
        <v>0</v>
      </c>
      <c r="DK105" s="145">
        <f>IF(OR($C105=2),VLOOKUP($D105,HORAS!$B$4:$F$42,5,FALSE)*$EE105,IF(ISERROR(VLOOKUP($A105,FIJOS!$B$11:$P$108,9,FALSE)),0,VLOOKUP($A105,FIJOS!$B$11:$P$231,9,FALSE)*$EE105))</f>
        <v>0</v>
      </c>
      <c r="DL105" s="144"/>
      <c r="DM105" s="145">
        <f>IF(ISERROR(VLOOKUP($A105,FIJOS!$B$11:$L$646,11,FALSE)),0,VLOOKUP($A105,FIJOS!$B$11:$L$646,11,FALSE))</f>
        <v>0</v>
      </c>
      <c r="DN105" s="148" t="e">
        <f>IF(OR($C105=1,$C105=3),0,IF((VLOOKUP(CAPTURA!D105,HORAS!$B$4:$K$42,10,FALSE)/4)*COUNTIF($H105:$CT105,3)&gt;100,100,(VLOOKUP(CAPTURA!D105,HORAS!$B$4:$K$42,10,FALSE)/4)*COUNTIF($H105:$CT105,3)))</f>
        <v>#N/A</v>
      </c>
      <c r="DO105" s="144" t="e">
        <f>IF(OR($C105=1,$C105=3),0,IF($C105=5,VLOOKUP(D105,HORAS!$B$4:$G$42,6,FALSE),IF(AND($C105=4,$CV105&gt;=(42/24)),VLOOKUP(D105,HORAS!$B$4:$G$42,6,FALSE),IF(COUNTIF($H105:$CL105,"F")&gt;0,0,IF(CV105&gt;$DJ$1,$DJ$1*(VLOOKUP(D105,HORAS!$B$4:$G$42,6,FALSE)/$DJ$1),CV105*(VLOOKUP(D105,HORAS!$B$4:$G$42,6,FALSE)/$DJ$1))))))</f>
        <v>#N/A</v>
      </c>
      <c r="DP105" s="156"/>
      <c r="DQ105" s="89"/>
      <c r="DR105" s="148"/>
      <c r="DS105" s="83" t="e">
        <f t="shared" si="66"/>
        <v>#N/A</v>
      </c>
      <c r="DT105" s="84"/>
      <c r="DU105" s="149" t="e">
        <f t="shared" si="67"/>
        <v>#N/A</v>
      </c>
      <c r="DV105" s="149" t="e">
        <f t="shared" si="68"/>
        <v>#N/A</v>
      </c>
      <c r="DW105" s="144" t="e">
        <f t="shared" si="69"/>
        <v>#N/A</v>
      </c>
      <c r="DX105" s="134"/>
      <c r="DY105" s="29"/>
      <c r="DZ105" s="150"/>
      <c r="EA105" s="134"/>
      <c r="EB105" s="137">
        <f t="shared" si="70"/>
        <v>0</v>
      </c>
      <c r="EC105" s="138">
        <f t="shared" si="64"/>
        <v>0</v>
      </c>
      <c r="ED105" s="137">
        <f t="shared" si="71"/>
        <v>0</v>
      </c>
      <c r="EE105" s="132">
        <f t="shared" si="65"/>
        <v>0</v>
      </c>
      <c r="EF105" s="29"/>
      <c r="EG105" s="134"/>
      <c r="EH105" s="134"/>
      <c r="EI105" s="134"/>
      <c r="EK105" s="29"/>
    </row>
    <row r="106" spans="1:141" ht="15" customHeight="1" x14ac:dyDescent="0.25">
      <c r="A106" s="140"/>
      <c r="B106" s="151"/>
      <c r="C106" s="72"/>
      <c r="D106" s="73"/>
      <c r="E106" s="73"/>
      <c r="F106" s="141"/>
      <c r="G106" s="74"/>
      <c r="H106" s="75"/>
      <c r="I106" s="76"/>
      <c r="J106" s="135"/>
      <c r="K106" s="135"/>
      <c r="L106" s="77">
        <f t="shared" si="42"/>
        <v>0</v>
      </c>
      <c r="M106" s="78"/>
      <c r="N106" s="142"/>
      <c r="O106" s="142"/>
      <c r="P106" s="77">
        <f t="shared" si="43"/>
        <v>0</v>
      </c>
      <c r="Q106" s="78"/>
      <c r="R106" s="143"/>
      <c r="S106" s="143"/>
      <c r="T106" s="77">
        <f t="shared" si="44"/>
        <v>0</v>
      </c>
      <c r="U106" s="75"/>
      <c r="V106" s="76"/>
      <c r="W106" s="135"/>
      <c r="X106" s="135"/>
      <c r="Y106" s="77">
        <f t="shared" si="45"/>
        <v>0</v>
      </c>
      <c r="Z106" s="78"/>
      <c r="AA106" s="142"/>
      <c r="AB106" s="142"/>
      <c r="AC106" s="77">
        <f t="shared" si="46"/>
        <v>0</v>
      </c>
      <c r="AD106" s="78"/>
      <c r="AE106" s="143"/>
      <c r="AF106" s="143"/>
      <c r="AG106" s="79">
        <f t="shared" si="47"/>
        <v>0</v>
      </c>
      <c r="AH106" s="75"/>
      <c r="AI106" s="76"/>
      <c r="AJ106" s="135"/>
      <c r="AK106" s="135"/>
      <c r="AL106" s="77">
        <f t="shared" si="48"/>
        <v>0</v>
      </c>
      <c r="AM106" s="76"/>
      <c r="AN106" s="142"/>
      <c r="AO106" s="85"/>
      <c r="AP106" s="77">
        <f t="shared" si="49"/>
        <v>0</v>
      </c>
      <c r="AQ106" s="78"/>
      <c r="AR106" s="142"/>
      <c r="AS106" s="142"/>
      <c r="AT106" s="79">
        <f t="shared" si="50"/>
        <v>0</v>
      </c>
      <c r="AU106" s="75"/>
      <c r="AV106" s="76"/>
      <c r="AW106" s="135"/>
      <c r="AX106" s="135"/>
      <c r="AY106" s="77">
        <f t="shared" si="51"/>
        <v>0</v>
      </c>
      <c r="AZ106" s="76"/>
      <c r="BA106" s="142"/>
      <c r="BB106" s="142"/>
      <c r="BC106" s="77">
        <f t="shared" si="52"/>
        <v>0</v>
      </c>
      <c r="BD106" s="78"/>
      <c r="BE106" s="142"/>
      <c r="BF106" s="142"/>
      <c r="BG106" s="79">
        <f t="shared" si="53"/>
        <v>0</v>
      </c>
      <c r="BH106" s="75"/>
      <c r="BI106" s="76"/>
      <c r="BJ106" s="135"/>
      <c r="BK106" s="135"/>
      <c r="BL106" s="77">
        <f t="shared" si="54"/>
        <v>0</v>
      </c>
      <c r="BM106" s="78"/>
      <c r="BN106" s="142"/>
      <c r="BO106" s="142"/>
      <c r="BP106" s="77">
        <f t="shared" si="55"/>
        <v>0</v>
      </c>
      <c r="BQ106" s="78"/>
      <c r="BR106" s="142"/>
      <c r="BS106" s="142"/>
      <c r="BT106" s="79">
        <f t="shared" si="56"/>
        <v>0</v>
      </c>
      <c r="BU106" s="75"/>
      <c r="BV106" s="76"/>
      <c r="BW106" s="135"/>
      <c r="BX106" s="135"/>
      <c r="BY106" s="77">
        <f t="shared" si="57"/>
        <v>0</v>
      </c>
      <c r="BZ106" s="78"/>
      <c r="CA106" s="142"/>
      <c r="CB106" s="142"/>
      <c r="CC106" s="77">
        <f t="shared" si="58"/>
        <v>0</v>
      </c>
      <c r="CD106" s="78"/>
      <c r="CE106" s="142"/>
      <c r="CF106" s="142"/>
      <c r="CG106" s="79">
        <f t="shared" si="59"/>
        <v>0</v>
      </c>
      <c r="CH106" s="75"/>
      <c r="CI106" s="76"/>
      <c r="CJ106" s="135"/>
      <c r="CK106" s="135"/>
      <c r="CL106" s="77">
        <f t="shared" si="60"/>
        <v>0</v>
      </c>
      <c r="CM106" s="78"/>
      <c r="CN106" s="142"/>
      <c r="CO106" s="142"/>
      <c r="CP106" s="77">
        <f t="shared" si="61"/>
        <v>0</v>
      </c>
      <c r="CQ106" s="78"/>
      <c r="CR106" s="142"/>
      <c r="CS106" s="142"/>
      <c r="CT106" s="79">
        <f t="shared" si="62"/>
        <v>0</v>
      </c>
      <c r="CU106" s="80">
        <f t="shared" si="72"/>
        <v>0</v>
      </c>
      <c r="CV106" s="81">
        <f t="shared" si="73"/>
        <v>0</v>
      </c>
      <c r="CW106" s="144"/>
      <c r="CX106" s="145">
        <f>IF(ISERROR(VLOOKUP($A106,FIJOS!$B$11:$O$590,14,FALSE)),0,VLOOKUP($A106,FIJOS!$B$11:$O$590,14,FALSE))</f>
        <v>0</v>
      </c>
      <c r="CY106" s="145">
        <f>IF(ISERROR(VLOOKUP(A106,FIJOS!$B$10:$P$590,15,FALSE)),0,VLOOKUP(A106,FIJOS!$B$10:$P$590,15,FALSE))</f>
        <v>0</v>
      </c>
      <c r="CZ106" s="156"/>
      <c r="DA106" s="146"/>
      <c r="DB106" s="147"/>
      <c r="DC106" s="147"/>
      <c r="DD106" s="147"/>
      <c r="DE106" s="147"/>
      <c r="DF106" s="145">
        <f>IF(ISERROR(VLOOKUP($A106,FIJOS!$B$11:$N$590,13,FALSE)),0,VLOOKUP($A106,FIJOS!$B$11:$N$590,13,FALSE))</f>
        <v>0</v>
      </c>
      <c r="DG106" s="145">
        <f>IF(ISERROR(VLOOKUP($A106,FIJOS!$B$11:$P$447,12,FALSE)),0,VLOOKUP($A106,FIJOS!$B$11:$P$447,12,FALSE))</f>
        <v>0</v>
      </c>
      <c r="DH106" s="82">
        <f t="shared" si="63"/>
        <v>0</v>
      </c>
      <c r="DI106" s="83" t="b">
        <f>IF($C106=1,(VLOOKUP($A106,FIJOS!$B$11:$P$545,10,FALSE)/7)*(7-$CU106),IF(AND($C106=2,CV106&lt;$DJ$1),(VLOOKUP($D106,HORAS!$B$4:$C$42,2,FALSE)*24)*$CV106,IF(AND($C106=2,CV106&gt;=$DJ$1),VLOOKUP($D106,HORAS!$B$4:$D$42,3,FALSE),IF(AND($C106=3,$CV106&gt;=$DJ$1),VLOOKUP($A106,FIJOS!$B$11:$P$545,10,FALSE),IF(AND($C106=3,$CV106&lt;$DJ$1),((VLOOKUP($A106,FIJOS!$B$11:$P$545,10,FALSE)/48)*24)*$CV106,IF(AND($C106=4,$CV106&gt;=(42/24)),VLOOKUP($D106,HORAS!$B$4:$D$42,3,FALSE),IF(AND($C106=5,$CV106&gt;=(36/24)),VLOOKUP($D106,HORAS!$B$4:$D$42,3,FALSE))))))))</f>
        <v>0</v>
      </c>
      <c r="DJ106" s="145">
        <f>IF(OR($C106=2),VLOOKUP($D106,HORAS!$B$4:$E$42,4,FALSE)*$EC106,IF(ISERROR(VLOOKUP($A106,FIJOS!$B$11:$P$108,9,FALSE)),0,VLOOKUP($A106,FIJOS!$B$11:$P$231,9,FALSE)*$EC106))</f>
        <v>0</v>
      </c>
      <c r="DK106" s="145">
        <f>IF(OR($C106=2),VLOOKUP($D106,HORAS!$B$4:$F$42,5,FALSE)*$EE106,IF(ISERROR(VLOOKUP($A106,FIJOS!$B$11:$P$108,9,FALSE)),0,VLOOKUP($A106,FIJOS!$B$11:$P$231,9,FALSE)*$EE106))</f>
        <v>0</v>
      </c>
      <c r="DL106" s="144"/>
      <c r="DM106" s="145">
        <f>IF(ISERROR(VLOOKUP($A106,FIJOS!$B$11:$L$646,11,FALSE)),0,VLOOKUP($A106,FIJOS!$B$11:$L$646,11,FALSE))</f>
        <v>0</v>
      </c>
      <c r="DN106" s="148" t="e">
        <f>IF(OR($C106=1,$C106=3),0,IF((VLOOKUP(CAPTURA!D106,HORAS!$B$4:$K$42,10,FALSE)/4)*COUNTIF($H106:$CT106,3)&gt;100,100,(VLOOKUP(CAPTURA!D106,HORAS!$B$4:$K$42,10,FALSE)/4)*COUNTIF($H106:$CT106,3)))</f>
        <v>#N/A</v>
      </c>
      <c r="DO106" s="144" t="e">
        <f>IF(OR($C106=1,$C106=3),0,IF($C106=5,VLOOKUP(D106,HORAS!$B$4:$G$42,6,FALSE),IF(AND($C106=4,$CV106&gt;=(42/24)),VLOOKUP(D106,HORAS!$B$4:$G$42,6,FALSE),IF(COUNTIF($H106:$CL106,"F")&gt;0,0,IF(CV106&gt;$DJ$1,$DJ$1*(VLOOKUP(D106,HORAS!$B$4:$G$42,6,FALSE)/$DJ$1),CV106*(VLOOKUP(D106,HORAS!$B$4:$G$42,6,FALSE)/$DJ$1))))))</f>
        <v>#N/A</v>
      </c>
      <c r="DP106" s="156"/>
      <c r="DQ106" s="89"/>
      <c r="DR106" s="148"/>
      <c r="DS106" s="83" t="e">
        <f t="shared" si="66"/>
        <v>#N/A</v>
      </c>
      <c r="DT106" s="84"/>
      <c r="DU106" s="149" t="e">
        <f t="shared" si="67"/>
        <v>#N/A</v>
      </c>
      <c r="DV106" s="149" t="e">
        <f t="shared" si="68"/>
        <v>#N/A</v>
      </c>
      <c r="DW106" s="144" t="e">
        <f t="shared" si="69"/>
        <v>#N/A</v>
      </c>
      <c r="DX106"/>
      <c r="DY106" s="29"/>
      <c r="DZ106" s="150"/>
      <c r="EA106" s="134"/>
      <c r="EB106" s="137">
        <f t="shared" si="70"/>
        <v>0</v>
      </c>
      <c r="EC106" s="138">
        <f t="shared" si="64"/>
        <v>0</v>
      </c>
      <c r="ED106" s="137">
        <f t="shared" si="71"/>
        <v>0</v>
      </c>
      <c r="EE106" s="132">
        <f t="shared" si="65"/>
        <v>0</v>
      </c>
      <c r="EF106" s="29"/>
      <c r="EG106" s="134"/>
      <c r="EH106" s="134"/>
      <c r="EI106" s="134"/>
      <c r="EK106" s="29"/>
    </row>
    <row r="107" spans="1:141" ht="15" customHeight="1" x14ac:dyDescent="0.25">
      <c r="A107" s="140"/>
      <c r="B107" s="151"/>
      <c r="C107" s="72"/>
      <c r="D107" s="73"/>
      <c r="E107" s="73"/>
      <c r="F107" s="141"/>
      <c r="G107" s="74"/>
      <c r="H107" s="75"/>
      <c r="I107" s="76"/>
      <c r="J107" s="135"/>
      <c r="K107" s="135"/>
      <c r="L107" s="77">
        <f t="shared" si="42"/>
        <v>0</v>
      </c>
      <c r="M107" s="78"/>
      <c r="N107" s="142"/>
      <c r="O107" s="142"/>
      <c r="P107" s="77">
        <f t="shared" si="43"/>
        <v>0</v>
      </c>
      <c r="Q107" s="78"/>
      <c r="R107" s="143"/>
      <c r="S107" s="143"/>
      <c r="T107" s="77">
        <f t="shared" si="44"/>
        <v>0</v>
      </c>
      <c r="U107" s="75"/>
      <c r="V107" s="76"/>
      <c r="W107" s="135"/>
      <c r="X107" s="135"/>
      <c r="Y107" s="77">
        <f t="shared" si="45"/>
        <v>0</v>
      </c>
      <c r="Z107" s="78"/>
      <c r="AA107" s="142"/>
      <c r="AB107" s="142"/>
      <c r="AC107" s="77">
        <f t="shared" si="46"/>
        <v>0</v>
      </c>
      <c r="AD107" s="78"/>
      <c r="AE107" s="143"/>
      <c r="AF107" s="143"/>
      <c r="AG107" s="79">
        <f t="shared" si="47"/>
        <v>0</v>
      </c>
      <c r="AH107" s="75"/>
      <c r="AI107" s="76"/>
      <c r="AJ107" s="135"/>
      <c r="AK107" s="135"/>
      <c r="AL107" s="77">
        <f t="shared" si="48"/>
        <v>0</v>
      </c>
      <c r="AM107" s="76"/>
      <c r="AN107" s="142"/>
      <c r="AO107" s="142"/>
      <c r="AP107" s="77">
        <f t="shared" si="49"/>
        <v>0</v>
      </c>
      <c r="AQ107" s="78"/>
      <c r="AR107" s="142"/>
      <c r="AS107" s="142"/>
      <c r="AT107" s="79">
        <f t="shared" si="50"/>
        <v>0</v>
      </c>
      <c r="AU107" s="75"/>
      <c r="AV107" s="76"/>
      <c r="AW107" s="135"/>
      <c r="AX107" s="135"/>
      <c r="AY107" s="77">
        <f t="shared" si="51"/>
        <v>0</v>
      </c>
      <c r="AZ107" s="76"/>
      <c r="BA107" s="142"/>
      <c r="BB107" s="142"/>
      <c r="BC107" s="77">
        <f t="shared" si="52"/>
        <v>0</v>
      </c>
      <c r="BD107" s="78"/>
      <c r="BE107" s="142"/>
      <c r="BF107" s="142"/>
      <c r="BG107" s="79">
        <f t="shared" si="53"/>
        <v>0</v>
      </c>
      <c r="BH107" s="75"/>
      <c r="BI107" s="76"/>
      <c r="BJ107" s="135"/>
      <c r="BK107" s="135"/>
      <c r="BL107" s="77">
        <f t="shared" si="54"/>
        <v>0</v>
      </c>
      <c r="BM107" s="78"/>
      <c r="BN107" s="142"/>
      <c r="BO107" s="142"/>
      <c r="BP107" s="77">
        <f t="shared" si="55"/>
        <v>0</v>
      </c>
      <c r="BQ107" s="78"/>
      <c r="BR107" s="142"/>
      <c r="BS107" s="142"/>
      <c r="BT107" s="79">
        <f t="shared" si="56"/>
        <v>0</v>
      </c>
      <c r="BU107" s="75"/>
      <c r="BV107" s="76"/>
      <c r="BW107" s="135"/>
      <c r="BX107" s="135"/>
      <c r="BY107" s="77">
        <f t="shared" si="57"/>
        <v>0</v>
      </c>
      <c r="BZ107" s="78"/>
      <c r="CA107" s="142"/>
      <c r="CB107" s="142"/>
      <c r="CC107" s="77">
        <f t="shared" si="58"/>
        <v>0</v>
      </c>
      <c r="CD107" s="78"/>
      <c r="CE107" s="142"/>
      <c r="CF107" s="142"/>
      <c r="CG107" s="79">
        <f t="shared" si="59"/>
        <v>0</v>
      </c>
      <c r="CH107" s="75"/>
      <c r="CI107" s="76"/>
      <c r="CJ107" s="135"/>
      <c r="CK107" s="135"/>
      <c r="CL107" s="77">
        <f t="shared" si="60"/>
        <v>0</v>
      </c>
      <c r="CM107" s="78"/>
      <c r="CN107" s="142"/>
      <c r="CO107" s="142"/>
      <c r="CP107" s="77">
        <f t="shared" si="61"/>
        <v>0</v>
      </c>
      <c r="CQ107" s="78"/>
      <c r="CR107" s="142"/>
      <c r="CS107" s="142"/>
      <c r="CT107" s="79">
        <f t="shared" si="62"/>
        <v>0</v>
      </c>
      <c r="CU107" s="80">
        <f t="shared" si="72"/>
        <v>0</v>
      </c>
      <c r="CV107" s="81">
        <f t="shared" si="73"/>
        <v>0</v>
      </c>
      <c r="CW107" s="144"/>
      <c r="CX107" s="145">
        <f>IF(ISERROR(VLOOKUP($A107,FIJOS!$B$11:$O$590,14,FALSE)),0,VLOOKUP($A107,FIJOS!$B$11:$O$590,14,FALSE))</f>
        <v>0</v>
      </c>
      <c r="CY107" s="145">
        <f>IF(ISERROR(VLOOKUP(A107,FIJOS!$B$10:$P$590,15,FALSE)),0,VLOOKUP(A107,FIJOS!$B$10:$P$590,15,FALSE))</f>
        <v>0</v>
      </c>
      <c r="CZ107" s="156"/>
      <c r="DA107" s="146"/>
      <c r="DB107" s="147"/>
      <c r="DC107" s="147"/>
      <c r="DD107" s="147"/>
      <c r="DE107" s="147"/>
      <c r="DF107" s="145">
        <f>IF(ISERROR(VLOOKUP($A107,FIJOS!$B$11:$N$590,13,FALSE)),0,VLOOKUP($A107,FIJOS!$B$11:$N$590,13,FALSE))</f>
        <v>0</v>
      </c>
      <c r="DG107" s="145">
        <f>IF(ISERROR(VLOOKUP($A107,FIJOS!$B$11:$P$447,12,FALSE)),0,VLOOKUP($A107,FIJOS!$B$11:$P$447,12,FALSE))</f>
        <v>0</v>
      </c>
      <c r="DH107" s="82">
        <f t="shared" si="63"/>
        <v>0</v>
      </c>
      <c r="DI107" s="83" t="b">
        <f>IF($C107=1,(VLOOKUP($A107,FIJOS!$B$11:$P$545,10,FALSE)/7)*(7-$CU107),IF(AND($C107=2,CV107&lt;$DJ$1),(VLOOKUP($D107,HORAS!$B$4:$C$42,2,FALSE)*24)*$CV107,IF(AND($C107=2,CV107&gt;=$DJ$1),VLOOKUP($D107,HORAS!$B$4:$D$42,3,FALSE),IF(AND($C107=3,$CV107&gt;=$DJ$1),VLOOKUP($A107,FIJOS!$B$11:$P$545,10,FALSE),IF(AND($C107=3,$CV107&lt;$DJ$1),((VLOOKUP($A107,FIJOS!$B$11:$P$545,10,FALSE)/48)*24)*$CV107,IF(AND($C107=4,$CV107&gt;=(42/24)),VLOOKUP($D107,HORAS!$B$4:$D$42,3,FALSE),IF(AND($C107=5,$CV107&gt;=(36/24)),VLOOKUP($D107,HORAS!$B$4:$D$42,3,FALSE))))))))</f>
        <v>0</v>
      </c>
      <c r="DJ107" s="145">
        <f>IF(OR($C107=2),VLOOKUP($D107,HORAS!$B$4:$E$42,4,FALSE)*$EC107,IF(ISERROR(VLOOKUP($A107,FIJOS!$B$11:$P$108,9,FALSE)),0,VLOOKUP($A107,FIJOS!$B$11:$P$231,9,FALSE)*$EC107))</f>
        <v>0</v>
      </c>
      <c r="DK107" s="145">
        <f>IF(OR($C107=2),VLOOKUP($D107,HORAS!$B$4:$F$42,5,FALSE)*$EE107,IF(ISERROR(VLOOKUP($A107,FIJOS!$B$11:$P$108,9,FALSE)),0,VLOOKUP($A107,FIJOS!$B$11:$P$231,9,FALSE)*$EE107))</f>
        <v>0</v>
      </c>
      <c r="DL107" s="144"/>
      <c r="DM107" s="145">
        <f>IF(ISERROR(VLOOKUP($A107,FIJOS!$B$11:$L$646,11,FALSE)),0,VLOOKUP($A107,FIJOS!$B$11:$L$646,11,FALSE))</f>
        <v>0</v>
      </c>
      <c r="DN107" s="148" t="e">
        <f>IF(OR($C107=1,$C107=3),0,IF((VLOOKUP(CAPTURA!D107,HORAS!$B$4:$K$42,10,FALSE)/4)*COUNTIF($H107:$CT107,3)&gt;100,100,(VLOOKUP(CAPTURA!D107,HORAS!$B$4:$K$42,10,FALSE)/4)*COUNTIF($H107:$CT107,3)))</f>
        <v>#N/A</v>
      </c>
      <c r="DO107" s="144" t="e">
        <f>IF(OR($C107=1,$C107=3),0,IF($C107=5,VLOOKUP(D107,HORAS!$B$4:$G$42,6,FALSE),IF(AND($C107=4,$CV107&gt;=(42/24)),VLOOKUP(D107,HORAS!$B$4:$G$42,6,FALSE),IF(COUNTIF($H107:$CL107,"F")&gt;0,0,IF(CV107&gt;$DJ$1,$DJ$1*(VLOOKUP(D107,HORAS!$B$4:$G$42,6,FALSE)/$DJ$1),CV107*(VLOOKUP(D107,HORAS!$B$4:$G$42,6,FALSE)/$DJ$1))))))</f>
        <v>#N/A</v>
      </c>
      <c r="DP107" s="156"/>
      <c r="DQ107" s="89"/>
      <c r="DR107" s="148"/>
      <c r="DS107" s="83" t="e">
        <f t="shared" si="66"/>
        <v>#N/A</v>
      </c>
      <c r="DT107" s="84"/>
      <c r="DU107" s="149" t="e">
        <f t="shared" si="67"/>
        <v>#N/A</v>
      </c>
      <c r="DV107" s="149" t="e">
        <f t="shared" si="68"/>
        <v>#N/A</v>
      </c>
      <c r="DW107" s="144" t="e">
        <f t="shared" si="69"/>
        <v>#N/A</v>
      </c>
      <c r="DX107" s="134"/>
      <c r="DY107" s="29"/>
      <c r="DZ107" s="150"/>
      <c r="EA107" s="134"/>
      <c r="EB107" s="137">
        <f t="shared" si="70"/>
        <v>0</v>
      </c>
      <c r="EC107" s="138">
        <f t="shared" si="64"/>
        <v>0</v>
      </c>
      <c r="ED107" s="137">
        <f t="shared" si="71"/>
        <v>0</v>
      </c>
      <c r="EE107" s="132">
        <f t="shared" si="65"/>
        <v>0</v>
      </c>
      <c r="EF107" s="29"/>
      <c r="EG107" s="134"/>
      <c r="EH107" s="134"/>
      <c r="EI107" s="134"/>
      <c r="EK107" s="29"/>
    </row>
    <row r="108" spans="1:141" ht="15" customHeight="1" x14ac:dyDescent="0.25">
      <c r="A108" s="140"/>
      <c r="B108" s="151"/>
      <c r="C108" s="72"/>
      <c r="D108" s="73"/>
      <c r="E108" s="73"/>
      <c r="F108" s="141"/>
      <c r="G108" s="74"/>
      <c r="H108" s="75"/>
      <c r="I108" s="76"/>
      <c r="J108" s="135"/>
      <c r="K108" s="135"/>
      <c r="L108" s="77">
        <f t="shared" si="42"/>
        <v>0</v>
      </c>
      <c r="M108" s="78"/>
      <c r="N108" s="142"/>
      <c r="O108" s="142"/>
      <c r="P108" s="77">
        <f t="shared" si="43"/>
        <v>0</v>
      </c>
      <c r="Q108" s="78"/>
      <c r="R108" s="143"/>
      <c r="S108" s="143"/>
      <c r="T108" s="77">
        <f t="shared" si="44"/>
        <v>0</v>
      </c>
      <c r="U108" s="75"/>
      <c r="V108" s="76"/>
      <c r="W108" s="135"/>
      <c r="X108" s="135"/>
      <c r="Y108" s="77">
        <f t="shared" si="45"/>
        <v>0</v>
      </c>
      <c r="Z108" s="78"/>
      <c r="AA108" s="142"/>
      <c r="AB108" s="142"/>
      <c r="AC108" s="77">
        <f t="shared" si="46"/>
        <v>0</v>
      </c>
      <c r="AD108" s="78"/>
      <c r="AE108" s="143"/>
      <c r="AF108" s="143"/>
      <c r="AG108" s="79">
        <f t="shared" si="47"/>
        <v>0</v>
      </c>
      <c r="AH108" s="75"/>
      <c r="AI108" s="76"/>
      <c r="AJ108" s="135"/>
      <c r="AK108" s="135"/>
      <c r="AL108" s="77">
        <f t="shared" si="48"/>
        <v>0</v>
      </c>
      <c r="AM108" s="76"/>
      <c r="AN108" s="142"/>
      <c r="AO108" s="142"/>
      <c r="AP108" s="77">
        <f t="shared" si="49"/>
        <v>0</v>
      </c>
      <c r="AQ108" s="78"/>
      <c r="AR108" s="142"/>
      <c r="AS108" s="142"/>
      <c r="AT108" s="79">
        <f t="shared" si="50"/>
        <v>0</v>
      </c>
      <c r="AU108" s="75"/>
      <c r="AV108" s="76"/>
      <c r="AW108" s="135"/>
      <c r="AX108" s="135"/>
      <c r="AY108" s="77">
        <f t="shared" si="51"/>
        <v>0</v>
      </c>
      <c r="AZ108" s="76"/>
      <c r="BA108" s="142"/>
      <c r="BB108" s="142"/>
      <c r="BC108" s="77">
        <f t="shared" si="52"/>
        <v>0</v>
      </c>
      <c r="BD108" s="78"/>
      <c r="BE108" s="142"/>
      <c r="BF108" s="142"/>
      <c r="BG108" s="79">
        <f t="shared" si="53"/>
        <v>0</v>
      </c>
      <c r="BH108" s="75"/>
      <c r="BI108" s="76"/>
      <c r="BJ108" s="135"/>
      <c r="BK108" s="135"/>
      <c r="BL108" s="77">
        <f t="shared" si="54"/>
        <v>0</v>
      </c>
      <c r="BM108" s="78"/>
      <c r="BN108" s="142"/>
      <c r="BO108" s="142"/>
      <c r="BP108" s="77">
        <f t="shared" si="55"/>
        <v>0</v>
      </c>
      <c r="BQ108" s="78"/>
      <c r="BR108" s="142"/>
      <c r="BS108" s="142"/>
      <c r="BT108" s="79">
        <f t="shared" si="56"/>
        <v>0</v>
      </c>
      <c r="BU108" s="75"/>
      <c r="BV108" s="76"/>
      <c r="BW108" s="135"/>
      <c r="BX108" s="135"/>
      <c r="BY108" s="77">
        <f t="shared" si="57"/>
        <v>0</v>
      </c>
      <c r="BZ108" s="78"/>
      <c r="CA108" s="142"/>
      <c r="CB108" s="142"/>
      <c r="CC108" s="77">
        <f t="shared" si="58"/>
        <v>0</v>
      </c>
      <c r="CD108" s="78"/>
      <c r="CE108" s="142"/>
      <c r="CF108" s="142"/>
      <c r="CG108" s="79">
        <f t="shared" si="59"/>
        <v>0</v>
      </c>
      <c r="CH108" s="75"/>
      <c r="CI108" s="76"/>
      <c r="CJ108" s="135"/>
      <c r="CK108" s="135"/>
      <c r="CL108" s="77">
        <f t="shared" si="60"/>
        <v>0</v>
      </c>
      <c r="CM108" s="78"/>
      <c r="CN108" s="142"/>
      <c r="CO108" s="142"/>
      <c r="CP108" s="77">
        <f t="shared" si="61"/>
        <v>0</v>
      </c>
      <c r="CQ108" s="78"/>
      <c r="CR108" s="142"/>
      <c r="CS108" s="142"/>
      <c r="CT108" s="79">
        <f t="shared" si="62"/>
        <v>0</v>
      </c>
      <c r="CU108" s="80">
        <f t="shared" si="72"/>
        <v>0</v>
      </c>
      <c r="CV108" s="81">
        <f t="shared" si="73"/>
        <v>0</v>
      </c>
      <c r="CW108" s="144"/>
      <c r="CX108" s="145">
        <f>IF(ISERROR(VLOOKUP($A108,FIJOS!$B$11:$O$590,14,FALSE)),0,VLOOKUP($A108,FIJOS!$B$11:$O$590,14,FALSE))</f>
        <v>0</v>
      </c>
      <c r="CY108" s="145">
        <f>IF(ISERROR(VLOOKUP(A108,FIJOS!$B$10:$P$590,15,FALSE)),0,VLOOKUP(A108,FIJOS!$B$10:$P$590,15,FALSE))</f>
        <v>0</v>
      </c>
      <c r="CZ108" s="156"/>
      <c r="DA108" s="146"/>
      <c r="DB108" s="147"/>
      <c r="DC108" s="147"/>
      <c r="DD108" s="147"/>
      <c r="DE108" s="147"/>
      <c r="DF108" s="145">
        <f>IF(ISERROR(VLOOKUP($A108,FIJOS!$B$11:$N$590,13,FALSE)),0,VLOOKUP($A108,FIJOS!$B$11:$N$590,13,FALSE))</f>
        <v>0</v>
      </c>
      <c r="DG108" s="145">
        <f>IF(ISERROR(VLOOKUP($A108,FIJOS!$B$11:$P$447,12,FALSE)),0,VLOOKUP($A108,FIJOS!$B$11:$P$447,12,FALSE))</f>
        <v>0</v>
      </c>
      <c r="DH108" s="82">
        <f t="shared" si="63"/>
        <v>0</v>
      </c>
      <c r="DI108" s="83" t="b">
        <f>IF($C108=1,(VLOOKUP($A108,FIJOS!$B$11:$P$545,10,FALSE)/7)*(7-$CU108),IF(AND($C108=2,CV108&lt;$DJ$1),(VLOOKUP($D108,HORAS!$B$4:$C$42,2,FALSE)*24)*$CV108,IF(AND($C108=2,CV108&gt;=$DJ$1),VLOOKUP($D108,HORAS!$B$4:$D$42,3,FALSE),IF(AND($C108=3,$CV108&gt;=$DJ$1),VLOOKUP($A108,FIJOS!$B$11:$P$545,10,FALSE),IF(AND($C108=3,$CV108&lt;$DJ$1),((VLOOKUP($A108,FIJOS!$B$11:$P$545,10,FALSE)/48)*24)*$CV108,IF(AND($C108=4,$CV108&gt;=(42/24)),VLOOKUP($D108,HORAS!$B$4:$D$42,3,FALSE),IF(AND($C108=5,$CV108&gt;=(36/24)),VLOOKUP($D108,HORAS!$B$4:$D$42,3,FALSE))))))))</f>
        <v>0</v>
      </c>
      <c r="DJ108" s="145">
        <f>IF(OR($C108=2),VLOOKUP($D108,HORAS!$B$4:$E$42,4,FALSE)*$EC108,IF(ISERROR(VLOOKUP($A108,FIJOS!$B$11:$P$108,9,FALSE)),0,VLOOKUP($A108,FIJOS!$B$11:$P$231,9,FALSE)*$EC108))</f>
        <v>0</v>
      </c>
      <c r="DK108" s="145">
        <f>IF(OR($C108=2),VLOOKUP($D108,HORAS!$B$4:$F$42,5,FALSE)*$EE108,IF(ISERROR(VLOOKUP($A108,FIJOS!$B$11:$P$108,9,FALSE)),0,VLOOKUP($A108,FIJOS!$B$11:$P$231,9,FALSE)*$EE108))</f>
        <v>0</v>
      </c>
      <c r="DL108" s="144"/>
      <c r="DM108" s="145">
        <f>IF(ISERROR(VLOOKUP($A108,FIJOS!$B$11:$L$646,11,FALSE)),0,VLOOKUP($A108,FIJOS!$B$11:$L$646,11,FALSE))</f>
        <v>0</v>
      </c>
      <c r="DN108" s="148" t="e">
        <f>IF(OR($C108=1,$C108=3),0,IF((VLOOKUP(CAPTURA!D108,HORAS!$B$4:$K$42,10,FALSE)/4)*COUNTIF($H108:$CT108,3)&gt;100,100,(VLOOKUP(CAPTURA!D108,HORAS!$B$4:$K$42,10,FALSE)/4)*COUNTIF($H108:$CT108,3)))</f>
        <v>#N/A</v>
      </c>
      <c r="DO108" s="144" t="e">
        <f>IF(OR($C108=1,$C108=3),0,IF($C108=5,VLOOKUP(D108,HORAS!$B$4:$G$42,6,FALSE),IF(AND($C108=4,$CV108&gt;=(42/24)),VLOOKUP(D108,HORAS!$B$4:$G$42,6,FALSE),IF(COUNTIF($H108:$CL108,"F")&gt;0,0,IF(CV108&gt;$DJ$1,$DJ$1*(VLOOKUP(D108,HORAS!$B$4:$G$42,6,FALSE)/$DJ$1),CV108*(VLOOKUP(D108,HORAS!$B$4:$G$42,6,FALSE)/$DJ$1))))))</f>
        <v>#N/A</v>
      </c>
      <c r="DP108" s="156"/>
      <c r="DQ108" s="89"/>
      <c r="DR108" s="148"/>
      <c r="DS108" s="83" t="e">
        <f t="shared" si="66"/>
        <v>#N/A</v>
      </c>
      <c r="DT108" s="84"/>
      <c r="DU108" s="149" t="e">
        <f t="shared" si="67"/>
        <v>#N/A</v>
      </c>
      <c r="DV108" s="149" t="e">
        <f t="shared" si="68"/>
        <v>#N/A</v>
      </c>
      <c r="DW108" s="144" t="e">
        <f t="shared" si="69"/>
        <v>#N/A</v>
      </c>
      <c r="DX108" s="134"/>
      <c r="DY108" s="29"/>
      <c r="DZ108" s="150"/>
      <c r="EA108" s="134"/>
      <c r="EB108" s="137">
        <f t="shared" si="70"/>
        <v>0</v>
      </c>
      <c r="EC108" s="138">
        <f t="shared" si="64"/>
        <v>0</v>
      </c>
      <c r="ED108" s="137">
        <f t="shared" si="71"/>
        <v>0</v>
      </c>
      <c r="EE108" s="132">
        <f t="shared" si="65"/>
        <v>0</v>
      </c>
      <c r="EF108" s="29"/>
      <c r="EG108" s="134"/>
      <c r="EH108" s="134"/>
      <c r="EI108" s="134"/>
      <c r="EK108" s="35"/>
    </row>
    <row r="109" spans="1:141" ht="15" customHeight="1" x14ac:dyDescent="0.25">
      <c r="A109" s="140"/>
      <c r="B109" s="151"/>
      <c r="C109" s="72"/>
      <c r="D109" s="73"/>
      <c r="E109" s="73"/>
      <c r="F109" s="141"/>
      <c r="G109" s="74"/>
      <c r="H109" s="75"/>
      <c r="I109" s="76"/>
      <c r="J109" s="135"/>
      <c r="K109" s="135"/>
      <c r="L109" s="77">
        <f t="shared" si="42"/>
        <v>0</v>
      </c>
      <c r="M109" s="78"/>
      <c r="N109" s="142"/>
      <c r="O109" s="142"/>
      <c r="P109" s="77">
        <f t="shared" si="43"/>
        <v>0</v>
      </c>
      <c r="Q109" s="78"/>
      <c r="R109" s="143"/>
      <c r="S109" s="143"/>
      <c r="T109" s="77">
        <f t="shared" si="44"/>
        <v>0</v>
      </c>
      <c r="U109" s="75"/>
      <c r="V109" s="76"/>
      <c r="W109" s="135"/>
      <c r="X109" s="135"/>
      <c r="Y109" s="77">
        <f t="shared" si="45"/>
        <v>0</v>
      </c>
      <c r="Z109" s="78"/>
      <c r="AA109" s="142"/>
      <c r="AB109" s="142"/>
      <c r="AC109" s="77">
        <f t="shared" si="46"/>
        <v>0</v>
      </c>
      <c r="AD109" s="78"/>
      <c r="AE109" s="143"/>
      <c r="AF109" s="143"/>
      <c r="AG109" s="79">
        <f t="shared" si="47"/>
        <v>0</v>
      </c>
      <c r="AH109" s="75"/>
      <c r="AI109" s="76"/>
      <c r="AJ109" s="157"/>
      <c r="AK109" s="135"/>
      <c r="AL109" s="77">
        <f t="shared" si="48"/>
        <v>0</v>
      </c>
      <c r="AM109" s="76"/>
      <c r="AN109" s="142"/>
      <c r="AO109" s="142"/>
      <c r="AP109" s="77">
        <f t="shared" si="49"/>
        <v>0</v>
      </c>
      <c r="AQ109" s="78"/>
      <c r="AR109" s="142"/>
      <c r="AS109" s="142"/>
      <c r="AT109" s="79">
        <f t="shared" si="50"/>
        <v>0</v>
      </c>
      <c r="AU109" s="75"/>
      <c r="AV109" s="76"/>
      <c r="AW109" s="157"/>
      <c r="AX109" s="135"/>
      <c r="AY109" s="77">
        <f t="shared" si="51"/>
        <v>0</v>
      </c>
      <c r="AZ109" s="76"/>
      <c r="BA109" s="142"/>
      <c r="BB109" s="142"/>
      <c r="BC109" s="77">
        <f t="shared" si="52"/>
        <v>0</v>
      </c>
      <c r="BD109" s="78"/>
      <c r="BE109" s="142"/>
      <c r="BF109" s="142"/>
      <c r="BG109" s="79">
        <f t="shared" si="53"/>
        <v>0</v>
      </c>
      <c r="BH109" s="75"/>
      <c r="BI109" s="76"/>
      <c r="BJ109" s="135"/>
      <c r="BK109" s="135"/>
      <c r="BL109" s="77">
        <f t="shared" si="54"/>
        <v>0</v>
      </c>
      <c r="BM109" s="78"/>
      <c r="BN109" s="142"/>
      <c r="BO109" s="142"/>
      <c r="BP109" s="77">
        <f t="shared" si="55"/>
        <v>0</v>
      </c>
      <c r="BQ109" s="78"/>
      <c r="BR109" s="142"/>
      <c r="BS109" s="142"/>
      <c r="BT109" s="79">
        <f t="shared" si="56"/>
        <v>0</v>
      </c>
      <c r="BU109" s="75"/>
      <c r="BV109" s="76"/>
      <c r="BW109" s="135"/>
      <c r="BX109" s="135"/>
      <c r="BY109" s="77">
        <f t="shared" si="57"/>
        <v>0</v>
      </c>
      <c r="BZ109" s="78"/>
      <c r="CA109" s="142"/>
      <c r="CB109" s="142"/>
      <c r="CC109" s="77">
        <f t="shared" si="58"/>
        <v>0</v>
      </c>
      <c r="CD109" s="78"/>
      <c r="CE109" s="142"/>
      <c r="CF109" s="142"/>
      <c r="CG109" s="79">
        <f t="shared" si="59"/>
        <v>0</v>
      </c>
      <c r="CH109" s="75"/>
      <c r="CI109" s="76"/>
      <c r="CJ109" s="135"/>
      <c r="CK109" s="135"/>
      <c r="CL109" s="77">
        <f t="shared" si="60"/>
        <v>0</v>
      </c>
      <c r="CM109" s="78"/>
      <c r="CN109" s="142"/>
      <c r="CO109" s="142"/>
      <c r="CP109" s="77">
        <f t="shared" si="61"/>
        <v>0</v>
      </c>
      <c r="CQ109" s="78"/>
      <c r="CR109" s="142"/>
      <c r="CS109" s="142"/>
      <c r="CT109" s="79">
        <f t="shared" si="62"/>
        <v>0</v>
      </c>
      <c r="CU109" s="80">
        <f t="shared" si="72"/>
        <v>0</v>
      </c>
      <c r="CV109" s="81">
        <f t="shared" si="73"/>
        <v>0</v>
      </c>
      <c r="CW109" s="144"/>
      <c r="CX109" s="145">
        <f>IF(ISERROR(VLOOKUP($A109,FIJOS!$B$11:$O$590,14,FALSE)),0,VLOOKUP($A109,FIJOS!$B$11:$O$590,14,FALSE))</f>
        <v>0</v>
      </c>
      <c r="CY109" s="145">
        <f>IF(ISERROR(VLOOKUP(A109,FIJOS!$B$10:$P$590,15,FALSE)),0,VLOOKUP(A109,FIJOS!$B$10:$P$590,15,FALSE))</f>
        <v>0</v>
      </c>
      <c r="CZ109" s="156"/>
      <c r="DA109" s="146"/>
      <c r="DB109" s="147"/>
      <c r="DC109" s="147"/>
      <c r="DD109" s="147"/>
      <c r="DE109" s="147"/>
      <c r="DF109" s="145">
        <f>IF(ISERROR(VLOOKUP($A109,FIJOS!$B$11:$N$590,13,FALSE)),0,VLOOKUP($A109,FIJOS!$B$11:$N$590,13,FALSE))</f>
        <v>0</v>
      </c>
      <c r="DG109" s="145">
        <f>IF(ISERROR(VLOOKUP($A109,FIJOS!$B$11:$P$447,12,FALSE)),0,VLOOKUP($A109,FIJOS!$B$11:$P$447,12,FALSE))</f>
        <v>0</v>
      </c>
      <c r="DH109" s="82">
        <f t="shared" si="63"/>
        <v>0</v>
      </c>
      <c r="DI109" s="83" t="b">
        <f>IF($C109=1,(VLOOKUP($A109,FIJOS!$B$11:$P$545,10,FALSE)/7)*(7-$CU109),IF(AND($C109=2,CV109&lt;$DJ$1),(VLOOKUP($D109,HORAS!$B$4:$C$42,2,FALSE)*24)*$CV109,IF(AND($C109=2,CV109&gt;=$DJ$1),VLOOKUP($D109,HORAS!$B$4:$D$42,3,FALSE),IF(AND($C109=3,$CV109&gt;=$DJ$1),VLOOKUP($A109,FIJOS!$B$11:$P$545,10,FALSE),IF(AND($C109=3,$CV109&lt;$DJ$1),((VLOOKUP($A109,FIJOS!$B$11:$P$545,10,FALSE)/48)*24)*$CV109,IF(AND($C109=4,$CV109&gt;=(42/24)),VLOOKUP($D109,HORAS!$B$4:$D$42,3,FALSE),IF(AND($C109=5,$CV109&gt;=(36/24)),VLOOKUP($D109,HORAS!$B$4:$D$42,3,FALSE))))))))</f>
        <v>0</v>
      </c>
      <c r="DJ109" s="145">
        <f>IF(OR($C109=2),VLOOKUP($D109,HORAS!$B$4:$E$42,4,FALSE)*$EC109,IF(ISERROR(VLOOKUP($A109,FIJOS!$B$11:$P$108,9,FALSE)),0,VLOOKUP($A109,FIJOS!$B$11:$P$231,9,FALSE)*$EC109))</f>
        <v>0</v>
      </c>
      <c r="DK109" s="145">
        <f>IF(OR($C109=2),VLOOKUP($D109,HORAS!$B$4:$F$42,5,FALSE)*$EE109,IF(ISERROR(VLOOKUP($A109,FIJOS!$B$11:$P$108,9,FALSE)),0,VLOOKUP($A109,FIJOS!$B$11:$P$231,9,FALSE)*$EE109))</f>
        <v>0</v>
      </c>
      <c r="DL109" s="144"/>
      <c r="DM109" s="145">
        <f>IF(ISERROR(VLOOKUP($A109,FIJOS!$B$11:$L$646,11,FALSE)),0,VLOOKUP($A109,FIJOS!$B$11:$L$646,11,FALSE))</f>
        <v>0</v>
      </c>
      <c r="DN109" s="148" t="e">
        <f>IF(OR($C109=1,$C109=3),0,IF((VLOOKUP(CAPTURA!D109,HORAS!$B$4:$K$42,10,FALSE)/4)*COUNTIF($H109:$CT109,3)&gt;100,100,(VLOOKUP(CAPTURA!D109,HORAS!$B$4:$K$42,10,FALSE)/4)*COUNTIF($H109:$CT109,3)))</f>
        <v>#N/A</v>
      </c>
      <c r="DO109" s="144" t="e">
        <f>IF(OR($C109=1,$C109=3),0,IF($C109=5,VLOOKUP(D109,HORAS!$B$4:$G$42,6,FALSE),IF(AND($C109=4,$CV109&gt;=(42/24)),VLOOKUP(D109,HORAS!$B$4:$G$42,6,FALSE),IF(COUNTIF($H109:$CL109,"F")&gt;0,0,IF(CV109&gt;$DJ$1,$DJ$1*(VLOOKUP(D109,HORAS!$B$4:$G$42,6,FALSE)/$DJ$1),CV109*(VLOOKUP(D109,HORAS!$B$4:$G$42,6,FALSE)/$DJ$1))))))</f>
        <v>#N/A</v>
      </c>
      <c r="DP109" s="156"/>
      <c r="DQ109" s="89"/>
      <c r="DR109" s="148"/>
      <c r="DS109" s="83" t="e">
        <f t="shared" si="66"/>
        <v>#N/A</v>
      </c>
      <c r="DT109" s="84"/>
      <c r="DU109" s="149" t="e">
        <f t="shared" si="67"/>
        <v>#N/A</v>
      </c>
      <c r="DV109" s="149" t="e">
        <f t="shared" si="68"/>
        <v>#N/A</v>
      </c>
      <c r="DW109" s="144" t="e">
        <f t="shared" si="69"/>
        <v>#N/A</v>
      </c>
      <c r="DX109" s="134"/>
      <c r="DY109" s="29"/>
      <c r="DZ109" s="150"/>
      <c r="EA109" s="134"/>
      <c r="EB109" s="137">
        <f t="shared" si="70"/>
        <v>0</v>
      </c>
      <c r="EC109" s="138">
        <f t="shared" si="64"/>
        <v>0</v>
      </c>
      <c r="ED109" s="137">
        <f t="shared" si="71"/>
        <v>0</v>
      </c>
      <c r="EE109" s="132">
        <f t="shared" si="65"/>
        <v>0</v>
      </c>
      <c r="EF109" s="29"/>
      <c r="EG109" s="134"/>
      <c r="EH109" s="134"/>
      <c r="EI109" s="134"/>
      <c r="EK109" s="29"/>
    </row>
    <row r="110" spans="1:141" ht="15" customHeight="1" x14ac:dyDescent="0.25">
      <c r="A110" s="140"/>
      <c r="B110" s="151"/>
      <c r="C110" s="72"/>
      <c r="D110" s="73"/>
      <c r="E110" s="73"/>
      <c r="F110" s="141"/>
      <c r="G110" s="74"/>
      <c r="H110" s="75"/>
      <c r="I110" s="76"/>
      <c r="J110" s="135"/>
      <c r="K110" s="135"/>
      <c r="L110" s="77">
        <f t="shared" si="42"/>
        <v>0</v>
      </c>
      <c r="M110" s="78"/>
      <c r="N110" s="142"/>
      <c r="O110" s="142"/>
      <c r="P110" s="77">
        <f t="shared" si="43"/>
        <v>0</v>
      </c>
      <c r="Q110" s="78"/>
      <c r="R110" s="143"/>
      <c r="S110" s="143"/>
      <c r="T110" s="77">
        <f t="shared" si="44"/>
        <v>0</v>
      </c>
      <c r="U110" s="75"/>
      <c r="V110" s="76"/>
      <c r="W110" s="135"/>
      <c r="X110" s="135"/>
      <c r="Y110" s="77">
        <f t="shared" si="45"/>
        <v>0</v>
      </c>
      <c r="Z110" s="78"/>
      <c r="AA110" s="142"/>
      <c r="AB110" s="142"/>
      <c r="AC110" s="77">
        <f t="shared" si="46"/>
        <v>0</v>
      </c>
      <c r="AD110" s="78"/>
      <c r="AE110" s="143"/>
      <c r="AF110" s="143"/>
      <c r="AG110" s="79">
        <f t="shared" si="47"/>
        <v>0</v>
      </c>
      <c r="AH110" s="75"/>
      <c r="AI110" s="76"/>
      <c r="AJ110" s="135"/>
      <c r="AK110" s="135"/>
      <c r="AL110" s="77">
        <f t="shared" si="48"/>
        <v>0</v>
      </c>
      <c r="AM110" s="76"/>
      <c r="AN110" s="142"/>
      <c r="AO110" s="142"/>
      <c r="AP110" s="77">
        <f t="shared" si="49"/>
        <v>0</v>
      </c>
      <c r="AQ110" s="78"/>
      <c r="AR110" s="142"/>
      <c r="AS110" s="142"/>
      <c r="AT110" s="79">
        <f t="shared" si="50"/>
        <v>0</v>
      </c>
      <c r="AU110" s="75"/>
      <c r="AV110" s="76"/>
      <c r="AW110" s="135"/>
      <c r="AX110" s="135"/>
      <c r="AY110" s="77">
        <f t="shared" si="51"/>
        <v>0</v>
      </c>
      <c r="AZ110" s="76"/>
      <c r="BA110" s="142"/>
      <c r="BB110" s="142"/>
      <c r="BC110" s="77">
        <f t="shared" si="52"/>
        <v>0</v>
      </c>
      <c r="BD110" s="78"/>
      <c r="BE110" s="142"/>
      <c r="BF110" s="142"/>
      <c r="BG110" s="79">
        <f t="shared" si="53"/>
        <v>0</v>
      </c>
      <c r="BH110" s="75"/>
      <c r="BI110" s="76"/>
      <c r="BJ110" s="135"/>
      <c r="BK110" s="135"/>
      <c r="BL110" s="77">
        <f t="shared" si="54"/>
        <v>0</v>
      </c>
      <c r="BM110" s="78"/>
      <c r="BN110" s="142"/>
      <c r="BO110" s="142"/>
      <c r="BP110" s="77">
        <f t="shared" si="55"/>
        <v>0</v>
      </c>
      <c r="BQ110" s="78"/>
      <c r="BR110" s="142"/>
      <c r="BS110" s="142"/>
      <c r="BT110" s="79">
        <f t="shared" si="56"/>
        <v>0</v>
      </c>
      <c r="BU110" s="75"/>
      <c r="BV110" s="76"/>
      <c r="BW110" s="135"/>
      <c r="BX110" s="135"/>
      <c r="BY110" s="77">
        <f t="shared" si="57"/>
        <v>0</v>
      </c>
      <c r="BZ110" s="78"/>
      <c r="CA110" s="142"/>
      <c r="CB110" s="142"/>
      <c r="CC110" s="77">
        <f t="shared" si="58"/>
        <v>0</v>
      </c>
      <c r="CD110" s="78"/>
      <c r="CE110" s="142"/>
      <c r="CF110" s="142"/>
      <c r="CG110" s="79">
        <f t="shared" si="59"/>
        <v>0</v>
      </c>
      <c r="CH110" s="75"/>
      <c r="CI110" s="76"/>
      <c r="CJ110" s="135"/>
      <c r="CK110" s="135"/>
      <c r="CL110" s="77">
        <f t="shared" si="60"/>
        <v>0</v>
      </c>
      <c r="CM110" s="78"/>
      <c r="CN110" s="142"/>
      <c r="CO110" s="142"/>
      <c r="CP110" s="77">
        <f t="shared" si="61"/>
        <v>0</v>
      </c>
      <c r="CQ110" s="78"/>
      <c r="CR110" s="142"/>
      <c r="CS110" s="142"/>
      <c r="CT110" s="79">
        <f t="shared" si="62"/>
        <v>0</v>
      </c>
      <c r="CU110" s="80">
        <f t="shared" si="72"/>
        <v>0</v>
      </c>
      <c r="CV110" s="81">
        <f t="shared" si="73"/>
        <v>0</v>
      </c>
      <c r="CW110" s="144"/>
      <c r="CX110" s="145">
        <f>IF(ISERROR(VLOOKUP($A110,FIJOS!$B$11:$O$590,14,FALSE)),0,VLOOKUP($A110,FIJOS!$B$11:$O$590,14,FALSE))</f>
        <v>0</v>
      </c>
      <c r="CY110" s="145">
        <f>IF(ISERROR(VLOOKUP(A110,FIJOS!$B$10:$P$590,15,FALSE)),0,VLOOKUP(A110,FIJOS!$B$10:$P$590,15,FALSE))</f>
        <v>0</v>
      </c>
      <c r="CZ110" s="156"/>
      <c r="DA110" s="146"/>
      <c r="DB110" s="147"/>
      <c r="DC110" s="147"/>
      <c r="DD110" s="147"/>
      <c r="DE110" s="147"/>
      <c r="DF110" s="145">
        <f>IF(ISERROR(VLOOKUP($A110,FIJOS!$B$11:$N$590,13,FALSE)),0,VLOOKUP($A110,FIJOS!$B$11:$N$590,13,FALSE))</f>
        <v>0</v>
      </c>
      <c r="DG110" s="145">
        <f>IF(ISERROR(VLOOKUP($A110,FIJOS!$B$11:$P$447,12,FALSE)),0,VLOOKUP($A110,FIJOS!$B$11:$P$447,12,FALSE))</f>
        <v>0</v>
      </c>
      <c r="DH110" s="82">
        <f t="shared" si="63"/>
        <v>0</v>
      </c>
      <c r="DI110" s="83" t="b">
        <f>IF($C110=1,(VLOOKUP($A110,FIJOS!$B$11:$P$545,10,FALSE)/7)*(7-$CU110),IF(AND($C110=2,CV110&lt;$DJ$1),(VLOOKUP($D110,HORAS!$B$4:$C$42,2,FALSE)*24)*$CV110,IF(AND($C110=2,CV110&gt;=$DJ$1),VLOOKUP($D110,HORAS!$B$4:$D$42,3,FALSE),IF(AND($C110=3,$CV110&gt;=$DJ$1),VLOOKUP($A110,FIJOS!$B$11:$P$545,10,FALSE),IF(AND($C110=3,$CV110&lt;$DJ$1),((VLOOKUP($A110,FIJOS!$B$11:$P$545,10,FALSE)/48)*24)*$CV110,IF(AND($C110=4,$CV110&gt;=(42/24)),VLOOKUP($D110,HORAS!$B$4:$D$42,3,FALSE),IF(AND($C110=5,$CV110&gt;=(36/24)),VLOOKUP($D110,HORAS!$B$4:$D$42,3,FALSE))))))))</f>
        <v>0</v>
      </c>
      <c r="DJ110" s="145">
        <f>IF(OR($C110=2),VLOOKUP($D110,HORAS!$B$4:$E$42,4,FALSE)*$EC110,IF(ISERROR(VLOOKUP($A110,FIJOS!$B$11:$P$108,9,FALSE)),0,VLOOKUP($A110,FIJOS!$B$11:$P$231,9,FALSE)*$EC110))</f>
        <v>0</v>
      </c>
      <c r="DK110" s="145">
        <f>IF(OR($C110=2),VLOOKUP($D110,HORAS!$B$4:$F$42,5,FALSE)*$EE110,IF(ISERROR(VLOOKUP($A110,FIJOS!$B$11:$P$108,9,FALSE)),0,VLOOKUP($A110,FIJOS!$B$11:$P$231,9,FALSE)*$EE110))</f>
        <v>0</v>
      </c>
      <c r="DL110" s="144"/>
      <c r="DM110" s="145">
        <f>IF(ISERROR(VLOOKUP($A110,FIJOS!$B$11:$L$646,11,FALSE)),0,VLOOKUP($A110,FIJOS!$B$11:$L$646,11,FALSE))</f>
        <v>0</v>
      </c>
      <c r="DN110" s="148" t="e">
        <f>IF(OR($C110=1,$C110=3),0,IF((VLOOKUP(CAPTURA!D110,HORAS!$B$4:$K$42,10,FALSE)/4)*COUNTIF($H110:$CT110,3)&gt;100,100,(VLOOKUP(CAPTURA!D110,HORAS!$B$4:$K$42,10,FALSE)/4)*COUNTIF($H110:$CT110,3)))</f>
        <v>#N/A</v>
      </c>
      <c r="DO110" s="144" t="e">
        <f>IF(OR($C110=1,$C110=3),0,IF($C110=5,VLOOKUP(D110,HORAS!$B$4:$G$42,6,FALSE),IF(AND($C110=4,$CV110&gt;=(42/24)),VLOOKUP(D110,HORAS!$B$4:$G$42,6,FALSE),IF(COUNTIF($H110:$CL110,"F")&gt;0,0,IF(CV110&gt;$DJ$1,$DJ$1*(VLOOKUP(D110,HORAS!$B$4:$G$42,6,FALSE)/$DJ$1),CV110*(VLOOKUP(D110,HORAS!$B$4:$G$42,6,FALSE)/$DJ$1))))))</f>
        <v>#N/A</v>
      </c>
      <c r="DP110" s="156"/>
      <c r="DQ110" s="148"/>
      <c r="DR110" s="148"/>
      <c r="DS110" s="83" t="e">
        <f t="shared" si="66"/>
        <v>#N/A</v>
      </c>
      <c r="DT110" s="84"/>
      <c r="DU110" s="149" t="e">
        <f t="shared" si="67"/>
        <v>#N/A</v>
      </c>
      <c r="DV110" s="149" t="e">
        <f t="shared" si="68"/>
        <v>#N/A</v>
      </c>
      <c r="DW110" s="144" t="e">
        <f t="shared" si="69"/>
        <v>#N/A</v>
      </c>
      <c r="DX110" s="134"/>
      <c r="DY110" s="29"/>
      <c r="DZ110" s="150"/>
      <c r="EA110" s="134"/>
      <c r="EB110" s="137">
        <f t="shared" si="70"/>
        <v>0</v>
      </c>
      <c r="EC110" s="138">
        <f t="shared" si="64"/>
        <v>0</v>
      </c>
      <c r="ED110" s="137">
        <f t="shared" si="71"/>
        <v>0</v>
      </c>
      <c r="EE110" s="132">
        <f t="shared" si="65"/>
        <v>0</v>
      </c>
      <c r="EF110" s="29"/>
      <c r="EG110" s="134"/>
      <c r="EH110" s="134"/>
      <c r="EI110" s="134"/>
      <c r="EK110" s="29"/>
    </row>
    <row r="111" spans="1:141" ht="15" customHeight="1" x14ac:dyDescent="0.25">
      <c r="A111" s="140"/>
      <c r="B111" s="151"/>
      <c r="C111" s="72"/>
      <c r="D111" s="73"/>
      <c r="E111" s="73"/>
      <c r="F111" s="141"/>
      <c r="G111" s="74"/>
      <c r="H111" s="75"/>
      <c r="I111" s="76"/>
      <c r="J111" s="135"/>
      <c r="K111" s="135"/>
      <c r="L111" s="77">
        <f t="shared" si="42"/>
        <v>0</v>
      </c>
      <c r="M111" s="78"/>
      <c r="N111" s="142"/>
      <c r="O111" s="142"/>
      <c r="P111" s="77">
        <f t="shared" si="43"/>
        <v>0</v>
      </c>
      <c r="Q111" s="78"/>
      <c r="R111" s="143"/>
      <c r="S111" s="143"/>
      <c r="T111" s="77">
        <f t="shared" si="44"/>
        <v>0</v>
      </c>
      <c r="U111" s="75"/>
      <c r="V111" s="76"/>
      <c r="W111" s="135"/>
      <c r="X111" s="135"/>
      <c r="Y111" s="77">
        <f t="shared" si="45"/>
        <v>0</v>
      </c>
      <c r="Z111" s="78"/>
      <c r="AA111" s="142"/>
      <c r="AB111" s="142"/>
      <c r="AC111" s="77">
        <f t="shared" si="46"/>
        <v>0</v>
      </c>
      <c r="AD111" s="78"/>
      <c r="AE111" s="143"/>
      <c r="AF111" s="143"/>
      <c r="AG111" s="79">
        <f t="shared" si="47"/>
        <v>0</v>
      </c>
      <c r="AH111" s="75"/>
      <c r="AI111" s="76"/>
      <c r="AJ111" s="135"/>
      <c r="AK111" s="135"/>
      <c r="AL111" s="77">
        <f t="shared" si="48"/>
        <v>0</v>
      </c>
      <c r="AM111" s="76"/>
      <c r="AN111" s="142"/>
      <c r="AO111" s="142"/>
      <c r="AP111" s="77">
        <f t="shared" si="49"/>
        <v>0</v>
      </c>
      <c r="AQ111" s="78"/>
      <c r="AR111" s="142"/>
      <c r="AS111" s="142"/>
      <c r="AT111" s="79">
        <f t="shared" si="50"/>
        <v>0</v>
      </c>
      <c r="AU111" s="75"/>
      <c r="AV111" s="76"/>
      <c r="AW111" s="135"/>
      <c r="AX111" s="135"/>
      <c r="AY111" s="77">
        <f t="shared" si="51"/>
        <v>0</v>
      </c>
      <c r="AZ111" s="76"/>
      <c r="BA111" s="142"/>
      <c r="BB111" s="142"/>
      <c r="BC111" s="77">
        <f t="shared" si="52"/>
        <v>0</v>
      </c>
      <c r="BD111" s="78"/>
      <c r="BE111" s="142"/>
      <c r="BF111" s="142"/>
      <c r="BG111" s="79">
        <f t="shared" si="53"/>
        <v>0</v>
      </c>
      <c r="BH111" s="75"/>
      <c r="BI111" s="76"/>
      <c r="BJ111" s="135"/>
      <c r="BK111" s="135"/>
      <c r="BL111" s="77">
        <f t="shared" si="54"/>
        <v>0</v>
      </c>
      <c r="BM111" s="78"/>
      <c r="BN111" s="142"/>
      <c r="BO111" s="142"/>
      <c r="BP111" s="77">
        <f t="shared" si="55"/>
        <v>0</v>
      </c>
      <c r="BQ111" s="78"/>
      <c r="BR111" s="142"/>
      <c r="BS111" s="142"/>
      <c r="BT111" s="79">
        <f t="shared" si="56"/>
        <v>0</v>
      </c>
      <c r="BU111" s="75"/>
      <c r="BV111" s="76"/>
      <c r="BW111" s="135"/>
      <c r="BX111" s="135"/>
      <c r="BY111" s="77">
        <f t="shared" si="57"/>
        <v>0</v>
      </c>
      <c r="BZ111" s="78"/>
      <c r="CA111" s="142"/>
      <c r="CB111" s="142"/>
      <c r="CC111" s="77">
        <f t="shared" si="58"/>
        <v>0</v>
      </c>
      <c r="CD111" s="78"/>
      <c r="CE111" s="142"/>
      <c r="CF111" s="142"/>
      <c r="CG111" s="79">
        <f t="shared" si="59"/>
        <v>0</v>
      </c>
      <c r="CH111" s="75"/>
      <c r="CI111" s="76"/>
      <c r="CJ111" s="135"/>
      <c r="CK111" s="135"/>
      <c r="CL111" s="77">
        <f t="shared" si="60"/>
        <v>0</v>
      </c>
      <c r="CM111" s="78"/>
      <c r="CN111" s="142"/>
      <c r="CO111" s="142"/>
      <c r="CP111" s="77">
        <f t="shared" si="61"/>
        <v>0</v>
      </c>
      <c r="CQ111" s="78"/>
      <c r="CR111" s="142"/>
      <c r="CS111" s="142"/>
      <c r="CT111" s="79">
        <f t="shared" si="62"/>
        <v>0</v>
      </c>
      <c r="CU111" s="80">
        <f t="shared" si="72"/>
        <v>0</v>
      </c>
      <c r="CV111" s="81">
        <f t="shared" si="73"/>
        <v>0</v>
      </c>
      <c r="CW111" s="144"/>
      <c r="CX111" s="145">
        <f>IF(ISERROR(VLOOKUP($A111,FIJOS!$B$11:$O$590,14,FALSE)),0,VLOOKUP($A111,FIJOS!$B$11:$O$590,14,FALSE))</f>
        <v>0</v>
      </c>
      <c r="CY111" s="145">
        <f>IF(ISERROR(VLOOKUP(A111,FIJOS!$B$10:$P$590,15,FALSE)),0,VLOOKUP(A111,FIJOS!$B$10:$P$590,15,FALSE))</f>
        <v>0</v>
      </c>
      <c r="CZ111" s="156"/>
      <c r="DA111" s="146"/>
      <c r="DB111" s="147"/>
      <c r="DC111" s="147"/>
      <c r="DD111" s="147"/>
      <c r="DE111" s="147"/>
      <c r="DF111" s="145">
        <f>IF(ISERROR(VLOOKUP($A111,FIJOS!$B$11:$N$590,13,FALSE)),0,VLOOKUP($A111,FIJOS!$B$11:$N$590,13,FALSE))</f>
        <v>0</v>
      </c>
      <c r="DG111" s="145">
        <f>IF(ISERROR(VLOOKUP($A111,FIJOS!$B$11:$P$447,12,FALSE)),0,VLOOKUP($A111,FIJOS!$B$11:$P$447,12,FALSE))</f>
        <v>0</v>
      </c>
      <c r="DH111" s="82">
        <f t="shared" si="63"/>
        <v>0</v>
      </c>
      <c r="DI111" s="83" t="b">
        <f>IF($C111=1,(VLOOKUP($A111,FIJOS!$B$11:$P$545,10,FALSE)/7)*(7-$CU111),IF(AND($C111=2,CV111&lt;$DJ$1),(VLOOKUP($D111,HORAS!$B$4:$C$42,2,FALSE)*24)*$CV111,IF(AND($C111=2,CV111&gt;=$DJ$1),VLOOKUP($D111,HORAS!$B$4:$D$42,3,FALSE),IF(AND($C111=3,$CV111&gt;=$DJ$1),VLOOKUP($A111,FIJOS!$B$11:$P$545,10,FALSE),IF(AND($C111=3,$CV111&lt;$DJ$1),((VLOOKUP($A111,FIJOS!$B$11:$P$545,10,FALSE)/48)*24)*$CV111,IF(AND($C111=4,$CV111&gt;=(42/24)),VLOOKUP($D111,HORAS!$B$4:$D$42,3,FALSE),IF(AND($C111=5,$CV111&gt;=(36/24)),VLOOKUP($D111,HORAS!$B$4:$D$42,3,FALSE))))))))</f>
        <v>0</v>
      </c>
      <c r="DJ111" s="145">
        <f>IF(OR($C111=2),VLOOKUP($D111,HORAS!$B$4:$E$42,4,FALSE)*$EC111,IF(ISERROR(VLOOKUP($A111,FIJOS!$B$11:$P$108,9,FALSE)),0,VLOOKUP($A111,FIJOS!$B$11:$P$231,9,FALSE)*$EC111))</f>
        <v>0</v>
      </c>
      <c r="DK111" s="145">
        <f>IF(OR($C111=2),VLOOKUP($D111,HORAS!$B$4:$F$42,5,FALSE)*$EE111,IF(ISERROR(VLOOKUP($A111,FIJOS!$B$11:$P$108,9,FALSE)),0,VLOOKUP($A111,FIJOS!$B$11:$P$231,9,FALSE)*$EE111))</f>
        <v>0</v>
      </c>
      <c r="DL111" s="144"/>
      <c r="DM111" s="145">
        <f>IF(ISERROR(VLOOKUP($A111,FIJOS!$B$11:$L$646,11,FALSE)),0,VLOOKUP($A111,FIJOS!$B$11:$L$646,11,FALSE))</f>
        <v>0</v>
      </c>
      <c r="DN111" s="148" t="e">
        <f>IF(OR($C111=1,$C111=3),0,IF((VLOOKUP(CAPTURA!D111,HORAS!$B$4:$K$42,10,FALSE)/4)*COUNTIF($H111:$CT111,3)&gt;100,100,(VLOOKUP(CAPTURA!D111,HORAS!$B$4:$K$42,10,FALSE)/4)*COUNTIF($H111:$CT111,3)))</f>
        <v>#N/A</v>
      </c>
      <c r="DO111" s="144" t="e">
        <f>IF(OR($C111=1,$C111=3),0,IF($C111=5,VLOOKUP(D111,HORAS!$B$4:$G$42,6,FALSE),IF(AND($C111=4,$CV111&gt;=(42/24)),VLOOKUP(D111,HORAS!$B$4:$G$42,6,FALSE),IF(COUNTIF($H111:$CL111,"F")&gt;0,0,IF(CV111&gt;$DJ$1,$DJ$1*(VLOOKUP(D111,HORAS!$B$4:$G$42,6,FALSE)/$DJ$1),CV111*(VLOOKUP(D111,HORAS!$B$4:$G$42,6,FALSE)/$DJ$1))))))</f>
        <v>#N/A</v>
      </c>
      <c r="DP111" s="156"/>
      <c r="DQ111" s="148"/>
      <c r="DR111" s="148"/>
      <c r="DS111" s="83" t="e">
        <f t="shared" si="66"/>
        <v>#N/A</v>
      </c>
      <c r="DT111" s="84"/>
      <c r="DU111" s="149" t="e">
        <f t="shared" si="67"/>
        <v>#N/A</v>
      </c>
      <c r="DV111" s="149" t="e">
        <f t="shared" si="68"/>
        <v>#N/A</v>
      </c>
      <c r="DW111" s="144" t="e">
        <f t="shared" si="69"/>
        <v>#N/A</v>
      </c>
      <c r="DX111" s="134"/>
      <c r="DY111" s="29"/>
      <c r="DZ111" s="150"/>
      <c r="EA111" s="134"/>
      <c r="EB111" s="137">
        <f t="shared" si="70"/>
        <v>0</v>
      </c>
      <c r="EC111" s="138">
        <f t="shared" si="64"/>
        <v>0</v>
      </c>
      <c r="ED111" s="137">
        <f t="shared" si="71"/>
        <v>0</v>
      </c>
      <c r="EE111" s="132">
        <f t="shared" si="65"/>
        <v>0</v>
      </c>
      <c r="EF111" s="29"/>
      <c r="EG111" s="134"/>
      <c r="EH111" s="134"/>
      <c r="EI111" s="134"/>
      <c r="EK111" s="29"/>
    </row>
    <row r="112" spans="1:141" ht="15" customHeight="1" x14ac:dyDescent="0.25">
      <c r="A112" s="140"/>
      <c r="B112" s="5"/>
      <c r="C112" s="72"/>
      <c r="D112" s="73"/>
      <c r="E112" s="73"/>
      <c r="F112" s="141"/>
      <c r="G112" s="74"/>
      <c r="H112" s="75"/>
      <c r="I112" s="76"/>
      <c r="J112" s="135"/>
      <c r="K112" s="135"/>
      <c r="L112" s="77">
        <f t="shared" si="42"/>
        <v>0</v>
      </c>
      <c r="M112" s="78"/>
      <c r="N112" s="142"/>
      <c r="O112" s="142"/>
      <c r="P112" s="77">
        <f t="shared" si="43"/>
        <v>0</v>
      </c>
      <c r="Q112" s="78"/>
      <c r="R112" s="143"/>
      <c r="S112" s="143"/>
      <c r="T112" s="77">
        <f t="shared" si="44"/>
        <v>0</v>
      </c>
      <c r="U112" s="75"/>
      <c r="V112" s="76"/>
      <c r="W112" s="135"/>
      <c r="X112" s="135"/>
      <c r="Y112" s="77">
        <f t="shared" si="45"/>
        <v>0</v>
      </c>
      <c r="Z112" s="78"/>
      <c r="AA112" s="142"/>
      <c r="AB112" s="142"/>
      <c r="AC112" s="77">
        <f t="shared" si="46"/>
        <v>0</v>
      </c>
      <c r="AD112" s="78"/>
      <c r="AE112" s="143"/>
      <c r="AF112" s="143"/>
      <c r="AG112" s="79">
        <f t="shared" si="47"/>
        <v>0</v>
      </c>
      <c r="AH112" s="75"/>
      <c r="AI112" s="76"/>
      <c r="AJ112" s="135"/>
      <c r="AK112" s="135"/>
      <c r="AL112" s="77">
        <f t="shared" si="48"/>
        <v>0</v>
      </c>
      <c r="AM112" s="76"/>
      <c r="AN112" s="142"/>
      <c r="AO112" s="142"/>
      <c r="AP112" s="77">
        <f t="shared" si="49"/>
        <v>0</v>
      </c>
      <c r="AQ112" s="78"/>
      <c r="AR112" s="142"/>
      <c r="AS112" s="142"/>
      <c r="AT112" s="79">
        <f t="shared" si="50"/>
        <v>0</v>
      </c>
      <c r="AU112" s="75"/>
      <c r="AV112" s="76"/>
      <c r="AW112" s="135"/>
      <c r="AX112" s="135"/>
      <c r="AY112" s="77">
        <f t="shared" si="51"/>
        <v>0</v>
      </c>
      <c r="AZ112" s="76"/>
      <c r="BA112" s="142"/>
      <c r="BB112" s="142"/>
      <c r="BC112" s="77">
        <f t="shared" si="52"/>
        <v>0</v>
      </c>
      <c r="BD112" s="78"/>
      <c r="BE112" s="142"/>
      <c r="BF112" s="142"/>
      <c r="BG112" s="79">
        <f t="shared" si="53"/>
        <v>0</v>
      </c>
      <c r="BH112" s="75"/>
      <c r="BI112" s="76"/>
      <c r="BJ112" s="135"/>
      <c r="BK112" s="135"/>
      <c r="BL112" s="77">
        <f t="shared" si="54"/>
        <v>0</v>
      </c>
      <c r="BM112" s="78"/>
      <c r="BN112" s="142"/>
      <c r="BO112" s="142"/>
      <c r="BP112" s="77">
        <f t="shared" si="55"/>
        <v>0</v>
      </c>
      <c r="BQ112" s="78"/>
      <c r="BR112" s="142"/>
      <c r="BS112" s="142"/>
      <c r="BT112" s="79">
        <f t="shared" si="56"/>
        <v>0</v>
      </c>
      <c r="BU112" s="75"/>
      <c r="BV112" s="76"/>
      <c r="BW112" s="135"/>
      <c r="BX112" s="135"/>
      <c r="BY112" s="77">
        <f t="shared" si="57"/>
        <v>0</v>
      </c>
      <c r="BZ112" s="78"/>
      <c r="CA112" s="142"/>
      <c r="CB112" s="142"/>
      <c r="CC112" s="77">
        <f t="shared" si="58"/>
        <v>0</v>
      </c>
      <c r="CD112" s="78"/>
      <c r="CE112" s="142"/>
      <c r="CF112" s="142"/>
      <c r="CG112" s="79">
        <f t="shared" si="59"/>
        <v>0</v>
      </c>
      <c r="CH112" s="75"/>
      <c r="CI112" s="76"/>
      <c r="CJ112" s="86"/>
      <c r="CK112" s="135"/>
      <c r="CL112" s="77">
        <f t="shared" si="60"/>
        <v>0</v>
      </c>
      <c r="CM112" s="78"/>
      <c r="CN112" s="142"/>
      <c r="CO112" s="142"/>
      <c r="CP112" s="77">
        <f t="shared" si="61"/>
        <v>0</v>
      </c>
      <c r="CQ112" s="78"/>
      <c r="CR112" s="142"/>
      <c r="CS112" s="142"/>
      <c r="CT112" s="79">
        <f t="shared" si="62"/>
        <v>0</v>
      </c>
      <c r="CU112" s="80">
        <f t="shared" si="72"/>
        <v>0</v>
      </c>
      <c r="CV112" s="81">
        <f t="shared" si="73"/>
        <v>0</v>
      </c>
      <c r="CW112" s="144"/>
      <c r="CX112" s="145">
        <f>IF(ISERROR(VLOOKUP($A112,FIJOS!$B$11:$O$590,14,FALSE)),0,VLOOKUP($A112,FIJOS!$B$11:$O$590,14,FALSE))</f>
        <v>0</v>
      </c>
      <c r="CY112" s="145">
        <f>IF(ISERROR(VLOOKUP(A112,FIJOS!$B$10:$P$590,15,FALSE)),0,VLOOKUP(A112,FIJOS!$B$10:$P$590,15,FALSE))</f>
        <v>0</v>
      </c>
      <c r="CZ112" s="156"/>
      <c r="DA112" s="146"/>
      <c r="DB112" s="147"/>
      <c r="DC112" s="147"/>
      <c r="DD112" s="147"/>
      <c r="DE112" s="147"/>
      <c r="DF112" s="145">
        <f>IF(ISERROR(VLOOKUP($A112,FIJOS!$B$11:$N$590,13,FALSE)),0,VLOOKUP($A112,FIJOS!$B$11:$N$590,13,FALSE))</f>
        <v>0</v>
      </c>
      <c r="DG112" s="145">
        <f>IF(ISERROR(VLOOKUP($A112,FIJOS!$B$11:$P$447,12,FALSE)),0,VLOOKUP($A112,FIJOS!$B$11:$P$447,12,FALSE))</f>
        <v>0</v>
      </c>
      <c r="DH112" s="82">
        <f t="shared" si="63"/>
        <v>0</v>
      </c>
      <c r="DI112" s="83" t="b">
        <f>IF($C112=1,(VLOOKUP($A112,FIJOS!$B$11:$P$545,10,FALSE)/7)*(7-$CU112),IF(AND($C112=2,CV112&lt;$DJ$1),(VLOOKUP($D112,HORAS!$B$4:$C$42,2,FALSE)*24)*$CV112,IF(AND($C112=2,CV112&gt;=$DJ$1),VLOOKUP($D112,HORAS!$B$4:$D$42,3,FALSE),IF(AND($C112=3,$CV112&gt;=$DJ$1),VLOOKUP($A112,FIJOS!$B$11:$P$545,10,FALSE),IF(AND($C112=3,$CV112&lt;$DJ$1),((VLOOKUP($A112,FIJOS!$B$11:$P$545,10,FALSE)/48)*24)*$CV112,IF(AND($C112=4,$CV112&gt;=(42/24)),VLOOKUP($D112,HORAS!$B$4:$D$42,3,FALSE),IF(AND($C112=5,$CV112&gt;=(36/24)),VLOOKUP($D112,HORAS!$B$4:$D$42,3,FALSE))))))))</f>
        <v>0</v>
      </c>
      <c r="DJ112" s="145">
        <f>IF(OR($C112=2),VLOOKUP($D112,HORAS!$B$4:$E$42,4,FALSE)*$EC112,IF(ISERROR(VLOOKUP($A112,FIJOS!$B$11:$P$108,9,FALSE)),0,VLOOKUP($A112,FIJOS!$B$11:$P$231,9,FALSE)*$EC112))</f>
        <v>0</v>
      </c>
      <c r="DK112" s="145">
        <f>IF(OR($C112=2),VLOOKUP($D112,HORAS!$B$4:$F$42,5,FALSE)*$EE112,IF(ISERROR(VLOOKUP($A112,FIJOS!$B$11:$P$108,9,FALSE)),0,VLOOKUP($A112,FIJOS!$B$11:$P$231,9,FALSE)*$EE112))</f>
        <v>0</v>
      </c>
      <c r="DL112" s="144"/>
      <c r="DM112" s="145">
        <f>IF(ISERROR(VLOOKUP($A112,FIJOS!$B$11:$L$646,11,FALSE)),0,VLOOKUP($A112,FIJOS!$B$11:$L$646,11,FALSE))</f>
        <v>0</v>
      </c>
      <c r="DN112" s="148" t="e">
        <f>IF(OR($C112=1,$C112=3),0,IF((VLOOKUP(CAPTURA!D112,HORAS!$B$4:$K$42,10,FALSE)/4)*COUNTIF($H112:$CT112,3)&gt;100,100,(VLOOKUP(CAPTURA!D112,HORAS!$B$4:$K$42,10,FALSE)/4)*COUNTIF($H112:$CT112,3)))</f>
        <v>#N/A</v>
      </c>
      <c r="DO112" s="144" t="e">
        <f>IF(OR($C112=1,$C112=3),0,IF($C112=5,VLOOKUP(D112,HORAS!$B$4:$G$42,6,FALSE),IF(AND($C112=4,$CV112&gt;=(42/24)),VLOOKUP(D112,HORAS!$B$4:$G$42,6,FALSE),IF(COUNTIF($H112:$CL112,"F")&gt;0,0,IF(CV112&gt;$DJ$1,$DJ$1*(VLOOKUP(D112,HORAS!$B$4:$G$42,6,FALSE)/$DJ$1),CV112*(VLOOKUP(D112,HORAS!$B$4:$G$42,6,FALSE)/$DJ$1))))))</f>
        <v>#N/A</v>
      </c>
      <c r="DP112" s="156"/>
      <c r="DQ112" s="89"/>
      <c r="DR112" s="148"/>
      <c r="DS112" s="83" t="e">
        <f t="shared" si="66"/>
        <v>#N/A</v>
      </c>
      <c r="DT112" s="84"/>
      <c r="DU112" s="149" t="e">
        <f t="shared" si="67"/>
        <v>#N/A</v>
      </c>
      <c r="DV112" s="149" t="e">
        <f t="shared" si="68"/>
        <v>#N/A</v>
      </c>
      <c r="DW112" s="144" t="e">
        <f t="shared" si="69"/>
        <v>#N/A</v>
      </c>
      <c r="DX112" s="134"/>
      <c r="DY112" s="29"/>
      <c r="DZ112" s="150"/>
      <c r="EA112" s="134"/>
      <c r="EB112" s="137">
        <f t="shared" si="70"/>
        <v>0</v>
      </c>
      <c r="EC112" s="138">
        <f t="shared" si="64"/>
        <v>0</v>
      </c>
      <c r="ED112" s="137">
        <f t="shared" si="71"/>
        <v>0</v>
      </c>
      <c r="EE112" s="132">
        <f t="shared" si="65"/>
        <v>0</v>
      </c>
      <c r="EF112" s="29"/>
      <c r="EG112" s="134"/>
      <c r="EH112" s="134"/>
      <c r="EI112" s="134"/>
      <c r="EK112" s="29"/>
    </row>
    <row r="113" spans="1:141" ht="15" customHeight="1" x14ac:dyDescent="0.25">
      <c r="A113" s="140"/>
      <c r="B113" s="151"/>
      <c r="C113" s="72"/>
      <c r="D113" s="73"/>
      <c r="E113" s="73"/>
      <c r="F113" s="141"/>
      <c r="G113" s="74"/>
      <c r="H113" s="75"/>
      <c r="I113" s="76"/>
      <c r="J113" s="135"/>
      <c r="K113" s="135"/>
      <c r="L113" s="77">
        <f t="shared" si="42"/>
        <v>0</v>
      </c>
      <c r="M113" s="78"/>
      <c r="N113" s="142"/>
      <c r="O113" s="142"/>
      <c r="P113" s="77">
        <f t="shared" si="43"/>
        <v>0</v>
      </c>
      <c r="Q113" s="78"/>
      <c r="R113" s="143"/>
      <c r="S113" s="143"/>
      <c r="T113" s="77">
        <f t="shared" si="44"/>
        <v>0</v>
      </c>
      <c r="U113" s="75"/>
      <c r="V113" s="76"/>
      <c r="W113" s="135"/>
      <c r="X113" s="135"/>
      <c r="Y113" s="77">
        <f t="shared" si="45"/>
        <v>0</v>
      </c>
      <c r="Z113" s="78"/>
      <c r="AA113" s="142"/>
      <c r="AB113" s="142"/>
      <c r="AC113" s="77">
        <f t="shared" si="46"/>
        <v>0</v>
      </c>
      <c r="AD113" s="78"/>
      <c r="AE113" s="143"/>
      <c r="AF113" s="143"/>
      <c r="AG113" s="79">
        <f t="shared" si="47"/>
        <v>0</v>
      </c>
      <c r="AH113" s="75"/>
      <c r="AI113" s="76"/>
      <c r="AJ113" s="135"/>
      <c r="AK113" s="135"/>
      <c r="AL113" s="77">
        <f t="shared" si="48"/>
        <v>0</v>
      </c>
      <c r="AM113" s="76"/>
      <c r="AN113" s="142"/>
      <c r="AO113" s="142"/>
      <c r="AP113" s="77">
        <f t="shared" si="49"/>
        <v>0</v>
      </c>
      <c r="AQ113" s="78"/>
      <c r="AR113" s="142"/>
      <c r="AS113" s="142"/>
      <c r="AT113" s="79">
        <f t="shared" si="50"/>
        <v>0</v>
      </c>
      <c r="AU113" s="75"/>
      <c r="AV113" s="76"/>
      <c r="AW113" s="135"/>
      <c r="AX113" s="135"/>
      <c r="AY113" s="77">
        <f t="shared" si="51"/>
        <v>0</v>
      </c>
      <c r="AZ113" s="76"/>
      <c r="BA113" s="142"/>
      <c r="BB113" s="142"/>
      <c r="BC113" s="77">
        <f t="shared" si="52"/>
        <v>0</v>
      </c>
      <c r="BD113" s="78"/>
      <c r="BE113" s="142"/>
      <c r="BF113" s="142"/>
      <c r="BG113" s="79">
        <f t="shared" si="53"/>
        <v>0</v>
      </c>
      <c r="BH113" s="75"/>
      <c r="BI113" s="76"/>
      <c r="BJ113" s="135"/>
      <c r="BK113" s="135"/>
      <c r="BL113" s="77">
        <f t="shared" si="54"/>
        <v>0</v>
      </c>
      <c r="BM113" s="76"/>
      <c r="BN113" s="142"/>
      <c r="BO113" s="142"/>
      <c r="BP113" s="77">
        <f t="shared" si="55"/>
        <v>0</v>
      </c>
      <c r="BQ113" s="78"/>
      <c r="BR113" s="142"/>
      <c r="BS113" s="142"/>
      <c r="BT113" s="79">
        <f t="shared" si="56"/>
        <v>0</v>
      </c>
      <c r="BU113" s="75"/>
      <c r="BV113" s="76"/>
      <c r="BW113" s="135"/>
      <c r="BX113" s="135"/>
      <c r="BY113" s="77">
        <f t="shared" si="57"/>
        <v>0</v>
      </c>
      <c r="BZ113" s="78"/>
      <c r="CA113" s="142"/>
      <c r="CB113" s="142"/>
      <c r="CC113" s="77">
        <f t="shared" si="58"/>
        <v>0</v>
      </c>
      <c r="CD113" s="78"/>
      <c r="CE113" s="142"/>
      <c r="CF113" s="142"/>
      <c r="CG113" s="79">
        <f t="shared" si="59"/>
        <v>0</v>
      </c>
      <c r="CH113" s="75"/>
      <c r="CI113" s="76"/>
      <c r="CJ113" s="135"/>
      <c r="CK113" s="135"/>
      <c r="CL113" s="77">
        <f t="shared" si="60"/>
        <v>0</v>
      </c>
      <c r="CM113" s="78"/>
      <c r="CN113" s="142"/>
      <c r="CO113" s="142"/>
      <c r="CP113" s="77">
        <f t="shared" si="61"/>
        <v>0</v>
      </c>
      <c r="CQ113" s="78"/>
      <c r="CR113" s="142"/>
      <c r="CS113" s="142"/>
      <c r="CT113" s="79">
        <f t="shared" si="62"/>
        <v>0</v>
      </c>
      <c r="CU113" s="80">
        <f t="shared" si="72"/>
        <v>0</v>
      </c>
      <c r="CV113" s="81">
        <f t="shared" si="73"/>
        <v>0</v>
      </c>
      <c r="CW113" s="144"/>
      <c r="CX113" s="145">
        <f>IF(ISERROR(VLOOKUP($A113,FIJOS!$B$11:$O$590,14,FALSE)),0,VLOOKUP($A113,FIJOS!$B$11:$O$590,14,FALSE))</f>
        <v>0</v>
      </c>
      <c r="CY113" s="145">
        <f>IF(ISERROR(VLOOKUP(A113,FIJOS!$B$10:$P$590,15,FALSE)),0,VLOOKUP(A113,FIJOS!$B$10:$P$590,15,FALSE))</f>
        <v>0</v>
      </c>
      <c r="CZ113" s="156"/>
      <c r="DA113" s="146"/>
      <c r="DB113" s="147"/>
      <c r="DC113" s="147"/>
      <c r="DD113" s="147"/>
      <c r="DE113" s="147"/>
      <c r="DF113" s="145">
        <f>IF(ISERROR(VLOOKUP($A113,FIJOS!$B$11:$N$590,13,FALSE)),0,VLOOKUP($A113,FIJOS!$B$11:$N$590,13,FALSE))</f>
        <v>0</v>
      </c>
      <c r="DG113" s="145">
        <f>IF(ISERROR(VLOOKUP($A113,FIJOS!$B$11:$P$447,12,FALSE)),0,VLOOKUP($A113,FIJOS!$B$11:$P$447,12,FALSE))</f>
        <v>0</v>
      </c>
      <c r="DH113" s="82">
        <f t="shared" si="63"/>
        <v>0</v>
      </c>
      <c r="DI113" s="83" t="b">
        <f>IF($C113=1,(VLOOKUP($A113,FIJOS!$B$11:$P$545,10,FALSE)/7)*(7-$CU113),IF(AND($C113=2,CV113&lt;$DJ$1),(VLOOKUP($D113,HORAS!$B$4:$C$42,2,FALSE)*24)*$CV113,IF(AND($C113=2,CV113&gt;=$DJ$1),VLOOKUP($D113,HORAS!$B$4:$D$42,3,FALSE),IF(AND($C113=3,$CV113&gt;=$DJ$1),VLOOKUP($A113,FIJOS!$B$11:$P$545,10,FALSE),IF(AND($C113=3,$CV113&lt;$DJ$1),((VLOOKUP($A113,FIJOS!$B$11:$P$545,10,FALSE)/48)*24)*$CV113,IF(AND($C113=4,$CV113&gt;=(42/24)),VLOOKUP($D113,HORAS!$B$4:$D$42,3,FALSE),IF(AND($C113=5,$CV113&gt;=(36/24)),VLOOKUP($D113,HORAS!$B$4:$D$42,3,FALSE))))))))</f>
        <v>0</v>
      </c>
      <c r="DJ113" s="145">
        <f>IF(OR($C113=2),VLOOKUP($D113,HORAS!$B$4:$E$42,4,FALSE)*$EC113,IF(ISERROR(VLOOKUP($A113,FIJOS!$B$11:$P$108,9,FALSE)),0,VLOOKUP($A113,FIJOS!$B$11:$P$231,9,FALSE)*$EC113))</f>
        <v>0</v>
      </c>
      <c r="DK113" s="145">
        <f>IF(OR($C113=2),VLOOKUP($D113,HORAS!$B$4:$F$42,5,FALSE)*$EE113,IF(ISERROR(VLOOKUP($A113,FIJOS!$B$11:$P$108,9,FALSE)),0,VLOOKUP($A113,FIJOS!$B$11:$P$231,9,FALSE)*$EE113))</f>
        <v>0</v>
      </c>
      <c r="DL113" s="144"/>
      <c r="DM113" s="145">
        <f>IF(ISERROR(VLOOKUP($A113,FIJOS!$B$11:$L$646,11,FALSE)),0,VLOOKUP($A113,FIJOS!$B$11:$L$646,11,FALSE))</f>
        <v>0</v>
      </c>
      <c r="DN113" s="148" t="e">
        <f>IF(OR($C113=1,$C113=3),0,IF((VLOOKUP(CAPTURA!D113,HORAS!$B$4:$K$42,10,FALSE)/4)*COUNTIF($H113:$CT113,3)&gt;100,100,(VLOOKUP(CAPTURA!D113,HORAS!$B$4:$K$42,10,FALSE)/4)*COUNTIF($H113:$CT113,3)))</f>
        <v>#N/A</v>
      </c>
      <c r="DO113" s="144" t="e">
        <f>IF(OR($C113=1,$C113=3),0,IF($C113=5,VLOOKUP(D113,HORAS!$B$4:$G$42,6,FALSE),IF(AND($C113=4,$CV113&gt;=(42/24)),VLOOKUP(D113,HORAS!$B$4:$G$42,6,FALSE),IF(COUNTIF($H113:$CL113,"F")&gt;0,0,IF(CV113&gt;$DJ$1,$DJ$1*(VLOOKUP(D113,HORAS!$B$4:$G$42,6,FALSE)/$DJ$1),CV113*(VLOOKUP(D113,HORAS!$B$4:$G$42,6,FALSE)/$DJ$1))))))</f>
        <v>#N/A</v>
      </c>
      <c r="DP113" s="156"/>
      <c r="DQ113" s="89"/>
      <c r="DR113" s="148"/>
      <c r="DS113" s="83" t="e">
        <f t="shared" si="66"/>
        <v>#N/A</v>
      </c>
      <c r="DT113" s="84"/>
      <c r="DU113" s="149" t="e">
        <f t="shared" si="67"/>
        <v>#N/A</v>
      </c>
      <c r="DV113" s="149" t="e">
        <f t="shared" si="68"/>
        <v>#N/A</v>
      </c>
      <c r="DW113" s="144" t="e">
        <f t="shared" si="69"/>
        <v>#N/A</v>
      </c>
      <c r="DX113" s="134"/>
      <c r="DY113" s="29"/>
      <c r="DZ113" s="150"/>
      <c r="EA113" s="137"/>
      <c r="EB113" s="137">
        <f t="shared" si="70"/>
        <v>0</v>
      </c>
      <c r="EC113" s="138">
        <f t="shared" si="64"/>
        <v>0</v>
      </c>
      <c r="ED113" s="137">
        <f t="shared" si="71"/>
        <v>0</v>
      </c>
      <c r="EE113" s="132">
        <f t="shared" si="65"/>
        <v>0</v>
      </c>
      <c r="EF113" s="29"/>
      <c r="EG113" s="134"/>
      <c r="EH113" s="134"/>
      <c r="EI113" s="134"/>
      <c r="EK113" s="29"/>
    </row>
    <row r="114" spans="1:141" ht="15" customHeight="1" x14ac:dyDescent="0.25">
      <c r="A114" s="140"/>
      <c r="B114" s="151"/>
      <c r="C114" s="72"/>
      <c r="D114" s="73"/>
      <c r="E114" s="73"/>
      <c r="F114" s="141"/>
      <c r="G114" s="74"/>
      <c r="H114" s="75"/>
      <c r="I114" s="76"/>
      <c r="J114" s="135"/>
      <c r="K114" s="135"/>
      <c r="L114" s="77">
        <f t="shared" si="42"/>
        <v>0</v>
      </c>
      <c r="M114" s="78"/>
      <c r="N114" s="142"/>
      <c r="O114" s="142"/>
      <c r="P114" s="77">
        <f t="shared" si="43"/>
        <v>0</v>
      </c>
      <c r="Q114" s="78"/>
      <c r="R114" s="143"/>
      <c r="S114" s="143"/>
      <c r="T114" s="77">
        <f t="shared" si="44"/>
        <v>0</v>
      </c>
      <c r="U114" s="75"/>
      <c r="V114" s="76"/>
      <c r="W114" s="135"/>
      <c r="X114" s="135"/>
      <c r="Y114" s="77">
        <f t="shared" si="45"/>
        <v>0</v>
      </c>
      <c r="Z114" s="78"/>
      <c r="AA114" s="142"/>
      <c r="AB114" s="142"/>
      <c r="AC114" s="77">
        <f t="shared" si="46"/>
        <v>0</v>
      </c>
      <c r="AD114" s="78"/>
      <c r="AE114" s="143"/>
      <c r="AF114" s="143"/>
      <c r="AG114" s="79">
        <f t="shared" si="47"/>
        <v>0</v>
      </c>
      <c r="AH114" s="75"/>
      <c r="AI114" s="76"/>
      <c r="AJ114" s="135"/>
      <c r="AK114" s="135"/>
      <c r="AL114" s="77">
        <f t="shared" si="48"/>
        <v>0</v>
      </c>
      <c r="AM114" s="76"/>
      <c r="AN114" s="142"/>
      <c r="AO114" s="142"/>
      <c r="AP114" s="77">
        <f t="shared" si="49"/>
        <v>0</v>
      </c>
      <c r="AQ114" s="78"/>
      <c r="AR114" s="142"/>
      <c r="AS114" s="142"/>
      <c r="AT114" s="79">
        <f t="shared" si="50"/>
        <v>0</v>
      </c>
      <c r="AU114" s="75"/>
      <c r="AV114" s="76"/>
      <c r="AW114" s="135"/>
      <c r="AX114" s="135"/>
      <c r="AY114" s="77">
        <f t="shared" si="51"/>
        <v>0</v>
      </c>
      <c r="AZ114" s="76"/>
      <c r="BA114" s="142"/>
      <c r="BB114" s="142"/>
      <c r="BC114" s="77">
        <f t="shared" si="52"/>
        <v>0</v>
      </c>
      <c r="BD114" s="78"/>
      <c r="BE114" s="142"/>
      <c r="BF114" s="142"/>
      <c r="BG114" s="79">
        <f t="shared" si="53"/>
        <v>0</v>
      </c>
      <c r="BH114" s="75"/>
      <c r="BI114" s="76"/>
      <c r="BJ114" s="135"/>
      <c r="BK114" s="135"/>
      <c r="BL114" s="77">
        <f t="shared" si="54"/>
        <v>0</v>
      </c>
      <c r="BM114" s="78"/>
      <c r="BN114" s="142"/>
      <c r="BO114" s="142"/>
      <c r="BP114" s="77">
        <f t="shared" si="55"/>
        <v>0</v>
      </c>
      <c r="BQ114" s="78"/>
      <c r="BR114" s="142"/>
      <c r="BS114" s="142"/>
      <c r="BT114" s="79">
        <f t="shared" si="56"/>
        <v>0</v>
      </c>
      <c r="BU114" s="75"/>
      <c r="BV114" s="76"/>
      <c r="BW114" s="135"/>
      <c r="BX114" s="135"/>
      <c r="BY114" s="77">
        <f t="shared" si="57"/>
        <v>0</v>
      </c>
      <c r="BZ114" s="78"/>
      <c r="CA114" s="142"/>
      <c r="CB114" s="142"/>
      <c r="CC114" s="77">
        <f t="shared" si="58"/>
        <v>0</v>
      </c>
      <c r="CD114" s="78"/>
      <c r="CE114" s="142"/>
      <c r="CF114" s="142"/>
      <c r="CG114" s="79">
        <f t="shared" si="59"/>
        <v>0</v>
      </c>
      <c r="CH114" s="75"/>
      <c r="CI114" s="76"/>
      <c r="CJ114" s="135"/>
      <c r="CK114" s="135"/>
      <c r="CL114" s="77">
        <f t="shared" si="60"/>
        <v>0</v>
      </c>
      <c r="CM114" s="78"/>
      <c r="CN114" s="142"/>
      <c r="CO114" s="142"/>
      <c r="CP114" s="77">
        <f t="shared" si="61"/>
        <v>0</v>
      </c>
      <c r="CQ114" s="78"/>
      <c r="CR114" s="142"/>
      <c r="CS114" s="142"/>
      <c r="CT114" s="79">
        <f t="shared" si="62"/>
        <v>0</v>
      </c>
      <c r="CU114" s="80">
        <f t="shared" si="72"/>
        <v>0</v>
      </c>
      <c r="CV114" s="81">
        <f t="shared" si="73"/>
        <v>0</v>
      </c>
      <c r="CW114" s="144"/>
      <c r="CX114" s="145">
        <f>IF(ISERROR(VLOOKUP($A114,FIJOS!$B$11:$O$590,14,FALSE)),0,VLOOKUP($A114,FIJOS!$B$11:$O$590,14,FALSE))</f>
        <v>0</v>
      </c>
      <c r="CY114" s="145">
        <f>IF(ISERROR(VLOOKUP(A114,FIJOS!$B$10:$P$590,15,FALSE)),0,VLOOKUP(A114,FIJOS!$B$10:$P$590,15,FALSE))</f>
        <v>0</v>
      </c>
      <c r="CZ114" s="156"/>
      <c r="DA114" s="146"/>
      <c r="DB114" s="147"/>
      <c r="DC114" s="147"/>
      <c r="DD114" s="147"/>
      <c r="DE114" s="147"/>
      <c r="DF114" s="145">
        <f>IF(ISERROR(VLOOKUP($A114,FIJOS!$B$11:$N$590,13,FALSE)),0,VLOOKUP($A114,FIJOS!$B$11:$N$590,13,FALSE))</f>
        <v>0</v>
      </c>
      <c r="DG114" s="145">
        <f>IF(ISERROR(VLOOKUP($A114,FIJOS!$B$11:$P$447,12,FALSE)),0,VLOOKUP($A114,FIJOS!$B$11:$P$447,12,FALSE))</f>
        <v>0</v>
      </c>
      <c r="DH114" s="82">
        <f t="shared" si="63"/>
        <v>0</v>
      </c>
      <c r="DI114" s="83" t="b">
        <f>IF($C114=1,(VLOOKUP($A114,FIJOS!$B$11:$P$545,10,FALSE)/7)*(7-$CU114),IF(AND($C114=2,CV114&lt;$DJ$1),(VLOOKUP($D114,HORAS!$B$4:$C$42,2,FALSE)*24)*$CV114,IF(AND($C114=2,CV114&gt;=$DJ$1),VLOOKUP($D114,HORAS!$B$4:$D$42,3,FALSE),IF(AND($C114=3,$CV114&gt;=$DJ$1),VLOOKUP($A114,FIJOS!$B$11:$P$545,10,FALSE),IF(AND($C114=3,$CV114&lt;$DJ$1),((VLOOKUP($A114,FIJOS!$B$11:$P$545,10,FALSE)/48)*24)*$CV114,IF(AND($C114=4,$CV114&gt;=(42/24)),VLOOKUP($D114,HORAS!$B$4:$D$42,3,FALSE),IF(AND($C114=5,$CV114&gt;=(36/24)),VLOOKUP($D114,HORAS!$B$4:$D$42,3,FALSE))))))))</f>
        <v>0</v>
      </c>
      <c r="DJ114" s="145">
        <f>IF(OR($C114=2),VLOOKUP($D114,HORAS!$B$4:$E$42,4,FALSE)*$EC114,IF(ISERROR(VLOOKUP($A114,FIJOS!$B$11:$P$108,9,FALSE)),0,VLOOKUP($A114,FIJOS!$B$11:$P$231,9,FALSE)*$EC114))</f>
        <v>0</v>
      </c>
      <c r="DK114" s="145">
        <f>IF(OR($C114=2),VLOOKUP($D114,HORAS!$B$4:$F$42,5,FALSE)*$EE114,IF(ISERROR(VLOOKUP($A114,FIJOS!$B$11:$P$108,9,FALSE)),0,VLOOKUP($A114,FIJOS!$B$11:$P$231,9,FALSE)*$EE114))</f>
        <v>0</v>
      </c>
      <c r="DL114" s="144"/>
      <c r="DM114" s="145">
        <f>IF(ISERROR(VLOOKUP($A114,FIJOS!$B$11:$L$646,11,FALSE)),0,VLOOKUP($A114,FIJOS!$B$11:$L$646,11,FALSE))</f>
        <v>0</v>
      </c>
      <c r="DN114" s="148" t="e">
        <f>IF(OR($C114=1,$C114=3),0,IF((VLOOKUP(CAPTURA!D114,HORAS!$B$4:$K$42,10,FALSE)/4)*COUNTIF($H114:$CT114,3)&gt;100,100,(VLOOKUP(CAPTURA!D114,HORAS!$B$4:$K$42,10,FALSE)/4)*COUNTIF($H114:$CT114,3)))</f>
        <v>#N/A</v>
      </c>
      <c r="DO114" s="144" t="e">
        <f>IF(OR($C114=1,$C114=3),0,IF($C114=5,VLOOKUP(D114,HORAS!$B$4:$G$42,6,FALSE),IF(AND($C114=4,$CV114&gt;=(42/24)),VLOOKUP(D114,HORAS!$B$4:$G$42,6,FALSE),IF(COUNTIF($H114:$CL114,"F")&gt;0,0,IF(CV114&gt;$DJ$1,$DJ$1*(VLOOKUP(D114,HORAS!$B$4:$G$42,6,FALSE)/$DJ$1),CV114*(VLOOKUP(D114,HORAS!$B$4:$G$42,6,FALSE)/$DJ$1))))))</f>
        <v>#N/A</v>
      </c>
      <c r="DP114" s="156"/>
      <c r="DQ114" s="148"/>
      <c r="DR114" s="148"/>
      <c r="DS114" s="83" t="e">
        <f t="shared" si="66"/>
        <v>#N/A</v>
      </c>
      <c r="DT114" s="84"/>
      <c r="DU114" s="149" t="e">
        <f t="shared" si="67"/>
        <v>#N/A</v>
      </c>
      <c r="DV114" s="149" t="e">
        <f t="shared" si="68"/>
        <v>#N/A</v>
      </c>
      <c r="DW114" s="144" t="e">
        <f t="shared" si="69"/>
        <v>#N/A</v>
      </c>
      <c r="DX114" s="134"/>
      <c r="DY114" s="29"/>
      <c r="DZ114" s="150"/>
      <c r="EA114" s="137"/>
      <c r="EB114" s="137">
        <f t="shared" si="70"/>
        <v>0</v>
      </c>
      <c r="EC114" s="138">
        <f t="shared" si="64"/>
        <v>0</v>
      </c>
      <c r="ED114" s="137">
        <f t="shared" si="71"/>
        <v>0</v>
      </c>
      <c r="EE114" s="132">
        <f t="shared" si="65"/>
        <v>0</v>
      </c>
      <c r="EF114" s="29"/>
      <c r="EG114" s="134"/>
      <c r="EH114" s="134"/>
      <c r="EI114" s="134"/>
      <c r="EK114" s="29"/>
    </row>
    <row r="115" spans="1:141" ht="15" customHeight="1" x14ac:dyDescent="0.25">
      <c r="A115" s="140"/>
      <c r="B115" s="151"/>
      <c r="C115" s="72"/>
      <c r="D115" s="73"/>
      <c r="E115" s="73"/>
      <c r="F115" s="141"/>
      <c r="G115" s="74"/>
      <c r="H115" s="75"/>
      <c r="I115" s="76"/>
      <c r="J115" s="157"/>
      <c r="K115" s="157"/>
      <c r="L115" s="77">
        <f t="shared" si="42"/>
        <v>0</v>
      </c>
      <c r="M115" s="78"/>
      <c r="N115" s="142"/>
      <c r="O115" s="142"/>
      <c r="P115" s="77">
        <f t="shared" si="43"/>
        <v>0</v>
      </c>
      <c r="Q115" s="78"/>
      <c r="R115" s="143"/>
      <c r="S115" s="143"/>
      <c r="T115" s="77">
        <f t="shared" si="44"/>
        <v>0</v>
      </c>
      <c r="U115" s="75"/>
      <c r="V115" s="76"/>
      <c r="W115" s="135"/>
      <c r="X115" s="135"/>
      <c r="Y115" s="77">
        <f t="shared" si="45"/>
        <v>0</v>
      </c>
      <c r="Z115" s="78"/>
      <c r="AA115" s="142"/>
      <c r="AB115" s="142"/>
      <c r="AC115" s="77">
        <f t="shared" si="46"/>
        <v>0</v>
      </c>
      <c r="AD115" s="78"/>
      <c r="AE115" s="143"/>
      <c r="AF115" s="143"/>
      <c r="AG115" s="79">
        <f t="shared" si="47"/>
        <v>0</v>
      </c>
      <c r="AH115" s="75"/>
      <c r="AI115" s="76"/>
      <c r="AJ115" s="135"/>
      <c r="AK115" s="135"/>
      <c r="AL115" s="77">
        <f t="shared" si="48"/>
        <v>0</v>
      </c>
      <c r="AM115" s="76"/>
      <c r="AN115" s="142"/>
      <c r="AO115" s="142"/>
      <c r="AP115" s="77">
        <f t="shared" si="49"/>
        <v>0</v>
      </c>
      <c r="AQ115" s="78"/>
      <c r="AR115" s="142"/>
      <c r="AS115" s="142"/>
      <c r="AT115" s="79">
        <f t="shared" si="50"/>
        <v>0</v>
      </c>
      <c r="AU115" s="75"/>
      <c r="AV115" s="76"/>
      <c r="AW115" s="135"/>
      <c r="AX115" s="135"/>
      <c r="AY115" s="77">
        <f t="shared" si="51"/>
        <v>0</v>
      </c>
      <c r="AZ115" s="76"/>
      <c r="BA115" s="142"/>
      <c r="BB115" s="142"/>
      <c r="BC115" s="77">
        <f t="shared" si="52"/>
        <v>0</v>
      </c>
      <c r="BD115" s="78"/>
      <c r="BE115" s="142"/>
      <c r="BF115" s="142"/>
      <c r="BG115" s="79">
        <f t="shared" si="53"/>
        <v>0</v>
      </c>
      <c r="BH115" s="75"/>
      <c r="BI115" s="76"/>
      <c r="BJ115" s="135"/>
      <c r="BK115" s="135"/>
      <c r="BL115" s="77">
        <f t="shared" si="54"/>
        <v>0</v>
      </c>
      <c r="BM115" s="78"/>
      <c r="BN115" s="142"/>
      <c r="BO115" s="142"/>
      <c r="BP115" s="77">
        <f t="shared" si="55"/>
        <v>0</v>
      </c>
      <c r="BQ115" s="78"/>
      <c r="BR115" s="142"/>
      <c r="BS115" s="142"/>
      <c r="BT115" s="79">
        <f t="shared" si="56"/>
        <v>0</v>
      </c>
      <c r="BU115" s="75"/>
      <c r="BV115" s="76"/>
      <c r="BW115" s="135"/>
      <c r="BX115" s="135"/>
      <c r="BY115" s="77">
        <f t="shared" si="57"/>
        <v>0</v>
      </c>
      <c r="BZ115" s="78"/>
      <c r="CA115" s="142"/>
      <c r="CB115" s="142"/>
      <c r="CC115" s="77">
        <f t="shared" si="58"/>
        <v>0</v>
      </c>
      <c r="CD115" s="78"/>
      <c r="CE115" s="142"/>
      <c r="CF115" s="142"/>
      <c r="CG115" s="79">
        <f t="shared" si="59"/>
        <v>0</v>
      </c>
      <c r="CH115" s="75"/>
      <c r="CI115" s="76"/>
      <c r="CJ115" s="135"/>
      <c r="CK115" s="135"/>
      <c r="CL115" s="77">
        <f t="shared" si="60"/>
        <v>0</v>
      </c>
      <c r="CM115" s="78"/>
      <c r="CN115" s="142"/>
      <c r="CO115" s="142"/>
      <c r="CP115" s="77">
        <f t="shared" si="61"/>
        <v>0</v>
      </c>
      <c r="CQ115" s="78"/>
      <c r="CR115" s="142"/>
      <c r="CS115" s="142"/>
      <c r="CT115" s="79">
        <f t="shared" si="62"/>
        <v>0</v>
      </c>
      <c r="CU115" s="80">
        <f t="shared" si="72"/>
        <v>0</v>
      </c>
      <c r="CV115" s="81">
        <f t="shared" si="73"/>
        <v>0</v>
      </c>
      <c r="CW115" s="144"/>
      <c r="CX115" s="145">
        <f>IF(ISERROR(VLOOKUP($A115,FIJOS!$B$11:$O$590,14,FALSE)),0,VLOOKUP($A115,FIJOS!$B$11:$O$590,14,FALSE))</f>
        <v>0</v>
      </c>
      <c r="CY115" s="145">
        <f>IF(ISERROR(VLOOKUP(A115,FIJOS!$B$10:$P$590,15,FALSE)),0,VLOOKUP(A115,FIJOS!$B$10:$P$590,15,FALSE))</f>
        <v>0</v>
      </c>
      <c r="CZ115" s="156"/>
      <c r="DA115" s="146"/>
      <c r="DB115" s="147"/>
      <c r="DC115" s="147"/>
      <c r="DD115" s="147"/>
      <c r="DE115" s="147"/>
      <c r="DF115" s="145">
        <f>IF(ISERROR(VLOOKUP($A115,FIJOS!$B$11:$N$590,13,FALSE)),0,VLOOKUP($A115,FIJOS!$B$11:$N$590,13,FALSE))</f>
        <v>0</v>
      </c>
      <c r="DG115" s="145">
        <f>IF(ISERROR(VLOOKUP($A115,FIJOS!$B$11:$P$447,12,FALSE)),0,VLOOKUP($A115,FIJOS!$B$11:$P$447,12,FALSE))</f>
        <v>0</v>
      </c>
      <c r="DH115" s="82">
        <f t="shared" si="63"/>
        <v>0</v>
      </c>
      <c r="DI115" s="83" t="b">
        <f>IF($C115=1,(VLOOKUP($A115,FIJOS!$B$11:$P$545,10,FALSE)/7)*(7-$CU115),IF(AND($C115=2,CV115&lt;$DJ$1),(VLOOKUP($D115,HORAS!$B$4:$C$42,2,FALSE)*24)*$CV115,IF(AND($C115=2,CV115&gt;=$DJ$1),VLOOKUP($D115,HORAS!$B$4:$D$42,3,FALSE),IF(AND($C115=3,$CV115&gt;=$DJ$1),VLOOKUP($A115,FIJOS!$B$11:$P$545,10,FALSE),IF(AND($C115=3,$CV115&lt;$DJ$1),((VLOOKUP($A115,FIJOS!$B$11:$P$545,10,FALSE)/48)*24)*$CV115,IF(AND($C115=4,$CV115&gt;=(42/24)),VLOOKUP($D115,HORAS!$B$4:$D$42,3,FALSE),IF(AND($C115=5,$CV115&gt;=(36/24)),VLOOKUP($D115,HORAS!$B$4:$D$42,3,FALSE))))))))</f>
        <v>0</v>
      </c>
      <c r="DJ115" s="145">
        <f>IF(OR($C115=2),VLOOKUP($D115,HORAS!$B$4:$E$42,4,FALSE)*$EC115,IF(ISERROR(VLOOKUP($A115,FIJOS!$B$11:$P$108,9,FALSE)),0,VLOOKUP($A115,FIJOS!$B$11:$P$231,9,FALSE)*$EC115))</f>
        <v>0</v>
      </c>
      <c r="DK115" s="145">
        <f>IF(OR($C115=2),VLOOKUP($D115,HORAS!$B$4:$F$42,5,FALSE)*$EE115,IF(ISERROR(VLOOKUP($A115,FIJOS!$B$11:$P$108,9,FALSE)),0,VLOOKUP($A115,FIJOS!$B$11:$P$231,9,FALSE)*$EE115))</f>
        <v>0</v>
      </c>
      <c r="DL115" s="144"/>
      <c r="DM115" s="145">
        <f>IF(ISERROR(VLOOKUP($A115,FIJOS!$B$11:$L$646,11,FALSE)),0,VLOOKUP($A115,FIJOS!$B$11:$L$646,11,FALSE))</f>
        <v>0</v>
      </c>
      <c r="DN115" s="148" t="e">
        <f>IF(OR($C115=1,$C115=3),0,IF((VLOOKUP(CAPTURA!D115,HORAS!$B$4:$K$42,10,FALSE)/4)*COUNTIF($H115:$CT115,3)&gt;100,100,(VLOOKUP(CAPTURA!D115,HORAS!$B$4:$K$42,10,FALSE)/4)*COUNTIF($H115:$CT115,3)))</f>
        <v>#N/A</v>
      </c>
      <c r="DO115" s="144" t="e">
        <f>IF(OR($C115=1,$C115=3),0,IF($C115=5,VLOOKUP(D115,HORAS!$B$4:$G$42,6,FALSE),IF(AND($C115=4,$CV115&gt;=(42/24)),VLOOKUP(D115,HORAS!$B$4:$G$42,6,FALSE),IF(COUNTIF($H115:$CL115,"F")&gt;0,0,IF(CV115&gt;$DJ$1,$DJ$1*(VLOOKUP(D115,HORAS!$B$4:$G$42,6,FALSE)/$DJ$1),CV115*(VLOOKUP(D115,HORAS!$B$4:$G$42,6,FALSE)/$DJ$1))))))</f>
        <v>#N/A</v>
      </c>
      <c r="DP115" s="156"/>
      <c r="DQ115" s="148"/>
      <c r="DR115" s="148"/>
      <c r="DS115" s="83" t="e">
        <f t="shared" si="66"/>
        <v>#N/A</v>
      </c>
      <c r="DT115" s="84"/>
      <c r="DU115" s="149" t="e">
        <f t="shared" si="67"/>
        <v>#N/A</v>
      </c>
      <c r="DV115" s="149" t="e">
        <f t="shared" si="68"/>
        <v>#N/A</v>
      </c>
      <c r="DW115" s="144" t="e">
        <f t="shared" si="69"/>
        <v>#N/A</v>
      </c>
      <c r="DX115"/>
      <c r="DY115" s="29"/>
      <c r="DZ115" s="150"/>
      <c r="EA115" s="134"/>
      <c r="EB115" s="137">
        <f t="shared" si="70"/>
        <v>0</v>
      </c>
      <c r="EC115" s="138">
        <f t="shared" si="64"/>
        <v>0</v>
      </c>
      <c r="ED115" s="137">
        <f t="shared" si="71"/>
        <v>0</v>
      </c>
      <c r="EE115" s="132">
        <f t="shared" si="65"/>
        <v>0</v>
      </c>
      <c r="EF115" s="29"/>
      <c r="EG115" s="134"/>
      <c r="EH115" s="134"/>
      <c r="EI115" s="134"/>
      <c r="EK115" s="29"/>
    </row>
    <row r="116" spans="1:141" ht="15" customHeight="1" x14ac:dyDescent="0.25">
      <c r="A116" s="140"/>
      <c r="B116" s="151"/>
      <c r="C116" s="72"/>
      <c r="D116" s="73"/>
      <c r="E116" s="73"/>
      <c r="F116" s="141"/>
      <c r="G116" s="74"/>
      <c r="H116" s="75"/>
      <c r="I116" s="76"/>
      <c r="J116" s="135"/>
      <c r="K116" s="135"/>
      <c r="L116" s="77">
        <f t="shared" si="42"/>
        <v>0</v>
      </c>
      <c r="M116" s="78"/>
      <c r="N116" s="142"/>
      <c r="O116" s="142"/>
      <c r="P116" s="77">
        <f t="shared" si="43"/>
        <v>0</v>
      </c>
      <c r="Q116" s="78"/>
      <c r="R116" s="143"/>
      <c r="S116" s="143"/>
      <c r="T116" s="77">
        <f t="shared" si="44"/>
        <v>0</v>
      </c>
      <c r="U116" s="75"/>
      <c r="V116" s="76"/>
      <c r="W116" s="135"/>
      <c r="X116" s="135"/>
      <c r="Y116" s="77">
        <f t="shared" si="45"/>
        <v>0</v>
      </c>
      <c r="Z116" s="78"/>
      <c r="AA116" s="142"/>
      <c r="AB116" s="142"/>
      <c r="AC116" s="77">
        <f t="shared" si="46"/>
        <v>0</v>
      </c>
      <c r="AD116" s="78"/>
      <c r="AE116" s="143"/>
      <c r="AF116" s="143"/>
      <c r="AG116" s="79">
        <f t="shared" si="47"/>
        <v>0</v>
      </c>
      <c r="AH116" s="75"/>
      <c r="AI116" s="76"/>
      <c r="AJ116" s="135"/>
      <c r="AK116" s="135"/>
      <c r="AL116" s="77">
        <f t="shared" si="48"/>
        <v>0</v>
      </c>
      <c r="AM116" s="76"/>
      <c r="AN116" s="159"/>
      <c r="AO116" s="142"/>
      <c r="AP116" s="77">
        <f t="shared" si="49"/>
        <v>0</v>
      </c>
      <c r="AQ116" s="78"/>
      <c r="AR116" s="142"/>
      <c r="AS116" s="142"/>
      <c r="AT116" s="79">
        <f t="shared" si="50"/>
        <v>0</v>
      </c>
      <c r="AU116" s="75"/>
      <c r="AV116" s="76"/>
      <c r="AW116" s="135"/>
      <c r="AX116" s="135"/>
      <c r="AY116" s="77">
        <f t="shared" si="51"/>
        <v>0</v>
      </c>
      <c r="AZ116" s="76"/>
      <c r="BA116" s="142"/>
      <c r="BB116" s="142"/>
      <c r="BC116" s="77">
        <f t="shared" si="52"/>
        <v>0</v>
      </c>
      <c r="BD116" s="78"/>
      <c r="BE116" s="142"/>
      <c r="BF116" s="142"/>
      <c r="BG116" s="79">
        <f t="shared" si="53"/>
        <v>0</v>
      </c>
      <c r="BH116" s="75"/>
      <c r="BI116" s="76"/>
      <c r="BJ116" s="135"/>
      <c r="BK116" s="135"/>
      <c r="BL116" s="77">
        <f t="shared" si="54"/>
        <v>0</v>
      </c>
      <c r="BM116" s="78"/>
      <c r="BN116" s="142"/>
      <c r="BO116" s="142"/>
      <c r="BP116" s="77">
        <f t="shared" si="55"/>
        <v>0</v>
      </c>
      <c r="BQ116" s="78"/>
      <c r="BR116" s="142"/>
      <c r="BS116" s="142"/>
      <c r="BT116" s="79">
        <f t="shared" si="56"/>
        <v>0</v>
      </c>
      <c r="BU116" s="75"/>
      <c r="BV116" s="76"/>
      <c r="BW116" s="135"/>
      <c r="BX116" s="135"/>
      <c r="BY116" s="77">
        <f t="shared" si="57"/>
        <v>0</v>
      </c>
      <c r="BZ116" s="78"/>
      <c r="CA116" s="142"/>
      <c r="CB116" s="142"/>
      <c r="CC116" s="77">
        <f t="shared" si="58"/>
        <v>0</v>
      </c>
      <c r="CD116" s="78"/>
      <c r="CE116" s="142"/>
      <c r="CF116" s="142"/>
      <c r="CG116" s="79">
        <f t="shared" si="59"/>
        <v>0</v>
      </c>
      <c r="CH116" s="75"/>
      <c r="CI116" s="76"/>
      <c r="CJ116" s="135"/>
      <c r="CK116" s="135"/>
      <c r="CL116" s="77">
        <f t="shared" si="60"/>
        <v>0</v>
      </c>
      <c r="CM116" s="78"/>
      <c r="CN116" s="142"/>
      <c r="CO116" s="142"/>
      <c r="CP116" s="77">
        <f t="shared" si="61"/>
        <v>0</v>
      </c>
      <c r="CQ116" s="78"/>
      <c r="CR116" s="142"/>
      <c r="CS116" s="142"/>
      <c r="CT116" s="79">
        <f t="shared" si="62"/>
        <v>0</v>
      </c>
      <c r="CU116" s="80">
        <f t="shared" si="72"/>
        <v>0</v>
      </c>
      <c r="CV116" s="81">
        <f t="shared" si="73"/>
        <v>0</v>
      </c>
      <c r="CW116" s="144"/>
      <c r="CX116" s="145">
        <f>IF(ISERROR(VLOOKUP($A116,FIJOS!$B$11:$O$590,14,FALSE)),0,VLOOKUP($A116,FIJOS!$B$11:$O$590,14,FALSE))</f>
        <v>0</v>
      </c>
      <c r="CY116" s="145">
        <f>IF(ISERROR(VLOOKUP(A116,FIJOS!$B$10:$P$590,15,FALSE)),0,VLOOKUP(A116,FIJOS!$B$10:$P$590,15,FALSE))</f>
        <v>0</v>
      </c>
      <c r="CZ116" s="156"/>
      <c r="DA116" s="146"/>
      <c r="DB116" s="147"/>
      <c r="DC116" s="147"/>
      <c r="DD116" s="147"/>
      <c r="DE116" s="147"/>
      <c r="DF116" s="145">
        <f>IF(ISERROR(VLOOKUP($A116,FIJOS!$B$11:$N$590,13,FALSE)),0,VLOOKUP($A116,FIJOS!$B$11:$N$590,13,FALSE))</f>
        <v>0</v>
      </c>
      <c r="DG116" s="145">
        <f>IF(ISERROR(VLOOKUP($A116,FIJOS!$B$11:$P$447,12,FALSE)),0,VLOOKUP($A116,FIJOS!$B$11:$P$447,12,FALSE))</f>
        <v>0</v>
      </c>
      <c r="DH116" s="82">
        <f t="shared" si="63"/>
        <v>0</v>
      </c>
      <c r="DI116" s="83" t="b">
        <f>IF($C116=1,(VLOOKUP($A116,FIJOS!$B$11:$P$545,10,FALSE)/7)*(7-$CU116),IF(AND($C116=2,CV116&lt;$DJ$1),(VLOOKUP($D116,HORAS!$B$4:$C$42,2,FALSE)*24)*$CV116,IF(AND($C116=2,CV116&gt;=$DJ$1),VLOOKUP($D116,HORAS!$B$4:$D$42,3,FALSE),IF(AND($C116=3,$CV116&gt;=$DJ$1),VLOOKUP($A116,FIJOS!$B$11:$P$545,10,FALSE),IF(AND($C116=3,$CV116&lt;$DJ$1),((VLOOKUP($A116,FIJOS!$B$11:$P$545,10,FALSE)/48)*24)*$CV116,IF(AND($C116=4,$CV116&gt;=(42/24)),VLOOKUP($D116,HORAS!$B$4:$D$42,3,FALSE),IF(AND($C116=5,$CV116&gt;=(36/24)),VLOOKUP($D116,HORAS!$B$4:$D$42,3,FALSE))))))))</f>
        <v>0</v>
      </c>
      <c r="DJ116" s="145">
        <f>IF(OR($C116=2),VLOOKUP($D116,HORAS!$B$4:$E$42,4,FALSE)*$EC116,IF(ISERROR(VLOOKUP($A116,FIJOS!$B$11:$P$108,9,FALSE)),0,VLOOKUP($A116,FIJOS!$B$11:$P$231,9,FALSE)*$EC116))</f>
        <v>0</v>
      </c>
      <c r="DK116" s="145">
        <f>IF(OR($C116=2),VLOOKUP($D116,HORAS!$B$4:$F$42,5,FALSE)*$EE116,IF(ISERROR(VLOOKUP($A116,FIJOS!$B$11:$P$108,9,FALSE)),0,VLOOKUP($A116,FIJOS!$B$11:$P$231,9,FALSE)*$EE116))</f>
        <v>0</v>
      </c>
      <c r="DL116" s="144"/>
      <c r="DM116" s="145">
        <f>IF(ISERROR(VLOOKUP($A116,FIJOS!$B$11:$L$646,11,FALSE)),0,VLOOKUP($A116,FIJOS!$B$11:$L$646,11,FALSE))</f>
        <v>0</v>
      </c>
      <c r="DN116" s="148" t="e">
        <f>IF(OR($C116=1,$C116=3),0,IF((VLOOKUP(CAPTURA!D116,HORAS!$B$4:$K$42,10,FALSE)/4)*COUNTIF($H116:$CT116,3)&gt;100,100,(VLOOKUP(CAPTURA!D116,HORAS!$B$4:$K$42,10,FALSE)/4)*COUNTIF($H116:$CT116,3)))</f>
        <v>#N/A</v>
      </c>
      <c r="DO116" s="144" t="e">
        <f>IF(OR($C116=1,$C116=3),0,IF($C116=5,VLOOKUP(D116,HORAS!$B$4:$G$42,6,FALSE),IF(AND($C116=4,$CV116&gt;=(42/24)),VLOOKUP(D116,HORAS!$B$4:$G$42,6,FALSE),IF(COUNTIF($H116:$CL116,"F")&gt;0,0,IF(CV116&gt;$DJ$1,$DJ$1*(VLOOKUP(D116,HORAS!$B$4:$G$42,6,FALSE)/$DJ$1),CV116*(VLOOKUP(D116,HORAS!$B$4:$G$42,6,FALSE)/$DJ$1))))))</f>
        <v>#N/A</v>
      </c>
      <c r="DP116" s="156"/>
      <c r="DQ116" s="89"/>
      <c r="DR116" s="148"/>
      <c r="DS116" s="83" t="e">
        <f t="shared" si="66"/>
        <v>#N/A</v>
      </c>
      <c r="DT116" s="84"/>
      <c r="DU116" s="149" t="e">
        <f t="shared" si="67"/>
        <v>#N/A</v>
      </c>
      <c r="DV116" s="149" t="e">
        <f t="shared" si="68"/>
        <v>#N/A</v>
      </c>
      <c r="DW116" s="144" t="e">
        <f t="shared" si="69"/>
        <v>#N/A</v>
      </c>
      <c r="DX116" s="134"/>
      <c r="DY116" s="29"/>
      <c r="DZ116" s="150"/>
      <c r="EA116" s="134"/>
      <c r="EB116" s="137">
        <f t="shared" si="70"/>
        <v>0</v>
      </c>
      <c r="EC116" s="138">
        <f t="shared" si="64"/>
        <v>0</v>
      </c>
      <c r="ED116" s="137">
        <f t="shared" si="71"/>
        <v>0</v>
      </c>
      <c r="EE116" s="132">
        <f t="shared" si="65"/>
        <v>0</v>
      </c>
      <c r="EF116" s="29"/>
      <c r="EG116" s="134"/>
      <c r="EH116" s="134"/>
      <c r="EI116" s="134"/>
      <c r="EK116" s="29"/>
    </row>
    <row r="117" spans="1:141" ht="15" customHeight="1" x14ac:dyDescent="0.25">
      <c r="A117" s="140"/>
      <c r="B117" s="151"/>
      <c r="C117" s="72"/>
      <c r="D117" s="73"/>
      <c r="E117" s="73"/>
      <c r="F117" s="141"/>
      <c r="G117" s="74"/>
      <c r="H117" s="75"/>
      <c r="I117" s="76"/>
      <c r="J117" s="135"/>
      <c r="K117" s="135"/>
      <c r="L117" s="77">
        <f t="shared" si="42"/>
        <v>0</v>
      </c>
      <c r="M117" s="78"/>
      <c r="N117" s="142"/>
      <c r="O117" s="142"/>
      <c r="P117" s="77">
        <f t="shared" si="43"/>
        <v>0</v>
      </c>
      <c r="Q117" s="78"/>
      <c r="R117" s="143"/>
      <c r="S117" s="143"/>
      <c r="T117" s="77">
        <f t="shared" si="44"/>
        <v>0</v>
      </c>
      <c r="U117" s="75"/>
      <c r="V117" s="76"/>
      <c r="W117" s="135"/>
      <c r="X117" s="135"/>
      <c r="Y117" s="77">
        <f t="shared" si="45"/>
        <v>0</v>
      </c>
      <c r="Z117" s="78"/>
      <c r="AA117" s="142"/>
      <c r="AB117" s="142"/>
      <c r="AC117" s="77">
        <f t="shared" si="46"/>
        <v>0</v>
      </c>
      <c r="AD117" s="78"/>
      <c r="AE117" s="143"/>
      <c r="AF117" s="143"/>
      <c r="AG117" s="79">
        <f t="shared" si="47"/>
        <v>0</v>
      </c>
      <c r="AH117" s="75"/>
      <c r="AI117" s="76"/>
      <c r="AJ117" s="135"/>
      <c r="AK117" s="135"/>
      <c r="AL117" s="77">
        <f t="shared" si="48"/>
        <v>0</v>
      </c>
      <c r="AM117" s="76"/>
      <c r="AN117" s="142"/>
      <c r="AO117" s="142"/>
      <c r="AP117" s="77">
        <f t="shared" si="49"/>
        <v>0</v>
      </c>
      <c r="AQ117" s="78"/>
      <c r="AR117" s="142"/>
      <c r="AS117" s="142"/>
      <c r="AT117" s="79">
        <f t="shared" si="50"/>
        <v>0</v>
      </c>
      <c r="AU117" s="75"/>
      <c r="AV117" s="76"/>
      <c r="AW117" s="135"/>
      <c r="AX117" s="135"/>
      <c r="AY117" s="77">
        <f t="shared" si="51"/>
        <v>0</v>
      </c>
      <c r="AZ117" s="76"/>
      <c r="BA117" s="142"/>
      <c r="BB117" s="142"/>
      <c r="BC117" s="77">
        <f t="shared" si="52"/>
        <v>0</v>
      </c>
      <c r="BD117" s="78"/>
      <c r="BE117" s="142"/>
      <c r="BF117" s="142"/>
      <c r="BG117" s="79">
        <f t="shared" si="53"/>
        <v>0</v>
      </c>
      <c r="BH117" s="75"/>
      <c r="BI117" s="76"/>
      <c r="BJ117" s="135"/>
      <c r="BK117" s="157"/>
      <c r="BL117" s="77">
        <f t="shared" si="54"/>
        <v>0</v>
      </c>
      <c r="BM117" s="78"/>
      <c r="BN117" s="142"/>
      <c r="BO117" s="142"/>
      <c r="BP117" s="77">
        <f t="shared" si="55"/>
        <v>0</v>
      </c>
      <c r="BQ117" s="78"/>
      <c r="BR117" s="142"/>
      <c r="BS117" s="142"/>
      <c r="BT117" s="79">
        <f t="shared" si="56"/>
        <v>0</v>
      </c>
      <c r="BU117" s="75"/>
      <c r="BV117" s="76"/>
      <c r="BW117" s="135"/>
      <c r="BX117" s="135"/>
      <c r="BY117" s="77">
        <f t="shared" si="57"/>
        <v>0</v>
      </c>
      <c r="BZ117" s="78"/>
      <c r="CA117" s="142"/>
      <c r="CB117" s="142"/>
      <c r="CC117" s="77">
        <f t="shared" si="58"/>
        <v>0</v>
      </c>
      <c r="CD117" s="78"/>
      <c r="CE117" s="142"/>
      <c r="CF117" s="142"/>
      <c r="CG117" s="79">
        <f t="shared" si="59"/>
        <v>0</v>
      </c>
      <c r="CH117" s="75"/>
      <c r="CI117" s="76"/>
      <c r="CJ117" s="135"/>
      <c r="CK117" s="135"/>
      <c r="CL117" s="77">
        <f t="shared" si="60"/>
        <v>0</v>
      </c>
      <c r="CM117" s="78"/>
      <c r="CN117" s="142"/>
      <c r="CO117" s="142"/>
      <c r="CP117" s="77">
        <f t="shared" si="61"/>
        <v>0</v>
      </c>
      <c r="CQ117" s="78"/>
      <c r="CR117" s="142"/>
      <c r="CS117" s="142"/>
      <c r="CT117" s="79">
        <f t="shared" si="62"/>
        <v>0</v>
      </c>
      <c r="CU117" s="80">
        <f t="shared" si="72"/>
        <v>0</v>
      </c>
      <c r="CV117" s="81">
        <f t="shared" si="73"/>
        <v>0</v>
      </c>
      <c r="CW117" s="144"/>
      <c r="CX117" s="145">
        <f>IF(ISERROR(VLOOKUP($A117,FIJOS!$B$11:$O$590,14,FALSE)),0,VLOOKUP($A117,FIJOS!$B$11:$O$590,14,FALSE))</f>
        <v>0</v>
      </c>
      <c r="CY117" s="145">
        <f>IF(ISERROR(VLOOKUP(A117,FIJOS!$B$10:$P$590,15,FALSE)),0,VLOOKUP(A117,FIJOS!$B$10:$P$590,15,FALSE))</f>
        <v>0</v>
      </c>
      <c r="CZ117" s="156"/>
      <c r="DA117" s="146"/>
      <c r="DB117" s="147"/>
      <c r="DC117" s="147"/>
      <c r="DD117" s="147"/>
      <c r="DE117" s="147"/>
      <c r="DF117" s="145">
        <f>IF(ISERROR(VLOOKUP($A117,FIJOS!$B$11:$N$590,13,FALSE)),0,VLOOKUP($A117,FIJOS!$B$11:$N$590,13,FALSE))</f>
        <v>0</v>
      </c>
      <c r="DG117" s="145">
        <f>IF(ISERROR(VLOOKUP($A117,FIJOS!$B$11:$P$447,12,FALSE)),0,VLOOKUP($A117,FIJOS!$B$11:$P$447,12,FALSE))</f>
        <v>0</v>
      </c>
      <c r="DH117" s="82">
        <f t="shared" si="63"/>
        <v>0</v>
      </c>
      <c r="DI117" s="83" t="b">
        <f>IF($C117=1,(VLOOKUP($A117,FIJOS!$B$11:$P$545,10,FALSE)/7)*(7-$CU117),IF(AND($C117=2,CV117&lt;$DJ$1),(VLOOKUP($D117,HORAS!$B$4:$C$42,2,FALSE)*24)*$CV117,IF(AND($C117=2,CV117&gt;=$DJ$1),VLOOKUP($D117,HORAS!$B$4:$D$42,3,FALSE),IF(AND($C117=3,$CV117&gt;=$DJ$1),VLOOKUP($A117,FIJOS!$B$11:$P$545,10,FALSE),IF(AND($C117=3,$CV117&lt;$DJ$1),((VLOOKUP($A117,FIJOS!$B$11:$P$545,10,FALSE)/48)*24)*$CV117,IF(AND($C117=4,$CV117&gt;=(42/24)),VLOOKUP($D117,HORAS!$B$4:$D$42,3,FALSE),IF(AND($C117=5,$CV117&gt;=(36/24)),VLOOKUP($D117,HORAS!$B$4:$D$42,3,FALSE))))))))</f>
        <v>0</v>
      </c>
      <c r="DJ117" s="145">
        <f>IF(OR($C117=2),VLOOKUP($D117,HORAS!$B$4:$E$42,4,FALSE)*$EC117,IF(ISERROR(VLOOKUP($A117,FIJOS!$B$11:$P$108,9,FALSE)),0,VLOOKUP($A117,FIJOS!$B$11:$P$231,9,FALSE)*$EC117))</f>
        <v>0</v>
      </c>
      <c r="DK117" s="145">
        <f>IF(OR($C117=2),VLOOKUP($D117,HORAS!$B$4:$F$42,5,FALSE)*$EE117,IF(ISERROR(VLOOKUP($A117,FIJOS!$B$11:$P$108,9,FALSE)),0,VLOOKUP($A117,FIJOS!$B$11:$P$231,9,FALSE)*$EE117))</f>
        <v>0</v>
      </c>
      <c r="DL117" s="144"/>
      <c r="DM117" s="145">
        <f>IF(ISERROR(VLOOKUP($A117,FIJOS!$B$11:$L$646,11,FALSE)),0,VLOOKUP($A117,FIJOS!$B$11:$L$646,11,FALSE))</f>
        <v>0</v>
      </c>
      <c r="DN117" s="148" t="e">
        <f>IF(OR($C117=1,$C117=3),0,IF((VLOOKUP(CAPTURA!D117,HORAS!$B$4:$K$42,10,FALSE)/4)*COUNTIF($H117:$CT117,3)&gt;100,100,(VLOOKUP(CAPTURA!D117,HORAS!$B$4:$K$42,10,FALSE)/4)*COUNTIF($H117:$CT117,3)))</f>
        <v>#N/A</v>
      </c>
      <c r="DO117" s="144" t="e">
        <f>IF(OR($C117=1,$C117=3),0,IF($C117=5,VLOOKUP(D117,HORAS!$B$4:$G$42,6,FALSE),IF(AND($C117=4,$CV117&gt;=(42/24)),VLOOKUP(D117,HORAS!$B$4:$G$42,6,FALSE),IF(COUNTIF($H117:$CL117,"F")&gt;0,0,IF(CV117&gt;$DJ$1,$DJ$1*(VLOOKUP(D117,HORAS!$B$4:$G$42,6,FALSE)/$DJ$1),CV117*(VLOOKUP(D117,HORAS!$B$4:$G$42,6,FALSE)/$DJ$1))))))</f>
        <v>#N/A</v>
      </c>
      <c r="DP117" s="156"/>
      <c r="DQ117" s="148"/>
      <c r="DR117" s="148"/>
      <c r="DS117" s="83" t="e">
        <f t="shared" si="66"/>
        <v>#N/A</v>
      </c>
      <c r="DT117" s="84"/>
      <c r="DU117" s="149" t="e">
        <f t="shared" si="67"/>
        <v>#N/A</v>
      </c>
      <c r="DV117" s="149" t="e">
        <f t="shared" si="68"/>
        <v>#N/A</v>
      </c>
      <c r="DW117" s="144" t="e">
        <f t="shared" si="69"/>
        <v>#N/A</v>
      </c>
      <c r="DX117" s="134"/>
      <c r="DY117" s="29"/>
      <c r="DZ117" s="150"/>
      <c r="EA117" s="134"/>
      <c r="EB117" s="137">
        <f t="shared" si="70"/>
        <v>0</v>
      </c>
      <c r="EC117" s="138">
        <f t="shared" si="64"/>
        <v>0</v>
      </c>
      <c r="ED117" s="137">
        <f t="shared" si="71"/>
        <v>0</v>
      </c>
      <c r="EE117" s="132">
        <f t="shared" si="65"/>
        <v>0</v>
      </c>
      <c r="EF117" s="29"/>
      <c r="EG117" s="134"/>
      <c r="EH117" s="134"/>
      <c r="EI117" s="134"/>
      <c r="EK117" s="29"/>
    </row>
    <row r="118" spans="1:141" ht="15" customHeight="1" x14ac:dyDescent="0.25">
      <c r="A118" s="140"/>
      <c r="B118" s="151"/>
      <c r="C118" s="72"/>
      <c r="D118" s="73"/>
      <c r="E118" s="73"/>
      <c r="F118" s="141"/>
      <c r="G118" s="74"/>
      <c r="H118" s="75"/>
      <c r="I118" s="76"/>
      <c r="J118" s="135"/>
      <c r="K118" s="135"/>
      <c r="L118" s="77">
        <f t="shared" si="42"/>
        <v>0</v>
      </c>
      <c r="M118" s="78"/>
      <c r="N118" s="142"/>
      <c r="O118" s="142"/>
      <c r="P118" s="77">
        <f t="shared" si="43"/>
        <v>0</v>
      </c>
      <c r="Q118" s="78"/>
      <c r="R118" s="143"/>
      <c r="S118" s="143"/>
      <c r="T118" s="77">
        <f t="shared" si="44"/>
        <v>0</v>
      </c>
      <c r="U118" s="75"/>
      <c r="V118" s="76"/>
      <c r="W118" s="135"/>
      <c r="X118" s="135"/>
      <c r="Y118" s="77">
        <f t="shared" si="45"/>
        <v>0</v>
      </c>
      <c r="Z118" s="78"/>
      <c r="AA118" s="142"/>
      <c r="AB118" s="142"/>
      <c r="AC118" s="77">
        <f t="shared" si="46"/>
        <v>0</v>
      </c>
      <c r="AD118" s="78"/>
      <c r="AE118" s="143"/>
      <c r="AF118" s="143"/>
      <c r="AG118" s="79">
        <f t="shared" si="47"/>
        <v>0</v>
      </c>
      <c r="AH118" s="75"/>
      <c r="AI118" s="76"/>
      <c r="AJ118" s="135"/>
      <c r="AK118" s="135"/>
      <c r="AL118" s="77">
        <f t="shared" si="48"/>
        <v>0</v>
      </c>
      <c r="AM118" s="76"/>
      <c r="AN118" s="142"/>
      <c r="AO118" s="142"/>
      <c r="AP118" s="77">
        <f t="shared" si="49"/>
        <v>0</v>
      </c>
      <c r="AQ118" s="78"/>
      <c r="AR118" s="142"/>
      <c r="AS118" s="142"/>
      <c r="AT118" s="79">
        <f t="shared" si="50"/>
        <v>0</v>
      </c>
      <c r="AU118" s="75"/>
      <c r="AV118" s="76"/>
      <c r="AW118" s="135"/>
      <c r="AX118" s="86"/>
      <c r="AY118" s="77">
        <f t="shared" si="51"/>
        <v>0</v>
      </c>
      <c r="AZ118" s="76"/>
      <c r="BA118" s="142"/>
      <c r="BB118" s="142"/>
      <c r="BC118" s="77">
        <f t="shared" si="52"/>
        <v>0</v>
      </c>
      <c r="BD118" s="78"/>
      <c r="BE118" s="142"/>
      <c r="BF118" s="142"/>
      <c r="BG118" s="79">
        <f t="shared" si="53"/>
        <v>0</v>
      </c>
      <c r="BH118" s="75"/>
      <c r="BI118" s="76"/>
      <c r="BJ118" s="135"/>
      <c r="BK118" s="135"/>
      <c r="BL118" s="77">
        <f t="shared" si="54"/>
        <v>0</v>
      </c>
      <c r="BM118" s="78"/>
      <c r="BN118" s="142"/>
      <c r="BO118" s="142"/>
      <c r="BP118" s="77">
        <f t="shared" si="55"/>
        <v>0</v>
      </c>
      <c r="BQ118" s="78"/>
      <c r="BR118" s="142"/>
      <c r="BS118" s="142"/>
      <c r="BT118" s="79">
        <f t="shared" si="56"/>
        <v>0</v>
      </c>
      <c r="BU118" s="75"/>
      <c r="BV118" s="76"/>
      <c r="BW118" s="135"/>
      <c r="BX118" s="135"/>
      <c r="BY118" s="77">
        <f t="shared" si="57"/>
        <v>0</v>
      </c>
      <c r="BZ118" s="78"/>
      <c r="CA118" s="142"/>
      <c r="CB118" s="142"/>
      <c r="CC118" s="77">
        <f t="shared" si="58"/>
        <v>0</v>
      </c>
      <c r="CD118" s="78"/>
      <c r="CE118" s="142"/>
      <c r="CF118" s="142"/>
      <c r="CG118" s="79">
        <f t="shared" si="59"/>
        <v>0</v>
      </c>
      <c r="CH118" s="75"/>
      <c r="CI118" s="76"/>
      <c r="CJ118" s="135"/>
      <c r="CK118" s="135"/>
      <c r="CL118" s="77">
        <f t="shared" si="60"/>
        <v>0</v>
      </c>
      <c r="CM118" s="78"/>
      <c r="CN118" s="142"/>
      <c r="CO118" s="142"/>
      <c r="CP118" s="77">
        <f t="shared" si="61"/>
        <v>0</v>
      </c>
      <c r="CQ118" s="78"/>
      <c r="CR118" s="142"/>
      <c r="CS118" s="142"/>
      <c r="CT118" s="79">
        <f t="shared" si="62"/>
        <v>0</v>
      </c>
      <c r="CU118" s="80">
        <f t="shared" si="72"/>
        <v>0</v>
      </c>
      <c r="CV118" s="81">
        <f t="shared" si="73"/>
        <v>0</v>
      </c>
      <c r="CW118" s="144"/>
      <c r="CX118" s="145">
        <f>IF(ISERROR(VLOOKUP($A118,FIJOS!$B$11:$O$590,14,FALSE)),0,VLOOKUP($A118,FIJOS!$B$11:$O$590,14,FALSE))</f>
        <v>0</v>
      </c>
      <c r="CY118" s="145">
        <f>IF(ISERROR(VLOOKUP(A118,FIJOS!$B$10:$P$590,15,FALSE)),0,VLOOKUP(A118,FIJOS!$B$10:$P$590,15,FALSE))</f>
        <v>0</v>
      </c>
      <c r="CZ118" s="156"/>
      <c r="DA118" s="146"/>
      <c r="DB118" s="147"/>
      <c r="DC118" s="147"/>
      <c r="DD118" s="147"/>
      <c r="DE118" s="147"/>
      <c r="DF118" s="145">
        <f>IF(ISERROR(VLOOKUP($A118,FIJOS!$B$11:$N$590,13,FALSE)),0,VLOOKUP($A118,FIJOS!$B$11:$N$590,13,FALSE))</f>
        <v>0</v>
      </c>
      <c r="DG118" s="145">
        <f>IF(ISERROR(VLOOKUP($A118,FIJOS!$B$11:$P$447,12,FALSE)),0,VLOOKUP($A118,FIJOS!$B$11:$P$447,12,FALSE))</f>
        <v>0</v>
      </c>
      <c r="DH118" s="82">
        <f t="shared" si="63"/>
        <v>0</v>
      </c>
      <c r="DI118" s="83" t="b">
        <f>IF($C118=1,(VLOOKUP($A118,FIJOS!$B$11:$P$545,10,FALSE)/7)*(7-$CU118),IF(AND($C118=2,CV118&lt;$DJ$1),(VLOOKUP($D118,HORAS!$B$4:$C$42,2,FALSE)*24)*$CV118,IF(AND($C118=2,CV118&gt;=$DJ$1),VLOOKUP($D118,HORAS!$B$4:$D$42,3,FALSE),IF(AND($C118=3,$CV118&gt;=$DJ$1),VLOOKUP($A118,FIJOS!$B$11:$P$545,10,FALSE),IF(AND($C118=3,$CV118&lt;$DJ$1),((VLOOKUP($A118,FIJOS!$B$11:$P$545,10,FALSE)/48)*24)*$CV118,IF(AND($C118=4,$CV118&gt;=(42/24)),VLOOKUP($D118,HORAS!$B$4:$D$42,3,FALSE),IF(AND($C118=5,$CV118&gt;=(36/24)),VLOOKUP($D118,HORAS!$B$4:$D$42,3,FALSE))))))))</f>
        <v>0</v>
      </c>
      <c r="DJ118" s="145">
        <f>IF(OR($C118=2),VLOOKUP($D118,HORAS!$B$4:$E$42,4,FALSE)*$EC118,IF(ISERROR(VLOOKUP($A118,FIJOS!$B$11:$P$108,9,FALSE)),0,VLOOKUP($A118,FIJOS!$B$11:$P$231,9,FALSE)*$EC118))</f>
        <v>0</v>
      </c>
      <c r="DK118" s="145">
        <f>IF(OR($C118=2),VLOOKUP($D118,HORAS!$B$4:$F$42,5,FALSE)*$EE118,IF(ISERROR(VLOOKUP($A118,FIJOS!$B$11:$P$108,9,FALSE)),0,VLOOKUP($A118,FIJOS!$B$11:$P$231,9,FALSE)*$EE118))</f>
        <v>0</v>
      </c>
      <c r="DL118" s="144"/>
      <c r="DM118" s="145">
        <f>IF(ISERROR(VLOOKUP($A118,FIJOS!$B$11:$L$646,11,FALSE)),0,VLOOKUP($A118,FIJOS!$B$11:$L$646,11,FALSE))</f>
        <v>0</v>
      </c>
      <c r="DN118" s="148" t="e">
        <f>IF(OR($C118=1,$C118=3),0,IF((VLOOKUP(CAPTURA!D118,HORAS!$B$4:$K$42,10,FALSE)/4)*COUNTIF($H118:$CT118,3)&gt;100,100,(VLOOKUP(CAPTURA!D118,HORAS!$B$4:$K$42,10,FALSE)/4)*COUNTIF($H118:$CT118,3)))</f>
        <v>#N/A</v>
      </c>
      <c r="DO118" s="144" t="e">
        <f>IF(OR($C118=1,$C118=3),0,IF($C118=5,VLOOKUP(D118,HORAS!$B$4:$G$42,6,FALSE),IF(AND($C118=4,$CV118&gt;=(42/24)),VLOOKUP(D118,HORAS!$B$4:$G$42,6,FALSE),IF(COUNTIF($H118:$CL118,"F")&gt;0,0,IF(CV118&gt;$DJ$1,$DJ$1*(VLOOKUP(D118,HORAS!$B$4:$G$42,6,FALSE)/$DJ$1),CV118*(VLOOKUP(D118,HORAS!$B$4:$G$42,6,FALSE)/$DJ$1))))))</f>
        <v>#N/A</v>
      </c>
      <c r="DP118" s="156"/>
      <c r="DQ118" s="148"/>
      <c r="DR118" s="148"/>
      <c r="DS118" s="83" t="e">
        <f t="shared" si="66"/>
        <v>#N/A</v>
      </c>
      <c r="DT118" s="84"/>
      <c r="DU118" s="149" t="e">
        <f t="shared" si="67"/>
        <v>#N/A</v>
      </c>
      <c r="DV118" s="149" t="e">
        <f t="shared" si="68"/>
        <v>#N/A</v>
      </c>
      <c r="DW118" s="144" t="e">
        <f t="shared" si="69"/>
        <v>#N/A</v>
      </c>
      <c r="DX118" s="134"/>
      <c r="DY118" s="29"/>
      <c r="DZ118" s="150"/>
      <c r="EA118" s="137"/>
      <c r="EB118" s="137">
        <f t="shared" si="70"/>
        <v>0</v>
      </c>
      <c r="EC118" s="138">
        <f t="shared" si="64"/>
        <v>0</v>
      </c>
      <c r="ED118" s="137">
        <f t="shared" si="71"/>
        <v>0</v>
      </c>
      <c r="EE118" s="132">
        <f t="shared" si="65"/>
        <v>0</v>
      </c>
      <c r="EF118" s="29"/>
      <c r="EG118" s="134"/>
      <c r="EH118" s="134"/>
      <c r="EI118" s="134"/>
      <c r="EK118" s="29"/>
    </row>
    <row r="119" spans="1:141" ht="15" customHeight="1" x14ac:dyDescent="0.25">
      <c r="A119" s="140"/>
      <c r="B119" s="151"/>
      <c r="C119" s="72"/>
      <c r="D119" s="73"/>
      <c r="E119" s="73"/>
      <c r="F119" s="141"/>
      <c r="G119" s="74"/>
      <c r="H119" s="75"/>
      <c r="I119" s="76"/>
      <c r="J119" s="135"/>
      <c r="K119" s="135"/>
      <c r="L119" s="77">
        <f t="shared" si="42"/>
        <v>0</v>
      </c>
      <c r="M119" s="78"/>
      <c r="N119" s="142"/>
      <c r="O119" s="142"/>
      <c r="P119" s="77">
        <f t="shared" si="43"/>
        <v>0</v>
      </c>
      <c r="Q119" s="78"/>
      <c r="R119" s="143"/>
      <c r="S119" s="143"/>
      <c r="T119" s="77">
        <f t="shared" si="44"/>
        <v>0</v>
      </c>
      <c r="U119" s="75"/>
      <c r="V119" s="76"/>
      <c r="W119" s="135"/>
      <c r="X119" s="135"/>
      <c r="Y119" s="77">
        <f t="shared" si="45"/>
        <v>0</v>
      </c>
      <c r="Z119" s="78"/>
      <c r="AA119" s="142"/>
      <c r="AB119" s="142"/>
      <c r="AC119" s="77">
        <f t="shared" si="46"/>
        <v>0</v>
      </c>
      <c r="AD119" s="78"/>
      <c r="AE119" s="143"/>
      <c r="AF119" s="143"/>
      <c r="AG119" s="79">
        <f t="shared" si="47"/>
        <v>0</v>
      </c>
      <c r="AH119" s="75"/>
      <c r="AI119" s="76"/>
      <c r="AJ119" s="135"/>
      <c r="AK119" s="135"/>
      <c r="AL119" s="77">
        <f t="shared" si="48"/>
        <v>0</v>
      </c>
      <c r="AM119" s="76"/>
      <c r="AN119" s="142"/>
      <c r="AO119" s="142"/>
      <c r="AP119" s="77">
        <f t="shared" si="49"/>
        <v>0</v>
      </c>
      <c r="AQ119" s="78"/>
      <c r="AR119" s="142"/>
      <c r="AS119" s="142"/>
      <c r="AT119" s="79">
        <f t="shared" si="50"/>
        <v>0</v>
      </c>
      <c r="AU119" s="75"/>
      <c r="AV119" s="76"/>
      <c r="AW119" s="135"/>
      <c r="AX119" s="135"/>
      <c r="AY119" s="77">
        <f t="shared" si="51"/>
        <v>0</v>
      </c>
      <c r="AZ119" s="76"/>
      <c r="BA119" s="142"/>
      <c r="BB119" s="142"/>
      <c r="BC119" s="77">
        <f t="shared" si="52"/>
        <v>0</v>
      </c>
      <c r="BD119" s="78"/>
      <c r="BE119" s="142"/>
      <c r="BF119" s="142"/>
      <c r="BG119" s="79">
        <f t="shared" si="53"/>
        <v>0</v>
      </c>
      <c r="BH119" s="75"/>
      <c r="BI119" s="76"/>
      <c r="BJ119" s="135"/>
      <c r="BK119" s="135"/>
      <c r="BL119" s="77">
        <f t="shared" si="54"/>
        <v>0</v>
      </c>
      <c r="BM119" s="78"/>
      <c r="BN119" s="142"/>
      <c r="BO119" s="142"/>
      <c r="BP119" s="77">
        <f t="shared" si="55"/>
        <v>0</v>
      </c>
      <c r="BQ119" s="78"/>
      <c r="BR119" s="142"/>
      <c r="BS119" s="142"/>
      <c r="BT119" s="79">
        <f t="shared" si="56"/>
        <v>0</v>
      </c>
      <c r="BU119" s="75"/>
      <c r="BV119" s="76"/>
      <c r="BW119" s="135"/>
      <c r="BX119" s="135"/>
      <c r="BY119" s="77">
        <f t="shared" si="57"/>
        <v>0</v>
      </c>
      <c r="BZ119" s="78"/>
      <c r="CA119" s="142"/>
      <c r="CB119" s="142"/>
      <c r="CC119" s="77">
        <f t="shared" si="58"/>
        <v>0</v>
      </c>
      <c r="CD119" s="78"/>
      <c r="CE119" s="142"/>
      <c r="CF119" s="142"/>
      <c r="CG119" s="79">
        <f t="shared" si="59"/>
        <v>0</v>
      </c>
      <c r="CH119" s="75"/>
      <c r="CI119" s="76"/>
      <c r="CJ119" s="135"/>
      <c r="CK119" s="135"/>
      <c r="CL119" s="77">
        <f t="shared" si="60"/>
        <v>0</v>
      </c>
      <c r="CM119" s="78"/>
      <c r="CN119" s="142"/>
      <c r="CO119" s="142"/>
      <c r="CP119" s="77">
        <f t="shared" si="61"/>
        <v>0</v>
      </c>
      <c r="CQ119" s="78"/>
      <c r="CR119" s="142"/>
      <c r="CS119" s="142"/>
      <c r="CT119" s="79">
        <f t="shared" si="62"/>
        <v>0</v>
      </c>
      <c r="CU119" s="80">
        <f t="shared" si="72"/>
        <v>0</v>
      </c>
      <c r="CV119" s="81">
        <f t="shared" si="73"/>
        <v>0</v>
      </c>
      <c r="CW119" s="144"/>
      <c r="CX119" s="145">
        <f>IF(ISERROR(VLOOKUP($A119,FIJOS!$B$11:$O$590,14,FALSE)),0,VLOOKUP($A119,FIJOS!$B$11:$O$590,14,FALSE))</f>
        <v>0</v>
      </c>
      <c r="CY119" s="145">
        <f>IF(ISERROR(VLOOKUP(A119,FIJOS!$B$10:$P$590,15,FALSE)),0,VLOOKUP(A119,FIJOS!$B$10:$P$590,15,FALSE))</f>
        <v>0</v>
      </c>
      <c r="CZ119" s="156"/>
      <c r="DA119" s="146"/>
      <c r="DB119" s="147"/>
      <c r="DC119" s="147"/>
      <c r="DD119" s="147"/>
      <c r="DE119" s="147"/>
      <c r="DF119" s="145">
        <f>IF(ISERROR(VLOOKUP($A119,FIJOS!$B$11:$N$590,13,FALSE)),0,VLOOKUP($A119,FIJOS!$B$11:$N$590,13,FALSE))</f>
        <v>0</v>
      </c>
      <c r="DG119" s="145">
        <f>IF(ISERROR(VLOOKUP($A119,FIJOS!$B$11:$P$447,12,FALSE)),0,VLOOKUP($A119,FIJOS!$B$11:$P$447,12,FALSE))</f>
        <v>0</v>
      </c>
      <c r="DH119" s="82">
        <f t="shared" si="63"/>
        <v>0</v>
      </c>
      <c r="DI119" s="83" t="b">
        <f>IF($C119=1,(VLOOKUP($A119,FIJOS!$B$11:$P$545,10,FALSE)/7)*(7-$CU119),IF(AND($C119=2,CV119&lt;$DJ$1),(VLOOKUP($D119,HORAS!$B$4:$C$42,2,FALSE)*24)*$CV119,IF(AND($C119=2,CV119&gt;=$DJ$1),VLOOKUP($D119,HORAS!$B$4:$D$42,3,FALSE),IF(AND($C119=3,$CV119&gt;=$DJ$1),VLOOKUP($A119,FIJOS!$B$11:$P$545,10,FALSE),IF(AND($C119=3,$CV119&lt;$DJ$1),((VLOOKUP($A119,FIJOS!$B$11:$P$545,10,FALSE)/48)*24)*$CV119,IF(AND($C119=4,$CV119&gt;=(42/24)),VLOOKUP($D119,HORAS!$B$4:$D$42,3,FALSE),IF(AND($C119=5,$CV119&gt;=(36/24)),VLOOKUP($D119,HORAS!$B$4:$D$42,3,FALSE))))))))</f>
        <v>0</v>
      </c>
      <c r="DJ119" s="145">
        <f>IF(OR($C119=2),VLOOKUP($D119,HORAS!$B$4:$E$42,4,FALSE)*$EC119,IF(ISERROR(VLOOKUP($A119,FIJOS!$B$11:$P$108,9,FALSE)),0,VLOOKUP($A119,FIJOS!$B$11:$P$231,9,FALSE)*$EC119))</f>
        <v>0</v>
      </c>
      <c r="DK119" s="145">
        <f>IF(OR($C119=2),VLOOKUP($D119,HORAS!$B$4:$F$42,5,FALSE)*$EE119,IF(ISERROR(VLOOKUP($A119,FIJOS!$B$11:$P$108,9,FALSE)),0,VLOOKUP($A119,FIJOS!$B$11:$P$231,9,FALSE)*$EE119))</f>
        <v>0</v>
      </c>
      <c r="DL119" s="144"/>
      <c r="DM119" s="145">
        <f>IF(ISERROR(VLOOKUP($A119,FIJOS!$B$11:$L$646,11,FALSE)),0,VLOOKUP($A119,FIJOS!$B$11:$L$646,11,FALSE))</f>
        <v>0</v>
      </c>
      <c r="DN119" s="148" t="e">
        <f>IF(OR($C119=1,$C119=3),0,IF((VLOOKUP(CAPTURA!D119,HORAS!$B$4:$K$42,10,FALSE)/4)*COUNTIF($H119:$CT119,3)&gt;100,100,(VLOOKUP(CAPTURA!D119,HORAS!$B$4:$K$42,10,FALSE)/4)*COUNTIF($H119:$CT119,3)))</f>
        <v>#N/A</v>
      </c>
      <c r="DO119" s="144" t="e">
        <f>IF(OR($C119=1,$C119=3),0,IF($C119=5,VLOOKUP(D119,HORAS!$B$4:$G$42,6,FALSE),IF(AND($C119=4,$CV119&gt;=(42/24)),VLOOKUP(D119,HORAS!$B$4:$G$42,6,FALSE),IF(COUNTIF($H119:$CL119,"F")&gt;0,0,IF(CV119&gt;$DJ$1,$DJ$1*(VLOOKUP(D119,HORAS!$B$4:$G$42,6,FALSE)/$DJ$1),CV119*(VLOOKUP(D119,HORAS!$B$4:$G$42,6,FALSE)/$DJ$1))))))</f>
        <v>#N/A</v>
      </c>
      <c r="DP119" s="156"/>
      <c r="DQ119" s="89"/>
      <c r="DR119" s="148"/>
      <c r="DS119" s="83" t="e">
        <f t="shared" si="66"/>
        <v>#N/A</v>
      </c>
      <c r="DT119" s="84"/>
      <c r="DU119" s="149" t="e">
        <f t="shared" si="67"/>
        <v>#N/A</v>
      </c>
      <c r="DV119" s="149" t="e">
        <f t="shared" si="68"/>
        <v>#N/A</v>
      </c>
      <c r="DW119" s="144" t="e">
        <f t="shared" si="69"/>
        <v>#N/A</v>
      </c>
      <c r="DX119" s="134"/>
      <c r="DY119" s="29"/>
      <c r="DZ119" s="150"/>
      <c r="EA119" s="134"/>
      <c r="EB119" s="137">
        <f t="shared" si="70"/>
        <v>0</v>
      </c>
      <c r="EC119" s="138">
        <f t="shared" si="64"/>
        <v>0</v>
      </c>
      <c r="ED119" s="137">
        <f t="shared" si="71"/>
        <v>0</v>
      </c>
      <c r="EE119" s="132">
        <f t="shared" si="65"/>
        <v>0</v>
      </c>
      <c r="EF119" s="29"/>
      <c r="EG119" s="134"/>
      <c r="EH119" s="134"/>
      <c r="EI119" s="134"/>
      <c r="EK119" s="29"/>
    </row>
    <row r="120" spans="1:141" ht="15" customHeight="1" x14ac:dyDescent="0.25">
      <c r="A120" s="140"/>
      <c r="B120" s="151"/>
      <c r="C120" s="72"/>
      <c r="D120" s="73"/>
      <c r="E120" s="73"/>
      <c r="F120" s="141"/>
      <c r="G120" s="74"/>
      <c r="H120" s="75"/>
      <c r="I120" s="76"/>
      <c r="J120" s="135"/>
      <c r="K120" s="135"/>
      <c r="L120" s="77">
        <f t="shared" si="42"/>
        <v>0</v>
      </c>
      <c r="M120" s="78"/>
      <c r="N120" s="142"/>
      <c r="O120" s="142"/>
      <c r="P120" s="77">
        <f t="shared" si="43"/>
        <v>0</v>
      </c>
      <c r="Q120" s="78"/>
      <c r="R120" s="143"/>
      <c r="S120" s="143"/>
      <c r="T120" s="77">
        <f t="shared" si="44"/>
        <v>0</v>
      </c>
      <c r="U120" s="75"/>
      <c r="V120" s="76"/>
      <c r="W120" s="135"/>
      <c r="X120" s="135"/>
      <c r="Y120" s="77">
        <f t="shared" si="45"/>
        <v>0</v>
      </c>
      <c r="Z120" s="78"/>
      <c r="AA120" s="142"/>
      <c r="AB120" s="142"/>
      <c r="AC120" s="77">
        <f t="shared" si="46"/>
        <v>0</v>
      </c>
      <c r="AD120" s="78"/>
      <c r="AE120" s="143"/>
      <c r="AF120" s="143"/>
      <c r="AG120" s="79">
        <f t="shared" si="47"/>
        <v>0</v>
      </c>
      <c r="AH120" s="75"/>
      <c r="AI120" s="76"/>
      <c r="AJ120" s="135"/>
      <c r="AK120" s="135"/>
      <c r="AL120" s="77">
        <f t="shared" si="48"/>
        <v>0</v>
      </c>
      <c r="AM120" s="76"/>
      <c r="AN120" s="142"/>
      <c r="AO120" s="142"/>
      <c r="AP120" s="77">
        <f t="shared" si="49"/>
        <v>0</v>
      </c>
      <c r="AQ120" s="78"/>
      <c r="AR120" s="142"/>
      <c r="AS120" s="142"/>
      <c r="AT120" s="79">
        <f t="shared" si="50"/>
        <v>0</v>
      </c>
      <c r="AU120" s="75"/>
      <c r="AV120" s="76"/>
      <c r="AW120" s="135"/>
      <c r="AX120" s="135"/>
      <c r="AY120" s="77">
        <f t="shared" si="51"/>
        <v>0</v>
      </c>
      <c r="AZ120" s="76"/>
      <c r="BA120" s="142"/>
      <c r="BB120" s="142"/>
      <c r="BC120" s="77">
        <f t="shared" si="52"/>
        <v>0</v>
      </c>
      <c r="BD120" s="78"/>
      <c r="BE120" s="142"/>
      <c r="BF120" s="142"/>
      <c r="BG120" s="79">
        <f t="shared" si="53"/>
        <v>0</v>
      </c>
      <c r="BH120" s="75"/>
      <c r="BI120" s="76"/>
      <c r="BJ120" s="135"/>
      <c r="BK120" s="135"/>
      <c r="BL120" s="77">
        <f t="shared" si="54"/>
        <v>0</v>
      </c>
      <c r="BM120" s="78"/>
      <c r="BN120" s="142"/>
      <c r="BO120" s="142"/>
      <c r="BP120" s="77">
        <f t="shared" si="55"/>
        <v>0</v>
      </c>
      <c r="BQ120" s="78"/>
      <c r="BR120" s="142"/>
      <c r="BS120" s="142"/>
      <c r="BT120" s="79">
        <f t="shared" si="56"/>
        <v>0</v>
      </c>
      <c r="BU120" s="75"/>
      <c r="BV120" s="76"/>
      <c r="BW120" s="135"/>
      <c r="BX120" s="135"/>
      <c r="BY120" s="77">
        <f t="shared" si="57"/>
        <v>0</v>
      </c>
      <c r="BZ120" s="78"/>
      <c r="CA120" s="142"/>
      <c r="CB120" s="142"/>
      <c r="CC120" s="77">
        <f t="shared" si="58"/>
        <v>0</v>
      </c>
      <c r="CD120" s="78"/>
      <c r="CE120" s="142"/>
      <c r="CF120" s="142"/>
      <c r="CG120" s="79">
        <f t="shared" si="59"/>
        <v>0</v>
      </c>
      <c r="CH120" s="75"/>
      <c r="CI120" s="76"/>
      <c r="CJ120" s="135"/>
      <c r="CK120" s="135"/>
      <c r="CL120" s="77">
        <f t="shared" si="60"/>
        <v>0</v>
      </c>
      <c r="CM120" s="78"/>
      <c r="CN120" s="142"/>
      <c r="CO120" s="142"/>
      <c r="CP120" s="77">
        <f t="shared" si="61"/>
        <v>0</v>
      </c>
      <c r="CQ120" s="78"/>
      <c r="CR120" s="142"/>
      <c r="CS120" s="142"/>
      <c r="CT120" s="79">
        <f t="shared" si="62"/>
        <v>0</v>
      </c>
      <c r="CU120" s="80">
        <f t="shared" si="72"/>
        <v>0</v>
      </c>
      <c r="CV120" s="81">
        <f t="shared" si="73"/>
        <v>0</v>
      </c>
      <c r="CW120" s="144"/>
      <c r="CX120" s="145">
        <f>IF(ISERROR(VLOOKUP($A120,FIJOS!$B$11:$O$590,14,FALSE)),0,VLOOKUP($A120,FIJOS!$B$11:$O$590,14,FALSE))</f>
        <v>0</v>
      </c>
      <c r="CY120" s="145">
        <f>IF(ISERROR(VLOOKUP(A120,FIJOS!$B$10:$P$590,15,FALSE)),0,VLOOKUP(A120,FIJOS!$B$10:$P$590,15,FALSE))</f>
        <v>0</v>
      </c>
      <c r="CZ120" s="156"/>
      <c r="DA120" s="146"/>
      <c r="DB120" s="147"/>
      <c r="DC120" s="147"/>
      <c r="DD120" s="147"/>
      <c r="DE120" s="147"/>
      <c r="DF120" s="145">
        <f>IF(ISERROR(VLOOKUP($A120,FIJOS!$B$11:$N$590,13,FALSE)),0,VLOOKUP($A120,FIJOS!$B$11:$N$590,13,FALSE))</f>
        <v>0</v>
      </c>
      <c r="DG120" s="145">
        <f>IF(ISERROR(VLOOKUP($A120,FIJOS!$B$11:$P$447,12,FALSE)),0,VLOOKUP($A120,FIJOS!$B$11:$P$447,12,FALSE))</f>
        <v>0</v>
      </c>
      <c r="DH120" s="82">
        <f t="shared" si="63"/>
        <v>0</v>
      </c>
      <c r="DI120" s="83" t="b">
        <f>IF($C120=1,(VLOOKUP($A120,FIJOS!$B$11:$P$545,10,FALSE)/7)*(7-$CU120),IF(AND($C120=2,CV120&lt;$DJ$1),(VLOOKUP($D120,HORAS!$B$4:$C$42,2,FALSE)*24)*$CV120,IF(AND($C120=2,CV120&gt;=$DJ$1),VLOOKUP($D120,HORAS!$B$4:$D$42,3,FALSE),IF(AND($C120=3,$CV120&gt;=$DJ$1),VLOOKUP($A120,FIJOS!$B$11:$P$545,10,FALSE),IF(AND($C120=3,$CV120&lt;$DJ$1),((VLOOKUP($A120,FIJOS!$B$11:$P$545,10,FALSE)/48)*24)*$CV120,IF(AND($C120=4,$CV120&gt;=(42/24)),VLOOKUP($D120,HORAS!$B$4:$D$42,3,FALSE),IF(AND($C120=5,$CV120&gt;=(36/24)),VLOOKUP($D120,HORAS!$B$4:$D$42,3,FALSE))))))))</f>
        <v>0</v>
      </c>
      <c r="DJ120" s="145">
        <f>IF(OR($C120=2),VLOOKUP($D120,HORAS!$B$4:$E$42,4,FALSE)*$EC120,IF(ISERROR(VLOOKUP($A120,FIJOS!$B$11:$P$108,9,FALSE)),0,VLOOKUP($A120,FIJOS!$B$11:$P$231,9,FALSE)*$EC120))</f>
        <v>0</v>
      </c>
      <c r="DK120" s="145">
        <f>IF(OR($C120=2),VLOOKUP($D120,HORAS!$B$4:$F$42,5,FALSE)*$EE120,IF(ISERROR(VLOOKUP($A120,FIJOS!$B$11:$P$108,9,FALSE)),0,VLOOKUP($A120,FIJOS!$B$11:$P$231,9,FALSE)*$EE120))</f>
        <v>0</v>
      </c>
      <c r="DL120" s="144"/>
      <c r="DM120" s="145">
        <f>IF(ISERROR(VLOOKUP($A120,FIJOS!$B$11:$L$646,11,FALSE)),0,VLOOKUP($A120,FIJOS!$B$11:$L$646,11,FALSE))</f>
        <v>0</v>
      </c>
      <c r="DN120" s="148" t="e">
        <f>IF(OR($C120=1,$C120=3),0,IF((VLOOKUP(CAPTURA!D120,HORAS!$B$4:$K$42,10,FALSE)/4)*COUNTIF($H120:$CT120,3)&gt;100,100,(VLOOKUP(CAPTURA!D120,HORAS!$B$4:$K$42,10,FALSE)/4)*COUNTIF($H120:$CT120,3)))</f>
        <v>#N/A</v>
      </c>
      <c r="DO120" s="144" t="e">
        <f>IF(OR($C120=1,$C120=3),0,IF($C120=5,VLOOKUP(D120,HORAS!$B$4:$G$42,6,FALSE),IF(AND($C120=4,$CV120&gt;=(42/24)),VLOOKUP(D120,HORAS!$B$4:$G$42,6,FALSE),IF(COUNTIF($H120:$CL120,"F")&gt;0,0,IF(CV120&gt;$DJ$1,$DJ$1*(VLOOKUP(D120,HORAS!$B$4:$G$42,6,FALSE)/$DJ$1),CV120*(VLOOKUP(D120,HORAS!$B$4:$G$42,6,FALSE)/$DJ$1))))))</f>
        <v>#N/A</v>
      </c>
      <c r="DP120" s="156"/>
      <c r="DQ120" s="89"/>
      <c r="DR120" s="148"/>
      <c r="DS120" s="83" t="e">
        <f t="shared" si="66"/>
        <v>#N/A</v>
      </c>
      <c r="DT120" s="84"/>
      <c r="DU120" s="149" t="e">
        <f t="shared" si="67"/>
        <v>#N/A</v>
      </c>
      <c r="DV120" s="149" t="e">
        <f t="shared" si="68"/>
        <v>#N/A</v>
      </c>
      <c r="DW120" s="144" t="e">
        <f t="shared" si="69"/>
        <v>#N/A</v>
      </c>
      <c r="DX120" s="134"/>
      <c r="DY120" s="29"/>
      <c r="DZ120" s="150"/>
      <c r="EA120" s="134"/>
      <c r="EB120" s="137">
        <f t="shared" si="70"/>
        <v>0</v>
      </c>
      <c r="EC120" s="138">
        <f t="shared" si="64"/>
        <v>0</v>
      </c>
      <c r="ED120" s="137">
        <f t="shared" si="71"/>
        <v>0</v>
      </c>
      <c r="EE120" s="132">
        <f t="shared" si="65"/>
        <v>0</v>
      </c>
      <c r="EF120" s="29"/>
      <c r="EG120" s="134"/>
      <c r="EH120" s="134"/>
      <c r="EI120" s="134"/>
      <c r="EK120" s="29"/>
    </row>
    <row r="121" spans="1:141" ht="15" customHeight="1" x14ac:dyDescent="0.25">
      <c r="A121" s="140"/>
      <c r="B121" s="5"/>
      <c r="C121" s="72"/>
      <c r="D121" s="73"/>
      <c r="E121" s="73"/>
      <c r="F121" s="141"/>
      <c r="G121" s="74"/>
      <c r="H121" s="75"/>
      <c r="I121" s="76"/>
      <c r="J121" s="135"/>
      <c r="K121" s="135"/>
      <c r="L121" s="77">
        <f t="shared" si="42"/>
        <v>0</v>
      </c>
      <c r="M121" s="78"/>
      <c r="N121" s="142"/>
      <c r="O121" s="142"/>
      <c r="P121" s="77">
        <f t="shared" si="43"/>
        <v>0</v>
      </c>
      <c r="Q121" s="78"/>
      <c r="R121" s="143"/>
      <c r="S121" s="143"/>
      <c r="T121" s="77">
        <f t="shared" si="44"/>
        <v>0</v>
      </c>
      <c r="U121" s="75"/>
      <c r="V121" s="76"/>
      <c r="W121" s="135"/>
      <c r="X121" s="135"/>
      <c r="Y121" s="77">
        <f t="shared" si="45"/>
        <v>0</v>
      </c>
      <c r="Z121" s="78"/>
      <c r="AA121" s="142"/>
      <c r="AB121" s="142"/>
      <c r="AC121" s="77">
        <f t="shared" si="46"/>
        <v>0</v>
      </c>
      <c r="AD121" s="78"/>
      <c r="AE121" s="143"/>
      <c r="AF121" s="143"/>
      <c r="AG121" s="79">
        <f t="shared" si="47"/>
        <v>0</v>
      </c>
      <c r="AH121" s="75"/>
      <c r="AI121" s="76"/>
      <c r="AJ121" s="135"/>
      <c r="AK121" s="135"/>
      <c r="AL121" s="77">
        <f t="shared" si="48"/>
        <v>0</v>
      </c>
      <c r="AM121" s="76"/>
      <c r="AN121" s="142"/>
      <c r="AO121" s="142"/>
      <c r="AP121" s="77">
        <f t="shared" si="49"/>
        <v>0</v>
      </c>
      <c r="AQ121" s="78"/>
      <c r="AR121" s="142"/>
      <c r="AS121" s="142"/>
      <c r="AT121" s="79">
        <f t="shared" si="50"/>
        <v>0</v>
      </c>
      <c r="AU121" s="75"/>
      <c r="AV121" s="76"/>
      <c r="AW121" s="135"/>
      <c r="AX121" s="135"/>
      <c r="AY121" s="77">
        <f t="shared" si="51"/>
        <v>0</v>
      </c>
      <c r="AZ121" s="76"/>
      <c r="BA121" s="142"/>
      <c r="BB121" s="142"/>
      <c r="BC121" s="77">
        <f t="shared" si="52"/>
        <v>0</v>
      </c>
      <c r="BD121" s="78"/>
      <c r="BE121" s="142"/>
      <c r="BF121" s="142"/>
      <c r="BG121" s="79">
        <f t="shared" si="53"/>
        <v>0</v>
      </c>
      <c r="BH121" s="75"/>
      <c r="BI121" s="76"/>
      <c r="BJ121" s="135"/>
      <c r="BK121" s="135"/>
      <c r="BL121" s="77">
        <f t="shared" si="54"/>
        <v>0</v>
      </c>
      <c r="BM121" s="78"/>
      <c r="BN121" s="142"/>
      <c r="BO121" s="142"/>
      <c r="BP121" s="77">
        <f t="shared" si="55"/>
        <v>0</v>
      </c>
      <c r="BQ121" s="78"/>
      <c r="BR121" s="142"/>
      <c r="BS121" s="142"/>
      <c r="BT121" s="79">
        <f t="shared" si="56"/>
        <v>0</v>
      </c>
      <c r="BU121" s="75"/>
      <c r="BV121" s="76"/>
      <c r="BW121" s="135"/>
      <c r="BX121" s="135"/>
      <c r="BY121" s="77">
        <f t="shared" si="57"/>
        <v>0</v>
      </c>
      <c r="BZ121" s="78"/>
      <c r="CA121" s="142"/>
      <c r="CB121" s="142"/>
      <c r="CC121" s="77">
        <f t="shared" si="58"/>
        <v>0</v>
      </c>
      <c r="CD121" s="78"/>
      <c r="CE121" s="142"/>
      <c r="CF121" s="142"/>
      <c r="CG121" s="79">
        <f t="shared" si="59"/>
        <v>0</v>
      </c>
      <c r="CH121" s="75"/>
      <c r="CI121" s="76"/>
      <c r="CJ121" s="135"/>
      <c r="CK121" s="135"/>
      <c r="CL121" s="77">
        <f t="shared" si="60"/>
        <v>0</v>
      </c>
      <c r="CM121" s="78"/>
      <c r="CN121" s="142"/>
      <c r="CO121" s="142"/>
      <c r="CP121" s="77">
        <f t="shared" si="61"/>
        <v>0</v>
      </c>
      <c r="CQ121" s="78"/>
      <c r="CR121" s="142"/>
      <c r="CS121" s="142"/>
      <c r="CT121" s="79">
        <f t="shared" si="62"/>
        <v>0</v>
      </c>
      <c r="CU121" s="80">
        <f t="shared" si="72"/>
        <v>0</v>
      </c>
      <c r="CV121" s="81">
        <f t="shared" si="73"/>
        <v>0</v>
      </c>
      <c r="CW121" s="144"/>
      <c r="CX121" s="145">
        <f>IF(ISERROR(VLOOKUP($A121,FIJOS!$B$11:$O$590,14,FALSE)),0,VLOOKUP($A121,FIJOS!$B$11:$O$590,14,FALSE))</f>
        <v>0</v>
      </c>
      <c r="CY121" s="145">
        <f>IF(ISERROR(VLOOKUP(A121,FIJOS!$B$10:$P$590,15,FALSE)),0,VLOOKUP(A121,FIJOS!$B$10:$P$590,15,FALSE))</f>
        <v>0</v>
      </c>
      <c r="CZ121" s="156"/>
      <c r="DA121" s="146"/>
      <c r="DB121" s="147"/>
      <c r="DC121" s="147"/>
      <c r="DD121" s="147"/>
      <c r="DE121" s="147"/>
      <c r="DF121" s="145">
        <f>IF(ISERROR(VLOOKUP($A121,FIJOS!$B$11:$N$590,13,FALSE)),0,VLOOKUP($A121,FIJOS!$B$11:$N$590,13,FALSE))</f>
        <v>0</v>
      </c>
      <c r="DG121" s="145">
        <f>IF(ISERROR(VLOOKUP($A121,FIJOS!$B$11:$P$447,12,FALSE)),0,VLOOKUP($A121,FIJOS!$B$11:$P$447,12,FALSE))</f>
        <v>0</v>
      </c>
      <c r="DH121" s="82">
        <f t="shared" si="63"/>
        <v>0</v>
      </c>
      <c r="DI121" s="83" t="b">
        <f>IF($C121=1,(VLOOKUP($A121,FIJOS!$B$11:$P$545,10,FALSE)/7)*(7-$CU121),IF(AND($C121=2,CV121&lt;$DJ$1),(VLOOKUP($D121,HORAS!$B$4:$C$42,2,FALSE)*24)*$CV121,IF(AND($C121=2,CV121&gt;=$DJ$1),VLOOKUP($D121,HORAS!$B$4:$D$42,3,FALSE),IF(AND($C121=3,$CV121&gt;=$DJ$1),VLOOKUP($A121,FIJOS!$B$11:$P$545,10,FALSE),IF(AND($C121=3,$CV121&lt;$DJ$1),((VLOOKUP($A121,FIJOS!$B$11:$P$545,10,FALSE)/48)*24)*$CV121,IF(AND($C121=4,$CV121&gt;=(42/24)),VLOOKUP($D121,HORAS!$B$4:$D$42,3,FALSE),IF(AND($C121=5,$CV121&gt;=(36/24)),VLOOKUP($D121,HORAS!$B$4:$D$42,3,FALSE))))))))</f>
        <v>0</v>
      </c>
      <c r="DJ121" s="145">
        <f>IF(OR($C121=2),VLOOKUP($D121,HORAS!$B$4:$E$42,4,FALSE)*$EC121,IF(ISERROR(VLOOKUP($A121,FIJOS!$B$11:$P$108,9,FALSE)),0,VLOOKUP($A121,FIJOS!$B$11:$P$231,9,FALSE)*$EC121))</f>
        <v>0</v>
      </c>
      <c r="DK121" s="145">
        <f>IF(OR($C121=2),VLOOKUP($D121,HORAS!$B$4:$F$42,5,FALSE)*$EE121,IF(ISERROR(VLOOKUP($A121,FIJOS!$B$11:$P$108,9,FALSE)),0,VLOOKUP($A121,FIJOS!$B$11:$P$231,9,FALSE)*$EE121))</f>
        <v>0</v>
      </c>
      <c r="DL121" s="144"/>
      <c r="DM121" s="145">
        <f>IF(ISERROR(VLOOKUP($A121,FIJOS!$B$11:$L$646,11,FALSE)),0,VLOOKUP($A121,FIJOS!$B$11:$L$646,11,FALSE))</f>
        <v>0</v>
      </c>
      <c r="DN121" s="148" t="e">
        <f>IF(OR($C121=1,$C121=3),0,IF((VLOOKUP(CAPTURA!D121,HORAS!$B$4:$K$42,10,FALSE)/4)*COUNTIF($H121:$CT121,3)&gt;100,100,(VLOOKUP(CAPTURA!D121,HORAS!$B$4:$K$42,10,FALSE)/4)*COUNTIF($H121:$CT121,3)))</f>
        <v>#N/A</v>
      </c>
      <c r="DO121" s="144" t="e">
        <f>IF(OR($C121=1,$C121=3),0,IF($C121=5,VLOOKUP(D121,HORAS!$B$4:$G$42,6,FALSE),IF(AND($C121=4,$CV121&gt;=(42/24)),VLOOKUP(D121,HORAS!$B$4:$G$42,6,FALSE),IF(COUNTIF($H121:$CL121,"F")&gt;0,0,IF(CV121&gt;$DJ$1,$DJ$1*(VLOOKUP(D121,HORAS!$B$4:$G$42,6,FALSE)/$DJ$1),CV121*(VLOOKUP(D121,HORAS!$B$4:$G$42,6,FALSE)/$DJ$1))))))</f>
        <v>#N/A</v>
      </c>
      <c r="DP121" s="177"/>
      <c r="DQ121" s="148"/>
      <c r="DR121" s="148"/>
      <c r="DS121" s="83" t="e">
        <f t="shared" si="66"/>
        <v>#N/A</v>
      </c>
      <c r="DT121" s="84"/>
      <c r="DU121" s="149" t="e">
        <f t="shared" si="67"/>
        <v>#N/A</v>
      </c>
      <c r="DV121" s="149" t="e">
        <f t="shared" si="68"/>
        <v>#N/A</v>
      </c>
      <c r="DW121" s="144" t="e">
        <f t="shared" si="69"/>
        <v>#N/A</v>
      </c>
      <c r="DX121" s="134"/>
      <c r="DY121" s="29"/>
      <c r="DZ121" s="150"/>
      <c r="EA121" s="137"/>
      <c r="EB121" s="137">
        <f t="shared" si="70"/>
        <v>0</v>
      </c>
      <c r="EC121" s="138">
        <f t="shared" si="64"/>
        <v>0</v>
      </c>
      <c r="ED121" s="137">
        <f t="shared" si="71"/>
        <v>0</v>
      </c>
      <c r="EE121" s="132">
        <f t="shared" si="65"/>
        <v>0</v>
      </c>
      <c r="EF121" s="29"/>
      <c r="EG121" s="134"/>
      <c r="EH121" s="134"/>
      <c r="EI121" s="134"/>
      <c r="EK121" s="29"/>
    </row>
    <row r="122" spans="1:141" ht="15" customHeight="1" x14ac:dyDescent="0.25">
      <c r="A122" s="140"/>
      <c r="B122" s="151"/>
      <c r="C122" s="72"/>
      <c r="D122" s="73"/>
      <c r="E122" s="73"/>
      <c r="F122" s="141"/>
      <c r="G122" s="74"/>
      <c r="H122" s="75"/>
      <c r="I122" s="76"/>
      <c r="J122" s="135"/>
      <c r="K122" s="135"/>
      <c r="L122" s="77">
        <f t="shared" si="42"/>
        <v>0</v>
      </c>
      <c r="M122" s="78"/>
      <c r="N122" s="142"/>
      <c r="O122" s="142"/>
      <c r="P122" s="77">
        <f t="shared" si="43"/>
        <v>0</v>
      </c>
      <c r="Q122" s="78"/>
      <c r="R122" s="143"/>
      <c r="S122" s="143"/>
      <c r="T122" s="77">
        <f t="shared" si="44"/>
        <v>0</v>
      </c>
      <c r="U122" s="75"/>
      <c r="V122" s="76"/>
      <c r="W122" s="135"/>
      <c r="X122" s="135"/>
      <c r="Y122" s="77">
        <f t="shared" si="45"/>
        <v>0</v>
      </c>
      <c r="Z122" s="78"/>
      <c r="AA122" s="142"/>
      <c r="AB122" s="142"/>
      <c r="AC122" s="77">
        <f t="shared" si="46"/>
        <v>0</v>
      </c>
      <c r="AD122" s="78"/>
      <c r="AE122" s="143"/>
      <c r="AF122" s="143"/>
      <c r="AG122" s="79">
        <f t="shared" si="47"/>
        <v>0</v>
      </c>
      <c r="AH122" s="75"/>
      <c r="AI122" s="76"/>
      <c r="AJ122" s="135"/>
      <c r="AK122" s="135"/>
      <c r="AL122" s="77">
        <f t="shared" si="48"/>
        <v>0</v>
      </c>
      <c r="AM122" s="76"/>
      <c r="AN122" s="142"/>
      <c r="AO122" s="142"/>
      <c r="AP122" s="77">
        <f t="shared" si="49"/>
        <v>0</v>
      </c>
      <c r="AQ122" s="78"/>
      <c r="AR122" s="142"/>
      <c r="AS122" s="142"/>
      <c r="AT122" s="79">
        <f t="shared" si="50"/>
        <v>0</v>
      </c>
      <c r="AU122" s="75"/>
      <c r="AV122" s="76"/>
      <c r="AW122" s="135"/>
      <c r="AX122" s="135"/>
      <c r="AY122" s="77">
        <f t="shared" si="51"/>
        <v>0</v>
      </c>
      <c r="AZ122" s="76"/>
      <c r="BA122" s="142"/>
      <c r="BB122" s="85"/>
      <c r="BC122" s="77">
        <f t="shared" si="52"/>
        <v>0</v>
      </c>
      <c r="BD122" s="78"/>
      <c r="BE122" s="142"/>
      <c r="BF122" s="142"/>
      <c r="BG122" s="79">
        <f t="shared" si="53"/>
        <v>0</v>
      </c>
      <c r="BH122" s="75"/>
      <c r="BI122" s="76"/>
      <c r="BJ122" s="135"/>
      <c r="BK122" s="135"/>
      <c r="BL122" s="77">
        <f t="shared" si="54"/>
        <v>0</v>
      </c>
      <c r="BM122" s="78"/>
      <c r="BN122" s="142"/>
      <c r="BO122" s="142"/>
      <c r="BP122" s="77">
        <f t="shared" si="55"/>
        <v>0</v>
      </c>
      <c r="BQ122" s="78"/>
      <c r="BR122" s="142"/>
      <c r="BS122" s="142"/>
      <c r="BT122" s="79">
        <f t="shared" si="56"/>
        <v>0</v>
      </c>
      <c r="BU122" s="75"/>
      <c r="BV122" s="76"/>
      <c r="BW122" s="135"/>
      <c r="BX122" s="135"/>
      <c r="BY122" s="77">
        <f t="shared" si="57"/>
        <v>0</v>
      </c>
      <c r="BZ122" s="78"/>
      <c r="CA122" s="142"/>
      <c r="CB122" s="142"/>
      <c r="CC122" s="77">
        <f t="shared" si="58"/>
        <v>0</v>
      </c>
      <c r="CD122" s="78"/>
      <c r="CE122" s="142"/>
      <c r="CF122" s="142"/>
      <c r="CG122" s="79">
        <f t="shared" si="59"/>
        <v>0</v>
      </c>
      <c r="CH122" s="75"/>
      <c r="CI122" s="76"/>
      <c r="CJ122" s="135"/>
      <c r="CK122" s="135"/>
      <c r="CL122" s="77">
        <f t="shared" si="60"/>
        <v>0</v>
      </c>
      <c r="CM122" s="78"/>
      <c r="CN122" s="142"/>
      <c r="CO122" s="142"/>
      <c r="CP122" s="77">
        <f t="shared" si="61"/>
        <v>0</v>
      </c>
      <c r="CQ122" s="78"/>
      <c r="CR122" s="142"/>
      <c r="CS122" s="142"/>
      <c r="CT122" s="79">
        <f t="shared" si="62"/>
        <v>0</v>
      </c>
      <c r="CU122" s="80">
        <f t="shared" si="72"/>
        <v>0</v>
      </c>
      <c r="CV122" s="81">
        <f t="shared" si="73"/>
        <v>0</v>
      </c>
      <c r="CW122" s="144"/>
      <c r="CX122" s="145">
        <f>IF(ISERROR(VLOOKUP($A122,FIJOS!$B$11:$O$590,14,FALSE)),0,VLOOKUP($A122,FIJOS!$B$11:$O$590,14,FALSE))</f>
        <v>0</v>
      </c>
      <c r="CY122" s="145">
        <f>IF(ISERROR(VLOOKUP(A122,FIJOS!$B$10:$P$590,15,FALSE)),0,VLOOKUP(A122,FIJOS!$B$10:$P$590,15,FALSE))</f>
        <v>0</v>
      </c>
      <c r="CZ122" s="156"/>
      <c r="DA122" s="146"/>
      <c r="DB122" s="147"/>
      <c r="DC122" s="147"/>
      <c r="DD122" s="147"/>
      <c r="DE122" s="147"/>
      <c r="DF122" s="145">
        <f>IF(ISERROR(VLOOKUP($A122,FIJOS!$B$11:$N$590,13,FALSE)),0,VLOOKUP($A122,FIJOS!$B$11:$N$590,13,FALSE))</f>
        <v>0</v>
      </c>
      <c r="DG122" s="145">
        <f>IF(ISERROR(VLOOKUP($A122,FIJOS!$B$11:$P$447,12,FALSE)),0,VLOOKUP($A122,FIJOS!$B$11:$P$447,12,FALSE))</f>
        <v>0</v>
      </c>
      <c r="DH122" s="82">
        <f t="shared" si="63"/>
        <v>0</v>
      </c>
      <c r="DI122" s="83" t="b">
        <f>IF($C122=1,(VLOOKUP($A122,FIJOS!$B$11:$P$545,10,FALSE)/7)*(7-$CU122),IF(AND($C122=2,CV122&lt;$DJ$1),(VLOOKUP($D122,HORAS!$B$4:$C$42,2,FALSE)*24)*$CV122,IF(AND($C122=2,CV122&gt;=$DJ$1),VLOOKUP($D122,HORAS!$B$4:$D$42,3,FALSE),IF(AND($C122=3,$CV122&gt;=$DJ$1),VLOOKUP($A122,FIJOS!$B$11:$P$545,10,FALSE),IF(AND($C122=3,$CV122&lt;$DJ$1),((VLOOKUP($A122,FIJOS!$B$11:$P$545,10,FALSE)/48)*24)*$CV122,IF(AND($C122=4,$CV122&gt;=(42/24)),VLOOKUP($D122,HORAS!$B$4:$D$42,3,FALSE),IF(AND($C122=5,$CV122&gt;=(36/24)),VLOOKUP($D122,HORAS!$B$4:$D$42,3,FALSE))))))))</f>
        <v>0</v>
      </c>
      <c r="DJ122" s="145">
        <f>IF(OR($C122=2),VLOOKUP($D122,HORAS!$B$4:$E$42,4,FALSE)*$EC122,IF(ISERROR(VLOOKUP($A122,FIJOS!$B$11:$P$108,9,FALSE)),0,VLOOKUP($A122,FIJOS!$B$11:$P$231,9,FALSE)*$EC122))</f>
        <v>0</v>
      </c>
      <c r="DK122" s="145">
        <f>IF(OR($C122=2),VLOOKUP($D122,HORAS!$B$4:$F$42,5,FALSE)*$EE122,IF(ISERROR(VLOOKUP($A122,FIJOS!$B$11:$P$108,9,FALSE)),0,VLOOKUP($A122,FIJOS!$B$11:$P$231,9,FALSE)*$EE122))</f>
        <v>0</v>
      </c>
      <c r="DL122" s="144"/>
      <c r="DM122" s="145">
        <f>IF(ISERROR(VLOOKUP($A122,FIJOS!$B$11:$L$646,11,FALSE)),0,VLOOKUP($A122,FIJOS!$B$11:$L$646,11,FALSE))</f>
        <v>0</v>
      </c>
      <c r="DN122" s="148" t="e">
        <f>IF(OR($C122=1,$C122=3),0,IF((VLOOKUP(CAPTURA!D122,HORAS!$B$4:$K$42,10,FALSE)/4)*COUNTIF($H122:$CT122,3)&gt;100,100,(VLOOKUP(CAPTURA!D122,HORAS!$B$4:$K$42,10,FALSE)/4)*COUNTIF($H122:$CT122,3)))</f>
        <v>#N/A</v>
      </c>
      <c r="DO122" s="144" t="e">
        <f>IF(OR($C122=1,$C122=3),0,IF($C122=5,VLOOKUP(D122,HORAS!$B$4:$G$42,6,FALSE),IF(AND($C122=4,$CV122&gt;=(42/24)),VLOOKUP(D122,HORAS!$B$4:$G$42,6,FALSE),IF(COUNTIF($H122:$CL122,"F")&gt;0,0,IF(CV122&gt;$DJ$1,$DJ$1*(VLOOKUP(D122,HORAS!$B$4:$G$42,6,FALSE)/$DJ$1),CV122*(VLOOKUP(D122,HORAS!$B$4:$G$42,6,FALSE)/$DJ$1))))))</f>
        <v>#N/A</v>
      </c>
      <c r="DP122" s="156"/>
      <c r="DQ122" s="89"/>
      <c r="DR122" s="89"/>
      <c r="DS122" s="83" t="e">
        <f t="shared" si="66"/>
        <v>#N/A</v>
      </c>
      <c r="DT122" s="84"/>
      <c r="DU122" s="149" t="e">
        <f t="shared" si="67"/>
        <v>#N/A</v>
      </c>
      <c r="DV122" s="149" t="e">
        <f t="shared" si="68"/>
        <v>#N/A</v>
      </c>
      <c r="DW122" s="144" t="e">
        <f t="shared" si="69"/>
        <v>#N/A</v>
      </c>
      <c r="DX122" s="158"/>
      <c r="DY122" s="29"/>
      <c r="DZ122" s="150"/>
      <c r="EA122" s="134"/>
      <c r="EB122" s="137">
        <f t="shared" si="70"/>
        <v>0</v>
      </c>
      <c r="EC122" s="138">
        <f t="shared" si="64"/>
        <v>0</v>
      </c>
      <c r="ED122" s="137">
        <f t="shared" si="71"/>
        <v>0</v>
      </c>
      <c r="EE122" s="132">
        <f t="shared" si="65"/>
        <v>0</v>
      </c>
      <c r="EF122" s="29"/>
      <c r="EG122" s="134"/>
      <c r="EH122" s="134"/>
      <c r="EI122" s="134"/>
      <c r="EK122" s="29"/>
    </row>
    <row r="123" spans="1:141" ht="15" customHeight="1" x14ac:dyDescent="0.25">
      <c r="A123" s="140"/>
      <c r="B123" s="151"/>
      <c r="C123" s="72"/>
      <c r="D123" s="73"/>
      <c r="E123" s="73"/>
      <c r="F123" s="141"/>
      <c r="G123" s="74"/>
      <c r="H123" s="75"/>
      <c r="I123" s="76"/>
      <c r="J123" s="135"/>
      <c r="K123" s="135"/>
      <c r="L123" s="77">
        <f t="shared" si="42"/>
        <v>0</v>
      </c>
      <c r="M123" s="78"/>
      <c r="N123" s="142"/>
      <c r="O123" s="142"/>
      <c r="P123" s="77">
        <f t="shared" si="43"/>
        <v>0</v>
      </c>
      <c r="Q123" s="78"/>
      <c r="R123" s="143"/>
      <c r="S123" s="143"/>
      <c r="T123" s="77">
        <f t="shared" si="44"/>
        <v>0</v>
      </c>
      <c r="U123" s="75"/>
      <c r="V123" s="76"/>
      <c r="W123" s="135"/>
      <c r="X123" s="135"/>
      <c r="Y123" s="77">
        <f t="shared" si="45"/>
        <v>0</v>
      </c>
      <c r="Z123" s="78"/>
      <c r="AA123" s="142"/>
      <c r="AB123" s="142"/>
      <c r="AC123" s="77">
        <f t="shared" si="46"/>
        <v>0</v>
      </c>
      <c r="AD123" s="78"/>
      <c r="AE123" s="143"/>
      <c r="AF123" s="143"/>
      <c r="AG123" s="79">
        <f t="shared" si="47"/>
        <v>0</v>
      </c>
      <c r="AH123" s="75"/>
      <c r="AI123" s="76"/>
      <c r="AJ123" s="135"/>
      <c r="AK123" s="157"/>
      <c r="AL123" s="77">
        <f t="shared" si="48"/>
        <v>0</v>
      </c>
      <c r="AM123" s="76"/>
      <c r="AN123" s="142"/>
      <c r="AO123" s="142"/>
      <c r="AP123" s="77">
        <f t="shared" si="49"/>
        <v>0</v>
      </c>
      <c r="AQ123" s="78"/>
      <c r="AR123" s="142"/>
      <c r="AS123" s="142"/>
      <c r="AT123" s="79">
        <f t="shared" si="50"/>
        <v>0</v>
      </c>
      <c r="AU123" s="75"/>
      <c r="AV123" s="76"/>
      <c r="AW123" s="135"/>
      <c r="AX123" s="135"/>
      <c r="AY123" s="77">
        <f t="shared" si="51"/>
        <v>0</v>
      </c>
      <c r="AZ123" s="76"/>
      <c r="BA123" s="142"/>
      <c r="BB123" s="142"/>
      <c r="BC123" s="77">
        <f t="shared" si="52"/>
        <v>0</v>
      </c>
      <c r="BD123" s="78"/>
      <c r="BE123" s="142"/>
      <c r="BF123" s="142"/>
      <c r="BG123" s="79">
        <f t="shared" si="53"/>
        <v>0</v>
      </c>
      <c r="BH123" s="75"/>
      <c r="BI123" s="76"/>
      <c r="BJ123" s="135"/>
      <c r="BK123" s="135"/>
      <c r="BL123" s="77">
        <f t="shared" si="54"/>
        <v>0</v>
      </c>
      <c r="BM123" s="78"/>
      <c r="BN123" s="142"/>
      <c r="BO123" s="142"/>
      <c r="BP123" s="77">
        <f t="shared" si="55"/>
        <v>0</v>
      </c>
      <c r="BQ123" s="78"/>
      <c r="BR123" s="142"/>
      <c r="BS123" s="142"/>
      <c r="BT123" s="79">
        <f t="shared" si="56"/>
        <v>0</v>
      </c>
      <c r="BU123" s="75"/>
      <c r="BV123" s="76"/>
      <c r="BW123" s="135"/>
      <c r="BX123" s="135"/>
      <c r="BY123" s="77">
        <f t="shared" si="57"/>
        <v>0</v>
      </c>
      <c r="BZ123" s="78"/>
      <c r="CA123" s="142"/>
      <c r="CB123" s="142"/>
      <c r="CC123" s="77">
        <f t="shared" si="58"/>
        <v>0</v>
      </c>
      <c r="CD123" s="78"/>
      <c r="CE123" s="142"/>
      <c r="CF123" s="142"/>
      <c r="CG123" s="79">
        <f t="shared" si="59"/>
        <v>0</v>
      </c>
      <c r="CH123" s="75"/>
      <c r="CI123" s="76"/>
      <c r="CJ123" s="135"/>
      <c r="CK123" s="135"/>
      <c r="CL123" s="77">
        <f t="shared" si="60"/>
        <v>0</v>
      </c>
      <c r="CM123" s="78"/>
      <c r="CN123" s="142"/>
      <c r="CO123" s="142"/>
      <c r="CP123" s="77">
        <f t="shared" si="61"/>
        <v>0</v>
      </c>
      <c r="CQ123" s="78"/>
      <c r="CR123" s="142"/>
      <c r="CS123" s="142"/>
      <c r="CT123" s="79">
        <f t="shared" si="62"/>
        <v>0</v>
      </c>
      <c r="CU123" s="80">
        <f t="shared" si="72"/>
        <v>0</v>
      </c>
      <c r="CV123" s="81">
        <f t="shared" si="73"/>
        <v>0</v>
      </c>
      <c r="CW123" s="144"/>
      <c r="CX123" s="145">
        <f>IF(ISERROR(VLOOKUP($A123,FIJOS!$B$11:$O$590,14,FALSE)),0,VLOOKUP($A123,FIJOS!$B$11:$O$590,14,FALSE))</f>
        <v>0</v>
      </c>
      <c r="CY123" s="145">
        <f>IF(ISERROR(VLOOKUP(A123,FIJOS!$B$10:$P$590,15,FALSE)),0,VLOOKUP(A123,FIJOS!$B$10:$P$590,15,FALSE))</f>
        <v>0</v>
      </c>
      <c r="CZ123" s="156"/>
      <c r="DA123" s="146"/>
      <c r="DB123" s="147"/>
      <c r="DC123" s="147"/>
      <c r="DD123" s="147"/>
      <c r="DE123" s="147"/>
      <c r="DF123" s="145">
        <f>IF(ISERROR(VLOOKUP($A123,FIJOS!$B$11:$N$590,13,FALSE)),0,VLOOKUP($A123,FIJOS!$B$11:$N$590,13,FALSE))</f>
        <v>0</v>
      </c>
      <c r="DG123" s="145">
        <f>IF(ISERROR(VLOOKUP($A123,FIJOS!$B$11:$P$447,12,FALSE)),0,VLOOKUP($A123,FIJOS!$B$11:$P$447,12,FALSE))</f>
        <v>0</v>
      </c>
      <c r="DH123" s="82">
        <f t="shared" si="63"/>
        <v>0</v>
      </c>
      <c r="DI123" s="83" t="b">
        <f>IF($C123=1,(VLOOKUP($A123,FIJOS!$B$11:$P$545,10,FALSE)/7)*(7-$CU123),IF(AND($C123=2,CV123&lt;$DJ$1),(VLOOKUP($D123,HORAS!$B$4:$C$42,2,FALSE)*24)*$CV123,IF(AND($C123=2,CV123&gt;=$DJ$1),VLOOKUP($D123,HORAS!$B$4:$D$42,3,FALSE),IF(AND($C123=3,$CV123&gt;=$DJ$1),VLOOKUP($A123,FIJOS!$B$11:$P$545,10,FALSE),IF(AND($C123=3,$CV123&lt;$DJ$1),((VLOOKUP($A123,FIJOS!$B$11:$P$545,10,FALSE)/48)*24)*$CV123,IF(AND($C123=4,$CV123&gt;=(42/24)),VLOOKUP($D123,HORAS!$B$4:$D$42,3,FALSE),IF(AND($C123=5,$CV123&gt;=(36/24)),VLOOKUP($D123,HORAS!$B$4:$D$42,3,FALSE))))))))</f>
        <v>0</v>
      </c>
      <c r="DJ123" s="145">
        <f>IF(OR($C123=2),VLOOKUP($D123,HORAS!$B$4:$E$42,4,FALSE)*$EC123,IF(ISERROR(VLOOKUP($A123,FIJOS!$B$11:$P$108,9,FALSE)),0,VLOOKUP($A123,FIJOS!$B$11:$P$231,9,FALSE)*$EC123))</f>
        <v>0</v>
      </c>
      <c r="DK123" s="145">
        <f>IF(OR($C123=2),VLOOKUP($D123,HORAS!$B$4:$F$42,5,FALSE)*$EE123,IF(ISERROR(VLOOKUP($A123,FIJOS!$B$11:$P$108,9,FALSE)),0,VLOOKUP($A123,FIJOS!$B$11:$P$231,9,FALSE)*$EE123))</f>
        <v>0</v>
      </c>
      <c r="DL123" s="144"/>
      <c r="DM123" s="145">
        <f>IF(ISERROR(VLOOKUP($A123,FIJOS!$B$11:$L$646,11,FALSE)),0,VLOOKUP($A123,FIJOS!$B$11:$L$646,11,FALSE))</f>
        <v>0</v>
      </c>
      <c r="DN123" s="148" t="e">
        <f>IF(OR($C123=1,$C123=3),0,IF((VLOOKUP(CAPTURA!D123,HORAS!$B$4:$K$42,10,FALSE)/4)*COUNTIF($H123:$CT123,3)&gt;100,100,(VLOOKUP(CAPTURA!D123,HORAS!$B$4:$K$42,10,FALSE)/4)*COUNTIF($H123:$CT123,3)))</f>
        <v>#N/A</v>
      </c>
      <c r="DO123" s="144" t="e">
        <f>IF(OR($C123=1,$C123=3),0,IF($C123=5,VLOOKUP(D123,HORAS!$B$4:$G$42,6,FALSE),IF(AND($C123=4,$CV123&gt;=(42/24)),VLOOKUP(D123,HORAS!$B$4:$G$42,6,FALSE),IF(COUNTIF($H123:$CL123,"F")&gt;0,0,IF(CV123&gt;$DJ$1,$DJ$1*(VLOOKUP(D123,HORAS!$B$4:$G$42,6,FALSE)/$DJ$1),CV123*(VLOOKUP(D123,HORAS!$B$4:$G$42,6,FALSE)/$DJ$1))))))</f>
        <v>#N/A</v>
      </c>
      <c r="DP123" s="156"/>
      <c r="DQ123" s="89"/>
      <c r="DR123" s="148"/>
      <c r="DS123" s="83" t="e">
        <f t="shared" si="66"/>
        <v>#N/A</v>
      </c>
      <c r="DT123" s="84"/>
      <c r="DU123" s="149" t="e">
        <f t="shared" si="67"/>
        <v>#N/A</v>
      </c>
      <c r="DV123" s="149" t="e">
        <f t="shared" si="68"/>
        <v>#N/A</v>
      </c>
      <c r="DW123" s="144" t="e">
        <f t="shared" si="69"/>
        <v>#N/A</v>
      </c>
      <c r="DX123"/>
      <c r="DY123" s="29"/>
      <c r="DZ123" s="150"/>
      <c r="EA123" s="137"/>
      <c r="EB123" s="137">
        <f t="shared" si="70"/>
        <v>0</v>
      </c>
      <c r="EC123" s="138">
        <f t="shared" si="64"/>
        <v>0</v>
      </c>
      <c r="ED123" s="137">
        <f t="shared" si="71"/>
        <v>0</v>
      </c>
      <c r="EE123" s="132">
        <f t="shared" si="65"/>
        <v>0</v>
      </c>
      <c r="EF123" s="29"/>
      <c r="EG123" s="134"/>
      <c r="EH123" s="134"/>
      <c r="EI123" s="134"/>
      <c r="EK123" s="29"/>
    </row>
    <row r="124" spans="1:141" ht="15" customHeight="1" x14ac:dyDescent="0.25">
      <c r="A124" s="140"/>
      <c r="B124" s="151"/>
      <c r="C124" s="72"/>
      <c r="D124" s="73"/>
      <c r="E124" s="73"/>
      <c r="F124" s="141"/>
      <c r="G124" s="74"/>
      <c r="H124" s="75"/>
      <c r="I124" s="76"/>
      <c r="J124" s="135"/>
      <c r="K124" s="135"/>
      <c r="L124" s="77">
        <f t="shared" si="42"/>
        <v>0</v>
      </c>
      <c r="M124" s="78"/>
      <c r="N124" s="142"/>
      <c r="O124" s="142"/>
      <c r="P124" s="77">
        <f t="shared" si="43"/>
        <v>0</v>
      </c>
      <c r="Q124" s="78"/>
      <c r="R124" s="143"/>
      <c r="S124" s="143"/>
      <c r="T124" s="77">
        <f t="shared" si="44"/>
        <v>0</v>
      </c>
      <c r="U124" s="75"/>
      <c r="V124" s="76"/>
      <c r="W124" s="135"/>
      <c r="X124" s="135"/>
      <c r="Y124" s="77">
        <f t="shared" si="45"/>
        <v>0</v>
      </c>
      <c r="Z124" s="78"/>
      <c r="AA124" s="142"/>
      <c r="AB124" s="142"/>
      <c r="AC124" s="77">
        <f t="shared" si="46"/>
        <v>0</v>
      </c>
      <c r="AD124" s="78"/>
      <c r="AE124" s="143"/>
      <c r="AF124" s="143"/>
      <c r="AG124" s="79">
        <f t="shared" si="47"/>
        <v>0</v>
      </c>
      <c r="AH124" s="75"/>
      <c r="AI124" s="76"/>
      <c r="AJ124" s="135"/>
      <c r="AK124" s="135"/>
      <c r="AL124" s="77">
        <f t="shared" si="48"/>
        <v>0</v>
      </c>
      <c r="AM124" s="76"/>
      <c r="AN124" s="142"/>
      <c r="AO124" s="142"/>
      <c r="AP124" s="77">
        <f t="shared" si="49"/>
        <v>0</v>
      </c>
      <c r="AQ124" s="78"/>
      <c r="AR124" s="142"/>
      <c r="AS124" s="142"/>
      <c r="AT124" s="79">
        <f t="shared" si="50"/>
        <v>0</v>
      </c>
      <c r="AU124" s="75"/>
      <c r="AV124" s="76"/>
      <c r="AW124" s="135"/>
      <c r="AX124" s="135"/>
      <c r="AY124" s="77">
        <f t="shared" si="51"/>
        <v>0</v>
      </c>
      <c r="AZ124" s="76"/>
      <c r="BA124" s="142"/>
      <c r="BB124" s="142"/>
      <c r="BC124" s="77">
        <f t="shared" si="52"/>
        <v>0</v>
      </c>
      <c r="BD124" s="78"/>
      <c r="BE124" s="142"/>
      <c r="BF124" s="142"/>
      <c r="BG124" s="79">
        <f t="shared" si="53"/>
        <v>0</v>
      </c>
      <c r="BH124" s="75"/>
      <c r="BI124" s="76"/>
      <c r="BJ124" s="135"/>
      <c r="BK124" s="135"/>
      <c r="BL124" s="77">
        <f t="shared" si="54"/>
        <v>0</v>
      </c>
      <c r="BM124" s="78"/>
      <c r="BN124" s="142"/>
      <c r="BO124" s="142"/>
      <c r="BP124" s="77">
        <f t="shared" si="55"/>
        <v>0</v>
      </c>
      <c r="BQ124" s="78"/>
      <c r="BR124" s="142"/>
      <c r="BS124" s="142"/>
      <c r="BT124" s="79">
        <f t="shared" si="56"/>
        <v>0</v>
      </c>
      <c r="BU124" s="75"/>
      <c r="BV124" s="76"/>
      <c r="BW124" s="135"/>
      <c r="BX124" s="135"/>
      <c r="BY124" s="77">
        <f t="shared" si="57"/>
        <v>0</v>
      </c>
      <c r="BZ124" s="78"/>
      <c r="CA124" s="142"/>
      <c r="CB124" s="142"/>
      <c r="CC124" s="77">
        <f t="shared" si="58"/>
        <v>0</v>
      </c>
      <c r="CD124" s="78"/>
      <c r="CE124" s="142"/>
      <c r="CF124" s="142"/>
      <c r="CG124" s="79">
        <f t="shared" si="59"/>
        <v>0</v>
      </c>
      <c r="CH124" s="75"/>
      <c r="CI124" s="76"/>
      <c r="CJ124" s="135"/>
      <c r="CK124" s="135"/>
      <c r="CL124" s="77">
        <f t="shared" si="60"/>
        <v>0</v>
      </c>
      <c r="CM124" s="78"/>
      <c r="CN124" s="142"/>
      <c r="CO124" s="142"/>
      <c r="CP124" s="77">
        <f t="shared" si="61"/>
        <v>0</v>
      </c>
      <c r="CQ124" s="78"/>
      <c r="CR124" s="142"/>
      <c r="CS124" s="142"/>
      <c r="CT124" s="79">
        <f t="shared" si="62"/>
        <v>0</v>
      </c>
      <c r="CU124" s="80">
        <f t="shared" si="72"/>
        <v>0</v>
      </c>
      <c r="CV124" s="81">
        <f t="shared" si="73"/>
        <v>0</v>
      </c>
      <c r="CW124" s="144"/>
      <c r="CX124" s="145">
        <f>IF(ISERROR(VLOOKUP($A124,FIJOS!$B$11:$O$590,14,FALSE)),0,VLOOKUP($A124,FIJOS!$B$11:$O$590,14,FALSE))</f>
        <v>0</v>
      </c>
      <c r="CY124" s="145">
        <f>IF(ISERROR(VLOOKUP(A124,FIJOS!$B$10:$P$590,15,FALSE)),0,VLOOKUP(A124,FIJOS!$B$10:$P$590,15,FALSE))</f>
        <v>0</v>
      </c>
      <c r="CZ124" s="156"/>
      <c r="DA124" s="146"/>
      <c r="DB124" s="147"/>
      <c r="DC124" s="147"/>
      <c r="DD124" s="147"/>
      <c r="DE124" s="147"/>
      <c r="DF124" s="145">
        <f>IF(ISERROR(VLOOKUP($A124,FIJOS!$B$11:$N$590,13,FALSE)),0,VLOOKUP($A124,FIJOS!$B$11:$N$590,13,FALSE))</f>
        <v>0</v>
      </c>
      <c r="DG124" s="145">
        <f>IF(ISERROR(VLOOKUP($A124,FIJOS!$B$11:$P$447,12,FALSE)),0,VLOOKUP($A124,FIJOS!$B$11:$P$447,12,FALSE))</f>
        <v>0</v>
      </c>
      <c r="DH124" s="82">
        <f t="shared" si="63"/>
        <v>0</v>
      </c>
      <c r="DI124" s="83" t="b">
        <f>IF($C124=1,(VLOOKUP($A124,FIJOS!$B$11:$P$545,10,FALSE)/7)*(7-$CU124),IF(AND($C124=2,CV124&lt;$DJ$1),(VLOOKUP($D124,HORAS!$B$4:$C$42,2,FALSE)*24)*$CV124,IF(AND($C124=2,CV124&gt;=$DJ$1),VLOOKUP($D124,HORAS!$B$4:$D$42,3,FALSE),IF(AND($C124=3,$CV124&gt;=$DJ$1),VLOOKUP($A124,FIJOS!$B$11:$P$545,10,FALSE),IF(AND($C124=3,$CV124&lt;$DJ$1),((VLOOKUP($A124,FIJOS!$B$11:$P$545,10,FALSE)/48)*24)*$CV124,IF(AND($C124=4,$CV124&gt;=(42/24)),VLOOKUP($D124,HORAS!$B$4:$D$42,3,FALSE),IF(AND($C124=5,$CV124&gt;=(36/24)),VLOOKUP($D124,HORAS!$B$4:$D$42,3,FALSE))))))))</f>
        <v>0</v>
      </c>
      <c r="DJ124" s="145">
        <f>IF(OR($C124=2),VLOOKUP($D124,HORAS!$B$4:$E$42,4,FALSE)*$EC124,IF(ISERROR(VLOOKUP($A124,FIJOS!$B$11:$P$108,9,FALSE)),0,VLOOKUP($A124,FIJOS!$B$11:$P$231,9,FALSE)*$EC124))</f>
        <v>0</v>
      </c>
      <c r="DK124" s="145">
        <f>IF(OR($C124=2),VLOOKUP($D124,HORAS!$B$4:$F$42,5,FALSE)*$EE124,IF(ISERROR(VLOOKUP($A124,FIJOS!$B$11:$P$108,9,FALSE)),0,VLOOKUP($A124,FIJOS!$B$11:$P$231,9,FALSE)*$EE124))</f>
        <v>0</v>
      </c>
      <c r="DL124" s="144"/>
      <c r="DM124" s="145">
        <f>IF(ISERROR(VLOOKUP($A124,FIJOS!$B$11:$L$646,11,FALSE)),0,VLOOKUP($A124,FIJOS!$B$11:$L$646,11,FALSE))</f>
        <v>0</v>
      </c>
      <c r="DN124" s="148" t="e">
        <f>IF(OR($C124=1,$C124=3),0,IF((VLOOKUP(CAPTURA!D124,HORAS!$B$4:$K$42,10,FALSE)/4)*COUNTIF($H124:$CT124,3)&gt;100,100,(VLOOKUP(CAPTURA!D124,HORAS!$B$4:$K$42,10,FALSE)/4)*COUNTIF($H124:$CT124,3)))</f>
        <v>#N/A</v>
      </c>
      <c r="DO124" s="144" t="e">
        <f>IF(OR($C124=1,$C124=3),0,IF($C124=5,VLOOKUP(D124,HORAS!$B$4:$G$42,6,FALSE),IF(AND($C124=4,$CV124&gt;=(42/24)),VLOOKUP(D124,HORAS!$B$4:$G$42,6,FALSE),IF(COUNTIF($H124:$CL124,"F")&gt;0,0,IF(CV124&gt;$DJ$1,$DJ$1*(VLOOKUP(D124,HORAS!$B$4:$G$42,6,FALSE)/$DJ$1),CV124*(VLOOKUP(D124,HORAS!$B$4:$G$42,6,FALSE)/$DJ$1))))))</f>
        <v>#N/A</v>
      </c>
      <c r="DP124" s="156"/>
      <c r="DQ124" s="89"/>
      <c r="DR124" s="148"/>
      <c r="DS124" s="83" t="e">
        <f t="shared" si="66"/>
        <v>#N/A</v>
      </c>
      <c r="DT124" s="84"/>
      <c r="DU124" s="149" t="e">
        <f t="shared" si="67"/>
        <v>#N/A</v>
      </c>
      <c r="DV124" s="149" t="e">
        <f t="shared" si="68"/>
        <v>#N/A</v>
      </c>
      <c r="DW124" s="144" t="e">
        <f t="shared" si="69"/>
        <v>#N/A</v>
      </c>
      <c r="DX124"/>
      <c r="DY124" s="29"/>
      <c r="DZ124" s="150"/>
      <c r="EA124" s="134"/>
      <c r="EB124" s="137">
        <f t="shared" si="70"/>
        <v>0</v>
      </c>
      <c r="EC124" s="138">
        <f t="shared" si="64"/>
        <v>0</v>
      </c>
      <c r="ED124" s="137">
        <f t="shared" si="71"/>
        <v>0</v>
      </c>
      <c r="EE124" s="132">
        <f t="shared" si="65"/>
        <v>0</v>
      </c>
      <c r="EF124" s="29"/>
      <c r="EG124" s="134"/>
      <c r="EH124" s="134"/>
      <c r="EI124" s="134"/>
      <c r="EK124" s="29"/>
    </row>
    <row r="125" spans="1:141" ht="15" customHeight="1" x14ac:dyDescent="0.25">
      <c r="A125" s="140"/>
      <c r="B125" s="151"/>
      <c r="C125" s="72"/>
      <c r="D125" s="73"/>
      <c r="E125" s="73"/>
      <c r="F125" s="141"/>
      <c r="G125" s="74"/>
      <c r="H125" s="75"/>
      <c r="I125" s="76"/>
      <c r="J125" s="135"/>
      <c r="K125" s="135"/>
      <c r="L125" s="77">
        <f t="shared" si="42"/>
        <v>0</v>
      </c>
      <c r="M125" s="78"/>
      <c r="N125" s="142"/>
      <c r="O125" s="142"/>
      <c r="P125" s="77">
        <f t="shared" si="43"/>
        <v>0</v>
      </c>
      <c r="Q125" s="78"/>
      <c r="R125" s="143"/>
      <c r="S125" s="143"/>
      <c r="T125" s="77">
        <f t="shared" si="44"/>
        <v>0</v>
      </c>
      <c r="U125" s="75"/>
      <c r="V125" s="76"/>
      <c r="W125" s="135"/>
      <c r="X125" s="135"/>
      <c r="Y125" s="77">
        <f t="shared" si="45"/>
        <v>0</v>
      </c>
      <c r="Z125" s="78"/>
      <c r="AA125" s="142"/>
      <c r="AB125" s="142"/>
      <c r="AC125" s="77">
        <f t="shared" si="46"/>
        <v>0</v>
      </c>
      <c r="AD125" s="78"/>
      <c r="AE125" s="143"/>
      <c r="AF125" s="143"/>
      <c r="AG125" s="79">
        <f t="shared" si="47"/>
        <v>0</v>
      </c>
      <c r="AH125" s="75"/>
      <c r="AI125" s="76"/>
      <c r="AJ125" s="135"/>
      <c r="AK125" s="135"/>
      <c r="AL125" s="77">
        <f t="shared" si="48"/>
        <v>0</v>
      </c>
      <c r="AM125" s="76"/>
      <c r="AN125" s="142"/>
      <c r="AO125" s="142"/>
      <c r="AP125" s="77">
        <f t="shared" si="49"/>
        <v>0</v>
      </c>
      <c r="AQ125" s="78"/>
      <c r="AR125" s="142"/>
      <c r="AS125" s="142"/>
      <c r="AT125" s="79">
        <f t="shared" si="50"/>
        <v>0</v>
      </c>
      <c r="AU125" s="75"/>
      <c r="AV125" s="76"/>
      <c r="AW125" s="135"/>
      <c r="AX125" s="135"/>
      <c r="AY125" s="77">
        <f t="shared" si="51"/>
        <v>0</v>
      </c>
      <c r="AZ125" s="76"/>
      <c r="BA125" s="142"/>
      <c r="BB125" s="142"/>
      <c r="BC125" s="77">
        <f t="shared" si="52"/>
        <v>0</v>
      </c>
      <c r="BD125" s="78"/>
      <c r="BE125" s="142"/>
      <c r="BF125" s="142"/>
      <c r="BG125" s="79">
        <f t="shared" si="53"/>
        <v>0</v>
      </c>
      <c r="BH125" s="75"/>
      <c r="BI125" s="76"/>
      <c r="BJ125" s="135"/>
      <c r="BK125" s="135"/>
      <c r="BL125" s="77">
        <f t="shared" si="54"/>
        <v>0</v>
      </c>
      <c r="BM125" s="78"/>
      <c r="BN125" s="142"/>
      <c r="BO125" s="142"/>
      <c r="BP125" s="77">
        <f t="shared" si="55"/>
        <v>0</v>
      </c>
      <c r="BQ125" s="78"/>
      <c r="BR125" s="142"/>
      <c r="BS125" s="142"/>
      <c r="BT125" s="79">
        <f t="shared" si="56"/>
        <v>0</v>
      </c>
      <c r="BU125" s="75"/>
      <c r="BV125" s="76"/>
      <c r="BW125" s="135"/>
      <c r="BX125" s="135"/>
      <c r="BY125" s="77">
        <f t="shared" si="57"/>
        <v>0</v>
      </c>
      <c r="BZ125" s="78"/>
      <c r="CA125" s="142"/>
      <c r="CB125" s="142"/>
      <c r="CC125" s="77">
        <f t="shared" si="58"/>
        <v>0</v>
      </c>
      <c r="CD125" s="78"/>
      <c r="CE125" s="142"/>
      <c r="CF125" s="142"/>
      <c r="CG125" s="79">
        <f t="shared" si="59"/>
        <v>0</v>
      </c>
      <c r="CH125" s="75"/>
      <c r="CI125" s="76"/>
      <c r="CJ125" s="135"/>
      <c r="CK125" s="135"/>
      <c r="CL125" s="77">
        <f t="shared" si="60"/>
        <v>0</v>
      </c>
      <c r="CM125" s="78"/>
      <c r="CN125" s="142"/>
      <c r="CO125" s="142"/>
      <c r="CP125" s="77">
        <f t="shared" si="61"/>
        <v>0</v>
      </c>
      <c r="CQ125" s="78"/>
      <c r="CR125" s="142"/>
      <c r="CS125" s="142"/>
      <c r="CT125" s="79">
        <f t="shared" si="62"/>
        <v>0</v>
      </c>
      <c r="CU125" s="80">
        <f t="shared" si="72"/>
        <v>0</v>
      </c>
      <c r="CV125" s="81">
        <f t="shared" si="73"/>
        <v>0</v>
      </c>
      <c r="CW125" s="144"/>
      <c r="CX125" s="145">
        <f>IF(ISERROR(VLOOKUP($A125,FIJOS!$B$11:$O$590,14,FALSE)),0,VLOOKUP($A125,FIJOS!$B$11:$O$590,14,FALSE))</f>
        <v>0</v>
      </c>
      <c r="CY125" s="145">
        <f>IF(ISERROR(VLOOKUP(A125,FIJOS!$B$10:$P$590,15,FALSE)),0,VLOOKUP(A125,FIJOS!$B$10:$P$590,15,FALSE))</f>
        <v>0</v>
      </c>
      <c r="CZ125" s="156"/>
      <c r="DA125" s="146"/>
      <c r="DB125" s="147"/>
      <c r="DC125" s="147"/>
      <c r="DD125" s="147"/>
      <c r="DE125" s="147"/>
      <c r="DF125" s="145">
        <f>IF(ISERROR(VLOOKUP($A125,FIJOS!$B$11:$N$590,13,FALSE)),0,VLOOKUP($A125,FIJOS!$B$11:$N$590,13,FALSE))</f>
        <v>0</v>
      </c>
      <c r="DG125" s="145">
        <f>IF(ISERROR(VLOOKUP($A125,FIJOS!$B$11:$P$447,12,FALSE)),0,VLOOKUP($A125,FIJOS!$B$11:$P$447,12,FALSE))</f>
        <v>0</v>
      </c>
      <c r="DH125" s="82">
        <f t="shared" si="63"/>
        <v>0</v>
      </c>
      <c r="DI125" s="83" t="b">
        <f>IF($C125=1,(VLOOKUP($A125,FIJOS!$B$11:$P$545,10,FALSE)/7)*(7-$CU125),IF(AND($C125=2,CV125&lt;$DJ$1),(VLOOKUP($D125,HORAS!$B$4:$C$42,2,FALSE)*24)*$CV125,IF(AND($C125=2,CV125&gt;=$DJ$1),VLOOKUP($D125,HORAS!$B$4:$D$42,3,FALSE),IF(AND($C125=3,$CV125&gt;=$DJ$1),VLOOKUP($A125,FIJOS!$B$11:$P$545,10,FALSE),IF(AND($C125=3,$CV125&lt;$DJ$1),((VLOOKUP($A125,FIJOS!$B$11:$P$545,10,FALSE)/48)*24)*$CV125,IF(AND($C125=4,$CV125&gt;=(42/24)),VLOOKUP($D125,HORAS!$B$4:$D$42,3,FALSE),IF(AND($C125=5,$CV125&gt;=(36/24)),VLOOKUP($D125,HORAS!$B$4:$D$42,3,FALSE))))))))</f>
        <v>0</v>
      </c>
      <c r="DJ125" s="145">
        <f>IF(OR($C125=2),VLOOKUP($D125,HORAS!$B$4:$E$42,4,FALSE)*$EC125,IF(ISERROR(VLOOKUP($A125,FIJOS!$B$11:$P$108,9,FALSE)),0,VLOOKUP($A125,FIJOS!$B$11:$P$231,9,FALSE)*$EC125))</f>
        <v>0</v>
      </c>
      <c r="DK125" s="145">
        <f>IF(OR($C125=2),VLOOKUP($D125,HORAS!$B$4:$F$42,5,FALSE)*$EE125,IF(ISERROR(VLOOKUP($A125,FIJOS!$B$11:$P$108,9,FALSE)),0,VLOOKUP($A125,FIJOS!$B$11:$P$231,9,FALSE)*$EE125))</f>
        <v>0</v>
      </c>
      <c r="DL125" s="144"/>
      <c r="DM125" s="145">
        <f>IF(ISERROR(VLOOKUP($A125,FIJOS!$B$11:$L$646,11,FALSE)),0,VLOOKUP($A125,FIJOS!$B$11:$L$646,11,FALSE))</f>
        <v>0</v>
      </c>
      <c r="DN125" s="148" t="e">
        <f>IF(OR($C125=1,$C125=3),0,IF((VLOOKUP(CAPTURA!D125,HORAS!$B$4:$K$42,10,FALSE)/4)*COUNTIF($H125:$CT125,3)&gt;100,100,(VLOOKUP(CAPTURA!D125,HORAS!$B$4:$K$42,10,FALSE)/4)*COUNTIF($H125:$CT125,3)))</f>
        <v>#N/A</v>
      </c>
      <c r="DO125" s="144" t="e">
        <f>IF(OR($C125=1,$C125=3),0,IF($C125=5,VLOOKUP(D125,HORAS!$B$4:$G$42,6,FALSE),IF(AND($C125=4,$CV125&gt;=(42/24)),VLOOKUP(D125,HORAS!$B$4:$G$42,6,FALSE),IF(COUNTIF($H125:$CL125,"F")&gt;0,0,IF(CV125&gt;$DJ$1,$DJ$1*(VLOOKUP(D125,HORAS!$B$4:$G$42,6,FALSE)/$DJ$1),CV125*(VLOOKUP(D125,HORAS!$B$4:$G$42,6,FALSE)/$DJ$1))))))</f>
        <v>#N/A</v>
      </c>
      <c r="DP125" s="156"/>
      <c r="DQ125" s="148"/>
      <c r="DR125" s="148"/>
      <c r="DS125" s="83" t="e">
        <f t="shared" si="66"/>
        <v>#N/A</v>
      </c>
      <c r="DT125" s="84"/>
      <c r="DU125" s="149" t="e">
        <f t="shared" si="67"/>
        <v>#N/A</v>
      </c>
      <c r="DV125" s="149" t="e">
        <f t="shared" si="68"/>
        <v>#N/A</v>
      </c>
      <c r="DW125" s="144" t="e">
        <f t="shared" si="69"/>
        <v>#N/A</v>
      </c>
      <c r="DX125" s="134"/>
      <c r="DY125" s="29"/>
      <c r="DZ125" s="150"/>
      <c r="EA125" s="134"/>
      <c r="EB125" s="137">
        <f t="shared" si="70"/>
        <v>0</v>
      </c>
      <c r="EC125" s="138">
        <f t="shared" si="64"/>
        <v>0</v>
      </c>
      <c r="ED125" s="137">
        <f t="shared" si="71"/>
        <v>0</v>
      </c>
      <c r="EE125" s="132">
        <f t="shared" si="65"/>
        <v>0</v>
      </c>
      <c r="EF125" s="29"/>
      <c r="EG125" s="134"/>
      <c r="EH125" s="134"/>
      <c r="EI125" s="134"/>
      <c r="EK125" s="29"/>
    </row>
    <row r="126" spans="1:141" ht="15" customHeight="1" x14ac:dyDescent="0.25">
      <c r="A126" s="140"/>
      <c r="B126" s="5"/>
      <c r="C126" s="72"/>
      <c r="D126" s="73"/>
      <c r="E126" s="73"/>
      <c r="F126" s="141"/>
      <c r="G126" s="74"/>
      <c r="H126" s="75"/>
      <c r="I126" s="76"/>
      <c r="J126" s="135"/>
      <c r="K126" s="135"/>
      <c r="L126" s="77">
        <f t="shared" si="42"/>
        <v>0</v>
      </c>
      <c r="M126" s="78"/>
      <c r="N126" s="142"/>
      <c r="O126" s="142"/>
      <c r="P126" s="77">
        <f t="shared" si="43"/>
        <v>0</v>
      </c>
      <c r="Q126" s="78"/>
      <c r="R126" s="143"/>
      <c r="S126" s="143"/>
      <c r="T126" s="77">
        <f t="shared" si="44"/>
        <v>0</v>
      </c>
      <c r="U126" s="75"/>
      <c r="V126" s="76"/>
      <c r="W126" s="135"/>
      <c r="X126" s="135"/>
      <c r="Y126" s="77">
        <f t="shared" si="45"/>
        <v>0</v>
      </c>
      <c r="Z126" s="78"/>
      <c r="AA126" s="142"/>
      <c r="AB126" s="142"/>
      <c r="AC126" s="77">
        <f t="shared" si="46"/>
        <v>0</v>
      </c>
      <c r="AD126" s="78"/>
      <c r="AE126" s="143"/>
      <c r="AF126" s="143"/>
      <c r="AG126" s="79">
        <f t="shared" si="47"/>
        <v>0</v>
      </c>
      <c r="AH126" s="75"/>
      <c r="AI126" s="76"/>
      <c r="AJ126" s="135"/>
      <c r="AK126" s="135"/>
      <c r="AL126" s="77">
        <f t="shared" si="48"/>
        <v>0</v>
      </c>
      <c r="AM126" s="76"/>
      <c r="AN126" s="142"/>
      <c r="AO126" s="142"/>
      <c r="AP126" s="77">
        <f t="shared" si="49"/>
        <v>0</v>
      </c>
      <c r="AQ126" s="78"/>
      <c r="AR126" s="142"/>
      <c r="AS126" s="142"/>
      <c r="AT126" s="79">
        <f t="shared" si="50"/>
        <v>0</v>
      </c>
      <c r="AU126" s="75"/>
      <c r="AV126" s="76"/>
      <c r="AW126" s="135"/>
      <c r="AX126" s="135"/>
      <c r="AY126" s="77">
        <f t="shared" si="51"/>
        <v>0</v>
      </c>
      <c r="AZ126" s="76"/>
      <c r="BA126" s="142"/>
      <c r="BB126" s="142"/>
      <c r="BC126" s="77">
        <f t="shared" si="52"/>
        <v>0</v>
      </c>
      <c r="BD126" s="78"/>
      <c r="BE126" s="142"/>
      <c r="BF126" s="142"/>
      <c r="BG126" s="79">
        <f t="shared" si="53"/>
        <v>0</v>
      </c>
      <c r="BH126" s="75"/>
      <c r="BI126" s="76"/>
      <c r="BJ126" s="135"/>
      <c r="BK126" s="135"/>
      <c r="BL126" s="77">
        <f t="shared" si="54"/>
        <v>0</v>
      </c>
      <c r="BM126" s="78"/>
      <c r="BN126" s="142"/>
      <c r="BO126" s="142"/>
      <c r="BP126" s="77">
        <f t="shared" si="55"/>
        <v>0</v>
      </c>
      <c r="BQ126" s="78"/>
      <c r="BR126" s="142"/>
      <c r="BS126" s="142"/>
      <c r="BT126" s="79">
        <f t="shared" si="56"/>
        <v>0</v>
      </c>
      <c r="BU126" s="75"/>
      <c r="BV126" s="76"/>
      <c r="BW126" s="135"/>
      <c r="BX126" s="135"/>
      <c r="BY126" s="77">
        <f t="shared" si="57"/>
        <v>0</v>
      </c>
      <c r="BZ126" s="78"/>
      <c r="CA126" s="142"/>
      <c r="CB126" s="142"/>
      <c r="CC126" s="77">
        <f t="shared" si="58"/>
        <v>0</v>
      </c>
      <c r="CD126" s="78"/>
      <c r="CE126" s="142"/>
      <c r="CF126" s="142"/>
      <c r="CG126" s="79">
        <f t="shared" si="59"/>
        <v>0</v>
      </c>
      <c r="CH126" s="75"/>
      <c r="CI126" s="76"/>
      <c r="CJ126" s="135"/>
      <c r="CK126" s="135"/>
      <c r="CL126" s="77">
        <f t="shared" si="60"/>
        <v>0</v>
      </c>
      <c r="CM126" s="78"/>
      <c r="CN126" s="142"/>
      <c r="CO126" s="142"/>
      <c r="CP126" s="77">
        <f t="shared" si="61"/>
        <v>0</v>
      </c>
      <c r="CQ126" s="78"/>
      <c r="CR126" s="142"/>
      <c r="CS126" s="142"/>
      <c r="CT126" s="79">
        <f t="shared" si="62"/>
        <v>0</v>
      </c>
      <c r="CU126" s="80">
        <f t="shared" si="72"/>
        <v>0</v>
      </c>
      <c r="CV126" s="81">
        <f t="shared" si="73"/>
        <v>0</v>
      </c>
      <c r="CW126" s="144"/>
      <c r="CX126" s="145">
        <f>IF(ISERROR(VLOOKUP($A126,FIJOS!$B$11:$O$590,14,FALSE)),0,VLOOKUP($A126,FIJOS!$B$11:$O$590,14,FALSE))</f>
        <v>0</v>
      </c>
      <c r="CY126" s="145">
        <f>IF(ISERROR(VLOOKUP(A126,FIJOS!$B$10:$P$590,15,FALSE)),0,VLOOKUP(A126,FIJOS!$B$10:$P$590,15,FALSE))</f>
        <v>0</v>
      </c>
      <c r="CZ126" s="156"/>
      <c r="DA126" s="146"/>
      <c r="DB126" s="147"/>
      <c r="DC126" s="147"/>
      <c r="DD126" s="147"/>
      <c r="DE126" s="147"/>
      <c r="DF126" s="145">
        <f>IF(ISERROR(VLOOKUP($A126,FIJOS!$B$11:$N$590,13,FALSE)),0,VLOOKUP($A126,FIJOS!$B$11:$N$590,13,FALSE))</f>
        <v>0</v>
      </c>
      <c r="DG126" s="145">
        <f>IF(ISERROR(VLOOKUP($A126,FIJOS!$B$11:$P$447,12,FALSE)),0,VLOOKUP($A126,FIJOS!$B$11:$P$447,12,FALSE))</f>
        <v>0</v>
      </c>
      <c r="DH126" s="82">
        <f t="shared" si="63"/>
        <v>0</v>
      </c>
      <c r="DI126" s="83" t="b">
        <f>IF($C126=1,(VLOOKUP($A126,FIJOS!$B$11:$P$545,10,FALSE)/7)*(7-$CU126),IF(AND($C126=2,CV126&lt;$DJ$1),(VLOOKUP($D126,HORAS!$B$4:$C$42,2,FALSE)*24)*$CV126,IF(AND($C126=2,CV126&gt;=$DJ$1),VLOOKUP($D126,HORAS!$B$4:$D$42,3,FALSE),IF(AND($C126=3,$CV126&gt;=$DJ$1),VLOOKUP($A126,FIJOS!$B$11:$P$545,10,FALSE),IF(AND($C126=3,$CV126&lt;$DJ$1),((VLOOKUP($A126,FIJOS!$B$11:$P$545,10,FALSE)/48)*24)*$CV126,IF(AND($C126=4,$CV126&gt;=(42/24)),VLOOKUP($D126,HORAS!$B$4:$D$42,3,FALSE),IF(AND($C126=5,$CV126&gt;=(36/24)),VLOOKUP($D126,HORAS!$B$4:$D$42,3,FALSE))))))))</f>
        <v>0</v>
      </c>
      <c r="DJ126" s="145">
        <f>IF(OR($C126=2),VLOOKUP($D126,HORAS!$B$4:$E$42,4,FALSE)*$EC126,IF(ISERROR(VLOOKUP($A126,FIJOS!$B$11:$P$108,9,FALSE)),0,VLOOKUP($A126,FIJOS!$B$11:$P$231,9,FALSE)*$EC126))</f>
        <v>0</v>
      </c>
      <c r="DK126" s="145">
        <f>IF(OR($C126=2),VLOOKUP($D126,HORAS!$B$4:$F$42,5,FALSE)*$EE126,IF(ISERROR(VLOOKUP($A126,FIJOS!$B$11:$P$108,9,FALSE)),0,VLOOKUP($A126,FIJOS!$B$11:$P$231,9,FALSE)*$EE126))</f>
        <v>0</v>
      </c>
      <c r="DL126" s="144"/>
      <c r="DM126" s="145">
        <f>IF(ISERROR(VLOOKUP($A126,FIJOS!$B$11:$L$646,11,FALSE)),0,VLOOKUP($A126,FIJOS!$B$11:$L$646,11,FALSE))</f>
        <v>0</v>
      </c>
      <c r="DN126" s="148" t="e">
        <f>IF(OR($C126=1,$C126=3),0,IF((VLOOKUP(CAPTURA!D126,HORAS!$B$4:$K$42,10,FALSE)/4)*COUNTIF($H126:$CT126,3)&gt;100,100,(VLOOKUP(CAPTURA!D126,HORAS!$B$4:$K$42,10,FALSE)/4)*COUNTIF($H126:$CT126,3)))</f>
        <v>#N/A</v>
      </c>
      <c r="DO126" s="144" t="e">
        <f>IF(OR($C126=1,$C126=3),0,IF($C126=5,VLOOKUP(D126,HORAS!$B$4:$G$42,6,FALSE),IF(AND($C126=4,$CV126&gt;=(42/24)),VLOOKUP(D126,HORAS!$B$4:$G$42,6,FALSE),IF(COUNTIF($H126:$CL126,"F")&gt;0,0,IF(CV126&gt;$DJ$1,$DJ$1*(VLOOKUP(D126,HORAS!$B$4:$G$42,6,FALSE)/$DJ$1),CV126*(VLOOKUP(D126,HORAS!$B$4:$G$42,6,FALSE)/$DJ$1))))))</f>
        <v>#N/A</v>
      </c>
      <c r="DP126" s="156"/>
      <c r="DQ126" s="89"/>
      <c r="DR126" s="148"/>
      <c r="DS126" s="83" t="e">
        <f t="shared" si="66"/>
        <v>#N/A</v>
      </c>
      <c r="DT126" s="84"/>
      <c r="DU126" s="149" t="e">
        <f t="shared" si="67"/>
        <v>#N/A</v>
      </c>
      <c r="DV126" s="149" t="e">
        <f t="shared" si="68"/>
        <v>#N/A</v>
      </c>
      <c r="DW126" s="144" t="e">
        <f t="shared" si="69"/>
        <v>#N/A</v>
      </c>
      <c r="DX126" s="134"/>
      <c r="DY126" s="29"/>
      <c r="DZ126" s="150"/>
      <c r="EA126" s="134"/>
      <c r="EB126" s="137">
        <f t="shared" si="70"/>
        <v>0</v>
      </c>
      <c r="EC126" s="138">
        <f t="shared" si="64"/>
        <v>0</v>
      </c>
      <c r="ED126" s="137">
        <f t="shared" si="71"/>
        <v>0</v>
      </c>
      <c r="EE126" s="132">
        <f t="shared" si="65"/>
        <v>0</v>
      </c>
      <c r="EF126" s="29"/>
      <c r="EG126" s="134"/>
      <c r="EH126" s="134"/>
      <c r="EI126" s="134"/>
      <c r="EK126" s="29"/>
    </row>
    <row r="127" spans="1:141" ht="15" customHeight="1" x14ac:dyDescent="0.25">
      <c r="A127" s="140"/>
      <c r="B127" s="151"/>
      <c r="C127" s="72"/>
      <c r="D127" s="73"/>
      <c r="E127" s="73"/>
      <c r="F127" s="141"/>
      <c r="G127" s="74"/>
      <c r="H127" s="75"/>
      <c r="I127" s="76"/>
      <c r="J127" s="135"/>
      <c r="K127" s="135"/>
      <c r="L127" s="77">
        <f t="shared" si="42"/>
        <v>0</v>
      </c>
      <c r="M127" s="78"/>
      <c r="N127" s="142"/>
      <c r="O127" s="142"/>
      <c r="P127" s="77">
        <f t="shared" si="43"/>
        <v>0</v>
      </c>
      <c r="Q127" s="78"/>
      <c r="R127" s="143"/>
      <c r="S127" s="143"/>
      <c r="T127" s="77">
        <f t="shared" si="44"/>
        <v>0</v>
      </c>
      <c r="U127" s="75"/>
      <c r="V127" s="76"/>
      <c r="W127" s="135"/>
      <c r="X127" s="135"/>
      <c r="Y127" s="77">
        <f t="shared" si="45"/>
        <v>0</v>
      </c>
      <c r="Z127" s="78"/>
      <c r="AA127" s="142"/>
      <c r="AB127" s="142"/>
      <c r="AC127" s="77">
        <f t="shared" si="46"/>
        <v>0</v>
      </c>
      <c r="AD127" s="78"/>
      <c r="AE127" s="143"/>
      <c r="AF127" s="143"/>
      <c r="AG127" s="79">
        <f t="shared" si="47"/>
        <v>0</v>
      </c>
      <c r="AH127" s="75"/>
      <c r="AI127" s="76"/>
      <c r="AJ127" s="135"/>
      <c r="AK127" s="135"/>
      <c r="AL127" s="77">
        <f t="shared" si="48"/>
        <v>0</v>
      </c>
      <c r="AM127" s="76"/>
      <c r="AN127" s="142"/>
      <c r="AO127" s="142"/>
      <c r="AP127" s="77">
        <f t="shared" si="49"/>
        <v>0</v>
      </c>
      <c r="AQ127" s="78"/>
      <c r="AR127" s="142"/>
      <c r="AS127" s="142"/>
      <c r="AT127" s="79">
        <f t="shared" si="50"/>
        <v>0</v>
      </c>
      <c r="AU127" s="75"/>
      <c r="AV127" s="76"/>
      <c r="AW127" s="135"/>
      <c r="AX127" s="135"/>
      <c r="AY127" s="77">
        <f t="shared" si="51"/>
        <v>0</v>
      </c>
      <c r="AZ127" s="76"/>
      <c r="BA127" s="142"/>
      <c r="BB127" s="142"/>
      <c r="BC127" s="77">
        <f t="shared" si="52"/>
        <v>0</v>
      </c>
      <c r="BD127" s="78"/>
      <c r="BE127" s="142"/>
      <c r="BF127" s="142"/>
      <c r="BG127" s="79">
        <f t="shared" si="53"/>
        <v>0</v>
      </c>
      <c r="BH127" s="75"/>
      <c r="BI127" s="76"/>
      <c r="BJ127" s="157"/>
      <c r="BK127" s="135"/>
      <c r="BL127" s="77">
        <f t="shared" si="54"/>
        <v>0</v>
      </c>
      <c r="BM127" s="78"/>
      <c r="BN127" s="142"/>
      <c r="BO127" s="142"/>
      <c r="BP127" s="77">
        <f t="shared" si="55"/>
        <v>0</v>
      </c>
      <c r="BQ127" s="78"/>
      <c r="BR127" s="142"/>
      <c r="BS127" s="142"/>
      <c r="BT127" s="79">
        <f t="shared" si="56"/>
        <v>0</v>
      </c>
      <c r="BU127" s="75"/>
      <c r="BV127" s="76"/>
      <c r="BW127" s="157"/>
      <c r="BX127" s="135"/>
      <c r="BY127" s="77">
        <f t="shared" si="57"/>
        <v>0</v>
      </c>
      <c r="BZ127" s="78"/>
      <c r="CA127" s="142"/>
      <c r="CB127" s="142"/>
      <c r="CC127" s="77">
        <f t="shared" si="58"/>
        <v>0</v>
      </c>
      <c r="CD127" s="78"/>
      <c r="CE127" s="142"/>
      <c r="CF127" s="142"/>
      <c r="CG127" s="79">
        <f t="shared" si="59"/>
        <v>0</v>
      </c>
      <c r="CH127" s="75"/>
      <c r="CI127" s="76"/>
      <c r="CJ127" s="135"/>
      <c r="CK127" s="135"/>
      <c r="CL127" s="77">
        <f t="shared" si="60"/>
        <v>0</v>
      </c>
      <c r="CM127" s="78"/>
      <c r="CN127" s="142"/>
      <c r="CO127" s="142"/>
      <c r="CP127" s="77">
        <f t="shared" si="61"/>
        <v>0</v>
      </c>
      <c r="CQ127" s="78"/>
      <c r="CR127" s="142"/>
      <c r="CS127" s="142"/>
      <c r="CT127" s="79">
        <f t="shared" si="62"/>
        <v>0</v>
      </c>
      <c r="CU127" s="80">
        <f t="shared" si="72"/>
        <v>0</v>
      </c>
      <c r="CV127" s="81">
        <f t="shared" si="73"/>
        <v>0</v>
      </c>
      <c r="CW127" s="144"/>
      <c r="CX127" s="145">
        <f>IF(ISERROR(VLOOKUP($A127,FIJOS!$B$11:$O$590,14,FALSE)),0,VLOOKUP($A127,FIJOS!$B$11:$O$590,14,FALSE))</f>
        <v>0</v>
      </c>
      <c r="CY127" s="145">
        <f>IF(ISERROR(VLOOKUP(A127,FIJOS!$B$10:$P$590,15,FALSE)),0,VLOOKUP(A127,FIJOS!$B$10:$P$590,15,FALSE))</f>
        <v>0</v>
      </c>
      <c r="CZ127" s="156"/>
      <c r="DA127" s="146"/>
      <c r="DB127" s="147"/>
      <c r="DC127" s="147"/>
      <c r="DD127" s="147"/>
      <c r="DE127" s="147"/>
      <c r="DF127" s="145">
        <f>IF(ISERROR(VLOOKUP($A127,FIJOS!$B$11:$N$590,13,FALSE)),0,VLOOKUP($A127,FIJOS!$B$11:$N$590,13,FALSE))</f>
        <v>0</v>
      </c>
      <c r="DG127" s="145">
        <f>IF(ISERROR(VLOOKUP($A127,FIJOS!$B$11:$P$447,12,FALSE)),0,VLOOKUP($A127,FIJOS!$B$11:$P$447,12,FALSE))</f>
        <v>0</v>
      </c>
      <c r="DH127" s="82">
        <f t="shared" si="63"/>
        <v>0</v>
      </c>
      <c r="DI127" s="83" t="b">
        <f>IF($C127=1,(VLOOKUP($A127,FIJOS!$B$11:$P$545,10,FALSE)/7)*(7-$CU127),IF(AND($C127=2,CV127&lt;$DJ$1),(VLOOKUP($D127,HORAS!$B$4:$C$42,2,FALSE)*24)*$CV127,IF(AND($C127=2,CV127&gt;=$DJ$1),VLOOKUP($D127,HORAS!$B$4:$D$42,3,FALSE),IF(AND($C127=3,$CV127&gt;=$DJ$1),VLOOKUP($A127,FIJOS!$B$11:$P$545,10,FALSE),IF(AND($C127=3,$CV127&lt;$DJ$1),((VLOOKUP($A127,FIJOS!$B$11:$P$545,10,FALSE)/48)*24)*$CV127,IF(AND($C127=4,$CV127&gt;=(42/24)),VLOOKUP($D127,HORAS!$B$4:$D$42,3,FALSE),IF(AND($C127=5,$CV127&gt;=(36/24)),VLOOKUP($D127,HORAS!$B$4:$D$42,3,FALSE))))))))</f>
        <v>0</v>
      </c>
      <c r="DJ127" s="145">
        <f>IF(OR($C127=2),VLOOKUP($D127,HORAS!$B$4:$E$42,4,FALSE)*$EC127,IF(ISERROR(VLOOKUP($A127,FIJOS!$B$11:$P$108,9,FALSE)),0,VLOOKUP($A127,FIJOS!$B$11:$P$231,9,FALSE)*$EC127))</f>
        <v>0</v>
      </c>
      <c r="DK127" s="145">
        <f>IF(OR($C127=2),VLOOKUP($D127,HORAS!$B$4:$F$42,5,FALSE)*$EE127,IF(ISERROR(VLOOKUP($A127,FIJOS!$B$11:$P$108,9,FALSE)),0,VLOOKUP($A127,FIJOS!$B$11:$P$231,9,FALSE)*$EE127))</f>
        <v>0</v>
      </c>
      <c r="DL127" s="144"/>
      <c r="DM127" s="145">
        <f>IF(ISERROR(VLOOKUP($A127,FIJOS!$B$11:$L$646,11,FALSE)),0,VLOOKUP($A127,FIJOS!$B$11:$L$646,11,FALSE))</f>
        <v>0</v>
      </c>
      <c r="DN127" s="148" t="e">
        <f>IF(OR($C127=1,$C127=3),0,IF((VLOOKUP(CAPTURA!D127,HORAS!$B$4:$K$42,10,FALSE)/4)*COUNTIF($H127:$CT127,3)&gt;100,100,(VLOOKUP(CAPTURA!D127,HORAS!$B$4:$K$42,10,FALSE)/4)*COUNTIF($H127:$CT127,3)))</f>
        <v>#N/A</v>
      </c>
      <c r="DO127" s="144" t="e">
        <f>IF(OR($C127=1,$C127=3),0,IF($C127=5,VLOOKUP(D127,HORAS!$B$4:$G$42,6,FALSE),IF(AND($C127=4,$CV127&gt;=(42/24)),VLOOKUP(D127,HORAS!$B$4:$G$42,6,FALSE),IF(COUNTIF($H127:$CL127,"F")&gt;0,0,IF(CV127&gt;$DJ$1,$DJ$1*(VLOOKUP(D127,HORAS!$B$4:$G$42,6,FALSE)/$DJ$1),CV127*(VLOOKUP(D127,HORAS!$B$4:$G$42,6,FALSE)/$DJ$1))))))</f>
        <v>#N/A</v>
      </c>
      <c r="DP127" s="156"/>
      <c r="DQ127" s="89"/>
      <c r="DR127" s="148"/>
      <c r="DS127" s="83" t="e">
        <f t="shared" si="66"/>
        <v>#N/A</v>
      </c>
      <c r="DT127" s="84"/>
      <c r="DU127" s="149" t="e">
        <f t="shared" si="67"/>
        <v>#N/A</v>
      </c>
      <c r="DV127" s="149" t="e">
        <f t="shared" si="68"/>
        <v>#N/A</v>
      </c>
      <c r="DW127" s="144" t="e">
        <f t="shared" si="69"/>
        <v>#N/A</v>
      </c>
      <c r="DX127" s="134"/>
      <c r="DY127" s="29"/>
      <c r="DZ127" s="150"/>
      <c r="EA127" s="134"/>
      <c r="EB127" s="137">
        <f t="shared" si="70"/>
        <v>0</v>
      </c>
      <c r="EC127" s="138">
        <f t="shared" si="64"/>
        <v>0</v>
      </c>
      <c r="ED127" s="137">
        <f t="shared" si="71"/>
        <v>0</v>
      </c>
      <c r="EE127" s="132">
        <f t="shared" si="65"/>
        <v>0</v>
      </c>
      <c r="EF127" s="29"/>
      <c r="EG127" s="134"/>
      <c r="EH127" s="134"/>
      <c r="EI127" s="134"/>
      <c r="EK127" s="29"/>
    </row>
    <row r="128" spans="1:141" ht="15" customHeight="1" x14ac:dyDescent="0.25">
      <c r="A128" s="140"/>
      <c r="B128" s="151"/>
      <c r="C128" s="72"/>
      <c r="D128" s="73"/>
      <c r="E128" s="73"/>
      <c r="F128" s="141"/>
      <c r="G128" s="74"/>
      <c r="H128" s="75"/>
      <c r="I128" s="76"/>
      <c r="J128" s="86"/>
      <c r="K128" s="135"/>
      <c r="L128" s="77">
        <f t="shared" si="42"/>
        <v>0</v>
      </c>
      <c r="M128" s="76"/>
      <c r="N128" s="142"/>
      <c r="O128" s="142"/>
      <c r="P128" s="77">
        <f t="shared" si="43"/>
        <v>0</v>
      </c>
      <c r="Q128" s="76"/>
      <c r="R128" s="143"/>
      <c r="S128" s="143"/>
      <c r="T128" s="77">
        <f t="shared" si="44"/>
        <v>0</v>
      </c>
      <c r="U128" s="75"/>
      <c r="V128" s="76"/>
      <c r="W128" s="86"/>
      <c r="X128" s="135"/>
      <c r="Y128" s="77">
        <f t="shared" si="45"/>
        <v>0</v>
      </c>
      <c r="Z128" s="76"/>
      <c r="AA128" s="142"/>
      <c r="AB128" s="142"/>
      <c r="AC128" s="77">
        <f t="shared" si="46"/>
        <v>0</v>
      </c>
      <c r="AD128" s="76"/>
      <c r="AE128" s="143"/>
      <c r="AF128" s="143"/>
      <c r="AG128" s="79">
        <f t="shared" si="47"/>
        <v>0</v>
      </c>
      <c r="AH128" s="75"/>
      <c r="AI128" s="76"/>
      <c r="AJ128" s="86"/>
      <c r="AK128" s="135"/>
      <c r="AL128" s="77">
        <f t="shared" si="48"/>
        <v>0</v>
      </c>
      <c r="AM128" s="76"/>
      <c r="AN128" s="142"/>
      <c r="AO128" s="142"/>
      <c r="AP128" s="77">
        <f t="shared" si="49"/>
        <v>0</v>
      </c>
      <c r="AQ128" s="76"/>
      <c r="AR128" s="142"/>
      <c r="AS128" s="142"/>
      <c r="AT128" s="79">
        <f t="shared" si="50"/>
        <v>0</v>
      </c>
      <c r="AU128" s="75"/>
      <c r="AV128" s="76"/>
      <c r="AW128" s="86"/>
      <c r="AX128" s="135"/>
      <c r="AY128" s="77">
        <f t="shared" si="51"/>
        <v>0</v>
      </c>
      <c r="AZ128" s="76"/>
      <c r="BA128" s="142"/>
      <c r="BB128" s="142"/>
      <c r="BC128" s="77">
        <f t="shared" si="52"/>
        <v>0</v>
      </c>
      <c r="BD128" s="76"/>
      <c r="BE128" s="142"/>
      <c r="BF128" s="142"/>
      <c r="BG128" s="79">
        <f t="shared" si="53"/>
        <v>0</v>
      </c>
      <c r="BH128" s="75"/>
      <c r="BI128" s="76"/>
      <c r="BJ128" s="135"/>
      <c r="BK128" s="135"/>
      <c r="BL128" s="77">
        <f t="shared" si="54"/>
        <v>0</v>
      </c>
      <c r="BM128" s="76"/>
      <c r="BN128" s="142"/>
      <c r="BO128" s="142"/>
      <c r="BP128" s="77">
        <f t="shared" si="55"/>
        <v>0</v>
      </c>
      <c r="BQ128" s="76"/>
      <c r="BR128" s="142"/>
      <c r="BS128" s="142"/>
      <c r="BT128" s="79">
        <f t="shared" si="56"/>
        <v>0</v>
      </c>
      <c r="BU128" s="75"/>
      <c r="BV128" s="76"/>
      <c r="BW128" s="135"/>
      <c r="BX128" s="135"/>
      <c r="BY128" s="77">
        <f t="shared" si="57"/>
        <v>0</v>
      </c>
      <c r="BZ128" s="78"/>
      <c r="CA128" s="142"/>
      <c r="CB128" s="142"/>
      <c r="CC128" s="77">
        <f t="shared" si="58"/>
        <v>0</v>
      </c>
      <c r="CD128" s="78"/>
      <c r="CE128" s="142"/>
      <c r="CF128" s="142"/>
      <c r="CG128" s="79">
        <f t="shared" si="59"/>
        <v>0</v>
      </c>
      <c r="CH128" s="75"/>
      <c r="CI128" s="76"/>
      <c r="CJ128" s="135"/>
      <c r="CK128" s="135"/>
      <c r="CL128" s="77">
        <f t="shared" si="60"/>
        <v>0</v>
      </c>
      <c r="CM128" s="78"/>
      <c r="CN128" s="142"/>
      <c r="CO128" s="142"/>
      <c r="CP128" s="77">
        <f t="shared" si="61"/>
        <v>0</v>
      </c>
      <c r="CQ128" s="78"/>
      <c r="CR128" s="142"/>
      <c r="CS128" s="142"/>
      <c r="CT128" s="79">
        <f t="shared" si="62"/>
        <v>0</v>
      </c>
      <c r="CU128" s="80">
        <f t="shared" si="72"/>
        <v>0</v>
      </c>
      <c r="CV128" s="81">
        <f t="shared" si="73"/>
        <v>0</v>
      </c>
      <c r="CW128" s="144"/>
      <c r="CX128" s="145">
        <f>IF(ISERROR(VLOOKUP($A128,FIJOS!$B$11:$O$590,14,FALSE)),0,VLOOKUP($A128,FIJOS!$B$11:$O$590,14,FALSE))</f>
        <v>0</v>
      </c>
      <c r="CY128" s="145">
        <f>IF(ISERROR(VLOOKUP(A128,FIJOS!$B$10:$P$590,15,FALSE)),0,VLOOKUP(A128,FIJOS!$B$10:$P$590,15,FALSE))</f>
        <v>0</v>
      </c>
      <c r="CZ128" s="156"/>
      <c r="DA128" s="146"/>
      <c r="DB128" s="147"/>
      <c r="DC128" s="147"/>
      <c r="DD128" s="147"/>
      <c r="DE128" s="147"/>
      <c r="DF128" s="145">
        <f>IF(ISERROR(VLOOKUP($A128,FIJOS!$B$11:$N$590,13,FALSE)),0,VLOOKUP($A128,FIJOS!$B$11:$N$590,13,FALSE))</f>
        <v>0</v>
      </c>
      <c r="DG128" s="145">
        <f>IF(ISERROR(VLOOKUP($A128,FIJOS!$B$11:$P$447,12,FALSE)),0,VLOOKUP($A128,FIJOS!$B$11:$P$447,12,FALSE))</f>
        <v>0</v>
      </c>
      <c r="DH128" s="82">
        <f t="shared" si="63"/>
        <v>0</v>
      </c>
      <c r="DI128" s="83" t="b">
        <f>IF($C128=1,(VLOOKUP($A128,FIJOS!$B$11:$P$545,10,FALSE)/7)*(7-$CU128),IF(AND($C128=2,CV128&lt;$DJ$1),(VLOOKUP($D128,HORAS!$B$4:$C$42,2,FALSE)*24)*$CV128,IF(AND($C128=2,CV128&gt;=$DJ$1),VLOOKUP($D128,HORAS!$B$4:$D$42,3,FALSE),IF(AND($C128=3,$CV128&gt;=$DJ$1),VLOOKUP($A128,FIJOS!$B$11:$P$545,10,FALSE),IF(AND($C128=3,$CV128&lt;$DJ$1),((VLOOKUP($A128,FIJOS!$B$11:$P$545,10,FALSE)/48)*24)*$CV128,IF(AND($C128=4,$CV128&gt;=(42/24)),VLOOKUP($D128,HORAS!$B$4:$D$42,3,FALSE),IF(AND($C128=5,$CV128&gt;=(36/24)),VLOOKUP($D128,HORAS!$B$4:$D$42,3,FALSE))))))))</f>
        <v>0</v>
      </c>
      <c r="DJ128" s="145">
        <f>IF(OR($C128=2),VLOOKUP($D128,HORAS!$B$4:$E$42,4,FALSE)*$EC128,IF(ISERROR(VLOOKUP($A128,FIJOS!$B$11:$P$108,9,FALSE)),0,VLOOKUP($A128,FIJOS!$B$11:$P$231,9,FALSE)*$EC128))</f>
        <v>0</v>
      </c>
      <c r="DK128" s="145">
        <f>IF(OR($C128=2),VLOOKUP($D128,HORAS!$B$4:$F$42,5,FALSE)*$EE128,IF(ISERROR(VLOOKUP($A128,FIJOS!$B$11:$P$108,9,FALSE)),0,VLOOKUP($A128,FIJOS!$B$11:$P$231,9,FALSE)*$EE128))</f>
        <v>0</v>
      </c>
      <c r="DL128" s="144"/>
      <c r="DM128" s="145">
        <f>IF(ISERROR(VLOOKUP($A128,FIJOS!$B$11:$L$646,11,FALSE)),0,VLOOKUP($A128,FIJOS!$B$11:$L$646,11,FALSE))</f>
        <v>0</v>
      </c>
      <c r="DN128" s="148" t="e">
        <f>IF(OR($C128=1,$C128=3),0,IF((VLOOKUP(CAPTURA!D128,HORAS!$B$4:$K$42,10,FALSE)/4)*COUNTIF($H128:$CT128,3)&gt;100,100,(VLOOKUP(CAPTURA!D128,HORAS!$B$4:$K$42,10,FALSE)/4)*COUNTIF($H128:$CT128,3)))</f>
        <v>#N/A</v>
      </c>
      <c r="DO128" s="144" t="e">
        <f>IF(OR($C128=1,$C128=3),0,IF($C128=5,VLOOKUP(D128,HORAS!$B$4:$G$42,6,FALSE),IF(AND($C128=4,$CV128&gt;=(42/24)),VLOOKUP(D128,HORAS!$B$4:$G$42,6,FALSE),IF(COUNTIF($H128:$CL128,"F")&gt;0,0,IF(CV128&gt;$DJ$1,$DJ$1*(VLOOKUP(D128,HORAS!$B$4:$G$42,6,FALSE)/$DJ$1),CV128*(VLOOKUP(D128,HORAS!$B$4:$G$42,6,FALSE)/$DJ$1))))))</f>
        <v>#N/A</v>
      </c>
      <c r="DP128" s="156"/>
      <c r="DQ128" s="89"/>
      <c r="DR128" s="148"/>
      <c r="DS128" s="83" t="e">
        <f t="shared" si="66"/>
        <v>#N/A</v>
      </c>
      <c r="DT128" s="84"/>
      <c r="DU128" s="149" t="e">
        <f t="shared" si="67"/>
        <v>#N/A</v>
      </c>
      <c r="DV128" s="149" t="e">
        <f t="shared" si="68"/>
        <v>#N/A</v>
      </c>
      <c r="DW128" s="144" t="e">
        <f t="shared" si="69"/>
        <v>#N/A</v>
      </c>
      <c r="DX128"/>
      <c r="DY128" s="29"/>
      <c r="DZ128" s="150"/>
      <c r="EA128" s="134"/>
      <c r="EB128" s="137">
        <f t="shared" si="70"/>
        <v>0</v>
      </c>
      <c r="EC128" s="138">
        <f t="shared" si="64"/>
        <v>0</v>
      </c>
      <c r="ED128" s="137">
        <f t="shared" si="71"/>
        <v>0</v>
      </c>
      <c r="EE128" s="132">
        <f t="shared" si="65"/>
        <v>0</v>
      </c>
      <c r="EF128" s="29"/>
      <c r="EG128" s="134"/>
      <c r="EH128" s="134"/>
      <c r="EI128" s="134"/>
      <c r="EK128" s="29"/>
    </row>
    <row r="129" spans="1:141" ht="15" customHeight="1" x14ac:dyDescent="0.25">
      <c r="A129" s="140"/>
      <c r="B129" s="151"/>
      <c r="C129" s="72"/>
      <c r="D129" s="73"/>
      <c r="E129" s="73"/>
      <c r="F129" s="141"/>
      <c r="G129" s="74"/>
      <c r="H129" s="75"/>
      <c r="I129" s="76"/>
      <c r="J129" s="135"/>
      <c r="K129" s="135"/>
      <c r="L129" s="77">
        <f t="shared" si="42"/>
        <v>0</v>
      </c>
      <c r="M129" s="78"/>
      <c r="N129" s="142"/>
      <c r="O129" s="142"/>
      <c r="P129" s="77">
        <f t="shared" si="43"/>
        <v>0</v>
      </c>
      <c r="Q129" s="78"/>
      <c r="R129" s="143"/>
      <c r="S129" s="143"/>
      <c r="T129" s="77">
        <f t="shared" si="44"/>
        <v>0</v>
      </c>
      <c r="U129" s="75"/>
      <c r="V129" s="76"/>
      <c r="W129" s="135"/>
      <c r="X129" s="135"/>
      <c r="Y129" s="77">
        <f t="shared" si="45"/>
        <v>0</v>
      </c>
      <c r="Z129" s="78"/>
      <c r="AA129" s="142"/>
      <c r="AB129" s="142"/>
      <c r="AC129" s="77">
        <f t="shared" si="46"/>
        <v>0</v>
      </c>
      <c r="AD129" s="78"/>
      <c r="AE129" s="143"/>
      <c r="AF129" s="143"/>
      <c r="AG129" s="79">
        <f t="shared" si="47"/>
        <v>0</v>
      </c>
      <c r="AH129" s="75"/>
      <c r="AI129" s="76"/>
      <c r="AJ129" s="135"/>
      <c r="AK129" s="135"/>
      <c r="AL129" s="77">
        <f t="shared" si="48"/>
        <v>0</v>
      </c>
      <c r="AM129" s="76"/>
      <c r="AN129" s="142"/>
      <c r="AO129" s="142"/>
      <c r="AP129" s="77">
        <f t="shared" si="49"/>
        <v>0</v>
      </c>
      <c r="AQ129" s="78"/>
      <c r="AR129" s="142"/>
      <c r="AS129" s="142"/>
      <c r="AT129" s="79">
        <f t="shared" si="50"/>
        <v>0</v>
      </c>
      <c r="AU129" s="75"/>
      <c r="AV129" s="76"/>
      <c r="AW129" s="135"/>
      <c r="AX129" s="135"/>
      <c r="AY129" s="77">
        <f t="shared" si="51"/>
        <v>0</v>
      </c>
      <c r="AZ129" s="76"/>
      <c r="BA129" s="142"/>
      <c r="BB129" s="142"/>
      <c r="BC129" s="77">
        <f t="shared" si="52"/>
        <v>0</v>
      </c>
      <c r="BD129" s="78"/>
      <c r="BE129" s="142"/>
      <c r="BF129" s="142"/>
      <c r="BG129" s="79">
        <f t="shared" si="53"/>
        <v>0</v>
      </c>
      <c r="BH129" s="75"/>
      <c r="BI129" s="76"/>
      <c r="BJ129" s="135"/>
      <c r="BK129" s="135"/>
      <c r="BL129" s="77">
        <f t="shared" si="54"/>
        <v>0</v>
      </c>
      <c r="BM129" s="78"/>
      <c r="BN129" s="142"/>
      <c r="BO129" s="142"/>
      <c r="BP129" s="77">
        <f t="shared" si="55"/>
        <v>0</v>
      </c>
      <c r="BQ129" s="78"/>
      <c r="BR129" s="142"/>
      <c r="BS129" s="142"/>
      <c r="BT129" s="79">
        <f t="shared" si="56"/>
        <v>0</v>
      </c>
      <c r="BU129" s="75"/>
      <c r="BV129" s="76"/>
      <c r="BW129" s="135"/>
      <c r="BX129" s="135"/>
      <c r="BY129" s="77">
        <f t="shared" si="57"/>
        <v>0</v>
      </c>
      <c r="BZ129" s="78"/>
      <c r="CA129" s="142"/>
      <c r="CB129" s="142"/>
      <c r="CC129" s="77">
        <f t="shared" si="58"/>
        <v>0</v>
      </c>
      <c r="CD129" s="78"/>
      <c r="CE129" s="142"/>
      <c r="CF129" s="142"/>
      <c r="CG129" s="79">
        <f t="shared" si="59"/>
        <v>0</v>
      </c>
      <c r="CH129" s="75"/>
      <c r="CI129" s="76"/>
      <c r="CJ129" s="135"/>
      <c r="CK129" s="135"/>
      <c r="CL129" s="77">
        <f t="shared" si="60"/>
        <v>0</v>
      </c>
      <c r="CM129" s="78"/>
      <c r="CN129" s="142"/>
      <c r="CO129" s="142"/>
      <c r="CP129" s="77">
        <f t="shared" si="61"/>
        <v>0</v>
      </c>
      <c r="CQ129" s="78"/>
      <c r="CR129" s="142"/>
      <c r="CS129" s="142"/>
      <c r="CT129" s="79">
        <f t="shared" si="62"/>
        <v>0</v>
      </c>
      <c r="CU129" s="80">
        <f t="shared" si="72"/>
        <v>0</v>
      </c>
      <c r="CV129" s="81">
        <f t="shared" si="73"/>
        <v>0</v>
      </c>
      <c r="CW129" s="144"/>
      <c r="CX129" s="145">
        <f>IF(ISERROR(VLOOKUP($A129,FIJOS!$B$11:$O$590,14,FALSE)),0,VLOOKUP($A129,FIJOS!$B$11:$O$590,14,FALSE))</f>
        <v>0</v>
      </c>
      <c r="CY129" s="145">
        <f>IF(ISERROR(VLOOKUP(A129,FIJOS!$B$10:$P$590,15,FALSE)),0,VLOOKUP(A129,FIJOS!$B$10:$P$590,15,FALSE))</f>
        <v>0</v>
      </c>
      <c r="CZ129" s="156"/>
      <c r="DA129" s="146"/>
      <c r="DB129" s="147"/>
      <c r="DC129" s="147"/>
      <c r="DD129" s="147"/>
      <c r="DE129" s="147"/>
      <c r="DF129" s="145">
        <f>IF(ISERROR(VLOOKUP($A129,FIJOS!$B$11:$N$590,13,FALSE)),0,VLOOKUP($A129,FIJOS!$B$11:$N$590,13,FALSE))</f>
        <v>0</v>
      </c>
      <c r="DG129" s="145">
        <f>IF(ISERROR(VLOOKUP($A129,FIJOS!$B$11:$P$447,12,FALSE)),0,VLOOKUP($A129,FIJOS!$B$11:$P$447,12,FALSE))</f>
        <v>0</v>
      </c>
      <c r="DH129" s="82">
        <f t="shared" si="63"/>
        <v>0</v>
      </c>
      <c r="DI129" s="83" t="b">
        <f>IF($C129=1,(VLOOKUP($A129,FIJOS!$B$11:$P$545,10,FALSE)/7)*(7-$CU129),IF(AND($C129=2,CV129&lt;$DJ$1),(VLOOKUP($D129,HORAS!$B$4:$C$42,2,FALSE)*24)*$CV129,IF(AND($C129=2,CV129&gt;=$DJ$1),VLOOKUP($D129,HORAS!$B$4:$D$42,3,FALSE),IF(AND($C129=3,$CV129&gt;=$DJ$1),VLOOKUP($A129,FIJOS!$B$11:$P$545,10,FALSE),IF(AND($C129=3,$CV129&lt;$DJ$1),((VLOOKUP($A129,FIJOS!$B$11:$P$545,10,FALSE)/48)*24)*$CV129,IF(AND($C129=4,$CV129&gt;=(42/24)),VLOOKUP($D129,HORAS!$B$4:$D$42,3,FALSE),IF(AND($C129=5,$CV129&gt;=(36/24)),VLOOKUP($D129,HORAS!$B$4:$D$42,3,FALSE))))))))</f>
        <v>0</v>
      </c>
      <c r="DJ129" s="145">
        <f>IF(OR($C129=2),VLOOKUP($D129,HORAS!$B$4:$E$42,4,FALSE)*$EC129,IF(ISERROR(VLOOKUP($A129,FIJOS!$B$11:$P$108,9,FALSE)),0,VLOOKUP($A129,FIJOS!$B$11:$P$231,9,FALSE)*$EC129))</f>
        <v>0</v>
      </c>
      <c r="DK129" s="145">
        <f>IF(OR($C129=2),VLOOKUP($D129,HORAS!$B$4:$F$42,5,FALSE)*$EE129,IF(ISERROR(VLOOKUP($A129,FIJOS!$B$11:$P$108,9,FALSE)),0,VLOOKUP($A129,FIJOS!$B$11:$P$231,9,FALSE)*$EE129))</f>
        <v>0</v>
      </c>
      <c r="DL129" s="144"/>
      <c r="DM129" s="145">
        <f>IF(ISERROR(VLOOKUP($A129,FIJOS!$B$11:$L$646,11,FALSE)),0,VLOOKUP($A129,FIJOS!$B$11:$L$646,11,FALSE))</f>
        <v>0</v>
      </c>
      <c r="DN129" s="148" t="e">
        <f>IF(OR($C129=1,$C129=3),0,IF((VLOOKUP(CAPTURA!D129,HORAS!$B$4:$K$42,10,FALSE)/4)*COUNTIF($H129:$CT129,3)&gt;100,100,(VLOOKUP(CAPTURA!D129,HORAS!$B$4:$K$42,10,FALSE)/4)*COUNTIF($H129:$CT129,3)))</f>
        <v>#N/A</v>
      </c>
      <c r="DO129" s="144" t="e">
        <f>IF(OR($C129=1,$C129=3),0,IF($C129=5,VLOOKUP(D129,HORAS!$B$4:$G$42,6,FALSE),IF(AND($C129=4,$CV129&gt;=(42/24)),VLOOKUP(D129,HORAS!$B$4:$G$42,6,FALSE),IF(COUNTIF($H129:$CL129,"F")&gt;0,0,IF(CV129&gt;$DJ$1,$DJ$1*(VLOOKUP(D129,HORAS!$B$4:$G$42,6,FALSE)/$DJ$1),CV129*(VLOOKUP(D129,HORAS!$B$4:$G$42,6,FALSE)/$DJ$1))))))</f>
        <v>#N/A</v>
      </c>
      <c r="DP129" s="156"/>
      <c r="DQ129" s="89"/>
      <c r="DR129" s="148"/>
      <c r="DS129" s="83" t="e">
        <f t="shared" si="66"/>
        <v>#N/A</v>
      </c>
      <c r="DT129" s="84"/>
      <c r="DU129" s="149" t="e">
        <f t="shared" si="67"/>
        <v>#N/A</v>
      </c>
      <c r="DV129" s="149" t="e">
        <f t="shared" si="68"/>
        <v>#N/A</v>
      </c>
      <c r="DW129" s="144" t="e">
        <f t="shared" si="69"/>
        <v>#N/A</v>
      </c>
      <c r="DX129" s="134"/>
      <c r="DY129" s="29"/>
      <c r="DZ129" s="150"/>
      <c r="EA129" s="137"/>
      <c r="EB129" s="137">
        <f t="shared" si="70"/>
        <v>0</v>
      </c>
      <c r="EC129" s="138">
        <f t="shared" si="64"/>
        <v>0</v>
      </c>
      <c r="ED129" s="137">
        <f t="shared" si="71"/>
        <v>0</v>
      </c>
      <c r="EE129" s="132">
        <f t="shared" si="65"/>
        <v>0</v>
      </c>
      <c r="EF129" s="29"/>
      <c r="EG129" s="134"/>
      <c r="EH129" s="134"/>
      <c r="EI129" s="134"/>
      <c r="EK129" s="29"/>
    </row>
    <row r="130" spans="1:141" ht="15" customHeight="1" x14ac:dyDescent="0.25">
      <c r="A130" s="140"/>
      <c r="B130" s="151"/>
      <c r="C130" s="72"/>
      <c r="D130" s="73"/>
      <c r="E130" s="73"/>
      <c r="F130" s="141"/>
      <c r="G130" s="74"/>
      <c r="H130" s="75"/>
      <c r="I130" s="76"/>
      <c r="J130" s="135"/>
      <c r="K130" s="135"/>
      <c r="L130" s="77">
        <f t="shared" si="42"/>
        <v>0</v>
      </c>
      <c r="M130" s="78"/>
      <c r="N130" s="142"/>
      <c r="O130" s="142"/>
      <c r="P130" s="77">
        <f t="shared" si="43"/>
        <v>0</v>
      </c>
      <c r="Q130" s="78"/>
      <c r="R130" s="143"/>
      <c r="S130" s="143"/>
      <c r="T130" s="77">
        <f t="shared" si="44"/>
        <v>0</v>
      </c>
      <c r="U130" s="75"/>
      <c r="V130" s="76"/>
      <c r="W130" s="135"/>
      <c r="X130" s="135"/>
      <c r="Y130" s="77">
        <f t="shared" si="45"/>
        <v>0</v>
      </c>
      <c r="Z130" s="78"/>
      <c r="AA130" s="142"/>
      <c r="AB130" s="142"/>
      <c r="AC130" s="77">
        <f t="shared" si="46"/>
        <v>0</v>
      </c>
      <c r="AD130" s="78"/>
      <c r="AE130" s="143"/>
      <c r="AF130" s="143"/>
      <c r="AG130" s="79">
        <f t="shared" si="47"/>
        <v>0</v>
      </c>
      <c r="AH130" s="75"/>
      <c r="AI130" s="76"/>
      <c r="AJ130" s="135"/>
      <c r="AK130" s="135"/>
      <c r="AL130" s="77">
        <f t="shared" si="48"/>
        <v>0</v>
      </c>
      <c r="AM130" s="76"/>
      <c r="AN130" s="142"/>
      <c r="AO130" s="142"/>
      <c r="AP130" s="77">
        <f t="shared" si="49"/>
        <v>0</v>
      </c>
      <c r="AQ130" s="78"/>
      <c r="AR130" s="142"/>
      <c r="AS130" s="142"/>
      <c r="AT130" s="79">
        <f t="shared" si="50"/>
        <v>0</v>
      </c>
      <c r="AU130" s="75"/>
      <c r="AV130" s="76"/>
      <c r="AW130" s="135"/>
      <c r="AX130" s="157"/>
      <c r="AY130" s="77">
        <f t="shared" si="51"/>
        <v>0</v>
      </c>
      <c r="AZ130" s="76"/>
      <c r="BA130" s="142"/>
      <c r="BB130" s="142"/>
      <c r="BC130" s="77">
        <f t="shared" si="52"/>
        <v>0</v>
      </c>
      <c r="BD130" s="78"/>
      <c r="BE130" s="142"/>
      <c r="BF130" s="142"/>
      <c r="BG130" s="79">
        <f t="shared" si="53"/>
        <v>0</v>
      </c>
      <c r="BH130" s="75"/>
      <c r="BI130" s="76"/>
      <c r="BJ130" s="135"/>
      <c r="BK130" s="135"/>
      <c r="BL130" s="77">
        <f t="shared" si="54"/>
        <v>0</v>
      </c>
      <c r="BM130" s="78"/>
      <c r="BN130" s="142"/>
      <c r="BO130" s="142"/>
      <c r="BP130" s="77">
        <f t="shared" si="55"/>
        <v>0</v>
      </c>
      <c r="BQ130" s="78"/>
      <c r="BR130" s="142"/>
      <c r="BS130" s="142"/>
      <c r="BT130" s="79">
        <f t="shared" si="56"/>
        <v>0</v>
      </c>
      <c r="BU130" s="75"/>
      <c r="BV130" s="76"/>
      <c r="BW130" s="135"/>
      <c r="BX130" s="135"/>
      <c r="BY130" s="77">
        <f t="shared" si="57"/>
        <v>0</v>
      </c>
      <c r="BZ130" s="78"/>
      <c r="CA130" s="142"/>
      <c r="CB130" s="142"/>
      <c r="CC130" s="77">
        <f t="shared" si="58"/>
        <v>0</v>
      </c>
      <c r="CD130" s="78"/>
      <c r="CE130" s="142"/>
      <c r="CF130" s="142"/>
      <c r="CG130" s="79">
        <f t="shared" si="59"/>
        <v>0</v>
      </c>
      <c r="CH130" s="75"/>
      <c r="CI130" s="76"/>
      <c r="CJ130" s="135"/>
      <c r="CK130" s="135"/>
      <c r="CL130" s="77">
        <f t="shared" si="60"/>
        <v>0</v>
      </c>
      <c r="CM130" s="78"/>
      <c r="CN130" s="142"/>
      <c r="CO130" s="142"/>
      <c r="CP130" s="77">
        <f t="shared" si="61"/>
        <v>0</v>
      </c>
      <c r="CQ130" s="78"/>
      <c r="CR130" s="142"/>
      <c r="CS130" s="142"/>
      <c r="CT130" s="79">
        <f t="shared" si="62"/>
        <v>0</v>
      </c>
      <c r="CU130" s="80">
        <f t="shared" si="72"/>
        <v>0</v>
      </c>
      <c r="CV130" s="81">
        <f t="shared" si="73"/>
        <v>0</v>
      </c>
      <c r="CW130" s="144"/>
      <c r="CX130" s="145">
        <f>IF(ISERROR(VLOOKUP($A130,FIJOS!$B$11:$O$590,14,FALSE)),0,VLOOKUP($A130,FIJOS!$B$11:$O$590,14,FALSE))</f>
        <v>0</v>
      </c>
      <c r="CY130" s="145">
        <f>IF(ISERROR(VLOOKUP(A130,FIJOS!$B$10:$P$590,15,FALSE)),0,VLOOKUP(A130,FIJOS!$B$10:$P$590,15,FALSE))</f>
        <v>0</v>
      </c>
      <c r="CZ130" s="156"/>
      <c r="DA130" s="146"/>
      <c r="DB130" s="147"/>
      <c r="DC130" s="147"/>
      <c r="DD130" s="147"/>
      <c r="DE130" s="147"/>
      <c r="DF130" s="145">
        <f>IF(ISERROR(VLOOKUP($A130,FIJOS!$B$11:$N$590,13,FALSE)),0,VLOOKUP($A130,FIJOS!$B$11:$N$590,13,FALSE))</f>
        <v>0</v>
      </c>
      <c r="DG130" s="145">
        <f>IF(ISERROR(VLOOKUP($A130,FIJOS!$B$11:$P$447,12,FALSE)),0,VLOOKUP($A130,FIJOS!$B$11:$P$447,12,FALSE))</f>
        <v>0</v>
      </c>
      <c r="DH130" s="82">
        <f t="shared" si="63"/>
        <v>0</v>
      </c>
      <c r="DI130" s="83" t="b">
        <f>IF($C130=1,(VLOOKUP($A130,FIJOS!$B$11:$P$545,10,FALSE)/7)*(7-$CU130),IF(AND($C130=2,CV130&lt;$DJ$1),(VLOOKUP($D130,HORAS!$B$4:$C$42,2,FALSE)*24)*$CV130,IF(AND($C130=2,CV130&gt;=$DJ$1),VLOOKUP($D130,HORAS!$B$4:$D$42,3,FALSE),IF(AND($C130=3,$CV130&gt;=$DJ$1),VLOOKUP($A130,FIJOS!$B$11:$P$545,10,FALSE),IF(AND($C130=3,$CV130&lt;$DJ$1),((VLOOKUP($A130,FIJOS!$B$11:$P$545,10,FALSE)/48)*24)*$CV130,IF(AND($C130=4,$CV130&gt;=(42/24)),VLOOKUP($D130,HORAS!$B$4:$D$42,3,FALSE),IF(AND($C130=5,$CV130&gt;=(36/24)),VLOOKUP($D130,HORAS!$B$4:$D$42,3,FALSE))))))))</f>
        <v>0</v>
      </c>
      <c r="DJ130" s="145">
        <f>IF(OR($C130=2),VLOOKUP($D130,HORAS!$B$4:$E$42,4,FALSE)*$EC130,IF(ISERROR(VLOOKUP($A130,FIJOS!$B$11:$P$108,9,FALSE)),0,VLOOKUP($A130,FIJOS!$B$11:$P$231,9,FALSE)*$EC130))</f>
        <v>0</v>
      </c>
      <c r="DK130" s="145">
        <f>IF(OR($C130=2),VLOOKUP($D130,HORAS!$B$4:$F$42,5,FALSE)*$EE130,IF(ISERROR(VLOOKUP($A130,FIJOS!$B$11:$P$108,9,FALSE)),0,VLOOKUP($A130,FIJOS!$B$11:$P$231,9,FALSE)*$EE130))</f>
        <v>0</v>
      </c>
      <c r="DL130" s="144"/>
      <c r="DM130" s="145">
        <f>IF(ISERROR(VLOOKUP($A130,FIJOS!$B$11:$L$646,11,FALSE)),0,VLOOKUP($A130,FIJOS!$B$11:$L$646,11,FALSE))</f>
        <v>0</v>
      </c>
      <c r="DN130" s="148" t="e">
        <f>IF(OR($C130=1,$C130=3),0,IF((VLOOKUP(CAPTURA!D130,HORAS!$B$4:$K$42,10,FALSE)/4)*COUNTIF($H130:$CT130,3)&gt;100,100,(VLOOKUP(CAPTURA!D130,HORAS!$B$4:$K$42,10,FALSE)/4)*COUNTIF($H130:$CT130,3)))</f>
        <v>#N/A</v>
      </c>
      <c r="DO130" s="144" t="e">
        <f>IF(OR($C130=1,$C130=3),0,IF($C130=5,VLOOKUP(D130,HORAS!$B$4:$G$42,6,FALSE),IF(AND($C130=4,$CV130&gt;=(42/24)),VLOOKUP(D130,HORAS!$B$4:$G$42,6,FALSE),IF(COUNTIF($H130:$CL130,"F")&gt;0,0,IF(CV130&gt;$DJ$1,$DJ$1*(VLOOKUP(D130,HORAS!$B$4:$G$42,6,FALSE)/$DJ$1),CV130*(VLOOKUP(D130,HORAS!$B$4:$G$42,6,FALSE)/$DJ$1))))))</f>
        <v>#N/A</v>
      </c>
      <c r="DP130" s="156"/>
      <c r="DQ130" s="89"/>
      <c r="DR130" s="148"/>
      <c r="DS130" s="83" t="e">
        <f t="shared" si="66"/>
        <v>#N/A</v>
      </c>
      <c r="DT130" s="84"/>
      <c r="DU130" s="149" t="e">
        <f t="shared" si="67"/>
        <v>#N/A</v>
      </c>
      <c r="DV130" s="149" t="e">
        <f t="shared" si="68"/>
        <v>#N/A</v>
      </c>
      <c r="DW130" s="144" t="e">
        <f t="shared" si="69"/>
        <v>#N/A</v>
      </c>
      <c r="DX130" s="134"/>
      <c r="DY130" s="29"/>
      <c r="DZ130" s="150"/>
      <c r="EA130" s="134"/>
      <c r="EB130" s="137">
        <f t="shared" si="70"/>
        <v>0</v>
      </c>
      <c r="EC130" s="138">
        <f t="shared" si="64"/>
        <v>0</v>
      </c>
      <c r="ED130" s="137">
        <f t="shared" si="71"/>
        <v>0</v>
      </c>
      <c r="EE130" s="132">
        <f t="shared" si="65"/>
        <v>0</v>
      </c>
      <c r="EF130" s="29"/>
      <c r="EG130" s="134"/>
      <c r="EH130" s="134"/>
      <c r="EI130" s="134"/>
      <c r="EK130" s="29"/>
    </row>
    <row r="131" spans="1:141" ht="15" customHeight="1" x14ac:dyDescent="0.25">
      <c r="A131" s="140"/>
      <c r="B131" s="151"/>
      <c r="C131" s="72"/>
      <c r="D131" s="73"/>
      <c r="E131" s="73"/>
      <c r="F131" s="141"/>
      <c r="G131" s="74"/>
      <c r="H131" s="75"/>
      <c r="I131" s="76"/>
      <c r="J131" s="135"/>
      <c r="K131" s="135"/>
      <c r="L131" s="77">
        <f t="shared" si="42"/>
        <v>0</v>
      </c>
      <c r="M131" s="78"/>
      <c r="N131" s="142"/>
      <c r="O131" s="142"/>
      <c r="P131" s="77">
        <f t="shared" si="43"/>
        <v>0</v>
      </c>
      <c r="Q131" s="78"/>
      <c r="R131" s="143"/>
      <c r="S131" s="143"/>
      <c r="T131" s="77">
        <f t="shared" si="44"/>
        <v>0</v>
      </c>
      <c r="U131" s="75"/>
      <c r="V131" s="76"/>
      <c r="W131" s="135"/>
      <c r="X131" s="135"/>
      <c r="Y131" s="77">
        <f t="shared" si="45"/>
        <v>0</v>
      </c>
      <c r="Z131" s="78"/>
      <c r="AA131" s="142"/>
      <c r="AB131" s="142"/>
      <c r="AC131" s="77">
        <f t="shared" si="46"/>
        <v>0</v>
      </c>
      <c r="AD131" s="78"/>
      <c r="AE131" s="143"/>
      <c r="AF131" s="143"/>
      <c r="AG131" s="79">
        <f t="shared" si="47"/>
        <v>0</v>
      </c>
      <c r="AH131" s="75"/>
      <c r="AI131" s="76"/>
      <c r="AJ131" s="135"/>
      <c r="AK131" s="135"/>
      <c r="AL131" s="77">
        <f t="shared" si="48"/>
        <v>0</v>
      </c>
      <c r="AM131" s="76"/>
      <c r="AN131" s="142"/>
      <c r="AO131" s="142"/>
      <c r="AP131" s="77">
        <f t="shared" si="49"/>
        <v>0</v>
      </c>
      <c r="AQ131" s="78"/>
      <c r="AR131" s="142"/>
      <c r="AS131" s="142"/>
      <c r="AT131" s="79">
        <f t="shared" si="50"/>
        <v>0</v>
      </c>
      <c r="AU131" s="75"/>
      <c r="AV131" s="76"/>
      <c r="AW131" s="135"/>
      <c r="AX131" s="135"/>
      <c r="AY131" s="77">
        <f t="shared" si="51"/>
        <v>0</v>
      </c>
      <c r="AZ131" s="76"/>
      <c r="BA131" s="142"/>
      <c r="BB131" s="142"/>
      <c r="BC131" s="77">
        <f t="shared" si="52"/>
        <v>0</v>
      </c>
      <c r="BD131" s="78"/>
      <c r="BE131" s="142"/>
      <c r="BF131" s="142"/>
      <c r="BG131" s="79">
        <f t="shared" si="53"/>
        <v>0</v>
      </c>
      <c r="BH131" s="75"/>
      <c r="BI131" s="76"/>
      <c r="BJ131" s="135"/>
      <c r="BK131" s="135"/>
      <c r="BL131" s="77">
        <f t="shared" si="54"/>
        <v>0</v>
      </c>
      <c r="BM131" s="78"/>
      <c r="BN131" s="142"/>
      <c r="BO131" s="142"/>
      <c r="BP131" s="77">
        <f t="shared" si="55"/>
        <v>0</v>
      </c>
      <c r="BQ131" s="78"/>
      <c r="BR131" s="142"/>
      <c r="BS131" s="142"/>
      <c r="BT131" s="79">
        <f t="shared" si="56"/>
        <v>0</v>
      </c>
      <c r="BU131" s="75"/>
      <c r="BV131" s="76"/>
      <c r="BW131" s="135"/>
      <c r="BX131" s="135"/>
      <c r="BY131" s="77">
        <f t="shared" si="57"/>
        <v>0</v>
      </c>
      <c r="BZ131" s="78"/>
      <c r="CA131" s="142"/>
      <c r="CB131" s="142"/>
      <c r="CC131" s="77">
        <f t="shared" si="58"/>
        <v>0</v>
      </c>
      <c r="CD131" s="78"/>
      <c r="CE131" s="142"/>
      <c r="CF131" s="142"/>
      <c r="CG131" s="79">
        <f t="shared" si="59"/>
        <v>0</v>
      </c>
      <c r="CH131" s="75"/>
      <c r="CI131" s="76"/>
      <c r="CJ131" s="135"/>
      <c r="CK131" s="135"/>
      <c r="CL131" s="77">
        <f t="shared" si="60"/>
        <v>0</v>
      </c>
      <c r="CM131" s="78"/>
      <c r="CN131" s="142"/>
      <c r="CO131" s="142"/>
      <c r="CP131" s="77">
        <f t="shared" si="61"/>
        <v>0</v>
      </c>
      <c r="CQ131" s="78"/>
      <c r="CR131" s="142"/>
      <c r="CS131" s="142"/>
      <c r="CT131" s="79">
        <f t="shared" si="62"/>
        <v>0</v>
      </c>
      <c r="CU131" s="80">
        <f t="shared" si="72"/>
        <v>0</v>
      </c>
      <c r="CV131" s="81">
        <f t="shared" si="73"/>
        <v>0</v>
      </c>
      <c r="CW131" s="144"/>
      <c r="CX131" s="145">
        <f>IF(ISERROR(VLOOKUP($A131,FIJOS!$B$11:$O$590,14,FALSE)),0,VLOOKUP($A131,FIJOS!$B$11:$O$590,14,FALSE))</f>
        <v>0</v>
      </c>
      <c r="CY131" s="145">
        <f>IF(ISERROR(VLOOKUP(A131,FIJOS!$B$10:$P$590,15,FALSE)),0,VLOOKUP(A131,FIJOS!$B$10:$P$590,15,FALSE))</f>
        <v>0</v>
      </c>
      <c r="CZ131" s="156"/>
      <c r="DA131" s="146"/>
      <c r="DB131" s="147"/>
      <c r="DC131" s="147"/>
      <c r="DD131" s="147"/>
      <c r="DE131" s="147"/>
      <c r="DF131" s="145">
        <f>IF(ISERROR(VLOOKUP($A131,FIJOS!$B$11:$N$590,13,FALSE)),0,VLOOKUP($A131,FIJOS!$B$11:$N$590,13,FALSE))</f>
        <v>0</v>
      </c>
      <c r="DG131" s="145">
        <f>IF(ISERROR(VLOOKUP($A131,FIJOS!$B$11:$P$447,12,FALSE)),0,VLOOKUP($A131,FIJOS!$B$11:$P$447,12,FALSE))</f>
        <v>0</v>
      </c>
      <c r="DH131" s="82">
        <f t="shared" si="63"/>
        <v>0</v>
      </c>
      <c r="DI131" s="83" t="b">
        <f>IF($C131=1,(VLOOKUP($A131,FIJOS!$B$11:$P$545,10,FALSE)/7)*(7-$CU131),IF(AND($C131=2,CV131&lt;$DJ$1),(VLOOKUP($D131,HORAS!$B$4:$C$42,2,FALSE)*24)*$CV131,IF(AND($C131=2,CV131&gt;=$DJ$1),VLOOKUP($D131,HORAS!$B$4:$D$42,3,FALSE),IF(AND($C131=3,$CV131&gt;=$DJ$1),VLOOKUP($A131,FIJOS!$B$11:$P$545,10,FALSE),IF(AND($C131=3,$CV131&lt;$DJ$1),((VLOOKUP($A131,FIJOS!$B$11:$P$545,10,FALSE)/48)*24)*$CV131,IF(AND($C131=4,$CV131&gt;=(42/24)),VLOOKUP($D131,HORAS!$B$4:$D$42,3,FALSE),IF(AND($C131=5,$CV131&gt;=(36/24)),VLOOKUP($D131,HORAS!$B$4:$D$42,3,FALSE))))))))</f>
        <v>0</v>
      </c>
      <c r="DJ131" s="145">
        <f>IF(OR($C131=2),VLOOKUP($D131,HORAS!$B$4:$E$42,4,FALSE)*$EC131,IF(ISERROR(VLOOKUP($A131,FIJOS!$B$11:$P$108,9,FALSE)),0,VLOOKUP($A131,FIJOS!$B$11:$P$231,9,FALSE)*$EC131))</f>
        <v>0</v>
      </c>
      <c r="DK131" s="145">
        <f>IF(OR($C131=2),VLOOKUP($D131,HORAS!$B$4:$F$42,5,FALSE)*$EE131,IF(ISERROR(VLOOKUP($A131,FIJOS!$B$11:$P$108,9,FALSE)),0,VLOOKUP($A131,FIJOS!$B$11:$P$231,9,FALSE)*$EE131))</f>
        <v>0</v>
      </c>
      <c r="DL131" s="144"/>
      <c r="DM131" s="145">
        <f>IF(ISERROR(VLOOKUP($A131,FIJOS!$B$11:$L$646,11,FALSE)),0,VLOOKUP($A131,FIJOS!$B$11:$L$646,11,FALSE))</f>
        <v>0</v>
      </c>
      <c r="DN131" s="148" t="e">
        <f>IF(OR($C131=1,$C131=3),0,IF((VLOOKUP(CAPTURA!D131,HORAS!$B$4:$K$42,10,FALSE)/4)*COUNTIF($H131:$CT131,3)&gt;100,100,(VLOOKUP(CAPTURA!D131,HORAS!$B$4:$K$42,10,FALSE)/4)*COUNTIF($H131:$CT131,3)))</f>
        <v>#N/A</v>
      </c>
      <c r="DO131" s="144" t="e">
        <f>IF(OR($C131=1,$C131=3),0,IF($C131=5,VLOOKUP(D131,HORAS!$B$4:$G$42,6,FALSE),IF(AND($C131=4,$CV131&gt;=(42/24)),VLOOKUP(D131,HORAS!$B$4:$G$42,6,FALSE),IF(COUNTIF($H131:$CL131,"F")&gt;0,0,IF(CV131&gt;$DJ$1,$DJ$1*(VLOOKUP(D131,HORAS!$B$4:$G$42,6,FALSE)/$DJ$1),CV131*(VLOOKUP(D131,HORAS!$B$4:$G$42,6,FALSE)/$DJ$1))))))</f>
        <v>#N/A</v>
      </c>
      <c r="DP131" s="156"/>
      <c r="DQ131" s="89"/>
      <c r="DR131" s="148"/>
      <c r="DS131" s="83" t="e">
        <f t="shared" si="66"/>
        <v>#N/A</v>
      </c>
      <c r="DT131" s="84"/>
      <c r="DU131" s="149" t="e">
        <f t="shared" si="67"/>
        <v>#N/A</v>
      </c>
      <c r="DV131" s="149" t="e">
        <f t="shared" si="68"/>
        <v>#N/A</v>
      </c>
      <c r="DW131" s="144" t="e">
        <f t="shared" si="69"/>
        <v>#N/A</v>
      </c>
      <c r="DX131" s="134"/>
      <c r="DY131" s="29"/>
      <c r="DZ131" s="150"/>
      <c r="EA131" s="134"/>
      <c r="EB131" s="137">
        <f t="shared" si="70"/>
        <v>0</v>
      </c>
      <c r="EC131" s="138">
        <f t="shared" si="64"/>
        <v>0</v>
      </c>
      <c r="ED131" s="137">
        <f t="shared" si="71"/>
        <v>0</v>
      </c>
      <c r="EE131" s="132">
        <f t="shared" si="65"/>
        <v>0</v>
      </c>
      <c r="EF131" s="29"/>
      <c r="EG131" s="134"/>
      <c r="EH131" s="134"/>
      <c r="EI131" s="134"/>
      <c r="EK131" s="29"/>
    </row>
    <row r="132" spans="1:141" ht="15" customHeight="1" x14ac:dyDescent="0.25">
      <c r="A132" s="140"/>
      <c r="B132" s="151"/>
      <c r="C132" s="72"/>
      <c r="D132" s="73"/>
      <c r="E132" s="73"/>
      <c r="F132" s="141"/>
      <c r="G132" s="74"/>
      <c r="H132" s="75"/>
      <c r="I132" s="76"/>
      <c r="J132" s="135"/>
      <c r="K132" s="135"/>
      <c r="L132" s="77">
        <f t="shared" si="42"/>
        <v>0</v>
      </c>
      <c r="M132" s="78"/>
      <c r="N132" s="142"/>
      <c r="O132" s="142"/>
      <c r="P132" s="77">
        <f t="shared" si="43"/>
        <v>0</v>
      </c>
      <c r="Q132" s="78"/>
      <c r="R132" s="143"/>
      <c r="S132" s="143"/>
      <c r="T132" s="77">
        <f t="shared" si="44"/>
        <v>0</v>
      </c>
      <c r="U132" s="75"/>
      <c r="V132" s="76"/>
      <c r="W132" s="135"/>
      <c r="X132" s="135"/>
      <c r="Y132" s="77">
        <f t="shared" si="45"/>
        <v>0</v>
      </c>
      <c r="Z132" s="78"/>
      <c r="AA132" s="142"/>
      <c r="AB132" s="142"/>
      <c r="AC132" s="77">
        <f t="shared" si="46"/>
        <v>0</v>
      </c>
      <c r="AD132" s="78"/>
      <c r="AE132" s="143"/>
      <c r="AF132" s="143"/>
      <c r="AG132" s="79">
        <f t="shared" si="47"/>
        <v>0</v>
      </c>
      <c r="AH132" s="75"/>
      <c r="AI132" s="76"/>
      <c r="AJ132" s="135"/>
      <c r="AK132" s="135"/>
      <c r="AL132" s="77">
        <f t="shared" si="48"/>
        <v>0</v>
      </c>
      <c r="AM132" s="76"/>
      <c r="AN132" s="142"/>
      <c r="AO132" s="142"/>
      <c r="AP132" s="77">
        <f t="shared" si="49"/>
        <v>0</v>
      </c>
      <c r="AQ132" s="78"/>
      <c r="AR132" s="142"/>
      <c r="AS132" s="142"/>
      <c r="AT132" s="79">
        <f t="shared" si="50"/>
        <v>0</v>
      </c>
      <c r="AU132" s="75"/>
      <c r="AV132" s="76"/>
      <c r="AW132" s="135"/>
      <c r="AX132" s="135"/>
      <c r="AY132" s="77">
        <f t="shared" si="51"/>
        <v>0</v>
      </c>
      <c r="AZ132" s="76"/>
      <c r="BA132" s="142"/>
      <c r="BB132" s="142"/>
      <c r="BC132" s="77">
        <f t="shared" si="52"/>
        <v>0</v>
      </c>
      <c r="BD132" s="78"/>
      <c r="BE132" s="142"/>
      <c r="BF132" s="142"/>
      <c r="BG132" s="79">
        <f t="shared" si="53"/>
        <v>0</v>
      </c>
      <c r="BH132" s="75"/>
      <c r="BI132" s="76"/>
      <c r="BJ132" s="135"/>
      <c r="BK132" s="135"/>
      <c r="BL132" s="77">
        <f t="shared" si="54"/>
        <v>0</v>
      </c>
      <c r="BM132" s="78"/>
      <c r="BN132" s="142"/>
      <c r="BO132" s="142"/>
      <c r="BP132" s="77">
        <f t="shared" si="55"/>
        <v>0</v>
      </c>
      <c r="BQ132" s="78"/>
      <c r="BR132" s="142"/>
      <c r="BS132" s="142"/>
      <c r="BT132" s="79">
        <f t="shared" si="56"/>
        <v>0</v>
      </c>
      <c r="BU132" s="75"/>
      <c r="BV132" s="76"/>
      <c r="BW132" s="135"/>
      <c r="BX132" s="135"/>
      <c r="BY132" s="77">
        <f t="shared" si="57"/>
        <v>0</v>
      </c>
      <c r="BZ132" s="78"/>
      <c r="CA132" s="142"/>
      <c r="CB132" s="142"/>
      <c r="CC132" s="77">
        <f t="shared" si="58"/>
        <v>0</v>
      </c>
      <c r="CD132" s="78"/>
      <c r="CE132" s="142"/>
      <c r="CF132" s="142"/>
      <c r="CG132" s="79">
        <f t="shared" si="59"/>
        <v>0</v>
      </c>
      <c r="CH132" s="75"/>
      <c r="CI132" s="76"/>
      <c r="CJ132" s="135"/>
      <c r="CK132" s="135"/>
      <c r="CL132" s="77">
        <f t="shared" si="60"/>
        <v>0</v>
      </c>
      <c r="CM132" s="78"/>
      <c r="CN132" s="142"/>
      <c r="CO132" s="142"/>
      <c r="CP132" s="77">
        <f t="shared" si="61"/>
        <v>0</v>
      </c>
      <c r="CQ132" s="78"/>
      <c r="CR132" s="142"/>
      <c r="CS132" s="142"/>
      <c r="CT132" s="79">
        <f t="shared" si="62"/>
        <v>0</v>
      </c>
      <c r="CU132" s="80">
        <f t="shared" si="72"/>
        <v>0</v>
      </c>
      <c r="CV132" s="81">
        <f t="shared" si="73"/>
        <v>0</v>
      </c>
      <c r="CW132" s="144"/>
      <c r="CX132" s="145">
        <f>IF(ISERROR(VLOOKUP($A132,FIJOS!$B$11:$O$590,14,FALSE)),0,VLOOKUP($A132,FIJOS!$B$11:$O$590,14,FALSE))</f>
        <v>0</v>
      </c>
      <c r="CY132" s="145">
        <f>IF(ISERROR(VLOOKUP(A132,FIJOS!$B$10:$P$590,15,FALSE)),0,VLOOKUP(A132,FIJOS!$B$10:$P$590,15,FALSE))</f>
        <v>0</v>
      </c>
      <c r="CZ132" s="156"/>
      <c r="DA132" s="146"/>
      <c r="DB132" s="147"/>
      <c r="DC132" s="147"/>
      <c r="DD132" s="147"/>
      <c r="DE132" s="147"/>
      <c r="DF132" s="145">
        <f>IF(ISERROR(VLOOKUP($A132,FIJOS!$B$11:$N$590,13,FALSE)),0,VLOOKUP($A132,FIJOS!$B$11:$N$590,13,FALSE))</f>
        <v>0</v>
      </c>
      <c r="DG132" s="145">
        <f>IF(ISERROR(VLOOKUP($A132,FIJOS!$B$11:$P$447,12,FALSE)),0,VLOOKUP($A132,FIJOS!$B$11:$P$447,12,FALSE))</f>
        <v>0</v>
      </c>
      <c r="DH132" s="82">
        <f t="shared" si="63"/>
        <v>0</v>
      </c>
      <c r="DI132" s="83" t="b">
        <f>IF($C132=1,(VLOOKUP($A132,FIJOS!$B$11:$P$545,10,FALSE)/7)*(7-$CU132),IF(AND($C132=2,CV132&lt;$DJ$1),(VLOOKUP($D132,HORAS!$B$4:$C$42,2,FALSE)*24)*$CV132,IF(AND($C132=2,CV132&gt;=$DJ$1),VLOOKUP($D132,HORAS!$B$4:$D$42,3,FALSE),IF(AND($C132=3,$CV132&gt;=$DJ$1),VLOOKUP($A132,FIJOS!$B$11:$P$545,10,FALSE),IF(AND($C132=3,$CV132&lt;$DJ$1),((VLOOKUP($A132,FIJOS!$B$11:$P$545,10,FALSE)/48)*24)*$CV132,IF(AND($C132=4,$CV132&gt;=(42/24)),VLOOKUP($D132,HORAS!$B$4:$D$42,3,FALSE),IF(AND($C132=5,$CV132&gt;=(36/24)),VLOOKUP($D132,HORAS!$B$4:$D$42,3,FALSE))))))))</f>
        <v>0</v>
      </c>
      <c r="DJ132" s="145">
        <f>IF(OR($C132=2),VLOOKUP($D132,HORAS!$B$4:$E$42,4,FALSE)*$EC132,IF(ISERROR(VLOOKUP($A132,FIJOS!$B$11:$P$108,9,FALSE)),0,VLOOKUP($A132,FIJOS!$B$11:$P$231,9,FALSE)*$EC132))</f>
        <v>0</v>
      </c>
      <c r="DK132" s="145">
        <f>IF(OR($C132=2),VLOOKUP($D132,HORAS!$B$4:$F$42,5,FALSE)*$EE132,IF(ISERROR(VLOOKUP($A132,FIJOS!$B$11:$P$108,9,FALSE)),0,VLOOKUP($A132,FIJOS!$B$11:$P$231,9,FALSE)*$EE132))</f>
        <v>0</v>
      </c>
      <c r="DL132" s="144"/>
      <c r="DM132" s="145">
        <f>IF(ISERROR(VLOOKUP($A132,FIJOS!$B$11:$L$646,11,FALSE)),0,VLOOKUP($A132,FIJOS!$B$11:$L$646,11,FALSE))</f>
        <v>0</v>
      </c>
      <c r="DN132" s="148" t="e">
        <f>IF(OR($C132=1,$C132=3),0,IF((VLOOKUP(CAPTURA!D132,HORAS!$B$4:$K$42,10,FALSE)/4)*COUNTIF($H132:$CT132,3)&gt;100,100,(VLOOKUP(CAPTURA!D132,HORAS!$B$4:$K$42,10,FALSE)/4)*COUNTIF($H132:$CT132,3)))</f>
        <v>#N/A</v>
      </c>
      <c r="DO132" s="144" t="e">
        <f>IF(OR($C132=1,$C132=3),0,IF($C132=5,VLOOKUP(D132,HORAS!$B$4:$G$42,6,FALSE),IF(AND($C132=4,$CV132&gt;=(42/24)),VLOOKUP(D132,HORAS!$B$4:$G$42,6,FALSE),IF(COUNTIF($H132:$CL132,"F")&gt;0,0,IF(CV132&gt;$DJ$1,$DJ$1*(VLOOKUP(D132,HORAS!$B$4:$G$42,6,FALSE)/$DJ$1),CV132*(VLOOKUP(D132,HORAS!$B$4:$G$42,6,FALSE)/$DJ$1))))))</f>
        <v>#N/A</v>
      </c>
      <c r="DP132" s="156"/>
      <c r="DQ132" s="89"/>
      <c r="DR132" s="148"/>
      <c r="DS132" s="83" t="e">
        <f t="shared" si="66"/>
        <v>#N/A</v>
      </c>
      <c r="DT132" s="84"/>
      <c r="DU132" s="149" t="e">
        <f t="shared" si="67"/>
        <v>#N/A</v>
      </c>
      <c r="DV132" s="149" t="e">
        <f t="shared" si="68"/>
        <v>#N/A</v>
      </c>
      <c r="DW132" s="144" t="e">
        <f t="shared" si="69"/>
        <v>#N/A</v>
      </c>
      <c r="DX132"/>
      <c r="DY132" s="29"/>
      <c r="DZ132" s="150"/>
      <c r="EA132" s="137"/>
      <c r="EB132" s="137">
        <f t="shared" si="70"/>
        <v>0</v>
      </c>
      <c r="EC132" s="138">
        <f t="shared" si="64"/>
        <v>0</v>
      </c>
      <c r="ED132" s="137">
        <f t="shared" si="71"/>
        <v>0</v>
      </c>
      <c r="EE132" s="132">
        <f t="shared" si="65"/>
        <v>0</v>
      </c>
      <c r="EF132" s="29"/>
      <c r="EG132" s="134"/>
      <c r="EH132" s="134"/>
      <c r="EI132" s="134"/>
      <c r="EK132" s="29"/>
    </row>
    <row r="133" spans="1:141" ht="15" customHeight="1" x14ac:dyDescent="0.25">
      <c r="A133" s="140"/>
      <c r="B133" s="151"/>
      <c r="C133" s="72"/>
      <c r="D133" s="73"/>
      <c r="E133" s="73"/>
      <c r="F133" s="141"/>
      <c r="G133" s="74"/>
      <c r="H133" s="75"/>
      <c r="I133" s="76"/>
      <c r="J133" s="135"/>
      <c r="K133" s="135"/>
      <c r="L133" s="77">
        <f t="shared" si="42"/>
        <v>0</v>
      </c>
      <c r="M133" s="78"/>
      <c r="N133" s="142"/>
      <c r="O133" s="142"/>
      <c r="P133" s="77">
        <f t="shared" si="43"/>
        <v>0</v>
      </c>
      <c r="Q133" s="78"/>
      <c r="R133" s="143"/>
      <c r="S133" s="143"/>
      <c r="T133" s="77">
        <f t="shared" si="44"/>
        <v>0</v>
      </c>
      <c r="U133" s="75"/>
      <c r="V133" s="76"/>
      <c r="W133" s="135"/>
      <c r="X133" s="135"/>
      <c r="Y133" s="77">
        <f t="shared" si="45"/>
        <v>0</v>
      </c>
      <c r="Z133" s="78"/>
      <c r="AA133" s="142"/>
      <c r="AB133" s="142"/>
      <c r="AC133" s="77">
        <f t="shared" si="46"/>
        <v>0</v>
      </c>
      <c r="AD133" s="78"/>
      <c r="AE133" s="143"/>
      <c r="AF133" s="143"/>
      <c r="AG133" s="79">
        <f t="shared" si="47"/>
        <v>0</v>
      </c>
      <c r="AH133" s="75"/>
      <c r="AI133" s="76"/>
      <c r="AJ133" s="135"/>
      <c r="AK133" s="135"/>
      <c r="AL133" s="77">
        <f t="shared" si="48"/>
        <v>0</v>
      </c>
      <c r="AM133" s="76"/>
      <c r="AN133" s="142"/>
      <c r="AO133" s="142"/>
      <c r="AP133" s="77">
        <f t="shared" si="49"/>
        <v>0</v>
      </c>
      <c r="AQ133" s="78"/>
      <c r="AR133" s="142"/>
      <c r="AS133" s="142"/>
      <c r="AT133" s="79">
        <f t="shared" si="50"/>
        <v>0</v>
      </c>
      <c r="AU133" s="75"/>
      <c r="AV133" s="76"/>
      <c r="AW133" s="135"/>
      <c r="AX133" s="135"/>
      <c r="AY133" s="77">
        <f t="shared" si="51"/>
        <v>0</v>
      </c>
      <c r="AZ133" s="76"/>
      <c r="BA133" s="142"/>
      <c r="BB133" s="142"/>
      <c r="BC133" s="77">
        <f t="shared" si="52"/>
        <v>0</v>
      </c>
      <c r="BD133" s="78"/>
      <c r="BE133" s="142"/>
      <c r="BF133" s="142"/>
      <c r="BG133" s="79">
        <f t="shared" si="53"/>
        <v>0</v>
      </c>
      <c r="BH133" s="75"/>
      <c r="BI133" s="76"/>
      <c r="BJ133" s="135"/>
      <c r="BK133" s="135"/>
      <c r="BL133" s="77">
        <f t="shared" si="54"/>
        <v>0</v>
      </c>
      <c r="BM133" s="78"/>
      <c r="BN133" s="142"/>
      <c r="BO133" s="142"/>
      <c r="BP133" s="77">
        <f t="shared" si="55"/>
        <v>0</v>
      </c>
      <c r="BQ133" s="78"/>
      <c r="BR133" s="142"/>
      <c r="BS133" s="142"/>
      <c r="BT133" s="79">
        <f t="shared" si="56"/>
        <v>0</v>
      </c>
      <c r="BU133" s="75"/>
      <c r="BV133" s="76"/>
      <c r="BW133" s="135"/>
      <c r="BX133" s="135"/>
      <c r="BY133" s="77">
        <f t="shared" si="57"/>
        <v>0</v>
      </c>
      <c r="BZ133" s="78"/>
      <c r="CA133" s="142"/>
      <c r="CB133" s="142"/>
      <c r="CC133" s="77">
        <f t="shared" si="58"/>
        <v>0</v>
      </c>
      <c r="CD133" s="78"/>
      <c r="CE133" s="142"/>
      <c r="CF133" s="142"/>
      <c r="CG133" s="79">
        <f t="shared" si="59"/>
        <v>0</v>
      </c>
      <c r="CH133" s="75"/>
      <c r="CI133" s="76"/>
      <c r="CJ133" s="135"/>
      <c r="CK133" s="135"/>
      <c r="CL133" s="77">
        <f t="shared" si="60"/>
        <v>0</v>
      </c>
      <c r="CM133" s="78"/>
      <c r="CN133" s="142"/>
      <c r="CO133" s="142"/>
      <c r="CP133" s="77">
        <f t="shared" si="61"/>
        <v>0</v>
      </c>
      <c r="CQ133" s="78"/>
      <c r="CR133" s="142"/>
      <c r="CS133" s="142"/>
      <c r="CT133" s="79">
        <f t="shared" si="62"/>
        <v>0</v>
      </c>
      <c r="CU133" s="80">
        <f t="shared" si="72"/>
        <v>0</v>
      </c>
      <c r="CV133" s="81">
        <f t="shared" si="73"/>
        <v>0</v>
      </c>
      <c r="CW133" s="144"/>
      <c r="CX133" s="145">
        <f>IF(ISERROR(VLOOKUP($A133,FIJOS!$B$11:$O$590,14,FALSE)),0,VLOOKUP($A133,FIJOS!$B$11:$O$590,14,FALSE))</f>
        <v>0</v>
      </c>
      <c r="CY133" s="145">
        <f>IF(ISERROR(VLOOKUP(A133,FIJOS!$B$10:$P$590,15,FALSE)),0,VLOOKUP(A133,FIJOS!$B$10:$P$590,15,FALSE))</f>
        <v>0</v>
      </c>
      <c r="CZ133" s="156"/>
      <c r="DA133" s="146"/>
      <c r="DB133" s="147"/>
      <c r="DC133" s="147"/>
      <c r="DD133" s="147"/>
      <c r="DE133" s="147"/>
      <c r="DF133" s="145">
        <f>IF(ISERROR(VLOOKUP($A133,FIJOS!$B$11:$N$590,13,FALSE)),0,VLOOKUP($A133,FIJOS!$B$11:$N$590,13,FALSE))</f>
        <v>0</v>
      </c>
      <c r="DG133" s="145">
        <f>IF(ISERROR(VLOOKUP($A133,FIJOS!$B$11:$P$447,12,FALSE)),0,VLOOKUP($A133,FIJOS!$B$11:$P$447,12,FALSE))</f>
        <v>0</v>
      </c>
      <c r="DH133" s="82">
        <f t="shared" si="63"/>
        <v>0</v>
      </c>
      <c r="DI133" s="83" t="b">
        <f>IF($C133=1,(VLOOKUP($A133,FIJOS!$B$11:$P$545,10,FALSE)/7)*(7-$CU133),IF(AND($C133=2,CV133&lt;$DJ$1),(VLOOKUP($D133,HORAS!$B$4:$C$42,2,FALSE)*24)*$CV133,IF(AND($C133=2,CV133&gt;=$DJ$1),VLOOKUP($D133,HORAS!$B$4:$D$42,3,FALSE),IF(AND($C133=3,$CV133&gt;=$DJ$1),VLOOKUP($A133,FIJOS!$B$11:$P$545,10,FALSE),IF(AND($C133=3,$CV133&lt;$DJ$1),((VLOOKUP($A133,FIJOS!$B$11:$P$545,10,FALSE)/48)*24)*$CV133,IF(AND($C133=4,$CV133&gt;=(42/24)),VLOOKUP($D133,HORAS!$B$4:$D$42,3,FALSE),IF(AND($C133=5,$CV133&gt;=(36/24)),VLOOKUP($D133,HORAS!$B$4:$D$42,3,FALSE))))))))</f>
        <v>0</v>
      </c>
      <c r="DJ133" s="145">
        <f>IF(OR($C133=2),VLOOKUP($D133,HORAS!$B$4:$E$42,4,FALSE)*$EC133,IF(ISERROR(VLOOKUP($A133,FIJOS!$B$11:$P$108,9,FALSE)),0,VLOOKUP($A133,FIJOS!$B$11:$P$231,9,FALSE)*$EC133))</f>
        <v>0</v>
      </c>
      <c r="DK133" s="145">
        <f>IF(OR($C133=2),VLOOKUP($D133,HORAS!$B$4:$F$42,5,FALSE)*$EE133,IF(ISERROR(VLOOKUP($A133,FIJOS!$B$11:$P$108,9,FALSE)),0,VLOOKUP($A133,FIJOS!$B$11:$P$231,9,FALSE)*$EE133))</f>
        <v>0</v>
      </c>
      <c r="DL133" s="144"/>
      <c r="DM133" s="145">
        <f>IF(ISERROR(VLOOKUP($A133,FIJOS!$B$11:$L$646,11,FALSE)),0,VLOOKUP($A133,FIJOS!$B$11:$L$646,11,FALSE))</f>
        <v>0</v>
      </c>
      <c r="DN133" s="148" t="e">
        <f>IF(OR($C133=1,$C133=3),0,IF((VLOOKUP(CAPTURA!D133,HORAS!$B$4:$K$42,10,FALSE)/4)*COUNTIF($H133:$CT133,3)&gt;100,100,(VLOOKUP(CAPTURA!D133,HORAS!$B$4:$K$42,10,FALSE)/4)*COUNTIF($H133:$CT133,3)))</f>
        <v>#N/A</v>
      </c>
      <c r="DO133" s="144" t="e">
        <f>IF(OR($C133=1,$C133=3),0,IF($C133=5,VLOOKUP(D133,HORAS!$B$4:$G$42,6,FALSE),IF(AND($C133=4,$CV133&gt;=(42/24)),VLOOKUP(D133,HORAS!$B$4:$G$42,6,FALSE),IF(COUNTIF($H133:$CL133,"F")&gt;0,0,IF(CV133&gt;$DJ$1,$DJ$1*(VLOOKUP(D133,HORAS!$B$4:$G$42,6,FALSE)/$DJ$1),CV133*(VLOOKUP(D133,HORAS!$B$4:$G$42,6,FALSE)/$DJ$1))))))</f>
        <v>#N/A</v>
      </c>
      <c r="DP133" s="156"/>
      <c r="DQ133" s="89"/>
      <c r="DR133" s="148"/>
      <c r="DS133" s="83" t="e">
        <f t="shared" si="66"/>
        <v>#N/A</v>
      </c>
      <c r="DT133" s="84"/>
      <c r="DU133" s="149" t="e">
        <f t="shared" si="67"/>
        <v>#N/A</v>
      </c>
      <c r="DV133" s="149" t="e">
        <f t="shared" si="68"/>
        <v>#N/A</v>
      </c>
      <c r="DW133" s="144" t="e">
        <f t="shared" si="69"/>
        <v>#N/A</v>
      </c>
      <c r="DX133" s="134"/>
      <c r="DY133" s="29"/>
      <c r="DZ133" s="150"/>
      <c r="EA133" s="134"/>
      <c r="EB133" s="137">
        <f t="shared" si="70"/>
        <v>0</v>
      </c>
      <c r="EC133" s="138">
        <f t="shared" si="64"/>
        <v>0</v>
      </c>
      <c r="ED133" s="137">
        <f t="shared" si="71"/>
        <v>0</v>
      </c>
      <c r="EE133" s="132">
        <f t="shared" si="65"/>
        <v>0</v>
      </c>
      <c r="EF133" s="29"/>
      <c r="EG133" s="134"/>
      <c r="EH133" s="134"/>
      <c r="EI133" s="134"/>
      <c r="EK133" s="29"/>
    </row>
    <row r="134" spans="1:141" ht="15" customHeight="1" x14ac:dyDescent="0.25">
      <c r="A134" s="140"/>
      <c r="B134" s="151"/>
      <c r="C134" s="72"/>
      <c r="D134" s="73"/>
      <c r="E134" s="73"/>
      <c r="F134" s="141"/>
      <c r="G134" s="74"/>
      <c r="H134" s="75"/>
      <c r="I134" s="76"/>
      <c r="J134" s="135"/>
      <c r="K134" s="135"/>
      <c r="L134" s="77">
        <f t="shared" si="42"/>
        <v>0</v>
      </c>
      <c r="M134" s="78"/>
      <c r="N134" s="142"/>
      <c r="O134" s="142"/>
      <c r="P134" s="77">
        <f t="shared" si="43"/>
        <v>0</v>
      </c>
      <c r="Q134" s="78"/>
      <c r="R134" s="143"/>
      <c r="S134" s="143"/>
      <c r="T134" s="77">
        <f t="shared" si="44"/>
        <v>0</v>
      </c>
      <c r="U134" s="75"/>
      <c r="V134" s="76"/>
      <c r="W134" s="135"/>
      <c r="X134" s="86"/>
      <c r="Y134" s="77">
        <f t="shared" si="45"/>
        <v>0</v>
      </c>
      <c r="Z134" s="78"/>
      <c r="AA134" s="142"/>
      <c r="AB134" s="142"/>
      <c r="AC134" s="77">
        <f t="shared" si="46"/>
        <v>0</v>
      </c>
      <c r="AD134" s="78"/>
      <c r="AE134" s="143"/>
      <c r="AF134" s="143"/>
      <c r="AG134" s="79">
        <f t="shared" si="47"/>
        <v>0</v>
      </c>
      <c r="AH134" s="75"/>
      <c r="AI134" s="76"/>
      <c r="AJ134" s="135"/>
      <c r="AK134" s="86"/>
      <c r="AL134" s="77">
        <f t="shared" si="48"/>
        <v>0</v>
      </c>
      <c r="AM134" s="78"/>
      <c r="AN134" s="142"/>
      <c r="AO134" s="142"/>
      <c r="AP134" s="77">
        <f t="shared" si="49"/>
        <v>0</v>
      </c>
      <c r="AQ134" s="78"/>
      <c r="AR134" s="143"/>
      <c r="AS134" s="143"/>
      <c r="AT134" s="79">
        <f t="shared" si="50"/>
        <v>0</v>
      </c>
      <c r="AU134" s="75"/>
      <c r="AV134" s="76"/>
      <c r="AW134" s="135"/>
      <c r="AX134" s="86"/>
      <c r="AY134" s="77">
        <f t="shared" si="51"/>
        <v>0</v>
      </c>
      <c r="AZ134" s="78"/>
      <c r="BA134" s="142"/>
      <c r="BB134" s="142"/>
      <c r="BC134" s="77">
        <f t="shared" si="52"/>
        <v>0</v>
      </c>
      <c r="BD134" s="78"/>
      <c r="BE134" s="143"/>
      <c r="BF134" s="143"/>
      <c r="BG134" s="79">
        <f t="shared" si="53"/>
        <v>0</v>
      </c>
      <c r="BH134" s="75"/>
      <c r="BI134" s="76"/>
      <c r="BJ134" s="135"/>
      <c r="BK134" s="86"/>
      <c r="BL134" s="77">
        <f t="shared" si="54"/>
        <v>0</v>
      </c>
      <c r="BM134" s="78"/>
      <c r="BN134" s="142"/>
      <c r="BO134" s="142"/>
      <c r="BP134" s="77">
        <f t="shared" si="55"/>
        <v>0</v>
      </c>
      <c r="BQ134" s="78"/>
      <c r="BR134" s="143"/>
      <c r="BS134" s="143"/>
      <c r="BT134" s="79">
        <f t="shared" si="56"/>
        <v>0</v>
      </c>
      <c r="BU134" s="75"/>
      <c r="BV134" s="76"/>
      <c r="BW134" s="135"/>
      <c r="BX134" s="86"/>
      <c r="BY134" s="77">
        <f t="shared" si="57"/>
        <v>0</v>
      </c>
      <c r="BZ134" s="78"/>
      <c r="CA134" s="142"/>
      <c r="CB134" s="142"/>
      <c r="CC134" s="77">
        <f t="shared" si="58"/>
        <v>0</v>
      </c>
      <c r="CD134" s="78"/>
      <c r="CE134" s="143"/>
      <c r="CF134" s="143"/>
      <c r="CG134" s="79">
        <f t="shared" si="59"/>
        <v>0</v>
      </c>
      <c r="CH134" s="75"/>
      <c r="CI134" s="76"/>
      <c r="CJ134" s="135"/>
      <c r="CK134" s="135"/>
      <c r="CL134" s="77">
        <f t="shared" si="60"/>
        <v>0</v>
      </c>
      <c r="CM134" s="78"/>
      <c r="CN134" s="142"/>
      <c r="CO134" s="142"/>
      <c r="CP134" s="77">
        <f t="shared" si="61"/>
        <v>0</v>
      </c>
      <c r="CQ134" s="78"/>
      <c r="CR134" s="143"/>
      <c r="CS134" s="143"/>
      <c r="CT134" s="79">
        <f t="shared" si="62"/>
        <v>0</v>
      </c>
      <c r="CU134" s="80">
        <f t="shared" si="72"/>
        <v>0</v>
      </c>
      <c r="CV134" s="81">
        <f t="shared" si="73"/>
        <v>0</v>
      </c>
      <c r="CW134" s="144"/>
      <c r="CX134" s="145">
        <f>IF(ISERROR(VLOOKUP($A134,FIJOS!$B$11:$O$590,14,FALSE)),0,VLOOKUP($A134,FIJOS!$B$11:$O$590,14,FALSE))</f>
        <v>0</v>
      </c>
      <c r="CY134" s="145">
        <f>IF(ISERROR(VLOOKUP(A134,FIJOS!$B$10:$P$590,15,FALSE)),0,VLOOKUP(A134,FIJOS!$B$10:$P$590,15,FALSE))</f>
        <v>0</v>
      </c>
      <c r="CZ134" s="156"/>
      <c r="DA134" s="146"/>
      <c r="DB134" s="147"/>
      <c r="DC134" s="147"/>
      <c r="DD134" s="147"/>
      <c r="DE134" s="147"/>
      <c r="DF134" s="145">
        <f>IF(ISERROR(VLOOKUP($A134,FIJOS!$B$11:$N$590,13,FALSE)),0,VLOOKUP($A134,FIJOS!$B$11:$N$590,13,FALSE))</f>
        <v>0</v>
      </c>
      <c r="DG134" s="145">
        <f>IF(ISERROR(VLOOKUP($A134,FIJOS!$B$11:$P$447,12,FALSE)),0,VLOOKUP($A134,FIJOS!$B$11:$P$447,12,FALSE))</f>
        <v>0</v>
      </c>
      <c r="DH134" s="82">
        <f t="shared" si="63"/>
        <v>0</v>
      </c>
      <c r="DI134" s="83" t="b">
        <f>IF($C134=1,(VLOOKUP($A134,FIJOS!$B$11:$P$545,10,FALSE)/7)*(7-$CU134),IF(AND($C134=2,CV134&lt;$DJ$1),(VLOOKUP($D134,HORAS!$B$4:$C$42,2,FALSE)*24)*$CV134,IF(AND($C134=2,CV134&gt;=$DJ$1),VLOOKUP($D134,HORAS!$B$4:$D$42,3,FALSE),IF(AND($C134=3,$CV134&gt;=$DJ$1),VLOOKUP($A134,FIJOS!$B$11:$P$545,10,FALSE),IF(AND($C134=3,$CV134&lt;$DJ$1),((VLOOKUP($A134,FIJOS!$B$11:$P$545,10,FALSE)/48)*24)*$CV134,IF(AND($C134=4,$CV134&gt;=(42/24)),VLOOKUP($D134,HORAS!$B$4:$D$42,3,FALSE),IF(AND($C134=5,$CV134&gt;=(36/24)),VLOOKUP($D134,HORAS!$B$4:$D$42,3,FALSE))))))))</f>
        <v>0</v>
      </c>
      <c r="DJ134" s="145">
        <f>IF(OR($C134=2),VLOOKUP($D134,HORAS!$B$4:$E$42,4,FALSE)*$EC134,IF(ISERROR(VLOOKUP($A134,FIJOS!$B$11:$P$108,9,FALSE)),0,VLOOKUP($A134,FIJOS!$B$11:$P$231,9,FALSE)*$EC134))</f>
        <v>0</v>
      </c>
      <c r="DK134" s="145">
        <f>IF(OR($C134=2),VLOOKUP($D134,HORAS!$B$4:$F$42,5,FALSE)*$EE134,IF(ISERROR(VLOOKUP($A134,FIJOS!$B$11:$P$108,9,FALSE)),0,VLOOKUP($A134,FIJOS!$B$11:$P$231,9,FALSE)*$EE134))</f>
        <v>0</v>
      </c>
      <c r="DL134" s="144"/>
      <c r="DM134" s="145">
        <f>IF(ISERROR(VLOOKUP($A134,FIJOS!$B$11:$L$646,11,FALSE)),0,VLOOKUP($A134,FIJOS!$B$11:$L$646,11,FALSE))</f>
        <v>0</v>
      </c>
      <c r="DN134" s="148" t="e">
        <f>IF(OR($C134=1,$C134=3),0,IF((VLOOKUP(CAPTURA!D134,HORAS!$B$4:$K$42,10,FALSE)/4)*COUNTIF($H134:$CT134,3)&gt;100,100,(VLOOKUP(CAPTURA!D134,HORAS!$B$4:$K$42,10,FALSE)/4)*COUNTIF($H134:$CT134,3)))</f>
        <v>#N/A</v>
      </c>
      <c r="DO134" s="144" t="e">
        <f>IF(OR($C134=1,$C134=3),0,IF($C134=5,VLOOKUP(D134,HORAS!$B$4:$G$42,6,FALSE),IF(AND($C134=4,$CV134&gt;=(42/24)),VLOOKUP(D134,HORAS!$B$4:$G$42,6,FALSE),IF(COUNTIF($H134:$CL134,"F")&gt;0,0,IF(CV134&gt;$DJ$1,$DJ$1*(VLOOKUP(D134,HORAS!$B$4:$G$42,6,FALSE)/$DJ$1),CV134*(VLOOKUP(D134,HORAS!$B$4:$G$42,6,FALSE)/$DJ$1))))))</f>
        <v>#N/A</v>
      </c>
      <c r="DP134" s="156"/>
      <c r="DQ134" s="89"/>
      <c r="DR134" s="148"/>
      <c r="DS134" s="83" t="e">
        <f t="shared" si="66"/>
        <v>#N/A</v>
      </c>
      <c r="DT134" s="84"/>
      <c r="DU134" s="149" t="e">
        <f t="shared" si="67"/>
        <v>#N/A</v>
      </c>
      <c r="DV134" s="149" t="e">
        <f t="shared" si="68"/>
        <v>#N/A</v>
      </c>
      <c r="DW134" s="144" t="e">
        <f t="shared" si="69"/>
        <v>#N/A</v>
      </c>
      <c r="DX134" s="134"/>
      <c r="DY134" s="29"/>
      <c r="DZ134" s="150"/>
      <c r="EA134" s="134"/>
      <c r="EB134" s="137">
        <f t="shared" si="70"/>
        <v>0</v>
      </c>
      <c r="EC134" s="138">
        <f t="shared" si="64"/>
        <v>0</v>
      </c>
      <c r="ED134" s="137">
        <f t="shared" si="71"/>
        <v>0</v>
      </c>
      <c r="EE134" s="132">
        <f t="shared" si="65"/>
        <v>0</v>
      </c>
      <c r="EF134" s="29"/>
      <c r="EG134" s="134"/>
      <c r="EH134" s="134"/>
      <c r="EI134" s="134"/>
      <c r="EK134" s="29"/>
    </row>
    <row r="135" spans="1:141" ht="15" customHeight="1" x14ac:dyDescent="0.25">
      <c r="A135" s="140"/>
      <c r="B135" s="5"/>
      <c r="C135" s="72"/>
      <c r="D135" s="73"/>
      <c r="E135" s="160"/>
      <c r="F135" s="141"/>
      <c r="G135" s="74"/>
      <c r="H135" s="75"/>
      <c r="I135" s="76"/>
      <c r="J135" s="135"/>
      <c r="K135" s="135"/>
      <c r="L135" s="77">
        <f t="shared" ref="L135:L198" si="74">IF((K135-J135)&gt;=0,(K135-J135),$A$1+(K135-J135))</f>
        <v>0</v>
      </c>
      <c r="M135" s="78"/>
      <c r="N135" s="142"/>
      <c r="O135" s="142"/>
      <c r="P135" s="77">
        <f t="shared" ref="P135:P198" si="75">IF((O135-N135)&gt;=0,(O135-N135),$A$1+(O135-N135))</f>
        <v>0</v>
      </c>
      <c r="Q135" s="78"/>
      <c r="R135" s="143"/>
      <c r="S135" s="143"/>
      <c r="T135" s="77">
        <f t="shared" ref="T135:T198" si="76">IF((S135-R135)&gt;=0,(S135-R135),$A$1+(S135-R135))</f>
        <v>0</v>
      </c>
      <c r="U135" s="75"/>
      <c r="V135" s="76"/>
      <c r="W135" s="135"/>
      <c r="X135" s="135"/>
      <c r="Y135" s="77">
        <f t="shared" ref="Y135:Y198" si="77">IF((X135-W135)&gt;=0,(X135-W135),$A$1+(X135-W135))</f>
        <v>0</v>
      </c>
      <c r="Z135" s="78"/>
      <c r="AA135" s="142"/>
      <c r="AB135" s="142"/>
      <c r="AC135" s="77">
        <f t="shared" ref="AC135:AC198" si="78">IF((AB135-AA135)&gt;=0,(AB135-AA135),$A$1+(AB135-AA135))</f>
        <v>0</v>
      </c>
      <c r="AD135" s="78"/>
      <c r="AE135" s="143"/>
      <c r="AF135" s="143"/>
      <c r="AG135" s="79">
        <f t="shared" ref="AG135:AG198" si="79">IF((AF135-AE135)&gt;=0,(AF135-AE135),$A$1+(AF135-AE135))</f>
        <v>0</v>
      </c>
      <c r="AH135" s="75"/>
      <c r="AI135" s="76"/>
      <c r="AJ135" s="135"/>
      <c r="AK135" s="135"/>
      <c r="AL135" s="77">
        <f t="shared" ref="AL135:AL198" si="80">IF((AK135-AJ135)&gt;=0,(AK135-AJ135),$A$1+(AK135-AJ135))</f>
        <v>0</v>
      </c>
      <c r="AM135" s="76"/>
      <c r="AN135" s="142"/>
      <c r="AO135" s="142"/>
      <c r="AP135" s="77">
        <f t="shared" ref="AP135:AP198" si="81">IF((AO135-AN135)&gt;=0,(AO135-AN135),$A$1+(AO135-AN135))</f>
        <v>0</v>
      </c>
      <c r="AQ135" s="78"/>
      <c r="AR135" s="142"/>
      <c r="AS135" s="142"/>
      <c r="AT135" s="79">
        <f t="shared" ref="AT135:AT198" si="82">IF((AS135-AR135)&gt;=0,(AS135-AR135),$A$1+(AS135-AR135))</f>
        <v>0</v>
      </c>
      <c r="AU135" s="75"/>
      <c r="AV135" s="76"/>
      <c r="AW135" s="135"/>
      <c r="AX135" s="157"/>
      <c r="AY135" s="77">
        <f t="shared" ref="AY135:AY198" si="83">IF((AX135-AW135)&gt;=0,(AX135-AW135),$A$1+(AX135-AW135))</f>
        <v>0</v>
      </c>
      <c r="AZ135" s="76"/>
      <c r="BA135" s="142"/>
      <c r="BB135" s="142"/>
      <c r="BC135" s="77">
        <f t="shared" ref="BC135:BC198" si="84">IF((BB135-BA135)&gt;=0,(BB135-BA135),$A$1+(BB135-BA135))</f>
        <v>0</v>
      </c>
      <c r="BD135" s="78"/>
      <c r="BE135" s="142"/>
      <c r="BF135" s="142"/>
      <c r="BG135" s="79">
        <f t="shared" ref="BG135:BG198" si="85">IF((BF135-BE135)&gt;=0,(BF135-BE135),$A$1+(BF135-BE135))</f>
        <v>0</v>
      </c>
      <c r="BH135" s="75"/>
      <c r="BI135" s="76"/>
      <c r="BJ135" s="135"/>
      <c r="BK135" s="135"/>
      <c r="BL135" s="77">
        <f t="shared" ref="BL135:BL198" si="86">IF((BK135-BJ135)&gt;=0,(BK135-BJ135),$A$1+(BK135-BJ135))</f>
        <v>0</v>
      </c>
      <c r="BM135" s="78"/>
      <c r="BN135" s="142"/>
      <c r="BO135" s="142"/>
      <c r="BP135" s="77">
        <f t="shared" ref="BP135:BP198" si="87">IF((BO135-BN135)&gt;=0,(BO135-BN135),$A$1+(BO135-BN135))</f>
        <v>0</v>
      </c>
      <c r="BQ135" s="78"/>
      <c r="BR135" s="142"/>
      <c r="BS135" s="142"/>
      <c r="BT135" s="79">
        <f t="shared" ref="BT135:BT198" si="88">IF((BS135-BR135)&gt;=0,(BS135-BR135),$A$1+(BS135-BR135))</f>
        <v>0</v>
      </c>
      <c r="BU135" s="75"/>
      <c r="BV135" s="76"/>
      <c r="BW135" s="135"/>
      <c r="BX135" s="135"/>
      <c r="BY135" s="77">
        <f t="shared" ref="BY135:BY198" si="89">IF((BX135-BW135)&gt;=0,(BX135-BW135),$A$1+(BX135-BW135))</f>
        <v>0</v>
      </c>
      <c r="BZ135" s="78"/>
      <c r="CA135" s="142"/>
      <c r="CB135" s="142"/>
      <c r="CC135" s="77">
        <f t="shared" ref="CC135:CC198" si="90">IF((CB135-CA135)&gt;=0,(CB135-CA135),$A$1+(CB135-CA135))</f>
        <v>0</v>
      </c>
      <c r="CD135" s="78"/>
      <c r="CE135" s="142"/>
      <c r="CF135" s="142"/>
      <c r="CG135" s="79">
        <f t="shared" ref="CG135:CG198" si="91">IF((CF135-CE135)&gt;=0,(CF135-CE135),$A$1+(CF135-CE135))</f>
        <v>0</v>
      </c>
      <c r="CH135" s="75"/>
      <c r="CI135" s="76"/>
      <c r="CJ135" s="135"/>
      <c r="CK135" s="135"/>
      <c r="CL135" s="77">
        <f t="shared" ref="CL135:CL198" si="92">IF((CK135-CJ135)&gt;=0,(CK135-CJ135),$A$1+(CK135-CJ135))</f>
        <v>0</v>
      </c>
      <c r="CM135" s="78"/>
      <c r="CN135" s="142"/>
      <c r="CO135" s="142"/>
      <c r="CP135" s="77">
        <f t="shared" ref="CP135:CP198" si="93">IF((CO135-CN135)&gt;=0,(CO135-CN135),$A$1+(CO135-CN135))</f>
        <v>0</v>
      </c>
      <c r="CQ135" s="78"/>
      <c r="CR135" s="142"/>
      <c r="CS135" s="142"/>
      <c r="CT135" s="79">
        <f t="shared" ref="CT135:CT198" si="94">IF((CS135-CR135)&gt;=0,(CS135-CR135),$A$1+(CS135-CR135))</f>
        <v>0</v>
      </c>
      <c r="CU135" s="80">
        <f t="shared" si="72"/>
        <v>0</v>
      </c>
      <c r="CV135" s="81">
        <f t="shared" si="73"/>
        <v>0</v>
      </c>
      <c r="CW135" s="144"/>
      <c r="CX135" s="145">
        <f>IF(ISERROR(VLOOKUP($A135,FIJOS!$B$11:$O$590,14,FALSE)),0,VLOOKUP($A135,FIJOS!$B$11:$O$590,14,FALSE))</f>
        <v>0</v>
      </c>
      <c r="CY135" s="145">
        <f>IF(ISERROR(VLOOKUP(A135,FIJOS!$B$10:$P$590,15,FALSE)),0,VLOOKUP(A135,FIJOS!$B$10:$P$590,15,FALSE))</f>
        <v>0</v>
      </c>
      <c r="CZ135" s="156"/>
      <c r="DA135" s="146"/>
      <c r="DB135" s="147"/>
      <c r="DC135" s="147"/>
      <c r="DD135" s="147"/>
      <c r="DE135" s="147"/>
      <c r="DF135" s="145">
        <f>IF(ISERROR(VLOOKUP($A135,FIJOS!$B$11:$N$590,13,FALSE)),0,VLOOKUP($A135,FIJOS!$B$11:$N$590,13,FALSE))</f>
        <v>0</v>
      </c>
      <c r="DG135" s="145">
        <f>IF(ISERROR(VLOOKUP($A135,FIJOS!$B$11:$P$447,12,FALSE)),0,VLOOKUP($A135,FIJOS!$B$11:$P$447,12,FALSE))</f>
        <v>0</v>
      </c>
      <c r="DH135" s="82">
        <f t="shared" ref="DH135:DH198" si="95">SUM(CW135:DG135)</f>
        <v>0</v>
      </c>
      <c r="DI135" s="83" t="b">
        <f>IF($C135=1,(VLOOKUP($A135,FIJOS!$B$11:$P$545,10,FALSE)/7)*(7-$CU135),IF(AND($C135=2,CV135&lt;$DJ$1),(VLOOKUP($D135,HORAS!$B$4:$C$42,2,FALSE)*24)*$CV135,IF(AND($C135=2,CV135&gt;=$DJ$1),VLOOKUP($D135,HORAS!$B$4:$D$42,3,FALSE),IF(AND($C135=3,$CV135&gt;=$DJ$1),VLOOKUP($A135,FIJOS!$B$11:$P$545,10,FALSE),IF(AND($C135=3,$CV135&lt;$DJ$1),((VLOOKUP($A135,FIJOS!$B$11:$P$545,10,FALSE)/48)*24)*$CV135,IF(AND($C135=4,$CV135&gt;=(42/24)),VLOOKUP($D135,HORAS!$B$4:$D$42,3,FALSE),IF(AND($C135=5,$CV135&gt;=(36/24)),VLOOKUP($D135,HORAS!$B$4:$D$42,3,FALSE))))))))</f>
        <v>0</v>
      </c>
      <c r="DJ135" s="145">
        <f>IF(OR($C135=2),VLOOKUP($D135,HORAS!$B$4:$E$42,4,FALSE)*$EC135,IF(ISERROR(VLOOKUP($A135,FIJOS!$B$11:$P$108,9,FALSE)),0,VLOOKUP($A135,FIJOS!$B$11:$P$231,9,FALSE)*$EC135))</f>
        <v>0</v>
      </c>
      <c r="DK135" s="145">
        <f>IF(OR($C135=2),VLOOKUP($D135,HORAS!$B$4:$F$42,5,FALSE)*$EE135,IF(ISERROR(VLOOKUP($A135,FIJOS!$B$11:$P$108,9,FALSE)),0,VLOOKUP($A135,FIJOS!$B$11:$P$231,9,FALSE)*$EE135))</f>
        <v>0</v>
      </c>
      <c r="DL135" s="144"/>
      <c r="DM135" s="145">
        <f>IF(ISERROR(VLOOKUP($A135,FIJOS!$B$11:$L$646,11,FALSE)),0,VLOOKUP($A135,FIJOS!$B$11:$L$646,11,FALSE))</f>
        <v>0</v>
      </c>
      <c r="DN135" s="148" t="e">
        <f>IF(OR($C135=1,$C135=3),0,IF((VLOOKUP(CAPTURA!D135,HORAS!$B$4:$K$42,10,FALSE)/4)*COUNTIF($H135:$CT135,3)&gt;100,100,(VLOOKUP(CAPTURA!D135,HORAS!$B$4:$K$42,10,FALSE)/4)*COUNTIF($H135:$CT135,3)))</f>
        <v>#N/A</v>
      </c>
      <c r="DO135" s="144" t="e">
        <f>IF(OR($C135=1,$C135=3),0,IF($C135=5,VLOOKUP(D135,HORAS!$B$4:$G$42,6,FALSE),IF(AND($C135=4,$CV135&gt;=(42/24)),VLOOKUP(D135,HORAS!$B$4:$G$42,6,FALSE),IF(COUNTIF($H135:$CL135,"F")&gt;0,0,IF(CV135&gt;$DJ$1,$DJ$1*(VLOOKUP(D135,HORAS!$B$4:$G$42,6,FALSE)/$DJ$1),CV135*(VLOOKUP(D135,HORAS!$B$4:$G$42,6,FALSE)/$DJ$1))))))</f>
        <v>#N/A</v>
      </c>
      <c r="DP135" s="156"/>
      <c r="DQ135" s="148"/>
      <c r="DR135" s="148"/>
      <c r="DS135" s="83" t="e">
        <f t="shared" si="66"/>
        <v>#N/A</v>
      </c>
      <c r="DT135" s="84"/>
      <c r="DU135" s="149" t="e">
        <f t="shared" si="67"/>
        <v>#N/A</v>
      </c>
      <c r="DV135" s="149" t="e">
        <f t="shared" si="68"/>
        <v>#N/A</v>
      </c>
      <c r="DW135" s="144" t="e">
        <f t="shared" si="69"/>
        <v>#N/A</v>
      </c>
      <c r="DX135" s="134"/>
      <c r="DY135" s="29"/>
      <c r="DZ135" s="150"/>
      <c r="EA135" s="134"/>
      <c r="EB135" s="137">
        <f t="shared" si="70"/>
        <v>0</v>
      </c>
      <c r="EC135" s="138">
        <f t="shared" ref="EC135:EC198" si="96">EB135*24</f>
        <v>0</v>
      </c>
      <c r="ED135" s="137">
        <f t="shared" si="71"/>
        <v>0</v>
      </c>
      <c r="EE135" s="132">
        <f t="shared" ref="EE135:EE198" si="97">ED135*24</f>
        <v>0</v>
      </c>
      <c r="EF135" s="29"/>
      <c r="EG135" s="134"/>
      <c r="EH135" s="134"/>
      <c r="EI135" s="134"/>
      <c r="EK135" s="29"/>
    </row>
    <row r="136" spans="1:141" ht="15" customHeight="1" x14ac:dyDescent="0.25">
      <c r="A136" s="140"/>
      <c r="B136" s="151"/>
      <c r="C136" s="72"/>
      <c r="D136" s="73"/>
      <c r="E136" s="73"/>
      <c r="F136" s="141"/>
      <c r="G136" s="74"/>
      <c r="H136" s="75"/>
      <c r="I136" s="76"/>
      <c r="J136" s="135"/>
      <c r="K136" s="135"/>
      <c r="L136" s="77">
        <f t="shared" si="74"/>
        <v>0</v>
      </c>
      <c r="M136" s="78"/>
      <c r="N136" s="142"/>
      <c r="O136" s="142"/>
      <c r="P136" s="77">
        <f t="shared" si="75"/>
        <v>0</v>
      </c>
      <c r="Q136" s="78"/>
      <c r="R136" s="143"/>
      <c r="S136" s="143"/>
      <c r="T136" s="77">
        <f t="shared" si="76"/>
        <v>0</v>
      </c>
      <c r="U136" s="75"/>
      <c r="V136" s="76"/>
      <c r="W136" s="135"/>
      <c r="X136" s="135"/>
      <c r="Y136" s="77">
        <f t="shared" si="77"/>
        <v>0</v>
      </c>
      <c r="Z136" s="78"/>
      <c r="AA136" s="142"/>
      <c r="AB136" s="142"/>
      <c r="AC136" s="77">
        <f t="shared" si="78"/>
        <v>0</v>
      </c>
      <c r="AD136" s="78"/>
      <c r="AE136" s="143"/>
      <c r="AF136" s="143"/>
      <c r="AG136" s="79">
        <f t="shared" si="79"/>
        <v>0</v>
      </c>
      <c r="AH136" s="75"/>
      <c r="AI136" s="76"/>
      <c r="AJ136" s="135"/>
      <c r="AK136" s="135"/>
      <c r="AL136" s="77">
        <f t="shared" si="80"/>
        <v>0</v>
      </c>
      <c r="AM136" s="76"/>
      <c r="AN136" s="142"/>
      <c r="AO136" s="142"/>
      <c r="AP136" s="77">
        <f t="shared" si="81"/>
        <v>0</v>
      </c>
      <c r="AQ136" s="78"/>
      <c r="AR136" s="142"/>
      <c r="AS136" s="142"/>
      <c r="AT136" s="79">
        <f t="shared" si="82"/>
        <v>0</v>
      </c>
      <c r="AU136" s="75"/>
      <c r="AV136" s="76"/>
      <c r="AW136" s="135"/>
      <c r="AX136" s="135"/>
      <c r="AY136" s="77">
        <f t="shared" si="83"/>
        <v>0</v>
      </c>
      <c r="AZ136" s="76"/>
      <c r="BA136" s="142"/>
      <c r="BB136" s="142"/>
      <c r="BC136" s="77">
        <f t="shared" si="84"/>
        <v>0</v>
      </c>
      <c r="BD136" s="78"/>
      <c r="BE136" s="142"/>
      <c r="BF136" s="142"/>
      <c r="BG136" s="79">
        <f t="shared" si="85"/>
        <v>0</v>
      </c>
      <c r="BH136" s="75"/>
      <c r="BI136" s="76"/>
      <c r="BJ136" s="135"/>
      <c r="BK136" s="135"/>
      <c r="BL136" s="77">
        <f t="shared" si="86"/>
        <v>0</v>
      </c>
      <c r="BM136" s="78"/>
      <c r="BN136" s="142"/>
      <c r="BO136" s="142"/>
      <c r="BP136" s="77">
        <f t="shared" si="87"/>
        <v>0</v>
      </c>
      <c r="BQ136" s="78"/>
      <c r="BR136" s="142"/>
      <c r="BS136" s="142"/>
      <c r="BT136" s="79">
        <f t="shared" si="88"/>
        <v>0</v>
      </c>
      <c r="BU136" s="75"/>
      <c r="BV136" s="76"/>
      <c r="BW136" s="135"/>
      <c r="BX136" s="135"/>
      <c r="BY136" s="77">
        <f t="shared" si="89"/>
        <v>0</v>
      </c>
      <c r="BZ136" s="78"/>
      <c r="CA136" s="142"/>
      <c r="CB136" s="142"/>
      <c r="CC136" s="77">
        <f t="shared" si="90"/>
        <v>0</v>
      </c>
      <c r="CD136" s="78"/>
      <c r="CE136" s="142"/>
      <c r="CF136" s="142"/>
      <c r="CG136" s="79">
        <f t="shared" si="91"/>
        <v>0</v>
      </c>
      <c r="CH136" s="75"/>
      <c r="CI136" s="76"/>
      <c r="CJ136" s="135"/>
      <c r="CK136" s="135"/>
      <c r="CL136" s="77">
        <f t="shared" si="92"/>
        <v>0</v>
      </c>
      <c r="CM136" s="78"/>
      <c r="CN136" s="142"/>
      <c r="CO136" s="142"/>
      <c r="CP136" s="77">
        <f t="shared" si="93"/>
        <v>0</v>
      </c>
      <c r="CQ136" s="78"/>
      <c r="CR136" s="142"/>
      <c r="CS136" s="142"/>
      <c r="CT136" s="79">
        <f t="shared" si="94"/>
        <v>0</v>
      </c>
      <c r="CU136" s="80">
        <f t="shared" si="72"/>
        <v>0</v>
      </c>
      <c r="CV136" s="81">
        <f t="shared" si="73"/>
        <v>0</v>
      </c>
      <c r="CW136" s="144"/>
      <c r="CX136" s="145">
        <f>IF(ISERROR(VLOOKUP($A136,FIJOS!$B$11:$O$590,14,FALSE)),0,VLOOKUP($A136,FIJOS!$B$11:$O$590,14,FALSE))</f>
        <v>0</v>
      </c>
      <c r="CY136" s="145">
        <f>IF(ISERROR(VLOOKUP(A136,FIJOS!$B$10:$P$590,15,FALSE)),0,VLOOKUP(A136,FIJOS!$B$10:$P$590,15,FALSE))</f>
        <v>0</v>
      </c>
      <c r="CZ136" s="156"/>
      <c r="DA136" s="146"/>
      <c r="DB136" s="147"/>
      <c r="DC136" s="147"/>
      <c r="DD136" s="147"/>
      <c r="DE136" s="147"/>
      <c r="DF136" s="145">
        <f>IF(ISERROR(VLOOKUP($A136,FIJOS!$B$11:$N$590,13,FALSE)),0,VLOOKUP($A136,FIJOS!$B$11:$N$590,13,FALSE))</f>
        <v>0</v>
      </c>
      <c r="DG136" s="145">
        <f>IF(ISERROR(VLOOKUP($A136,FIJOS!$B$11:$P$447,12,FALSE)),0,VLOOKUP($A136,FIJOS!$B$11:$P$447,12,FALSE))</f>
        <v>0</v>
      </c>
      <c r="DH136" s="82">
        <f t="shared" si="95"/>
        <v>0</v>
      </c>
      <c r="DI136" s="83" t="b">
        <f>IF($C136=1,(VLOOKUP($A136,FIJOS!$B$11:$P$545,10,FALSE)/7)*(7-$CU136),IF(AND($C136=2,CV136&lt;$DJ$1),(VLOOKUP($D136,HORAS!$B$4:$C$42,2,FALSE)*24)*$CV136,IF(AND($C136=2,CV136&gt;=$DJ$1),VLOOKUP($D136,HORAS!$B$4:$D$42,3,FALSE),IF(AND($C136=3,$CV136&gt;=$DJ$1),VLOOKUP($A136,FIJOS!$B$11:$P$545,10,FALSE),IF(AND($C136=3,$CV136&lt;$DJ$1),((VLOOKUP($A136,FIJOS!$B$11:$P$545,10,FALSE)/48)*24)*$CV136,IF(AND($C136=4,$CV136&gt;=(42/24)),VLOOKUP($D136,HORAS!$B$4:$D$42,3,FALSE),IF(AND($C136=5,$CV136&gt;=(36/24)),VLOOKUP($D136,HORAS!$B$4:$D$42,3,FALSE))))))))</f>
        <v>0</v>
      </c>
      <c r="DJ136" s="145">
        <f>IF(OR($C136=2),VLOOKUP($D136,HORAS!$B$4:$E$42,4,FALSE)*$EC136,IF(ISERROR(VLOOKUP($A136,FIJOS!$B$11:$P$108,9,FALSE)),0,VLOOKUP($A136,FIJOS!$B$11:$P$231,9,FALSE)*$EC136))</f>
        <v>0</v>
      </c>
      <c r="DK136" s="145">
        <f>IF(OR($C136=2),VLOOKUP($D136,HORAS!$B$4:$F$42,5,FALSE)*$EE136,IF(ISERROR(VLOOKUP($A136,FIJOS!$B$11:$P$108,9,FALSE)),0,VLOOKUP($A136,FIJOS!$B$11:$P$231,9,FALSE)*$EE136))</f>
        <v>0</v>
      </c>
      <c r="DL136" s="144"/>
      <c r="DM136" s="145">
        <f>IF(ISERROR(VLOOKUP($A136,FIJOS!$B$11:$L$646,11,FALSE)),0,VLOOKUP($A136,FIJOS!$B$11:$L$646,11,FALSE))</f>
        <v>0</v>
      </c>
      <c r="DN136" s="148" t="e">
        <f>IF(OR($C136=1,$C136=3),0,IF((VLOOKUP(CAPTURA!D136,HORAS!$B$4:$K$42,10,FALSE)/4)*COUNTIF($H136:$CT136,3)&gt;100,100,(VLOOKUP(CAPTURA!D136,HORAS!$B$4:$K$42,10,FALSE)/4)*COUNTIF($H136:$CT136,3)))</f>
        <v>#N/A</v>
      </c>
      <c r="DO136" s="144" t="e">
        <f>IF(OR($C136=1,$C136=3),0,IF($C136=5,VLOOKUP(D136,HORAS!$B$4:$G$42,6,FALSE),IF(AND($C136=4,$CV136&gt;=(42/24)),VLOOKUP(D136,HORAS!$B$4:$G$42,6,FALSE),IF(COUNTIF($H136:$CL136,"F")&gt;0,0,IF(CV136&gt;$DJ$1,$DJ$1*(VLOOKUP(D136,HORAS!$B$4:$G$42,6,FALSE)/$DJ$1),CV136*(VLOOKUP(D136,HORAS!$B$4:$G$42,6,FALSE)/$DJ$1))))))</f>
        <v>#N/A</v>
      </c>
      <c r="DP136" s="156"/>
      <c r="DQ136" s="89"/>
      <c r="DR136" s="148"/>
      <c r="DS136" s="83" t="e">
        <f t="shared" ref="DS136:DS199" si="98">SUM(DI136:DR136)</f>
        <v>#N/A</v>
      </c>
      <c r="DT136" s="84"/>
      <c r="DU136" s="149" t="e">
        <f t="shared" ref="DU136:DU199" si="99">IF(DW136-DV136=0,0,DW136-DV136)</f>
        <v>#N/A</v>
      </c>
      <c r="DV136" s="149" t="e">
        <f t="shared" ref="DV136:DV199" si="100">IF(DS136&gt;DY136,DY136,DS136)-(CZ136+CY136)</f>
        <v>#N/A</v>
      </c>
      <c r="DW136" s="144" t="e">
        <f t="shared" ref="DW136:DW199" si="101">DS136-DH136</f>
        <v>#N/A</v>
      </c>
      <c r="DX136" s="134"/>
      <c r="DY136" s="29"/>
      <c r="DZ136" s="150"/>
      <c r="EA136" s="134"/>
      <c r="EB136" s="137">
        <f t="shared" ref="EB136:EB199" si="102">IF(CV136&lt;=$DJ$1,0,IF((CV136-$DJ$1)&gt;$EB$1,$EB$1,CV136-$DJ$1))</f>
        <v>0</v>
      </c>
      <c r="EC136" s="138">
        <f t="shared" si="96"/>
        <v>0</v>
      </c>
      <c r="ED136" s="137">
        <f t="shared" ref="ED136:ED199" si="103">IF(CV136&lt;=($EB$1+$DJ$1),0,CV136-($EB$1+$DJ$1))</f>
        <v>0</v>
      </c>
      <c r="EE136" s="132">
        <f t="shared" si="97"/>
        <v>0</v>
      </c>
      <c r="EF136" s="29"/>
      <c r="EG136" s="134"/>
      <c r="EH136" s="134"/>
      <c r="EI136" s="134"/>
      <c r="EK136" s="29"/>
    </row>
    <row r="137" spans="1:141" ht="15" customHeight="1" x14ac:dyDescent="0.25">
      <c r="A137" s="140"/>
      <c r="B137" s="151"/>
      <c r="C137" s="72"/>
      <c r="D137" s="73"/>
      <c r="E137" s="73"/>
      <c r="F137" s="141"/>
      <c r="G137" s="74"/>
      <c r="H137" s="75"/>
      <c r="I137" s="76"/>
      <c r="J137" s="135"/>
      <c r="K137" s="135"/>
      <c r="L137" s="77">
        <f t="shared" si="74"/>
        <v>0</v>
      </c>
      <c r="M137" s="78"/>
      <c r="N137" s="142"/>
      <c r="O137" s="142"/>
      <c r="P137" s="77">
        <f t="shared" si="75"/>
        <v>0</v>
      </c>
      <c r="Q137" s="78"/>
      <c r="R137" s="143"/>
      <c r="S137" s="143"/>
      <c r="T137" s="77">
        <f t="shared" si="76"/>
        <v>0</v>
      </c>
      <c r="U137" s="75"/>
      <c r="V137" s="76"/>
      <c r="W137" s="135"/>
      <c r="X137" s="135"/>
      <c r="Y137" s="77">
        <f t="shared" si="77"/>
        <v>0</v>
      </c>
      <c r="Z137" s="78"/>
      <c r="AA137" s="142"/>
      <c r="AB137" s="142"/>
      <c r="AC137" s="77">
        <f t="shared" si="78"/>
        <v>0</v>
      </c>
      <c r="AD137" s="78"/>
      <c r="AE137" s="143"/>
      <c r="AF137" s="143"/>
      <c r="AG137" s="79">
        <f t="shared" si="79"/>
        <v>0</v>
      </c>
      <c r="AH137" s="75"/>
      <c r="AI137" s="76"/>
      <c r="AJ137" s="135"/>
      <c r="AK137" s="135"/>
      <c r="AL137" s="77">
        <f t="shared" si="80"/>
        <v>0</v>
      </c>
      <c r="AM137" s="76"/>
      <c r="AN137" s="142"/>
      <c r="AO137" s="142"/>
      <c r="AP137" s="77">
        <f t="shared" si="81"/>
        <v>0</v>
      </c>
      <c r="AQ137" s="78"/>
      <c r="AR137" s="142"/>
      <c r="AS137" s="142"/>
      <c r="AT137" s="79">
        <f t="shared" si="82"/>
        <v>0</v>
      </c>
      <c r="AU137" s="75"/>
      <c r="AV137" s="76"/>
      <c r="AW137" s="135"/>
      <c r="AX137" s="135"/>
      <c r="AY137" s="77">
        <f t="shared" si="83"/>
        <v>0</v>
      </c>
      <c r="AZ137" s="76"/>
      <c r="BA137" s="142"/>
      <c r="BB137" s="142"/>
      <c r="BC137" s="77">
        <f t="shared" si="84"/>
        <v>0</v>
      </c>
      <c r="BD137" s="78"/>
      <c r="BE137" s="142"/>
      <c r="BF137" s="142"/>
      <c r="BG137" s="79">
        <f t="shared" si="85"/>
        <v>0</v>
      </c>
      <c r="BH137" s="75"/>
      <c r="BI137" s="76"/>
      <c r="BJ137" s="135"/>
      <c r="BK137" s="135"/>
      <c r="BL137" s="77">
        <f t="shared" si="86"/>
        <v>0</v>
      </c>
      <c r="BM137" s="78"/>
      <c r="BN137" s="142"/>
      <c r="BO137" s="142"/>
      <c r="BP137" s="77">
        <f t="shared" si="87"/>
        <v>0</v>
      </c>
      <c r="BQ137" s="78"/>
      <c r="BR137" s="142"/>
      <c r="BS137" s="142"/>
      <c r="BT137" s="79">
        <f t="shared" si="88"/>
        <v>0</v>
      </c>
      <c r="BU137" s="75"/>
      <c r="BV137" s="76"/>
      <c r="BW137" s="135"/>
      <c r="BX137" s="135"/>
      <c r="BY137" s="77">
        <f t="shared" si="89"/>
        <v>0</v>
      </c>
      <c r="BZ137" s="78"/>
      <c r="CA137" s="142"/>
      <c r="CB137" s="142"/>
      <c r="CC137" s="77">
        <f t="shared" si="90"/>
        <v>0</v>
      </c>
      <c r="CD137" s="78"/>
      <c r="CE137" s="142"/>
      <c r="CF137" s="142"/>
      <c r="CG137" s="79">
        <f t="shared" si="91"/>
        <v>0</v>
      </c>
      <c r="CH137" s="75"/>
      <c r="CI137" s="76"/>
      <c r="CJ137" s="135"/>
      <c r="CK137" s="135"/>
      <c r="CL137" s="77">
        <f t="shared" si="92"/>
        <v>0</v>
      </c>
      <c r="CM137" s="78"/>
      <c r="CN137" s="142"/>
      <c r="CO137" s="142"/>
      <c r="CP137" s="77">
        <f t="shared" si="93"/>
        <v>0</v>
      </c>
      <c r="CQ137" s="78"/>
      <c r="CR137" s="142"/>
      <c r="CS137" s="142"/>
      <c r="CT137" s="79">
        <f t="shared" si="94"/>
        <v>0</v>
      </c>
      <c r="CU137" s="80">
        <f t="shared" si="72"/>
        <v>0</v>
      </c>
      <c r="CV137" s="81">
        <f t="shared" si="73"/>
        <v>0</v>
      </c>
      <c r="CW137" s="144"/>
      <c r="CX137" s="145">
        <f>IF(ISERROR(VLOOKUP($A137,FIJOS!$B$11:$O$590,14,FALSE)),0,VLOOKUP($A137,FIJOS!$B$11:$O$590,14,FALSE))</f>
        <v>0</v>
      </c>
      <c r="CY137" s="145">
        <f>IF(ISERROR(VLOOKUP(A137,FIJOS!$B$10:$P$590,15,FALSE)),0,VLOOKUP(A137,FIJOS!$B$10:$P$590,15,FALSE))</f>
        <v>0</v>
      </c>
      <c r="CZ137" s="156"/>
      <c r="DA137" s="146"/>
      <c r="DB137" s="147"/>
      <c r="DC137" s="147"/>
      <c r="DD137" s="147"/>
      <c r="DE137" s="147"/>
      <c r="DF137" s="145">
        <f>IF(ISERROR(VLOOKUP($A137,FIJOS!$B$11:$N$590,13,FALSE)),0,VLOOKUP($A137,FIJOS!$B$11:$N$590,13,FALSE))</f>
        <v>0</v>
      </c>
      <c r="DG137" s="145">
        <f>IF(ISERROR(VLOOKUP($A137,FIJOS!$B$11:$P$447,12,FALSE)),0,VLOOKUP($A137,FIJOS!$B$11:$P$447,12,FALSE))</f>
        <v>0</v>
      </c>
      <c r="DH137" s="82">
        <f t="shared" si="95"/>
        <v>0</v>
      </c>
      <c r="DI137" s="83" t="b">
        <f>IF($C137=1,(VLOOKUP($A137,FIJOS!$B$11:$P$545,10,FALSE)/7)*(7-$CU137),IF(AND($C137=2,CV137&lt;$DJ$1),(VLOOKUP($D137,HORAS!$B$4:$C$42,2,FALSE)*24)*$CV137,IF(AND($C137=2,CV137&gt;=$DJ$1),VLOOKUP($D137,HORAS!$B$4:$D$42,3,FALSE),IF(AND($C137=3,$CV137&gt;=$DJ$1),VLOOKUP($A137,FIJOS!$B$11:$P$545,10,FALSE),IF(AND($C137=3,$CV137&lt;$DJ$1),((VLOOKUP($A137,FIJOS!$B$11:$P$545,10,FALSE)/48)*24)*$CV137,IF(AND($C137=4,$CV137&gt;=(42/24)),VLOOKUP($D137,HORAS!$B$4:$D$42,3,FALSE),IF(AND($C137=5,$CV137&gt;=(36/24)),VLOOKUP($D137,HORAS!$B$4:$D$42,3,FALSE))))))))</f>
        <v>0</v>
      </c>
      <c r="DJ137" s="145">
        <f>IF(OR($C137=2),VLOOKUP($D137,HORAS!$B$4:$E$42,4,FALSE)*$EC137,IF(ISERROR(VLOOKUP($A137,FIJOS!$B$11:$P$108,9,FALSE)),0,VLOOKUP($A137,FIJOS!$B$11:$P$231,9,FALSE)*$EC137))</f>
        <v>0</v>
      </c>
      <c r="DK137" s="145">
        <f>IF(OR($C137=2),VLOOKUP($D137,HORAS!$B$4:$F$42,5,FALSE)*$EE137,IF(ISERROR(VLOOKUP($A137,FIJOS!$B$11:$P$108,9,FALSE)),0,VLOOKUP($A137,FIJOS!$B$11:$P$231,9,FALSE)*$EE137))</f>
        <v>0</v>
      </c>
      <c r="DL137" s="144"/>
      <c r="DM137" s="145">
        <f>IF(ISERROR(VLOOKUP($A137,FIJOS!$B$11:$L$646,11,FALSE)),0,VLOOKUP($A137,FIJOS!$B$11:$L$646,11,FALSE))</f>
        <v>0</v>
      </c>
      <c r="DN137" s="148" t="e">
        <f>IF(OR($C137=1,$C137=3),0,IF((VLOOKUP(CAPTURA!D137,HORAS!$B$4:$K$42,10,FALSE)/4)*COUNTIF($H137:$CT137,3)&gt;100,100,(VLOOKUP(CAPTURA!D137,HORAS!$B$4:$K$42,10,FALSE)/4)*COUNTIF($H137:$CT137,3)))</f>
        <v>#N/A</v>
      </c>
      <c r="DO137" s="144" t="e">
        <f>IF(OR($C137=1,$C137=3),0,IF($C137=5,VLOOKUP(D137,HORAS!$B$4:$G$42,6,FALSE),IF(AND($C137=4,$CV137&gt;=(42/24)),VLOOKUP(D137,HORAS!$B$4:$G$42,6,FALSE),IF(COUNTIF($H137:$CL137,"F")&gt;0,0,IF(CV137&gt;$DJ$1,$DJ$1*(VLOOKUP(D137,HORAS!$B$4:$G$42,6,FALSE)/$DJ$1),CV137*(VLOOKUP(D137,HORAS!$B$4:$G$42,6,FALSE)/$DJ$1))))))</f>
        <v>#N/A</v>
      </c>
      <c r="DP137" s="156"/>
      <c r="DQ137" s="89"/>
      <c r="DR137" s="148"/>
      <c r="DS137" s="83" t="e">
        <f t="shared" si="98"/>
        <v>#N/A</v>
      </c>
      <c r="DT137" s="84"/>
      <c r="DU137" s="149" t="e">
        <f t="shared" si="99"/>
        <v>#N/A</v>
      </c>
      <c r="DV137" s="149" t="e">
        <f t="shared" si="100"/>
        <v>#N/A</v>
      </c>
      <c r="DW137" s="144" t="e">
        <f t="shared" si="101"/>
        <v>#N/A</v>
      </c>
      <c r="DX137" s="134"/>
      <c r="DY137" s="29"/>
      <c r="DZ137" s="150"/>
      <c r="EA137" s="137"/>
      <c r="EB137" s="137">
        <f t="shared" si="102"/>
        <v>0</v>
      </c>
      <c r="EC137" s="138">
        <f t="shared" si="96"/>
        <v>0</v>
      </c>
      <c r="ED137" s="137">
        <f t="shared" si="103"/>
        <v>0</v>
      </c>
      <c r="EE137" s="132">
        <f t="shared" si="97"/>
        <v>0</v>
      </c>
      <c r="EF137" s="29"/>
      <c r="EG137" s="134"/>
      <c r="EH137" s="134"/>
      <c r="EI137" s="134"/>
      <c r="EK137" s="29"/>
    </row>
    <row r="138" spans="1:141" ht="15" customHeight="1" x14ac:dyDescent="0.25">
      <c r="A138" s="140"/>
      <c r="B138" s="5"/>
      <c r="C138" s="72"/>
      <c r="D138" s="73"/>
      <c r="E138" s="73"/>
      <c r="F138" s="141"/>
      <c r="G138" s="74"/>
      <c r="H138" s="75"/>
      <c r="I138" s="76"/>
      <c r="J138" s="135"/>
      <c r="K138" s="135"/>
      <c r="L138" s="77">
        <f t="shared" si="74"/>
        <v>0</v>
      </c>
      <c r="M138" s="78"/>
      <c r="N138" s="142"/>
      <c r="O138" s="142"/>
      <c r="P138" s="77">
        <f t="shared" si="75"/>
        <v>0</v>
      </c>
      <c r="Q138" s="78"/>
      <c r="R138" s="143"/>
      <c r="S138" s="143"/>
      <c r="T138" s="77">
        <f t="shared" si="76"/>
        <v>0</v>
      </c>
      <c r="U138" s="75"/>
      <c r="V138" s="76"/>
      <c r="W138" s="135"/>
      <c r="X138" s="135"/>
      <c r="Y138" s="77">
        <f t="shared" si="77"/>
        <v>0</v>
      </c>
      <c r="Z138" s="78"/>
      <c r="AA138" s="142"/>
      <c r="AB138" s="142"/>
      <c r="AC138" s="77">
        <f t="shared" si="78"/>
        <v>0</v>
      </c>
      <c r="AD138" s="78"/>
      <c r="AE138" s="143"/>
      <c r="AF138" s="143"/>
      <c r="AG138" s="79">
        <f t="shared" si="79"/>
        <v>0</v>
      </c>
      <c r="AH138" s="75"/>
      <c r="AI138" s="76"/>
      <c r="AJ138" s="135"/>
      <c r="AK138" s="135"/>
      <c r="AL138" s="77">
        <f t="shared" si="80"/>
        <v>0</v>
      </c>
      <c r="AM138" s="76"/>
      <c r="AN138" s="142"/>
      <c r="AO138" s="142"/>
      <c r="AP138" s="77">
        <f t="shared" si="81"/>
        <v>0</v>
      </c>
      <c r="AQ138" s="78"/>
      <c r="AR138" s="142"/>
      <c r="AS138" s="142"/>
      <c r="AT138" s="79">
        <f t="shared" si="82"/>
        <v>0</v>
      </c>
      <c r="AU138" s="75"/>
      <c r="AV138" s="76"/>
      <c r="AW138" s="135"/>
      <c r="AX138" s="135"/>
      <c r="AY138" s="77">
        <f t="shared" si="83"/>
        <v>0</v>
      </c>
      <c r="AZ138" s="76"/>
      <c r="BA138" s="142"/>
      <c r="BB138" s="142"/>
      <c r="BC138" s="77">
        <f t="shared" si="84"/>
        <v>0</v>
      </c>
      <c r="BD138" s="78"/>
      <c r="BE138" s="142"/>
      <c r="BF138" s="142"/>
      <c r="BG138" s="79">
        <f t="shared" si="85"/>
        <v>0</v>
      </c>
      <c r="BH138" s="75"/>
      <c r="BI138" s="76"/>
      <c r="BJ138" s="135"/>
      <c r="BK138" s="135"/>
      <c r="BL138" s="77">
        <f t="shared" si="86"/>
        <v>0</v>
      </c>
      <c r="BM138" s="78"/>
      <c r="BN138" s="142"/>
      <c r="BO138" s="142"/>
      <c r="BP138" s="77">
        <f t="shared" si="87"/>
        <v>0</v>
      </c>
      <c r="BQ138" s="78"/>
      <c r="BR138" s="142"/>
      <c r="BS138" s="142"/>
      <c r="BT138" s="79">
        <f t="shared" si="88"/>
        <v>0</v>
      </c>
      <c r="BU138" s="75"/>
      <c r="BV138" s="76"/>
      <c r="BW138" s="135"/>
      <c r="BX138" s="135"/>
      <c r="BY138" s="77">
        <f t="shared" si="89"/>
        <v>0</v>
      </c>
      <c r="BZ138" s="78"/>
      <c r="CA138" s="142"/>
      <c r="CB138" s="142"/>
      <c r="CC138" s="77">
        <f t="shared" si="90"/>
        <v>0</v>
      </c>
      <c r="CD138" s="78"/>
      <c r="CE138" s="142"/>
      <c r="CF138" s="142"/>
      <c r="CG138" s="79">
        <f t="shared" si="91"/>
        <v>0</v>
      </c>
      <c r="CH138" s="75"/>
      <c r="CI138" s="76"/>
      <c r="CJ138" s="135"/>
      <c r="CK138" s="135"/>
      <c r="CL138" s="77">
        <f t="shared" si="92"/>
        <v>0</v>
      </c>
      <c r="CM138" s="78"/>
      <c r="CN138" s="142"/>
      <c r="CO138" s="142"/>
      <c r="CP138" s="77">
        <f t="shared" si="93"/>
        <v>0</v>
      </c>
      <c r="CQ138" s="78"/>
      <c r="CR138" s="142"/>
      <c r="CS138" s="142"/>
      <c r="CT138" s="79">
        <f t="shared" si="94"/>
        <v>0</v>
      </c>
      <c r="CU138" s="80">
        <f t="shared" si="72"/>
        <v>0</v>
      </c>
      <c r="CV138" s="81">
        <f t="shared" si="73"/>
        <v>0</v>
      </c>
      <c r="CW138" s="144"/>
      <c r="CX138" s="145">
        <f>IF(ISERROR(VLOOKUP($A138,FIJOS!$B$11:$O$590,14,FALSE)),0,VLOOKUP($A138,FIJOS!$B$11:$O$590,14,FALSE))</f>
        <v>0</v>
      </c>
      <c r="CY138" s="145">
        <f>IF(ISERROR(VLOOKUP(A138,FIJOS!$B$10:$P$590,15,FALSE)),0,VLOOKUP(A138,FIJOS!$B$10:$P$590,15,FALSE))</f>
        <v>0</v>
      </c>
      <c r="CZ138" s="156"/>
      <c r="DA138" s="146"/>
      <c r="DB138" s="147"/>
      <c r="DC138" s="147"/>
      <c r="DD138" s="147"/>
      <c r="DE138" s="147"/>
      <c r="DF138" s="145">
        <f>IF(ISERROR(VLOOKUP($A138,FIJOS!$B$11:$N$590,13,FALSE)),0,VLOOKUP($A138,FIJOS!$B$11:$N$590,13,FALSE))</f>
        <v>0</v>
      </c>
      <c r="DG138" s="145">
        <f>IF(ISERROR(VLOOKUP($A138,FIJOS!$B$11:$P$447,12,FALSE)),0,VLOOKUP($A138,FIJOS!$B$11:$P$447,12,FALSE))</f>
        <v>0</v>
      </c>
      <c r="DH138" s="82">
        <f t="shared" si="95"/>
        <v>0</v>
      </c>
      <c r="DI138" s="83" t="b">
        <f>IF($C138=1,(VLOOKUP($A138,FIJOS!$B$11:$P$545,10,FALSE)/7)*(7-$CU138),IF(AND($C138=2,CV138&lt;$DJ$1),(VLOOKUP($D138,HORAS!$B$4:$C$42,2,FALSE)*24)*$CV138,IF(AND($C138=2,CV138&gt;=$DJ$1),VLOOKUP($D138,HORAS!$B$4:$D$42,3,FALSE),IF(AND($C138=3,$CV138&gt;=$DJ$1),VLOOKUP($A138,FIJOS!$B$11:$P$545,10,FALSE),IF(AND($C138=3,$CV138&lt;$DJ$1),((VLOOKUP($A138,FIJOS!$B$11:$P$545,10,FALSE)/48)*24)*$CV138,IF(AND($C138=4,$CV138&gt;=(42/24)),VLOOKUP($D138,HORAS!$B$4:$D$42,3,FALSE),IF(AND($C138=5,$CV138&gt;=(36/24)),VLOOKUP($D138,HORAS!$B$4:$D$42,3,FALSE))))))))</f>
        <v>0</v>
      </c>
      <c r="DJ138" s="145">
        <f>IF(OR($C138=2),VLOOKUP($D138,HORAS!$B$4:$E$42,4,FALSE)*$EC138,IF(ISERROR(VLOOKUP($A138,FIJOS!$B$11:$P$108,9,FALSE)),0,VLOOKUP($A138,FIJOS!$B$11:$P$231,9,FALSE)*$EC138))</f>
        <v>0</v>
      </c>
      <c r="DK138" s="145">
        <f>IF(OR($C138=2),VLOOKUP($D138,HORAS!$B$4:$F$42,5,FALSE)*$EE138,IF(ISERROR(VLOOKUP($A138,FIJOS!$B$11:$P$108,9,FALSE)),0,VLOOKUP($A138,FIJOS!$B$11:$P$231,9,FALSE)*$EE138))</f>
        <v>0</v>
      </c>
      <c r="DL138" s="144"/>
      <c r="DM138" s="145">
        <f>IF(ISERROR(VLOOKUP($A138,FIJOS!$B$11:$L$646,11,FALSE)),0,VLOOKUP($A138,FIJOS!$B$11:$L$646,11,FALSE))</f>
        <v>0</v>
      </c>
      <c r="DN138" s="148" t="e">
        <f>IF(OR($C138=1,$C138=3),0,IF((VLOOKUP(CAPTURA!D138,HORAS!$B$4:$K$42,10,FALSE)/4)*COUNTIF($H138:$CT138,3)&gt;100,100,(VLOOKUP(CAPTURA!D138,HORAS!$B$4:$K$42,10,FALSE)/4)*COUNTIF($H138:$CT138,3)))</f>
        <v>#N/A</v>
      </c>
      <c r="DO138" s="144" t="e">
        <f>IF(OR($C138=1,$C138=3),0,IF($C138=5,VLOOKUP(D138,HORAS!$B$4:$G$42,6,FALSE),IF(AND($C138=4,$CV138&gt;=(42/24)),VLOOKUP(D138,HORAS!$B$4:$G$42,6,FALSE),IF(COUNTIF($H138:$CL138,"F")&gt;0,0,IF(CV138&gt;$DJ$1,$DJ$1*(VLOOKUP(D138,HORAS!$B$4:$G$42,6,FALSE)/$DJ$1),CV138*(VLOOKUP(D138,HORAS!$B$4:$G$42,6,FALSE)/$DJ$1))))))</f>
        <v>#N/A</v>
      </c>
      <c r="DP138" s="156"/>
      <c r="DQ138" s="89"/>
      <c r="DR138" s="148"/>
      <c r="DS138" s="83" t="e">
        <f t="shared" si="98"/>
        <v>#N/A</v>
      </c>
      <c r="DT138" s="84"/>
      <c r="DU138" s="149" t="e">
        <f t="shared" si="99"/>
        <v>#N/A</v>
      </c>
      <c r="DV138" s="149" t="e">
        <f t="shared" si="100"/>
        <v>#N/A</v>
      </c>
      <c r="DW138" s="144" t="e">
        <f t="shared" si="101"/>
        <v>#N/A</v>
      </c>
      <c r="DX138" s="134"/>
      <c r="DY138" s="29"/>
      <c r="DZ138" s="150"/>
      <c r="EA138" s="134"/>
      <c r="EB138" s="137">
        <f t="shared" si="102"/>
        <v>0</v>
      </c>
      <c r="EC138" s="138">
        <f t="shared" si="96"/>
        <v>0</v>
      </c>
      <c r="ED138" s="137">
        <f t="shared" si="103"/>
        <v>0</v>
      </c>
      <c r="EE138" s="132">
        <f t="shared" si="97"/>
        <v>0</v>
      </c>
      <c r="EF138" s="29"/>
      <c r="EG138" s="134"/>
      <c r="EH138" s="134"/>
      <c r="EI138" s="134"/>
      <c r="EK138" s="29"/>
    </row>
    <row r="139" spans="1:141" ht="15" customHeight="1" x14ac:dyDescent="0.25">
      <c r="A139" s="140"/>
      <c r="B139" s="5"/>
      <c r="C139" s="72"/>
      <c r="D139" s="73"/>
      <c r="E139" s="73"/>
      <c r="F139" s="141"/>
      <c r="G139" s="74"/>
      <c r="H139" s="75"/>
      <c r="I139" s="76"/>
      <c r="J139" s="135"/>
      <c r="K139" s="135"/>
      <c r="L139" s="77">
        <f t="shared" si="74"/>
        <v>0</v>
      </c>
      <c r="M139" s="78"/>
      <c r="N139" s="142"/>
      <c r="O139" s="142"/>
      <c r="P139" s="77">
        <f t="shared" si="75"/>
        <v>0</v>
      </c>
      <c r="Q139" s="78"/>
      <c r="R139" s="143"/>
      <c r="S139" s="143"/>
      <c r="T139" s="77">
        <f t="shared" si="76"/>
        <v>0</v>
      </c>
      <c r="U139" s="75"/>
      <c r="V139" s="76"/>
      <c r="W139" s="135"/>
      <c r="X139" s="135"/>
      <c r="Y139" s="77">
        <f t="shared" si="77"/>
        <v>0</v>
      </c>
      <c r="Z139" s="78"/>
      <c r="AA139" s="142"/>
      <c r="AB139" s="142"/>
      <c r="AC139" s="77">
        <f t="shared" si="78"/>
        <v>0</v>
      </c>
      <c r="AD139" s="78"/>
      <c r="AE139" s="143"/>
      <c r="AF139" s="143"/>
      <c r="AG139" s="79">
        <f t="shared" si="79"/>
        <v>0</v>
      </c>
      <c r="AH139" s="75"/>
      <c r="AI139" s="76"/>
      <c r="AJ139" s="135"/>
      <c r="AK139" s="135"/>
      <c r="AL139" s="77">
        <f t="shared" si="80"/>
        <v>0</v>
      </c>
      <c r="AM139" s="76"/>
      <c r="AN139" s="142"/>
      <c r="AO139" s="142"/>
      <c r="AP139" s="77">
        <f t="shared" si="81"/>
        <v>0</v>
      </c>
      <c r="AQ139" s="78"/>
      <c r="AR139" s="142"/>
      <c r="AS139" s="142"/>
      <c r="AT139" s="79">
        <f t="shared" si="82"/>
        <v>0</v>
      </c>
      <c r="AU139" s="75"/>
      <c r="AV139" s="76"/>
      <c r="AW139" s="135"/>
      <c r="AX139" s="135"/>
      <c r="AY139" s="77">
        <f t="shared" si="83"/>
        <v>0</v>
      </c>
      <c r="AZ139" s="76"/>
      <c r="BA139" s="142"/>
      <c r="BB139" s="142"/>
      <c r="BC139" s="77">
        <f t="shared" si="84"/>
        <v>0</v>
      </c>
      <c r="BD139" s="78"/>
      <c r="BE139" s="142"/>
      <c r="BF139" s="142"/>
      <c r="BG139" s="79">
        <f t="shared" si="85"/>
        <v>0</v>
      </c>
      <c r="BH139" s="75"/>
      <c r="BI139" s="76"/>
      <c r="BJ139" s="135"/>
      <c r="BK139" s="135"/>
      <c r="BL139" s="77">
        <f t="shared" si="86"/>
        <v>0</v>
      </c>
      <c r="BM139" s="78"/>
      <c r="BN139" s="142"/>
      <c r="BO139" s="142"/>
      <c r="BP139" s="77">
        <f t="shared" si="87"/>
        <v>0</v>
      </c>
      <c r="BQ139" s="78"/>
      <c r="BR139" s="142"/>
      <c r="BS139" s="142"/>
      <c r="BT139" s="79">
        <f t="shared" si="88"/>
        <v>0</v>
      </c>
      <c r="BU139" s="75"/>
      <c r="BV139" s="76"/>
      <c r="BW139" s="135"/>
      <c r="BX139" s="135"/>
      <c r="BY139" s="77">
        <f t="shared" si="89"/>
        <v>0</v>
      </c>
      <c r="BZ139" s="78"/>
      <c r="CA139" s="142"/>
      <c r="CB139" s="142"/>
      <c r="CC139" s="77">
        <f t="shared" si="90"/>
        <v>0</v>
      </c>
      <c r="CD139" s="78"/>
      <c r="CE139" s="142"/>
      <c r="CF139" s="142"/>
      <c r="CG139" s="79">
        <f t="shared" si="91"/>
        <v>0</v>
      </c>
      <c r="CH139" s="75"/>
      <c r="CI139" s="76"/>
      <c r="CJ139" s="135"/>
      <c r="CK139" s="135"/>
      <c r="CL139" s="77">
        <f t="shared" si="92"/>
        <v>0</v>
      </c>
      <c r="CM139" s="78"/>
      <c r="CN139" s="142"/>
      <c r="CO139" s="142"/>
      <c r="CP139" s="77">
        <f t="shared" si="93"/>
        <v>0</v>
      </c>
      <c r="CQ139" s="78"/>
      <c r="CR139" s="142"/>
      <c r="CS139" s="142"/>
      <c r="CT139" s="79">
        <f t="shared" si="94"/>
        <v>0</v>
      </c>
      <c r="CU139" s="80">
        <f t="shared" si="72"/>
        <v>0</v>
      </c>
      <c r="CV139" s="81">
        <f t="shared" si="73"/>
        <v>0</v>
      </c>
      <c r="CW139" s="144"/>
      <c r="CX139" s="145">
        <f>IF(ISERROR(VLOOKUP($A139,FIJOS!$B$11:$O$590,14,FALSE)),0,VLOOKUP($A139,FIJOS!$B$11:$O$590,14,FALSE))</f>
        <v>0</v>
      </c>
      <c r="CY139" s="145">
        <f>IF(ISERROR(VLOOKUP(A139,FIJOS!$B$10:$P$590,15,FALSE)),0,VLOOKUP(A139,FIJOS!$B$10:$P$590,15,FALSE))</f>
        <v>0</v>
      </c>
      <c r="CZ139" s="156"/>
      <c r="DA139" s="146"/>
      <c r="DB139" s="147"/>
      <c r="DC139" s="147"/>
      <c r="DD139" s="147"/>
      <c r="DE139" s="147"/>
      <c r="DF139" s="145">
        <f>IF(ISERROR(VLOOKUP($A139,FIJOS!$B$11:$N$590,13,FALSE)),0,VLOOKUP($A139,FIJOS!$B$11:$N$590,13,FALSE))</f>
        <v>0</v>
      </c>
      <c r="DG139" s="145">
        <f>IF(ISERROR(VLOOKUP($A139,FIJOS!$B$11:$P$447,12,FALSE)),0,VLOOKUP($A139,FIJOS!$B$11:$P$447,12,FALSE))</f>
        <v>0</v>
      </c>
      <c r="DH139" s="82">
        <f t="shared" si="95"/>
        <v>0</v>
      </c>
      <c r="DI139" s="83" t="b">
        <f>IF($C139=1,(VLOOKUP($A139,FIJOS!$B$11:$P$545,10,FALSE)/7)*(7-$CU139),IF(AND($C139=2,CV139&lt;$DJ$1),(VLOOKUP($D139,HORAS!$B$4:$C$42,2,FALSE)*24)*$CV139,IF(AND($C139=2,CV139&gt;=$DJ$1),VLOOKUP($D139,HORAS!$B$4:$D$42,3,FALSE),IF(AND($C139=3,$CV139&gt;=$DJ$1),VLOOKUP($A139,FIJOS!$B$11:$P$545,10,FALSE),IF(AND($C139=3,$CV139&lt;$DJ$1),((VLOOKUP($A139,FIJOS!$B$11:$P$545,10,FALSE)/48)*24)*$CV139,IF(AND($C139=4,$CV139&gt;=(42/24)),VLOOKUP($D139,HORAS!$B$4:$D$42,3,FALSE),IF(AND($C139=5,$CV139&gt;=(36/24)),VLOOKUP($D139,HORAS!$B$4:$D$42,3,FALSE))))))))</f>
        <v>0</v>
      </c>
      <c r="DJ139" s="145">
        <f>IF(OR($C139=2),VLOOKUP($D139,HORAS!$B$4:$E$42,4,FALSE)*$EC139,IF(ISERROR(VLOOKUP($A139,FIJOS!$B$11:$P$108,9,FALSE)),0,VLOOKUP($A139,FIJOS!$B$11:$P$231,9,FALSE)*$EC139))</f>
        <v>0</v>
      </c>
      <c r="DK139" s="145">
        <f>IF(OR($C139=2),VLOOKUP($D139,HORAS!$B$4:$F$42,5,FALSE)*$EE139,IF(ISERROR(VLOOKUP($A139,FIJOS!$B$11:$P$108,9,FALSE)),0,VLOOKUP($A139,FIJOS!$B$11:$P$231,9,FALSE)*$EE139))</f>
        <v>0</v>
      </c>
      <c r="DL139" s="144"/>
      <c r="DM139" s="145">
        <f>IF(ISERROR(VLOOKUP($A139,FIJOS!$B$11:$L$646,11,FALSE)),0,VLOOKUP($A139,FIJOS!$B$11:$L$646,11,FALSE))</f>
        <v>0</v>
      </c>
      <c r="DN139" s="148" t="e">
        <f>IF(OR($C139=1,$C139=3),0,IF((VLOOKUP(CAPTURA!D139,HORAS!$B$4:$K$42,10,FALSE)/4)*COUNTIF($H139:$CT139,3)&gt;100,100,(VLOOKUP(CAPTURA!D139,HORAS!$B$4:$K$42,10,FALSE)/4)*COUNTIF($H139:$CT139,3)))</f>
        <v>#N/A</v>
      </c>
      <c r="DO139" s="144" t="e">
        <f>IF(OR($C139=1,$C139=3),0,IF($C139=5,VLOOKUP(D139,HORAS!$B$4:$G$42,6,FALSE),IF(AND($C139=4,$CV139&gt;=(42/24)),VLOOKUP(D139,HORAS!$B$4:$G$42,6,FALSE),IF(COUNTIF($H139:$CL139,"F")&gt;0,0,IF(CV139&gt;$DJ$1,$DJ$1*(VLOOKUP(D139,HORAS!$B$4:$G$42,6,FALSE)/$DJ$1),CV139*(VLOOKUP(D139,HORAS!$B$4:$G$42,6,FALSE)/$DJ$1))))))</f>
        <v>#N/A</v>
      </c>
      <c r="DP139" s="156"/>
      <c r="DQ139" s="89"/>
      <c r="DR139" s="148"/>
      <c r="DS139" s="83" t="e">
        <f t="shared" si="98"/>
        <v>#N/A</v>
      </c>
      <c r="DT139" s="84"/>
      <c r="DU139" s="149" t="e">
        <f t="shared" si="99"/>
        <v>#N/A</v>
      </c>
      <c r="DV139" s="149" t="e">
        <f t="shared" si="100"/>
        <v>#N/A</v>
      </c>
      <c r="DW139" s="144" t="e">
        <f t="shared" si="101"/>
        <v>#N/A</v>
      </c>
      <c r="DX139" s="134"/>
      <c r="DY139" s="29"/>
      <c r="DZ139" s="150"/>
      <c r="EA139" s="134"/>
      <c r="EB139" s="137">
        <f t="shared" si="102"/>
        <v>0</v>
      </c>
      <c r="EC139" s="138">
        <f t="shared" si="96"/>
        <v>0</v>
      </c>
      <c r="ED139" s="137">
        <f t="shared" si="103"/>
        <v>0</v>
      </c>
      <c r="EE139" s="132">
        <f t="shared" si="97"/>
        <v>0</v>
      </c>
      <c r="EF139" s="29"/>
      <c r="EG139" s="134"/>
      <c r="EH139" s="134"/>
      <c r="EI139" s="134"/>
      <c r="EK139" s="29"/>
    </row>
    <row r="140" spans="1:141" ht="15" customHeight="1" x14ac:dyDescent="0.25">
      <c r="A140" s="140"/>
      <c r="B140" s="151"/>
      <c r="C140" s="72"/>
      <c r="D140" s="73"/>
      <c r="E140" s="73"/>
      <c r="F140" s="141"/>
      <c r="G140" s="74"/>
      <c r="H140" s="75"/>
      <c r="I140" s="76"/>
      <c r="J140" s="135"/>
      <c r="K140" s="86"/>
      <c r="L140" s="77">
        <f t="shared" si="74"/>
        <v>0</v>
      </c>
      <c r="M140" s="78"/>
      <c r="N140" s="142"/>
      <c r="O140" s="142"/>
      <c r="P140" s="77">
        <f t="shared" si="75"/>
        <v>0</v>
      </c>
      <c r="Q140" s="78"/>
      <c r="R140" s="143"/>
      <c r="S140" s="143"/>
      <c r="T140" s="77">
        <f t="shared" si="76"/>
        <v>0</v>
      </c>
      <c r="U140" s="75"/>
      <c r="V140" s="76"/>
      <c r="W140" s="135"/>
      <c r="X140" s="135"/>
      <c r="Y140" s="77">
        <f t="shared" si="77"/>
        <v>0</v>
      </c>
      <c r="Z140" s="78"/>
      <c r="AA140" s="142"/>
      <c r="AB140" s="142"/>
      <c r="AC140" s="77">
        <f t="shared" si="78"/>
        <v>0</v>
      </c>
      <c r="AD140" s="78"/>
      <c r="AE140" s="143"/>
      <c r="AF140" s="143"/>
      <c r="AG140" s="79">
        <f t="shared" si="79"/>
        <v>0</v>
      </c>
      <c r="AH140" s="75"/>
      <c r="AI140" s="76"/>
      <c r="AJ140" s="135"/>
      <c r="AK140" s="135"/>
      <c r="AL140" s="77">
        <f t="shared" si="80"/>
        <v>0</v>
      </c>
      <c r="AM140" s="76"/>
      <c r="AN140" s="142"/>
      <c r="AO140" s="142"/>
      <c r="AP140" s="77">
        <f t="shared" si="81"/>
        <v>0</v>
      </c>
      <c r="AQ140" s="78"/>
      <c r="AR140" s="142"/>
      <c r="AS140" s="142"/>
      <c r="AT140" s="79">
        <f t="shared" si="82"/>
        <v>0</v>
      </c>
      <c r="AU140" s="75"/>
      <c r="AV140" s="76"/>
      <c r="AW140" s="135"/>
      <c r="AX140" s="135"/>
      <c r="AY140" s="77">
        <f t="shared" si="83"/>
        <v>0</v>
      </c>
      <c r="AZ140" s="76"/>
      <c r="BA140" s="142"/>
      <c r="BB140" s="142"/>
      <c r="BC140" s="77">
        <f t="shared" si="84"/>
        <v>0</v>
      </c>
      <c r="BD140" s="78"/>
      <c r="BE140" s="142"/>
      <c r="BF140" s="142"/>
      <c r="BG140" s="79">
        <f t="shared" si="85"/>
        <v>0</v>
      </c>
      <c r="BH140" s="75"/>
      <c r="BI140" s="76"/>
      <c r="BJ140" s="135"/>
      <c r="BK140" s="135"/>
      <c r="BL140" s="77">
        <f t="shared" si="86"/>
        <v>0</v>
      </c>
      <c r="BM140" s="78"/>
      <c r="BN140" s="142"/>
      <c r="BO140" s="142"/>
      <c r="BP140" s="77">
        <f t="shared" si="87"/>
        <v>0</v>
      </c>
      <c r="BQ140" s="78"/>
      <c r="BR140" s="142"/>
      <c r="BS140" s="142"/>
      <c r="BT140" s="79">
        <f t="shared" si="88"/>
        <v>0</v>
      </c>
      <c r="BU140" s="75"/>
      <c r="BV140" s="76"/>
      <c r="BW140" s="135"/>
      <c r="BX140" s="135"/>
      <c r="BY140" s="77">
        <f t="shared" si="89"/>
        <v>0</v>
      </c>
      <c r="BZ140" s="78"/>
      <c r="CA140" s="142"/>
      <c r="CB140" s="142"/>
      <c r="CC140" s="77">
        <f t="shared" si="90"/>
        <v>0</v>
      </c>
      <c r="CD140" s="78"/>
      <c r="CE140" s="142"/>
      <c r="CF140" s="142"/>
      <c r="CG140" s="79">
        <f t="shared" si="91"/>
        <v>0</v>
      </c>
      <c r="CH140" s="75"/>
      <c r="CI140" s="76"/>
      <c r="CJ140" s="135"/>
      <c r="CK140" s="135"/>
      <c r="CL140" s="77">
        <f t="shared" si="92"/>
        <v>0</v>
      </c>
      <c r="CM140" s="78"/>
      <c r="CN140" s="142"/>
      <c r="CO140" s="142"/>
      <c r="CP140" s="77">
        <f t="shared" si="93"/>
        <v>0</v>
      </c>
      <c r="CQ140" s="78"/>
      <c r="CR140" s="142"/>
      <c r="CS140" s="142"/>
      <c r="CT140" s="79">
        <f t="shared" si="94"/>
        <v>0</v>
      </c>
      <c r="CU140" s="80">
        <f t="shared" si="72"/>
        <v>0</v>
      </c>
      <c r="CV140" s="81">
        <f t="shared" si="73"/>
        <v>0</v>
      </c>
      <c r="CW140" s="144"/>
      <c r="CX140" s="145">
        <f>IF(ISERROR(VLOOKUP($A140,FIJOS!$B$11:$O$590,14,FALSE)),0,VLOOKUP($A140,FIJOS!$B$11:$O$590,14,FALSE))</f>
        <v>0</v>
      </c>
      <c r="CY140" s="145">
        <f>IF(ISERROR(VLOOKUP(A140,FIJOS!$B$10:$P$590,15,FALSE)),0,VLOOKUP(A140,FIJOS!$B$10:$P$590,15,FALSE))</f>
        <v>0</v>
      </c>
      <c r="CZ140" s="156"/>
      <c r="DA140" s="146"/>
      <c r="DB140" s="147"/>
      <c r="DC140" s="147"/>
      <c r="DD140" s="147"/>
      <c r="DE140" s="147"/>
      <c r="DF140" s="145">
        <f>IF(ISERROR(VLOOKUP($A140,FIJOS!$B$11:$N$590,13,FALSE)),0,VLOOKUP($A140,FIJOS!$B$11:$N$590,13,FALSE))</f>
        <v>0</v>
      </c>
      <c r="DG140" s="145">
        <f>IF(ISERROR(VLOOKUP($A140,FIJOS!$B$11:$P$447,12,FALSE)),0,VLOOKUP($A140,FIJOS!$B$11:$P$447,12,FALSE))</f>
        <v>0</v>
      </c>
      <c r="DH140" s="82">
        <f t="shared" si="95"/>
        <v>0</v>
      </c>
      <c r="DI140" s="83" t="b">
        <f>IF($C140=1,(VLOOKUP($A140,FIJOS!$B$11:$P$545,10,FALSE)/7)*(7-$CU140),IF(AND($C140=2,CV140&lt;$DJ$1),(VLOOKUP($D140,HORAS!$B$4:$C$42,2,FALSE)*24)*$CV140,IF(AND($C140=2,CV140&gt;=$DJ$1),VLOOKUP($D140,HORAS!$B$4:$D$42,3,FALSE),IF(AND($C140=3,$CV140&gt;=$DJ$1),VLOOKUP($A140,FIJOS!$B$11:$P$545,10,FALSE),IF(AND($C140=3,$CV140&lt;$DJ$1),((VLOOKUP($A140,FIJOS!$B$11:$P$545,10,FALSE)/48)*24)*$CV140,IF(AND($C140=4,$CV140&gt;=(42/24)),VLOOKUP($D140,HORAS!$B$4:$D$42,3,FALSE),IF(AND($C140=5,$CV140&gt;=(36/24)),VLOOKUP($D140,HORAS!$B$4:$D$42,3,FALSE))))))))</f>
        <v>0</v>
      </c>
      <c r="DJ140" s="145">
        <f>IF(OR($C140=2),VLOOKUP($D140,HORAS!$B$4:$E$42,4,FALSE)*$EC140,IF(ISERROR(VLOOKUP($A140,FIJOS!$B$11:$P$108,9,FALSE)),0,VLOOKUP($A140,FIJOS!$B$11:$P$231,9,FALSE)*$EC140))</f>
        <v>0</v>
      </c>
      <c r="DK140" s="145">
        <f>IF(OR($C140=2),VLOOKUP($D140,HORAS!$B$4:$F$42,5,FALSE)*$EE140,IF(ISERROR(VLOOKUP($A140,FIJOS!$B$11:$P$108,9,FALSE)),0,VLOOKUP($A140,FIJOS!$B$11:$P$231,9,FALSE)*$EE140))</f>
        <v>0</v>
      </c>
      <c r="DL140" s="144"/>
      <c r="DM140" s="145">
        <f>IF(ISERROR(VLOOKUP($A140,FIJOS!$B$11:$L$646,11,FALSE)),0,VLOOKUP($A140,FIJOS!$B$11:$L$646,11,FALSE))</f>
        <v>0</v>
      </c>
      <c r="DN140" s="148" t="e">
        <f>IF(OR($C140=1,$C140=3),0,IF((VLOOKUP(CAPTURA!D140,HORAS!$B$4:$K$42,10,FALSE)/4)*COUNTIF($H140:$CT140,3)&gt;100,100,(VLOOKUP(CAPTURA!D140,HORAS!$B$4:$K$42,10,FALSE)/4)*COUNTIF($H140:$CT140,3)))</f>
        <v>#N/A</v>
      </c>
      <c r="DO140" s="144" t="e">
        <f>IF(OR($C140=1,$C140=3),0,IF($C140=5,VLOOKUP(D140,HORAS!$B$4:$G$42,6,FALSE),IF(AND($C140=4,$CV140&gt;=(42/24)),VLOOKUP(D140,HORAS!$B$4:$G$42,6,FALSE),IF(COUNTIF($H140:$CL140,"F")&gt;0,0,IF(CV140&gt;$DJ$1,$DJ$1*(VLOOKUP(D140,HORAS!$B$4:$G$42,6,FALSE)/$DJ$1),CV140*(VLOOKUP(D140,HORAS!$B$4:$G$42,6,FALSE)/$DJ$1))))))</f>
        <v>#N/A</v>
      </c>
      <c r="DP140" s="156"/>
      <c r="DQ140" s="89"/>
      <c r="DR140" s="148"/>
      <c r="DS140" s="83" t="e">
        <f t="shared" si="98"/>
        <v>#N/A</v>
      </c>
      <c r="DT140" s="84"/>
      <c r="DU140" s="149" t="e">
        <f t="shared" si="99"/>
        <v>#N/A</v>
      </c>
      <c r="DV140" s="149" t="e">
        <f t="shared" si="100"/>
        <v>#N/A</v>
      </c>
      <c r="DW140" s="144" t="e">
        <f t="shared" si="101"/>
        <v>#N/A</v>
      </c>
      <c r="DX140"/>
      <c r="DY140" s="29"/>
      <c r="DZ140" s="150"/>
      <c r="EA140" s="137"/>
      <c r="EB140" s="137">
        <f t="shared" si="102"/>
        <v>0</v>
      </c>
      <c r="EC140" s="138">
        <f t="shared" si="96"/>
        <v>0</v>
      </c>
      <c r="ED140" s="137">
        <f t="shared" si="103"/>
        <v>0</v>
      </c>
      <c r="EE140" s="132">
        <f t="shared" si="97"/>
        <v>0</v>
      </c>
      <c r="EF140" s="29"/>
      <c r="EG140" s="134"/>
      <c r="EH140" s="134"/>
      <c r="EI140" s="134"/>
      <c r="EK140" s="29"/>
    </row>
    <row r="141" spans="1:141" ht="15" customHeight="1" x14ac:dyDescent="0.25">
      <c r="A141" s="140"/>
      <c r="B141" s="151"/>
      <c r="C141" s="72"/>
      <c r="D141" s="73"/>
      <c r="E141" s="73"/>
      <c r="F141" s="141"/>
      <c r="G141" s="74"/>
      <c r="H141" s="75"/>
      <c r="I141" s="76"/>
      <c r="J141" s="135"/>
      <c r="K141" s="135"/>
      <c r="L141" s="77">
        <f t="shared" si="74"/>
        <v>0</v>
      </c>
      <c r="M141" s="78"/>
      <c r="N141" s="142"/>
      <c r="O141" s="142"/>
      <c r="P141" s="77">
        <f t="shared" si="75"/>
        <v>0</v>
      </c>
      <c r="Q141" s="78"/>
      <c r="R141" s="143"/>
      <c r="S141" s="143"/>
      <c r="T141" s="77">
        <f t="shared" si="76"/>
        <v>0</v>
      </c>
      <c r="U141" s="75"/>
      <c r="V141" s="76"/>
      <c r="W141" s="135"/>
      <c r="X141" s="135"/>
      <c r="Y141" s="77">
        <f t="shared" si="77"/>
        <v>0</v>
      </c>
      <c r="Z141" s="78"/>
      <c r="AA141" s="142"/>
      <c r="AB141" s="142"/>
      <c r="AC141" s="77">
        <f t="shared" si="78"/>
        <v>0</v>
      </c>
      <c r="AD141" s="78"/>
      <c r="AE141" s="143"/>
      <c r="AF141" s="143"/>
      <c r="AG141" s="79">
        <f t="shared" si="79"/>
        <v>0</v>
      </c>
      <c r="AH141" s="75"/>
      <c r="AI141" s="76"/>
      <c r="AJ141" s="135"/>
      <c r="AK141" s="135"/>
      <c r="AL141" s="77">
        <f t="shared" si="80"/>
        <v>0</v>
      </c>
      <c r="AM141" s="76"/>
      <c r="AN141" s="142"/>
      <c r="AO141" s="142"/>
      <c r="AP141" s="77">
        <f t="shared" si="81"/>
        <v>0</v>
      </c>
      <c r="AQ141" s="78"/>
      <c r="AR141" s="142"/>
      <c r="AS141" s="142"/>
      <c r="AT141" s="79">
        <f t="shared" si="82"/>
        <v>0</v>
      </c>
      <c r="AU141" s="75"/>
      <c r="AV141" s="76"/>
      <c r="AW141" s="135"/>
      <c r="AX141" s="135"/>
      <c r="AY141" s="77">
        <f t="shared" si="83"/>
        <v>0</v>
      </c>
      <c r="AZ141" s="76"/>
      <c r="BA141" s="142"/>
      <c r="BB141" s="142"/>
      <c r="BC141" s="77">
        <f t="shared" si="84"/>
        <v>0</v>
      </c>
      <c r="BD141" s="78"/>
      <c r="BE141" s="142"/>
      <c r="BF141" s="142"/>
      <c r="BG141" s="79">
        <f t="shared" si="85"/>
        <v>0</v>
      </c>
      <c r="BH141" s="75"/>
      <c r="BI141" s="76"/>
      <c r="BJ141" s="135"/>
      <c r="BK141" s="135"/>
      <c r="BL141" s="77">
        <f t="shared" si="86"/>
        <v>0</v>
      </c>
      <c r="BM141" s="78"/>
      <c r="BN141" s="142"/>
      <c r="BO141" s="142"/>
      <c r="BP141" s="77">
        <f t="shared" si="87"/>
        <v>0</v>
      </c>
      <c r="BQ141" s="78"/>
      <c r="BR141" s="142"/>
      <c r="BS141" s="142"/>
      <c r="BT141" s="79">
        <f t="shared" si="88"/>
        <v>0</v>
      </c>
      <c r="BU141" s="75"/>
      <c r="BV141" s="76"/>
      <c r="BW141" s="135"/>
      <c r="BX141" s="135"/>
      <c r="BY141" s="77">
        <f t="shared" si="89"/>
        <v>0</v>
      </c>
      <c r="BZ141" s="78"/>
      <c r="CA141" s="142"/>
      <c r="CB141" s="142"/>
      <c r="CC141" s="77">
        <f t="shared" si="90"/>
        <v>0</v>
      </c>
      <c r="CD141" s="78"/>
      <c r="CE141" s="142"/>
      <c r="CF141" s="142"/>
      <c r="CG141" s="79">
        <f t="shared" si="91"/>
        <v>0</v>
      </c>
      <c r="CH141" s="75"/>
      <c r="CI141" s="76"/>
      <c r="CJ141" s="135"/>
      <c r="CK141" s="135"/>
      <c r="CL141" s="77">
        <f t="shared" si="92"/>
        <v>0</v>
      </c>
      <c r="CM141" s="78"/>
      <c r="CN141" s="142"/>
      <c r="CO141" s="142"/>
      <c r="CP141" s="77">
        <f t="shared" si="93"/>
        <v>0</v>
      </c>
      <c r="CQ141" s="78"/>
      <c r="CR141" s="142"/>
      <c r="CS141" s="142"/>
      <c r="CT141" s="79">
        <f t="shared" si="94"/>
        <v>0</v>
      </c>
      <c r="CU141" s="80">
        <f t="shared" si="72"/>
        <v>0</v>
      </c>
      <c r="CV141" s="81">
        <f t="shared" si="73"/>
        <v>0</v>
      </c>
      <c r="CW141" s="144"/>
      <c r="CX141" s="145">
        <f>IF(ISERROR(VLOOKUP($A141,FIJOS!$B$11:$O$590,14,FALSE)),0,VLOOKUP($A141,FIJOS!$B$11:$O$590,14,FALSE))</f>
        <v>0</v>
      </c>
      <c r="CY141" s="145">
        <f>IF(ISERROR(VLOOKUP(A141,FIJOS!$B$10:$P$590,15,FALSE)),0,VLOOKUP(A141,FIJOS!$B$10:$P$590,15,FALSE))</f>
        <v>0</v>
      </c>
      <c r="CZ141" s="156"/>
      <c r="DA141" s="146"/>
      <c r="DB141" s="147"/>
      <c r="DC141" s="147"/>
      <c r="DD141" s="147"/>
      <c r="DE141" s="147"/>
      <c r="DF141" s="145">
        <f>IF(ISERROR(VLOOKUP($A141,FIJOS!$B$11:$N$590,13,FALSE)),0,VLOOKUP($A141,FIJOS!$B$11:$N$590,13,FALSE))</f>
        <v>0</v>
      </c>
      <c r="DG141" s="145">
        <f>IF(ISERROR(VLOOKUP($A141,FIJOS!$B$11:$P$447,12,FALSE)),0,VLOOKUP($A141,FIJOS!$B$11:$P$447,12,FALSE))</f>
        <v>0</v>
      </c>
      <c r="DH141" s="82">
        <f t="shared" si="95"/>
        <v>0</v>
      </c>
      <c r="DI141" s="83" t="b">
        <f>IF($C141=1,(VLOOKUP($A141,FIJOS!$B$11:$P$545,10,FALSE)/7)*(7-$CU141),IF(AND($C141=2,CV141&lt;$DJ$1),(VLOOKUP($D141,HORAS!$B$4:$C$42,2,FALSE)*24)*$CV141,IF(AND($C141=2,CV141&gt;=$DJ$1),VLOOKUP($D141,HORAS!$B$4:$D$42,3,FALSE),IF(AND($C141=3,$CV141&gt;=$DJ$1),VLOOKUP($A141,FIJOS!$B$11:$P$545,10,FALSE),IF(AND($C141=3,$CV141&lt;$DJ$1),((VLOOKUP($A141,FIJOS!$B$11:$P$545,10,FALSE)/48)*24)*$CV141,IF(AND($C141=4,$CV141&gt;=(42/24)),VLOOKUP($D141,HORAS!$B$4:$D$42,3,FALSE),IF(AND($C141=5,$CV141&gt;=(36/24)),VLOOKUP($D141,HORAS!$B$4:$D$42,3,FALSE))))))))</f>
        <v>0</v>
      </c>
      <c r="DJ141" s="145">
        <f>IF(OR($C141=2),VLOOKUP($D141,HORAS!$B$4:$E$42,4,FALSE)*$EC141,IF(ISERROR(VLOOKUP($A141,FIJOS!$B$11:$P$108,9,FALSE)),0,VLOOKUP($A141,FIJOS!$B$11:$P$231,9,FALSE)*$EC141))</f>
        <v>0</v>
      </c>
      <c r="DK141" s="145">
        <f>IF(OR($C141=2),VLOOKUP($D141,HORAS!$B$4:$F$42,5,FALSE)*$EE141,IF(ISERROR(VLOOKUP($A141,FIJOS!$B$11:$P$108,9,FALSE)),0,VLOOKUP($A141,FIJOS!$B$11:$P$231,9,FALSE)*$EE141))</f>
        <v>0</v>
      </c>
      <c r="DL141" s="144"/>
      <c r="DM141" s="145">
        <f>IF(ISERROR(VLOOKUP($A141,FIJOS!$B$11:$L$646,11,FALSE)),0,VLOOKUP($A141,FIJOS!$B$11:$L$646,11,FALSE))</f>
        <v>0</v>
      </c>
      <c r="DN141" s="148" t="e">
        <f>IF(OR($C141=1,$C141=3),0,IF((VLOOKUP(CAPTURA!D141,HORAS!$B$4:$K$42,10,FALSE)/4)*COUNTIF($H141:$CT141,3)&gt;100,100,(VLOOKUP(CAPTURA!D141,HORAS!$B$4:$K$42,10,FALSE)/4)*COUNTIF($H141:$CT141,3)))</f>
        <v>#N/A</v>
      </c>
      <c r="DO141" s="144" t="e">
        <f>IF(OR($C141=1,$C141=3),0,IF($C141=5,VLOOKUP(D141,HORAS!$B$4:$G$42,6,FALSE),IF(AND($C141=4,$CV141&gt;=(42/24)),VLOOKUP(D141,HORAS!$B$4:$G$42,6,FALSE),IF(COUNTIF($H141:$CL141,"F")&gt;0,0,IF(CV141&gt;$DJ$1,$DJ$1*(VLOOKUP(D141,HORAS!$B$4:$G$42,6,FALSE)/$DJ$1),CV141*(VLOOKUP(D141,HORAS!$B$4:$G$42,6,FALSE)/$DJ$1))))))</f>
        <v>#N/A</v>
      </c>
      <c r="DP141" s="156"/>
      <c r="DQ141" s="148"/>
      <c r="DR141" s="148"/>
      <c r="DS141" s="83" t="e">
        <f t="shared" si="98"/>
        <v>#N/A</v>
      </c>
      <c r="DT141" s="84"/>
      <c r="DU141" s="149" t="e">
        <f t="shared" si="99"/>
        <v>#N/A</v>
      </c>
      <c r="DV141" s="149" t="e">
        <f t="shared" si="100"/>
        <v>#N/A</v>
      </c>
      <c r="DW141" s="144" t="e">
        <f t="shared" si="101"/>
        <v>#N/A</v>
      </c>
      <c r="DX141"/>
      <c r="DY141" s="29"/>
      <c r="DZ141" s="150"/>
      <c r="EA141" s="134"/>
      <c r="EB141" s="137">
        <f t="shared" si="102"/>
        <v>0</v>
      </c>
      <c r="EC141" s="138">
        <f t="shared" si="96"/>
        <v>0</v>
      </c>
      <c r="ED141" s="137">
        <f t="shared" si="103"/>
        <v>0</v>
      </c>
      <c r="EE141" s="132">
        <f t="shared" si="97"/>
        <v>0</v>
      </c>
      <c r="EF141" s="29"/>
      <c r="EG141" s="134"/>
      <c r="EH141" s="134"/>
      <c r="EI141" s="134"/>
      <c r="EK141" s="29"/>
    </row>
    <row r="142" spans="1:141" ht="15" customHeight="1" x14ac:dyDescent="0.25">
      <c r="A142" s="140"/>
      <c r="B142" s="151"/>
      <c r="C142" s="72"/>
      <c r="D142" s="73"/>
      <c r="E142" s="73"/>
      <c r="F142" s="141"/>
      <c r="G142" s="74"/>
      <c r="H142" s="75"/>
      <c r="I142" s="76"/>
      <c r="J142" s="135"/>
      <c r="K142" s="135"/>
      <c r="L142" s="77">
        <f t="shared" si="74"/>
        <v>0</v>
      </c>
      <c r="M142" s="78"/>
      <c r="N142" s="142"/>
      <c r="O142" s="142"/>
      <c r="P142" s="77">
        <f t="shared" si="75"/>
        <v>0</v>
      </c>
      <c r="Q142" s="78"/>
      <c r="R142" s="143"/>
      <c r="S142" s="143"/>
      <c r="T142" s="77">
        <f t="shared" si="76"/>
        <v>0</v>
      </c>
      <c r="U142" s="136"/>
      <c r="V142" s="76"/>
      <c r="W142" s="135"/>
      <c r="X142" s="135"/>
      <c r="Y142" s="77">
        <f t="shared" si="77"/>
        <v>0</v>
      </c>
      <c r="Z142" s="78"/>
      <c r="AA142" s="142"/>
      <c r="AB142" s="142"/>
      <c r="AC142" s="77">
        <f t="shared" si="78"/>
        <v>0</v>
      </c>
      <c r="AD142" s="78"/>
      <c r="AE142" s="143"/>
      <c r="AF142" s="143"/>
      <c r="AG142" s="79">
        <f t="shared" si="79"/>
        <v>0</v>
      </c>
      <c r="AH142" s="75"/>
      <c r="AI142" s="76"/>
      <c r="AJ142" s="135"/>
      <c r="AK142" s="135"/>
      <c r="AL142" s="77">
        <f t="shared" si="80"/>
        <v>0</v>
      </c>
      <c r="AM142" s="76"/>
      <c r="AN142" s="142"/>
      <c r="AO142" s="142"/>
      <c r="AP142" s="77">
        <f t="shared" si="81"/>
        <v>0</v>
      </c>
      <c r="AQ142" s="78"/>
      <c r="AR142" s="142"/>
      <c r="AS142" s="142"/>
      <c r="AT142" s="79">
        <f t="shared" si="82"/>
        <v>0</v>
      </c>
      <c r="AU142" s="76"/>
      <c r="AV142" s="76"/>
      <c r="AW142" s="135"/>
      <c r="AX142" s="135"/>
      <c r="AY142" s="77">
        <f t="shared" si="83"/>
        <v>0</v>
      </c>
      <c r="AZ142" s="76"/>
      <c r="BA142" s="142"/>
      <c r="BB142" s="142"/>
      <c r="BC142" s="77">
        <f t="shared" si="84"/>
        <v>0</v>
      </c>
      <c r="BD142" s="78"/>
      <c r="BE142" s="142"/>
      <c r="BF142" s="142"/>
      <c r="BG142" s="79">
        <f t="shared" si="85"/>
        <v>0</v>
      </c>
      <c r="BH142" s="75"/>
      <c r="BI142" s="76"/>
      <c r="BJ142" s="135"/>
      <c r="BK142" s="135"/>
      <c r="BL142" s="77">
        <f t="shared" si="86"/>
        <v>0</v>
      </c>
      <c r="BM142" s="78"/>
      <c r="BN142" s="142"/>
      <c r="BO142" s="142"/>
      <c r="BP142" s="77">
        <f t="shared" si="87"/>
        <v>0</v>
      </c>
      <c r="BQ142" s="78"/>
      <c r="BR142" s="142"/>
      <c r="BS142" s="142"/>
      <c r="BT142" s="79">
        <f t="shared" si="88"/>
        <v>0</v>
      </c>
      <c r="BU142" s="75"/>
      <c r="BV142" s="76"/>
      <c r="BW142" s="135"/>
      <c r="BX142" s="135"/>
      <c r="BY142" s="77">
        <f t="shared" si="89"/>
        <v>0</v>
      </c>
      <c r="BZ142" s="78"/>
      <c r="CA142" s="142"/>
      <c r="CB142" s="142"/>
      <c r="CC142" s="77">
        <f t="shared" si="90"/>
        <v>0</v>
      </c>
      <c r="CD142" s="78"/>
      <c r="CE142" s="142"/>
      <c r="CF142" s="142"/>
      <c r="CG142" s="79">
        <f t="shared" si="91"/>
        <v>0</v>
      </c>
      <c r="CH142" s="75"/>
      <c r="CI142" s="76"/>
      <c r="CJ142" s="135"/>
      <c r="CK142" s="135"/>
      <c r="CL142" s="77">
        <f t="shared" si="92"/>
        <v>0</v>
      </c>
      <c r="CM142" s="78"/>
      <c r="CN142" s="142"/>
      <c r="CO142" s="142"/>
      <c r="CP142" s="77">
        <f t="shared" si="93"/>
        <v>0</v>
      </c>
      <c r="CQ142" s="78"/>
      <c r="CR142" s="142"/>
      <c r="CS142" s="142"/>
      <c r="CT142" s="79">
        <f t="shared" si="94"/>
        <v>0</v>
      </c>
      <c r="CU142" s="80">
        <f t="shared" si="72"/>
        <v>0</v>
      </c>
      <c r="CV142" s="81">
        <f t="shared" si="73"/>
        <v>0</v>
      </c>
      <c r="CW142" s="144"/>
      <c r="CX142" s="145">
        <f>IF(ISERROR(VLOOKUP($A142,FIJOS!$B$11:$O$590,14,FALSE)),0,VLOOKUP($A142,FIJOS!$B$11:$O$590,14,FALSE))</f>
        <v>0</v>
      </c>
      <c r="CY142" s="145">
        <f>IF(ISERROR(VLOOKUP(A142,FIJOS!$B$10:$P$590,15,FALSE)),0,VLOOKUP(A142,FIJOS!$B$10:$P$590,15,FALSE))</f>
        <v>0</v>
      </c>
      <c r="CZ142" s="156"/>
      <c r="DA142" s="146"/>
      <c r="DB142" s="147"/>
      <c r="DC142" s="147"/>
      <c r="DD142" s="147"/>
      <c r="DE142" s="147"/>
      <c r="DF142" s="145">
        <f>IF(ISERROR(VLOOKUP($A142,FIJOS!$B$11:$N$590,13,FALSE)),0,VLOOKUP($A142,FIJOS!$B$11:$N$590,13,FALSE))</f>
        <v>0</v>
      </c>
      <c r="DG142" s="145">
        <f>IF(ISERROR(VLOOKUP($A142,FIJOS!$B$11:$P$447,12,FALSE)),0,VLOOKUP($A142,FIJOS!$B$11:$P$447,12,FALSE))</f>
        <v>0</v>
      </c>
      <c r="DH142" s="82">
        <f t="shared" si="95"/>
        <v>0</v>
      </c>
      <c r="DI142" s="83" t="b">
        <f>IF($C142=1,(VLOOKUP($A142,FIJOS!$B$11:$P$545,10,FALSE)/7)*(7-$CU142),IF(AND($C142=2,CV142&lt;$DJ$1),(VLOOKUP($D142,HORAS!$B$4:$C$42,2,FALSE)*24)*$CV142,IF(AND($C142=2,CV142&gt;=$DJ$1),VLOOKUP($D142,HORAS!$B$4:$D$42,3,FALSE),IF(AND($C142=3,$CV142&gt;=$DJ$1),VLOOKUP($A142,FIJOS!$B$11:$P$545,10,FALSE),IF(AND($C142=3,$CV142&lt;$DJ$1),((VLOOKUP($A142,FIJOS!$B$11:$P$545,10,FALSE)/48)*24)*$CV142,IF(AND($C142=4,$CV142&gt;=(42/24)),VLOOKUP($D142,HORAS!$B$4:$D$42,3,FALSE),IF(AND($C142=5,$CV142&gt;=(36/24)),VLOOKUP($D142,HORAS!$B$4:$D$42,3,FALSE))))))))</f>
        <v>0</v>
      </c>
      <c r="DJ142" s="145">
        <f>IF(OR($C142=2),VLOOKUP($D142,HORAS!$B$4:$E$42,4,FALSE)*$EC142,IF(ISERROR(VLOOKUP($A142,FIJOS!$B$11:$P$108,9,FALSE)),0,VLOOKUP($A142,FIJOS!$B$11:$P$231,9,FALSE)*$EC142))</f>
        <v>0</v>
      </c>
      <c r="DK142" s="145">
        <f>IF(OR($C142=2),VLOOKUP($D142,HORAS!$B$4:$F$42,5,FALSE)*$EE142,IF(ISERROR(VLOOKUP($A142,FIJOS!$B$11:$P$108,9,FALSE)),0,VLOOKUP($A142,FIJOS!$B$11:$P$231,9,FALSE)*$EE142))</f>
        <v>0</v>
      </c>
      <c r="DL142" s="144"/>
      <c r="DM142" s="145">
        <f>IF(ISERROR(VLOOKUP($A142,FIJOS!$B$11:$L$646,11,FALSE)),0,VLOOKUP($A142,FIJOS!$B$11:$L$646,11,FALSE))</f>
        <v>0</v>
      </c>
      <c r="DN142" s="148" t="e">
        <f>IF(OR($C142=1,$C142=3),0,IF((VLOOKUP(CAPTURA!D142,HORAS!$B$4:$K$42,10,FALSE)/4)*COUNTIF($H142:$CT142,3)&gt;100,100,(VLOOKUP(CAPTURA!D142,HORAS!$B$4:$K$42,10,FALSE)/4)*COUNTIF($H142:$CT142,3)))</f>
        <v>#N/A</v>
      </c>
      <c r="DO142" s="144" t="e">
        <f>IF(OR($C142=1,$C142=3),0,IF($C142=5,VLOOKUP(D142,HORAS!$B$4:$G$42,6,FALSE),IF(AND($C142=4,$CV142&gt;=(42/24)),VLOOKUP(D142,HORAS!$B$4:$G$42,6,FALSE),IF(COUNTIF($H142:$CL142,"F")&gt;0,0,IF(CV142&gt;$DJ$1,$DJ$1*(VLOOKUP(D142,HORAS!$B$4:$G$42,6,FALSE)/$DJ$1),CV142*(VLOOKUP(D142,HORAS!$B$4:$G$42,6,FALSE)/$DJ$1))))))</f>
        <v>#N/A</v>
      </c>
      <c r="DP142" s="156"/>
      <c r="DQ142" s="89"/>
      <c r="DR142" s="148"/>
      <c r="DS142" s="83" t="e">
        <f t="shared" si="98"/>
        <v>#N/A</v>
      </c>
      <c r="DT142" s="84"/>
      <c r="DU142" s="149" t="e">
        <f t="shared" si="99"/>
        <v>#N/A</v>
      </c>
      <c r="DV142" s="149" t="e">
        <f t="shared" si="100"/>
        <v>#N/A</v>
      </c>
      <c r="DW142" s="144" t="e">
        <f t="shared" si="101"/>
        <v>#N/A</v>
      </c>
      <c r="DX142" s="134"/>
      <c r="DY142" s="29"/>
      <c r="DZ142" s="150"/>
      <c r="EA142" s="137"/>
      <c r="EB142" s="137">
        <f t="shared" si="102"/>
        <v>0</v>
      </c>
      <c r="EC142" s="138">
        <f t="shared" si="96"/>
        <v>0</v>
      </c>
      <c r="ED142" s="137">
        <f t="shared" si="103"/>
        <v>0</v>
      </c>
      <c r="EE142" s="132">
        <f t="shared" si="97"/>
        <v>0</v>
      </c>
      <c r="EF142" s="29"/>
      <c r="EG142" s="134"/>
      <c r="EH142" s="134"/>
      <c r="EI142" s="134"/>
      <c r="EK142" s="29"/>
    </row>
    <row r="143" spans="1:141" ht="15" customHeight="1" x14ac:dyDescent="0.25">
      <c r="A143" s="140"/>
      <c r="B143" s="151"/>
      <c r="C143" s="72"/>
      <c r="D143" s="73"/>
      <c r="E143" s="73"/>
      <c r="F143" s="141"/>
      <c r="G143" s="74"/>
      <c r="H143" s="75"/>
      <c r="I143" s="76"/>
      <c r="J143" s="135"/>
      <c r="K143" s="135"/>
      <c r="L143" s="77">
        <f t="shared" si="74"/>
        <v>0</v>
      </c>
      <c r="M143" s="78"/>
      <c r="N143" s="142"/>
      <c r="O143" s="142"/>
      <c r="P143" s="77">
        <f t="shared" si="75"/>
        <v>0</v>
      </c>
      <c r="Q143" s="78"/>
      <c r="R143" s="143"/>
      <c r="S143" s="143"/>
      <c r="T143" s="77">
        <f t="shared" si="76"/>
        <v>0</v>
      </c>
      <c r="U143" s="75"/>
      <c r="V143" s="76"/>
      <c r="W143" s="135"/>
      <c r="X143" s="135"/>
      <c r="Y143" s="77">
        <f t="shared" si="77"/>
        <v>0</v>
      </c>
      <c r="Z143" s="78"/>
      <c r="AA143" s="142"/>
      <c r="AB143" s="142"/>
      <c r="AC143" s="77">
        <f t="shared" si="78"/>
        <v>0</v>
      </c>
      <c r="AD143" s="78"/>
      <c r="AE143" s="143"/>
      <c r="AF143" s="143"/>
      <c r="AG143" s="79">
        <f t="shared" si="79"/>
        <v>0</v>
      </c>
      <c r="AH143" s="75"/>
      <c r="AI143" s="76"/>
      <c r="AJ143" s="135"/>
      <c r="AK143" s="135"/>
      <c r="AL143" s="77">
        <f t="shared" si="80"/>
        <v>0</v>
      </c>
      <c r="AM143" s="76"/>
      <c r="AN143" s="142"/>
      <c r="AO143" s="142"/>
      <c r="AP143" s="77">
        <f t="shared" si="81"/>
        <v>0</v>
      </c>
      <c r="AQ143" s="78"/>
      <c r="AR143" s="142"/>
      <c r="AS143" s="142"/>
      <c r="AT143" s="79">
        <f t="shared" si="82"/>
        <v>0</v>
      </c>
      <c r="AU143" s="75"/>
      <c r="AV143" s="76"/>
      <c r="AW143" s="135"/>
      <c r="AX143" s="135"/>
      <c r="AY143" s="77">
        <f t="shared" si="83"/>
        <v>0</v>
      </c>
      <c r="AZ143" s="76"/>
      <c r="BA143" s="142"/>
      <c r="BB143" s="142"/>
      <c r="BC143" s="77">
        <f t="shared" si="84"/>
        <v>0</v>
      </c>
      <c r="BD143" s="78"/>
      <c r="BE143" s="142"/>
      <c r="BF143" s="142"/>
      <c r="BG143" s="79">
        <f t="shared" si="85"/>
        <v>0</v>
      </c>
      <c r="BH143" s="75"/>
      <c r="BI143" s="76"/>
      <c r="BJ143" s="135"/>
      <c r="BK143" s="135"/>
      <c r="BL143" s="77">
        <f t="shared" si="86"/>
        <v>0</v>
      </c>
      <c r="BM143" s="78"/>
      <c r="BN143" s="142"/>
      <c r="BO143" s="142"/>
      <c r="BP143" s="77">
        <f t="shared" si="87"/>
        <v>0</v>
      </c>
      <c r="BQ143" s="78"/>
      <c r="BR143" s="142"/>
      <c r="BS143" s="142"/>
      <c r="BT143" s="79">
        <f t="shared" si="88"/>
        <v>0</v>
      </c>
      <c r="BU143" s="75"/>
      <c r="BV143" s="76"/>
      <c r="BW143" s="135"/>
      <c r="BX143" s="135"/>
      <c r="BY143" s="77">
        <f t="shared" si="89"/>
        <v>0</v>
      </c>
      <c r="BZ143" s="78"/>
      <c r="CA143" s="142"/>
      <c r="CB143" s="142"/>
      <c r="CC143" s="77">
        <f t="shared" si="90"/>
        <v>0</v>
      </c>
      <c r="CD143" s="78"/>
      <c r="CE143" s="142"/>
      <c r="CF143" s="142"/>
      <c r="CG143" s="79">
        <f t="shared" si="91"/>
        <v>0</v>
      </c>
      <c r="CH143" s="75"/>
      <c r="CI143" s="76"/>
      <c r="CJ143" s="135"/>
      <c r="CK143" s="135"/>
      <c r="CL143" s="77">
        <f t="shared" si="92"/>
        <v>0</v>
      </c>
      <c r="CM143" s="78"/>
      <c r="CN143" s="142"/>
      <c r="CO143" s="142"/>
      <c r="CP143" s="77">
        <f t="shared" si="93"/>
        <v>0</v>
      </c>
      <c r="CQ143" s="78"/>
      <c r="CR143" s="142"/>
      <c r="CS143" s="142"/>
      <c r="CT143" s="79">
        <f t="shared" si="94"/>
        <v>0</v>
      </c>
      <c r="CU143" s="80">
        <f t="shared" si="72"/>
        <v>0</v>
      </c>
      <c r="CV143" s="81">
        <f t="shared" si="73"/>
        <v>0</v>
      </c>
      <c r="CW143" s="144"/>
      <c r="CX143" s="145">
        <f>IF(ISERROR(VLOOKUP($A143,FIJOS!$B$11:$O$590,14,FALSE)),0,VLOOKUP($A143,FIJOS!$B$11:$O$590,14,FALSE))</f>
        <v>0</v>
      </c>
      <c r="CY143" s="145">
        <f>IF(ISERROR(VLOOKUP(A143,FIJOS!$B$10:$P$590,15,FALSE)),0,VLOOKUP(A143,FIJOS!$B$10:$P$590,15,FALSE))</f>
        <v>0</v>
      </c>
      <c r="CZ143" s="156"/>
      <c r="DA143" s="146"/>
      <c r="DB143" s="147"/>
      <c r="DC143" s="147"/>
      <c r="DD143" s="147"/>
      <c r="DE143" s="147"/>
      <c r="DF143" s="145">
        <f>IF(ISERROR(VLOOKUP($A143,FIJOS!$B$11:$N$590,13,FALSE)),0,VLOOKUP($A143,FIJOS!$B$11:$N$590,13,FALSE))</f>
        <v>0</v>
      </c>
      <c r="DG143" s="145">
        <f>IF(ISERROR(VLOOKUP($A143,FIJOS!$B$11:$P$447,12,FALSE)),0,VLOOKUP($A143,FIJOS!$B$11:$P$447,12,FALSE))</f>
        <v>0</v>
      </c>
      <c r="DH143" s="82">
        <f t="shared" si="95"/>
        <v>0</v>
      </c>
      <c r="DI143" s="83" t="b">
        <f>IF($C143=1,(VLOOKUP($A143,FIJOS!$B$11:$P$545,10,FALSE)/7)*(7-$CU143),IF(AND($C143=2,CV143&lt;$DJ$1),(VLOOKUP($D143,HORAS!$B$4:$C$42,2,FALSE)*24)*$CV143,IF(AND($C143=2,CV143&gt;=$DJ$1),VLOOKUP($D143,HORAS!$B$4:$D$42,3,FALSE),IF(AND($C143=3,$CV143&gt;=$DJ$1),VLOOKUP($A143,FIJOS!$B$11:$P$545,10,FALSE),IF(AND($C143=3,$CV143&lt;$DJ$1),((VLOOKUP($A143,FIJOS!$B$11:$P$545,10,FALSE)/48)*24)*$CV143,IF(AND($C143=4,$CV143&gt;=(42/24)),VLOOKUP($D143,HORAS!$B$4:$D$42,3,FALSE),IF(AND($C143=5,$CV143&gt;=(36/24)),VLOOKUP($D143,HORAS!$B$4:$D$42,3,FALSE))))))))</f>
        <v>0</v>
      </c>
      <c r="DJ143" s="145">
        <f>IF(OR($C143=2),VLOOKUP($D143,HORAS!$B$4:$E$42,4,FALSE)*$EC143,IF(ISERROR(VLOOKUP($A143,FIJOS!$B$11:$P$108,9,FALSE)),0,VLOOKUP($A143,FIJOS!$B$11:$P$231,9,FALSE)*$EC143))</f>
        <v>0</v>
      </c>
      <c r="DK143" s="145">
        <f>IF(OR($C143=2),VLOOKUP($D143,HORAS!$B$4:$F$42,5,FALSE)*$EE143,IF(ISERROR(VLOOKUP($A143,FIJOS!$B$11:$P$108,9,FALSE)),0,VLOOKUP($A143,FIJOS!$B$11:$P$231,9,FALSE)*$EE143))</f>
        <v>0</v>
      </c>
      <c r="DL143" s="144"/>
      <c r="DM143" s="145">
        <f>IF(ISERROR(VLOOKUP($A143,FIJOS!$B$11:$L$646,11,FALSE)),0,VLOOKUP($A143,FIJOS!$B$11:$L$646,11,FALSE))</f>
        <v>0</v>
      </c>
      <c r="DN143" s="148" t="e">
        <f>IF(OR($C143=1,$C143=3),0,IF((VLOOKUP(CAPTURA!D143,HORAS!$B$4:$K$42,10,FALSE)/4)*COUNTIF($H143:$CT143,3)&gt;100,100,(VLOOKUP(CAPTURA!D143,HORAS!$B$4:$K$42,10,FALSE)/4)*COUNTIF($H143:$CT143,3)))</f>
        <v>#N/A</v>
      </c>
      <c r="DO143" s="144" t="e">
        <f>IF(OR($C143=1,$C143=3),0,IF($C143=5,VLOOKUP(D143,HORAS!$B$4:$G$42,6,FALSE),IF(AND($C143=4,$CV143&gt;=(42/24)),VLOOKUP(D143,HORAS!$B$4:$G$42,6,FALSE),IF(COUNTIF($H143:$CL143,"F")&gt;0,0,IF(CV143&gt;$DJ$1,$DJ$1*(VLOOKUP(D143,HORAS!$B$4:$G$42,6,FALSE)/$DJ$1),CV143*(VLOOKUP(D143,HORAS!$B$4:$G$42,6,FALSE)/$DJ$1))))))</f>
        <v>#N/A</v>
      </c>
      <c r="DP143" s="156"/>
      <c r="DQ143" s="89"/>
      <c r="DR143" s="148"/>
      <c r="DS143" s="83" t="e">
        <f t="shared" si="98"/>
        <v>#N/A</v>
      </c>
      <c r="DT143" s="84"/>
      <c r="DU143" s="149" t="e">
        <f t="shared" si="99"/>
        <v>#N/A</v>
      </c>
      <c r="DV143" s="149" t="e">
        <f t="shared" si="100"/>
        <v>#N/A</v>
      </c>
      <c r="DW143" s="144" t="e">
        <f t="shared" si="101"/>
        <v>#N/A</v>
      </c>
      <c r="DX143" s="134"/>
      <c r="DY143" s="29"/>
      <c r="DZ143" s="150"/>
      <c r="EA143" s="137"/>
      <c r="EB143" s="137">
        <f t="shared" si="102"/>
        <v>0</v>
      </c>
      <c r="EC143" s="138">
        <f t="shared" si="96"/>
        <v>0</v>
      </c>
      <c r="ED143" s="137">
        <f t="shared" si="103"/>
        <v>0</v>
      </c>
      <c r="EE143" s="132">
        <f t="shared" si="97"/>
        <v>0</v>
      </c>
      <c r="EF143" s="29"/>
      <c r="EG143" s="134"/>
      <c r="EH143" s="134"/>
      <c r="EI143" s="134"/>
      <c r="EK143" s="29"/>
    </row>
    <row r="144" spans="1:141" ht="15" customHeight="1" x14ac:dyDescent="0.25">
      <c r="A144" s="140"/>
      <c r="B144" s="151"/>
      <c r="C144" s="72"/>
      <c r="D144" s="73"/>
      <c r="E144" s="73"/>
      <c r="F144" s="141"/>
      <c r="G144" s="74"/>
      <c r="H144" s="75"/>
      <c r="I144" s="76"/>
      <c r="J144" s="135"/>
      <c r="K144" s="135"/>
      <c r="L144" s="77">
        <f t="shared" si="74"/>
        <v>0</v>
      </c>
      <c r="M144" s="78"/>
      <c r="N144" s="142"/>
      <c r="O144" s="142"/>
      <c r="P144" s="77">
        <f t="shared" si="75"/>
        <v>0</v>
      </c>
      <c r="Q144" s="78"/>
      <c r="R144" s="143"/>
      <c r="S144" s="143"/>
      <c r="T144" s="77">
        <f t="shared" si="76"/>
        <v>0</v>
      </c>
      <c r="U144" s="75"/>
      <c r="V144" s="76"/>
      <c r="W144" s="135"/>
      <c r="X144" s="135"/>
      <c r="Y144" s="77">
        <f t="shared" si="77"/>
        <v>0</v>
      </c>
      <c r="Z144" s="78"/>
      <c r="AA144" s="142"/>
      <c r="AB144" s="142"/>
      <c r="AC144" s="77">
        <f t="shared" si="78"/>
        <v>0</v>
      </c>
      <c r="AD144" s="78"/>
      <c r="AE144" s="143"/>
      <c r="AF144" s="143"/>
      <c r="AG144" s="79">
        <f t="shared" si="79"/>
        <v>0</v>
      </c>
      <c r="AH144" s="75"/>
      <c r="AI144" s="76"/>
      <c r="AJ144" s="135"/>
      <c r="AK144" s="135"/>
      <c r="AL144" s="77">
        <f t="shared" si="80"/>
        <v>0</v>
      </c>
      <c r="AM144" s="76"/>
      <c r="AN144" s="142"/>
      <c r="AO144" s="142"/>
      <c r="AP144" s="77">
        <f t="shared" si="81"/>
        <v>0</v>
      </c>
      <c r="AQ144" s="78"/>
      <c r="AR144" s="142"/>
      <c r="AS144" s="142"/>
      <c r="AT144" s="79">
        <f t="shared" si="82"/>
        <v>0</v>
      </c>
      <c r="AU144" s="75"/>
      <c r="AV144" s="76"/>
      <c r="AW144" s="135"/>
      <c r="AX144" s="135"/>
      <c r="AY144" s="77">
        <f t="shared" si="83"/>
        <v>0</v>
      </c>
      <c r="AZ144" s="76"/>
      <c r="BA144" s="142"/>
      <c r="BB144" s="142"/>
      <c r="BC144" s="77">
        <f t="shared" si="84"/>
        <v>0</v>
      </c>
      <c r="BD144" s="78"/>
      <c r="BE144" s="142"/>
      <c r="BF144" s="142"/>
      <c r="BG144" s="79">
        <f t="shared" si="85"/>
        <v>0</v>
      </c>
      <c r="BH144" s="75"/>
      <c r="BI144" s="76"/>
      <c r="BJ144" s="135"/>
      <c r="BK144" s="135"/>
      <c r="BL144" s="77">
        <f t="shared" si="86"/>
        <v>0</v>
      </c>
      <c r="BM144" s="78"/>
      <c r="BN144" s="142"/>
      <c r="BO144" s="142"/>
      <c r="BP144" s="77">
        <f t="shared" si="87"/>
        <v>0</v>
      </c>
      <c r="BQ144" s="78"/>
      <c r="BR144" s="142"/>
      <c r="BS144" s="142"/>
      <c r="BT144" s="79">
        <f t="shared" si="88"/>
        <v>0</v>
      </c>
      <c r="BU144" s="75"/>
      <c r="BV144" s="76"/>
      <c r="BW144" s="135"/>
      <c r="BX144" s="135"/>
      <c r="BY144" s="77">
        <f t="shared" si="89"/>
        <v>0</v>
      </c>
      <c r="BZ144" s="78"/>
      <c r="CA144" s="142"/>
      <c r="CB144" s="142"/>
      <c r="CC144" s="77">
        <f t="shared" si="90"/>
        <v>0</v>
      </c>
      <c r="CD144" s="78"/>
      <c r="CE144" s="142"/>
      <c r="CF144" s="142"/>
      <c r="CG144" s="79">
        <f t="shared" si="91"/>
        <v>0</v>
      </c>
      <c r="CH144" s="75"/>
      <c r="CI144" s="76"/>
      <c r="CJ144" s="135"/>
      <c r="CK144" s="135"/>
      <c r="CL144" s="77">
        <f t="shared" si="92"/>
        <v>0</v>
      </c>
      <c r="CM144" s="78"/>
      <c r="CN144" s="142"/>
      <c r="CO144" s="142"/>
      <c r="CP144" s="77">
        <f t="shared" si="93"/>
        <v>0</v>
      </c>
      <c r="CQ144" s="78"/>
      <c r="CR144" s="142"/>
      <c r="CS144" s="142"/>
      <c r="CT144" s="79">
        <f t="shared" si="94"/>
        <v>0</v>
      </c>
      <c r="CU144" s="80">
        <f t="shared" si="72"/>
        <v>0</v>
      </c>
      <c r="CV144" s="81">
        <f t="shared" si="73"/>
        <v>0</v>
      </c>
      <c r="CW144" s="144"/>
      <c r="CX144" s="145">
        <f>IF(ISERROR(VLOOKUP($A144,FIJOS!$B$11:$O$590,14,FALSE)),0,VLOOKUP($A144,FIJOS!$B$11:$O$590,14,FALSE))</f>
        <v>0</v>
      </c>
      <c r="CY144" s="145">
        <f>IF(ISERROR(VLOOKUP(A144,FIJOS!$B$10:$P$590,15,FALSE)),0,VLOOKUP(A144,FIJOS!$B$10:$P$590,15,FALSE))</f>
        <v>0</v>
      </c>
      <c r="CZ144" s="156"/>
      <c r="DA144" s="146"/>
      <c r="DB144" s="147"/>
      <c r="DC144" s="147"/>
      <c r="DD144" s="147"/>
      <c r="DE144" s="147"/>
      <c r="DF144" s="145">
        <f>IF(ISERROR(VLOOKUP($A144,FIJOS!$B$11:$N$590,13,FALSE)),0,VLOOKUP($A144,FIJOS!$B$11:$N$590,13,FALSE))</f>
        <v>0</v>
      </c>
      <c r="DG144" s="145">
        <f>IF(ISERROR(VLOOKUP($A144,FIJOS!$B$11:$P$447,12,FALSE)),0,VLOOKUP($A144,FIJOS!$B$11:$P$447,12,FALSE))</f>
        <v>0</v>
      </c>
      <c r="DH144" s="82">
        <f t="shared" si="95"/>
        <v>0</v>
      </c>
      <c r="DI144" s="83" t="b">
        <f>IF($C144=1,(VLOOKUP($A144,FIJOS!$B$11:$P$545,10,FALSE)/7)*(7-$CU144),IF(AND($C144=2,CV144&lt;$DJ$1),(VLOOKUP($D144,HORAS!$B$4:$C$42,2,FALSE)*24)*$CV144,IF(AND($C144=2,CV144&gt;=$DJ$1),VLOOKUP($D144,HORAS!$B$4:$D$42,3,FALSE),IF(AND($C144=3,$CV144&gt;=$DJ$1),VLOOKUP($A144,FIJOS!$B$11:$P$545,10,FALSE),IF(AND($C144=3,$CV144&lt;$DJ$1),((VLOOKUP($A144,FIJOS!$B$11:$P$545,10,FALSE)/48)*24)*$CV144,IF(AND($C144=4,$CV144&gt;=(42/24)),VLOOKUP($D144,HORAS!$B$4:$D$42,3,FALSE),IF(AND($C144=5,$CV144&gt;=(36/24)),VLOOKUP($D144,HORAS!$B$4:$D$42,3,FALSE))))))))</f>
        <v>0</v>
      </c>
      <c r="DJ144" s="145">
        <f>IF(OR($C144=2),VLOOKUP($D144,HORAS!$B$4:$E$42,4,FALSE)*$EC144,IF(ISERROR(VLOOKUP($A144,FIJOS!$B$11:$P$108,9,FALSE)),0,VLOOKUP($A144,FIJOS!$B$11:$P$231,9,FALSE)*$EC144))</f>
        <v>0</v>
      </c>
      <c r="DK144" s="145">
        <f>IF(OR($C144=2),VLOOKUP($D144,HORAS!$B$4:$F$42,5,FALSE)*$EE144,IF(ISERROR(VLOOKUP($A144,FIJOS!$B$11:$P$108,9,FALSE)),0,VLOOKUP($A144,FIJOS!$B$11:$P$231,9,FALSE)*$EE144))</f>
        <v>0</v>
      </c>
      <c r="DL144" s="144"/>
      <c r="DM144" s="145">
        <f>IF(ISERROR(VLOOKUP($A144,FIJOS!$B$11:$L$646,11,FALSE)),0,VLOOKUP($A144,FIJOS!$B$11:$L$646,11,FALSE))</f>
        <v>0</v>
      </c>
      <c r="DN144" s="148" t="e">
        <f>IF(OR($C144=1,$C144=3),0,IF((VLOOKUP(CAPTURA!D144,HORAS!$B$4:$K$42,10,FALSE)/4)*COUNTIF($H144:$CT144,3)&gt;100,100,(VLOOKUP(CAPTURA!D144,HORAS!$B$4:$K$42,10,FALSE)/4)*COUNTIF($H144:$CT144,3)))</f>
        <v>#N/A</v>
      </c>
      <c r="DO144" s="144" t="e">
        <f>IF(OR($C144=1,$C144=3),0,IF($C144=5,VLOOKUP(D144,HORAS!$B$4:$G$42,6,FALSE),IF(AND($C144=4,$CV144&gt;=(42/24)),VLOOKUP(D144,HORAS!$B$4:$G$42,6,FALSE),IF(COUNTIF($H144:$CL144,"F")&gt;0,0,IF(CV144&gt;$DJ$1,$DJ$1*(VLOOKUP(D144,HORAS!$B$4:$G$42,6,FALSE)/$DJ$1),CV144*(VLOOKUP(D144,HORAS!$B$4:$G$42,6,FALSE)/$DJ$1))))))</f>
        <v>#N/A</v>
      </c>
      <c r="DP144" s="178"/>
      <c r="DQ144" s="89"/>
      <c r="DR144" s="148"/>
      <c r="DS144" s="83" t="e">
        <f t="shared" si="98"/>
        <v>#N/A</v>
      </c>
      <c r="DT144" s="84"/>
      <c r="DU144" s="149" t="e">
        <f t="shared" si="99"/>
        <v>#N/A</v>
      </c>
      <c r="DV144" s="149" t="e">
        <f t="shared" si="100"/>
        <v>#N/A</v>
      </c>
      <c r="DW144" s="144" t="e">
        <f t="shared" si="101"/>
        <v>#N/A</v>
      </c>
      <c r="DX144"/>
      <c r="DY144" s="29"/>
      <c r="DZ144" s="150"/>
      <c r="EA144" s="134"/>
      <c r="EB144" s="137">
        <f t="shared" si="102"/>
        <v>0</v>
      </c>
      <c r="EC144" s="138">
        <f t="shared" si="96"/>
        <v>0</v>
      </c>
      <c r="ED144" s="137">
        <f t="shared" si="103"/>
        <v>0</v>
      </c>
      <c r="EE144" s="132">
        <f t="shared" si="97"/>
        <v>0</v>
      </c>
      <c r="EF144" s="29"/>
      <c r="EG144" s="134"/>
      <c r="EH144" s="134"/>
      <c r="EI144" s="134"/>
      <c r="EK144" s="29"/>
    </row>
    <row r="145" spans="1:141" ht="15" customHeight="1" x14ac:dyDescent="0.25">
      <c r="A145" s="140"/>
      <c r="B145" s="151"/>
      <c r="C145" s="72"/>
      <c r="D145" s="73"/>
      <c r="E145" s="73"/>
      <c r="F145" s="141"/>
      <c r="G145" s="74"/>
      <c r="H145" s="75"/>
      <c r="I145" s="76"/>
      <c r="J145" s="135"/>
      <c r="K145" s="135"/>
      <c r="L145" s="77">
        <f t="shared" si="74"/>
        <v>0</v>
      </c>
      <c r="M145" s="78"/>
      <c r="N145" s="142"/>
      <c r="O145" s="142"/>
      <c r="P145" s="77">
        <f t="shared" si="75"/>
        <v>0</v>
      </c>
      <c r="Q145" s="78"/>
      <c r="R145" s="143"/>
      <c r="S145" s="143"/>
      <c r="T145" s="77">
        <f t="shared" si="76"/>
        <v>0</v>
      </c>
      <c r="U145" s="75"/>
      <c r="V145" s="76"/>
      <c r="W145" s="135"/>
      <c r="X145" s="135"/>
      <c r="Y145" s="77">
        <f t="shared" si="77"/>
        <v>0</v>
      </c>
      <c r="Z145" s="78"/>
      <c r="AA145" s="142"/>
      <c r="AB145" s="142"/>
      <c r="AC145" s="77">
        <f t="shared" si="78"/>
        <v>0</v>
      </c>
      <c r="AD145" s="78"/>
      <c r="AE145" s="143"/>
      <c r="AF145" s="143"/>
      <c r="AG145" s="79">
        <f t="shared" si="79"/>
        <v>0</v>
      </c>
      <c r="AH145" s="75"/>
      <c r="AI145" s="76"/>
      <c r="AJ145" s="135"/>
      <c r="AK145" s="135"/>
      <c r="AL145" s="77">
        <f t="shared" si="80"/>
        <v>0</v>
      </c>
      <c r="AM145" s="76"/>
      <c r="AN145" s="142"/>
      <c r="AO145" s="142"/>
      <c r="AP145" s="77">
        <f t="shared" si="81"/>
        <v>0</v>
      </c>
      <c r="AQ145" s="78"/>
      <c r="AR145" s="142"/>
      <c r="AS145" s="142"/>
      <c r="AT145" s="79">
        <f t="shared" si="82"/>
        <v>0</v>
      </c>
      <c r="AU145" s="75"/>
      <c r="AV145" s="76"/>
      <c r="AW145" s="135"/>
      <c r="AX145" s="135"/>
      <c r="AY145" s="77">
        <f t="shared" si="83"/>
        <v>0</v>
      </c>
      <c r="AZ145" s="76"/>
      <c r="BA145" s="142"/>
      <c r="BB145" s="142"/>
      <c r="BC145" s="77">
        <f t="shared" si="84"/>
        <v>0</v>
      </c>
      <c r="BD145" s="78"/>
      <c r="BE145" s="142"/>
      <c r="BF145" s="142"/>
      <c r="BG145" s="79">
        <f t="shared" si="85"/>
        <v>0</v>
      </c>
      <c r="BH145" s="75"/>
      <c r="BI145" s="76"/>
      <c r="BJ145" s="135"/>
      <c r="BK145" s="135"/>
      <c r="BL145" s="77">
        <f t="shared" si="86"/>
        <v>0</v>
      </c>
      <c r="BM145" s="78"/>
      <c r="BN145" s="142"/>
      <c r="BO145" s="142"/>
      <c r="BP145" s="77">
        <f t="shared" si="87"/>
        <v>0</v>
      </c>
      <c r="BQ145" s="78"/>
      <c r="BR145" s="142"/>
      <c r="BS145" s="142"/>
      <c r="BT145" s="79">
        <f t="shared" si="88"/>
        <v>0</v>
      </c>
      <c r="BU145" s="75"/>
      <c r="BV145" s="76"/>
      <c r="BW145" s="135"/>
      <c r="BX145" s="135"/>
      <c r="BY145" s="77">
        <f t="shared" si="89"/>
        <v>0</v>
      </c>
      <c r="BZ145" s="78"/>
      <c r="CA145" s="142"/>
      <c r="CB145" s="142"/>
      <c r="CC145" s="77">
        <f t="shared" si="90"/>
        <v>0</v>
      </c>
      <c r="CD145" s="78"/>
      <c r="CE145" s="142"/>
      <c r="CF145" s="142"/>
      <c r="CG145" s="79">
        <f t="shared" si="91"/>
        <v>0</v>
      </c>
      <c r="CH145" s="75"/>
      <c r="CI145" s="76"/>
      <c r="CJ145" s="135"/>
      <c r="CK145" s="135"/>
      <c r="CL145" s="77">
        <f t="shared" si="92"/>
        <v>0</v>
      </c>
      <c r="CM145" s="78"/>
      <c r="CN145" s="142"/>
      <c r="CO145" s="142"/>
      <c r="CP145" s="77">
        <f t="shared" si="93"/>
        <v>0</v>
      </c>
      <c r="CQ145" s="78"/>
      <c r="CR145" s="142"/>
      <c r="CS145" s="142"/>
      <c r="CT145" s="79">
        <f t="shared" si="94"/>
        <v>0</v>
      </c>
      <c r="CU145" s="80">
        <f t="shared" si="72"/>
        <v>0</v>
      </c>
      <c r="CV145" s="81">
        <f t="shared" si="73"/>
        <v>0</v>
      </c>
      <c r="CW145" s="144"/>
      <c r="CX145" s="145">
        <f>IF(ISERROR(VLOOKUP($A145,FIJOS!$B$11:$O$590,14,FALSE)),0,VLOOKUP($A145,FIJOS!$B$11:$O$590,14,FALSE))</f>
        <v>0</v>
      </c>
      <c r="CY145" s="145">
        <f>IF(ISERROR(VLOOKUP(A145,FIJOS!$B$10:$P$590,15,FALSE)),0,VLOOKUP(A145,FIJOS!$B$10:$P$590,15,FALSE))</f>
        <v>0</v>
      </c>
      <c r="CZ145" s="156"/>
      <c r="DA145" s="146"/>
      <c r="DB145" s="147"/>
      <c r="DC145" s="147"/>
      <c r="DD145" s="147"/>
      <c r="DE145" s="147"/>
      <c r="DF145" s="145">
        <f>IF(ISERROR(VLOOKUP($A145,FIJOS!$B$11:$N$590,13,FALSE)),0,VLOOKUP($A145,FIJOS!$B$11:$N$590,13,FALSE))</f>
        <v>0</v>
      </c>
      <c r="DG145" s="145">
        <f>IF(ISERROR(VLOOKUP($A145,FIJOS!$B$11:$P$447,12,FALSE)),0,VLOOKUP($A145,FIJOS!$B$11:$P$447,12,FALSE))</f>
        <v>0</v>
      </c>
      <c r="DH145" s="82">
        <f t="shared" si="95"/>
        <v>0</v>
      </c>
      <c r="DI145" s="83" t="b">
        <f>IF($C145=1,(VLOOKUP($A145,FIJOS!$B$11:$P$545,10,FALSE)/7)*(7-$CU145),IF(AND($C145=2,CV145&lt;$DJ$1),(VLOOKUP($D145,HORAS!$B$4:$C$42,2,FALSE)*24)*$CV145,IF(AND($C145=2,CV145&gt;=$DJ$1),VLOOKUP($D145,HORAS!$B$4:$D$42,3,FALSE),IF(AND($C145=3,$CV145&gt;=$DJ$1),VLOOKUP($A145,FIJOS!$B$11:$P$545,10,FALSE),IF(AND($C145=3,$CV145&lt;$DJ$1),((VLOOKUP($A145,FIJOS!$B$11:$P$545,10,FALSE)/48)*24)*$CV145,IF(AND($C145=4,$CV145&gt;=(42/24)),VLOOKUP($D145,HORAS!$B$4:$D$42,3,FALSE),IF(AND($C145=5,$CV145&gt;=(36/24)),VLOOKUP($D145,HORAS!$B$4:$D$42,3,FALSE))))))))</f>
        <v>0</v>
      </c>
      <c r="DJ145" s="145">
        <f>IF(OR($C145=2),VLOOKUP($D145,HORAS!$B$4:$E$42,4,FALSE)*$EC145,IF(ISERROR(VLOOKUP($A145,FIJOS!$B$11:$P$108,9,FALSE)),0,VLOOKUP($A145,FIJOS!$B$11:$P$231,9,FALSE)*$EC145))</f>
        <v>0</v>
      </c>
      <c r="DK145" s="145">
        <f>IF(OR($C145=2),VLOOKUP($D145,HORAS!$B$4:$F$42,5,FALSE)*$EE145,IF(ISERROR(VLOOKUP($A145,FIJOS!$B$11:$P$108,9,FALSE)),0,VLOOKUP($A145,FIJOS!$B$11:$P$231,9,FALSE)*$EE145))</f>
        <v>0</v>
      </c>
      <c r="DL145" s="144"/>
      <c r="DM145" s="145">
        <f>IF(ISERROR(VLOOKUP($A145,FIJOS!$B$11:$L$646,11,FALSE)),0,VLOOKUP($A145,FIJOS!$B$11:$L$646,11,FALSE))</f>
        <v>0</v>
      </c>
      <c r="DN145" s="148" t="e">
        <f>IF(OR($C145=1,$C145=3),0,IF((VLOOKUP(CAPTURA!D145,HORAS!$B$4:$K$42,10,FALSE)/4)*COUNTIF($H145:$CT145,3)&gt;100,100,(VLOOKUP(CAPTURA!D145,HORAS!$B$4:$K$42,10,FALSE)/4)*COUNTIF($H145:$CT145,3)))</f>
        <v>#N/A</v>
      </c>
      <c r="DO145" s="144" t="e">
        <f>IF(OR($C145=1,$C145=3),0,IF($C145=5,VLOOKUP(D145,HORAS!$B$4:$G$42,6,FALSE),IF(AND($C145=4,$CV145&gt;=(42/24)),VLOOKUP(D145,HORAS!$B$4:$G$42,6,FALSE),IF(COUNTIF($H145:$CL145,"F")&gt;0,0,IF(CV145&gt;$DJ$1,$DJ$1*(VLOOKUP(D145,HORAS!$B$4:$G$42,6,FALSE)/$DJ$1),CV145*(VLOOKUP(D145,HORAS!$B$4:$G$42,6,FALSE)/$DJ$1))))))</f>
        <v>#N/A</v>
      </c>
      <c r="DP145" s="156"/>
      <c r="DQ145" s="148"/>
      <c r="DR145" s="148"/>
      <c r="DS145" s="83" t="e">
        <f t="shared" si="98"/>
        <v>#N/A</v>
      </c>
      <c r="DT145" s="84"/>
      <c r="DU145" s="149" t="e">
        <f t="shared" si="99"/>
        <v>#N/A</v>
      </c>
      <c r="DV145" s="149" t="e">
        <f t="shared" si="100"/>
        <v>#N/A</v>
      </c>
      <c r="DW145" s="144" t="e">
        <f t="shared" si="101"/>
        <v>#N/A</v>
      </c>
      <c r="DX145" s="134"/>
      <c r="DY145" s="29"/>
      <c r="DZ145" s="150"/>
      <c r="EA145" s="137"/>
      <c r="EB145" s="137">
        <f t="shared" si="102"/>
        <v>0</v>
      </c>
      <c r="EC145" s="138">
        <f t="shared" si="96"/>
        <v>0</v>
      </c>
      <c r="ED145" s="137">
        <f t="shared" si="103"/>
        <v>0</v>
      </c>
      <c r="EE145" s="132">
        <f t="shared" si="97"/>
        <v>0</v>
      </c>
      <c r="EF145" s="29"/>
      <c r="EG145" s="134"/>
      <c r="EH145" s="134"/>
      <c r="EI145" s="134"/>
      <c r="EK145" s="29"/>
    </row>
    <row r="146" spans="1:141" ht="15" customHeight="1" x14ac:dyDescent="0.25">
      <c r="A146" s="140"/>
      <c r="B146" s="151"/>
      <c r="C146" s="72"/>
      <c r="D146" s="73"/>
      <c r="E146" s="73"/>
      <c r="F146" s="141"/>
      <c r="G146" s="74"/>
      <c r="H146" s="75"/>
      <c r="I146" s="76"/>
      <c r="J146" s="135"/>
      <c r="K146" s="135"/>
      <c r="L146" s="77">
        <f t="shared" si="74"/>
        <v>0</v>
      </c>
      <c r="M146" s="78"/>
      <c r="N146" s="142"/>
      <c r="O146" s="142"/>
      <c r="P146" s="77">
        <f t="shared" si="75"/>
        <v>0</v>
      </c>
      <c r="Q146" s="78"/>
      <c r="R146" s="143"/>
      <c r="S146" s="143"/>
      <c r="T146" s="77">
        <f t="shared" si="76"/>
        <v>0</v>
      </c>
      <c r="U146" s="75"/>
      <c r="V146" s="76"/>
      <c r="W146" s="135"/>
      <c r="X146" s="135"/>
      <c r="Y146" s="77">
        <f t="shared" si="77"/>
        <v>0</v>
      </c>
      <c r="Z146" s="78"/>
      <c r="AA146" s="142"/>
      <c r="AB146" s="142"/>
      <c r="AC146" s="77">
        <f t="shared" si="78"/>
        <v>0</v>
      </c>
      <c r="AD146" s="78"/>
      <c r="AE146" s="143"/>
      <c r="AF146" s="143"/>
      <c r="AG146" s="79">
        <f t="shared" si="79"/>
        <v>0</v>
      </c>
      <c r="AH146" s="75"/>
      <c r="AI146" s="76"/>
      <c r="AJ146" s="135"/>
      <c r="AK146" s="135"/>
      <c r="AL146" s="77">
        <f t="shared" si="80"/>
        <v>0</v>
      </c>
      <c r="AM146" s="76"/>
      <c r="AN146" s="142"/>
      <c r="AO146" s="142"/>
      <c r="AP146" s="77">
        <f t="shared" si="81"/>
        <v>0</v>
      </c>
      <c r="AQ146" s="78"/>
      <c r="AR146" s="142"/>
      <c r="AS146" s="142"/>
      <c r="AT146" s="79">
        <f t="shared" si="82"/>
        <v>0</v>
      </c>
      <c r="AU146" s="75"/>
      <c r="AV146" s="76"/>
      <c r="AW146" s="135"/>
      <c r="AX146" s="135"/>
      <c r="AY146" s="77">
        <f t="shared" si="83"/>
        <v>0</v>
      </c>
      <c r="AZ146" s="76"/>
      <c r="BA146" s="142"/>
      <c r="BB146" s="142"/>
      <c r="BC146" s="77">
        <f t="shared" si="84"/>
        <v>0</v>
      </c>
      <c r="BD146" s="78"/>
      <c r="BE146" s="85"/>
      <c r="BF146" s="142"/>
      <c r="BG146" s="79">
        <f t="shared" si="85"/>
        <v>0</v>
      </c>
      <c r="BH146" s="75"/>
      <c r="BI146" s="76"/>
      <c r="BJ146" s="135"/>
      <c r="BK146" s="135"/>
      <c r="BL146" s="77">
        <f t="shared" si="86"/>
        <v>0</v>
      </c>
      <c r="BM146" s="78"/>
      <c r="BN146" s="142"/>
      <c r="BO146" s="142"/>
      <c r="BP146" s="77">
        <f t="shared" si="87"/>
        <v>0</v>
      </c>
      <c r="BQ146" s="78"/>
      <c r="BR146" s="142"/>
      <c r="BS146" s="142"/>
      <c r="BT146" s="79">
        <f t="shared" si="88"/>
        <v>0</v>
      </c>
      <c r="BU146" s="75"/>
      <c r="BV146" s="76"/>
      <c r="BW146" s="135"/>
      <c r="BX146" s="135"/>
      <c r="BY146" s="77">
        <f t="shared" si="89"/>
        <v>0</v>
      </c>
      <c r="BZ146" s="78"/>
      <c r="CA146" s="142"/>
      <c r="CB146" s="142"/>
      <c r="CC146" s="77">
        <f t="shared" si="90"/>
        <v>0</v>
      </c>
      <c r="CD146" s="78"/>
      <c r="CE146" s="142"/>
      <c r="CF146" s="142"/>
      <c r="CG146" s="79">
        <f t="shared" si="91"/>
        <v>0</v>
      </c>
      <c r="CH146" s="75"/>
      <c r="CI146" s="76"/>
      <c r="CJ146" s="135"/>
      <c r="CK146" s="135"/>
      <c r="CL146" s="77">
        <f t="shared" si="92"/>
        <v>0</v>
      </c>
      <c r="CM146" s="78"/>
      <c r="CN146" s="142"/>
      <c r="CO146" s="142"/>
      <c r="CP146" s="77">
        <f t="shared" si="93"/>
        <v>0</v>
      </c>
      <c r="CQ146" s="78"/>
      <c r="CR146" s="142"/>
      <c r="CS146" s="142"/>
      <c r="CT146" s="79">
        <f t="shared" si="94"/>
        <v>0</v>
      </c>
      <c r="CU146" s="80">
        <f t="shared" si="72"/>
        <v>0</v>
      </c>
      <c r="CV146" s="81">
        <f t="shared" si="73"/>
        <v>0</v>
      </c>
      <c r="CW146" s="144"/>
      <c r="CX146" s="145">
        <f>IF(ISERROR(VLOOKUP($A146,FIJOS!$B$11:$O$590,14,FALSE)),0,VLOOKUP($A146,FIJOS!$B$11:$O$590,14,FALSE))</f>
        <v>0</v>
      </c>
      <c r="CY146" s="145">
        <f>IF(ISERROR(VLOOKUP(A146,FIJOS!$B$10:$P$590,15,FALSE)),0,VLOOKUP(A146,FIJOS!$B$10:$P$590,15,FALSE))</f>
        <v>0</v>
      </c>
      <c r="CZ146" s="156"/>
      <c r="DA146" s="146"/>
      <c r="DB146" s="147"/>
      <c r="DC146" s="147"/>
      <c r="DD146" s="147"/>
      <c r="DE146" s="147"/>
      <c r="DF146" s="145">
        <f>IF(ISERROR(VLOOKUP($A146,FIJOS!$B$11:$N$590,13,FALSE)),0,VLOOKUP($A146,FIJOS!$B$11:$N$590,13,FALSE))</f>
        <v>0</v>
      </c>
      <c r="DG146" s="145">
        <f>IF(ISERROR(VLOOKUP($A146,FIJOS!$B$11:$P$447,12,FALSE)),0,VLOOKUP($A146,FIJOS!$B$11:$P$447,12,FALSE))</f>
        <v>0</v>
      </c>
      <c r="DH146" s="82">
        <f t="shared" si="95"/>
        <v>0</v>
      </c>
      <c r="DI146" s="83" t="b">
        <f>IF($C146=1,(VLOOKUP($A146,FIJOS!$B$11:$P$545,10,FALSE)/7)*(7-$CU146),IF(AND($C146=2,CV146&lt;$DJ$1),(VLOOKUP($D146,HORAS!$B$4:$C$42,2,FALSE)*24)*$CV146,IF(AND($C146=2,CV146&gt;=$DJ$1),VLOOKUP($D146,HORAS!$B$4:$D$42,3,FALSE),IF(AND($C146=3,$CV146&gt;=$DJ$1),VLOOKUP($A146,FIJOS!$B$11:$P$545,10,FALSE),IF(AND($C146=3,$CV146&lt;$DJ$1),((VLOOKUP($A146,FIJOS!$B$11:$P$545,10,FALSE)/48)*24)*$CV146,IF(AND($C146=4,$CV146&gt;=(42/24)),VLOOKUP($D146,HORAS!$B$4:$D$42,3,FALSE),IF(AND($C146=5,$CV146&gt;=(36/24)),VLOOKUP($D146,HORAS!$B$4:$D$42,3,FALSE))))))))</f>
        <v>0</v>
      </c>
      <c r="DJ146" s="145">
        <f>IF(OR($C146=2),VLOOKUP($D146,HORAS!$B$4:$E$42,4,FALSE)*$EC146,IF(ISERROR(VLOOKUP($A146,FIJOS!$B$11:$P$108,9,FALSE)),0,VLOOKUP($A146,FIJOS!$B$11:$P$231,9,FALSE)*$EC146))</f>
        <v>0</v>
      </c>
      <c r="DK146" s="145">
        <f>IF(OR($C146=2),VLOOKUP($D146,HORAS!$B$4:$F$42,5,FALSE)*$EE146,IF(ISERROR(VLOOKUP($A146,FIJOS!$B$11:$P$108,9,FALSE)),0,VLOOKUP($A146,FIJOS!$B$11:$P$231,9,FALSE)*$EE146))</f>
        <v>0</v>
      </c>
      <c r="DL146" s="144"/>
      <c r="DM146" s="145">
        <f>IF(ISERROR(VLOOKUP($A146,FIJOS!$B$11:$L$646,11,FALSE)),0,VLOOKUP($A146,FIJOS!$B$11:$L$646,11,FALSE))</f>
        <v>0</v>
      </c>
      <c r="DN146" s="148" t="e">
        <f>IF(OR($C146=1,$C146=3),0,IF((VLOOKUP(CAPTURA!D146,HORAS!$B$4:$K$42,10,FALSE)/4)*COUNTIF($H146:$CT146,3)&gt;100,100,(VLOOKUP(CAPTURA!D146,HORAS!$B$4:$K$42,10,FALSE)/4)*COUNTIF($H146:$CT146,3)))</f>
        <v>#N/A</v>
      </c>
      <c r="DO146" s="144" t="e">
        <f>IF(OR($C146=1,$C146=3),0,IF($C146=5,VLOOKUP(D146,HORAS!$B$4:$G$42,6,FALSE),IF(AND($C146=4,$CV146&gt;=(42/24)),VLOOKUP(D146,HORAS!$B$4:$G$42,6,FALSE),IF(COUNTIF($H146:$CL146,"F")&gt;0,0,IF(CV146&gt;$DJ$1,$DJ$1*(VLOOKUP(D146,HORAS!$B$4:$G$42,6,FALSE)/$DJ$1),CV146*(VLOOKUP(D146,HORAS!$B$4:$G$42,6,FALSE)/$DJ$1))))))</f>
        <v>#N/A</v>
      </c>
      <c r="DP146" s="156"/>
      <c r="DQ146" s="89"/>
      <c r="DR146" s="148"/>
      <c r="DS146" s="83" t="e">
        <f t="shared" si="98"/>
        <v>#N/A</v>
      </c>
      <c r="DT146" s="84"/>
      <c r="DU146" s="149" t="e">
        <f t="shared" si="99"/>
        <v>#N/A</v>
      </c>
      <c r="DV146" s="149" t="e">
        <f t="shared" si="100"/>
        <v>#N/A</v>
      </c>
      <c r="DW146" s="144" t="e">
        <f t="shared" si="101"/>
        <v>#N/A</v>
      </c>
      <c r="DX146" s="134"/>
      <c r="DY146" s="29"/>
      <c r="DZ146" s="150"/>
      <c r="EA146" s="137"/>
      <c r="EB146" s="137">
        <f t="shared" si="102"/>
        <v>0</v>
      </c>
      <c r="EC146" s="138">
        <f t="shared" si="96"/>
        <v>0</v>
      </c>
      <c r="ED146" s="137">
        <f t="shared" si="103"/>
        <v>0</v>
      </c>
      <c r="EE146" s="132">
        <f t="shared" si="97"/>
        <v>0</v>
      </c>
      <c r="EF146" s="29"/>
      <c r="EG146" s="134"/>
      <c r="EH146" s="134"/>
      <c r="EI146" s="134"/>
      <c r="EK146" s="29"/>
    </row>
    <row r="147" spans="1:141" ht="15" customHeight="1" x14ac:dyDescent="0.25">
      <c r="A147" s="140"/>
      <c r="B147" s="151"/>
      <c r="C147" s="72"/>
      <c r="D147" s="73"/>
      <c r="E147" s="73"/>
      <c r="F147" s="141"/>
      <c r="G147" s="74"/>
      <c r="H147" s="75"/>
      <c r="I147" s="76"/>
      <c r="J147" s="135"/>
      <c r="K147" s="135"/>
      <c r="L147" s="77">
        <f t="shared" si="74"/>
        <v>0</v>
      </c>
      <c r="M147" s="78"/>
      <c r="N147" s="142"/>
      <c r="O147" s="142"/>
      <c r="P147" s="77">
        <f t="shared" si="75"/>
        <v>0</v>
      </c>
      <c r="Q147" s="78"/>
      <c r="R147" s="143"/>
      <c r="S147" s="143"/>
      <c r="T147" s="77">
        <f t="shared" si="76"/>
        <v>0</v>
      </c>
      <c r="U147" s="75"/>
      <c r="V147" s="76"/>
      <c r="W147" s="135"/>
      <c r="X147" s="135"/>
      <c r="Y147" s="77">
        <f t="shared" si="77"/>
        <v>0</v>
      </c>
      <c r="Z147" s="78"/>
      <c r="AA147" s="142"/>
      <c r="AB147" s="142"/>
      <c r="AC147" s="77">
        <f t="shared" si="78"/>
        <v>0</v>
      </c>
      <c r="AD147" s="78"/>
      <c r="AE147" s="143"/>
      <c r="AF147" s="143"/>
      <c r="AG147" s="79">
        <f t="shared" si="79"/>
        <v>0</v>
      </c>
      <c r="AH147" s="75"/>
      <c r="AI147" s="76"/>
      <c r="AJ147" s="135"/>
      <c r="AK147" s="135"/>
      <c r="AL147" s="77">
        <f t="shared" si="80"/>
        <v>0</v>
      </c>
      <c r="AM147" s="76"/>
      <c r="AN147" s="142"/>
      <c r="AO147" s="142"/>
      <c r="AP147" s="77">
        <f t="shared" si="81"/>
        <v>0</v>
      </c>
      <c r="AQ147" s="78"/>
      <c r="AR147" s="142"/>
      <c r="AS147" s="142"/>
      <c r="AT147" s="79">
        <f t="shared" si="82"/>
        <v>0</v>
      </c>
      <c r="AU147" s="75"/>
      <c r="AV147" s="76"/>
      <c r="AW147" s="135"/>
      <c r="AX147" s="135"/>
      <c r="AY147" s="77">
        <f t="shared" si="83"/>
        <v>0</v>
      </c>
      <c r="AZ147" s="76"/>
      <c r="BA147" s="142"/>
      <c r="BB147" s="142"/>
      <c r="BC147" s="77">
        <f t="shared" si="84"/>
        <v>0</v>
      </c>
      <c r="BD147" s="78"/>
      <c r="BE147" s="142"/>
      <c r="BF147" s="142"/>
      <c r="BG147" s="79">
        <f t="shared" si="85"/>
        <v>0</v>
      </c>
      <c r="BH147" s="75"/>
      <c r="BI147" s="76"/>
      <c r="BJ147" s="86"/>
      <c r="BK147" s="135"/>
      <c r="BL147" s="77">
        <f t="shared" si="86"/>
        <v>0</v>
      </c>
      <c r="BM147" s="78"/>
      <c r="BN147" s="142"/>
      <c r="BO147" s="142"/>
      <c r="BP147" s="77">
        <f t="shared" si="87"/>
        <v>0</v>
      </c>
      <c r="BQ147" s="78"/>
      <c r="BR147" s="142"/>
      <c r="BS147" s="142"/>
      <c r="BT147" s="79">
        <f t="shared" si="88"/>
        <v>0</v>
      </c>
      <c r="BU147" s="75"/>
      <c r="BV147" s="76"/>
      <c r="BW147" s="135"/>
      <c r="BX147" s="135"/>
      <c r="BY147" s="77">
        <f t="shared" si="89"/>
        <v>0</v>
      </c>
      <c r="BZ147" s="78"/>
      <c r="CA147" s="142"/>
      <c r="CB147" s="142"/>
      <c r="CC147" s="77">
        <f t="shared" si="90"/>
        <v>0</v>
      </c>
      <c r="CD147" s="78"/>
      <c r="CE147" s="142"/>
      <c r="CF147" s="142"/>
      <c r="CG147" s="79">
        <f t="shared" si="91"/>
        <v>0</v>
      </c>
      <c r="CH147" s="75"/>
      <c r="CI147" s="76"/>
      <c r="CJ147" s="135"/>
      <c r="CK147" s="135"/>
      <c r="CL147" s="77">
        <f t="shared" si="92"/>
        <v>0</v>
      </c>
      <c r="CM147" s="78"/>
      <c r="CN147" s="142"/>
      <c r="CO147" s="142"/>
      <c r="CP147" s="77">
        <f t="shared" si="93"/>
        <v>0</v>
      </c>
      <c r="CQ147" s="78"/>
      <c r="CR147" s="142"/>
      <c r="CS147" s="142"/>
      <c r="CT147" s="79">
        <f t="shared" si="94"/>
        <v>0</v>
      </c>
      <c r="CU147" s="80">
        <f t="shared" si="72"/>
        <v>0</v>
      </c>
      <c r="CV147" s="81">
        <f t="shared" si="73"/>
        <v>0</v>
      </c>
      <c r="CW147" s="144"/>
      <c r="CX147" s="145">
        <f>IF(ISERROR(VLOOKUP($A147,FIJOS!$B$11:$O$590,14,FALSE)),0,VLOOKUP($A147,FIJOS!$B$11:$O$590,14,FALSE))</f>
        <v>0</v>
      </c>
      <c r="CY147" s="145">
        <f>IF(ISERROR(VLOOKUP(A147,FIJOS!$B$10:$P$590,15,FALSE)),0,VLOOKUP(A147,FIJOS!$B$10:$P$590,15,FALSE))</f>
        <v>0</v>
      </c>
      <c r="CZ147" s="156"/>
      <c r="DA147" s="146"/>
      <c r="DB147" s="147"/>
      <c r="DC147" s="147"/>
      <c r="DD147" s="147"/>
      <c r="DE147" s="147"/>
      <c r="DF147" s="145">
        <f>IF(ISERROR(VLOOKUP($A147,FIJOS!$B$11:$N$590,13,FALSE)),0,VLOOKUP($A147,FIJOS!$B$11:$N$590,13,FALSE))</f>
        <v>0</v>
      </c>
      <c r="DG147" s="145">
        <f>IF(ISERROR(VLOOKUP($A147,FIJOS!$B$11:$P$447,12,FALSE)),0,VLOOKUP($A147,FIJOS!$B$11:$P$447,12,FALSE))</f>
        <v>0</v>
      </c>
      <c r="DH147" s="82">
        <f t="shared" si="95"/>
        <v>0</v>
      </c>
      <c r="DI147" s="83" t="b">
        <f>IF($C147=1,(VLOOKUP($A147,FIJOS!$B$11:$P$545,10,FALSE)/7)*(7-$CU147),IF(AND($C147=2,CV147&lt;$DJ$1),(VLOOKUP($D147,HORAS!$B$4:$C$42,2,FALSE)*24)*$CV147,IF(AND($C147=2,CV147&gt;=$DJ$1),VLOOKUP($D147,HORAS!$B$4:$D$42,3,FALSE),IF(AND($C147=3,$CV147&gt;=$DJ$1),VLOOKUP($A147,FIJOS!$B$11:$P$545,10,FALSE),IF(AND($C147=3,$CV147&lt;$DJ$1),((VLOOKUP($A147,FIJOS!$B$11:$P$545,10,FALSE)/48)*24)*$CV147,IF(AND($C147=4,$CV147&gt;=(42/24)),VLOOKUP($D147,HORAS!$B$4:$D$42,3,FALSE),IF(AND($C147=5,$CV147&gt;=(36/24)),VLOOKUP($D147,HORAS!$B$4:$D$42,3,FALSE))))))))</f>
        <v>0</v>
      </c>
      <c r="DJ147" s="145">
        <f>IF(OR($C147=2),VLOOKUP($D147,HORAS!$B$4:$E$42,4,FALSE)*$EC147,IF(ISERROR(VLOOKUP($A147,FIJOS!$B$11:$P$108,9,FALSE)),0,VLOOKUP($A147,FIJOS!$B$11:$P$231,9,FALSE)*$EC147))</f>
        <v>0</v>
      </c>
      <c r="DK147" s="145">
        <f>IF(OR($C147=2),VLOOKUP($D147,HORAS!$B$4:$F$42,5,FALSE)*$EE147,IF(ISERROR(VLOOKUP($A147,FIJOS!$B$11:$P$108,9,FALSE)),0,VLOOKUP($A147,FIJOS!$B$11:$P$231,9,FALSE)*$EE147))</f>
        <v>0</v>
      </c>
      <c r="DL147" s="144"/>
      <c r="DM147" s="145">
        <f>IF(ISERROR(VLOOKUP($A147,FIJOS!$B$11:$L$646,11,FALSE)),0,VLOOKUP($A147,FIJOS!$B$11:$L$646,11,FALSE))</f>
        <v>0</v>
      </c>
      <c r="DN147" s="148" t="e">
        <f>IF(OR($C147=1,$C147=3),0,IF((VLOOKUP(CAPTURA!D147,HORAS!$B$4:$K$42,10,FALSE)/4)*COUNTIF($H147:$CT147,3)&gt;100,100,(VLOOKUP(CAPTURA!D147,HORAS!$B$4:$K$42,10,FALSE)/4)*COUNTIF($H147:$CT147,3)))</f>
        <v>#N/A</v>
      </c>
      <c r="DO147" s="144" t="e">
        <f>IF(OR($C147=1,$C147=3),0,IF($C147=5,VLOOKUP(D147,HORAS!$B$4:$G$42,6,FALSE),IF(AND($C147=4,$CV147&gt;=(42/24)),VLOOKUP(D147,HORAS!$B$4:$G$42,6,FALSE),IF(COUNTIF($H147:$CL147,"F")&gt;0,0,IF(CV147&gt;$DJ$1,$DJ$1*(VLOOKUP(D147,HORAS!$B$4:$G$42,6,FALSE)/$DJ$1),CV147*(VLOOKUP(D147,HORAS!$B$4:$G$42,6,FALSE)/$DJ$1))))))</f>
        <v>#N/A</v>
      </c>
      <c r="DP147" s="156"/>
      <c r="DQ147" s="89"/>
      <c r="DR147" s="148"/>
      <c r="DS147" s="83" t="e">
        <f t="shared" si="98"/>
        <v>#N/A</v>
      </c>
      <c r="DT147" s="84"/>
      <c r="DU147" s="149" t="e">
        <f t="shared" si="99"/>
        <v>#N/A</v>
      </c>
      <c r="DV147" s="149" t="e">
        <f t="shared" si="100"/>
        <v>#N/A</v>
      </c>
      <c r="DW147" s="144" t="e">
        <f t="shared" si="101"/>
        <v>#N/A</v>
      </c>
      <c r="DX147"/>
      <c r="DY147" s="29"/>
      <c r="DZ147" s="150"/>
      <c r="EA147" s="134"/>
      <c r="EB147" s="137">
        <f t="shared" si="102"/>
        <v>0</v>
      </c>
      <c r="EC147" s="138">
        <f t="shared" si="96"/>
        <v>0</v>
      </c>
      <c r="ED147" s="137">
        <f t="shared" si="103"/>
        <v>0</v>
      </c>
      <c r="EE147" s="132">
        <f t="shared" si="97"/>
        <v>0</v>
      </c>
      <c r="EF147" s="29"/>
      <c r="EG147" s="134"/>
      <c r="EH147" s="134"/>
      <c r="EI147" s="134"/>
      <c r="EK147" s="29"/>
    </row>
    <row r="148" spans="1:141" x14ac:dyDescent="0.25">
      <c r="A148" s="140"/>
      <c r="B148" s="151"/>
      <c r="C148" s="72"/>
      <c r="D148" s="73"/>
      <c r="E148" s="73"/>
      <c r="F148" s="141"/>
      <c r="G148" s="74"/>
      <c r="H148" s="75"/>
      <c r="I148" s="76"/>
      <c r="J148" s="135"/>
      <c r="K148" s="135"/>
      <c r="L148" s="77">
        <f t="shared" si="74"/>
        <v>0</v>
      </c>
      <c r="M148" s="78"/>
      <c r="N148" s="142"/>
      <c r="O148" s="142"/>
      <c r="P148" s="77">
        <f t="shared" si="75"/>
        <v>0</v>
      </c>
      <c r="Q148" s="78"/>
      <c r="R148" s="143"/>
      <c r="S148" s="143"/>
      <c r="T148" s="77">
        <f t="shared" si="76"/>
        <v>0</v>
      </c>
      <c r="U148" s="75"/>
      <c r="V148" s="76"/>
      <c r="W148" s="135"/>
      <c r="X148" s="135"/>
      <c r="Y148" s="77">
        <f t="shared" si="77"/>
        <v>0</v>
      </c>
      <c r="Z148" s="78"/>
      <c r="AA148" s="142"/>
      <c r="AB148" s="142"/>
      <c r="AC148" s="77">
        <f t="shared" si="78"/>
        <v>0</v>
      </c>
      <c r="AD148" s="78"/>
      <c r="AE148" s="143"/>
      <c r="AF148" s="143"/>
      <c r="AG148" s="79">
        <f t="shared" si="79"/>
        <v>0</v>
      </c>
      <c r="AH148" s="75"/>
      <c r="AI148" s="76"/>
      <c r="AJ148" s="135"/>
      <c r="AK148" s="135"/>
      <c r="AL148" s="77">
        <f t="shared" si="80"/>
        <v>0</v>
      </c>
      <c r="AM148" s="76"/>
      <c r="AN148" s="142"/>
      <c r="AO148" s="142"/>
      <c r="AP148" s="77">
        <f t="shared" si="81"/>
        <v>0</v>
      </c>
      <c r="AQ148" s="78"/>
      <c r="AR148" s="142"/>
      <c r="AS148" s="142"/>
      <c r="AT148" s="79">
        <f t="shared" si="82"/>
        <v>0</v>
      </c>
      <c r="AU148" s="75"/>
      <c r="AV148" s="76"/>
      <c r="AW148" s="135"/>
      <c r="AX148" s="135"/>
      <c r="AY148" s="77">
        <f t="shared" si="83"/>
        <v>0</v>
      </c>
      <c r="AZ148" s="76"/>
      <c r="BA148" s="142"/>
      <c r="BB148" s="142"/>
      <c r="BC148" s="77">
        <f t="shared" si="84"/>
        <v>0</v>
      </c>
      <c r="BD148" s="78"/>
      <c r="BE148" s="142"/>
      <c r="BF148" s="142"/>
      <c r="BG148" s="79">
        <f t="shared" si="85"/>
        <v>0</v>
      </c>
      <c r="BH148" s="75"/>
      <c r="BI148" s="76"/>
      <c r="BJ148" s="135"/>
      <c r="BK148" s="135"/>
      <c r="BL148" s="77">
        <f t="shared" si="86"/>
        <v>0</v>
      </c>
      <c r="BM148" s="78"/>
      <c r="BN148" s="142"/>
      <c r="BO148" s="142"/>
      <c r="BP148" s="77">
        <f t="shared" si="87"/>
        <v>0</v>
      </c>
      <c r="BQ148" s="78"/>
      <c r="BR148" s="142"/>
      <c r="BS148" s="142"/>
      <c r="BT148" s="79">
        <f t="shared" si="88"/>
        <v>0</v>
      </c>
      <c r="BU148" s="75"/>
      <c r="BV148" s="76"/>
      <c r="BW148" s="135"/>
      <c r="BX148" s="135"/>
      <c r="BY148" s="77">
        <f t="shared" si="89"/>
        <v>0</v>
      </c>
      <c r="BZ148" s="78"/>
      <c r="CA148" s="142"/>
      <c r="CB148" s="142"/>
      <c r="CC148" s="77">
        <f t="shared" si="90"/>
        <v>0</v>
      </c>
      <c r="CD148" s="78"/>
      <c r="CE148" s="142"/>
      <c r="CF148" s="142"/>
      <c r="CG148" s="79">
        <f t="shared" si="91"/>
        <v>0</v>
      </c>
      <c r="CH148" s="75"/>
      <c r="CI148" s="76"/>
      <c r="CJ148" s="135"/>
      <c r="CK148" s="135"/>
      <c r="CL148" s="77">
        <f t="shared" si="92"/>
        <v>0</v>
      </c>
      <c r="CM148" s="78"/>
      <c r="CN148" s="142"/>
      <c r="CO148" s="142"/>
      <c r="CP148" s="77">
        <f t="shared" si="93"/>
        <v>0</v>
      </c>
      <c r="CQ148" s="78"/>
      <c r="CR148" s="142"/>
      <c r="CS148" s="142"/>
      <c r="CT148" s="79">
        <f t="shared" si="94"/>
        <v>0</v>
      </c>
      <c r="CU148" s="80">
        <f t="shared" si="72"/>
        <v>0</v>
      </c>
      <c r="CV148" s="81">
        <f t="shared" si="73"/>
        <v>0</v>
      </c>
      <c r="CW148" s="144"/>
      <c r="CX148" s="145">
        <f>IF(ISERROR(VLOOKUP($A148,FIJOS!$B$11:$O$590,14,FALSE)),0,VLOOKUP($A148,FIJOS!$B$11:$O$590,14,FALSE))</f>
        <v>0</v>
      </c>
      <c r="CY148" s="145">
        <f>IF(ISERROR(VLOOKUP(A148,FIJOS!$B$10:$P$590,15,FALSE)),0,VLOOKUP(A148,FIJOS!$B$10:$P$590,15,FALSE))</f>
        <v>0</v>
      </c>
      <c r="CZ148" s="156"/>
      <c r="DA148" s="146"/>
      <c r="DB148" s="147"/>
      <c r="DC148" s="147"/>
      <c r="DD148" s="147"/>
      <c r="DE148" s="147"/>
      <c r="DF148" s="145">
        <f>IF(ISERROR(VLOOKUP($A148,FIJOS!$B$11:$N$590,13,FALSE)),0,VLOOKUP($A148,FIJOS!$B$11:$N$590,13,FALSE))</f>
        <v>0</v>
      </c>
      <c r="DG148" s="145">
        <f>IF(ISERROR(VLOOKUP($A148,FIJOS!$B$11:$P$447,12,FALSE)),0,VLOOKUP($A148,FIJOS!$B$11:$P$447,12,FALSE))</f>
        <v>0</v>
      </c>
      <c r="DH148" s="82">
        <f t="shared" si="95"/>
        <v>0</v>
      </c>
      <c r="DI148" s="83" t="b">
        <f>IF($C148=1,(VLOOKUP($A148,FIJOS!$B$11:$P$545,10,FALSE)/7)*(7-$CU148),IF(AND($C148=2,CV148&lt;$DJ$1),(VLOOKUP($D148,HORAS!$B$4:$C$42,2,FALSE)*24)*$CV148,IF(AND($C148=2,CV148&gt;=$DJ$1),VLOOKUP($D148,HORAS!$B$4:$D$42,3,FALSE),IF(AND($C148=3,$CV148&gt;=$DJ$1),VLOOKUP($A148,FIJOS!$B$11:$P$545,10,FALSE),IF(AND($C148=3,$CV148&lt;$DJ$1),((VLOOKUP($A148,FIJOS!$B$11:$P$545,10,FALSE)/48)*24)*$CV148,IF(AND($C148=4,$CV148&gt;=(42/24)),VLOOKUP($D148,HORAS!$B$4:$D$42,3,FALSE),IF(AND($C148=5,$CV148&gt;=(36/24)),VLOOKUP($D148,HORAS!$B$4:$D$42,3,FALSE))))))))</f>
        <v>0</v>
      </c>
      <c r="DJ148" s="145">
        <f>IF(OR($C148=2),VLOOKUP($D148,HORAS!$B$4:$E$42,4,FALSE)*$EC148,IF(ISERROR(VLOOKUP($A148,FIJOS!$B$11:$P$108,9,FALSE)),0,VLOOKUP($A148,FIJOS!$B$11:$P$231,9,FALSE)*$EC148))</f>
        <v>0</v>
      </c>
      <c r="DK148" s="145">
        <f>IF(OR($C148=2),VLOOKUP($D148,HORAS!$B$4:$F$42,5,FALSE)*$EE148,IF(ISERROR(VLOOKUP($A148,FIJOS!$B$11:$P$108,9,FALSE)),0,VLOOKUP($A148,FIJOS!$B$11:$P$231,9,FALSE)*$EE148))</f>
        <v>0</v>
      </c>
      <c r="DL148" s="144"/>
      <c r="DM148" s="145">
        <f>IF(ISERROR(VLOOKUP($A148,FIJOS!$B$11:$L$646,11,FALSE)),0,VLOOKUP($A148,FIJOS!$B$11:$L$646,11,FALSE))</f>
        <v>0</v>
      </c>
      <c r="DN148" s="148" t="e">
        <f>IF(OR($C148=1,$C148=3),0,IF((VLOOKUP(CAPTURA!D148,HORAS!$B$4:$K$42,10,FALSE)/4)*COUNTIF($H148:$CT148,3)&gt;100,100,(VLOOKUP(CAPTURA!D148,HORAS!$B$4:$K$42,10,FALSE)/4)*COUNTIF($H148:$CT148,3)))</f>
        <v>#N/A</v>
      </c>
      <c r="DO148" s="144" t="e">
        <f>IF(OR($C148=1,$C148=3),0,IF($C148=5,VLOOKUP(D148,HORAS!$B$4:$G$42,6,FALSE),IF(AND($C148=4,$CV148&gt;=(42/24)),VLOOKUP(D148,HORAS!$B$4:$G$42,6,FALSE),IF(COUNTIF($H148:$CL148,"F")&gt;0,0,IF(CV148&gt;$DJ$1,$DJ$1*(VLOOKUP(D148,HORAS!$B$4:$G$42,6,FALSE)/$DJ$1),CV148*(VLOOKUP(D148,HORAS!$B$4:$G$42,6,FALSE)/$DJ$1))))))</f>
        <v>#N/A</v>
      </c>
      <c r="DP148" s="156"/>
      <c r="DQ148" s="148"/>
      <c r="DR148" s="148"/>
      <c r="DS148" s="83" t="e">
        <f t="shared" si="98"/>
        <v>#N/A</v>
      </c>
      <c r="DT148" s="84"/>
      <c r="DU148" s="149" t="e">
        <f t="shared" si="99"/>
        <v>#N/A</v>
      </c>
      <c r="DV148" s="149" t="e">
        <f t="shared" si="100"/>
        <v>#N/A</v>
      </c>
      <c r="DW148" s="144" t="e">
        <f t="shared" si="101"/>
        <v>#N/A</v>
      </c>
      <c r="DX148"/>
      <c r="DY148" s="29"/>
      <c r="DZ148" s="150"/>
      <c r="EA148" s="137"/>
      <c r="EB148" s="137">
        <f t="shared" si="102"/>
        <v>0</v>
      </c>
      <c r="EC148" s="138">
        <f t="shared" si="96"/>
        <v>0</v>
      </c>
      <c r="ED148" s="137">
        <f t="shared" si="103"/>
        <v>0</v>
      </c>
      <c r="EE148" s="132">
        <f t="shared" si="97"/>
        <v>0</v>
      </c>
      <c r="EF148" s="29"/>
      <c r="EG148" s="134"/>
      <c r="EH148" s="134"/>
      <c r="EI148" s="134"/>
      <c r="EK148" s="29"/>
    </row>
    <row r="149" spans="1:141" ht="15" customHeight="1" x14ac:dyDescent="0.25">
      <c r="A149" s="140"/>
      <c r="B149" s="151"/>
      <c r="C149" s="72"/>
      <c r="D149" s="73"/>
      <c r="E149" s="73"/>
      <c r="F149" s="141"/>
      <c r="G149" s="74"/>
      <c r="H149" s="75"/>
      <c r="I149" s="76"/>
      <c r="J149" s="135"/>
      <c r="K149" s="135"/>
      <c r="L149" s="77">
        <f t="shared" si="74"/>
        <v>0</v>
      </c>
      <c r="M149" s="78"/>
      <c r="N149" s="142"/>
      <c r="O149" s="142"/>
      <c r="P149" s="77">
        <f t="shared" si="75"/>
        <v>0</v>
      </c>
      <c r="Q149" s="78"/>
      <c r="R149" s="143"/>
      <c r="S149" s="143"/>
      <c r="T149" s="77">
        <f t="shared" si="76"/>
        <v>0</v>
      </c>
      <c r="U149" s="75"/>
      <c r="V149" s="76"/>
      <c r="W149" s="135"/>
      <c r="X149" s="135"/>
      <c r="Y149" s="77">
        <f t="shared" si="77"/>
        <v>0</v>
      </c>
      <c r="Z149" s="78"/>
      <c r="AA149" s="142"/>
      <c r="AB149" s="142"/>
      <c r="AC149" s="77">
        <f t="shared" si="78"/>
        <v>0</v>
      </c>
      <c r="AD149" s="78"/>
      <c r="AE149" s="143"/>
      <c r="AF149" s="143"/>
      <c r="AG149" s="79">
        <f t="shared" si="79"/>
        <v>0</v>
      </c>
      <c r="AH149" s="75"/>
      <c r="AI149" s="76"/>
      <c r="AJ149" s="135"/>
      <c r="AK149" s="135"/>
      <c r="AL149" s="77">
        <f t="shared" si="80"/>
        <v>0</v>
      </c>
      <c r="AM149" s="76"/>
      <c r="AN149" s="142"/>
      <c r="AO149" s="142"/>
      <c r="AP149" s="77">
        <f t="shared" si="81"/>
        <v>0</v>
      </c>
      <c r="AQ149" s="78"/>
      <c r="AR149" s="142"/>
      <c r="AS149" s="142"/>
      <c r="AT149" s="79">
        <f t="shared" si="82"/>
        <v>0</v>
      </c>
      <c r="AU149" s="75"/>
      <c r="AV149" s="76"/>
      <c r="AW149" s="135"/>
      <c r="AX149" s="135"/>
      <c r="AY149" s="77">
        <f t="shared" si="83"/>
        <v>0</v>
      </c>
      <c r="AZ149" s="76"/>
      <c r="BA149" s="142"/>
      <c r="BB149" s="142"/>
      <c r="BC149" s="77">
        <f t="shared" si="84"/>
        <v>0</v>
      </c>
      <c r="BD149" s="78"/>
      <c r="BE149" s="142"/>
      <c r="BF149" s="142"/>
      <c r="BG149" s="79">
        <f t="shared" si="85"/>
        <v>0</v>
      </c>
      <c r="BH149" s="75"/>
      <c r="BI149" s="76"/>
      <c r="BJ149" s="135"/>
      <c r="BK149" s="135"/>
      <c r="BL149" s="77">
        <f t="shared" si="86"/>
        <v>0</v>
      </c>
      <c r="BM149" s="78"/>
      <c r="BN149" s="142"/>
      <c r="BO149" s="142"/>
      <c r="BP149" s="77">
        <f t="shared" si="87"/>
        <v>0</v>
      </c>
      <c r="BQ149" s="78"/>
      <c r="BR149" s="142"/>
      <c r="BS149" s="142"/>
      <c r="BT149" s="79">
        <f t="shared" si="88"/>
        <v>0</v>
      </c>
      <c r="BU149" s="75"/>
      <c r="BV149" s="76"/>
      <c r="BW149" s="135"/>
      <c r="BX149" s="135"/>
      <c r="BY149" s="77">
        <f t="shared" si="89"/>
        <v>0</v>
      </c>
      <c r="BZ149" s="78"/>
      <c r="CA149" s="142"/>
      <c r="CB149" s="142"/>
      <c r="CC149" s="77">
        <f t="shared" si="90"/>
        <v>0</v>
      </c>
      <c r="CD149" s="78"/>
      <c r="CE149" s="142"/>
      <c r="CF149" s="142"/>
      <c r="CG149" s="79">
        <f t="shared" si="91"/>
        <v>0</v>
      </c>
      <c r="CH149" s="75"/>
      <c r="CI149" s="76"/>
      <c r="CJ149" s="135"/>
      <c r="CK149" s="135"/>
      <c r="CL149" s="77">
        <f t="shared" si="92"/>
        <v>0</v>
      </c>
      <c r="CM149" s="78"/>
      <c r="CN149" s="142"/>
      <c r="CO149" s="142"/>
      <c r="CP149" s="77">
        <f t="shared" si="93"/>
        <v>0</v>
      </c>
      <c r="CQ149" s="78"/>
      <c r="CR149" s="142"/>
      <c r="CS149" s="142"/>
      <c r="CT149" s="79">
        <f t="shared" si="94"/>
        <v>0</v>
      </c>
      <c r="CU149" s="80">
        <f t="shared" si="72"/>
        <v>0</v>
      </c>
      <c r="CV149" s="81">
        <f t="shared" si="73"/>
        <v>0</v>
      </c>
      <c r="CW149" s="144"/>
      <c r="CX149" s="145">
        <f>IF(ISERROR(VLOOKUP($A149,FIJOS!$B$11:$O$590,14,FALSE)),0,VLOOKUP($A149,FIJOS!$B$11:$O$590,14,FALSE))</f>
        <v>0</v>
      </c>
      <c r="CY149" s="145">
        <f>IF(ISERROR(VLOOKUP(A149,FIJOS!$B$10:$P$590,15,FALSE)),0,VLOOKUP(A149,FIJOS!$B$10:$P$590,15,FALSE))</f>
        <v>0</v>
      </c>
      <c r="CZ149" s="156"/>
      <c r="DA149" s="146"/>
      <c r="DB149" s="147"/>
      <c r="DC149" s="147"/>
      <c r="DD149" s="147"/>
      <c r="DE149" s="147"/>
      <c r="DF149" s="145">
        <f>IF(ISERROR(VLOOKUP($A149,FIJOS!$B$11:$N$590,13,FALSE)),0,VLOOKUP($A149,FIJOS!$B$11:$N$590,13,FALSE))</f>
        <v>0</v>
      </c>
      <c r="DG149" s="145">
        <f>IF(ISERROR(VLOOKUP($A149,FIJOS!$B$11:$P$447,12,FALSE)),0,VLOOKUP($A149,FIJOS!$B$11:$P$447,12,FALSE))</f>
        <v>0</v>
      </c>
      <c r="DH149" s="82">
        <f t="shared" si="95"/>
        <v>0</v>
      </c>
      <c r="DI149" s="83" t="b">
        <f>IF($C149=1,(VLOOKUP($A149,FIJOS!$B$11:$P$545,10,FALSE)/7)*(7-$CU149),IF(AND($C149=2,CV149&lt;$DJ$1),(VLOOKUP($D149,HORAS!$B$4:$C$42,2,FALSE)*24)*$CV149,IF(AND($C149=2,CV149&gt;=$DJ$1),VLOOKUP($D149,HORAS!$B$4:$D$42,3,FALSE),IF(AND($C149=3,$CV149&gt;=$DJ$1),VLOOKUP($A149,FIJOS!$B$11:$P$545,10,FALSE),IF(AND($C149=3,$CV149&lt;$DJ$1),((VLOOKUP($A149,FIJOS!$B$11:$P$545,10,FALSE)/48)*24)*$CV149,IF(AND($C149=4,$CV149&gt;=(42/24)),VLOOKUP($D149,HORAS!$B$4:$D$42,3,FALSE),IF(AND($C149=5,$CV149&gt;=(36/24)),VLOOKUP($D149,HORAS!$B$4:$D$42,3,FALSE))))))))</f>
        <v>0</v>
      </c>
      <c r="DJ149" s="145">
        <f>IF(OR($C149=2),VLOOKUP($D149,HORAS!$B$4:$E$42,4,FALSE)*$EC149,IF(ISERROR(VLOOKUP($A149,FIJOS!$B$11:$P$108,9,FALSE)),0,VLOOKUP($A149,FIJOS!$B$11:$P$231,9,FALSE)*$EC149))</f>
        <v>0</v>
      </c>
      <c r="DK149" s="145">
        <f>IF(OR($C149=2),VLOOKUP($D149,HORAS!$B$4:$F$42,5,FALSE)*$EE149,IF(ISERROR(VLOOKUP($A149,FIJOS!$B$11:$P$108,9,FALSE)),0,VLOOKUP($A149,FIJOS!$B$11:$P$231,9,FALSE)*$EE149))</f>
        <v>0</v>
      </c>
      <c r="DL149" s="144"/>
      <c r="DM149" s="145">
        <f>IF(ISERROR(VLOOKUP($A149,FIJOS!$B$11:$L$646,11,FALSE)),0,VLOOKUP($A149,FIJOS!$B$11:$L$646,11,FALSE))</f>
        <v>0</v>
      </c>
      <c r="DN149" s="148" t="e">
        <f>IF(OR($C149=1,$C149=3),0,IF((VLOOKUP(CAPTURA!D149,HORAS!$B$4:$K$42,10,FALSE)/4)*COUNTIF($H149:$CT149,3)&gt;100,100,(VLOOKUP(CAPTURA!D149,HORAS!$B$4:$K$42,10,FALSE)/4)*COUNTIF($H149:$CT149,3)))</f>
        <v>#N/A</v>
      </c>
      <c r="DO149" s="144" t="e">
        <f>IF(OR($C149=1,$C149=3),0,IF($C149=5,VLOOKUP(D149,HORAS!$B$4:$G$42,6,FALSE),IF(AND($C149=4,$CV149&gt;=(42/24)),VLOOKUP(D149,HORAS!$B$4:$G$42,6,FALSE),IF(COUNTIF($H149:$CL149,"F")&gt;0,0,IF(CV149&gt;$DJ$1,$DJ$1*(VLOOKUP(D149,HORAS!$B$4:$G$42,6,FALSE)/$DJ$1),CV149*(VLOOKUP(D149,HORAS!$B$4:$G$42,6,FALSE)/$DJ$1))))))</f>
        <v>#N/A</v>
      </c>
      <c r="DP149" s="177"/>
      <c r="DQ149" s="148"/>
      <c r="DR149" s="148"/>
      <c r="DS149" s="83" t="e">
        <f t="shared" si="98"/>
        <v>#N/A</v>
      </c>
      <c r="DT149" s="84"/>
      <c r="DU149" s="149" t="e">
        <f t="shared" si="99"/>
        <v>#N/A</v>
      </c>
      <c r="DV149" s="149" t="e">
        <f t="shared" si="100"/>
        <v>#N/A</v>
      </c>
      <c r="DW149" s="144" t="e">
        <f t="shared" si="101"/>
        <v>#N/A</v>
      </c>
      <c r="DX149" s="134"/>
      <c r="DY149" s="29"/>
      <c r="DZ149" s="150"/>
      <c r="EA149" s="134"/>
      <c r="EB149" s="137">
        <f t="shared" si="102"/>
        <v>0</v>
      </c>
      <c r="EC149" s="138">
        <f t="shared" si="96"/>
        <v>0</v>
      </c>
      <c r="ED149" s="137">
        <f t="shared" si="103"/>
        <v>0</v>
      </c>
      <c r="EE149" s="132">
        <f t="shared" si="97"/>
        <v>0</v>
      </c>
      <c r="EF149" s="29"/>
      <c r="EG149" s="134"/>
      <c r="EH149" s="134"/>
      <c r="EI149" s="134"/>
      <c r="EK149" s="29"/>
    </row>
    <row r="150" spans="1:141" ht="15" customHeight="1" x14ac:dyDescent="0.25">
      <c r="A150" s="140"/>
      <c r="B150" s="151"/>
      <c r="C150" s="72"/>
      <c r="D150" s="73"/>
      <c r="E150" s="73"/>
      <c r="F150" s="141"/>
      <c r="G150" s="74"/>
      <c r="H150" s="75"/>
      <c r="I150" s="76"/>
      <c r="J150" s="135"/>
      <c r="K150" s="135"/>
      <c r="L150" s="77">
        <f t="shared" si="74"/>
        <v>0</v>
      </c>
      <c r="M150" s="78"/>
      <c r="N150" s="142"/>
      <c r="O150" s="142"/>
      <c r="P150" s="77">
        <f t="shared" si="75"/>
        <v>0</v>
      </c>
      <c r="Q150" s="78"/>
      <c r="R150" s="143"/>
      <c r="S150" s="143"/>
      <c r="T150" s="77">
        <f t="shared" si="76"/>
        <v>0</v>
      </c>
      <c r="U150" s="75"/>
      <c r="V150" s="76"/>
      <c r="W150" s="135"/>
      <c r="X150" s="135"/>
      <c r="Y150" s="77">
        <f t="shared" si="77"/>
        <v>0</v>
      </c>
      <c r="Z150" s="78"/>
      <c r="AA150" s="142"/>
      <c r="AB150" s="142"/>
      <c r="AC150" s="77">
        <f t="shared" si="78"/>
        <v>0</v>
      </c>
      <c r="AD150" s="78"/>
      <c r="AE150" s="143"/>
      <c r="AF150" s="143"/>
      <c r="AG150" s="79">
        <f t="shared" si="79"/>
        <v>0</v>
      </c>
      <c r="AH150" s="75"/>
      <c r="AI150" s="76"/>
      <c r="AJ150" s="135"/>
      <c r="AK150" s="135"/>
      <c r="AL150" s="77">
        <f t="shared" si="80"/>
        <v>0</v>
      </c>
      <c r="AM150" s="76"/>
      <c r="AN150" s="142"/>
      <c r="AO150" s="142"/>
      <c r="AP150" s="77">
        <f t="shared" si="81"/>
        <v>0</v>
      </c>
      <c r="AQ150" s="78"/>
      <c r="AR150" s="142"/>
      <c r="AS150" s="142"/>
      <c r="AT150" s="79">
        <f t="shared" si="82"/>
        <v>0</v>
      </c>
      <c r="AU150" s="75"/>
      <c r="AV150" s="76"/>
      <c r="AW150" s="135"/>
      <c r="AX150" s="135"/>
      <c r="AY150" s="77">
        <f t="shared" si="83"/>
        <v>0</v>
      </c>
      <c r="AZ150" s="76"/>
      <c r="BA150" s="142"/>
      <c r="BB150" s="142"/>
      <c r="BC150" s="77">
        <f t="shared" si="84"/>
        <v>0</v>
      </c>
      <c r="BD150" s="78"/>
      <c r="BE150" s="142"/>
      <c r="BF150" s="142"/>
      <c r="BG150" s="79">
        <f t="shared" si="85"/>
        <v>0</v>
      </c>
      <c r="BH150" s="75"/>
      <c r="BI150" s="76"/>
      <c r="BJ150" s="135"/>
      <c r="BK150" s="135"/>
      <c r="BL150" s="77">
        <f t="shared" si="86"/>
        <v>0</v>
      </c>
      <c r="BM150" s="78"/>
      <c r="BN150" s="142"/>
      <c r="BO150" s="142"/>
      <c r="BP150" s="77">
        <f t="shared" si="87"/>
        <v>0</v>
      </c>
      <c r="BQ150" s="78"/>
      <c r="BR150" s="142"/>
      <c r="BS150" s="142"/>
      <c r="BT150" s="79">
        <f t="shared" si="88"/>
        <v>0</v>
      </c>
      <c r="BU150" s="75"/>
      <c r="BV150" s="76"/>
      <c r="BW150" s="135"/>
      <c r="BX150" s="135"/>
      <c r="BY150" s="77">
        <f t="shared" si="89"/>
        <v>0</v>
      </c>
      <c r="BZ150" s="78"/>
      <c r="CA150" s="142"/>
      <c r="CB150" s="142"/>
      <c r="CC150" s="77">
        <f t="shared" si="90"/>
        <v>0</v>
      </c>
      <c r="CD150" s="78"/>
      <c r="CE150" s="142"/>
      <c r="CF150" s="142"/>
      <c r="CG150" s="79">
        <f t="shared" si="91"/>
        <v>0</v>
      </c>
      <c r="CH150" s="75"/>
      <c r="CI150" s="76"/>
      <c r="CJ150" s="135"/>
      <c r="CK150" s="135"/>
      <c r="CL150" s="77">
        <f t="shared" si="92"/>
        <v>0</v>
      </c>
      <c r="CM150" s="78"/>
      <c r="CN150" s="142"/>
      <c r="CO150" s="142"/>
      <c r="CP150" s="77">
        <f t="shared" si="93"/>
        <v>0</v>
      </c>
      <c r="CQ150" s="78"/>
      <c r="CR150" s="142"/>
      <c r="CS150" s="142"/>
      <c r="CT150" s="79">
        <f t="shared" si="94"/>
        <v>0</v>
      </c>
      <c r="CU150" s="80">
        <f t="shared" si="72"/>
        <v>0</v>
      </c>
      <c r="CV150" s="81">
        <f t="shared" si="73"/>
        <v>0</v>
      </c>
      <c r="CW150" s="144"/>
      <c r="CX150" s="145">
        <f>IF(ISERROR(VLOOKUP($A150,FIJOS!$B$11:$O$590,14,FALSE)),0,VLOOKUP($A150,FIJOS!$B$11:$O$590,14,FALSE))</f>
        <v>0</v>
      </c>
      <c r="CY150" s="145">
        <f>IF(ISERROR(VLOOKUP(A150,FIJOS!$B$10:$P$590,15,FALSE)),0,VLOOKUP(A150,FIJOS!$B$10:$P$590,15,FALSE))</f>
        <v>0</v>
      </c>
      <c r="CZ150" s="156"/>
      <c r="DA150" s="146"/>
      <c r="DB150" s="147"/>
      <c r="DC150" s="147"/>
      <c r="DD150" s="147"/>
      <c r="DE150" s="147"/>
      <c r="DF150" s="145">
        <f>IF(ISERROR(VLOOKUP($A150,FIJOS!$B$11:$N$590,13,FALSE)),0,VLOOKUP($A150,FIJOS!$B$11:$N$590,13,FALSE))</f>
        <v>0</v>
      </c>
      <c r="DG150" s="145">
        <f>IF(ISERROR(VLOOKUP($A150,FIJOS!$B$11:$P$447,12,FALSE)),0,VLOOKUP($A150,FIJOS!$B$11:$P$447,12,FALSE))</f>
        <v>0</v>
      </c>
      <c r="DH150" s="82">
        <f t="shared" si="95"/>
        <v>0</v>
      </c>
      <c r="DI150" s="83" t="b">
        <f>IF($C150=1,(VLOOKUP($A150,FIJOS!$B$11:$P$545,10,FALSE)/7)*(7-$CU150),IF(AND($C150=2,CV150&lt;$DJ$1),(VLOOKUP($D150,HORAS!$B$4:$C$42,2,FALSE)*24)*$CV150,IF(AND($C150=2,CV150&gt;=$DJ$1),VLOOKUP($D150,HORAS!$B$4:$D$42,3,FALSE),IF(AND($C150=3,$CV150&gt;=$DJ$1),VLOOKUP($A150,FIJOS!$B$11:$P$545,10,FALSE),IF(AND($C150=3,$CV150&lt;$DJ$1),((VLOOKUP($A150,FIJOS!$B$11:$P$545,10,FALSE)/48)*24)*$CV150,IF(AND($C150=4,$CV150&gt;=(42/24)),VLOOKUP($D150,HORAS!$B$4:$D$42,3,FALSE),IF(AND($C150=5,$CV150&gt;=(36/24)),VLOOKUP($D150,HORAS!$B$4:$D$42,3,FALSE))))))))</f>
        <v>0</v>
      </c>
      <c r="DJ150" s="145">
        <f>IF(OR($C150=2),VLOOKUP($D150,HORAS!$B$4:$E$42,4,FALSE)*$EC150,IF(ISERROR(VLOOKUP($A150,FIJOS!$B$11:$P$108,9,FALSE)),0,VLOOKUP($A150,FIJOS!$B$11:$P$231,9,FALSE)*$EC150))</f>
        <v>0</v>
      </c>
      <c r="DK150" s="145">
        <f>IF(OR($C150=2),VLOOKUP($D150,HORAS!$B$4:$F$42,5,FALSE)*$EE150,IF(ISERROR(VLOOKUP($A150,FIJOS!$B$11:$P$108,9,FALSE)),0,VLOOKUP($A150,FIJOS!$B$11:$P$231,9,FALSE)*$EE150))</f>
        <v>0</v>
      </c>
      <c r="DL150" s="144"/>
      <c r="DM150" s="145">
        <f>IF(ISERROR(VLOOKUP($A150,FIJOS!$B$11:$L$646,11,FALSE)),0,VLOOKUP($A150,FIJOS!$B$11:$L$646,11,FALSE))</f>
        <v>0</v>
      </c>
      <c r="DN150" s="148" t="e">
        <f>IF(OR($C150=1,$C150=3),0,IF((VLOOKUP(CAPTURA!D150,HORAS!$B$4:$K$42,10,FALSE)/4)*COUNTIF($H150:$CT150,3)&gt;100,100,(VLOOKUP(CAPTURA!D150,HORAS!$B$4:$K$42,10,FALSE)/4)*COUNTIF($H150:$CT150,3)))</f>
        <v>#N/A</v>
      </c>
      <c r="DO150" s="144" t="e">
        <f>IF(OR($C150=1,$C150=3),0,IF($C150=5,VLOOKUP(D150,HORAS!$B$4:$G$42,6,FALSE),IF(AND($C150=4,$CV150&gt;=(42/24)),VLOOKUP(D150,HORAS!$B$4:$G$42,6,FALSE),IF(COUNTIF($H150:$CL150,"F")&gt;0,0,IF(CV150&gt;$DJ$1,$DJ$1*(VLOOKUP(D150,HORAS!$B$4:$G$42,6,FALSE)/$DJ$1),CV150*(VLOOKUP(D150,HORAS!$B$4:$G$42,6,FALSE)/$DJ$1))))))</f>
        <v>#N/A</v>
      </c>
      <c r="DP150" s="156"/>
      <c r="DQ150" s="89"/>
      <c r="DR150" s="148"/>
      <c r="DS150" s="83" t="e">
        <f t="shared" si="98"/>
        <v>#N/A</v>
      </c>
      <c r="DT150" s="84"/>
      <c r="DU150" s="149" t="e">
        <f t="shared" si="99"/>
        <v>#N/A</v>
      </c>
      <c r="DV150" s="149" t="e">
        <f t="shared" si="100"/>
        <v>#N/A</v>
      </c>
      <c r="DW150" s="144" t="e">
        <f t="shared" si="101"/>
        <v>#N/A</v>
      </c>
      <c r="DX150" s="134"/>
      <c r="DY150" s="29"/>
      <c r="DZ150" s="150"/>
      <c r="EA150" s="134"/>
      <c r="EB150" s="137">
        <f t="shared" si="102"/>
        <v>0</v>
      </c>
      <c r="EC150" s="138">
        <f t="shared" si="96"/>
        <v>0</v>
      </c>
      <c r="ED150" s="137">
        <f t="shared" si="103"/>
        <v>0</v>
      </c>
      <c r="EE150" s="132">
        <f t="shared" si="97"/>
        <v>0</v>
      </c>
      <c r="EF150" s="29"/>
      <c r="EG150" s="134"/>
      <c r="EH150" s="134"/>
      <c r="EI150" s="134"/>
      <c r="EK150" s="29"/>
    </row>
    <row r="151" spans="1:141" ht="15" customHeight="1" x14ac:dyDescent="0.25">
      <c r="A151" s="140"/>
      <c r="B151" s="151"/>
      <c r="C151" s="72"/>
      <c r="D151" s="73"/>
      <c r="E151" s="73"/>
      <c r="F151" s="141"/>
      <c r="G151" s="74"/>
      <c r="H151" s="75"/>
      <c r="I151" s="76"/>
      <c r="J151" s="135"/>
      <c r="K151" s="86"/>
      <c r="L151" s="77">
        <f t="shared" si="74"/>
        <v>0</v>
      </c>
      <c r="M151" s="78"/>
      <c r="N151" s="142"/>
      <c r="O151" s="142"/>
      <c r="P151" s="77">
        <f t="shared" si="75"/>
        <v>0</v>
      </c>
      <c r="Q151" s="78"/>
      <c r="R151" s="143"/>
      <c r="S151" s="143"/>
      <c r="T151" s="77">
        <f t="shared" si="76"/>
        <v>0</v>
      </c>
      <c r="U151" s="75"/>
      <c r="V151" s="76"/>
      <c r="W151" s="135"/>
      <c r="X151" s="135"/>
      <c r="Y151" s="77">
        <f t="shared" si="77"/>
        <v>0</v>
      </c>
      <c r="Z151" s="78"/>
      <c r="AA151" s="142"/>
      <c r="AB151" s="142"/>
      <c r="AC151" s="77">
        <f t="shared" si="78"/>
        <v>0</v>
      </c>
      <c r="AD151" s="78"/>
      <c r="AE151" s="143"/>
      <c r="AF151" s="143"/>
      <c r="AG151" s="79">
        <f t="shared" si="79"/>
        <v>0</v>
      </c>
      <c r="AH151" s="75"/>
      <c r="AI151" s="76"/>
      <c r="AJ151" s="135"/>
      <c r="AK151" s="135"/>
      <c r="AL151" s="77">
        <f t="shared" si="80"/>
        <v>0</v>
      </c>
      <c r="AM151" s="76"/>
      <c r="AN151" s="142"/>
      <c r="AO151" s="142"/>
      <c r="AP151" s="77">
        <f t="shared" si="81"/>
        <v>0</v>
      </c>
      <c r="AQ151" s="78"/>
      <c r="AR151" s="142"/>
      <c r="AS151" s="142"/>
      <c r="AT151" s="79">
        <f t="shared" si="82"/>
        <v>0</v>
      </c>
      <c r="AU151" s="75"/>
      <c r="AV151" s="76"/>
      <c r="AW151" s="135"/>
      <c r="AX151" s="135"/>
      <c r="AY151" s="77">
        <f t="shared" si="83"/>
        <v>0</v>
      </c>
      <c r="AZ151" s="76"/>
      <c r="BA151" s="142"/>
      <c r="BB151" s="142"/>
      <c r="BC151" s="77">
        <f t="shared" si="84"/>
        <v>0</v>
      </c>
      <c r="BD151" s="78"/>
      <c r="BE151" s="142"/>
      <c r="BF151" s="142"/>
      <c r="BG151" s="79">
        <f t="shared" si="85"/>
        <v>0</v>
      </c>
      <c r="BH151" s="75"/>
      <c r="BI151" s="76"/>
      <c r="BJ151" s="135"/>
      <c r="BK151" s="135"/>
      <c r="BL151" s="77">
        <f t="shared" si="86"/>
        <v>0</v>
      </c>
      <c r="BM151" s="78"/>
      <c r="BN151" s="142"/>
      <c r="BO151" s="142"/>
      <c r="BP151" s="77">
        <f t="shared" si="87"/>
        <v>0</v>
      </c>
      <c r="BQ151" s="78"/>
      <c r="BR151" s="142"/>
      <c r="BS151" s="142"/>
      <c r="BT151" s="79">
        <f t="shared" si="88"/>
        <v>0</v>
      </c>
      <c r="BU151" s="75"/>
      <c r="BV151" s="76"/>
      <c r="BW151" s="135"/>
      <c r="BX151" s="86"/>
      <c r="BY151" s="77">
        <f t="shared" si="89"/>
        <v>0</v>
      </c>
      <c r="BZ151" s="78"/>
      <c r="CA151" s="142"/>
      <c r="CB151" s="142"/>
      <c r="CC151" s="77">
        <f t="shared" si="90"/>
        <v>0</v>
      </c>
      <c r="CD151" s="78"/>
      <c r="CE151" s="142"/>
      <c r="CF151" s="142"/>
      <c r="CG151" s="79">
        <f t="shared" si="91"/>
        <v>0</v>
      </c>
      <c r="CH151" s="75"/>
      <c r="CI151" s="76"/>
      <c r="CJ151" s="135"/>
      <c r="CK151" s="135"/>
      <c r="CL151" s="77">
        <f t="shared" si="92"/>
        <v>0</v>
      </c>
      <c r="CM151" s="78"/>
      <c r="CN151" s="85"/>
      <c r="CO151" s="85"/>
      <c r="CP151" s="77">
        <f t="shared" si="93"/>
        <v>0</v>
      </c>
      <c r="CQ151" s="78"/>
      <c r="CR151" s="85"/>
      <c r="CS151" s="85"/>
      <c r="CT151" s="79">
        <f t="shared" si="94"/>
        <v>0</v>
      </c>
      <c r="CU151" s="80">
        <f t="shared" si="72"/>
        <v>0</v>
      </c>
      <c r="CV151" s="81">
        <f t="shared" si="73"/>
        <v>0</v>
      </c>
      <c r="CW151" s="144"/>
      <c r="CX151" s="145">
        <f>IF(ISERROR(VLOOKUP($A151,FIJOS!$B$11:$O$590,14,FALSE)),0,VLOOKUP($A151,FIJOS!$B$11:$O$590,14,FALSE))</f>
        <v>0</v>
      </c>
      <c r="CY151" s="145">
        <f>IF(ISERROR(VLOOKUP(A151,FIJOS!$B$10:$P$590,15,FALSE)),0,VLOOKUP(A151,FIJOS!$B$10:$P$590,15,FALSE))</f>
        <v>0</v>
      </c>
      <c r="CZ151" s="156"/>
      <c r="DA151" s="146"/>
      <c r="DB151" s="147"/>
      <c r="DC151" s="147"/>
      <c r="DD151" s="147"/>
      <c r="DE151" s="147"/>
      <c r="DF151" s="145">
        <f>IF(ISERROR(VLOOKUP($A151,FIJOS!$B$11:$N$590,13,FALSE)),0,VLOOKUP($A151,FIJOS!$B$11:$N$590,13,FALSE))</f>
        <v>0</v>
      </c>
      <c r="DG151" s="145">
        <f>IF(ISERROR(VLOOKUP($A151,FIJOS!$B$11:$P$447,12,FALSE)),0,VLOOKUP($A151,FIJOS!$B$11:$P$447,12,FALSE))</f>
        <v>0</v>
      </c>
      <c r="DH151" s="82">
        <f t="shared" si="95"/>
        <v>0</v>
      </c>
      <c r="DI151" s="83" t="b">
        <f>IF($C151=1,(VLOOKUP($A151,FIJOS!$B$11:$P$545,10,FALSE)/7)*(7-$CU151),IF(AND($C151=2,CV151&lt;$DJ$1),(VLOOKUP($D151,HORAS!$B$4:$C$42,2,FALSE)*24)*$CV151,IF(AND($C151=2,CV151&gt;=$DJ$1),VLOOKUP($D151,HORAS!$B$4:$D$42,3,FALSE),IF(AND($C151=3,$CV151&gt;=$DJ$1),VLOOKUP($A151,FIJOS!$B$11:$P$545,10,FALSE),IF(AND($C151=3,$CV151&lt;$DJ$1),((VLOOKUP($A151,FIJOS!$B$11:$P$545,10,FALSE)/48)*24)*$CV151,IF(AND($C151=4,$CV151&gt;=(42/24)),VLOOKUP($D151,HORAS!$B$4:$D$42,3,FALSE),IF(AND($C151=5,$CV151&gt;=(36/24)),VLOOKUP($D151,HORAS!$B$4:$D$42,3,FALSE))))))))</f>
        <v>0</v>
      </c>
      <c r="DJ151" s="145">
        <f>IF(OR($C151=2),VLOOKUP($D151,HORAS!$B$4:$E$42,4,FALSE)*$EC151,IF(ISERROR(VLOOKUP($A151,FIJOS!$B$11:$P$108,9,FALSE)),0,VLOOKUP($A151,FIJOS!$B$11:$P$231,9,FALSE)*$EC151))</f>
        <v>0</v>
      </c>
      <c r="DK151" s="145">
        <f>IF(OR($C151=2),VLOOKUP($D151,HORAS!$B$4:$F$42,5,FALSE)*$EE151,IF(ISERROR(VLOOKUP($A151,FIJOS!$B$11:$P$108,9,FALSE)),0,VLOOKUP($A151,FIJOS!$B$11:$P$231,9,FALSE)*$EE151))</f>
        <v>0</v>
      </c>
      <c r="DL151" s="144"/>
      <c r="DM151" s="145">
        <f>IF(ISERROR(VLOOKUP($A151,FIJOS!$B$11:$L$646,11,FALSE)),0,VLOOKUP($A151,FIJOS!$B$11:$L$646,11,FALSE))</f>
        <v>0</v>
      </c>
      <c r="DN151" s="148" t="e">
        <f>IF(OR($C151=1,$C151=3),0,IF((VLOOKUP(CAPTURA!D151,HORAS!$B$4:$K$42,10,FALSE)/4)*COUNTIF($H151:$CT151,3)&gt;100,100,(VLOOKUP(CAPTURA!D151,HORAS!$B$4:$K$42,10,FALSE)/4)*COUNTIF($H151:$CT151,3)))</f>
        <v>#N/A</v>
      </c>
      <c r="DO151" s="144" t="e">
        <f>IF(OR($C151=1,$C151=3),0,IF($C151=5,VLOOKUP(D151,HORAS!$B$4:$G$42,6,FALSE),IF(AND($C151=4,$CV151&gt;=(42/24)),VLOOKUP(D151,HORAS!$B$4:$G$42,6,FALSE),IF(COUNTIF($H151:$CL151,"F")&gt;0,0,IF(CV151&gt;$DJ$1,$DJ$1*(VLOOKUP(D151,HORAS!$B$4:$G$42,6,FALSE)/$DJ$1),CV151*(VLOOKUP(D151,HORAS!$B$4:$G$42,6,FALSE)/$DJ$1))))))</f>
        <v>#N/A</v>
      </c>
      <c r="DP151" s="156"/>
      <c r="DQ151" s="89"/>
      <c r="DR151" s="148"/>
      <c r="DS151" s="83" t="e">
        <f t="shared" si="98"/>
        <v>#N/A</v>
      </c>
      <c r="DT151" s="84"/>
      <c r="DU151" s="149" t="e">
        <f t="shared" si="99"/>
        <v>#N/A</v>
      </c>
      <c r="DV151" s="149" t="e">
        <f t="shared" si="100"/>
        <v>#N/A</v>
      </c>
      <c r="DW151" s="144" t="e">
        <f t="shared" si="101"/>
        <v>#N/A</v>
      </c>
      <c r="DX151" s="134"/>
      <c r="DY151" s="29"/>
      <c r="DZ151" s="150"/>
      <c r="EA151" s="134"/>
      <c r="EB151" s="137">
        <f t="shared" si="102"/>
        <v>0</v>
      </c>
      <c r="EC151" s="138">
        <f t="shared" si="96"/>
        <v>0</v>
      </c>
      <c r="ED151" s="137">
        <f t="shared" si="103"/>
        <v>0</v>
      </c>
      <c r="EE151" s="132">
        <f t="shared" si="97"/>
        <v>0</v>
      </c>
      <c r="EF151" s="29"/>
      <c r="EG151" s="134"/>
      <c r="EH151" s="134"/>
      <c r="EI151" s="134"/>
      <c r="EK151" s="29"/>
    </row>
    <row r="152" spans="1:141" ht="15" customHeight="1" x14ac:dyDescent="0.25">
      <c r="A152" s="140"/>
      <c r="B152" s="151"/>
      <c r="C152" s="72"/>
      <c r="D152" s="73"/>
      <c r="E152" s="73"/>
      <c r="F152" s="141"/>
      <c r="G152" s="74"/>
      <c r="H152" s="75"/>
      <c r="I152" s="76"/>
      <c r="J152" s="135"/>
      <c r="K152" s="135"/>
      <c r="L152" s="77">
        <f t="shared" si="74"/>
        <v>0</v>
      </c>
      <c r="M152" s="78"/>
      <c r="N152" s="142"/>
      <c r="O152" s="142"/>
      <c r="P152" s="77">
        <f t="shared" si="75"/>
        <v>0</v>
      </c>
      <c r="Q152" s="78"/>
      <c r="R152" s="143"/>
      <c r="S152" s="143"/>
      <c r="T152" s="77">
        <f t="shared" si="76"/>
        <v>0</v>
      </c>
      <c r="U152" s="75"/>
      <c r="V152" s="76"/>
      <c r="W152" s="135"/>
      <c r="X152" s="135"/>
      <c r="Y152" s="77">
        <f t="shared" si="77"/>
        <v>0</v>
      </c>
      <c r="Z152" s="78"/>
      <c r="AA152" s="142"/>
      <c r="AB152" s="142"/>
      <c r="AC152" s="77">
        <f t="shared" si="78"/>
        <v>0</v>
      </c>
      <c r="AD152" s="78"/>
      <c r="AE152" s="143"/>
      <c r="AF152" s="143"/>
      <c r="AG152" s="79">
        <f t="shared" si="79"/>
        <v>0</v>
      </c>
      <c r="AH152" s="75"/>
      <c r="AI152" s="76"/>
      <c r="AJ152" s="135"/>
      <c r="AK152" s="135"/>
      <c r="AL152" s="77">
        <f t="shared" si="80"/>
        <v>0</v>
      </c>
      <c r="AM152" s="76"/>
      <c r="AN152" s="142"/>
      <c r="AO152" s="142"/>
      <c r="AP152" s="77">
        <f t="shared" si="81"/>
        <v>0</v>
      </c>
      <c r="AQ152" s="78"/>
      <c r="AR152" s="142"/>
      <c r="AS152" s="142"/>
      <c r="AT152" s="79">
        <f t="shared" si="82"/>
        <v>0</v>
      </c>
      <c r="AU152" s="75"/>
      <c r="AV152" s="76"/>
      <c r="AW152" s="135"/>
      <c r="AX152" s="135"/>
      <c r="AY152" s="77">
        <f t="shared" si="83"/>
        <v>0</v>
      </c>
      <c r="AZ152" s="76"/>
      <c r="BA152" s="142"/>
      <c r="BB152" s="142"/>
      <c r="BC152" s="77">
        <f t="shared" si="84"/>
        <v>0</v>
      </c>
      <c r="BD152" s="78"/>
      <c r="BE152" s="142"/>
      <c r="BF152" s="142"/>
      <c r="BG152" s="79">
        <f t="shared" si="85"/>
        <v>0</v>
      </c>
      <c r="BH152" s="75"/>
      <c r="BI152" s="76"/>
      <c r="BJ152" s="135"/>
      <c r="BK152" s="135"/>
      <c r="BL152" s="77">
        <f t="shared" si="86"/>
        <v>0</v>
      </c>
      <c r="BM152" s="78"/>
      <c r="BN152" s="142"/>
      <c r="BO152" s="142"/>
      <c r="BP152" s="77">
        <f t="shared" si="87"/>
        <v>0</v>
      </c>
      <c r="BQ152" s="78"/>
      <c r="BR152" s="142"/>
      <c r="BS152" s="142"/>
      <c r="BT152" s="79">
        <f t="shared" si="88"/>
        <v>0</v>
      </c>
      <c r="BU152" s="75"/>
      <c r="BV152" s="76"/>
      <c r="BW152" s="135"/>
      <c r="BX152" s="135"/>
      <c r="BY152" s="77">
        <f t="shared" si="89"/>
        <v>0</v>
      </c>
      <c r="BZ152" s="78"/>
      <c r="CA152" s="142"/>
      <c r="CB152" s="142"/>
      <c r="CC152" s="77">
        <f t="shared" si="90"/>
        <v>0</v>
      </c>
      <c r="CD152" s="78"/>
      <c r="CE152" s="142"/>
      <c r="CF152" s="142"/>
      <c r="CG152" s="79">
        <f t="shared" si="91"/>
        <v>0</v>
      </c>
      <c r="CH152" s="75"/>
      <c r="CI152" s="76"/>
      <c r="CJ152" s="86"/>
      <c r="CK152" s="86"/>
      <c r="CL152" s="77">
        <f t="shared" si="92"/>
        <v>0</v>
      </c>
      <c r="CM152" s="78"/>
      <c r="CN152" s="85"/>
      <c r="CO152" s="85"/>
      <c r="CP152" s="77">
        <f t="shared" si="93"/>
        <v>0</v>
      </c>
      <c r="CQ152" s="78"/>
      <c r="CR152" s="85"/>
      <c r="CS152" s="85"/>
      <c r="CT152" s="79">
        <f t="shared" si="94"/>
        <v>0</v>
      </c>
      <c r="CU152" s="80">
        <f t="shared" si="72"/>
        <v>0</v>
      </c>
      <c r="CV152" s="81">
        <f t="shared" si="73"/>
        <v>0</v>
      </c>
      <c r="CW152" s="144"/>
      <c r="CX152" s="145">
        <f>IF(ISERROR(VLOOKUP($A152,FIJOS!$B$11:$O$590,14,FALSE)),0,VLOOKUP($A152,FIJOS!$B$11:$O$590,14,FALSE))</f>
        <v>0</v>
      </c>
      <c r="CY152" s="145">
        <f>IF(ISERROR(VLOOKUP(A152,FIJOS!$B$10:$P$590,15,FALSE)),0,VLOOKUP(A152,FIJOS!$B$10:$P$590,15,FALSE))</f>
        <v>0</v>
      </c>
      <c r="CZ152" s="156"/>
      <c r="DA152" s="146"/>
      <c r="DB152" s="147"/>
      <c r="DC152" s="147"/>
      <c r="DD152" s="147"/>
      <c r="DE152" s="147"/>
      <c r="DF152" s="145">
        <f>IF(ISERROR(VLOOKUP($A152,FIJOS!$B$11:$N$590,13,FALSE)),0,VLOOKUP($A152,FIJOS!$B$11:$N$590,13,FALSE))</f>
        <v>0</v>
      </c>
      <c r="DG152" s="145">
        <f>IF(ISERROR(VLOOKUP($A152,FIJOS!$B$11:$P$447,12,FALSE)),0,VLOOKUP($A152,FIJOS!$B$11:$P$447,12,FALSE))</f>
        <v>0</v>
      </c>
      <c r="DH152" s="82">
        <f t="shared" si="95"/>
        <v>0</v>
      </c>
      <c r="DI152" s="83" t="b">
        <f>IF($C152=1,(VLOOKUP($A152,FIJOS!$B$11:$P$545,10,FALSE)/7)*(7-$CU152),IF(AND($C152=2,CV152&lt;$DJ$1),(VLOOKUP($D152,HORAS!$B$4:$C$42,2,FALSE)*24)*$CV152,IF(AND($C152=2,CV152&gt;=$DJ$1),VLOOKUP($D152,HORAS!$B$4:$D$42,3,FALSE),IF(AND($C152=3,$CV152&gt;=$DJ$1),VLOOKUP($A152,FIJOS!$B$11:$P$545,10,FALSE),IF(AND($C152=3,$CV152&lt;$DJ$1),((VLOOKUP($A152,FIJOS!$B$11:$P$545,10,FALSE)/48)*24)*$CV152,IF(AND($C152=4,$CV152&gt;=(42/24)),VLOOKUP($D152,HORAS!$B$4:$D$42,3,FALSE),IF(AND($C152=5,$CV152&gt;=(36/24)),VLOOKUP($D152,HORAS!$B$4:$D$42,3,FALSE))))))))</f>
        <v>0</v>
      </c>
      <c r="DJ152" s="145">
        <f>IF(OR($C152=2),VLOOKUP($D152,HORAS!$B$4:$E$42,4,FALSE)*$EC152,IF(ISERROR(VLOOKUP($A152,FIJOS!$B$11:$P$108,9,FALSE)),0,VLOOKUP($A152,FIJOS!$B$11:$P$231,9,FALSE)*$EC152))</f>
        <v>0</v>
      </c>
      <c r="DK152" s="145">
        <f>IF(OR($C152=2),VLOOKUP($D152,HORAS!$B$4:$F$42,5,FALSE)*$EE152,IF(ISERROR(VLOOKUP($A152,FIJOS!$B$11:$P$108,9,FALSE)),0,VLOOKUP($A152,FIJOS!$B$11:$P$231,9,FALSE)*$EE152))</f>
        <v>0</v>
      </c>
      <c r="DL152" s="144"/>
      <c r="DM152" s="145">
        <f>IF(ISERROR(VLOOKUP($A152,FIJOS!$B$11:$L$646,11,FALSE)),0,VLOOKUP($A152,FIJOS!$B$11:$L$646,11,FALSE))</f>
        <v>0</v>
      </c>
      <c r="DN152" s="148" t="e">
        <f>IF(OR($C152=1,$C152=3),0,IF((VLOOKUP(CAPTURA!D152,HORAS!$B$4:$K$42,10,FALSE)/4)*COUNTIF($H152:$CT152,3)&gt;100,100,(VLOOKUP(CAPTURA!D152,HORAS!$B$4:$K$42,10,FALSE)/4)*COUNTIF($H152:$CT152,3)))</f>
        <v>#N/A</v>
      </c>
      <c r="DO152" s="144" t="e">
        <f>IF(OR($C152=1,$C152=3),0,IF($C152=5,VLOOKUP(D152,HORAS!$B$4:$G$42,6,FALSE),IF(AND($C152=4,$CV152&gt;=(42/24)),VLOOKUP(D152,HORAS!$B$4:$G$42,6,FALSE),IF(COUNTIF($H152:$CL152,"F")&gt;0,0,IF(CV152&gt;$DJ$1,$DJ$1*(VLOOKUP(D152,HORAS!$B$4:$G$42,6,FALSE)/$DJ$1),CV152*(VLOOKUP(D152,HORAS!$B$4:$G$42,6,FALSE)/$DJ$1))))))</f>
        <v>#N/A</v>
      </c>
      <c r="DP152" s="156"/>
      <c r="DQ152" s="89"/>
      <c r="DR152" s="148"/>
      <c r="DS152" s="83" t="e">
        <f t="shared" si="98"/>
        <v>#N/A</v>
      </c>
      <c r="DT152" s="84"/>
      <c r="DU152" s="149" t="e">
        <f t="shared" si="99"/>
        <v>#N/A</v>
      </c>
      <c r="DV152" s="149" t="e">
        <f t="shared" si="100"/>
        <v>#N/A</v>
      </c>
      <c r="DW152" s="144" t="e">
        <f t="shared" si="101"/>
        <v>#N/A</v>
      </c>
      <c r="DX152" s="134"/>
      <c r="DY152" s="29"/>
      <c r="DZ152" s="150"/>
      <c r="EA152" s="137"/>
      <c r="EB152" s="137">
        <f t="shared" si="102"/>
        <v>0</v>
      </c>
      <c r="EC152" s="138">
        <f t="shared" si="96"/>
        <v>0</v>
      </c>
      <c r="ED152" s="137">
        <f t="shared" si="103"/>
        <v>0</v>
      </c>
      <c r="EE152" s="132">
        <f t="shared" si="97"/>
        <v>0</v>
      </c>
      <c r="EF152" s="29"/>
      <c r="EG152" s="134"/>
      <c r="EH152" s="134"/>
      <c r="EI152" s="134"/>
      <c r="EK152" s="29"/>
    </row>
    <row r="153" spans="1:141" ht="15" customHeight="1" x14ac:dyDescent="0.25">
      <c r="A153" s="140"/>
      <c r="B153" s="151"/>
      <c r="C153" s="72"/>
      <c r="D153" s="73"/>
      <c r="E153" s="73"/>
      <c r="F153" s="141"/>
      <c r="G153" s="74"/>
      <c r="H153" s="75"/>
      <c r="I153" s="76"/>
      <c r="J153" s="135"/>
      <c r="K153" s="135"/>
      <c r="L153" s="77">
        <f t="shared" si="74"/>
        <v>0</v>
      </c>
      <c r="M153" s="78"/>
      <c r="N153" s="142"/>
      <c r="O153" s="142"/>
      <c r="P153" s="77">
        <f t="shared" si="75"/>
        <v>0</v>
      </c>
      <c r="Q153" s="78"/>
      <c r="R153" s="143"/>
      <c r="S153" s="143"/>
      <c r="T153" s="77">
        <f t="shared" si="76"/>
        <v>0</v>
      </c>
      <c r="U153" s="75"/>
      <c r="V153" s="76"/>
      <c r="W153" s="135"/>
      <c r="X153" s="135"/>
      <c r="Y153" s="77">
        <f t="shared" si="77"/>
        <v>0</v>
      </c>
      <c r="Z153" s="78"/>
      <c r="AA153" s="142"/>
      <c r="AB153" s="142"/>
      <c r="AC153" s="77">
        <f t="shared" si="78"/>
        <v>0</v>
      </c>
      <c r="AD153" s="78"/>
      <c r="AE153" s="143"/>
      <c r="AF153" s="143"/>
      <c r="AG153" s="79">
        <f t="shared" si="79"/>
        <v>0</v>
      </c>
      <c r="AH153" s="75"/>
      <c r="AI153" s="76"/>
      <c r="AJ153" s="135"/>
      <c r="AK153" s="135"/>
      <c r="AL153" s="77">
        <f t="shared" si="80"/>
        <v>0</v>
      </c>
      <c r="AM153" s="76"/>
      <c r="AN153" s="142"/>
      <c r="AO153" s="142"/>
      <c r="AP153" s="77">
        <f t="shared" si="81"/>
        <v>0</v>
      </c>
      <c r="AQ153" s="78"/>
      <c r="AR153" s="142"/>
      <c r="AS153" s="142"/>
      <c r="AT153" s="79">
        <f t="shared" si="82"/>
        <v>0</v>
      </c>
      <c r="AU153" s="75"/>
      <c r="AV153" s="76"/>
      <c r="AW153" s="135"/>
      <c r="AX153" s="135"/>
      <c r="AY153" s="77">
        <f t="shared" si="83"/>
        <v>0</v>
      </c>
      <c r="AZ153" s="76"/>
      <c r="BA153" s="142"/>
      <c r="BB153" s="142"/>
      <c r="BC153" s="77">
        <f t="shared" si="84"/>
        <v>0</v>
      </c>
      <c r="BD153" s="78"/>
      <c r="BE153" s="142"/>
      <c r="BF153" s="142"/>
      <c r="BG153" s="79">
        <f t="shared" si="85"/>
        <v>0</v>
      </c>
      <c r="BH153" s="75"/>
      <c r="BI153" s="76"/>
      <c r="BJ153" s="135"/>
      <c r="BK153" s="135"/>
      <c r="BL153" s="77">
        <f t="shared" si="86"/>
        <v>0</v>
      </c>
      <c r="BM153" s="78"/>
      <c r="BN153" s="142"/>
      <c r="BO153" s="142"/>
      <c r="BP153" s="77">
        <f t="shared" si="87"/>
        <v>0</v>
      </c>
      <c r="BQ153" s="78"/>
      <c r="BR153" s="142"/>
      <c r="BS153" s="142"/>
      <c r="BT153" s="79">
        <f t="shared" si="88"/>
        <v>0</v>
      </c>
      <c r="BU153" s="75"/>
      <c r="BV153" s="76"/>
      <c r="BW153" s="135"/>
      <c r="BX153" s="135"/>
      <c r="BY153" s="77">
        <f t="shared" si="89"/>
        <v>0</v>
      </c>
      <c r="BZ153" s="78"/>
      <c r="CA153" s="142"/>
      <c r="CB153" s="142"/>
      <c r="CC153" s="77">
        <f t="shared" si="90"/>
        <v>0</v>
      </c>
      <c r="CD153" s="78"/>
      <c r="CE153" s="142"/>
      <c r="CF153" s="142"/>
      <c r="CG153" s="79">
        <f t="shared" si="91"/>
        <v>0</v>
      </c>
      <c r="CH153" s="75"/>
      <c r="CI153" s="76"/>
      <c r="CJ153" s="135"/>
      <c r="CK153" s="135"/>
      <c r="CL153" s="77">
        <f t="shared" si="92"/>
        <v>0</v>
      </c>
      <c r="CM153" s="78"/>
      <c r="CN153" s="142"/>
      <c r="CO153" s="142"/>
      <c r="CP153" s="77">
        <f t="shared" si="93"/>
        <v>0</v>
      </c>
      <c r="CQ153" s="78"/>
      <c r="CR153" s="142"/>
      <c r="CS153" s="142"/>
      <c r="CT153" s="79">
        <f t="shared" si="94"/>
        <v>0</v>
      </c>
      <c r="CU153" s="80">
        <f t="shared" si="72"/>
        <v>0</v>
      </c>
      <c r="CV153" s="81">
        <f t="shared" si="73"/>
        <v>0</v>
      </c>
      <c r="CW153" s="144"/>
      <c r="CX153" s="145">
        <f>IF(ISERROR(VLOOKUP($A153,FIJOS!$B$11:$O$590,14,FALSE)),0,VLOOKUP($A153,FIJOS!$B$11:$O$590,14,FALSE))</f>
        <v>0</v>
      </c>
      <c r="CY153" s="145">
        <f>IF(ISERROR(VLOOKUP(A153,FIJOS!$B$10:$P$590,15,FALSE)),0,VLOOKUP(A153,FIJOS!$B$10:$P$590,15,FALSE))</f>
        <v>0</v>
      </c>
      <c r="CZ153" s="156"/>
      <c r="DA153" s="146"/>
      <c r="DB153" s="147"/>
      <c r="DC153" s="147"/>
      <c r="DD153" s="147"/>
      <c r="DE153" s="147"/>
      <c r="DF153" s="145">
        <f>IF(ISERROR(VLOOKUP($A153,FIJOS!$B$11:$N$590,13,FALSE)),0,VLOOKUP($A153,FIJOS!$B$11:$N$590,13,FALSE))</f>
        <v>0</v>
      </c>
      <c r="DG153" s="145">
        <f>IF(ISERROR(VLOOKUP($A153,FIJOS!$B$11:$P$447,12,FALSE)),0,VLOOKUP($A153,FIJOS!$B$11:$P$447,12,FALSE))</f>
        <v>0</v>
      </c>
      <c r="DH153" s="82">
        <f t="shared" si="95"/>
        <v>0</v>
      </c>
      <c r="DI153" s="83" t="b">
        <f>IF($C153=1,(VLOOKUP($A153,FIJOS!$B$11:$P$545,10,FALSE)/7)*(7-$CU153),IF(AND($C153=2,CV153&lt;$DJ$1),(VLOOKUP($D153,HORAS!$B$4:$C$42,2,FALSE)*24)*$CV153,IF(AND($C153=2,CV153&gt;=$DJ$1),VLOOKUP($D153,HORAS!$B$4:$D$42,3,FALSE),IF(AND($C153=3,$CV153&gt;=$DJ$1),VLOOKUP($A153,FIJOS!$B$11:$P$545,10,FALSE),IF(AND($C153=3,$CV153&lt;$DJ$1),((VLOOKUP($A153,FIJOS!$B$11:$P$545,10,FALSE)/48)*24)*$CV153,IF(AND($C153=4,$CV153&gt;=(42/24)),VLOOKUP($D153,HORAS!$B$4:$D$42,3,FALSE),IF(AND($C153=5,$CV153&gt;=(36/24)),VLOOKUP($D153,HORAS!$B$4:$D$42,3,FALSE))))))))</f>
        <v>0</v>
      </c>
      <c r="DJ153" s="145">
        <f>IF(OR($C153=2),VLOOKUP($D153,HORAS!$B$4:$E$42,4,FALSE)*$EC153,IF(ISERROR(VLOOKUP($A153,FIJOS!$B$11:$P$108,9,FALSE)),0,VLOOKUP($A153,FIJOS!$B$11:$P$231,9,FALSE)*$EC153))</f>
        <v>0</v>
      </c>
      <c r="DK153" s="145">
        <f>IF(OR($C153=2),VLOOKUP($D153,HORAS!$B$4:$F$42,5,FALSE)*$EE153,IF(ISERROR(VLOOKUP($A153,FIJOS!$B$11:$P$108,9,FALSE)),0,VLOOKUP($A153,FIJOS!$B$11:$P$231,9,FALSE)*$EE153))</f>
        <v>0</v>
      </c>
      <c r="DL153" s="144"/>
      <c r="DM153" s="145">
        <f>IF(ISERROR(VLOOKUP($A153,FIJOS!$B$11:$L$646,11,FALSE)),0,VLOOKUP($A153,FIJOS!$B$11:$L$646,11,FALSE))</f>
        <v>0</v>
      </c>
      <c r="DN153" s="148" t="e">
        <f>IF(OR($C153=1,$C153=3),0,IF((VLOOKUP(CAPTURA!D153,HORAS!$B$4:$K$42,10,FALSE)/4)*COUNTIF($H153:$CT153,3)&gt;100,100,(VLOOKUP(CAPTURA!D153,HORAS!$B$4:$K$42,10,FALSE)/4)*COUNTIF($H153:$CT153,3)))</f>
        <v>#N/A</v>
      </c>
      <c r="DO153" s="144" t="e">
        <f>IF(OR($C153=1,$C153=3),0,IF($C153=5,VLOOKUP(D153,HORAS!$B$4:$G$42,6,FALSE),IF(AND($C153=4,$CV153&gt;=(42/24)),VLOOKUP(D153,HORAS!$B$4:$G$42,6,FALSE),IF(COUNTIF($H153:$CL153,"F")&gt;0,0,IF(CV153&gt;$DJ$1,$DJ$1*(VLOOKUP(D153,HORAS!$B$4:$G$42,6,FALSE)/$DJ$1),CV153*(VLOOKUP(D153,HORAS!$B$4:$G$42,6,FALSE)/$DJ$1))))))</f>
        <v>#N/A</v>
      </c>
      <c r="DP153" s="156"/>
      <c r="DQ153" s="148"/>
      <c r="DR153" s="148"/>
      <c r="DS153" s="83" t="e">
        <f t="shared" si="98"/>
        <v>#N/A</v>
      </c>
      <c r="DT153" s="84"/>
      <c r="DU153" s="149" t="e">
        <f t="shared" si="99"/>
        <v>#N/A</v>
      </c>
      <c r="DV153" s="149" t="e">
        <f t="shared" si="100"/>
        <v>#N/A</v>
      </c>
      <c r="DW153" s="144" t="e">
        <f t="shared" si="101"/>
        <v>#N/A</v>
      </c>
      <c r="DX153" s="134"/>
      <c r="DY153" s="29"/>
      <c r="DZ153" s="150"/>
      <c r="EA153" s="137"/>
      <c r="EB153" s="137">
        <f t="shared" si="102"/>
        <v>0</v>
      </c>
      <c r="EC153" s="138">
        <f t="shared" si="96"/>
        <v>0</v>
      </c>
      <c r="ED153" s="137">
        <f t="shared" si="103"/>
        <v>0</v>
      </c>
      <c r="EE153" s="132">
        <f t="shared" si="97"/>
        <v>0</v>
      </c>
      <c r="EF153" s="29"/>
      <c r="EG153" s="134"/>
      <c r="EH153" s="134"/>
      <c r="EI153" s="134"/>
      <c r="EK153" s="29"/>
    </row>
    <row r="154" spans="1:141" ht="15" customHeight="1" x14ac:dyDescent="0.25">
      <c r="A154" s="140"/>
      <c r="B154" s="151"/>
      <c r="C154" s="72"/>
      <c r="D154" s="73"/>
      <c r="E154" s="73"/>
      <c r="F154" s="141"/>
      <c r="G154" s="74"/>
      <c r="H154" s="75"/>
      <c r="I154" s="76"/>
      <c r="J154" s="135"/>
      <c r="K154" s="135"/>
      <c r="L154" s="77">
        <f t="shared" si="74"/>
        <v>0</v>
      </c>
      <c r="M154" s="78"/>
      <c r="N154" s="142"/>
      <c r="O154" s="142"/>
      <c r="P154" s="77">
        <f t="shared" si="75"/>
        <v>0</v>
      </c>
      <c r="Q154" s="78"/>
      <c r="R154" s="143"/>
      <c r="S154" s="143"/>
      <c r="T154" s="77">
        <f t="shared" si="76"/>
        <v>0</v>
      </c>
      <c r="U154" s="75"/>
      <c r="V154" s="76"/>
      <c r="W154" s="135"/>
      <c r="X154" s="135"/>
      <c r="Y154" s="77">
        <f t="shared" si="77"/>
        <v>0</v>
      </c>
      <c r="Z154" s="78"/>
      <c r="AA154" s="142"/>
      <c r="AB154" s="142"/>
      <c r="AC154" s="77">
        <f t="shared" si="78"/>
        <v>0</v>
      </c>
      <c r="AD154" s="78"/>
      <c r="AE154" s="143"/>
      <c r="AF154" s="143"/>
      <c r="AG154" s="79">
        <f t="shared" si="79"/>
        <v>0</v>
      </c>
      <c r="AH154" s="75"/>
      <c r="AI154" s="76"/>
      <c r="AJ154" s="86"/>
      <c r="AK154" s="135"/>
      <c r="AL154" s="77">
        <f t="shared" si="80"/>
        <v>0</v>
      </c>
      <c r="AM154" s="76"/>
      <c r="AN154" s="142"/>
      <c r="AO154" s="142"/>
      <c r="AP154" s="77">
        <f t="shared" si="81"/>
        <v>0</v>
      </c>
      <c r="AQ154" s="78"/>
      <c r="AR154" s="142"/>
      <c r="AS154" s="142"/>
      <c r="AT154" s="79">
        <f t="shared" si="82"/>
        <v>0</v>
      </c>
      <c r="AU154" s="75"/>
      <c r="AV154" s="76"/>
      <c r="AW154" s="86"/>
      <c r="AX154" s="135"/>
      <c r="AY154" s="77">
        <f t="shared" si="83"/>
        <v>0</v>
      </c>
      <c r="AZ154" s="76"/>
      <c r="BA154" s="142"/>
      <c r="BB154" s="142"/>
      <c r="BC154" s="77">
        <f t="shared" si="84"/>
        <v>0</v>
      </c>
      <c r="BD154" s="78"/>
      <c r="BE154" s="142"/>
      <c r="BF154" s="142"/>
      <c r="BG154" s="79">
        <f t="shared" si="85"/>
        <v>0</v>
      </c>
      <c r="BH154" s="75"/>
      <c r="BI154" s="76"/>
      <c r="BJ154" s="135"/>
      <c r="BK154" s="135"/>
      <c r="BL154" s="77">
        <f t="shared" si="86"/>
        <v>0</v>
      </c>
      <c r="BM154" s="78"/>
      <c r="BN154" s="142"/>
      <c r="BO154" s="142"/>
      <c r="BP154" s="77">
        <f t="shared" si="87"/>
        <v>0</v>
      </c>
      <c r="BQ154" s="78"/>
      <c r="BR154" s="142"/>
      <c r="BS154" s="142"/>
      <c r="BT154" s="79">
        <f t="shared" si="88"/>
        <v>0</v>
      </c>
      <c r="BU154" s="75"/>
      <c r="BV154" s="76"/>
      <c r="BW154" s="135"/>
      <c r="BX154" s="135"/>
      <c r="BY154" s="77">
        <f t="shared" si="89"/>
        <v>0</v>
      </c>
      <c r="BZ154" s="76"/>
      <c r="CA154" s="142"/>
      <c r="CB154" s="142"/>
      <c r="CC154" s="77">
        <f t="shared" si="90"/>
        <v>0</v>
      </c>
      <c r="CD154" s="76"/>
      <c r="CE154" s="142"/>
      <c r="CF154" s="142"/>
      <c r="CG154" s="79">
        <f t="shared" si="91"/>
        <v>0</v>
      </c>
      <c r="CH154" s="75"/>
      <c r="CI154" s="76"/>
      <c r="CJ154" s="135"/>
      <c r="CK154" s="135"/>
      <c r="CL154" s="77">
        <f t="shared" si="92"/>
        <v>0</v>
      </c>
      <c r="CM154" s="78"/>
      <c r="CN154" s="142"/>
      <c r="CO154" s="142"/>
      <c r="CP154" s="77">
        <f t="shared" si="93"/>
        <v>0</v>
      </c>
      <c r="CQ154" s="78"/>
      <c r="CR154" s="142"/>
      <c r="CS154" s="142"/>
      <c r="CT154" s="79">
        <f t="shared" si="94"/>
        <v>0</v>
      </c>
      <c r="CU154" s="80">
        <f t="shared" si="72"/>
        <v>0</v>
      </c>
      <c r="CV154" s="81">
        <f t="shared" si="73"/>
        <v>0</v>
      </c>
      <c r="CW154" s="144"/>
      <c r="CX154" s="145">
        <f>IF(ISERROR(VLOOKUP($A154,FIJOS!$B$11:$O$590,14,FALSE)),0,VLOOKUP($A154,FIJOS!$B$11:$O$590,14,FALSE))</f>
        <v>0</v>
      </c>
      <c r="CY154" s="145">
        <f>IF(ISERROR(VLOOKUP(A154,FIJOS!$B$10:$P$590,15,FALSE)),0,VLOOKUP(A154,FIJOS!$B$10:$P$590,15,FALSE))</f>
        <v>0</v>
      </c>
      <c r="CZ154" s="156"/>
      <c r="DA154" s="146"/>
      <c r="DB154" s="147"/>
      <c r="DC154" s="147"/>
      <c r="DD154" s="147"/>
      <c r="DE154" s="147"/>
      <c r="DF154" s="145">
        <f>IF(ISERROR(VLOOKUP($A154,FIJOS!$B$11:$N$590,13,FALSE)),0,VLOOKUP($A154,FIJOS!$B$11:$N$590,13,FALSE))</f>
        <v>0</v>
      </c>
      <c r="DG154" s="145">
        <f>IF(ISERROR(VLOOKUP($A154,FIJOS!$B$11:$P$447,12,FALSE)),0,VLOOKUP($A154,FIJOS!$B$11:$P$447,12,FALSE))</f>
        <v>0</v>
      </c>
      <c r="DH154" s="82">
        <f t="shared" si="95"/>
        <v>0</v>
      </c>
      <c r="DI154" s="83" t="b">
        <f>IF($C154=1,(VLOOKUP($A154,FIJOS!$B$11:$P$545,10,FALSE)/7)*(7-$CU154),IF(AND($C154=2,CV154&lt;$DJ$1),(VLOOKUP($D154,HORAS!$B$4:$C$42,2,FALSE)*24)*$CV154,IF(AND($C154=2,CV154&gt;=$DJ$1),VLOOKUP($D154,HORAS!$B$4:$D$42,3,FALSE),IF(AND($C154=3,$CV154&gt;=$DJ$1),VLOOKUP($A154,FIJOS!$B$11:$P$545,10,FALSE),IF(AND($C154=3,$CV154&lt;$DJ$1),((VLOOKUP($A154,FIJOS!$B$11:$P$545,10,FALSE)/48)*24)*$CV154,IF(AND($C154=4,$CV154&gt;=(42/24)),VLOOKUP($D154,HORAS!$B$4:$D$42,3,FALSE),IF(AND($C154=5,$CV154&gt;=(36/24)),VLOOKUP($D154,HORAS!$B$4:$D$42,3,FALSE))))))))</f>
        <v>0</v>
      </c>
      <c r="DJ154" s="145">
        <f>IF(OR($C154=2),VLOOKUP($D154,HORAS!$B$4:$E$42,4,FALSE)*$EC154,IF(ISERROR(VLOOKUP($A154,FIJOS!$B$11:$P$108,9,FALSE)),0,VLOOKUP($A154,FIJOS!$B$11:$P$231,9,FALSE)*$EC154))</f>
        <v>0</v>
      </c>
      <c r="DK154" s="145">
        <f>IF(OR($C154=2),VLOOKUP($D154,HORAS!$B$4:$F$42,5,FALSE)*$EE154,IF(ISERROR(VLOOKUP($A154,FIJOS!$B$11:$P$108,9,FALSE)),0,VLOOKUP($A154,FIJOS!$B$11:$P$231,9,FALSE)*$EE154))</f>
        <v>0</v>
      </c>
      <c r="DL154" s="144"/>
      <c r="DM154" s="145">
        <f>IF(ISERROR(VLOOKUP($A154,FIJOS!$B$11:$L$646,11,FALSE)),0,VLOOKUP($A154,FIJOS!$B$11:$L$646,11,FALSE))</f>
        <v>0</v>
      </c>
      <c r="DN154" s="148" t="e">
        <f>IF(OR($C154=1,$C154=3),0,IF((VLOOKUP(CAPTURA!D154,HORAS!$B$4:$K$42,10,FALSE)/4)*COUNTIF($H154:$CT154,3)&gt;100,100,(VLOOKUP(CAPTURA!D154,HORAS!$B$4:$K$42,10,FALSE)/4)*COUNTIF($H154:$CT154,3)))</f>
        <v>#N/A</v>
      </c>
      <c r="DO154" s="144" t="e">
        <f>IF(OR($C154=1,$C154=3),0,IF($C154=5,VLOOKUP(D154,HORAS!$B$4:$G$42,6,FALSE),IF(AND($C154=4,$CV154&gt;=(42/24)),VLOOKUP(D154,HORAS!$B$4:$G$42,6,FALSE),IF(COUNTIF($H154:$CL154,"F")&gt;0,0,IF(CV154&gt;$DJ$1,$DJ$1*(VLOOKUP(D154,HORAS!$B$4:$G$42,6,FALSE)/$DJ$1),CV154*(VLOOKUP(D154,HORAS!$B$4:$G$42,6,FALSE)/$DJ$1))))))</f>
        <v>#N/A</v>
      </c>
      <c r="DP154" s="156"/>
      <c r="DQ154" s="89"/>
      <c r="DR154" s="148"/>
      <c r="DS154" s="83" t="e">
        <f t="shared" si="98"/>
        <v>#N/A</v>
      </c>
      <c r="DT154" s="84"/>
      <c r="DU154" s="149" t="e">
        <f t="shared" si="99"/>
        <v>#N/A</v>
      </c>
      <c r="DV154" s="149" t="e">
        <f t="shared" si="100"/>
        <v>#N/A</v>
      </c>
      <c r="DW154" s="144" t="e">
        <f t="shared" si="101"/>
        <v>#N/A</v>
      </c>
      <c r="DX154" s="134"/>
      <c r="DY154" s="29"/>
      <c r="DZ154" s="150"/>
      <c r="EA154" s="134"/>
      <c r="EB154" s="137">
        <f t="shared" si="102"/>
        <v>0</v>
      </c>
      <c r="EC154" s="138">
        <f t="shared" si="96"/>
        <v>0</v>
      </c>
      <c r="ED154" s="137">
        <f t="shared" si="103"/>
        <v>0</v>
      </c>
      <c r="EE154" s="132">
        <f t="shared" si="97"/>
        <v>0</v>
      </c>
      <c r="EF154" s="29"/>
      <c r="EG154" s="134"/>
      <c r="EH154" s="134"/>
      <c r="EI154" s="134"/>
      <c r="EK154" s="29"/>
    </row>
    <row r="155" spans="1:141" ht="15" customHeight="1" x14ac:dyDescent="0.25">
      <c r="A155" s="140"/>
      <c r="B155" s="5"/>
      <c r="C155" s="72"/>
      <c r="D155" s="73"/>
      <c r="E155" s="73"/>
      <c r="F155" s="141"/>
      <c r="G155" s="74"/>
      <c r="H155" s="75"/>
      <c r="I155" s="76"/>
      <c r="J155" s="135"/>
      <c r="K155" s="135"/>
      <c r="L155" s="77">
        <f t="shared" si="74"/>
        <v>0</v>
      </c>
      <c r="M155" s="78"/>
      <c r="N155" s="142"/>
      <c r="O155" s="142"/>
      <c r="P155" s="77">
        <f t="shared" si="75"/>
        <v>0</v>
      </c>
      <c r="Q155" s="78"/>
      <c r="R155" s="143"/>
      <c r="S155" s="143"/>
      <c r="T155" s="77">
        <f t="shared" si="76"/>
        <v>0</v>
      </c>
      <c r="U155" s="75"/>
      <c r="V155" s="76"/>
      <c r="W155" s="135"/>
      <c r="X155" s="135"/>
      <c r="Y155" s="77">
        <f t="shared" si="77"/>
        <v>0</v>
      </c>
      <c r="Z155" s="78"/>
      <c r="AA155" s="142"/>
      <c r="AB155" s="142"/>
      <c r="AC155" s="77">
        <f t="shared" si="78"/>
        <v>0</v>
      </c>
      <c r="AD155" s="78"/>
      <c r="AE155" s="143"/>
      <c r="AF155" s="143"/>
      <c r="AG155" s="79">
        <f t="shared" si="79"/>
        <v>0</v>
      </c>
      <c r="AH155" s="75"/>
      <c r="AI155" s="76"/>
      <c r="AJ155" s="135"/>
      <c r="AK155" s="135"/>
      <c r="AL155" s="77">
        <f t="shared" si="80"/>
        <v>0</v>
      </c>
      <c r="AM155" s="76"/>
      <c r="AN155" s="142"/>
      <c r="AO155" s="142"/>
      <c r="AP155" s="77">
        <f t="shared" si="81"/>
        <v>0</v>
      </c>
      <c r="AQ155" s="78"/>
      <c r="AR155" s="142"/>
      <c r="AS155" s="142"/>
      <c r="AT155" s="79">
        <f t="shared" si="82"/>
        <v>0</v>
      </c>
      <c r="AU155" s="75"/>
      <c r="AV155" s="76"/>
      <c r="AW155" s="135"/>
      <c r="AX155" s="135"/>
      <c r="AY155" s="77">
        <f t="shared" si="83"/>
        <v>0</v>
      </c>
      <c r="AZ155" s="76"/>
      <c r="BA155" s="142"/>
      <c r="BB155" s="142"/>
      <c r="BC155" s="77">
        <f t="shared" si="84"/>
        <v>0</v>
      </c>
      <c r="BD155" s="78"/>
      <c r="BE155" s="142"/>
      <c r="BF155" s="142"/>
      <c r="BG155" s="79">
        <f t="shared" si="85"/>
        <v>0</v>
      </c>
      <c r="BH155" s="75"/>
      <c r="BI155" s="76"/>
      <c r="BJ155" s="135"/>
      <c r="BK155" s="135"/>
      <c r="BL155" s="77">
        <f t="shared" si="86"/>
        <v>0</v>
      </c>
      <c r="BM155" s="78"/>
      <c r="BN155" s="142"/>
      <c r="BO155" s="142"/>
      <c r="BP155" s="77">
        <f t="shared" si="87"/>
        <v>0</v>
      </c>
      <c r="BQ155" s="78"/>
      <c r="BR155" s="142"/>
      <c r="BS155" s="142"/>
      <c r="BT155" s="79">
        <f t="shared" si="88"/>
        <v>0</v>
      </c>
      <c r="BU155" s="75"/>
      <c r="BV155" s="76"/>
      <c r="BW155" s="135"/>
      <c r="BX155" s="135"/>
      <c r="BY155" s="77">
        <f t="shared" si="89"/>
        <v>0</v>
      </c>
      <c r="BZ155" s="78"/>
      <c r="CA155" s="142"/>
      <c r="CB155" s="142"/>
      <c r="CC155" s="77">
        <f t="shared" si="90"/>
        <v>0</v>
      </c>
      <c r="CD155" s="78"/>
      <c r="CE155" s="142"/>
      <c r="CF155" s="142"/>
      <c r="CG155" s="79">
        <f t="shared" si="91"/>
        <v>0</v>
      </c>
      <c r="CH155" s="75"/>
      <c r="CI155" s="76"/>
      <c r="CJ155" s="135"/>
      <c r="CK155" s="135"/>
      <c r="CL155" s="77">
        <f t="shared" si="92"/>
        <v>0</v>
      </c>
      <c r="CM155" s="78"/>
      <c r="CN155" s="142"/>
      <c r="CO155" s="142"/>
      <c r="CP155" s="77">
        <f t="shared" si="93"/>
        <v>0</v>
      </c>
      <c r="CQ155" s="78"/>
      <c r="CR155" s="142"/>
      <c r="CS155" s="142"/>
      <c r="CT155" s="79">
        <f t="shared" si="94"/>
        <v>0</v>
      </c>
      <c r="CU155" s="80">
        <f t="shared" si="72"/>
        <v>0</v>
      </c>
      <c r="CV155" s="81">
        <f t="shared" si="73"/>
        <v>0</v>
      </c>
      <c r="CW155" s="144"/>
      <c r="CX155" s="145">
        <f>IF(ISERROR(VLOOKUP($A155,FIJOS!$B$11:$O$590,14,FALSE)),0,VLOOKUP($A155,FIJOS!$B$11:$O$590,14,FALSE))</f>
        <v>0</v>
      </c>
      <c r="CY155" s="145">
        <f>IF(ISERROR(VLOOKUP(A155,FIJOS!$B$10:$P$590,15,FALSE)),0,VLOOKUP(A155,FIJOS!$B$10:$P$590,15,FALSE))</f>
        <v>0</v>
      </c>
      <c r="CZ155" s="156"/>
      <c r="DA155" s="146"/>
      <c r="DB155" s="147"/>
      <c r="DC155" s="147"/>
      <c r="DD155" s="147"/>
      <c r="DE155" s="147"/>
      <c r="DF155" s="145">
        <f>IF(ISERROR(VLOOKUP($A155,FIJOS!$B$11:$N$590,13,FALSE)),0,VLOOKUP($A155,FIJOS!$B$11:$N$590,13,FALSE))</f>
        <v>0</v>
      </c>
      <c r="DG155" s="145">
        <f>IF(ISERROR(VLOOKUP($A155,FIJOS!$B$11:$P$447,12,FALSE)),0,VLOOKUP($A155,FIJOS!$B$11:$P$447,12,FALSE))</f>
        <v>0</v>
      </c>
      <c r="DH155" s="82">
        <f t="shared" si="95"/>
        <v>0</v>
      </c>
      <c r="DI155" s="83" t="b">
        <f>IF($C155=1,(VLOOKUP($A155,FIJOS!$B$11:$P$545,10,FALSE)/7)*(7-$CU155),IF(AND($C155=2,CV155&lt;$DJ$1),(VLOOKUP($D155,HORAS!$B$4:$C$42,2,FALSE)*24)*$CV155,IF(AND($C155=2,CV155&gt;=$DJ$1),VLOOKUP($D155,HORAS!$B$4:$D$42,3,FALSE),IF(AND($C155=3,$CV155&gt;=$DJ$1),VLOOKUP($A155,FIJOS!$B$11:$P$545,10,FALSE),IF(AND($C155=3,$CV155&lt;$DJ$1),((VLOOKUP($A155,FIJOS!$B$11:$P$545,10,FALSE)/48)*24)*$CV155,IF(AND($C155=4,$CV155&gt;=(42/24)),VLOOKUP($D155,HORAS!$B$4:$D$42,3,FALSE),IF(AND($C155=5,$CV155&gt;=(36/24)),VLOOKUP($D155,HORAS!$B$4:$D$42,3,FALSE))))))))</f>
        <v>0</v>
      </c>
      <c r="DJ155" s="145">
        <f>IF(OR($C155=2),VLOOKUP($D155,HORAS!$B$4:$E$42,4,FALSE)*$EC155,IF(ISERROR(VLOOKUP($A155,FIJOS!$B$11:$P$108,9,FALSE)),0,VLOOKUP($A155,FIJOS!$B$11:$P$231,9,FALSE)*$EC155))</f>
        <v>0</v>
      </c>
      <c r="DK155" s="145">
        <f>IF(OR($C155=2),VLOOKUP($D155,HORAS!$B$4:$F$42,5,FALSE)*$EE155,IF(ISERROR(VLOOKUP($A155,FIJOS!$B$11:$P$108,9,FALSE)),0,VLOOKUP($A155,FIJOS!$B$11:$P$231,9,FALSE)*$EE155))</f>
        <v>0</v>
      </c>
      <c r="DL155" s="144"/>
      <c r="DM155" s="145">
        <f>IF(ISERROR(VLOOKUP($A155,FIJOS!$B$11:$L$646,11,FALSE)),0,VLOOKUP($A155,FIJOS!$B$11:$L$646,11,FALSE))</f>
        <v>0</v>
      </c>
      <c r="DN155" s="148" t="e">
        <f>IF(OR($C155=1,$C155=3),0,IF((VLOOKUP(CAPTURA!D155,HORAS!$B$4:$K$42,10,FALSE)/4)*COUNTIF($H155:$CT155,3)&gt;100,100,(VLOOKUP(CAPTURA!D155,HORAS!$B$4:$K$42,10,FALSE)/4)*COUNTIF($H155:$CT155,3)))</f>
        <v>#N/A</v>
      </c>
      <c r="DO155" s="144" t="e">
        <f>IF(OR($C155=1,$C155=3),0,IF($C155=5,VLOOKUP(D155,HORAS!$B$4:$G$42,6,FALSE),IF(AND($C155=4,$CV155&gt;=(42/24)),VLOOKUP(D155,HORAS!$B$4:$G$42,6,FALSE),IF(COUNTIF($H155:$CL155,"F")&gt;0,0,IF(CV155&gt;$DJ$1,$DJ$1*(VLOOKUP(D155,HORAS!$B$4:$G$42,6,FALSE)/$DJ$1),CV155*(VLOOKUP(D155,HORAS!$B$4:$G$42,6,FALSE)/$DJ$1))))))</f>
        <v>#N/A</v>
      </c>
      <c r="DP155" s="156"/>
      <c r="DQ155" s="148"/>
      <c r="DR155" s="148"/>
      <c r="DS155" s="83" t="e">
        <f t="shared" si="98"/>
        <v>#N/A</v>
      </c>
      <c r="DT155" s="84"/>
      <c r="DU155" s="149" t="e">
        <f t="shared" si="99"/>
        <v>#N/A</v>
      </c>
      <c r="DV155" s="149" t="e">
        <f t="shared" si="100"/>
        <v>#N/A</v>
      </c>
      <c r="DW155" s="144" t="e">
        <f t="shared" si="101"/>
        <v>#N/A</v>
      </c>
      <c r="DX155" s="134"/>
      <c r="DY155" s="29"/>
      <c r="DZ155" s="150"/>
      <c r="EA155" s="134"/>
      <c r="EB155" s="137">
        <f t="shared" si="102"/>
        <v>0</v>
      </c>
      <c r="EC155" s="138">
        <f t="shared" si="96"/>
        <v>0</v>
      </c>
      <c r="ED155" s="137">
        <f t="shared" si="103"/>
        <v>0</v>
      </c>
      <c r="EE155" s="132">
        <f t="shared" si="97"/>
        <v>0</v>
      </c>
      <c r="EF155" s="29"/>
      <c r="EG155" s="134"/>
      <c r="EH155" s="134"/>
      <c r="EI155" s="134"/>
      <c r="EK155" s="29"/>
    </row>
    <row r="156" spans="1:141" ht="15" customHeight="1" x14ac:dyDescent="0.25">
      <c r="A156" s="140"/>
      <c r="B156" s="5"/>
      <c r="C156" s="72"/>
      <c r="D156" s="73"/>
      <c r="E156" s="73"/>
      <c r="F156" s="141"/>
      <c r="G156" s="74"/>
      <c r="H156" s="75"/>
      <c r="I156" s="76"/>
      <c r="J156" s="135"/>
      <c r="K156" s="135"/>
      <c r="L156" s="77">
        <f t="shared" si="74"/>
        <v>0</v>
      </c>
      <c r="M156" s="76"/>
      <c r="N156" s="142"/>
      <c r="O156" s="142"/>
      <c r="P156" s="77">
        <f t="shared" si="75"/>
        <v>0</v>
      </c>
      <c r="Q156" s="76"/>
      <c r="R156" s="143"/>
      <c r="S156" s="143"/>
      <c r="T156" s="77">
        <f t="shared" si="76"/>
        <v>0</v>
      </c>
      <c r="U156" s="75"/>
      <c r="V156" s="76"/>
      <c r="W156" s="135"/>
      <c r="X156" s="135"/>
      <c r="Y156" s="77">
        <f t="shared" si="77"/>
        <v>0</v>
      </c>
      <c r="Z156" s="76"/>
      <c r="AA156" s="142"/>
      <c r="AB156" s="142"/>
      <c r="AC156" s="77">
        <f t="shared" si="78"/>
        <v>0</v>
      </c>
      <c r="AD156" s="76"/>
      <c r="AE156" s="143"/>
      <c r="AF156" s="143"/>
      <c r="AG156" s="79">
        <f t="shared" si="79"/>
        <v>0</v>
      </c>
      <c r="AH156" s="75"/>
      <c r="AI156" s="76"/>
      <c r="AJ156" s="135"/>
      <c r="AK156" s="135"/>
      <c r="AL156" s="77">
        <f t="shared" si="80"/>
        <v>0</v>
      </c>
      <c r="AM156" s="76"/>
      <c r="AN156" s="142"/>
      <c r="AO156" s="142"/>
      <c r="AP156" s="77">
        <f t="shared" si="81"/>
        <v>0</v>
      </c>
      <c r="AQ156" s="76"/>
      <c r="AR156" s="142"/>
      <c r="AS156" s="142"/>
      <c r="AT156" s="79">
        <f t="shared" si="82"/>
        <v>0</v>
      </c>
      <c r="AU156" s="75"/>
      <c r="AV156" s="76"/>
      <c r="AW156" s="135"/>
      <c r="AX156" s="135"/>
      <c r="AY156" s="77">
        <f t="shared" si="83"/>
        <v>0</v>
      </c>
      <c r="AZ156" s="76"/>
      <c r="BA156" s="142"/>
      <c r="BB156" s="142"/>
      <c r="BC156" s="77">
        <f t="shared" si="84"/>
        <v>0</v>
      </c>
      <c r="BD156" s="76"/>
      <c r="BE156" s="142"/>
      <c r="BF156" s="142"/>
      <c r="BG156" s="79">
        <f t="shared" si="85"/>
        <v>0</v>
      </c>
      <c r="BH156" s="75"/>
      <c r="BI156" s="76"/>
      <c r="BJ156" s="86"/>
      <c r="BK156" s="135"/>
      <c r="BL156" s="77">
        <f t="shared" si="86"/>
        <v>0</v>
      </c>
      <c r="BM156" s="76"/>
      <c r="BN156" s="142"/>
      <c r="BO156" s="142"/>
      <c r="BP156" s="77">
        <f t="shared" si="87"/>
        <v>0</v>
      </c>
      <c r="BQ156" s="76"/>
      <c r="BR156" s="142"/>
      <c r="BS156" s="142"/>
      <c r="BT156" s="79">
        <f t="shared" si="88"/>
        <v>0</v>
      </c>
      <c r="BU156" s="75"/>
      <c r="BV156" s="76"/>
      <c r="BW156" s="135"/>
      <c r="BX156" s="135"/>
      <c r="BY156" s="77">
        <f t="shared" si="89"/>
        <v>0</v>
      </c>
      <c r="BZ156" s="76"/>
      <c r="CA156" s="142"/>
      <c r="CB156" s="142"/>
      <c r="CC156" s="77">
        <f t="shared" si="90"/>
        <v>0</v>
      </c>
      <c r="CD156" s="76"/>
      <c r="CE156" s="142"/>
      <c r="CF156" s="142"/>
      <c r="CG156" s="79">
        <f t="shared" si="91"/>
        <v>0</v>
      </c>
      <c r="CH156" s="75"/>
      <c r="CI156" s="76"/>
      <c r="CJ156" s="135"/>
      <c r="CK156" s="135"/>
      <c r="CL156" s="77">
        <f t="shared" si="92"/>
        <v>0</v>
      </c>
      <c r="CM156" s="78"/>
      <c r="CN156" s="142"/>
      <c r="CO156" s="142"/>
      <c r="CP156" s="77">
        <f t="shared" si="93"/>
        <v>0</v>
      </c>
      <c r="CQ156" s="78"/>
      <c r="CR156" s="142"/>
      <c r="CS156" s="142"/>
      <c r="CT156" s="79">
        <f t="shared" si="94"/>
        <v>0</v>
      </c>
      <c r="CU156" s="80">
        <f t="shared" si="72"/>
        <v>0</v>
      </c>
      <c r="CV156" s="81">
        <f t="shared" si="73"/>
        <v>0</v>
      </c>
      <c r="CW156" s="144"/>
      <c r="CX156" s="145">
        <f>IF(ISERROR(VLOOKUP($A156,FIJOS!$B$11:$O$590,14,FALSE)),0,VLOOKUP($A156,FIJOS!$B$11:$O$590,14,FALSE))</f>
        <v>0</v>
      </c>
      <c r="CY156" s="145">
        <f>IF(ISERROR(VLOOKUP(A156,FIJOS!$B$10:$P$590,15,FALSE)),0,VLOOKUP(A156,FIJOS!$B$10:$P$590,15,FALSE))</f>
        <v>0</v>
      </c>
      <c r="CZ156" s="156"/>
      <c r="DA156" s="146"/>
      <c r="DB156" s="147"/>
      <c r="DC156" s="147"/>
      <c r="DD156" s="147"/>
      <c r="DE156" s="147"/>
      <c r="DF156" s="145">
        <f>IF(ISERROR(VLOOKUP($A156,FIJOS!$B$11:$N$590,13,FALSE)),0,VLOOKUP($A156,FIJOS!$B$11:$N$590,13,FALSE))</f>
        <v>0</v>
      </c>
      <c r="DG156" s="145">
        <f>IF(ISERROR(VLOOKUP($A156,FIJOS!$B$11:$P$447,12,FALSE)),0,VLOOKUP($A156,FIJOS!$B$11:$P$447,12,FALSE))</f>
        <v>0</v>
      </c>
      <c r="DH156" s="82">
        <f t="shared" si="95"/>
        <v>0</v>
      </c>
      <c r="DI156" s="83" t="b">
        <f>IF($C156=1,(VLOOKUP($A156,FIJOS!$B$11:$P$545,10,FALSE)/7)*(7-$CU156),IF(AND($C156=2,CV156&lt;$DJ$1),(VLOOKUP($D156,HORAS!$B$4:$C$42,2,FALSE)*24)*$CV156,IF(AND($C156=2,CV156&gt;=$DJ$1),VLOOKUP($D156,HORAS!$B$4:$D$42,3,FALSE),IF(AND($C156=3,$CV156&gt;=$DJ$1),VLOOKUP($A156,FIJOS!$B$11:$P$545,10,FALSE),IF(AND($C156=3,$CV156&lt;$DJ$1),((VLOOKUP($A156,FIJOS!$B$11:$P$545,10,FALSE)/48)*24)*$CV156,IF(AND($C156=4,$CV156&gt;=(42/24)),VLOOKUP($D156,HORAS!$B$4:$D$42,3,FALSE),IF(AND($C156=5,$CV156&gt;=(36/24)),VLOOKUP($D156,HORAS!$B$4:$D$42,3,FALSE))))))))</f>
        <v>0</v>
      </c>
      <c r="DJ156" s="145">
        <f>IF(OR($C156=2),VLOOKUP($D156,HORAS!$B$4:$E$42,4,FALSE)*$EC156,IF(ISERROR(VLOOKUP($A156,FIJOS!$B$11:$P$108,9,FALSE)),0,VLOOKUP($A156,FIJOS!$B$11:$P$231,9,FALSE)*$EC156))</f>
        <v>0</v>
      </c>
      <c r="DK156" s="145">
        <f>IF(OR($C156=2),VLOOKUP($D156,HORAS!$B$4:$F$42,5,FALSE)*$EE156,IF(ISERROR(VLOOKUP($A156,FIJOS!$B$11:$P$108,9,FALSE)),0,VLOOKUP($A156,FIJOS!$B$11:$P$231,9,FALSE)*$EE156))</f>
        <v>0</v>
      </c>
      <c r="DL156" s="144"/>
      <c r="DM156" s="145">
        <f>IF(ISERROR(VLOOKUP($A156,FIJOS!$B$11:$L$646,11,FALSE)),0,VLOOKUP($A156,FIJOS!$B$11:$L$646,11,FALSE))</f>
        <v>0</v>
      </c>
      <c r="DN156" s="148" t="e">
        <f>IF(OR($C156=1,$C156=3),0,IF((VLOOKUP(CAPTURA!D156,HORAS!$B$4:$K$42,10,FALSE)/4)*COUNTIF($H156:$CT156,3)&gt;100,100,(VLOOKUP(CAPTURA!D156,HORAS!$B$4:$K$42,10,FALSE)/4)*COUNTIF($H156:$CT156,3)))</f>
        <v>#N/A</v>
      </c>
      <c r="DO156" s="144" t="e">
        <f>IF(OR($C156=1,$C156=3),0,IF($C156=5,VLOOKUP(D156,HORAS!$B$4:$G$42,6,FALSE),IF(AND($C156=4,$CV156&gt;=(42/24)),VLOOKUP(D156,HORAS!$B$4:$G$42,6,FALSE),IF(COUNTIF($H156:$CL156,"F")&gt;0,0,IF(CV156&gt;$DJ$1,$DJ$1*(VLOOKUP(D156,HORAS!$B$4:$G$42,6,FALSE)/$DJ$1),CV156*(VLOOKUP(D156,HORAS!$B$4:$G$42,6,FALSE)/$DJ$1))))))</f>
        <v>#N/A</v>
      </c>
      <c r="DP156" s="178"/>
      <c r="DQ156" s="148"/>
      <c r="DR156" s="148"/>
      <c r="DS156" s="83" t="e">
        <f t="shared" si="98"/>
        <v>#N/A</v>
      </c>
      <c r="DT156" s="84"/>
      <c r="DU156" s="149" t="e">
        <f t="shared" si="99"/>
        <v>#N/A</v>
      </c>
      <c r="DV156" s="149" t="e">
        <f t="shared" si="100"/>
        <v>#N/A</v>
      </c>
      <c r="DW156" s="144" t="e">
        <f t="shared" si="101"/>
        <v>#N/A</v>
      </c>
      <c r="DX156"/>
      <c r="DY156" s="29"/>
      <c r="DZ156" s="150"/>
      <c r="EA156" s="134"/>
      <c r="EB156" s="137">
        <f t="shared" si="102"/>
        <v>0</v>
      </c>
      <c r="EC156" s="138">
        <f t="shared" si="96"/>
        <v>0</v>
      </c>
      <c r="ED156" s="137">
        <f t="shared" si="103"/>
        <v>0</v>
      </c>
      <c r="EE156" s="132">
        <f t="shared" si="97"/>
        <v>0</v>
      </c>
      <c r="EF156" s="29"/>
      <c r="EG156" s="134"/>
      <c r="EH156" s="134"/>
      <c r="EI156" s="134"/>
      <c r="EK156" s="29"/>
    </row>
    <row r="157" spans="1:141" ht="15" customHeight="1" x14ac:dyDescent="0.25">
      <c r="A157" s="140"/>
      <c r="B157" s="151"/>
      <c r="C157" s="72"/>
      <c r="D157" s="73"/>
      <c r="E157" s="73"/>
      <c r="F157" s="141"/>
      <c r="G157" s="74"/>
      <c r="H157" s="75"/>
      <c r="I157" s="76"/>
      <c r="J157" s="135"/>
      <c r="K157" s="135"/>
      <c r="L157" s="77">
        <f t="shared" si="74"/>
        <v>0</v>
      </c>
      <c r="M157" s="78"/>
      <c r="N157" s="142"/>
      <c r="O157" s="142"/>
      <c r="P157" s="77">
        <f t="shared" si="75"/>
        <v>0</v>
      </c>
      <c r="Q157" s="78"/>
      <c r="R157" s="143"/>
      <c r="S157" s="143"/>
      <c r="T157" s="77">
        <f t="shared" si="76"/>
        <v>0</v>
      </c>
      <c r="U157" s="75"/>
      <c r="V157" s="76"/>
      <c r="W157" s="135"/>
      <c r="X157" s="135"/>
      <c r="Y157" s="77">
        <f t="shared" si="77"/>
        <v>0</v>
      </c>
      <c r="Z157" s="78"/>
      <c r="AA157" s="142"/>
      <c r="AB157" s="142"/>
      <c r="AC157" s="77">
        <f t="shared" si="78"/>
        <v>0</v>
      </c>
      <c r="AD157" s="78"/>
      <c r="AE157" s="143"/>
      <c r="AF157" s="143"/>
      <c r="AG157" s="79">
        <f t="shared" si="79"/>
        <v>0</v>
      </c>
      <c r="AH157" s="75"/>
      <c r="AI157" s="76"/>
      <c r="AJ157" s="135"/>
      <c r="AK157" s="135"/>
      <c r="AL157" s="77">
        <f t="shared" si="80"/>
        <v>0</v>
      </c>
      <c r="AM157" s="76"/>
      <c r="AN157" s="142"/>
      <c r="AO157" s="142"/>
      <c r="AP157" s="77">
        <f t="shared" si="81"/>
        <v>0</v>
      </c>
      <c r="AQ157" s="78"/>
      <c r="AR157" s="142"/>
      <c r="AS157" s="142"/>
      <c r="AT157" s="79">
        <f t="shared" si="82"/>
        <v>0</v>
      </c>
      <c r="AU157" s="75"/>
      <c r="AV157" s="76"/>
      <c r="AW157" s="135"/>
      <c r="AX157" s="135"/>
      <c r="AY157" s="77">
        <f t="shared" si="83"/>
        <v>0</v>
      </c>
      <c r="AZ157" s="76"/>
      <c r="BA157" s="142"/>
      <c r="BB157" s="142"/>
      <c r="BC157" s="77">
        <f t="shared" si="84"/>
        <v>0</v>
      </c>
      <c r="BD157" s="78"/>
      <c r="BE157" s="142"/>
      <c r="BF157" s="142"/>
      <c r="BG157" s="79">
        <f t="shared" si="85"/>
        <v>0</v>
      </c>
      <c r="BH157" s="75"/>
      <c r="BI157" s="76"/>
      <c r="BJ157" s="135"/>
      <c r="BK157" s="135"/>
      <c r="BL157" s="77">
        <f t="shared" si="86"/>
        <v>0</v>
      </c>
      <c r="BM157" s="78"/>
      <c r="BN157" s="142"/>
      <c r="BO157" s="142"/>
      <c r="BP157" s="77">
        <f t="shared" si="87"/>
        <v>0</v>
      </c>
      <c r="BQ157" s="78"/>
      <c r="BR157" s="142"/>
      <c r="BS157" s="142"/>
      <c r="BT157" s="79">
        <f t="shared" si="88"/>
        <v>0</v>
      </c>
      <c r="BU157" s="75"/>
      <c r="BV157" s="76"/>
      <c r="BW157" s="135"/>
      <c r="BX157" s="135"/>
      <c r="BY157" s="77">
        <f t="shared" si="89"/>
        <v>0</v>
      </c>
      <c r="BZ157" s="78"/>
      <c r="CA157" s="142"/>
      <c r="CB157" s="142"/>
      <c r="CC157" s="77">
        <f t="shared" si="90"/>
        <v>0</v>
      </c>
      <c r="CD157" s="78"/>
      <c r="CE157" s="142"/>
      <c r="CF157" s="142"/>
      <c r="CG157" s="79">
        <f t="shared" si="91"/>
        <v>0</v>
      </c>
      <c r="CH157" s="75"/>
      <c r="CI157" s="76"/>
      <c r="CJ157" s="135"/>
      <c r="CK157" s="135"/>
      <c r="CL157" s="77">
        <f t="shared" si="92"/>
        <v>0</v>
      </c>
      <c r="CM157" s="78"/>
      <c r="CN157" s="142"/>
      <c r="CO157" s="142"/>
      <c r="CP157" s="77">
        <f t="shared" si="93"/>
        <v>0</v>
      </c>
      <c r="CQ157" s="78"/>
      <c r="CR157" s="142"/>
      <c r="CS157" s="142"/>
      <c r="CT157" s="79">
        <f t="shared" si="94"/>
        <v>0</v>
      </c>
      <c r="CU157" s="80">
        <f t="shared" si="72"/>
        <v>0</v>
      </c>
      <c r="CV157" s="81">
        <f t="shared" si="73"/>
        <v>0</v>
      </c>
      <c r="CW157" s="144"/>
      <c r="CX157" s="145">
        <f>IF(ISERROR(VLOOKUP($A157,FIJOS!$B$11:$O$590,14,FALSE)),0,VLOOKUP($A157,FIJOS!$B$11:$O$590,14,FALSE))</f>
        <v>0</v>
      </c>
      <c r="CY157" s="145">
        <f>IF(ISERROR(VLOOKUP(A157,FIJOS!$B$10:$P$590,15,FALSE)),0,VLOOKUP(A157,FIJOS!$B$10:$P$590,15,FALSE))</f>
        <v>0</v>
      </c>
      <c r="CZ157" s="156"/>
      <c r="DA157" s="146"/>
      <c r="DB157" s="147"/>
      <c r="DC157" s="147"/>
      <c r="DD157" s="147"/>
      <c r="DE157" s="147"/>
      <c r="DF157" s="145">
        <f>IF(ISERROR(VLOOKUP($A157,FIJOS!$B$11:$N$590,13,FALSE)),0,VLOOKUP($A157,FIJOS!$B$11:$N$590,13,FALSE))</f>
        <v>0</v>
      </c>
      <c r="DG157" s="145">
        <f>IF(ISERROR(VLOOKUP($A157,FIJOS!$B$11:$P$447,12,FALSE)),0,VLOOKUP($A157,FIJOS!$B$11:$P$447,12,FALSE))</f>
        <v>0</v>
      </c>
      <c r="DH157" s="82">
        <f t="shared" si="95"/>
        <v>0</v>
      </c>
      <c r="DI157" s="83" t="b">
        <f>IF($C157=1,(VLOOKUP($A157,FIJOS!$B$11:$P$545,10,FALSE)/7)*(7-$CU157),IF(AND($C157=2,CV157&lt;$DJ$1),(VLOOKUP($D157,HORAS!$B$4:$C$42,2,FALSE)*24)*$CV157,IF(AND($C157=2,CV157&gt;=$DJ$1),VLOOKUP($D157,HORAS!$B$4:$D$42,3,FALSE),IF(AND($C157=3,$CV157&gt;=$DJ$1),VLOOKUP($A157,FIJOS!$B$11:$P$545,10,FALSE),IF(AND($C157=3,$CV157&lt;$DJ$1),((VLOOKUP($A157,FIJOS!$B$11:$P$545,10,FALSE)/48)*24)*$CV157,IF(AND($C157=4,$CV157&gt;=(42/24)),VLOOKUP($D157,HORAS!$B$4:$D$42,3,FALSE),IF(AND($C157=5,$CV157&gt;=(36/24)),VLOOKUP($D157,HORAS!$B$4:$D$42,3,FALSE))))))))</f>
        <v>0</v>
      </c>
      <c r="DJ157" s="145">
        <f>IF(OR($C157=2),VLOOKUP($D157,HORAS!$B$4:$E$42,4,FALSE)*$EC157,IF(ISERROR(VLOOKUP($A157,FIJOS!$B$11:$P$108,9,FALSE)),0,VLOOKUP($A157,FIJOS!$B$11:$P$231,9,FALSE)*$EC157))</f>
        <v>0</v>
      </c>
      <c r="DK157" s="145">
        <f>IF(OR($C157=2),VLOOKUP($D157,HORAS!$B$4:$F$42,5,FALSE)*$EE157,IF(ISERROR(VLOOKUP($A157,FIJOS!$B$11:$P$108,9,FALSE)),0,VLOOKUP($A157,FIJOS!$B$11:$P$231,9,FALSE)*$EE157))</f>
        <v>0</v>
      </c>
      <c r="DL157" s="144"/>
      <c r="DM157" s="145">
        <f>IF(ISERROR(VLOOKUP($A157,FIJOS!$B$11:$L$646,11,FALSE)),0,VLOOKUP($A157,FIJOS!$B$11:$L$646,11,FALSE))</f>
        <v>0</v>
      </c>
      <c r="DN157" s="148" t="e">
        <f>IF(OR($C157=1,$C157=3),0,IF((VLOOKUP(CAPTURA!D157,HORAS!$B$4:$K$42,10,FALSE)/4)*COUNTIF($H157:$CT157,3)&gt;100,100,(VLOOKUP(CAPTURA!D157,HORAS!$B$4:$K$42,10,FALSE)/4)*COUNTIF($H157:$CT157,3)))</f>
        <v>#N/A</v>
      </c>
      <c r="DO157" s="144" t="e">
        <f>IF(OR($C157=1,$C157=3),0,IF($C157=5,VLOOKUP(D157,HORAS!$B$4:$G$42,6,FALSE),IF(AND($C157=4,$CV157&gt;=(42/24)),VLOOKUP(D157,HORAS!$B$4:$G$42,6,FALSE),IF(COUNTIF($H157:$CL157,"F")&gt;0,0,IF(CV157&gt;$DJ$1,$DJ$1*(VLOOKUP(D157,HORAS!$B$4:$G$42,6,FALSE)/$DJ$1),CV157*(VLOOKUP(D157,HORAS!$B$4:$G$42,6,FALSE)/$DJ$1))))))</f>
        <v>#N/A</v>
      </c>
      <c r="DP157" s="156"/>
      <c r="DQ157" s="89"/>
      <c r="DR157" s="148"/>
      <c r="DS157" s="83" t="e">
        <f t="shared" si="98"/>
        <v>#N/A</v>
      </c>
      <c r="DT157" s="84"/>
      <c r="DU157" s="149" t="e">
        <f t="shared" si="99"/>
        <v>#N/A</v>
      </c>
      <c r="DV157" s="149" t="e">
        <f t="shared" si="100"/>
        <v>#N/A</v>
      </c>
      <c r="DW157" s="144" t="e">
        <f t="shared" si="101"/>
        <v>#N/A</v>
      </c>
      <c r="DX157" s="134"/>
      <c r="DY157" s="29"/>
      <c r="DZ157" s="150"/>
      <c r="EA157" s="137"/>
      <c r="EB157" s="137">
        <f t="shared" si="102"/>
        <v>0</v>
      </c>
      <c r="EC157" s="138">
        <f t="shared" si="96"/>
        <v>0</v>
      </c>
      <c r="ED157" s="137">
        <f t="shared" si="103"/>
        <v>0</v>
      </c>
      <c r="EE157" s="132">
        <f t="shared" si="97"/>
        <v>0</v>
      </c>
      <c r="EF157" s="29"/>
      <c r="EG157" s="134"/>
      <c r="EH157" s="134"/>
      <c r="EI157" s="134"/>
      <c r="EK157" s="29"/>
    </row>
    <row r="158" spans="1:141" ht="15" customHeight="1" x14ac:dyDescent="0.25">
      <c r="A158" s="140"/>
      <c r="B158" s="151"/>
      <c r="C158" s="72"/>
      <c r="D158" s="73"/>
      <c r="E158" s="73"/>
      <c r="F158" s="141"/>
      <c r="G158" s="74"/>
      <c r="H158" s="75"/>
      <c r="I158" s="76"/>
      <c r="J158" s="135"/>
      <c r="K158" s="135"/>
      <c r="L158" s="77">
        <f t="shared" si="74"/>
        <v>0</v>
      </c>
      <c r="M158" s="78"/>
      <c r="N158" s="142"/>
      <c r="O158" s="142"/>
      <c r="P158" s="77">
        <f t="shared" si="75"/>
        <v>0</v>
      </c>
      <c r="Q158" s="78"/>
      <c r="R158" s="143"/>
      <c r="S158" s="143"/>
      <c r="T158" s="77">
        <f t="shared" si="76"/>
        <v>0</v>
      </c>
      <c r="U158" s="75"/>
      <c r="V158" s="76"/>
      <c r="W158" s="135"/>
      <c r="X158" s="135"/>
      <c r="Y158" s="77">
        <f t="shared" si="77"/>
        <v>0</v>
      </c>
      <c r="Z158" s="78"/>
      <c r="AA158" s="142"/>
      <c r="AB158" s="142"/>
      <c r="AC158" s="77">
        <f t="shared" si="78"/>
        <v>0</v>
      </c>
      <c r="AD158" s="78"/>
      <c r="AE158" s="143"/>
      <c r="AF158" s="143"/>
      <c r="AG158" s="79">
        <f t="shared" si="79"/>
        <v>0</v>
      </c>
      <c r="AH158" s="75"/>
      <c r="AI158" s="76"/>
      <c r="AJ158" s="135"/>
      <c r="AK158" s="135"/>
      <c r="AL158" s="77">
        <f t="shared" si="80"/>
        <v>0</v>
      </c>
      <c r="AM158" s="76"/>
      <c r="AN158" s="142"/>
      <c r="AO158" s="142"/>
      <c r="AP158" s="77">
        <f t="shared" si="81"/>
        <v>0</v>
      </c>
      <c r="AQ158" s="78"/>
      <c r="AR158" s="142"/>
      <c r="AS158" s="142"/>
      <c r="AT158" s="79">
        <f t="shared" si="82"/>
        <v>0</v>
      </c>
      <c r="AU158" s="75"/>
      <c r="AV158" s="76"/>
      <c r="AW158" s="135"/>
      <c r="AX158" s="135"/>
      <c r="AY158" s="77">
        <f t="shared" si="83"/>
        <v>0</v>
      </c>
      <c r="AZ158" s="76"/>
      <c r="BA158" s="142"/>
      <c r="BB158" s="142"/>
      <c r="BC158" s="77">
        <f t="shared" si="84"/>
        <v>0</v>
      </c>
      <c r="BD158" s="78"/>
      <c r="BE158" s="142"/>
      <c r="BF158" s="142"/>
      <c r="BG158" s="79">
        <f t="shared" si="85"/>
        <v>0</v>
      </c>
      <c r="BH158" s="75"/>
      <c r="BI158" s="76"/>
      <c r="BJ158" s="135"/>
      <c r="BK158" s="135"/>
      <c r="BL158" s="77">
        <f t="shared" si="86"/>
        <v>0</v>
      </c>
      <c r="BM158" s="78"/>
      <c r="BN158" s="142"/>
      <c r="BO158" s="142"/>
      <c r="BP158" s="77">
        <f t="shared" si="87"/>
        <v>0</v>
      </c>
      <c r="BQ158" s="78"/>
      <c r="BR158" s="142"/>
      <c r="BS158" s="142"/>
      <c r="BT158" s="79">
        <f t="shared" si="88"/>
        <v>0</v>
      </c>
      <c r="BU158" s="75"/>
      <c r="BV158" s="76"/>
      <c r="BW158" s="135"/>
      <c r="BX158" s="135"/>
      <c r="BY158" s="77">
        <f t="shared" si="89"/>
        <v>0</v>
      </c>
      <c r="BZ158" s="78"/>
      <c r="CA158" s="142"/>
      <c r="CB158" s="142"/>
      <c r="CC158" s="77">
        <f t="shared" si="90"/>
        <v>0</v>
      </c>
      <c r="CD158" s="78"/>
      <c r="CE158" s="142"/>
      <c r="CF158" s="142"/>
      <c r="CG158" s="79">
        <f t="shared" si="91"/>
        <v>0</v>
      </c>
      <c r="CH158" s="75"/>
      <c r="CI158" s="76"/>
      <c r="CJ158" s="135"/>
      <c r="CK158" s="135"/>
      <c r="CL158" s="77">
        <f t="shared" si="92"/>
        <v>0</v>
      </c>
      <c r="CM158" s="78"/>
      <c r="CN158" s="142"/>
      <c r="CO158" s="142"/>
      <c r="CP158" s="77">
        <f t="shared" si="93"/>
        <v>0</v>
      </c>
      <c r="CQ158" s="78"/>
      <c r="CR158" s="142"/>
      <c r="CS158" s="142"/>
      <c r="CT158" s="79">
        <f t="shared" si="94"/>
        <v>0</v>
      </c>
      <c r="CU158" s="80">
        <f t="shared" si="72"/>
        <v>0</v>
      </c>
      <c r="CV158" s="81">
        <f t="shared" si="73"/>
        <v>0</v>
      </c>
      <c r="CW158" s="144"/>
      <c r="CX158" s="145">
        <f>IF(ISERROR(VLOOKUP($A158,FIJOS!$B$11:$O$590,14,FALSE)),0,VLOOKUP($A158,FIJOS!$B$11:$O$590,14,FALSE))</f>
        <v>0</v>
      </c>
      <c r="CY158" s="145">
        <f>IF(ISERROR(VLOOKUP(A158,FIJOS!$B$10:$P$590,15,FALSE)),0,VLOOKUP(A158,FIJOS!$B$10:$P$590,15,FALSE))</f>
        <v>0</v>
      </c>
      <c r="CZ158" s="156"/>
      <c r="DA158" s="146"/>
      <c r="DB158" s="147"/>
      <c r="DC158" s="147"/>
      <c r="DD158" s="147"/>
      <c r="DE158" s="147"/>
      <c r="DF158" s="145">
        <f>IF(ISERROR(VLOOKUP($A158,FIJOS!$B$11:$N$590,13,FALSE)),0,VLOOKUP($A158,FIJOS!$B$11:$N$590,13,FALSE))</f>
        <v>0</v>
      </c>
      <c r="DG158" s="145">
        <f>IF(ISERROR(VLOOKUP($A158,FIJOS!$B$11:$P$447,12,FALSE)),0,VLOOKUP($A158,FIJOS!$B$11:$P$447,12,FALSE))</f>
        <v>0</v>
      </c>
      <c r="DH158" s="82">
        <f t="shared" si="95"/>
        <v>0</v>
      </c>
      <c r="DI158" s="83" t="b">
        <f>IF($C158=1,(VLOOKUP($A158,FIJOS!$B$11:$P$545,10,FALSE)/7)*(7-$CU158),IF(AND($C158=2,CV158&lt;$DJ$1),(VLOOKUP($D158,HORAS!$B$4:$C$42,2,FALSE)*24)*$CV158,IF(AND($C158=2,CV158&gt;=$DJ$1),VLOOKUP($D158,HORAS!$B$4:$D$42,3,FALSE),IF(AND($C158=3,$CV158&gt;=$DJ$1),VLOOKUP($A158,FIJOS!$B$11:$P$545,10,FALSE),IF(AND($C158=3,$CV158&lt;$DJ$1),((VLOOKUP($A158,FIJOS!$B$11:$P$545,10,FALSE)/48)*24)*$CV158,IF(AND($C158=4,$CV158&gt;=(42/24)),VLOOKUP($D158,HORAS!$B$4:$D$42,3,FALSE),IF(AND($C158=5,$CV158&gt;=(36/24)),VLOOKUP($D158,HORAS!$B$4:$D$42,3,FALSE))))))))</f>
        <v>0</v>
      </c>
      <c r="DJ158" s="145">
        <f>IF(OR($C158=2),VLOOKUP($D158,HORAS!$B$4:$E$42,4,FALSE)*$EC158,IF(ISERROR(VLOOKUP($A158,FIJOS!$B$11:$P$108,9,FALSE)),0,VLOOKUP($A158,FIJOS!$B$11:$P$231,9,FALSE)*$EC158))</f>
        <v>0</v>
      </c>
      <c r="DK158" s="145">
        <f>IF(OR($C158=2),VLOOKUP($D158,HORAS!$B$4:$F$42,5,FALSE)*$EE158,IF(ISERROR(VLOOKUP($A158,FIJOS!$B$11:$P$108,9,FALSE)),0,VLOOKUP($A158,FIJOS!$B$11:$P$231,9,FALSE)*$EE158))</f>
        <v>0</v>
      </c>
      <c r="DL158" s="144"/>
      <c r="DM158" s="145">
        <f>IF(ISERROR(VLOOKUP($A158,FIJOS!$B$11:$L$646,11,FALSE)),0,VLOOKUP($A158,FIJOS!$B$11:$L$646,11,FALSE))</f>
        <v>0</v>
      </c>
      <c r="DN158" s="148" t="e">
        <f>IF(OR($C158=1,$C158=3),0,IF((VLOOKUP(CAPTURA!D158,HORAS!$B$4:$K$42,10,FALSE)/4)*COUNTIF($H158:$CT158,3)&gt;100,100,(VLOOKUP(CAPTURA!D158,HORAS!$B$4:$K$42,10,FALSE)/4)*COUNTIF($H158:$CT158,3)))</f>
        <v>#N/A</v>
      </c>
      <c r="DO158" s="144" t="e">
        <f>IF(OR($C158=1,$C158=3),0,IF($C158=5,VLOOKUP(D158,HORAS!$B$4:$G$42,6,FALSE),IF(AND($C158=4,$CV158&gt;=(42/24)),VLOOKUP(D158,HORAS!$B$4:$G$42,6,FALSE),IF(COUNTIF($H158:$CL158,"F")&gt;0,0,IF(CV158&gt;$DJ$1,$DJ$1*(VLOOKUP(D158,HORAS!$B$4:$G$42,6,FALSE)/$DJ$1),CV158*(VLOOKUP(D158,HORAS!$B$4:$G$42,6,FALSE)/$DJ$1))))))</f>
        <v>#N/A</v>
      </c>
      <c r="DP158" s="156"/>
      <c r="DQ158" s="148"/>
      <c r="DR158" s="148"/>
      <c r="DS158" s="83" t="e">
        <f t="shared" si="98"/>
        <v>#N/A</v>
      </c>
      <c r="DT158" s="84"/>
      <c r="DU158" s="149" t="e">
        <f t="shared" si="99"/>
        <v>#N/A</v>
      </c>
      <c r="DV158" s="149" t="e">
        <f t="shared" si="100"/>
        <v>#N/A</v>
      </c>
      <c r="DW158" s="144" t="e">
        <f t="shared" si="101"/>
        <v>#N/A</v>
      </c>
      <c r="DX158" s="134"/>
      <c r="DY158" s="29"/>
      <c r="DZ158" s="150"/>
      <c r="EA158" s="134"/>
      <c r="EB158" s="137">
        <f t="shared" si="102"/>
        <v>0</v>
      </c>
      <c r="EC158" s="138">
        <f t="shared" si="96"/>
        <v>0</v>
      </c>
      <c r="ED158" s="137">
        <f t="shared" si="103"/>
        <v>0</v>
      </c>
      <c r="EE158" s="132">
        <f t="shared" si="97"/>
        <v>0</v>
      </c>
      <c r="EF158" s="29"/>
      <c r="EG158" s="134"/>
      <c r="EH158" s="134"/>
      <c r="EI158" s="134"/>
      <c r="EK158" s="29"/>
    </row>
    <row r="159" spans="1:141" ht="15" customHeight="1" x14ac:dyDescent="0.25">
      <c r="A159" s="140"/>
      <c r="B159" s="151"/>
      <c r="C159" s="72"/>
      <c r="D159" s="73"/>
      <c r="E159" s="73"/>
      <c r="F159" s="141"/>
      <c r="G159" s="74"/>
      <c r="H159" s="75"/>
      <c r="I159" s="76"/>
      <c r="J159" s="135"/>
      <c r="K159" s="135"/>
      <c r="L159" s="77">
        <f t="shared" si="74"/>
        <v>0</v>
      </c>
      <c r="M159" s="78"/>
      <c r="N159" s="142"/>
      <c r="O159" s="142"/>
      <c r="P159" s="77">
        <f t="shared" si="75"/>
        <v>0</v>
      </c>
      <c r="Q159" s="78"/>
      <c r="R159" s="143"/>
      <c r="S159" s="143"/>
      <c r="T159" s="77">
        <f t="shared" si="76"/>
        <v>0</v>
      </c>
      <c r="U159" s="75"/>
      <c r="V159" s="76"/>
      <c r="W159" s="135"/>
      <c r="X159" s="135"/>
      <c r="Y159" s="77">
        <f t="shared" si="77"/>
        <v>0</v>
      </c>
      <c r="Z159" s="78"/>
      <c r="AA159" s="142"/>
      <c r="AB159" s="142"/>
      <c r="AC159" s="77">
        <f t="shared" si="78"/>
        <v>0</v>
      </c>
      <c r="AD159" s="78"/>
      <c r="AE159" s="143"/>
      <c r="AF159" s="143"/>
      <c r="AG159" s="79">
        <f t="shared" si="79"/>
        <v>0</v>
      </c>
      <c r="AH159" s="75"/>
      <c r="AI159" s="76"/>
      <c r="AJ159" s="135"/>
      <c r="AK159" s="135"/>
      <c r="AL159" s="77">
        <f t="shared" si="80"/>
        <v>0</v>
      </c>
      <c r="AM159" s="76"/>
      <c r="AN159" s="142"/>
      <c r="AO159" s="142"/>
      <c r="AP159" s="77">
        <f t="shared" si="81"/>
        <v>0</v>
      </c>
      <c r="AQ159" s="78"/>
      <c r="AR159" s="142"/>
      <c r="AS159" s="142"/>
      <c r="AT159" s="79">
        <f t="shared" si="82"/>
        <v>0</v>
      </c>
      <c r="AU159" s="75"/>
      <c r="AV159" s="76"/>
      <c r="AW159" s="135"/>
      <c r="AX159" s="135"/>
      <c r="AY159" s="77">
        <f t="shared" si="83"/>
        <v>0</v>
      </c>
      <c r="AZ159" s="76"/>
      <c r="BA159" s="142"/>
      <c r="BB159" s="142"/>
      <c r="BC159" s="77">
        <f t="shared" si="84"/>
        <v>0</v>
      </c>
      <c r="BD159" s="78"/>
      <c r="BE159" s="142"/>
      <c r="BF159" s="142"/>
      <c r="BG159" s="79">
        <f t="shared" si="85"/>
        <v>0</v>
      </c>
      <c r="BH159" s="75"/>
      <c r="BI159" s="76"/>
      <c r="BJ159" s="135"/>
      <c r="BK159" s="135"/>
      <c r="BL159" s="77">
        <f t="shared" si="86"/>
        <v>0</v>
      </c>
      <c r="BM159" s="78"/>
      <c r="BN159" s="142"/>
      <c r="BO159" s="142"/>
      <c r="BP159" s="77">
        <f t="shared" si="87"/>
        <v>0</v>
      </c>
      <c r="BQ159" s="78"/>
      <c r="BR159" s="142"/>
      <c r="BS159" s="142"/>
      <c r="BT159" s="79">
        <f t="shared" si="88"/>
        <v>0</v>
      </c>
      <c r="BU159" s="75"/>
      <c r="BV159" s="76"/>
      <c r="BW159" s="135"/>
      <c r="BX159" s="135"/>
      <c r="BY159" s="77">
        <f t="shared" si="89"/>
        <v>0</v>
      </c>
      <c r="BZ159" s="78"/>
      <c r="CA159" s="142"/>
      <c r="CB159" s="142"/>
      <c r="CC159" s="77">
        <f t="shared" si="90"/>
        <v>0</v>
      </c>
      <c r="CD159" s="78"/>
      <c r="CE159" s="142"/>
      <c r="CF159" s="142"/>
      <c r="CG159" s="79">
        <f t="shared" si="91"/>
        <v>0</v>
      </c>
      <c r="CH159" s="75"/>
      <c r="CI159" s="76"/>
      <c r="CJ159" s="135"/>
      <c r="CK159" s="135"/>
      <c r="CL159" s="77">
        <f t="shared" si="92"/>
        <v>0</v>
      </c>
      <c r="CM159" s="78"/>
      <c r="CN159" s="142"/>
      <c r="CO159" s="142"/>
      <c r="CP159" s="77">
        <f t="shared" si="93"/>
        <v>0</v>
      </c>
      <c r="CQ159" s="78"/>
      <c r="CR159" s="142"/>
      <c r="CS159" s="142"/>
      <c r="CT159" s="79">
        <f t="shared" si="94"/>
        <v>0</v>
      </c>
      <c r="CU159" s="80">
        <f t="shared" si="72"/>
        <v>0</v>
      </c>
      <c r="CV159" s="81">
        <f t="shared" si="73"/>
        <v>0</v>
      </c>
      <c r="CW159" s="144"/>
      <c r="CX159" s="145">
        <f>IF(ISERROR(VLOOKUP($A159,FIJOS!$B$11:$O$590,14,FALSE)),0,VLOOKUP($A159,FIJOS!$B$11:$O$590,14,FALSE))</f>
        <v>0</v>
      </c>
      <c r="CY159" s="145">
        <f>IF(ISERROR(VLOOKUP(A159,FIJOS!$B$10:$P$590,15,FALSE)),0,VLOOKUP(A159,FIJOS!$B$10:$P$590,15,FALSE))</f>
        <v>0</v>
      </c>
      <c r="CZ159" s="156"/>
      <c r="DA159" s="146"/>
      <c r="DB159" s="147"/>
      <c r="DC159" s="147"/>
      <c r="DD159" s="147"/>
      <c r="DE159" s="147"/>
      <c r="DF159" s="145">
        <f>IF(ISERROR(VLOOKUP($A159,FIJOS!$B$11:$N$590,13,FALSE)),0,VLOOKUP($A159,FIJOS!$B$11:$N$590,13,FALSE))</f>
        <v>0</v>
      </c>
      <c r="DG159" s="145">
        <f>IF(ISERROR(VLOOKUP($A159,FIJOS!$B$11:$P$447,12,FALSE)),0,VLOOKUP($A159,FIJOS!$B$11:$P$447,12,FALSE))</f>
        <v>0</v>
      </c>
      <c r="DH159" s="82">
        <f t="shared" si="95"/>
        <v>0</v>
      </c>
      <c r="DI159" s="83" t="b">
        <f>IF($C159=1,(VLOOKUP($A159,FIJOS!$B$11:$P$545,10,FALSE)/7)*(7-$CU159),IF(AND($C159=2,CV159&lt;$DJ$1),(VLOOKUP($D159,HORAS!$B$4:$C$42,2,FALSE)*24)*$CV159,IF(AND($C159=2,CV159&gt;=$DJ$1),VLOOKUP($D159,HORAS!$B$4:$D$42,3,FALSE),IF(AND($C159=3,$CV159&gt;=$DJ$1),VLOOKUP($A159,FIJOS!$B$11:$P$545,10,FALSE),IF(AND($C159=3,$CV159&lt;$DJ$1),((VLOOKUP($A159,FIJOS!$B$11:$P$545,10,FALSE)/48)*24)*$CV159,IF(AND($C159=4,$CV159&gt;=(42/24)),VLOOKUP($D159,HORAS!$B$4:$D$42,3,FALSE),IF(AND($C159=5,$CV159&gt;=(36/24)),VLOOKUP($D159,HORAS!$B$4:$D$42,3,FALSE))))))))</f>
        <v>0</v>
      </c>
      <c r="DJ159" s="145">
        <f>IF(OR($C159=2),VLOOKUP($D159,HORAS!$B$4:$E$42,4,FALSE)*$EC159,IF(ISERROR(VLOOKUP($A159,FIJOS!$B$11:$P$108,9,FALSE)),0,VLOOKUP($A159,FIJOS!$B$11:$P$231,9,FALSE)*$EC159))</f>
        <v>0</v>
      </c>
      <c r="DK159" s="145">
        <f>IF(OR($C159=2),VLOOKUP($D159,HORAS!$B$4:$F$42,5,FALSE)*$EE159,IF(ISERROR(VLOOKUP($A159,FIJOS!$B$11:$P$108,9,FALSE)),0,VLOOKUP($A159,FIJOS!$B$11:$P$231,9,FALSE)*$EE159))</f>
        <v>0</v>
      </c>
      <c r="DL159" s="144"/>
      <c r="DM159" s="145">
        <f>IF(ISERROR(VLOOKUP($A159,FIJOS!$B$11:$L$646,11,FALSE)),0,VLOOKUP($A159,FIJOS!$B$11:$L$646,11,FALSE))</f>
        <v>0</v>
      </c>
      <c r="DN159" s="148" t="e">
        <f>IF(OR($C159=1,$C159=3),0,IF((VLOOKUP(CAPTURA!D159,HORAS!$B$4:$K$42,10,FALSE)/4)*COUNTIF($H159:$CT159,3)&gt;100,100,(VLOOKUP(CAPTURA!D159,HORAS!$B$4:$K$42,10,FALSE)/4)*COUNTIF($H159:$CT159,3)))</f>
        <v>#N/A</v>
      </c>
      <c r="DO159" s="144" t="e">
        <f>IF(OR($C159=1,$C159=3),0,IF($C159=5,VLOOKUP(D159,HORAS!$B$4:$G$42,6,FALSE),IF(AND($C159=4,$CV159&gt;=(42/24)),VLOOKUP(D159,HORAS!$B$4:$G$42,6,FALSE),IF(COUNTIF($H159:$CL159,"F")&gt;0,0,IF(CV159&gt;$DJ$1,$DJ$1*(VLOOKUP(D159,HORAS!$B$4:$G$42,6,FALSE)/$DJ$1),CV159*(VLOOKUP(D159,HORAS!$B$4:$G$42,6,FALSE)/$DJ$1))))))</f>
        <v>#N/A</v>
      </c>
      <c r="DP159" s="156"/>
      <c r="DQ159" s="89"/>
      <c r="DR159" s="148"/>
      <c r="DS159" s="83" t="e">
        <f t="shared" si="98"/>
        <v>#N/A</v>
      </c>
      <c r="DT159" s="84"/>
      <c r="DU159" s="149" t="e">
        <f t="shared" si="99"/>
        <v>#N/A</v>
      </c>
      <c r="DV159" s="149" t="e">
        <f t="shared" si="100"/>
        <v>#N/A</v>
      </c>
      <c r="DW159" s="144" t="e">
        <f t="shared" si="101"/>
        <v>#N/A</v>
      </c>
      <c r="DX159"/>
      <c r="DY159" s="29"/>
      <c r="DZ159" s="150"/>
      <c r="EA159" s="134"/>
      <c r="EB159" s="137">
        <f t="shared" si="102"/>
        <v>0</v>
      </c>
      <c r="EC159" s="138">
        <f t="shared" si="96"/>
        <v>0</v>
      </c>
      <c r="ED159" s="137">
        <f t="shared" si="103"/>
        <v>0</v>
      </c>
      <c r="EE159" s="132">
        <f t="shared" si="97"/>
        <v>0</v>
      </c>
      <c r="EF159" s="29"/>
      <c r="EG159" s="134"/>
      <c r="EH159" s="134"/>
      <c r="EI159" s="134"/>
      <c r="EK159" s="29"/>
    </row>
    <row r="160" spans="1:141" ht="15" customHeight="1" x14ac:dyDescent="0.25">
      <c r="A160" s="140"/>
      <c r="B160" s="151"/>
      <c r="C160" s="72"/>
      <c r="D160" s="73"/>
      <c r="E160" s="73"/>
      <c r="F160" s="141"/>
      <c r="G160" s="74"/>
      <c r="H160" s="75"/>
      <c r="I160" s="76"/>
      <c r="J160" s="135"/>
      <c r="K160" s="135"/>
      <c r="L160" s="77">
        <f t="shared" si="74"/>
        <v>0</v>
      </c>
      <c r="M160" s="78"/>
      <c r="N160" s="142"/>
      <c r="O160" s="142"/>
      <c r="P160" s="77">
        <f t="shared" si="75"/>
        <v>0</v>
      </c>
      <c r="Q160" s="78"/>
      <c r="R160" s="143"/>
      <c r="S160" s="143"/>
      <c r="T160" s="77">
        <f t="shared" si="76"/>
        <v>0</v>
      </c>
      <c r="U160" s="75"/>
      <c r="V160" s="76"/>
      <c r="W160" s="135"/>
      <c r="X160" s="135"/>
      <c r="Y160" s="77">
        <f t="shared" si="77"/>
        <v>0</v>
      </c>
      <c r="Z160" s="78"/>
      <c r="AA160" s="142"/>
      <c r="AB160" s="142"/>
      <c r="AC160" s="77">
        <f t="shared" si="78"/>
        <v>0</v>
      </c>
      <c r="AD160" s="78"/>
      <c r="AE160" s="143"/>
      <c r="AF160" s="143"/>
      <c r="AG160" s="79">
        <f t="shared" si="79"/>
        <v>0</v>
      </c>
      <c r="AH160" s="75"/>
      <c r="AI160" s="76"/>
      <c r="AJ160" s="135"/>
      <c r="AK160" s="135"/>
      <c r="AL160" s="77">
        <f t="shared" si="80"/>
        <v>0</v>
      </c>
      <c r="AM160" s="76"/>
      <c r="AN160" s="142"/>
      <c r="AO160" s="142"/>
      <c r="AP160" s="77">
        <f t="shared" si="81"/>
        <v>0</v>
      </c>
      <c r="AQ160" s="78"/>
      <c r="AR160" s="142"/>
      <c r="AS160" s="142"/>
      <c r="AT160" s="79">
        <f t="shared" si="82"/>
        <v>0</v>
      </c>
      <c r="AU160" s="75"/>
      <c r="AV160" s="76"/>
      <c r="AW160" s="135"/>
      <c r="AX160" s="135"/>
      <c r="AY160" s="77">
        <f t="shared" si="83"/>
        <v>0</v>
      </c>
      <c r="AZ160" s="76"/>
      <c r="BA160" s="142"/>
      <c r="BB160" s="142"/>
      <c r="BC160" s="77">
        <f t="shared" si="84"/>
        <v>0</v>
      </c>
      <c r="BD160" s="78"/>
      <c r="BE160" s="142"/>
      <c r="BF160" s="142"/>
      <c r="BG160" s="79">
        <f t="shared" si="85"/>
        <v>0</v>
      </c>
      <c r="BH160" s="75"/>
      <c r="BI160" s="76"/>
      <c r="BJ160" s="135"/>
      <c r="BK160" s="135"/>
      <c r="BL160" s="77">
        <f t="shared" si="86"/>
        <v>0</v>
      </c>
      <c r="BM160" s="78"/>
      <c r="BN160" s="142"/>
      <c r="BO160" s="142"/>
      <c r="BP160" s="77">
        <f t="shared" si="87"/>
        <v>0</v>
      </c>
      <c r="BQ160" s="78"/>
      <c r="BR160" s="142"/>
      <c r="BS160" s="142"/>
      <c r="BT160" s="79">
        <f t="shared" si="88"/>
        <v>0</v>
      </c>
      <c r="BU160" s="75"/>
      <c r="BV160" s="76"/>
      <c r="BW160" s="135"/>
      <c r="BX160" s="135"/>
      <c r="BY160" s="77">
        <f t="shared" si="89"/>
        <v>0</v>
      </c>
      <c r="BZ160" s="78"/>
      <c r="CA160" s="142"/>
      <c r="CB160" s="142"/>
      <c r="CC160" s="77">
        <f t="shared" si="90"/>
        <v>0</v>
      </c>
      <c r="CD160" s="78"/>
      <c r="CE160" s="142"/>
      <c r="CF160" s="142"/>
      <c r="CG160" s="79">
        <f t="shared" si="91"/>
        <v>0</v>
      </c>
      <c r="CH160" s="75"/>
      <c r="CI160" s="76"/>
      <c r="CJ160" s="135"/>
      <c r="CK160" s="135"/>
      <c r="CL160" s="77">
        <f t="shared" si="92"/>
        <v>0</v>
      </c>
      <c r="CM160" s="78"/>
      <c r="CN160" s="142"/>
      <c r="CO160" s="142"/>
      <c r="CP160" s="77">
        <f t="shared" si="93"/>
        <v>0</v>
      </c>
      <c r="CQ160" s="78"/>
      <c r="CR160" s="142"/>
      <c r="CS160" s="142"/>
      <c r="CT160" s="79">
        <f t="shared" si="94"/>
        <v>0</v>
      </c>
      <c r="CU160" s="80">
        <f t="shared" si="72"/>
        <v>0</v>
      </c>
      <c r="CV160" s="81">
        <f t="shared" si="73"/>
        <v>0</v>
      </c>
      <c r="CW160" s="144"/>
      <c r="CX160" s="145">
        <f>IF(ISERROR(VLOOKUP($A160,FIJOS!$B$11:$O$590,14,FALSE)),0,VLOOKUP($A160,FIJOS!$B$11:$O$590,14,FALSE))</f>
        <v>0</v>
      </c>
      <c r="CY160" s="145">
        <f>IF(ISERROR(VLOOKUP(A160,FIJOS!$B$10:$P$590,15,FALSE)),0,VLOOKUP(A160,FIJOS!$B$10:$P$590,15,FALSE))</f>
        <v>0</v>
      </c>
      <c r="CZ160" s="156"/>
      <c r="DA160" s="146"/>
      <c r="DB160" s="147"/>
      <c r="DC160" s="147"/>
      <c r="DD160" s="147"/>
      <c r="DE160" s="147"/>
      <c r="DF160" s="145">
        <f>IF(ISERROR(VLOOKUP($A160,FIJOS!$B$11:$N$590,13,FALSE)),0,VLOOKUP($A160,FIJOS!$B$11:$N$590,13,FALSE))</f>
        <v>0</v>
      </c>
      <c r="DG160" s="145">
        <f>IF(ISERROR(VLOOKUP($A160,FIJOS!$B$11:$P$447,12,FALSE)),0,VLOOKUP($A160,FIJOS!$B$11:$P$447,12,FALSE))</f>
        <v>0</v>
      </c>
      <c r="DH160" s="82">
        <f t="shared" si="95"/>
        <v>0</v>
      </c>
      <c r="DI160" s="83" t="b">
        <f>IF($C160=1,(VLOOKUP($A160,FIJOS!$B$11:$P$545,10,FALSE)/7)*(7-$CU160),IF(AND($C160=2,CV160&lt;$DJ$1),(VLOOKUP($D160,HORAS!$B$4:$C$42,2,FALSE)*24)*$CV160,IF(AND($C160=2,CV160&gt;=$DJ$1),VLOOKUP($D160,HORAS!$B$4:$D$42,3,FALSE),IF(AND($C160=3,$CV160&gt;=$DJ$1),VLOOKUP($A160,FIJOS!$B$11:$P$545,10,FALSE),IF(AND($C160=3,$CV160&lt;$DJ$1),((VLOOKUP($A160,FIJOS!$B$11:$P$545,10,FALSE)/48)*24)*$CV160,IF(AND($C160=4,$CV160&gt;=(42/24)),VLOOKUP($D160,HORAS!$B$4:$D$42,3,FALSE),IF(AND($C160=5,$CV160&gt;=(36/24)),VLOOKUP($D160,HORAS!$B$4:$D$42,3,FALSE))))))))</f>
        <v>0</v>
      </c>
      <c r="DJ160" s="145">
        <f>IF(OR($C160=2),VLOOKUP($D160,HORAS!$B$4:$E$42,4,FALSE)*$EC160,IF(ISERROR(VLOOKUP($A160,FIJOS!$B$11:$P$108,9,FALSE)),0,VLOOKUP($A160,FIJOS!$B$11:$P$231,9,FALSE)*$EC160))</f>
        <v>0</v>
      </c>
      <c r="DK160" s="145">
        <f>IF(OR($C160=2),VLOOKUP($D160,HORAS!$B$4:$F$42,5,FALSE)*$EE160,IF(ISERROR(VLOOKUP($A160,FIJOS!$B$11:$P$108,9,FALSE)),0,VLOOKUP($A160,FIJOS!$B$11:$P$231,9,FALSE)*$EE160))</f>
        <v>0</v>
      </c>
      <c r="DL160" s="144"/>
      <c r="DM160" s="145">
        <f>IF(ISERROR(VLOOKUP($A160,FIJOS!$B$11:$L$646,11,FALSE)),0,VLOOKUP($A160,FIJOS!$B$11:$L$646,11,FALSE))</f>
        <v>0</v>
      </c>
      <c r="DN160" s="148" t="e">
        <f>IF(OR($C160=1,$C160=3),0,IF((VLOOKUP(CAPTURA!D160,HORAS!$B$4:$K$42,10,FALSE)/4)*COUNTIF($H160:$CT160,3)&gt;100,100,(VLOOKUP(CAPTURA!D160,HORAS!$B$4:$K$42,10,FALSE)/4)*COUNTIF($H160:$CT160,3)))</f>
        <v>#N/A</v>
      </c>
      <c r="DO160" s="144" t="e">
        <f>IF(OR($C160=1,$C160=3),0,IF($C160=5,VLOOKUP(D160,HORAS!$B$4:$G$42,6,FALSE),IF(AND($C160=4,$CV160&gt;=(42/24)),VLOOKUP(D160,HORAS!$B$4:$G$42,6,FALSE),IF(COUNTIF($H160:$CL160,"F")&gt;0,0,IF(CV160&gt;$DJ$1,$DJ$1*(VLOOKUP(D160,HORAS!$B$4:$G$42,6,FALSE)/$DJ$1),CV160*(VLOOKUP(D160,HORAS!$B$4:$G$42,6,FALSE)/$DJ$1))))))</f>
        <v>#N/A</v>
      </c>
      <c r="DP160" s="156"/>
      <c r="DQ160" s="89"/>
      <c r="DR160" s="148"/>
      <c r="DS160" s="83" t="e">
        <f t="shared" si="98"/>
        <v>#N/A</v>
      </c>
      <c r="DT160" s="84"/>
      <c r="DU160" s="149" t="e">
        <f t="shared" si="99"/>
        <v>#N/A</v>
      </c>
      <c r="DV160" s="149" t="e">
        <f t="shared" si="100"/>
        <v>#N/A</v>
      </c>
      <c r="DW160" s="144" t="e">
        <f t="shared" si="101"/>
        <v>#N/A</v>
      </c>
      <c r="DX160" s="134"/>
      <c r="DY160" s="29"/>
      <c r="DZ160" s="150"/>
      <c r="EA160" s="134"/>
      <c r="EB160" s="137">
        <f t="shared" si="102"/>
        <v>0</v>
      </c>
      <c r="EC160" s="138">
        <f t="shared" si="96"/>
        <v>0</v>
      </c>
      <c r="ED160" s="137">
        <f t="shared" si="103"/>
        <v>0</v>
      </c>
      <c r="EE160" s="132">
        <f t="shared" si="97"/>
        <v>0</v>
      </c>
      <c r="EF160" s="29"/>
      <c r="EG160" s="134"/>
      <c r="EH160" s="134"/>
      <c r="EI160" s="134"/>
      <c r="EK160" s="29"/>
    </row>
    <row r="161" spans="1:141" ht="15" customHeight="1" x14ac:dyDescent="0.25">
      <c r="A161" s="140"/>
      <c r="B161" s="5"/>
      <c r="C161" s="72"/>
      <c r="D161" s="73"/>
      <c r="E161" s="73"/>
      <c r="F161" s="141"/>
      <c r="G161" s="74"/>
      <c r="H161" s="75"/>
      <c r="I161" s="76"/>
      <c r="J161" s="135"/>
      <c r="K161" s="135"/>
      <c r="L161" s="77">
        <f t="shared" si="74"/>
        <v>0</v>
      </c>
      <c r="M161" s="78"/>
      <c r="N161" s="142"/>
      <c r="O161" s="142"/>
      <c r="P161" s="77">
        <f t="shared" si="75"/>
        <v>0</v>
      </c>
      <c r="Q161" s="78"/>
      <c r="R161" s="143"/>
      <c r="S161" s="143"/>
      <c r="T161" s="77">
        <f t="shared" si="76"/>
        <v>0</v>
      </c>
      <c r="U161" s="75"/>
      <c r="V161" s="76"/>
      <c r="W161" s="135"/>
      <c r="X161" s="135"/>
      <c r="Y161" s="77">
        <f t="shared" si="77"/>
        <v>0</v>
      </c>
      <c r="Z161" s="78"/>
      <c r="AA161" s="142"/>
      <c r="AB161" s="142"/>
      <c r="AC161" s="77">
        <f t="shared" si="78"/>
        <v>0</v>
      </c>
      <c r="AD161" s="78"/>
      <c r="AE161" s="143"/>
      <c r="AF161" s="143"/>
      <c r="AG161" s="79">
        <f t="shared" si="79"/>
        <v>0</v>
      </c>
      <c r="AH161" s="75"/>
      <c r="AI161" s="76"/>
      <c r="AJ161" s="135"/>
      <c r="AK161" s="135"/>
      <c r="AL161" s="77">
        <f t="shared" si="80"/>
        <v>0</v>
      </c>
      <c r="AM161" s="76"/>
      <c r="AN161" s="142"/>
      <c r="AO161" s="142"/>
      <c r="AP161" s="77">
        <f t="shared" si="81"/>
        <v>0</v>
      </c>
      <c r="AQ161" s="78"/>
      <c r="AR161" s="142"/>
      <c r="AS161" s="142"/>
      <c r="AT161" s="79">
        <f t="shared" si="82"/>
        <v>0</v>
      </c>
      <c r="AU161" s="75"/>
      <c r="AV161" s="76"/>
      <c r="AW161" s="135"/>
      <c r="AX161" s="135"/>
      <c r="AY161" s="77">
        <f t="shared" si="83"/>
        <v>0</v>
      </c>
      <c r="AZ161" s="76"/>
      <c r="BA161" s="142"/>
      <c r="BB161" s="142"/>
      <c r="BC161" s="77">
        <f t="shared" si="84"/>
        <v>0</v>
      </c>
      <c r="BD161" s="78"/>
      <c r="BE161" s="142"/>
      <c r="BF161" s="142"/>
      <c r="BG161" s="79">
        <f t="shared" si="85"/>
        <v>0</v>
      </c>
      <c r="BH161" s="75"/>
      <c r="BI161" s="76"/>
      <c r="BJ161" s="135"/>
      <c r="BK161" s="135"/>
      <c r="BL161" s="77">
        <f t="shared" si="86"/>
        <v>0</v>
      </c>
      <c r="BM161" s="78"/>
      <c r="BN161" s="142"/>
      <c r="BO161" s="142"/>
      <c r="BP161" s="77">
        <f t="shared" si="87"/>
        <v>0</v>
      </c>
      <c r="BQ161" s="78"/>
      <c r="BR161" s="142"/>
      <c r="BS161" s="142"/>
      <c r="BT161" s="79">
        <f t="shared" si="88"/>
        <v>0</v>
      </c>
      <c r="BU161" s="75"/>
      <c r="BV161" s="76"/>
      <c r="BW161" s="135"/>
      <c r="BX161" s="135"/>
      <c r="BY161" s="77">
        <f t="shared" si="89"/>
        <v>0</v>
      </c>
      <c r="BZ161" s="78"/>
      <c r="CA161" s="142"/>
      <c r="CB161" s="142"/>
      <c r="CC161" s="77">
        <f t="shared" si="90"/>
        <v>0</v>
      </c>
      <c r="CD161" s="78"/>
      <c r="CE161" s="142"/>
      <c r="CF161" s="142"/>
      <c r="CG161" s="79">
        <f t="shared" si="91"/>
        <v>0</v>
      </c>
      <c r="CH161" s="75"/>
      <c r="CI161" s="76"/>
      <c r="CJ161" s="135"/>
      <c r="CK161" s="135"/>
      <c r="CL161" s="77">
        <f t="shared" si="92"/>
        <v>0</v>
      </c>
      <c r="CM161" s="78"/>
      <c r="CN161" s="142"/>
      <c r="CO161" s="142"/>
      <c r="CP161" s="77">
        <f t="shared" si="93"/>
        <v>0</v>
      </c>
      <c r="CQ161" s="78"/>
      <c r="CR161" s="142"/>
      <c r="CS161" s="142"/>
      <c r="CT161" s="79">
        <f t="shared" si="94"/>
        <v>0</v>
      </c>
      <c r="CU161" s="80">
        <f t="shared" si="72"/>
        <v>0</v>
      </c>
      <c r="CV161" s="81">
        <f t="shared" si="73"/>
        <v>0</v>
      </c>
      <c r="CW161" s="144"/>
      <c r="CX161" s="145">
        <f>IF(ISERROR(VLOOKUP($A161,FIJOS!$B$11:$O$590,14,FALSE)),0,VLOOKUP($A161,FIJOS!$B$11:$O$590,14,FALSE))</f>
        <v>0</v>
      </c>
      <c r="CY161" s="145">
        <f>IF(ISERROR(VLOOKUP(A161,FIJOS!$B$10:$P$590,15,FALSE)),0,VLOOKUP(A161,FIJOS!$B$10:$P$590,15,FALSE))</f>
        <v>0</v>
      </c>
      <c r="CZ161" s="156"/>
      <c r="DA161" s="146"/>
      <c r="DB161" s="147"/>
      <c r="DC161" s="147"/>
      <c r="DD161" s="147"/>
      <c r="DE161" s="147"/>
      <c r="DF161" s="145">
        <f>IF(ISERROR(VLOOKUP($A161,FIJOS!$B$11:$N$590,13,FALSE)),0,VLOOKUP($A161,FIJOS!$B$11:$N$590,13,FALSE))</f>
        <v>0</v>
      </c>
      <c r="DG161" s="145">
        <f>IF(ISERROR(VLOOKUP($A161,FIJOS!$B$11:$P$447,12,FALSE)),0,VLOOKUP($A161,FIJOS!$B$11:$P$447,12,FALSE))</f>
        <v>0</v>
      </c>
      <c r="DH161" s="82">
        <f t="shared" si="95"/>
        <v>0</v>
      </c>
      <c r="DI161" s="83" t="b">
        <f>IF($C161=1,(VLOOKUP($A161,FIJOS!$B$11:$P$545,10,FALSE)/7)*(7-$CU161),IF(AND($C161=2,CV161&lt;$DJ$1),(VLOOKUP($D161,HORAS!$B$4:$C$42,2,FALSE)*24)*$CV161,IF(AND($C161=2,CV161&gt;=$DJ$1),VLOOKUP($D161,HORAS!$B$4:$D$42,3,FALSE),IF(AND($C161=3,$CV161&gt;=$DJ$1),VLOOKUP($A161,FIJOS!$B$11:$P$545,10,FALSE),IF(AND($C161=3,$CV161&lt;$DJ$1),((VLOOKUP($A161,FIJOS!$B$11:$P$545,10,FALSE)/48)*24)*$CV161,IF(AND($C161=4,$CV161&gt;=(42/24)),VLOOKUP($D161,HORAS!$B$4:$D$42,3,FALSE),IF(AND($C161=5,$CV161&gt;=(36/24)),VLOOKUP($D161,HORAS!$B$4:$D$42,3,FALSE))))))))</f>
        <v>0</v>
      </c>
      <c r="DJ161" s="145">
        <f>IF(OR($C161=2),VLOOKUP($D161,HORAS!$B$4:$E$42,4,FALSE)*$EC161,IF(ISERROR(VLOOKUP($A161,FIJOS!$B$11:$P$108,9,FALSE)),0,VLOOKUP($A161,FIJOS!$B$11:$P$231,9,FALSE)*$EC161))</f>
        <v>0</v>
      </c>
      <c r="DK161" s="145">
        <f>IF(OR($C161=2),VLOOKUP($D161,HORAS!$B$4:$F$42,5,FALSE)*$EE161,IF(ISERROR(VLOOKUP($A161,FIJOS!$B$11:$P$108,9,FALSE)),0,VLOOKUP($A161,FIJOS!$B$11:$P$231,9,FALSE)*$EE161))</f>
        <v>0</v>
      </c>
      <c r="DL161" s="144"/>
      <c r="DM161" s="145">
        <f>IF(ISERROR(VLOOKUP($A161,FIJOS!$B$11:$L$646,11,FALSE)),0,VLOOKUP($A161,FIJOS!$B$11:$L$646,11,FALSE))</f>
        <v>0</v>
      </c>
      <c r="DN161" s="148" t="e">
        <f>IF(OR($C161=1,$C161=3),0,IF((VLOOKUP(CAPTURA!D161,HORAS!$B$4:$K$42,10,FALSE)/4)*COUNTIF($H161:$CT161,3)&gt;100,100,(VLOOKUP(CAPTURA!D161,HORAS!$B$4:$K$42,10,FALSE)/4)*COUNTIF($H161:$CT161,3)))</f>
        <v>#N/A</v>
      </c>
      <c r="DO161" s="144" t="e">
        <f>IF(OR($C161=1,$C161=3),0,IF($C161=5,VLOOKUP(D161,HORAS!$B$4:$G$42,6,FALSE),IF(AND($C161=4,$CV161&gt;=(42/24)),VLOOKUP(D161,HORAS!$B$4:$G$42,6,FALSE),IF(COUNTIF($H161:$CL161,"F")&gt;0,0,IF(CV161&gt;$DJ$1,$DJ$1*(VLOOKUP(D161,HORAS!$B$4:$G$42,6,FALSE)/$DJ$1),CV161*(VLOOKUP(D161,HORAS!$B$4:$G$42,6,FALSE)/$DJ$1))))))</f>
        <v>#N/A</v>
      </c>
      <c r="DP161" s="156"/>
      <c r="DQ161" s="89"/>
      <c r="DR161" s="148"/>
      <c r="DS161" s="83" t="e">
        <f t="shared" si="98"/>
        <v>#N/A</v>
      </c>
      <c r="DT161" s="84"/>
      <c r="DU161" s="149" t="e">
        <f t="shared" si="99"/>
        <v>#N/A</v>
      </c>
      <c r="DV161" s="149" t="e">
        <f t="shared" si="100"/>
        <v>#N/A</v>
      </c>
      <c r="DW161" s="144" t="e">
        <f t="shared" si="101"/>
        <v>#N/A</v>
      </c>
      <c r="DX161"/>
      <c r="DY161" s="29"/>
      <c r="DZ161" s="150"/>
      <c r="EA161" s="134"/>
      <c r="EB161" s="137">
        <f t="shared" si="102"/>
        <v>0</v>
      </c>
      <c r="EC161" s="138">
        <f t="shared" si="96"/>
        <v>0</v>
      </c>
      <c r="ED161" s="137">
        <f t="shared" si="103"/>
        <v>0</v>
      </c>
      <c r="EE161" s="132">
        <f t="shared" si="97"/>
        <v>0</v>
      </c>
      <c r="EF161" s="29"/>
      <c r="EG161" s="134"/>
      <c r="EH161" s="134"/>
      <c r="EI161" s="134"/>
      <c r="EK161" s="29"/>
    </row>
    <row r="162" spans="1:141" ht="15" customHeight="1" x14ac:dyDescent="0.25">
      <c r="A162" s="140"/>
      <c r="B162" s="151"/>
      <c r="C162" s="72"/>
      <c r="D162" s="73"/>
      <c r="E162" s="73"/>
      <c r="F162" s="141"/>
      <c r="G162" s="74"/>
      <c r="H162" s="75"/>
      <c r="I162" s="76"/>
      <c r="J162" s="135"/>
      <c r="K162" s="135"/>
      <c r="L162" s="77">
        <f t="shared" si="74"/>
        <v>0</v>
      </c>
      <c r="M162" s="78"/>
      <c r="N162" s="142"/>
      <c r="O162" s="142"/>
      <c r="P162" s="77">
        <f t="shared" si="75"/>
        <v>0</v>
      </c>
      <c r="Q162" s="78"/>
      <c r="R162" s="143"/>
      <c r="S162" s="143"/>
      <c r="T162" s="77">
        <f t="shared" si="76"/>
        <v>0</v>
      </c>
      <c r="U162" s="75"/>
      <c r="V162" s="76"/>
      <c r="W162" s="135"/>
      <c r="X162" s="135"/>
      <c r="Y162" s="77">
        <f t="shared" si="77"/>
        <v>0</v>
      </c>
      <c r="Z162" s="78"/>
      <c r="AA162" s="142"/>
      <c r="AB162" s="142"/>
      <c r="AC162" s="77">
        <f t="shared" si="78"/>
        <v>0</v>
      </c>
      <c r="AD162" s="78"/>
      <c r="AE162" s="143"/>
      <c r="AF162" s="143"/>
      <c r="AG162" s="79">
        <f t="shared" si="79"/>
        <v>0</v>
      </c>
      <c r="AH162" s="75"/>
      <c r="AI162" s="76"/>
      <c r="AJ162" s="135"/>
      <c r="AK162" s="135"/>
      <c r="AL162" s="77">
        <f t="shared" si="80"/>
        <v>0</v>
      </c>
      <c r="AM162" s="76"/>
      <c r="AN162" s="142"/>
      <c r="AO162" s="142"/>
      <c r="AP162" s="77">
        <f t="shared" si="81"/>
        <v>0</v>
      </c>
      <c r="AQ162" s="78"/>
      <c r="AR162" s="142"/>
      <c r="AS162" s="142"/>
      <c r="AT162" s="79">
        <f t="shared" si="82"/>
        <v>0</v>
      </c>
      <c r="AU162" s="75"/>
      <c r="AV162" s="76"/>
      <c r="AW162" s="135"/>
      <c r="AX162" s="135"/>
      <c r="AY162" s="77">
        <f t="shared" si="83"/>
        <v>0</v>
      </c>
      <c r="AZ162" s="76"/>
      <c r="BA162" s="142"/>
      <c r="BB162" s="142"/>
      <c r="BC162" s="77">
        <f t="shared" si="84"/>
        <v>0</v>
      </c>
      <c r="BD162" s="78"/>
      <c r="BE162" s="142"/>
      <c r="BF162" s="142"/>
      <c r="BG162" s="79">
        <f t="shared" si="85"/>
        <v>0</v>
      </c>
      <c r="BH162" s="75"/>
      <c r="BI162" s="76"/>
      <c r="BJ162" s="135"/>
      <c r="BK162" s="135"/>
      <c r="BL162" s="77">
        <f t="shared" si="86"/>
        <v>0</v>
      </c>
      <c r="BM162" s="78"/>
      <c r="BN162" s="142"/>
      <c r="BO162" s="142"/>
      <c r="BP162" s="77">
        <f t="shared" si="87"/>
        <v>0</v>
      </c>
      <c r="BQ162" s="78"/>
      <c r="BR162" s="142"/>
      <c r="BS162" s="142"/>
      <c r="BT162" s="79">
        <f t="shared" si="88"/>
        <v>0</v>
      </c>
      <c r="BU162" s="75"/>
      <c r="BV162" s="76"/>
      <c r="BW162" s="135"/>
      <c r="BX162" s="135"/>
      <c r="BY162" s="77">
        <f t="shared" si="89"/>
        <v>0</v>
      </c>
      <c r="BZ162" s="78"/>
      <c r="CA162" s="142"/>
      <c r="CB162" s="142"/>
      <c r="CC162" s="77">
        <f t="shared" si="90"/>
        <v>0</v>
      </c>
      <c r="CD162" s="78"/>
      <c r="CE162" s="142"/>
      <c r="CF162" s="142"/>
      <c r="CG162" s="79">
        <f t="shared" si="91"/>
        <v>0</v>
      </c>
      <c r="CH162" s="75"/>
      <c r="CI162" s="76"/>
      <c r="CJ162" s="135"/>
      <c r="CK162" s="135"/>
      <c r="CL162" s="77">
        <f t="shared" si="92"/>
        <v>0</v>
      </c>
      <c r="CM162" s="78"/>
      <c r="CN162" s="142"/>
      <c r="CO162" s="142"/>
      <c r="CP162" s="77">
        <f t="shared" si="93"/>
        <v>0</v>
      </c>
      <c r="CQ162" s="78"/>
      <c r="CR162" s="142"/>
      <c r="CS162" s="142"/>
      <c r="CT162" s="79">
        <f t="shared" si="94"/>
        <v>0</v>
      </c>
      <c r="CU162" s="80">
        <f t="shared" si="72"/>
        <v>0</v>
      </c>
      <c r="CV162" s="81">
        <f t="shared" si="73"/>
        <v>0</v>
      </c>
      <c r="CW162" s="144"/>
      <c r="CX162" s="145">
        <f>IF(ISERROR(VLOOKUP($A162,FIJOS!$B$11:$O$590,14,FALSE)),0,VLOOKUP($A162,FIJOS!$B$11:$O$590,14,FALSE))</f>
        <v>0</v>
      </c>
      <c r="CY162" s="145">
        <f>IF(ISERROR(VLOOKUP(A162,FIJOS!$B$10:$P$590,15,FALSE)),0,VLOOKUP(A162,FIJOS!$B$10:$P$590,15,FALSE))</f>
        <v>0</v>
      </c>
      <c r="CZ162" s="156"/>
      <c r="DA162" s="146"/>
      <c r="DB162" s="147"/>
      <c r="DC162" s="147"/>
      <c r="DD162" s="147"/>
      <c r="DE162" s="147"/>
      <c r="DF162" s="145">
        <f>IF(ISERROR(VLOOKUP($A162,FIJOS!$B$11:$N$590,13,FALSE)),0,VLOOKUP($A162,FIJOS!$B$11:$N$590,13,FALSE))</f>
        <v>0</v>
      </c>
      <c r="DG162" s="145">
        <f>IF(ISERROR(VLOOKUP($A162,FIJOS!$B$11:$P$447,12,FALSE)),0,VLOOKUP($A162,FIJOS!$B$11:$P$447,12,FALSE))</f>
        <v>0</v>
      </c>
      <c r="DH162" s="82">
        <f t="shared" si="95"/>
        <v>0</v>
      </c>
      <c r="DI162" s="83" t="b">
        <f>IF($C162=1,(VLOOKUP($A162,FIJOS!$B$11:$P$545,10,FALSE)/7)*(7-$CU162),IF(AND($C162=2,CV162&lt;$DJ$1),(VLOOKUP($D162,HORAS!$B$4:$C$42,2,FALSE)*24)*$CV162,IF(AND($C162=2,CV162&gt;=$DJ$1),VLOOKUP($D162,HORAS!$B$4:$D$42,3,FALSE),IF(AND($C162=3,$CV162&gt;=$DJ$1),VLOOKUP($A162,FIJOS!$B$11:$P$545,10,FALSE),IF(AND($C162=3,$CV162&lt;$DJ$1),((VLOOKUP($A162,FIJOS!$B$11:$P$545,10,FALSE)/48)*24)*$CV162,IF(AND($C162=4,$CV162&gt;=(42/24)),VLOOKUP($D162,HORAS!$B$4:$D$42,3,FALSE),IF(AND($C162=5,$CV162&gt;=(36/24)),VLOOKUP($D162,HORAS!$B$4:$D$42,3,FALSE))))))))</f>
        <v>0</v>
      </c>
      <c r="DJ162" s="145">
        <f>IF(OR($C162=2),VLOOKUP($D162,HORAS!$B$4:$E$42,4,FALSE)*$EC162,IF(ISERROR(VLOOKUP($A162,FIJOS!$B$11:$P$108,9,FALSE)),0,VLOOKUP($A162,FIJOS!$B$11:$P$231,9,FALSE)*$EC162))</f>
        <v>0</v>
      </c>
      <c r="DK162" s="145">
        <f>IF(OR($C162=2),VLOOKUP($D162,HORAS!$B$4:$F$42,5,FALSE)*$EE162,IF(ISERROR(VLOOKUP($A162,FIJOS!$B$11:$P$108,9,FALSE)),0,VLOOKUP($A162,FIJOS!$B$11:$P$231,9,FALSE)*$EE162))</f>
        <v>0</v>
      </c>
      <c r="DL162" s="144"/>
      <c r="DM162" s="145">
        <f>IF(ISERROR(VLOOKUP($A162,FIJOS!$B$11:$L$646,11,FALSE)),0,VLOOKUP($A162,FIJOS!$B$11:$L$646,11,FALSE))</f>
        <v>0</v>
      </c>
      <c r="DN162" s="148" t="e">
        <f>IF(OR($C162=1,$C162=3),0,IF((VLOOKUP(CAPTURA!D162,HORAS!$B$4:$K$42,10,FALSE)/4)*COUNTIF($H162:$CT162,3)&gt;100,100,(VLOOKUP(CAPTURA!D162,HORAS!$B$4:$K$42,10,FALSE)/4)*COUNTIF($H162:$CT162,3)))</f>
        <v>#N/A</v>
      </c>
      <c r="DO162" s="144" t="e">
        <f>IF(OR($C162=1,$C162=3),0,IF($C162=5,VLOOKUP(D162,HORAS!$B$4:$G$42,6,FALSE),IF(AND($C162=4,$CV162&gt;=(42/24)),VLOOKUP(D162,HORAS!$B$4:$G$42,6,FALSE),IF(COUNTIF($H162:$CL162,"F")&gt;0,0,IF(CV162&gt;$DJ$1,$DJ$1*(VLOOKUP(D162,HORAS!$B$4:$G$42,6,FALSE)/$DJ$1),CV162*(VLOOKUP(D162,HORAS!$B$4:$G$42,6,FALSE)/$DJ$1))))))</f>
        <v>#N/A</v>
      </c>
      <c r="DP162" s="156"/>
      <c r="DQ162" s="89"/>
      <c r="DR162" s="148"/>
      <c r="DS162" s="83" t="e">
        <f t="shared" si="98"/>
        <v>#N/A</v>
      </c>
      <c r="DT162" s="84"/>
      <c r="DU162" s="149" t="e">
        <f t="shared" si="99"/>
        <v>#N/A</v>
      </c>
      <c r="DV162" s="149" t="e">
        <f t="shared" si="100"/>
        <v>#N/A</v>
      </c>
      <c r="DW162" s="144" t="e">
        <f t="shared" si="101"/>
        <v>#N/A</v>
      </c>
      <c r="DX162" s="134"/>
      <c r="DY162" s="29"/>
      <c r="DZ162" s="150"/>
      <c r="EA162" s="134"/>
      <c r="EB162" s="137">
        <f t="shared" si="102"/>
        <v>0</v>
      </c>
      <c r="EC162" s="138">
        <f t="shared" si="96"/>
        <v>0</v>
      </c>
      <c r="ED162" s="137">
        <f t="shared" si="103"/>
        <v>0</v>
      </c>
      <c r="EE162" s="132">
        <f t="shared" si="97"/>
        <v>0</v>
      </c>
      <c r="EF162" s="29"/>
      <c r="EG162" s="134"/>
      <c r="EH162" s="134"/>
      <c r="EI162" s="134"/>
      <c r="EK162" s="29"/>
    </row>
    <row r="163" spans="1:141" ht="15" customHeight="1" x14ac:dyDescent="0.25">
      <c r="A163" s="140"/>
      <c r="B163" s="151"/>
      <c r="C163" s="72"/>
      <c r="D163" s="73"/>
      <c r="E163" s="73"/>
      <c r="F163" s="141"/>
      <c r="G163" s="74"/>
      <c r="H163" s="75"/>
      <c r="I163" s="76"/>
      <c r="J163" s="135"/>
      <c r="K163" s="135"/>
      <c r="L163" s="77">
        <f t="shared" si="74"/>
        <v>0</v>
      </c>
      <c r="M163" s="78"/>
      <c r="N163" s="142"/>
      <c r="O163" s="142"/>
      <c r="P163" s="77">
        <f t="shared" si="75"/>
        <v>0</v>
      </c>
      <c r="Q163" s="78"/>
      <c r="R163" s="143"/>
      <c r="S163" s="143"/>
      <c r="T163" s="77">
        <f t="shared" si="76"/>
        <v>0</v>
      </c>
      <c r="U163" s="75"/>
      <c r="V163" s="76"/>
      <c r="W163" s="135"/>
      <c r="X163" s="135"/>
      <c r="Y163" s="77">
        <f t="shared" si="77"/>
        <v>0</v>
      </c>
      <c r="Z163" s="78"/>
      <c r="AA163" s="142"/>
      <c r="AB163" s="142"/>
      <c r="AC163" s="77">
        <f t="shared" si="78"/>
        <v>0</v>
      </c>
      <c r="AD163" s="78"/>
      <c r="AE163" s="143"/>
      <c r="AF163" s="143"/>
      <c r="AG163" s="79">
        <f t="shared" si="79"/>
        <v>0</v>
      </c>
      <c r="AH163" s="75"/>
      <c r="AI163" s="76"/>
      <c r="AJ163" s="135"/>
      <c r="AK163" s="135"/>
      <c r="AL163" s="77">
        <f t="shared" si="80"/>
        <v>0</v>
      </c>
      <c r="AM163" s="76"/>
      <c r="AN163" s="142"/>
      <c r="AO163" s="142"/>
      <c r="AP163" s="77">
        <f t="shared" si="81"/>
        <v>0</v>
      </c>
      <c r="AQ163" s="78"/>
      <c r="AR163" s="142"/>
      <c r="AS163" s="142"/>
      <c r="AT163" s="79">
        <f t="shared" si="82"/>
        <v>0</v>
      </c>
      <c r="AU163" s="75"/>
      <c r="AV163" s="76"/>
      <c r="AW163" s="135"/>
      <c r="AX163" s="135"/>
      <c r="AY163" s="77">
        <f t="shared" si="83"/>
        <v>0</v>
      </c>
      <c r="AZ163" s="76"/>
      <c r="BA163" s="142"/>
      <c r="BB163" s="142"/>
      <c r="BC163" s="77">
        <f t="shared" si="84"/>
        <v>0</v>
      </c>
      <c r="BD163" s="78"/>
      <c r="BE163" s="142"/>
      <c r="BF163" s="142"/>
      <c r="BG163" s="79">
        <f t="shared" si="85"/>
        <v>0</v>
      </c>
      <c r="BH163" s="75"/>
      <c r="BI163" s="76"/>
      <c r="BJ163" s="135"/>
      <c r="BK163" s="135"/>
      <c r="BL163" s="77">
        <f t="shared" si="86"/>
        <v>0</v>
      </c>
      <c r="BM163" s="78"/>
      <c r="BN163" s="142"/>
      <c r="BO163" s="142"/>
      <c r="BP163" s="77">
        <f t="shared" si="87"/>
        <v>0</v>
      </c>
      <c r="BQ163" s="78"/>
      <c r="BR163" s="142"/>
      <c r="BS163" s="142"/>
      <c r="BT163" s="79">
        <f t="shared" si="88"/>
        <v>0</v>
      </c>
      <c r="BU163" s="75"/>
      <c r="BV163" s="76"/>
      <c r="BW163" s="135"/>
      <c r="BX163" s="135"/>
      <c r="BY163" s="77">
        <f t="shared" si="89"/>
        <v>0</v>
      </c>
      <c r="BZ163" s="78"/>
      <c r="CA163" s="142"/>
      <c r="CB163" s="142"/>
      <c r="CC163" s="77">
        <f t="shared" si="90"/>
        <v>0</v>
      </c>
      <c r="CD163" s="78"/>
      <c r="CE163" s="142"/>
      <c r="CF163" s="142"/>
      <c r="CG163" s="79">
        <f t="shared" si="91"/>
        <v>0</v>
      </c>
      <c r="CH163" s="75"/>
      <c r="CI163" s="76"/>
      <c r="CJ163" s="135"/>
      <c r="CK163" s="135"/>
      <c r="CL163" s="77">
        <f t="shared" si="92"/>
        <v>0</v>
      </c>
      <c r="CM163" s="78"/>
      <c r="CN163" s="142"/>
      <c r="CO163" s="142"/>
      <c r="CP163" s="77">
        <f t="shared" si="93"/>
        <v>0</v>
      </c>
      <c r="CQ163" s="78"/>
      <c r="CR163" s="142"/>
      <c r="CS163" s="142"/>
      <c r="CT163" s="79">
        <f t="shared" si="94"/>
        <v>0</v>
      </c>
      <c r="CU163" s="80">
        <f t="shared" si="72"/>
        <v>0</v>
      </c>
      <c r="CV163" s="81">
        <f t="shared" si="73"/>
        <v>0</v>
      </c>
      <c r="CW163" s="144"/>
      <c r="CX163" s="145">
        <f>IF(ISERROR(VLOOKUP($A163,FIJOS!$B$11:$O$590,14,FALSE)),0,VLOOKUP($A163,FIJOS!$B$11:$O$590,14,FALSE))</f>
        <v>0</v>
      </c>
      <c r="CY163" s="145">
        <f>IF(ISERROR(VLOOKUP(A163,FIJOS!$B$10:$P$590,15,FALSE)),0,VLOOKUP(A163,FIJOS!$B$10:$P$590,15,FALSE))</f>
        <v>0</v>
      </c>
      <c r="CZ163" s="156"/>
      <c r="DA163" s="146"/>
      <c r="DB163" s="147"/>
      <c r="DC163" s="147"/>
      <c r="DD163" s="147"/>
      <c r="DE163" s="147"/>
      <c r="DF163" s="145">
        <f>IF(ISERROR(VLOOKUP($A163,FIJOS!$B$11:$N$590,13,FALSE)),0,VLOOKUP($A163,FIJOS!$B$11:$N$590,13,FALSE))</f>
        <v>0</v>
      </c>
      <c r="DG163" s="145">
        <f>IF(ISERROR(VLOOKUP($A163,FIJOS!$B$11:$P$447,12,FALSE)),0,VLOOKUP($A163,FIJOS!$B$11:$P$447,12,FALSE))</f>
        <v>0</v>
      </c>
      <c r="DH163" s="82">
        <f t="shared" si="95"/>
        <v>0</v>
      </c>
      <c r="DI163" s="83" t="b">
        <f>IF($C163=1,(VLOOKUP($A163,FIJOS!$B$11:$P$545,10,FALSE)/7)*(7-$CU163),IF(AND($C163=2,CV163&lt;$DJ$1),(VLOOKUP($D163,HORAS!$B$4:$C$42,2,FALSE)*24)*$CV163,IF(AND($C163=2,CV163&gt;=$DJ$1),VLOOKUP($D163,HORAS!$B$4:$D$42,3,FALSE),IF(AND($C163=3,$CV163&gt;=$DJ$1),VLOOKUP($A163,FIJOS!$B$11:$P$545,10,FALSE),IF(AND($C163=3,$CV163&lt;$DJ$1),((VLOOKUP($A163,FIJOS!$B$11:$P$545,10,FALSE)/48)*24)*$CV163,IF(AND($C163=4,$CV163&gt;=(42/24)),VLOOKUP($D163,HORAS!$B$4:$D$42,3,FALSE),IF(AND($C163=5,$CV163&gt;=(36/24)),VLOOKUP($D163,HORAS!$B$4:$D$42,3,FALSE))))))))</f>
        <v>0</v>
      </c>
      <c r="DJ163" s="145">
        <f>IF(OR($C163=2),VLOOKUP($D163,HORAS!$B$4:$E$42,4,FALSE)*$EC163,IF(ISERROR(VLOOKUP($A163,FIJOS!$B$11:$P$108,9,FALSE)),0,VLOOKUP($A163,FIJOS!$B$11:$P$231,9,FALSE)*$EC163))</f>
        <v>0</v>
      </c>
      <c r="DK163" s="145">
        <f>IF(OR($C163=2),VLOOKUP($D163,HORAS!$B$4:$F$42,5,FALSE)*$EE163,IF(ISERROR(VLOOKUP($A163,FIJOS!$B$11:$P$108,9,FALSE)),0,VLOOKUP($A163,FIJOS!$B$11:$P$231,9,FALSE)*$EE163))</f>
        <v>0</v>
      </c>
      <c r="DL163" s="144"/>
      <c r="DM163" s="145">
        <f>IF(ISERROR(VLOOKUP($A163,FIJOS!$B$11:$L$646,11,FALSE)),0,VLOOKUP($A163,FIJOS!$B$11:$L$646,11,FALSE))</f>
        <v>0</v>
      </c>
      <c r="DN163" s="148" t="e">
        <f>IF(OR($C163=1,$C163=3),0,IF((VLOOKUP(CAPTURA!D163,HORAS!$B$4:$K$42,10,FALSE)/4)*COUNTIF($H163:$CT163,3)&gt;100,100,(VLOOKUP(CAPTURA!D163,HORAS!$B$4:$K$42,10,FALSE)/4)*COUNTIF($H163:$CT163,3)))</f>
        <v>#N/A</v>
      </c>
      <c r="DO163" s="144" t="e">
        <f>IF(OR($C163=1,$C163=3),0,IF($C163=5,VLOOKUP(D163,HORAS!$B$4:$G$42,6,FALSE),IF(AND($C163=4,$CV163&gt;=(42/24)),VLOOKUP(D163,HORAS!$B$4:$G$42,6,FALSE),IF(COUNTIF($H163:$CL163,"F")&gt;0,0,IF(CV163&gt;$DJ$1,$DJ$1*(VLOOKUP(D163,HORAS!$B$4:$G$42,6,FALSE)/$DJ$1),CV163*(VLOOKUP(D163,HORAS!$B$4:$G$42,6,FALSE)/$DJ$1))))))</f>
        <v>#N/A</v>
      </c>
      <c r="DP163" s="156"/>
      <c r="DQ163" s="89"/>
      <c r="DR163" s="148"/>
      <c r="DS163" s="83" t="e">
        <f t="shared" si="98"/>
        <v>#N/A</v>
      </c>
      <c r="DT163" s="84"/>
      <c r="DU163" s="149" t="e">
        <f t="shared" si="99"/>
        <v>#N/A</v>
      </c>
      <c r="DV163" s="149" t="e">
        <f t="shared" si="100"/>
        <v>#N/A</v>
      </c>
      <c r="DW163" s="144" t="e">
        <f t="shared" si="101"/>
        <v>#N/A</v>
      </c>
      <c r="DX163" s="134"/>
      <c r="DY163" s="29"/>
      <c r="DZ163" s="150"/>
      <c r="EA163" s="134"/>
      <c r="EB163" s="137">
        <f t="shared" si="102"/>
        <v>0</v>
      </c>
      <c r="EC163" s="138">
        <f t="shared" si="96"/>
        <v>0</v>
      </c>
      <c r="ED163" s="137">
        <f t="shared" si="103"/>
        <v>0</v>
      </c>
      <c r="EE163" s="132">
        <f t="shared" si="97"/>
        <v>0</v>
      </c>
      <c r="EF163" s="29"/>
      <c r="EG163" s="134"/>
      <c r="EH163" s="134"/>
      <c r="EI163" s="134"/>
      <c r="EK163" s="29"/>
    </row>
    <row r="164" spans="1:141" ht="15" customHeight="1" x14ac:dyDescent="0.25">
      <c r="A164" s="140"/>
      <c r="B164" s="5"/>
      <c r="C164" s="72"/>
      <c r="D164" s="73"/>
      <c r="E164" s="73"/>
      <c r="F164" s="141"/>
      <c r="G164" s="74"/>
      <c r="H164" s="75"/>
      <c r="I164" s="76"/>
      <c r="J164" s="135"/>
      <c r="K164" s="135"/>
      <c r="L164" s="77">
        <f t="shared" si="74"/>
        <v>0</v>
      </c>
      <c r="M164" s="78"/>
      <c r="N164" s="142"/>
      <c r="O164" s="142"/>
      <c r="P164" s="77">
        <f t="shared" si="75"/>
        <v>0</v>
      </c>
      <c r="Q164" s="78"/>
      <c r="R164" s="143"/>
      <c r="S164" s="143"/>
      <c r="T164" s="77">
        <f t="shared" si="76"/>
        <v>0</v>
      </c>
      <c r="U164" s="136"/>
      <c r="V164" s="76"/>
      <c r="W164" s="135"/>
      <c r="X164" s="135"/>
      <c r="Y164" s="77">
        <f t="shared" si="77"/>
        <v>0</v>
      </c>
      <c r="Z164" s="78"/>
      <c r="AA164" s="142"/>
      <c r="AB164" s="142"/>
      <c r="AC164" s="77">
        <f t="shared" si="78"/>
        <v>0</v>
      </c>
      <c r="AD164" s="78"/>
      <c r="AE164" s="143"/>
      <c r="AF164" s="143"/>
      <c r="AG164" s="79">
        <f t="shared" si="79"/>
        <v>0</v>
      </c>
      <c r="AH164" s="136"/>
      <c r="AI164" s="76"/>
      <c r="AJ164" s="135"/>
      <c r="AK164" s="135"/>
      <c r="AL164" s="77">
        <f t="shared" si="80"/>
        <v>0</v>
      </c>
      <c r="AM164" s="76"/>
      <c r="AN164" s="142"/>
      <c r="AO164" s="142"/>
      <c r="AP164" s="77">
        <f t="shared" si="81"/>
        <v>0</v>
      </c>
      <c r="AQ164" s="78"/>
      <c r="AR164" s="142"/>
      <c r="AS164" s="142"/>
      <c r="AT164" s="79">
        <f t="shared" si="82"/>
        <v>0</v>
      </c>
      <c r="AU164" s="75"/>
      <c r="AV164" s="76"/>
      <c r="AW164" s="135"/>
      <c r="AX164" s="135"/>
      <c r="AY164" s="77">
        <f t="shared" si="83"/>
        <v>0</v>
      </c>
      <c r="AZ164" s="76"/>
      <c r="BA164" s="142"/>
      <c r="BB164" s="142"/>
      <c r="BC164" s="77">
        <f t="shared" si="84"/>
        <v>0</v>
      </c>
      <c r="BD164" s="78"/>
      <c r="BE164" s="142"/>
      <c r="BF164" s="142"/>
      <c r="BG164" s="79">
        <f t="shared" si="85"/>
        <v>0</v>
      </c>
      <c r="BH164" s="75"/>
      <c r="BI164" s="76"/>
      <c r="BJ164" s="135"/>
      <c r="BK164" s="135"/>
      <c r="BL164" s="77">
        <f t="shared" si="86"/>
        <v>0</v>
      </c>
      <c r="BM164" s="78"/>
      <c r="BN164" s="142"/>
      <c r="BO164" s="142"/>
      <c r="BP164" s="77">
        <f t="shared" si="87"/>
        <v>0</v>
      </c>
      <c r="BQ164" s="78"/>
      <c r="BR164" s="142"/>
      <c r="BS164" s="142"/>
      <c r="BT164" s="79">
        <f t="shared" si="88"/>
        <v>0</v>
      </c>
      <c r="BU164" s="75"/>
      <c r="BV164" s="76"/>
      <c r="BW164" s="135"/>
      <c r="BX164" s="135"/>
      <c r="BY164" s="77">
        <f t="shared" si="89"/>
        <v>0</v>
      </c>
      <c r="BZ164" s="78"/>
      <c r="CA164" s="142"/>
      <c r="CB164" s="142"/>
      <c r="CC164" s="77">
        <f t="shared" si="90"/>
        <v>0</v>
      </c>
      <c r="CD164" s="78"/>
      <c r="CE164" s="142"/>
      <c r="CF164" s="142"/>
      <c r="CG164" s="79">
        <f t="shared" si="91"/>
        <v>0</v>
      </c>
      <c r="CH164" s="75"/>
      <c r="CI164" s="76"/>
      <c r="CJ164" s="135"/>
      <c r="CK164" s="135"/>
      <c r="CL164" s="77">
        <f t="shared" si="92"/>
        <v>0</v>
      </c>
      <c r="CM164" s="78"/>
      <c r="CN164" s="142"/>
      <c r="CO164" s="142"/>
      <c r="CP164" s="77">
        <f t="shared" si="93"/>
        <v>0</v>
      </c>
      <c r="CQ164" s="78"/>
      <c r="CR164" s="142"/>
      <c r="CS164" s="142"/>
      <c r="CT164" s="79">
        <f t="shared" si="94"/>
        <v>0</v>
      </c>
      <c r="CU164" s="80">
        <f t="shared" si="72"/>
        <v>0</v>
      </c>
      <c r="CV164" s="81">
        <f t="shared" si="73"/>
        <v>0</v>
      </c>
      <c r="CW164" s="144"/>
      <c r="CX164" s="145">
        <f>IF(ISERROR(VLOOKUP($A164,FIJOS!$B$11:$O$590,14,FALSE)),0,VLOOKUP($A164,FIJOS!$B$11:$O$590,14,FALSE))</f>
        <v>0</v>
      </c>
      <c r="CY164" s="145">
        <f>IF(ISERROR(VLOOKUP(A164,FIJOS!$B$10:$P$590,15,FALSE)),0,VLOOKUP(A164,FIJOS!$B$10:$P$590,15,FALSE))</f>
        <v>0</v>
      </c>
      <c r="CZ164" s="156"/>
      <c r="DA164" s="146"/>
      <c r="DB164" s="147"/>
      <c r="DC164" s="147"/>
      <c r="DD164" s="147"/>
      <c r="DE164" s="147"/>
      <c r="DF164" s="145">
        <f>IF(ISERROR(VLOOKUP($A164,FIJOS!$B$11:$N$590,13,FALSE)),0,VLOOKUP($A164,FIJOS!$B$11:$N$590,13,FALSE))</f>
        <v>0</v>
      </c>
      <c r="DG164" s="145">
        <f>IF(ISERROR(VLOOKUP($A164,FIJOS!$B$11:$P$447,12,FALSE)),0,VLOOKUP($A164,FIJOS!$B$11:$P$447,12,FALSE))</f>
        <v>0</v>
      </c>
      <c r="DH164" s="82">
        <f t="shared" si="95"/>
        <v>0</v>
      </c>
      <c r="DI164" s="83" t="b">
        <f>IF($C164=1,(VLOOKUP($A164,FIJOS!$B$11:$P$545,10,FALSE)/7)*(7-$CU164),IF(AND($C164=2,CV164&lt;$DJ$1),(VLOOKUP($D164,HORAS!$B$4:$C$42,2,FALSE)*24)*$CV164,IF(AND($C164=2,CV164&gt;=$DJ$1),VLOOKUP($D164,HORAS!$B$4:$D$42,3,FALSE),IF(AND($C164=3,$CV164&gt;=$DJ$1),VLOOKUP($A164,FIJOS!$B$11:$P$545,10,FALSE),IF(AND($C164=3,$CV164&lt;$DJ$1),((VLOOKUP($A164,FIJOS!$B$11:$P$545,10,FALSE)/48)*24)*$CV164,IF(AND($C164=4,$CV164&gt;=(42/24)),VLOOKUP($D164,HORAS!$B$4:$D$42,3,FALSE),IF(AND($C164=5,$CV164&gt;=(36/24)),VLOOKUP($D164,HORAS!$B$4:$D$42,3,FALSE))))))))</f>
        <v>0</v>
      </c>
      <c r="DJ164" s="145">
        <f>IF(OR($C164=2),VLOOKUP($D164,HORAS!$B$4:$E$42,4,FALSE)*$EC164,IF(ISERROR(VLOOKUP($A164,FIJOS!$B$11:$P$108,9,FALSE)),0,VLOOKUP($A164,FIJOS!$B$11:$P$231,9,FALSE)*$EC164))</f>
        <v>0</v>
      </c>
      <c r="DK164" s="145">
        <f>IF(OR($C164=2),VLOOKUP($D164,HORAS!$B$4:$F$42,5,FALSE)*$EE164,IF(ISERROR(VLOOKUP($A164,FIJOS!$B$11:$P$108,9,FALSE)),0,VLOOKUP($A164,FIJOS!$B$11:$P$231,9,FALSE)*$EE164))</f>
        <v>0</v>
      </c>
      <c r="DL164" s="144"/>
      <c r="DM164" s="145">
        <f>IF(ISERROR(VLOOKUP($A164,FIJOS!$B$11:$L$646,11,FALSE)),0,VLOOKUP($A164,FIJOS!$B$11:$L$646,11,FALSE))</f>
        <v>0</v>
      </c>
      <c r="DN164" s="148" t="e">
        <f>IF(OR($C164=1,$C164=3),0,IF((VLOOKUP(CAPTURA!D164,HORAS!$B$4:$K$42,10,FALSE)/4)*COUNTIF($H164:$CT164,3)&gt;100,100,(VLOOKUP(CAPTURA!D164,HORAS!$B$4:$K$42,10,FALSE)/4)*COUNTIF($H164:$CT164,3)))</f>
        <v>#N/A</v>
      </c>
      <c r="DO164" s="144" t="e">
        <f>IF(OR($C164=1,$C164=3),0,IF($C164=5,VLOOKUP(D164,HORAS!$B$4:$G$42,6,FALSE),IF(AND($C164=4,$CV164&gt;=(42/24)),VLOOKUP(D164,HORAS!$B$4:$G$42,6,FALSE),IF(COUNTIF($H164:$CL164,"F")&gt;0,0,IF(CV164&gt;$DJ$1,$DJ$1*(VLOOKUP(D164,HORAS!$B$4:$G$42,6,FALSE)/$DJ$1),CV164*(VLOOKUP(D164,HORAS!$B$4:$G$42,6,FALSE)/$DJ$1))))))</f>
        <v>#N/A</v>
      </c>
      <c r="DP164" s="156"/>
      <c r="DQ164" s="148"/>
      <c r="DR164" s="148"/>
      <c r="DS164" s="83" t="e">
        <f t="shared" si="98"/>
        <v>#N/A</v>
      </c>
      <c r="DT164" s="84"/>
      <c r="DU164" s="149" t="e">
        <f t="shared" si="99"/>
        <v>#N/A</v>
      </c>
      <c r="DV164" s="149" t="e">
        <f t="shared" si="100"/>
        <v>#N/A</v>
      </c>
      <c r="DW164" s="144" t="e">
        <f t="shared" si="101"/>
        <v>#N/A</v>
      </c>
      <c r="DX164" s="134"/>
      <c r="DY164" s="29"/>
      <c r="DZ164" s="150"/>
      <c r="EA164" s="134"/>
      <c r="EB164" s="137">
        <f t="shared" si="102"/>
        <v>0</v>
      </c>
      <c r="EC164" s="138">
        <f t="shared" si="96"/>
        <v>0</v>
      </c>
      <c r="ED164" s="137">
        <f t="shared" si="103"/>
        <v>0</v>
      </c>
      <c r="EE164" s="132">
        <f t="shared" si="97"/>
        <v>0</v>
      </c>
      <c r="EF164" s="29"/>
      <c r="EG164" s="134"/>
      <c r="EH164" s="134"/>
      <c r="EI164" s="134"/>
      <c r="EK164" s="29"/>
    </row>
    <row r="165" spans="1:141" ht="15" customHeight="1" x14ac:dyDescent="0.25">
      <c r="A165" s="140"/>
      <c r="B165" s="5"/>
      <c r="C165" s="72"/>
      <c r="D165" s="73"/>
      <c r="E165" s="160"/>
      <c r="F165" s="141"/>
      <c r="G165" s="74"/>
      <c r="H165" s="75"/>
      <c r="I165" s="76"/>
      <c r="J165" s="135"/>
      <c r="K165" s="135"/>
      <c r="L165" s="77">
        <f t="shared" si="74"/>
        <v>0</v>
      </c>
      <c r="M165" s="78"/>
      <c r="N165" s="142"/>
      <c r="O165" s="142"/>
      <c r="P165" s="77">
        <f t="shared" si="75"/>
        <v>0</v>
      </c>
      <c r="Q165" s="78"/>
      <c r="R165" s="143"/>
      <c r="S165" s="143"/>
      <c r="T165" s="77">
        <f t="shared" si="76"/>
        <v>0</v>
      </c>
      <c r="U165" s="75"/>
      <c r="V165" s="76"/>
      <c r="W165" s="135"/>
      <c r="X165" s="135"/>
      <c r="Y165" s="77">
        <f t="shared" si="77"/>
        <v>0</v>
      </c>
      <c r="Z165" s="78"/>
      <c r="AA165" s="142"/>
      <c r="AB165" s="142"/>
      <c r="AC165" s="77">
        <f t="shared" si="78"/>
        <v>0</v>
      </c>
      <c r="AD165" s="78"/>
      <c r="AE165" s="143"/>
      <c r="AF165" s="143"/>
      <c r="AG165" s="79">
        <f t="shared" si="79"/>
        <v>0</v>
      </c>
      <c r="AH165" s="75"/>
      <c r="AI165" s="76"/>
      <c r="AJ165" s="135"/>
      <c r="AK165" s="135"/>
      <c r="AL165" s="77">
        <f t="shared" si="80"/>
        <v>0</v>
      </c>
      <c r="AM165" s="76"/>
      <c r="AN165" s="142"/>
      <c r="AO165" s="142"/>
      <c r="AP165" s="77">
        <f t="shared" si="81"/>
        <v>0</v>
      </c>
      <c r="AQ165" s="78"/>
      <c r="AR165" s="142"/>
      <c r="AS165" s="142"/>
      <c r="AT165" s="79">
        <f t="shared" si="82"/>
        <v>0</v>
      </c>
      <c r="AU165" s="75"/>
      <c r="AV165" s="76"/>
      <c r="AW165" s="135"/>
      <c r="AX165" s="135"/>
      <c r="AY165" s="77">
        <f t="shared" si="83"/>
        <v>0</v>
      </c>
      <c r="AZ165" s="76"/>
      <c r="BA165" s="142"/>
      <c r="BB165" s="142"/>
      <c r="BC165" s="77">
        <f t="shared" si="84"/>
        <v>0</v>
      </c>
      <c r="BD165" s="78"/>
      <c r="BE165" s="142"/>
      <c r="BF165" s="142"/>
      <c r="BG165" s="79">
        <f t="shared" si="85"/>
        <v>0</v>
      </c>
      <c r="BH165" s="75"/>
      <c r="BI165" s="76"/>
      <c r="BJ165" s="135"/>
      <c r="BK165" s="157"/>
      <c r="BL165" s="77">
        <f t="shared" si="86"/>
        <v>0</v>
      </c>
      <c r="BM165" s="78"/>
      <c r="BN165" s="142"/>
      <c r="BO165" s="142"/>
      <c r="BP165" s="77">
        <f t="shared" si="87"/>
        <v>0</v>
      </c>
      <c r="BQ165" s="78"/>
      <c r="BR165" s="142"/>
      <c r="BS165" s="142"/>
      <c r="BT165" s="79">
        <f t="shared" si="88"/>
        <v>0</v>
      </c>
      <c r="BU165" s="75"/>
      <c r="BV165" s="76"/>
      <c r="BW165" s="135"/>
      <c r="BX165" s="135"/>
      <c r="BY165" s="77">
        <f t="shared" si="89"/>
        <v>0</v>
      </c>
      <c r="BZ165" s="78"/>
      <c r="CA165" s="142"/>
      <c r="CB165" s="142"/>
      <c r="CC165" s="77">
        <f t="shared" si="90"/>
        <v>0</v>
      </c>
      <c r="CD165" s="78"/>
      <c r="CE165" s="142"/>
      <c r="CF165" s="142"/>
      <c r="CG165" s="79">
        <f t="shared" si="91"/>
        <v>0</v>
      </c>
      <c r="CH165" s="75"/>
      <c r="CI165" s="76"/>
      <c r="CJ165" s="135"/>
      <c r="CK165" s="135"/>
      <c r="CL165" s="77">
        <f t="shared" si="92"/>
        <v>0</v>
      </c>
      <c r="CM165" s="78"/>
      <c r="CN165" s="142"/>
      <c r="CO165" s="142"/>
      <c r="CP165" s="77">
        <f t="shared" si="93"/>
        <v>0</v>
      </c>
      <c r="CQ165" s="78"/>
      <c r="CR165" s="142"/>
      <c r="CS165" s="142"/>
      <c r="CT165" s="79">
        <f t="shared" si="94"/>
        <v>0</v>
      </c>
      <c r="CU165" s="80">
        <f t="shared" si="72"/>
        <v>0</v>
      </c>
      <c r="CV165" s="81">
        <f t="shared" si="73"/>
        <v>0</v>
      </c>
      <c r="CW165" s="144"/>
      <c r="CX165" s="145">
        <f>IF(ISERROR(VLOOKUP($A165,FIJOS!$B$11:$O$590,14,FALSE)),0,VLOOKUP($A165,FIJOS!$B$11:$O$590,14,FALSE))</f>
        <v>0</v>
      </c>
      <c r="CY165" s="145">
        <f>IF(ISERROR(VLOOKUP(A165,FIJOS!$B$10:$P$590,15,FALSE)),0,VLOOKUP(A165,FIJOS!$B$10:$P$590,15,FALSE))</f>
        <v>0</v>
      </c>
      <c r="CZ165" s="156"/>
      <c r="DA165" s="146"/>
      <c r="DB165" s="147"/>
      <c r="DC165" s="147"/>
      <c r="DD165" s="147"/>
      <c r="DE165" s="147"/>
      <c r="DF165" s="145">
        <f>IF(ISERROR(VLOOKUP($A165,FIJOS!$B$11:$N$590,13,FALSE)),0,VLOOKUP($A165,FIJOS!$B$11:$N$590,13,FALSE))</f>
        <v>0</v>
      </c>
      <c r="DG165" s="145">
        <f>IF(ISERROR(VLOOKUP($A165,FIJOS!$B$11:$P$447,12,FALSE)),0,VLOOKUP($A165,FIJOS!$B$11:$P$447,12,FALSE))</f>
        <v>0</v>
      </c>
      <c r="DH165" s="82">
        <f t="shared" si="95"/>
        <v>0</v>
      </c>
      <c r="DI165" s="83" t="b">
        <f>IF($C165=1,(VLOOKUP($A165,FIJOS!$B$11:$P$545,10,FALSE)/7)*(7-$CU165),IF(AND($C165=2,CV165&lt;$DJ$1),(VLOOKUP($D165,HORAS!$B$4:$C$42,2,FALSE)*24)*$CV165,IF(AND($C165=2,CV165&gt;=$DJ$1),VLOOKUP($D165,HORAS!$B$4:$D$42,3,FALSE),IF(AND($C165=3,$CV165&gt;=$DJ$1),VLOOKUP($A165,FIJOS!$B$11:$P$545,10,FALSE),IF(AND($C165=3,$CV165&lt;$DJ$1),((VLOOKUP($A165,FIJOS!$B$11:$P$545,10,FALSE)/48)*24)*$CV165,IF(AND($C165=4,$CV165&gt;=(42/24)),VLOOKUP($D165,HORAS!$B$4:$D$42,3,FALSE),IF(AND($C165=5,$CV165&gt;=(36/24)),VLOOKUP($D165,HORAS!$B$4:$D$42,3,FALSE))))))))</f>
        <v>0</v>
      </c>
      <c r="DJ165" s="145">
        <f>IF(OR($C165=2),VLOOKUP($D165,HORAS!$B$4:$E$42,4,FALSE)*$EC165,IF(ISERROR(VLOOKUP($A165,FIJOS!$B$11:$P$108,9,FALSE)),0,VLOOKUP($A165,FIJOS!$B$11:$P$231,9,FALSE)*$EC165))</f>
        <v>0</v>
      </c>
      <c r="DK165" s="145">
        <f>IF(OR($C165=2),VLOOKUP($D165,HORAS!$B$4:$F$42,5,FALSE)*$EE165,IF(ISERROR(VLOOKUP($A165,FIJOS!$B$11:$P$108,9,FALSE)),0,VLOOKUP($A165,FIJOS!$B$11:$P$231,9,FALSE)*$EE165))</f>
        <v>0</v>
      </c>
      <c r="DL165" s="144"/>
      <c r="DM165" s="145">
        <f>IF(ISERROR(VLOOKUP($A165,FIJOS!$B$11:$L$646,11,FALSE)),0,VLOOKUP($A165,FIJOS!$B$11:$L$646,11,FALSE))</f>
        <v>0</v>
      </c>
      <c r="DN165" s="148" t="e">
        <f>IF(OR($C165=1,$C165=3),0,IF((VLOOKUP(CAPTURA!D165,HORAS!$B$4:$K$42,10,FALSE)/4)*COUNTIF($H165:$CT165,3)&gt;100,100,(VLOOKUP(CAPTURA!D165,HORAS!$B$4:$K$42,10,FALSE)/4)*COUNTIF($H165:$CT165,3)))</f>
        <v>#N/A</v>
      </c>
      <c r="DO165" s="144" t="e">
        <f>IF(OR($C165=1,$C165=3),0,IF($C165=5,VLOOKUP(D165,HORAS!$B$4:$G$42,6,FALSE),IF(AND($C165=4,$CV165&gt;=(42/24)),VLOOKUP(D165,HORAS!$B$4:$G$42,6,FALSE),IF(COUNTIF($H165:$CL165,"F")&gt;0,0,IF(CV165&gt;$DJ$1,$DJ$1*(VLOOKUP(D165,HORAS!$B$4:$G$42,6,FALSE)/$DJ$1),CV165*(VLOOKUP(D165,HORAS!$B$4:$G$42,6,FALSE)/$DJ$1))))))</f>
        <v>#N/A</v>
      </c>
      <c r="DP165" s="156"/>
      <c r="DQ165" s="148"/>
      <c r="DR165" s="148"/>
      <c r="DS165" s="83" t="e">
        <f t="shared" si="98"/>
        <v>#N/A</v>
      </c>
      <c r="DT165" s="84"/>
      <c r="DU165" s="149" t="e">
        <f t="shared" si="99"/>
        <v>#N/A</v>
      </c>
      <c r="DV165" s="149" t="e">
        <f t="shared" si="100"/>
        <v>#N/A</v>
      </c>
      <c r="DW165" s="144" t="e">
        <f t="shared" si="101"/>
        <v>#N/A</v>
      </c>
      <c r="DX165" s="134"/>
      <c r="DY165" s="29"/>
      <c r="DZ165" s="150"/>
      <c r="EA165" s="137"/>
      <c r="EB165" s="137">
        <f t="shared" si="102"/>
        <v>0</v>
      </c>
      <c r="EC165" s="138">
        <f t="shared" si="96"/>
        <v>0</v>
      </c>
      <c r="ED165" s="137">
        <f t="shared" si="103"/>
        <v>0</v>
      </c>
      <c r="EE165" s="132">
        <f t="shared" si="97"/>
        <v>0</v>
      </c>
      <c r="EF165" s="29"/>
      <c r="EG165" s="134"/>
      <c r="EH165" s="134"/>
      <c r="EI165" s="134"/>
      <c r="EK165" s="29"/>
    </row>
    <row r="166" spans="1:141" ht="15" customHeight="1" x14ac:dyDescent="0.25">
      <c r="A166" s="140"/>
      <c r="B166" s="5"/>
      <c r="C166" s="72"/>
      <c r="D166" s="73"/>
      <c r="E166" s="73"/>
      <c r="F166" s="141"/>
      <c r="G166" s="74"/>
      <c r="H166" s="75"/>
      <c r="I166" s="76"/>
      <c r="J166" s="135"/>
      <c r="K166" s="135"/>
      <c r="L166" s="77">
        <f t="shared" si="74"/>
        <v>0</v>
      </c>
      <c r="M166" s="78"/>
      <c r="N166" s="142"/>
      <c r="O166" s="142"/>
      <c r="P166" s="77">
        <f t="shared" si="75"/>
        <v>0</v>
      </c>
      <c r="Q166" s="78"/>
      <c r="R166" s="143"/>
      <c r="S166" s="143"/>
      <c r="T166" s="77">
        <f t="shared" si="76"/>
        <v>0</v>
      </c>
      <c r="U166" s="75"/>
      <c r="V166" s="76"/>
      <c r="W166" s="135"/>
      <c r="X166" s="135"/>
      <c r="Y166" s="77">
        <f t="shared" si="77"/>
        <v>0</v>
      </c>
      <c r="Z166" s="78"/>
      <c r="AA166" s="142"/>
      <c r="AB166" s="142"/>
      <c r="AC166" s="77">
        <f t="shared" si="78"/>
        <v>0</v>
      </c>
      <c r="AD166" s="78"/>
      <c r="AE166" s="143"/>
      <c r="AF166" s="143"/>
      <c r="AG166" s="79">
        <f t="shared" si="79"/>
        <v>0</v>
      </c>
      <c r="AH166" s="75"/>
      <c r="AI166" s="76"/>
      <c r="AJ166" s="135"/>
      <c r="AK166" s="135"/>
      <c r="AL166" s="77">
        <f t="shared" si="80"/>
        <v>0</v>
      </c>
      <c r="AM166" s="76"/>
      <c r="AN166" s="142"/>
      <c r="AO166" s="142"/>
      <c r="AP166" s="77">
        <f t="shared" si="81"/>
        <v>0</v>
      </c>
      <c r="AQ166" s="78"/>
      <c r="AR166" s="142"/>
      <c r="AS166" s="142"/>
      <c r="AT166" s="79">
        <f t="shared" si="82"/>
        <v>0</v>
      </c>
      <c r="AU166" s="75"/>
      <c r="AV166" s="76"/>
      <c r="AW166" s="135"/>
      <c r="AX166" s="135"/>
      <c r="AY166" s="77">
        <f t="shared" si="83"/>
        <v>0</v>
      </c>
      <c r="AZ166" s="76"/>
      <c r="BA166" s="142"/>
      <c r="BB166" s="142"/>
      <c r="BC166" s="77">
        <f t="shared" si="84"/>
        <v>0</v>
      </c>
      <c r="BD166" s="78"/>
      <c r="BE166" s="142"/>
      <c r="BF166" s="142"/>
      <c r="BG166" s="79">
        <f t="shared" si="85"/>
        <v>0</v>
      </c>
      <c r="BH166" s="75"/>
      <c r="BI166" s="76"/>
      <c r="BJ166" s="135"/>
      <c r="BK166" s="135"/>
      <c r="BL166" s="77">
        <f t="shared" si="86"/>
        <v>0</v>
      </c>
      <c r="BM166" s="78"/>
      <c r="BN166" s="142"/>
      <c r="BO166" s="142"/>
      <c r="BP166" s="77">
        <f t="shared" si="87"/>
        <v>0</v>
      </c>
      <c r="BQ166" s="78"/>
      <c r="BR166" s="142"/>
      <c r="BS166" s="142"/>
      <c r="BT166" s="79">
        <f t="shared" si="88"/>
        <v>0</v>
      </c>
      <c r="BU166" s="75"/>
      <c r="BV166" s="76"/>
      <c r="BW166" s="135"/>
      <c r="BX166" s="135"/>
      <c r="BY166" s="77">
        <f t="shared" si="89"/>
        <v>0</v>
      </c>
      <c r="BZ166" s="78"/>
      <c r="CA166" s="142"/>
      <c r="CB166" s="142"/>
      <c r="CC166" s="77">
        <f t="shared" si="90"/>
        <v>0</v>
      </c>
      <c r="CD166" s="78"/>
      <c r="CE166" s="142"/>
      <c r="CF166" s="142"/>
      <c r="CG166" s="79">
        <f t="shared" si="91"/>
        <v>0</v>
      </c>
      <c r="CH166" s="75"/>
      <c r="CI166" s="76"/>
      <c r="CJ166" s="135"/>
      <c r="CK166" s="135"/>
      <c r="CL166" s="77">
        <f t="shared" si="92"/>
        <v>0</v>
      </c>
      <c r="CM166" s="78"/>
      <c r="CN166" s="142"/>
      <c r="CO166" s="142"/>
      <c r="CP166" s="77">
        <f t="shared" si="93"/>
        <v>0</v>
      </c>
      <c r="CQ166" s="78"/>
      <c r="CR166" s="142"/>
      <c r="CS166" s="142"/>
      <c r="CT166" s="79">
        <f t="shared" si="94"/>
        <v>0</v>
      </c>
      <c r="CU166" s="80">
        <f t="shared" si="72"/>
        <v>0</v>
      </c>
      <c r="CV166" s="81">
        <f t="shared" si="73"/>
        <v>0</v>
      </c>
      <c r="CW166" s="144"/>
      <c r="CX166" s="145">
        <f>IF(ISERROR(VLOOKUP($A166,FIJOS!$B$11:$O$590,14,FALSE)),0,VLOOKUP($A166,FIJOS!$B$11:$O$590,14,FALSE))</f>
        <v>0</v>
      </c>
      <c r="CY166" s="145">
        <f>IF(ISERROR(VLOOKUP(A166,FIJOS!$B$10:$P$590,15,FALSE)),0,VLOOKUP(A166,FIJOS!$B$10:$P$590,15,FALSE))</f>
        <v>0</v>
      </c>
      <c r="CZ166" s="156"/>
      <c r="DA166" s="146"/>
      <c r="DB166" s="147"/>
      <c r="DC166" s="147"/>
      <c r="DD166" s="147"/>
      <c r="DE166" s="147"/>
      <c r="DF166" s="145">
        <f>IF(ISERROR(VLOOKUP($A166,FIJOS!$B$11:$N$590,13,FALSE)),0,VLOOKUP($A166,FIJOS!$B$11:$N$590,13,FALSE))</f>
        <v>0</v>
      </c>
      <c r="DG166" s="145">
        <f>IF(ISERROR(VLOOKUP($A166,FIJOS!$B$11:$P$447,12,FALSE)),0,VLOOKUP($A166,FIJOS!$B$11:$P$447,12,FALSE))</f>
        <v>0</v>
      </c>
      <c r="DH166" s="82">
        <f t="shared" si="95"/>
        <v>0</v>
      </c>
      <c r="DI166" s="83" t="b">
        <f>IF($C166=1,(VLOOKUP($A166,FIJOS!$B$11:$P$545,10,FALSE)/7)*(7-$CU166),IF(AND($C166=2,CV166&lt;$DJ$1),(VLOOKUP($D166,HORAS!$B$4:$C$42,2,FALSE)*24)*$CV166,IF(AND($C166=2,CV166&gt;=$DJ$1),VLOOKUP($D166,HORAS!$B$4:$D$42,3,FALSE),IF(AND($C166=3,$CV166&gt;=$DJ$1),VLOOKUP($A166,FIJOS!$B$11:$P$545,10,FALSE),IF(AND($C166=3,$CV166&lt;$DJ$1),((VLOOKUP($A166,FIJOS!$B$11:$P$545,10,FALSE)/48)*24)*$CV166,IF(AND($C166=4,$CV166&gt;=(42/24)),VLOOKUP($D166,HORAS!$B$4:$D$42,3,FALSE),IF(AND($C166=5,$CV166&gt;=(36/24)),VLOOKUP($D166,HORAS!$B$4:$D$42,3,FALSE))))))))</f>
        <v>0</v>
      </c>
      <c r="DJ166" s="145">
        <f>IF(OR($C166=2),VLOOKUP($D166,HORAS!$B$4:$E$42,4,FALSE)*$EC166,IF(ISERROR(VLOOKUP($A166,FIJOS!$B$11:$P$108,9,FALSE)),0,VLOOKUP($A166,FIJOS!$B$11:$P$231,9,FALSE)*$EC166))</f>
        <v>0</v>
      </c>
      <c r="DK166" s="145">
        <f>IF(OR($C166=2),VLOOKUP($D166,HORAS!$B$4:$F$42,5,FALSE)*$EE166,IF(ISERROR(VLOOKUP($A166,FIJOS!$B$11:$P$108,9,FALSE)),0,VLOOKUP($A166,FIJOS!$B$11:$P$231,9,FALSE)*$EE166))</f>
        <v>0</v>
      </c>
      <c r="DL166" s="144"/>
      <c r="DM166" s="145">
        <f>IF(ISERROR(VLOOKUP($A166,FIJOS!$B$11:$L$646,11,FALSE)),0,VLOOKUP($A166,FIJOS!$B$11:$L$646,11,FALSE))</f>
        <v>0</v>
      </c>
      <c r="DN166" s="148" t="e">
        <f>IF(OR($C166=1,$C166=3),0,IF((VLOOKUP(CAPTURA!D166,HORAS!$B$4:$K$42,10,FALSE)/4)*COUNTIF($H166:$CT166,3)&gt;100,100,(VLOOKUP(CAPTURA!D166,HORAS!$B$4:$K$42,10,FALSE)/4)*COUNTIF($H166:$CT166,3)))</f>
        <v>#N/A</v>
      </c>
      <c r="DO166" s="144" t="e">
        <f>IF(OR($C166=1,$C166=3),0,IF($C166=5,VLOOKUP(D166,HORAS!$B$4:$G$42,6,FALSE),IF(AND($C166=4,$CV166&gt;=(42/24)),VLOOKUP(D166,HORAS!$B$4:$G$42,6,FALSE),IF(COUNTIF($H166:$CL166,"F")&gt;0,0,IF(CV166&gt;$DJ$1,$DJ$1*(VLOOKUP(D166,HORAS!$B$4:$G$42,6,FALSE)/$DJ$1),CV166*(VLOOKUP(D166,HORAS!$B$4:$G$42,6,FALSE)/$DJ$1))))))</f>
        <v>#N/A</v>
      </c>
      <c r="DP166" s="156"/>
      <c r="DQ166" s="89"/>
      <c r="DR166" s="148"/>
      <c r="DS166" s="83" t="e">
        <f t="shared" si="98"/>
        <v>#N/A</v>
      </c>
      <c r="DT166" s="84"/>
      <c r="DU166" s="149" t="e">
        <f t="shared" si="99"/>
        <v>#N/A</v>
      </c>
      <c r="DV166" s="149" t="e">
        <f t="shared" si="100"/>
        <v>#N/A</v>
      </c>
      <c r="DW166" s="144" t="e">
        <f t="shared" si="101"/>
        <v>#N/A</v>
      </c>
      <c r="DX166" s="134"/>
      <c r="DY166" s="29"/>
      <c r="DZ166" s="150"/>
      <c r="EA166" s="134"/>
      <c r="EB166" s="137">
        <f t="shared" si="102"/>
        <v>0</v>
      </c>
      <c r="EC166" s="138">
        <f t="shared" si="96"/>
        <v>0</v>
      </c>
      <c r="ED166" s="137">
        <f t="shared" si="103"/>
        <v>0</v>
      </c>
      <c r="EE166" s="132">
        <f t="shared" si="97"/>
        <v>0</v>
      </c>
      <c r="EF166" s="29"/>
      <c r="EG166" s="134"/>
      <c r="EH166" s="134"/>
      <c r="EI166" s="134"/>
      <c r="EK166" s="29"/>
    </row>
    <row r="167" spans="1:141" ht="15" customHeight="1" x14ac:dyDescent="0.25">
      <c r="A167" s="140"/>
      <c r="B167" s="151"/>
      <c r="C167" s="72"/>
      <c r="D167" s="73"/>
      <c r="E167" s="73"/>
      <c r="F167" s="141"/>
      <c r="G167" s="74"/>
      <c r="H167" s="75"/>
      <c r="I167" s="76"/>
      <c r="J167" s="135"/>
      <c r="K167" s="135"/>
      <c r="L167" s="77">
        <f t="shared" si="74"/>
        <v>0</v>
      </c>
      <c r="M167" s="76"/>
      <c r="N167" s="142"/>
      <c r="O167" s="142"/>
      <c r="P167" s="77">
        <f t="shared" si="75"/>
        <v>0</v>
      </c>
      <c r="Q167" s="78"/>
      <c r="R167" s="143"/>
      <c r="S167" s="143"/>
      <c r="T167" s="77">
        <f t="shared" si="76"/>
        <v>0</v>
      </c>
      <c r="U167" s="75"/>
      <c r="V167" s="76"/>
      <c r="W167" s="135"/>
      <c r="X167" s="135"/>
      <c r="Y167" s="77">
        <f t="shared" si="77"/>
        <v>0</v>
      </c>
      <c r="Z167" s="76"/>
      <c r="AA167" s="142"/>
      <c r="AB167" s="142"/>
      <c r="AC167" s="77">
        <f t="shared" si="78"/>
        <v>0</v>
      </c>
      <c r="AD167" s="76"/>
      <c r="AE167" s="143"/>
      <c r="AF167" s="143"/>
      <c r="AG167" s="79">
        <f t="shared" si="79"/>
        <v>0</v>
      </c>
      <c r="AH167" s="75"/>
      <c r="AI167" s="76"/>
      <c r="AJ167" s="135"/>
      <c r="AK167" s="135"/>
      <c r="AL167" s="77">
        <f t="shared" si="80"/>
        <v>0</v>
      </c>
      <c r="AM167" s="76"/>
      <c r="AN167" s="142"/>
      <c r="AO167" s="142"/>
      <c r="AP167" s="77">
        <f t="shared" si="81"/>
        <v>0</v>
      </c>
      <c r="AQ167" s="76"/>
      <c r="AR167" s="143"/>
      <c r="AS167" s="143"/>
      <c r="AT167" s="79">
        <f t="shared" si="82"/>
        <v>0</v>
      </c>
      <c r="AU167" s="75"/>
      <c r="AV167" s="76"/>
      <c r="AW167" s="135"/>
      <c r="AX167" s="135"/>
      <c r="AY167" s="77">
        <f t="shared" si="83"/>
        <v>0</v>
      </c>
      <c r="AZ167" s="76"/>
      <c r="BA167" s="142"/>
      <c r="BB167" s="142"/>
      <c r="BC167" s="77">
        <f t="shared" si="84"/>
        <v>0</v>
      </c>
      <c r="BD167" s="76"/>
      <c r="BE167" s="143"/>
      <c r="BF167" s="143"/>
      <c r="BG167" s="79">
        <f t="shared" si="85"/>
        <v>0</v>
      </c>
      <c r="BH167" s="75"/>
      <c r="BI167" s="76"/>
      <c r="BJ167" s="135"/>
      <c r="BK167" s="135"/>
      <c r="BL167" s="77">
        <f t="shared" si="86"/>
        <v>0</v>
      </c>
      <c r="BM167" s="76"/>
      <c r="BN167" s="142"/>
      <c r="BO167" s="142"/>
      <c r="BP167" s="77">
        <f t="shared" si="87"/>
        <v>0</v>
      </c>
      <c r="BQ167" s="76"/>
      <c r="BR167" s="142"/>
      <c r="BS167" s="142"/>
      <c r="BT167" s="79">
        <f t="shared" si="88"/>
        <v>0</v>
      </c>
      <c r="BU167" s="75"/>
      <c r="BV167" s="76"/>
      <c r="BW167" s="135"/>
      <c r="BX167" s="135"/>
      <c r="BY167" s="77">
        <f t="shared" si="89"/>
        <v>0</v>
      </c>
      <c r="BZ167" s="76"/>
      <c r="CA167" s="142"/>
      <c r="CB167" s="142"/>
      <c r="CC167" s="77">
        <f t="shared" si="90"/>
        <v>0</v>
      </c>
      <c r="CD167" s="78"/>
      <c r="CE167" s="142"/>
      <c r="CF167" s="142"/>
      <c r="CG167" s="79">
        <f t="shared" si="91"/>
        <v>0</v>
      </c>
      <c r="CH167" s="75"/>
      <c r="CI167" s="76"/>
      <c r="CJ167" s="135"/>
      <c r="CK167" s="135"/>
      <c r="CL167" s="77">
        <f t="shared" si="92"/>
        <v>0</v>
      </c>
      <c r="CM167" s="78"/>
      <c r="CN167" s="142"/>
      <c r="CO167" s="142"/>
      <c r="CP167" s="77">
        <f t="shared" si="93"/>
        <v>0</v>
      </c>
      <c r="CQ167" s="78"/>
      <c r="CR167" s="142"/>
      <c r="CS167" s="142"/>
      <c r="CT167" s="79">
        <f t="shared" si="94"/>
        <v>0</v>
      </c>
      <c r="CU167" s="80">
        <f t="shared" si="72"/>
        <v>0</v>
      </c>
      <c r="CV167" s="81">
        <f t="shared" si="73"/>
        <v>0</v>
      </c>
      <c r="CW167" s="144"/>
      <c r="CX167" s="145">
        <f>IF(ISERROR(VLOOKUP($A167,FIJOS!$B$11:$O$590,14,FALSE)),0,VLOOKUP($A167,FIJOS!$B$11:$O$590,14,FALSE))</f>
        <v>0</v>
      </c>
      <c r="CY167" s="145">
        <f>IF(ISERROR(VLOOKUP(A167,FIJOS!$B$10:$P$590,15,FALSE)),0,VLOOKUP(A167,FIJOS!$B$10:$P$590,15,FALSE))</f>
        <v>0</v>
      </c>
      <c r="CZ167" s="156"/>
      <c r="DA167" s="146"/>
      <c r="DB167" s="147"/>
      <c r="DC167" s="147"/>
      <c r="DD167" s="147"/>
      <c r="DE167" s="147"/>
      <c r="DF167" s="145">
        <f>IF(ISERROR(VLOOKUP($A167,FIJOS!$B$11:$N$590,13,FALSE)),0,VLOOKUP($A167,FIJOS!$B$11:$N$590,13,FALSE))</f>
        <v>0</v>
      </c>
      <c r="DG167" s="145">
        <f>IF(ISERROR(VLOOKUP($A167,FIJOS!$B$11:$P$447,12,FALSE)),0,VLOOKUP($A167,FIJOS!$B$11:$P$447,12,FALSE))</f>
        <v>0</v>
      </c>
      <c r="DH167" s="82">
        <f t="shared" si="95"/>
        <v>0</v>
      </c>
      <c r="DI167" s="83" t="b">
        <f>IF($C167=1,(VLOOKUP($A167,FIJOS!$B$11:$P$545,10,FALSE)/7)*(7-$CU167),IF(AND($C167=2,CV167&lt;$DJ$1),(VLOOKUP($D167,HORAS!$B$4:$C$42,2,FALSE)*24)*$CV167,IF(AND($C167=2,CV167&gt;=$DJ$1),VLOOKUP($D167,HORAS!$B$4:$D$42,3,FALSE),IF(AND($C167=3,$CV167&gt;=$DJ$1),VLOOKUP($A167,FIJOS!$B$11:$P$545,10,FALSE),IF(AND($C167=3,$CV167&lt;$DJ$1),((VLOOKUP($A167,FIJOS!$B$11:$P$545,10,FALSE)/48)*24)*$CV167,IF(AND($C167=4,$CV167&gt;=(42/24)),VLOOKUP($D167,HORAS!$B$4:$D$42,3,FALSE),IF(AND($C167=5,$CV167&gt;=(36/24)),VLOOKUP($D167,HORAS!$B$4:$D$42,3,FALSE))))))))</f>
        <v>0</v>
      </c>
      <c r="DJ167" s="145">
        <f>IF(OR($C167=2),VLOOKUP($D167,HORAS!$B$4:$E$42,4,FALSE)*$EC167,IF(ISERROR(VLOOKUP($A167,FIJOS!$B$11:$P$108,9,FALSE)),0,VLOOKUP($A167,FIJOS!$B$11:$P$231,9,FALSE)*$EC167))</f>
        <v>0</v>
      </c>
      <c r="DK167" s="145">
        <f>IF(OR($C167=2),VLOOKUP($D167,HORAS!$B$4:$F$42,5,FALSE)*$EE167,IF(ISERROR(VLOOKUP($A167,FIJOS!$B$11:$P$108,9,FALSE)),0,VLOOKUP($A167,FIJOS!$B$11:$P$231,9,FALSE)*$EE167))</f>
        <v>0</v>
      </c>
      <c r="DL167" s="144"/>
      <c r="DM167" s="145">
        <f>IF(ISERROR(VLOOKUP($A167,FIJOS!$B$11:$L$646,11,FALSE)),0,VLOOKUP($A167,FIJOS!$B$11:$L$646,11,FALSE))</f>
        <v>0</v>
      </c>
      <c r="DN167" s="148" t="e">
        <f>IF(OR($C167=1,$C167=3),0,IF((VLOOKUP(CAPTURA!D167,HORAS!$B$4:$K$42,10,FALSE)/4)*COUNTIF($H167:$CT167,3)&gt;100,100,(VLOOKUP(CAPTURA!D167,HORAS!$B$4:$K$42,10,FALSE)/4)*COUNTIF($H167:$CT167,3)))</f>
        <v>#N/A</v>
      </c>
      <c r="DO167" s="144" t="e">
        <f>IF(OR($C167=1,$C167=3),0,IF($C167=5,VLOOKUP(D167,HORAS!$B$4:$G$42,6,FALSE),IF(AND($C167=4,$CV167&gt;=(42/24)),VLOOKUP(D167,HORAS!$B$4:$G$42,6,FALSE),IF(COUNTIF($H167:$CL167,"F")&gt;0,0,IF(CV167&gt;$DJ$1,$DJ$1*(VLOOKUP(D167,HORAS!$B$4:$G$42,6,FALSE)/$DJ$1),CV167*(VLOOKUP(D167,HORAS!$B$4:$G$42,6,FALSE)/$DJ$1))))))</f>
        <v>#N/A</v>
      </c>
      <c r="DP167" s="156"/>
      <c r="DQ167" s="148"/>
      <c r="DR167" s="148"/>
      <c r="DS167" s="83" t="e">
        <f t="shared" si="98"/>
        <v>#N/A</v>
      </c>
      <c r="DT167" s="84"/>
      <c r="DU167" s="149" t="e">
        <f t="shared" si="99"/>
        <v>#N/A</v>
      </c>
      <c r="DV167" s="149" t="e">
        <f t="shared" si="100"/>
        <v>#N/A</v>
      </c>
      <c r="DW167" s="144" t="e">
        <f t="shared" si="101"/>
        <v>#N/A</v>
      </c>
      <c r="DX167" s="134"/>
      <c r="DY167" s="29"/>
      <c r="DZ167" s="150"/>
      <c r="EA167" s="134"/>
      <c r="EB167" s="137">
        <f t="shared" si="102"/>
        <v>0</v>
      </c>
      <c r="EC167" s="138">
        <f t="shared" si="96"/>
        <v>0</v>
      </c>
      <c r="ED167" s="137">
        <f t="shared" si="103"/>
        <v>0</v>
      </c>
      <c r="EE167" s="132">
        <f t="shared" si="97"/>
        <v>0</v>
      </c>
      <c r="EF167" s="29"/>
      <c r="EG167" s="134"/>
      <c r="EH167" s="134"/>
      <c r="EI167" s="134"/>
      <c r="EK167" s="29"/>
    </row>
    <row r="168" spans="1:141" ht="15" customHeight="1" x14ac:dyDescent="0.25">
      <c r="A168" s="140"/>
      <c r="B168" s="161"/>
      <c r="C168" s="72"/>
      <c r="D168" s="73"/>
      <c r="E168" s="73"/>
      <c r="F168" s="141"/>
      <c r="G168" s="74"/>
      <c r="H168" s="75"/>
      <c r="I168" s="76"/>
      <c r="J168" s="135"/>
      <c r="K168" s="135"/>
      <c r="L168" s="77">
        <f t="shared" si="74"/>
        <v>0</v>
      </c>
      <c r="M168" s="78"/>
      <c r="N168" s="142"/>
      <c r="O168" s="142"/>
      <c r="P168" s="77">
        <f t="shared" si="75"/>
        <v>0</v>
      </c>
      <c r="Q168" s="78"/>
      <c r="R168" s="143"/>
      <c r="S168" s="143"/>
      <c r="T168" s="77">
        <f t="shared" si="76"/>
        <v>0</v>
      </c>
      <c r="U168" s="75"/>
      <c r="V168" s="76"/>
      <c r="W168" s="135"/>
      <c r="X168" s="135"/>
      <c r="Y168" s="77">
        <f t="shared" si="77"/>
        <v>0</v>
      </c>
      <c r="Z168" s="78"/>
      <c r="AA168" s="142"/>
      <c r="AB168" s="142"/>
      <c r="AC168" s="77">
        <f t="shared" si="78"/>
        <v>0</v>
      </c>
      <c r="AD168" s="78"/>
      <c r="AE168" s="143"/>
      <c r="AF168" s="143"/>
      <c r="AG168" s="79">
        <f t="shared" si="79"/>
        <v>0</v>
      </c>
      <c r="AH168" s="75"/>
      <c r="AI168" s="76"/>
      <c r="AJ168" s="135"/>
      <c r="AK168" s="135"/>
      <c r="AL168" s="77">
        <f t="shared" si="80"/>
        <v>0</v>
      </c>
      <c r="AM168" s="76"/>
      <c r="AN168" s="142"/>
      <c r="AO168" s="142"/>
      <c r="AP168" s="77">
        <f t="shared" si="81"/>
        <v>0</v>
      </c>
      <c r="AQ168" s="78"/>
      <c r="AR168" s="142"/>
      <c r="AS168" s="142"/>
      <c r="AT168" s="79">
        <f t="shared" si="82"/>
        <v>0</v>
      </c>
      <c r="AU168" s="75"/>
      <c r="AV168" s="76"/>
      <c r="AW168" s="135"/>
      <c r="AX168" s="135"/>
      <c r="AY168" s="77">
        <f t="shared" si="83"/>
        <v>0</v>
      </c>
      <c r="AZ168" s="76"/>
      <c r="BA168" s="142"/>
      <c r="BB168" s="142"/>
      <c r="BC168" s="77">
        <f t="shared" si="84"/>
        <v>0</v>
      </c>
      <c r="BD168" s="78"/>
      <c r="BE168" s="142"/>
      <c r="BF168" s="142"/>
      <c r="BG168" s="79">
        <f t="shared" si="85"/>
        <v>0</v>
      </c>
      <c r="BH168" s="75"/>
      <c r="BI168" s="76"/>
      <c r="BJ168" s="135"/>
      <c r="BK168" s="135"/>
      <c r="BL168" s="77">
        <f t="shared" si="86"/>
        <v>0</v>
      </c>
      <c r="BM168" s="78"/>
      <c r="BN168" s="142"/>
      <c r="BO168" s="142"/>
      <c r="BP168" s="77">
        <f t="shared" si="87"/>
        <v>0</v>
      </c>
      <c r="BQ168" s="78"/>
      <c r="BR168" s="142"/>
      <c r="BS168" s="142"/>
      <c r="BT168" s="79">
        <f t="shared" si="88"/>
        <v>0</v>
      </c>
      <c r="BU168" s="75"/>
      <c r="BV168" s="76"/>
      <c r="BW168" s="135"/>
      <c r="BX168" s="135"/>
      <c r="BY168" s="77">
        <f t="shared" si="89"/>
        <v>0</v>
      </c>
      <c r="BZ168" s="78"/>
      <c r="CA168" s="142"/>
      <c r="CB168" s="142"/>
      <c r="CC168" s="77">
        <f t="shared" si="90"/>
        <v>0</v>
      </c>
      <c r="CD168" s="78"/>
      <c r="CE168" s="142"/>
      <c r="CF168" s="142"/>
      <c r="CG168" s="79">
        <f t="shared" si="91"/>
        <v>0</v>
      </c>
      <c r="CH168" s="75"/>
      <c r="CI168" s="76"/>
      <c r="CJ168" s="135"/>
      <c r="CK168" s="135"/>
      <c r="CL168" s="77">
        <f t="shared" si="92"/>
        <v>0</v>
      </c>
      <c r="CM168" s="78"/>
      <c r="CN168" s="142"/>
      <c r="CO168" s="142"/>
      <c r="CP168" s="77">
        <f t="shared" si="93"/>
        <v>0</v>
      </c>
      <c r="CQ168" s="78"/>
      <c r="CR168" s="142"/>
      <c r="CS168" s="142"/>
      <c r="CT168" s="79">
        <f t="shared" si="94"/>
        <v>0</v>
      </c>
      <c r="CU168" s="80">
        <f t="shared" si="72"/>
        <v>0</v>
      </c>
      <c r="CV168" s="81">
        <f t="shared" si="73"/>
        <v>0</v>
      </c>
      <c r="CW168" s="144"/>
      <c r="CX168" s="145">
        <f>IF(ISERROR(VLOOKUP($A168,FIJOS!$B$11:$O$590,14,FALSE)),0,VLOOKUP($A168,FIJOS!$B$11:$O$590,14,FALSE))</f>
        <v>0</v>
      </c>
      <c r="CY168" s="145">
        <f>IF(ISERROR(VLOOKUP(A168,FIJOS!$B$10:$P$590,15,FALSE)),0,VLOOKUP(A168,FIJOS!$B$10:$P$590,15,FALSE))</f>
        <v>0</v>
      </c>
      <c r="CZ168" s="156"/>
      <c r="DA168" s="146"/>
      <c r="DB168" s="147"/>
      <c r="DC168" s="147"/>
      <c r="DD168" s="147"/>
      <c r="DE168" s="147"/>
      <c r="DF168" s="145">
        <f>IF(ISERROR(VLOOKUP($A168,FIJOS!$B$11:$N$590,13,FALSE)),0,VLOOKUP($A168,FIJOS!$B$11:$N$590,13,FALSE))</f>
        <v>0</v>
      </c>
      <c r="DG168" s="145">
        <f>IF(ISERROR(VLOOKUP($A168,FIJOS!$B$11:$P$447,12,FALSE)),0,VLOOKUP($A168,FIJOS!$B$11:$P$447,12,FALSE))</f>
        <v>0</v>
      </c>
      <c r="DH168" s="82">
        <f t="shared" si="95"/>
        <v>0</v>
      </c>
      <c r="DI168" s="83" t="b">
        <f>IF($C168=1,(VLOOKUP($A168,FIJOS!$B$11:$P$545,10,FALSE)/7)*(7-$CU168),IF(AND($C168=2,CV168&lt;$DJ$1),(VLOOKUP($D168,HORAS!$B$4:$C$42,2,FALSE)*24)*$CV168,IF(AND($C168=2,CV168&gt;=$DJ$1),VLOOKUP($D168,HORAS!$B$4:$D$42,3,FALSE),IF(AND($C168=3,$CV168&gt;=$DJ$1),VLOOKUP($A168,FIJOS!$B$11:$P$545,10,FALSE),IF(AND($C168=3,$CV168&lt;$DJ$1),((VLOOKUP($A168,FIJOS!$B$11:$P$545,10,FALSE)/48)*24)*$CV168,IF(AND($C168=4,$CV168&gt;=(42/24)),VLOOKUP($D168,HORAS!$B$4:$D$42,3,FALSE),IF(AND($C168=5,$CV168&gt;=(36/24)),VLOOKUP($D168,HORAS!$B$4:$D$42,3,FALSE))))))))</f>
        <v>0</v>
      </c>
      <c r="DJ168" s="145">
        <f>IF(OR($C168=2),VLOOKUP($D168,HORAS!$B$4:$E$42,4,FALSE)*$EC168,IF(ISERROR(VLOOKUP($A168,FIJOS!$B$11:$P$108,9,FALSE)),0,VLOOKUP($A168,FIJOS!$B$11:$P$231,9,FALSE)*$EC168))</f>
        <v>0</v>
      </c>
      <c r="DK168" s="145">
        <f>IF(OR($C168=2),VLOOKUP($D168,HORAS!$B$4:$F$42,5,FALSE)*$EE168,IF(ISERROR(VLOOKUP($A168,FIJOS!$B$11:$P$108,9,FALSE)),0,VLOOKUP($A168,FIJOS!$B$11:$P$231,9,FALSE)*$EE168))</f>
        <v>0</v>
      </c>
      <c r="DL168" s="144"/>
      <c r="DM168" s="145">
        <f>IF(ISERROR(VLOOKUP($A168,FIJOS!$B$11:$L$646,11,FALSE)),0,VLOOKUP($A168,FIJOS!$B$11:$L$646,11,FALSE))</f>
        <v>0</v>
      </c>
      <c r="DN168" s="148" t="e">
        <f>IF(OR($C168=1,$C168=3),0,IF((VLOOKUP(CAPTURA!D168,HORAS!$B$4:$K$42,10,FALSE)/4)*COUNTIF($H168:$CT168,3)&gt;100,100,(VLOOKUP(CAPTURA!D168,HORAS!$B$4:$K$42,10,FALSE)/4)*COUNTIF($H168:$CT168,3)))</f>
        <v>#N/A</v>
      </c>
      <c r="DO168" s="144" t="e">
        <f>IF(OR($C168=1,$C168=3),0,IF($C168=5,VLOOKUP(D168,HORAS!$B$4:$G$42,6,FALSE),IF(AND($C168=4,$CV168&gt;=(42/24)),VLOOKUP(D168,HORAS!$B$4:$G$42,6,FALSE),IF(COUNTIF($H168:$CL168,"F")&gt;0,0,IF(CV168&gt;$DJ$1,$DJ$1*(VLOOKUP(D168,HORAS!$B$4:$G$42,6,FALSE)/$DJ$1),CV168*(VLOOKUP(D168,HORAS!$B$4:$G$42,6,FALSE)/$DJ$1))))))</f>
        <v>#N/A</v>
      </c>
      <c r="DP168" s="156"/>
      <c r="DQ168" s="89"/>
      <c r="DR168" s="148"/>
      <c r="DS168" s="83" t="e">
        <f t="shared" si="98"/>
        <v>#N/A</v>
      </c>
      <c r="DT168" s="84"/>
      <c r="DU168" s="149" t="e">
        <f t="shared" si="99"/>
        <v>#N/A</v>
      </c>
      <c r="DV168" s="149" t="e">
        <f t="shared" si="100"/>
        <v>#N/A</v>
      </c>
      <c r="DW168" s="144" t="e">
        <f t="shared" si="101"/>
        <v>#N/A</v>
      </c>
      <c r="DX168" s="134"/>
      <c r="DY168" s="29"/>
      <c r="DZ168" s="150"/>
      <c r="EA168" s="134"/>
      <c r="EB168" s="137">
        <f t="shared" si="102"/>
        <v>0</v>
      </c>
      <c r="EC168" s="138">
        <f t="shared" si="96"/>
        <v>0</v>
      </c>
      <c r="ED168" s="137">
        <f t="shared" si="103"/>
        <v>0</v>
      </c>
      <c r="EE168" s="132">
        <f t="shared" si="97"/>
        <v>0</v>
      </c>
      <c r="EF168" s="29"/>
      <c r="EG168" s="134"/>
      <c r="EH168" s="134"/>
      <c r="EI168" s="134"/>
      <c r="EK168" s="35"/>
    </row>
    <row r="169" spans="1:141" ht="15" customHeight="1" x14ac:dyDescent="0.25">
      <c r="A169" s="140"/>
      <c r="B169" s="151"/>
      <c r="C169" s="72"/>
      <c r="D169" s="73"/>
      <c r="E169" s="73"/>
      <c r="F169" s="141"/>
      <c r="G169" s="74"/>
      <c r="H169" s="75"/>
      <c r="I169" s="76"/>
      <c r="J169" s="135"/>
      <c r="K169" s="135"/>
      <c r="L169" s="77">
        <f t="shared" si="74"/>
        <v>0</v>
      </c>
      <c r="M169" s="78"/>
      <c r="N169" s="142"/>
      <c r="O169" s="142"/>
      <c r="P169" s="77">
        <f t="shared" si="75"/>
        <v>0</v>
      </c>
      <c r="Q169" s="78"/>
      <c r="R169" s="143"/>
      <c r="S169" s="143"/>
      <c r="T169" s="77">
        <f t="shared" si="76"/>
        <v>0</v>
      </c>
      <c r="U169" s="75"/>
      <c r="V169" s="76"/>
      <c r="W169" s="135"/>
      <c r="X169" s="135"/>
      <c r="Y169" s="77">
        <f t="shared" si="77"/>
        <v>0</v>
      </c>
      <c r="Z169" s="78"/>
      <c r="AA169" s="142"/>
      <c r="AB169" s="142"/>
      <c r="AC169" s="77">
        <f t="shared" si="78"/>
        <v>0</v>
      </c>
      <c r="AD169" s="78"/>
      <c r="AE169" s="143"/>
      <c r="AF169" s="143"/>
      <c r="AG169" s="79">
        <f t="shared" si="79"/>
        <v>0</v>
      </c>
      <c r="AH169" s="75"/>
      <c r="AI169" s="76"/>
      <c r="AJ169" s="135"/>
      <c r="AK169" s="135"/>
      <c r="AL169" s="77">
        <f t="shared" si="80"/>
        <v>0</v>
      </c>
      <c r="AM169" s="76"/>
      <c r="AN169" s="142"/>
      <c r="AO169" s="142"/>
      <c r="AP169" s="77">
        <f t="shared" si="81"/>
        <v>0</v>
      </c>
      <c r="AQ169" s="78"/>
      <c r="AR169" s="142"/>
      <c r="AS169" s="142"/>
      <c r="AT169" s="79">
        <f t="shared" si="82"/>
        <v>0</v>
      </c>
      <c r="AU169" s="75"/>
      <c r="AV169" s="76"/>
      <c r="AW169" s="135"/>
      <c r="AX169" s="135"/>
      <c r="AY169" s="77">
        <f t="shared" si="83"/>
        <v>0</v>
      </c>
      <c r="AZ169" s="76"/>
      <c r="BA169" s="142"/>
      <c r="BB169" s="142"/>
      <c r="BC169" s="77">
        <f t="shared" si="84"/>
        <v>0</v>
      </c>
      <c r="BD169" s="78"/>
      <c r="BE169" s="142"/>
      <c r="BF169" s="142"/>
      <c r="BG169" s="79">
        <f t="shared" si="85"/>
        <v>0</v>
      </c>
      <c r="BH169" s="75"/>
      <c r="BI169" s="76"/>
      <c r="BJ169" s="135"/>
      <c r="BK169" s="135"/>
      <c r="BL169" s="77">
        <f t="shared" si="86"/>
        <v>0</v>
      </c>
      <c r="BM169" s="78"/>
      <c r="BN169" s="142"/>
      <c r="BO169" s="142"/>
      <c r="BP169" s="77">
        <f t="shared" si="87"/>
        <v>0</v>
      </c>
      <c r="BQ169" s="78"/>
      <c r="BR169" s="142"/>
      <c r="BS169" s="142"/>
      <c r="BT169" s="79">
        <f t="shared" si="88"/>
        <v>0</v>
      </c>
      <c r="BU169" s="75"/>
      <c r="BV169" s="76"/>
      <c r="BW169" s="135"/>
      <c r="BX169" s="135"/>
      <c r="BY169" s="77">
        <f t="shared" si="89"/>
        <v>0</v>
      </c>
      <c r="BZ169" s="78"/>
      <c r="CA169" s="142"/>
      <c r="CB169" s="142"/>
      <c r="CC169" s="77">
        <f t="shared" si="90"/>
        <v>0</v>
      </c>
      <c r="CD169" s="78"/>
      <c r="CE169" s="85"/>
      <c r="CF169" s="142"/>
      <c r="CG169" s="79">
        <f t="shared" si="91"/>
        <v>0</v>
      </c>
      <c r="CH169" s="75"/>
      <c r="CI169" s="76"/>
      <c r="CJ169" s="135"/>
      <c r="CK169" s="135"/>
      <c r="CL169" s="77">
        <f t="shared" si="92"/>
        <v>0</v>
      </c>
      <c r="CM169" s="78"/>
      <c r="CN169" s="142"/>
      <c r="CO169" s="142"/>
      <c r="CP169" s="77">
        <f t="shared" si="93"/>
        <v>0</v>
      </c>
      <c r="CQ169" s="78"/>
      <c r="CR169" s="142"/>
      <c r="CS169" s="142"/>
      <c r="CT169" s="79">
        <f t="shared" si="94"/>
        <v>0</v>
      </c>
      <c r="CU169" s="80">
        <f t="shared" ref="CU169:CU232" si="104">COUNTIF($H169:$CL169,"F")+COUNTIF($H169:$CL169,"PSG")+COUNTIF($H169:$CL169,"INC")</f>
        <v>0</v>
      </c>
      <c r="CV169" s="81">
        <f t="shared" ref="CV169:CV232" si="105">SUMIFS($J169:$CT169,$J$6:$CT$6,$CV$5)</f>
        <v>0</v>
      </c>
      <c r="CW169" s="144"/>
      <c r="CX169" s="145">
        <f>IF(ISERROR(VLOOKUP($A169,FIJOS!$B$11:$O$590,14,FALSE)),0,VLOOKUP($A169,FIJOS!$B$11:$O$590,14,FALSE))</f>
        <v>0</v>
      </c>
      <c r="CY169" s="145">
        <f>IF(ISERROR(VLOOKUP(A169,FIJOS!$B$10:$P$590,15,FALSE)),0,VLOOKUP(A169,FIJOS!$B$10:$P$590,15,FALSE))</f>
        <v>0</v>
      </c>
      <c r="CZ169" s="156"/>
      <c r="DA169" s="146"/>
      <c r="DB169" s="147"/>
      <c r="DC169" s="147"/>
      <c r="DD169" s="147"/>
      <c r="DE169" s="147"/>
      <c r="DF169" s="145">
        <f>IF(ISERROR(VLOOKUP($A169,FIJOS!$B$11:$N$590,13,FALSE)),0,VLOOKUP($A169,FIJOS!$B$11:$N$590,13,FALSE))</f>
        <v>0</v>
      </c>
      <c r="DG169" s="145">
        <f>IF(ISERROR(VLOOKUP($A169,FIJOS!$B$11:$P$447,12,FALSE)),0,VLOOKUP($A169,FIJOS!$B$11:$P$447,12,FALSE))</f>
        <v>0</v>
      </c>
      <c r="DH169" s="82">
        <f t="shared" si="95"/>
        <v>0</v>
      </c>
      <c r="DI169" s="83" t="b">
        <f>IF($C169=1,(VLOOKUP($A169,FIJOS!$B$11:$P$545,10,FALSE)/7)*(7-$CU169),IF(AND($C169=2,CV169&lt;$DJ$1),(VLOOKUP($D169,HORAS!$B$4:$C$42,2,FALSE)*24)*$CV169,IF(AND($C169=2,CV169&gt;=$DJ$1),VLOOKUP($D169,HORAS!$B$4:$D$42,3,FALSE),IF(AND($C169=3,$CV169&gt;=$DJ$1),VLOOKUP($A169,FIJOS!$B$11:$P$545,10,FALSE),IF(AND($C169=3,$CV169&lt;$DJ$1),((VLOOKUP($A169,FIJOS!$B$11:$P$545,10,FALSE)/48)*24)*$CV169,IF(AND($C169=4,$CV169&gt;=(42/24)),VLOOKUP($D169,HORAS!$B$4:$D$42,3,FALSE),IF(AND($C169=5,$CV169&gt;=(36/24)),VLOOKUP($D169,HORAS!$B$4:$D$42,3,FALSE))))))))</f>
        <v>0</v>
      </c>
      <c r="DJ169" s="145">
        <f>IF(OR($C169=2),VLOOKUP($D169,HORAS!$B$4:$E$42,4,FALSE)*$EC169,IF(ISERROR(VLOOKUP($A169,FIJOS!$B$11:$P$108,9,FALSE)),0,VLOOKUP($A169,FIJOS!$B$11:$P$231,9,FALSE)*$EC169))</f>
        <v>0</v>
      </c>
      <c r="DK169" s="145">
        <f>IF(OR($C169=2),VLOOKUP($D169,HORAS!$B$4:$F$42,5,FALSE)*$EE169,IF(ISERROR(VLOOKUP($A169,FIJOS!$B$11:$P$108,9,FALSE)),0,VLOOKUP($A169,FIJOS!$B$11:$P$231,9,FALSE)*$EE169))</f>
        <v>0</v>
      </c>
      <c r="DL169" s="144"/>
      <c r="DM169" s="145">
        <f>IF(ISERROR(VLOOKUP($A169,FIJOS!$B$11:$L$646,11,FALSE)),0,VLOOKUP($A169,FIJOS!$B$11:$L$646,11,FALSE))</f>
        <v>0</v>
      </c>
      <c r="DN169" s="148" t="e">
        <f>IF(OR($C169=1,$C169=3),0,IF((VLOOKUP(CAPTURA!D169,HORAS!$B$4:$K$42,10,FALSE)/4)*COUNTIF($H169:$CT169,3)&gt;100,100,(VLOOKUP(CAPTURA!D169,HORAS!$B$4:$K$42,10,FALSE)/4)*COUNTIF($H169:$CT169,3)))</f>
        <v>#N/A</v>
      </c>
      <c r="DO169" s="144" t="e">
        <f>IF(OR($C169=1,$C169=3),0,IF($C169=5,VLOOKUP(D169,HORAS!$B$4:$G$42,6,FALSE),IF(AND($C169=4,$CV169&gt;=(42/24)),VLOOKUP(D169,HORAS!$B$4:$G$42,6,FALSE),IF(COUNTIF($H169:$CL169,"F")&gt;0,0,IF(CV169&gt;$DJ$1,$DJ$1*(VLOOKUP(D169,HORAS!$B$4:$G$42,6,FALSE)/$DJ$1),CV169*(VLOOKUP(D169,HORAS!$B$4:$G$42,6,FALSE)/$DJ$1))))))</f>
        <v>#N/A</v>
      </c>
      <c r="DP169" s="156"/>
      <c r="DQ169" s="89"/>
      <c r="DR169" s="148"/>
      <c r="DS169" s="83" t="e">
        <f t="shared" si="98"/>
        <v>#N/A</v>
      </c>
      <c r="DT169" s="84"/>
      <c r="DU169" s="149" t="e">
        <f t="shared" si="99"/>
        <v>#N/A</v>
      </c>
      <c r="DV169" s="149" t="e">
        <f t="shared" si="100"/>
        <v>#N/A</v>
      </c>
      <c r="DW169" s="144" t="e">
        <f t="shared" si="101"/>
        <v>#N/A</v>
      </c>
      <c r="DX169" s="134"/>
      <c r="DY169" s="29"/>
      <c r="DZ169" s="150"/>
      <c r="EA169" s="134"/>
      <c r="EB169" s="137">
        <f t="shared" si="102"/>
        <v>0</v>
      </c>
      <c r="EC169" s="138">
        <f t="shared" si="96"/>
        <v>0</v>
      </c>
      <c r="ED169" s="137">
        <f t="shared" si="103"/>
        <v>0</v>
      </c>
      <c r="EE169" s="132">
        <f t="shared" si="97"/>
        <v>0</v>
      </c>
      <c r="EF169" s="29"/>
      <c r="EG169" s="134"/>
      <c r="EH169" s="134"/>
      <c r="EI169" s="134"/>
      <c r="EK169" s="29"/>
    </row>
    <row r="170" spans="1:141" ht="15" customHeight="1" x14ac:dyDescent="0.25">
      <c r="A170" s="140"/>
      <c r="B170" s="151"/>
      <c r="C170" s="72"/>
      <c r="D170" s="73"/>
      <c r="E170" s="73"/>
      <c r="F170" s="141"/>
      <c r="G170" s="74"/>
      <c r="H170" s="75"/>
      <c r="I170" s="76"/>
      <c r="J170" s="157"/>
      <c r="K170" s="135"/>
      <c r="L170" s="77">
        <f t="shared" si="74"/>
        <v>0</v>
      </c>
      <c r="M170" s="78"/>
      <c r="N170" s="142"/>
      <c r="O170" s="142"/>
      <c r="P170" s="77">
        <f t="shared" si="75"/>
        <v>0</v>
      </c>
      <c r="Q170" s="78"/>
      <c r="R170" s="143"/>
      <c r="S170" s="143"/>
      <c r="T170" s="77">
        <f t="shared" si="76"/>
        <v>0</v>
      </c>
      <c r="U170" s="75"/>
      <c r="V170" s="76"/>
      <c r="W170" s="135"/>
      <c r="X170" s="135"/>
      <c r="Y170" s="77">
        <f t="shared" si="77"/>
        <v>0</v>
      </c>
      <c r="Z170" s="78"/>
      <c r="AA170" s="142"/>
      <c r="AB170" s="142"/>
      <c r="AC170" s="77">
        <f t="shared" si="78"/>
        <v>0</v>
      </c>
      <c r="AD170" s="78"/>
      <c r="AE170" s="143"/>
      <c r="AF170" s="143"/>
      <c r="AG170" s="79">
        <f t="shared" si="79"/>
        <v>0</v>
      </c>
      <c r="AH170" s="75"/>
      <c r="AI170" s="76"/>
      <c r="AJ170" s="135"/>
      <c r="AK170" s="135"/>
      <c r="AL170" s="77">
        <f t="shared" si="80"/>
        <v>0</v>
      </c>
      <c r="AM170" s="76"/>
      <c r="AN170" s="142"/>
      <c r="AO170" s="142"/>
      <c r="AP170" s="77">
        <f t="shared" si="81"/>
        <v>0</v>
      </c>
      <c r="AQ170" s="78"/>
      <c r="AR170" s="142"/>
      <c r="AS170" s="142"/>
      <c r="AT170" s="79">
        <f t="shared" si="82"/>
        <v>0</v>
      </c>
      <c r="AU170" s="75"/>
      <c r="AV170" s="76"/>
      <c r="AW170" s="135"/>
      <c r="AX170" s="135"/>
      <c r="AY170" s="77">
        <f t="shared" si="83"/>
        <v>0</v>
      </c>
      <c r="AZ170" s="76"/>
      <c r="BA170" s="142"/>
      <c r="BB170" s="142"/>
      <c r="BC170" s="77">
        <f t="shared" si="84"/>
        <v>0</v>
      </c>
      <c r="BD170" s="78"/>
      <c r="BE170" s="142"/>
      <c r="BF170" s="142"/>
      <c r="BG170" s="79">
        <f t="shared" si="85"/>
        <v>0</v>
      </c>
      <c r="BH170" s="75"/>
      <c r="BI170" s="76"/>
      <c r="BJ170" s="135"/>
      <c r="BK170" s="135"/>
      <c r="BL170" s="77">
        <f t="shared" si="86"/>
        <v>0</v>
      </c>
      <c r="BM170" s="78"/>
      <c r="BN170" s="142"/>
      <c r="BO170" s="142"/>
      <c r="BP170" s="77">
        <f t="shared" si="87"/>
        <v>0</v>
      </c>
      <c r="BQ170" s="78"/>
      <c r="BR170" s="142"/>
      <c r="BS170" s="142"/>
      <c r="BT170" s="79">
        <f t="shared" si="88"/>
        <v>0</v>
      </c>
      <c r="BU170" s="75"/>
      <c r="BV170" s="76"/>
      <c r="BW170" s="135"/>
      <c r="BX170" s="135"/>
      <c r="BY170" s="77">
        <f t="shared" si="89"/>
        <v>0</v>
      </c>
      <c r="BZ170" s="78"/>
      <c r="CA170" s="159"/>
      <c r="CB170" s="142"/>
      <c r="CC170" s="77">
        <f t="shared" si="90"/>
        <v>0</v>
      </c>
      <c r="CD170" s="78"/>
      <c r="CE170" s="142"/>
      <c r="CF170" s="142"/>
      <c r="CG170" s="79">
        <f t="shared" si="91"/>
        <v>0</v>
      </c>
      <c r="CH170" s="75"/>
      <c r="CI170" s="76"/>
      <c r="CJ170" s="135"/>
      <c r="CK170" s="135"/>
      <c r="CL170" s="77">
        <f t="shared" si="92"/>
        <v>0</v>
      </c>
      <c r="CM170" s="78"/>
      <c r="CN170" s="142"/>
      <c r="CO170" s="142"/>
      <c r="CP170" s="77">
        <f t="shared" si="93"/>
        <v>0</v>
      </c>
      <c r="CQ170" s="78"/>
      <c r="CR170" s="142"/>
      <c r="CS170" s="142"/>
      <c r="CT170" s="79">
        <f t="shared" si="94"/>
        <v>0</v>
      </c>
      <c r="CU170" s="80">
        <f t="shared" si="104"/>
        <v>0</v>
      </c>
      <c r="CV170" s="81">
        <f t="shared" si="105"/>
        <v>0</v>
      </c>
      <c r="CW170" s="144"/>
      <c r="CX170" s="145">
        <f>IF(ISERROR(VLOOKUP($A170,FIJOS!$B$11:$O$590,14,FALSE)),0,VLOOKUP($A170,FIJOS!$B$11:$O$590,14,FALSE))</f>
        <v>0</v>
      </c>
      <c r="CY170" s="145">
        <f>IF(ISERROR(VLOOKUP(A170,FIJOS!$B$10:$P$590,15,FALSE)),0,VLOOKUP(A170,FIJOS!$B$10:$P$590,15,FALSE))</f>
        <v>0</v>
      </c>
      <c r="CZ170" s="156"/>
      <c r="DA170" s="146"/>
      <c r="DB170" s="147"/>
      <c r="DC170" s="147"/>
      <c r="DD170" s="147"/>
      <c r="DE170" s="147"/>
      <c r="DF170" s="145">
        <f>IF(ISERROR(VLOOKUP($A170,FIJOS!$B$11:$N$590,13,FALSE)),0,VLOOKUP($A170,FIJOS!$B$11:$N$590,13,FALSE))</f>
        <v>0</v>
      </c>
      <c r="DG170" s="145">
        <f>IF(ISERROR(VLOOKUP($A170,FIJOS!$B$11:$P$447,12,FALSE)),0,VLOOKUP($A170,FIJOS!$B$11:$P$447,12,FALSE))</f>
        <v>0</v>
      </c>
      <c r="DH170" s="82">
        <f t="shared" si="95"/>
        <v>0</v>
      </c>
      <c r="DI170" s="83" t="b">
        <f>IF($C170=1,(VLOOKUP($A170,FIJOS!$B$11:$P$545,10,FALSE)/7)*(7-$CU170),IF(AND($C170=2,CV170&lt;$DJ$1),(VLOOKUP($D170,HORAS!$B$4:$C$42,2,FALSE)*24)*$CV170,IF(AND($C170=2,CV170&gt;=$DJ$1),VLOOKUP($D170,HORAS!$B$4:$D$42,3,FALSE),IF(AND($C170=3,$CV170&gt;=$DJ$1),VLOOKUP($A170,FIJOS!$B$11:$P$545,10,FALSE),IF(AND($C170=3,$CV170&lt;$DJ$1),((VLOOKUP($A170,FIJOS!$B$11:$P$545,10,FALSE)/48)*24)*$CV170,IF(AND($C170=4,$CV170&gt;=(42/24)),VLOOKUP($D170,HORAS!$B$4:$D$42,3,FALSE),IF(AND($C170=5,$CV170&gt;=(36/24)),VLOOKUP($D170,HORAS!$B$4:$D$42,3,FALSE))))))))</f>
        <v>0</v>
      </c>
      <c r="DJ170" s="145">
        <f>IF(OR($C170=2),VLOOKUP($D170,HORAS!$B$4:$E$42,4,FALSE)*$EC170,IF(ISERROR(VLOOKUP($A170,FIJOS!$B$11:$P$108,9,FALSE)),0,VLOOKUP($A170,FIJOS!$B$11:$P$231,9,FALSE)*$EC170))</f>
        <v>0</v>
      </c>
      <c r="DK170" s="145">
        <f>IF(OR($C170=2),VLOOKUP($D170,HORAS!$B$4:$F$42,5,FALSE)*$EE170,IF(ISERROR(VLOOKUP($A170,FIJOS!$B$11:$P$108,9,FALSE)),0,VLOOKUP($A170,FIJOS!$B$11:$P$231,9,FALSE)*$EE170))</f>
        <v>0</v>
      </c>
      <c r="DL170" s="144"/>
      <c r="DM170" s="145">
        <f>IF(ISERROR(VLOOKUP($A170,FIJOS!$B$11:$L$646,11,FALSE)),0,VLOOKUP($A170,FIJOS!$B$11:$L$646,11,FALSE))</f>
        <v>0</v>
      </c>
      <c r="DN170" s="148" t="e">
        <f>IF(OR($C170=1,$C170=3),0,IF((VLOOKUP(CAPTURA!D170,HORAS!$B$4:$K$42,10,FALSE)/4)*COUNTIF($H170:$CT170,3)&gt;100,100,(VLOOKUP(CAPTURA!D170,HORAS!$B$4:$K$42,10,FALSE)/4)*COUNTIF($H170:$CT170,3)))</f>
        <v>#N/A</v>
      </c>
      <c r="DO170" s="144" t="e">
        <f>IF(OR($C170=1,$C170=3),0,IF($C170=5,VLOOKUP(D170,HORAS!$B$4:$G$42,6,FALSE),IF(AND($C170=4,$CV170&gt;=(42/24)),VLOOKUP(D170,HORAS!$B$4:$G$42,6,FALSE),IF(COUNTIF($H170:$CL170,"F")&gt;0,0,IF(CV170&gt;$DJ$1,$DJ$1*(VLOOKUP(D170,HORAS!$B$4:$G$42,6,FALSE)/$DJ$1),CV170*(VLOOKUP(D170,HORAS!$B$4:$G$42,6,FALSE)/$DJ$1))))))</f>
        <v>#N/A</v>
      </c>
      <c r="DP170" s="156"/>
      <c r="DQ170" s="89"/>
      <c r="DR170" s="148"/>
      <c r="DS170" s="83" t="e">
        <f t="shared" si="98"/>
        <v>#N/A</v>
      </c>
      <c r="DT170" s="84"/>
      <c r="DU170" s="149" t="e">
        <f t="shared" si="99"/>
        <v>#N/A</v>
      </c>
      <c r="DV170" s="149" t="e">
        <f t="shared" si="100"/>
        <v>#N/A</v>
      </c>
      <c r="DW170" s="144" t="e">
        <f t="shared" si="101"/>
        <v>#N/A</v>
      </c>
      <c r="DX170"/>
      <c r="DY170" s="29"/>
      <c r="DZ170" s="150"/>
      <c r="EA170" s="134"/>
      <c r="EB170" s="137">
        <f t="shared" si="102"/>
        <v>0</v>
      </c>
      <c r="EC170" s="138">
        <f t="shared" si="96"/>
        <v>0</v>
      </c>
      <c r="ED170" s="137">
        <f t="shared" si="103"/>
        <v>0</v>
      </c>
      <c r="EE170" s="132">
        <f t="shared" si="97"/>
        <v>0</v>
      </c>
      <c r="EF170" s="29"/>
      <c r="EG170" s="134"/>
      <c r="EH170" s="134"/>
      <c r="EI170" s="134"/>
      <c r="EK170" s="29"/>
    </row>
    <row r="171" spans="1:141" ht="15" customHeight="1" x14ac:dyDescent="0.25">
      <c r="A171" s="140"/>
      <c r="B171" s="5"/>
      <c r="C171" s="72"/>
      <c r="D171" s="73"/>
      <c r="E171" s="73"/>
      <c r="F171" s="141"/>
      <c r="G171" s="74"/>
      <c r="H171" s="75"/>
      <c r="I171" s="76"/>
      <c r="J171" s="135"/>
      <c r="K171" s="135"/>
      <c r="L171" s="77">
        <f t="shared" si="74"/>
        <v>0</v>
      </c>
      <c r="M171" s="78"/>
      <c r="N171" s="142"/>
      <c r="O171" s="142"/>
      <c r="P171" s="77">
        <f t="shared" si="75"/>
        <v>0</v>
      </c>
      <c r="Q171" s="78"/>
      <c r="R171" s="143"/>
      <c r="S171" s="143"/>
      <c r="T171" s="77">
        <f t="shared" si="76"/>
        <v>0</v>
      </c>
      <c r="U171" s="75"/>
      <c r="V171" s="76"/>
      <c r="W171" s="135"/>
      <c r="X171" s="135"/>
      <c r="Y171" s="77">
        <f t="shared" si="77"/>
        <v>0</v>
      </c>
      <c r="Z171" s="78"/>
      <c r="AA171" s="142"/>
      <c r="AB171" s="142"/>
      <c r="AC171" s="77">
        <f t="shared" si="78"/>
        <v>0</v>
      </c>
      <c r="AD171" s="78"/>
      <c r="AE171" s="143"/>
      <c r="AF171" s="143"/>
      <c r="AG171" s="79">
        <f t="shared" si="79"/>
        <v>0</v>
      </c>
      <c r="AH171" s="75"/>
      <c r="AI171" s="76"/>
      <c r="AJ171" s="135"/>
      <c r="AK171" s="135"/>
      <c r="AL171" s="77">
        <f t="shared" si="80"/>
        <v>0</v>
      </c>
      <c r="AM171" s="76"/>
      <c r="AN171" s="142"/>
      <c r="AO171" s="142"/>
      <c r="AP171" s="77">
        <f t="shared" si="81"/>
        <v>0</v>
      </c>
      <c r="AQ171" s="78"/>
      <c r="AR171" s="142"/>
      <c r="AS171" s="142"/>
      <c r="AT171" s="79">
        <f t="shared" si="82"/>
        <v>0</v>
      </c>
      <c r="AU171" s="75"/>
      <c r="AV171" s="76"/>
      <c r="AW171" s="135"/>
      <c r="AX171" s="135"/>
      <c r="AY171" s="77">
        <f t="shared" si="83"/>
        <v>0</v>
      </c>
      <c r="AZ171" s="76"/>
      <c r="BA171" s="142"/>
      <c r="BB171" s="142"/>
      <c r="BC171" s="77">
        <f t="shared" si="84"/>
        <v>0</v>
      </c>
      <c r="BD171" s="78"/>
      <c r="BE171" s="142"/>
      <c r="BF171" s="142"/>
      <c r="BG171" s="79">
        <f t="shared" si="85"/>
        <v>0</v>
      </c>
      <c r="BH171" s="75"/>
      <c r="BI171" s="76"/>
      <c r="BJ171" s="135"/>
      <c r="BK171" s="135"/>
      <c r="BL171" s="77">
        <f t="shared" si="86"/>
        <v>0</v>
      </c>
      <c r="BM171" s="78"/>
      <c r="BN171" s="142"/>
      <c r="BO171" s="142"/>
      <c r="BP171" s="77">
        <f t="shared" si="87"/>
        <v>0</v>
      </c>
      <c r="BQ171" s="78"/>
      <c r="BR171" s="142"/>
      <c r="BS171" s="142"/>
      <c r="BT171" s="79">
        <f t="shared" si="88"/>
        <v>0</v>
      </c>
      <c r="BU171" s="75"/>
      <c r="BV171" s="76"/>
      <c r="BW171" s="135"/>
      <c r="BX171" s="135"/>
      <c r="BY171" s="77">
        <f t="shared" si="89"/>
        <v>0</v>
      </c>
      <c r="BZ171" s="78"/>
      <c r="CA171" s="142"/>
      <c r="CB171" s="142"/>
      <c r="CC171" s="77">
        <f t="shared" si="90"/>
        <v>0</v>
      </c>
      <c r="CD171" s="78"/>
      <c r="CE171" s="142"/>
      <c r="CF171" s="142"/>
      <c r="CG171" s="79">
        <f t="shared" si="91"/>
        <v>0</v>
      </c>
      <c r="CH171" s="75"/>
      <c r="CI171" s="76"/>
      <c r="CJ171" s="135"/>
      <c r="CK171" s="135"/>
      <c r="CL171" s="77">
        <f t="shared" si="92"/>
        <v>0</v>
      </c>
      <c r="CM171" s="78"/>
      <c r="CN171" s="142"/>
      <c r="CO171" s="142"/>
      <c r="CP171" s="77">
        <f t="shared" si="93"/>
        <v>0</v>
      </c>
      <c r="CQ171" s="78"/>
      <c r="CR171" s="142"/>
      <c r="CS171" s="142"/>
      <c r="CT171" s="79">
        <f t="shared" si="94"/>
        <v>0</v>
      </c>
      <c r="CU171" s="80">
        <f t="shared" si="104"/>
        <v>0</v>
      </c>
      <c r="CV171" s="81">
        <f t="shared" si="105"/>
        <v>0</v>
      </c>
      <c r="CW171" s="144"/>
      <c r="CX171" s="145">
        <f>IF(ISERROR(VLOOKUP($A171,FIJOS!$B$11:$O$590,14,FALSE)),0,VLOOKUP($A171,FIJOS!$B$11:$O$590,14,FALSE))</f>
        <v>0</v>
      </c>
      <c r="CY171" s="145">
        <f>IF(ISERROR(VLOOKUP(A171,FIJOS!$B$10:$P$590,15,FALSE)),0,VLOOKUP(A171,FIJOS!$B$10:$P$590,15,FALSE))</f>
        <v>0</v>
      </c>
      <c r="CZ171" s="156"/>
      <c r="DA171" s="146"/>
      <c r="DB171" s="147"/>
      <c r="DC171" s="147"/>
      <c r="DD171" s="147"/>
      <c r="DE171" s="147"/>
      <c r="DF171" s="145">
        <f>IF(ISERROR(VLOOKUP($A171,FIJOS!$B$11:$N$590,13,FALSE)),0,VLOOKUP($A171,FIJOS!$B$11:$N$590,13,FALSE))</f>
        <v>0</v>
      </c>
      <c r="DG171" s="145">
        <f>IF(ISERROR(VLOOKUP($A171,FIJOS!$B$11:$P$447,12,FALSE)),0,VLOOKUP($A171,FIJOS!$B$11:$P$447,12,FALSE))</f>
        <v>0</v>
      </c>
      <c r="DH171" s="82">
        <f t="shared" si="95"/>
        <v>0</v>
      </c>
      <c r="DI171" s="83" t="b">
        <f>IF($C171=1,(VLOOKUP($A171,FIJOS!$B$11:$P$545,10,FALSE)/7)*(7-$CU171),IF(AND($C171=2,CV171&lt;$DJ$1),(VLOOKUP($D171,HORAS!$B$4:$C$42,2,FALSE)*24)*$CV171,IF(AND($C171=2,CV171&gt;=$DJ$1),VLOOKUP($D171,HORAS!$B$4:$D$42,3,FALSE),IF(AND($C171=3,$CV171&gt;=$DJ$1),VLOOKUP($A171,FIJOS!$B$11:$P$545,10,FALSE),IF(AND($C171=3,$CV171&lt;$DJ$1),((VLOOKUP($A171,FIJOS!$B$11:$P$545,10,FALSE)/48)*24)*$CV171,IF(AND($C171=4,$CV171&gt;=(42/24)),VLOOKUP($D171,HORAS!$B$4:$D$42,3,FALSE),IF(AND($C171=5,$CV171&gt;=(36/24)),VLOOKUP($D171,HORAS!$B$4:$D$42,3,FALSE))))))))</f>
        <v>0</v>
      </c>
      <c r="DJ171" s="145">
        <f>IF(OR($C171=2),VLOOKUP($D171,HORAS!$B$4:$E$42,4,FALSE)*$EC171,IF(ISERROR(VLOOKUP($A171,FIJOS!$B$11:$P$108,9,FALSE)),0,VLOOKUP($A171,FIJOS!$B$11:$P$231,9,FALSE)*$EC171))</f>
        <v>0</v>
      </c>
      <c r="DK171" s="145">
        <f>IF(OR($C171=2),VLOOKUP($D171,HORAS!$B$4:$F$42,5,FALSE)*$EE171,IF(ISERROR(VLOOKUP($A171,FIJOS!$B$11:$P$108,9,FALSE)),0,VLOOKUP($A171,FIJOS!$B$11:$P$231,9,FALSE)*$EE171))</f>
        <v>0</v>
      </c>
      <c r="DL171" s="144"/>
      <c r="DM171" s="145">
        <f>IF(ISERROR(VLOOKUP($A171,FIJOS!$B$11:$L$646,11,FALSE)),0,VLOOKUP($A171,FIJOS!$B$11:$L$646,11,FALSE))</f>
        <v>0</v>
      </c>
      <c r="DN171" s="148" t="e">
        <f>IF(OR($C171=1,$C171=3),0,IF((VLOOKUP(CAPTURA!D171,HORAS!$B$4:$K$42,10,FALSE)/4)*COUNTIF($H171:$CT171,3)&gt;100,100,(VLOOKUP(CAPTURA!D171,HORAS!$B$4:$K$42,10,FALSE)/4)*COUNTIF($H171:$CT171,3)))</f>
        <v>#N/A</v>
      </c>
      <c r="DO171" s="144" t="e">
        <f>IF(OR($C171=1,$C171=3),0,IF($C171=5,VLOOKUP(D171,HORAS!$B$4:$G$42,6,FALSE),IF(AND($C171=4,$CV171&gt;=(42/24)),VLOOKUP(D171,HORAS!$B$4:$G$42,6,FALSE),IF(COUNTIF($H171:$CL171,"F")&gt;0,0,IF(CV171&gt;$DJ$1,$DJ$1*(VLOOKUP(D171,HORAS!$B$4:$G$42,6,FALSE)/$DJ$1),CV171*(VLOOKUP(D171,HORAS!$B$4:$G$42,6,FALSE)/$DJ$1))))))</f>
        <v>#N/A</v>
      </c>
      <c r="DP171" s="156"/>
      <c r="DQ171" s="89"/>
      <c r="DR171" s="148"/>
      <c r="DS171" s="83" t="e">
        <f t="shared" si="98"/>
        <v>#N/A</v>
      </c>
      <c r="DT171" s="84"/>
      <c r="DU171" s="149" t="e">
        <f t="shared" si="99"/>
        <v>#N/A</v>
      </c>
      <c r="DV171" s="149" t="e">
        <f t="shared" si="100"/>
        <v>#N/A</v>
      </c>
      <c r="DW171" s="144" t="e">
        <f t="shared" si="101"/>
        <v>#N/A</v>
      </c>
      <c r="DX171" s="134"/>
      <c r="DY171" s="29"/>
      <c r="DZ171" s="150"/>
      <c r="EA171" s="134"/>
      <c r="EB171" s="137">
        <f t="shared" si="102"/>
        <v>0</v>
      </c>
      <c r="EC171" s="138">
        <f t="shared" si="96"/>
        <v>0</v>
      </c>
      <c r="ED171" s="137">
        <f t="shared" si="103"/>
        <v>0</v>
      </c>
      <c r="EE171" s="132">
        <f t="shared" si="97"/>
        <v>0</v>
      </c>
      <c r="EF171" s="29"/>
      <c r="EG171" s="134"/>
      <c r="EH171" s="134"/>
      <c r="EI171" s="134"/>
      <c r="EK171" s="29"/>
    </row>
    <row r="172" spans="1:141" ht="15" customHeight="1" x14ac:dyDescent="0.25">
      <c r="A172" s="140"/>
      <c r="B172" s="151"/>
      <c r="C172" s="72"/>
      <c r="D172" s="73"/>
      <c r="E172" s="73"/>
      <c r="F172" s="141"/>
      <c r="G172" s="74"/>
      <c r="H172" s="75"/>
      <c r="I172" s="76"/>
      <c r="J172" s="135"/>
      <c r="K172" s="135"/>
      <c r="L172" s="77">
        <f t="shared" si="74"/>
        <v>0</v>
      </c>
      <c r="M172" s="78"/>
      <c r="N172" s="142"/>
      <c r="O172" s="142"/>
      <c r="P172" s="77">
        <f t="shared" si="75"/>
        <v>0</v>
      </c>
      <c r="Q172" s="78"/>
      <c r="R172" s="143"/>
      <c r="S172" s="143"/>
      <c r="T172" s="77">
        <f t="shared" si="76"/>
        <v>0</v>
      </c>
      <c r="U172" s="75"/>
      <c r="V172" s="76"/>
      <c r="W172" s="135"/>
      <c r="X172" s="135"/>
      <c r="Y172" s="77">
        <f t="shared" si="77"/>
        <v>0</v>
      </c>
      <c r="Z172" s="78"/>
      <c r="AA172" s="142"/>
      <c r="AB172" s="142"/>
      <c r="AC172" s="77">
        <f t="shared" si="78"/>
        <v>0</v>
      </c>
      <c r="AD172" s="78"/>
      <c r="AE172" s="143"/>
      <c r="AF172" s="143"/>
      <c r="AG172" s="79">
        <f t="shared" si="79"/>
        <v>0</v>
      </c>
      <c r="AH172" s="75"/>
      <c r="AI172" s="76"/>
      <c r="AJ172" s="135"/>
      <c r="AK172" s="135"/>
      <c r="AL172" s="77">
        <f t="shared" si="80"/>
        <v>0</v>
      </c>
      <c r="AM172" s="76"/>
      <c r="AN172" s="142"/>
      <c r="AO172" s="142"/>
      <c r="AP172" s="77">
        <f t="shared" si="81"/>
        <v>0</v>
      </c>
      <c r="AQ172" s="78"/>
      <c r="AR172" s="142"/>
      <c r="AS172" s="142"/>
      <c r="AT172" s="79">
        <f t="shared" si="82"/>
        <v>0</v>
      </c>
      <c r="AU172" s="75"/>
      <c r="AV172" s="76"/>
      <c r="AW172" s="135"/>
      <c r="AX172" s="135"/>
      <c r="AY172" s="77">
        <f t="shared" si="83"/>
        <v>0</v>
      </c>
      <c r="AZ172" s="76"/>
      <c r="BA172" s="142"/>
      <c r="BB172" s="142"/>
      <c r="BC172" s="77">
        <f t="shared" si="84"/>
        <v>0</v>
      </c>
      <c r="BD172" s="78"/>
      <c r="BE172" s="142"/>
      <c r="BF172" s="142"/>
      <c r="BG172" s="79">
        <f t="shared" si="85"/>
        <v>0</v>
      </c>
      <c r="BH172" s="75"/>
      <c r="BI172" s="76"/>
      <c r="BJ172" s="135"/>
      <c r="BK172" s="135"/>
      <c r="BL172" s="77">
        <f t="shared" si="86"/>
        <v>0</v>
      </c>
      <c r="BM172" s="78"/>
      <c r="BN172" s="142"/>
      <c r="BO172" s="142"/>
      <c r="BP172" s="77">
        <f t="shared" si="87"/>
        <v>0</v>
      </c>
      <c r="BQ172" s="78"/>
      <c r="BR172" s="142"/>
      <c r="BS172" s="142"/>
      <c r="BT172" s="79">
        <f t="shared" si="88"/>
        <v>0</v>
      </c>
      <c r="BU172" s="75"/>
      <c r="BV172" s="76"/>
      <c r="BW172" s="135"/>
      <c r="BX172" s="135"/>
      <c r="BY172" s="77">
        <f t="shared" si="89"/>
        <v>0</v>
      </c>
      <c r="BZ172" s="78"/>
      <c r="CA172" s="142"/>
      <c r="CB172" s="142"/>
      <c r="CC172" s="77">
        <f t="shared" si="90"/>
        <v>0</v>
      </c>
      <c r="CD172" s="78"/>
      <c r="CE172" s="142"/>
      <c r="CF172" s="142"/>
      <c r="CG172" s="79">
        <f t="shared" si="91"/>
        <v>0</v>
      </c>
      <c r="CH172" s="75"/>
      <c r="CI172" s="76"/>
      <c r="CJ172" s="135"/>
      <c r="CK172" s="135"/>
      <c r="CL172" s="77">
        <f t="shared" si="92"/>
        <v>0</v>
      </c>
      <c r="CM172" s="78"/>
      <c r="CN172" s="142"/>
      <c r="CO172" s="142"/>
      <c r="CP172" s="77">
        <f t="shared" si="93"/>
        <v>0</v>
      </c>
      <c r="CQ172" s="78"/>
      <c r="CR172" s="142"/>
      <c r="CS172" s="142"/>
      <c r="CT172" s="79">
        <f t="shared" si="94"/>
        <v>0</v>
      </c>
      <c r="CU172" s="80">
        <f t="shared" si="104"/>
        <v>0</v>
      </c>
      <c r="CV172" s="81">
        <f t="shared" si="105"/>
        <v>0</v>
      </c>
      <c r="CW172" s="144"/>
      <c r="CX172" s="145">
        <f>IF(ISERROR(VLOOKUP($A172,FIJOS!$B$11:$O$590,14,FALSE)),0,VLOOKUP($A172,FIJOS!$B$11:$O$590,14,FALSE))</f>
        <v>0</v>
      </c>
      <c r="CY172" s="145">
        <f>IF(ISERROR(VLOOKUP(A172,FIJOS!$B$10:$P$590,15,FALSE)),0,VLOOKUP(A172,FIJOS!$B$10:$P$590,15,FALSE))</f>
        <v>0</v>
      </c>
      <c r="CZ172" s="156"/>
      <c r="DA172" s="146"/>
      <c r="DB172" s="147"/>
      <c r="DC172" s="147"/>
      <c r="DD172" s="147"/>
      <c r="DE172" s="147"/>
      <c r="DF172" s="145">
        <f>IF(ISERROR(VLOOKUP($A172,FIJOS!$B$11:$N$590,13,FALSE)),0,VLOOKUP($A172,FIJOS!$B$11:$N$590,13,FALSE))</f>
        <v>0</v>
      </c>
      <c r="DG172" s="145">
        <f>IF(ISERROR(VLOOKUP($A172,FIJOS!$B$11:$P$447,12,FALSE)),0,VLOOKUP($A172,FIJOS!$B$11:$P$447,12,FALSE))</f>
        <v>0</v>
      </c>
      <c r="DH172" s="82">
        <f t="shared" si="95"/>
        <v>0</v>
      </c>
      <c r="DI172" s="83" t="b">
        <f>IF($C172=1,(VLOOKUP($A172,FIJOS!$B$11:$P$545,10,FALSE)/7)*(7-$CU172),IF(AND($C172=2,CV172&lt;$DJ$1),(VLOOKUP($D172,HORAS!$B$4:$C$42,2,FALSE)*24)*$CV172,IF(AND($C172=2,CV172&gt;=$DJ$1),VLOOKUP($D172,HORAS!$B$4:$D$42,3,FALSE),IF(AND($C172=3,$CV172&gt;=$DJ$1),VLOOKUP($A172,FIJOS!$B$11:$P$545,10,FALSE),IF(AND($C172=3,$CV172&lt;$DJ$1),((VLOOKUP($A172,FIJOS!$B$11:$P$545,10,FALSE)/48)*24)*$CV172,IF(AND($C172=4,$CV172&gt;=(42/24)),VLOOKUP($D172,HORAS!$B$4:$D$42,3,FALSE),IF(AND($C172=5,$CV172&gt;=(36/24)),VLOOKUP($D172,HORAS!$B$4:$D$42,3,FALSE))))))))</f>
        <v>0</v>
      </c>
      <c r="DJ172" s="145">
        <f>IF(OR($C172=2),VLOOKUP($D172,HORAS!$B$4:$E$42,4,FALSE)*$EC172,IF(ISERROR(VLOOKUP($A172,FIJOS!$B$11:$P$108,9,FALSE)),0,VLOOKUP($A172,FIJOS!$B$11:$P$231,9,FALSE)*$EC172))</f>
        <v>0</v>
      </c>
      <c r="DK172" s="145">
        <f>IF(OR($C172=2),VLOOKUP($D172,HORAS!$B$4:$F$42,5,FALSE)*$EE172,IF(ISERROR(VLOOKUP($A172,FIJOS!$B$11:$P$108,9,FALSE)),0,VLOOKUP($A172,FIJOS!$B$11:$P$231,9,FALSE)*$EE172))</f>
        <v>0</v>
      </c>
      <c r="DL172" s="144"/>
      <c r="DM172" s="145">
        <f>IF(ISERROR(VLOOKUP($A172,FIJOS!$B$11:$L$646,11,FALSE)),0,VLOOKUP($A172,FIJOS!$B$11:$L$646,11,FALSE))</f>
        <v>0</v>
      </c>
      <c r="DN172" s="148" t="e">
        <f>IF(OR($C172=1,$C172=3),0,IF((VLOOKUP(CAPTURA!D172,HORAS!$B$4:$K$42,10,FALSE)/4)*COUNTIF($H172:$CT172,3)&gt;100,100,(VLOOKUP(CAPTURA!D172,HORAS!$B$4:$K$42,10,FALSE)/4)*COUNTIF($H172:$CT172,3)))</f>
        <v>#N/A</v>
      </c>
      <c r="DO172" s="144" t="e">
        <f>IF(OR($C172=1,$C172=3),0,IF($C172=5,VLOOKUP(D172,HORAS!$B$4:$G$42,6,FALSE),IF(AND($C172=4,$CV172&gt;=(42/24)),VLOOKUP(D172,HORAS!$B$4:$G$42,6,FALSE),IF(COUNTIF($H172:$CL172,"F")&gt;0,0,IF(CV172&gt;$DJ$1,$DJ$1*(VLOOKUP(D172,HORAS!$B$4:$G$42,6,FALSE)/$DJ$1),CV172*(VLOOKUP(D172,HORAS!$B$4:$G$42,6,FALSE)/$DJ$1))))))</f>
        <v>#N/A</v>
      </c>
      <c r="DP172" s="156"/>
      <c r="DQ172" s="89"/>
      <c r="DR172" s="148"/>
      <c r="DS172" s="83" t="e">
        <f t="shared" si="98"/>
        <v>#N/A</v>
      </c>
      <c r="DT172" s="84"/>
      <c r="DU172" s="149" t="e">
        <f t="shared" si="99"/>
        <v>#N/A</v>
      </c>
      <c r="DV172" s="149" t="e">
        <f t="shared" si="100"/>
        <v>#N/A</v>
      </c>
      <c r="DW172" s="144" t="e">
        <f t="shared" si="101"/>
        <v>#N/A</v>
      </c>
      <c r="DX172" s="134"/>
      <c r="DY172" s="29"/>
      <c r="DZ172" s="150"/>
      <c r="EA172" s="134"/>
      <c r="EB172" s="137">
        <f t="shared" si="102"/>
        <v>0</v>
      </c>
      <c r="EC172" s="138">
        <f t="shared" si="96"/>
        <v>0</v>
      </c>
      <c r="ED172" s="137">
        <f t="shared" si="103"/>
        <v>0</v>
      </c>
      <c r="EE172" s="132">
        <f t="shared" si="97"/>
        <v>0</v>
      </c>
      <c r="EF172" s="29"/>
      <c r="EG172" s="134"/>
      <c r="EH172" s="134"/>
      <c r="EI172" s="134"/>
      <c r="EK172" s="29"/>
    </row>
    <row r="173" spans="1:141" ht="15" customHeight="1" x14ac:dyDescent="0.25">
      <c r="A173" s="140"/>
      <c r="B173" s="151"/>
      <c r="C173" s="72"/>
      <c r="D173" s="73"/>
      <c r="E173" s="73"/>
      <c r="F173" s="141"/>
      <c r="G173" s="74"/>
      <c r="H173" s="75"/>
      <c r="I173" s="76"/>
      <c r="J173" s="135"/>
      <c r="K173" s="135"/>
      <c r="L173" s="77">
        <f t="shared" si="74"/>
        <v>0</v>
      </c>
      <c r="M173" s="78"/>
      <c r="N173" s="142"/>
      <c r="O173" s="142"/>
      <c r="P173" s="77">
        <f t="shared" si="75"/>
        <v>0</v>
      </c>
      <c r="Q173" s="78"/>
      <c r="R173" s="143"/>
      <c r="S173" s="143"/>
      <c r="T173" s="77">
        <f t="shared" si="76"/>
        <v>0</v>
      </c>
      <c r="U173" s="75"/>
      <c r="V173" s="76"/>
      <c r="W173" s="135"/>
      <c r="X173" s="135"/>
      <c r="Y173" s="77">
        <f t="shared" si="77"/>
        <v>0</v>
      </c>
      <c r="Z173" s="78"/>
      <c r="AA173" s="142"/>
      <c r="AB173" s="142"/>
      <c r="AC173" s="77">
        <f t="shared" si="78"/>
        <v>0</v>
      </c>
      <c r="AD173" s="78"/>
      <c r="AE173" s="143"/>
      <c r="AF173" s="143"/>
      <c r="AG173" s="79">
        <f t="shared" si="79"/>
        <v>0</v>
      </c>
      <c r="AH173" s="75"/>
      <c r="AI173" s="76"/>
      <c r="AJ173" s="135"/>
      <c r="AK173" s="135"/>
      <c r="AL173" s="77">
        <f t="shared" si="80"/>
        <v>0</v>
      </c>
      <c r="AM173" s="76"/>
      <c r="AN173" s="142"/>
      <c r="AO173" s="142"/>
      <c r="AP173" s="77">
        <f t="shared" si="81"/>
        <v>0</v>
      </c>
      <c r="AQ173" s="78"/>
      <c r="AR173" s="142"/>
      <c r="AS173" s="142"/>
      <c r="AT173" s="79">
        <f t="shared" si="82"/>
        <v>0</v>
      </c>
      <c r="AU173" s="75"/>
      <c r="AV173" s="76"/>
      <c r="AW173" s="135"/>
      <c r="AX173" s="135"/>
      <c r="AY173" s="77">
        <f t="shared" si="83"/>
        <v>0</v>
      </c>
      <c r="AZ173" s="76"/>
      <c r="BA173" s="142"/>
      <c r="BB173" s="159"/>
      <c r="BC173" s="77">
        <f t="shared" si="84"/>
        <v>0</v>
      </c>
      <c r="BD173" s="78"/>
      <c r="BE173" s="142"/>
      <c r="BF173" s="142"/>
      <c r="BG173" s="79">
        <f t="shared" si="85"/>
        <v>0</v>
      </c>
      <c r="BH173" s="75"/>
      <c r="BI173" s="76"/>
      <c r="BJ173" s="135"/>
      <c r="BK173" s="135"/>
      <c r="BL173" s="77">
        <f t="shared" si="86"/>
        <v>0</v>
      </c>
      <c r="BM173" s="78"/>
      <c r="BN173" s="142"/>
      <c r="BO173" s="142"/>
      <c r="BP173" s="77">
        <f t="shared" si="87"/>
        <v>0</v>
      </c>
      <c r="BQ173" s="78"/>
      <c r="BR173" s="142"/>
      <c r="BS173" s="142"/>
      <c r="BT173" s="79">
        <f t="shared" si="88"/>
        <v>0</v>
      </c>
      <c r="BU173" s="75"/>
      <c r="BV173" s="76"/>
      <c r="BW173" s="135"/>
      <c r="BX173" s="135"/>
      <c r="BY173" s="77">
        <f t="shared" si="89"/>
        <v>0</v>
      </c>
      <c r="BZ173" s="78"/>
      <c r="CA173" s="142"/>
      <c r="CB173" s="142"/>
      <c r="CC173" s="77">
        <f t="shared" si="90"/>
        <v>0</v>
      </c>
      <c r="CD173" s="78"/>
      <c r="CE173" s="142"/>
      <c r="CF173" s="142"/>
      <c r="CG173" s="79">
        <f t="shared" si="91"/>
        <v>0</v>
      </c>
      <c r="CH173" s="75"/>
      <c r="CI173" s="76"/>
      <c r="CJ173" s="135"/>
      <c r="CK173" s="135"/>
      <c r="CL173" s="77">
        <f t="shared" si="92"/>
        <v>0</v>
      </c>
      <c r="CM173" s="78"/>
      <c r="CN173" s="142"/>
      <c r="CO173" s="142"/>
      <c r="CP173" s="77">
        <f t="shared" si="93"/>
        <v>0</v>
      </c>
      <c r="CQ173" s="78"/>
      <c r="CR173" s="142"/>
      <c r="CS173" s="142"/>
      <c r="CT173" s="79">
        <f t="shared" si="94"/>
        <v>0</v>
      </c>
      <c r="CU173" s="80">
        <f t="shared" si="104"/>
        <v>0</v>
      </c>
      <c r="CV173" s="81">
        <f t="shared" si="105"/>
        <v>0</v>
      </c>
      <c r="CW173" s="144"/>
      <c r="CX173" s="145">
        <f>IF(ISERROR(VLOOKUP($A173,FIJOS!$B$11:$O$590,14,FALSE)),0,VLOOKUP($A173,FIJOS!$B$11:$O$590,14,FALSE))</f>
        <v>0</v>
      </c>
      <c r="CY173" s="145">
        <f>IF(ISERROR(VLOOKUP(A173,FIJOS!$B$10:$P$590,15,FALSE)),0,VLOOKUP(A173,FIJOS!$B$10:$P$590,15,FALSE))</f>
        <v>0</v>
      </c>
      <c r="CZ173" s="156"/>
      <c r="DA173" s="146"/>
      <c r="DB173" s="147"/>
      <c r="DC173" s="147"/>
      <c r="DD173" s="147"/>
      <c r="DE173" s="147"/>
      <c r="DF173" s="145">
        <f>IF(ISERROR(VLOOKUP($A173,FIJOS!$B$11:$N$590,13,FALSE)),0,VLOOKUP($A173,FIJOS!$B$11:$N$590,13,FALSE))</f>
        <v>0</v>
      </c>
      <c r="DG173" s="145">
        <f>IF(ISERROR(VLOOKUP($A173,FIJOS!$B$11:$P$447,12,FALSE)),0,VLOOKUP($A173,FIJOS!$B$11:$P$447,12,FALSE))</f>
        <v>0</v>
      </c>
      <c r="DH173" s="82">
        <f t="shared" si="95"/>
        <v>0</v>
      </c>
      <c r="DI173" s="83" t="b">
        <f>IF($C173=1,(VLOOKUP($A173,FIJOS!$B$11:$P$545,10,FALSE)/7)*(7-$CU173),IF(AND($C173=2,CV173&lt;$DJ$1),(VLOOKUP($D173,HORAS!$B$4:$C$42,2,FALSE)*24)*$CV173,IF(AND($C173=2,CV173&gt;=$DJ$1),VLOOKUP($D173,HORAS!$B$4:$D$42,3,FALSE),IF(AND($C173=3,$CV173&gt;=$DJ$1),VLOOKUP($A173,FIJOS!$B$11:$P$545,10,FALSE),IF(AND($C173=3,$CV173&lt;$DJ$1),((VLOOKUP($A173,FIJOS!$B$11:$P$545,10,FALSE)/48)*24)*$CV173,IF(AND($C173=4,$CV173&gt;=(42/24)),VLOOKUP($D173,HORAS!$B$4:$D$42,3,FALSE),IF(AND($C173=5,$CV173&gt;=(36/24)),VLOOKUP($D173,HORAS!$B$4:$D$42,3,FALSE))))))))</f>
        <v>0</v>
      </c>
      <c r="DJ173" s="145">
        <f>IF(OR($C173=2),VLOOKUP($D173,HORAS!$B$4:$E$42,4,FALSE)*$EC173,IF(ISERROR(VLOOKUP($A173,FIJOS!$B$11:$P$108,9,FALSE)),0,VLOOKUP($A173,FIJOS!$B$11:$P$231,9,FALSE)*$EC173))</f>
        <v>0</v>
      </c>
      <c r="DK173" s="145">
        <f>IF(OR($C173=2),VLOOKUP($D173,HORAS!$B$4:$F$42,5,FALSE)*$EE173,IF(ISERROR(VLOOKUP($A173,FIJOS!$B$11:$P$108,9,FALSE)),0,VLOOKUP($A173,FIJOS!$B$11:$P$231,9,FALSE)*$EE173))</f>
        <v>0</v>
      </c>
      <c r="DL173" s="144"/>
      <c r="DM173" s="145">
        <f>IF(ISERROR(VLOOKUP($A173,FIJOS!$B$11:$L$646,11,FALSE)),0,VLOOKUP($A173,FIJOS!$B$11:$L$646,11,FALSE))</f>
        <v>0</v>
      </c>
      <c r="DN173" s="148" t="e">
        <f>IF(OR($C173=1,$C173=3),0,IF((VLOOKUP(CAPTURA!D173,HORAS!$B$4:$K$42,10,FALSE)/4)*COUNTIF($H173:$CT173,3)&gt;100,100,(VLOOKUP(CAPTURA!D173,HORAS!$B$4:$K$42,10,FALSE)/4)*COUNTIF($H173:$CT173,3)))</f>
        <v>#N/A</v>
      </c>
      <c r="DO173" s="144" t="e">
        <f>IF(OR($C173=1,$C173=3),0,IF($C173=5,VLOOKUP(D173,HORAS!$B$4:$G$42,6,FALSE),IF(AND($C173=4,$CV173&gt;=(42/24)),VLOOKUP(D173,HORAS!$B$4:$G$42,6,FALSE),IF(COUNTIF($H173:$CL173,"F")&gt;0,0,IF(CV173&gt;$DJ$1,$DJ$1*(VLOOKUP(D173,HORAS!$B$4:$G$42,6,FALSE)/$DJ$1),CV173*(VLOOKUP(D173,HORAS!$B$4:$G$42,6,FALSE)/$DJ$1))))))</f>
        <v>#N/A</v>
      </c>
      <c r="DP173" s="156"/>
      <c r="DQ173" s="89"/>
      <c r="DR173" s="148"/>
      <c r="DS173" s="83" t="e">
        <f t="shared" si="98"/>
        <v>#N/A</v>
      </c>
      <c r="DT173" s="84"/>
      <c r="DU173" s="149" t="e">
        <f t="shared" si="99"/>
        <v>#N/A</v>
      </c>
      <c r="DV173" s="149" t="e">
        <f t="shared" si="100"/>
        <v>#N/A</v>
      </c>
      <c r="DW173" s="144" t="e">
        <f t="shared" si="101"/>
        <v>#N/A</v>
      </c>
      <c r="DX173" s="134"/>
      <c r="DY173" s="29"/>
      <c r="DZ173" s="150"/>
      <c r="EA173" s="134"/>
      <c r="EB173" s="137">
        <f t="shared" si="102"/>
        <v>0</v>
      </c>
      <c r="EC173" s="138">
        <f t="shared" si="96"/>
        <v>0</v>
      </c>
      <c r="ED173" s="137">
        <f t="shared" si="103"/>
        <v>0</v>
      </c>
      <c r="EE173" s="132">
        <f t="shared" si="97"/>
        <v>0</v>
      </c>
      <c r="EF173" s="29"/>
      <c r="EG173" s="134"/>
      <c r="EH173" s="134"/>
      <c r="EI173" s="134"/>
      <c r="EK173" s="29"/>
    </row>
    <row r="174" spans="1:141" ht="15" customHeight="1" x14ac:dyDescent="0.25">
      <c r="A174" s="140"/>
      <c r="B174" s="5"/>
      <c r="C174" s="72"/>
      <c r="D174" s="73"/>
      <c r="E174" s="73"/>
      <c r="F174" s="141"/>
      <c r="G174" s="74"/>
      <c r="H174" s="75"/>
      <c r="I174" s="76"/>
      <c r="J174" s="135"/>
      <c r="K174" s="135"/>
      <c r="L174" s="77">
        <f t="shared" si="74"/>
        <v>0</v>
      </c>
      <c r="M174" s="78"/>
      <c r="N174" s="142"/>
      <c r="O174" s="142"/>
      <c r="P174" s="77">
        <f t="shared" si="75"/>
        <v>0</v>
      </c>
      <c r="Q174" s="78"/>
      <c r="R174" s="143"/>
      <c r="S174" s="143"/>
      <c r="T174" s="77">
        <f t="shared" si="76"/>
        <v>0</v>
      </c>
      <c r="U174" s="75"/>
      <c r="V174" s="76"/>
      <c r="W174" s="135"/>
      <c r="X174" s="135"/>
      <c r="Y174" s="77">
        <f t="shared" si="77"/>
        <v>0</v>
      </c>
      <c r="Z174" s="78"/>
      <c r="AA174" s="142"/>
      <c r="AB174" s="142"/>
      <c r="AC174" s="77">
        <f t="shared" si="78"/>
        <v>0</v>
      </c>
      <c r="AD174" s="78"/>
      <c r="AE174" s="143"/>
      <c r="AF174" s="143"/>
      <c r="AG174" s="79">
        <f t="shared" si="79"/>
        <v>0</v>
      </c>
      <c r="AH174" s="75"/>
      <c r="AI174" s="76"/>
      <c r="AJ174" s="135"/>
      <c r="AK174" s="135"/>
      <c r="AL174" s="77">
        <f t="shared" si="80"/>
        <v>0</v>
      </c>
      <c r="AM174" s="76"/>
      <c r="AN174" s="142"/>
      <c r="AO174" s="142"/>
      <c r="AP174" s="77">
        <f t="shared" si="81"/>
        <v>0</v>
      </c>
      <c r="AQ174" s="78"/>
      <c r="AR174" s="142"/>
      <c r="AS174" s="142"/>
      <c r="AT174" s="79">
        <f t="shared" si="82"/>
        <v>0</v>
      </c>
      <c r="AU174" s="75"/>
      <c r="AV174" s="76"/>
      <c r="AW174" s="135"/>
      <c r="AX174" s="135"/>
      <c r="AY174" s="77">
        <f t="shared" si="83"/>
        <v>0</v>
      </c>
      <c r="AZ174" s="76"/>
      <c r="BA174" s="142"/>
      <c r="BB174" s="142"/>
      <c r="BC174" s="77">
        <f t="shared" si="84"/>
        <v>0</v>
      </c>
      <c r="BD174" s="78"/>
      <c r="BE174" s="142"/>
      <c r="BF174" s="142"/>
      <c r="BG174" s="79">
        <f t="shared" si="85"/>
        <v>0</v>
      </c>
      <c r="BH174" s="75"/>
      <c r="BI174" s="76"/>
      <c r="BJ174" s="135"/>
      <c r="BK174" s="135"/>
      <c r="BL174" s="77">
        <f t="shared" si="86"/>
        <v>0</v>
      </c>
      <c r="BM174" s="78"/>
      <c r="BN174" s="142"/>
      <c r="BO174" s="142"/>
      <c r="BP174" s="77">
        <f t="shared" si="87"/>
        <v>0</v>
      </c>
      <c r="BQ174" s="78"/>
      <c r="BR174" s="142"/>
      <c r="BS174" s="142"/>
      <c r="BT174" s="79">
        <f t="shared" si="88"/>
        <v>0</v>
      </c>
      <c r="BU174" s="75"/>
      <c r="BV174" s="76"/>
      <c r="BW174" s="135"/>
      <c r="BX174" s="135"/>
      <c r="BY174" s="77">
        <f t="shared" si="89"/>
        <v>0</v>
      </c>
      <c r="BZ174" s="78"/>
      <c r="CA174" s="142"/>
      <c r="CB174" s="142"/>
      <c r="CC174" s="77">
        <f t="shared" si="90"/>
        <v>0</v>
      </c>
      <c r="CD174" s="78"/>
      <c r="CE174" s="142"/>
      <c r="CF174" s="142"/>
      <c r="CG174" s="79">
        <f t="shared" si="91"/>
        <v>0</v>
      </c>
      <c r="CH174" s="75"/>
      <c r="CI174" s="76"/>
      <c r="CJ174" s="135"/>
      <c r="CK174" s="135"/>
      <c r="CL174" s="77">
        <f t="shared" si="92"/>
        <v>0</v>
      </c>
      <c r="CM174" s="78"/>
      <c r="CN174" s="142"/>
      <c r="CO174" s="142"/>
      <c r="CP174" s="77">
        <f t="shared" si="93"/>
        <v>0</v>
      </c>
      <c r="CQ174" s="78"/>
      <c r="CR174" s="142"/>
      <c r="CS174" s="142"/>
      <c r="CT174" s="79">
        <f t="shared" si="94"/>
        <v>0</v>
      </c>
      <c r="CU174" s="80">
        <f t="shared" si="104"/>
        <v>0</v>
      </c>
      <c r="CV174" s="81">
        <f t="shared" si="105"/>
        <v>0</v>
      </c>
      <c r="CW174" s="144"/>
      <c r="CX174" s="145">
        <f>IF(ISERROR(VLOOKUP($A174,FIJOS!$B$11:$O$590,14,FALSE)),0,VLOOKUP($A174,FIJOS!$B$11:$O$590,14,FALSE))</f>
        <v>0</v>
      </c>
      <c r="CY174" s="145">
        <f>IF(ISERROR(VLOOKUP(A174,FIJOS!$B$10:$P$590,15,FALSE)),0,VLOOKUP(A174,FIJOS!$B$10:$P$590,15,FALSE))</f>
        <v>0</v>
      </c>
      <c r="CZ174" s="156"/>
      <c r="DA174" s="146"/>
      <c r="DB174" s="147"/>
      <c r="DC174" s="147"/>
      <c r="DD174" s="147"/>
      <c r="DE174" s="147"/>
      <c r="DF174" s="145">
        <f>IF(ISERROR(VLOOKUP($A174,FIJOS!$B$11:$N$590,13,FALSE)),0,VLOOKUP($A174,FIJOS!$B$11:$N$590,13,FALSE))</f>
        <v>0</v>
      </c>
      <c r="DG174" s="145">
        <f>IF(ISERROR(VLOOKUP($A174,FIJOS!$B$11:$P$447,12,FALSE)),0,VLOOKUP($A174,FIJOS!$B$11:$P$447,12,FALSE))</f>
        <v>0</v>
      </c>
      <c r="DH174" s="82">
        <f t="shared" si="95"/>
        <v>0</v>
      </c>
      <c r="DI174" s="83" t="b">
        <f>IF($C174=1,(VLOOKUP($A174,FIJOS!$B$11:$P$545,10,FALSE)/7)*(7-$CU174),IF(AND($C174=2,CV174&lt;$DJ$1),(VLOOKUP($D174,HORAS!$B$4:$C$42,2,FALSE)*24)*$CV174,IF(AND($C174=2,CV174&gt;=$DJ$1),VLOOKUP($D174,HORAS!$B$4:$D$42,3,FALSE),IF(AND($C174=3,$CV174&gt;=$DJ$1),VLOOKUP($A174,FIJOS!$B$11:$P$545,10,FALSE),IF(AND($C174=3,$CV174&lt;$DJ$1),((VLOOKUP($A174,FIJOS!$B$11:$P$545,10,FALSE)/48)*24)*$CV174,IF(AND($C174=4,$CV174&gt;=(42/24)),VLOOKUP($D174,HORAS!$B$4:$D$42,3,FALSE),IF(AND($C174=5,$CV174&gt;=(36/24)),VLOOKUP($D174,HORAS!$B$4:$D$42,3,FALSE))))))))</f>
        <v>0</v>
      </c>
      <c r="DJ174" s="145">
        <f>IF(OR($C174=2),VLOOKUP($D174,HORAS!$B$4:$E$42,4,FALSE)*$EC174,IF(ISERROR(VLOOKUP($A174,FIJOS!$B$11:$P$108,9,FALSE)),0,VLOOKUP($A174,FIJOS!$B$11:$P$231,9,FALSE)*$EC174))</f>
        <v>0</v>
      </c>
      <c r="DK174" s="145">
        <f>IF(OR($C174=2),VLOOKUP($D174,HORAS!$B$4:$F$42,5,FALSE)*$EE174,IF(ISERROR(VLOOKUP($A174,FIJOS!$B$11:$P$108,9,FALSE)),0,VLOOKUP($A174,FIJOS!$B$11:$P$231,9,FALSE)*$EE174))</f>
        <v>0</v>
      </c>
      <c r="DL174" s="144"/>
      <c r="DM174" s="145">
        <f>IF(ISERROR(VLOOKUP($A174,FIJOS!$B$11:$L$646,11,FALSE)),0,VLOOKUP($A174,FIJOS!$B$11:$L$646,11,FALSE))</f>
        <v>0</v>
      </c>
      <c r="DN174" s="148" t="e">
        <f>IF(OR($C174=1,$C174=3),0,IF((VLOOKUP(CAPTURA!D174,HORAS!$B$4:$K$42,10,FALSE)/4)*COUNTIF($H174:$CT174,3)&gt;100,100,(VLOOKUP(CAPTURA!D174,HORAS!$B$4:$K$42,10,FALSE)/4)*COUNTIF($H174:$CT174,3)))</f>
        <v>#N/A</v>
      </c>
      <c r="DO174" s="144" t="e">
        <f>IF(OR($C174=1,$C174=3),0,IF($C174=5,VLOOKUP(D174,HORAS!$B$4:$G$42,6,FALSE),IF(AND($C174=4,$CV174&gt;=(42/24)),VLOOKUP(D174,HORAS!$B$4:$G$42,6,FALSE),IF(COUNTIF($H174:$CL174,"F")&gt;0,0,IF(CV174&gt;$DJ$1,$DJ$1*(VLOOKUP(D174,HORAS!$B$4:$G$42,6,FALSE)/$DJ$1),CV174*(VLOOKUP(D174,HORAS!$B$4:$G$42,6,FALSE)/$DJ$1))))))</f>
        <v>#N/A</v>
      </c>
      <c r="DP174" s="156"/>
      <c r="DQ174" s="89"/>
      <c r="DR174" s="148"/>
      <c r="DS174" s="83" t="e">
        <f t="shared" si="98"/>
        <v>#N/A</v>
      </c>
      <c r="DT174" s="84"/>
      <c r="DU174" s="149" t="e">
        <f t="shared" si="99"/>
        <v>#N/A</v>
      </c>
      <c r="DV174" s="149" t="e">
        <f t="shared" si="100"/>
        <v>#N/A</v>
      </c>
      <c r="DW174" s="144" t="e">
        <f t="shared" si="101"/>
        <v>#N/A</v>
      </c>
      <c r="DX174"/>
      <c r="DY174" s="29"/>
      <c r="DZ174" s="150"/>
      <c r="EA174" s="137"/>
      <c r="EB174" s="137">
        <f t="shared" si="102"/>
        <v>0</v>
      </c>
      <c r="EC174" s="138">
        <f t="shared" si="96"/>
        <v>0</v>
      </c>
      <c r="ED174" s="137">
        <f t="shared" si="103"/>
        <v>0</v>
      </c>
      <c r="EE174" s="132">
        <f t="shared" si="97"/>
        <v>0</v>
      </c>
      <c r="EF174" s="29"/>
      <c r="EG174" s="134"/>
      <c r="EH174" s="134"/>
      <c r="EI174" s="134"/>
      <c r="EK174" s="29"/>
    </row>
    <row r="175" spans="1:141" ht="15" customHeight="1" x14ac:dyDescent="0.25">
      <c r="A175" s="140"/>
      <c r="B175" s="151"/>
      <c r="C175" s="72"/>
      <c r="D175" s="73"/>
      <c r="E175" s="73"/>
      <c r="F175" s="141"/>
      <c r="G175" s="74"/>
      <c r="H175" s="75"/>
      <c r="I175" s="76"/>
      <c r="J175" s="135"/>
      <c r="K175" s="135"/>
      <c r="L175" s="77">
        <f t="shared" si="74"/>
        <v>0</v>
      </c>
      <c r="M175" s="78"/>
      <c r="N175" s="142"/>
      <c r="O175" s="142"/>
      <c r="P175" s="77">
        <f t="shared" si="75"/>
        <v>0</v>
      </c>
      <c r="Q175" s="78"/>
      <c r="R175" s="143"/>
      <c r="S175" s="143"/>
      <c r="T175" s="77">
        <f t="shared" si="76"/>
        <v>0</v>
      </c>
      <c r="U175" s="75"/>
      <c r="V175" s="76"/>
      <c r="W175" s="135"/>
      <c r="X175" s="135"/>
      <c r="Y175" s="77">
        <f t="shared" si="77"/>
        <v>0</v>
      </c>
      <c r="Z175" s="78"/>
      <c r="AA175" s="142"/>
      <c r="AB175" s="142"/>
      <c r="AC175" s="77">
        <f t="shared" si="78"/>
        <v>0</v>
      </c>
      <c r="AD175" s="78"/>
      <c r="AE175" s="143"/>
      <c r="AF175" s="143"/>
      <c r="AG175" s="79">
        <f t="shared" si="79"/>
        <v>0</v>
      </c>
      <c r="AH175" s="75"/>
      <c r="AI175" s="76"/>
      <c r="AJ175" s="135"/>
      <c r="AK175" s="135"/>
      <c r="AL175" s="77">
        <f t="shared" si="80"/>
        <v>0</v>
      </c>
      <c r="AM175" s="76"/>
      <c r="AN175" s="142"/>
      <c r="AO175" s="142"/>
      <c r="AP175" s="77">
        <f t="shared" si="81"/>
        <v>0</v>
      </c>
      <c r="AQ175" s="78"/>
      <c r="AR175" s="142"/>
      <c r="AS175" s="142"/>
      <c r="AT175" s="79">
        <f t="shared" si="82"/>
        <v>0</v>
      </c>
      <c r="AU175" s="75"/>
      <c r="AV175" s="76"/>
      <c r="AW175" s="135"/>
      <c r="AX175" s="135"/>
      <c r="AY175" s="77">
        <f t="shared" si="83"/>
        <v>0</v>
      </c>
      <c r="AZ175" s="76"/>
      <c r="BA175" s="142"/>
      <c r="BB175" s="142"/>
      <c r="BC175" s="77">
        <f t="shared" si="84"/>
        <v>0</v>
      </c>
      <c r="BD175" s="78"/>
      <c r="BE175" s="142"/>
      <c r="BF175" s="142"/>
      <c r="BG175" s="79">
        <f t="shared" si="85"/>
        <v>0</v>
      </c>
      <c r="BH175" s="75"/>
      <c r="BI175" s="76"/>
      <c r="BJ175" s="135"/>
      <c r="BK175" s="135"/>
      <c r="BL175" s="77">
        <f t="shared" si="86"/>
        <v>0</v>
      </c>
      <c r="BM175" s="78"/>
      <c r="BN175" s="142"/>
      <c r="BO175" s="142"/>
      <c r="BP175" s="77">
        <f t="shared" si="87"/>
        <v>0</v>
      </c>
      <c r="BQ175" s="78"/>
      <c r="BR175" s="142"/>
      <c r="BS175" s="142"/>
      <c r="BT175" s="79">
        <f t="shared" si="88"/>
        <v>0</v>
      </c>
      <c r="BU175" s="75"/>
      <c r="BV175" s="76"/>
      <c r="BW175" s="135"/>
      <c r="BX175" s="135"/>
      <c r="BY175" s="77">
        <f t="shared" si="89"/>
        <v>0</v>
      </c>
      <c r="BZ175" s="76"/>
      <c r="CA175" s="142"/>
      <c r="CB175" s="142"/>
      <c r="CC175" s="77">
        <f t="shared" si="90"/>
        <v>0</v>
      </c>
      <c r="CD175" s="76"/>
      <c r="CE175" s="142"/>
      <c r="CF175" s="142"/>
      <c r="CG175" s="79">
        <f t="shared" si="91"/>
        <v>0</v>
      </c>
      <c r="CH175" s="75"/>
      <c r="CI175" s="76"/>
      <c r="CJ175" s="135"/>
      <c r="CK175" s="135"/>
      <c r="CL175" s="77">
        <f t="shared" si="92"/>
        <v>0</v>
      </c>
      <c r="CM175" s="78"/>
      <c r="CN175" s="142"/>
      <c r="CO175" s="142"/>
      <c r="CP175" s="77">
        <f t="shared" si="93"/>
        <v>0</v>
      </c>
      <c r="CQ175" s="78"/>
      <c r="CR175" s="142"/>
      <c r="CS175" s="142"/>
      <c r="CT175" s="79">
        <f t="shared" si="94"/>
        <v>0</v>
      </c>
      <c r="CU175" s="80">
        <f t="shared" si="104"/>
        <v>0</v>
      </c>
      <c r="CV175" s="81">
        <f t="shared" si="105"/>
        <v>0</v>
      </c>
      <c r="CW175" s="144"/>
      <c r="CX175" s="145">
        <f>IF(ISERROR(VLOOKUP($A175,FIJOS!$B$11:$O$590,14,FALSE)),0,VLOOKUP($A175,FIJOS!$B$11:$O$590,14,FALSE))</f>
        <v>0</v>
      </c>
      <c r="CY175" s="145">
        <f>IF(ISERROR(VLOOKUP(A175,FIJOS!$B$10:$P$590,15,FALSE)),0,VLOOKUP(A175,FIJOS!$B$10:$P$590,15,FALSE))</f>
        <v>0</v>
      </c>
      <c r="CZ175" s="156"/>
      <c r="DA175" s="146"/>
      <c r="DB175" s="147"/>
      <c r="DC175" s="147"/>
      <c r="DD175" s="147"/>
      <c r="DE175" s="147"/>
      <c r="DF175" s="145">
        <f>IF(ISERROR(VLOOKUP($A175,FIJOS!$B$11:$N$590,13,FALSE)),0,VLOOKUP($A175,FIJOS!$B$11:$N$590,13,FALSE))</f>
        <v>0</v>
      </c>
      <c r="DG175" s="145">
        <f>IF(ISERROR(VLOOKUP($A175,FIJOS!$B$11:$P$447,12,FALSE)),0,VLOOKUP($A175,FIJOS!$B$11:$P$447,12,FALSE))</f>
        <v>0</v>
      </c>
      <c r="DH175" s="82">
        <f t="shared" si="95"/>
        <v>0</v>
      </c>
      <c r="DI175" s="83" t="b">
        <f>IF($C175=1,(VLOOKUP($A175,FIJOS!$B$11:$P$545,10,FALSE)/7)*(7-$CU175),IF(AND($C175=2,CV175&lt;$DJ$1),(VLOOKUP($D175,HORAS!$B$4:$C$42,2,FALSE)*24)*$CV175,IF(AND($C175=2,CV175&gt;=$DJ$1),VLOOKUP($D175,HORAS!$B$4:$D$42,3,FALSE),IF(AND($C175=3,$CV175&gt;=$DJ$1),VLOOKUP($A175,FIJOS!$B$11:$P$545,10,FALSE),IF(AND($C175=3,$CV175&lt;$DJ$1),((VLOOKUP($A175,FIJOS!$B$11:$P$545,10,FALSE)/48)*24)*$CV175,IF(AND($C175=4,$CV175&gt;=(42/24)),VLOOKUP($D175,HORAS!$B$4:$D$42,3,FALSE),IF(AND($C175=5,$CV175&gt;=(36/24)),VLOOKUP($D175,HORAS!$B$4:$D$42,3,FALSE))))))))</f>
        <v>0</v>
      </c>
      <c r="DJ175" s="145">
        <f>IF(OR($C175=2),VLOOKUP($D175,HORAS!$B$4:$E$42,4,FALSE)*$EC175,IF(ISERROR(VLOOKUP($A175,FIJOS!$B$11:$P$108,9,FALSE)),0,VLOOKUP($A175,FIJOS!$B$11:$P$231,9,FALSE)*$EC175))</f>
        <v>0</v>
      </c>
      <c r="DK175" s="145">
        <f>IF(OR($C175=2),VLOOKUP($D175,HORAS!$B$4:$F$42,5,FALSE)*$EE175,IF(ISERROR(VLOOKUP($A175,FIJOS!$B$11:$P$108,9,FALSE)),0,VLOOKUP($A175,FIJOS!$B$11:$P$231,9,FALSE)*$EE175))</f>
        <v>0</v>
      </c>
      <c r="DL175" s="144"/>
      <c r="DM175" s="145">
        <f>IF(ISERROR(VLOOKUP($A175,FIJOS!$B$11:$L$646,11,FALSE)),0,VLOOKUP($A175,FIJOS!$B$11:$L$646,11,FALSE))</f>
        <v>0</v>
      </c>
      <c r="DN175" s="148" t="e">
        <f>IF(OR($C175=1,$C175=3),0,IF((VLOOKUP(CAPTURA!D175,HORAS!$B$4:$K$42,10,FALSE)/4)*COUNTIF($H175:$CT175,3)&gt;100,100,(VLOOKUP(CAPTURA!D175,HORAS!$B$4:$K$42,10,FALSE)/4)*COUNTIF($H175:$CT175,3)))</f>
        <v>#N/A</v>
      </c>
      <c r="DO175" s="144" t="e">
        <f>IF(OR($C175=1,$C175=3),0,IF($C175=5,VLOOKUP(D175,HORAS!$B$4:$G$42,6,FALSE),IF(AND($C175=4,$CV175&gt;=(42/24)),VLOOKUP(D175,HORAS!$B$4:$G$42,6,FALSE),IF(COUNTIF($H175:$CL175,"F")&gt;0,0,IF(CV175&gt;$DJ$1,$DJ$1*(VLOOKUP(D175,HORAS!$B$4:$G$42,6,FALSE)/$DJ$1),CV175*(VLOOKUP(D175,HORAS!$B$4:$G$42,6,FALSE)/$DJ$1))))))</f>
        <v>#N/A</v>
      </c>
      <c r="DP175" s="156"/>
      <c r="DQ175" s="89"/>
      <c r="DR175" s="148"/>
      <c r="DS175" s="83" t="e">
        <f t="shared" si="98"/>
        <v>#N/A</v>
      </c>
      <c r="DT175" s="84"/>
      <c r="DU175" s="149" t="e">
        <f t="shared" si="99"/>
        <v>#N/A</v>
      </c>
      <c r="DV175" s="149" t="e">
        <f t="shared" si="100"/>
        <v>#N/A</v>
      </c>
      <c r="DW175" s="144" t="e">
        <f t="shared" si="101"/>
        <v>#N/A</v>
      </c>
      <c r="DX175" s="134"/>
      <c r="DY175" s="29"/>
      <c r="DZ175" s="150"/>
      <c r="EA175" s="134"/>
      <c r="EB175" s="137">
        <f t="shared" si="102"/>
        <v>0</v>
      </c>
      <c r="EC175" s="138">
        <f t="shared" si="96"/>
        <v>0</v>
      </c>
      <c r="ED175" s="137">
        <f t="shared" si="103"/>
        <v>0</v>
      </c>
      <c r="EE175" s="132">
        <f t="shared" si="97"/>
        <v>0</v>
      </c>
      <c r="EF175" s="29"/>
      <c r="EG175" s="134"/>
      <c r="EH175" s="134"/>
      <c r="EI175" s="134"/>
      <c r="EK175" s="29"/>
    </row>
    <row r="176" spans="1:141" ht="15" customHeight="1" x14ac:dyDescent="0.25">
      <c r="A176" s="140"/>
      <c r="B176" s="5"/>
      <c r="C176" s="72"/>
      <c r="D176" s="73"/>
      <c r="E176" s="73"/>
      <c r="F176" s="141"/>
      <c r="G176" s="74"/>
      <c r="H176" s="75"/>
      <c r="I176" s="76"/>
      <c r="J176" s="135"/>
      <c r="K176" s="135"/>
      <c r="L176" s="77">
        <f t="shared" si="74"/>
        <v>0</v>
      </c>
      <c r="M176" s="78"/>
      <c r="N176" s="142"/>
      <c r="O176" s="142"/>
      <c r="P176" s="77">
        <f t="shared" si="75"/>
        <v>0</v>
      </c>
      <c r="Q176" s="78"/>
      <c r="R176" s="143"/>
      <c r="S176" s="143"/>
      <c r="T176" s="77">
        <f t="shared" si="76"/>
        <v>0</v>
      </c>
      <c r="U176" s="75"/>
      <c r="V176" s="76"/>
      <c r="W176" s="135"/>
      <c r="X176" s="135"/>
      <c r="Y176" s="77">
        <f t="shared" si="77"/>
        <v>0</v>
      </c>
      <c r="Z176" s="78"/>
      <c r="AA176" s="142"/>
      <c r="AB176" s="142"/>
      <c r="AC176" s="77">
        <f t="shared" si="78"/>
        <v>0</v>
      </c>
      <c r="AD176" s="78"/>
      <c r="AE176" s="143"/>
      <c r="AF176" s="143"/>
      <c r="AG176" s="79">
        <f t="shared" si="79"/>
        <v>0</v>
      </c>
      <c r="AH176" s="136"/>
      <c r="AI176" s="76"/>
      <c r="AJ176" s="135"/>
      <c r="AK176" s="135"/>
      <c r="AL176" s="77">
        <f t="shared" si="80"/>
        <v>0</v>
      </c>
      <c r="AM176" s="76"/>
      <c r="AN176" s="142"/>
      <c r="AO176" s="142"/>
      <c r="AP176" s="77">
        <f t="shared" si="81"/>
        <v>0</v>
      </c>
      <c r="AQ176" s="78"/>
      <c r="AR176" s="142"/>
      <c r="AS176" s="142"/>
      <c r="AT176" s="79">
        <f t="shared" si="82"/>
        <v>0</v>
      </c>
      <c r="AU176" s="75"/>
      <c r="AV176" s="76"/>
      <c r="AW176" s="135"/>
      <c r="AX176" s="135"/>
      <c r="AY176" s="77">
        <f t="shared" si="83"/>
        <v>0</v>
      </c>
      <c r="AZ176" s="76"/>
      <c r="BA176" s="142"/>
      <c r="BB176" s="142"/>
      <c r="BC176" s="77">
        <f t="shared" si="84"/>
        <v>0</v>
      </c>
      <c r="BD176" s="78"/>
      <c r="BE176" s="142"/>
      <c r="BF176" s="142"/>
      <c r="BG176" s="79">
        <f t="shared" si="85"/>
        <v>0</v>
      </c>
      <c r="BH176" s="75"/>
      <c r="BI176" s="76"/>
      <c r="BJ176" s="135"/>
      <c r="BK176" s="135"/>
      <c r="BL176" s="77">
        <f t="shared" si="86"/>
        <v>0</v>
      </c>
      <c r="BM176" s="78"/>
      <c r="BN176" s="142"/>
      <c r="BO176" s="142"/>
      <c r="BP176" s="77">
        <f t="shared" si="87"/>
        <v>0</v>
      </c>
      <c r="BQ176" s="78"/>
      <c r="BR176" s="142"/>
      <c r="BS176" s="142"/>
      <c r="BT176" s="79">
        <f t="shared" si="88"/>
        <v>0</v>
      </c>
      <c r="BU176" s="75"/>
      <c r="BV176" s="76"/>
      <c r="BW176" s="135"/>
      <c r="BX176" s="135"/>
      <c r="BY176" s="77">
        <f t="shared" si="89"/>
        <v>0</v>
      </c>
      <c r="BZ176" s="78"/>
      <c r="CA176" s="142"/>
      <c r="CB176" s="142"/>
      <c r="CC176" s="77">
        <f t="shared" si="90"/>
        <v>0</v>
      </c>
      <c r="CD176" s="78"/>
      <c r="CE176" s="142"/>
      <c r="CF176" s="142"/>
      <c r="CG176" s="79">
        <f t="shared" si="91"/>
        <v>0</v>
      </c>
      <c r="CH176" s="75"/>
      <c r="CI176" s="76"/>
      <c r="CJ176" s="135"/>
      <c r="CK176" s="135"/>
      <c r="CL176" s="77">
        <f t="shared" si="92"/>
        <v>0</v>
      </c>
      <c r="CM176" s="78"/>
      <c r="CN176" s="142"/>
      <c r="CO176" s="142"/>
      <c r="CP176" s="77">
        <f t="shared" si="93"/>
        <v>0</v>
      </c>
      <c r="CQ176" s="78"/>
      <c r="CR176" s="142"/>
      <c r="CS176" s="142"/>
      <c r="CT176" s="79">
        <f t="shared" si="94"/>
        <v>0</v>
      </c>
      <c r="CU176" s="80">
        <f t="shared" si="104"/>
        <v>0</v>
      </c>
      <c r="CV176" s="81">
        <f t="shared" si="105"/>
        <v>0</v>
      </c>
      <c r="CW176" s="144"/>
      <c r="CX176" s="145">
        <f>IF(ISERROR(VLOOKUP($A176,FIJOS!$B$11:$O$590,14,FALSE)),0,VLOOKUP($A176,FIJOS!$B$11:$O$590,14,FALSE))</f>
        <v>0</v>
      </c>
      <c r="CY176" s="145">
        <f>IF(ISERROR(VLOOKUP(A176,FIJOS!$B$10:$P$590,15,FALSE)),0,VLOOKUP(A176,FIJOS!$B$10:$P$590,15,FALSE))</f>
        <v>0</v>
      </c>
      <c r="CZ176" s="156"/>
      <c r="DA176" s="146"/>
      <c r="DB176" s="147"/>
      <c r="DC176" s="147"/>
      <c r="DD176" s="147"/>
      <c r="DE176" s="147"/>
      <c r="DF176" s="145">
        <f>IF(ISERROR(VLOOKUP($A176,FIJOS!$B$11:$N$590,13,FALSE)),0,VLOOKUP($A176,FIJOS!$B$11:$N$590,13,FALSE))</f>
        <v>0</v>
      </c>
      <c r="DG176" s="145">
        <f>IF(ISERROR(VLOOKUP($A176,FIJOS!$B$11:$P$447,12,FALSE)),0,VLOOKUP($A176,FIJOS!$B$11:$P$447,12,FALSE))</f>
        <v>0</v>
      </c>
      <c r="DH176" s="82">
        <f t="shared" si="95"/>
        <v>0</v>
      </c>
      <c r="DI176" s="83" t="b">
        <f>IF($C176=1,(VLOOKUP($A176,FIJOS!$B$11:$P$545,10,FALSE)/7)*(7-$CU176),IF(AND($C176=2,CV176&lt;$DJ$1),(VLOOKUP($D176,HORAS!$B$4:$C$42,2,FALSE)*24)*$CV176,IF(AND($C176=2,CV176&gt;=$DJ$1),VLOOKUP($D176,HORAS!$B$4:$D$42,3,FALSE),IF(AND($C176=3,$CV176&gt;=$DJ$1),VLOOKUP($A176,FIJOS!$B$11:$P$545,10,FALSE),IF(AND($C176=3,$CV176&lt;$DJ$1),((VLOOKUP($A176,FIJOS!$B$11:$P$545,10,FALSE)/48)*24)*$CV176,IF(AND($C176=4,$CV176&gt;=(42/24)),VLOOKUP($D176,HORAS!$B$4:$D$42,3,FALSE),IF(AND($C176=5,$CV176&gt;=(36/24)),VLOOKUP($D176,HORAS!$B$4:$D$42,3,FALSE))))))))</f>
        <v>0</v>
      </c>
      <c r="DJ176" s="145">
        <f>IF(OR($C176=2),VLOOKUP($D176,HORAS!$B$4:$E$42,4,FALSE)*$EC176,IF(ISERROR(VLOOKUP($A176,FIJOS!$B$11:$P$108,9,FALSE)),0,VLOOKUP($A176,FIJOS!$B$11:$P$231,9,FALSE)*$EC176))</f>
        <v>0</v>
      </c>
      <c r="DK176" s="145">
        <f>IF(OR($C176=2),VLOOKUP($D176,HORAS!$B$4:$F$42,5,FALSE)*$EE176,IF(ISERROR(VLOOKUP($A176,FIJOS!$B$11:$P$108,9,FALSE)),0,VLOOKUP($A176,FIJOS!$B$11:$P$231,9,FALSE)*$EE176))</f>
        <v>0</v>
      </c>
      <c r="DL176" s="144"/>
      <c r="DM176" s="145">
        <f>IF(ISERROR(VLOOKUP($A176,FIJOS!$B$11:$L$646,11,FALSE)),0,VLOOKUP($A176,FIJOS!$B$11:$L$646,11,FALSE))</f>
        <v>0</v>
      </c>
      <c r="DN176" s="148" t="e">
        <f>IF(OR($C176=1,$C176=3),0,IF((VLOOKUP(CAPTURA!D176,HORAS!$B$4:$K$42,10,FALSE)/4)*COUNTIF($H176:$CT176,3)&gt;100,100,(VLOOKUP(CAPTURA!D176,HORAS!$B$4:$K$42,10,FALSE)/4)*COUNTIF($H176:$CT176,3)))</f>
        <v>#N/A</v>
      </c>
      <c r="DO176" s="144" t="e">
        <f>IF(OR($C176=1,$C176=3),0,IF($C176=5,VLOOKUP(D176,HORAS!$B$4:$G$42,6,FALSE),IF(AND($C176=4,$CV176&gt;=(42/24)),VLOOKUP(D176,HORAS!$B$4:$G$42,6,FALSE),IF(COUNTIF($H176:$CL176,"F")&gt;0,0,IF(CV176&gt;$DJ$1,$DJ$1*(VLOOKUP(D176,HORAS!$B$4:$G$42,6,FALSE)/$DJ$1),CV176*(VLOOKUP(D176,HORAS!$B$4:$G$42,6,FALSE)/$DJ$1))))))</f>
        <v>#N/A</v>
      </c>
      <c r="DP176" s="156"/>
      <c r="DQ176" s="148"/>
      <c r="DR176" s="148"/>
      <c r="DS176" s="83" t="e">
        <f t="shared" si="98"/>
        <v>#N/A</v>
      </c>
      <c r="DT176" s="84"/>
      <c r="DU176" s="149" t="e">
        <f t="shared" si="99"/>
        <v>#N/A</v>
      </c>
      <c r="DV176" s="149" t="e">
        <f t="shared" si="100"/>
        <v>#N/A</v>
      </c>
      <c r="DW176" s="144" t="e">
        <f t="shared" si="101"/>
        <v>#N/A</v>
      </c>
      <c r="DX176" s="134"/>
      <c r="DY176" s="29"/>
      <c r="DZ176" s="150"/>
      <c r="EA176" s="134"/>
      <c r="EB176" s="137">
        <f t="shared" si="102"/>
        <v>0</v>
      </c>
      <c r="EC176" s="138">
        <f t="shared" si="96"/>
        <v>0</v>
      </c>
      <c r="ED176" s="137">
        <f t="shared" si="103"/>
        <v>0</v>
      </c>
      <c r="EE176" s="132">
        <f t="shared" si="97"/>
        <v>0</v>
      </c>
      <c r="EF176" s="29"/>
      <c r="EG176" s="134"/>
      <c r="EH176" s="134"/>
      <c r="EI176" s="134"/>
      <c r="EK176" s="29"/>
    </row>
    <row r="177" spans="1:141" ht="15" customHeight="1" x14ac:dyDescent="0.25">
      <c r="A177" s="140"/>
      <c r="B177" s="151"/>
      <c r="C177" s="72"/>
      <c r="D177" s="73"/>
      <c r="E177" s="73"/>
      <c r="F177" s="141"/>
      <c r="G177" s="74"/>
      <c r="H177" s="75"/>
      <c r="I177" s="76"/>
      <c r="J177" s="135"/>
      <c r="K177" s="135"/>
      <c r="L177" s="77">
        <f t="shared" si="74"/>
        <v>0</v>
      </c>
      <c r="M177" s="78"/>
      <c r="N177" s="142"/>
      <c r="O177" s="142"/>
      <c r="P177" s="77">
        <f t="shared" si="75"/>
        <v>0</v>
      </c>
      <c r="Q177" s="78"/>
      <c r="R177" s="143"/>
      <c r="S177" s="143"/>
      <c r="T177" s="77">
        <f t="shared" si="76"/>
        <v>0</v>
      </c>
      <c r="U177" s="75"/>
      <c r="V177" s="76"/>
      <c r="W177" s="135"/>
      <c r="X177" s="135"/>
      <c r="Y177" s="77">
        <f t="shared" si="77"/>
        <v>0</v>
      </c>
      <c r="Z177" s="78"/>
      <c r="AA177" s="142"/>
      <c r="AB177" s="142"/>
      <c r="AC177" s="77">
        <f t="shared" si="78"/>
        <v>0</v>
      </c>
      <c r="AD177" s="78"/>
      <c r="AE177" s="143"/>
      <c r="AF177" s="143"/>
      <c r="AG177" s="79">
        <f t="shared" si="79"/>
        <v>0</v>
      </c>
      <c r="AH177" s="75"/>
      <c r="AI177" s="76"/>
      <c r="AJ177" s="135"/>
      <c r="AK177" s="135"/>
      <c r="AL177" s="77">
        <f t="shared" si="80"/>
        <v>0</v>
      </c>
      <c r="AM177" s="76"/>
      <c r="AN177" s="142"/>
      <c r="AO177" s="142"/>
      <c r="AP177" s="77">
        <f t="shared" si="81"/>
        <v>0</v>
      </c>
      <c r="AQ177" s="78"/>
      <c r="AR177" s="142"/>
      <c r="AS177" s="142"/>
      <c r="AT177" s="79">
        <f t="shared" si="82"/>
        <v>0</v>
      </c>
      <c r="AU177" s="75"/>
      <c r="AV177" s="76"/>
      <c r="AW177" s="135"/>
      <c r="AX177" s="135"/>
      <c r="AY177" s="77">
        <f t="shared" si="83"/>
        <v>0</v>
      </c>
      <c r="AZ177" s="76"/>
      <c r="BA177" s="142"/>
      <c r="BB177" s="142"/>
      <c r="BC177" s="77">
        <f t="shared" si="84"/>
        <v>0</v>
      </c>
      <c r="BD177" s="78"/>
      <c r="BE177" s="142"/>
      <c r="BF177" s="142"/>
      <c r="BG177" s="79">
        <f t="shared" si="85"/>
        <v>0</v>
      </c>
      <c r="BH177" s="75"/>
      <c r="BI177" s="76"/>
      <c r="BJ177" s="135"/>
      <c r="BK177" s="135"/>
      <c r="BL177" s="77">
        <f t="shared" si="86"/>
        <v>0</v>
      </c>
      <c r="BM177" s="78"/>
      <c r="BN177" s="142"/>
      <c r="BO177" s="142"/>
      <c r="BP177" s="77">
        <f t="shared" si="87"/>
        <v>0</v>
      </c>
      <c r="BQ177" s="78"/>
      <c r="BR177" s="142"/>
      <c r="BS177" s="142"/>
      <c r="BT177" s="79">
        <f t="shared" si="88"/>
        <v>0</v>
      </c>
      <c r="BU177" s="75"/>
      <c r="BV177" s="76"/>
      <c r="BW177" s="135"/>
      <c r="BX177" s="135"/>
      <c r="BY177" s="77">
        <f t="shared" si="89"/>
        <v>0</v>
      </c>
      <c r="BZ177" s="78"/>
      <c r="CA177" s="142"/>
      <c r="CB177" s="142"/>
      <c r="CC177" s="77">
        <f t="shared" si="90"/>
        <v>0</v>
      </c>
      <c r="CD177" s="78"/>
      <c r="CE177" s="142"/>
      <c r="CF177" s="142"/>
      <c r="CG177" s="79">
        <f t="shared" si="91"/>
        <v>0</v>
      </c>
      <c r="CH177" s="75"/>
      <c r="CI177" s="76"/>
      <c r="CJ177" s="135"/>
      <c r="CK177" s="135"/>
      <c r="CL177" s="77">
        <f t="shared" si="92"/>
        <v>0</v>
      </c>
      <c r="CM177" s="78"/>
      <c r="CN177" s="142"/>
      <c r="CO177" s="142"/>
      <c r="CP177" s="77">
        <f t="shared" si="93"/>
        <v>0</v>
      </c>
      <c r="CQ177" s="78"/>
      <c r="CR177" s="142"/>
      <c r="CS177" s="142"/>
      <c r="CT177" s="79">
        <f t="shared" si="94"/>
        <v>0</v>
      </c>
      <c r="CU177" s="80">
        <f t="shared" si="104"/>
        <v>0</v>
      </c>
      <c r="CV177" s="81">
        <f t="shared" si="105"/>
        <v>0</v>
      </c>
      <c r="CW177" s="144"/>
      <c r="CX177" s="145">
        <f>IF(ISERROR(VLOOKUP($A177,FIJOS!$B$11:$O$590,14,FALSE)),0,VLOOKUP($A177,FIJOS!$B$11:$O$590,14,FALSE))</f>
        <v>0</v>
      </c>
      <c r="CY177" s="145">
        <f>IF(ISERROR(VLOOKUP(A177,FIJOS!$B$10:$P$590,15,FALSE)),0,VLOOKUP(A177,FIJOS!$B$10:$P$590,15,FALSE))</f>
        <v>0</v>
      </c>
      <c r="CZ177" s="156"/>
      <c r="DA177" s="146"/>
      <c r="DB177" s="147"/>
      <c r="DC177" s="147"/>
      <c r="DD177" s="147"/>
      <c r="DE177" s="147"/>
      <c r="DF177" s="145">
        <f>IF(ISERROR(VLOOKUP($A177,FIJOS!$B$11:$N$590,13,FALSE)),0,VLOOKUP($A177,FIJOS!$B$11:$N$590,13,FALSE))</f>
        <v>0</v>
      </c>
      <c r="DG177" s="145">
        <f>IF(ISERROR(VLOOKUP($A177,FIJOS!$B$11:$P$447,12,FALSE)),0,VLOOKUP($A177,FIJOS!$B$11:$P$447,12,FALSE))</f>
        <v>0</v>
      </c>
      <c r="DH177" s="82">
        <f t="shared" si="95"/>
        <v>0</v>
      </c>
      <c r="DI177" s="83" t="b">
        <f>IF($C177=1,(VLOOKUP($A177,FIJOS!$B$11:$P$545,10,FALSE)/7)*(7-$CU177),IF(AND($C177=2,CV177&lt;$DJ$1),(VLOOKUP($D177,HORAS!$B$4:$C$42,2,FALSE)*24)*$CV177,IF(AND($C177=2,CV177&gt;=$DJ$1),VLOOKUP($D177,HORAS!$B$4:$D$42,3,FALSE),IF(AND($C177=3,$CV177&gt;=$DJ$1),VLOOKUP($A177,FIJOS!$B$11:$P$545,10,FALSE),IF(AND($C177=3,$CV177&lt;$DJ$1),((VLOOKUP($A177,FIJOS!$B$11:$P$545,10,FALSE)/48)*24)*$CV177,IF(AND($C177=4,$CV177&gt;=(42/24)),VLOOKUP($D177,HORAS!$B$4:$D$42,3,FALSE),IF(AND($C177=5,$CV177&gt;=(36/24)),VLOOKUP($D177,HORAS!$B$4:$D$42,3,FALSE))))))))</f>
        <v>0</v>
      </c>
      <c r="DJ177" s="145">
        <f>IF(OR($C177=2),VLOOKUP($D177,HORAS!$B$4:$E$42,4,FALSE)*$EC177,IF(ISERROR(VLOOKUP($A177,FIJOS!$B$11:$P$108,9,FALSE)),0,VLOOKUP($A177,FIJOS!$B$11:$P$231,9,FALSE)*$EC177))</f>
        <v>0</v>
      </c>
      <c r="DK177" s="145">
        <f>IF(OR($C177=2),VLOOKUP($D177,HORAS!$B$4:$F$42,5,FALSE)*$EE177,IF(ISERROR(VLOOKUP($A177,FIJOS!$B$11:$P$108,9,FALSE)),0,VLOOKUP($A177,FIJOS!$B$11:$P$231,9,FALSE)*$EE177))</f>
        <v>0</v>
      </c>
      <c r="DL177" s="144"/>
      <c r="DM177" s="145">
        <f>IF(ISERROR(VLOOKUP($A177,FIJOS!$B$11:$L$646,11,FALSE)),0,VLOOKUP($A177,FIJOS!$B$11:$L$646,11,FALSE))</f>
        <v>0</v>
      </c>
      <c r="DN177" s="148" t="e">
        <f>IF(OR($C177=1,$C177=3),0,IF((VLOOKUP(CAPTURA!D177,HORAS!$B$4:$K$42,10,FALSE)/4)*COUNTIF($H177:$CT177,3)&gt;100,100,(VLOOKUP(CAPTURA!D177,HORAS!$B$4:$K$42,10,FALSE)/4)*COUNTIF($H177:$CT177,3)))</f>
        <v>#N/A</v>
      </c>
      <c r="DO177" s="144" t="e">
        <f>IF(OR($C177=1,$C177=3),0,IF($C177=5,VLOOKUP(D177,HORAS!$B$4:$G$42,6,FALSE),IF(AND($C177=4,$CV177&gt;=(42/24)),VLOOKUP(D177,HORAS!$B$4:$G$42,6,FALSE),IF(COUNTIF($H177:$CL177,"F")&gt;0,0,IF(CV177&gt;$DJ$1,$DJ$1*(VLOOKUP(D177,HORAS!$B$4:$G$42,6,FALSE)/$DJ$1),CV177*(VLOOKUP(D177,HORAS!$B$4:$G$42,6,FALSE)/$DJ$1))))))</f>
        <v>#N/A</v>
      </c>
      <c r="DP177" s="177"/>
      <c r="DQ177" s="148"/>
      <c r="DR177" s="148"/>
      <c r="DS177" s="83" t="e">
        <f t="shared" si="98"/>
        <v>#N/A</v>
      </c>
      <c r="DT177" s="84"/>
      <c r="DU177" s="149" t="e">
        <f t="shared" si="99"/>
        <v>#N/A</v>
      </c>
      <c r="DV177" s="149" t="e">
        <f t="shared" si="100"/>
        <v>#N/A</v>
      </c>
      <c r="DW177" s="144" t="e">
        <f t="shared" si="101"/>
        <v>#N/A</v>
      </c>
      <c r="DX177" s="134"/>
      <c r="DY177" s="29"/>
      <c r="DZ177" s="150"/>
      <c r="EA177" s="134"/>
      <c r="EB177" s="137">
        <f t="shared" si="102"/>
        <v>0</v>
      </c>
      <c r="EC177" s="138">
        <f t="shared" si="96"/>
        <v>0</v>
      </c>
      <c r="ED177" s="137">
        <f t="shared" si="103"/>
        <v>0</v>
      </c>
      <c r="EE177" s="132">
        <f t="shared" si="97"/>
        <v>0</v>
      </c>
      <c r="EF177" s="29"/>
      <c r="EG177" s="134"/>
      <c r="EH177" s="134"/>
      <c r="EI177" s="134"/>
      <c r="EK177" s="29"/>
    </row>
    <row r="178" spans="1:141" ht="15" customHeight="1" x14ac:dyDescent="0.25">
      <c r="A178" s="140"/>
      <c r="B178" s="5"/>
      <c r="C178" s="72"/>
      <c r="D178" s="73"/>
      <c r="E178" s="73"/>
      <c r="F178" s="141"/>
      <c r="G178" s="74"/>
      <c r="H178" s="75"/>
      <c r="I178" s="76"/>
      <c r="J178" s="135"/>
      <c r="K178" s="135"/>
      <c r="L178" s="77">
        <f t="shared" si="74"/>
        <v>0</v>
      </c>
      <c r="M178" s="78"/>
      <c r="N178" s="142"/>
      <c r="O178" s="142"/>
      <c r="P178" s="77">
        <f t="shared" si="75"/>
        <v>0</v>
      </c>
      <c r="Q178" s="78"/>
      <c r="R178" s="143"/>
      <c r="S178" s="143"/>
      <c r="T178" s="77">
        <f t="shared" si="76"/>
        <v>0</v>
      </c>
      <c r="U178" s="75"/>
      <c r="V178" s="76"/>
      <c r="W178" s="135"/>
      <c r="X178" s="135"/>
      <c r="Y178" s="77">
        <f t="shared" si="77"/>
        <v>0</v>
      </c>
      <c r="Z178" s="78"/>
      <c r="AA178" s="142"/>
      <c r="AB178" s="142"/>
      <c r="AC178" s="77">
        <f t="shared" si="78"/>
        <v>0</v>
      </c>
      <c r="AD178" s="78"/>
      <c r="AE178" s="143"/>
      <c r="AF178" s="143"/>
      <c r="AG178" s="79">
        <f t="shared" si="79"/>
        <v>0</v>
      </c>
      <c r="AH178" s="75"/>
      <c r="AI178" s="76"/>
      <c r="AJ178" s="135"/>
      <c r="AK178" s="135"/>
      <c r="AL178" s="77">
        <f t="shared" si="80"/>
        <v>0</v>
      </c>
      <c r="AM178" s="76"/>
      <c r="AN178" s="142"/>
      <c r="AO178" s="142"/>
      <c r="AP178" s="77">
        <f t="shared" si="81"/>
        <v>0</v>
      </c>
      <c r="AQ178" s="78"/>
      <c r="AR178" s="142"/>
      <c r="AS178" s="142"/>
      <c r="AT178" s="79">
        <f t="shared" si="82"/>
        <v>0</v>
      </c>
      <c r="AU178" s="75"/>
      <c r="AV178" s="76"/>
      <c r="AW178" s="135"/>
      <c r="AX178" s="135"/>
      <c r="AY178" s="77">
        <f t="shared" si="83"/>
        <v>0</v>
      </c>
      <c r="AZ178" s="76"/>
      <c r="BA178" s="142"/>
      <c r="BB178" s="142"/>
      <c r="BC178" s="77">
        <f t="shared" si="84"/>
        <v>0</v>
      </c>
      <c r="BD178" s="78"/>
      <c r="BE178" s="142"/>
      <c r="BF178" s="142"/>
      <c r="BG178" s="79">
        <f t="shared" si="85"/>
        <v>0</v>
      </c>
      <c r="BH178" s="75"/>
      <c r="BI178" s="76"/>
      <c r="BJ178" s="135"/>
      <c r="BK178" s="135"/>
      <c r="BL178" s="77">
        <f t="shared" si="86"/>
        <v>0</v>
      </c>
      <c r="BM178" s="78"/>
      <c r="BN178" s="142"/>
      <c r="BO178" s="142"/>
      <c r="BP178" s="77">
        <f t="shared" si="87"/>
        <v>0</v>
      </c>
      <c r="BQ178" s="78"/>
      <c r="BR178" s="142"/>
      <c r="BS178" s="142"/>
      <c r="BT178" s="79">
        <f t="shared" si="88"/>
        <v>0</v>
      </c>
      <c r="BU178" s="75"/>
      <c r="BV178" s="76"/>
      <c r="BW178" s="135"/>
      <c r="BX178" s="135"/>
      <c r="BY178" s="77">
        <f t="shared" si="89"/>
        <v>0</v>
      </c>
      <c r="BZ178" s="78"/>
      <c r="CA178" s="142"/>
      <c r="CB178" s="142"/>
      <c r="CC178" s="77">
        <f t="shared" si="90"/>
        <v>0</v>
      </c>
      <c r="CD178" s="78"/>
      <c r="CE178" s="142"/>
      <c r="CF178" s="142"/>
      <c r="CG178" s="79">
        <f t="shared" si="91"/>
        <v>0</v>
      </c>
      <c r="CH178" s="75"/>
      <c r="CI178" s="76"/>
      <c r="CJ178" s="135"/>
      <c r="CK178" s="135"/>
      <c r="CL178" s="77">
        <f t="shared" si="92"/>
        <v>0</v>
      </c>
      <c r="CM178" s="78"/>
      <c r="CN178" s="142"/>
      <c r="CO178" s="142"/>
      <c r="CP178" s="77">
        <f t="shared" si="93"/>
        <v>0</v>
      </c>
      <c r="CQ178" s="78"/>
      <c r="CR178" s="142"/>
      <c r="CS178" s="142"/>
      <c r="CT178" s="79">
        <f t="shared" si="94"/>
        <v>0</v>
      </c>
      <c r="CU178" s="80">
        <f t="shared" si="104"/>
        <v>0</v>
      </c>
      <c r="CV178" s="81">
        <f t="shared" si="105"/>
        <v>0</v>
      </c>
      <c r="CW178" s="144"/>
      <c r="CX178" s="145">
        <f>IF(ISERROR(VLOOKUP($A178,FIJOS!$B$11:$O$590,14,FALSE)),0,VLOOKUP($A178,FIJOS!$B$11:$O$590,14,FALSE))</f>
        <v>0</v>
      </c>
      <c r="CY178" s="145">
        <f>IF(ISERROR(VLOOKUP(A178,FIJOS!$B$10:$P$590,15,FALSE)),0,VLOOKUP(A178,FIJOS!$B$10:$P$590,15,FALSE))</f>
        <v>0</v>
      </c>
      <c r="CZ178" s="156"/>
      <c r="DA178" s="146"/>
      <c r="DB178" s="147"/>
      <c r="DC178" s="147"/>
      <c r="DD178" s="147"/>
      <c r="DE178" s="147"/>
      <c r="DF178" s="145">
        <f>IF(ISERROR(VLOOKUP($A178,FIJOS!$B$11:$N$590,13,FALSE)),0,VLOOKUP($A178,FIJOS!$B$11:$N$590,13,FALSE))</f>
        <v>0</v>
      </c>
      <c r="DG178" s="145">
        <f>IF(ISERROR(VLOOKUP($A178,FIJOS!$B$11:$P$447,12,FALSE)),0,VLOOKUP($A178,FIJOS!$B$11:$P$447,12,FALSE))</f>
        <v>0</v>
      </c>
      <c r="DH178" s="82">
        <f t="shared" si="95"/>
        <v>0</v>
      </c>
      <c r="DI178" s="83" t="b">
        <f>IF($C178=1,(VLOOKUP($A178,FIJOS!$B$11:$P$545,10,FALSE)/7)*(7-$CU178),IF(AND($C178=2,CV178&lt;$DJ$1),(VLOOKUP($D178,HORAS!$B$4:$C$42,2,FALSE)*24)*$CV178,IF(AND($C178=2,CV178&gt;=$DJ$1),VLOOKUP($D178,HORAS!$B$4:$D$42,3,FALSE),IF(AND($C178=3,$CV178&gt;=$DJ$1),VLOOKUP($A178,FIJOS!$B$11:$P$545,10,FALSE),IF(AND($C178=3,$CV178&lt;$DJ$1),((VLOOKUP($A178,FIJOS!$B$11:$P$545,10,FALSE)/48)*24)*$CV178,IF(AND($C178=4,$CV178&gt;=(42/24)),VLOOKUP($D178,HORAS!$B$4:$D$42,3,FALSE),IF(AND($C178=5,$CV178&gt;=(36/24)),VLOOKUP($D178,HORAS!$B$4:$D$42,3,FALSE))))))))</f>
        <v>0</v>
      </c>
      <c r="DJ178" s="145">
        <f>IF(OR($C178=2),VLOOKUP($D178,HORAS!$B$4:$E$42,4,FALSE)*$EC178,IF(ISERROR(VLOOKUP($A178,FIJOS!$B$11:$P$108,9,FALSE)),0,VLOOKUP($A178,FIJOS!$B$11:$P$231,9,FALSE)*$EC178))</f>
        <v>0</v>
      </c>
      <c r="DK178" s="145">
        <f>IF(OR($C178=2),VLOOKUP($D178,HORAS!$B$4:$F$42,5,FALSE)*$EE178,IF(ISERROR(VLOOKUP($A178,FIJOS!$B$11:$P$108,9,FALSE)),0,VLOOKUP($A178,FIJOS!$B$11:$P$231,9,FALSE)*$EE178))</f>
        <v>0</v>
      </c>
      <c r="DL178" s="144"/>
      <c r="DM178" s="145">
        <f>IF(ISERROR(VLOOKUP($A178,FIJOS!$B$11:$L$646,11,FALSE)),0,VLOOKUP($A178,FIJOS!$B$11:$L$646,11,FALSE))</f>
        <v>0</v>
      </c>
      <c r="DN178" s="148" t="e">
        <f>IF(OR($C178=1,$C178=3),0,IF((VLOOKUP(CAPTURA!D178,HORAS!$B$4:$K$42,10,FALSE)/4)*COUNTIF($H178:$CT178,3)&gt;100,100,(VLOOKUP(CAPTURA!D178,HORAS!$B$4:$K$42,10,FALSE)/4)*COUNTIF($H178:$CT178,3)))</f>
        <v>#N/A</v>
      </c>
      <c r="DO178" s="144" t="e">
        <f>IF(OR($C178=1,$C178=3),0,IF($C178=5,VLOOKUP(D178,HORAS!$B$4:$G$42,6,FALSE),IF(AND($C178=4,$CV178&gt;=(42/24)),VLOOKUP(D178,HORAS!$B$4:$G$42,6,FALSE),IF(COUNTIF($H178:$CL178,"F")&gt;0,0,IF(CV178&gt;$DJ$1,$DJ$1*(VLOOKUP(D178,HORAS!$B$4:$G$42,6,FALSE)/$DJ$1),CV178*(VLOOKUP(D178,HORAS!$B$4:$G$42,6,FALSE)/$DJ$1))))))</f>
        <v>#N/A</v>
      </c>
      <c r="DP178" s="177"/>
      <c r="DQ178" s="148"/>
      <c r="DR178" s="148"/>
      <c r="DS178" s="83" t="e">
        <f t="shared" si="98"/>
        <v>#N/A</v>
      </c>
      <c r="DT178" s="84"/>
      <c r="DU178" s="149" t="e">
        <f t="shared" si="99"/>
        <v>#N/A</v>
      </c>
      <c r="DV178" s="149" t="e">
        <f t="shared" si="100"/>
        <v>#N/A</v>
      </c>
      <c r="DW178" s="144" t="e">
        <f t="shared" si="101"/>
        <v>#N/A</v>
      </c>
      <c r="DX178" s="134"/>
      <c r="DY178" s="29"/>
      <c r="DZ178" s="150"/>
      <c r="EA178" s="134"/>
      <c r="EB178" s="137">
        <f t="shared" si="102"/>
        <v>0</v>
      </c>
      <c r="EC178" s="138">
        <f t="shared" si="96"/>
        <v>0</v>
      </c>
      <c r="ED178" s="137">
        <f t="shared" si="103"/>
        <v>0</v>
      </c>
      <c r="EE178" s="132">
        <f t="shared" si="97"/>
        <v>0</v>
      </c>
      <c r="EF178" s="29"/>
      <c r="EG178" s="134"/>
      <c r="EH178" s="134"/>
      <c r="EI178" s="134"/>
      <c r="EK178" s="29"/>
    </row>
    <row r="179" spans="1:141" ht="15" customHeight="1" x14ac:dyDescent="0.25">
      <c r="A179" s="140"/>
      <c r="B179" s="151"/>
      <c r="C179" s="72"/>
      <c r="D179" s="73"/>
      <c r="E179" s="73"/>
      <c r="F179" s="141"/>
      <c r="G179" s="74"/>
      <c r="H179" s="75"/>
      <c r="I179" s="76"/>
      <c r="J179" s="135"/>
      <c r="K179" s="135"/>
      <c r="L179" s="77">
        <f t="shared" si="74"/>
        <v>0</v>
      </c>
      <c r="M179" s="78"/>
      <c r="N179" s="142"/>
      <c r="O179" s="142"/>
      <c r="P179" s="77">
        <f t="shared" si="75"/>
        <v>0</v>
      </c>
      <c r="Q179" s="78"/>
      <c r="R179" s="143"/>
      <c r="S179" s="143"/>
      <c r="T179" s="77">
        <f t="shared" si="76"/>
        <v>0</v>
      </c>
      <c r="U179" s="75"/>
      <c r="V179" s="76"/>
      <c r="W179" s="135"/>
      <c r="X179" s="135"/>
      <c r="Y179" s="77">
        <f t="shared" si="77"/>
        <v>0</v>
      </c>
      <c r="Z179" s="78"/>
      <c r="AA179" s="142"/>
      <c r="AB179" s="142"/>
      <c r="AC179" s="77">
        <f t="shared" si="78"/>
        <v>0</v>
      </c>
      <c r="AD179" s="78"/>
      <c r="AE179" s="143"/>
      <c r="AF179" s="143"/>
      <c r="AG179" s="79">
        <f t="shared" si="79"/>
        <v>0</v>
      </c>
      <c r="AH179" s="75"/>
      <c r="AI179" s="76"/>
      <c r="AJ179" s="135"/>
      <c r="AK179" s="135"/>
      <c r="AL179" s="77">
        <f t="shared" si="80"/>
        <v>0</v>
      </c>
      <c r="AM179" s="76"/>
      <c r="AN179" s="142"/>
      <c r="AO179" s="142"/>
      <c r="AP179" s="77">
        <f t="shared" si="81"/>
        <v>0</v>
      </c>
      <c r="AQ179" s="78"/>
      <c r="AR179" s="142"/>
      <c r="AS179" s="142"/>
      <c r="AT179" s="79">
        <f t="shared" si="82"/>
        <v>0</v>
      </c>
      <c r="AU179" s="75"/>
      <c r="AV179" s="76"/>
      <c r="AW179" s="135"/>
      <c r="AX179" s="135"/>
      <c r="AY179" s="77">
        <f t="shared" si="83"/>
        <v>0</v>
      </c>
      <c r="AZ179" s="76"/>
      <c r="BA179" s="142"/>
      <c r="BB179" s="142"/>
      <c r="BC179" s="77">
        <f t="shared" si="84"/>
        <v>0</v>
      </c>
      <c r="BD179" s="78"/>
      <c r="BE179" s="142"/>
      <c r="BF179" s="142"/>
      <c r="BG179" s="79">
        <f t="shared" si="85"/>
        <v>0</v>
      </c>
      <c r="BH179" s="75"/>
      <c r="BI179" s="76"/>
      <c r="BJ179" s="135"/>
      <c r="BK179" s="135"/>
      <c r="BL179" s="77">
        <f t="shared" si="86"/>
        <v>0</v>
      </c>
      <c r="BM179" s="78"/>
      <c r="BN179" s="142"/>
      <c r="BO179" s="142"/>
      <c r="BP179" s="77">
        <f t="shared" si="87"/>
        <v>0</v>
      </c>
      <c r="BQ179" s="78"/>
      <c r="BR179" s="142"/>
      <c r="BS179" s="142"/>
      <c r="BT179" s="79">
        <f t="shared" si="88"/>
        <v>0</v>
      </c>
      <c r="BU179" s="75"/>
      <c r="BV179" s="76"/>
      <c r="BW179" s="135"/>
      <c r="BX179" s="135"/>
      <c r="BY179" s="77">
        <f t="shared" si="89"/>
        <v>0</v>
      </c>
      <c r="BZ179" s="78"/>
      <c r="CA179" s="142"/>
      <c r="CB179" s="142"/>
      <c r="CC179" s="77">
        <f t="shared" si="90"/>
        <v>0</v>
      </c>
      <c r="CD179" s="78"/>
      <c r="CE179" s="142"/>
      <c r="CF179" s="142"/>
      <c r="CG179" s="79">
        <f t="shared" si="91"/>
        <v>0</v>
      </c>
      <c r="CH179" s="75"/>
      <c r="CI179" s="76"/>
      <c r="CJ179" s="135"/>
      <c r="CK179" s="135"/>
      <c r="CL179" s="77">
        <f t="shared" si="92"/>
        <v>0</v>
      </c>
      <c r="CM179" s="78"/>
      <c r="CN179" s="142"/>
      <c r="CO179" s="142"/>
      <c r="CP179" s="77">
        <f t="shared" si="93"/>
        <v>0</v>
      </c>
      <c r="CQ179" s="78"/>
      <c r="CR179" s="142"/>
      <c r="CS179" s="142"/>
      <c r="CT179" s="79">
        <f t="shared" si="94"/>
        <v>0</v>
      </c>
      <c r="CU179" s="80">
        <f t="shared" si="104"/>
        <v>0</v>
      </c>
      <c r="CV179" s="81">
        <f t="shared" si="105"/>
        <v>0</v>
      </c>
      <c r="CW179" s="144"/>
      <c r="CX179" s="145">
        <f>IF(ISERROR(VLOOKUP($A179,FIJOS!$B$11:$O$590,14,FALSE)),0,VLOOKUP($A179,FIJOS!$B$11:$O$590,14,FALSE))</f>
        <v>0</v>
      </c>
      <c r="CY179" s="145">
        <f>IF(ISERROR(VLOOKUP(A179,FIJOS!$B$10:$P$590,15,FALSE)),0,VLOOKUP(A179,FIJOS!$B$10:$P$590,15,FALSE))</f>
        <v>0</v>
      </c>
      <c r="CZ179" s="156"/>
      <c r="DA179" s="146"/>
      <c r="DB179" s="147"/>
      <c r="DC179" s="147"/>
      <c r="DD179" s="147"/>
      <c r="DE179" s="147"/>
      <c r="DF179" s="145">
        <f>IF(ISERROR(VLOOKUP($A179,FIJOS!$B$11:$N$590,13,FALSE)),0,VLOOKUP($A179,FIJOS!$B$11:$N$590,13,FALSE))</f>
        <v>0</v>
      </c>
      <c r="DG179" s="145">
        <f>IF(ISERROR(VLOOKUP($A179,FIJOS!$B$11:$P$447,12,FALSE)),0,VLOOKUP($A179,FIJOS!$B$11:$P$447,12,FALSE))</f>
        <v>0</v>
      </c>
      <c r="DH179" s="82">
        <f t="shared" si="95"/>
        <v>0</v>
      </c>
      <c r="DI179" s="83" t="b">
        <f>IF($C179=1,(VLOOKUP($A179,FIJOS!$B$11:$P$545,10,FALSE)/7)*(7-$CU179),IF(AND($C179=2,CV179&lt;$DJ$1),(VLOOKUP($D179,HORAS!$B$4:$C$42,2,FALSE)*24)*$CV179,IF(AND($C179=2,CV179&gt;=$DJ$1),VLOOKUP($D179,HORAS!$B$4:$D$42,3,FALSE),IF(AND($C179=3,$CV179&gt;=$DJ$1),VLOOKUP($A179,FIJOS!$B$11:$P$545,10,FALSE),IF(AND($C179=3,$CV179&lt;$DJ$1),((VLOOKUP($A179,FIJOS!$B$11:$P$545,10,FALSE)/48)*24)*$CV179,IF(AND($C179=4,$CV179&gt;=(42/24)),VLOOKUP($D179,HORAS!$B$4:$D$42,3,FALSE),IF(AND($C179=5,$CV179&gt;=(36/24)),VLOOKUP($D179,HORAS!$B$4:$D$42,3,FALSE))))))))</f>
        <v>0</v>
      </c>
      <c r="DJ179" s="145">
        <f>IF(OR($C179=2),VLOOKUP($D179,HORAS!$B$4:$E$42,4,FALSE)*$EC179,IF(ISERROR(VLOOKUP($A179,FIJOS!$B$11:$P$108,9,FALSE)),0,VLOOKUP($A179,FIJOS!$B$11:$P$231,9,FALSE)*$EC179))</f>
        <v>0</v>
      </c>
      <c r="DK179" s="145">
        <f>IF(OR($C179=2),VLOOKUP($D179,HORAS!$B$4:$F$42,5,FALSE)*$EE179,IF(ISERROR(VLOOKUP($A179,FIJOS!$B$11:$P$108,9,FALSE)),0,VLOOKUP($A179,FIJOS!$B$11:$P$231,9,FALSE)*$EE179))</f>
        <v>0</v>
      </c>
      <c r="DL179" s="144"/>
      <c r="DM179" s="145">
        <f>IF(ISERROR(VLOOKUP($A179,FIJOS!$B$11:$L$646,11,FALSE)),0,VLOOKUP($A179,FIJOS!$B$11:$L$646,11,FALSE))</f>
        <v>0</v>
      </c>
      <c r="DN179" s="148" t="e">
        <f>IF(OR($C179=1,$C179=3),0,IF((VLOOKUP(CAPTURA!D179,HORAS!$B$4:$K$42,10,FALSE)/4)*COUNTIF($H179:$CT179,3)&gt;100,100,(VLOOKUP(CAPTURA!D179,HORAS!$B$4:$K$42,10,FALSE)/4)*COUNTIF($H179:$CT179,3)))</f>
        <v>#N/A</v>
      </c>
      <c r="DO179" s="144" t="e">
        <f>IF(OR($C179=1,$C179=3),0,IF($C179=5,VLOOKUP(D179,HORAS!$B$4:$G$42,6,FALSE),IF(AND($C179=4,$CV179&gt;=(42/24)),VLOOKUP(D179,HORAS!$B$4:$G$42,6,FALSE),IF(COUNTIF($H179:$CL179,"F")&gt;0,0,IF(CV179&gt;$DJ$1,$DJ$1*(VLOOKUP(D179,HORAS!$B$4:$G$42,6,FALSE)/$DJ$1),CV179*(VLOOKUP(D179,HORAS!$B$4:$G$42,6,FALSE)/$DJ$1))))))</f>
        <v>#N/A</v>
      </c>
      <c r="DP179" s="156"/>
      <c r="DQ179" s="89"/>
      <c r="DR179" s="148"/>
      <c r="DS179" s="83" t="e">
        <f t="shared" si="98"/>
        <v>#N/A</v>
      </c>
      <c r="DT179" s="84"/>
      <c r="DU179" s="149" t="e">
        <f t="shared" si="99"/>
        <v>#N/A</v>
      </c>
      <c r="DV179" s="149" t="e">
        <f t="shared" si="100"/>
        <v>#N/A</v>
      </c>
      <c r="DW179" s="144" t="e">
        <f t="shared" si="101"/>
        <v>#N/A</v>
      </c>
      <c r="DX179" s="134"/>
      <c r="DY179" s="29"/>
      <c r="DZ179" s="150"/>
      <c r="EA179" s="137"/>
      <c r="EB179" s="137">
        <f t="shared" si="102"/>
        <v>0</v>
      </c>
      <c r="EC179" s="138">
        <f t="shared" si="96"/>
        <v>0</v>
      </c>
      <c r="ED179" s="137">
        <f t="shared" si="103"/>
        <v>0</v>
      </c>
      <c r="EE179" s="132">
        <f t="shared" si="97"/>
        <v>0</v>
      </c>
      <c r="EF179" s="29"/>
      <c r="EG179" s="134"/>
      <c r="EH179" s="134"/>
      <c r="EI179" s="134"/>
      <c r="EK179" s="35"/>
    </row>
    <row r="180" spans="1:141" ht="15" customHeight="1" x14ac:dyDescent="0.25">
      <c r="A180" s="140"/>
      <c r="B180" s="151"/>
      <c r="C180" s="72"/>
      <c r="D180" s="73"/>
      <c r="E180" s="73"/>
      <c r="F180" s="141"/>
      <c r="G180" s="74"/>
      <c r="H180" s="75"/>
      <c r="I180" s="76"/>
      <c r="J180" s="135"/>
      <c r="K180" s="135"/>
      <c r="L180" s="77">
        <f t="shared" si="74"/>
        <v>0</v>
      </c>
      <c r="M180" s="78"/>
      <c r="N180" s="142"/>
      <c r="O180" s="142"/>
      <c r="P180" s="77">
        <f t="shared" si="75"/>
        <v>0</v>
      </c>
      <c r="Q180" s="78"/>
      <c r="R180" s="143"/>
      <c r="S180" s="143"/>
      <c r="T180" s="77">
        <f t="shared" si="76"/>
        <v>0</v>
      </c>
      <c r="U180" s="75"/>
      <c r="V180" s="76"/>
      <c r="W180" s="135"/>
      <c r="X180" s="135"/>
      <c r="Y180" s="77">
        <f t="shared" si="77"/>
        <v>0</v>
      </c>
      <c r="Z180" s="78"/>
      <c r="AA180" s="142"/>
      <c r="AB180" s="142"/>
      <c r="AC180" s="77">
        <f t="shared" si="78"/>
        <v>0</v>
      </c>
      <c r="AD180" s="78"/>
      <c r="AE180" s="143"/>
      <c r="AF180" s="143"/>
      <c r="AG180" s="79">
        <f t="shared" si="79"/>
        <v>0</v>
      </c>
      <c r="AH180" s="75"/>
      <c r="AI180" s="76"/>
      <c r="AJ180" s="135"/>
      <c r="AK180" s="135"/>
      <c r="AL180" s="77">
        <f t="shared" si="80"/>
        <v>0</v>
      </c>
      <c r="AM180" s="76"/>
      <c r="AN180" s="142"/>
      <c r="AO180" s="142"/>
      <c r="AP180" s="77">
        <f t="shared" si="81"/>
        <v>0</v>
      </c>
      <c r="AQ180" s="78"/>
      <c r="AR180" s="142"/>
      <c r="AS180" s="142"/>
      <c r="AT180" s="79">
        <f t="shared" si="82"/>
        <v>0</v>
      </c>
      <c r="AU180" s="75"/>
      <c r="AV180" s="76"/>
      <c r="AW180" s="135"/>
      <c r="AX180" s="135"/>
      <c r="AY180" s="77">
        <f t="shared" si="83"/>
        <v>0</v>
      </c>
      <c r="AZ180" s="76"/>
      <c r="BA180" s="142"/>
      <c r="BB180" s="142"/>
      <c r="BC180" s="77">
        <f t="shared" si="84"/>
        <v>0</v>
      </c>
      <c r="BD180" s="78"/>
      <c r="BE180" s="142"/>
      <c r="BF180" s="142"/>
      <c r="BG180" s="79">
        <f t="shared" si="85"/>
        <v>0</v>
      </c>
      <c r="BH180" s="75"/>
      <c r="BI180" s="76"/>
      <c r="BJ180" s="135"/>
      <c r="BK180" s="135"/>
      <c r="BL180" s="77">
        <f t="shared" si="86"/>
        <v>0</v>
      </c>
      <c r="BM180" s="78"/>
      <c r="BN180" s="142"/>
      <c r="BO180" s="142"/>
      <c r="BP180" s="77">
        <f t="shared" si="87"/>
        <v>0</v>
      </c>
      <c r="BQ180" s="78"/>
      <c r="BR180" s="142"/>
      <c r="BS180" s="142"/>
      <c r="BT180" s="79">
        <f t="shared" si="88"/>
        <v>0</v>
      </c>
      <c r="BU180" s="75"/>
      <c r="BV180" s="76"/>
      <c r="BW180" s="135"/>
      <c r="BX180" s="135"/>
      <c r="BY180" s="77">
        <f t="shared" si="89"/>
        <v>0</v>
      </c>
      <c r="BZ180" s="78"/>
      <c r="CA180" s="142"/>
      <c r="CB180" s="142"/>
      <c r="CC180" s="77">
        <f t="shared" si="90"/>
        <v>0</v>
      </c>
      <c r="CD180" s="78"/>
      <c r="CE180" s="142"/>
      <c r="CF180" s="142"/>
      <c r="CG180" s="79">
        <f t="shared" si="91"/>
        <v>0</v>
      </c>
      <c r="CH180" s="75"/>
      <c r="CI180" s="76"/>
      <c r="CJ180" s="135"/>
      <c r="CK180" s="135"/>
      <c r="CL180" s="77">
        <f t="shared" si="92"/>
        <v>0</v>
      </c>
      <c r="CM180" s="78"/>
      <c r="CN180" s="142"/>
      <c r="CO180" s="142"/>
      <c r="CP180" s="77">
        <f t="shared" si="93"/>
        <v>0</v>
      </c>
      <c r="CQ180" s="78"/>
      <c r="CR180" s="142"/>
      <c r="CS180" s="142"/>
      <c r="CT180" s="79">
        <f t="shared" si="94"/>
        <v>0</v>
      </c>
      <c r="CU180" s="80">
        <f t="shared" si="104"/>
        <v>0</v>
      </c>
      <c r="CV180" s="81">
        <f t="shared" si="105"/>
        <v>0</v>
      </c>
      <c r="CW180" s="144"/>
      <c r="CX180" s="145">
        <f>IF(ISERROR(VLOOKUP($A180,FIJOS!$B$11:$O$590,14,FALSE)),0,VLOOKUP($A180,FIJOS!$B$11:$O$590,14,FALSE))</f>
        <v>0</v>
      </c>
      <c r="CY180" s="145">
        <f>IF(ISERROR(VLOOKUP(A180,FIJOS!$B$10:$P$590,15,FALSE)),0,VLOOKUP(A180,FIJOS!$B$10:$P$590,15,FALSE))</f>
        <v>0</v>
      </c>
      <c r="CZ180" s="156"/>
      <c r="DA180" s="146"/>
      <c r="DB180" s="147"/>
      <c r="DC180" s="147"/>
      <c r="DD180" s="147"/>
      <c r="DE180" s="147"/>
      <c r="DF180" s="145">
        <f>IF(ISERROR(VLOOKUP($A180,FIJOS!$B$11:$N$590,13,FALSE)),0,VLOOKUP($A180,FIJOS!$B$11:$N$590,13,FALSE))</f>
        <v>0</v>
      </c>
      <c r="DG180" s="145">
        <f>IF(ISERROR(VLOOKUP($A180,FIJOS!$B$11:$P$447,12,FALSE)),0,VLOOKUP($A180,FIJOS!$B$11:$P$447,12,FALSE))</f>
        <v>0</v>
      </c>
      <c r="DH180" s="82">
        <f t="shared" si="95"/>
        <v>0</v>
      </c>
      <c r="DI180" s="83" t="b">
        <f>IF($C180=1,(VLOOKUP($A180,FIJOS!$B$11:$P$545,10,FALSE)/7)*(7-$CU180),IF(AND($C180=2,CV180&lt;$DJ$1),(VLOOKUP($D180,HORAS!$B$4:$C$42,2,FALSE)*24)*$CV180,IF(AND($C180=2,CV180&gt;=$DJ$1),VLOOKUP($D180,HORAS!$B$4:$D$42,3,FALSE),IF(AND($C180=3,$CV180&gt;=$DJ$1),VLOOKUP($A180,FIJOS!$B$11:$P$545,10,FALSE),IF(AND($C180=3,$CV180&lt;$DJ$1),((VLOOKUP($A180,FIJOS!$B$11:$P$545,10,FALSE)/48)*24)*$CV180,IF(AND($C180=4,$CV180&gt;=(42/24)),VLOOKUP($D180,HORAS!$B$4:$D$42,3,FALSE),IF(AND($C180=5,$CV180&gt;=(36/24)),VLOOKUP($D180,HORAS!$B$4:$D$42,3,FALSE))))))))</f>
        <v>0</v>
      </c>
      <c r="DJ180" s="145">
        <f>IF(OR($C180=2),VLOOKUP($D180,HORAS!$B$4:$E$42,4,FALSE)*$EC180,IF(ISERROR(VLOOKUP($A180,FIJOS!$B$11:$P$108,9,FALSE)),0,VLOOKUP($A180,FIJOS!$B$11:$P$231,9,FALSE)*$EC180))</f>
        <v>0</v>
      </c>
      <c r="DK180" s="145">
        <f>IF(OR($C180=2),VLOOKUP($D180,HORAS!$B$4:$F$42,5,FALSE)*$EE180,IF(ISERROR(VLOOKUP($A180,FIJOS!$B$11:$P$108,9,FALSE)),0,VLOOKUP($A180,FIJOS!$B$11:$P$231,9,FALSE)*$EE180))</f>
        <v>0</v>
      </c>
      <c r="DL180" s="144"/>
      <c r="DM180" s="145">
        <f>IF(ISERROR(VLOOKUP($A180,FIJOS!$B$11:$L$646,11,FALSE)),0,VLOOKUP($A180,FIJOS!$B$11:$L$646,11,FALSE))</f>
        <v>0</v>
      </c>
      <c r="DN180" s="148" t="e">
        <f>IF(OR($C180=1,$C180=3),0,IF((VLOOKUP(CAPTURA!D180,HORAS!$B$4:$K$42,10,FALSE)/4)*COUNTIF($H180:$CT180,3)&gt;100,100,(VLOOKUP(CAPTURA!D180,HORAS!$B$4:$K$42,10,FALSE)/4)*COUNTIF($H180:$CT180,3)))</f>
        <v>#N/A</v>
      </c>
      <c r="DO180" s="144" t="e">
        <f>IF(OR($C180=1,$C180=3),0,IF($C180=5,VLOOKUP(D180,HORAS!$B$4:$G$42,6,FALSE),IF(AND($C180=4,$CV180&gt;=(42/24)),VLOOKUP(D180,HORAS!$B$4:$G$42,6,FALSE),IF(COUNTIF($H180:$CL180,"F")&gt;0,0,IF(CV180&gt;$DJ$1,$DJ$1*(VLOOKUP(D180,HORAS!$B$4:$G$42,6,FALSE)/$DJ$1),CV180*(VLOOKUP(D180,HORAS!$B$4:$G$42,6,FALSE)/$DJ$1))))))</f>
        <v>#N/A</v>
      </c>
      <c r="DP180" s="156"/>
      <c r="DQ180" s="89"/>
      <c r="DR180" s="148"/>
      <c r="DS180" s="83" t="e">
        <f t="shared" si="98"/>
        <v>#N/A</v>
      </c>
      <c r="DT180" s="84"/>
      <c r="DU180" s="149" t="e">
        <f t="shared" si="99"/>
        <v>#N/A</v>
      </c>
      <c r="DV180" s="149" t="e">
        <f t="shared" si="100"/>
        <v>#N/A</v>
      </c>
      <c r="DW180" s="144" t="e">
        <f t="shared" si="101"/>
        <v>#N/A</v>
      </c>
      <c r="DX180"/>
      <c r="DY180" s="29"/>
      <c r="DZ180" s="150"/>
      <c r="EA180" s="137"/>
      <c r="EB180" s="137">
        <f t="shared" si="102"/>
        <v>0</v>
      </c>
      <c r="EC180" s="138">
        <f t="shared" si="96"/>
        <v>0</v>
      </c>
      <c r="ED180" s="137">
        <f t="shared" si="103"/>
        <v>0</v>
      </c>
      <c r="EE180" s="132">
        <f t="shared" si="97"/>
        <v>0</v>
      </c>
      <c r="EF180" s="29"/>
      <c r="EG180" s="134"/>
      <c r="EH180" s="134"/>
      <c r="EI180" s="134"/>
      <c r="EK180" s="29"/>
    </row>
    <row r="181" spans="1:141" ht="15" customHeight="1" x14ac:dyDescent="0.25">
      <c r="A181" s="140"/>
      <c r="B181" s="151"/>
      <c r="C181" s="72"/>
      <c r="D181" s="73"/>
      <c r="E181" s="160"/>
      <c r="F181" s="141"/>
      <c r="G181" s="74"/>
      <c r="H181" s="75"/>
      <c r="I181" s="76"/>
      <c r="J181" s="135"/>
      <c r="K181" s="135"/>
      <c r="L181" s="77">
        <f t="shared" si="74"/>
        <v>0</v>
      </c>
      <c r="M181" s="78"/>
      <c r="N181" s="142"/>
      <c r="O181" s="142"/>
      <c r="P181" s="77">
        <f t="shared" si="75"/>
        <v>0</v>
      </c>
      <c r="Q181" s="78"/>
      <c r="R181" s="143"/>
      <c r="S181" s="143"/>
      <c r="T181" s="77">
        <f t="shared" si="76"/>
        <v>0</v>
      </c>
      <c r="U181" s="75"/>
      <c r="V181" s="76"/>
      <c r="W181" s="135"/>
      <c r="X181" s="135"/>
      <c r="Y181" s="77">
        <f t="shared" si="77"/>
        <v>0</v>
      </c>
      <c r="Z181" s="78"/>
      <c r="AA181" s="142"/>
      <c r="AB181" s="142"/>
      <c r="AC181" s="77">
        <f t="shared" si="78"/>
        <v>0</v>
      </c>
      <c r="AD181" s="78"/>
      <c r="AE181" s="143"/>
      <c r="AF181" s="143"/>
      <c r="AG181" s="79">
        <f t="shared" si="79"/>
        <v>0</v>
      </c>
      <c r="AH181" s="75"/>
      <c r="AI181" s="76"/>
      <c r="AJ181" s="135"/>
      <c r="AK181" s="135"/>
      <c r="AL181" s="77">
        <f t="shared" si="80"/>
        <v>0</v>
      </c>
      <c r="AM181" s="76"/>
      <c r="AN181" s="142"/>
      <c r="AO181" s="142"/>
      <c r="AP181" s="77">
        <f t="shared" si="81"/>
        <v>0</v>
      </c>
      <c r="AQ181" s="78"/>
      <c r="AR181" s="142"/>
      <c r="AS181" s="142"/>
      <c r="AT181" s="79">
        <f t="shared" si="82"/>
        <v>0</v>
      </c>
      <c r="AU181" s="75"/>
      <c r="AV181" s="76"/>
      <c r="AW181" s="135"/>
      <c r="AX181" s="135"/>
      <c r="AY181" s="77">
        <f t="shared" si="83"/>
        <v>0</v>
      </c>
      <c r="AZ181" s="76"/>
      <c r="BA181" s="142"/>
      <c r="BB181" s="142"/>
      <c r="BC181" s="77">
        <f t="shared" si="84"/>
        <v>0</v>
      </c>
      <c r="BD181" s="78"/>
      <c r="BE181" s="142"/>
      <c r="BF181" s="142"/>
      <c r="BG181" s="79">
        <f t="shared" si="85"/>
        <v>0</v>
      </c>
      <c r="BH181" s="75"/>
      <c r="BI181" s="76"/>
      <c r="BJ181" s="135"/>
      <c r="BK181" s="135"/>
      <c r="BL181" s="77">
        <f t="shared" si="86"/>
        <v>0</v>
      </c>
      <c r="BM181" s="78"/>
      <c r="BN181" s="142"/>
      <c r="BO181" s="142"/>
      <c r="BP181" s="77">
        <f t="shared" si="87"/>
        <v>0</v>
      </c>
      <c r="BQ181" s="78"/>
      <c r="BR181" s="142"/>
      <c r="BS181" s="142"/>
      <c r="BT181" s="79">
        <f t="shared" si="88"/>
        <v>0</v>
      </c>
      <c r="BU181" s="75"/>
      <c r="BV181" s="76"/>
      <c r="BW181" s="135"/>
      <c r="BX181" s="135"/>
      <c r="BY181" s="77">
        <f t="shared" si="89"/>
        <v>0</v>
      </c>
      <c r="BZ181" s="78"/>
      <c r="CA181" s="142"/>
      <c r="CB181" s="142"/>
      <c r="CC181" s="77">
        <f t="shared" si="90"/>
        <v>0</v>
      </c>
      <c r="CD181" s="78"/>
      <c r="CE181" s="142"/>
      <c r="CF181" s="142"/>
      <c r="CG181" s="79">
        <f t="shared" si="91"/>
        <v>0</v>
      </c>
      <c r="CH181" s="75"/>
      <c r="CI181" s="76"/>
      <c r="CJ181" s="135"/>
      <c r="CK181" s="135"/>
      <c r="CL181" s="77">
        <f t="shared" si="92"/>
        <v>0</v>
      </c>
      <c r="CM181" s="78"/>
      <c r="CN181" s="142"/>
      <c r="CO181" s="142"/>
      <c r="CP181" s="77">
        <f t="shared" si="93"/>
        <v>0</v>
      </c>
      <c r="CQ181" s="78"/>
      <c r="CR181" s="142"/>
      <c r="CS181" s="142"/>
      <c r="CT181" s="79">
        <f t="shared" si="94"/>
        <v>0</v>
      </c>
      <c r="CU181" s="80">
        <f t="shared" si="104"/>
        <v>0</v>
      </c>
      <c r="CV181" s="81">
        <f t="shared" si="105"/>
        <v>0</v>
      </c>
      <c r="CW181" s="144"/>
      <c r="CX181" s="145">
        <f>IF(ISERROR(VLOOKUP($A181,FIJOS!$B$11:$O$590,14,FALSE)),0,VLOOKUP($A181,FIJOS!$B$11:$O$590,14,FALSE))</f>
        <v>0</v>
      </c>
      <c r="CY181" s="145">
        <f>IF(ISERROR(VLOOKUP(A181,FIJOS!$B$10:$P$590,15,FALSE)),0,VLOOKUP(A181,FIJOS!$B$10:$P$590,15,FALSE))</f>
        <v>0</v>
      </c>
      <c r="CZ181" s="156"/>
      <c r="DA181" s="146"/>
      <c r="DB181" s="147"/>
      <c r="DC181" s="147"/>
      <c r="DD181" s="147"/>
      <c r="DE181" s="147"/>
      <c r="DF181" s="145">
        <f>IF(ISERROR(VLOOKUP($A181,FIJOS!$B$11:$N$590,13,FALSE)),0,VLOOKUP($A181,FIJOS!$B$11:$N$590,13,FALSE))</f>
        <v>0</v>
      </c>
      <c r="DG181" s="145">
        <f>IF(ISERROR(VLOOKUP($A181,FIJOS!$B$11:$P$447,12,FALSE)),0,VLOOKUP($A181,FIJOS!$B$11:$P$447,12,FALSE))</f>
        <v>0</v>
      </c>
      <c r="DH181" s="82">
        <f t="shared" si="95"/>
        <v>0</v>
      </c>
      <c r="DI181" s="83" t="b">
        <f>IF($C181=1,(VLOOKUP($A181,FIJOS!$B$11:$P$545,10,FALSE)/7)*(7-$CU181),IF(AND($C181=2,CV181&lt;$DJ$1),(VLOOKUP($D181,HORAS!$B$4:$C$42,2,FALSE)*24)*$CV181,IF(AND($C181=2,CV181&gt;=$DJ$1),VLOOKUP($D181,HORAS!$B$4:$D$42,3,FALSE),IF(AND($C181=3,$CV181&gt;=$DJ$1),VLOOKUP($A181,FIJOS!$B$11:$P$545,10,FALSE),IF(AND($C181=3,$CV181&lt;$DJ$1),((VLOOKUP($A181,FIJOS!$B$11:$P$545,10,FALSE)/48)*24)*$CV181,IF(AND($C181=4,$CV181&gt;=(42/24)),VLOOKUP($D181,HORAS!$B$4:$D$42,3,FALSE),IF(AND($C181=5,$CV181&gt;=(36/24)),VLOOKUP($D181,HORAS!$B$4:$D$42,3,FALSE))))))))</f>
        <v>0</v>
      </c>
      <c r="DJ181" s="145">
        <f>IF(OR($C181=2),VLOOKUP($D181,HORAS!$B$4:$E$42,4,FALSE)*$EC181,IF(ISERROR(VLOOKUP($A181,FIJOS!$B$11:$P$108,9,FALSE)),0,VLOOKUP($A181,FIJOS!$B$11:$P$231,9,FALSE)*$EC181))</f>
        <v>0</v>
      </c>
      <c r="DK181" s="145">
        <f>IF(OR($C181=2),VLOOKUP($D181,HORAS!$B$4:$F$42,5,FALSE)*$EE181,IF(ISERROR(VLOOKUP($A181,FIJOS!$B$11:$P$108,9,FALSE)),0,VLOOKUP($A181,FIJOS!$B$11:$P$231,9,FALSE)*$EE181))</f>
        <v>0</v>
      </c>
      <c r="DL181" s="144"/>
      <c r="DM181" s="145">
        <f>IF(ISERROR(VLOOKUP($A181,FIJOS!$B$11:$L$646,11,FALSE)),0,VLOOKUP($A181,FIJOS!$B$11:$L$646,11,FALSE))</f>
        <v>0</v>
      </c>
      <c r="DN181" s="148" t="e">
        <f>IF(OR($C181=1,$C181=3),0,IF((VLOOKUP(CAPTURA!D181,HORAS!$B$4:$K$42,10,FALSE)/4)*COUNTIF($H181:$CT181,3)&gt;100,100,(VLOOKUP(CAPTURA!D181,HORAS!$B$4:$K$42,10,FALSE)/4)*COUNTIF($H181:$CT181,3)))</f>
        <v>#N/A</v>
      </c>
      <c r="DO181" s="144" t="e">
        <f>IF(OR($C181=1,$C181=3),0,IF($C181=5,VLOOKUP(D181,HORAS!$B$4:$G$42,6,FALSE),IF(AND($C181=4,$CV181&gt;=(42/24)),VLOOKUP(D181,HORAS!$B$4:$G$42,6,FALSE),IF(COUNTIF($H181:$CL181,"F")&gt;0,0,IF(CV181&gt;$DJ$1,$DJ$1*(VLOOKUP(D181,HORAS!$B$4:$G$42,6,FALSE)/$DJ$1),CV181*(VLOOKUP(D181,HORAS!$B$4:$G$42,6,FALSE)/$DJ$1))))))</f>
        <v>#N/A</v>
      </c>
      <c r="DP181" s="156"/>
      <c r="DQ181" s="89"/>
      <c r="DR181" s="148"/>
      <c r="DS181" s="83" t="e">
        <f t="shared" si="98"/>
        <v>#N/A</v>
      </c>
      <c r="DT181" s="84"/>
      <c r="DU181" s="149" t="e">
        <f t="shared" si="99"/>
        <v>#N/A</v>
      </c>
      <c r="DV181" s="149" t="e">
        <f t="shared" si="100"/>
        <v>#N/A</v>
      </c>
      <c r="DW181" s="144" t="e">
        <f t="shared" si="101"/>
        <v>#N/A</v>
      </c>
      <c r="DX181" s="134"/>
      <c r="DY181" s="29"/>
      <c r="DZ181" s="150"/>
      <c r="EA181" s="134"/>
      <c r="EB181" s="137">
        <f t="shared" si="102"/>
        <v>0</v>
      </c>
      <c r="EC181" s="138">
        <f t="shared" si="96"/>
        <v>0</v>
      </c>
      <c r="ED181" s="137">
        <f t="shared" si="103"/>
        <v>0</v>
      </c>
      <c r="EE181" s="132">
        <f t="shared" si="97"/>
        <v>0</v>
      </c>
      <c r="EF181" s="29"/>
      <c r="EG181" s="134"/>
      <c r="EH181" s="134"/>
      <c r="EI181" s="134"/>
      <c r="EK181" s="29"/>
    </row>
    <row r="182" spans="1:141" ht="15" customHeight="1" x14ac:dyDescent="0.25">
      <c r="A182" s="140"/>
      <c r="B182" s="5"/>
      <c r="C182" s="72"/>
      <c r="D182" s="73"/>
      <c r="E182" s="73"/>
      <c r="F182" s="141"/>
      <c r="G182" s="74"/>
      <c r="H182" s="75"/>
      <c r="I182" s="76"/>
      <c r="J182" s="135"/>
      <c r="K182" s="135"/>
      <c r="L182" s="77">
        <f t="shared" si="74"/>
        <v>0</v>
      </c>
      <c r="M182" s="78"/>
      <c r="N182" s="142"/>
      <c r="O182" s="142"/>
      <c r="P182" s="77">
        <f t="shared" si="75"/>
        <v>0</v>
      </c>
      <c r="Q182" s="78"/>
      <c r="R182" s="143"/>
      <c r="S182" s="143"/>
      <c r="T182" s="77">
        <f t="shared" si="76"/>
        <v>0</v>
      </c>
      <c r="U182" s="75"/>
      <c r="V182" s="76"/>
      <c r="W182" s="135"/>
      <c r="X182" s="135"/>
      <c r="Y182" s="77">
        <f t="shared" si="77"/>
        <v>0</v>
      </c>
      <c r="Z182" s="78"/>
      <c r="AA182" s="142"/>
      <c r="AB182" s="142"/>
      <c r="AC182" s="77">
        <f t="shared" si="78"/>
        <v>0</v>
      </c>
      <c r="AD182" s="78"/>
      <c r="AE182" s="143"/>
      <c r="AF182" s="143"/>
      <c r="AG182" s="79">
        <f t="shared" si="79"/>
        <v>0</v>
      </c>
      <c r="AH182" s="75"/>
      <c r="AI182" s="76"/>
      <c r="AJ182" s="135"/>
      <c r="AK182" s="135"/>
      <c r="AL182" s="77">
        <f t="shared" si="80"/>
        <v>0</v>
      </c>
      <c r="AM182" s="76"/>
      <c r="AN182" s="142"/>
      <c r="AO182" s="142"/>
      <c r="AP182" s="77">
        <f t="shared" si="81"/>
        <v>0</v>
      </c>
      <c r="AQ182" s="78"/>
      <c r="AR182" s="142"/>
      <c r="AS182" s="142"/>
      <c r="AT182" s="79">
        <f t="shared" si="82"/>
        <v>0</v>
      </c>
      <c r="AU182" s="75"/>
      <c r="AV182" s="76"/>
      <c r="AW182" s="135"/>
      <c r="AX182" s="135"/>
      <c r="AY182" s="77">
        <f t="shared" si="83"/>
        <v>0</v>
      </c>
      <c r="AZ182" s="76"/>
      <c r="BA182" s="142"/>
      <c r="BB182" s="142"/>
      <c r="BC182" s="77">
        <f t="shared" si="84"/>
        <v>0</v>
      </c>
      <c r="BD182" s="78"/>
      <c r="BE182" s="142"/>
      <c r="BF182" s="142"/>
      <c r="BG182" s="79">
        <f t="shared" si="85"/>
        <v>0</v>
      </c>
      <c r="BH182" s="75"/>
      <c r="BI182" s="76"/>
      <c r="BJ182" s="135"/>
      <c r="BK182" s="135"/>
      <c r="BL182" s="77">
        <f t="shared" si="86"/>
        <v>0</v>
      </c>
      <c r="BM182" s="78"/>
      <c r="BN182" s="142"/>
      <c r="BO182" s="142"/>
      <c r="BP182" s="77">
        <f t="shared" si="87"/>
        <v>0</v>
      </c>
      <c r="BQ182" s="78"/>
      <c r="BR182" s="142"/>
      <c r="BS182" s="142"/>
      <c r="BT182" s="79">
        <f t="shared" si="88"/>
        <v>0</v>
      </c>
      <c r="BU182" s="75"/>
      <c r="BV182" s="76"/>
      <c r="BW182" s="135"/>
      <c r="BX182" s="135"/>
      <c r="BY182" s="77">
        <f t="shared" si="89"/>
        <v>0</v>
      </c>
      <c r="BZ182" s="78"/>
      <c r="CA182" s="142"/>
      <c r="CB182" s="142"/>
      <c r="CC182" s="77">
        <f t="shared" si="90"/>
        <v>0</v>
      </c>
      <c r="CD182" s="78"/>
      <c r="CE182" s="142"/>
      <c r="CF182" s="142"/>
      <c r="CG182" s="79">
        <f t="shared" si="91"/>
        <v>0</v>
      </c>
      <c r="CH182" s="75"/>
      <c r="CI182" s="76"/>
      <c r="CJ182" s="135"/>
      <c r="CK182" s="135"/>
      <c r="CL182" s="77">
        <f t="shared" si="92"/>
        <v>0</v>
      </c>
      <c r="CM182" s="78"/>
      <c r="CN182" s="142"/>
      <c r="CO182" s="142"/>
      <c r="CP182" s="77">
        <f t="shared" si="93"/>
        <v>0</v>
      </c>
      <c r="CQ182" s="78"/>
      <c r="CR182" s="142"/>
      <c r="CS182" s="142"/>
      <c r="CT182" s="79">
        <f t="shared" si="94"/>
        <v>0</v>
      </c>
      <c r="CU182" s="80">
        <f t="shared" si="104"/>
        <v>0</v>
      </c>
      <c r="CV182" s="81">
        <f t="shared" si="105"/>
        <v>0</v>
      </c>
      <c r="CW182" s="144"/>
      <c r="CX182" s="145">
        <f>IF(ISERROR(VLOOKUP($A182,FIJOS!$B$11:$O$590,14,FALSE)),0,VLOOKUP($A182,FIJOS!$B$11:$O$590,14,FALSE))</f>
        <v>0</v>
      </c>
      <c r="CY182" s="145">
        <f>IF(ISERROR(VLOOKUP(A182,FIJOS!$B$10:$P$590,15,FALSE)),0,VLOOKUP(A182,FIJOS!$B$10:$P$590,15,FALSE))</f>
        <v>0</v>
      </c>
      <c r="CZ182" s="156"/>
      <c r="DA182" s="146"/>
      <c r="DB182" s="147"/>
      <c r="DC182" s="147"/>
      <c r="DD182" s="147"/>
      <c r="DE182" s="147"/>
      <c r="DF182" s="145">
        <f>IF(ISERROR(VLOOKUP($A182,FIJOS!$B$11:$N$590,13,FALSE)),0,VLOOKUP($A182,FIJOS!$B$11:$N$590,13,FALSE))</f>
        <v>0</v>
      </c>
      <c r="DG182" s="145">
        <f>IF(ISERROR(VLOOKUP($A182,FIJOS!$B$11:$P$447,12,FALSE)),0,VLOOKUP($A182,FIJOS!$B$11:$P$447,12,FALSE))</f>
        <v>0</v>
      </c>
      <c r="DH182" s="82">
        <f t="shared" si="95"/>
        <v>0</v>
      </c>
      <c r="DI182" s="83" t="b">
        <f>IF($C182=1,(VLOOKUP($A182,FIJOS!$B$11:$P$545,10,FALSE)/7)*(7-$CU182),IF(AND($C182=2,CV182&lt;$DJ$1),(VLOOKUP($D182,HORAS!$B$4:$C$42,2,FALSE)*24)*$CV182,IF(AND($C182=2,CV182&gt;=$DJ$1),VLOOKUP($D182,HORAS!$B$4:$D$42,3,FALSE),IF(AND($C182=3,$CV182&gt;=$DJ$1),VLOOKUP($A182,FIJOS!$B$11:$P$545,10,FALSE),IF(AND($C182=3,$CV182&lt;$DJ$1),((VLOOKUP($A182,FIJOS!$B$11:$P$545,10,FALSE)/48)*24)*$CV182,IF(AND($C182=4,$CV182&gt;=(42/24)),VLOOKUP($D182,HORAS!$B$4:$D$42,3,FALSE),IF(AND($C182=5,$CV182&gt;=(36/24)),VLOOKUP($D182,HORAS!$B$4:$D$42,3,FALSE))))))))</f>
        <v>0</v>
      </c>
      <c r="DJ182" s="145">
        <f>IF(OR($C182=2),VLOOKUP($D182,HORAS!$B$4:$E$42,4,FALSE)*$EC182,IF(ISERROR(VLOOKUP($A182,FIJOS!$B$11:$P$108,9,FALSE)),0,VLOOKUP($A182,FIJOS!$B$11:$P$231,9,FALSE)*$EC182))</f>
        <v>0</v>
      </c>
      <c r="DK182" s="145">
        <f>IF(OR($C182=2),VLOOKUP($D182,HORAS!$B$4:$F$42,5,FALSE)*$EE182,IF(ISERROR(VLOOKUP($A182,FIJOS!$B$11:$P$108,9,FALSE)),0,VLOOKUP($A182,FIJOS!$B$11:$P$231,9,FALSE)*$EE182))</f>
        <v>0</v>
      </c>
      <c r="DL182" s="144"/>
      <c r="DM182" s="145">
        <f>IF(ISERROR(VLOOKUP($A182,FIJOS!$B$11:$L$646,11,FALSE)),0,VLOOKUP($A182,FIJOS!$B$11:$L$646,11,FALSE))</f>
        <v>0</v>
      </c>
      <c r="DN182" s="148" t="e">
        <f>IF(OR($C182=1,$C182=3),0,IF((VLOOKUP(CAPTURA!D182,HORAS!$B$4:$K$42,10,FALSE)/4)*COUNTIF($H182:$CT182,3)&gt;100,100,(VLOOKUP(CAPTURA!D182,HORAS!$B$4:$K$42,10,FALSE)/4)*COUNTIF($H182:$CT182,3)))</f>
        <v>#N/A</v>
      </c>
      <c r="DO182" s="144" t="e">
        <f>IF(OR($C182=1,$C182=3),0,IF($C182=5,VLOOKUP(D182,HORAS!$B$4:$G$42,6,FALSE),IF(AND($C182=4,$CV182&gt;=(42/24)),VLOOKUP(D182,HORAS!$B$4:$G$42,6,FALSE),IF(COUNTIF($H182:$CL182,"F")&gt;0,0,IF(CV182&gt;$DJ$1,$DJ$1*(VLOOKUP(D182,HORAS!$B$4:$G$42,6,FALSE)/$DJ$1),CV182*(VLOOKUP(D182,HORAS!$B$4:$G$42,6,FALSE)/$DJ$1))))))</f>
        <v>#N/A</v>
      </c>
      <c r="DP182" s="156"/>
      <c r="DQ182" s="89"/>
      <c r="DR182" s="148"/>
      <c r="DS182" s="83" t="e">
        <f t="shared" si="98"/>
        <v>#N/A</v>
      </c>
      <c r="DT182" s="84"/>
      <c r="DU182" s="149" t="e">
        <f t="shared" si="99"/>
        <v>#N/A</v>
      </c>
      <c r="DV182" s="149" t="e">
        <f t="shared" si="100"/>
        <v>#N/A</v>
      </c>
      <c r="DW182" s="144" t="e">
        <f t="shared" si="101"/>
        <v>#N/A</v>
      </c>
      <c r="DX182" s="134"/>
      <c r="DY182" s="29"/>
      <c r="DZ182" s="150"/>
      <c r="EA182" s="134"/>
      <c r="EB182" s="137">
        <f t="shared" si="102"/>
        <v>0</v>
      </c>
      <c r="EC182" s="138">
        <f t="shared" si="96"/>
        <v>0</v>
      </c>
      <c r="ED182" s="137">
        <f t="shared" si="103"/>
        <v>0</v>
      </c>
      <c r="EE182" s="132">
        <f t="shared" si="97"/>
        <v>0</v>
      </c>
      <c r="EF182" s="29"/>
      <c r="EG182" s="134"/>
      <c r="EH182" s="134"/>
      <c r="EI182" s="134"/>
      <c r="EK182" s="29"/>
    </row>
    <row r="183" spans="1:141" ht="15" customHeight="1" x14ac:dyDescent="0.25">
      <c r="A183" s="140"/>
      <c r="B183" s="151"/>
      <c r="C183" s="72"/>
      <c r="D183" s="73"/>
      <c r="E183" s="73"/>
      <c r="F183" s="141"/>
      <c r="G183" s="74"/>
      <c r="H183" s="75"/>
      <c r="I183" s="76"/>
      <c r="J183" s="135"/>
      <c r="K183" s="135"/>
      <c r="L183" s="77">
        <f t="shared" si="74"/>
        <v>0</v>
      </c>
      <c r="M183" s="78"/>
      <c r="N183" s="142"/>
      <c r="O183" s="142"/>
      <c r="P183" s="77">
        <f t="shared" si="75"/>
        <v>0</v>
      </c>
      <c r="Q183" s="78"/>
      <c r="R183" s="143"/>
      <c r="S183" s="143"/>
      <c r="T183" s="77">
        <f t="shared" si="76"/>
        <v>0</v>
      </c>
      <c r="U183" s="75"/>
      <c r="V183" s="76"/>
      <c r="W183" s="135"/>
      <c r="X183" s="135"/>
      <c r="Y183" s="77">
        <f t="shared" si="77"/>
        <v>0</v>
      </c>
      <c r="Z183" s="78"/>
      <c r="AA183" s="142"/>
      <c r="AB183" s="142"/>
      <c r="AC183" s="77">
        <f t="shared" si="78"/>
        <v>0</v>
      </c>
      <c r="AD183" s="78"/>
      <c r="AE183" s="143"/>
      <c r="AF183" s="143"/>
      <c r="AG183" s="79">
        <f t="shared" si="79"/>
        <v>0</v>
      </c>
      <c r="AH183" s="75"/>
      <c r="AI183" s="76"/>
      <c r="AJ183" s="135"/>
      <c r="AK183" s="135"/>
      <c r="AL183" s="77">
        <f t="shared" si="80"/>
        <v>0</v>
      </c>
      <c r="AM183" s="76"/>
      <c r="AN183" s="142"/>
      <c r="AO183" s="142"/>
      <c r="AP183" s="77">
        <f t="shared" si="81"/>
        <v>0</v>
      </c>
      <c r="AQ183" s="78"/>
      <c r="AR183" s="142"/>
      <c r="AS183" s="142"/>
      <c r="AT183" s="79">
        <f t="shared" si="82"/>
        <v>0</v>
      </c>
      <c r="AU183" s="75"/>
      <c r="AV183" s="76"/>
      <c r="AW183" s="135"/>
      <c r="AX183" s="135"/>
      <c r="AY183" s="77">
        <f t="shared" si="83"/>
        <v>0</v>
      </c>
      <c r="AZ183" s="76"/>
      <c r="BA183" s="142"/>
      <c r="BB183" s="142"/>
      <c r="BC183" s="77">
        <f t="shared" si="84"/>
        <v>0</v>
      </c>
      <c r="BD183" s="78"/>
      <c r="BE183" s="142"/>
      <c r="BF183" s="142"/>
      <c r="BG183" s="79">
        <f t="shared" si="85"/>
        <v>0</v>
      </c>
      <c r="BH183" s="75"/>
      <c r="BI183" s="76"/>
      <c r="BJ183" s="135"/>
      <c r="BK183" s="135"/>
      <c r="BL183" s="77">
        <f t="shared" si="86"/>
        <v>0</v>
      </c>
      <c r="BM183" s="78"/>
      <c r="BN183" s="142"/>
      <c r="BO183" s="142"/>
      <c r="BP183" s="77">
        <f t="shared" si="87"/>
        <v>0</v>
      </c>
      <c r="BQ183" s="78"/>
      <c r="BR183" s="142"/>
      <c r="BS183" s="142"/>
      <c r="BT183" s="79">
        <f t="shared" si="88"/>
        <v>0</v>
      </c>
      <c r="BU183" s="75"/>
      <c r="BV183" s="76"/>
      <c r="BW183" s="135"/>
      <c r="BX183" s="135"/>
      <c r="BY183" s="77">
        <f t="shared" si="89"/>
        <v>0</v>
      </c>
      <c r="BZ183" s="78"/>
      <c r="CA183" s="142"/>
      <c r="CB183" s="142"/>
      <c r="CC183" s="77">
        <f t="shared" si="90"/>
        <v>0</v>
      </c>
      <c r="CD183" s="78"/>
      <c r="CE183" s="142"/>
      <c r="CF183" s="142"/>
      <c r="CG183" s="79">
        <f t="shared" si="91"/>
        <v>0</v>
      </c>
      <c r="CH183" s="75"/>
      <c r="CI183" s="76"/>
      <c r="CJ183" s="135"/>
      <c r="CK183" s="135"/>
      <c r="CL183" s="77">
        <f t="shared" si="92"/>
        <v>0</v>
      </c>
      <c r="CM183" s="78"/>
      <c r="CN183" s="142"/>
      <c r="CO183" s="142"/>
      <c r="CP183" s="77">
        <f t="shared" si="93"/>
        <v>0</v>
      </c>
      <c r="CQ183" s="78"/>
      <c r="CR183" s="142"/>
      <c r="CS183" s="142"/>
      <c r="CT183" s="79">
        <f t="shared" si="94"/>
        <v>0</v>
      </c>
      <c r="CU183" s="80">
        <f t="shared" si="104"/>
        <v>0</v>
      </c>
      <c r="CV183" s="81">
        <f t="shared" si="105"/>
        <v>0</v>
      </c>
      <c r="CW183" s="144"/>
      <c r="CX183" s="145">
        <f>IF(ISERROR(VLOOKUP($A183,FIJOS!$B$11:$O$590,14,FALSE)),0,VLOOKUP($A183,FIJOS!$B$11:$O$590,14,FALSE))</f>
        <v>0</v>
      </c>
      <c r="CY183" s="145">
        <f>IF(ISERROR(VLOOKUP(A183,FIJOS!$B$10:$P$590,15,FALSE)),0,VLOOKUP(A183,FIJOS!$B$10:$P$590,15,FALSE))</f>
        <v>0</v>
      </c>
      <c r="CZ183" s="156"/>
      <c r="DA183" s="146"/>
      <c r="DB183" s="147"/>
      <c r="DC183" s="147"/>
      <c r="DD183" s="147"/>
      <c r="DE183" s="147"/>
      <c r="DF183" s="145">
        <f>IF(ISERROR(VLOOKUP($A183,FIJOS!$B$11:$N$590,13,FALSE)),0,VLOOKUP($A183,FIJOS!$B$11:$N$590,13,FALSE))</f>
        <v>0</v>
      </c>
      <c r="DG183" s="145">
        <f>IF(ISERROR(VLOOKUP($A183,FIJOS!$B$11:$P$447,12,FALSE)),0,VLOOKUP($A183,FIJOS!$B$11:$P$447,12,FALSE))</f>
        <v>0</v>
      </c>
      <c r="DH183" s="82">
        <f t="shared" si="95"/>
        <v>0</v>
      </c>
      <c r="DI183" s="83" t="b">
        <f>IF($C183=1,(VLOOKUP($A183,FIJOS!$B$11:$P$545,10,FALSE)/7)*(7-$CU183),IF(AND($C183=2,CV183&lt;$DJ$1),(VLOOKUP($D183,HORAS!$B$4:$C$42,2,FALSE)*24)*$CV183,IF(AND($C183=2,CV183&gt;=$DJ$1),VLOOKUP($D183,HORAS!$B$4:$D$42,3,FALSE),IF(AND($C183=3,$CV183&gt;=$DJ$1),VLOOKUP($A183,FIJOS!$B$11:$P$545,10,FALSE),IF(AND($C183=3,$CV183&lt;$DJ$1),((VLOOKUP($A183,FIJOS!$B$11:$P$545,10,FALSE)/48)*24)*$CV183,IF(AND($C183=4,$CV183&gt;=(42/24)),VLOOKUP($D183,HORAS!$B$4:$D$42,3,FALSE),IF(AND($C183=5,$CV183&gt;=(36/24)),VLOOKUP($D183,HORAS!$B$4:$D$42,3,FALSE))))))))</f>
        <v>0</v>
      </c>
      <c r="DJ183" s="145">
        <f>IF(OR($C183=2),VLOOKUP($D183,HORAS!$B$4:$E$42,4,FALSE)*$EC183,IF(ISERROR(VLOOKUP($A183,FIJOS!$B$11:$P$108,9,FALSE)),0,VLOOKUP($A183,FIJOS!$B$11:$P$231,9,FALSE)*$EC183))</f>
        <v>0</v>
      </c>
      <c r="DK183" s="145">
        <f>IF(OR($C183=2),VLOOKUP($D183,HORAS!$B$4:$F$42,5,FALSE)*$EE183,IF(ISERROR(VLOOKUP($A183,FIJOS!$B$11:$P$108,9,FALSE)),0,VLOOKUP($A183,FIJOS!$B$11:$P$231,9,FALSE)*$EE183))</f>
        <v>0</v>
      </c>
      <c r="DL183" s="144"/>
      <c r="DM183" s="145">
        <f>IF(ISERROR(VLOOKUP($A183,FIJOS!$B$11:$L$646,11,FALSE)),0,VLOOKUP($A183,FIJOS!$B$11:$L$646,11,FALSE))</f>
        <v>0</v>
      </c>
      <c r="DN183" s="148" t="e">
        <f>IF(OR($C183=1,$C183=3),0,IF((VLOOKUP(CAPTURA!D183,HORAS!$B$4:$K$42,10,FALSE)/4)*COUNTIF($H183:$CT183,3)&gt;100,100,(VLOOKUP(CAPTURA!D183,HORAS!$B$4:$K$42,10,FALSE)/4)*COUNTIF($H183:$CT183,3)))</f>
        <v>#N/A</v>
      </c>
      <c r="DO183" s="144" t="e">
        <f>IF(OR($C183=1,$C183=3),0,IF($C183=5,VLOOKUP(D183,HORAS!$B$4:$G$42,6,FALSE),IF(AND($C183=4,$CV183&gt;=(42/24)),VLOOKUP(D183,HORAS!$B$4:$G$42,6,FALSE),IF(COUNTIF($H183:$CL183,"F")&gt;0,0,IF(CV183&gt;$DJ$1,$DJ$1*(VLOOKUP(D183,HORAS!$B$4:$G$42,6,FALSE)/$DJ$1),CV183*(VLOOKUP(D183,HORAS!$B$4:$G$42,6,FALSE)/$DJ$1))))))</f>
        <v>#N/A</v>
      </c>
      <c r="DP183" s="156"/>
      <c r="DQ183" s="89"/>
      <c r="DR183" s="148"/>
      <c r="DS183" s="83" t="e">
        <f t="shared" si="98"/>
        <v>#N/A</v>
      </c>
      <c r="DT183" s="84"/>
      <c r="DU183" s="149" t="e">
        <f t="shared" si="99"/>
        <v>#N/A</v>
      </c>
      <c r="DV183" s="149" t="e">
        <f t="shared" si="100"/>
        <v>#N/A</v>
      </c>
      <c r="DW183" s="144" t="e">
        <f t="shared" si="101"/>
        <v>#N/A</v>
      </c>
      <c r="DX183" s="134"/>
      <c r="DY183" s="29"/>
      <c r="DZ183" s="150"/>
      <c r="EA183" s="134"/>
      <c r="EB183" s="137">
        <f t="shared" si="102"/>
        <v>0</v>
      </c>
      <c r="EC183" s="138">
        <f t="shared" si="96"/>
        <v>0</v>
      </c>
      <c r="ED183" s="137">
        <f t="shared" si="103"/>
        <v>0</v>
      </c>
      <c r="EE183" s="132">
        <f t="shared" si="97"/>
        <v>0</v>
      </c>
      <c r="EF183" s="29"/>
      <c r="EG183" s="134"/>
      <c r="EH183" s="134"/>
      <c r="EI183" s="134"/>
      <c r="EK183" s="29"/>
    </row>
    <row r="184" spans="1:141" ht="15" customHeight="1" x14ac:dyDescent="0.25">
      <c r="A184" s="140"/>
      <c r="B184" s="151"/>
      <c r="C184" s="72"/>
      <c r="D184" s="73"/>
      <c r="E184" s="73"/>
      <c r="F184" s="141"/>
      <c r="G184" s="74"/>
      <c r="H184" s="75"/>
      <c r="I184" s="76"/>
      <c r="J184" s="135"/>
      <c r="K184" s="135"/>
      <c r="L184" s="77">
        <f t="shared" si="74"/>
        <v>0</v>
      </c>
      <c r="M184" s="78"/>
      <c r="N184" s="142"/>
      <c r="O184" s="142"/>
      <c r="P184" s="77">
        <f t="shared" si="75"/>
        <v>0</v>
      </c>
      <c r="Q184" s="78"/>
      <c r="R184" s="143"/>
      <c r="S184" s="143"/>
      <c r="T184" s="77">
        <f t="shared" si="76"/>
        <v>0</v>
      </c>
      <c r="U184" s="75"/>
      <c r="V184" s="76"/>
      <c r="W184" s="135"/>
      <c r="X184" s="135"/>
      <c r="Y184" s="77">
        <f t="shared" si="77"/>
        <v>0</v>
      </c>
      <c r="Z184" s="78"/>
      <c r="AA184" s="142"/>
      <c r="AB184" s="142"/>
      <c r="AC184" s="77">
        <f t="shared" si="78"/>
        <v>0</v>
      </c>
      <c r="AD184" s="78"/>
      <c r="AE184" s="143"/>
      <c r="AF184" s="143"/>
      <c r="AG184" s="79">
        <f t="shared" si="79"/>
        <v>0</v>
      </c>
      <c r="AH184" s="75"/>
      <c r="AI184" s="76"/>
      <c r="AJ184" s="135"/>
      <c r="AK184" s="135"/>
      <c r="AL184" s="77">
        <f t="shared" si="80"/>
        <v>0</v>
      </c>
      <c r="AM184" s="76"/>
      <c r="AN184" s="142"/>
      <c r="AO184" s="142"/>
      <c r="AP184" s="77">
        <f t="shared" si="81"/>
        <v>0</v>
      </c>
      <c r="AQ184" s="78"/>
      <c r="AR184" s="142"/>
      <c r="AS184" s="142"/>
      <c r="AT184" s="79">
        <f t="shared" si="82"/>
        <v>0</v>
      </c>
      <c r="AU184" s="75"/>
      <c r="AV184" s="76"/>
      <c r="AW184" s="135"/>
      <c r="AX184" s="135"/>
      <c r="AY184" s="77">
        <f t="shared" si="83"/>
        <v>0</v>
      </c>
      <c r="AZ184" s="76"/>
      <c r="BA184" s="142"/>
      <c r="BB184" s="142"/>
      <c r="BC184" s="77">
        <f t="shared" si="84"/>
        <v>0</v>
      </c>
      <c r="BD184" s="78"/>
      <c r="BE184" s="142"/>
      <c r="BF184" s="142"/>
      <c r="BG184" s="79">
        <f t="shared" si="85"/>
        <v>0</v>
      </c>
      <c r="BH184" s="75"/>
      <c r="BI184" s="76"/>
      <c r="BJ184" s="135"/>
      <c r="BK184" s="135"/>
      <c r="BL184" s="77">
        <f t="shared" si="86"/>
        <v>0</v>
      </c>
      <c r="BM184" s="78"/>
      <c r="BN184" s="142"/>
      <c r="BO184" s="142"/>
      <c r="BP184" s="77">
        <f t="shared" si="87"/>
        <v>0</v>
      </c>
      <c r="BQ184" s="78"/>
      <c r="BR184" s="142"/>
      <c r="BS184" s="142"/>
      <c r="BT184" s="79">
        <f t="shared" si="88"/>
        <v>0</v>
      </c>
      <c r="BU184" s="75"/>
      <c r="BV184" s="76"/>
      <c r="BW184" s="135"/>
      <c r="BX184" s="135"/>
      <c r="BY184" s="77">
        <f t="shared" si="89"/>
        <v>0</v>
      </c>
      <c r="BZ184" s="78"/>
      <c r="CA184" s="142"/>
      <c r="CB184" s="142"/>
      <c r="CC184" s="77">
        <f t="shared" si="90"/>
        <v>0</v>
      </c>
      <c r="CD184" s="78"/>
      <c r="CE184" s="142"/>
      <c r="CF184" s="142"/>
      <c r="CG184" s="79">
        <f t="shared" si="91"/>
        <v>0</v>
      </c>
      <c r="CH184" s="75"/>
      <c r="CI184" s="76"/>
      <c r="CJ184" s="135"/>
      <c r="CK184" s="135"/>
      <c r="CL184" s="77">
        <f t="shared" si="92"/>
        <v>0</v>
      </c>
      <c r="CM184" s="78"/>
      <c r="CN184" s="142"/>
      <c r="CO184" s="142"/>
      <c r="CP184" s="77">
        <f t="shared" si="93"/>
        <v>0</v>
      </c>
      <c r="CQ184" s="78"/>
      <c r="CR184" s="142"/>
      <c r="CS184" s="142"/>
      <c r="CT184" s="79">
        <f t="shared" si="94"/>
        <v>0</v>
      </c>
      <c r="CU184" s="80">
        <f t="shared" si="104"/>
        <v>0</v>
      </c>
      <c r="CV184" s="81">
        <f t="shared" si="105"/>
        <v>0</v>
      </c>
      <c r="CW184" s="144"/>
      <c r="CX184" s="145">
        <f>IF(ISERROR(VLOOKUP($A184,FIJOS!$B$11:$O$590,14,FALSE)),0,VLOOKUP($A184,FIJOS!$B$11:$O$590,14,FALSE))</f>
        <v>0</v>
      </c>
      <c r="CY184" s="145">
        <f>IF(ISERROR(VLOOKUP(A184,FIJOS!$B$10:$P$590,15,FALSE)),0,VLOOKUP(A184,FIJOS!$B$10:$P$590,15,FALSE))</f>
        <v>0</v>
      </c>
      <c r="CZ184" s="156"/>
      <c r="DA184" s="146"/>
      <c r="DB184" s="147"/>
      <c r="DC184" s="147"/>
      <c r="DD184" s="147"/>
      <c r="DE184" s="147"/>
      <c r="DF184" s="145">
        <f>IF(ISERROR(VLOOKUP($A184,FIJOS!$B$11:$N$590,13,FALSE)),0,VLOOKUP($A184,FIJOS!$B$11:$N$590,13,FALSE))</f>
        <v>0</v>
      </c>
      <c r="DG184" s="145">
        <f>IF(ISERROR(VLOOKUP($A184,FIJOS!$B$11:$P$447,12,FALSE)),0,VLOOKUP($A184,FIJOS!$B$11:$P$447,12,FALSE))</f>
        <v>0</v>
      </c>
      <c r="DH184" s="82">
        <f t="shared" si="95"/>
        <v>0</v>
      </c>
      <c r="DI184" s="83" t="b">
        <f>IF($C184=1,(VLOOKUP($A184,FIJOS!$B$11:$P$545,10,FALSE)/7)*(7-$CU184),IF(AND($C184=2,CV184&lt;$DJ$1),(VLOOKUP($D184,HORAS!$B$4:$C$42,2,FALSE)*24)*$CV184,IF(AND($C184=2,CV184&gt;=$DJ$1),VLOOKUP($D184,HORAS!$B$4:$D$42,3,FALSE),IF(AND($C184=3,$CV184&gt;=$DJ$1),VLOOKUP($A184,FIJOS!$B$11:$P$545,10,FALSE),IF(AND($C184=3,$CV184&lt;$DJ$1),((VLOOKUP($A184,FIJOS!$B$11:$P$545,10,FALSE)/48)*24)*$CV184,IF(AND($C184=4,$CV184&gt;=(42/24)),VLOOKUP($D184,HORAS!$B$4:$D$42,3,FALSE),IF(AND($C184=5,$CV184&gt;=(36/24)),VLOOKUP($D184,HORAS!$B$4:$D$42,3,FALSE))))))))</f>
        <v>0</v>
      </c>
      <c r="DJ184" s="145">
        <f>IF(OR($C184=2),VLOOKUP($D184,HORAS!$B$4:$E$42,4,FALSE)*$EC184,IF(ISERROR(VLOOKUP($A184,FIJOS!$B$11:$P$108,9,FALSE)),0,VLOOKUP($A184,FIJOS!$B$11:$P$231,9,FALSE)*$EC184))</f>
        <v>0</v>
      </c>
      <c r="DK184" s="145">
        <f>IF(OR($C184=2),VLOOKUP($D184,HORAS!$B$4:$F$42,5,FALSE)*$EE184,IF(ISERROR(VLOOKUP($A184,FIJOS!$B$11:$P$108,9,FALSE)),0,VLOOKUP($A184,FIJOS!$B$11:$P$231,9,FALSE)*$EE184))</f>
        <v>0</v>
      </c>
      <c r="DL184" s="144"/>
      <c r="DM184" s="145">
        <f>IF(ISERROR(VLOOKUP($A184,FIJOS!$B$11:$L$646,11,FALSE)),0,VLOOKUP($A184,FIJOS!$B$11:$L$646,11,FALSE))</f>
        <v>0</v>
      </c>
      <c r="DN184" s="148" t="e">
        <f>IF(OR($C184=1,$C184=3),0,IF((VLOOKUP(CAPTURA!D184,HORAS!$B$4:$K$42,10,FALSE)/4)*COUNTIF($H184:$CT184,3)&gt;100,100,(VLOOKUP(CAPTURA!D184,HORAS!$B$4:$K$42,10,FALSE)/4)*COUNTIF($H184:$CT184,3)))</f>
        <v>#N/A</v>
      </c>
      <c r="DO184" s="144" t="e">
        <f>IF(OR($C184=1,$C184=3),0,IF($C184=5,VLOOKUP(D184,HORAS!$B$4:$G$42,6,FALSE),IF(AND($C184=4,$CV184&gt;=(42/24)),VLOOKUP(D184,HORAS!$B$4:$G$42,6,FALSE),IF(COUNTIF($H184:$CL184,"F")&gt;0,0,IF(CV184&gt;$DJ$1,$DJ$1*(VLOOKUP(D184,HORAS!$B$4:$G$42,6,FALSE)/$DJ$1),CV184*(VLOOKUP(D184,HORAS!$B$4:$G$42,6,FALSE)/$DJ$1))))))</f>
        <v>#N/A</v>
      </c>
      <c r="DP184" s="156"/>
      <c r="DQ184" s="89"/>
      <c r="DR184" s="148"/>
      <c r="DS184" s="83" t="e">
        <f t="shared" si="98"/>
        <v>#N/A</v>
      </c>
      <c r="DT184" s="84"/>
      <c r="DU184" s="149" t="e">
        <f t="shared" si="99"/>
        <v>#N/A</v>
      </c>
      <c r="DV184" s="149" t="e">
        <f t="shared" si="100"/>
        <v>#N/A</v>
      </c>
      <c r="DW184" s="144" t="e">
        <f t="shared" si="101"/>
        <v>#N/A</v>
      </c>
      <c r="DX184" s="134"/>
      <c r="DY184" s="29"/>
      <c r="DZ184" s="150"/>
      <c r="EA184" s="134"/>
      <c r="EB184" s="137">
        <f t="shared" si="102"/>
        <v>0</v>
      </c>
      <c r="EC184" s="138">
        <f t="shared" si="96"/>
        <v>0</v>
      </c>
      <c r="ED184" s="137">
        <f t="shared" si="103"/>
        <v>0</v>
      </c>
      <c r="EE184" s="132">
        <f t="shared" si="97"/>
        <v>0</v>
      </c>
      <c r="EF184" s="29"/>
      <c r="EG184" s="134"/>
      <c r="EH184" s="134"/>
      <c r="EI184" s="134"/>
      <c r="EK184" s="29"/>
    </row>
    <row r="185" spans="1:141" ht="15" customHeight="1" x14ac:dyDescent="0.25">
      <c r="A185" s="140"/>
      <c r="B185" s="151"/>
      <c r="C185" s="72"/>
      <c r="D185" s="73"/>
      <c r="E185" s="73"/>
      <c r="F185" s="141"/>
      <c r="G185" s="74"/>
      <c r="H185" s="75"/>
      <c r="I185" s="76"/>
      <c r="J185" s="135"/>
      <c r="K185" s="135"/>
      <c r="L185" s="77">
        <f t="shared" si="74"/>
        <v>0</v>
      </c>
      <c r="M185" s="78"/>
      <c r="N185" s="142"/>
      <c r="O185" s="142"/>
      <c r="P185" s="77">
        <f t="shared" si="75"/>
        <v>0</v>
      </c>
      <c r="Q185" s="78"/>
      <c r="R185" s="143"/>
      <c r="S185" s="143"/>
      <c r="T185" s="77">
        <f t="shared" si="76"/>
        <v>0</v>
      </c>
      <c r="U185" s="75"/>
      <c r="V185" s="76"/>
      <c r="W185" s="135"/>
      <c r="X185" s="135"/>
      <c r="Y185" s="77">
        <f t="shared" si="77"/>
        <v>0</v>
      </c>
      <c r="Z185" s="78"/>
      <c r="AA185" s="142"/>
      <c r="AB185" s="142"/>
      <c r="AC185" s="77">
        <f t="shared" si="78"/>
        <v>0</v>
      </c>
      <c r="AD185" s="78"/>
      <c r="AE185" s="143"/>
      <c r="AF185" s="143"/>
      <c r="AG185" s="79">
        <f t="shared" si="79"/>
        <v>0</v>
      </c>
      <c r="AH185" s="75"/>
      <c r="AI185" s="76"/>
      <c r="AJ185" s="135"/>
      <c r="AK185" s="135"/>
      <c r="AL185" s="77">
        <f t="shared" si="80"/>
        <v>0</v>
      </c>
      <c r="AM185" s="76"/>
      <c r="AN185" s="142"/>
      <c r="AO185" s="142"/>
      <c r="AP185" s="77">
        <f t="shared" si="81"/>
        <v>0</v>
      </c>
      <c r="AQ185" s="78"/>
      <c r="AR185" s="142"/>
      <c r="AS185" s="142"/>
      <c r="AT185" s="79">
        <f t="shared" si="82"/>
        <v>0</v>
      </c>
      <c r="AU185" s="75"/>
      <c r="AV185" s="76"/>
      <c r="AW185" s="135"/>
      <c r="AX185" s="135"/>
      <c r="AY185" s="77">
        <f t="shared" si="83"/>
        <v>0</v>
      </c>
      <c r="AZ185" s="76"/>
      <c r="BA185" s="142"/>
      <c r="BB185" s="142"/>
      <c r="BC185" s="77">
        <f t="shared" si="84"/>
        <v>0</v>
      </c>
      <c r="BD185" s="78"/>
      <c r="BE185" s="142"/>
      <c r="BF185" s="142"/>
      <c r="BG185" s="79">
        <f t="shared" si="85"/>
        <v>0</v>
      </c>
      <c r="BH185" s="75"/>
      <c r="BI185" s="76"/>
      <c r="BJ185" s="135"/>
      <c r="BK185" s="135"/>
      <c r="BL185" s="77">
        <f t="shared" si="86"/>
        <v>0</v>
      </c>
      <c r="BM185" s="78"/>
      <c r="BN185" s="142"/>
      <c r="BO185" s="142"/>
      <c r="BP185" s="77">
        <f t="shared" si="87"/>
        <v>0</v>
      </c>
      <c r="BQ185" s="78"/>
      <c r="BR185" s="142"/>
      <c r="BS185" s="142"/>
      <c r="BT185" s="79">
        <f t="shared" si="88"/>
        <v>0</v>
      </c>
      <c r="BU185" s="75"/>
      <c r="BV185" s="76"/>
      <c r="BW185" s="135"/>
      <c r="BX185" s="135"/>
      <c r="BY185" s="77">
        <f t="shared" si="89"/>
        <v>0</v>
      </c>
      <c r="BZ185" s="78"/>
      <c r="CA185" s="142"/>
      <c r="CB185" s="142"/>
      <c r="CC185" s="77">
        <f t="shared" si="90"/>
        <v>0</v>
      </c>
      <c r="CD185" s="78"/>
      <c r="CE185" s="142"/>
      <c r="CF185" s="142"/>
      <c r="CG185" s="79">
        <f t="shared" si="91"/>
        <v>0</v>
      </c>
      <c r="CH185" s="75"/>
      <c r="CI185" s="76"/>
      <c r="CJ185" s="135"/>
      <c r="CK185" s="135"/>
      <c r="CL185" s="77">
        <f t="shared" si="92"/>
        <v>0</v>
      </c>
      <c r="CM185" s="78"/>
      <c r="CN185" s="142"/>
      <c r="CO185" s="142"/>
      <c r="CP185" s="77">
        <f t="shared" si="93"/>
        <v>0</v>
      </c>
      <c r="CQ185" s="78"/>
      <c r="CR185" s="142"/>
      <c r="CS185" s="142"/>
      <c r="CT185" s="79">
        <f t="shared" si="94"/>
        <v>0</v>
      </c>
      <c r="CU185" s="80">
        <f t="shared" si="104"/>
        <v>0</v>
      </c>
      <c r="CV185" s="81">
        <f t="shared" si="105"/>
        <v>0</v>
      </c>
      <c r="CW185" s="144"/>
      <c r="CX185" s="145">
        <f>IF(ISERROR(VLOOKUP($A185,FIJOS!$B$11:$O$590,14,FALSE)),0,VLOOKUP($A185,FIJOS!$B$11:$O$590,14,FALSE))</f>
        <v>0</v>
      </c>
      <c r="CY185" s="145">
        <f>IF(ISERROR(VLOOKUP(A185,FIJOS!$B$10:$P$590,15,FALSE)),0,VLOOKUP(A185,FIJOS!$B$10:$P$590,15,FALSE))</f>
        <v>0</v>
      </c>
      <c r="CZ185" s="156"/>
      <c r="DA185" s="146"/>
      <c r="DB185" s="147"/>
      <c r="DC185" s="147"/>
      <c r="DD185" s="147"/>
      <c r="DE185" s="147"/>
      <c r="DF185" s="145">
        <f>IF(ISERROR(VLOOKUP($A185,FIJOS!$B$11:$N$590,13,FALSE)),0,VLOOKUP($A185,FIJOS!$B$11:$N$590,13,FALSE))</f>
        <v>0</v>
      </c>
      <c r="DG185" s="145">
        <f>IF(ISERROR(VLOOKUP($A185,FIJOS!$B$11:$P$447,12,FALSE)),0,VLOOKUP($A185,FIJOS!$B$11:$P$447,12,FALSE))</f>
        <v>0</v>
      </c>
      <c r="DH185" s="82">
        <f t="shared" si="95"/>
        <v>0</v>
      </c>
      <c r="DI185" s="83" t="b">
        <f>IF($C185=1,(VLOOKUP($A185,FIJOS!$B$11:$P$545,10,FALSE)/7)*(7-$CU185),IF(AND($C185=2,CV185&lt;$DJ$1),(VLOOKUP($D185,HORAS!$B$4:$C$42,2,FALSE)*24)*$CV185,IF(AND($C185=2,CV185&gt;=$DJ$1),VLOOKUP($D185,HORAS!$B$4:$D$42,3,FALSE),IF(AND($C185=3,$CV185&gt;=$DJ$1),VLOOKUP($A185,FIJOS!$B$11:$P$545,10,FALSE),IF(AND($C185=3,$CV185&lt;$DJ$1),((VLOOKUP($A185,FIJOS!$B$11:$P$545,10,FALSE)/48)*24)*$CV185,IF(AND($C185=4,$CV185&gt;=(42/24)),VLOOKUP($D185,HORAS!$B$4:$D$42,3,FALSE),IF(AND($C185=5,$CV185&gt;=(36/24)),VLOOKUP($D185,HORAS!$B$4:$D$42,3,FALSE))))))))</f>
        <v>0</v>
      </c>
      <c r="DJ185" s="145">
        <f>IF(OR($C185=2),VLOOKUP($D185,HORAS!$B$4:$E$42,4,FALSE)*$EC185,IF(ISERROR(VLOOKUP($A185,FIJOS!$B$11:$P$108,9,FALSE)),0,VLOOKUP($A185,FIJOS!$B$11:$P$231,9,FALSE)*$EC185))</f>
        <v>0</v>
      </c>
      <c r="DK185" s="145">
        <f>IF(OR($C185=2),VLOOKUP($D185,HORAS!$B$4:$F$42,5,FALSE)*$EE185,IF(ISERROR(VLOOKUP($A185,FIJOS!$B$11:$P$108,9,FALSE)),0,VLOOKUP($A185,FIJOS!$B$11:$P$231,9,FALSE)*$EE185))</f>
        <v>0</v>
      </c>
      <c r="DL185" s="144"/>
      <c r="DM185" s="145">
        <f>IF(ISERROR(VLOOKUP($A185,FIJOS!$B$11:$L$646,11,FALSE)),0,VLOOKUP($A185,FIJOS!$B$11:$L$646,11,FALSE))</f>
        <v>0</v>
      </c>
      <c r="DN185" s="148" t="e">
        <f>IF(OR($C185=1,$C185=3),0,IF((VLOOKUP(CAPTURA!D185,HORAS!$B$4:$K$42,10,FALSE)/4)*COUNTIF($H185:$CT185,3)&gt;100,100,(VLOOKUP(CAPTURA!D185,HORAS!$B$4:$K$42,10,FALSE)/4)*COUNTIF($H185:$CT185,3)))</f>
        <v>#N/A</v>
      </c>
      <c r="DO185" s="144" t="e">
        <f>IF(OR($C185=1,$C185=3),0,IF($C185=5,VLOOKUP(D185,HORAS!$B$4:$G$42,6,FALSE),IF(AND($C185=4,$CV185&gt;=(42/24)),VLOOKUP(D185,HORAS!$B$4:$G$42,6,FALSE),IF(COUNTIF($H185:$CL185,"F")&gt;0,0,IF(CV185&gt;$DJ$1,$DJ$1*(VLOOKUP(D185,HORAS!$B$4:$G$42,6,FALSE)/$DJ$1),CV185*(VLOOKUP(D185,HORAS!$B$4:$G$42,6,FALSE)/$DJ$1))))))</f>
        <v>#N/A</v>
      </c>
      <c r="DP185" s="156"/>
      <c r="DQ185" s="89"/>
      <c r="DR185" s="148"/>
      <c r="DS185" s="83" t="e">
        <f t="shared" si="98"/>
        <v>#N/A</v>
      </c>
      <c r="DT185" s="84"/>
      <c r="DU185" s="149" t="e">
        <f t="shared" si="99"/>
        <v>#N/A</v>
      </c>
      <c r="DV185" s="149" t="e">
        <f t="shared" si="100"/>
        <v>#N/A</v>
      </c>
      <c r="DW185" s="144" t="e">
        <f t="shared" si="101"/>
        <v>#N/A</v>
      </c>
      <c r="DX185"/>
      <c r="DY185" s="29"/>
      <c r="DZ185" s="150"/>
      <c r="EA185" s="134"/>
      <c r="EB185" s="137">
        <f t="shared" si="102"/>
        <v>0</v>
      </c>
      <c r="EC185" s="138">
        <f t="shared" si="96"/>
        <v>0</v>
      </c>
      <c r="ED185" s="137">
        <f t="shared" si="103"/>
        <v>0</v>
      </c>
      <c r="EE185" s="132">
        <f t="shared" si="97"/>
        <v>0</v>
      </c>
      <c r="EF185" s="29"/>
      <c r="EG185" s="134"/>
      <c r="EH185" s="134"/>
      <c r="EI185" s="134"/>
      <c r="EK185" s="29"/>
    </row>
    <row r="186" spans="1:141" ht="15" customHeight="1" x14ac:dyDescent="0.25">
      <c r="A186" s="140"/>
      <c r="B186" s="151"/>
      <c r="C186" s="72"/>
      <c r="D186" s="73"/>
      <c r="E186" s="73"/>
      <c r="F186" s="141"/>
      <c r="G186" s="74"/>
      <c r="H186" s="75"/>
      <c r="I186" s="76"/>
      <c r="J186" s="135"/>
      <c r="K186" s="135"/>
      <c r="L186" s="77">
        <f t="shared" si="74"/>
        <v>0</v>
      </c>
      <c r="M186" s="78"/>
      <c r="N186" s="142"/>
      <c r="O186" s="142"/>
      <c r="P186" s="77">
        <f t="shared" si="75"/>
        <v>0</v>
      </c>
      <c r="Q186" s="78"/>
      <c r="R186" s="143"/>
      <c r="S186" s="143"/>
      <c r="T186" s="77">
        <f t="shared" si="76"/>
        <v>0</v>
      </c>
      <c r="U186" s="75"/>
      <c r="V186" s="76"/>
      <c r="W186" s="135"/>
      <c r="X186" s="135"/>
      <c r="Y186" s="77">
        <f t="shared" si="77"/>
        <v>0</v>
      </c>
      <c r="Z186" s="78"/>
      <c r="AA186" s="142"/>
      <c r="AB186" s="142"/>
      <c r="AC186" s="77">
        <f t="shared" si="78"/>
        <v>0</v>
      </c>
      <c r="AD186" s="78"/>
      <c r="AE186" s="143"/>
      <c r="AF186" s="143"/>
      <c r="AG186" s="79">
        <f t="shared" si="79"/>
        <v>0</v>
      </c>
      <c r="AH186" s="75"/>
      <c r="AI186" s="76"/>
      <c r="AJ186" s="135"/>
      <c r="AK186" s="135"/>
      <c r="AL186" s="77">
        <f t="shared" si="80"/>
        <v>0</v>
      </c>
      <c r="AM186" s="76"/>
      <c r="AN186" s="142"/>
      <c r="AO186" s="142"/>
      <c r="AP186" s="77">
        <f t="shared" si="81"/>
        <v>0</v>
      </c>
      <c r="AQ186" s="78"/>
      <c r="AR186" s="142"/>
      <c r="AS186" s="142"/>
      <c r="AT186" s="79">
        <f t="shared" si="82"/>
        <v>0</v>
      </c>
      <c r="AU186" s="75"/>
      <c r="AV186" s="76"/>
      <c r="AW186" s="135"/>
      <c r="AX186" s="135"/>
      <c r="AY186" s="77">
        <f t="shared" si="83"/>
        <v>0</v>
      </c>
      <c r="AZ186" s="76"/>
      <c r="BA186" s="142"/>
      <c r="BB186" s="142"/>
      <c r="BC186" s="77">
        <f t="shared" si="84"/>
        <v>0</v>
      </c>
      <c r="BD186" s="78"/>
      <c r="BE186" s="142"/>
      <c r="BF186" s="142"/>
      <c r="BG186" s="79">
        <f t="shared" si="85"/>
        <v>0</v>
      </c>
      <c r="BH186" s="75"/>
      <c r="BI186" s="76"/>
      <c r="BJ186" s="135"/>
      <c r="BK186" s="135"/>
      <c r="BL186" s="77">
        <f t="shared" si="86"/>
        <v>0</v>
      </c>
      <c r="BM186" s="78"/>
      <c r="BN186" s="142"/>
      <c r="BO186" s="142"/>
      <c r="BP186" s="77">
        <f t="shared" si="87"/>
        <v>0</v>
      </c>
      <c r="BQ186" s="78"/>
      <c r="BR186" s="142"/>
      <c r="BS186" s="142"/>
      <c r="BT186" s="79">
        <f t="shared" si="88"/>
        <v>0</v>
      </c>
      <c r="BU186" s="75"/>
      <c r="BV186" s="76"/>
      <c r="BW186" s="135"/>
      <c r="BX186" s="135"/>
      <c r="BY186" s="77">
        <f t="shared" si="89"/>
        <v>0</v>
      </c>
      <c r="BZ186" s="78"/>
      <c r="CA186" s="142"/>
      <c r="CB186" s="142"/>
      <c r="CC186" s="77">
        <f t="shared" si="90"/>
        <v>0</v>
      </c>
      <c r="CD186" s="78"/>
      <c r="CE186" s="142"/>
      <c r="CF186" s="142"/>
      <c r="CG186" s="79">
        <f t="shared" si="91"/>
        <v>0</v>
      </c>
      <c r="CH186" s="75"/>
      <c r="CI186" s="76"/>
      <c r="CJ186" s="135"/>
      <c r="CK186" s="135"/>
      <c r="CL186" s="77">
        <f t="shared" si="92"/>
        <v>0</v>
      </c>
      <c r="CM186" s="78"/>
      <c r="CN186" s="142"/>
      <c r="CO186" s="142"/>
      <c r="CP186" s="77">
        <f t="shared" si="93"/>
        <v>0</v>
      </c>
      <c r="CQ186" s="78"/>
      <c r="CR186" s="142"/>
      <c r="CS186" s="142"/>
      <c r="CT186" s="79">
        <f t="shared" si="94"/>
        <v>0</v>
      </c>
      <c r="CU186" s="80">
        <f t="shared" si="104"/>
        <v>0</v>
      </c>
      <c r="CV186" s="81">
        <f t="shared" si="105"/>
        <v>0</v>
      </c>
      <c r="CW186" s="144"/>
      <c r="CX186" s="145">
        <f>IF(ISERROR(VLOOKUP($A186,FIJOS!$B$11:$O$590,14,FALSE)),0,VLOOKUP($A186,FIJOS!$B$11:$O$590,14,FALSE))</f>
        <v>0</v>
      </c>
      <c r="CY186" s="145">
        <f>IF(ISERROR(VLOOKUP(A186,FIJOS!$B$10:$P$590,15,FALSE)),0,VLOOKUP(A186,FIJOS!$B$10:$P$590,15,FALSE))</f>
        <v>0</v>
      </c>
      <c r="CZ186" s="156"/>
      <c r="DA186" s="146"/>
      <c r="DB186" s="147"/>
      <c r="DC186" s="147"/>
      <c r="DD186" s="147"/>
      <c r="DE186" s="147"/>
      <c r="DF186" s="145">
        <f>IF(ISERROR(VLOOKUP($A186,FIJOS!$B$11:$N$590,13,FALSE)),0,VLOOKUP($A186,FIJOS!$B$11:$N$590,13,FALSE))</f>
        <v>0</v>
      </c>
      <c r="DG186" s="145">
        <f>IF(ISERROR(VLOOKUP($A186,FIJOS!$B$11:$P$447,12,FALSE)),0,VLOOKUP($A186,FIJOS!$B$11:$P$447,12,FALSE))</f>
        <v>0</v>
      </c>
      <c r="DH186" s="82">
        <f t="shared" si="95"/>
        <v>0</v>
      </c>
      <c r="DI186" s="83" t="b">
        <f>IF($C186=1,(VLOOKUP($A186,FIJOS!$B$11:$P$545,10,FALSE)/7)*(7-$CU186),IF(AND($C186=2,CV186&lt;$DJ$1),(VLOOKUP($D186,HORAS!$B$4:$C$42,2,FALSE)*24)*$CV186,IF(AND($C186=2,CV186&gt;=$DJ$1),VLOOKUP($D186,HORAS!$B$4:$D$42,3,FALSE),IF(AND($C186=3,$CV186&gt;=$DJ$1),VLOOKUP($A186,FIJOS!$B$11:$P$545,10,FALSE),IF(AND($C186=3,$CV186&lt;$DJ$1),((VLOOKUP($A186,FIJOS!$B$11:$P$545,10,FALSE)/48)*24)*$CV186,IF(AND($C186=4,$CV186&gt;=(42/24)),VLOOKUP($D186,HORAS!$B$4:$D$42,3,FALSE),IF(AND($C186=5,$CV186&gt;=(36/24)),VLOOKUP($D186,HORAS!$B$4:$D$42,3,FALSE))))))))</f>
        <v>0</v>
      </c>
      <c r="DJ186" s="145">
        <f>IF(OR($C186=2),VLOOKUP($D186,HORAS!$B$4:$E$42,4,FALSE)*$EC186,IF(ISERROR(VLOOKUP($A186,FIJOS!$B$11:$P$108,9,FALSE)),0,VLOOKUP($A186,FIJOS!$B$11:$P$231,9,FALSE)*$EC186))</f>
        <v>0</v>
      </c>
      <c r="DK186" s="145">
        <f>IF(OR($C186=2),VLOOKUP($D186,HORAS!$B$4:$F$42,5,FALSE)*$EE186,IF(ISERROR(VLOOKUP($A186,FIJOS!$B$11:$P$108,9,FALSE)),0,VLOOKUP($A186,FIJOS!$B$11:$P$231,9,FALSE)*$EE186))</f>
        <v>0</v>
      </c>
      <c r="DL186" s="144"/>
      <c r="DM186" s="145">
        <f>IF(ISERROR(VLOOKUP($A186,FIJOS!$B$11:$L$646,11,FALSE)),0,VLOOKUP($A186,FIJOS!$B$11:$L$646,11,FALSE))</f>
        <v>0</v>
      </c>
      <c r="DN186" s="148" t="e">
        <f>IF(OR($C186=1,$C186=3),0,IF((VLOOKUP(CAPTURA!D186,HORAS!$B$4:$K$42,10,FALSE)/4)*COUNTIF($H186:$CT186,3)&gt;100,100,(VLOOKUP(CAPTURA!D186,HORAS!$B$4:$K$42,10,FALSE)/4)*COUNTIF($H186:$CT186,3)))</f>
        <v>#N/A</v>
      </c>
      <c r="DO186" s="144" t="e">
        <f>IF(OR($C186=1,$C186=3),0,IF($C186=5,VLOOKUP(D186,HORAS!$B$4:$G$42,6,FALSE),IF(AND($C186=4,$CV186&gt;=(42/24)),VLOOKUP(D186,HORAS!$B$4:$G$42,6,FALSE),IF(COUNTIF($H186:$CL186,"F")&gt;0,0,IF(CV186&gt;$DJ$1,$DJ$1*(VLOOKUP(D186,HORAS!$B$4:$G$42,6,FALSE)/$DJ$1),CV186*(VLOOKUP(D186,HORAS!$B$4:$G$42,6,FALSE)/$DJ$1))))))</f>
        <v>#N/A</v>
      </c>
      <c r="DP186" s="156"/>
      <c r="DQ186" s="89"/>
      <c r="DR186" s="148"/>
      <c r="DS186" s="83" t="e">
        <f t="shared" si="98"/>
        <v>#N/A</v>
      </c>
      <c r="DT186" s="84"/>
      <c r="DU186" s="149" t="e">
        <f t="shared" si="99"/>
        <v>#N/A</v>
      </c>
      <c r="DV186" s="149" t="e">
        <f t="shared" si="100"/>
        <v>#N/A</v>
      </c>
      <c r="DW186" s="144" t="e">
        <f t="shared" si="101"/>
        <v>#N/A</v>
      </c>
      <c r="DX186" s="134"/>
      <c r="DY186" s="29"/>
      <c r="DZ186" s="150"/>
      <c r="EA186" s="134"/>
      <c r="EB186" s="137">
        <f t="shared" si="102"/>
        <v>0</v>
      </c>
      <c r="EC186" s="138">
        <f t="shared" si="96"/>
        <v>0</v>
      </c>
      <c r="ED186" s="137">
        <f t="shared" si="103"/>
        <v>0</v>
      </c>
      <c r="EE186" s="132">
        <f t="shared" si="97"/>
        <v>0</v>
      </c>
      <c r="EF186" s="29"/>
      <c r="EG186" s="134"/>
      <c r="EH186" s="134"/>
      <c r="EI186" s="134"/>
      <c r="EK186" s="29"/>
    </row>
    <row r="187" spans="1:141" ht="15" customHeight="1" x14ac:dyDescent="0.25">
      <c r="A187" s="140"/>
      <c r="B187" s="5"/>
      <c r="C187" s="72"/>
      <c r="D187" s="73"/>
      <c r="E187" s="73"/>
      <c r="F187" s="141"/>
      <c r="G187" s="74"/>
      <c r="H187" s="75"/>
      <c r="I187" s="76"/>
      <c r="J187" s="86"/>
      <c r="K187" s="135"/>
      <c r="L187" s="77">
        <f t="shared" si="74"/>
        <v>0</v>
      </c>
      <c r="M187" s="78"/>
      <c r="N187" s="142"/>
      <c r="O187" s="142"/>
      <c r="P187" s="77">
        <f t="shared" si="75"/>
        <v>0</v>
      </c>
      <c r="Q187" s="78"/>
      <c r="R187" s="143"/>
      <c r="S187" s="143"/>
      <c r="T187" s="77">
        <f t="shared" si="76"/>
        <v>0</v>
      </c>
      <c r="U187" s="75"/>
      <c r="V187" s="76"/>
      <c r="W187" s="135"/>
      <c r="X187" s="135"/>
      <c r="Y187" s="77">
        <f t="shared" si="77"/>
        <v>0</v>
      </c>
      <c r="Z187" s="78"/>
      <c r="AA187" s="142"/>
      <c r="AB187" s="142"/>
      <c r="AC187" s="77">
        <f t="shared" si="78"/>
        <v>0</v>
      </c>
      <c r="AD187" s="78"/>
      <c r="AE187" s="143"/>
      <c r="AF187" s="143"/>
      <c r="AG187" s="79">
        <f t="shared" si="79"/>
        <v>0</v>
      </c>
      <c r="AH187" s="75"/>
      <c r="AI187" s="76"/>
      <c r="AJ187" s="135"/>
      <c r="AK187" s="135"/>
      <c r="AL187" s="77">
        <f t="shared" si="80"/>
        <v>0</v>
      </c>
      <c r="AM187" s="76"/>
      <c r="AN187" s="142"/>
      <c r="AO187" s="142"/>
      <c r="AP187" s="77">
        <f t="shared" si="81"/>
        <v>0</v>
      </c>
      <c r="AQ187" s="78"/>
      <c r="AR187" s="142"/>
      <c r="AS187" s="142"/>
      <c r="AT187" s="79">
        <f t="shared" si="82"/>
        <v>0</v>
      </c>
      <c r="AU187" s="75"/>
      <c r="AV187" s="76"/>
      <c r="AW187" s="135"/>
      <c r="AX187" s="135"/>
      <c r="AY187" s="77">
        <f t="shared" si="83"/>
        <v>0</v>
      </c>
      <c r="AZ187" s="76"/>
      <c r="BA187" s="142"/>
      <c r="BB187" s="142"/>
      <c r="BC187" s="77">
        <f t="shared" si="84"/>
        <v>0</v>
      </c>
      <c r="BD187" s="78"/>
      <c r="BE187" s="142"/>
      <c r="BF187" s="142"/>
      <c r="BG187" s="79">
        <f t="shared" si="85"/>
        <v>0</v>
      </c>
      <c r="BH187" s="75"/>
      <c r="BI187" s="76"/>
      <c r="BJ187" s="135"/>
      <c r="BK187" s="135"/>
      <c r="BL187" s="77">
        <f t="shared" si="86"/>
        <v>0</v>
      </c>
      <c r="BM187" s="78"/>
      <c r="BN187" s="142"/>
      <c r="BO187" s="142"/>
      <c r="BP187" s="77">
        <f t="shared" si="87"/>
        <v>0</v>
      </c>
      <c r="BQ187" s="78"/>
      <c r="BR187" s="142"/>
      <c r="BS187" s="142"/>
      <c r="BT187" s="79">
        <f t="shared" si="88"/>
        <v>0</v>
      </c>
      <c r="BU187" s="75"/>
      <c r="BV187" s="76"/>
      <c r="BW187" s="135"/>
      <c r="BX187" s="135"/>
      <c r="BY187" s="77">
        <f t="shared" si="89"/>
        <v>0</v>
      </c>
      <c r="BZ187" s="78"/>
      <c r="CA187" s="142"/>
      <c r="CB187" s="142"/>
      <c r="CC187" s="77">
        <f t="shared" si="90"/>
        <v>0</v>
      </c>
      <c r="CD187" s="78"/>
      <c r="CE187" s="142"/>
      <c r="CF187" s="142"/>
      <c r="CG187" s="79">
        <f t="shared" si="91"/>
        <v>0</v>
      </c>
      <c r="CH187" s="75"/>
      <c r="CI187" s="76"/>
      <c r="CJ187" s="135"/>
      <c r="CK187" s="135"/>
      <c r="CL187" s="77">
        <f t="shared" si="92"/>
        <v>0</v>
      </c>
      <c r="CM187" s="78"/>
      <c r="CN187" s="142"/>
      <c r="CO187" s="142"/>
      <c r="CP187" s="77">
        <f t="shared" si="93"/>
        <v>0</v>
      </c>
      <c r="CQ187" s="78"/>
      <c r="CR187" s="142"/>
      <c r="CS187" s="142"/>
      <c r="CT187" s="79">
        <f t="shared" si="94"/>
        <v>0</v>
      </c>
      <c r="CU187" s="80">
        <f t="shared" si="104"/>
        <v>0</v>
      </c>
      <c r="CV187" s="81">
        <f t="shared" si="105"/>
        <v>0</v>
      </c>
      <c r="CW187" s="144"/>
      <c r="CX187" s="145">
        <f>IF(ISERROR(VLOOKUP($A187,FIJOS!$B$11:$O$590,14,FALSE)),0,VLOOKUP($A187,FIJOS!$B$11:$O$590,14,FALSE))</f>
        <v>0</v>
      </c>
      <c r="CY187" s="145">
        <f>IF(ISERROR(VLOOKUP(A187,FIJOS!$B$10:$P$590,15,FALSE)),0,VLOOKUP(A187,FIJOS!$B$10:$P$590,15,FALSE))</f>
        <v>0</v>
      </c>
      <c r="CZ187" s="156"/>
      <c r="DA187" s="146"/>
      <c r="DB187" s="147"/>
      <c r="DC187" s="147"/>
      <c r="DD187" s="147"/>
      <c r="DE187" s="147"/>
      <c r="DF187" s="145">
        <f>IF(ISERROR(VLOOKUP($A187,FIJOS!$B$11:$N$590,13,FALSE)),0,VLOOKUP($A187,FIJOS!$B$11:$N$590,13,FALSE))</f>
        <v>0</v>
      </c>
      <c r="DG187" s="145">
        <f>IF(ISERROR(VLOOKUP($A187,FIJOS!$B$11:$P$447,12,FALSE)),0,VLOOKUP($A187,FIJOS!$B$11:$P$447,12,FALSE))</f>
        <v>0</v>
      </c>
      <c r="DH187" s="82">
        <f t="shared" si="95"/>
        <v>0</v>
      </c>
      <c r="DI187" s="83" t="b">
        <f>IF($C187=1,(VLOOKUP($A187,FIJOS!$B$11:$P$545,10,FALSE)/7)*(7-$CU187),IF(AND($C187=2,CV187&lt;$DJ$1),(VLOOKUP($D187,HORAS!$B$4:$C$42,2,FALSE)*24)*$CV187,IF(AND($C187=2,CV187&gt;=$DJ$1),VLOOKUP($D187,HORAS!$B$4:$D$42,3,FALSE),IF(AND($C187=3,$CV187&gt;=$DJ$1),VLOOKUP($A187,FIJOS!$B$11:$P$545,10,FALSE),IF(AND($C187=3,$CV187&lt;$DJ$1),((VLOOKUP($A187,FIJOS!$B$11:$P$545,10,FALSE)/48)*24)*$CV187,IF(AND($C187=4,$CV187&gt;=(42/24)),VLOOKUP($D187,HORAS!$B$4:$D$42,3,FALSE),IF(AND($C187=5,$CV187&gt;=(36/24)),VLOOKUP($D187,HORAS!$B$4:$D$42,3,FALSE))))))))</f>
        <v>0</v>
      </c>
      <c r="DJ187" s="145">
        <f>IF(OR($C187=2),VLOOKUP($D187,HORAS!$B$4:$E$42,4,FALSE)*$EC187,IF(ISERROR(VLOOKUP($A187,FIJOS!$B$11:$P$108,9,FALSE)),0,VLOOKUP($A187,FIJOS!$B$11:$P$231,9,FALSE)*$EC187))</f>
        <v>0</v>
      </c>
      <c r="DK187" s="145">
        <f>IF(OR($C187=2),VLOOKUP($D187,HORAS!$B$4:$F$42,5,FALSE)*$EE187,IF(ISERROR(VLOOKUP($A187,FIJOS!$B$11:$P$108,9,FALSE)),0,VLOOKUP($A187,FIJOS!$B$11:$P$231,9,FALSE)*$EE187))</f>
        <v>0</v>
      </c>
      <c r="DL187" s="144"/>
      <c r="DM187" s="145">
        <f>IF(ISERROR(VLOOKUP($A187,FIJOS!$B$11:$L$646,11,FALSE)),0,VLOOKUP($A187,FIJOS!$B$11:$L$646,11,FALSE))</f>
        <v>0</v>
      </c>
      <c r="DN187" s="148" t="e">
        <f>IF(OR($C187=1,$C187=3),0,IF((VLOOKUP(CAPTURA!D187,HORAS!$B$4:$K$42,10,FALSE)/4)*COUNTIF($H187:$CT187,3)&gt;100,100,(VLOOKUP(CAPTURA!D187,HORAS!$B$4:$K$42,10,FALSE)/4)*COUNTIF($H187:$CT187,3)))</f>
        <v>#N/A</v>
      </c>
      <c r="DO187" s="144" t="e">
        <f>IF(OR($C187=1,$C187=3),0,IF($C187=5,VLOOKUP(D187,HORAS!$B$4:$G$42,6,FALSE),IF(AND($C187=4,$CV187&gt;=(42/24)),VLOOKUP(D187,HORAS!$B$4:$G$42,6,FALSE),IF(COUNTIF($H187:$CL187,"F")&gt;0,0,IF(CV187&gt;$DJ$1,$DJ$1*(VLOOKUP(D187,HORAS!$B$4:$G$42,6,FALSE)/$DJ$1),CV187*(VLOOKUP(D187,HORAS!$B$4:$G$42,6,FALSE)/$DJ$1))))))</f>
        <v>#N/A</v>
      </c>
      <c r="DP187" s="156"/>
      <c r="DQ187" s="89"/>
      <c r="DR187" s="148"/>
      <c r="DS187" s="83" t="e">
        <f t="shared" si="98"/>
        <v>#N/A</v>
      </c>
      <c r="DT187" s="84"/>
      <c r="DU187" s="149" t="e">
        <f t="shared" si="99"/>
        <v>#N/A</v>
      </c>
      <c r="DV187" s="149" t="e">
        <f t="shared" si="100"/>
        <v>#N/A</v>
      </c>
      <c r="DW187" s="144" t="e">
        <f t="shared" si="101"/>
        <v>#N/A</v>
      </c>
      <c r="DX187" s="134"/>
      <c r="DY187" s="29"/>
      <c r="DZ187" s="150"/>
      <c r="EA187" s="134"/>
      <c r="EB187" s="137">
        <f t="shared" si="102"/>
        <v>0</v>
      </c>
      <c r="EC187" s="138">
        <f t="shared" si="96"/>
        <v>0</v>
      </c>
      <c r="ED187" s="137">
        <f t="shared" si="103"/>
        <v>0</v>
      </c>
      <c r="EE187" s="132">
        <f t="shared" si="97"/>
        <v>0</v>
      </c>
      <c r="EF187" s="29"/>
      <c r="EG187" s="134"/>
      <c r="EH187" s="134"/>
      <c r="EI187" s="134"/>
      <c r="EK187" s="29"/>
    </row>
    <row r="188" spans="1:141" ht="15" customHeight="1" x14ac:dyDescent="0.25">
      <c r="A188" s="140"/>
      <c r="B188" s="151"/>
      <c r="C188" s="72"/>
      <c r="D188" s="73"/>
      <c r="E188" s="73"/>
      <c r="F188" s="141"/>
      <c r="G188" s="74"/>
      <c r="H188" s="75"/>
      <c r="I188" s="76"/>
      <c r="J188" s="135"/>
      <c r="K188" s="135"/>
      <c r="L188" s="77">
        <f t="shared" si="74"/>
        <v>0</v>
      </c>
      <c r="M188" s="78"/>
      <c r="N188" s="142"/>
      <c r="O188" s="85"/>
      <c r="P188" s="77">
        <f t="shared" si="75"/>
        <v>0</v>
      </c>
      <c r="Q188" s="78"/>
      <c r="R188" s="143"/>
      <c r="S188" s="143"/>
      <c r="T188" s="77">
        <f t="shared" si="76"/>
        <v>0</v>
      </c>
      <c r="U188" s="75"/>
      <c r="V188" s="76"/>
      <c r="W188" s="86"/>
      <c r="X188" s="86"/>
      <c r="Y188" s="77">
        <f t="shared" si="77"/>
        <v>0</v>
      </c>
      <c r="Z188" s="78"/>
      <c r="AA188" s="142"/>
      <c r="AB188" s="142"/>
      <c r="AC188" s="77">
        <f t="shared" si="78"/>
        <v>0</v>
      </c>
      <c r="AD188" s="78"/>
      <c r="AE188" s="143"/>
      <c r="AF188" s="143"/>
      <c r="AG188" s="79">
        <f t="shared" si="79"/>
        <v>0</v>
      </c>
      <c r="AH188" s="75"/>
      <c r="AI188" s="76"/>
      <c r="AJ188" s="135"/>
      <c r="AK188" s="135"/>
      <c r="AL188" s="77">
        <f t="shared" si="80"/>
        <v>0</v>
      </c>
      <c r="AM188" s="76"/>
      <c r="AN188" s="142"/>
      <c r="AO188" s="142"/>
      <c r="AP188" s="77">
        <f t="shared" si="81"/>
        <v>0</v>
      </c>
      <c r="AQ188" s="78"/>
      <c r="AR188" s="142"/>
      <c r="AS188" s="142"/>
      <c r="AT188" s="79">
        <f t="shared" si="82"/>
        <v>0</v>
      </c>
      <c r="AU188" s="75"/>
      <c r="AV188" s="76"/>
      <c r="AW188" s="135"/>
      <c r="AX188" s="135"/>
      <c r="AY188" s="77">
        <f t="shared" si="83"/>
        <v>0</v>
      </c>
      <c r="AZ188" s="76"/>
      <c r="BA188" s="142"/>
      <c r="BB188" s="142"/>
      <c r="BC188" s="77">
        <f t="shared" si="84"/>
        <v>0</v>
      </c>
      <c r="BD188" s="78"/>
      <c r="BE188" s="142"/>
      <c r="BF188" s="142"/>
      <c r="BG188" s="79">
        <f t="shared" si="85"/>
        <v>0</v>
      </c>
      <c r="BH188" s="75"/>
      <c r="BI188" s="76"/>
      <c r="BJ188" s="135"/>
      <c r="BK188" s="135"/>
      <c r="BL188" s="77">
        <f t="shared" si="86"/>
        <v>0</v>
      </c>
      <c r="BM188" s="78"/>
      <c r="BN188" s="142"/>
      <c r="BO188" s="142"/>
      <c r="BP188" s="77">
        <f t="shared" si="87"/>
        <v>0</v>
      </c>
      <c r="BQ188" s="78"/>
      <c r="BR188" s="142"/>
      <c r="BS188" s="142"/>
      <c r="BT188" s="79">
        <f t="shared" si="88"/>
        <v>0</v>
      </c>
      <c r="BU188" s="75"/>
      <c r="BV188" s="76"/>
      <c r="BW188" s="135"/>
      <c r="BX188" s="135"/>
      <c r="BY188" s="77">
        <f t="shared" si="89"/>
        <v>0</v>
      </c>
      <c r="BZ188" s="76"/>
      <c r="CA188" s="142"/>
      <c r="CB188" s="142"/>
      <c r="CC188" s="77">
        <f t="shared" si="90"/>
        <v>0</v>
      </c>
      <c r="CD188" s="76"/>
      <c r="CE188" s="142"/>
      <c r="CF188" s="142"/>
      <c r="CG188" s="79">
        <f t="shared" si="91"/>
        <v>0</v>
      </c>
      <c r="CH188" s="75"/>
      <c r="CI188" s="76"/>
      <c r="CJ188" s="135"/>
      <c r="CK188" s="135"/>
      <c r="CL188" s="77">
        <f t="shared" si="92"/>
        <v>0</v>
      </c>
      <c r="CM188" s="78"/>
      <c r="CN188" s="142"/>
      <c r="CO188" s="142"/>
      <c r="CP188" s="77">
        <f t="shared" si="93"/>
        <v>0</v>
      </c>
      <c r="CQ188" s="78"/>
      <c r="CR188" s="142"/>
      <c r="CS188" s="142"/>
      <c r="CT188" s="79">
        <f t="shared" si="94"/>
        <v>0</v>
      </c>
      <c r="CU188" s="80">
        <f t="shared" si="104"/>
        <v>0</v>
      </c>
      <c r="CV188" s="81">
        <f t="shared" si="105"/>
        <v>0</v>
      </c>
      <c r="CW188" s="144"/>
      <c r="CX188" s="145">
        <f>IF(ISERROR(VLOOKUP($A188,FIJOS!$B$11:$O$590,14,FALSE)),0,VLOOKUP($A188,FIJOS!$B$11:$O$590,14,FALSE))</f>
        <v>0</v>
      </c>
      <c r="CY188" s="145">
        <f>IF(ISERROR(VLOOKUP(A188,FIJOS!$B$10:$P$590,15,FALSE)),0,VLOOKUP(A188,FIJOS!$B$10:$P$590,15,FALSE))</f>
        <v>0</v>
      </c>
      <c r="CZ188" s="156"/>
      <c r="DA188" s="146"/>
      <c r="DB188" s="147"/>
      <c r="DC188" s="147"/>
      <c r="DD188" s="147"/>
      <c r="DE188" s="147"/>
      <c r="DF188" s="145">
        <f>IF(ISERROR(VLOOKUP($A188,FIJOS!$B$11:$N$590,13,FALSE)),0,VLOOKUP($A188,FIJOS!$B$11:$N$590,13,FALSE))</f>
        <v>0</v>
      </c>
      <c r="DG188" s="145">
        <f>IF(ISERROR(VLOOKUP($A188,FIJOS!$B$11:$P$447,12,FALSE)),0,VLOOKUP($A188,FIJOS!$B$11:$P$447,12,FALSE))</f>
        <v>0</v>
      </c>
      <c r="DH188" s="82">
        <f t="shared" si="95"/>
        <v>0</v>
      </c>
      <c r="DI188" s="83" t="b">
        <f>IF($C188=1,(VLOOKUP($A188,FIJOS!$B$11:$P$545,10,FALSE)/7)*(7-$CU188),IF(AND($C188=2,CV188&lt;$DJ$1),(VLOOKUP($D188,HORAS!$B$4:$C$42,2,FALSE)*24)*$CV188,IF(AND($C188=2,CV188&gt;=$DJ$1),VLOOKUP($D188,HORAS!$B$4:$D$42,3,FALSE),IF(AND($C188=3,$CV188&gt;=$DJ$1),VLOOKUP($A188,FIJOS!$B$11:$P$545,10,FALSE),IF(AND($C188=3,$CV188&lt;$DJ$1),((VLOOKUP($A188,FIJOS!$B$11:$P$545,10,FALSE)/48)*24)*$CV188,IF(AND($C188=4,$CV188&gt;=(42/24)),VLOOKUP($D188,HORAS!$B$4:$D$42,3,FALSE),IF(AND($C188=5,$CV188&gt;=(36/24)),VLOOKUP($D188,HORAS!$B$4:$D$42,3,FALSE))))))))</f>
        <v>0</v>
      </c>
      <c r="DJ188" s="145">
        <f>IF(OR($C188=2),VLOOKUP($D188,HORAS!$B$4:$E$42,4,FALSE)*$EC188,IF(ISERROR(VLOOKUP($A188,FIJOS!$B$11:$P$108,9,FALSE)),0,VLOOKUP($A188,FIJOS!$B$11:$P$231,9,FALSE)*$EC188))</f>
        <v>0</v>
      </c>
      <c r="DK188" s="145">
        <f>IF(OR($C188=2),VLOOKUP($D188,HORAS!$B$4:$F$42,5,FALSE)*$EE188,IF(ISERROR(VLOOKUP($A188,FIJOS!$B$11:$P$108,9,FALSE)),0,VLOOKUP($A188,FIJOS!$B$11:$P$231,9,FALSE)*$EE188))</f>
        <v>0</v>
      </c>
      <c r="DL188" s="144"/>
      <c r="DM188" s="145">
        <f>IF(ISERROR(VLOOKUP($A188,FIJOS!$B$11:$L$646,11,FALSE)),0,VLOOKUP($A188,FIJOS!$B$11:$L$646,11,FALSE))</f>
        <v>0</v>
      </c>
      <c r="DN188" s="148" t="e">
        <f>IF(OR($C188=1,$C188=3),0,IF((VLOOKUP(CAPTURA!D188,HORAS!$B$4:$K$42,10,FALSE)/4)*COUNTIF($H188:$CT188,3)&gt;100,100,(VLOOKUP(CAPTURA!D188,HORAS!$B$4:$K$42,10,FALSE)/4)*COUNTIF($H188:$CT188,3)))</f>
        <v>#N/A</v>
      </c>
      <c r="DO188" s="144" t="e">
        <f>IF(OR($C188=1,$C188=3),0,IF($C188=5,VLOOKUP(D188,HORAS!$B$4:$G$42,6,FALSE),IF(AND($C188=4,$CV188&gt;=(42/24)),VLOOKUP(D188,HORAS!$B$4:$G$42,6,FALSE),IF(COUNTIF($H188:$CL188,"F")&gt;0,0,IF(CV188&gt;$DJ$1,$DJ$1*(VLOOKUP(D188,HORAS!$B$4:$G$42,6,FALSE)/$DJ$1),CV188*(VLOOKUP(D188,HORAS!$B$4:$G$42,6,FALSE)/$DJ$1))))))</f>
        <v>#N/A</v>
      </c>
      <c r="DP188" s="156"/>
      <c r="DQ188" s="89"/>
      <c r="DR188" s="148"/>
      <c r="DS188" s="83" t="e">
        <f t="shared" si="98"/>
        <v>#N/A</v>
      </c>
      <c r="DT188" s="84"/>
      <c r="DU188" s="149" t="e">
        <f t="shared" si="99"/>
        <v>#N/A</v>
      </c>
      <c r="DV188" s="149" t="e">
        <f t="shared" si="100"/>
        <v>#N/A</v>
      </c>
      <c r="DW188" s="144" t="e">
        <f t="shared" si="101"/>
        <v>#N/A</v>
      </c>
      <c r="DX188"/>
      <c r="DY188" s="29"/>
      <c r="DZ188" s="150"/>
      <c r="EA188" s="134"/>
      <c r="EB188" s="137">
        <f t="shared" si="102"/>
        <v>0</v>
      </c>
      <c r="EC188" s="138">
        <f t="shared" si="96"/>
        <v>0</v>
      </c>
      <c r="ED188" s="137">
        <f t="shared" si="103"/>
        <v>0</v>
      </c>
      <c r="EE188" s="132">
        <f t="shared" si="97"/>
        <v>0</v>
      </c>
      <c r="EF188" s="29"/>
      <c r="EG188" s="134"/>
      <c r="EH188" s="134"/>
      <c r="EI188" s="134"/>
      <c r="EK188" s="29"/>
    </row>
    <row r="189" spans="1:141" ht="15" customHeight="1" x14ac:dyDescent="0.25">
      <c r="A189" s="140"/>
      <c r="B189" s="151"/>
      <c r="C189" s="72"/>
      <c r="D189" s="73"/>
      <c r="E189" s="160"/>
      <c r="F189" s="141"/>
      <c r="G189" s="74"/>
      <c r="H189" s="75"/>
      <c r="I189" s="76"/>
      <c r="J189" s="135"/>
      <c r="K189" s="135"/>
      <c r="L189" s="77">
        <f t="shared" si="74"/>
        <v>0</v>
      </c>
      <c r="M189" s="78"/>
      <c r="N189" s="142"/>
      <c r="O189" s="142"/>
      <c r="P189" s="77">
        <f t="shared" si="75"/>
        <v>0</v>
      </c>
      <c r="Q189" s="78"/>
      <c r="R189" s="143"/>
      <c r="S189" s="143"/>
      <c r="T189" s="77">
        <f t="shared" si="76"/>
        <v>0</v>
      </c>
      <c r="U189" s="75"/>
      <c r="V189" s="76"/>
      <c r="W189" s="135"/>
      <c r="X189" s="135"/>
      <c r="Y189" s="77">
        <f t="shared" si="77"/>
        <v>0</v>
      </c>
      <c r="Z189" s="78"/>
      <c r="AA189" s="142"/>
      <c r="AB189" s="142"/>
      <c r="AC189" s="77">
        <f t="shared" si="78"/>
        <v>0</v>
      </c>
      <c r="AD189" s="78"/>
      <c r="AE189" s="143"/>
      <c r="AF189" s="143"/>
      <c r="AG189" s="79">
        <f t="shared" si="79"/>
        <v>0</v>
      </c>
      <c r="AH189" s="75"/>
      <c r="AI189" s="76"/>
      <c r="AJ189" s="135"/>
      <c r="AK189" s="135"/>
      <c r="AL189" s="77">
        <f t="shared" si="80"/>
        <v>0</v>
      </c>
      <c r="AM189" s="76"/>
      <c r="AN189" s="142"/>
      <c r="AO189" s="142"/>
      <c r="AP189" s="77">
        <f t="shared" si="81"/>
        <v>0</v>
      </c>
      <c r="AQ189" s="78"/>
      <c r="AR189" s="142"/>
      <c r="AS189" s="142"/>
      <c r="AT189" s="79">
        <f t="shared" si="82"/>
        <v>0</v>
      </c>
      <c r="AU189" s="75"/>
      <c r="AV189" s="76"/>
      <c r="AW189" s="135"/>
      <c r="AX189" s="135"/>
      <c r="AY189" s="77">
        <f t="shared" si="83"/>
        <v>0</v>
      </c>
      <c r="AZ189" s="76"/>
      <c r="BA189" s="142"/>
      <c r="BB189" s="142"/>
      <c r="BC189" s="77">
        <f t="shared" si="84"/>
        <v>0</v>
      </c>
      <c r="BD189" s="78"/>
      <c r="BE189" s="142"/>
      <c r="BF189" s="142"/>
      <c r="BG189" s="79">
        <f t="shared" si="85"/>
        <v>0</v>
      </c>
      <c r="BH189" s="75"/>
      <c r="BI189" s="76"/>
      <c r="BJ189" s="135"/>
      <c r="BK189" s="135"/>
      <c r="BL189" s="77">
        <f t="shared" si="86"/>
        <v>0</v>
      </c>
      <c r="BM189" s="78"/>
      <c r="BN189" s="142"/>
      <c r="BO189" s="142"/>
      <c r="BP189" s="77">
        <f t="shared" si="87"/>
        <v>0</v>
      </c>
      <c r="BQ189" s="78"/>
      <c r="BR189" s="142"/>
      <c r="BS189" s="142"/>
      <c r="BT189" s="79">
        <f t="shared" si="88"/>
        <v>0</v>
      </c>
      <c r="BU189" s="75"/>
      <c r="BV189" s="76"/>
      <c r="BW189" s="135"/>
      <c r="BX189" s="135"/>
      <c r="BY189" s="77">
        <f t="shared" si="89"/>
        <v>0</v>
      </c>
      <c r="BZ189" s="78"/>
      <c r="CA189" s="142"/>
      <c r="CB189" s="142"/>
      <c r="CC189" s="77">
        <f t="shared" si="90"/>
        <v>0</v>
      </c>
      <c r="CD189" s="78"/>
      <c r="CE189" s="142"/>
      <c r="CF189" s="142"/>
      <c r="CG189" s="79">
        <f t="shared" si="91"/>
        <v>0</v>
      </c>
      <c r="CH189" s="75"/>
      <c r="CI189" s="76"/>
      <c r="CJ189" s="135"/>
      <c r="CK189" s="135"/>
      <c r="CL189" s="77">
        <f t="shared" si="92"/>
        <v>0</v>
      </c>
      <c r="CM189" s="78"/>
      <c r="CN189" s="142"/>
      <c r="CO189" s="142"/>
      <c r="CP189" s="77">
        <f t="shared" si="93"/>
        <v>0</v>
      </c>
      <c r="CQ189" s="78"/>
      <c r="CR189" s="142"/>
      <c r="CS189" s="142"/>
      <c r="CT189" s="79">
        <f t="shared" si="94"/>
        <v>0</v>
      </c>
      <c r="CU189" s="80">
        <f t="shared" si="104"/>
        <v>0</v>
      </c>
      <c r="CV189" s="81">
        <f t="shared" si="105"/>
        <v>0</v>
      </c>
      <c r="CW189" s="144"/>
      <c r="CX189" s="145">
        <f>IF(ISERROR(VLOOKUP($A189,FIJOS!$B$11:$O$590,14,FALSE)),0,VLOOKUP($A189,FIJOS!$B$11:$O$590,14,FALSE))</f>
        <v>0</v>
      </c>
      <c r="CY189" s="145">
        <f>IF(ISERROR(VLOOKUP(A189,FIJOS!$B$10:$P$590,15,FALSE)),0,VLOOKUP(A189,FIJOS!$B$10:$P$590,15,FALSE))</f>
        <v>0</v>
      </c>
      <c r="CZ189" s="156"/>
      <c r="DA189" s="146"/>
      <c r="DB189" s="147"/>
      <c r="DC189" s="147"/>
      <c r="DD189" s="147"/>
      <c r="DE189" s="147"/>
      <c r="DF189" s="145">
        <f>IF(ISERROR(VLOOKUP($A189,FIJOS!$B$11:$N$590,13,FALSE)),0,VLOOKUP($A189,FIJOS!$B$11:$N$590,13,FALSE))</f>
        <v>0</v>
      </c>
      <c r="DG189" s="145">
        <f>IF(ISERROR(VLOOKUP($A189,FIJOS!$B$11:$P$447,12,FALSE)),0,VLOOKUP($A189,FIJOS!$B$11:$P$447,12,FALSE))</f>
        <v>0</v>
      </c>
      <c r="DH189" s="82">
        <f t="shared" si="95"/>
        <v>0</v>
      </c>
      <c r="DI189" s="83" t="b">
        <f>IF($C189=1,(VLOOKUP($A189,FIJOS!$B$11:$P$545,10,FALSE)/7)*(7-$CU189),IF(AND($C189=2,CV189&lt;$DJ$1),(VLOOKUP($D189,HORAS!$B$4:$C$42,2,FALSE)*24)*$CV189,IF(AND($C189=2,CV189&gt;=$DJ$1),VLOOKUP($D189,HORAS!$B$4:$D$42,3,FALSE),IF(AND($C189=3,$CV189&gt;=$DJ$1),VLOOKUP($A189,FIJOS!$B$11:$P$545,10,FALSE),IF(AND($C189=3,$CV189&lt;$DJ$1),((VLOOKUP($A189,FIJOS!$B$11:$P$545,10,FALSE)/48)*24)*$CV189,IF(AND($C189=4,$CV189&gt;=(42/24)),VLOOKUP($D189,HORAS!$B$4:$D$42,3,FALSE),IF(AND($C189=5,$CV189&gt;=(36/24)),VLOOKUP($D189,HORAS!$B$4:$D$42,3,FALSE))))))))</f>
        <v>0</v>
      </c>
      <c r="DJ189" s="145">
        <f>IF(OR($C189=2),VLOOKUP($D189,HORAS!$B$4:$E$42,4,FALSE)*$EC189,IF(ISERROR(VLOOKUP($A189,FIJOS!$B$11:$P$108,9,FALSE)),0,VLOOKUP($A189,FIJOS!$B$11:$P$231,9,FALSE)*$EC189))</f>
        <v>0</v>
      </c>
      <c r="DK189" s="145">
        <f>IF(OR($C189=2),VLOOKUP($D189,HORAS!$B$4:$F$42,5,FALSE)*$EE189,IF(ISERROR(VLOOKUP($A189,FIJOS!$B$11:$P$108,9,FALSE)),0,VLOOKUP($A189,FIJOS!$B$11:$P$231,9,FALSE)*$EE189))</f>
        <v>0</v>
      </c>
      <c r="DL189" s="144"/>
      <c r="DM189" s="145">
        <f>IF(ISERROR(VLOOKUP($A189,FIJOS!$B$11:$L$646,11,FALSE)),0,VLOOKUP($A189,FIJOS!$B$11:$L$646,11,FALSE))</f>
        <v>0</v>
      </c>
      <c r="DN189" s="148" t="e">
        <f>IF(OR($C189=1,$C189=3),0,IF((VLOOKUP(CAPTURA!D189,HORAS!$B$4:$K$42,10,FALSE)/4)*COUNTIF($H189:$CT189,3)&gt;100,100,(VLOOKUP(CAPTURA!D189,HORAS!$B$4:$K$42,10,FALSE)/4)*COUNTIF($H189:$CT189,3)))</f>
        <v>#N/A</v>
      </c>
      <c r="DO189" s="144" t="e">
        <f>IF(OR($C189=1,$C189=3),0,IF($C189=5,VLOOKUP(D189,HORAS!$B$4:$G$42,6,FALSE),IF(AND($C189=4,$CV189&gt;=(42/24)),VLOOKUP(D189,HORAS!$B$4:$G$42,6,FALSE),IF(COUNTIF($H189:$CL189,"F")&gt;0,0,IF(CV189&gt;$DJ$1,$DJ$1*(VLOOKUP(D189,HORAS!$B$4:$G$42,6,FALSE)/$DJ$1),CV189*(VLOOKUP(D189,HORAS!$B$4:$G$42,6,FALSE)/$DJ$1))))))</f>
        <v>#N/A</v>
      </c>
      <c r="DP189" s="156"/>
      <c r="DQ189" s="89"/>
      <c r="DR189" s="148"/>
      <c r="DS189" s="83" t="e">
        <f t="shared" si="98"/>
        <v>#N/A</v>
      </c>
      <c r="DT189" s="84"/>
      <c r="DU189" s="149" t="e">
        <f t="shared" si="99"/>
        <v>#N/A</v>
      </c>
      <c r="DV189" s="149" t="e">
        <f t="shared" si="100"/>
        <v>#N/A</v>
      </c>
      <c r="DW189" s="144" t="e">
        <f t="shared" si="101"/>
        <v>#N/A</v>
      </c>
      <c r="DX189" s="134"/>
      <c r="DY189" s="29"/>
      <c r="DZ189" s="150"/>
      <c r="EA189" s="134"/>
      <c r="EB189" s="137">
        <f t="shared" si="102"/>
        <v>0</v>
      </c>
      <c r="EC189" s="138">
        <f t="shared" si="96"/>
        <v>0</v>
      </c>
      <c r="ED189" s="137">
        <f t="shared" si="103"/>
        <v>0</v>
      </c>
      <c r="EE189" s="132">
        <f t="shared" si="97"/>
        <v>0</v>
      </c>
      <c r="EF189" s="29"/>
      <c r="EG189" s="134"/>
      <c r="EH189" s="134"/>
      <c r="EI189" s="134"/>
      <c r="EK189" s="29"/>
    </row>
    <row r="190" spans="1:141" ht="15" customHeight="1" x14ac:dyDescent="0.25">
      <c r="A190" s="140"/>
      <c r="B190" s="151"/>
      <c r="C190" s="72"/>
      <c r="D190" s="73"/>
      <c r="E190" s="73"/>
      <c r="F190" s="141"/>
      <c r="G190" s="74"/>
      <c r="H190" s="75"/>
      <c r="I190" s="76"/>
      <c r="J190" s="135"/>
      <c r="K190" s="135"/>
      <c r="L190" s="77">
        <f t="shared" si="74"/>
        <v>0</v>
      </c>
      <c r="M190" s="76"/>
      <c r="N190" s="142"/>
      <c r="O190" s="142"/>
      <c r="P190" s="77">
        <f t="shared" si="75"/>
        <v>0</v>
      </c>
      <c r="Q190" s="76"/>
      <c r="R190" s="143"/>
      <c r="S190" s="143"/>
      <c r="T190" s="77">
        <f t="shared" si="76"/>
        <v>0</v>
      </c>
      <c r="U190" s="75"/>
      <c r="V190" s="76"/>
      <c r="W190" s="135"/>
      <c r="X190" s="135"/>
      <c r="Y190" s="77">
        <f t="shared" si="77"/>
        <v>0</v>
      </c>
      <c r="Z190" s="76"/>
      <c r="AA190" s="142"/>
      <c r="AB190" s="142"/>
      <c r="AC190" s="77">
        <f t="shared" si="78"/>
        <v>0</v>
      </c>
      <c r="AD190" s="76"/>
      <c r="AE190" s="143"/>
      <c r="AF190" s="143"/>
      <c r="AG190" s="79">
        <f t="shared" si="79"/>
        <v>0</v>
      </c>
      <c r="AH190" s="75"/>
      <c r="AI190" s="76"/>
      <c r="AJ190" s="135"/>
      <c r="AK190" s="135"/>
      <c r="AL190" s="77">
        <f t="shared" si="80"/>
        <v>0</v>
      </c>
      <c r="AM190" s="76"/>
      <c r="AN190" s="142"/>
      <c r="AO190" s="142"/>
      <c r="AP190" s="77">
        <f t="shared" si="81"/>
        <v>0</v>
      </c>
      <c r="AQ190" s="76"/>
      <c r="AR190" s="142"/>
      <c r="AS190" s="142"/>
      <c r="AT190" s="79">
        <f t="shared" si="82"/>
        <v>0</v>
      </c>
      <c r="AU190" s="75"/>
      <c r="AV190" s="76"/>
      <c r="AW190" s="135"/>
      <c r="AX190" s="135"/>
      <c r="AY190" s="77">
        <f t="shared" si="83"/>
        <v>0</v>
      </c>
      <c r="AZ190" s="76"/>
      <c r="BA190" s="142"/>
      <c r="BB190" s="142"/>
      <c r="BC190" s="77">
        <f t="shared" si="84"/>
        <v>0</v>
      </c>
      <c r="BD190" s="76"/>
      <c r="BE190" s="142"/>
      <c r="BF190" s="142"/>
      <c r="BG190" s="79">
        <f t="shared" si="85"/>
        <v>0</v>
      </c>
      <c r="BH190" s="75"/>
      <c r="BI190" s="76"/>
      <c r="BJ190" s="135"/>
      <c r="BK190" s="135"/>
      <c r="BL190" s="77">
        <f t="shared" si="86"/>
        <v>0</v>
      </c>
      <c r="BM190" s="76"/>
      <c r="BN190" s="142"/>
      <c r="BO190" s="142"/>
      <c r="BP190" s="77">
        <f t="shared" si="87"/>
        <v>0</v>
      </c>
      <c r="BQ190" s="76"/>
      <c r="BR190" s="142"/>
      <c r="BS190" s="142"/>
      <c r="BT190" s="79">
        <f t="shared" si="88"/>
        <v>0</v>
      </c>
      <c r="BU190" s="75"/>
      <c r="BV190" s="76"/>
      <c r="BW190" s="135"/>
      <c r="BX190" s="135"/>
      <c r="BY190" s="77">
        <f t="shared" si="89"/>
        <v>0</v>
      </c>
      <c r="BZ190" s="76"/>
      <c r="CA190" s="142"/>
      <c r="CB190" s="142"/>
      <c r="CC190" s="77">
        <f t="shared" si="90"/>
        <v>0</v>
      </c>
      <c r="CD190" s="76"/>
      <c r="CE190" s="142"/>
      <c r="CF190" s="142"/>
      <c r="CG190" s="79">
        <f t="shared" si="91"/>
        <v>0</v>
      </c>
      <c r="CH190" s="75"/>
      <c r="CI190" s="76"/>
      <c r="CJ190" s="135"/>
      <c r="CK190" s="135"/>
      <c r="CL190" s="77">
        <f t="shared" si="92"/>
        <v>0</v>
      </c>
      <c r="CM190" s="76"/>
      <c r="CN190" s="142"/>
      <c r="CO190" s="142"/>
      <c r="CP190" s="77">
        <f t="shared" si="93"/>
        <v>0</v>
      </c>
      <c r="CQ190" s="76"/>
      <c r="CR190" s="142"/>
      <c r="CS190" s="142"/>
      <c r="CT190" s="79">
        <f t="shared" si="94"/>
        <v>0</v>
      </c>
      <c r="CU190" s="80">
        <f t="shared" si="104"/>
        <v>0</v>
      </c>
      <c r="CV190" s="81">
        <f t="shared" si="105"/>
        <v>0</v>
      </c>
      <c r="CW190" s="144"/>
      <c r="CX190" s="145">
        <f>IF(ISERROR(VLOOKUP($A190,FIJOS!$B$11:$O$590,14,FALSE)),0,VLOOKUP($A190,FIJOS!$B$11:$O$590,14,FALSE))</f>
        <v>0</v>
      </c>
      <c r="CY190" s="145">
        <f>IF(ISERROR(VLOOKUP(A190,FIJOS!$B$10:$P$590,15,FALSE)),0,VLOOKUP(A190,FIJOS!$B$10:$P$590,15,FALSE))</f>
        <v>0</v>
      </c>
      <c r="CZ190" s="156"/>
      <c r="DA190" s="146"/>
      <c r="DB190" s="147"/>
      <c r="DC190" s="147"/>
      <c r="DD190" s="147"/>
      <c r="DE190" s="147"/>
      <c r="DF190" s="145">
        <f>IF(ISERROR(VLOOKUP($A190,FIJOS!$B$11:$N$590,13,FALSE)),0,VLOOKUP($A190,FIJOS!$B$11:$N$590,13,FALSE))</f>
        <v>0</v>
      </c>
      <c r="DG190" s="145">
        <f>IF(ISERROR(VLOOKUP($A190,FIJOS!$B$11:$P$447,12,FALSE)),0,VLOOKUP($A190,FIJOS!$B$11:$P$447,12,FALSE))</f>
        <v>0</v>
      </c>
      <c r="DH190" s="82">
        <f t="shared" si="95"/>
        <v>0</v>
      </c>
      <c r="DI190" s="83" t="b">
        <f>IF($C190=1,(VLOOKUP($A190,FIJOS!$B$11:$P$545,10,FALSE)/7)*(7-$CU190),IF(AND($C190=2,CV190&lt;$DJ$1),(VLOOKUP($D190,HORAS!$B$4:$C$42,2,FALSE)*24)*$CV190,IF(AND($C190=2,CV190&gt;=$DJ$1),VLOOKUP($D190,HORAS!$B$4:$D$42,3,FALSE),IF(AND($C190=3,$CV190&gt;=$DJ$1),VLOOKUP($A190,FIJOS!$B$11:$P$545,10,FALSE),IF(AND($C190=3,$CV190&lt;$DJ$1),((VLOOKUP($A190,FIJOS!$B$11:$P$545,10,FALSE)/48)*24)*$CV190,IF(AND($C190=4,$CV190&gt;=(42/24)),VLOOKUP($D190,HORAS!$B$4:$D$42,3,FALSE),IF(AND($C190=5,$CV190&gt;=(36/24)),VLOOKUP($D190,HORAS!$B$4:$D$42,3,FALSE))))))))</f>
        <v>0</v>
      </c>
      <c r="DJ190" s="145">
        <f>IF(OR($C190=2),VLOOKUP($D190,HORAS!$B$4:$E$42,4,FALSE)*$EC190,IF(ISERROR(VLOOKUP($A190,FIJOS!$B$11:$P$108,9,FALSE)),0,VLOOKUP($A190,FIJOS!$B$11:$P$231,9,FALSE)*$EC190))</f>
        <v>0</v>
      </c>
      <c r="DK190" s="145">
        <f>IF(OR($C190=2),VLOOKUP($D190,HORAS!$B$4:$F$42,5,FALSE)*$EE190,IF(ISERROR(VLOOKUP($A190,FIJOS!$B$11:$P$108,9,FALSE)),0,VLOOKUP($A190,FIJOS!$B$11:$P$231,9,FALSE)*$EE190))</f>
        <v>0</v>
      </c>
      <c r="DL190" s="144"/>
      <c r="DM190" s="145">
        <f>IF(ISERROR(VLOOKUP($A190,FIJOS!$B$11:$L$646,11,FALSE)),0,VLOOKUP($A190,FIJOS!$B$11:$L$646,11,FALSE))</f>
        <v>0</v>
      </c>
      <c r="DN190" s="148" t="e">
        <f>IF(OR($C190=1,$C190=3),0,IF((VLOOKUP(CAPTURA!D190,HORAS!$B$4:$K$42,10,FALSE)/4)*COUNTIF($H190:$CT190,3)&gt;100,100,(VLOOKUP(CAPTURA!D190,HORAS!$B$4:$K$42,10,FALSE)/4)*COUNTIF($H190:$CT190,3)))</f>
        <v>#N/A</v>
      </c>
      <c r="DO190" s="144" t="e">
        <f>IF(OR($C190=1,$C190=3),0,IF($C190=5,VLOOKUP(D190,HORAS!$B$4:$G$42,6,FALSE),IF(AND($C190=4,$CV190&gt;=(42/24)),VLOOKUP(D190,HORAS!$B$4:$G$42,6,FALSE),IF(COUNTIF($H190:$CL190,"F")&gt;0,0,IF(CV190&gt;$DJ$1,$DJ$1*(VLOOKUP(D190,HORAS!$B$4:$G$42,6,FALSE)/$DJ$1),CV190*(VLOOKUP(D190,HORAS!$B$4:$G$42,6,FALSE)/$DJ$1))))))</f>
        <v>#N/A</v>
      </c>
      <c r="DP190" s="156"/>
      <c r="DQ190" s="89"/>
      <c r="DR190" s="148"/>
      <c r="DS190" s="83" t="e">
        <f t="shared" si="98"/>
        <v>#N/A</v>
      </c>
      <c r="DT190" s="84"/>
      <c r="DU190" s="149" t="e">
        <f t="shared" si="99"/>
        <v>#N/A</v>
      </c>
      <c r="DV190" s="149" t="e">
        <f t="shared" si="100"/>
        <v>#N/A</v>
      </c>
      <c r="DW190" s="144" t="e">
        <f t="shared" si="101"/>
        <v>#N/A</v>
      </c>
      <c r="DX190"/>
      <c r="DY190" s="29"/>
      <c r="DZ190" s="150"/>
      <c r="EA190" s="134"/>
      <c r="EB190" s="137">
        <f t="shared" si="102"/>
        <v>0</v>
      </c>
      <c r="EC190" s="138">
        <f t="shared" si="96"/>
        <v>0</v>
      </c>
      <c r="ED190" s="137">
        <f t="shared" si="103"/>
        <v>0</v>
      </c>
      <c r="EE190" s="132">
        <f t="shared" si="97"/>
        <v>0</v>
      </c>
      <c r="EF190" s="29"/>
      <c r="EG190" s="134"/>
      <c r="EH190" s="134"/>
      <c r="EI190" s="134"/>
      <c r="EK190" s="29"/>
    </row>
    <row r="191" spans="1:141" ht="15" customHeight="1" x14ac:dyDescent="0.25">
      <c r="A191" s="140"/>
      <c r="B191" s="5"/>
      <c r="C191" s="72"/>
      <c r="D191" s="73"/>
      <c r="E191" s="73"/>
      <c r="F191" s="141"/>
      <c r="G191" s="74"/>
      <c r="H191" s="75"/>
      <c r="I191" s="76"/>
      <c r="J191" s="135"/>
      <c r="K191" s="135"/>
      <c r="L191" s="77">
        <f t="shared" si="74"/>
        <v>0</v>
      </c>
      <c r="M191" s="78"/>
      <c r="N191" s="142"/>
      <c r="O191" s="142"/>
      <c r="P191" s="77">
        <f t="shared" si="75"/>
        <v>0</v>
      </c>
      <c r="Q191" s="78"/>
      <c r="R191" s="143"/>
      <c r="S191" s="143"/>
      <c r="T191" s="77">
        <f t="shared" si="76"/>
        <v>0</v>
      </c>
      <c r="U191" s="75"/>
      <c r="V191" s="76"/>
      <c r="W191" s="135"/>
      <c r="X191" s="135"/>
      <c r="Y191" s="77">
        <f t="shared" si="77"/>
        <v>0</v>
      </c>
      <c r="Z191" s="78"/>
      <c r="AA191" s="142"/>
      <c r="AB191" s="142"/>
      <c r="AC191" s="77">
        <f t="shared" si="78"/>
        <v>0</v>
      </c>
      <c r="AD191" s="78"/>
      <c r="AE191" s="143"/>
      <c r="AF191" s="143"/>
      <c r="AG191" s="79">
        <f t="shared" si="79"/>
        <v>0</v>
      </c>
      <c r="AH191" s="75"/>
      <c r="AI191" s="76"/>
      <c r="AJ191" s="135"/>
      <c r="AK191" s="135"/>
      <c r="AL191" s="77">
        <f t="shared" si="80"/>
        <v>0</v>
      </c>
      <c r="AM191" s="76"/>
      <c r="AN191" s="142"/>
      <c r="AO191" s="142"/>
      <c r="AP191" s="77">
        <f t="shared" si="81"/>
        <v>0</v>
      </c>
      <c r="AQ191" s="78"/>
      <c r="AR191" s="142"/>
      <c r="AS191" s="142"/>
      <c r="AT191" s="79">
        <f t="shared" si="82"/>
        <v>0</v>
      </c>
      <c r="AU191" s="75"/>
      <c r="AV191" s="76"/>
      <c r="AW191" s="135"/>
      <c r="AX191" s="135"/>
      <c r="AY191" s="77">
        <f t="shared" si="83"/>
        <v>0</v>
      </c>
      <c r="AZ191" s="76"/>
      <c r="BA191" s="142"/>
      <c r="BB191" s="142"/>
      <c r="BC191" s="77">
        <f t="shared" si="84"/>
        <v>0</v>
      </c>
      <c r="BD191" s="78"/>
      <c r="BE191" s="142"/>
      <c r="BF191" s="142"/>
      <c r="BG191" s="79">
        <f t="shared" si="85"/>
        <v>0</v>
      </c>
      <c r="BH191" s="75"/>
      <c r="BI191" s="76"/>
      <c r="BJ191" s="135"/>
      <c r="BK191" s="135"/>
      <c r="BL191" s="77">
        <f t="shared" si="86"/>
        <v>0</v>
      </c>
      <c r="BM191" s="78"/>
      <c r="BN191" s="142"/>
      <c r="BO191" s="142"/>
      <c r="BP191" s="77">
        <f t="shared" si="87"/>
        <v>0</v>
      </c>
      <c r="BQ191" s="78"/>
      <c r="BR191" s="142"/>
      <c r="BS191" s="142"/>
      <c r="BT191" s="79">
        <f t="shared" si="88"/>
        <v>0</v>
      </c>
      <c r="BU191" s="75"/>
      <c r="BV191" s="76"/>
      <c r="BW191" s="135"/>
      <c r="BX191" s="135"/>
      <c r="BY191" s="77">
        <f t="shared" si="89"/>
        <v>0</v>
      </c>
      <c r="BZ191" s="78"/>
      <c r="CA191" s="142"/>
      <c r="CB191" s="142"/>
      <c r="CC191" s="77">
        <f t="shared" si="90"/>
        <v>0</v>
      </c>
      <c r="CD191" s="78"/>
      <c r="CE191" s="142"/>
      <c r="CF191" s="142"/>
      <c r="CG191" s="79">
        <f t="shared" si="91"/>
        <v>0</v>
      </c>
      <c r="CH191" s="75"/>
      <c r="CI191" s="76"/>
      <c r="CJ191" s="135"/>
      <c r="CK191" s="135"/>
      <c r="CL191" s="77">
        <f t="shared" si="92"/>
        <v>0</v>
      </c>
      <c r="CM191" s="78"/>
      <c r="CN191" s="142"/>
      <c r="CO191" s="142"/>
      <c r="CP191" s="77">
        <f t="shared" si="93"/>
        <v>0</v>
      </c>
      <c r="CQ191" s="78"/>
      <c r="CR191" s="142"/>
      <c r="CS191" s="142"/>
      <c r="CT191" s="79">
        <f t="shared" si="94"/>
        <v>0</v>
      </c>
      <c r="CU191" s="80">
        <f t="shared" si="104"/>
        <v>0</v>
      </c>
      <c r="CV191" s="81">
        <f t="shared" si="105"/>
        <v>0</v>
      </c>
      <c r="CW191" s="144"/>
      <c r="CX191" s="145">
        <f>IF(ISERROR(VLOOKUP($A191,FIJOS!$B$11:$O$590,14,FALSE)),0,VLOOKUP($A191,FIJOS!$B$11:$O$590,14,FALSE))</f>
        <v>0</v>
      </c>
      <c r="CY191" s="145">
        <f>IF(ISERROR(VLOOKUP(A191,FIJOS!$B$10:$P$590,15,FALSE)),0,VLOOKUP(A191,FIJOS!$B$10:$P$590,15,FALSE))</f>
        <v>0</v>
      </c>
      <c r="CZ191" s="156"/>
      <c r="DA191" s="146"/>
      <c r="DB191" s="147"/>
      <c r="DC191" s="147"/>
      <c r="DD191" s="147"/>
      <c r="DE191" s="147"/>
      <c r="DF191" s="145">
        <f>IF(ISERROR(VLOOKUP($A191,FIJOS!$B$11:$N$590,13,FALSE)),0,VLOOKUP($A191,FIJOS!$B$11:$N$590,13,FALSE))</f>
        <v>0</v>
      </c>
      <c r="DG191" s="145">
        <f>IF(ISERROR(VLOOKUP($A191,FIJOS!$B$11:$P$447,12,FALSE)),0,VLOOKUP($A191,FIJOS!$B$11:$P$447,12,FALSE))</f>
        <v>0</v>
      </c>
      <c r="DH191" s="82">
        <f t="shared" si="95"/>
        <v>0</v>
      </c>
      <c r="DI191" s="83" t="b">
        <f>IF($C191=1,(VLOOKUP($A191,FIJOS!$B$11:$P$545,10,FALSE)/7)*(7-$CU191),IF(AND($C191=2,CV191&lt;$DJ$1),(VLOOKUP($D191,HORAS!$B$4:$C$42,2,FALSE)*24)*$CV191,IF(AND($C191=2,CV191&gt;=$DJ$1),VLOOKUP($D191,HORAS!$B$4:$D$42,3,FALSE),IF(AND($C191=3,$CV191&gt;=$DJ$1),VLOOKUP($A191,FIJOS!$B$11:$P$545,10,FALSE),IF(AND($C191=3,$CV191&lt;$DJ$1),((VLOOKUP($A191,FIJOS!$B$11:$P$545,10,FALSE)/48)*24)*$CV191,IF(AND($C191=4,$CV191&gt;=(42/24)),VLOOKUP($D191,HORAS!$B$4:$D$42,3,FALSE),IF(AND($C191=5,$CV191&gt;=(36/24)),VLOOKUP($D191,HORAS!$B$4:$D$42,3,FALSE))))))))</f>
        <v>0</v>
      </c>
      <c r="DJ191" s="145">
        <f>IF(OR($C191=2),VLOOKUP($D191,HORAS!$B$4:$E$42,4,FALSE)*$EC191,IF(ISERROR(VLOOKUP($A191,FIJOS!$B$11:$P$108,9,FALSE)),0,VLOOKUP($A191,FIJOS!$B$11:$P$231,9,FALSE)*$EC191))</f>
        <v>0</v>
      </c>
      <c r="DK191" s="145">
        <f>IF(OR($C191=2),VLOOKUP($D191,HORAS!$B$4:$F$42,5,FALSE)*$EE191,IF(ISERROR(VLOOKUP($A191,FIJOS!$B$11:$P$108,9,FALSE)),0,VLOOKUP($A191,FIJOS!$B$11:$P$231,9,FALSE)*$EE191))</f>
        <v>0</v>
      </c>
      <c r="DL191" s="144"/>
      <c r="DM191" s="145">
        <f>IF(ISERROR(VLOOKUP($A191,FIJOS!$B$11:$L$646,11,FALSE)),0,VLOOKUP($A191,FIJOS!$B$11:$L$646,11,FALSE))</f>
        <v>0</v>
      </c>
      <c r="DN191" s="148" t="e">
        <f>IF(OR($C191=1,$C191=3),0,IF((VLOOKUP(CAPTURA!D191,HORAS!$B$4:$K$42,10,FALSE)/4)*COUNTIF($H191:$CT191,3)&gt;100,100,(VLOOKUP(CAPTURA!D191,HORAS!$B$4:$K$42,10,FALSE)/4)*COUNTIF($H191:$CT191,3)))</f>
        <v>#N/A</v>
      </c>
      <c r="DO191" s="144" t="e">
        <f>IF(OR($C191=1,$C191=3),0,IF($C191=5,VLOOKUP(D191,HORAS!$B$4:$G$42,6,FALSE),IF(AND($C191=4,$CV191&gt;=(42/24)),VLOOKUP(D191,HORAS!$B$4:$G$42,6,FALSE),IF(COUNTIF($H191:$CL191,"F")&gt;0,0,IF(CV191&gt;$DJ$1,$DJ$1*(VLOOKUP(D191,HORAS!$B$4:$G$42,6,FALSE)/$DJ$1),CV191*(VLOOKUP(D191,HORAS!$B$4:$G$42,6,FALSE)/$DJ$1))))))</f>
        <v>#N/A</v>
      </c>
      <c r="DP191" s="156"/>
      <c r="DQ191" s="89"/>
      <c r="DR191" s="148"/>
      <c r="DS191" s="83" t="e">
        <f t="shared" si="98"/>
        <v>#N/A</v>
      </c>
      <c r="DT191" s="84"/>
      <c r="DU191" s="149" t="e">
        <f t="shared" si="99"/>
        <v>#N/A</v>
      </c>
      <c r="DV191" s="149" t="e">
        <f t="shared" si="100"/>
        <v>#N/A</v>
      </c>
      <c r="DW191" s="144" t="e">
        <f t="shared" si="101"/>
        <v>#N/A</v>
      </c>
      <c r="DX191" s="134"/>
      <c r="DY191" s="29"/>
      <c r="DZ191" s="150"/>
      <c r="EA191" s="134"/>
      <c r="EB191" s="137">
        <f t="shared" si="102"/>
        <v>0</v>
      </c>
      <c r="EC191" s="138">
        <f t="shared" si="96"/>
        <v>0</v>
      </c>
      <c r="ED191" s="137">
        <f t="shared" si="103"/>
        <v>0</v>
      </c>
      <c r="EE191" s="132">
        <f t="shared" si="97"/>
        <v>0</v>
      </c>
      <c r="EF191" s="29"/>
      <c r="EG191" s="134"/>
      <c r="EH191" s="134"/>
      <c r="EI191" s="134"/>
      <c r="EK191" s="29"/>
    </row>
    <row r="192" spans="1:141" ht="15" customHeight="1" x14ac:dyDescent="0.25">
      <c r="A192" s="140"/>
      <c r="B192" s="151"/>
      <c r="C192" s="72"/>
      <c r="D192" s="73"/>
      <c r="E192" s="73"/>
      <c r="F192" s="141"/>
      <c r="G192" s="74"/>
      <c r="H192" s="75"/>
      <c r="I192" s="76"/>
      <c r="J192" s="135"/>
      <c r="K192" s="135"/>
      <c r="L192" s="77">
        <f t="shared" si="74"/>
        <v>0</v>
      </c>
      <c r="M192" s="78"/>
      <c r="N192" s="142"/>
      <c r="O192" s="142"/>
      <c r="P192" s="77">
        <f t="shared" si="75"/>
        <v>0</v>
      </c>
      <c r="Q192" s="78"/>
      <c r="R192" s="143"/>
      <c r="S192" s="143"/>
      <c r="T192" s="77">
        <f t="shared" si="76"/>
        <v>0</v>
      </c>
      <c r="U192" s="75"/>
      <c r="V192" s="76"/>
      <c r="W192" s="135"/>
      <c r="X192" s="135"/>
      <c r="Y192" s="77">
        <f t="shared" si="77"/>
        <v>0</v>
      </c>
      <c r="Z192" s="78"/>
      <c r="AA192" s="142"/>
      <c r="AB192" s="142"/>
      <c r="AC192" s="77">
        <f t="shared" si="78"/>
        <v>0</v>
      </c>
      <c r="AD192" s="78"/>
      <c r="AE192" s="143"/>
      <c r="AF192" s="143"/>
      <c r="AG192" s="79">
        <f t="shared" si="79"/>
        <v>0</v>
      </c>
      <c r="AH192" s="75"/>
      <c r="AI192" s="76"/>
      <c r="AJ192" s="135"/>
      <c r="AK192" s="135"/>
      <c r="AL192" s="77">
        <f t="shared" si="80"/>
        <v>0</v>
      </c>
      <c r="AM192" s="76"/>
      <c r="AN192" s="142"/>
      <c r="AO192" s="142"/>
      <c r="AP192" s="77">
        <f t="shared" si="81"/>
        <v>0</v>
      </c>
      <c r="AQ192" s="78"/>
      <c r="AR192" s="142"/>
      <c r="AS192" s="142"/>
      <c r="AT192" s="79">
        <f t="shared" si="82"/>
        <v>0</v>
      </c>
      <c r="AU192" s="75"/>
      <c r="AV192" s="76"/>
      <c r="AW192" s="135"/>
      <c r="AX192" s="135"/>
      <c r="AY192" s="77">
        <f t="shared" si="83"/>
        <v>0</v>
      </c>
      <c r="AZ192" s="76"/>
      <c r="BA192" s="142"/>
      <c r="BB192" s="142"/>
      <c r="BC192" s="77">
        <f t="shared" si="84"/>
        <v>0</v>
      </c>
      <c r="BD192" s="78"/>
      <c r="BE192" s="142"/>
      <c r="BF192" s="142"/>
      <c r="BG192" s="79">
        <f t="shared" si="85"/>
        <v>0</v>
      </c>
      <c r="BH192" s="75"/>
      <c r="BI192" s="76"/>
      <c r="BJ192" s="135"/>
      <c r="BK192" s="135"/>
      <c r="BL192" s="77">
        <f t="shared" si="86"/>
        <v>0</v>
      </c>
      <c r="BM192" s="78"/>
      <c r="BN192" s="142"/>
      <c r="BO192" s="142"/>
      <c r="BP192" s="77">
        <f t="shared" si="87"/>
        <v>0</v>
      </c>
      <c r="BQ192" s="78"/>
      <c r="BR192" s="142"/>
      <c r="BS192" s="142"/>
      <c r="BT192" s="79">
        <f t="shared" si="88"/>
        <v>0</v>
      </c>
      <c r="BU192" s="75"/>
      <c r="BV192" s="76"/>
      <c r="BW192" s="135"/>
      <c r="BX192" s="135"/>
      <c r="BY192" s="77">
        <f t="shared" si="89"/>
        <v>0</v>
      </c>
      <c r="BZ192" s="78"/>
      <c r="CA192" s="142"/>
      <c r="CB192" s="142"/>
      <c r="CC192" s="77">
        <f t="shared" si="90"/>
        <v>0</v>
      </c>
      <c r="CD192" s="78"/>
      <c r="CE192" s="142"/>
      <c r="CF192" s="142"/>
      <c r="CG192" s="79">
        <f t="shared" si="91"/>
        <v>0</v>
      </c>
      <c r="CH192" s="75"/>
      <c r="CI192" s="76"/>
      <c r="CJ192" s="135"/>
      <c r="CK192" s="135"/>
      <c r="CL192" s="77">
        <f t="shared" si="92"/>
        <v>0</v>
      </c>
      <c r="CM192" s="78"/>
      <c r="CN192" s="142"/>
      <c r="CO192" s="142"/>
      <c r="CP192" s="77">
        <f t="shared" si="93"/>
        <v>0</v>
      </c>
      <c r="CQ192" s="78"/>
      <c r="CR192" s="142"/>
      <c r="CS192" s="142"/>
      <c r="CT192" s="79">
        <f t="shared" si="94"/>
        <v>0</v>
      </c>
      <c r="CU192" s="80">
        <f t="shared" si="104"/>
        <v>0</v>
      </c>
      <c r="CV192" s="81">
        <f t="shared" si="105"/>
        <v>0</v>
      </c>
      <c r="CW192" s="144"/>
      <c r="CX192" s="145">
        <f>IF(ISERROR(VLOOKUP($A192,FIJOS!$B$11:$O$590,14,FALSE)),0,VLOOKUP($A192,FIJOS!$B$11:$O$590,14,FALSE))</f>
        <v>0</v>
      </c>
      <c r="CY192" s="145">
        <f>IF(ISERROR(VLOOKUP(A192,FIJOS!$B$10:$P$590,15,FALSE)),0,VLOOKUP(A192,FIJOS!$B$10:$P$590,15,FALSE))</f>
        <v>0</v>
      </c>
      <c r="CZ192" s="156"/>
      <c r="DA192" s="146"/>
      <c r="DB192" s="147"/>
      <c r="DC192" s="147"/>
      <c r="DD192" s="147"/>
      <c r="DE192" s="147"/>
      <c r="DF192" s="145">
        <f>IF(ISERROR(VLOOKUP($A192,FIJOS!$B$11:$N$590,13,FALSE)),0,VLOOKUP($A192,FIJOS!$B$11:$N$590,13,FALSE))</f>
        <v>0</v>
      </c>
      <c r="DG192" s="145">
        <f>IF(ISERROR(VLOOKUP($A192,FIJOS!$B$11:$P$447,12,FALSE)),0,VLOOKUP($A192,FIJOS!$B$11:$P$447,12,FALSE))</f>
        <v>0</v>
      </c>
      <c r="DH192" s="82">
        <f t="shared" si="95"/>
        <v>0</v>
      </c>
      <c r="DI192" s="83" t="b">
        <f>IF($C192=1,(VLOOKUP($A192,FIJOS!$B$11:$P$545,10,FALSE)/7)*(7-$CU192),IF(AND($C192=2,CV192&lt;$DJ$1),(VLOOKUP($D192,HORAS!$B$4:$C$42,2,FALSE)*24)*$CV192,IF(AND($C192=2,CV192&gt;=$DJ$1),VLOOKUP($D192,HORAS!$B$4:$D$42,3,FALSE),IF(AND($C192=3,$CV192&gt;=$DJ$1),VLOOKUP($A192,FIJOS!$B$11:$P$545,10,FALSE),IF(AND($C192=3,$CV192&lt;$DJ$1),((VLOOKUP($A192,FIJOS!$B$11:$P$545,10,FALSE)/48)*24)*$CV192,IF(AND($C192=4,$CV192&gt;=(42/24)),VLOOKUP($D192,HORAS!$B$4:$D$42,3,FALSE),IF(AND($C192=5,$CV192&gt;=(36/24)),VLOOKUP($D192,HORAS!$B$4:$D$42,3,FALSE))))))))</f>
        <v>0</v>
      </c>
      <c r="DJ192" s="145">
        <f>IF(OR($C192=2),VLOOKUP($D192,HORAS!$B$4:$E$42,4,FALSE)*$EC192,IF(ISERROR(VLOOKUP($A192,FIJOS!$B$11:$P$108,9,FALSE)),0,VLOOKUP($A192,FIJOS!$B$11:$P$231,9,FALSE)*$EC192))</f>
        <v>0</v>
      </c>
      <c r="DK192" s="145">
        <f>IF(OR($C192=2),VLOOKUP($D192,HORAS!$B$4:$F$42,5,FALSE)*$EE192,IF(ISERROR(VLOOKUP($A192,FIJOS!$B$11:$P$108,9,FALSE)),0,VLOOKUP($A192,FIJOS!$B$11:$P$231,9,FALSE)*$EE192))</f>
        <v>0</v>
      </c>
      <c r="DL192" s="144"/>
      <c r="DM192" s="145">
        <f>IF(ISERROR(VLOOKUP($A192,FIJOS!$B$11:$L$646,11,FALSE)),0,VLOOKUP($A192,FIJOS!$B$11:$L$646,11,FALSE))</f>
        <v>0</v>
      </c>
      <c r="DN192" s="148" t="e">
        <f>IF(OR($C192=1,$C192=3),0,IF((VLOOKUP(CAPTURA!D192,HORAS!$B$4:$K$42,10,FALSE)/4)*COUNTIF($H192:$CT192,3)&gt;100,100,(VLOOKUP(CAPTURA!D192,HORAS!$B$4:$K$42,10,FALSE)/4)*COUNTIF($H192:$CT192,3)))</f>
        <v>#N/A</v>
      </c>
      <c r="DO192" s="144" t="e">
        <f>IF(OR($C192=1,$C192=3),0,IF($C192=5,VLOOKUP(D192,HORAS!$B$4:$G$42,6,FALSE),IF(AND($C192=4,$CV192&gt;=(42/24)),VLOOKUP(D192,HORAS!$B$4:$G$42,6,FALSE),IF(COUNTIF($H192:$CL192,"F")&gt;0,0,IF(CV192&gt;$DJ$1,$DJ$1*(VLOOKUP(D192,HORAS!$B$4:$G$42,6,FALSE)/$DJ$1),CV192*(VLOOKUP(D192,HORAS!$B$4:$G$42,6,FALSE)/$DJ$1))))))</f>
        <v>#N/A</v>
      </c>
      <c r="DP192" s="156"/>
      <c r="DQ192" s="148"/>
      <c r="DR192" s="148"/>
      <c r="DS192" s="83" t="e">
        <f t="shared" si="98"/>
        <v>#N/A</v>
      </c>
      <c r="DT192" s="84"/>
      <c r="DU192" s="149" t="e">
        <f t="shared" si="99"/>
        <v>#N/A</v>
      </c>
      <c r="DV192" s="149" t="e">
        <f t="shared" si="100"/>
        <v>#N/A</v>
      </c>
      <c r="DW192" s="144" t="e">
        <f t="shared" si="101"/>
        <v>#N/A</v>
      </c>
      <c r="DX192" s="134"/>
      <c r="DY192" s="29"/>
      <c r="DZ192" s="150"/>
      <c r="EA192" s="134"/>
      <c r="EB192" s="137">
        <f t="shared" si="102"/>
        <v>0</v>
      </c>
      <c r="EC192" s="138">
        <f t="shared" si="96"/>
        <v>0</v>
      </c>
      <c r="ED192" s="137">
        <f t="shared" si="103"/>
        <v>0</v>
      </c>
      <c r="EE192" s="132">
        <f t="shared" si="97"/>
        <v>0</v>
      </c>
      <c r="EF192" s="29"/>
      <c r="EG192" s="134"/>
      <c r="EH192" s="134"/>
      <c r="EI192" s="134"/>
      <c r="EK192" s="29"/>
    </row>
    <row r="193" spans="1:141" ht="15" customHeight="1" x14ac:dyDescent="0.25">
      <c r="A193" s="140"/>
      <c r="B193" s="151"/>
      <c r="C193" s="72"/>
      <c r="D193" s="73"/>
      <c r="E193" s="73"/>
      <c r="F193" s="141"/>
      <c r="G193" s="74"/>
      <c r="H193" s="75"/>
      <c r="I193" s="76"/>
      <c r="J193" s="135"/>
      <c r="K193" s="135"/>
      <c r="L193" s="77">
        <f t="shared" si="74"/>
        <v>0</v>
      </c>
      <c r="M193" s="78"/>
      <c r="N193" s="142"/>
      <c r="O193" s="142"/>
      <c r="P193" s="77">
        <f t="shared" si="75"/>
        <v>0</v>
      </c>
      <c r="Q193" s="78"/>
      <c r="R193" s="143"/>
      <c r="S193" s="143"/>
      <c r="T193" s="77">
        <f t="shared" si="76"/>
        <v>0</v>
      </c>
      <c r="U193" s="75"/>
      <c r="V193" s="76"/>
      <c r="W193" s="135"/>
      <c r="X193" s="135"/>
      <c r="Y193" s="77">
        <f t="shared" si="77"/>
        <v>0</v>
      </c>
      <c r="Z193" s="78"/>
      <c r="AA193" s="142"/>
      <c r="AB193" s="142"/>
      <c r="AC193" s="77">
        <f t="shared" si="78"/>
        <v>0</v>
      </c>
      <c r="AD193" s="78"/>
      <c r="AE193" s="143"/>
      <c r="AF193" s="143"/>
      <c r="AG193" s="79">
        <f t="shared" si="79"/>
        <v>0</v>
      </c>
      <c r="AH193" s="75"/>
      <c r="AI193" s="76"/>
      <c r="AJ193" s="135"/>
      <c r="AK193" s="135"/>
      <c r="AL193" s="77">
        <f t="shared" si="80"/>
        <v>0</v>
      </c>
      <c r="AM193" s="76"/>
      <c r="AN193" s="142"/>
      <c r="AO193" s="142"/>
      <c r="AP193" s="77">
        <f t="shared" si="81"/>
        <v>0</v>
      </c>
      <c r="AQ193" s="78"/>
      <c r="AR193" s="142"/>
      <c r="AS193" s="142"/>
      <c r="AT193" s="79">
        <f t="shared" si="82"/>
        <v>0</v>
      </c>
      <c r="AU193" s="75"/>
      <c r="AV193" s="76"/>
      <c r="AW193" s="135"/>
      <c r="AX193" s="86"/>
      <c r="AY193" s="77">
        <f t="shared" si="83"/>
        <v>0</v>
      </c>
      <c r="AZ193" s="76"/>
      <c r="BA193" s="142"/>
      <c r="BB193" s="142"/>
      <c r="BC193" s="77">
        <f t="shared" si="84"/>
        <v>0</v>
      </c>
      <c r="BD193" s="78"/>
      <c r="BE193" s="142"/>
      <c r="BF193" s="142"/>
      <c r="BG193" s="79">
        <f t="shared" si="85"/>
        <v>0</v>
      </c>
      <c r="BH193" s="75"/>
      <c r="BI193" s="76"/>
      <c r="BJ193" s="135"/>
      <c r="BK193" s="135"/>
      <c r="BL193" s="77">
        <f t="shared" si="86"/>
        <v>0</v>
      </c>
      <c r="BM193" s="76"/>
      <c r="BN193" s="142"/>
      <c r="BO193" s="142"/>
      <c r="BP193" s="77">
        <f t="shared" si="87"/>
        <v>0</v>
      </c>
      <c r="BQ193" s="78"/>
      <c r="BR193" s="142"/>
      <c r="BS193" s="142"/>
      <c r="BT193" s="79">
        <f t="shared" si="88"/>
        <v>0</v>
      </c>
      <c r="BU193" s="75"/>
      <c r="BV193" s="76"/>
      <c r="BW193" s="135"/>
      <c r="BX193" s="135"/>
      <c r="BY193" s="77">
        <f t="shared" si="89"/>
        <v>0</v>
      </c>
      <c r="BZ193" s="78"/>
      <c r="CA193" s="142"/>
      <c r="CB193" s="142"/>
      <c r="CC193" s="77">
        <f t="shared" si="90"/>
        <v>0</v>
      </c>
      <c r="CD193" s="78"/>
      <c r="CE193" s="142"/>
      <c r="CF193" s="142"/>
      <c r="CG193" s="79">
        <f t="shared" si="91"/>
        <v>0</v>
      </c>
      <c r="CH193" s="75"/>
      <c r="CI193" s="76"/>
      <c r="CJ193" s="135"/>
      <c r="CK193" s="135"/>
      <c r="CL193" s="77">
        <f t="shared" si="92"/>
        <v>0</v>
      </c>
      <c r="CM193" s="78"/>
      <c r="CN193" s="142"/>
      <c r="CO193" s="142"/>
      <c r="CP193" s="77">
        <f t="shared" si="93"/>
        <v>0</v>
      </c>
      <c r="CQ193" s="78"/>
      <c r="CR193" s="142"/>
      <c r="CS193" s="142"/>
      <c r="CT193" s="79">
        <f t="shared" si="94"/>
        <v>0</v>
      </c>
      <c r="CU193" s="80">
        <f t="shared" si="104"/>
        <v>0</v>
      </c>
      <c r="CV193" s="81">
        <f t="shared" si="105"/>
        <v>0</v>
      </c>
      <c r="CW193" s="144"/>
      <c r="CX193" s="145">
        <f>IF(ISERROR(VLOOKUP($A193,FIJOS!$B$11:$O$590,14,FALSE)),0,VLOOKUP($A193,FIJOS!$B$11:$O$590,14,FALSE))</f>
        <v>0</v>
      </c>
      <c r="CY193" s="145">
        <f>IF(ISERROR(VLOOKUP(A193,FIJOS!$B$10:$P$590,15,FALSE)),0,VLOOKUP(A193,FIJOS!$B$10:$P$590,15,FALSE))</f>
        <v>0</v>
      </c>
      <c r="CZ193" s="156"/>
      <c r="DA193" s="146"/>
      <c r="DB193" s="147"/>
      <c r="DC193" s="147"/>
      <c r="DD193" s="147"/>
      <c r="DE193" s="147"/>
      <c r="DF193" s="145">
        <f>IF(ISERROR(VLOOKUP($A193,FIJOS!$B$11:$N$590,13,FALSE)),0,VLOOKUP($A193,FIJOS!$B$11:$N$590,13,FALSE))</f>
        <v>0</v>
      </c>
      <c r="DG193" s="145">
        <f>IF(ISERROR(VLOOKUP($A193,FIJOS!$B$11:$P$447,12,FALSE)),0,VLOOKUP($A193,FIJOS!$B$11:$P$447,12,FALSE))</f>
        <v>0</v>
      </c>
      <c r="DH193" s="82">
        <f t="shared" si="95"/>
        <v>0</v>
      </c>
      <c r="DI193" s="83" t="b">
        <f>IF($C193=1,(VLOOKUP($A193,FIJOS!$B$11:$P$545,10,FALSE)/7)*(7-$CU193),IF(AND($C193=2,CV193&lt;$DJ$1),(VLOOKUP($D193,HORAS!$B$4:$C$42,2,FALSE)*24)*$CV193,IF(AND($C193=2,CV193&gt;=$DJ$1),VLOOKUP($D193,HORAS!$B$4:$D$42,3,FALSE),IF(AND($C193=3,$CV193&gt;=$DJ$1),VLOOKUP($A193,FIJOS!$B$11:$P$545,10,FALSE),IF(AND($C193=3,$CV193&lt;$DJ$1),((VLOOKUP($A193,FIJOS!$B$11:$P$545,10,FALSE)/48)*24)*$CV193,IF(AND($C193=4,$CV193&gt;=(42/24)),VLOOKUP($D193,HORAS!$B$4:$D$42,3,FALSE),IF(AND($C193=5,$CV193&gt;=(36/24)),VLOOKUP($D193,HORAS!$B$4:$D$42,3,FALSE))))))))</f>
        <v>0</v>
      </c>
      <c r="DJ193" s="145">
        <f>IF(OR($C193=2),VLOOKUP($D193,HORAS!$B$4:$E$42,4,FALSE)*$EC193,IF(ISERROR(VLOOKUP($A193,FIJOS!$B$11:$P$108,9,FALSE)),0,VLOOKUP($A193,FIJOS!$B$11:$P$231,9,FALSE)*$EC193))</f>
        <v>0</v>
      </c>
      <c r="DK193" s="145">
        <f>IF(OR($C193=2),VLOOKUP($D193,HORAS!$B$4:$F$42,5,FALSE)*$EE193,IF(ISERROR(VLOOKUP($A193,FIJOS!$B$11:$P$108,9,FALSE)),0,VLOOKUP($A193,FIJOS!$B$11:$P$231,9,FALSE)*$EE193))</f>
        <v>0</v>
      </c>
      <c r="DL193" s="144"/>
      <c r="DM193" s="145">
        <f>IF(ISERROR(VLOOKUP($A193,FIJOS!$B$11:$L$646,11,FALSE)),0,VLOOKUP($A193,FIJOS!$B$11:$L$646,11,FALSE))</f>
        <v>0</v>
      </c>
      <c r="DN193" s="148" t="e">
        <f>IF(OR($C193=1,$C193=3),0,IF((VLOOKUP(CAPTURA!D193,HORAS!$B$4:$K$42,10,FALSE)/4)*COUNTIF($H193:$CT193,3)&gt;100,100,(VLOOKUP(CAPTURA!D193,HORAS!$B$4:$K$42,10,FALSE)/4)*COUNTIF($H193:$CT193,3)))</f>
        <v>#N/A</v>
      </c>
      <c r="DO193" s="144" t="e">
        <f>IF(OR($C193=1,$C193=3),0,IF($C193=5,VLOOKUP(D193,HORAS!$B$4:$G$42,6,FALSE),IF(AND($C193=4,$CV193&gt;=(42/24)),VLOOKUP(D193,HORAS!$B$4:$G$42,6,FALSE),IF(COUNTIF($H193:$CL193,"F")&gt;0,0,IF(CV193&gt;$DJ$1,$DJ$1*(VLOOKUP(D193,HORAS!$B$4:$G$42,6,FALSE)/$DJ$1),CV193*(VLOOKUP(D193,HORAS!$B$4:$G$42,6,FALSE)/$DJ$1))))))</f>
        <v>#N/A</v>
      </c>
      <c r="DP193" s="156"/>
      <c r="DQ193" s="89"/>
      <c r="DR193" s="148"/>
      <c r="DS193" s="83" t="e">
        <f t="shared" si="98"/>
        <v>#N/A</v>
      </c>
      <c r="DT193" s="84"/>
      <c r="DU193" s="149" t="e">
        <f t="shared" si="99"/>
        <v>#N/A</v>
      </c>
      <c r="DV193" s="149" t="e">
        <f t="shared" si="100"/>
        <v>#N/A</v>
      </c>
      <c r="DW193" s="144" t="e">
        <f t="shared" si="101"/>
        <v>#N/A</v>
      </c>
      <c r="DX193" s="134"/>
      <c r="DY193" s="29"/>
      <c r="DZ193" s="150"/>
      <c r="EA193" s="134"/>
      <c r="EB193" s="137">
        <f t="shared" si="102"/>
        <v>0</v>
      </c>
      <c r="EC193" s="138">
        <f t="shared" si="96"/>
        <v>0</v>
      </c>
      <c r="ED193" s="137">
        <f t="shared" si="103"/>
        <v>0</v>
      </c>
      <c r="EE193" s="132">
        <f t="shared" si="97"/>
        <v>0</v>
      </c>
      <c r="EF193" s="29"/>
      <c r="EG193" s="134"/>
      <c r="EH193" s="134"/>
      <c r="EI193" s="134"/>
      <c r="EK193" s="29"/>
    </row>
    <row r="194" spans="1:141" ht="15" customHeight="1" x14ac:dyDescent="0.25">
      <c r="A194" s="140"/>
      <c r="B194" s="151"/>
      <c r="C194" s="72"/>
      <c r="D194" s="73"/>
      <c r="E194" s="73"/>
      <c r="F194" s="141"/>
      <c r="G194" s="74"/>
      <c r="H194" s="75"/>
      <c r="I194" s="76"/>
      <c r="J194" s="135"/>
      <c r="K194" s="135"/>
      <c r="L194" s="77">
        <f t="shared" si="74"/>
        <v>0</v>
      </c>
      <c r="M194" s="78"/>
      <c r="N194" s="142"/>
      <c r="O194" s="142"/>
      <c r="P194" s="77">
        <f t="shared" si="75"/>
        <v>0</v>
      </c>
      <c r="Q194" s="78"/>
      <c r="R194" s="143"/>
      <c r="S194" s="143"/>
      <c r="T194" s="77">
        <f t="shared" si="76"/>
        <v>0</v>
      </c>
      <c r="U194" s="75"/>
      <c r="V194" s="76"/>
      <c r="W194" s="135"/>
      <c r="X194" s="135"/>
      <c r="Y194" s="77">
        <f t="shared" si="77"/>
        <v>0</v>
      </c>
      <c r="Z194" s="78"/>
      <c r="AA194" s="142"/>
      <c r="AB194" s="142"/>
      <c r="AC194" s="77">
        <f t="shared" si="78"/>
        <v>0</v>
      </c>
      <c r="AD194" s="78"/>
      <c r="AE194" s="143"/>
      <c r="AF194" s="143"/>
      <c r="AG194" s="79">
        <f t="shared" si="79"/>
        <v>0</v>
      </c>
      <c r="AH194" s="75"/>
      <c r="AI194" s="76"/>
      <c r="AJ194" s="135"/>
      <c r="AK194" s="135"/>
      <c r="AL194" s="77">
        <f t="shared" si="80"/>
        <v>0</v>
      </c>
      <c r="AM194" s="76"/>
      <c r="AN194" s="142"/>
      <c r="AO194" s="142"/>
      <c r="AP194" s="77">
        <f t="shared" si="81"/>
        <v>0</v>
      </c>
      <c r="AQ194" s="78"/>
      <c r="AR194" s="142"/>
      <c r="AS194" s="142"/>
      <c r="AT194" s="79">
        <f t="shared" si="82"/>
        <v>0</v>
      </c>
      <c r="AU194" s="75"/>
      <c r="AV194" s="76"/>
      <c r="AW194" s="135"/>
      <c r="AX194" s="135"/>
      <c r="AY194" s="77">
        <f t="shared" si="83"/>
        <v>0</v>
      </c>
      <c r="AZ194" s="76"/>
      <c r="BA194" s="142"/>
      <c r="BB194" s="142"/>
      <c r="BC194" s="77">
        <f t="shared" si="84"/>
        <v>0</v>
      </c>
      <c r="BD194" s="78"/>
      <c r="BE194" s="142"/>
      <c r="BF194" s="142"/>
      <c r="BG194" s="79">
        <f t="shared" si="85"/>
        <v>0</v>
      </c>
      <c r="BH194" s="75"/>
      <c r="BI194" s="76"/>
      <c r="BJ194" s="135"/>
      <c r="BK194" s="135"/>
      <c r="BL194" s="77">
        <f t="shared" si="86"/>
        <v>0</v>
      </c>
      <c r="BM194" s="78"/>
      <c r="BN194" s="142"/>
      <c r="BO194" s="142"/>
      <c r="BP194" s="77">
        <f t="shared" si="87"/>
        <v>0</v>
      </c>
      <c r="BQ194" s="78"/>
      <c r="BR194" s="142"/>
      <c r="BS194" s="142"/>
      <c r="BT194" s="79">
        <f t="shared" si="88"/>
        <v>0</v>
      </c>
      <c r="BU194" s="75"/>
      <c r="BV194" s="76"/>
      <c r="BW194" s="135"/>
      <c r="BX194" s="135"/>
      <c r="BY194" s="77">
        <f t="shared" si="89"/>
        <v>0</v>
      </c>
      <c r="BZ194" s="78"/>
      <c r="CA194" s="142"/>
      <c r="CB194" s="142"/>
      <c r="CC194" s="77">
        <f t="shared" si="90"/>
        <v>0</v>
      </c>
      <c r="CD194" s="78"/>
      <c r="CE194" s="142"/>
      <c r="CF194" s="142"/>
      <c r="CG194" s="79">
        <f t="shared" si="91"/>
        <v>0</v>
      </c>
      <c r="CH194" s="75"/>
      <c r="CI194" s="76"/>
      <c r="CJ194" s="135"/>
      <c r="CK194" s="135"/>
      <c r="CL194" s="77">
        <f t="shared" si="92"/>
        <v>0</v>
      </c>
      <c r="CM194" s="78"/>
      <c r="CN194" s="142"/>
      <c r="CO194" s="142"/>
      <c r="CP194" s="77">
        <f t="shared" si="93"/>
        <v>0</v>
      </c>
      <c r="CQ194" s="78"/>
      <c r="CR194" s="142"/>
      <c r="CS194" s="142"/>
      <c r="CT194" s="79">
        <f t="shared" si="94"/>
        <v>0</v>
      </c>
      <c r="CU194" s="80">
        <f t="shared" si="104"/>
        <v>0</v>
      </c>
      <c r="CV194" s="81">
        <f t="shared" si="105"/>
        <v>0</v>
      </c>
      <c r="CW194" s="144"/>
      <c r="CX194" s="145">
        <f>IF(ISERROR(VLOOKUP($A194,FIJOS!$B$11:$O$590,14,FALSE)),0,VLOOKUP($A194,FIJOS!$B$11:$O$590,14,FALSE))</f>
        <v>0</v>
      </c>
      <c r="CY194" s="145">
        <f>IF(ISERROR(VLOOKUP(A194,FIJOS!$B$10:$P$590,15,FALSE)),0,VLOOKUP(A194,FIJOS!$B$10:$P$590,15,FALSE))</f>
        <v>0</v>
      </c>
      <c r="CZ194" s="156"/>
      <c r="DA194" s="146"/>
      <c r="DB194" s="147"/>
      <c r="DC194" s="147"/>
      <c r="DD194" s="147"/>
      <c r="DE194" s="147"/>
      <c r="DF194" s="145">
        <f>IF(ISERROR(VLOOKUP($A194,FIJOS!$B$11:$N$590,13,FALSE)),0,VLOOKUP($A194,FIJOS!$B$11:$N$590,13,FALSE))</f>
        <v>0</v>
      </c>
      <c r="DG194" s="145">
        <f>IF(ISERROR(VLOOKUP($A194,FIJOS!$B$11:$P$447,12,FALSE)),0,VLOOKUP($A194,FIJOS!$B$11:$P$447,12,FALSE))</f>
        <v>0</v>
      </c>
      <c r="DH194" s="82">
        <f t="shared" si="95"/>
        <v>0</v>
      </c>
      <c r="DI194" s="83" t="b">
        <f>IF($C194=1,(VLOOKUP($A194,FIJOS!$B$11:$P$545,10,FALSE)/7)*(7-$CU194),IF(AND($C194=2,CV194&lt;$DJ$1),(VLOOKUP($D194,HORAS!$B$4:$C$42,2,FALSE)*24)*$CV194,IF(AND($C194=2,CV194&gt;=$DJ$1),VLOOKUP($D194,HORAS!$B$4:$D$42,3,FALSE),IF(AND($C194=3,$CV194&gt;=$DJ$1),VLOOKUP($A194,FIJOS!$B$11:$P$545,10,FALSE),IF(AND($C194=3,$CV194&lt;$DJ$1),((VLOOKUP($A194,FIJOS!$B$11:$P$545,10,FALSE)/48)*24)*$CV194,IF(AND($C194=4,$CV194&gt;=(42/24)),VLOOKUP($D194,HORAS!$B$4:$D$42,3,FALSE),IF(AND($C194=5,$CV194&gt;=(36/24)),VLOOKUP($D194,HORAS!$B$4:$D$42,3,FALSE))))))))</f>
        <v>0</v>
      </c>
      <c r="DJ194" s="145">
        <f>IF(OR($C194=2),VLOOKUP($D194,HORAS!$B$4:$E$42,4,FALSE)*$EC194,IF(ISERROR(VLOOKUP($A194,FIJOS!$B$11:$P$108,9,FALSE)),0,VLOOKUP($A194,FIJOS!$B$11:$P$231,9,FALSE)*$EC194))</f>
        <v>0</v>
      </c>
      <c r="DK194" s="145">
        <f>IF(OR($C194=2),VLOOKUP($D194,HORAS!$B$4:$F$42,5,FALSE)*$EE194,IF(ISERROR(VLOOKUP($A194,FIJOS!$B$11:$P$108,9,FALSE)),0,VLOOKUP($A194,FIJOS!$B$11:$P$231,9,FALSE)*$EE194))</f>
        <v>0</v>
      </c>
      <c r="DL194" s="144"/>
      <c r="DM194" s="145">
        <f>IF(ISERROR(VLOOKUP($A194,FIJOS!$B$11:$L$646,11,FALSE)),0,VLOOKUP($A194,FIJOS!$B$11:$L$646,11,FALSE))</f>
        <v>0</v>
      </c>
      <c r="DN194" s="148" t="e">
        <f>IF(OR($C194=1,$C194=3),0,IF((VLOOKUP(CAPTURA!D194,HORAS!$B$4:$K$42,10,FALSE)/4)*COUNTIF($H194:$CT194,3)&gt;100,100,(VLOOKUP(CAPTURA!D194,HORAS!$B$4:$K$42,10,FALSE)/4)*COUNTIF($H194:$CT194,3)))</f>
        <v>#N/A</v>
      </c>
      <c r="DO194" s="144" t="e">
        <f>IF(OR($C194=1,$C194=3),0,IF($C194=5,VLOOKUP(D194,HORAS!$B$4:$G$42,6,FALSE),IF(AND($C194=4,$CV194&gt;=(42/24)),VLOOKUP(D194,HORAS!$B$4:$G$42,6,FALSE),IF(COUNTIF($H194:$CL194,"F")&gt;0,0,IF(CV194&gt;$DJ$1,$DJ$1*(VLOOKUP(D194,HORAS!$B$4:$G$42,6,FALSE)/$DJ$1),CV194*(VLOOKUP(D194,HORAS!$B$4:$G$42,6,FALSE)/$DJ$1))))))</f>
        <v>#N/A</v>
      </c>
      <c r="DP194" s="156"/>
      <c r="DQ194" s="89"/>
      <c r="DR194" s="148"/>
      <c r="DS194" s="83" t="e">
        <f t="shared" si="98"/>
        <v>#N/A</v>
      </c>
      <c r="DT194" s="84"/>
      <c r="DU194" s="149" t="e">
        <f t="shared" si="99"/>
        <v>#N/A</v>
      </c>
      <c r="DV194" s="149" t="e">
        <f t="shared" si="100"/>
        <v>#N/A</v>
      </c>
      <c r="DW194" s="144" t="e">
        <f t="shared" si="101"/>
        <v>#N/A</v>
      </c>
      <c r="DX194" s="134"/>
      <c r="DY194" s="29"/>
      <c r="DZ194" s="150"/>
      <c r="EA194" s="134"/>
      <c r="EB194" s="137">
        <f t="shared" si="102"/>
        <v>0</v>
      </c>
      <c r="EC194" s="138">
        <f t="shared" si="96"/>
        <v>0</v>
      </c>
      <c r="ED194" s="137">
        <f t="shared" si="103"/>
        <v>0</v>
      </c>
      <c r="EE194" s="132">
        <f t="shared" si="97"/>
        <v>0</v>
      </c>
      <c r="EF194" s="29"/>
      <c r="EG194" s="134"/>
      <c r="EH194" s="134"/>
      <c r="EI194" s="134"/>
      <c r="EK194" s="35"/>
    </row>
    <row r="195" spans="1:141" ht="15" customHeight="1" x14ac:dyDescent="0.25">
      <c r="A195" s="140"/>
      <c r="B195" s="151"/>
      <c r="C195" s="72"/>
      <c r="D195" s="73"/>
      <c r="E195" s="73"/>
      <c r="F195" s="141"/>
      <c r="G195" s="74"/>
      <c r="H195" s="75"/>
      <c r="I195" s="76"/>
      <c r="J195" s="135"/>
      <c r="K195" s="135"/>
      <c r="L195" s="77">
        <f t="shared" si="74"/>
        <v>0</v>
      </c>
      <c r="M195" s="78"/>
      <c r="N195" s="142"/>
      <c r="O195" s="142"/>
      <c r="P195" s="77">
        <f t="shared" si="75"/>
        <v>0</v>
      </c>
      <c r="Q195" s="78"/>
      <c r="R195" s="143"/>
      <c r="S195" s="143"/>
      <c r="T195" s="77">
        <f t="shared" si="76"/>
        <v>0</v>
      </c>
      <c r="U195" s="75"/>
      <c r="V195" s="76"/>
      <c r="W195" s="135"/>
      <c r="X195" s="135"/>
      <c r="Y195" s="77">
        <f t="shared" si="77"/>
        <v>0</v>
      </c>
      <c r="Z195" s="78"/>
      <c r="AA195" s="142"/>
      <c r="AB195" s="142"/>
      <c r="AC195" s="77">
        <f t="shared" si="78"/>
        <v>0</v>
      </c>
      <c r="AD195" s="78"/>
      <c r="AE195" s="143"/>
      <c r="AF195" s="143"/>
      <c r="AG195" s="79">
        <f t="shared" si="79"/>
        <v>0</v>
      </c>
      <c r="AH195" s="75"/>
      <c r="AI195" s="76"/>
      <c r="AJ195" s="135"/>
      <c r="AK195" s="135"/>
      <c r="AL195" s="77">
        <f t="shared" si="80"/>
        <v>0</v>
      </c>
      <c r="AM195" s="76"/>
      <c r="AN195" s="142"/>
      <c r="AO195" s="142"/>
      <c r="AP195" s="77">
        <f t="shared" si="81"/>
        <v>0</v>
      </c>
      <c r="AQ195" s="78"/>
      <c r="AR195" s="142"/>
      <c r="AS195" s="142"/>
      <c r="AT195" s="79">
        <f t="shared" si="82"/>
        <v>0</v>
      </c>
      <c r="AU195" s="75"/>
      <c r="AV195" s="76"/>
      <c r="AW195" s="135"/>
      <c r="AX195" s="135"/>
      <c r="AY195" s="77">
        <f t="shared" si="83"/>
        <v>0</v>
      </c>
      <c r="AZ195" s="76"/>
      <c r="BA195" s="142"/>
      <c r="BB195" s="142"/>
      <c r="BC195" s="77">
        <f t="shared" si="84"/>
        <v>0</v>
      </c>
      <c r="BD195" s="78"/>
      <c r="BE195" s="142"/>
      <c r="BF195" s="142"/>
      <c r="BG195" s="79">
        <f t="shared" si="85"/>
        <v>0</v>
      </c>
      <c r="BH195" s="75"/>
      <c r="BI195" s="76"/>
      <c r="BJ195" s="135"/>
      <c r="BK195" s="135"/>
      <c r="BL195" s="77">
        <f t="shared" si="86"/>
        <v>0</v>
      </c>
      <c r="BM195" s="78"/>
      <c r="BN195" s="142"/>
      <c r="BO195" s="142"/>
      <c r="BP195" s="77">
        <f t="shared" si="87"/>
        <v>0</v>
      </c>
      <c r="BQ195" s="78"/>
      <c r="BR195" s="142"/>
      <c r="BS195" s="142"/>
      <c r="BT195" s="79">
        <f t="shared" si="88"/>
        <v>0</v>
      </c>
      <c r="BU195" s="75"/>
      <c r="BV195" s="76"/>
      <c r="BW195" s="135"/>
      <c r="BX195" s="135"/>
      <c r="BY195" s="77">
        <f t="shared" si="89"/>
        <v>0</v>
      </c>
      <c r="BZ195" s="78"/>
      <c r="CA195" s="142"/>
      <c r="CB195" s="142"/>
      <c r="CC195" s="77">
        <f t="shared" si="90"/>
        <v>0</v>
      </c>
      <c r="CD195" s="78"/>
      <c r="CE195" s="142"/>
      <c r="CF195" s="142"/>
      <c r="CG195" s="79">
        <f t="shared" si="91"/>
        <v>0</v>
      </c>
      <c r="CH195" s="75"/>
      <c r="CI195" s="76"/>
      <c r="CJ195" s="135"/>
      <c r="CK195" s="135"/>
      <c r="CL195" s="77">
        <f t="shared" si="92"/>
        <v>0</v>
      </c>
      <c r="CM195" s="78"/>
      <c r="CN195" s="142"/>
      <c r="CO195" s="142"/>
      <c r="CP195" s="77">
        <f t="shared" si="93"/>
        <v>0</v>
      </c>
      <c r="CQ195" s="78"/>
      <c r="CR195" s="142"/>
      <c r="CS195" s="142"/>
      <c r="CT195" s="79">
        <f t="shared" si="94"/>
        <v>0</v>
      </c>
      <c r="CU195" s="80">
        <f t="shared" si="104"/>
        <v>0</v>
      </c>
      <c r="CV195" s="81">
        <f t="shared" si="105"/>
        <v>0</v>
      </c>
      <c r="CW195" s="144"/>
      <c r="CX195" s="145">
        <f>IF(ISERROR(VLOOKUP($A195,FIJOS!$B$11:$O$590,14,FALSE)),0,VLOOKUP($A195,FIJOS!$B$11:$O$590,14,FALSE))</f>
        <v>0</v>
      </c>
      <c r="CY195" s="145">
        <f>IF(ISERROR(VLOOKUP(A195,FIJOS!$B$10:$P$590,15,FALSE)),0,VLOOKUP(A195,FIJOS!$B$10:$P$590,15,FALSE))</f>
        <v>0</v>
      </c>
      <c r="CZ195" s="156"/>
      <c r="DA195" s="146"/>
      <c r="DB195" s="147"/>
      <c r="DC195" s="147"/>
      <c r="DD195" s="147"/>
      <c r="DE195" s="147"/>
      <c r="DF195" s="145">
        <f>IF(ISERROR(VLOOKUP($A195,FIJOS!$B$11:$N$590,13,FALSE)),0,VLOOKUP($A195,FIJOS!$B$11:$N$590,13,FALSE))</f>
        <v>0</v>
      </c>
      <c r="DG195" s="145">
        <f>IF(ISERROR(VLOOKUP($A195,FIJOS!$B$11:$P$447,12,FALSE)),0,VLOOKUP($A195,FIJOS!$B$11:$P$447,12,FALSE))</f>
        <v>0</v>
      </c>
      <c r="DH195" s="82">
        <f t="shared" si="95"/>
        <v>0</v>
      </c>
      <c r="DI195" s="83" t="b">
        <f>IF($C195=1,(VLOOKUP($A195,FIJOS!$B$11:$P$545,10,FALSE)/7)*(7-$CU195),IF(AND($C195=2,CV195&lt;$DJ$1),(VLOOKUP($D195,HORAS!$B$4:$C$42,2,FALSE)*24)*$CV195,IF(AND($C195=2,CV195&gt;=$DJ$1),VLOOKUP($D195,HORAS!$B$4:$D$42,3,FALSE),IF(AND($C195=3,$CV195&gt;=$DJ$1),VLOOKUP($A195,FIJOS!$B$11:$P$545,10,FALSE),IF(AND($C195=3,$CV195&lt;$DJ$1),((VLOOKUP($A195,FIJOS!$B$11:$P$545,10,FALSE)/48)*24)*$CV195,IF(AND($C195=4,$CV195&gt;=(42/24)),VLOOKUP($D195,HORAS!$B$4:$D$42,3,FALSE),IF(AND($C195=5,$CV195&gt;=(36/24)),VLOOKUP($D195,HORAS!$B$4:$D$42,3,FALSE))))))))</f>
        <v>0</v>
      </c>
      <c r="DJ195" s="145">
        <f>IF(OR($C195=2),VLOOKUP($D195,HORAS!$B$4:$E$42,4,FALSE)*$EC195,IF(ISERROR(VLOOKUP($A195,FIJOS!$B$11:$P$108,9,FALSE)),0,VLOOKUP($A195,FIJOS!$B$11:$P$231,9,FALSE)*$EC195))</f>
        <v>0</v>
      </c>
      <c r="DK195" s="145">
        <f>IF(OR($C195=2),VLOOKUP($D195,HORAS!$B$4:$F$42,5,FALSE)*$EE195,IF(ISERROR(VLOOKUP($A195,FIJOS!$B$11:$P$108,9,FALSE)),0,VLOOKUP($A195,FIJOS!$B$11:$P$231,9,FALSE)*$EE195))</f>
        <v>0</v>
      </c>
      <c r="DL195" s="144"/>
      <c r="DM195" s="145">
        <f>IF(ISERROR(VLOOKUP($A195,FIJOS!$B$11:$L$646,11,FALSE)),0,VLOOKUP($A195,FIJOS!$B$11:$L$646,11,FALSE))</f>
        <v>0</v>
      </c>
      <c r="DN195" s="148" t="e">
        <f>IF(OR($C195=1,$C195=3),0,IF((VLOOKUP(CAPTURA!D195,HORAS!$B$4:$K$42,10,FALSE)/4)*COUNTIF($H195:$CT195,3)&gt;100,100,(VLOOKUP(CAPTURA!D195,HORAS!$B$4:$K$42,10,FALSE)/4)*COUNTIF($H195:$CT195,3)))</f>
        <v>#N/A</v>
      </c>
      <c r="DO195" s="144" t="e">
        <f>IF(OR($C195=1,$C195=3),0,IF($C195=5,VLOOKUP(D195,HORAS!$B$4:$G$42,6,FALSE),IF(AND($C195=4,$CV195&gt;=(42/24)),VLOOKUP(D195,HORAS!$B$4:$G$42,6,FALSE),IF(COUNTIF($H195:$CL195,"F")&gt;0,0,IF(CV195&gt;$DJ$1,$DJ$1*(VLOOKUP(D195,HORAS!$B$4:$G$42,6,FALSE)/$DJ$1),CV195*(VLOOKUP(D195,HORAS!$B$4:$G$42,6,FALSE)/$DJ$1))))))</f>
        <v>#N/A</v>
      </c>
      <c r="DP195" s="156"/>
      <c r="DQ195" s="89"/>
      <c r="DR195" s="148"/>
      <c r="DS195" s="83" t="e">
        <f t="shared" si="98"/>
        <v>#N/A</v>
      </c>
      <c r="DT195" s="84"/>
      <c r="DU195" s="149" t="e">
        <f t="shared" si="99"/>
        <v>#N/A</v>
      </c>
      <c r="DV195" s="149" t="e">
        <f t="shared" si="100"/>
        <v>#N/A</v>
      </c>
      <c r="DW195" s="144" t="e">
        <f t="shared" si="101"/>
        <v>#N/A</v>
      </c>
      <c r="DX195" s="134"/>
      <c r="DY195" s="29"/>
      <c r="DZ195" s="150"/>
      <c r="EA195" s="137"/>
      <c r="EB195" s="137">
        <f t="shared" si="102"/>
        <v>0</v>
      </c>
      <c r="EC195" s="138">
        <f t="shared" si="96"/>
        <v>0</v>
      </c>
      <c r="ED195" s="137">
        <f t="shared" si="103"/>
        <v>0</v>
      </c>
      <c r="EE195" s="132">
        <f t="shared" si="97"/>
        <v>0</v>
      </c>
      <c r="EF195" s="29"/>
      <c r="EG195" s="134"/>
      <c r="EH195" s="134"/>
      <c r="EI195" s="158"/>
      <c r="EK195" s="29"/>
    </row>
    <row r="196" spans="1:141" ht="15" customHeight="1" x14ac:dyDescent="0.25">
      <c r="A196" s="140"/>
      <c r="B196" s="5"/>
      <c r="C196" s="72"/>
      <c r="D196" s="73"/>
      <c r="E196" s="73"/>
      <c r="F196" s="141"/>
      <c r="G196" s="74"/>
      <c r="H196" s="75"/>
      <c r="I196" s="76"/>
      <c r="J196" s="135"/>
      <c r="K196" s="135"/>
      <c r="L196" s="77">
        <f t="shared" si="74"/>
        <v>0</v>
      </c>
      <c r="M196" s="78"/>
      <c r="N196" s="142"/>
      <c r="O196" s="142"/>
      <c r="P196" s="77">
        <f t="shared" si="75"/>
        <v>0</v>
      </c>
      <c r="Q196" s="78"/>
      <c r="R196" s="143"/>
      <c r="S196" s="143"/>
      <c r="T196" s="77">
        <f t="shared" si="76"/>
        <v>0</v>
      </c>
      <c r="U196" s="75"/>
      <c r="V196" s="76"/>
      <c r="W196" s="135"/>
      <c r="X196" s="135"/>
      <c r="Y196" s="77">
        <f t="shared" si="77"/>
        <v>0</v>
      </c>
      <c r="Z196" s="78"/>
      <c r="AA196" s="142"/>
      <c r="AB196" s="142"/>
      <c r="AC196" s="77">
        <f t="shared" si="78"/>
        <v>0</v>
      </c>
      <c r="AD196" s="78"/>
      <c r="AE196" s="143"/>
      <c r="AF196" s="143"/>
      <c r="AG196" s="79">
        <f t="shared" si="79"/>
        <v>0</v>
      </c>
      <c r="AH196" s="75"/>
      <c r="AI196" s="76"/>
      <c r="AJ196" s="135"/>
      <c r="AK196" s="135"/>
      <c r="AL196" s="77">
        <f t="shared" si="80"/>
        <v>0</v>
      </c>
      <c r="AM196" s="76"/>
      <c r="AN196" s="142"/>
      <c r="AO196" s="142"/>
      <c r="AP196" s="77">
        <f t="shared" si="81"/>
        <v>0</v>
      </c>
      <c r="AQ196" s="78"/>
      <c r="AR196" s="142"/>
      <c r="AS196" s="142"/>
      <c r="AT196" s="79">
        <f t="shared" si="82"/>
        <v>0</v>
      </c>
      <c r="AU196" s="75"/>
      <c r="AV196" s="76"/>
      <c r="AW196" s="135"/>
      <c r="AX196" s="135"/>
      <c r="AY196" s="77">
        <f t="shared" si="83"/>
        <v>0</v>
      </c>
      <c r="AZ196" s="76"/>
      <c r="BA196" s="142"/>
      <c r="BB196" s="142"/>
      <c r="BC196" s="77">
        <f t="shared" si="84"/>
        <v>0</v>
      </c>
      <c r="BD196" s="78"/>
      <c r="BE196" s="142"/>
      <c r="BF196" s="142"/>
      <c r="BG196" s="79">
        <f t="shared" si="85"/>
        <v>0</v>
      </c>
      <c r="BH196" s="75"/>
      <c r="BI196" s="76"/>
      <c r="BJ196" s="135"/>
      <c r="BK196" s="135"/>
      <c r="BL196" s="77">
        <f t="shared" si="86"/>
        <v>0</v>
      </c>
      <c r="BM196" s="78"/>
      <c r="BN196" s="142"/>
      <c r="BO196" s="142"/>
      <c r="BP196" s="77">
        <f t="shared" si="87"/>
        <v>0</v>
      </c>
      <c r="BQ196" s="78"/>
      <c r="BR196" s="142"/>
      <c r="BS196" s="142"/>
      <c r="BT196" s="79">
        <f t="shared" si="88"/>
        <v>0</v>
      </c>
      <c r="BU196" s="75"/>
      <c r="BV196" s="76"/>
      <c r="BW196" s="135"/>
      <c r="BX196" s="135"/>
      <c r="BY196" s="77">
        <f t="shared" si="89"/>
        <v>0</v>
      </c>
      <c r="BZ196" s="78"/>
      <c r="CA196" s="142"/>
      <c r="CB196" s="142"/>
      <c r="CC196" s="77">
        <f t="shared" si="90"/>
        <v>0</v>
      </c>
      <c r="CD196" s="78"/>
      <c r="CE196" s="142"/>
      <c r="CF196" s="142"/>
      <c r="CG196" s="79">
        <f t="shared" si="91"/>
        <v>0</v>
      </c>
      <c r="CH196" s="75"/>
      <c r="CI196" s="76"/>
      <c r="CJ196" s="135"/>
      <c r="CK196" s="135"/>
      <c r="CL196" s="77">
        <f t="shared" si="92"/>
        <v>0</v>
      </c>
      <c r="CM196" s="78"/>
      <c r="CN196" s="142"/>
      <c r="CO196" s="142"/>
      <c r="CP196" s="77">
        <f t="shared" si="93"/>
        <v>0</v>
      </c>
      <c r="CQ196" s="78"/>
      <c r="CR196" s="142"/>
      <c r="CS196" s="142"/>
      <c r="CT196" s="79">
        <f t="shared" si="94"/>
        <v>0</v>
      </c>
      <c r="CU196" s="80">
        <f t="shared" si="104"/>
        <v>0</v>
      </c>
      <c r="CV196" s="81">
        <f t="shared" si="105"/>
        <v>0</v>
      </c>
      <c r="CW196" s="144"/>
      <c r="CX196" s="145">
        <f>IF(ISERROR(VLOOKUP($A196,FIJOS!$B$11:$O$590,14,FALSE)),0,VLOOKUP($A196,FIJOS!$B$11:$O$590,14,FALSE))</f>
        <v>0</v>
      </c>
      <c r="CY196" s="145">
        <f>IF(ISERROR(VLOOKUP(A196,FIJOS!$B$10:$P$590,15,FALSE)),0,VLOOKUP(A196,FIJOS!$B$10:$P$590,15,FALSE))</f>
        <v>0</v>
      </c>
      <c r="CZ196" s="156"/>
      <c r="DA196" s="146"/>
      <c r="DB196" s="147"/>
      <c r="DC196" s="147"/>
      <c r="DD196" s="147"/>
      <c r="DE196" s="147"/>
      <c r="DF196" s="145">
        <f>IF(ISERROR(VLOOKUP($A196,FIJOS!$B$11:$N$590,13,FALSE)),0,VLOOKUP($A196,FIJOS!$B$11:$N$590,13,FALSE))</f>
        <v>0</v>
      </c>
      <c r="DG196" s="145">
        <f>IF(ISERROR(VLOOKUP($A196,FIJOS!$B$11:$P$447,12,FALSE)),0,VLOOKUP($A196,FIJOS!$B$11:$P$447,12,FALSE))</f>
        <v>0</v>
      </c>
      <c r="DH196" s="82">
        <f t="shared" si="95"/>
        <v>0</v>
      </c>
      <c r="DI196" s="83" t="b">
        <f>IF($C196=1,(VLOOKUP($A196,FIJOS!$B$11:$P$545,10,FALSE)/7)*(7-$CU196),IF(AND($C196=2,CV196&lt;$DJ$1),(VLOOKUP($D196,HORAS!$B$4:$C$42,2,FALSE)*24)*$CV196,IF(AND($C196=2,CV196&gt;=$DJ$1),VLOOKUP($D196,HORAS!$B$4:$D$42,3,FALSE),IF(AND($C196=3,$CV196&gt;=$DJ$1),VLOOKUP($A196,FIJOS!$B$11:$P$545,10,FALSE),IF(AND($C196=3,$CV196&lt;$DJ$1),((VLOOKUP($A196,FIJOS!$B$11:$P$545,10,FALSE)/48)*24)*$CV196,IF(AND($C196=4,$CV196&gt;=(42/24)),VLOOKUP($D196,HORAS!$B$4:$D$42,3,FALSE),IF(AND($C196=5,$CV196&gt;=(36/24)),VLOOKUP($D196,HORAS!$B$4:$D$42,3,FALSE))))))))</f>
        <v>0</v>
      </c>
      <c r="DJ196" s="145">
        <f>IF(OR($C196=2),VLOOKUP($D196,HORAS!$B$4:$E$42,4,FALSE)*$EC196,IF(ISERROR(VLOOKUP($A196,FIJOS!$B$11:$P$108,9,FALSE)),0,VLOOKUP($A196,FIJOS!$B$11:$P$231,9,FALSE)*$EC196))</f>
        <v>0</v>
      </c>
      <c r="DK196" s="145">
        <f>IF(OR($C196=2),VLOOKUP($D196,HORAS!$B$4:$F$42,5,FALSE)*$EE196,IF(ISERROR(VLOOKUP($A196,FIJOS!$B$11:$P$108,9,FALSE)),0,VLOOKUP($A196,FIJOS!$B$11:$P$231,9,FALSE)*$EE196))</f>
        <v>0</v>
      </c>
      <c r="DL196" s="144"/>
      <c r="DM196" s="145">
        <f>IF(ISERROR(VLOOKUP($A196,FIJOS!$B$11:$L$646,11,FALSE)),0,VLOOKUP($A196,FIJOS!$B$11:$L$646,11,FALSE))</f>
        <v>0</v>
      </c>
      <c r="DN196" s="148" t="e">
        <f>IF(OR($C196=1,$C196=3),0,IF((VLOOKUP(CAPTURA!D196,HORAS!$B$4:$K$42,10,FALSE)/4)*COUNTIF($H196:$CT196,3)&gt;100,100,(VLOOKUP(CAPTURA!D196,HORAS!$B$4:$K$42,10,FALSE)/4)*COUNTIF($H196:$CT196,3)))</f>
        <v>#N/A</v>
      </c>
      <c r="DO196" s="144" t="e">
        <f>IF(OR($C196=1,$C196=3),0,IF($C196=5,VLOOKUP(D196,HORAS!$B$4:$G$42,6,FALSE),IF(AND($C196=4,$CV196&gt;=(42/24)),VLOOKUP(D196,HORAS!$B$4:$G$42,6,FALSE),IF(COUNTIF($H196:$CL196,"F")&gt;0,0,IF(CV196&gt;$DJ$1,$DJ$1*(VLOOKUP(D196,HORAS!$B$4:$G$42,6,FALSE)/$DJ$1),CV196*(VLOOKUP(D196,HORAS!$B$4:$G$42,6,FALSE)/$DJ$1))))))</f>
        <v>#N/A</v>
      </c>
      <c r="DP196" s="156"/>
      <c r="DQ196" s="148"/>
      <c r="DR196" s="148"/>
      <c r="DS196" s="83" t="e">
        <f t="shared" si="98"/>
        <v>#N/A</v>
      </c>
      <c r="DT196" s="84"/>
      <c r="DU196" s="149" t="e">
        <f t="shared" si="99"/>
        <v>#N/A</v>
      </c>
      <c r="DV196" s="149" t="e">
        <f t="shared" si="100"/>
        <v>#N/A</v>
      </c>
      <c r="DW196" s="144" t="e">
        <f t="shared" si="101"/>
        <v>#N/A</v>
      </c>
      <c r="DX196" s="134"/>
      <c r="DY196" s="29"/>
      <c r="DZ196" s="150"/>
      <c r="EA196" s="134"/>
      <c r="EB196" s="137">
        <f t="shared" si="102"/>
        <v>0</v>
      </c>
      <c r="EC196" s="138">
        <f t="shared" si="96"/>
        <v>0</v>
      </c>
      <c r="ED196" s="137">
        <f t="shared" si="103"/>
        <v>0</v>
      </c>
      <c r="EE196" s="132">
        <f t="shared" si="97"/>
        <v>0</v>
      </c>
      <c r="EF196" s="29"/>
      <c r="EG196" s="134"/>
      <c r="EH196" s="134"/>
      <c r="EI196" s="134"/>
      <c r="EK196" s="29"/>
    </row>
    <row r="197" spans="1:141" ht="15" customHeight="1" x14ac:dyDescent="0.25">
      <c r="A197" s="140"/>
      <c r="B197" s="5"/>
      <c r="C197" s="72"/>
      <c r="D197" s="73"/>
      <c r="E197" s="73"/>
      <c r="F197" s="141"/>
      <c r="G197" s="74"/>
      <c r="H197" s="75"/>
      <c r="I197" s="76"/>
      <c r="J197" s="135"/>
      <c r="K197" s="135"/>
      <c r="L197" s="77">
        <f t="shared" si="74"/>
        <v>0</v>
      </c>
      <c r="M197" s="78"/>
      <c r="N197" s="142"/>
      <c r="O197" s="142"/>
      <c r="P197" s="77">
        <f t="shared" si="75"/>
        <v>0</v>
      </c>
      <c r="Q197" s="78"/>
      <c r="R197" s="143"/>
      <c r="S197" s="143"/>
      <c r="T197" s="77">
        <f t="shared" si="76"/>
        <v>0</v>
      </c>
      <c r="U197" s="75"/>
      <c r="V197" s="76"/>
      <c r="W197" s="135"/>
      <c r="X197" s="135"/>
      <c r="Y197" s="77">
        <f t="shared" si="77"/>
        <v>0</v>
      </c>
      <c r="Z197" s="78"/>
      <c r="AA197" s="142"/>
      <c r="AB197" s="142"/>
      <c r="AC197" s="77">
        <f t="shared" si="78"/>
        <v>0</v>
      </c>
      <c r="AD197" s="78"/>
      <c r="AE197" s="143"/>
      <c r="AF197" s="143"/>
      <c r="AG197" s="79">
        <f t="shared" si="79"/>
        <v>0</v>
      </c>
      <c r="AH197" s="75"/>
      <c r="AI197" s="76"/>
      <c r="AJ197" s="135"/>
      <c r="AK197" s="135"/>
      <c r="AL197" s="77">
        <f t="shared" si="80"/>
        <v>0</v>
      </c>
      <c r="AM197" s="76"/>
      <c r="AN197" s="142"/>
      <c r="AO197" s="142"/>
      <c r="AP197" s="77">
        <f t="shared" si="81"/>
        <v>0</v>
      </c>
      <c r="AQ197" s="78"/>
      <c r="AR197" s="142"/>
      <c r="AS197" s="142"/>
      <c r="AT197" s="79">
        <f t="shared" si="82"/>
        <v>0</v>
      </c>
      <c r="AU197" s="75"/>
      <c r="AV197" s="76"/>
      <c r="AW197" s="135"/>
      <c r="AX197" s="135"/>
      <c r="AY197" s="77">
        <f t="shared" si="83"/>
        <v>0</v>
      </c>
      <c r="AZ197" s="76"/>
      <c r="BA197" s="142"/>
      <c r="BB197" s="142"/>
      <c r="BC197" s="77">
        <f t="shared" si="84"/>
        <v>0</v>
      </c>
      <c r="BD197" s="78"/>
      <c r="BE197" s="142"/>
      <c r="BF197" s="142"/>
      <c r="BG197" s="79">
        <f t="shared" si="85"/>
        <v>0</v>
      </c>
      <c r="BH197" s="75"/>
      <c r="BI197" s="76"/>
      <c r="BJ197" s="135"/>
      <c r="BK197" s="135"/>
      <c r="BL197" s="77">
        <f t="shared" si="86"/>
        <v>0</v>
      </c>
      <c r="BM197" s="78"/>
      <c r="BN197" s="142"/>
      <c r="BO197" s="142"/>
      <c r="BP197" s="77">
        <f t="shared" si="87"/>
        <v>0</v>
      </c>
      <c r="BQ197" s="78"/>
      <c r="BR197" s="142"/>
      <c r="BS197" s="142"/>
      <c r="BT197" s="79">
        <f t="shared" si="88"/>
        <v>0</v>
      </c>
      <c r="BU197" s="75"/>
      <c r="BV197" s="76"/>
      <c r="BW197" s="135"/>
      <c r="BX197" s="135"/>
      <c r="BY197" s="77">
        <f t="shared" si="89"/>
        <v>0</v>
      </c>
      <c r="BZ197" s="78"/>
      <c r="CA197" s="142"/>
      <c r="CB197" s="142"/>
      <c r="CC197" s="77">
        <f t="shared" si="90"/>
        <v>0</v>
      </c>
      <c r="CD197" s="78"/>
      <c r="CE197" s="142"/>
      <c r="CF197" s="142"/>
      <c r="CG197" s="79">
        <f t="shared" si="91"/>
        <v>0</v>
      </c>
      <c r="CH197" s="75"/>
      <c r="CI197" s="76"/>
      <c r="CJ197" s="135"/>
      <c r="CK197" s="135"/>
      <c r="CL197" s="77">
        <f t="shared" si="92"/>
        <v>0</v>
      </c>
      <c r="CM197" s="78"/>
      <c r="CN197" s="142"/>
      <c r="CO197" s="142"/>
      <c r="CP197" s="77">
        <f t="shared" si="93"/>
        <v>0</v>
      </c>
      <c r="CQ197" s="78"/>
      <c r="CR197" s="142"/>
      <c r="CS197" s="142"/>
      <c r="CT197" s="79">
        <f t="shared" si="94"/>
        <v>0</v>
      </c>
      <c r="CU197" s="80">
        <f t="shared" si="104"/>
        <v>0</v>
      </c>
      <c r="CV197" s="81">
        <f t="shared" si="105"/>
        <v>0</v>
      </c>
      <c r="CW197" s="144"/>
      <c r="CX197" s="145">
        <f>IF(ISERROR(VLOOKUP($A197,FIJOS!$B$11:$O$590,14,FALSE)),0,VLOOKUP($A197,FIJOS!$B$11:$O$590,14,FALSE))</f>
        <v>0</v>
      </c>
      <c r="CY197" s="145">
        <f>IF(ISERROR(VLOOKUP(A197,FIJOS!$B$10:$P$590,15,FALSE)),0,VLOOKUP(A197,FIJOS!$B$10:$P$590,15,FALSE))</f>
        <v>0</v>
      </c>
      <c r="CZ197" s="156"/>
      <c r="DA197" s="146"/>
      <c r="DB197" s="147"/>
      <c r="DC197" s="147"/>
      <c r="DD197" s="147"/>
      <c r="DE197" s="147"/>
      <c r="DF197" s="145">
        <f>IF(ISERROR(VLOOKUP($A197,FIJOS!$B$11:$N$590,13,FALSE)),0,VLOOKUP($A197,FIJOS!$B$11:$N$590,13,FALSE))</f>
        <v>0</v>
      </c>
      <c r="DG197" s="145">
        <f>IF(ISERROR(VLOOKUP($A197,FIJOS!$B$11:$P$447,12,FALSE)),0,VLOOKUP($A197,FIJOS!$B$11:$P$447,12,FALSE))</f>
        <v>0</v>
      </c>
      <c r="DH197" s="82">
        <f t="shared" si="95"/>
        <v>0</v>
      </c>
      <c r="DI197" s="83" t="b">
        <f>IF($C197=1,(VLOOKUP($A197,FIJOS!$B$11:$P$545,10,FALSE)/7)*(7-$CU197),IF(AND($C197=2,CV197&lt;$DJ$1),(VLOOKUP($D197,HORAS!$B$4:$C$42,2,FALSE)*24)*$CV197,IF(AND($C197=2,CV197&gt;=$DJ$1),VLOOKUP($D197,HORAS!$B$4:$D$42,3,FALSE),IF(AND($C197=3,$CV197&gt;=$DJ$1),VLOOKUP($A197,FIJOS!$B$11:$P$545,10,FALSE),IF(AND($C197=3,$CV197&lt;$DJ$1),((VLOOKUP($A197,FIJOS!$B$11:$P$545,10,FALSE)/48)*24)*$CV197,IF(AND($C197=4,$CV197&gt;=(42/24)),VLOOKUP($D197,HORAS!$B$4:$D$42,3,FALSE),IF(AND($C197=5,$CV197&gt;=(36/24)),VLOOKUP($D197,HORAS!$B$4:$D$42,3,FALSE))))))))</f>
        <v>0</v>
      </c>
      <c r="DJ197" s="145">
        <f>IF(OR($C197=2),VLOOKUP($D197,HORAS!$B$4:$E$42,4,FALSE)*$EC197,IF(ISERROR(VLOOKUP($A197,FIJOS!$B$11:$P$108,9,FALSE)),0,VLOOKUP($A197,FIJOS!$B$11:$P$231,9,FALSE)*$EC197))</f>
        <v>0</v>
      </c>
      <c r="DK197" s="145">
        <f>IF(OR($C197=2),VLOOKUP($D197,HORAS!$B$4:$F$42,5,FALSE)*$EE197,IF(ISERROR(VLOOKUP($A197,FIJOS!$B$11:$P$108,9,FALSE)),0,VLOOKUP($A197,FIJOS!$B$11:$P$231,9,FALSE)*$EE197))</f>
        <v>0</v>
      </c>
      <c r="DL197" s="144"/>
      <c r="DM197" s="145">
        <f>IF(ISERROR(VLOOKUP($A197,FIJOS!$B$11:$L$646,11,FALSE)),0,VLOOKUP($A197,FIJOS!$B$11:$L$646,11,FALSE))</f>
        <v>0</v>
      </c>
      <c r="DN197" s="148" t="e">
        <f>IF(OR($C197=1,$C197=3),0,IF((VLOOKUP(CAPTURA!D197,HORAS!$B$4:$K$42,10,FALSE)/4)*COUNTIF($H197:$CT197,3)&gt;100,100,(VLOOKUP(CAPTURA!D197,HORAS!$B$4:$K$42,10,FALSE)/4)*COUNTIF($H197:$CT197,3)))</f>
        <v>#N/A</v>
      </c>
      <c r="DO197" s="144" t="e">
        <f>IF(OR($C197=1,$C197=3),0,IF($C197=5,VLOOKUP(D197,HORAS!$B$4:$G$42,6,FALSE),IF(AND($C197=4,$CV197&gt;=(42/24)),VLOOKUP(D197,HORAS!$B$4:$G$42,6,FALSE),IF(COUNTIF($H197:$CL197,"F")&gt;0,0,IF(CV197&gt;$DJ$1,$DJ$1*(VLOOKUP(D197,HORAS!$B$4:$G$42,6,FALSE)/$DJ$1),CV197*(VLOOKUP(D197,HORAS!$B$4:$G$42,6,FALSE)/$DJ$1))))))</f>
        <v>#N/A</v>
      </c>
      <c r="DP197" s="156"/>
      <c r="DQ197" s="89"/>
      <c r="DR197" s="148"/>
      <c r="DS197" s="83" t="e">
        <f t="shared" si="98"/>
        <v>#N/A</v>
      </c>
      <c r="DT197" s="84"/>
      <c r="DU197" s="149" t="e">
        <f t="shared" si="99"/>
        <v>#N/A</v>
      </c>
      <c r="DV197" s="149" t="e">
        <f t="shared" si="100"/>
        <v>#N/A</v>
      </c>
      <c r="DW197" s="144" t="e">
        <f t="shared" si="101"/>
        <v>#N/A</v>
      </c>
      <c r="DX197" s="134"/>
      <c r="DY197" s="29"/>
      <c r="DZ197" s="150"/>
      <c r="EA197" s="137"/>
      <c r="EB197" s="137">
        <f t="shared" si="102"/>
        <v>0</v>
      </c>
      <c r="EC197" s="138">
        <f t="shared" si="96"/>
        <v>0</v>
      </c>
      <c r="ED197" s="137">
        <f t="shared" si="103"/>
        <v>0</v>
      </c>
      <c r="EE197" s="132">
        <f t="shared" si="97"/>
        <v>0</v>
      </c>
      <c r="EF197" s="29"/>
      <c r="EG197" s="134"/>
      <c r="EH197" s="134"/>
      <c r="EI197" s="134"/>
      <c r="EK197" s="29"/>
    </row>
    <row r="198" spans="1:141" ht="15" customHeight="1" x14ac:dyDescent="0.25">
      <c r="A198" s="140"/>
      <c r="B198" s="5"/>
      <c r="C198" s="72"/>
      <c r="D198" s="73"/>
      <c r="E198" s="73"/>
      <c r="F198" s="141"/>
      <c r="G198" s="74"/>
      <c r="H198" s="75"/>
      <c r="I198" s="76"/>
      <c r="J198" s="135"/>
      <c r="K198" s="135"/>
      <c r="L198" s="77">
        <f t="shared" si="74"/>
        <v>0</v>
      </c>
      <c r="M198" s="78"/>
      <c r="N198" s="142"/>
      <c r="O198" s="142"/>
      <c r="P198" s="77">
        <f t="shared" si="75"/>
        <v>0</v>
      </c>
      <c r="Q198" s="78"/>
      <c r="R198" s="143"/>
      <c r="S198" s="143"/>
      <c r="T198" s="77">
        <f t="shared" si="76"/>
        <v>0</v>
      </c>
      <c r="U198" s="75"/>
      <c r="V198" s="76"/>
      <c r="W198" s="135"/>
      <c r="X198" s="135"/>
      <c r="Y198" s="77">
        <f t="shared" si="77"/>
        <v>0</v>
      </c>
      <c r="Z198" s="78"/>
      <c r="AA198" s="142"/>
      <c r="AB198" s="142"/>
      <c r="AC198" s="77">
        <f t="shared" si="78"/>
        <v>0</v>
      </c>
      <c r="AD198" s="78"/>
      <c r="AE198" s="143"/>
      <c r="AF198" s="143"/>
      <c r="AG198" s="79">
        <f t="shared" si="79"/>
        <v>0</v>
      </c>
      <c r="AH198" s="75"/>
      <c r="AI198" s="76"/>
      <c r="AJ198" s="135"/>
      <c r="AK198" s="135"/>
      <c r="AL198" s="77">
        <f t="shared" si="80"/>
        <v>0</v>
      </c>
      <c r="AM198" s="76"/>
      <c r="AN198" s="142"/>
      <c r="AO198" s="142"/>
      <c r="AP198" s="77">
        <f t="shared" si="81"/>
        <v>0</v>
      </c>
      <c r="AQ198" s="78"/>
      <c r="AR198" s="142"/>
      <c r="AS198" s="142"/>
      <c r="AT198" s="79">
        <f t="shared" si="82"/>
        <v>0</v>
      </c>
      <c r="AU198" s="75"/>
      <c r="AV198" s="76"/>
      <c r="AW198" s="135"/>
      <c r="AX198" s="135"/>
      <c r="AY198" s="77">
        <f t="shared" si="83"/>
        <v>0</v>
      </c>
      <c r="AZ198" s="76"/>
      <c r="BA198" s="142"/>
      <c r="BB198" s="142"/>
      <c r="BC198" s="77">
        <f t="shared" si="84"/>
        <v>0</v>
      </c>
      <c r="BD198" s="78"/>
      <c r="BE198" s="142"/>
      <c r="BF198" s="142"/>
      <c r="BG198" s="79">
        <f t="shared" si="85"/>
        <v>0</v>
      </c>
      <c r="BH198" s="75"/>
      <c r="BI198" s="76"/>
      <c r="BJ198" s="135"/>
      <c r="BK198" s="135"/>
      <c r="BL198" s="77">
        <f t="shared" si="86"/>
        <v>0</v>
      </c>
      <c r="BM198" s="78"/>
      <c r="BN198" s="142"/>
      <c r="BO198" s="142"/>
      <c r="BP198" s="77">
        <f t="shared" si="87"/>
        <v>0</v>
      </c>
      <c r="BQ198" s="78"/>
      <c r="BR198" s="142"/>
      <c r="BS198" s="142"/>
      <c r="BT198" s="79">
        <f t="shared" si="88"/>
        <v>0</v>
      </c>
      <c r="BU198" s="75"/>
      <c r="BV198" s="76"/>
      <c r="BW198" s="135"/>
      <c r="BX198" s="135"/>
      <c r="BY198" s="77">
        <f t="shared" si="89"/>
        <v>0</v>
      </c>
      <c r="BZ198" s="78"/>
      <c r="CA198" s="142"/>
      <c r="CB198" s="142"/>
      <c r="CC198" s="77">
        <f t="shared" si="90"/>
        <v>0</v>
      </c>
      <c r="CD198" s="78"/>
      <c r="CE198" s="142"/>
      <c r="CF198" s="142"/>
      <c r="CG198" s="79">
        <f t="shared" si="91"/>
        <v>0</v>
      </c>
      <c r="CH198" s="75"/>
      <c r="CI198" s="76"/>
      <c r="CJ198" s="135"/>
      <c r="CK198" s="135"/>
      <c r="CL198" s="77">
        <f t="shared" si="92"/>
        <v>0</v>
      </c>
      <c r="CM198" s="78"/>
      <c r="CN198" s="142"/>
      <c r="CO198" s="142"/>
      <c r="CP198" s="77">
        <f t="shared" si="93"/>
        <v>0</v>
      </c>
      <c r="CQ198" s="78"/>
      <c r="CR198" s="142"/>
      <c r="CS198" s="142"/>
      <c r="CT198" s="79">
        <f t="shared" si="94"/>
        <v>0</v>
      </c>
      <c r="CU198" s="80">
        <f t="shared" si="104"/>
        <v>0</v>
      </c>
      <c r="CV198" s="81">
        <f t="shared" si="105"/>
        <v>0</v>
      </c>
      <c r="CW198" s="144"/>
      <c r="CX198" s="145">
        <f>IF(ISERROR(VLOOKUP($A198,FIJOS!$B$11:$O$590,14,FALSE)),0,VLOOKUP($A198,FIJOS!$B$11:$O$590,14,FALSE))</f>
        <v>0</v>
      </c>
      <c r="CY198" s="145">
        <f>IF(ISERROR(VLOOKUP(A198,FIJOS!$B$10:$P$590,15,FALSE)),0,VLOOKUP(A198,FIJOS!$B$10:$P$590,15,FALSE))</f>
        <v>0</v>
      </c>
      <c r="CZ198" s="156"/>
      <c r="DA198" s="146"/>
      <c r="DB198" s="147"/>
      <c r="DC198" s="147"/>
      <c r="DD198" s="147"/>
      <c r="DE198" s="147"/>
      <c r="DF198" s="145">
        <f>IF(ISERROR(VLOOKUP($A198,FIJOS!$B$11:$N$590,13,FALSE)),0,VLOOKUP($A198,FIJOS!$B$11:$N$590,13,FALSE))</f>
        <v>0</v>
      </c>
      <c r="DG198" s="145">
        <f>IF(ISERROR(VLOOKUP($A198,FIJOS!$B$11:$P$447,12,FALSE)),0,VLOOKUP($A198,FIJOS!$B$11:$P$447,12,FALSE))</f>
        <v>0</v>
      </c>
      <c r="DH198" s="82">
        <f t="shared" si="95"/>
        <v>0</v>
      </c>
      <c r="DI198" s="83" t="b">
        <f>IF($C198=1,(VLOOKUP($A198,FIJOS!$B$11:$P$545,10,FALSE)/7)*(7-$CU198),IF(AND($C198=2,CV198&lt;$DJ$1),(VLOOKUP($D198,HORAS!$B$4:$C$42,2,FALSE)*24)*$CV198,IF(AND($C198=2,CV198&gt;=$DJ$1),VLOOKUP($D198,HORAS!$B$4:$D$42,3,FALSE),IF(AND($C198=3,$CV198&gt;=$DJ$1),VLOOKUP($A198,FIJOS!$B$11:$P$545,10,FALSE),IF(AND($C198=3,$CV198&lt;$DJ$1),((VLOOKUP($A198,FIJOS!$B$11:$P$545,10,FALSE)/48)*24)*$CV198,IF(AND($C198=4,$CV198&gt;=(42/24)),VLOOKUP($D198,HORAS!$B$4:$D$42,3,FALSE),IF(AND($C198=5,$CV198&gt;=(36/24)),VLOOKUP($D198,HORAS!$B$4:$D$42,3,FALSE))))))))</f>
        <v>0</v>
      </c>
      <c r="DJ198" s="145">
        <f>IF(OR($C198=2),VLOOKUP($D198,HORAS!$B$4:$E$42,4,FALSE)*$EC198,IF(ISERROR(VLOOKUP($A198,FIJOS!$B$11:$P$108,9,FALSE)),0,VLOOKUP($A198,FIJOS!$B$11:$P$231,9,FALSE)*$EC198))</f>
        <v>0</v>
      </c>
      <c r="DK198" s="145">
        <f>IF(OR($C198=2),VLOOKUP($D198,HORAS!$B$4:$F$42,5,FALSE)*$EE198,IF(ISERROR(VLOOKUP($A198,FIJOS!$B$11:$P$108,9,FALSE)),0,VLOOKUP($A198,FIJOS!$B$11:$P$231,9,FALSE)*$EE198))</f>
        <v>0</v>
      </c>
      <c r="DL198" s="144"/>
      <c r="DM198" s="145">
        <f>IF(ISERROR(VLOOKUP($A198,FIJOS!$B$11:$L$646,11,FALSE)),0,VLOOKUP($A198,FIJOS!$B$11:$L$646,11,FALSE))</f>
        <v>0</v>
      </c>
      <c r="DN198" s="148" t="e">
        <f>IF(OR($C198=1,$C198=3),0,IF((VLOOKUP(CAPTURA!D198,HORAS!$B$4:$K$42,10,FALSE)/4)*COUNTIF($H198:$CT198,3)&gt;100,100,(VLOOKUP(CAPTURA!D198,HORAS!$B$4:$K$42,10,FALSE)/4)*COUNTIF($H198:$CT198,3)))</f>
        <v>#N/A</v>
      </c>
      <c r="DO198" s="144" t="e">
        <f>IF(OR($C198=1,$C198=3),0,IF($C198=5,VLOOKUP(D198,HORAS!$B$4:$G$42,6,FALSE),IF(AND($C198=4,$CV198&gt;=(42/24)),VLOOKUP(D198,HORAS!$B$4:$G$42,6,FALSE),IF(COUNTIF($H198:$CL198,"F")&gt;0,0,IF(CV198&gt;$DJ$1,$DJ$1*(VLOOKUP(D198,HORAS!$B$4:$G$42,6,FALSE)/$DJ$1),CV198*(VLOOKUP(D198,HORAS!$B$4:$G$42,6,FALSE)/$DJ$1))))))</f>
        <v>#N/A</v>
      </c>
      <c r="DP198" s="156"/>
      <c r="DQ198" s="89"/>
      <c r="DR198" s="148"/>
      <c r="DS198" s="83" t="e">
        <f t="shared" si="98"/>
        <v>#N/A</v>
      </c>
      <c r="DT198" s="84"/>
      <c r="DU198" s="149" t="e">
        <f t="shared" si="99"/>
        <v>#N/A</v>
      </c>
      <c r="DV198" s="149" t="e">
        <f t="shared" si="100"/>
        <v>#N/A</v>
      </c>
      <c r="DW198" s="144" t="e">
        <f t="shared" si="101"/>
        <v>#N/A</v>
      </c>
      <c r="DX198" s="134"/>
      <c r="DY198" s="29"/>
      <c r="DZ198" s="150"/>
      <c r="EA198" s="134"/>
      <c r="EB198" s="137">
        <f t="shared" si="102"/>
        <v>0</v>
      </c>
      <c r="EC198" s="138">
        <f t="shared" si="96"/>
        <v>0</v>
      </c>
      <c r="ED198" s="137">
        <f t="shared" si="103"/>
        <v>0</v>
      </c>
      <c r="EE198" s="132">
        <f t="shared" si="97"/>
        <v>0</v>
      </c>
      <c r="EF198" s="29"/>
      <c r="EG198" s="134"/>
      <c r="EH198" s="134"/>
      <c r="EI198" s="134"/>
      <c r="EK198" s="29"/>
    </row>
    <row r="199" spans="1:141" ht="15" customHeight="1" x14ac:dyDescent="0.25">
      <c r="A199" s="140"/>
      <c r="B199" s="5"/>
      <c r="C199" s="72"/>
      <c r="D199" s="73"/>
      <c r="E199" s="73"/>
      <c r="F199" s="141"/>
      <c r="G199" s="74"/>
      <c r="H199" s="75"/>
      <c r="I199" s="76"/>
      <c r="J199" s="135"/>
      <c r="K199" s="135"/>
      <c r="L199" s="77">
        <f t="shared" ref="L199:L262" si="106">IF((K199-J199)&gt;=0,(K199-J199),$A$1+(K199-J199))</f>
        <v>0</v>
      </c>
      <c r="M199" s="78"/>
      <c r="N199" s="142"/>
      <c r="O199" s="142"/>
      <c r="P199" s="77">
        <f t="shared" ref="P199:P262" si="107">IF((O199-N199)&gt;=0,(O199-N199),$A$1+(O199-N199))</f>
        <v>0</v>
      </c>
      <c r="Q199" s="78"/>
      <c r="R199" s="143"/>
      <c r="S199" s="143"/>
      <c r="T199" s="77">
        <f t="shared" ref="T199:T262" si="108">IF((S199-R199)&gt;=0,(S199-R199),$A$1+(S199-R199))</f>
        <v>0</v>
      </c>
      <c r="U199" s="75"/>
      <c r="V199" s="76"/>
      <c r="W199" s="135"/>
      <c r="X199" s="135"/>
      <c r="Y199" s="77">
        <f t="shared" ref="Y199:Y262" si="109">IF((X199-W199)&gt;=0,(X199-W199),$A$1+(X199-W199))</f>
        <v>0</v>
      </c>
      <c r="Z199" s="78"/>
      <c r="AA199" s="142"/>
      <c r="AB199" s="142"/>
      <c r="AC199" s="77">
        <f t="shared" ref="AC199:AC262" si="110">IF((AB199-AA199)&gt;=0,(AB199-AA199),$A$1+(AB199-AA199))</f>
        <v>0</v>
      </c>
      <c r="AD199" s="78"/>
      <c r="AE199" s="143"/>
      <c r="AF199" s="143"/>
      <c r="AG199" s="79">
        <f t="shared" ref="AG199:AG262" si="111">IF((AF199-AE199)&gt;=0,(AF199-AE199),$A$1+(AF199-AE199))</f>
        <v>0</v>
      </c>
      <c r="AH199" s="75"/>
      <c r="AI199" s="76"/>
      <c r="AJ199" s="135"/>
      <c r="AK199" s="135"/>
      <c r="AL199" s="77">
        <f t="shared" ref="AL199:AL262" si="112">IF((AK199-AJ199)&gt;=0,(AK199-AJ199),$A$1+(AK199-AJ199))</f>
        <v>0</v>
      </c>
      <c r="AM199" s="76"/>
      <c r="AN199" s="142"/>
      <c r="AO199" s="142"/>
      <c r="AP199" s="77">
        <f t="shared" ref="AP199:AP262" si="113">IF((AO199-AN199)&gt;=0,(AO199-AN199),$A$1+(AO199-AN199))</f>
        <v>0</v>
      </c>
      <c r="AQ199" s="78"/>
      <c r="AR199" s="142"/>
      <c r="AS199" s="142"/>
      <c r="AT199" s="79">
        <f t="shared" ref="AT199:AT262" si="114">IF((AS199-AR199)&gt;=0,(AS199-AR199),$A$1+(AS199-AR199))</f>
        <v>0</v>
      </c>
      <c r="AU199" s="75"/>
      <c r="AV199" s="76"/>
      <c r="AW199" s="135"/>
      <c r="AX199" s="135"/>
      <c r="AY199" s="77">
        <f t="shared" ref="AY199:AY262" si="115">IF((AX199-AW199)&gt;=0,(AX199-AW199),$A$1+(AX199-AW199))</f>
        <v>0</v>
      </c>
      <c r="AZ199" s="76"/>
      <c r="BA199" s="142"/>
      <c r="BB199" s="142"/>
      <c r="BC199" s="77">
        <f t="shared" ref="BC199:BC262" si="116">IF((BB199-BA199)&gt;=0,(BB199-BA199),$A$1+(BB199-BA199))</f>
        <v>0</v>
      </c>
      <c r="BD199" s="78"/>
      <c r="BE199" s="142"/>
      <c r="BF199" s="142"/>
      <c r="BG199" s="79">
        <f t="shared" ref="BG199:BG262" si="117">IF((BF199-BE199)&gt;=0,(BF199-BE199),$A$1+(BF199-BE199))</f>
        <v>0</v>
      </c>
      <c r="BH199" s="75"/>
      <c r="BI199" s="76"/>
      <c r="BJ199" s="135"/>
      <c r="BK199" s="135"/>
      <c r="BL199" s="77">
        <f t="shared" ref="BL199:BL262" si="118">IF((BK199-BJ199)&gt;=0,(BK199-BJ199),$A$1+(BK199-BJ199))</f>
        <v>0</v>
      </c>
      <c r="BM199" s="78"/>
      <c r="BN199" s="142"/>
      <c r="BO199" s="142"/>
      <c r="BP199" s="77">
        <f t="shared" ref="BP199:BP262" si="119">IF((BO199-BN199)&gt;=0,(BO199-BN199),$A$1+(BO199-BN199))</f>
        <v>0</v>
      </c>
      <c r="BQ199" s="78"/>
      <c r="BR199" s="142"/>
      <c r="BS199" s="142"/>
      <c r="BT199" s="79">
        <f t="shared" ref="BT199:BT262" si="120">IF((BS199-BR199)&gt;=0,(BS199-BR199),$A$1+(BS199-BR199))</f>
        <v>0</v>
      </c>
      <c r="BU199" s="75"/>
      <c r="BV199" s="76"/>
      <c r="BW199" s="135"/>
      <c r="BX199" s="135"/>
      <c r="BY199" s="77">
        <f t="shared" ref="BY199:BY262" si="121">IF((BX199-BW199)&gt;=0,(BX199-BW199),$A$1+(BX199-BW199))</f>
        <v>0</v>
      </c>
      <c r="BZ199" s="78"/>
      <c r="CA199" s="142"/>
      <c r="CB199" s="142"/>
      <c r="CC199" s="77">
        <f t="shared" ref="CC199:CC262" si="122">IF((CB199-CA199)&gt;=0,(CB199-CA199),$A$1+(CB199-CA199))</f>
        <v>0</v>
      </c>
      <c r="CD199" s="78"/>
      <c r="CE199" s="142"/>
      <c r="CF199" s="142"/>
      <c r="CG199" s="79">
        <f t="shared" ref="CG199:CG262" si="123">IF((CF199-CE199)&gt;=0,(CF199-CE199),$A$1+(CF199-CE199))</f>
        <v>0</v>
      </c>
      <c r="CH199" s="75"/>
      <c r="CI199" s="76"/>
      <c r="CJ199" s="135"/>
      <c r="CK199" s="135"/>
      <c r="CL199" s="77">
        <f t="shared" ref="CL199:CL262" si="124">IF((CK199-CJ199)&gt;=0,(CK199-CJ199),$A$1+(CK199-CJ199))</f>
        <v>0</v>
      </c>
      <c r="CM199" s="78"/>
      <c r="CN199" s="142"/>
      <c r="CO199" s="142"/>
      <c r="CP199" s="77">
        <f t="shared" ref="CP199:CP262" si="125">IF((CO199-CN199)&gt;=0,(CO199-CN199),$A$1+(CO199-CN199))</f>
        <v>0</v>
      </c>
      <c r="CQ199" s="78"/>
      <c r="CR199" s="142"/>
      <c r="CS199" s="142"/>
      <c r="CT199" s="79">
        <f t="shared" ref="CT199:CT262" si="126">IF((CS199-CR199)&gt;=0,(CS199-CR199),$A$1+(CS199-CR199))</f>
        <v>0</v>
      </c>
      <c r="CU199" s="80">
        <f t="shared" si="104"/>
        <v>0</v>
      </c>
      <c r="CV199" s="81">
        <f t="shared" si="105"/>
        <v>0</v>
      </c>
      <c r="CW199" s="144"/>
      <c r="CX199" s="145">
        <f>IF(ISERROR(VLOOKUP($A199,FIJOS!$B$11:$O$590,14,FALSE)),0,VLOOKUP($A199,FIJOS!$B$11:$O$590,14,FALSE))</f>
        <v>0</v>
      </c>
      <c r="CY199" s="145">
        <f>IF(ISERROR(VLOOKUP(A199,FIJOS!$B$10:$P$590,15,FALSE)),0,VLOOKUP(A199,FIJOS!$B$10:$P$590,15,FALSE))</f>
        <v>0</v>
      </c>
      <c r="CZ199" s="156"/>
      <c r="DA199" s="146"/>
      <c r="DB199" s="147"/>
      <c r="DC199" s="147"/>
      <c r="DD199" s="147"/>
      <c r="DE199" s="147"/>
      <c r="DF199" s="145">
        <f>IF(ISERROR(VLOOKUP($A199,FIJOS!$B$11:$N$590,13,FALSE)),0,VLOOKUP($A199,FIJOS!$B$11:$N$590,13,FALSE))</f>
        <v>0</v>
      </c>
      <c r="DG199" s="145">
        <f>IF(ISERROR(VLOOKUP($A199,FIJOS!$B$11:$P$447,12,FALSE)),0,VLOOKUP($A199,FIJOS!$B$11:$P$447,12,FALSE))</f>
        <v>0</v>
      </c>
      <c r="DH199" s="82">
        <f t="shared" ref="DH199:DH262" si="127">SUM(CW199:DG199)</f>
        <v>0</v>
      </c>
      <c r="DI199" s="83" t="b">
        <f>IF($C199=1,(VLOOKUP($A199,FIJOS!$B$11:$P$545,10,FALSE)/7)*(7-$CU199),IF(AND($C199=2,CV199&lt;$DJ$1),(VLOOKUP($D199,HORAS!$B$4:$C$42,2,FALSE)*24)*$CV199,IF(AND($C199=2,CV199&gt;=$DJ$1),VLOOKUP($D199,HORAS!$B$4:$D$42,3,FALSE),IF(AND($C199=3,$CV199&gt;=$DJ$1),VLOOKUP($A199,FIJOS!$B$11:$P$545,10,FALSE),IF(AND($C199=3,$CV199&lt;$DJ$1),((VLOOKUP($A199,FIJOS!$B$11:$P$545,10,FALSE)/48)*24)*$CV199,IF(AND($C199=4,$CV199&gt;=(42/24)),VLOOKUP($D199,HORAS!$B$4:$D$42,3,FALSE),IF(AND($C199=5,$CV199&gt;=(36/24)),VLOOKUP($D199,HORAS!$B$4:$D$42,3,FALSE))))))))</f>
        <v>0</v>
      </c>
      <c r="DJ199" s="145">
        <f>IF(OR($C199=2),VLOOKUP($D199,HORAS!$B$4:$E$42,4,FALSE)*$EC199,IF(ISERROR(VLOOKUP($A199,FIJOS!$B$11:$P$108,9,FALSE)),0,VLOOKUP($A199,FIJOS!$B$11:$P$231,9,FALSE)*$EC199))</f>
        <v>0</v>
      </c>
      <c r="DK199" s="145">
        <f>IF(OR($C199=2),VLOOKUP($D199,HORAS!$B$4:$F$42,5,FALSE)*$EE199,IF(ISERROR(VLOOKUP($A199,FIJOS!$B$11:$P$108,9,FALSE)),0,VLOOKUP($A199,FIJOS!$B$11:$P$231,9,FALSE)*$EE199))</f>
        <v>0</v>
      </c>
      <c r="DL199" s="144"/>
      <c r="DM199" s="145">
        <f>IF(ISERROR(VLOOKUP($A199,FIJOS!$B$11:$L$646,11,FALSE)),0,VLOOKUP($A199,FIJOS!$B$11:$L$646,11,FALSE))</f>
        <v>0</v>
      </c>
      <c r="DN199" s="148" t="e">
        <f>IF(OR($C199=1,$C199=3),0,IF((VLOOKUP(CAPTURA!D199,HORAS!$B$4:$K$42,10,FALSE)/4)*COUNTIF($H199:$CT199,3)&gt;100,100,(VLOOKUP(CAPTURA!D199,HORAS!$B$4:$K$42,10,FALSE)/4)*COUNTIF($H199:$CT199,3)))</f>
        <v>#N/A</v>
      </c>
      <c r="DO199" s="144" t="e">
        <f>IF(OR($C199=1,$C199=3),0,IF($C199=5,VLOOKUP(D199,HORAS!$B$4:$G$42,6,FALSE),IF(AND($C199=4,$CV199&gt;=(42/24)),VLOOKUP(D199,HORAS!$B$4:$G$42,6,FALSE),IF(COUNTIF($H199:$CL199,"F")&gt;0,0,IF(CV199&gt;$DJ$1,$DJ$1*(VLOOKUP(D199,HORAS!$B$4:$G$42,6,FALSE)/$DJ$1),CV199*(VLOOKUP(D199,HORAS!$B$4:$G$42,6,FALSE)/$DJ$1))))))</f>
        <v>#N/A</v>
      </c>
      <c r="DP199" s="156"/>
      <c r="DQ199" s="148"/>
      <c r="DR199" s="148"/>
      <c r="DS199" s="83" t="e">
        <f t="shared" si="98"/>
        <v>#N/A</v>
      </c>
      <c r="DT199" s="84"/>
      <c r="DU199" s="149" t="e">
        <f t="shared" si="99"/>
        <v>#N/A</v>
      </c>
      <c r="DV199" s="149" t="e">
        <f t="shared" si="100"/>
        <v>#N/A</v>
      </c>
      <c r="DW199" s="144" t="e">
        <f t="shared" si="101"/>
        <v>#N/A</v>
      </c>
      <c r="DX199" s="134"/>
      <c r="DY199" s="29"/>
      <c r="DZ199" s="150"/>
      <c r="EA199" s="134"/>
      <c r="EB199" s="137">
        <f t="shared" si="102"/>
        <v>0</v>
      </c>
      <c r="EC199" s="138">
        <f t="shared" ref="EC199:EC262" si="128">EB199*24</f>
        <v>0</v>
      </c>
      <c r="ED199" s="137">
        <f t="shared" si="103"/>
        <v>0</v>
      </c>
      <c r="EE199" s="132">
        <f t="shared" ref="EE199:EE262" si="129">ED199*24</f>
        <v>0</v>
      </c>
      <c r="EF199" s="29"/>
      <c r="EG199" s="134"/>
      <c r="EH199" s="134"/>
      <c r="EI199" s="134"/>
      <c r="EK199" s="29"/>
    </row>
    <row r="200" spans="1:141" ht="15" customHeight="1" x14ac:dyDescent="0.25">
      <c r="A200" s="140"/>
      <c r="B200" s="5"/>
      <c r="C200" s="72"/>
      <c r="D200" s="73"/>
      <c r="E200" s="73"/>
      <c r="F200" s="141"/>
      <c r="G200" s="74"/>
      <c r="H200" s="75"/>
      <c r="I200" s="76"/>
      <c r="J200" s="135"/>
      <c r="K200" s="135"/>
      <c r="L200" s="77">
        <f t="shared" si="106"/>
        <v>0</v>
      </c>
      <c r="M200" s="78"/>
      <c r="N200" s="142"/>
      <c r="O200" s="142"/>
      <c r="P200" s="77">
        <f t="shared" si="107"/>
        <v>0</v>
      </c>
      <c r="Q200" s="78"/>
      <c r="R200" s="143"/>
      <c r="S200" s="143"/>
      <c r="T200" s="77">
        <f t="shared" si="108"/>
        <v>0</v>
      </c>
      <c r="U200" s="75"/>
      <c r="V200" s="76"/>
      <c r="W200" s="135"/>
      <c r="X200" s="135"/>
      <c r="Y200" s="77">
        <f t="shared" si="109"/>
        <v>0</v>
      </c>
      <c r="Z200" s="78"/>
      <c r="AA200" s="142"/>
      <c r="AB200" s="142"/>
      <c r="AC200" s="77">
        <f t="shared" si="110"/>
        <v>0</v>
      </c>
      <c r="AD200" s="78"/>
      <c r="AE200" s="143"/>
      <c r="AF200" s="143"/>
      <c r="AG200" s="79">
        <f t="shared" si="111"/>
        <v>0</v>
      </c>
      <c r="AH200" s="75"/>
      <c r="AI200" s="76"/>
      <c r="AJ200" s="135"/>
      <c r="AK200" s="135"/>
      <c r="AL200" s="77">
        <f t="shared" si="112"/>
        <v>0</v>
      </c>
      <c r="AM200" s="76"/>
      <c r="AN200" s="142"/>
      <c r="AO200" s="142"/>
      <c r="AP200" s="77">
        <f t="shared" si="113"/>
        <v>0</v>
      </c>
      <c r="AQ200" s="78"/>
      <c r="AR200" s="142"/>
      <c r="AS200" s="142"/>
      <c r="AT200" s="79">
        <f t="shared" si="114"/>
        <v>0</v>
      </c>
      <c r="AU200" s="75"/>
      <c r="AV200" s="76"/>
      <c r="AW200" s="135"/>
      <c r="AX200" s="135"/>
      <c r="AY200" s="77">
        <f t="shared" si="115"/>
        <v>0</v>
      </c>
      <c r="AZ200" s="76"/>
      <c r="BA200" s="142"/>
      <c r="BB200" s="142"/>
      <c r="BC200" s="77">
        <f t="shared" si="116"/>
        <v>0</v>
      </c>
      <c r="BD200" s="78"/>
      <c r="BE200" s="142"/>
      <c r="BF200" s="142"/>
      <c r="BG200" s="79">
        <f t="shared" si="117"/>
        <v>0</v>
      </c>
      <c r="BH200" s="75"/>
      <c r="BI200" s="76"/>
      <c r="BJ200" s="135"/>
      <c r="BK200" s="135"/>
      <c r="BL200" s="77">
        <f t="shared" si="118"/>
        <v>0</v>
      </c>
      <c r="BM200" s="78"/>
      <c r="BN200" s="142"/>
      <c r="BO200" s="142"/>
      <c r="BP200" s="77">
        <f t="shared" si="119"/>
        <v>0</v>
      </c>
      <c r="BQ200" s="78"/>
      <c r="BR200" s="142"/>
      <c r="BS200" s="142"/>
      <c r="BT200" s="79">
        <f t="shared" si="120"/>
        <v>0</v>
      </c>
      <c r="BU200" s="75"/>
      <c r="BV200" s="76"/>
      <c r="BW200" s="135"/>
      <c r="BX200" s="135"/>
      <c r="BY200" s="77">
        <f t="shared" si="121"/>
        <v>0</v>
      </c>
      <c r="BZ200" s="78"/>
      <c r="CA200" s="142"/>
      <c r="CB200" s="142"/>
      <c r="CC200" s="77">
        <f t="shared" si="122"/>
        <v>0</v>
      </c>
      <c r="CD200" s="78"/>
      <c r="CE200" s="142"/>
      <c r="CF200" s="142"/>
      <c r="CG200" s="79">
        <f t="shared" si="123"/>
        <v>0</v>
      </c>
      <c r="CH200" s="75"/>
      <c r="CI200" s="76"/>
      <c r="CJ200" s="135"/>
      <c r="CK200" s="135"/>
      <c r="CL200" s="77">
        <f t="shared" si="124"/>
        <v>0</v>
      </c>
      <c r="CM200" s="78"/>
      <c r="CN200" s="142"/>
      <c r="CO200" s="142"/>
      <c r="CP200" s="77">
        <f t="shared" si="125"/>
        <v>0</v>
      </c>
      <c r="CQ200" s="78"/>
      <c r="CR200" s="142"/>
      <c r="CS200" s="142"/>
      <c r="CT200" s="79">
        <f t="shared" si="126"/>
        <v>0</v>
      </c>
      <c r="CU200" s="80">
        <f t="shared" si="104"/>
        <v>0</v>
      </c>
      <c r="CV200" s="81">
        <f t="shared" si="105"/>
        <v>0</v>
      </c>
      <c r="CW200" s="144"/>
      <c r="CX200" s="145">
        <f>IF(ISERROR(VLOOKUP($A200,FIJOS!$B$11:$O$590,14,FALSE)),0,VLOOKUP($A200,FIJOS!$B$11:$O$590,14,FALSE))</f>
        <v>0</v>
      </c>
      <c r="CY200" s="145">
        <f>IF(ISERROR(VLOOKUP(A200,FIJOS!$B$10:$P$590,15,FALSE)),0,VLOOKUP(A200,FIJOS!$B$10:$P$590,15,FALSE))</f>
        <v>0</v>
      </c>
      <c r="CZ200" s="156"/>
      <c r="DA200" s="146"/>
      <c r="DB200" s="147"/>
      <c r="DC200" s="147"/>
      <c r="DD200" s="147"/>
      <c r="DE200" s="147"/>
      <c r="DF200" s="145">
        <f>IF(ISERROR(VLOOKUP($A200,FIJOS!$B$11:$N$590,13,FALSE)),0,VLOOKUP($A200,FIJOS!$B$11:$N$590,13,FALSE))</f>
        <v>0</v>
      </c>
      <c r="DG200" s="145">
        <f>IF(ISERROR(VLOOKUP($A200,FIJOS!$B$11:$P$447,12,FALSE)),0,VLOOKUP($A200,FIJOS!$B$11:$P$447,12,FALSE))</f>
        <v>0</v>
      </c>
      <c r="DH200" s="82">
        <f t="shared" si="127"/>
        <v>0</v>
      </c>
      <c r="DI200" s="83" t="b">
        <f>IF($C200=1,(VLOOKUP($A200,FIJOS!$B$11:$P$545,10,FALSE)/7)*(7-$CU200),IF(AND($C200=2,CV200&lt;$DJ$1),(VLOOKUP($D200,HORAS!$B$4:$C$42,2,FALSE)*24)*$CV200,IF(AND($C200=2,CV200&gt;=$DJ$1),VLOOKUP($D200,HORAS!$B$4:$D$42,3,FALSE),IF(AND($C200=3,$CV200&gt;=$DJ$1),VLOOKUP($A200,FIJOS!$B$11:$P$545,10,FALSE),IF(AND($C200=3,$CV200&lt;$DJ$1),((VLOOKUP($A200,FIJOS!$B$11:$P$545,10,FALSE)/48)*24)*$CV200,IF(AND($C200=4,$CV200&gt;=(42/24)),VLOOKUP($D200,HORAS!$B$4:$D$42,3,FALSE),IF(AND($C200=5,$CV200&gt;=(36/24)),VLOOKUP($D200,HORAS!$B$4:$D$42,3,FALSE))))))))</f>
        <v>0</v>
      </c>
      <c r="DJ200" s="145">
        <f>IF(OR($C200=2),VLOOKUP($D200,HORAS!$B$4:$E$42,4,FALSE)*$EC200,IF(ISERROR(VLOOKUP($A200,FIJOS!$B$11:$P$108,9,FALSE)),0,VLOOKUP($A200,FIJOS!$B$11:$P$231,9,FALSE)*$EC200))</f>
        <v>0</v>
      </c>
      <c r="DK200" s="145">
        <f>IF(OR($C200=2),VLOOKUP($D200,HORAS!$B$4:$F$42,5,FALSE)*$EE200,IF(ISERROR(VLOOKUP($A200,FIJOS!$B$11:$P$108,9,FALSE)),0,VLOOKUP($A200,FIJOS!$B$11:$P$231,9,FALSE)*$EE200))</f>
        <v>0</v>
      </c>
      <c r="DL200" s="144"/>
      <c r="DM200" s="145">
        <f>IF(ISERROR(VLOOKUP($A200,FIJOS!$B$11:$L$646,11,FALSE)),0,VLOOKUP($A200,FIJOS!$B$11:$L$646,11,FALSE))</f>
        <v>0</v>
      </c>
      <c r="DN200" s="148" t="e">
        <f>IF(OR($C200=1,$C200=3),0,IF((VLOOKUP(CAPTURA!D200,HORAS!$B$4:$K$42,10,FALSE)/4)*COUNTIF($H200:$CT200,3)&gt;100,100,(VLOOKUP(CAPTURA!D200,HORAS!$B$4:$K$42,10,FALSE)/4)*COUNTIF($H200:$CT200,3)))</f>
        <v>#N/A</v>
      </c>
      <c r="DO200" s="144" t="e">
        <f>IF(OR($C200=1,$C200=3),0,IF($C200=5,VLOOKUP(D200,HORAS!$B$4:$G$42,6,FALSE),IF(AND($C200=4,$CV200&gt;=(42/24)),VLOOKUP(D200,HORAS!$B$4:$G$42,6,FALSE),IF(COUNTIF($H200:$CL200,"F")&gt;0,0,IF(CV200&gt;$DJ$1,$DJ$1*(VLOOKUP(D200,HORAS!$B$4:$G$42,6,FALSE)/$DJ$1),CV200*(VLOOKUP(D200,HORAS!$B$4:$G$42,6,FALSE)/$DJ$1))))))</f>
        <v>#N/A</v>
      </c>
      <c r="DP200" s="156"/>
      <c r="DQ200" s="89"/>
      <c r="DR200" s="148"/>
      <c r="DS200" s="83" t="e">
        <f t="shared" ref="DS200:DS263" si="130">SUM(DI200:DR200)</f>
        <v>#N/A</v>
      </c>
      <c r="DT200" s="84"/>
      <c r="DU200" s="149" t="e">
        <f t="shared" ref="DU200:DU263" si="131">IF(DW200-DV200=0,0,DW200-DV200)</f>
        <v>#N/A</v>
      </c>
      <c r="DV200" s="149" t="e">
        <f t="shared" ref="DV200:DV263" si="132">IF(DS200&gt;DY200,DY200,DS200)-(CZ200+CY200)</f>
        <v>#N/A</v>
      </c>
      <c r="DW200" s="144" t="e">
        <f t="shared" ref="DW200:DW263" si="133">DS200-DH200</f>
        <v>#N/A</v>
      </c>
      <c r="DX200" s="134"/>
      <c r="DY200" s="29"/>
      <c r="DZ200" s="150"/>
      <c r="EA200" s="134"/>
      <c r="EB200" s="137">
        <f t="shared" ref="EB200:EB263" si="134">IF(CV200&lt;=$DJ$1,0,IF((CV200-$DJ$1)&gt;$EB$1,$EB$1,CV200-$DJ$1))</f>
        <v>0</v>
      </c>
      <c r="EC200" s="138">
        <f t="shared" si="128"/>
        <v>0</v>
      </c>
      <c r="ED200" s="137">
        <f t="shared" ref="ED200:ED263" si="135">IF(CV200&lt;=($EB$1+$DJ$1),0,CV200-($EB$1+$DJ$1))</f>
        <v>0</v>
      </c>
      <c r="EE200" s="132">
        <f t="shared" si="129"/>
        <v>0</v>
      </c>
      <c r="EF200" s="29"/>
      <c r="EG200" s="134"/>
      <c r="EH200" s="134"/>
      <c r="EI200" s="134"/>
      <c r="EK200" s="29"/>
    </row>
    <row r="201" spans="1:141" ht="15" customHeight="1" x14ac:dyDescent="0.25">
      <c r="A201" s="140"/>
      <c r="B201" s="5"/>
      <c r="C201" s="72"/>
      <c r="D201" s="73"/>
      <c r="E201" s="73"/>
      <c r="F201" s="141"/>
      <c r="G201" s="74"/>
      <c r="H201" s="75"/>
      <c r="I201" s="76"/>
      <c r="J201" s="135"/>
      <c r="K201" s="135"/>
      <c r="L201" s="77">
        <f t="shared" si="106"/>
        <v>0</v>
      </c>
      <c r="M201" s="78"/>
      <c r="N201" s="142"/>
      <c r="O201" s="142"/>
      <c r="P201" s="77">
        <f t="shared" si="107"/>
        <v>0</v>
      </c>
      <c r="Q201" s="78"/>
      <c r="R201" s="143"/>
      <c r="S201" s="143"/>
      <c r="T201" s="77">
        <f t="shared" si="108"/>
        <v>0</v>
      </c>
      <c r="U201" s="136"/>
      <c r="V201" s="76"/>
      <c r="W201" s="135"/>
      <c r="X201" s="86"/>
      <c r="Y201" s="77">
        <f t="shared" si="109"/>
        <v>0</v>
      </c>
      <c r="Z201" s="78"/>
      <c r="AA201" s="142"/>
      <c r="AB201" s="142"/>
      <c r="AC201" s="77">
        <f t="shared" si="110"/>
        <v>0</v>
      </c>
      <c r="AD201" s="78"/>
      <c r="AE201" s="143"/>
      <c r="AF201" s="143"/>
      <c r="AG201" s="79">
        <f t="shared" si="111"/>
        <v>0</v>
      </c>
      <c r="AH201" s="75"/>
      <c r="AI201" s="76"/>
      <c r="AJ201" s="135"/>
      <c r="AK201" s="135"/>
      <c r="AL201" s="77">
        <f t="shared" si="112"/>
        <v>0</v>
      </c>
      <c r="AM201" s="76"/>
      <c r="AN201" s="142"/>
      <c r="AO201" s="142"/>
      <c r="AP201" s="77">
        <f t="shared" si="113"/>
        <v>0</v>
      </c>
      <c r="AQ201" s="78"/>
      <c r="AR201" s="142"/>
      <c r="AS201" s="142"/>
      <c r="AT201" s="79">
        <f t="shared" si="114"/>
        <v>0</v>
      </c>
      <c r="AU201" s="75"/>
      <c r="AV201" s="76"/>
      <c r="AW201" s="135"/>
      <c r="AX201" s="135"/>
      <c r="AY201" s="77">
        <f t="shared" si="115"/>
        <v>0</v>
      </c>
      <c r="AZ201" s="76"/>
      <c r="BA201" s="142"/>
      <c r="BB201" s="142"/>
      <c r="BC201" s="77">
        <f t="shared" si="116"/>
        <v>0</v>
      </c>
      <c r="BD201" s="78"/>
      <c r="BE201" s="142"/>
      <c r="BF201" s="142"/>
      <c r="BG201" s="79">
        <f t="shared" si="117"/>
        <v>0</v>
      </c>
      <c r="BH201" s="75"/>
      <c r="BI201" s="76"/>
      <c r="BJ201" s="135"/>
      <c r="BK201" s="135"/>
      <c r="BL201" s="77">
        <f t="shared" si="118"/>
        <v>0</v>
      </c>
      <c r="BM201" s="78"/>
      <c r="BN201" s="142"/>
      <c r="BO201" s="142"/>
      <c r="BP201" s="77">
        <f t="shared" si="119"/>
        <v>0</v>
      </c>
      <c r="BQ201" s="78"/>
      <c r="BR201" s="142"/>
      <c r="BS201" s="142"/>
      <c r="BT201" s="79">
        <f t="shared" si="120"/>
        <v>0</v>
      </c>
      <c r="BU201" s="75"/>
      <c r="BV201" s="76"/>
      <c r="BW201" s="135"/>
      <c r="BX201" s="135"/>
      <c r="BY201" s="77">
        <f t="shared" si="121"/>
        <v>0</v>
      </c>
      <c r="BZ201" s="78"/>
      <c r="CA201" s="142"/>
      <c r="CB201" s="142"/>
      <c r="CC201" s="77">
        <f t="shared" si="122"/>
        <v>0</v>
      </c>
      <c r="CD201" s="78"/>
      <c r="CE201" s="142"/>
      <c r="CF201" s="142"/>
      <c r="CG201" s="79">
        <f t="shared" si="123"/>
        <v>0</v>
      </c>
      <c r="CH201" s="75"/>
      <c r="CI201" s="76"/>
      <c r="CJ201" s="135"/>
      <c r="CK201" s="135"/>
      <c r="CL201" s="77">
        <f t="shared" si="124"/>
        <v>0</v>
      </c>
      <c r="CM201" s="78"/>
      <c r="CN201" s="142"/>
      <c r="CO201" s="142"/>
      <c r="CP201" s="77">
        <f t="shared" si="125"/>
        <v>0</v>
      </c>
      <c r="CQ201" s="78"/>
      <c r="CR201" s="142"/>
      <c r="CS201" s="142"/>
      <c r="CT201" s="79">
        <f t="shared" si="126"/>
        <v>0</v>
      </c>
      <c r="CU201" s="80">
        <f t="shared" si="104"/>
        <v>0</v>
      </c>
      <c r="CV201" s="81">
        <f t="shared" si="105"/>
        <v>0</v>
      </c>
      <c r="CW201" s="144"/>
      <c r="CX201" s="145">
        <f>IF(ISERROR(VLOOKUP($A201,FIJOS!$B$11:$O$590,14,FALSE)),0,VLOOKUP($A201,FIJOS!$B$11:$O$590,14,FALSE))</f>
        <v>0</v>
      </c>
      <c r="CY201" s="145">
        <f>IF(ISERROR(VLOOKUP(A201,FIJOS!$B$10:$P$590,15,FALSE)),0,VLOOKUP(A201,FIJOS!$B$10:$P$590,15,FALSE))</f>
        <v>0</v>
      </c>
      <c r="CZ201" s="156"/>
      <c r="DA201" s="146"/>
      <c r="DB201" s="147"/>
      <c r="DC201" s="147"/>
      <c r="DD201" s="147"/>
      <c r="DE201" s="147"/>
      <c r="DF201" s="145">
        <f>IF(ISERROR(VLOOKUP($A201,FIJOS!$B$11:$N$590,13,FALSE)),0,VLOOKUP($A201,FIJOS!$B$11:$N$590,13,FALSE))</f>
        <v>0</v>
      </c>
      <c r="DG201" s="145">
        <f>IF(ISERROR(VLOOKUP($A201,FIJOS!$B$11:$P$447,12,FALSE)),0,VLOOKUP($A201,FIJOS!$B$11:$P$447,12,FALSE))</f>
        <v>0</v>
      </c>
      <c r="DH201" s="82">
        <f t="shared" si="127"/>
        <v>0</v>
      </c>
      <c r="DI201" s="83" t="b">
        <f>IF($C201=1,(VLOOKUP($A201,FIJOS!$B$11:$P$545,10,FALSE)/7)*(7-$CU201),IF(AND($C201=2,CV201&lt;$DJ$1),(VLOOKUP($D201,HORAS!$B$4:$C$42,2,FALSE)*24)*$CV201,IF(AND($C201=2,CV201&gt;=$DJ$1),VLOOKUP($D201,HORAS!$B$4:$D$42,3,FALSE),IF(AND($C201=3,$CV201&gt;=$DJ$1),VLOOKUP($A201,FIJOS!$B$11:$P$545,10,FALSE),IF(AND($C201=3,$CV201&lt;$DJ$1),((VLOOKUP($A201,FIJOS!$B$11:$P$545,10,FALSE)/48)*24)*$CV201,IF(AND($C201=4,$CV201&gt;=(42/24)),VLOOKUP($D201,HORAS!$B$4:$D$42,3,FALSE),IF(AND($C201=5,$CV201&gt;=(36/24)),VLOOKUP($D201,HORAS!$B$4:$D$42,3,FALSE))))))))</f>
        <v>0</v>
      </c>
      <c r="DJ201" s="145">
        <f>IF(OR($C201=2),VLOOKUP($D201,HORAS!$B$4:$E$42,4,FALSE)*$EC201,IF(ISERROR(VLOOKUP($A201,FIJOS!$B$11:$P$108,9,FALSE)),0,VLOOKUP($A201,FIJOS!$B$11:$P$231,9,FALSE)*$EC201))</f>
        <v>0</v>
      </c>
      <c r="DK201" s="145">
        <f>IF(OR($C201=2),VLOOKUP($D201,HORAS!$B$4:$F$42,5,FALSE)*$EE201,IF(ISERROR(VLOOKUP($A201,FIJOS!$B$11:$P$108,9,FALSE)),0,VLOOKUP($A201,FIJOS!$B$11:$P$231,9,FALSE)*$EE201))</f>
        <v>0</v>
      </c>
      <c r="DL201" s="144"/>
      <c r="DM201" s="145">
        <f>IF(ISERROR(VLOOKUP($A201,FIJOS!$B$11:$L$646,11,FALSE)),0,VLOOKUP($A201,FIJOS!$B$11:$L$646,11,FALSE))</f>
        <v>0</v>
      </c>
      <c r="DN201" s="148" t="e">
        <f>IF(OR($C201=1,$C201=3),0,IF((VLOOKUP(CAPTURA!D201,HORAS!$B$4:$K$42,10,FALSE)/4)*COUNTIF($H201:$CT201,3)&gt;100,100,(VLOOKUP(CAPTURA!D201,HORAS!$B$4:$K$42,10,FALSE)/4)*COUNTIF($H201:$CT201,3)))</f>
        <v>#N/A</v>
      </c>
      <c r="DO201" s="144" t="e">
        <f>IF(OR($C201=1,$C201=3),0,IF($C201=5,VLOOKUP(D201,HORAS!$B$4:$G$42,6,FALSE),IF(AND($C201=4,$CV201&gt;=(42/24)),VLOOKUP(D201,HORAS!$B$4:$G$42,6,FALSE),IF(COUNTIF($H201:$CL201,"F")&gt;0,0,IF(CV201&gt;$DJ$1,$DJ$1*(VLOOKUP(D201,HORAS!$B$4:$G$42,6,FALSE)/$DJ$1),CV201*(VLOOKUP(D201,HORAS!$B$4:$G$42,6,FALSE)/$DJ$1))))))</f>
        <v>#N/A</v>
      </c>
      <c r="DP201" s="156"/>
      <c r="DQ201" s="89"/>
      <c r="DR201" s="148"/>
      <c r="DS201" s="83" t="e">
        <f t="shared" si="130"/>
        <v>#N/A</v>
      </c>
      <c r="DT201" s="84"/>
      <c r="DU201" s="149" t="e">
        <f t="shared" si="131"/>
        <v>#N/A</v>
      </c>
      <c r="DV201" s="149" t="e">
        <f t="shared" si="132"/>
        <v>#N/A</v>
      </c>
      <c r="DW201" s="144" t="e">
        <f t="shared" si="133"/>
        <v>#N/A</v>
      </c>
      <c r="DX201" s="134"/>
      <c r="DY201" s="29"/>
      <c r="DZ201" s="150"/>
      <c r="EA201" s="134"/>
      <c r="EB201" s="137">
        <f t="shared" si="134"/>
        <v>0</v>
      </c>
      <c r="EC201" s="138">
        <f t="shared" si="128"/>
        <v>0</v>
      </c>
      <c r="ED201" s="137">
        <f t="shared" si="135"/>
        <v>0</v>
      </c>
      <c r="EE201" s="132">
        <f t="shared" si="129"/>
        <v>0</v>
      </c>
      <c r="EF201" s="29"/>
      <c r="EG201" s="134"/>
      <c r="EH201" s="134"/>
      <c r="EI201" s="134"/>
      <c r="EK201" s="29"/>
    </row>
    <row r="202" spans="1:141" ht="15" customHeight="1" x14ac:dyDescent="0.25">
      <c r="A202" s="140"/>
      <c r="B202" s="151"/>
      <c r="C202" s="72"/>
      <c r="D202" s="73"/>
      <c r="E202" s="73"/>
      <c r="F202" s="141"/>
      <c r="G202" s="74"/>
      <c r="H202" s="75"/>
      <c r="I202" s="76"/>
      <c r="J202" s="135"/>
      <c r="K202" s="135"/>
      <c r="L202" s="77">
        <f t="shared" si="106"/>
        <v>0</v>
      </c>
      <c r="M202" s="78"/>
      <c r="N202" s="142"/>
      <c r="O202" s="142"/>
      <c r="P202" s="77">
        <f t="shared" si="107"/>
        <v>0</v>
      </c>
      <c r="Q202" s="78"/>
      <c r="R202" s="143"/>
      <c r="S202" s="143"/>
      <c r="T202" s="77">
        <f t="shared" si="108"/>
        <v>0</v>
      </c>
      <c r="U202" s="75"/>
      <c r="V202" s="76"/>
      <c r="W202" s="135"/>
      <c r="X202" s="135"/>
      <c r="Y202" s="77">
        <f t="shared" si="109"/>
        <v>0</v>
      </c>
      <c r="Z202" s="78"/>
      <c r="AA202" s="142"/>
      <c r="AB202" s="142"/>
      <c r="AC202" s="77">
        <f t="shared" si="110"/>
        <v>0</v>
      </c>
      <c r="AD202" s="78"/>
      <c r="AE202" s="143"/>
      <c r="AF202" s="143"/>
      <c r="AG202" s="79">
        <f t="shared" si="111"/>
        <v>0</v>
      </c>
      <c r="AH202" s="75"/>
      <c r="AI202" s="76"/>
      <c r="AJ202" s="135"/>
      <c r="AK202" s="135"/>
      <c r="AL202" s="77">
        <f t="shared" si="112"/>
        <v>0</v>
      </c>
      <c r="AM202" s="76"/>
      <c r="AN202" s="142"/>
      <c r="AO202" s="142"/>
      <c r="AP202" s="77">
        <f t="shared" si="113"/>
        <v>0</v>
      </c>
      <c r="AQ202" s="78"/>
      <c r="AR202" s="142"/>
      <c r="AS202" s="142"/>
      <c r="AT202" s="79">
        <f t="shared" si="114"/>
        <v>0</v>
      </c>
      <c r="AU202" s="75"/>
      <c r="AV202" s="76"/>
      <c r="AW202" s="135"/>
      <c r="AX202" s="135"/>
      <c r="AY202" s="77">
        <f t="shared" si="115"/>
        <v>0</v>
      </c>
      <c r="AZ202" s="76"/>
      <c r="BA202" s="142"/>
      <c r="BB202" s="142"/>
      <c r="BC202" s="77">
        <f t="shared" si="116"/>
        <v>0</v>
      </c>
      <c r="BD202" s="78"/>
      <c r="BE202" s="142"/>
      <c r="BF202" s="142"/>
      <c r="BG202" s="79">
        <f t="shared" si="117"/>
        <v>0</v>
      </c>
      <c r="BH202" s="75"/>
      <c r="BI202" s="76"/>
      <c r="BJ202" s="135"/>
      <c r="BK202" s="135"/>
      <c r="BL202" s="77">
        <f t="shared" si="118"/>
        <v>0</v>
      </c>
      <c r="BM202" s="76"/>
      <c r="BN202" s="142"/>
      <c r="BO202" s="142"/>
      <c r="BP202" s="77">
        <f t="shared" si="119"/>
        <v>0</v>
      </c>
      <c r="BQ202" s="76"/>
      <c r="BR202" s="142"/>
      <c r="BS202" s="142"/>
      <c r="BT202" s="79">
        <f t="shared" si="120"/>
        <v>0</v>
      </c>
      <c r="BU202" s="75"/>
      <c r="BV202" s="76"/>
      <c r="BW202" s="135"/>
      <c r="BX202" s="135"/>
      <c r="BY202" s="77">
        <f t="shared" si="121"/>
        <v>0</v>
      </c>
      <c r="BZ202" s="76"/>
      <c r="CA202" s="142"/>
      <c r="CB202" s="142"/>
      <c r="CC202" s="77">
        <f t="shared" si="122"/>
        <v>0</v>
      </c>
      <c r="CD202" s="78"/>
      <c r="CE202" s="142"/>
      <c r="CF202" s="142"/>
      <c r="CG202" s="79">
        <f t="shared" si="123"/>
        <v>0</v>
      </c>
      <c r="CH202" s="75"/>
      <c r="CI202" s="76"/>
      <c r="CJ202" s="135"/>
      <c r="CK202" s="135"/>
      <c r="CL202" s="77">
        <f t="shared" si="124"/>
        <v>0</v>
      </c>
      <c r="CM202" s="78"/>
      <c r="CN202" s="142"/>
      <c r="CO202" s="142"/>
      <c r="CP202" s="77">
        <f t="shared" si="125"/>
        <v>0</v>
      </c>
      <c r="CQ202" s="78"/>
      <c r="CR202" s="142"/>
      <c r="CS202" s="142"/>
      <c r="CT202" s="79">
        <f t="shared" si="126"/>
        <v>0</v>
      </c>
      <c r="CU202" s="80">
        <f t="shared" si="104"/>
        <v>0</v>
      </c>
      <c r="CV202" s="81">
        <f t="shared" si="105"/>
        <v>0</v>
      </c>
      <c r="CW202" s="144"/>
      <c r="CX202" s="145">
        <f>IF(ISERROR(VLOOKUP($A202,FIJOS!$B$11:$O$590,14,FALSE)),0,VLOOKUP($A202,FIJOS!$B$11:$O$590,14,FALSE))</f>
        <v>0</v>
      </c>
      <c r="CY202" s="145">
        <f>IF(ISERROR(VLOOKUP(A202,FIJOS!$B$10:$P$590,15,FALSE)),0,VLOOKUP(A202,FIJOS!$B$10:$P$590,15,FALSE))</f>
        <v>0</v>
      </c>
      <c r="CZ202" s="156"/>
      <c r="DA202" s="146"/>
      <c r="DB202" s="147"/>
      <c r="DC202" s="147"/>
      <c r="DD202" s="147"/>
      <c r="DE202" s="147"/>
      <c r="DF202" s="145">
        <f>IF(ISERROR(VLOOKUP($A202,FIJOS!$B$11:$N$590,13,FALSE)),0,VLOOKUP($A202,FIJOS!$B$11:$N$590,13,FALSE))</f>
        <v>0</v>
      </c>
      <c r="DG202" s="145">
        <f>IF(ISERROR(VLOOKUP($A202,FIJOS!$B$11:$P$447,12,FALSE)),0,VLOOKUP($A202,FIJOS!$B$11:$P$447,12,FALSE))</f>
        <v>0</v>
      </c>
      <c r="DH202" s="82">
        <f t="shared" si="127"/>
        <v>0</v>
      </c>
      <c r="DI202" s="83" t="b">
        <f>IF($C202=1,(VLOOKUP($A202,FIJOS!$B$11:$P$545,10,FALSE)/7)*(7-$CU202),IF(AND($C202=2,CV202&lt;$DJ$1),(VLOOKUP($D202,HORAS!$B$4:$C$42,2,FALSE)*24)*$CV202,IF(AND($C202=2,CV202&gt;=$DJ$1),VLOOKUP($D202,HORAS!$B$4:$D$42,3,FALSE),IF(AND($C202=3,$CV202&gt;=$DJ$1),VLOOKUP($A202,FIJOS!$B$11:$P$545,10,FALSE),IF(AND($C202=3,$CV202&lt;$DJ$1),((VLOOKUP($A202,FIJOS!$B$11:$P$545,10,FALSE)/48)*24)*$CV202,IF(AND($C202=4,$CV202&gt;=(42/24)),VLOOKUP($D202,HORAS!$B$4:$D$42,3,FALSE),IF(AND($C202=5,$CV202&gt;=(36/24)),VLOOKUP($D202,HORAS!$B$4:$D$42,3,FALSE))))))))</f>
        <v>0</v>
      </c>
      <c r="DJ202" s="145">
        <f>IF(OR($C202=2),VLOOKUP($D202,HORAS!$B$4:$E$42,4,FALSE)*$EC202,IF(ISERROR(VLOOKUP($A202,FIJOS!$B$11:$P$108,9,FALSE)),0,VLOOKUP($A202,FIJOS!$B$11:$P$231,9,FALSE)*$EC202))</f>
        <v>0</v>
      </c>
      <c r="DK202" s="145">
        <f>IF(OR($C202=2),VLOOKUP($D202,HORAS!$B$4:$F$42,5,FALSE)*$EE202,IF(ISERROR(VLOOKUP($A202,FIJOS!$B$11:$P$108,9,FALSE)),0,VLOOKUP($A202,FIJOS!$B$11:$P$231,9,FALSE)*$EE202))</f>
        <v>0</v>
      </c>
      <c r="DL202" s="144"/>
      <c r="DM202" s="145">
        <f>IF(ISERROR(VLOOKUP($A202,FIJOS!$B$11:$L$646,11,FALSE)),0,VLOOKUP($A202,FIJOS!$B$11:$L$646,11,FALSE))</f>
        <v>0</v>
      </c>
      <c r="DN202" s="148" t="e">
        <f>IF(OR($C202=1,$C202=3),0,IF((VLOOKUP(CAPTURA!D202,HORAS!$B$4:$K$42,10,FALSE)/4)*COUNTIF($H202:$CT202,3)&gt;100,100,(VLOOKUP(CAPTURA!D202,HORAS!$B$4:$K$42,10,FALSE)/4)*COUNTIF($H202:$CT202,3)))</f>
        <v>#N/A</v>
      </c>
      <c r="DO202" s="144" t="e">
        <f>IF(OR($C202=1,$C202=3),0,IF($C202=5,VLOOKUP(D202,HORAS!$B$4:$G$42,6,FALSE),IF(AND($C202=4,$CV202&gt;=(42/24)),VLOOKUP(D202,HORAS!$B$4:$G$42,6,FALSE),IF(COUNTIF($H202:$CL202,"F")&gt;0,0,IF(CV202&gt;$DJ$1,$DJ$1*(VLOOKUP(D202,HORAS!$B$4:$G$42,6,FALSE)/$DJ$1),CV202*(VLOOKUP(D202,HORAS!$B$4:$G$42,6,FALSE)/$DJ$1))))))</f>
        <v>#N/A</v>
      </c>
      <c r="DP202" s="156"/>
      <c r="DQ202" s="89"/>
      <c r="DR202" s="148"/>
      <c r="DS202" s="83" t="e">
        <f t="shared" si="130"/>
        <v>#N/A</v>
      </c>
      <c r="DT202" s="84"/>
      <c r="DU202" s="149" t="e">
        <f t="shared" si="131"/>
        <v>#N/A</v>
      </c>
      <c r="DV202" s="149" t="e">
        <f t="shared" si="132"/>
        <v>#N/A</v>
      </c>
      <c r="DW202" s="144" t="e">
        <f t="shared" si="133"/>
        <v>#N/A</v>
      </c>
      <c r="DX202"/>
      <c r="DY202" s="29"/>
      <c r="DZ202" s="150"/>
      <c r="EA202" s="134"/>
      <c r="EB202" s="137">
        <f t="shared" si="134"/>
        <v>0</v>
      </c>
      <c r="EC202" s="138">
        <f t="shared" si="128"/>
        <v>0</v>
      </c>
      <c r="ED202" s="137">
        <f t="shared" si="135"/>
        <v>0</v>
      </c>
      <c r="EE202" s="132">
        <f t="shared" si="129"/>
        <v>0</v>
      </c>
      <c r="EF202" s="29"/>
      <c r="EG202" s="134"/>
      <c r="EH202" s="134"/>
      <c r="EI202" s="134"/>
      <c r="EK202" s="29"/>
    </row>
    <row r="203" spans="1:141" ht="15" customHeight="1" x14ac:dyDescent="0.25">
      <c r="A203" s="140"/>
      <c r="B203" s="151"/>
      <c r="C203" s="72"/>
      <c r="D203" s="73"/>
      <c r="E203" s="73"/>
      <c r="F203" s="141"/>
      <c r="G203" s="74"/>
      <c r="H203" s="75"/>
      <c r="I203" s="76"/>
      <c r="J203" s="135"/>
      <c r="K203" s="135"/>
      <c r="L203" s="77">
        <f t="shared" si="106"/>
        <v>0</v>
      </c>
      <c r="M203" s="78"/>
      <c r="N203" s="142"/>
      <c r="O203" s="142"/>
      <c r="P203" s="77">
        <f t="shared" si="107"/>
        <v>0</v>
      </c>
      <c r="Q203" s="78"/>
      <c r="R203" s="143"/>
      <c r="S203" s="143"/>
      <c r="T203" s="77">
        <f t="shared" si="108"/>
        <v>0</v>
      </c>
      <c r="U203" s="75"/>
      <c r="V203" s="76"/>
      <c r="W203" s="135"/>
      <c r="X203" s="135"/>
      <c r="Y203" s="77">
        <f t="shared" si="109"/>
        <v>0</v>
      </c>
      <c r="Z203" s="78"/>
      <c r="AA203" s="142"/>
      <c r="AB203" s="142"/>
      <c r="AC203" s="77">
        <f t="shared" si="110"/>
        <v>0</v>
      </c>
      <c r="AD203" s="78"/>
      <c r="AE203" s="143"/>
      <c r="AF203" s="143"/>
      <c r="AG203" s="79">
        <f t="shared" si="111"/>
        <v>0</v>
      </c>
      <c r="AH203" s="75"/>
      <c r="AI203" s="76"/>
      <c r="AJ203" s="135"/>
      <c r="AK203" s="135"/>
      <c r="AL203" s="77">
        <f t="shared" si="112"/>
        <v>0</v>
      </c>
      <c r="AM203" s="76"/>
      <c r="AN203" s="142"/>
      <c r="AO203" s="142"/>
      <c r="AP203" s="77">
        <f t="shared" si="113"/>
        <v>0</v>
      </c>
      <c r="AQ203" s="78"/>
      <c r="AR203" s="142"/>
      <c r="AS203" s="142"/>
      <c r="AT203" s="79">
        <f t="shared" si="114"/>
        <v>0</v>
      </c>
      <c r="AU203" s="75"/>
      <c r="AV203" s="76"/>
      <c r="AW203" s="135"/>
      <c r="AX203" s="135"/>
      <c r="AY203" s="77">
        <f t="shared" si="115"/>
        <v>0</v>
      </c>
      <c r="AZ203" s="76"/>
      <c r="BA203" s="142"/>
      <c r="BB203" s="142"/>
      <c r="BC203" s="77">
        <f t="shared" si="116"/>
        <v>0</v>
      </c>
      <c r="BD203" s="78"/>
      <c r="BE203" s="142"/>
      <c r="BF203" s="142"/>
      <c r="BG203" s="79">
        <f t="shared" si="117"/>
        <v>0</v>
      </c>
      <c r="BH203" s="75"/>
      <c r="BI203" s="76"/>
      <c r="BJ203" s="135"/>
      <c r="BK203" s="135"/>
      <c r="BL203" s="77">
        <f t="shared" si="118"/>
        <v>0</v>
      </c>
      <c r="BM203" s="78"/>
      <c r="BN203" s="159"/>
      <c r="BO203" s="142"/>
      <c r="BP203" s="77">
        <f t="shared" si="119"/>
        <v>0</v>
      </c>
      <c r="BQ203" s="78"/>
      <c r="BR203" s="142"/>
      <c r="BS203" s="142"/>
      <c r="BT203" s="79">
        <f t="shared" si="120"/>
        <v>0</v>
      </c>
      <c r="BU203" s="75"/>
      <c r="BV203" s="76"/>
      <c r="BW203" s="135"/>
      <c r="BX203" s="135"/>
      <c r="BY203" s="77">
        <f t="shared" si="121"/>
        <v>0</v>
      </c>
      <c r="BZ203" s="78"/>
      <c r="CA203" s="142"/>
      <c r="CB203" s="142"/>
      <c r="CC203" s="77">
        <f t="shared" si="122"/>
        <v>0</v>
      </c>
      <c r="CD203" s="78"/>
      <c r="CE203" s="142"/>
      <c r="CF203" s="142"/>
      <c r="CG203" s="79">
        <f t="shared" si="123"/>
        <v>0</v>
      </c>
      <c r="CH203" s="75"/>
      <c r="CI203" s="76"/>
      <c r="CJ203" s="135"/>
      <c r="CK203" s="135"/>
      <c r="CL203" s="77">
        <f t="shared" si="124"/>
        <v>0</v>
      </c>
      <c r="CM203" s="78"/>
      <c r="CN203" s="142"/>
      <c r="CO203" s="142"/>
      <c r="CP203" s="77">
        <f t="shared" si="125"/>
        <v>0</v>
      </c>
      <c r="CQ203" s="78"/>
      <c r="CR203" s="142"/>
      <c r="CS203" s="142"/>
      <c r="CT203" s="79">
        <f t="shared" si="126"/>
        <v>0</v>
      </c>
      <c r="CU203" s="80">
        <f t="shared" si="104"/>
        <v>0</v>
      </c>
      <c r="CV203" s="81">
        <f t="shared" si="105"/>
        <v>0</v>
      </c>
      <c r="CW203" s="144"/>
      <c r="CX203" s="145">
        <f>IF(ISERROR(VLOOKUP($A203,FIJOS!$B$11:$O$590,14,FALSE)),0,VLOOKUP($A203,FIJOS!$B$11:$O$590,14,FALSE))</f>
        <v>0</v>
      </c>
      <c r="CY203" s="145">
        <f>IF(ISERROR(VLOOKUP(A203,FIJOS!$B$10:$P$590,15,FALSE)),0,VLOOKUP(A203,FIJOS!$B$10:$P$590,15,FALSE))</f>
        <v>0</v>
      </c>
      <c r="CZ203" s="156"/>
      <c r="DA203" s="146"/>
      <c r="DB203" s="147"/>
      <c r="DC203" s="147"/>
      <c r="DD203" s="147"/>
      <c r="DE203" s="147"/>
      <c r="DF203" s="145">
        <f>IF(ISERROR(VLOOKUP($A203,FIJOS!$B$11:$N$590,13,FALSE)),0,VLOOKUP($A203,FIJOS!$B$11:$N$590,13,FALSE))</f>
        <v>0</v>
      </c>
      <c r="DG203" s="145">
        <f>IF(ISERROR(VLOOKUP($A203,FIJOS!$B$11:$P$447,12,FALSE)),0,VLOOKUP($A203,FIJOS!$B$11:$P$447,12,FALSE))</f>
        <v>0</v>
      </c>
      <c r="DH203" s="82">
        <f t="shared" si="127"/>
        <v>0</v>
      </c>
      <c r="DI203" s="83" t="b">
        <f>IF($C203=1,(VLOOKUP($A203,FIJOS!$B$11:$P$545,10,FALSE)/7)*(7-$CU203),IF(AND($C203=2,CV203&lt;$DJ$1),(VLOOKUP($D203,HORAS!$B$4:$C$42,2,FALSE)*24)*$CV203,IF(AND($C203=2,CV203&gt;=$DJ$1),VLOOKUP($D203,HORAS!$B$4:$D$42,3,FALSE),IF(AND($C203=3,$CV203&gt;=$DJ$1),VLOOKUP($A203,FIJOS!$B$11:$P$545,10,FALSE),IF(AND($C203=3,$CV203&lt;$DJ$1),((VLOOKUP($A203,FIJOS!$B$11:$P$545,10,FALSE)/48)*24)*$CV203,IF(AND($C203=4,$CV203&gt;=(42/24)),VLOOKUP($D203,HORAS!$B$4:$D$42,3,FALSE),IF(AND($C203=5,$CV203&gt;=(36/24)),VLOOKUP($D203,HORAS!$B$4:$D$42,3,FALSE))))))))</f>
        <v>0</v>
      </c>
      <c r="DJ203" s="145">
        <f>IF(OR($C203=2),VLOOKUP($D203,HORAS!$B$4:$E$42,4,FALSE)*$EC203,IF(ISERROR(VLOOKUP($A203,FIJOS!$B$11:$P$108,9,FALSE)),0,VLOOKUP($A203,FIJOS!$B$11:$P$231,9,FALSE)*$EC203))</f>
        <v>0</v>
      </c>
      <c r="DK203" s="145">
        <f>IF(OR($C203=2),VLOOKUP($D203,HORAS!$B$4:$F$42,5,FALSE)*$EE203,IF(ISERROR(VLOOKUP($A203,FIJOS!$B$11:$P$108,9,FALSE)),0,VLOOKUP($A203,FIJOS!$B$11:$P$231,9,FALSE)*$EE203))</f>
        <v>0</v>
      </c>
      <c r="DL203" s="144"/>
      <c r="DM203" s="145">
        <f>IF(ISERROR(VLOOKUP($A203,FIJOS!$B$11:$L$646,11,FALSE)),0,VLOOKUP($A203,FIJOS!$B$11:$L$646,11,FALSE))</f>
        <v>0</v>
      </c>
      <c r="DN203" s="148" t="e">
        <f>IF(OR($C203=1,$C203=3),0,IF((VLOOKUP(CAPTURA!D203,HORAS!$B$4:$K$42,10,FALSE)/4)*COUNTIF($H203:$CT203,3)&gt;100,100,(VLOOKUP(CAPTURA!D203,HORAS!$B$4:$K$42,10,FALSE)/4)*COUNTIF($H203:$CT203,3)))</f>
        <v>#N/A</v>
      </c>
      <c r="DO203" s="144" t="e">
        <f>IF(OR($C203=1,$C203=3),0,IF($C203=5,VLOOKUP(D203,HORAS!$B$4:$G$42,6,FALSE),IF(AND($C203=4,$CV203&gt;=(42/24)),VLOOKUP(D203,HORAS!$B$4:$G$42,6,FALSE),IF(COUNTIF($H203:$CL203,"F")&gt;0,0,IF(CV203&gt;$DJ$1,$DJ$1*(VLOOKUP(D203,HORAS!$B$4:$G$42,6,FALSE)/$DJ$1),CV203*(VLOOKUP(D203,HORAS!$B$4:$G$42,6,FALSE)/$DJ$1))))))</f>
        <v>#N/A</v>
      </c>
      <c r="DP203" s="156"/>
      <c r="DQ203" s="89"/>
      <c r="DR203" s="148"/>
      <c r="DS203" s="83" t="e">
        <f t="shared" si="130"/>
        <v>#N/A</v>
      </c>
      <c r="DT203" s="84"/>
      <c r="DU203" s="149" t="e">
        <f t="shared" si="131"/>
        <v>#N/A</v>
      </c>
      <c r="DV203" s="149" t="e">
        <f t="shared" si="132"/>
        <v>#N/A</v>
      </c>
      <c r="DW203" s="144" t="e">
        <f t="shared" si="133"/>
        <v>#N/A</v>
      </c>
      <c r="DX203" s="134"/>
      <c r="DY203" s="29"/>
      <c r="DZ203" s="150"/>
      <c r="EA203" s="134"/>
      <c r="EB203" s="137">
        <f t="shared" si="134"/>
        <v>0</v>
      </c>
      <c r="EC203" s="138">
        <f t="shared" si="128"/>
        <v>0</v>
      </c>
      <c r="ED203" s="137">
        <f t="shared" si="135"/>
        <v>0</v>
      </c>
      <c r="EE203" s="132">
        <f t="shared" si="129"/>
        <v>0</v>
      </c>
      <c r="EF203" s="29"/>
      <c r="EG203" s="134"/>
      <c r="EH203" s="134"/>
      <c r="EI203" s="134"/>
      <c r="EK203" s="29"/>
    </row>
    <row r="204" spans="1:141" ht="15" customHeight="1" x14ac:dyDescent="0.25">
      <c r="A204" s="140"/>
      <c r="B204" s="5"/>
      <c r="C204" s="72"/>
      <c r="D204" s="73"/>
      <c r="E204" s="73"/>
      <c r="F204" s="141"/>
      <c r="G204" s="74"/>
      <c r="H204" s="75"/>
      <c r="I204" s="76"/>
      <c r="J204" s="135"/>
      <c r="K204" s="135"/>
      <c r="L204" s="77">
        <f t="shared" si="106"/>
        <v>0</v>
      </c>
      <c r="M204" s="78"/>
      <c r="N204" s="142"/>
      <c r="O204" s="159"/>
      <c r="P204" s="77">
        <f t="shared" si="107"/>
        <v>0</v>
      </c>
      <c r="Q204" s="78"/>
      <c r="R204" s="143"/>
      <c r="S204" s="143"/>
      <c r="T204" s="77">
        <f t="shared" si="108"/>
        <v>0</v>
      </c>
      <c r="U204" s="75"/>
      <c r="V204" s="76"/>
      <c r="W204" s="135"/>
      <c r="X204" s="135"/>
      <c r="Y204" s="77">
        <f t="shared" si="109"/>
        <v>0</v>
      </c>
      <c r="Z204" s="78"/>
      <c r="AA204" s="142"/>
      <c r="AB204" s="142"/>
      <c r="AC204" s="77">
        <f t="shared" si="110"/>
        <v>0</v>
      </c>
      <c r="AD204" s="78"/>
      <c r="AE204" s="143"/>
      <c r="AF204" s="143"/>
      <c r="AG204" s="79">
        <f t="shared" si="111"/>
        <v>0</v>
      </c>
      <c r="AH204" s="75"/>
      <c r="AI204" s="76"/>
      <c r="AJ204" s="135"/>
      <c r="AK204" s="135"/>
      <c r="AL204" s="77">
        <f t="shared" si="112"/>
        <v>0</v>
      </c>
      <c r="AM204" s="76"/>
      <c r="AN204" s="142"/>
      <c r="AO204" s="142"/>
      <c r="AP204" s="77">
        <f t="shared" si="113"/>
        <v>0</v>
      </c>
      <c r="AQ204" s="78"/>
      <c r="AR204" s="142"/>
      <c r="AS204" s="142"/>
      <c r="AT204" s="79">
        <f t="shared" si="114"/>
        <v>0</v>
      </c>
      <c r="AU204" s="75"/>
      <c r="AV204" s="76"/>
      <c r="AW204" s="135"/>
      <c r="AX204" s="135"/>
      <c r="AY204" s="77">
        <f t="shared" si="115"/>
        <v>0</v>
      </c>
      <c r="AZ204" s="76"/>
      <c r="BA204" s="142"/>
      <c r="BB204" s="142"/>
      <c r="BC204" s="77">
        <f t="shared" si="116"/>
        <v>0</v>
      </c>
      <c r="BD204" s="78"/>
      <c r="BE204" s="142"/>
      <c r="BF204" s="142"/>
      <c r="BG204" s="79">
        <f t="shared" si="117"/>
        <v>0</v>
      </c>
      <c r="BH204" s="75"/>
      <c r="BI204" s="76"/>
      <c r="BJ204" s="135"/>
      <c r="BK204" s="157"/>
      <c r="BL204" s="77">
        <f t="shared" si="118"/>
        <v>0</v>
      </c>
      <c r="BM204" s="78"/>
      <c r="BN204" s="142"/>
      <c r="BO204" s="142"/>
      <c r="BP204" s="77">
        <f t="shared" si="119"/>
        <v>0</v>
      </c>
      <c r="BQ204" s="78"/>
      <c r="BR204" s="142"/>
      <c r="BS204" s="142"/>
      <c r="BT204" s="79">
        <f t="shared" si="120"/>
        <v>0</v>
      </c>
      <c r="BU204" s="75"/>
      <c r="BV204" s="76"/>
      <c r="BW204" s="135"/>
      <c r="BX204" s="135"/>
      <c r="BY204" s="77">
        <f t="shared" si="121"/>
        <v>0</v>
      </c>
      <c r="BZ204" s="78"/>
      <c r="CA204" s="142"/>
      <c r="CB204" s="142"/>
      <c r="CC204" s="77">
        <f t="shared" si="122"/>
        <v>0</v>
      </c>
      <c r="CD204" s="78"/>
      <c r="CE204" s="142"/>
      <c r="CF204" s="142"/>
      <c r="CG204" s="79">
        <f t="shared" si="123"/>
        <v>0</v>
      </c>
      <c r="CH204" s="75"/>
      <c r="CI204" s="76"/>
      <c r="CJ204" s="135"/>
      <c r="CK204" s="135"/>
      <c r="CL204" s="77">
        <f t="shared" si="124"/>
        <v>0</v>
      </c>
      <c r="CM204" s="78"/>
      <c r="CN204" s="142"/>
      <c r="CO204" s="142"/>
      <c r="CP204" s="77">
        <f t="shared" si="125"/>
        <v>0</v>
      </c>
      <c r="CQ204" s="78"/>
      <c r="CR204" s="142"/>
      <c r="CS204" s="142"/>
      <c r="CT204" s="79">
        <f t="shared" si="126"/>
        <v>0</v>
      </c>
      <c r="CU204" s="80">
        <f t="shared" si="104"/>
        <v>0</v>
      </c>
      <c r="CV204" s="81">
        <f t="shared" si="105"/>
        <v>0</v>
      </c>
      <c r="CW204" s="144"/>
      <c r="CX204" s="145">
        <f>IF(ISERROR(VLOOKUP($A204,FIJOS!$B$11:$O$590,14,FALSE)),0,VLOOKUP($A204,FIJOS!$B$11:$O$590,14,FALSE))</f>
        <v>0</v>
      </c>
      <c r="CY204" s="145">
        <f>IF(ISERROR(VLOOKUP(A204,FIJOS!$B$10:$P$590,15,FALSE)),0,VLOOKUP(A204,FIJOS!$B$10:$P$590,15,FALSE))</f>
        <v>0</v>
      </c>
      <c r="CZ204" s="156"/>
      <c r="DA204" s="146"/>
      <c r="DB204" s="147"/>
      <c r="DC204" s="147"/>
      <c r="DD204" s="147"/>
      <c r="DE204" s="147"/>
      <c r="DF204" s="145">
        <f>IF(ISERROR(VLOOKUP($A204,FIJOS!$B$11:$N$590,13,FALSE)),0,VLOOKUP($A204,FIJOS!$B$11:$N$590,13,FALSE))</f>
        <v>0</v>
      </c>
      <c r="DG204" s="145">
        <f>IF(ISERROR(VLOOKUP($A204,FIJOS!$B$11:$P$447,12,FALSE)),0,VLOOKUP($A204,FIJOS!$B$11:$P$447,12,FALSE))</f>
        <v>0</v>
      </c>
      <c r="DH204" s="82">
        <f t="shared" si="127"/>
        <v>0</v>
      </c>
      <c r="DI204" s="83" t="b">
        <f>IF($C204=1,(VLOOKUP($A204,FIJOS!$B$11:$P$545,10,FALSE)/7)*(7-$CU204),IF(AND($C204=2,CV204&lt;$DJ$1),(VLOOKUP($D204,HORAS!$B$4:$C$42,2,FALSE)*24)*$CV204,IF(AND($C204=2,CV204&gt;=$DJ$1),VLOOKUP($D204,HORAS!$B$4:$D$42,3,FALSE),IF(AND($C204=3,$CV204&gt;=$DJ$1),VLOOKUP($A204,FIJOS!$B$11:$P$545,10,FALSE),IF(AND($C204=3,$CV204&lt;$DJ$1),((VLOOKUP($A204,FIJOS!$B$11:$P$545,10,FALSE)/48)*24)*$CV204,IF(AND($C204=4,$CV204&gt;=(42/24)),VLOOKUP($D204,HORAS!$B$4:$D$42,3,FALSE),IF(AND($C204=5,$CV204&gt;=(36/24)),VLOOKUP($D204,HORAS!$B$4:$D$42,3,FALSE))))))))</f>
        <v>0</v>
      </c>
      <c r="DJ204" s="145">
        <f>IF(OR($C204=2),VLOOKUP($D204,HORAS!$B$4:$E$42,4,FALSE)*$EC204,IF(ISERROR(VLOOKUP($A204,FIJOS!$B$11:$P$108,9,FALSE)),0,VLOOKUP($A204,FIJOS!$B$11:$P$231,9,FALSE)*$EC204))</f>
        <v>0</v>
      </c>
      <c r="DK204" s="145">
        <f>IF(OR($C204=2),VLOOKUP($D204,HORAS!$B$4:$F$42,5,FALSE)*$EE204,IF(ISERROR(VLOOKUP($A204,FIJOS!$B$11:$P$108,9,FALSE)),0,VLOOKUP($A204,FIJOS!$B$11:$P$231,9,FALSE)*$EE204))</f>
        <v>0</v>
      </c>
      <c r="DL204" s="144"/>
      <c r="DM204" s="145">
        <f>IF(ISERROR(VLOOKUP($A204,FIJOS!$B$11:$L$646,11,FALSE)),0,VLOOKUP($A204,FIJOS!$B$11:$L$646,11,FALSE))</f>
        <v>0</v>
      </c>
      <c r="DN204" s="148" t="e">
        <f>IF(OR($C204=1,$C204=3),0,IF((VLOOKUP(CAPTURA!D204,HORAS!$B$4:$K$42,10,FALSE)/4)*COUNTIF($H204:$CT204,3)&gt;100,100,(VLOOKUP(CAPTURA!D204,HORAS!$B$4:$K$42,10,FALSE)/4)*COUNTIF($H204:$CT204,3)))</f>
        <v>#N/A</v>
      </c>
      <c r="DO204" s="144" t="e">
        <f>IF(OR($C204=1,$C204=3),0,IF($C204=5,VLOOKUP(D204,HORAS!$B$4:$G$42,6,FALSE),IF(AND($C204=4,$CV204&gt;=(42/24)),VLOOKUP(D204,HORAS!$B$4:$G$42,6,FALSE),IF(COUNTIF($H204:$CL204,"F")&gt;0,0,IF(CV204&gt;$DJ$1,$DJ$1*(VLOOKUP(D204,HORAS!$B$4:$G$42,6,FALSE)/$DJ$1),CV204*(VLOOKUP(D204,HORAS!$B$4:$G$42,6,FALSE)/$DJ$1))))))</f>
        <v>#N/A</v>
      </c>
      <c r="DP204" s="156"/>
      <c r="DQ204" s="89"/>
      <c r="DR204" s="148"/>
      <c r="DS204" s="83" t="e">
        <f t="shared" si="130"/>
        <v>#N/A</v>
      </c>
      <c r="DT204" s="84"/>
      <c r="DU204" s="149" t="e">
        <f t="shared" si="131"/>
        <v>#N/A</v>
      </c>
      <c r="DV204" s="149" t="e">
        <f t="shared" si="132"/>
        <v>#N/A</v>
      </c>
      <c r="DW204" s="144" t="e">
        <f t="shared" si="133"/>
        <v>#N/A</v>
      </c>
      <c r="DX204" s="134"/>
      <c r="DY204" s="29"/>
      <c r="DZ204" s="150"/>
      <c r="EA204" s="134"/>
      <c r="EB204" s="137">
        <f t="shared" si="134"/>
        <v>0</v>
      </c>
      <c r="EC204" s="138">
        <f t="shared" si="128"/>
        <v>0</v>
      </c>
      <c r="ED204" s="137">
        <f t="shared" si="135"/>
        <v>0</v>
      </c>
      <c r="EE204" s="132">
        <f t="shared" si="129"/>
        <v>0</v>
      </c>
      <c r="EF204" s="29"/>
      <c r="EG204" s="134"/>
      <c r="EH204" s="134"/>
      <c r="EI204" s="134"/>
      <c r="EK204" s="29"/>
    </row>
    <row r="205" spans="1:141" ht="15" customHeight="1" x14ac:dyDescent="0.25">
      <c r="A205" s="140"/>
      <c r="B205" s="151"/>
      <c r="C205" s="72"/>
      <c r="D205" s="73"/>
      <c r="E205" s="73"/>
      <c r="F205" s="141"/>
      <c r="G205" s="74"/>
      <c r="H205" s="75"/>
      <c r="I205" s="76"/>
      <c r="J205" s="135"/>
      <c r="K205" s="135"/>
      <c r="L205" s="77">
        <f t="shared" si="106"/>
        <v>0</v>
      </c>
      <c r="M205" s="78"/>
      <c r="N205" s="142"/>
      <c r="O205" s="142"/>
      <c r="P205" s="77">
        <f t="shared" si="107"/>
        <v>0</v>
      </c>
      <c r="Q205" s="78"/>
      <c r="R205" s="143"/>
      <c r="S205" s="143"/>
      <c r="T205" s="77">
        <f t="shared" si="108"/>
        <v>0</v>
      </c>
      <c r="U205" s="75"/>
      <c r="V205" s="76"/>
      <c r="W205" s="135"/>
      <c r="X205" s="135"/>
      <c r="Y205" s="77">
        <f t="shared" si="109"/>
        <v>0</v>
      </c>
      <c r="Z205" s="78"/>
      <c r="AA205" s="142"/>
      <c r="AB205" s="142"/>
      <c r="AC205" s="77">
        <f t="shared" si="110"/>
        <v>0</v>
      </c>
      <c r="AD205" s="78"/>
      <c r="AE205" s="143"/>
      <c r="AF205" s="143"/>
      <c r="AG205" s="79">
        <f t="shared" si="111"/>
        <v>0</v>
      </c>
      <c r="AH205" s="75"/>
      <c r="AI205" s="76"/>
      <c r="AJ205" s="135"/>
      <c r="AK205" s="135"/>
      <c r="AL205" s="77">
        <f t="shared" si="112"/>
        <v>0</v>
      </c>
      <c r="AM205" s="76"/>
      <c r="AN205" s="142"/>
      <c r="AO205" s="142"/>
      <c r="AP205" s="77">
        <f t="shared" si="113"/>
        <v>0</v>
      </c>
      <c r="AQ205" s="78"/>
      <c r="AR205" s="142"/>
      <c r="AS205" s="142"/>
      <c r="AT205" s="79">
        <f t="shared" si="114"/>
        <v>0</v>
      </c>
      <c r="AU205" s="75"/>
      <c r="AV205" s="76"/>
      <c r="AW205" s="135"/>
      <c r="AX205" s="135"/>
      <c r="AY205" s="77">
        <f t="shared" si="115"/>
        <v>0</v>
      </c>
      <c r="AZ205" s="76"/>
      <c r="BA205" s="142"/>
      <c r="BB205" s="142"/>
      <c r="BC205" s="77">
        <f t="shared" si="116"/>
        <v>0</v>
      </c>
      <c r="BD205" s="78"/>
      <c r="BE205" s="142"/>
      <c r="BF205" s="142"/>
      <c r="BG205" s="79">
        <f t="shared" si="117"/>
        <v>0</v>
      </c>
      <c r="BH205" s="75"/>
      <c r="BI205" s="76"/>
      <c r="BJ205" s="135"/>
      <c r="BK205" s="135"/>
      <c r="BL205" s="77">
        <f t="shared" si="118"/>
        <v>0</v>
      </c>
      <c r="BM205" s="78"/>
      <c r="BN205" s="142"/>
      <c r="BO205" s="142"/>
      <c r="BP205" s="77">
        <f t="shared" si="119"/>
        <v>0</v>
      </c>
      <c r="BQ205" s="78"/>
      <c r="BR205" s="142"/>
      <c r="BS205" s="142"/>
      <c r="BT205" s="79">
        <f t="shared" si="120"/>
        <v>0</v>
      </c>
      <c r="BU205" s="75"/>
      <c r="BV205" s="76"/>
      <c r="BW205" s="135"/>
      <c r="BX205" s="135"/>
      <c r="BY205" s="77">
        <f t="shared" si="121"/>
        <v>0</v>
      </c>
      <c r="BZ205" s="78"/>
      <c r="CA205" s="142"/>
      <c r="CB205" s="142"/>
      <c r="CC205" s="77">
        <f t="shared" si="122"/>
        <v>0</v>
      </c>
      <c r="CD205" s="78"/>
      <c r="CE205" s="142"/>
      <c r="CF205" s="142"/>
      <c r="CG205" s="79">
        <f t="shared" si="123"/>
        <v>0</v>
      </c>
      <c r="CH205" s="75"/>
      <c r="CI205" s="76"/>
      <c r="CJ205" s="135"/>
      <c r="CK205" s="135"/>
      <c r="CL205" s="77">
        <f t="shared" si="124"/>
        <v>0</v>
      </c>
      <c r="CM205" s="78"/>
      <c r="CN205" s="142"/>
      <c r="CO205" s="142"/>
      <c r="CP205" s="77">
        <f t="shared" si="125"/>
        <v>0</v>
      </c>
      <c r="CQ205" s="78"/>
      <c r="CR205" s="142"/>
      <c r="CS205" s="142"/>
      <c r="CT205" s="79">
        <f t="shared" si="126"/>
        <v>0</v>
      </c>
      <c r="CU205" s="80">
        <f t="shared" si="104"/>
        <v>0</v>
      </c>
      <c r="CV205" s="81">
        <f t="shared" si="105"/>
        <v>0</v>
      </c>
      <c r="CW205" s="144"/>
      <c r="CX205" s="145">
        <f>IF(ISERROR(VLOOKUP($A205,FIJOS!$B$11:$O$590,14,FALSE)),0,VLOOKUP($A205,FIJOS!$B$11:$O$590,14,FALSE))</f>
        <v>0</v>
      </c>
      <c r="CY205" s="145">
        <f>IF(ISERROR(VLOOKUP(A205,FIJOS!$B$10:$P$590,15,FALSE)),0,VLOOKUP(A205,FIJOS!$B$10:$P$590,15,FALSE))</f>
        <v>0</v>
      </c>
      <c r="CZ205" s="156"/>
      <c r="DA205" s="146"/>
      <c r="DB205" s="147"/>
      <c r="DC205" s="147"/>
      <c r="DD205" s="147"/>
      <c r="DE205" s="147"/>
      <c r="DF205" s="145">
        <f>IF(ISERROR(VLOOKUP($A205,FIJOS!$B$11:$N$590,13,FALSE)),0,VLOOKUP($A205,FIJOS!$B$11:$N$590,13,FALSE))</f>
        <v>0</v>
      </c>
      <c r="DG205" s="145">
        <f>IF(ISERROR(VLOOKUP($A205,FIJOS!$B$11:$P$447,12,FALSE)),0,VLOOKUP($A205,FIJOS!$B$11:$P$447,12,FALSE))</f>
        <v>0</v>
      </c>
      <c r="DH205" s="82">
        <f t="shared" si="127"/>
        <v>0</v>
      </c>
      <c r="DI205" s="83" t="b">
        <f>IF($C205=1,(VLOOKUP($A205,FIJOS!$B$11:$P$545,10,FALSE)/7)*(7-$CU205),IF(AND($C205=2,CV205&lt;$DJ$1),(VLOOKUP($D205,HORAS!$B$4:$C$42,2,FALSE)*24)*$CV205,IF(AND($C205=2,CV205&gt;=$DJ$1),VLOOKUP($D205,HORAS!$B$4:$D$42,3,FALSE),IF(AND($C205=3,$CV205&gt;=$DJ$1),VLOOKUP($A205,FIJOS!$B$11:$P$545,10,FALSE),IF(AND($C205=3,$CV205&lt;$DJ$1),((VLOOKUP($A205,FIJOS!$B$11:$P$545,10,FALSE)/48)*24)*$CV205,IF(AND($C205=4,$CV205&gt;=(42/24)),VLOOKUP($D205,HORAS!$B$4:$D$42,3,FALSE),IF(AND($C205=5,$CV205&gt;=(36/24)),VLOOKUP($D205,HORAS!$B$4:$D$42,3,FALSE))))))))</f>
        <v>0</v>
      </c>
      <c r="DJ205" s="145">
        <f>IF(OR($C205=2),VLOOKUP($D205,HORAS!$B$4:$E$42,4,FALSE)*$EC205,IF(ISERROR(VLOOKUP($A205,FIJOS!$B$11:$P$108,9,FALSE)),0,VLOOKUP($A205,FIJOS!$B$11:$P$231,9,FALSE)*$EC205))</f>
        <v>0</v>
      </c>
      <c r="DK205" s="145">
        <f>IF(OR($C205=2),VLOOKUP($D205,HORAS!$B$4:$F$42,5,FALSE)*$EE205,IF(ISERROR(VLOOKUP($A205,FIJOS!$B$11:$P$108,9,FALSE)),0,VLOOKUP($A205,FIJOS!$B$11:$P$231,9,FALSE)*$EE205))</f>
        <v>0</v>
      </c>
      <c r="DL205" s="144"/>
      <c r="DM205" s="145">
        <f>IF(ISERROR(VLOOKUP($A205,FIJOS!$B$11:$L$646,11,FALSE)),0,VLOOKUP($A205,FIJOS!$B$11:$L$646,11,FALSE))</f>
        <v>0</v>
      </c>
      <c r="DN205" s="148" t="e">
        <f>IF(OR($C205=1,$C205=3),0,IF((VLOOKUP(CAPTURA!D205,HORAS!$B$4:$K$42,10,FALSE)/4)*COUNTIF($H205:$CT205,3)&gt;100,100,(VLOOKUP(CAPTURA!D205,HORAS!$B$4:$K$42,10,FALSE)/4)*COUNTIF($H205:$CT205,3)))</f>
        <v>#N/A</v>
      </c>
      <c r="DO205" s="144" t="e">
        <f>IF(OR($C205=1,$C205=3),0,IF($C205=5,VLOOKUP(D205,HORAS!$B$4:$G$42,6,FALSE),IF(AND($C205=4,$CV205&gt;=(42/24)),VLOOKUP(D205,HORAS!$B$4:$G$42,6,FALSE),IF(COUNTIF($H205:$CL205,"F")&gt;0,0,IF(CV205&gt;$DJ$1,$DJ$1*(VLOOKUP(D205,HORAS!$B$4:$G$42,6,FALSE)/$DJ$1),CV205*(VLOOKUP(D205,HORAS!$B$4:$G$42,6,FALSE)/$DJ$1))))))</f>
        <v>#N/A</v>
      </c>
      <c r="DP205" s="177"/>
      <c r="DQ205" s="148"/>
      <c r="DR205" s="148"/>
      <c r="DS205" s="83" t="e">
        <f t="shared" si="130"/>
        <v>#N/A</v>
      </c>
      <c r="DT205" s="84"/>
      <c r="DU205" s="149" t="e">
        <f t="shared" si="131"/>
        <v>#N/A</v>
      </c>
      <c r="DV205" s="149" t="e">
        <f t="shared" si="132"/>
        <v>#N/A</v>
      </c>
      <c r="DW205" s="144" t="e">
        <f t="shared" si="133"/>
        <v>#N/A</v>
      </c>
      <c r="DX205" s="134"/>
      <c r="DY205" s="29"/>
      <c r="DZ205" s="150"/>
      <c r="EA205" s="134"/>
      <c r="EB205" s="137">
        <f t="shared" si="134"/>
        <v>0</v>
      </c>
      <c r="EC205" s="138">
        <f t="shared" si="128"/>
        <v>0</v>
      </c>
      <c r="ED205" s="137">
        <f t="shared" si="135"/>
        <v>0</v>
      </c>
      <c r="EE205" s="132">
        <f t="shared" si="129"/>
        <v>0</v>
      </c>
      <c r="EF205" s="29"/>
      <c r="EG205" s="134"/>
      <c r="EH205" s="134"/>
      <c r="EI205" s="134"/>
      <c r="EK205" s="29"/>
    </row>
    <row r="206" spans="1:141" ht="15" customHeight="1" x14ac:dyDescent="0.25">
      <c r="A206" s="140"/>
      <c r="B206" s="151"/>
      <c r="C206" s="72"/>
      <c r="D206" s="73"/>
      <c r="E206" s="73"/>
      <c r="F206" s="141"/>
      <c r="G206" s="74"/>
      <c r="H206" s="75"/>
      <c r="I206" s="76"/>
      <c r="J206" s="135"/>
      <c r="K206" s="135"/>
      <c r="L206" s="77">
        <f t="shared" si="106"/>
        <v>0</v>
      </c>
      <c r="M206" s="78"/>
      <c r="N206" s="142"/>
      <c r="O206" s="142"/>
      <c r="P206" s="77">
        <f t="shared" si="107"/>
        <v>0</v>
      </c>
      <c r="Q206" s="78"/>
      <c r="R206" s="143"/>
      <c r="S206" s="143"/>
      <c r="T206" s="77">
        <f t="shared" si="108"/>
        <v>0</v>
      </c>
      <c r="U206" s="75"/>
      <c r="V206" s="76"/>
      <c r="W206" s="135"/>
      <c r="X206" s="135"/>
      <c r="Y206" s="77">
        <f t="shared" si="109"/>
        <v>0</v>
      </c>
      <c r="Z206" s="78"/>
      <c r="AA206" s="142"/>
      <c r="AB206" s="142"/>
      <c r="AC206" s="77">
        <f t="shared" si="110"/>
        <v>0</v>
      </c>
      <c r="AD206" s="78"/>
      <c r="AE206" s="143"/>
      <c r="AF206" s="143"/>
      <c r="AG206" s="79">
        <f t="shared" si="111"/>
        <v>0</v>
      </c>
      <c r="AH206" s="75"/>
      <c r="AI206" s="76"/>
      <c r="AJ206" s="135"/>
      <c r="AK206" s="135"/>
      <c r="AL206" s="77">
        <f t="shared" si="112"/>
        <v>0</v>
      </c>
      <c r="AM206" s="76"/>
      <c r="AN206" s="142"/>
      <c r="AO206" s="142"/>
      <c r="AP206" s="77">
        <f t="shared" si="113"/>
        <v>0</v>
      </c>
      <c r="AQ206" s="78"/>
      <c r="AR206" s="142"/>
      <c r="AS206" s="142"/>
      <c r="AT206" s="79">
        <f t="shared" si="114"/>
        <v>0</v>
      </c>
      <c r="AU206" s="75"/>
      <c r="AV206" s="76"/>
      <c r="AW206" s="135"/>
      <c r="AX206" s="135"/>
      <c r="AY206" s="77">
        <f t="shared" si="115"/>
        <v>0</v>
      </c>
      <c r="AZ206" s="76"/>
      <c r="BA206" s="142"/>
      <c r="BB206" s="142"/>
      <c r="BC206" s="77">
        <f t="shared" si="116"/>
        <v>0</v>
      </c>
      <c r="BD206" s="78"/>
      <c r="BE206" s="142"/>
      <c r="BF206" s="142"/>
      <c r="BG206" s="79">
        <f t="shared" si="117"/>
        <v>0</v>
      </c>
      <c r="BH206" s="75"/>
      <c r="BI206" s="76"/>
      <c r="BJ206" s="135"/>
      <c r="BK206" s="135"/>
      <c r="BL206" s="77">
        <f t="shared" si="118"/>
        <v>0</v>
      </c>
      <c r="BM206" s="78"/>
      <c r="BN206" s="142"/>
      <c r="BO206" s="142"/>
      <c r="BP206" s="77">
        <f t="shared" si="119"/>
        <v>0</v>
      </c>
      <c r="BQ206" s="78"/>
      <c r="BR206" s="142"/>
      <c r="BS206" s="142"/>
      <c r="BT206" s="79">
        <f t="shared" si="120"/>
        <v>0</v>
      </c>
      <c r="BU206" s="75"/>
      <c r="BV206" s="76"/>
      <c r="BW206" s="135"/>
      <c r="BX206" s="135"/>
      <c r="BY206" s="77">
        <f t="shared" si="121"/>
        <v>0</v>
      </c>
      <c r="BZ206" s="78"/>
      <c r="CA206" s="142"/>
      <c r="CB206" s="142"/>
      <c r="CC206" s="77">
        <f t="shared" si="122"/>
        <v>0</v>
      </c>
      <c r="CD206" s="78"/>
      <c r="CE206" s="142"/>
      <c r="CF206" s="142"/>
      <c r="CG206" s="79">
        <f t="shared" si="123"/>
        <v>0</v>
      </c>
      <c r="CH206" s="75"/>
      <c r="CI206" s="76"/>
      <c r="CJ206" s="135"/>
      <c r="CK206" s="135"/>
      <c r="CL206" s="77">
        <f t="shared" si="124"/>
        <v>0</v>
      </c>
      <c r="CM206" s="78"/>
      <c r="CN206" s="142"/>
      <c r="CO206" s="142"/>
      <c r="CP206" s="77">
        <f t="shared" si="125"/>
        <v>0</v>
      </c>
      <c r="CQ206" s="78"/>
      <c r="CR206" s="142"/>
      <c r="CS206" s="142"/>
      <c r="CT206" s="79">
        <f t="shared" si="126"/>
        <v>0</v>
      </c>
      <c r="CU206" s="80">
        <f t="shared" si="104"/>
        <v>0</v>
      </c>
      <c r="CV206" s="81">
        <f t="shared" si="105"/>
        <v>0</v>
      </c>
      <c r="CW206" s="144"/>
      <c r="CX206" s="145">
        <f>IF(ISERROR(VLOOKUP($A206,FIJOS!$B$11:$O$590,14,FALSE)),0,VLOOKUP($A206,FIJOS!$B$11:$O$590,14,FALSE))</f>
        <v>0</v>
      </c>
      <c r="CY206" s="145">
        <f>IF(ISERROR(VLOOKUP(A206,FIJOS!$B$10:$P$590,15,FALSE)),0,VLOOKUP(A206,FIJOS!$B$10:$P$590,15,FALSE))</f>
        <v>0</v>
      </c>
      <c r="CZ206" s="156"/>
      <c r="DA206" s="146"/>
      <c r="DB206" s="147"/>
      <c r="DC206" s="147"/>
      <c r="DD206" s="147"/>
      <c r="DE206" s="147"/>
      <c r="DF206" s="145">
        <f>IF(ISERROR(VLOOKUP($A206,FIJOS!$B$11:$N$590,13,FALSE)),0,VLOOKUP($A206,FIJOS!$B$11:$N$590,13,FALSE))</f>
        <v>0</v>
      </c>
      <c r="DG206" s="145">
        <f>IF(ISERROR(VLOOKUP($A206,FIJOS!$B$11:$P$447,12,FALSE)),0,VLOOKUP($A206,FIJOS!$B$11:$P$447,12,FALSE))</f>
        <v>0</v>
      </c>
      <c r="DH206" s="82">
        <f t="shared" si="127"/>
        <v>0</v>
      </c>
      <c r="DI206" s="83" t="b">
        <f>IF($C206=1,(VLOOKUP($A206,FIJOS!$B$11:$P$545,10,FALSE)/7)*(7-$CU206),IF(AND($C206=2,CV206&lt;$DJ$1),(VLOOKUP($D206,HORAS!$B$4:$C$42,2,FALSE)*24)*$CV206,IF(AND($C206=2,CV206&gt;=$DJ$1),VLOOKUP($D206,HORAS!$B$4:$D$42,3,FALSE),IF(AND($C206=3,$CV206&gt;=$DJ$1),VLOOKUP($A206,FIJOS!$B$11:$P$545,10,FALSE),IF(AND($C206=3,$CV206&lt;$DJ$1),((VLOOKUP($A206,FIJOS!$B$11:$P$545,10,FALSE)/48)*24)*$CV206,IF(AND($C206=4,$CV206&gt;=(42/24)),VLOOKUP($D206,HORAS!$B$4:$D$42,3,FALSE),IF(AND($C206=5,$CV206&gt;=(36/24)),VLOOKUP($D206,HORAS!$B$4:$D$42,3,FALSE))))))))</f>
        <v>0</v>
      </c>
      <c r="DJ206" s="145">
        <f>IF(OR($C206=2),VLOOKUP($D206,HORAS!$B$4:$E$42,4,FALSE)*$EC206,IF(ISERROR(VLOOKUP($A206,FIJOS!$B$11:$P$108,9,FALSE)),0,VLOOKUP($A206,FIJOS!$B$11:$P$231,9,FALSE)*$EC206))</f>
        <v>0</v>
      </c>
      <c r="DK206" s="145">
        <f>IF(OR($C206=2),VLOOKUP($D206,HORAS!$B$4:$F$42,5,FALSE)*$EE206,IF(ISERROR(VLOOKUP($A206,FIJOS!$B$11:$P$108,9,FALSE)),0,VLOOKUP($A206,FIJOS!$B$11:$P$231,9,FALSE)*$EE206))</f>
        <v>0</v>
      </c>
      <c r="DL206" s="144"/>
      <c r="DM206" s="145">
        <f>IF(ISERROR(VLOOKUP($A206,FIJOS!$B$11:$L$646,11,FALSE)),0,VLOOKUP($A206,FIJOS!$B$11:$L$646,11,FALSE))</f>
        <v>0</v>
      </c>
      <c r="DN206" s="148" t="e">
        <f>IF(OR($C206=1,$C206=3),0,IF((VLOOKUP(CAPTURA!D206,HORAS!$B$4:$K$42,10,FALSE)/4)*COUNTIF($H206:$CT206,3)&gt;100,100,(VLOOKUP(CAPTURA!D206,HORAS!$B$4:$K$42,10,FALSE)/4)*COUNTIF($H206:$CT206,3)))</f>
        <v>#N/A</v>
      </c>
      <c r="DO206" s="144" t="e">
        <f>IF(OR($C206=1,$C206=3),0,IF($C206=5,VLOOKUP(D206,HORAS!$B$4:$G$42,6,FALSE),IF(AND($C206=4,$CV206&gt;=(42/24)),VLOOKUP(D206,HORAS!$B$4:$G$42,6,FALSE),IF(COUNTIF($H206:$CL206,"F")&gt;0,0,IF(CV206&gt;$DJ$1,$DJ$1*(VLOOKUP(D206,HORAS!$B$4:$G$42,6,FALSE)/$DJ$1),CV206*(VLOOKUP(D206,HORAS!$B$4:$G$42,6,FALSE)/$DJ$1))))))</f>
        <v>#N/A</v>
      </c>
      <c r="DP206" s="156"/>
      <c r="DQ206" s="148"/>
      <c r="DR206" s="148"/>
      <c r="DS206" s="83" t="e">
        <f t="shared" si="130"/>
        <v>#N/A</v>
      </c>
      <c r="DT206" s="84"/>
      <c r="DU206" s="149" t="e">
        <f t="shared" si="131"/>
        <v>#N/A</v>
      </c>
      <c r="DV206" s="149" t="e">
        <f t="shared" si="132"/>
        <v>#N/A</v>
      </c>
      <c r="DW206" s="144" t="e">
        <f t="shared" si="133"/>
        <v>#N/A</v>
      </c>
      <c r="DX206" s="134"/>
      <c r="DY206" s="29"/>
      <c r="DZ206" s="150"/>
      <c r="EA206" s="134"/>
      <c r="EB206" s="137">
        <f t="shared" si="134"/>
        <v>0</v>
      </c>
      <c r="EC206" s="138">
        <f t="shared" si="128"/>
        <v>0</v>
      </c>
      <c r="ED206" s="137">
        <f t="shared" si="135"/>
        <v>0</v>
      </c>
      <c r="EE206" s="132">
        <f t="shared" si="129"/>
        <v>0</v>
      </c>
      <c r="EF206" s="29"/>
      <c r="EG206" s="134"/>
      <c r="EH206" s="134"/>
      <c r="EI206" s="134"/>
      <c r="EK206" s="29"/>
    </row>
    <row r="207" spans="1:141" ht="15" customHeight="1" x14ac:dyDescent="0.25">
      <c r="A207" s="140"/>
      <c r="B207" s="151"/>
      <c r="C207" s="72"/>
      <c r="D207" s="73"/>
      <c r="E207" s="73"/>
      <c r="F207" s="141"/>
      <c r="G207" s="74"/>
      <c r="H207" s="75"/>
      <c r="I207" s="76"/>
      <c r="J207" s="135"/>
      <c r="K207" s="135"/>
      <c r="L207" s="77">
        <f t="shared" si="106"/>
        <v>0</v>
      </c>
      <c r="M207" s="78"/>
      <c r="N207" s="142"/>
      <c r="O207" s="142"/>
      <c r="P207" s="77">
        <f t="shared" si="107"/>
        <v>0</v>
      </c>
      <c r="Q207" s="78"/>
      <c r="R207" s="143"/>
      <c r="S207" s="143"/>
      <c r="T207" s="77">
        <f t="shared" si="108"/>
        <v>0</v>
      </c>
      <c r="U207" s="75"/>
      <c r="V207" s="76"/>
      <c r="W207" s="135"/>
      <c r="X207" s="135"/>
      <c r="Y207" s="77">
        <f t="shared" si="109"/>
        <v>0</v>
      </c>
      <c r="Z207" s="78"/>
      <c r="AA207" s="142"/>
      <c r="AB207" s="142"/>
      <c r="AC207" s="77">
        <f t="shared" si="110"/>
        <v>0</v>
      </c>
      <c r="AD207" s="78"/>
      <c r="AE207" s="143"/>
      <c r="AF207" s="143"/>
      <c r="AG207" s="79">
        <f t="shared" si="111"/>
        <v>0</v>
      </c>
      <c r="AH207" s="75"/>
      <c r="AI207" s="76"/>
      <c r="AJ207" s="135"/>
      <c r="AK207" s="135"/>
      <c r="AL207" s="77">
        <f t="shared" si="112"/>
        <v>0</v>
      </c>
      <c r="AM207" s="76"/>
      <c r="AN207" s="142"/>
      <c r="AO207" s="142"/>
      <c r="AP207" s="77">
        <f t="shared" si="113"/>
        <v>0</v>
      </c>
      <c r="AQ207" s="78"/>
      <c r="AR207" s="142"/>
      <c r="AS207" s="142"/>
      <c r="AT207" s="79">
        <f t="shared" si="114"/>
        <v>0</v>
      </c>
      <c r="AU207" s="75"/>
      <c r="AV207" s="76"/>
      <c r="AW207" s="135"/>
      <c r="AX207" s="135"/>
      <c r="AY207" s="77">
        <f t="shared" si="115"/>
        <v>0</v>
      </c>
      <c r="AZ207" s="76"/>
      <c r="BA207" s="142"/>
      <c r="BB207" s="142"/>
      <c r="BC207" s="77">
        <f t="shared" si="116"/>
        <v>0</v>
      </c>
      <c r="BD207" s="78"/>
      <c r="BE207" s="85"/>
      <c r="BF207" s="142"/>
      <c r="BG207" s="79">
        <f t="shared" si="117"/>
        <v>0</v>
      </c>
      <c r="BH207" s="75"/>
      <c r="BI207" s="76"/>
      <c r="BJ207" s="135"/>
      <c r="BK207" s="135"/>
      <c r="BL207" s="77">
        <f t="shared" si="118"/>
        <v>0</v>
      </c>
      <c r="BM207" s="78"/>
      <c r="BN207" s="142"/>
      <c r="BO207" s="142"/>
      <c r="BP207" s="77">
        <f t="shared" si="119"/>
        <v>0</v>
      </c>
      <c r="BQ207" s="78"/>
      <c r="BR207" s="142"/>
      <c r="BS207" s="142"/>
      <c r="BT207" s="79">
        <f t="shared" si="120"/>
        <v>0</v>
      </c>
      <c r="BU207" s="75"/>
      <c r="BV207" s="76"/>
      <c r="BW207" s="135"/>
      <c r="BX207" s="135"/>
      <c r="BY207" s="77">
        <f t="shared" si="121"/>
        <v>0</v>
      </c>
      <c r="BZ207" s="78"/>
      <c r="CA207" s="142"/>
      <c r="CB207" s="142"/>
      <c r="CC207" s="77">
        <f t="shared" si="122"/>
        <v>0</v>
      </c>
      <c r="CD207" s="78"/>
      <c r="CE207" s="142"/>
      <c r="CF207" s="142"/>
      <c r="CG207" s="79">
        <f t="shared" si="123"/>
        <v>0</v>
      </c>
      <c r="CH207" s="75"/>
      <c r="CI207" s="76"/>
      <c r="CJ207" s="135"/>
      <c r="CK207" s="135"/>
      <c r="CL207" s="77">
        <f t="shared" si="124"/>
        <v>0</v>
      </c>
      <c r="CM207" s="78"/>
      <c r="CN207" s="142"/>
      <c r="CO207" s="142"/>
      <c r="CP207" s="77">
        <f t="shared" si="125"/>
        <v>0</v>
      </c>
      <c r="CQ207" s="78"/>
      <c r="CR207" s="142"/>
      <c r="CS207" s="142"/>
      <c r="CT207" s="79">
        <f t="shared" si="126"/>
        <v>0</v>
      </c>
      <c r="CU207" s="80">
        <f t="shared" si="104"/>
        <v>0</v>
      </c>
      <c r="CV207" s="81">
        <f t="shared" si="105"/>
        <v>0</v>
      </c>
      <c r="CW207" s="144"/>
      <c r="CX207" s="145">
        <f>IF(ISERROR(VLOOKUP($A207,FIJOS!$B$11:$O$590,14,FALSE)),0,VLOOKUP($A207,FIJOS!$B$11:$O$590,14,FALSE))</f>
        <v>0</v>
      </c>
      <c r="CY207" s="145">
        <f>IF(ISERROR(VLOOKUP(A207,FIJOS!$B$10:$P$590,15,FALSE)),0,VLOOKUP(A207,FIJOS!$B$10:$P$590,15,FALSE))</f>
        <v>0</v>
      </c>
      <c r="CZ207" s="156"/>
      <c r="DA207" s="146"/>
      <c r="DB207" s="147"/>
      <c r="DC207" s="147"/>
      <c r="DD207" s="147"/>
      <c r="DE207" s="147"/>
      <c r="DF207" s="145">
        <f>IF(ISERROR(VLOOKUP($A207,FIJOS!$B$11:$N$590,13,FALSE)),0,VLOOKUP($A207,FIJOS!$B$11:$N$590,13,FALSE))</f>
        <v>0</v>
      </c>
      <c r="DG207" s="145">
        <f>IF(ISERROR(VLOOKUP($A207,FIJOS!$B$11:$P$447,12,FALSE)),0,VLOOKUP($A207,FIJOS!$B$11:$P$447,12,FALSE))</f>
        <v>0</v>
      </c>
      <c r="DH207" s="82">
        <f t="shared" si="127"/>
        <v>0</v>
      </c>
      <c r="DI207" s="83" t="b">
        <f>IF($C207=1,(VLOOKUP($A207,FIJOS!$B$11:$P$545,10,FALSE)/7)*(7-$CU207),IF(AND($C207=2,CV207&lt;$DJ$1),(VLOOKUP($D207,HORAS!$B$4:$C$42,2,FALSE)*24)*$CV207,IF(AND($C207=2,CV207&gt;=$DJ$1),VLOOKUP($D207,HORAS!$B$4:$D$42,3,FALSE),IF(AND($C207=3,$CV207&gt;=$DJ$1),VLOOKUP($A207,FIJOS!$B$11:$P$545,10,FALSE),IF(AND($C207=3,$CV207&lt;$DJ$1),((VLOOKUP($A207,FIJOS!$B$11:$P$545,10,FALSE)/48)*24)*$CV207,IF(AND($C207=4,$CV207&gt;=(42/24)),VLOOKUP($D207,HORAS!$B$4:$D$42,3,FALSE),IF(AND($C207=5,$CV207&gt;=(36/24)),VLOOKUP($D207,HORAS!$B$4:$D$42,3,FALSE))))))))</f>
        <v>0</v>
      </c>
      <c r="DJ207" s="145">
        <f>IF(OR($C207=2),VLOOKUP($D207,HORAS!$B$4:$E$42,4,FALSE)*$EC207,IF(ISERROR(VLOOKUP($A207,FIJOS!$B$11:$P$108,9,FALSE)),0,VLOOKUP($A207,FIJOS!$B$11:$P$231,9,FALSE)*$EC207))</f>
        <v>0</v>
      </c>
      <c r="DK207" s="145">
        <f>IF(OR($C207=2),VLOOKUP($D207,HORAS!$B$4:$F$42,5,FALSE)*$EE207,IF(ISERROR(VLOOKUP($A207,FIJOS!$B$11:$P$108,9,FALSE)),0,VLOOKUP($A207,FIJOS!$B$11:$P$231,9,FALSE)*$EE207))</f>
        <v>0</v>
      </c>
      <c r="DL207" s="144"/>
      <c r="DM207" s="145">
        <f>IF(ISERROR(VLOOKUP($A207,FIJOS!$B$11:$L$646,11,FALSE)),0,VLOOKUP($A207,FIJOS!$B$11:$L$646,11,FALSE))</f>
        <v>0</v>
      </c>
      <c r="DN207" s="148" t="e">
        <f>IF(OR($C207=1,$C207=3),0,IF((VLOOKUP(CAPTURA!D207,HORAS!$B$4:$K$42,10,FALSE)/4)*COUNTIF($H207:$CT207,3)&gt;100,100,(VLOOKUP(CAPTURA!D207,HORAS!$B$4:$K$42,10,FALSE)/4)*COUNTIF($H207:$CT207,3)))</f>
        <v>#N/A</v>
      </c>
      <c r="DO207" s="144" t="e">
        <f>IF(OR($C207=1,$C207=3),0,IF($C207=5,VLOOKUP(D207,HORAS!$B$4:$G$42,6,FALSE),IF(AND($C207=4,$CV207&gt;=(42/24)),VLOOKUP(D207,HORAS!$B$4:$G$42,6,FALSE),IF(COUNTIF($H207:$CL207,"F")&gt;0,0,IF(CV207&gt;$DJ$1,$DJ$1*(VLOOKUP(D207,HORAS!$B$4:$G$42,6,FALSE)/$DJ$1),CV207*(VLOOKUP(D207,HORAS!$B$4:$G$42,6,FALSE)/$DJ$1))))))</f>
        <v>#N/A</v>
      </c>
      <c r="DP207" s="156"/>
      <c r="DQ207" s="148"/>
      <c r="DR207" s="148"/>
      <c r="DS207" s="83" t="e">
        <f t="shared" si="130"/>
        <v>#N/A</v>
      </c>
      <c r="DT207" s="84"/>
      <c r="DU207" s="149" t="e">
        <f t="shared" si="131"/>
        <v>#N/A</v>
      </c>
      <c r="DV207" s="149" t="e">
        <f t="shared" si="132"/>
        <v>#N/A</v>
      </c>
      <c r="DW207" s="144" t="e">
        <f t="shared" si="133"/>
        <v>#N/A</v>
      </c>
      <c r="DX207" s="158"/>
      <c r="DY207" s="29"/>
      <c r="DZ207" s="150"/>
      <c r="EA207" s="134"/>
      <c r="EB207" s="137">
        <f t="shared" si="134"/>
        <v>0</v>
      </c>
      <c r="EC207" s="138">
        <f t="shared" si="128"/>
        <v>0</v>
      </c>
      <c r="ED207" s="137">
        <f t="shared" si="135"/>
        <v>0</v>
      </c>
      <c r="EE207" s="132">
        <f t="shared" si="129"/>
        <v>0</v>
      </c>
      <c r="EF207" s="29"/>
      <c r="EG207" s="134"/>
      <c r="EH207" s="134"/>
      <c r="EI207" s="134"/>
      <c r="EK207" s="29"/>
    </row>
    <row r="208" spans="1:141" ht="15" customHeight="1" x14ac:dyDescent="0.25">
      <c r="A208" s="140"/>
      <c r="B208" s="151"/>
      <c r="C208" s="72"/>
      <c r="D208" s="73"/>
      <c r="E208" s="73"/>
      <c r="F208" s="141"/>
      <c r="G208" s="74"/>
      <c r="H208" s="75"/>
      <c r="I208" s="76"/>
      <c r="J208" s="135"/>
      <c r="K208" s="135"/>
      <c r="L208" s="77">
        <f t="shared" si="106"/>
        <v>0</v>
      </c>
      <c r="M208" s="78"/>
      <c r="N208" s="142"/>
      <c r="O208" s="142"/>
      <c r="P208" s="77">
        <f t="shared" si="107"/>
        <v>0</v>
      </c>
      <c r="Q208" s="78"/>
      <c r="R208" s="143"/>
      <c r="S208" s="143"/>
      <c r="T208" s="77">
        <f t="shared" si="108"/>
        <v>0</v>
      </c>
      <c r="U208" s="75"/>
      <c r="V208" s="76"/>
      <c r="W208" s="135"/>
      <c r="X208" s="135"/>
      <c r="Y208" s="77">
        <f t="shared" si="109"/>
        <v>0</v>
      </c>
      <c r="Z208" s="78"/>
      <c r="AA208" s="142"/>
      <c r="AB208" s="142"/>
      <c r="AC208" s="77">
        <f t="shared" si="110"/>
        <v>0</v>
      </c>
      <c r="AD208" s="78"/>
      <c r="AE208" s="143"/>
      <c r="AF208" s="143"/>
      <c r="AG208" s="79">
        <f t="shared" si="111"/>
        <v>0</v>
      </c>
      <c r="AH208" s="75"/>
      <c r="AI208" s="76"/>
      <c r="AJ208" s="135"/>
      <c r="AK208" s="135"/>
      <c r="AL208" s="77">
        <f t="shared" si="112"/>
        <v>0</v>
      </c>
      <c r="AM208" s="76"/>
      <c r="AN208" s="142"/>
      <c r="AO208" s="142"/>
      <c r="AP208" s="77">
        <f t="shared" si="113"/>
        <v>0</v>
      </c>
      <c r="AQ208" s="78"/>
      <c r="AR208" s="142"/>
      <c r="AS208" s="142"/>
      <c r="AT208" s="79">
        <f t="shared" si="114"/>
        <v>0</v>
      </c>
      <c r="AU208" s="75"/>
      <c r="AV208" s="76"/>
      <c r="AW208" s="135"/>
      <c r="AX208" s="135"/>
      <c r="AY208" s="77">
        <f t="shared" si="115"/>
        <v>0</v>
      </c>
      <c r="AZ208" s="76"/>
      <c r="BA208" s="142"/>
      <c r="BB208" s="142"/>
      <c r="BC208" s="77">
        <f t="shared" si="116"/>
        <v>0</v>
      </c>
      <c r="BD208" s="78"/>
      <c r="BE208" s="142"/>
      <c r="BF208" s="142"/>
      <c r="BG208" s="79">
        <f t="shared" si="117"/>
        <v>0</v>
      </c>
      <c r="BH208" s="75"/>
      <c r="BI208" s="76"/>
      <c r="BJ208" s="135"/>
      <c r="BK208" s="135"/>
      <c r="BL208" s="77">
        <f t="shared" si="118"/>
        <v>0</v>
      </c>
      <c r="BM208" s="78"/>
      <c r="BN208" s="142"/>
      <c r="BO208" s="142"/>
      <c r="BP208" s="77">
        <f t="shared" si="119"/>
        <v>0</v>
      </c>
      <c r="BQ208" s="78"/>
      <c r="BR208" s="142"/>
      <c r="BS208" s="142"/>
      <c r="BT208" s="79">
        <f t="shared" si="120"/>
        <v>0</v>
      </c>
      <c r="BU208" s="75"/>
      <c r="BV208" s="76"/>
      <c r="BW208" s="135"/>
      <c r="BX208" s="135"/>
      <c r="BY208" s="77">
        <f t="shared" si="121"/>
        <v>0</v>
      </c>
      <c r="BZ208" s="78"/>
      <c r="CA208" s="142"/>
      <c r="CB208" s="142"/>
      <c r="CC208" s="77">
        <f t="shared" si="122"/>
        <v>0</v>
      </c>
      <c r="CD208" s="78"/>
      <c r="CE208" s="142"/>
      <c r="CF208" s="142"/>
      <c r="CG208" s="79">
        <f t="shared" si="123"/>
        <v>0</v>
      </c>
      <c r="CH208" s="75"/>
      <c r="CI208" s="76"/>
      <c r="CJ208" s="135"/>
      <c r="CK208" s="135"/>
      <c r="CL208" s="77">
        <f t="shared" si="124"/>
        <v>0</v>
      </c>
      <c r="CM208" s="78"/>
      <c r="CN208" s="142"/>
      <c r="CO208" s="142"/>
      <c r="CP208" s="77">
        <f t="shared" si="125"/>
        <v>0</v>
      </c>
      <c r="CQ208" s="78"/>
      <c r="CR208" s="142"/>
      <c r="CS208" s="142"/>
      <c r="CT208" s="79">
        <f t="shared" si="126"/>
        <v>0</v>
      </c>
      <c r="CU208" s="80">
        <f t="shared" si="104"/>
        <v>0</v>
      </c>
      <c r="CV208" s="81">
        <f t="shared" si="105"/>
        <v>0</v>
      </c>
      <c r="CW208" s="144"/>
      <c r="CX208" s="145">
        <f>IF(ISERROR(VLOOKUP($A208,FIJOS!$B$11:$O$590,14,FALSE)),0,VLOOKUP($A208,FIJOS!$B$11:$O$590,14,FALSE))</f>
        <v>0</v>
      </c>
      <c r="CY208" s="145">
        <f>IF(ISERROR(VLOOKUP(A208,FIJOS!$B$10:$P$590,15,FALSE)),0,VLOOKUP(A208,FIJOS!$B$10:$P$590,15,FALSE))</f>
        <v>0</v>
      </c>
      <c r="CZ208" s="156"/>
      <c r="DA208" s="146"/>
      <c r="DB208" s="147"/>
      <c r="DC208" s="147"/>
      <c r="DD208" s="147"/>
      <c r="DE208" s="147"/>
      <c r="DF208" s="145">
        <f>IF(ISERROR(VLOOKUP($A208,FIJOS!$B$11:$N$590,13,FALSE)),0,VLOOKUP($A208,FIJOS!$B$11:$N$590,13,FALSE))</f>
        <v>0</v>
      </c>
      <c r="DG208" s="145">
        <f>IF(ISERROR(VLOOKUP($A208,FIJOS!$B$11:$P$447,12,FALSE)),0,VLOOKUP($A208,FIJOS!$B$11:$P$447,12,FALSE))</f>
        <v>0</v>
      </c>
      <c r="DH208" s="82">
        <f t="shared" si="127"/>
        <v>0</v>
      </c>
      <c r="DI208" s="83" t="b">
        <f>IF($C208=1,(VLOOKUP($A208,FIJOS!$B$11:$P$545,10,FALSE)/7)*(7-$CU208),IF(AND($C208=2,CV208&lt;$DJ$1),(VLOOKUP($D208,HORAS!$B$4:$C$42,2,FALSE)*24)*$CV208,IF(AND($C208=2,CV208&gt;=$DJ$1),VLOOKUP($D208,HORAS!$B$4:$D$42,3,FALSE),IF(AND($C208=3,$CV208&gt;=$DJ$1),VLOOKUP($A208,FIJOS!$B$11:$P$545,10,FALSE),IF(AND($C208=3,$CV208&lt;$DJ$1),((VLOOKUP($A208,FIJOS!$B$11:$P$545,10,FALSE)/48)*24)*$CV208,IF(AND($C208=4,$CV208&gt;=(42/24)),VLOOKUP($D208,HORAS!$B$4:$D$42,3,FALSE),IF(AND($C208=5,$CV208&gt;=(36/24)),VLOOKUP($D208,HORAS!$B$4:$D$42,3,FALSE))))))))</f>
        <v>0</v>
      </c>
      <c r="DJ208" s="145">
        <f>IF(OR($C208=2),VLOOKUP($D208,HORAS!$B$4:$E$42,4,FALSE)*$EC208,IF(ISERROR(VLOOKUP($A208,FIJOS!$B$11:$P$108,9,FALSE)),0,VLOOKUP($A208,FIJOS!$B$11:$P$231,9,FALSE)*$EC208))</f>
        <v>0</v>
      </c>
      <c r="DK208" s="145">
        <f>IF(OR($C208=2),VLOOKUP($D208,HORAS!$B$4:$F$42,5,FALSE)*$EE208,IF(ISERROR(VLOOKUP($A208,FIJOS!$B$11:$P$108,9,FALSE)),0,VLOOKUP($A208,FIJOS!$B$11:$P$231,9,FALSE)*$EE208))</f>
        <v>0</v>
      </c>
      <c r="DL208" s="144"/>
      <c r="DM208" s="145">
        <f>IF(ISERROR(VLOOKUP($A208,FIJOS!$B$11:$L$646,11,FALSE)),0,VLOOKUP($A208,FIJOS!$B$11:$L$646,11,FALSE))</f>
        <v>0</v>
      </c>
      <c r="DN208" s="148" t="e">
        <f>IF(OR($C208=1,$C208=3),0,IF((VLOOKUP(CAPTURA!D208,HORAS!$B$4:$K$42,10,FALSE)/4)*COUNTIF($H208:$CT208,3)&gt;100,100,(VLOOKUP(CAPTURA!D208,HORAS!$B$4:$K$42,10,FALSE)/4)*COUNTIF($H208:$CT208,3)))</f>
        <v>#N/A</v>
      </c>
      <c r="DO208" s="144" t="e">
        <f>IF(OR($C208=1,$C208=3),0,IF($C208=5,VLOOKUP(D208,HORAS!$B$4:$G$42,6,FALSE),IF(AND($C208=4,$CV208&gt;=(42/24)),VLOOKUP(D208,HORAS!$B$4:$G$42,6,FALSE),IF(COUNTIF($H208:$CL208,"F")&gt;0,0,IF(CV208&gt;$DJ$1,$DJ$1*(VLOOKUP(D208,HORAS!$B$4:$G$42,6,FALSE)/$DJ$1),CV208*(VLOOKUP(D208,HORAS!$B$4:$G$42,6,FALSE)/$DJ$1))))))</f>
        <v>#N/A</v>
      </c>
      <c r="DP208" s="156"/>
      <c r="DQ208" s="89"/>
      <c r="DR208" s="148"/>
      <c r="DS208" s="83" t="e">
        <f t="shared" si="130"/>
        <v>#N/A</v>
      </c>
      <c r="DT208" s="84"/>
      <c r="DU208" s="149" t="e">
        <f t="shared" si="131"/>
        <v>#N/A</v>
      </c>
      <c r="DV208" s="149" t="e">
        <f t="shared" si="132"/>
        <v>#N/A</v>
      </c>
      <c r="DW208" s="144" t="e">
        <f t="shared" si="133"/>
        <v>#N/A</v>
      </c>
      <c r="DX208" s="134"/>
      <c r="DY208" s="29"/>
      <c r="DZ208" s="150"/>
      <c r="EA208" s="134"/>
      <c r="EB208" s="137">
        <f t="shared" si="134"/>
        <v>0</v>
      </c>
      <c r="EC208" s="138">
        <f t="shared" si="128"/>
        <v>0</v>
      </c>
      <c r="ED208" s="137">
        <f t="shared" si="135"/>
        <v>0</v>
      </c>
      <c r="EE208" s="132">
        <f t="shared" si="129"/>
        <v>0</v>
      </c>
      <c r="EF208" s="29"/>
      <c r="EG208" s="134"/>
      <c r="EH208" s="134"/>
      <c r="EI208" s="134"/>
      <c r="EK208" s="29"/>
    </row>
    <row r="209" spans="1:141" ht="15" customHeight="1" x14ac:dyDescent="0.25">
      <c r="A209" s="140"/>
      <c r="B209" s="5"/>
      <c r="C209" s="72"/>
      <c r="D209" s="73"/>
      <c r="E209" s="73"/>
      <c r="F209" s="141"/>
      <c r="G209" s="74"/>
      <c r="H209" s="75"/>
      <c r="I209" s="76"/>
      <c r="J209" s="135"/>
      <c r="K209" s="135"/>
      <c r="L209" s="77">
        <f t="shared" si="106"/>
        <v>0</v>
      </c>
      <c r="M209" s="78"/>
      <c r="N209" s="142"/>
      <c r="O209" s="142"/>
      <c r="P209" s="77">
        <f t="shared" si="107"/>
        <v>0</v>
      </c>
      <c r="Q209" s="78"/>
      <c r="R209" s="143"/>
      <c r="S209" s="143"/>
      <c r="T209" s="77">
        <f t="shared" si="108"/>
        <v>0</v>
      </c>
      <c r="U209" s="75"/>
      <c r="V209" s="76"/>
      <c r="W209" s="135"/>
      <c r="X209" s="135"/>
      <c r="Y209" s="77">
        <f t="shared" si="109"/>
        <v>0</v>
      </c>
      <c r="Z209" s="78"/>
      <c r="AA209" s="142"/>
      <c r="AB209" s="142"/>
      <c r="AC209" s="77">
        <f t="shared" si="110"/>
        <v>0</v>
      </c>
      <c r="AD209" s="78"/>
      <c r="AE209" s="143"/>
      <c r="AF209" s="143"/>
      <c r="AG209" s="79">
        <f t="shared" si="111"/>
        <v>0</v>
      </c>
      <c r="AH209" s="75"/>
      <c r="AI209" s="76"/>
      <c r="AJ209" s="135"/>
      <c r="AK209" s="135"/>
      <c r="AL209" s="77">
        <f t="shared" si="112"/>
        <v>0</v>
      </c>
      <c r="AM209" s="76"/>
      <c r="AN209" s="142"/>
      <c r="AO209" s="142"/>
      <c r="AP209" s="77">
        <f t="shared" si="113"/>
        <v>0</v>
      </c>
      <c r="AQ209" s="78"/>
      <c r="AR209" s="142"/>
      <c r="AS209" s="142"/>
      <c r="AT209" s="79">
        <f t="shared" si="114"/>
        <v>0</v>
      </c>
      <c r="AU209" s="75"/>
      <c r="AV209" s="76"/>
      <c r="AW209" s="135"/>
      <c r="AX209" s="135"/>
      <c r="AY209" s="77">
        <f t="shared" si="115"/>
        <v>0</v>
      </c>
      <c r="AZ209" s="76"/>
      <c r="BA209" s="142"/>
      <c r="BB209" s="142"/>
      <c r="BC209" s="77">
        <f t="shared" si="116"/>
        <v>0</v>
      </c>
      <c r="BD209" s="78"/>
      <c r="BE209" s="142"/>
      <c r="BF209" s="142"/>
      <c r="BG209" s="79">
        <f t="shared" si="117"/>
        <v>0</v>
      </c>
      <c r="BH209" s="75"/>
      <c r="BI209" s="76"/>
      <c r="BJ209" s="135"/>
      <c r="BK209" s="135"/>
      <c r="BL209" s="77">
        <f t="shared" si="118"/>
        <v>0</v>
      </c>
      <c r="BM209" s="78"/>
      <c r="BN209" s="142"/>
      <c r="BO209" s="142"/>
      <c r="BP209" s="77">
        <f t="shared" si="119"/>
        <v>0</v>
      </c>
      <c r="BQ209" s="78"/>
      <c r="BR209" s="142"/>
      <c r="BS209" s="142"/>
      <c r="BT209" s="79">
        <f t="shared" si="120"/>
        <v>0</v>
      </c>
      <c r="BU209" s="75"/>
      <c r="BV209" s="76"/>
      <c r="BW209" s="135"/>
      <c r="BX209" s="135"/>
      <c r="BY209" s="77">
        <f t="shared" si="121"/>
        <v>0</v>
      </c>
      <c r="BZ209" s="78"/>
      <c r="CA209" s="142"/>
      <c r="CB209" s="142"/>
      <c r="CC209" s="77">
        <f t="shared" si="122"/>
        <v>0</v>
      </c>
      <c r="CD209" s="78"/>
      <c r="CE209" s="142"/>
      <c r="CF209" s="142"/>
      <c r="CG209" s="79">
        <f t="shared" si="123"/>
        <v>0</v>
      </c>
      <c r="CH209" s="75"/>
      <c r="CI209" s="76"/>
      <c r="CJ209" s="135"/>
      <c r="CK209" s="135"/>
      <c r="CL209" s="77">
        <f t="shared" si="124"/>
        <v>0</v>
      </c>
      <c r="CM209" s="78"/>
      <c r="CN209" s="142"/>
      <c r="CO209" s="142"/>
      <c r="CP209" s="77">
        <f t="shared" si="125"/>
        <v>0</v>
      </c>
      <c r="CQ209" s="78"/>
      <c r="CR209" s="142"/>
      <c r="CS209" s="142"/>
      <c r="CT209" s="79">
        <f t="shared" si="126"/>
        <v>0</v>
      </c>
      <c r="CU209" s="80">
        <f t="shared" si="104"/>
        <v>0</v>
      </c>
      <c r="CV209" s="81">
        <f t="shared" si="105"/>
        <v>0</v>
      </c>
      <c r="CW209" s="144"/>
      <c r="CX209" s="145">
        <f>IF(ISERROR(VLOOKUP($A209,FIJOS!$B$11:$O$590,14,FALSE)),0,VLOOKUP($A209,FIJOS!$B$11:$O$590,14,FALSE))</f>
        <v>0</v>
      </c>
      <c r="CY209" s="145">
        <f>IF(ISERROR(VLOOKUP(A209,FIJOS!$B$10:$P$590,15,FALSE)),0,VLOOKUP(A209,FIJOS!$B$10:$P$590,15,FALSE))</f>
        <v>0</v>
      </c>
      <c r="CZ209" s="156"/>
      <c r="DA209" s="146"/>
      <c r="DB209" s="147"/>
      <c r="DC209" s="147"/>
      <c r="DD209" s="147"/>
      <c r="DE209" s="147"/>
      <c r="DF209" s="145">
        <f>IF(ISERROR(VLOOKUP($A209,FIJOS!$B$11:$N$590,13,FALSE)),0,VLOOKUP($A209,FIJOS!$B$11:$N$590,13,FALSE))</f>
        <v>0</v>
      </c>
      <c r="DG209" s="145">
        <f>IF(ISERROR(VLOOKUP($A209,FIJOS!$B$11:$P$447,12,FALSE)),0,VLOOKUP($A209,FIJOS!$B$11:$P$447,12,FALSE))</f>
        <v>0</v>
      </c>
      <c r="DH209" s="82">
        <f t="shared" si="127"/>
        <v>0</v>
      </c>
      <c r="DI209" s="83" t="b">
        <f>IF($C209=1,(VLOOKUP($A209,FIJOS!$B$11:$P$545,10,FALSE)/7)*(7-$CU209),IF(AND($C209=2,CV209&lt;$DJ$1),(VLOOKUP($D209,HORAS!$B$4:$C$42,2,FALSE)*24)*$CV209,IF(AND($C209=2,CV209&gt;=$DJ$1),VLOOKUP($D209,HORAS!$B$4:$D$42,3,FALSE),IF(AND($C209=3,$CV209&gt;=$DJ$1),VLOOKUP($A209,FIJOS!$B$11:$P$545,10,FALSE),IF(AND($C209=3,$CV209&lt;$DJ$1),((VLOOKUP($A209,FIJOS!$B$11:$P$545,10,FALSE)/48)*24)*$CV209,IF(AND($C209=4,$CV209&gt;=(42/24)),VLOOKUP($D209,HORAS!$B$4:$D$42,3,FALSE),IF(AND($C209=5,$CV209&gt;=(36/24)),VLOOKUP($D209,HORAS!$B$4:$D$42,3,FALSE))))))))</f>
        <v>0</v>
      </c>
      <c r="DJ209" s="145">
        <f>IF(OR($C209=2),VLOOKUP($D209,HORAS!$B$4:$E$42,4,FALSE)*$EC209,IF(ISERROR(VLOOKUP($A209,FIJOS!$B$11:$P$108,9,FALSE)),0,VLOOKUP($A209,FIJOS!$B$11:$P$231,9,FALSE)*$EC209))</f>
        <v>0</v>
      </c>
      <c r="DK209" s="145">
        <f>IF(OR($C209=2),VLOOKUP($D209,HORAS!$B$4:$F$42,5,FALSE)*$EE209,IF(ISERROR(VLOOKUP($A209,FIJOS!$B$11:$P$108,9,FALSE)),0,VLOOKUP($A209,FIJOS!$B$11:$P$231,9,FALSE)*$EE209))</f>
        <v>0</v>
      </c>
      <c r="DL209" s="144"/>
      <c r="DM209" s="145">
        <f>IF(ISERROR(VLOOKUP($A209,FIJOS!$B$11:$L$646,11,FALSE)),0,VLOOKUP($A209,FIJOS!$B$11:$L$646,11,FALSE))</f>
        <v>0</v>
      </c>
      <c r="DN209" s="148" t="e">
        <f>IF(OR($C209=1,$C209=3),0,IF((VLOOKUP(CAPTURA!D209,HORAS!$B$4:$K$42,10,FALSE)/4)*COUNTIF($H209:$CT209,3)&gt;100,100,(VLOOKUP(CAPTURA!D209,HORAS!$B$4:$K$42,10,FALSE)/4)*COUNTIF($H209:$CT209,3)))</f>
        <v>#N/A</v>
      </c>
      <c r="DO209" s="144" t="e">
        <f>IF(OR($C209=1,$C209=3),0,IF($C209=5,VLOOKUP(D209,HORAS!$B$4:$G$42,6,FALSE),IF(AND($C209=4,$CV209&gt;=(42/24)),VLOOKUP(D209,HORAS!$B$4:$G$42,6,FALSE),IF(COUNTIF($H209:$CL209,"F")&gt;0,0,IF(CV209&gt;$DJ$1,$DJ$1*(VLOOKUP(D209,HORAS!$B$4:$G$42,6,FALSE)/$DJ$1),CV209*(VLOOKUP(D209,HORAS!$B$4:$G$42,6,FALSE)/$DJ$1))))))</f>
        <v>#N/A</v>
      </c>
      <c r="DP209" s="156"/>
      <c r="DQ209" s="89"/>
      <c r="DR209" s="148"/>
      <c r="DS209" s="83" t="e">
        <f t="shared" si="130"/>
        <v>#N/A</v>
      </c>
      <c r="DT209" s="84"/>
      <c r="DU209" s="149" t="e">
        <f t="shared" si="131"/>
        <v>#N/A</v>
      </c>
      <c r="DV209" s="149" t="e">
        <f t="shared" si="132"/>
        <v>#N/A</v>
      </c>
      <c r="DW209" s="144" t="e">
        <f t="shared" si="133"/>
        <v>#N/A</v>
      </c>
      <c r="DX209" s="134"/>
      <c r="DY209" s="29"/>
      <c r="DZ209" s="150"/>
      <c r="EA209" s="134"/>
      <c r="EB209" s="137">
        <f t="shared" si="134"/>
        <v>0</v>
      </c>
      <c r="EC209" s="138">
        <f t="shared" si="128"/>
        <v>0</v>
      </c>
      <c r="ED209" s="137">
        <f t="shared" si="135"/>
        <v>0</v>
      </c>
      <c r="EE209" s="132">
        <f t="shared" si="129"/>
        <v>0</v>
      </c>
      <c r="EF209" s="29"/>
      <c r="EG209" s="134"/>
      <c r="EH209" s="134"/>
      <c r="EI209" s="134"/>
      <c r="EK209" s="29"/>
    </row>
    <row r="210" spans="1:141" ht="15" customHeight="1" x14ac:dyDescent="0.25">
      <c r="A210" s="140"/>
      <c r="B210" s="5"/>
      <c r="C210" s="72"/>
      <c r="D210" s="73"/>
      <c r="E210" s="73"/>
      <c r="F210" s="141"/>
      <c r="G210" s="74"/>
      <c r="H210" s="75"/>
      <c r="I210" s="76"/>
      <c r="J210" s="135"/>
      <c r="K210" s="135"/>
      <c r="L210" s="77">
        <f t="shared" si="106"/>
        <v>0</v>
      </c>
      <c r="M210" s="78"/>
      <c r="N210" s="142"/>
      <c r="O210" s="142"/>
      <c r="P210" s="77">
        <f t="shared" si="107"/>
        <v>0</v>
      </c>
      <c r="Q210" s="78"/>
      <c r="R210" s="143"/>
      <c r="S210" s="143"/>
      <c r="T210" s="77">
        <f t="shared" si="108"/>
        <v>0</v>
      </c>
      <c r="U210" s="75"/>
      <c r="V210" s="76"/>
      <c r="W210" s="135"/>
      <c r="X210" s="135"/>
      <c r="Y210" s="77">
        <f t="shared" si="109"/>
        <v>0</v>
      </c>
      <c r="Z210" s="78"/>
      <c r="AA210" s="142"/>
      <c r="AB210" s="142"/>
      <c r="AC210" s="77">
        <f t="shared" si="110"/>
        <v>0</v>
      </c>
      <c r="AD210" s="78"/>
      <c r="AE210" s="143"/>
      <c r="AF210" s="143"/>
      <c r="AG210" s="79">
        <f t="shared" si="111"/>
        <v>0</v>
      </c>
      <c r="AH210" s="75"/>
      <c r="AI210" s="76"/>
      <c r="AJ210" s="135"/>
      <c r="AK210" s="135"/>
      <c r="AL210" s="77">
        <f t="shared" si="112"/>
        <v>0</v>
      </c>
      <c r="AM210" s="76"/>
      <c r="AN210" s="142"/>
      <c r="AO210" s="142"/>
      <c r="AP210" s="77">
        <f t="shared" si="113"/>
        <v>0</v>
      </c>
      <c r="AQ210" s="78"/>
      <c r="AR210" s="142"/>
      <c r="AS210" s="142"/>
      <c r="AT210" s="79">
        <f t="shared" si="114"/>
        <v>0</v>
      </c>
      <c r="AU210" s="75"/>
      <c r="AV210" s="76"/>
      <c r="AW210" s="157"/>
      <c r="AX210" s="135"/>
      <c r="AY210" s="77">
        <f t="shared" si="115"/>
        <v>0</v>
      </c>
      <c r="AZ210" s="76"/>
      <c r="BA210" s="142"/>
      <c r="BB210" s="142"/>
      <c r="BC210" s="77">
        <f t="shared" si="116"/>
        <v>0</v>
      </c>
      <c r="BD210" s="78"/>
      <c r="BE210" s="142"/>
      <c r="BF210" s="142"/>
      <c r="BG210" s="79">
        <f t="shared" si="117"/>
        <v>0</v>
      </c>
      <c r="BH210" s="75"/>
      <c r="BI210" s="76"/>
      <c r="BJ210" s="135"/>
      <c r="BK210" s="135"/>
      <c r="BL210" s="77">
        <f t="shared" si="118"/>
        <v>0</v>
      </c>
      <c r="BM210" s="78"/>
      <c r="BN210" s="142"/>
      <c r="BO210" s="142"/>
      <c r="BP210" s="77">
        <f t="shared" si="119"/>
        <v>0</v>
      </c>
      <c r="BQ210" s="78"/>
      <c r="BR210" s="142"/>
      <c r="BS210" s="142"/>
      <c r="BT210" s="79">
        <f t="shared" si="120"/>
        <v>0</v>
      </c>
      <c r="BU210" s="75"/>
      <c r="BV210" s="76"/>
      <c r="BW210" s="135"/>
      <c r="BX210" s="135"/>
      <c r="BY210" s="77">
        <f t="shared" si="121"/>
        <v>0</v>
      </c>
      <c r="BZ210" s="78"/>
      <c r="CA210" s="142"/>
      <c r="CB210" s="142"/>
      <c r="CC210" s="77">
        <f t="shared" si="122"/>
        <v>0</v>
      </c>
      <c r="CD210" s="78"/>
      <c r="CE210" s="142"/>
      <c r="CF210" s="142"/>
      <c r="CG210" s="79">
        <f t="shared" si="123"/>
        <v>0</v>
      </c>
      <c r="CH210" s="75"/>
      <c r="CI210" s="76"/>
      <c r="CJ210" s="135"/>
      <c r="CK210" s="135"/>
      <c r="CL210" s="77">
        <f t="shared" si="124"/>
        <v>0</v>
      </c>
      <c r="CM210" s="78"/>
      <c r="CN210" s="142"/>
      <c r="CO210" s="142"/>
      <c r="CP210" s="77">
        <f t="shared" si="125"/>
        <v>0</v>
      </c>
      <c r="CQ210" s="78"/>
      <c r="CR210" s="142"/>
      <c r="CS210" s="142"/>
      <c r="CT210" s="79">
        <f t="shared" si="126"/>
        <v>0</v>
      </c>
      <c r="CU210" s="80">
        <f t="shared" si="104"/>
        <v>0</v>
      </c>
      <c r="CV210" s="81">
        <f t="shared" si="105"/>
        <v>0</v>
      </c>
      <c r="CW210" s="144"/>
      <c r="CX210" s="145">
        <f>IF(ISERROR(VLOOKUP($A210,FIJOS!$B$11:$O$590,14,FALSE)),0,VLOOKUP($A210,FIJOS!$B$11:$O$590,14,FALSE))</f>
        <v>0</v>
      </c>
      <c r="CY210" s="145">
        <f>IF(ISERROR(VLOOKUP(A210,FIJOS!$B$10:$P$590,15,FALSE)),0,VLOOKUP(A210,FIJOS!$B$10:$P$590,15,FALSE))</f>
        <v>0</v>
      </c>
      <c r="CZ210" s="156"/>
      <c r="DA210" s="146"/>
      <c r="DB210" s="147"/>
      <c r="DC210" s="147"/>
      <c r="DD210" s="147"/>
      <c r="DE210" s="147"/>
      <c r="DF210" s="145">
        <f>IF(ISERROR(VLOOKUP($A210,FIJOS!$B$11:$N$590,13,FALSE)),0,VLOOKUP($A210,FIJOS!$B$11:$N$590,13,FALSE))</f>
        <v>0</v>
      </c>
      <c r="DG210" s="145">
        <f>IF(ISERROR(VLOOKUP($A210,FIJOS!$B$11:$P$447,12,FALSE)),0,VLOOKUP($A210,FIJOS!$B$11:$P$447,12,FALSE))</f>
        <v>0</v>
      </c>
      <c r="DH210" s="82">
        <f t="shared" si="127"/>
        <v>0</v>
      </c>
      <c r="DI210" s="83" t="b">
        <f>IF($C210=1,(VLOOKUP($A210,FIJOS!$B$11:$P$545,10,FALSE)/7)*(7-$CU210),IF(AND($C210=2,CV210&lt;$DJ$1),(VLOOKUP($D210,HORAS!$B$4:$C$42,2,FALSE)*24)*$CV210,IF(AND($C210=2,CV210&gt;=$DJ$1),VLOOKUP($D210,HORAS!$B$4:$D$42,3,FALSE),IF(AND($C210=3,$CV210&gt;=$DJ$1),VLOOKUP($A210,FIJOS!$B$11:$P$545,10,FALSE),IF(AND($C210=3,$CV210&lt;$DJ$1),((VLOOKUP($A210,FIJOS!$B$11:$P$545,10,FALSE)/48)*24)*$CV210,IF(AND($C210=4,$CV210&gt;=(42/24)),VLOOKUP($D210,HORAS!$B$4:$D$42,3,FALSE),IF(AND($C210=5,$CV210&gt;=(36/24)),VLOOKUP($D210,HORAS!$B$4:$D$42,3,FALSE))))))))</f>
        <v>0</v>
      </c>
      <c r="DJ210" s="145">
        <f>IF(OR($C210=2),VLOOKUP($D210,HORAS!$B$4:$E$42,4,FALSE)*$EC210,IF(ISERROR(VLOOKUP($A210,FIJOS!$B$11:$P$108,9,FALSE)),0,VLOOKUP($A210,FIJOS!$B$11:$P$231,9,FALSE)*$EC210))</f>
        <v>0</v>
      </c>
      <c r="DK210" s="145">
        <f>IF(OR($C210=2),VLOOKUP($D210,HORAS!$B$4:$F$42,5,FALSE)*$EE210,IF(ISERROR(VLOOKUP($A210,FIJOS!$B$11:$P$108,9,FALSE)),0,VLOOKUP($A210,FIJOS!$B$11:$P$231,9,FALSE)*$EE210))</f>
        <v>0</v>
      </c>
      <c r="DL210" s="144"/>
      <c r="DM210" s="145">
        <f>IF(ISERROR(VLOOKUP($A210,FIJOS!$B$11:$L$646,11,FALSE)),0,VLOOKUP($A210,FIJOS!$B$11:$L$646,11,FALSE))</f>
        <v>0</v>
      </c>
      <c r="DN210" s="148" t="e">
        <f>IF(OR($C210=1,$C210=3),0,IF((VLOOKUP(CAPTURA!D210,HORAS!$B$4:$K$42,10,FALSE)/4)*COUNTIF($H210:$CT210,3)&gt;100,100,(VLOOKUP(CAPTURA!D210,HORAS!$B$4:$K$42,10,FALSE)/4)*COUNTIF($H210:$CT210,3)))</f>
        <v>#N/A</v>
      </c>
      <c r="DO210" s="144" t="e">
        <f>IF(OR($C210=1,$C210=3),0,IF($C210=5,VLOOKUP(D210,HORAS!$B$4:$G$42,6,FALSE),IF(AND($C210=4,$CV210&gt;=(42/24)),VLOOKUP(D210,HORAS!$B$4:$G$42,6,FALSE),IF(COUNTIF($H210:$CL210,"F")&gt;0,0,IF(CV210&gt;$DJ$1,$DJ$1*(VLOOKUP(D210,HORAS!$B$4:$G$42,6,FALSE)/$DJ$1),CV210*(VLOOKUP(D210,HORAS!$B$4:$G$42,6,FALSE)/$DJ$1))))))</f>
        <v>#N/A</v>
      </c>
      <c r="DP210" s="156"/>
      <c r="DQ210" s="89"/>
      <c r="DR210" s="148"/>
      <c r="DS210" s="83" t="e">
        <f t="shared" si="130"/>
        <v>#N/A</v>
      </c>
      <c r="DT210" s="84"/>
      <c r="DU210" s="149" t="e">
        <f t="shared" si="131"/>
        <v>#N/A</v>
      </c>
      <c r="DV210" s="149" t="e">
        <f t="shared" si="132"/>
        <v>#N/A</v>
      </c>
      <c r="DW210" s="144" t="e">
        <f t="shared" si="133"/>
        <v>#N/A</v>
      </c>
      <c r="DX210"/>
      <c r="DY210" s="29"/>
      <c r="DZ210" s="150"/>
      <c r="EA210" s="134"/>
      <c r="EB210" s="137">
        <f t="shared" si="134"/>
        <v>0</v>
      </c>
      <c r="EC210" s="138">
        <f t="shared" si="128"/>
        <v>0</v>
      </c>
      <c r="ED210" s="137">
        <f t="shared" si="135"/>
        <v>0</v>
      </c>
      <c r="EE210" s="132">
        <f t="shared" si="129"/>
        <v>0</v>
      </c>
      <c r="EF210" s="29"/>
      <c r="EG210" s="134"/>
      <c r="EH210" s="134"/>
      <c r="EI210" s="134"/>
      <c r="EK210" s="29"/>
    </row>
    <row r="211" spans="1:141" ht="15" customHeight="1" x14ac:dyDescent="0.25">
      <c r="A211" s="140"/>
      <c r="B211" s="151"/>
      <c r="C211" s="72"/>
      <c r="D211" s="73"/>
      <c r="E211" s="73"/>
      <c r="F211" s="141"/>
      <c r="G211" s="74"/>
      <c r="H211" s="75"/>
      <c r="I211" s="76"/>
      <c r="J211" s="135"/>
      <c r="K211" s="135"/>
      <c r="L211" s="77">
        <f t="shared" si="106"/>
        <v>0</v>
      </c>
      <c r="M211" s="78"/>
      <c r="N211" s="142"/>
      <c r="O211" s="142"/>
      <c r="P211" s="77">
        <f t="shared" si="107"/>
        <v>0</v>
      </c>
      <c r="Q211" s="78"/>
      <c r="R211" s="143"/>
      <c r="S211" s="143"/>
      <c r="T211" s="77">
        <f t="shared" si="108"/>
        <v>0</v>
      </c>
      <c r="U211" s="75"/>
      <c r="V211" s="76"/>
      <c r="W211" s="135"/>
      <c r="X211" s="135"/>
      <c r="Y211" s="77">
        <f t="shared" si="109"/>
        <v>0</v>
      </c>
      <c r="Z211" s="78"/>
      <c r="AA211" s="142"/>
      <c r="AB211" s="142"/>
      <c r="AC211" s="77">
        <f t="shared" si="110"/>
        <v>0</v>
      </c>
      <c r="AD211" s="78"/>
      <c r="AE211" s="143"/>
      <c r="AF211" s="143"/>
      <c r="AG211" s="79">
        <f t="shared" si="111"/>
        <v>0</v>
      </c>
      <c r="AH211" s="75"/>
      <c r="AI211" s="76"/>
      <c r="AJ211" s="135"/>
      <c r="AK211" s="135"/>
      <c r="AL211" s="77">
        <f t="shared" si="112"/>
        <v>0</v>
      </c>
      <c r="AM211" s="76"/>
      <c r="AN211" s="142"/>
      <c r="AO211" s="142"/>
      <c r="AP211" s="77">
        <f t="shared" si="113"/>
        <v>0</v>
      </c>
      <c r="AQ211" s="78"/>
      <c r="AR211" s="142"/>
      <c r="AS211" s="142"/>
      <c r="AT211" s="79">
        <f t="shared" si="114"/>
        <v>0</v>
      </c>
      <c r="AU211" s="75"/>
      <c r="AV211" s="76"/>
      <c r="AW211" s="135"/>
      <c r="AX211" s="135"/>
      <c r="AY211" s="77">
        <f t="shared" si="115"/>
        <v>0</v>
      </c>
      <c r="AZ211" s="76"/>
      <c r="BA211" s="142"/>
      <c r="BB211" s="142"/>
      <c r="BC211" s="77">
        <f t="shared" si="116"/>
        <v>0</v>
      </c>
      <c r="BD211" s="78"/>
      <c r="BE211" s="142"/>
      <c r="BF211" s="142"/>
      <c r="BG211" s="79">
        <f t="shared" si="117"/>
        <v>0</v>
      </c>
      <c r="BH211" s="75"/>
      <c r="BI211" s="76"/>
      <c r="BJ211" s="135"/>
      <c r="BK211" s="135"/>
      <c r="BL211" s="77">
        <f t="shared" si="118"/>
        <v>0</v>
      </c>
      <c r="BM211" s="78"/>
      <c r="BN211" s="142"/>
      <c r="BO211" s="142"/>
      <c r="BP211" s="77">
        <f t="shared" si="119"/>
        <v>0</v>
      </c>
      <c r="BQ211" s="78"/>
      <c r="BR211" s="142"/>
      <c r="BS211" s="142"/>
      <c r="BT211" s="79">
        <f t="shared" si="120"/>
        <v>0</v>
      </c>
      <c r="BU211" s="75"/>
      <c r="BV211" s="76"/>
      <c r="BW211" s="135"/>
      <c r="BX211" s="135"/>
      <c r="BY211" s="77">
        <f t="shared" si="121"/>
        <v>0</v>
      </c>
      <c r="BZ211" s="78"/>
      <c r="CA211" s="142"/>
      <c r="CB211" s="142"/>
      <c r="CC211" s="77">
        <f t="shared" si="122"/>
        <v>0</v>
      </c>
      <c r="CD211" s="78"/>
      <c r="CE211" s="142"/>
      <c r="CF211" s="142"/>
      <c r="CG211" s="79">
        <f t="shared" si="123"/>
        <v>0</v>
      </c>
      <c r="CH211" s="75"/>
      <c r="CI211" s="76"/>
      <c r="CJ211" s="135"/>
      <c r="CK211" s="135"/>
      <c r="CL211" s="77">
        <f t="shared" si="124"/>
        <v>0</v>
      </c>
      <c r="CM211" s="78"/>
      <c r="CN211" s="142"/>
      <c r="CO211" s="142"/>
      <c r="CP211" s="77">
        <f t="shared" si="125"/>
        <v>0</v>
      </c>
      <c r="CQ211" s="78"/>
      <c r="CR211" s="142"/>
      <c r="CS211" s="142"/>
      <c r="CT211" s="79">
        <f t="shared" si="126"/>
        <v>0</v>
      </c>
      <c r="CU211" s="80">
        <f t="shared" si="104"/>
        <v>0</v>
      </c>
      <c r="CV211" s="81">
        <f t="shared" si="105"/>
        <v>0</v>
      </c>
      <c r="CW211" s="144"/>
      <c r="CX211" s="145">
        <f>IF(ISERROR(VLOOKUP($A211,FIJOS!$B$11:$O$590,14,FALSE)),0,VLOOKUP($A211,FIJOS!$B$11:$O$590,14,FALSE))</f>
        <v>0</v>
      </c>
      <c r="CY211" s="145">
        <f>IF(ISERROR(VLOOKUP(A211,FIJOS!$B$10:$P$590,15,FALSE)),0,VLOOKUP(A211,FIJOS!$B$10:$P$590,15,FALSE))</f>
        <v>0</v>
      </c>
      <c r="CZ211" s="156"/>
      <c r="DA211" s="146"/>
      <c r="DB211" s="147"/>
      <c r="DC211" s="147"/>
      <c r="DD211" s="147"/>
      <c r="DE211" s="147"/>
      <c r="DF211" s="145">
        <f>IF(ISERROR(VLOOKUP($A211,FIJOS!$B$11:$N$590,13,FALSE)),0,VLOOKUP($A211,FIJOS!$B$11:$N$590,13,FALSE))</f>
        <v>0</v>
      </c>
      <c r="DG211" s="145">
        <f>IF(ISERROR(VLOOKUP($A211,FIJOS!$B$11:$P$447,12,FALSE)),0,VLOOKUP($A211,FIJOS!$B$11:$P$447,12,FALSE))</f>
        <v>0</v>
      </c>
      <c r="DH211" s="82">
        <f t="shared" si="127"/>
        <v>0</v>
      </c>
      <c r="DI211" s="83" t="b">
        <f>IF($C211=1,(VLOOKUP($A211,FIJOS!$B$11:$P$545,10,FALSE)/7)*(7-$CU211),IF(AND($C211=2,CV211&lt;$DJ$1),(VLOOKUP($D211,HORAS!$B$4:$C$42,2,FALSE)*24)*$CV211,IF(AND($C211=2,CV211&gt;=$DJ$1),VLOOKUP($D211,HORAS!$B$4:$D$42,3,FALSE),IF(AND($C211=3,$CV211&gt;=$DJ$1),VLOOKUP($A211,FIJOS!$B$11:$P$545,10,FALSE),IF(AND($C211=3,$CV211&lt;$DJ$1),((VLOOKUP($A211,FIJOS!$B$11:$P$545,10,FALSE)/48)*24)*$CV211,IF(AND($C211=4,$CV211&gt;=(42/24)),VLOOKUP($D211,HORAS!$B$4:$D$42,3,FALSE),IF(AND($C211=5,$CV211&gt;=(36/24)),VLOOKUP($D211,HORAS!$B$4:$D$42,3,FALSE))))))))</f>
        <v>0</v>
      </c>
      <c r="DJ211" s="145">
        <f>IF(OR($C211=2),VLOOKUP($D211,HORAS!$B$4:$E$42,4,FALSE)*$EC211,IF(ISERROR(VLOOKUP($A211,FIJOS!$B$11:$P$108,9,FALSE)),0,VLOOKUP($A211,FIJOS!$B$11:$P$231,9,FALSE)*$EC211))</f>
        <v>0</v>
      </c>
      <c r="DK211" s="145">
        <f>IF(OR($C211=2),VLOOKUP($D211,HORAS!$B$4:$F$42,5,FALSE)*$EE211,IF(ISERROR(VLOOKUP($A211,FIJOS!$B$11:$P$108,9,FALSE)),0,VLOOKUP($A211,FIJOS!$B$11:$P$231,9,FALSE)*$EE211))</f>
        <v>0</v>
      </c>
      <c r="DL211" s="144"/>
      <c r="DM211" s="145">
        <f>IF(ISERROR(VLOOKUP($A211,FIJOS!$B$11:$L$646,11,FALSE)),0,VLOOKUP($A211,FIJOS!$B$11:$L$646,11,FALSE))</f>
        <v>0</v>
      </c>
      <c r="DN211" s="148" t="e">
        <f>IF(OR($C211=1,$C211=3),0,IF((VLOOKUP(CAPTURA!D211,HORAS!$B$4:$K$42,10,FALSE)/4)*COUNTIF($H211:$CT211,3)&gt;100,100,(VLOOKUP(CAPTURA!D211,HORAS!$B$4:$K$42,10,FALSE)/4)*COUNTIF($H211:$CT211,3)))</f>
        <v>#N/A</v>
      </c>
      <c r="DO211" s="144" t="e">
        <f>IF(OR($C211=1,$C211=3),0,IF($C211=5,VLOOKUP(D211,HORAS!$B$4:$G$42,6,FALSE),IF(AND($C211=4,$CV211&gt;=(42/24)),VLOOKUP(D211,HORAS!$B$4:$G$42,6,FALSE),IF(COUNTIF($H211:$CL211,"F")&gt;0,0,IF(CV211&gt;$DJ$1,$DJ$1*(VLOOKUP(D211,HORAS!$B$4:$G$42,6,FALSE)/$DJ$1),CV211*(VLOOKUP(D211,HORAS!$B$4:$G$42,6,FALSE)/$DJ$1))))))</f>
        <v>#N/A</v>
      </c>
      <c r="DP211" s="156"/>
      <c r="DQ211" s="89"/>
      <c r="DR211" s="148"/>
      <c r="DS211" s="83" t="e">
        <f t="shared" si="130"/>
        <v>#N/A</v>
      </c>
      <c r="DT211" s="84"/>
      <c r="DU211" s="149" t="e">
        <f t="shared" si="131"/>
        <v>#N/A</v>
      </c>
      <c r="DV211" s="149" t="e">
        <f t="shared" si="132"/>
        <v>#N/A</v>
      </c>
      <c r="DW211" s="144" t="e">
        <f t="shared" si="133"/>
        <v>#N/A</v>
      </c>
      <c r="DX211" s="134"/>
      <c r="DY211" s="29"/>
      <c r="DZ211" s="150"/>
      <c r="EA211" s="134"/>
      <c r="EB211" s="137">
        <f t="shared" si="134"/>
        <v>0</v>
      </c>
      <c r="EC211" s="138">
        <f t="shared" si="128"/>
        <v>0</v>
      </c>
      <c r="ED211" s="137">
        <f t="shared" si="135"/>
        <v>0</v>
      </c>
      <c r="EE211" s="132">
        <f t="shared" si="129"/>
        <v>0</v>
      </c>
      <c r="EF211" s="29"/>
      <c r="EG211" s="134"/>
      <c r="EH211" s="134"/>
      <c r="EI211" s="134"/>
      <c r="EK211" s="35"/>
    </row>
    <row r="212" spans="1:141" ht="15" customHeight="1" x14ac:dyDescent="0.25">
      <c r="A212" s="140"/>
      <c r="B212" s="151"/>
      <c r="C212" s="72"/>
      <c r="D212" s="73"/>
      <c r="E212" s="73"/>
      <c r="F212" s="141"/>
      <c r="G212" s="74"/>
      <c r="H212" s="75"/>
      <c r="I212" s="76"/>
      <c r="J212" s="135"/>
      <c r="K212" s="135"/>
      <c r="L212" s="77">
        <f t="shared" si="106"/>
        <v>0</v>
      </c>
      <c r="M212" s="78"/>
      <c r="N212" s="142"/>
      <c r="O212" s="142"/>
      <c r="P212" s="77">
        <f t="shared" si="107"/>
        <v>0</v>
      </c>
      <c r="Q212" s="78"/>
      <c r="R212" s="143"/>
      <c r="S212" s="143"/>
      <c r="T212" s="77">
        <f t="shared" si="108"/>
        <v>0</v>
      </c>
      <c r="U212" s="75"/>
      <c r="V212" s="76"/>
      <c r="W212" s="135"/>
      <c r="X212" s="135"/>
      <c r="Y212" s="77">
        <f t="shared" si="109"/>
        <v>0</v>
      </c>
      <c r="Z212" s="78"/>
      <c r="AA212" s="142"/>
      <c r="AB212" s="142"/>
      <c r="AC212" s="77">
        <f t="shared" si="110"/>
        <v>0</v>
      </c>
      <c r="AD212" s="78"/>
      <c r="AE212" s="143"/>
      <c r="AF212" s="143"/>
      <c r="AG212" s="79">
        <f t="shared" si="111"/>
        <v>0</v>
      </c>
      <c r="AH212" s="75"/>
      <c r="AI212" s="76"/>
      <c r="AJ212" s="135"/>
      <c r="AK212" s="135"/>
      <c r="AL212" s="77">
        <f t="shared" si="112"/>
        <v>0</v>
      </c>
      <c r="AM212" s="76"/>
      <c r="AN212" s="142"/>
      <c r="AO212" s="142"/>
      <c r="AP212" s="77">
        <f t="shared" si="113"/>
        <v>0</v>
      </c>
      <c r="AQ212" s="78"/>
      <c r="AR212" s="142"/>
      <c r="AS212" s="142"/>
      <c r="AT212" s="79">
        <f t="shared" si="114"/>
        <v>0</v>
      </c>
      <c r="AU212" s="75"/>
      <c r="AV212" s="76"/>
      <c r="AW212" s="135"/>
      <c r="AX212" s="135"/>
      <c r="AY212" s="77">
        <f t="shared" si="115"/>
        <v>0</v>
      </c>
      <c r="AZ212" s="76"/>
      <c r="BA212" s="142"/>
      <c r="BB212" s="142"/>
      <c r="BC212" s="77">
        <f t="shared" si="116"/>
        <v>0</v>
      </c>
      <c r="BD212" s="78"/>
      <c r="BE212" s="142"/>
      <c r="BF212" s="142"/>
      <c r="BG212" s="79">
        <f t="shared" si="117"/>
        <v>0</v>
      </c>
      <c r="BH212" s="75"/>
      <c r="BI212" s="76"/>
      <c r="BJ212" s="135"/>
      <c r="BK212" s="135"/>
      <c r="BL212" s="77">
        <f t="shared" si="118"/>
        <v>0</v>
      </c>
      <c r="BM212" s="78"/>
      <c r="BN212" s="142"/>
      <c r="BO212" s="142"/>
      <c r="BP212" s="77">
        <f t="shared" si="119"/>
        <v>0</v>
      </c>
      <c r="BQ212" s="78"/>
      <c r="BR212" s="142"/>
      <c r="BS212" s="142"/>
      <c r="BT212" s="79">
        <f t="shared" si="120"/>
        <v>0</v>
      </c>
      <c r="BU212" s="75"/>
      <c r="BV212" s="76"/>
      <c r="BW212" s="135"/>
      <c r="BX212" s="135"/>
      <c r="BY212" s="77">
        <f t="shared" si="121"/>
        <v>0</v>
      </c>
      <c r="BZ212" s="78"/>
      <c r="CA212" s="142"/>
      <c r="CB212" s="142"/>
      <c r="CC212" s="77">
        <f t="shared" si="122"/>
        <v>0</v>
      </c>
      <c r="CD212" s="78"/>
      <c r="CE212" s="142"/>
      <c r="CF212" s="142"/>
      <c r="CG212" s="79">
        <f t="shared" si="123"/>
        <v>0</v>
      </c>
      <c r="CH212" s="75"/>
      <c r="CI212" s="76"/>
      <c r="CJ212" s="135"/>
      <c r="CK212" s="135"/>
      <c r="CL212" s="77">
        <f t="shared" si="124"/>
        <v>0</v>
      </c>
      <c r="CM212" s="78"/>
      <c r="CN212" s="142"/>
      <c r="CO212" s="142"/>
      <c r="CP212" s="77">
        <f t="shared" si="125"/>
        <v>0</v>
      </c>
      <c r="CQ212" s="78"/>
      <c r="CR212" s="142"/>
      <c r="CS212" s="142"/>
      <c r="CT212" s="79">
        <f t="shared" si="126"/>
        <v>0</v>
      </c>
      <c r="CU212" s="80">
        <f t="shared" si="104"/>
        <v>0</v>
      </c>
      <c r="CV212" s="81">
        <f t="shared" si="105"/>
        <v>0</v>
      </c>
      <c r="CW212" s="144"/>
      <c r="CX212" s="145">
        <f>IF(ISERROR(VLOOKUP($A212,FIJOS!$B$11:$O$590,14,FALSE)),0,VLOOKUP($A212,FIJOS!$B$11:$O$590,14,FALSE))</f>
        <v>0</v>
      </c>
      <c r="CY212" s="145">
        <f>IF(ISERROR(VLOOKUP(A212,FIJOS!$B$10:$P$590,15,FALSE)),0,VLOOKUP(A212,FIJOS!$B$10:$P$590,15,FALSE))</f>
        <v>0</v>
      </c>
      <c r="CZ212" s="156"/>
      <c r="DA212" s="146"/>
      <c r="DB212" s="147"/>
      <c r="DC212" s="147"/>
      <c r="DD212" s="147"/>
      <c r="DE212" s="147"/>
      <c r="DF212" s="145">
        <f>IF(ISERROR(VLOOKUP($A212,FIJOS!$B$11:$N$590,13,FALSE)),0,VLOOKUP($A212,FIJOS!$B$11:$N$590,13,FALSE))</f>
        <v>0</v>
      </c>
      <c r="DG212" s="145">
        <f>IF(ISERROR(VLOOKUP($A212,FIJOS!$B$11:$P$447,12,FALSE)),0,VLOOKUP($A212,FIJOS!$B$11:$P$447,12,FALSE))</f>
        <v>0</v>
      </c>
      <c r="DH212" s="82">
        <f t="shared" si="127"/>
        <v>0</v>
      </c>
      <c r="DI212" s="83" t="b">
        <f>IF($C212=1,(VLOOKUP($A212,FIJOS!$B$11:$P$545,10,FALSE)/7)*(7-$CU212),IF(AND($C212=2,CV212&lt;$DJ$1),(VLOOKUP($D212,HORAS!$B$4:$C$42,2,FALSE)*24)*$CV212,IF(AND($C212=2,CV212&gt;=$DJ$1),VLOOKUP($D212,HORAS!$B$4:$D$42,3,FALSE),IF(AND($C212=3,$CV212&gt;=$DJ$1),VLOOKUP($A212,FIJOS!$B$11:$P$545,10,FALSE),IF(AND($C212=3,$CV212&lt;$DJ$1),((VLOOKUP($A212,FIJOS!$B$11:$P$545,10,FALSE)/48)*24)*$CV212,IF(AND($C212=4,$CV212&gt;=(42/24)),VLOOKUP($D212,HORAS!$B$4:$D$42,3,FALSE),IF(AND($C212=5,$CV212&gt;=(36/24)),VLOOKUP($D212,HORAS!$B$4:$D$42,3,FALSE))))))))</f>
        <v>0</v>
      </c>
      <c r="DJ212" s="145">
        <f>IF(OR($C212=2),VLOOKUP($D212,HORAS!$B$4:$E$42,4,FALSE)*$EC212,IF(ISERROR(VLOOKUP($A212,FIJOS!$B$11:$P$108,9,FALSE)),0,VLOOKUP($A212,FIJOS!$B$11:$P$231,9,FALSE)*$EC212))</f>
        <v>0</v>
      </c>
      <c r="DK212" s="145">
        <f>IF(OR($C212=2),VLOOKUP($D212,HORAS!$B$4:$F$42,5,FALSE)*$EE212,IF(ISERROR(VLOOKUP($A212,FIJOS!$B$11:$P$108,9,FALSE)),0,VLOOKUP($A212,FIJOS!$B$11:$P$231,9,FALSE)*$EE212))</f>
        <v>0</v>
      </c>
      <c r="DL212" s="144"/>
      <c r="DM212" s="145">
        <f>IF(ISERROR(VLOOKUP($A212,FIJOS!$B$11:$L$646,11,FALSE)),0,VLOOKUP($A212,FIJOS!$B$11:$L$646,11,FALSE))</f>
        <v>0</v>
      </c>
      <c r="DN212" s="148" t="e">
        <f>IF(OR($C212=1,$C212=3),0,IF((VLOOKUP(CAPTURA!D212,HORAS!$B$4:$K$42,10,FALSE)/4)*COUNTIF($H212:$CT212,3)&gt;100,100,(VLOOKUP(CAPTURA!D212,HORAS!$B$4:$K$42,10,FALSE)/4)*COUNTIF($H212:$CT212,3)))</f>
        <v>#N/A</v>
      </c>
      <c r="DO212" s="144" t="e">
        <f>IF(OR($C212=1,$C212=3),0,IF($C212=5,VLOOKUP(D212,HORAS!$B$4:$G$42,6,FALSE),IF(AND($C212=4,$CV212&gt;=(42/24)),VLOOKUP(D212,HORAS!$B$4:$G$42,6,FALSE),IF(COUNTIF($H212:$CL212,"F")&gt;0,0,IF(CV212&gt;$DJ$1,$DJ$1*(VLOOKUP(D212,HORAS!$B$4:$G$42,6,FALSE)/$DJ$1),CV212*(VLOOKUP(D212,HORAS!$B$4:$G$42,6,FALSE)/$DJ$1))))))</f>
        <v>#N/A</v>
      </c>
      <c r="DP212" s="156"/>
      <c r="DQ212" s="89"/>
      <c r="DR212" s="148"/>
      <c r="DS212" s="83" t="e">
        <f t="shared" si="130"/>
        <v>#N/A</v>
      </c>
      <c r="DT212" s="84"/>
      <c r="DU212" s="149" t="e">
        <f t="shared" si="131"/>
        <v>#N/A</v>
      </c>
      <c r="DV212" s="149" t="e">
        <f t="shared" si="132"/>
        <v>#N/A</v>
      </c>
      <c r="DW212" s="144" t="e">
        <f t="shared" si="133"/>
        <v>#N/A</v>
      </c>
      <c r="DX212" s="134"/>
      <c r="DY212" s="29"/>
      <c r="DZ212" s="150"/>
      <c r="EA212" s="134"/>
      <c r="EB212" s="137">
        <f t="shared" si="134"/>
        <v>0</v>
      </c>
      <c r="EC212" s="138">
        <f t="shared" si="128"/>
        <v>0</v>
      </c>
      <c r="ED212" s="137">
        <f t="shared" si="135"/>
        <v>0</v>
      </c>
      <c r="EE212" s="132">
        <f t="shared" si="129"/>
        <v>0</v>
      </c>
      <c r="EF212" s="29"/>
      <c r="EG212" s="134"/>
      <c r="EH212" s="134"/>
      <c r="EI212" s="134"/>
      <c r="EK212" s="29"/>
    </row>
    <row r="213" spans="1:141" ht="15" customHeight="1" x14ac:dyDescent="0.25">
      <c r="A213" s="140"/>
      <c r="B213" s="151"/>
      <c r="C213" s="72"/>
      <c r="D213" s="73"/>
      <c r="E213" s="73"/>
      <c r="F213" s="141"/>
      <c r="G213" s="74"/>
      <c r="H213" s="75"/>
      <c r="I213" s="76"/>
      <c r="J213" s="135"/>
      <c r="K213" s="135"/>
      <c r="L213" s="77">
        <f t="shared" si="106"/>
        <v>0</v>
      </c>
      <c r="M213" s="78"/>
      <c r="N213" s="142"/>
      <c r="O213" s="142"/>
      <c r="P213" s="77">
        <f t="shared" si="107"/>
        <v>0</v>
      </c>
      <c r="Q213" s="78"/>
      <c r="R213" s="143"/>
      <c r="S213" s="143"/>
      <c r="T213" s="77">
        <f t="shared" si="108"/>
        <v>0</v>
      </c>
      <c r="U213" s="75"/>
      <c r="V213" s="76"/>
      <c r="W213" s="135"/>
      <c r="X213" s="135"/>
      <c r="Y213" s="77">
        <f t="shared" si="109"/>
        <v>0</v>
      </c>
      <c r="Z213" s="78"/>
      <c r="AA213" s="142"/>
      <c r="AB213" s="142"/>
      <c r="AC213" s="77">
        <f t="shared" si="110"/>
        <v>0</v>
      </c>
      <c r="AD213" s="78"/>
      <c r="AE213" s="143"/>
      <c r="AF213" s="143"/>
      <c r="AG213" s="79">
        <f t="shared" si="111"/>
        <v>0</v>
      </c>
      <c r="AH213" s="75"/>
      <c r="AI213" s="76"/>
      <c r="AJ213" s="135"/>
      <c r="AK213" s="135"/>
      <c r="AL213" s="77">
        <f t="shared" si="112"/>
        <v>0</v>
      </c>
      <c r="AM213" s="76"/>
      <c r="AN213" s="142"/>
      <c r="AO213" s="142"/>
      <c r="AP213" s="77">
        <f t="shared" si="113"/>
        <v>0</v>
      </c>
      <c r="AQ213" s="78"/>
      <c r="AR213" s="142"/>
      <c r="AS213" s="142"/>
      <c r="AT213" s="79">
        <f t="shared" si="114"/>
        <v>0</v>
      </c>
      <c r="AU213" s="75"/>
      <c r="AV213" s="76"/>
      <c r="AW213" s="135"/>
      <c r="AX213" s="135"/>
      <c r="AY213" s="77">
        <f t="shared" si="115"/>
        <v>0</v>
      </c>
      <c r="AZ213" s="76"/>
      <c r="BA213" s="142"/>
      <c r="BB213" s="142"/>
      <c r="BC213" s="77">
        <f t="shared" si="116"/>
        <v>0</v>
      </c>
      <c r="BD213" s="78"/>
      <c r="BE213" s="142"/>
      <c r="BF213" s="142"/>
      <c r="BG213" s="79">
        <f t="shared" si="117"/>
        <v>0</v>
      </c>
      <c r="BH213" s="75"/>
      <c r="BI213" s="76"/>
      <c r="BJ213" s="135"/>
      <c r="BK213" s="135"/>
      <c r="BL213" s="77">
        <f t="shared" si="118"/>
        <v>0</v>
      </c>
      <c r="BM213" s="78"/>
      <c r="BN213" s="142"/>
      <c r="BO213" s="142"/>
      <c r="BP213" s="77">
        <f t="shared" si="119"/>
        <v>0</v>
      </c>
      <c r="BQ213" s="78"/>
      <c r="BR213" s="142"/>
      <c r="BS213" s="142"/>
      <c r="BT213" s="79">
        <f t="shared" si="120"/>
        <v>0</v>
      </c>
      <c r="BU213" s="75"/>
      <c r="BV213" s="76"/>
      <c r="BW213" s="135"/>
      <c r="BX213" s="135"/>
      <c r="BY213" s="77">
        <f t="shared" si="121"/>
        <v>0</v>
      </c>
      <c r="BZ213" s="76"/>
      <c r="CA213" s="142"/>
      <c r="CB213" s="142"/>
      <c r="CC213" s="77">
        <f t="shared" si="122"/>
        <v>0</v>
      </c>
      <c r="CD213" s="76"/>
      <c r="CE213" s="142"/>
      <c r="CF213" s="142"/>
      <c r="CG213" s="79">
        <f t="shared" si="123"/>
        <v>0</v>
      </c>
      <c r="CH213" s="75"/>
      <c r="CI213" s="76"/>
      <c r="CJ213" s="135"/>
      <c r="CK213" s="135"/>
      <c r="CL213" s="77">
        <f t="shared" si="124"/>
        <v>0</v>
      </c>
      <c r="CM213" s="78"/>
      <c r="CN213" s="142"/>
      <c r="CO213" s="142"/>
      <c r="CP213" s="77">
        <f t="shared" si="125"/>
        <v>0</v>
      </c>
      <c r="CQ213" s="78"/>
      <c r="CR213" s="142"/>
      <c r="CS213" s="142"/>
      <c r="CT213" s="79">
        <f t="shared" si="126"/>
        <v>0</v>
      </c>
      <c r="CU213" s="80">
        <f t="shared" si="104"/>
        <v>0</v>
      </c>
      <c r="CV213" s="81">
        <f t="shared" si="105"/>
        <v>0</v>
      </c>
      <c r="CW213" s="144"/>
      <c r="CX213" s="145">
        <f>IF(ISERROR(VLOOKUP($A213,FIJOS!$B$11:$O$590,14,FALSE)),0,VLOOKUP($A213,FIJOS!$B$11:$O$590,14,FALSE))</f>
        <v>0</v>
      </c>
      <c r="CY213" s="145">
        <f>IF(ISERROR(VLOOKUP(A213,FIJOS!$B$10:$P$590,15,FALSE)),0,VLOOKUP(A213,FIJOS!$B$10:$P$590,15,FALSE))</f>
        <v>0</v>
      </c>
      <c r="CZ213" s="156"/>
      <c r="DA213" s="146"/>
      <c r="DB213" s="147"/>
      <c r="DC213" s="147"/>
      <c r="DD213" s="147"/>
      <c r="DE213" s="147"/>
      <c r="DF213" s="145">
        <f>IF(ISERROR(VLOOKUP($A213,FIJOS!$B$11:$N$590,13,FALSE)),0,VLOOKUP($A213,FIJOS!$B$11:$N$590,13,FALSE))</f>
        <v>0</v>
      </c>
      <c r="DG213" s="145">
        <f>IF(ISERROR(VLOOKUP($A213,FIJOS!$B$11:$P$447,12,FALSE)),0,VLOOKUP($A213,FIJOS!$B$11:$P$447,12,FALSE))</f>
        <v>0</v>
      </c>
      <c r="DH213" s="82">
        <f t="shared" si="127"/>
        <v>0</v>
      </c>
      <c r="DI213" s="83" t="b">
        <f>IF($C213=1,(VLOOKUP($A213,FIJOS!$B$11:$P$545,10,FALSE)/7)*(7-$CU213),IF(AND($C213=2,CV213&lt;$DJ$1),(VLOOKUP($D213,HORAS!$B$4:$C$42,2,FALSE)*24)*$CV213,IF(AND($C213=2,CV213&gt;=$DJ$1),VLOOKUP($D213,HORAS!$B$4:$D$42,3,FALSE),IF(AND($C213=3,$CV213&gt;=$DJ$1),VLOOKUP($A213,FIJOS!$B$11:$P$545,10,FALSE),IF(AND($C213=3,$CV213&lt;$DJ$1),((VLOOKUP($A213,FIJOS!$B$11:$P$545,10,FALSE)/48)*24)*$CV213,IF(AND($C213=4,$CV213&gt;=(42/24)),VLOOKUP($D213,HORAS!$B$4:$D$42,3,FALSE),IF(AND($C213=5,$CV213&gt;=(36/24)),VLOOKUP($D213,HORAS!$B$4:$D$42,3,FALSE))))))))</f>
        <v>0</v>
      </c>
      <c r="DJ213" s="145">
        <f>IF(OR($C213=2),VLOOKUP($D213,HORAS!$B$4:$E$42,4,FALSE)*$EC213,IF(ISERROR(VLOOKUP($A213,FIJOS!$B$11:$P$108,9,FALSE)),0,VLOOKUP($A213,FIJOS!$B$11:$P$231,9,FALSE)*$EC213))</f>
        <v>0</v>
      </c>
      <c r="DK213" s="145">
        <f>IF(OR($C213=2),VLOOKUP($D213,HORAS!$B$4:$F$42,5,FALSE)*$EE213,IF(ISERROR(VLOOKUP($A213,FIJOS!$B$11:$P$108,9,FALSE)),0,VLOOKUP($A213,FIJOS!$B$11:$P$231,9,FALSE)*$EE213))</f>
        <v>0</v>
      </c>
      <c r="DL213" s="144"/>
      <c r="DM213" s="145">
        <f>IF(ISERROR(VLOOKUP($A213,FIJOS!$B$11:$L$646,11,FALSE)),0,VLOOKUP($A213,FIJOS!$B$11:$L$646,11,FALSE))</f>
        <v>0</v>
      </c>
      <c r="DN213" s="148" t="e">
        <f>IF(OR($C213=1,$C213=3),0,IF((VLOOKUP(CAPTURA!D213,HORAS!$B$4:$K$42,10,FALSE)/4)*COUNTIF($H213:$CT213,3)&gt;100,100,(VLOOKUP(CAPTURA!D213,HORAS!$B$4:$K$42,10,FALSE)/4)*COUNTIF($H213:$CT213,3)))</f>
        <v>#N/A</v>
      </c>
      <c r="DO213" s="144" t="e">
        <f>IF(OR($C213=1,$C213=3),0,IF($C213=5,VLOOKUP(D213,HORAS!$B$4:$G$42,6,FALSE),IF(AND($C213=4,$CV213&gt;=(42/24)),VLOOKUP(D213,HORAS!$B$4:$G$42,6,FALSE),IF(COUNTIF($H213:$CL213,"F")&gt;0,0,IF(CV213&gt;$DJ$1,$DJ$1*(VLOOKUP(D213,HORAS!$B$4:$G$42,6,FALSE)/$DJ$1),CV213*(VLOOKUP(D213,HORAS!$B$4:$G$42,6,FALSE)/$DJ$1))))))</f>
        <v>#N/A</v>
      </c>
      <c r="DP213" s="156"/>
      <c r="DQ213" s="89"/>
      <c r="DR213" s="148"/>
      <c r="DS213" s="83" t="e">
        <f t="shared" si="130"/>
        <v>#N/A</v>
      </c>
      <c r="DT213" s="84"/>
      <c r="DU213" s="149" t="e">
        <f t="shared" si="131"/>
        <v>#N/A</v>
      </c>
      <c r="DV213" s="149" t="e">
        <f t="shared" si="132"/>
        <v>#N/A</v>
      </c>
      <c r="DW213" s="144" t="e">
        <f t="shared" si="133"/>
        <v>#N/A</v>
      </c>
      <c r="DX213" s="134"/>
      <c r="DY213" s="29"/>
      <c r="DZ213" s="150"/>
      <c r="EA213" s="134"/>
      <c r="EB213" s="137">
        <f t="shared" si="134"/>
        <v>0</v>
      </c>
      <c r="EC213" s="138">
        <f t="shared" si="128"/>
        <v>0</v>
      </c>
      <c r="ED213" s="137">
        <f t="shared" si="135"/>
        <v>0</v>
      </c>
      <c r="EE213" s="132">
        <f t="shared" si="129"/>
        <v>0</v>
      </c>
      <c r="EF213" s="29"/>
      <c r="EG213" s="134"/>
      <c r="EH213" s="134"/>
      <c r="EI213" s="134"/>
      <c r="EK213" s="29"/>
    </row>
    <row r="214" spans="1:141" ht="15" customHeight="1" x14ac:dyDescent="0.25">
      <c r="A214" s="140"/>
      <c r="B214" s="151"/>
      <c r="C214" s="72"/>
      <c r="D214" s="73"/>
      <c r="E214" s="73"/>
      <c r="F214" s="141"/>
      <c r="G214" s="74"/>
      <c r="H214" s="75"/>
      <c r="I214" s="76"/>
      <c r="J214" s="135"/>
      <c r="K214" s="135"/>
      <c r="L214" s="77">
        <f t="shared" si="106"/>
        <v>0</v>
      </c>
      <c r="M214" s="76"/>
      <c r="N214" s="142"/>
      <c r="O214" s="142"/>
      <c r="P214" s="77">
        <f t="shared" si="107"/>
        <v>0</v>
      </c>
      <c r="Q214" s="76"/>
      <c r="R214" s="143"/>
      <c r="S214" s="143"/>
      <c r="T214" s="77">
        <f t="shared" si="108"/>
        <v>0</v>
      </c>
      <c r="U214" s="75"/>
      <c r="V214" s="76"/>
      <c r="W214" s="135"/>
      <c r="X214" s="135"/>
      <c r="Y214" s="77">
        <f t="shared" si="109"/>
        <v>0</v>
      </c>
      <c r="Z214" s="76"/>
      <c r="AA214" s="142"/>
      <c r="AB214" s="142"/>
      <c r="AC214" s="77">
        <f t="shared" si="110"/>
        <v>0</v>
      </c>
      <c r="AD214" s="76"/>
      <c r="AE214" s="143"/>
      <c r="AF214" s="143"/>
      <c r="AG214" s="79">
        <f t="shared" si="111"/>
        <v>0</v>
      </c>
      <c r="AH214" s="75"/>
      <c r="AI214" s="76"/>
      <c r="AJ214" s="135"/>
      <c r="AK214" s="135"/>
      <c r="AL214" s="77">
        <f t="shared" si="112"/>
        <v>0</v>
      </c>
      <c r="AM214" s="76"/>
      <c r="AN214" s="142"/>
      <c r="AO214" s="142"/>
      <c r="AP214" s="77">
        <f t="shared" si="113"/>
        <v>0</v>
      </c>
      <c r="AQ214" s="76"/>
      <c r="AR214" s="142"/>
      <c r="AS214" s="142"/>
      <c r="AT214" s="79">
        <f t="shared" si="114"/>
        <v>0</v>
      </c>
      <c r="AU214" s="75"/>
      <c r="AV214" s="76"/>
      <c r="AW214" s="135"/>
      <c r="AX214" s="135"/>
      <c r="AY214" s="77">
        <f t="shared" si="115"/>
        <v>0</v>
      </c>
      <c r="AZ214" s="76"/>
      <c r="BA214" s="142"/>
      <c r="BB214" s="142"/>
      <c r="BC214" s="77">
        <f t="shared" si="116"/>
        <v>0</v>
      </c>
      <c r="BD214" s="76"/>
      <c r="BE214" s="142"/>
      <c r="BF214" s="142"/>
      <c r="BG214" s="79">
        <f t="shared" si="117"/>
        <v>0</v>
      </c>
      <c r="BH214" s="75"/>
      <c r="BI214" s="76"/>
      <c r="BJ214" s="135"/>
      <c r="BK214" s="135"/>
      <c r="BL214" s="77">
        <f t="shared" si="118"/>
        <v>0</v>
      </c>
      <c r="BM214" s="76"/>
      <c r="BN214" s="142"/>
      <c r="BO214" s="142"/>
      <c r="BP214" s="77">
        <f t="shared" si="119"/>
        <v>0</v>
      </c>
      <c r="BQ214" s="76"/>
      <c r="BR214" s="142"/>
      <c r="BS214" s="142"/>
      <c r="BT214" s="79">
        <f t="shared" si="120"/>
        <v>0</v>
      </c>
      <c r="BU214" s="75"/>
      <c r="BV214" s="76"/>
      <c r="BW214" s="135"/>
      <c r="BX214" s="135"/>
      <c r="BY214" s="77">
        <f t="shared" si="121"/>
        <v>0</v>
      </c>
      <c r="BZ214" s="76"/>
      <c r="CA214" s="142"/>
      <c r="CB214" s="142"/>
      <c r="CC214" s="77">
        <f t="shared" si="122"/>
        <v>0</v>
      </c>
      <c r="CD214" s="76"/>
      <c r="CE214" s="142"/>
      <c r="CF214" s="142"/>
      <c r="CG214" s="79">
        <f t="shared" si="123"/>
        <v>0</v>
      </c>
      <c r="CH214" s="75"/>
      <c r="CI214" s="76"/>
      <c r="CJ214" s="135"/>
      <c r="CK214" s="135"/>
      <c r="CL214" s="77">
        <f t="shared" si="124"/>
        <v>0</v>
      </c>
      <c r="CM214" s="76"/>
      <c r="CN214" s="142"/>
      <c r="CO214" s="142"/>
      <c r="CP214" s="77">
        <f t="shared" si="125"/>
        <v>0</v>
      </c>
      <c r="CQ214" s="76"/>
      <c r="CR214" s="142"/>
      <c r="CS214" s="142"/>
      <c r="CT214" s="79">
        <f t="shared" si="126"/>
        <v>0</v>
      </c>
      <c r="CU214" s="80">
        <f t="shared" si="104"/>
        <v>0</v>
      </c>
      <c r="CV214" s="81">
        <f t="shared" si="105"/>
        <v>0</v>
      </c>
      <c r="CW214" s="144"/>
      <c r="CX214" s="145">
        <f>IF(ISERROR(VLOOKUP($A214,FIJOS!$B$11:$O$590,14,FALSE)),0,VLOOKUP($A214,FIJOS!$B$11:$O$590,14,FALSE))</f>
        <v>0</v>
      </c>
      <c r="CY214" s="145">
        <f>IF(ISERROR(VLOOKUP(A214,FIJOS!$B$10:$P$590,15,FALSE)),0,VLOOKUP(A214,FIJOS!$B$10:$P$590,15,FALSE))</f>
        <v>0</v>
      </c>
      <c r="CZ214" s="156"/>
      <c r="DA214" s="146"/>
      <c r="DB214" s="147"/>
      <c r="DC214" s="147"/>
      <c r="DD214" s="147"/>
      <c r="DE214" s="147"/>
      <c r="DF214" s="145">
        <f>IF(ISERROR(VLOOKUP($A214,FIJOS!$B$11:$N$590,13,FALSE)),0,VLOOKUP($A214,FIJOS!$B$11:$N$590,13,FALSE))</f>
        <v>0</v>
      </c>
      <c r="DG214" s="145">
        <f>IF(ISERROR(VLOOKUP($A214,FIJOS!$B$11:$P$447,12,FALSE)),0,VLOOKUP($A214,FIJOS!$B$11:$P$447,12,FALSE))</f>
        <v>0</v>
      </c>
      <c r="DH214" s="82">
        <f t="shared" si="127"/>
        <v>0</v>
      </c>
      <c r="DI214" s="83" t="b">
        <f>IF($C214=1,(VLOOKUP($A214,FIJOS!$B$11:$P$545,10,FALSE)/7)*(7-$CU214),IF(AND($C214=2,CV214&lt;$DJ$1),(VLOOKUP($D214,HORAS!$B$4:$C$42,2,FALSE)*24)*$CV214,IF(AND($C214=2,CV214&gt;=$DJ$1),VLOOKUP($D214,HORAS!$B$4:$D$42,3,FALSE),IF(AND($C214=3,$CV214&gt;=$DJ$1),VLOOKUP($A214,FIJOS!$B$11:$P$545,10,FALSE),IF(AND($C214=3,$CV214&lt;$DJ$1),((VLOOKUP($A214,FIJOS!$B$11:$P$545,10,FALSE)/48)*24)*$CV214,IF(AND($C214=4,$CV214&gt;=(42/24)),VLOOKUP($D214,HORAS!$B$4:$D$42,3,FALSE),IF(AND($C214=5,$CV214&gt;=(36/24)),VLOOKUP($D214,HORAS!$B$4:$D$42,3,FALSE))))))))</f>
        <v>0</v>
      </c>
      <c r="DJ214" s="145">
        <f>IF(OR($C214=2),VLOOKUP($D214,HORAS!$B$4:$E$42,4,FALSE)*$EC214,IF(ISERROR(VLOOKUP($A214,FIJOS!$B$11:$P$108,9,FALSE)),0,VLOOKUP($A214,FIJOS!$B$11:$P$231,9,FALSE)*$EC214))</f>
        <v>0</v>
      </c>
      <c r="DK214" s="145">
        <f>IF(OR($C214=2),VLOOKUP($D214,HORAS!$B$4:$F$42,5,FALSE)*$EE214,IF(ISERROR(VLOOKUP($A214,FIJOS!$B$11:$P$108,9,FALSE)),0,VLOOKUP($A214,FIJOS!$B$11:$P$231,9,FALSE)*$EE214))</f>
        <v>0</v>
      </c>
      <c r="DL214" s="144"/>
      <c r="DM214" s="145">
        <f>IF(ISERROR(VLOOKUP($A214,FIJOS!$B$11:$L$646,11,FALSE)),0,VLOOKUP($A214,FIJOS!$B$11:$L$646,11,FALSE))</f>
        <v>0</v>
      </c>
      <c r="DN214" s="148" t="e">
        <f>IF(OR($C214=1,$C214=3),0,IF((VLOOKUP(CAPTURA!D214,HORAS!$B$4:$K$42,10,FALSE)/4)*COUNTIF($H214:$CT214,3)&gt;100,100,(VLOOKUP(CAPTURA!D214,HORAS!$B$4:$K$42,10,FALSE)/4)*COUNTIF($H214:$CT214,3)))</f>
        <v>#N/A</v>
      </c>
      <c r="DO214" s="144" t="e">
        <f>IF(OR($C214=1,$C214=3),0,IF($C214=5,VLOOKUP(D214,HORAS!$B$4:$G$42,6,FALSE),IF(AND($C214=4,$CV214&gt;=(42/24)),VLOOKUP(D214,HORAS!$B$4:$G$42,6,FALSE),IF(COUNTIF($H214:$CL214,"F")&gt;0,0,IF(CV214&gt;$DJ$1,$DJ$1*(VLOOKUP(D214,HORAS!$B$4:$G$42,6,FALSE)/$DJ$1),CV214*(VLOOKUP(D214,HORAS!$B$4:$G$42,6,FALSE)/$DJ$1))))))</f>
        <v>#N/A</v>
      </c>
      <c r="DP214" s="177"/>
      <c r="DQ214" s="148"/>
      <c r="DR214" s="148"/>
      <c r="DS214" s="83" t="e">
        <f t="shared" si="130"/>
        <v>#N/A</v>
      </c>
      <c r="DT214" s="84"/>
      <c r="DU214" s="149" t="e">
        <f t="shared" si="131"/>
        <v>#N/A</v>
      </c>
      <c r="DV214" s="149" t="e">
        <f t="shared" si="132"/>
        <v>#N/A</v>
      </c>
      <c r="DW214" s="144" t="e">
        <f t="shared" si="133"/>
        <v>#N/A</v>
      </c>
      <c r="DX214"/>
      <c r="DY214" s="29"/>
      <c r="DZ214" s="150"/>
      <c r="EA214" s="134"/>
      <c r="EB214" s="137">
        <f t="shared" si="134"/>
        <v>0</v>
      </c>
      <c r="EC214" s="138">
        <f t="shared" si="128"/>
        <v>0</v>
      </c>
      <c r="ED214" s="137">
        <f t="shared" si="135"/>
        <v>0</v>
      </c>
      <c r="EE214" s="132">
        <f t="shared" si="129"/>
        <v>0</v>
      </c>
      <c r="EF214" s="29"/>
      <c r="EG214" s="134"/>
      <c r="EH214" s="134"/>
      <c r="EI214" s="134"/>
      <c r="EK214" s="29"/>
    </row>
    <row r="215" spans="1:141" ht="15" customHeight="1" x14ac:dyDescent="0.25">
      <c r="A215" s="140"/>
      <c r="B215" s="151"/>
      <c r="C215" s="72"/>
      <c r="D215" s="73"/>
      <c r="E215" s="73"/>
      <c r="F215" s="141"/>
      <c r="G215" s="74"/>
      <c r="H215" s="75"/>
      <c r="I215" s="76"/>
      <c r="J215" s="135"/>
      <c r="K215" s="135"/>
      <c r="L215" s="77">
        <f t="shared" si="106"/>
        <v>0</v>
      </c>
      <c r="M215" s="78"/>
      <c r="N215" s="142"/>
      <c r="O215" s="142"/>
      <c r="P215" s="77">
        <f t="shared" si="107"/>
        <v>0</v>
      </c>
      <c r="Q215" s="78"/>
      <c r="R215" s="143"/>
      <c r="S215" s="143"/>
      <c r="T215" s="77">
        <f t="shared" si="108"/>
        <v>0</v>
      </c>
      <c r="U215" s="75"/>
      <c r="V215" s="76"/>
      <c r="W215" s="135"/>
      <c r="X215" s="135"/>
      <c r="Y215" s="77">
        <f t="shared" si="109"/>
        <v>0</v>
      </c>
      <c r="Z215" s="78"/>
      <c r="AA215" s="142"/>
      <c r="AB215" s="142"/>
      <c r="AC215" s="77">
        <f t="shared" si="110"/>
        <v>0</v>
      </c>
      <c r="AD215" s="78"/>
      <c r="AE215" s="143"/>
      <c r="AF215" s="143"/>
      <c r="AG215" s="79">
        <f t="shared" si="111"/>
        <v>0</v>
      </c>
      <c r="AH215" s="75"/>
      <c r="AI215" s="76"/>
      <c r="AJ215" s="135"/>
      <c r="AK215" s="135"/>
      <c r="AL215" s="77">
        <f t="shared" si="112"/>
        <v>0</v>
      </c>
      <c r="AM215" s="76"/>
      <c r="AN215" s="142"/>
      <c r="AO215" s="142"/>
      <c r="AP215" s="77">
        <f t="shared" si="113"/>
        <v>0</v>
      </c>
      <c r="AQ215" s="78"/>
      <c r="AR215" s="142"/>
      <c r="AS215" s="142"/>
      <c r="AT215" s="79">
        <f t="shared" si="114"/>
        <v>0</v>
      </c>
      <c r="AU215" s="75"/>
      <c r="AV215" s="76"/>
      <c r="AW215" s="135"/>
      <c r="AX215" s="135"/>
      <c r="AY215" s="77">
        <f t="shared" si="115"/>
        <v>0</v>
      </c>
      <c r="AZ215" s="76"/>
      <c r="BA215" s="142"/>
      <c r="BB215" s="142"/>
      <c r="BC215" s="77">
        <f t="shared" si="116"/>
        <v>0</v>
      </c>
      <c r="BD215" s="78"/>
      <c r="BE215" s="142"/>
      <c r="BF215" s="142"/>
      <c r="BG215" s="79">
        <f t="shared" si="117"/>
        <v>0</v>
      </c>
      <c r="BH215" s="75"/>
      <c r="BI215" s="76"/>
      <c r="BJ215" s="135"/>
      <c r="BK215" s="135"/>
      <c r="BL215" s="77">
        <f t="shared" si="118"/>
        <v>0</v>
      </c>
      <c r="BM215" s="78"/>
      <c r="BN215" s="142"/>
      <c r="BO215" s="142"/>
      <c r="BP215" s="77">
        <f t="shared" si="119"/>
        <v>0</v>
      </c>
      <c r="BQ215" s="78"/>
      <c r="BR215" s="142"/>
      <c r="BS215" s="142"/>
      <c r="BT215" s="79">
        <f t="shared" si="120"/>
        <v>0</v>
      </c>
      <c r="BU215" s="75"/>
      <c r="BV215" s="76"/>
      <c r="BW215" s="135"/>
      <c r="BX215" s="135"/>
      <c r="BY215" s="77">
        <f t="shared" si="121"/>
        <v>0</v>
      </c>
      <c r="BZ215" s="78"/>
      <c r="CA215" s="142"/>
      <c r="CB215" s="142"/>
      <c r="CC215" s="77">
        <f t="shared" si="122"/>
        <v>0</v>
      </c>
      <c r="CD215" s="78"/>
      <c r="CE215" s="142"/>
      <c r="CF215" s="142"/>
      <c r="CG215" s="79">
        <f t="shared" si="123"/>
        <v>0</v>
      </c>
      <c r="CH215" s="75"/>
      <c r="CI215" s="76"/>
      <c r="CJ215" s="135"/>
      <c r="CK215" s="135"/>
      <c r="CL215" s="77">
        <f t="shared" si="124"/>
        <v>0</v>
      </c>
      <c r="CM215" s="78"/>
      <c r="CN215" s="142"/>
      <c r="CO215" s="142"/>
      <c r="CP215" s="77">
        <f t="shared" si="125"/>
        <v>0</v>
      </c>
      <c r="CQ215" s="78"/>
      <c r="CR215" s="142"/>
      <c r="CS215" s="142"/>
      <c r="CT215" s="79">
        <f t="shared" si="126"/>
        <v>0</v>
      </c>
      <c r="CU215" s="80">
        <f t="shared" si="104"/>
        <v>0</v>
      </c>
      <c r="CV215" s="81">
        <f t="shared" si="105"/>
        <v>0</v>
      </c>
      <c r="CW215" s="144"/>
      <c r="CX215" s="145">
        <f>IF(ISERROR(VLOOKUP($A215,FIJOS!$B$11:$O$590,14,FALSE)),0,VLOOKUP($A215,FIJOS!$B$11:$O$590,14,FALSE))</f>
        <v>0</v>
      </c>
      <c r="CY215" s="145">
        <f>IF(ISERROR(VLOOKUP(A215,FIJOS!$B$10:$P$590,15,FALSE)),0,VLOOKUP(A215,FIJOS!$B$10:$P$590,15,FALSE))</f>
        <v>0</v>
      </c>
      <c r="CZ215" s="156"/>
      <c r="DA215" s="146"/>
      <c r="DB215" s="147"/>
      <c r="DC215" s="147"/>
      <c r="DD215" s="147"/>
      <c r="DE215" s="147"/>
      <c r="DF215" s="145">
        <f>IF(ISERROR(VLOOKUP($A215,FIJOS!$B$11:$N$590,13,FALSE)),0,VLOOKUP($A215,FIJOS!$B$11:$N$590,13,FALSE))</f>
        <v>0</v>
      </c>
      <c r="DG215" s="145">
        <f>IF(ISERROR(VLOOKUP($A215,FIJOS!$B$11:$P$447,12,FALSE)),0,VLOOKUP($A215,FIJOS!$B$11:$P$447,12,FALSE))</f>
        <v>0</v>
      </c>
      <c r="DH215" s="82">
        <f t="shared" si="127"/>
        <v>0</v>
      </c>
      <c r="DI215" s="83" t="b">
        <f>IF($C215=1,(VLOOKUP($A215,FIJOS!$B$11:$P$545,10,FALSE)/7)*(7-$CU215),IF(AND($C215=2,CV215&lt;$DJ$1),(VLOOKUP($D215,HORAS!$B$4:$C$42,2,FALSE)*24)*$CV215,IF(AND($C215=2,CV215&gt;=$DJ$1),VLOOKUP($D215,HORAS!$B$4:$D$42,3,FALSE),IF(AND($C215=3,$CV215&gt;=$DJ$1),VLOOKUP($A215,FIJOS!$B$11:$P$545,10,FALSE),IF(AND($C215=3,$CV215&lt;$DJ$1),((VLOOKUP($A215,FIJOS!$B$11:$P$545,10,FALSE)/48)*24)*$CV215,IF(AND($C215=4,$CV215&gt;=(42/24)),VLOOKUP($D215,HORAS!$B$4:$D$42,3,FALSE),IF(AND($C215=5,$CV215&gt;=(36/24)),VLOOKUP($D215,HORAS!$B$4:$D$42,3,FALSE))))))))</f>
        <v>0</v>
      </c>
      <c r="DJ215" s="145">
        <f>IF(OR($C215=2),VLOOKUP($D215,HORAS!$B$4:$E$42,4,FALSE)*$EC215,IF(ISERROR(VLOOKUP($A215,FIJOS!$B$11:$P$108,9,FALSE)),0,VLOOKUP($A215,FIJOS!$B$11:$P$231,9,FALSE)*$EC215))</f>
        <v>0</v>
      </c>
      <c r="DK215" s="145">
        <f>IF(OR($C215=2),VLOOKUP($D215,HORAS!$B$4:$F$42,5,FALSE)*$EE215,IF(ISERROR(VLOOKUP($A215,FIJOS!$B$11:$P$108,9,FALSE)),0,VLOOKUP($A215,FIJOS!$B$11:$P$231,9,FALSE)*$EE215))</f>
        <v>0</v>
      </c>
      <c r="DL215" s="144"/>
      <c r="DM215" s="145">
        <f>IF(ISERROR(VLOOKUP($A215,FIJOS!$B$11:$L$646,11,FALSE)),0,VLOOKUP($A215,FIJOS!$B$11:$L$646,11,FALSE))</f>
        <v>0</v>
      </c>
      <c r="DN215" s="148" t="e">
        <f>IF(OR($C215=1,$C215=3),0,IF((VLOOKUP(CAPTURA!D215,HORAS!$B$4:$K$42,10,FALSE)/4)*COUNTIF($H215:$CT215,3)&gt;100,100,(VLOOKUP(CAPTURA!D215,HORAS!$B$4:$K$42,10,FALSE)/4)*COUNTIF($H215:$CT215,3)))</f>
        <v>#N/A</v>
      </c>
      <c r="DO215" s="144" t="e">
        <f>IF(OR($C215=1,$C215=3),0,IF($C215=5,VLOOKUP(D215,HORAS!$B$4:$G$42,6,FALSE),IF(AND($C215=4,$CV215&gt;=(42/24)),VLOOKUP(D215,HORAS!$B$4:$G$42,6,FALSE),IF(COUNTIF($H215:$CL215,"F")&gt;0,0,IF(CV215&gt;$DJ$1,$DJ$1*(VLOOKUP(D215,HORAS!$B$4:$G$42,6,FALSE)/$DJ$1),CV215*(VLOOKUP(D215,HORAS!$B$4:$G$42,6,FALSE)/$DJ$1))))))</f>
        <v>#N/A</v>
      </c>
      <c r="DP215" s="156"/>
      <c r="DQ215" s="148"/>
      <c r="DR215" s="148"/>
      <c r="DS215" s="83" t="e">
        <f t="shared" si="130"/>
        <v>#N/A</v>
      </c>
      <c r="DT215" s="84"/>
      <c r="DU215" s="149" t="e">
        <f t="shared" si="131"/>
        <v>#N/A</v>
      </c>
      <c r="DV215" s="149" t="e">
        <f t="shared" si="132"/>
        <v>#N/A</v>
      </c>
      <c r="DW215" s="144" t="e">
        <f t="shared" si="133"/>
        <v>#N/A</v>
      </c>
      <c r="DX215"/>
      <c r="DY215" s="29"/>
      <c r="DZ215" s="150"/>
      <c r="EA215" s="134"/>
      <c r="EB215" s="137">
        <f t="shared" si="134"/>
        <v>0</v>
      </c>
      <c r="EC215" s="138">
        <f t="shared" si="128"/>
        <v>0</v>
      </c>
      <c r="ED215" s="137">
        <f t="shared" si="135"/>
        <v>0</v>
      </c>
      <c r="EE215" s="132">
        <f t="shared" si="129"/>
        <v>0</v>
      </c>
      <c r="EF215" s="29"/>
      <c r="EG215" s="134"/>
      <c r="EH215" s="134"/>
      <c r="EI215" s="134"/>
      <c r="EK215" s="29"/>
    </row>
    <row r="216" spans="1:141" ht="15" customHeight="1" x14ac:dyDescent="0.25">
      <c r="A216" s="140"/>
      <c r="B216" s="5"/>
      <c r="C216" s="72"/>
      <c r="D216" s="73"/>
      <c r="E216" s="73"/>
      <c r="F216" s="141"/>
      <c r="G216" s="74"/>
      <c r="H216" s="75"/>
      <c r="I216" s="76"/>
      <c r="J216" s="135"/>
      <c r="K216" s="135"/>
      <c r="L216" s="77">
        <f t="shared" si="106"/>
        <v>0</v>
      </c>
      <c r="M216" s="78"/>
      <c r="N216" s="142"/>
      <c r="O216" s="142"/>
      <c r="P216" s="77">
        <f t="shared" si="107"/>
        <v>0</v>
      </c>
      <c r="Q216" s="78"/>
      <c r="R216" s="143"/>
      <c r="S216" s="143"/>
      <c r="T216" s="77">
        <f t="shared" si="108"/>
        <v>0</v>
      </c>
      <c r="U216" s="75"/>
      <c r="V216" s="76"/>
      <c r="W216" s="135"/>
      <c r="X216" s="135"/>
      <c r="Y216" s="77">
        <f t="shared" si="109"/>
        <v>0</v>
      </c>
      <c r="Z216" s="78"/>
      <c r="AA216" s="142"/>
      <c r="AB216" s="142"/>
      <c r="AC216" s="77">
        <f t="shared" si="110"/>
        <v>0</v>
      </c>
      <c r="AD216" s="78"/>
      <c r="AE216" s="143"/>
      <c r="AF216" s="143"/>
      <c r="AG216" s="79">
        <f t="shared" si="111"/>
        <v>0</v>
      </c>
      <c r="AH216" s="75"/>
      <c r="AI216" s="76"/>
      <c r="AJ216" s="135"/>
      <c r="AK216" s="135"/>
      <c r="AL216" s="77">
        <f t="shared" si="112"/>
        <v>0</v>
      </c>
      <c r="AM216" s="76"/>
      <c r="AN216" s="142"/>
      <c r="AO216" s="142"/>
      <c r="AP216" s="77">
        <f t="shared" si="113"/>
        <v>0</v>
      </c>
      <c r="AQ216" s="78"/>
      <c r="AR216" s="142"/>
      <c r="AS216" s="142"/>
      <c r="AT216" s="79">
        <f t="shared" si="114"/>
        <v>0</v>
      </c>
      <c r="AU216" s="75"/>
      <c r="AV216" s="76"/>
      <c r="AW216" s="135"/>
      <c r="AX216" s="135"/>
      <c r="AY216" s="77">
        <f t="shared" si="115"/>
        <v>0</v>
      </c>
      <c r="AZ216" s="76"/>
      <c r="BA216" s="142"/>
      <c r="BB216" s="142"/>
      <c r="BC216" s="77">
        <f t="shared" si="116"/>
        <v>0</v>
      </c>
      <c r="BD216" s="78"/>
      <c r="BE216" s="142"/>
      <c r="BF216" s="142"/>
      <c r="BG216" s="79">
        <f t="shared" si="117"/>
        <v>0</v>
      </c>
      <c r="BH216" s="75"/>
      <c r="BI216" s="76"/>
      <c r="BJ216" s="135"/>
      <c r="BK216" s="135"/>
      <c r="BL216" s="77">
        <f t="shared" si="118"/>
        <v>0</v>
      </c>
      <c r="BM216" s="78"/>
      <c r="BN216" s="142"/>
      <c r="BO216" s="142"/>
      <c r="BP216" s="77">
        <f t="shared" si="119"/>
        <v>0</v>
      </c>
      <c r="BQ216" s="78"/>
      <c r="BR216" s="142"/>
      <c r="BS216" s="142"/>
      <c r="BT216" s="79">
        <f t="shared" si="120"/>
        <v>0</v>
      </c>
      <c r="BU216" s="75"/>
      <c r="BV216" s="76"/>
      <c r="BW216" s="135"/>
      <c r="BX216" s="135"/>
      <c r="BY216" s="77">
        <f t="shared" si="121"/>
        <v>0</v>
      </c>
      <c r="BZ216" s="78"/>
      <c r="CA216" s="142"/>
      <c r="CB216" s="142"/>
      <c r="CC216" s="77">
        <f t="shared" si="122"/>
        <v>0</v>
      </c>
      <c r="CD216" s="78"/>
      <c r="CE216" s="142"/>
      <c r="CF216" s="142"/>
      <c r="CG216" s="79">
        <f t="shared" si="123"/>
        <v>0</v>
      </c>
      <c r="CH216" s="75"/>
      <c r="CI216" s="76"/>
      <c r="CJ216" s="135"/>
      <c r="CK216" s="135"/>
      <c r="CL216" s="77">
        <f t="shared" si="124"/>
        <v>0</v>
      </c>
      <c r="CM216" s="78"/>
      <c r="CN216" s="142"/>
      <c r="CO216" s="142"/>
      <c r="CP216" s="77">
        <f t="shared" si="125"/>
        <v>0</v>
      </c>
      <c r="CQ216" s="78"/>
      <c r="CR216" s="142"/>
      <c r="CS216" s="142"/>
      <c r="CT216" s="79">
        <f t="shared" si="126"/>
        <v>0</v>
      </c>
      <c r="CU216" s="80">
        <f t="shared" si="104"/>
        <v>0</v>
      </c>
      <c r="CV216" s="81">
        <f t="shared" si="105"/>
        <v>0</v>
      </c>
      <c r="CW216" s="144"/>
      <c r="CX216" s="145">
        <f>IF(ISERROR(VLOOKUP($A216,FIJOS!$B$11:$O$590,14,FALSE)),0,VLOOKUP($A216,FIJOS!$B$11:$O$590,14,FALSE))</f>
        <v>0</v>
      </c>
      <c r="CY216" s="145">
        <f>IF(ISERROR(VLOOKUP(A216,FIJOS!$B$10:$P$590,15,FALSE)),0,VLOOKUP(A216,FIJOS!$B$10:$P$590,15,FALSE))</f>
        <v>0</v>
      </c>
      <c r="CZ216" s="156"/>
      <c r="DA216" s="146"/>
      <c r="DB216" s="147"/>
      <c r="DC216" s="147"/>
      <c r="DD216" s="147"/>
      <c r="DE216" s="147"/>
      <c r="DF216" s="145">
        <f>IF(ISERROR(VLOOKUP($A216,FIJOS!$B$11:$N$590,13,FALSE)),0,VLOOKUP($A216,FIJOS!$B$11:$N$590,13,FALSE))</f>
        <v>0</v>
      </c>
      <c r="DG216" s="145">
        <f>IF(ISERROR(VLOOKUP($A216,FIJOS!$B$11:$P$447,12,FALSE)),0,VLOOKUP($A216,FIJOS!$B$11:$P$447,12,FALSE))</f>
        <v>0</v>
      </c>
      <c r="DH216" s="82">
        <f t="shared" si="127"/>
        <v>0</v>
      </c>
      <c r="DI216" s="83" t="b">
        <f>IF($C216=1,(VLOOKUP($A216,FIJOS!$B$11:$P$545,10,FALSE)/7)*(7-$CU216),IF(AND($C216=2,CV216&lt;$DJ$1),(VLOOKUP($D216,HORAS!$B$4:$C$42,2,FALSE)*24)*$CV216,IF(AND($C216=2,CV216&gt;=$DJ$1),VLOOKUP($D216,HORAS!$B$4:$D$42,3,FALSE),IF(AND($C216=3,$CV216&gt;=$DJ$1),VLOOKUP($A216,FIJOS!$B$11:$P$545,10,FALSE),IF(AND($C216=3,$CV216&lt;$DJ$1),((VLOOKUP($A216,FIJOS!$B$11:$P$545,10,FALSE)/48)*24)*$CV216,IF(AND($C216=4,$CV216&gt;=(42/24)),VLOOKUP($D216,HORAS!$B$4:$D$42,3,FALSE),IF(AND($C216=5,$CV216&gt;=(36/24)),VLOOKUP($D216,HORAS!$B$4:$D$42,3,FALSE))))))))</f>
        <v>0</v>
      </c>
      <c r="DJ216" s="145">
        <f>IF(OR($C216=2),VLOOKUP($D216,HORAS!$B$4:$E$42,4,FALSE)*$EC216,IF(ISERROR(VLOOKUP($A216,FIJOS!$B$11:$P$108,9,FALSE)),0,VLOOKUP($A216,FIJOS!$B$11:$P$231,9,FALSE)*$EC216))</f>
        <v>0</v>
      </c>
      <c r="DK216" s="145">
        <f>IF(OR($C216=2),VLOOKUP($D216,HORAS!$B$4:$F$42,5,FALSE)*$EE216,IF(ISERROR(VLOOKUP($A216,FIJOS!$B$11:$P$108,9,FALSE)),0,VLOOKUP($A216,FIJOS!$B$11:$P$231,9,FALSE)*$EE216))</f>
        <v>0</v>
      </c>
      <c r="DL216" s="144"/>
      <c r="DM216" s="145">
        <f>IF(ISERROR(VLOOKUP($A216,FIJOS!$B$11:$L$646,11,FALSE)),0,VLOOKUP($A216,FIJOS!$B$11:$L$646,11,FALSE))</f>
        <v>0</v>
      </c>
      <c r="DN216" s="148" t="e">
        <f>IF(OR($C216=1,$C216=3),0,IF((VLOOKUP(CAPTURA!D216,HORAS!$B$4:$K$42,10,FALSE)/4)*COUNTIF($H216:$CT216,3)&gt;100,100,(VLOOKUP(CAPTURA!D216,HORAS!$B$4:$K$42,10,FALSE)/4)*COUNTIF($H216:$CT216,3)))</f>
        <v>#N/A</v>
      </c>
      <c r="DO216" s="144" t="e">
        <f>IF(OR($C216=1,$C216=3),0,IF($C216=5,VLOOKUP(D216,HORAS!$B$4:$G$42,6,FALSE),IF(AND($C216=4,$CV216&gt;=(42/24)),VLOOKUP(D216,HORAS!$B$4:$G$42,6,FALSE),IF(COUNTIF($H216:$CL216,"F")&gt;0,0,IF(CV216&gt;$DJ$1,$DJ$1*(VLOOKUP(D216,HORAS!$B$4:$G$42,6,FALSE)/$DJ$1),CV216*(VLOOKUP(D216,HORAS!$B$4:$G$42,6,FALSE)/$DJ$1))))))</f>
        <v>#N/A</v>
      </c>
      <c r="DP216" s="156"/>
      <c r="DQ216" s="89"/>
      <c r="DR216" s="148"/>
      <c r="DS216" s="83" t="e">
        <f t="shared" si="130"/>
        <v>#N/A</v>
      </c>
      <c r="DT216" s="84"/>
      <c r="DU216" s="149" t="e">
        <f t="shared" si="131"/>
        <v>#N/A</v>
      </c>
      <c r="DV216" s="149" t="e">
        <f t="shared" si="132"/>
        <v>#N/A</v>
      </c>
      <c r="DW216" s="144" t="e">
        <f t="shared" si="133"/>
        <v>#N/A</v>
      </c>
      <c r="DX216" s="134"/>
      <c r="DY216" s="29"/>
      <c r="DZ216" s="150"/>
      <c r="EA216" s="134"/>
      <c r="EB216" s="137">
        <f t="shared" si="134"/>
        <v>0</v>
      </c>
      <c r="EC216" s="138">
        <f t="shared" si="128"/>
        <v>0</v>
      </c>
      <c r="ED216" s="137">
        <f t="shared" si="135"/>
        <v>0</v>
      </c>
      <c r="EE216" s="132">
        <f t="shared" si="129"/>
        <v>0</v>
      </c>
      <c r="EF216" s="29"/>
      <c r="EG216" s="134"/>
      <c r="EH216" s="134"/>
      <c r="EI216" s="134"/>
      <c r="EK216" s="29"/>
    </row>
    <row r="217" spans="1:141" ht="15" customHeight="1" x14ac:dyDescent="0.25">
      <c r="A217" s="140"/>
      <c r="B217" s="151"/>
      <c r="C217" s="72"/>
      <c r="D217" s="73"/>
      <c r="E217" s="73"/>
      <c r="F217" s="141"/>
      <c r="G217" s="74"/>
      <c r="H217" s="75"/>
      <c r="I217" s="76"/>
      <c r="J217" s="135"/>
      <c r="K217" s="135"/>
      <c r="L217" s="77">
        <f t="shared" si="106"/>
        <v>0</v>
      </c>
      <c r="M217" s="78"/>
      <c r="N217" s="142"/>
      <c r="O217" s="142"/>
      <c r="P217" s="77">
        <f t="shared" si="107"/>
        <v>0</v>
      </c>
      <c r="Q217" s="78"/>
      <c r="R217" s="143"/>
      <c r="S217" s="143"/>
      <c r="T217" s="77">
        <f t="shared" si="108"/>
        <v>0</v>
      </c>
      <c r="U217" s="75"/>
      <c r="V217" s="76"/>
      <c r="W217" s="135"/>
      <c r="X217" s="135"/>
      <c r="Y217" s="77">
        <f t="shared" si="109"/>
        <v>0</v>
      </c>
      <c r="Z217" s="78"/>
      <c r="AA217" s="142"/>
      <c r="AB217" s="142"/>
      <c r="AC217" s="77">
        <f t="shared" si="110"/>
        <v>0</v>
      </c>
      <c r="AD217" s="78"/>
      <c r="AE217" s="143"/>
      <c r="AF217" s="143"/>
      <c r="AG217" s="79">
        <f t="shared" si="111"/>
        <v>0</v>
      </c>
      <c r="AH217" s="75"/>
      <c r="AI217" s="76"/>
      <c r="AJ217" s="135"/>
      <c r="AK217" s="135"/>
      <c r="AL217" s="77">
        <f t="shared" si="112"/>
        <v>0</v>
      </c>
      <c r="AM217" s="76"/>
      <c r="AN217" s="142"/>
      <c r="AO217" s="142"/>
      <c r="AP217" s="77">
        <f t="shared" si="113"/>
        <v>0</v>
      </c>
      <c r="AQ217" s="78"/>
      <c r="AR217" s="142"/>
      <c r="AS217" s="142"/>
      <c r="AT217" s="79">
        <f t="shared" si="114"/>
        <v>0</v>
      </c>
      <c r="AU217" s="75"/>
      <c r="AV217" s="76"/>
      <c r="AW217" s="135"/>
      <c r="AX217" s="135"/>
      <c r="AY217" s="77">
        <f t="shared" si="115"/>
        <v>0</v>
      </c>
      <c r="AZ217" s="76"/>
      <c r="BA217" s="142"/>
      <c r="BB217" s="142"/>
      <c r="BC217" s="77">
        <f t="shared" si="116"/>
        <v>0</v>
      </c>
      <c r="BD217" s="78"/>
      <c r="BE217" s="142"/>
      <c r="BF217" s="142"/>
      <c r="BG217" s="79">
        <f t="shared" si="117"/>
        <v>0</v>
      </c>
      <c r="BH217" s="75"/>
      <c r="BI217" s="76"/>
      <c r="BJ217" s="135"/>
      <c r="BK217" s="135"/>
      <c r="BL217" s="77">
        <f t="shared" si="118"/>
        <v>0</v>
      </c>
      <c r="BM217" s="78"/>
      <c r="BN217" s="142"/>
      <c r="BO217" s="142"/>
      <c r="BP217" s="77">
        <f t="shared" si="119"/>
        <v>0</v>
      </c>
      <c r="BQ217" s="78"/>
      <c r="BR217" s="142"/>
      <c r="BS217" s="142"/>
      <c r="BT217" s="79">
        <f t="shared" si="120"/>
        <v>0</v>
      </c>
      <c r="BU217" s="75"/>
      <c r="BV217" s="76"/>
      <c r="BW217" s="135"/>
      <c r="BX217" s="135"/>
      <c r="BY217" s="77">
        <f t="shared" si="121"/>
        <v>0</v>
      </c>
      <c r="BZ217" s="76"/>
      <c r="CA217" s="142"/>
      <c r="CB217" s="142"/>
      <c r="CC217" s="77">
        <f t="shared" si="122"/>
        <v>0</v>
      </c>
      <c r="CD217" s="76"/>
      <c r="CE217" s="142"/>
      <c r="CF217" s="142"/>
      <c r="CG217" s="79">
        <f t="shared" si="123"/>
        <v>0</v>
      </c>
      <c r="CH217" s="75"/>
      <c r="CI217" s="76"/>
      <c r="CJ217" s="135"/>
      <c r="CK217" s="135"/>
      <c r="CL217" s="77">
        <f t="shared" si="124"/>
        <v>0</v>
      </c>
      <c r="CM217" s="78"/>
      <c r="CN217" s="142"/>
      <c r="CO217" s="142"/>
      <c r="CP217" s="77">
        <f t="shared" si="125"/>
        <v>0</v>
      </c>
      <c r="CQ217" s="78"/>
      <c r="CR217" s="142"/>
      <c r="CS217" s="142"/>
      <c r="CT217" s="79">
        <f t="shared" si="126"/>
        <v>0</v>
      </c>
      <c r="CU217" s="80">
        <f t="shared" si="104"/>
        <v>0</v>
      </c>
      <c r="CV217" s="81">
        <f t="shared" si="105"/>
        <v>0</v>
      </c>
      <c r="CW217" s="144"/>
      <c r="CX217" s="145">
        <f>IF(ISERROR(VLOOKUP($A217,FIJOS!$B$11:$O$590,14,FALSE)),0,VLOOKUP($A217,FIJOS!$B$11:$O$590,14,FALSE))</f>
        <v>0</v>
      </c>
      <c r="CY217" s="145">
        <f>IF(ISERROR(VLOOKUP(A217,FIJOS!$B$10:$P$590,15,FALSE)),0,VLOOKUP(A217,FIJOS!$B$10:$P$590,15,FALSE))</f>
        <v>0</v>
      </c>
      <c r="CZ217" s="156"/>
      <c r="DA217" s="146"/>
      <c r="DB217" s="147"/>
      <c r="DC217" s="147"/>
      <c r="DD217" s="147"/>
      <c r="DE217" s="147"/>
      <c r="DF217" s="145">
        <f>IF(ISERROR(VLOOKUP($A217,FIJOS!$B$11:$N$590,13,FALSE)),0,VLOOKUP($A217,FIJOS!$B$11:$N$590,13,FALSE))</f>
        <v>0</v>
      </c>
      <c r="DG217" s="145">
        <f>IF(ISERROR(VLOOKUP($A217,FIJOS!$B$11:$P$447,12,FALSE)),0,VLOOKUP($A217,FIJOS!$B$11:$P$447,12,FALSE))</f>
        <v>0</v>
      </c>
      <c r="DH217" s="82">
        <f t="shared" si="127"/>
        <v>0</v>
      </c>
      <c r="DI217" s="83" t="b">
        <f>IF($C217=1,(VLOOKUP($A217,FIJOS!$B$11:$P$545,10,FALSE)/7)*(7-$CU217),IF(AND($C217=2,CV217&lt;$DJ$1),(VLOOKUP($D217,HORAS!$B$4:$C$42,2,FALSE)*24)*$CV217,IF(AND($C217=2,CV217&gt;=$DJ$1),VLOOKUP($D217,HORAS!$B$4:$D$42,3,FALSE),IF(AND($C217=3,$CV217&gt;=$DJ$1),VLOOKUP($A217,FIJOS!$B$11:$P$545,10,FALSE),IF(AND($C217=3,$CV217&lt;$DJ$1),((VLOOKUP($A217,FIJOS!$B$11:$P$545,10,FALSE)/48)*24)*$CV217,IF(AND($C217=4,$CV217&gt;=(42/24)),VLOOKUP($D217,HORAS!$B$4:$D$42,3,FALSE),IF(AND($C217=5,$CV217&gt;=(36/24)),VLOOKUP($D217,HORAS!$B$4:$D$42,3,FALSE))))))))</f>
        <v>0</v>
      </c>
      <c r="DJ217" s="145">
        <f>IF(OR($C217=2),VLOOKUP($D217,HORAS!$B$4:$E$42,4,FALSE)*$EC217,IF(ISERROR(VLOOKUP($A217,FIJOS!$B$11:$P$108,9,FALSE)),0,VLOOKUP($A217,FIJOS!$B$11:$P$231,9,FALSE)*$EC217))</f>
        <v>0</v>
      </c>
      <c r="DK217" s="145">
        <f>IF(OR($C217=2),VLOOKUP($D217,HORAS!$B$4:$F$42,5,FALSE)*$EE217,IF(ISERROR(VLOOKUP($A217,FIJOS!$B$11:$P$108,9,FALSE)),0,VLOOKUP($A217,FIJOS!$B$11:$P$231,9,FALSE)*$EE217))</f>
        <v>0</v>
      </c>
      <c r="DL217" s="144"/>
      <c r="DM217" s="145">
        <f>IF(ISERROR(VLOOKUP($A217,FIJOS!$B$11:$L$646,11,FALSE)),0,VLOOKUP($A217,FIJOS!$B$11:$L$646,11,FALSE))</f>
        <v>0</v>
      </c>
      <c r="DN217" s="148" t="e">
        <f>IF(OR($C217=1,$C217=3),0,IF((VLOOKUP(CAPTURA!D217,HORAS!$B$4:$K$42,10,FALSE)/4)*COUNTIF($H217:$CT217,3)&gt;100,100,(VLOOKUP(CAPTURA!D217,HORAS!$B$4:$K$42,10,FALSE)/4)*COUNTIF($H217:$CT217,3)))</f>
        <v>#N/A</v>
      </c>
      <c r="DO217" s="144" t="e">
        <f>IF(OR($C217=1,$C217=3),0,IF($C217=5,VLOOKUP(D217,HORAS!$B$4:$G$42,6,FALSE),IF(AND($C217=4,$CV217&gt;=(42/24)),VLOOKUP(D217,HORAS!$B$4:$G$42,6,FALSE),IF(COUNTIF($H217:$CL217,"F")&gt;0,0,IF(CV217&gt;$DJ$1,$DJ$1*(VLOOKUP(D217,HORAS!$B$4:$G$42,6,FALSE)/$DJ$1),CV217*(VLOOKUP(D217,HORAS!$B$4:$G$42,6,FALSE)/$DJ$1))))))</f>
        <v>#N/A</v>
      </c>
      <c r="DP217" s="156"/>
      <c r="DQ217" s="89"/>
      <c r="DR217" s="148"/>
      <c r="DS217" s="83" t="e">
        <f t="shared" si="130"/>
        <v>#N/A</v>
      </c>
      <c r="DT217" s="84"/>
      <c r="DU217" s="149" t="e">
        <f t="shared" si="131"/>
        <v>#N/A</v>
      </c>
      <c r="DV217" s="149" t="e">
        <f t="shared" si="132"/>
        <v>#N/A</v>
      </c>
      <c r="DW217" s="144" t="e">
        <f t="shared" si="133"/>
        <v>#N/A</v>
      </c>
      <c r="DX217" s="134"/>
      <c r="DY217" s="29"/>
      <c r="DZ217" s="150"/>
      <c r="EA217" s="134"/>
      <c r="EB217" s="137">
        <f t="shared" si="134"/>
        <v>0</v>
      </c>
      <c r="EC217" s="138">
        <f t="shared" si="128"/>
        <v>0</v>
      </c>
      <c r="ED217" s="137">
        <f t="shared" si="135"/>
        <v>0</v>
      </c>
      <c r="EE217" s="132">
        <f t="shared" si="129"/>
        <v>0</v>
      </c>
      <c r="EF217" s="29"/>
      <c r="EG217" s="134"/>
      <c r="EH217" s="134"/>
      <c r="EI217" s="134"/>
      <c r="EK217" s="29"/>
    </row>
    <row r="218" spans="1:141" ht="15" customHeight="1" x14ac:dyDescent="0.25">
      <c r="A218" s="140"/>
      <c r="B218" s="151"/>
      <c r="C218" s="72"/>
      <c r="D218" s="73"/>
      <c r="E218" s="73"/>
      <c r="F218" s="141"/>
      <c r="G218" s="74"/>
      <c r="H218" s="75"/>
      <c r="I218" s="76"/>
      <c r="J218" s="135"/>
      <c r="K218" s="135"/>
      <c r="L218" s="77">
        <f t="shared" si="106"/>
        <v>0</v>
      </c>
      <c r="M218" s="78"/>
      <c r="N218" s="142"/>
      <c r="O218" s="142"/>
      <c r="P218" s="77">
        <f t="shared" si="107"/>
        <v>0</v>
      </c>
      <c r="Q218" s="78"/>
      <c r="R218" s="143"/>
      <c r="S218" s="143"/>
      <c r="T218" s="77">
        <f t="shared" si="108"/>
        <v>0</v>
      </c>
      <c r="U218" s="75"/>
      <c r="V218" s="76"/>
      <c r="W218" s="135"/>
      <c r="X218" s="135"/>
      <c r="Y218" s="77">
        <f t="shared" si="109"/>
        <v>0</v>
      </c>
      <c r="Z218" s="78"/>
      <c r="AA218" s="142"/>
      <c r="AB218" s="142"/>
      <c r="AC218" s="77">
        <f t="shared" si="110"/>
        <v>0</v>
      </c>
      <c r="AD218" s="78"/>
      <c r="AE218" s="143"/>
      <c r="AF218" s="143"/>
      <c r="AG218" s="79">
        <f t="shared" si="111"/>
        <v>0</v>
      </c>
      <c r="AH218" s="75"/>
      <c r="AI218" s="76"/>
      <c r="AJ218" s="135"/>
      <c r="AK218" s="135"/>
      <c r="AL218" s="77">
        <f t="shared" si="112"/>
        <v>0</v>
      </c>
      <c r="AM218" s="76"/>
      <c r="AN218" s="142"/>
      <c r="AO218" s="142"/>
      <c r="AP218" s="77">
        <f t="shared" si="113"/>
        <v>0</v>
      </c>
      <c r="AQ218" s="78"/>
      <c r="AR218" s="142"/>
      <c r="AS218" s="142"/>
      <c r="AT218" s="79">
        <f t="shared" si="114"/>
        <v>0</v>
      </c>
      <c r="AU218" s="75"/>
      <c r="AV218" s="76"/>
      <c r="AW218" s="135"/>
      <c r="AX218" s="135"/>
      <c r="AY218" s="77">
        <f t="shared" si="115"/>
        <v>0</v>
      </c>
      <c r="AZ218" s="76"/>
      <c r="BA218" s="142"/>
      <c r="BB218" s="142"/>
      <c r="BC218" s="77">
        <f t="shared" si="116"/>
        <v>0</v>
      </c>
      <c r="BD218" s="78"/>
      <c r="BE218" s="142"/>
      <c r="BF218" s="142"/>
      <c r="BG218" s="79">
        <f t="shared" si="117"/>
        <v>0</v>
      </c>
      <c r="BH218" s="75"/>
      <c r="BI218" s="76"/>
      <c r="BJ218" s="135"/>
      <c r="BK218" s="135"/>
      <c r="BL218" s="77">
        <f t="shared" si="118"/>
        <v>0</v>
      </c>
      <c r="BM218" s="78"/>
      <c r="BN218" s="142"/>
      <c r="BO218" s="142"/>
      <c r="BP218" s="77">
        <f t="shared" si="119"/>
        <v>0</v>
      </c>
      <c r="BQ218" s="78"/>
      <c r="BR218" s="142"/>
      <c r="BS218" s="142"/>
      <c r="BT218" s="79">
        <f t="shared" si="120"/>
        <v>0</v>
      </c>
      <c r="BU218" s="75"/>
      <c r="BV218" s="76"/>
      <c r="BW218" s="135"/>
      <c r="BX218" s="135"/>
      <c r="BY218" s="77">
        <f t="shared" si="121"/>
        <v>0</v>
      </c>
      <c r="BZ218" s="78"/>
      <c r="CA218" s="142"/>
      <c r="CB218" s="142"/>
      <c r="CC218" s="77">
        <f t="shared" si="122"/>
        <v>0</v>
      </c>
      <c r="CD218" s="78"/>
      <c r="CE218" s="142"/>
      <c r="CF218" s="142"/>
      <c r="CG218" s="79">
        <f t="shared" si="123"/>
        <v>0</v>
      </c>
      <c r="CH218" s="75"/>
      <c r="CI218" s="78"/>
      <c r="CJ218" s="135"/>
      <c r="CK218" s="135"/>
      <c r="CL218" s="77">
        <f t="shared" si="124"/>
        <v>0</v>
      </c>
      <c r="CM218" s="78"/>
      <c r="CN218" s="142"/>
      <c r="CO218" s="142"/>
      <c r="CP218" s="77">
        <f t="shared" si="125"/>
        <v>0</v>
      </c>
      <c r="CQ218" s="78"/>
      <c r="CR218" s="142"/>
      <c r="CS218" s="142"/>
      <c r="CT218" s="79">
        <f t="shared" si="126"/>
        <v>0</v>
      </c>
      <c r="CU218" s="80">
        <f t="shared" si="104"/>
        <v>0</v>
      </c>
      <c r="CV218" s="81">
        <f t="shared" si="105"/>
        <v>0</v>
      </c>
      <c r="CW218" s="144"/>
      <c r="CX218" s="145">
        <f>IF(ISERROR(VLOOKUP($A218,FIJOS!$B$11:$O$590,14,FALSE)),0,VLOOKUP($A218,FIJOS!$B$11:$O$590,14,FALSE))</f>
        <v>0</v>
      </c>
      <c r="CY218" s="145">
        <f>IF(ISERROR(VLOOKUP(A218,FIJOS!$B$10:$P$590,15,FALSE)),0,VLOOKUP(A218,FIJOS!$B$10:$P$590,15,FALSE))</f>
        <v>0</v>
      </c>
      <c r="CZ218" s="156"/>
      <c r="DA218" s="146"/>
      <c r="DB218" s="147"/>
      <c r="DC218" s="147"/>
      <c r="DD218" s="147"/>
      <c r="DE218" s="147"/>
      <c r="DF218" s="145">
        <f>IF(ISERROR(VLOOKUP($A218,FIJOS!$B$11:$N$590,13,FALSE)),0,VLOOKUP($A218,FIJOS!$B$11:$N$590,13,FALSE))</f>
        <v>0</v>
      </c>
      <c r="DG218" s="145">
        <f>IF(ISERROR(VLOOKUP($A218,FIJOS!$B$11:$P$447,12,FALSE)),0,VLOOKUP($A218,FIJOS!$B$11:$P$447,12,FALSE))</f>
        <v>0</v>
      </c>
      <c r="DH218" s="82">
        <f t="shared" si="127"/>
        <v>0</v>
      </c>
      <c r="DI218" s="83" t="b">
        <f>IF($C218=1,(VLOOKUP($A218,FIJOS!$B$11:$P$545,10,FALSE)/7)*(7-$CU218),IF(AND($C218=2,CV218&lt;$DJ$1),(VLOOKUP($D218,HORAS!$B$4:$C$42,2,FALSE)*24)*$CV218,IF(AND($C218=2,CV218&gt;=$DJ$1),VLOOKUP($D218,HORAS!$B$4:$D$42,3,FALSE),IF(AND($C218=3,$CV218&gt;=$DJ$1),VLOOKUP($A218,FIJOS!$B$11:$P$545,10,FALSE),IF(AND($C218=3,$CV218&lt;$DJ$1),((VLOOKUP($A218,FIJOS!$B$11:$P$545,10,FALSE)/48)*24)*$CV218,IF(AND($C218=4,$CV218&gt;=(42/24)),VLOOKUP($D218,HORAS!$B$4:$D$42,3,FALSE),IF(AND($C218=5,$CV218&gt;=(36/24)),VLOOKUP($D218,HORAS!$B$4:$D$42,3,FALSE))))))))</f>
        <v>0</v>
      </c>
      <c r="DJ218" s="145">
        <f>IF(OR($C218=2),VLOOKUP($D218,HORAS!$B$4:$E$42,4,FALSE)*$EC218,IF(ISERROR(VLOOKUP($A218,FIJOS!$B$11:$P$108,9,FALSE)),0,VLOOKUP($A218,FIJOS!$B$11:$P$231,9,FALSE)*$EC218))</f>
        <v>0</v>
      </c>
      <c r="DK218" s="145">
        <f>IF(OR($C218=2),VLOOKUP($D218,HORAS!$B$4:$F$42,5,FALSE)*$EE218,IF(ISERROR(VLOOKUP($A218,FIJOS!$B$11:$P$108,9,FALSE)),0,VLOOKUP($A218,FIJOS!$B$11:$P$231,9,FALSE)*$EE218))</f>
        <v>0</v>
      </c>
      <c r="DL218" s="144"/>
      <c r="DM218" s="145">
        <f>IF(ISERROR(VLOOKUP($A218,FIJOS!$B$11:$L$646,11,FALSE)),0,VLOOKUP($A218,FIJOS!$B$11:$L$646,11,FALSE))</f>
        <v>0</v>
      </c>
      <c r="DN218" s="148" t="e">
        <f>IF(OR($C218=1,$C218=3),0,IF((VLOOKUP(CAPTURA!D218,HORAS!$B$4:$K$42,10,FALSE)/4)*COUNTIF($H218:$CT218,3)&gt;100,100,(VLOOKUP(CAPTURA!D218,HORAS!$B$4:$K$42,10,FALSE)/4)*COUNTIF($H218:$CT218,3)))</f>
        <v>#N/A</v>
      </c>
      <c r="DO218" s="144" t="e">
        <f>IF(OR($C218=1,$C218=3),0,IF($C218=5,VLOOKUP(D218,HORAS!$B$4:$G$42,6,FALSE),IF(AND($C218=4,$CV218&gt;=(42/24)),VLOOKUP(D218,HORAS!$B$4:$G$42,6,FALSE),IF(COUNTIF($H218:$CL218,"F")&gt;0,0,IF(CV218&gt;$DJ$1,$DJ$1*(VLOOKUP(D218,HORAS!$B$4:$G$42,6,FALSE)/$DJ$1),CV218*(VLOOKUP(D218,HORAS!$B$4:$G$42,6,FALSE)/$DJ$1))))))</f>
        <v>#N/A</v>
      </c>
      <c r="DP218" s="156"/>
      <c r="DQ218" s="89"/>
      <c r="DR218" s="148"/>
      <c r="DS218" s="83" t="e">
        <f t="shared" si="130"/>
        <v>#N/A</v>
      </c>
      <c r="DT218" s="84"/>
      <c r="DU218" s="149" t="e">
        <f t="shared" si="131"/>
        <v>#N/A</v>
      </c>
      <c r="DV218" s="149" t="e">
        <f t="shared" si="132"/>
        <v>#N/A</v>
      </c>
      <c r="DW218" s="144" t="e">
        <f t="shared" si="133"/>
        <v>#N/A</v>
      </c>
      <c r="DX218" s="134"/>
      <c r="DY218" s="29"/>
      <c r="DZ218" s="150"/>
      <c r="EA218" s="134"/>
      <c r="EB218" s="137">
        <f t="shared" si="134"/>
        <v>0</v>
      </c>
      <c r="EC218" s="138">
        <f t="shared" si="128"/>
        <v>0</v>
      </c>
      <c r="ED218" s="137">
        <f t="shared" si="135"/>
        <v>0</v>
      </c>
      <c r="EE218" s="132">
        <f t="shared" si="129"/>
        <v>0</v>
      </c>
      <c r="EF218" s="29"/>
      <c r="EG218" s="134"/>
      <c r="EH218" s="134"/>
      <c r="EI218" s="134"/>
      <c r="EK218" s="29"/>
    </row>
    <row r="219" spans="1:141" ht="15" customHeight="1" x14ac:dyDescent="0.25">
      <c r="A219" s="140"/>
      <c r="B219" s="151"/>
      <c r="C219" s="72"/>
      <c r="D219" s="73"/>
      <c r="E219" s="73"/>
      <c r="F219" s="141"/>
      <c r="G219" s="74"/>
      <c r="H219" s="75"/>
      <c r="I219" s="76"/>
      <c r="J219" s="135"/>
      <c r="K219" s="135"/>
      <c r="L219" s="77">
        <f t="shared" si="106"/>
        <v>0</v>
      </c>
      <c r="M219" s="76"/>
      <c r="N219" s="142"/>
      <c r="O219" s="142"/>
      <c r="P219" s="77">
        <f t="shared" si="107"/>
        <v>0</v>
      </c>
      <c r="Q219" s="76"/>
      <c r="R219" s="143"/>
      <c r="S219" s="143"/>
      <c r="T219" s="77">
        <f t="shared" si="108"/>
        <v>0</v>
      </c>
      <c r="U219" s="75"/>
      <c r="V219" s="76"/>
      <c r="W219" s="135"/>
      <c r="X219" s="135"/>
      <c r="Y219" s="77">
        <f t="shared" si="109"/>
        <v>0</v>
      </c>
      <c r="Z219" s="76"/>
      <c r="AA219" s="142"/>
      <c r="AB219" s="142"/>
      <c r="AC219" s="77">
        <f t="shared" si="110"/>
        <v>0</v>
      </c>
      <c r="AD219" s="76"/>
      <c r="AE219" s="143"/>
      <c r="AF219" s="143"/>
      <c r="AG219" s="79">
        <f t="shared" si="111"/>
        <v>0</v>
      </c>
      <c r="AH219" s="75"/>
      <c r="AI219" s="76"/>
      <c r="AJ219" s="135"/>
      <c r="AK219" s="135"/>
      <c r="AL219" s="77">
        <f t="shared" si="112"/>
        <v>0</v>
      </c>
      <c r="AM219" s="76"/>
      <c r="AN219" s="142"/>
      <c r="AO219" s="142"/>
      <c r="AP219" s="77">
        <f t="shared" si="113"/>
        <v>0</v>
      </c>
      <c r="AQ219" s="76"/>
      <c r="AR219" s="142"/>
      <c r="AS219" s="142"/>
      <c r="AT219" s="79">
        <f t="shared" si="114"/>
        <v>0</v>
      </c>
      <c r="AU219" s="75"/>
      <c r="AV219" s="76"/>
      <c r="AW219" s="135"/>
      <c r="AX219" s="135"/>
      <c r="AY219" s="77">
        <f t="shared" si="115"/>
        <v>0</v>
      </c>
      <c r="AZ219" s="76"/>
      <c r="BA219" s="142"/>
      <c r="BB219" s="142"/>
      <c r="BC219" s="77">
        <f t="shared" si="116"/>
        <v>0</v>
      </c>
      <c r="BD219" s="76"/>
      <c r="BE219" s="142"/>
      <c r="BF219" s="142"/>
      <c r="BG219" s="79">
        <f t="shared" si="117"/>
        <v>0</v>
      </c>
      <c r="BH219" s="75"/>
      <c r="BI219" s="76"/>
      <c r="BJ219" s="135"/>
      <c r="BK219" s="135"/>
      <c r="BL219" s="77">
        <f t="shared" si="118"/>
        <v>0</v>
      </c>
      <c r="BM219" s="76"/>
      <c r="BN219" s="142"/>
      <c r="BO219" s="142"/>
      <c r="BP219" s="77">
        <f t="shared" si="119"/>
        <v>0</v>
      </c>
      <c r="BQ219" s="76"/>
      <c r="BR219" s="142"/>
      <c r="BS219" s="142"/>
      <c r="BT219" s="79">
        <f t="shared" si="120"/>
        <v>0</v>
      </c>
      <c r="BU219" s="75"/>
      <c r="BV219" s="76"/>
      <c r="BW219" s="135"/>
      <c r="BX219" s="135"/>
      <c r="BY219" s="77">
        <f t="shared" si="121"/>
        <v>0</v>
      </c>
      <c r="BZ219" s="76"/>
      <c r="CA219" s="142"/>
      <c r="CB219" s="142"/>
      <c r="CC219" s="77">
        <f t="shared" si="122"/>
        <v>0</v>
      </c>
      <c r="CD219" s="76"/>
      <c r="CE219" s="142"/>
      <c r="CF219" s="142"/>
      <c r="CG219" s="79">
        <f t="shared" si="123"/>
        <v>0</v>
      </c>
      <c r="CH219" s="75"/>
      <c r="CI219" s="76"/>
      <c r="CJ219" s="135"/>
      <c r="CK219" s="135"/>
      <c r="CL219" s="77">
        <f t="shared" si="124"/>
        <v>0</v>
      </c>
      <c r="CM219" s="76"/>
      <c r="CN219" s="142"/>
      <c r="CO219" s="142"/>
      <c r="CP219" s="77">
        <f t="shared" si="125"/>
        <v>0</v>
      </c>
      <c r="CQ219" s="76"/>
      <c r="CR219" s="142"/>
      <c r="CS219" s="142"/>
      <c r="CT219" s="79">
        <f t="shared" si="126"/>
        <v>0</v>
      </c>
      <c r="CU219" s="80">
        <f t="shared" si="104"/>
        <v>0</v>
      </c>
      <c r="CV219" s="81">
        <f t="shared" si="105"/>
        <v>0</v>
      </c>
      <c r="CW219" s="144"/>
      <c r="CX219" s="145">
        <f>IF(ISERROR(VLOOKUP($A219,FIJOS!$B$11:$O$590,14,FALSE)),0,VLOOKUP($A219,FIJOS!$B$11:$O$590,14,FALSE))</f>
        <v>0</v>
      </c>
      <c r="CY219" s="145">
        <f>IF(ISERROR(VLOOKUP(A219,FIJOS!$B$10:$P$590,15,FALSE)),0,VLOOKUP(A219,FIJOS!$B$10:$P$590,15,FALSE))</f>
        <v>0</v>
      </c>
      <c r="CZ219" s="156"/>
      <c r="DA219" s="146"/>
      <c r="DB219" s="147"/>
      <c r="DC219" s="147"/>
      <c r="DD219" s="147"/>
      <c r="DE219" s="147"/>
      <c r="DF219" s="145">
        <f>IF(ISERROR(VLOOKUP($A219,FIJOS!$B$11:$N$590,13,FALSE)),0,VLOOKUP($A219,FIJOS!$B$11:$N$590,13,FALSE))</f>
        <v>0</v>
      </c>
      <c r="DG219" s="145">
        <f>IF(ISERROR(VLOOKUP($A219,FIJOS!$B$11:$P$447,12,FALSE)),0,VLOOKUP($A219,FIJOS!$B$11:$P$447,12,FALSE))</f>
        <v>0</v>
      </c>
      <c r="DH219" s="82">
        <f t="shared" si="127"/>
        <v>0</v>
      </c>
      <c r="DI219" s="83" t="b">
        <f>IF($C219=1,(VLOOKUP($A219,FIJOS!$B$11:$P$545,10,FALSE)/7)*(7-$CU219),IF(AND($C219=2,CV219&lt;$DJ$1),(VLOOKUP($D219,HORAS!$B$4:$C$42,2,FALSE)*24)*$CV219,IF(AND($C219=2,CV219&gt;=$DJ$1),VLOOKUP($D219,HORAS!$B$4:$D$42,3,FALSE),IF(AND($C219=3,$CV219&gt;=$DJ$1),VLOOKUP($A219,FIJOS!$B$11:$P$545,10,FALSE),IF(AND($C219=3,$CV219&lt;$DJ$1),((VLOOKUP($A219,FIJOS!$B$11:$P$545,10,FALSE)/48)*24)*$CV219,IF(AND($C219=4,$CV219&gt;=(42/24)),VLOOKUP($D219,HORAS!$B$4:$D$42,3,FALSE),IF(AND($C219=5,$CV219&gt;=(36/24)),VLOOKUP($D219,HORAS!$B$4:$D$42,3,FALSE))))))))</f>
        <v>0</v>
      </c>
      <c r="DJ219" s="145">
        <f>IF(OR($C219=2),VLOOKUP($D219,HORAS!$B$4:$E$42,4,FALSE)*$EC219,IF(ISERROR(VLOOKUP($A219,FIJOS!$B$11:$P$108,9,FALSE)),0,VLOOKUP($A219,FIJOS!$B$11:$P$231,9,FALSE)*$EC219))</f>
        <v>0</v>
      </c>
      <c r="DK219" s="145">
        <f>IF(OR($C219=2),VLOOKUP($D219,HORAS!$B$4:$F$42,5,FALSE)*$EE219,IF(ISERROR(VLOOKUP($A219,FIJOS!$B$11:$P$108,9,FALSE)),0,VLOOKUP($A219,FIJOS!$B$11:$P$231,9,FALSE)*$EE219))</f>
        <v>0</v>
      </c>
      <c r="DL219" s="144"/>
      <c r="DM219" s="145">
        <f>IF(ISERROR(VLOOKUP($A219,FIJOS!$B$11:$L$646,11,FALSE)),0,VLOOKUP($A219,FIJOS!$B$11:$L$646,11,FALSE))</f>
        <v>0</v>
      </c>
      <c r="DN219" s="148" t="e">
        <f>IF(OR($C219=1,$C219=3),0,IF((VLOOKUP(CAPTURA!D219,HORAS!$B$4:$K$42,10,FALSE)/4)*COUNTIF($H219:$CT219,3)&gt;100,100,(VLOOKUP(CAPTURA!D219,HORAS!$B$4:$K$42,10,FALSE)/4)*COUNTIF($H219:$CT219,3)))</f>
        <v>#N/A</v>
      </c>
      <c r="DO219" s="144" t="e">
        <f>IF(OR($C219=1,$C219=3),0,IF($C219=5,VLOOKUP(D219,HORAS!$B$4:$G$42,6,FALSE),IF(AND($C219=4,$CV219&gt;=(42/24)),VLOOKUP(D219,HORAS!$B$4:$G$42,6,FALSE),IF(COUNTIF($H219:$CL219,"F")&gt;0,0,IF(CV219&gt;$DJ$1,$DJ$1*(VLOOKUP(D219,HORAS!$B$4:$G$42,6,FALSE)/$DJ$1),CV219*(VLOOKUP(D219,HORAS!$B$4:$G$42,6,FALSE)/$DJ$1))))))</f>
        <v>#N/A</v>
      </c>
      <c r="DP219" s="156"/>
      <c r="DQ219" s="148"/>
      <c r="DR219" s="148"/>
      <c r="DS219" s="83" t="e">
        <f t="shared" si="130"/>
        <v>#N/A</v>
      </c>
      <c r="DT219" s="84"/>
      <c r="DU219" s="149" t="e">
        <f t="shared" si="131"/>
        <v>#N/A</v>
      </c>
      <c r="DV219" s="149" t="e">
        <f t="shared" si="132"/>
        <v>#N/A</v>
      </c>
      <c r="DW219" s="144" t="e">
        <f t="shared" si="133"/>
        <v>#N/A</v>
      </c>
      <c r="DX219"/>
      <c r="DY219" s="29"/>
      <c r="DZ219" s="150"/>
      <c r="EA219" s="137"/>
      <c r="EB219" s="137">
        <f t="shared" si="134"/>
        <v>0</v>
      </c>
      <c r="EC219" s="138">
        <f t="shared" si="128"/>
        <v>0</v>
      </c>
      <c r="ED219" s="137">
        <f t="shared" si="135"/>
        <v>0</v>
      </c>
      <c r="EE219" s="132">
        <f t="shared" si="129"/>
        <v>0</v>
      </c>
      <c r="EF219" s="29"/>
      <c r="EG219" s="134"/>
      <c r="EH219" s="134"/>
      <c r="EI219" s="134"/>
      <c r="EK219" s="29"/>
    </row>
    <row r="220" spans="1:141" ht="15" customHeight="1" x14ac:dyDescent="0.25">
      <c r="A220" s="140"/>
      <c r="B220" s="5"/>
      <c r="C220" s="72"/>
      <c r="D220" s="73"/>
      <c r="E220" s="73"/>
      <c r="F220" s="141"/>
      <c r="G220" s="74"/>
      <c r="H220" s="75"/>
      <c r="I220" s="76"/>
      <c r="J220" s="135"/>
      <c r="K220" s="135"/>
      <c r="L220" s="77">
        <f t="shared" si="106"/>
        <v>0</v>
      </c>
      <c r="M220" s="78"/>
      <c r="N220" s="142"/>
      <c r="O220" s="142"/>
      <c r="P220" s="77">
        <f t="shared" si="107"/>
        <v>0</v>
      </c>
      <c r="Q220" s="78"/>
      <c r="R220" s="143"/>
      <c r="S220" s="143"/>
      <c r="T220" s="77">
        <f t="shared" si="108"/>
        <v>0</v>
      </c>
      <c r="U220" s="75"/>
      <c r="V220" s="76"/>
      <c r="W220" s="135"/>
      <c r="X220" s="135"/>
      <c r="Y220" s="77">
        <f t="shared" si="109"/>
        <v>0</v>
      </c>
      <c r="Z220" s="78"/>
      <c r="AA220" s="142"/>
      <c r="AB220" s="142"/>
      <c r="AC220" s="77">
        <f t="shared" si="110"/>
        <v>0</v>
      </c>
      <c r="AD220" s="78"/>
      <c r="AE220" s="143"/>
      <c r="AF220" s="143"/>
      <c r="AG220" s="79">
        <f t="shared" si="111"/>
        <v>0</v>
      </c>
      <c r="AH220" s="75"/>
      <c r="AI220" s="76"/>
      <c r="AJ220" s="135"/>
      <c r="AK220" s="135"/>
      <c r="AL220" s="77">
        <f t="shared" si="112"/>
        <v>0</v>
      </c>
      <c r="AM220" s="76"/>
      <c r="AN220" s="142"/>
      <c r="AO220" s="142"/>
      <c r="AP220" s="77">
        <f t="shared" si="113"/>
        <v>0</v>
      </c>
      <c r="AQ220" s="78"/>
      <c r="AR220" s="142"/>
      <c r="AS220" s="142"/>
      <c r="AT220" s="79">
        <f t="shared" si="114"/>
        <v>0</v>
      </c>
      <c r="AU220" s="75"/>
      <c r="AV220" s="76"/>
      <c r="AW220" s="135"/>
      <c r="AX220" s="135"/>
      <c r="AY220" s="77">
        <f t="shared" si="115"/>
        <v>0</v>
      </c>
      <c r="AZ220" s="76"/>
      <c r="BA220" s="142"/>
      <c r="BB220" s="142"/>
      <c r="BC220" s="77">
        <f t="shared" si="116"/>
        <v>0</v>
      </c>
      <c r="BD220" s="78"/>
      <c r="BE220" s="142"/>
      <c r="BF220" s="142"/>
      <c r="BG220" s="79">
        <f t="shared" si="117"/>
        <v>0</v>
      </c>
      <c r="BH220" s="75"/>
      <c r="BI220" s="76"/>
      <c r="BJ220" s="135"/>
      <c r="BK220" s="135"/>
      <c r="BL220" s="77">
        <f t="shared" si="118"/>
        <v>0</v>
      </c>
      <c r="BM220" s="78"/>
      <c r="BN220" s="142"/>
      <c r="BO220" s="142"/>
      <c r="BP220" s="77">
        <f t="shared" si="119"/>
        <v>0</v>
      </c>
      <c r="BQ220" s="78"/>
      <c r="BR220" s="142"/>
      <c r="BS220" s="142"/>
      <c r="BT220" s="79">
        <f t="shared" si="120"/>
        <v>0</v>
      </c>
      <c r="BU220" s="75"/>
      <c r="BV220" s="76"/>
      <c r="BW220" s="135"/>
      <c r="BX220" s="135"/>
      <c r="BY220" s="77">
        <f t="shared" si="121"/>
        <v>0</v>
      </c>
      <c r="BZ220" s="78"/>
      <c r="CA220" s="142"/>
      <c r="CB220" s="142"/>
      <c r="CC220" s="77">
        <f t="shared" si="122"/>
        <v>0</v>
      </c>
      <c r="CD220" s="78"/>
      <c r="CE220" s="142"/>
      <c r="CF220" s="142"/>
      <c r="CG220" s="79">
        <f t="shared" si="123"/>
        <v>0</v>
      </c>
      <c r="CH220" s="75"/>
      <c r="CI220" s="76"/>
      <c r="CJ220" s="135"/>
      <c r="CK220" s="135"/>
      <c r="CL220" s="77">
        <f t="shared" si="124"/>
        <v>0</v>
      </c>
      <c r="CM220" s="78"/>
      <c r="CN220" s="142"/>
      <c r="CO220" s="142"/>
      <c r="CP220" s="77">
        <f t="shared" si="125"/>
        <v>0</v>
      </c>
      <c r="CQ220" s="78"/>
      <c r="CR220" s="142"/>
      <c r="CS220" s="142"/>
      <c r="CT220" s="79">
        <f t="shared" si="126"/>
        <v>0</v>
      </c>
      <c r="CU220" s="80">
        <f t="shared" si="104"/>
        <v>0</v>
      </c>
      <c r="CV220" s="81">
        <f t="shared" si="105"/>
        <v>0</v>
      </c>
      <c r="CW220" s="144"/>
      <c r="CX220" s="145">
        <f>IF(ISERROR(VLOOKUP($A220,FIJOS!$B$11:$O$590,14,FALSE)),0,VLOOKUP($A220,FIJOS!$B$11:$O$590,14,FALSE))</f>
        <v>0</v>
      </c>
      <c r="CY220" s="145">
        <f>IF(ISERROR(VLOOKUP(A220,FIJOS!$B$10:$P$590,15,FALSE)),0,VLOOKUP(A220,FIJOS!$B$10:$P$590,15,FALSE))</f>
        <v>0</v>
      </c>
      <c r="CZ220" s="156"/>
      <c r="DA220" s="146"/>
      <c r="DB220" s="147"/>
      <c r="DC220" s="147"/>
      <c r="DD220" s="147"/>
      <c r="DE220" s="147"/>
      <c r="DF220" s="145">
        <f>IF(ISERROR(VLOOKUP($A220,FIJOS!$B$11:$N$590,13,FALSE)),0,VLOOKUP($A220,FIJOS!$B$11:$N$590,13,FALSE))</f>
        <v>0</v>
      </c>
      <c r="DG220" s="145">
        <f>IF(ISERROR(VLOOKUP($A220,FIJOS!$B$11:$P$447,12,FALSE)),0,VLOOKUP($A220,FIJOS!$B$11:$P$447,12,FALSE))</f>
        <v>0</v>
      </c>
      <c r="DH220" s="82">
        <f t="shared" si="127"/>
        <v>0</v>
      </c>
      <c r="DI220" s="83" t="b">
        <f>IF($C220=1,(VLOOKUP($A220,FIJOS!$B$11:$P$545,10,FALSE)/7)*(7-$CU220),IF(AND($C220=2,CV220&lt;$DJ$1),(VLOOKUP($D220,HORAS!$B$4:$C$42,2,FALSE)*24)*$CV220,IF(AND($C220=2,CV220&gt;=$DJ$1),VLOOKUP($D220,HORAS!$B$4:$D$42,3,FALSE),IF(AND($C220=3,$CV220&gt;=$DJ$1),VLOOKUP($A220,FIJOS!$B$11:$P$545,10,FALSE),IF(AND($C220=3,$CV220&lt;$DJ$1),((VLOOKUP($A220,FIJOS!$B$11:$P$545,10,FALSE)/48)*24)*$CV220,IF(AND($C220=4,$CV220&gt;=(42/24)),VLOOKUP($D220,HORAS!$B$4:$D$42,3,FALSE),IF(AND($C220=5,$CV220&gt;=(36/24)),VLOOKUP($D220,HORAS!$B$4:$D$42,3,FALSE))))))))</f>
        <v>0</v>
      </c>
      <c r="DJ220" s="145">
        <f>IF(OR($C220=2),VLOOKUP($D220,HORAS!$B$4:$E$42,4,FALSE)*$EC220,IF(ISERROR(VLOOKUP($A220,FIJOS!$B$11:$P$108,9,FALSE)),0,VLOOKUP($A220,FIJOS!$B$11:$P$231,9,FALSE)*$EC220))</f>
        <v>0</v>
      </c>
      <c r="DK220" s="145">
        <f>IF(OR($C220=2),VLOOKUP($D220,HORAS!$B$4:$F$42,5,FALSE)*$EE220,IF(ISERROR(VLOOKUP($A220,FIJOS!$B$11:$P$108,9,FALSE)),0,VLOOKUP($A220,FIJOS!$B$11:$P$231,9,FALSE)*$EE220))</f>
        <v>0</v>
      </c>
      <c r="DL220" s="144"/>
      <c r="DM220" s="145">
        <f>IF(ISERROR(VLOOKUP($A220,FIJOS!$B$11:$L$646,11,FALSE)),0,VLOOKUP($A220,FIJOS!$B$11:$L$646,11,FALSE))</f>
        <v>0</v>
      </c>
      <c r="DN220" s="148" t="e">
        <f>IF(OR($C220=1,$C220=3),0,IF((VLOOKUP(CAPTURA!D220,HORAS!$B$4:$K$42,10,FALSE)/4)*COUNTIF($H220:$CT220,3)&gt;100,100,(VLOOKUP(CAPTURA!D220,HORAS!$B$4:$K$42,10,FALSE)/4)*COUNTIF($H220:$CT220,3)))</f>
        <v>#N/A</v>
      </c>
      <c r="DO220" s="144" t="e">
        <f>IF(OR($C220=1,$C220=3),0,IF($C220=5,VLOOKUP(D220,HORAS!$B$4:$G$42,6,FALSE),IF(AND($C220=4,$CV220&gt;=(42/24)),VLOOKUP(D220,HORAS!$B$4:$G$42,6,FALSE),IF(COUNTIF($H220:$CL220,"F")&gt;0,0,IF(CV220&gt;$DJ$1,$DJ$1*(VLOOKUP(D220,HORAS!$B$4:$G$42,6,FALSE)/$DJ$1),CV220*(VLOOKUP(D220,HORAS!$B$4:$G$42,6,FALSE)/$DJ$1))))))</f>
        <v>#N/A</v>
      </c>
      <c r="DP220" s="156"/>
      <c r="DQ220" s="89"/>
      <c r="DR220" s="148"/>
      <c r="DS220" s="83" t="e">
        <f t="shared" si="130"/>
        <v>#N/A</v>
      </c>
      <c r="DT220" s="84"/>
      <c r="DU220" s="149" t="e">
        <f t="shared" si="131"/>
        <v>#N/A</v>
      </c>
      <c r="DV220" s="149" t="e">
        <f t="shared" si="132"/>
        <v>#N/A</v>
      </c>
      <c r="DW220" s="144" t="e">
        <f t="shared" si="133"/>
        <v>#N/A</v>
      </c>
      <c r="DX220" s="134"/>
      <c r="DY220" s="29"/>
      <c r="DZ220" s="150"/>
      <c r="EA220" s="134"/>
      <c r="EB220" s="137">
        <f t="shared" si="134"/>
        <v>0</v>
      </c>
      <c r="EC220" s="138">
        <f t="shared" si="128"/>
        <v>0</v>
      </c>
      <c r="ED220" s="137">
        <f t="shared" si="135"/>
        <v>0</v>
      </c>
      <c r="EE220" s="132">
        <f t="shared" si="129"/>
        <v>0</v>
      </c>
      <c r="EF220" s="29"/>
      <c r="EG220" s="134"/>
      <c r="EH220" s="134"/>
      <c r="EI220" s="134"/>
      <c r="EK220" s="29"/>
    </row>
    <row r="221" spans="1:141" ht="15" customHeight="1" x14ac:dyDescent="0.25">
      <c r="A221" s="140"/>
      <c r="B221" s="151"/>
      <c r="C221" s="72"/>
      <c r="D221" s="73"/>
      <c r="E221" s="73"/>
      <c r="F221" s="141"/>
      <c r="G221" s="74"/>
      <c r="H221" s="75"/>
      <c r="I221" s="76"/>
      <c r="J221" s="135"/>
      <c r="K221" s="135"/>
      <c r="L221" s="77">
        <f t="shared" si="106"/>
        <v>0</v>
      </c>
      <c r="M221" s="78"/>
      <c r="N221" s="142"/>
      <c r="O221" s="142"/>
      <c r="P221" s="77">
        <f t="shared" si="107"/>
        <v>0</v>
      </c>
      <c r="Q221" s="78"/>
      <c r="R221" s="143"/>
      <c r="S221" s="143"/>
      <c r="T221" s="77">
        <f t="shared" si="108"/>
        <v>0</v>
      </c>
      <c r="U221" s="75"/>
      <c r="V221" s="76"/>
      <c r="W221" s="135"/>
      <c r="X221" s="135"/>
      <c r="Y221" s="77">
        <f t="shared" si="109"/>
        <v>0</v>
      </c>
      <c r="Z221" s="78"/>
      <c r="AA221" s="142"/>
      <c r="AB221" s="142"/>
      <c r="AC221" s="77">
        <f t="shared" si="110"/>
        <v>0</v>
      </c>
      <c r="AD221" s="78"/>
      <c r="AE221" s="143"/>
      <c r="AF221" s="143"/>
      <c r="AG221" s="79">
        <f t="shared" si="111"/>
        <v>0</v>
      </c>
      <c r="AH221" s="75"/>
      <c r="AI221" s="76"/>
      <c r="AJ221" s="135"/>
      <c r="AK221" s="135"/>
      <c r="AL221" s="77">
        <f t="shared" si="112"/>
        <v>0</v>
      </c>
      <c r="AM221" s="76"/>
      <c r="AN221" s="142"/>
      <c r="AO221" s="142"/>
      <c r="AP221" s="77">
        <f t="shared" si="113"/>
        <v>0</v>
      </c>
      <c r="AQ221" s="78"/>
      <c r="AR221" s="142"/>
      <c r="AS221" s="142"/>
      <c r="AT221" s="79">
        <f t="shared" si="114"/>
        <v>0</v>
      </c>
      <c r="AU221" s="75"/>
      <c r="AV221" s="76"/>
      <c r="AW221" s="135"/>
      <c r="AX221" s="135"/>
      <c r="AY221" s="77">
        <f t="shared" si="115"/>
        <v>0</v>
      </c>
      <c r="AZ221" s="76"/>
      <c r="BA221" s="142"/>
      <c r="BB221" s="142"/>
      <c r="BC221" s="77">
        <f t="shared" si="116"/>
        <v>0</v>
      </c>
      <c r="BD221" s="78"/>
      <c r="BE221" s="142"/>
      <c r="BF221" s="142"/>
      <c r="BG221" s="79">
        <f t="shared" si="117"/>
        <v>0</v>
      </c>
      <c r="BH221" s="75"/>
      <c r="BI221" s="76"/>
      <c r="BJ221" s="135"/>
      <c r="BK221" s="135"/>
      <c r="BL221" s="77">
        <f t="shared" si="118"/>
        <v>0</v>
      </c>
      <c r="BM221" s="78"/>
      <c r="BN221" s="142"/>
      <c r="BO221" s="142"/>
      <c r="BP221" s="77">
        <f t="shared" si="119"/>
        <v>0</v>
      </c>
      <c r="BQ221" s="78"/>
      <c r="BR221" s="142"/>
      <c r="BS221" s="142"/>
      <c r="BT221" s="79">
        <f t="shared" si="120"/>
        <v>0</v>
      </c>
      <c r="BU221" s="75"/>
      <c r="BV221" s="76"/>
      <c r="BW221" s="135"/>
      <c r="BX221" s="135"/>
      <c r="BY221" s="77">
        <f t="shared" si="121"/>
        <v>0</v>
      </c>
      <c r="BZ221" s="78"/>
      <c r="CA221" s="142"/>
      <c r="CB221" s="142"/>
      <c r="CC221" s="77">
        <f t="shared" si="122"/>
        <v>0</v>
      </c>
      <c r="CD221" s="78"/>
      <c r="CE221" s="142"/>
      <c r="CF221" s="142"/>
      <c r="CG221" s="79">
        <f t="shared" si="123"/>
        <v>0</v>
      </c>
      <c r="CH221" s="75"/>
      <c r="CI221" s="76"/>
      <c r="CJ221" s="135"/>
      <c r="CK221" s="135"/>
      <c r="CL221" s="77">
        <f t="shared" si="124"/>
        <v>0</v>
      </c>
      <c r="CM221" s="78"/>
      <c r="CN221" s="142"/>
      <c r="CO221" s="142"/>
      <c r="CP221" s="77">
        <f t="shared" si="125"/>
        <v>0</v>
      </c>
      <c r="CQ221" s="78"/>
      <c r="CR221" s="142"/>
      <c r="CS221" s="142"/>
      <c r="CT221" s="79">
        <f t="shared" si="126"/>
        <v>0</v>
      </c>
      <c r="CU221" s="80">
        <f t="shared" si="104"/>
        <v>0</v>
      </c>
      <c r="CV221" s="81">
        <f t="shared" si="105"/>
        <v>0</v>
      </c>
      <c r="CW221" s="144"/>
      <c r="CX221" s="145">
        <f>IF(ISERROR(VLOOKUP($A221,FIJOS!$B$11:$O$590,14,FALSE)),0,VLOOKUP($A221,FIJOS!$B$11:$O$590,14,FALSE))</f>
        <v>0</v>
      </c>
      <c r="CY221" s="145">
        <f>IF(ISERROR(VLOOKUP(A221,FIJOS!$B$10:$P$590,15,FALSE)),0,VLOOKUP(A221,FIJOS!$B$10:$P$590,15,FALSE))</f>
        <v>0</v>
      </c>
      <c r="CZ221" s="156"/>
      <c r="DA221" s="146"/>
      <c r="DB221" s="147"/>
      <c r="DC221" s="147"/>
      <c r="DD221" s="147"/>
      <c r="DE221" s="147"/>
      <c r="DF221" s="145">
        <f>IF(ISERROR(VLOOKUP($A221,FIJOS!$B$11:$N$590,13,FALSE)),0,VLOOKUP($A221,FIJOS!$B$11:$N$590,13,FALSE))</f>
        <v>0</v>
      </c>
      <c r="DG221" s="145">
        <f>IF(ISERROR(VLOOKUP($A221,FIJOS!$B$11:$P$447,12,FALSE)),0,VLOOKUP($A221,FIJOS!$B$11:$P$447,12,FALSE))</f>
        <v>0</v>
      </c>
      <c r="DH221" s="82">
        <f t="shared" si="127"/>
        <v>0</v>
      </c>
      <c r="DI221" s="83" t="b">
        <f>IF($C221=1,(VLOOKUP($A221,FIJOS!$B$11:$P$545,10,FALSE)/7)*(7-$CU221),IF(AND($C221=2,CV221&lt;$DJ$1),(VLOOKUP($D221,HORAS!$B$4:$C$42,2,FALSE)*24)*$CV221,IF(AND($C221=2,CV221&gt;=$DJ$1),VLOOKUP($D221,HORAS!$B$4:$D$42,3,FALSE),IF(AND($C221=3,$CV221&gt;=$DJ$1),VLOOKUP($A221,FIJOS!$B$11:$P$545,10,FALSE),IF(AND($C221=3,$CV221&lt;$DJ$1),((VLOOKUP($A221,FIJOS!$B$11:$P$545,10,FALSE)/48)*24)*$CV221,IF(AND($C221=4,$CV221&gt;=(42/24)),VLOOKUP($D221,HORAS!$B$4:$D$42,3,FALSE),IF(AND($C221=5,$CV221&gt;=(36/24)),VLOOKUP($D221,HORAS!$B$4:$D$42,3,FALSE))))))))</f>
        <v>0</v>
      </c>
      <c r="DJ221" s="145">
        <f>IF(OR($C221=2),VLOOKUP($D221,HORAS!$B$4:$E$42,4,FALSE)*$EC221,IF(ISERROR(VLOOKUP($A221,FIJOS!$B$11:$P$108,9,FALSE)),0,VLOOKUP($A221,FIJOS!$B$11:$P$231,9,FALSE)*$EC221))</f>
        <v>0</v>
      </c>
      <c r="DK221" s="145">
        <f>IF(OR($C221=2),VLOOKUP($D221,HORAS!$B$4:$F$42,5,FALSE)*$EE221,IF(ISERROR(VLOOKUP($A221,FIJOS!$B$11:$P$108,9,FALSE)),0,VLOOKUP($A221,FIJOS!$B$11:$P$231,9,FALSE)*$EE221))</f>
        <v>0</v>
      </c>
      <c r="DL221" s="144"/>
      <c r="DM221" s="145">
        <f>IF(ISERROR(VLOOKUP($A221,FIJOS!$B$11:$L$646,11,FALSE)),0,VLOOKUP($A221,FIJOS!$B$11:$L$646,11,FALSE))</f>
        <v>0</v>
      </c>
      <c r="DN221" s="148" t="e">
        <f>IF(OR($C221=1,$C221=3),0,IF((VLOOKUP(CAPTURA!D221,HORAS!$B$4:$K$42,10,FALSE)/4)*COUNTIF($H221:$CT221,3)&gt;100,100,(VLOOKUP(CAPTURA!D221,HORAS!$B$4:$K$42,10,FALSE)/4)*COUNTIF($H221:$CT221,3)))</f>
        <v>#N/A</v>
      </c>
      <c r="DO221" s="144" t="e">
        <f>IF(OR($C221=1,$C221=3),0,IF($C221=5,VLOOKUP(D221,HORAS!$B$4:$G$42,6,FALSE),IF(AND($C221=4,$CV221&gt;=(42/24)),VLOOKUP(D221,HORAS!$B$4:$G$42,6,FALSE),IF(COUNTIF($H221:$CL221,"F")&gt;0,0,IF(CV221&gt;$DJ$1,$DJ$1*(VLOOKUP(D221,HORAS!$B$4:$G$42,6,FALSE)/$DJ$1),CV221*(VLOOKUP(D221,HORAS!$B$4:$G$42,6,FALSE)/$DJ$1))))))</f>
        <v>#N/A</v>
      </c>
      <c r="DP221" s="156"/>
      <c r="DQ221" s="89"/>
      <c r="DR221" s="148"/>
      <c r="DS221" s="83" t="e">
        <f t="shared" si="130"/>
        <v>#N/A</v>
      </c>
      <c r="DT221" s="84"/>
      <c r="DU221" s="149" t="e">
        <f t="shared" si="131"/>
        <v>#N/A</v>
      </c>
      <c r="DV221" s="149" t="e">
        <f t="shared" si="132"/>
        <v>#N/A</v>
      </c>
      <c r="DW221" s="144" t="e">
        <f t="shared" si="133"/>
        <v>#N/A</v>
      </c>
      <c r="DX221" s="134"/>
      <c r="DY221" s="29"/>
      <c r="DZ221" s="150"/>
      <c r="EA221" s="134"/>
      <c r="EB221" s="137">
        <f t="shared" si="134"/>
        <v>0</v>
      </c>
      <c r="EC221" s="138">
        <f t="shared" si="128"/>
        <v>0</v>
      </c>
      <c r="ED221" s="137">
        <f t="shared" si="135"/>
        <v>0</v>
      </c>
      <c r="EE221" s="132">
        <f t="shared" si="129"/>
        <v>0</v>
      </c>
      <c r="EF221" s="29"/>
      <c r="EG221" s="134"/>
      <c r="EH221" s="134"/>
      <c r="EI221" s="134"/>
      <c r="EK221" s="29"/>
    </row>
    <row r="222" spans="1:141" ht="15" customHeight="1" x14ac:dyDescent="0.25">
      <c r="A222" s="140"/>
      <c r="B222" s="151"/>
      <c r="C222" s="72"/>
      <c r="D222" s="73"/>
      <c r="E222" s="73"/>
      <c r="F222" s="141"/>
      <c r="G222" s="74"/>
      <c r="H222" s="75"/>
      <c r="I222" s="76"/>
      <c r="J222" s="135"/>
      <c r="K222" s="135"/>
      <c r="L222" s="77">
        <f t="shared" si="106"/>
        <v>0</v>
      </c>
      <c r="M222" s="78"/>
      <c r="N222" s="142"/>
      <c r="O222" s="142"/>
      <c r="P222" s="77">
        <f t="shared" si="107"/>
        <v>0</v>
      </c>
      <c r="Q222" s="78"/>
      <c r="R222" s="143"/>
      <c r="S222" s="143"/>
      <c r="T222" s="77">
        <f t="shared" si="108"/>
        <v>0</v>
      </c>
      <c r="U222" s="75"/>
      <c r="V222" s="76"/>
      <c r="W222" s="135"/>
      <c r="X222" s="135"/>
      <c r="Y222" s="77">
        <f t="shared" si="109"/>
        <v>0</v>
      </c>
      <c r="Z222" s="78"/>
      <c r="AA222" s="142"/>
      <c r="AB222" s="142"/>
      <c r="AC222" s="77">
        <f t="shared" si="110"/>
        <v>0</v>
      </c>
      <c r="AD222" s="78"/>
      <c r="AE222" s="143"/>
      <c r="AF222" s="143"/>
      <c r="AG222" s="79">
        <f t="shared" si="111"/>
        <v>0</v>
      </c>
      <c r="AH222" s="75"/>
      <c r="AI222" s="76"/>
      <c r="AJ222" s="135"/>
      <c r="AK222" s="135"/>
      <c r="AL222" s="77">
        <f t="shared" si="112"/>
        <v>0</v>
      </c>
      <c r="AM222" s="76"/>
      <c r="AN222" s="142"/>
      <c r="AO222" s="142"/>
      <c r="AP222" s="77">
        <f t="shared" si="113"/>
        <v>0</v>
      </c>
      <c r="AQ222" s="78"/>
      <c r="AR222" s="142"/>
      <c r="AS222" s="142"/>
      <c r="AT222" s="79">
        <f t="shared" si="114"/>
        <v>0</v>
      </c>
      <c r="AU222" s="75"/>
      <c r="AV222" s="76"/>
      <c r="AW222" s="135"/>
      <c r="AX222" s="135"/>
      <c r="AY222" s="77">
        <f t="shared" si="115"/>
        <v>0</v>
      </c>
      <c r="AZ222" s="76"/>
      <c r="BA222" s="142"/>
      <c r="BB222" s="142"/>
      <c r="BC222" s="77">
        <f t="shared" si="116"/>
        <v>0</v>
      </c>
      <c r="BD222" s="78"/>
      <c r="BE222" s="142"/>
      <c r="BF222" s="142"/>
      <c r="BG222" s="79">
        <f t="shared" si="117"/>
        <v>0</v>
      </c>
      <c r="BH222" s="75"/>
      <c r="BI222" s="76"/>
      <c r="BJ222" s="135"/>
      <c r="BK222" s="135"/>
      <c r="BL222" s="77">
        <f t="shared" si="118"/>
        <v>0</v>
      </c>
      <c r="BM222" s="78"/>
      <c r="BN222" s="142"/>
      <c r="BO222" s="142"/>
      <c r="BP222" s="77">
        <f t="shared" si="119"/>
        <v>0</v>
      </c>
      <c r="BQ222" s="78"/>
      <c r="BR222" s="142"/>
      <c r="BS222" s="142"/>
      <c r="BT222" s="79">
        <f t="shared" si="120"/>
        <v>0</v>
      </c>
      <c r="BU222" s="75"/>
      <c r="BV222" s="76"/>
      <c r="BW222" s="135"/>
      <c r="BX222" s="135"/>
      <c r="BY222" s="77">
        <f t="shared" si="121"/>
        <v>0</v>
      </c>
      <c r="BZ222" s="78"/>
      <c r="CA222" s="142"/>
      <c r="CB222" s="142"/>
      <c r="CC222" s="77">
        <f t="shared" si="122"/>
        <v>0</v>
      </c>
      <c r="CD222" s="78"/>
      <c r="CE222" s="142"/>
      <c r="CF222" s="142"/>
      <c r="CG222" s="79">
        <f t="shared" si="123"/>
        <v>0</v>
      </c>
      <c r="CH222" s="75"/>
      <c r="CI222" s="76"/>
      <c r="CJ222" s="135"/>
      <c r="CK222" s="135"/>
      <c r="CL222" s="77">
        <f t="shared" si="124"/>
        <v>0</v>
      </c>
      <c r="CM222" s="78"/>
      <c r="CN222" s="142"/>
      <c r="CO222" s="142"/>
      <c r="CP222" s="77">
        <f t="shared" si="125"/>
        <v>0</v>
      </c>
      <c r="CQ222" s="78"/>
      <c r="CR222" s="142"/>
      <c r="CS222" s="142"/>
      <c r="CT222" s="79">
        <f t="shared" si="126"/>
        <v>0</v>
      </c>
      <c r="CU222" s="80">
        <f t="shared" si="104"/>
        <v>0</v>
      </c>
      <c r="CV222" s="81">
        <f t="shared" si="105"/>
        <v>0</v>
      </c>
      <c r="CW222" s="144"/>
      <c r="CX222" s="145">
        <f>IF(ISERROR(VLOOKUP($A222,FIJOS!$B$11:$O$590,14,FALSE)),0,VLOOKUP($A222,FIJOS!$B$11:$O$590,14,FALSE))</f>
        <v>0</v>
      </c>
      <c r="CY222" s="145">
        <f>IF(ISERROR(VLOOKUP(A222,FIJOS!$B$10:$P$590,15,FALSE)),0,VLOOKUP(A222,FIJOS!$B$10:$P$590,15,FALSE))</f>
        <v>0</v>
      </c>
      <c r="CZ222" s="156"/>
      <c r="DA222" s="146"/>
      <c r="DB222" s="147"/>
      <c r="DC222" s="147"/>
      <c r="DD222" s="147"/>
      <c r="DE222" s="147"/>
      <c r="DF222" s="145">
        <f>IF(ISERROR(VLOOKUP($A222,FIJOS!$B$11:$N$590,13,FALSE)),0,VLOOKUP($A222,FIJOS!$B$11:$N$590,13,FALSE))</f>
        <v>0</v>
      </c>
      <c r="DG222" s="145">
        <f>IF(ISERROR(VLOOKUP($A222,FIJOS!$B$11:$P$447,12,FALSE)),0,VLOOKUP($A222,FIJOS!$B$11:$P$447,12,FALSE))</f>
        <v>0</v>
      </c>
      <c r="DH222" s="82">
        <f t="shared" si="127"/>
        <v>0</v>
      </c>
      <c r="DI222" s="83" t="b">
        <f>IF($C222=1,(VLOOKUP($A222,FIJOS!$B$11:$P$545,10,FALSE)/7)*(7-$CU222),IF(AND($C222=2,CV222&lt;$DJ$1),(VLOOKUP($D222,HORAS!$B$4:$C$42,2,FALSE)*24)*$CV222,IF(AND($C222=2,CV222&gt;=$DJ$1),VLOOKUP($D222,HORAS!$B$4:$D$42,3,FALSE),IF(AND($C222=3,$CV222&gt;=$DJ$1),VLOOKUP($A222,FIJOS!$B$11:$P$545,10,FALSE),IF(AND($C222=3,$CV222&lt;$DJ$1),((VLOOKUP($A222,FIJOS!$B$11:$P$545,10,FALSE)/48)*24)*$CV222,IF(AND($C222=4,$CV222&gt;=(42/24)),VLOOKUP($D222,HORAS!$B$4:$D$42,3,FALSE),IF(AND($C222=5,$CV222&gt;=(36/24)),VLOOKUP($D222,HORAS!$B$4:$D$42,3,FALSE))))))))</f>
        <v>0</v>
      </c>
      <c r="DJ222" s="145">
        <f>IF(OR($C222=2),VLOOKUP($D222,HORAS!$B$4:$E$42,4,FALSE)*$EC222,IF(ISERROR(VLOOKUP($A222,FIJOS!$B$11:$P$108,9,FALSE)),0,VLOOKUP($A222,FIJOS!$B$11:$P$231,9,FALSE)*$EC222))</f>
        <v>0</v>
      </c>
      <c r="DK222" s="145">
        <f>IF(OR($C222=2),VLOOKUP($D222,HORAS!$B$4:$F$42,5,FALSE)*$EE222,IF(ISERROR(VLOOKUP($A222,FIJOS!$B$11:$P$108,9,FALSE)),0,VLOOKUP($A222,FIJOS!$B$11:$P$231,9,FALSE)*$EE222))</f>
        <v>0</v>
      </c>
      <c r="DL222" s="144"/>
      <c r="DM222" s="145">
        <f>IF(ISERROR(VLOOKUP($A222,FIJOS!$B$11:$L$646,11,FALSE)),0,VLOOKUP($A222,FIJOS!$B$11:$L$646,11,FALSE))</f>
        <v>0</v>
      </c>
      <c r="DN222" s="148" t="e">
        <f>IF(OR($C222=1,$C222=3),0,IF((VLOOKUP(CAPTURA!D222,HORAS!$B$4:$K$42,10,FALSE)/4)*COUNTIF($H222:$CT222,3)&gt;100,100,(VLOOKUP(CAPTURA!D222,HORAS!$B$4:$K$42,10,FALSE)/4)*COUNTIF($H222:$CT222,3)))</f>
        <v>#N/A</v>
      </c>
      <c r="DO222" s="144" t="e">
        <f>IF(OR($C222=1,$C222=3),0,IF($C222=5,VLOOKUP(D222,HORAS!$B$4:$G$42,6,FALSE),IF(AND($C222=4,$CV222&gt;=(42/24)),VLOOKUP(D222,HORAS!$B$4:$G$42,6,FALSE),IF(COUNTIF($H222:$CL222,"F")&gt;0,0,IF(CV222&gt;$DJ$1,$DJ$1*(VLOOKUP(D222,HORAS!$B$4:$G$42,6,FALSE)/$DJ$1),CV222*(VLOOKUP(D222,HORAS!$B$4:$G$42,6,FALSE)/$DJ$1))))))</f>
        <v>#N/A</v>
      </c>
      <c r="DP222" s="156"/>
      <c r="DQ222" s="89"/>
      <c r="DR222" s="148"/>
      <c r="DS222" s="83" t="e">
        <f t="shared" si="130"/>
        <v>#N/A</v>
      </c>
      <c r="DT222" s="84"/>
      <c r="DU222" s="149" t="e">
        <f t="shared" si="131"/>
        <v>#N/A</v>
      </c>
      <c r="DV222" s="149" t="e">
        <f t="shared" si="132"/>
        <v>#N/A</v>
      </c>
      <c r="DW222" s="144" t="e">
        <f t="shared" si="133"/>
        <v>#N/A</v>
      </c>
      <c r="DX222" s="134"/>
      <c r="DY222" s="29"/>
      <c r="DZ222" s="150"/>
      <c r="EA222" s="137"/>
      <c r="EB222" s="137">
        <f t="shared" si="134"/>
        <v>0</v>
      </c>
      <c r="EC222" s="138">
        <f t="shared" si="128"/>
        <v>0</v>
      </c>
      <c r="ED222" s="137">
        <f t="shared" si="135"/>
        <v>0</v>
      </c>
      <c r="EE222" s="132">
        <f t="shared" si="129"/>
        <v>0</v>
      </c>
      <c r="EF222" s="29"/>
      <c r="EG222" s="134"/>
      <c r="EH222" s="134"/>
      <c r="EI222" s="134"/>
      <c r="EK222" s="29"/>
    </row>
    <row r="223" spans="1:141" ht="15" customHeight="1" x14ac:dyDescent="0.25">
      <c r="A223" s="140"/>
      <c r="B223" s="151"/>
      <c r="C223" s="72"/>
      <c r="D223" s="73"/>
      <c r="E223" s="73"/>
      <c r="F223" s="141"/>
      <c r="G223" s="74"/>
      <c r="H223" s="75"/>
      <c r="I223" s="76"/>
      <c r="J223" s="135"/>
      <c r="K223" s="135"/>
      <c r="L223" s="77">
        <f t="shared" si="106"/>
        <v>0</v>
      </c>
      <c r="M223" s="78"/>
      <c r="N223" s="142"/>
      <c r="O223" s="142"/>
      <c r="P223" s="77">
        <f t="shared" si="107"/>
        <v>0</v>
      </c>
      <c r="Q223" s="78"/>
      <c r="R223" s="143"/>
      <c r="S223" s="143"/>
      <c r="T223" s="77">
        <f t="shared" si="108"/>
        <v>0</v>
      </c>
      <c r="U223" s="75"/>
      <c r="V223" s="76"/>
      <c r="W223" s="135"/>
      <c r="X223" s="135"/>
      <c r="Y223" s="77">
        <f t="shared" si="109"/>
        <v>0</v>
      </c>
      <c r="Z223" s="78"/>
      <c r="AA223" s="142"/>
      <c r="AB223" s="142"/>
      <c r="AC223" s="77">
        <f t="shared" si="110"/>
        <v>0</v>
      </c>
      <c r="AD223" s="78"/>
      <c r="AE223" s="143"/>
      <c r="AF223" s="143"/>
      <c r="AG223" s="79">
        <f t="shared" si="111"/>
        <v>0</v>
      </c>
      <c r="AH223" s="75"/>
      <c r="AI223" s="76"/>
      <c r="AJ223" s="135"/>
      <c r="AK223" s="135"/>
      <c r="AL223" s="77">
        <f t="shared" si="112"/>
        <v>0</v>
      </c>
      <c r="AM223" s="76"/>
      <c r="AN223" s="142"/>
      <c r="AO223" s="142"/>
      <c r="AP223" s="77">
        <f t="shared" si="113"/>
        <v>0</v>
      </c>
      <c r="AQ223" s="78"/>
      <c r="AR223" s="142"/>
      <c r="AS223" s="142"/>
      <c r="AT223" s="79">
        <f t="shared" si="114"/>
        <v>0</v>
      </c>
      <c r="AU223" s="75"/>
      <c r="AV223" s="76"/>
      <c r="AW223" s="135"/>
      <c r="AX223" s="135"/>
      <c r="AY223" s="77">
        <f t="shared" si="115"/>
        <v>0</v>
      </c>
      <c r="AZ223" s="76"/>
      <c r="BA223" s="142"/>
      <c r="BB223" s="142"/>
      <c r="BC223" s="77">
        <f t="shared" si="116"/>
        <v>0</v>
      </c>
      <c r="BD223" s="78"/>
      <c r="BE223" s="142"/>
      <c r="BF223" s="142"/>
      <c r="BG223" s="79">
        <f t="shared" si="117"/>
        <v>0</v>
      </c>
      <c r="BH223" s="75"/>
      <c r="BI223" s="76"/>
      <c r="BJ223" s="135"/>
      <c r="BK223" s="135"/>
      <c r="BL223" s="77">
        <f t="shared" si="118"/>
        <v>0</v>
      </c>
      <c r="BM223" s="78"/>
      <c r="BN223" s="142"/>
      <c r="BO223" s="142"/>
      <c r="BP223" s="77">
        <f t="shared" si="119"/>
        <v>0</v>
      </c>
      <c r="BQ223" s="78"/>
      <c r="BR223" s="142"/>
      <c r="BS223" s="142"/>
      <c r="BT223" s="79">
        <f t="shared" si="120"/>
        <v>0</v>
      </c>
      <c r="BU223" s="75"/>
      <c r="BV223" s="76"/>
      <c r="BW223" s="135"/>
      <c r="BX223" s="135"/>
      <c r="BY223" s="77">
        <f t="shared" si="121"/>
        <v>0</v>
      </c>
      <c r="BZ223" s="78"/>
      <c r="CA223" s="142"/>
      <c r="CB223" s="142"/>
      <c r="CC223" s="77">
        <f t="shared" si="122"/>
        <v>0</v>
      </c>
      <c r="CD223" s="78"/>
      <c r="CE223" s="142"/>
      <c r="CF223" s="142"/>
      <c r="CG223" s="79">
        <f t="shared" si="123"/>
        <v>0</v>
      </c>
      <c r="CH223" s="75"/>
      <c r="CI223" s="76"/>
      <c r="CJ223" s="135"/>
      <c r="CK223" s="135"/>
      <c r="CL223" s="77">
        <f t="shared" si="124"/>
        <v>0</v>
      </c>
      <c r="CM223" s="78"/>
      <c r="CN223" s="142"/>
      <c r="CO223" s="142"/>
      <c r="CP223" s="77">
        <f t="shared" si="125"/>
        <v>0</v>
      </c>
      <c r="CQ223" s="78"/>
      <c r="CR223" s="142"/>
      <c r="CS223" s="142"/>
      <c r="CT223" s="79">
        <f t="shared" si="126"/>
        <v>0</v>
      </c>
      <c r="CU223" s="80">
        <f t="shared" si="104"/>
        <v>0</v>
      </c>
      <c r="CV223" s="81">
        <f t="shared" si="105"/>
        <v>0</v>
      </c>
      <c r="CW223" s="144"/>
      <c r="CX223" s="145">
        <f>IF(ISERROR(VLOOKUP($A223,FIJOS!$B$11:$O$590,14,FALSE)),0,VLOOKUP($A223,FIJOS!$B$11:$O$590,14,FALSE))</f>
        <v>0</v>
      </c>
      <c r="CY223" s="145">
        <f>IF(ISERROR(VLOOKUP(A223,FIJOS!$B$10:$P$590,15,FALSE)),0,VLOOKUP(A223,FIJOS!$B$10:$P$590,15,FALSE))</f>
        <v>0</v>
      </c>
      <c r="CZ223" s="156"/>
      <c r="DA223" s="146"/>
      <c r="DB223" s="147"/>
      <c r="DC223" s="147"/>
      <c r="DD223" s="147"/>
      <c r="DE223" s="147"/>
      <c r="DF223" s="145">
        <f>IF(ISERROR(VLOOKUP($A223,FIJOS!$B$11:$N$590,13,FALSE)),0,VLOOKUP($A223,FIJOS!$B$11:$N$590,13,FALSE))</f>
        <v>0</v>
      </c>
      <c r="DG223" s="145">
        <f>IF(ISERROR(VLOOKUP($A223,FIJOS!$B$11:$P$447,12,FALSE)),0,VLOOKUP($A223,FIJOS!$B$11:$P$447,12,FALSE))</f>
        <v>0</v>
      </c>
      <c r="DH223" s="82">
        <f t="shared" si="127"/>
        <v>0</v>
      </c>
      <c r="DI223" s="83" t="b">
        <f>IF($C223=1,(VLOOKUP($A223,FIJOS!$B$11:$P$545,10,FALSE)/7)*(7-$CU223),IF(AND($C223=2,CV223&lt;$DJ$1),(VLOOKUP($D223,HORAS!$B$4:$C$42,2,FALSE)*24)*$CV223,IF(AND($C223=2,CV223&gt;=$DJ$1),VLOOKUP($D223,HORAS!$B$4:$D$42,3,FALSE),IF(AND($C223=3,$CV223&gt;=$DJ$1),VLOOKUP($A223,FIJOS!$B$11:$P$545,10,FALSE),IF(AND($C223=3,$CV223&lt;$DJ$1),((VLOOKUP($A223,FIJOS!$B$11:$P$545,10,FALSE)/48)*24)*$CV223,IF(AND($C223=4,$CV223&gt;=(42/24)),VLOOKUP($D223,HORAS!$B$4:$D$42,3,FALSE),IF(AND($C223=5,$CV223&gt;=(36/24)),VLOOKUP($D223,HORAS!$B$4:$D$42,3,FALSE))))))))</f>
        <v>0</v>
      </c>
      <c r="DJ223" s="145">
        <f>IF(OR($C223=2),VLOOKUP($D223,HORAS!$B$4:$E$42,4,FALSE)*$EC223,IF(ISERROR(VLOOKUP($A223,FIJOS!$B$11:$P$108,9,FALSE)),0,VLOOKUP($A223,FIJOS!$B$11:$P$231,9,FALSE)*$EC223))</f>
        <v>0</v>
      </c>
      <c r="DK223" s="145">
        <f>IF(OR($C223=2),VLOOKUP($D223,HORAS!$B$4:$F$42,5,FALSE)*$EE223,IF(ISERROR(VLOOKUP($A223,FIJOS!$B$11:$P$108,9,FALSE)),0,VLOOKUP($A223,FIJOS!$B$11:$P$231,9,FALSE)*$EE223))</f>
        <v>0</v>
      </c>
      <c r="DL223" s="144"/>
      <c r="DM223" s="145">
        <f>IF(ISERROR(VLOOKUP($A223,FIJOS!$B$11:$L$646,11,FALSE)),0,VLOOKUP($A223,FIJOS!$B$11:$L$646,11,FALSE))</f>
        <v>0</v>
      </c>
      <c r="DN223" s="148" t="e">
        <f>IF(OR($C223=1,$C223=3),0,IF((VLOOKUP(CAPTURA!D223,HORAS!$B$4:$K$42,10,FALSE)/4)*COUNTIF($H223:$CT223,3)&gt;100,100,(VLOOKUP(CAPTURA!D223,HORAS!$B$4:$K$42,10,FALSE)/4)*COUNTIF($H223:$CT223,3)))</f>
        <v>#N/A</v>
      </c>
      <c r="DO223" s="144" t="e">
        <f>IF(OR($C223=1,$C223=3),0,IF($C223=5,VLOOKUP(D223,HORAS!$B$4:$G$42,6,FALSE),IF(AND($C223=4,$CV223&gt;=(42/24)),VLOOKUP(D223,HORAS!$B$4:$G$42,6,FALSE),IF(COUNTIF($H223:$CL223,"F")&gt;0,0,IF(CV223&gt;$DJ$1,$DJ$1*(VLOOKUP(D223,HORAS!$B$4:$G$42,6,FALSE)/$DJ$1),CV223*(VLOOKUP(D223,HORAS!$B$4:$G$42,6,FALSE)/$DJ$1))))))</f>
        <v>#N/A</v>
      </c>
      <c r="DP223" s="156"/>
      <c r="DQ223" s="89"/>
      <c r="DR223" s="148"/>
      <c r="DS223" s="83" t="e">
        <f t="shared" si="130"/>
        <v>#N/A</v>
      </c>
      <c r="DT223" s="84"/>
      <c r="DU223" s="149" t="e">
        <f t="shared" si="131"/>
        <v>#N/A</v>
      </c>
      <c r="DV223" s="149" t="e">
        <f t="shared" si="132"/>
        <v>#N/A</v>
      </c>
      <c r="DW223" s="144" t="e">
        <f t="shared" si="133"/>
        <v>#N/A</v>
      </c>
      <c r="DX223" s="134"/>
      <c r="DY223" s="29"/>
      <c r="DZ223" s="150"/>
      <c r="EA223" s="134"/>
      <c r="EB223" s="137">
        <f t="shared" si="134"/>
        <v>0</v>
      </c>
      <c r="EC223" s="138">
        <f t="shared" si="128"/>
        <v>0</v>
      </c>
      <c r="ED223" s="137">
        <f t="shared" si="135"/>
        <v>0</v>
      </c>
      <c r="EE223" s="132">
        <f t="shared" si="129"/>
        <v>0</v>
      </c>
      <c r="EF223" s="29"/>
      <c r="EG223" s="134"/>
      <c r="EH223" s="134"/>
      <c r="EI223" s="134"/>
      <c r="EK223" s="29"/>
    </row>
    <row r="224" spans="1:141" ht="15" customHeight="1" x14ac:dyDescent="0.25">
      <c r="A224" s="140"/>
      <c r="B224" s="151"/>
      <c r="C224" s="72"/>
      <c r="D224" s="73"/>
      <c r="E224" s="73"/>
      <c r="F224" s="141"/>
      <c r="G224" s="74"/>
      <c r="H224" s="75"/>
      <c r="I224" s="76"/>
      <c r="J224" s="135"/>
      <c r="K224" s="86"/>
      <c r="L224" s="77">
        <f t="shared" si="106"/>
        <v>0</v>
      </c>
      <c r="M224" s="78"/>
      <c r="N224" s="142"/>
      <c r="O224" s="142"/>
      <c r="P224" s="77">
        <f t="shared" si="107"/>
        <v>0</v>
      </c>
      <c r="Q224" s="78"/>
      <c r="R224" s="143"/>
      <c r="S224" s="143"/>
      <c r="T224" s="77">
        <f t="shared" si="108"/>
        <v>0</v>
      </c>
      <c r="U224" s="75"/>
      <c r="V224" s="76"/>
      <c r="W224" s="135"/>
      <c r="X224" s="135"/>
      <c r="Y224" s="77">
        <f t="shared" si="109"/>
        <v>0</v>
      </c>
      <c r="Z224" s="78"/>
      <c r="AA224" s="142"/>
      <c r="AB224" s="142"/>
      <c r="AC224" s="77">
        <f t="shared" si="110"/>
        <v>0</v>
      </c>
      <c r="AD224" s="78"/>
      <c r="AE224" s="143"/>
      <c r="AF224" s="143"/>
      <c r="AG224" s="79">
        <f t="shared" si="111"/>
        <v>0</v>
      </c>
      <c r="AH224" s="75"/>
      <c r="AI224" s="76"/>
      <c r="AJ224" s="135"/>
      <c r="AK224" s="135"/>
      <c r="AL224" s="77">
        <f t="shared" si="112"/>
        <v>0</v>
      </c>
      <c r="AM224" s="76"/>
      <c r="AN224" s="142"/>
      <c r="AO224" s="142"/>
      <c r="AP224" s="77">
        <f t="shared" si="113"/>
        <v>0</v>
      </c>
      <c r="AQ224" s="78"/>
      <c r="AR224" s="142"/>
      <c r="AS224" s="142"/>
      <c r="AT224" s="79">
        <f t="shared" si="114"/>
        <v>0</v>
      </c>
      <c r="AU224" s="75"/>
      <c r="AV224" s="76"/>
      <c r="AW224" s="135"/>
      <c r="AX224" s="135"/>
      <c r="AY224" s="77">
        <f t="shared" si="115"/>
        <v>0</v>
      </c>
      <c r="AZ224" s="76"/>
      <c r="BA224" s="142"/>
      <c r="BB224" s="142"/>
      <c r="BC224" s="77">
        <f t="shared" si="116"/>
        <v>0</v>
      </c>
      <c r="BD224" s="78"/>
      <c r="BE224" s="142"/>
      <c r="BF224" s="142"/>
      <c r="BG224" s="79">
        <f t="shared" si="117"/>
        <v>0</v>
      </c>
      <c r="BH224" s="75"/>
      <c r="BI224" s="76"/>
      <c r="BJ224" s="135"/>
      <c r="BK224" s="135"/>
      <c r="BL224" s="77">
        <f t="shared" si="118"/>
        <v>0</v>
      </c>
      <c r="BM224" s="78"/>
      <c r="BN224" s="142"/>
      <c r="BO224" s="142"/>
      <c r="BP224" s="77">
        <f t="shared" si="119"/>
        <v>0</v>
      </c>
      <c r="BQ224" s="78"/>
      <c r="BR224" s="142"/>
      <c r="BS224" s="142"/>
      <c r="BT224" s="79">
        <f t="shared" si="120"/>
        <v>0</v>
      </c>
      <c r="BU224" s="75"/>
      <c r="BV224" s="76"/>
      <c r="BW224" s="135"/>
      <c r="BX224" s="135"/>
      <c r="BY224" s="77">
        <f t="shared" si="121"/>
        <v>0</v>
      </c>
      <c r="BZ224" s="78"/>
      <c r="CA224" s="142"/>
      <c r="CB224" s="142"/>
      <c r="CC224" s="77">
        <f t="shared" si="122"/>
        <v>0</v>
      </c>
      <c r="CD224" s="78"/>
      <c r="CE224" s="142"/>
      <c r="CF224" s="142"/>
      <c r="CG224" s="79">
        <f t="shared" si="123"/>
        <v>0</v>
      </c>
      <c r="CH224" s="75"/>
      <c r="CI224" s="76"/>
      <c r="CJ224" s="135"/>
      <c r="CK224" s="135"/>
      <c r="CL224" s="77">
        <f t="shared" si="124"/>
        <v>0</v>
      </c>
      <c r="CM224" s="78"/>
      <c r="CN224" s="142"/>
      <c r="CO224" s="142"/>
      <c r="CP224" s="77">
        <f t="shared" si="125"/>
        <v>0</v>
      </c>
      <c r="CQ224" s="78"/>
      <c r="CR224" s="142"/>
      <c r="CS224" s="142"/>
      <c r="CT224" s="79">
        <f t="shared" si="126"/>
        <v>0</v>
      </c>
      <c r="CU224" s="80">
        <f t="shared" si="104"/>
        <v>0</v>
      </c>
      <c r="CV224" s="81">
        <f t="shared" si="105"/>
        <v>0</v>
      </c>
      <c r="CW224" s="144"/>
      <c r="CX224" s="145">
        <f>IF(ISERROR(VLOOKUP($A224,FIJOS!$B$11:$O$590,14,FALSE)),0,VLOOKUP($A224,FIJOS!$B$11:$O$590,14,FALSE))</f>
        <v>0</v>
      </c>
      <c r="CY224" s="145">
        <f>IF(ISERROR(VLOOKUP(A224,FIJOS!$B$10:$P$590,15,FALSE)),0,VLOOKUP(A224,FIJOS!$B$10:$P$590,15,FALSE))</f>
        <v>0</v>
      </c>
      <c r="CZ224" s="156"/>
      <c r="DA224" s="146"/>
      <c r="DB224" s="147"/>
      <c r="DC224" s="147"/>
      <c r="DD224" s="147"/>
      <c r="DE224" s="147"/>
      <c r="DF224" s="145">
        <f>IF(ISERROR(VLOOKUP($A224,FIJOS!$B$11:$N$590,13,FALSE)),0,VLOOKUP($A224,FIJOS!$B$11:$N$590,13,FALSE))</f>
        <v>0</v>
      </c>
      <c r="DG224" s="145">
        <f>IF(ISERROR(VLOOKUP($A224,FIJOS!$B$11:$P$447,12,FALSE)),0,VLOOKUP($A224,FIJOS!$B$11:$P$447,12,FALSE))</f>
        <v>0</v>
      </c>
      <c r="DH224" s="82">
        <f t="shared" si="127"/>
        <v>0</v>
      </c>
      <c r="DI224" s="83" t="b">
        <f>IF($C224=1,(VLOOKUP($A224,FIJOS!$B$11:$P$545,10,FALSE)/7)*(7-$CU224),IF(AND($C224=2,CV224&lt;$DJ$1),(VLOOKUP($D224,HORAS!$B$4:$C$42,2,FALSE)*24)*$CV224,IF(AND($C224=2,CV224&gt;=$DJ$1),VLOOKUP($D224,HORAS!$B$4:$D$42,3,FALSE),IF(AND($C224=3,$CV224&gt;=$DJ$1),VLOOKUP($A224,FIJOS!$B$11:$P$545,10,FALSE),IF(AND($C224=3,$CV224&lt;$DJ$1),((VLOOKUP($A224,FIJOS!$B$11:$P$545,10,FALSE)/48)*24)*$CV224,IF(AND($C224=4,$CV224&gt;=(42/24)),VLOOKUP($D224,HORAS!$B$4:$D$42,3,FALSE),IF(AND($C224=5,$CV224&gt;=(36/24)),VLOOKUP($D224,HORAS!$B$4:$D$42,3,FALSE))))))))</f>
        <v>0</v>
      </c>
      <c r="DJ224" s="145">
        <f>IF(OR($C224=2),VLOOKUP($D224,HORAS!$B$4:$E$42,4,FALSE)*$EC224,IF(ISERROR(VLOOKUP($A224,FIJOS!$B$11:$P$108,9,FALSE)),0,VLOOKUP($A224,FIJOS!$B$11:$P$231,9,FALSE)*$EC224))</f>
        <v>0</v>
      </c>
      <c r="DK224" s="145">
        <f>IF(OR($C224=2),VLOOKUP($D224,HORAS!$B$4:$F$42,5,FALSE)*$EE224,IF(ISERROR(VLOOKUP($A224,FIJOS!$B$11:$P$108,9,FALSE)),0,VLOOKUP($A224,FIJOS!$B$11:$P$231,9,FALSE)*$EE224))</f>
        <v>0</v>
      </c>
      <c r="DL224" s="144"/>
      <c r="DM224" s="145">
        <f>IF(ISERROR(VLOOKUP($A224,FIJOS!$B$11:$L$646,11,FALSE)),0,VLOOKUP($A224,FIJOS!$B$11:$L$646,11,FALSE))</f>
        <v>0</v>
      </c>
      <c r="DN224" s="148" t="e">
        <f>IF(OR($C224=1,$C224=3),0,IF((VLOOKUP(CAPTURA!D224,HORAS!$B$4:$K$42,10,FALSE)/4)*COUNTIF($H224:$CT224,3)&gt;100,100,(VLOOKUP(CAPTURA!D224,HORAS!$B$4:$K$42,10,FALSE)/4)*COUNTIF($H224:$CT224,3)))</f>
        <v>#N/A</v>
      </c>
      <c r="DO224" s="144" t="e">
        <f>IF(OR($C224=1,$C224=3),0,IF($C224=5,VLOOKUP(D224,HORAS!$B$4:$G$42,6,FALSE),IF(AND($C224=4,$CV224&gt;=(42/24)),VLOOKUP(D224,HORAS!$B$4:$G$42,6,FALSE),IF(COUNTIF($H224:$CL224,"F")&gt;0,0,IF(CV224&gt;$DJ$1,$DJ$1*(VLOOKUP(D224,HORAS!$B$4:$G$42,6,FALSE)/$DJ$1),CV224*(VLOOKUP(D224,HORAS!$B$4:$G$42,6,FALSE)/$DJ$1))))))</f>
        <v>#N/A</v>
      </c>
      <c r="DP224" s="156"/>
      <c r="DQ224" s="148"/>
      <c r="DR224" s="148"/>
      <c r="DS224" s="83" t="e">
        <f t="shared" si="130"/>
        <v>#N/A</v>
      </c>
      <c r="DT224" s="84"/>
      <c r="DU224" s="149" t="e">
        <f t="shared" si="131"/>
        <v>#N/A</v>
      </c>
      <c r="DV224" s="149" t="e">
        <f t="shared" si="132"/>
        <v>#N/A</v>
      </c>
      <c r="DW224" s="144" t="e">
        <f t="shared" si="133"/>
        <v>#N/A</v>
      </c>
      <c r="DX224" s="134"/>
      <c r="DY224" s="29"/>
      <c r="DZ224" s="150"/>
      <c r="EA224" s="134"/>
      <c r="EB224" s="137">
        <f t="shared" si="134"/>
        <v>0</v>
      </c>
      <c r="EC224" s="138">
        <f t="shared" si="128"/>
        <v>0</v>
      </c>
      <c r="ED224" s="137">
        <f t="shared" si="135"/>
        <v>0</v>
      </c>
      <c r="EE224" s="132">
        <f t="shared" si="129"/>
        <v>0</v>
      </c>
      <c r="EF224" s="29"/>
      <c r="EG224" s="134"/>
      <c r="EH224" s="134"/>
      <c r="EI224" s="134"/>
      <c r="EK224" s="29"/>
    </row>
    <row r="225" spans="1:141" ht="15" customHeight="1" x14ac:dyDescent="0.25">
      <c r="A225" s="140"/>
      <c r="B225" s="151"/>
      <c r="C225" s="72"/>
      <c r="D225" s="73"/>
      <c r="E225" s="73"/>
      <c r="F225" s="141"/>
      <c r="G225" s="74"/>
      <c r="H225" s="75"/>
      <c r="I225" s="76"/>
      <c r="J225" s="135"/>
      <c r="K225" s="135"/>
      <c r="L225" s="77">
        <f t="shared" si="106"/>
        <v>0</v>
      </c>
      <c r="M225" s="78"/>
      <c r="N225" s="142"/>
      <c r="O225" s="142"/>
      <c r="P225" s="77">
        <f t="shared" si="107"/>
        <v>0</v>
      </c>
      <c r="Q225" s="78"/>
      <c r="R225" s="143"/>
      <c r="S225" s="143"/>
      <c r="T225" s="77">
        <f t="shared" si="108"/>
        <v>0</v>
      </c>
      <c r="U225" s="75"/>
      <c r="V225" s="76"/>
      <c r="W225" s="135"/>
      <c r="X225" s="135"/>
      <c r="Y225" s="77">
        <f t="shared" si="109"/>
        <v>0</v>
      </c>
      <c r="Z225" s="78"/>
      <c r="AA225" s="142"/>
      <c r="AB225" s="142"/>
      <c r="AC225" s="77">
        <f t="shared" si="110"/>
        <v>0</v>
      </c>
      <c r="AD225" s="78"/>
      <c r="AE225" s="143"/>
      <c r="AF225" s="143"/>
      <c r="AG225" s="79">
        <f t="shared" si="111"/>
        <v>0</v>
      </c>
      <c r="AH225" s="75"/>
      <c r="AI225" s="76"/>
      <c r="AJ225" s="135"/>
      <c r="AK225" s="135"/>
      <c r="AL225" s="77">
        <f t="shared" si="112"/>
        <v>0</v>
      </c>
      <c r="AM225" s="76"/>
      <c r="AN225" s="142"/>
      <c r="AO225" s="142"/>
      <c r="AP225" s="77">
        <f t="shared" si="113"/>
        <v>0</v>
      </c>
      <c r="AQ225" s="78"/>
      <c r="AR225" s="142"/>
      <c r="AS225" s="142"/>
      <c r="AT225" s="79">
        <f t="shared" si="114"/>
        <v>0</v>
      </c>
      <c r="AU225" s="75"/>
      <c r="AV225" s="76"/>
      <c r="AW225" s="135"/>
      <c r="AX225" s="135"/>
      <c r="AY225" s="77">
        <f t="shared" si="115"/>
        <v>0</v>
      </c>
      <c r="AZ225" s="76"/>
      <c r="BA225" s="142"/>
      <c r="BB225" s="142"/>
      <c r="BC225" s="77">
        <f t="shared" si="116"/>
        <v>0</v>
      </c>
      <c r="BD225" s="78"/>
      <c r="BE225" s="142"/>
      <c r="BF225" s="142"/>
      <c r="BG225" s="79">
        <f t="shared" si="117"/>
        <v>0</v>
      </c>
      <c r="BH225" s="75"/>
      <c r="BI225" s="76"/>
      <c r="BJ225" s="135"/>
      <c r="BK225" s="135"/>
      <c r="BL225" s="77">
        <f t="shared" si="118"/>
        <v>0</v>
      </c>
      <c r="BM225" s="78"/>
      <c r="BN225" s="142"/>
      <c r="BO225" s="142"/>
      <c r="BP225" s="77">
        <f t="shared" si="119"/>
        <v>0</v>
      </c>
      <c r="BQ225" s="78"/>
      <c r="BR225" s="142"/>
      <c r="BS225" s="142"/>
      <c r="BT225" s="79">
        <f t="shared" si="120"/>
        <v>0</v>
      </c>
      <c r="BU225" s="75"/>
      <c r="BV225" s="76"/>
      <c r="BW225" s="135"/>
      <c r="BX225" s="135"/>
      <c r="BY225" s="77">
        <f t="shared" si="121"/>
        <v>0</v>
      </c>
      <c r="BZ225" s="76"/>
      <c r="CA225" s="142"/>
      <c r="CB225" s="142"/>
      <c r="CC225" s="77">
        <f t="shared" si="122"/>
        <v>0</v>
      </c>
      <c r="CD225" s="76"/>
      <c r="CE225" s="142"/>
      <c r="CF225" s="142"/>
      <c r="CG225" s="79">
        <f t="shared" si="123"/>
        <v>0</v>
      </c>
      <c r="CH225" s="75"/>
      <c r="CI225" s="76"/>
      <c r="CJ225" s="135"/>
      <c r="CK225" s="135"/>
      <c r="CL225" s="77">
        <f t="shared" si="124"/>
        <v>0</v>
      </c>
      <c r="CM225" s="78"/>
      <c r="CN225" s="142"/>
      <c r="CO225" s="142"/>
      <c r="CP225" s="77">
        <f t="shared" si="125"/>
        <v>0</v>
      </c>
      <c r="CQ225" s="78"/>
      <c r="CR225" s="142"/>
      <c r="CS225" s="142"/>
      <c r="CT225" s="79">
        <f t="shared" si="126"/>
        <v>0</v>
      </c>
      <c r="CU225" s="80">
        <f t="shared" si="104"/>
        <v>0</v>
      </c>
      <c r="CV225" s="81">
        <f t="shared" si="105"/>
        <v>0</v>
      </c>
      <c r="CW225" s="144"/>
      <c r="CX225" s="145">
        <f>IF(ISERROR(VLOOKUP($A225,FIJOS!$B$11:$O$590,14,FALSE)),0,VLOOKUP($A225,FIJOS!$B$11:$O$590,14,FALSE))</f>
        <v>0</v>
      </c>
      <c r="CY225" s="145">
        <f>IF(ISERROR(VLOOKUP(A225,FIJOS!$B$10:$P$590,15,FALSE)),0,VLOOKUP(A225,FIJOS!$B$10:$P$590,15,FALSE))</f>
        <v>0</v>
      </c>
      <c r="CZ225" s="156"/>
      <c r="DA225" s="146"/>
      <c r="DB225" s="147"/>
      <c r="DC225" s="147"/>
      <c r="DD225" s="147"/>
      <c r="DE225" s="147"/>
      <c r="DF225" s="145">
        <f>IF(ISERROR(VLOOKUP($A225,FIJOS!$B$11:$N$590,13,FALSE)),0,VLOOKUP($A225,FIJOS!$B$11:$N$590,13,FALSE))</f>
        <v>0</v>
      </c>
      <c r="DG225" s="145">
        <f>IF(ISERROR(VLOOKUP($A225,FIJOS!$B$11:$P$447,12,FALSE)),0,VLOOKUP($A225,FIJOS!$B$11:$P$447,12,FALSE))</f>
        <v>0</v>
      </c>
      <c r="DH225" s="82">
        <f t="shared" si="127"/>
        <v>0</v>
      </c>
      <c r="DI225" s="83" t="b">
        <f>IF($C225=1,(VLOOKUP($A225,FIJOS!$B$11:$P$545,10,FALSE)/7)*(7-$CU225),IF(AND($C225=2,CV225&lt;$DJ$1),(VLOOKUP($D225,HORAS!$B$4:$C$42,2,FALSE)*24)*$CV225,IF(AND($C225=2,CV225&gt;=$DJ$1),VLOOKUP($D225,HORAS!$B$4:$D$42,3,FALSE),IF(AND($C225=3,$CV225&gt;=$DJ$1),VLOOKUP($A225,FIJOS!$B$11:$P$545,10,FALSE),IF(AND($C225=3,$CV225&lt;$DJ$1),((VLOOKUP($A225,FIJOS!$B$11:$P$545,10,FALSE)/48)*24)*$CV225,IF(AND($C225=4,$CV225&gt;=(42/24)),VLOOKUP($D225,HORAS!$B$4:$D$42,3,FALSE),IF(AND($C225=5,$CV225&gt;=(36/24)),VLOOKUP($D225,HORAS!$B$4:$D$42,3,FALSE))))))))</f>
        <v>0</v>
      </c>
      <c r="DJ225" s="145">
        <f>IF(OR($C225=2),VLOOKUP($D225,HORAS!$B$4:$E$42,4,FALSE)*$EC225,IF(ISERROR(VLOOKUP($A225,FIJOS!$B$11:$P$108,9,FALSE)),0,VLOOKUP($A225,FIJOS!$B$11:$P$231,9,FALSE)*$EC225))</f>
        <v>0</v>
      </c>
      <c r="DK225" s="145">
        <f>IF(OR($C225=2),VLOOKUP($D225,HORAS!$B$4:$F$42,5,FALSE)*$EE225,IF(ISERROR(VLOOKUP($A225,FIJOS!$B$11:$P$108,9,FALSE)),0,VLOOKUP($A225,FIJOS!$B$11:$P$231,9,FALSE)*$EE225))</f>
        <v>0</v>
      </c>
      <c r="DL225" s="144"/>
      <c r="DM225" s="145">
        <f>IF(ISERROR(VLOOKUP($A225,FIJOS!$B$11:$L$646,11,FALSE)),0,VLOOKUP($A225,FIJOS!$B$11:$L$646,11,FALSE))</f>
        <v>0</v>
      </c>
      <c r="DN225" s="148" t="e">
        <f>IF(OR($C225=1,$C225=3),0,IF((VLOOKUP(CAPTURA!D225,HORAS!$B$4:$K$42,10,FALSE)/4)*COUNTIF($H225:$CT225,3)&gt;100,100,(VLOOKUP(CAPTURA!D225,HORAS!$B$4:$K$42,10,FALSE)/4)*COUNTIF($H225:$CT225,3)))</f>
        <v>#N/A</v>
      </c>
      <c r="DO225" s="144" t="e">
        <f>IF(OR($C225=1,$C225=3),0,IF($C225=5,VLOOKUP(D225,HORAS!$B$4:$G$42,6,FALSE),IF(AND($C225=4,$CV225&gt;=(42/24)),VLOOKUP(D225,HORAS!$B$4:$G$42,6,FALSE),IF(COUNTIF($H225:$CL225,"F")&gt;0,0,IF(CV225&gt;$DJ$1,$DJ$1*(VLOOKUP(D225,HORAS!$B$4:$G$42,6,FALSE)/$DJ$1),CV225*(VLOOKUP(D225,HORAS!$B$4:$G$42,6,FALSE)/$DJ$1))))))</f>
        <v>#N/A</v>
      </c>
      <c r="DP225" s="156"/>
      <c r="DQ225" s="89"/>
      <c r="DR225" s="148"/>
      <c r="DS225" s="83" t="e">
        <f t="shared" si="130"/>
        <v>#N/A</v>
      </c>
      <c r="DT225" s="84"/>
      <c r="DU225" s="149" t="e">
        <f t="shared" si="131"/>
        <v>#N/A</v>
      </c>
      <c r="DV225" s="149" t="e">
        <f t="shared" si="132"/>
        <v>#N/A</v>
      </c>
      <c r="DW225" s="144" t="e">
        <f t="shared" si="133"/>
        <v>#N/A</v>
      </c>
      <c r="DX225" s="134"/>
      <c r="DY225" s="29"/>
      <c r="DZ225" s="150"/>
      <c r="EA225" s="134"/>
      <c r="EB225" s="137">
        <f t="shared" si="134"/>
        <v>0</v>
      </c>
      <c r="EC225" s="138">
        <f t="shared" si="128"/>
        <v>0</v>
      </c>
      <c r="ED225" s="137">
        <f t="shared" si="135"/>
        <v>0</v>
      </c>
      <c r="EE225" s="132">
        <f t="shared" si="129"/>
        <v>0</v>
      </c>
      <c r="EF225" s="29"/>
      <c r="EG225" s="134"/>
      <c r="EH225" s="134"/>
      <c r="EI225" s="134"/>
      <c r="EK225" s="29"/>
    </row>
    <row r="226" spans="1:141" ht="15" customHeight="1" x14ac:dyDescent="0.25">
      <c r="A226" s="140"/>
      <c r="B226" s="5"/>
      <c r="C226" s="72"/>
      <c r="D226" s="73"/>
      <c r="E226" s="73"/>
      <c r="F226" s="141"/>
      <c r="G226" s="74"/>
      <c r="H226" s="75"/>
      <c r="I226" s="76"/>
      <c r="J226" s="135"/>
      <c r="K226" s="86"/>
      <c r="L226" s="77">
        <f t="shared" si="106"/>
        <v>0</v>
      </c>
      <c r="M226" s="78"/>
      <c r="N226" s="142"/>
      <c r="O226" s="142"/>
      <c r="P226" s="77">
        <f t="shared" si="107"/>
        <v>0</v>
      </c>
      <c r="Q226" s="78"/>
      <c r="R226" s="143"/>
      <c r="S226" s="143"/>
      <c r="T226" s="77">
        <f t="shared" si="108"/>
        <v>0</v>
      </c>
      <c r="U226" s="75"/>
      <c r="V226" s="76"/>
      <c r="W226" s="135"/>
      <c r="X226" s="86"/>
      <c r="Y226" s="77">
        <f t="shared" si="109"/>
        <v>0</v>
      </c>
      <c r="Z226" s="78"/>
      <c r="AA226" s="142"/>
      <c r="AB226" s="142"/>
      <c r="AC226" s="77">
        <f t="shared" si="110"/>
        <v>0</v>
      </c>
      <c r="AD226" s="78"/>
      <c r="AE226" s="143"/>
      <c r="AF226" s="143"/>
      <c r="AG226" s="79">
        <f t="shared" si="111"/>
        <v>0</v>
      </c>
      <c r="AH226" s="75"/>
      <c r="AI226" s="76"/>
      <c r="AJ226" s="135"/>
      <c r="AK226" s="86"/>
      <c r="AL226" s="77">
        <f t="shared" si="112"/>
        <v>0</v>
      </c>
      <c r="AM226" s="76"/>
      <c r="AN226" s="142"/>
      <c r="AO226" s="142"/>
      <c r="AP226" s="77">
        <f t="shared" si="113"/>
        <v>0</v>
      </c>
      <c r="AQ226" s="78"/>
      <c r="AR226" s="142"/>
      <c r="AS226" s="142"/>
      <c r="AT226" s="79">
        <f t="shared" si="114"/>
        <v>0</v>
      </c>
      <c r="AU226" s="75"/>
      <c r="AV226" s="76"/>
      <c r="AW226" s="135"/>
      <c r="AX226" s="86"/>
      <c r="AY226" s="77">
        <f t="shared" si="115"/>
        <v>0</v>
      </c>
      <c r="AZ226" s="76"/>
      <c r="BA226" s="142"/>
      <c r="BB226" s="142"/>
      <c r="BC226" s="77">
        <f t="shared" si="116"/>
        <v>0</v>
      </c>
      <c r="BD226" s="78"/>
      <c r="BE226" s="142"/>
      <c r="BF226" s="142"/>
      <c r="BG226" s="79">
        <f t="shared" si="117"/>
        <v>0</v>
      </c>
      <c r="BH226" s="75"/>
      <c r="BI226" s="76"/>
      <c r="BJ226" s="135"/>
      <c r="BK226" s="86"/>
      <c r="BL226" s="77">
        <f t="shared" si="118"/>
        <v>0</v>
      </c>
      <c r="BM226" s="78"/>
      <c r="BN226" s="142"/>
      <c r="BO226" s="142"/>
      <c r="BP226" s="77">
        <f t="shared" si="119"/>
        <v>0</v>
      </c>
      <c r="BQ226" s="78"/>
      <c r="BR226" s="142"/>
      <c r="BS226" s="142"/>
      <c r="BT226" s="79">
        <f t="shared" si="120"/>
        <v>0</v>
      </c>
      <c r="BU226" s="75"/>
      <c r="BV226" s="76"/>
      <c r="BW226" s="135"/>
      <c r="BX226" s="86"/>
      <c r="BY226" s="77">
        <f t="shared" si="121"/>
        <v>0</v>
      </c>
      <c r="BZ226" s="78"/>
      <c r="CA226" s="142"/>
      <c r="CB226" s="142"/>
      <c r="CC226" s="77">
        <f t="shared" si="122"/>
        <v>0</v>
      </c>
      <c r="CD226" s="78"/>
      <c r="CE226" s="142"/>
      <c r="CF226" s="142"/>
      <c r="CG226" s="79">
        <f t="shared" si="123"/>
        <v>0</v>
      </c>
      <c r="CH226" s="75"/>
      <c r="CI226" s="76"/>
      <c r="CJ226" s="135"/>
      <c r="CK226" s="135"/>
      <c r="CL226" s="77">
        <f t="shared" si="124"/>
        <v>0</v>
      </c>
      <c r="CM226" s="78"/>
      <c r="CN226" s="142"/>
      <c r="CO226" s="142"/>
      <c r="CP226" s="77">
        <f t="shared" si="125"/>
        <v>0</v>
      </c>
      <c r="CQ226" s="78"/>
      <c r="CR226" s="142"/>
      <c r="CS226" s="142"/>
      <c r="CT226" s="79">
        <f t="shared" si="126"/>
        <v>0</v>
      </c>
      <c r="CU226" s="80">
        <f t="shared" si="104"/>
        <v>0</v>
      </c>
      <c r="CV226" s="81">
        <f t="shared" si="105"/>
        <v>0</v>
      </c>
      <c r="CW226" s="144"/>
      <c r="CX226" s="145">
        <f>IF(ISERROR(VLOOKUP($A226,FIJOS!$B$11:$O$590,14,FALSE)),0,VLOOKUP($A226,FIJOS!$B$11:$O$590,14,FALSE))</f>
        <v>0</v>
      </c>
      <c r="CY226" s="145">
        <f>IF(ISERROR(VLOOKUP(A226,FIJOS!$B$10:$P$590,15,FALSE)),0,VLOOKUP(A226,FIJOS!$B$10:$P$590,15,FALSE))</f>
        <v>0</v>
      </c>
      <c r="CZ226" s="156"/>
      <c r="DA226" s="146"/>
      <c r="DB226" s="147"/>
      <c r="DC226" s="147"/>
      <c r="DD226" s="147"/>
      <c r="DE226" s="147"/>
      <c r="DF226" s="145">
        <f>IF(ISERROR(VLOOKUP($A226,FIJOS!$B$11:$N$590,13,FALSE)),0,VLOOKUP($A226,FIJOS!$B$11:$N$590,13,FALSE))</f>
        <v>0</v>
      </c>
      <c r="DG226" s="145">
        <f>IF(ISERROR(VLOOKUP($A226,FIJOS!$B$11:$P$447,12,FALSE)),0,VLOOKUP($A226,FIJOS!$B$11:$P$447,12,FALSE))</f>
        <v>0</v>
      </c>
      <c r="DH226" s="82">
        <f t="shared" si="127"/>
        <v>0</v>
      </c>
      <c r="DI226" s="83" t="b">
        <f>IF($C226=1,(VLOOKUP($A226,FIJOS!$B$11:$P$545,10,FALSE)/7)*(7-$CU226),IF(AND($C226=2,CV226&lt;$DJ$1),(VLOOKUP($D226,HORAS!$B$4:$C$42,2,FALSE)*24)*$CV226,IF(AND($C226=2,CV226&gt;=$DJ$1),VLOOKUP($D226,HORAS!$B$4:$D$42,3,FALSE),IF(AND($C226=3,$CV226&gt;=$DJ$1),VLOOKUP($A226,FIJOS!$B$11:$P$545,10,FALSE),IF(AND($C226=3,$CV226&lt;$DJ$1),((VLOOKUP($A226,FIJOS!$B$11:$P$545,10,FALSE)/48)*24)*$CV226,IF(AND($C226=4,$CV226&gt;=(42/24)),VLOOKUP($D226,HORAS!$B$4:$D$42,3,FALSE),IF(AND($C226=5,$CV226&gt;=(36/24)),VLOOKUP($D226,HORAS!$B$4:$D$42,3,FALSE))))))))</f>
        <v>0</v>
      </c>
      <c r="DJ226" s="145">
        <f>IF(OR($C226=2),VLOOKUP($D226,HORAS!$B$4:$E$42,4,FALSE)*$EC226,IF(ISERROR(VLOOKUP($A226,FIJOS!$B$11:$P$108,9,FALSE)),0,VLOOKUP($A226,FIJOS!$B$11:$P$231,9,FALSE)*$EC226))</f>
        <v>0</v>
      </c>
      <c r="DK226" s="145">
        <f>IF(OR($C226=2),VLOOKUP($D226,HORAS!$B$4:$F$42,5,FALSE)*$EE226,IF(ISERROR(VLOOKUP($A226,FIJOS!$B$11:$P$108,9,FALSE)),0,VLOOKUP($A226,FIJOS!$B$11:$P$231,9,FALSE)*$EE226))</f>
        <v>0</v>
      </c>
      <c r="DL226" s="144"/>
      <c r="DM226" s="145">
        <f>IF(ISERROR(VLOOKUP($A226,FIJOS!$B$11:$L$646,11,FALSE)),0,VLOOKUP($A226,FIJOS!$B$11:$L$646,11,FALSE))</f>
        <v>0</v>
      </c>
      <c r="DN226" s="148" t="e">
        <f>IF(OR($C226=1,$C226=3),0,IF((VLOOKUP(CAPTURA!D226,HORAS!$B$4:$K$42,10,FALSE)/4)*COUNTIF($H226:$CT226,3)&gt;100,100,(VLOOKUP(CAPTURA!D226,HORAS!$B$4:$K$42,10,FALSE)/4)*COUNTIF($H226:$CT226,3)))</f>
        <v>#N/A</v>
      </c>
      <c r="DO226" s="144" t="e">
        <f>IF(OR($C226=1,$C226=3),0,IF($C226=5,VLOOKUP(D226,HORAS!$B$4:$G$42,6,FALSE),IF(AND($C226=4,$CV226&gt;=(42/24)),VLOOKUP(D226,HORAS!$B$4:$G$42,6,FALSE),IF(COUNTIF($H226:$CL226,"F")&gt;0,0,IF(CV226&gt;$DJ$1,$DJ$1*(VLOOKUP(D226,HORAS!$B$4:$G$42,6,FALSE)/$DJ$1),CV226*(VLOOKUP(D226,HORAS!$B$4:$G$42,6,FALSE)/$DJ$1))))))</f>
        <v>#N/A</v>
      </c>
      <c r="DP226" s="156"/>
      <c r="DQ226" s="89"/>
      <c r="DR226" s="148"/>
      <c r="DS226" s="83" t="e">
        <f t="shared" si="130"/>
        <v>#N/A</v>
      </c>
      <c r="DT226" s="84"/>
      <c r="DU226" s="149" t="e">
        <f t="shared" si="131"/>
        <v>#N/A</v>
      </c>
      <c r="DV226" s="149" t="e">
        <f t="shared" si="132"/>
        <v>#N/A</v>
      </c>
      <c r="DW226" s="144" t="e">
        <f t="shared" si="133"/>
        <v>#N/A</v>
      </c>
      <c r="DX226" s="134"/>
      <c r="DY226" s="29"/>
      <c r="DZ226" s="150"/>
      <c r="EA226" s="134"/>
      <c r="EB226" s="137">
        <f t="shared" si="134"/>
        <v>0</v>
      </c>
      <c r="EC226" s="138">
        <f t="shared" si="128"/>
        <v>0</v>
      </c>
      <c r="ED226" s="137">
        <f t="shared" si="135"/>
        <v>0</v>
      </c>
      <c r="EE226" s="132">
        <f t="shared" si="129"/>
        <v>0</v>
      </c>
      <c r="EF226" s="29"/>
      <c r="EG226" s="134"/>
      <c r="EH226" s="134"/>
      <c r="EI226" s="134"/>
      <c r="EK226" s="29"/>
    </row>
    <row r="227" spans="1:141" ht="15" customHeight="1" x14ac:dyDescent="0.25">
      <c r="A227" s="140"/>
      <c r="B227" s="151"/>
      <c r="C227" s="72"/>
      <c r="D227" s="73"/>
      <c r="E227" s="73"/>
      <c r="F227" s="141"/>
      <c r="G227" s="74"/>
      <c r="H227" s="75"/>
      <c r="I227" s="76"/>
      <c r="J227" s="135"/>
      <c r="K227" s="135"/>
      <c r="L227" s="77">
        <f t="shared" si="106"/>
        <v>0</v>
      </c>
      <c r="M227" s="78"/>
      <c r="N227" s="142"/>
      <c r="O227" s="142"/>
      <c r="P227" s="77">
        <f t="shared" si="107"/>
        <v>0</v>
      </c>
      <c r="Q227" s="78"/>
      <c r="R227" s="143"/>
      <c r="S227" s="143"/>
      <c r="T227" s="77">
        <f t="shared" si="108"/>
        <v>0</v>
      </c>
      <c r="U227" s="75"/>
      <c r="V227" s="76"/>
      <c r="W227" s="135"/>
      <c r="X227" s="135"/>
      <c r="Y227" s="77">
        <f t="shared" si="109"/>
        <v>0</v>
      </c>
      <c r="Z227" s="78"/>
      <c r="AA227" s="142"/>
      <c r="AB227" s="142"/>
      <c r="AC227" s="77">
        <f t="shared" si="110"/>
        <v>0</v>
      </c>
      <c r="AD227" s="78"/>
      <c r="AE227" s="143"/>
      <c r="AF227" s="143"/>
      <c r="AG227" s="79">
        <f t="shared" si="111"/>
        <v>0</v>
      </c>
      <c r="AH227" s="75"/>
      <c r="AI227" s="76"/>
      <c r="AJ227" s="135"/>
      <c r="AK227" s="135"/>
      <c r="AL227" s="77">
        <f t="shared" si="112"/>
        <v>0</v>
      </c>
      <c r="AM227" s="76"/>
      <c r="AN227" s="142"/>
      <c r="AO227" s="142"/>
      <c r="AP227" s="77">
        <f t="shared" si="113"/>
        <v>0</v>
      </c>
      <c r="AQ227" s="78"/>
      <c r="AR227" s="142"/>
      <c r="AS227" s="142"/>
      <c r="AT227" s="79">
        <f t="shared" si="114"/>
        <v>0</v>
      </c>
      <c r="AU227" s="75"/>
      <c r="AV227" s="76"/>
      <c r="AW227" s="135"/>
      <c r="AX227" s="135"/>
      <c r="AY227" s="77">
        <f t="shared" si="115"/>
        <v>0</v>
      </c>
      <c r="AZ227" s="76"/>
      <c r="BA227" s="142"/>
      <c r="BB227" s="142"/>
      <c r="BC227" s="77">
        <f t="shared" si="116"/>
        <v>0</v>
      </c>
      <c r="BD227" s="78"/>
      <c r="BE227" s="142"/>
      <c r="BF227" s="142"/>
      <c r="BG227" s="79">
        <f t="shared" si="117"/>
        <v>0</v>
      </c>
      <c r="BH227" s="75"/>
      <c r="BI227" s="76"/>
      <c r="BJ227" s="135"/>
      <c r="BK227" s="135"/>
      <c r="BL227" s="77">
        <f t="shared" si="118"/>
        <v>0</v>
      </c>
      <c r="BM227" s="78"/>
      <c r="BN227" s="142"/>
      <c r="BO227" s="142"/>
      <c r="BP227" s="77">
        <f t="shared" si="119"/>
        <v>0</v>
      </c>
      <c r="BQ227" s="78"/>
      <c r="BR227" s="142"/>
      <c r="BS227" s="142"/>
      <c r="BT227" s="79">
        <f t="shared" si="120"/>
        <v>0</v>
      </c>
      <c r="BU227" s="75"/>
      <c r="BV227" s="76"/>
      <c r="BW227" s="135"/>
      <c r="BX227" s="135"/>
      <c r="BY227" s="77">
        <f t="shared" si="121"/>
        <v>0</v>
      </c>
      <c r="BZ227" s="78"/>
      <c r="CA227" s="142"/>
      <c r="CB227" s="142"/>
      <c r="CC227" s="77">
        <f t="shared" si="122"/>
        <v>0</v>
      </c>
      <c r="CD227" s="78"/>
      <c r="CE227" s="142"/>
      <c r="CF227" s="142"/>
      <c r="CG227" s="79">
        <f t="shared" si="123"/>
        <v>0</v>
      </c>
      <c r="CH227" s="75"/>
      <c r="CI227" s="76"/>
      <c r="CJ227" s="135"/>
      <c r="CK227" s="135"/>
      <c r="CL227" s="77">
        <f t="shared" si="124"/>
        <v>0</v>
      </c>
      <c r="CM227" s="78"/>
      <c r="CN227" s="142"/>
      <c r="CO227" s="142"/>
      <c r="CP227" s="77">
        <f t="shared" si="125"/>
        <v>0</v>
      </c>
      <c r="CQ227" s="78"/>
      <c r="CR227" s="142"/>
      <c r="CS227" s="142"/>
      <c r="CT227" s="79">
        <f t="shared" si="126"/>
        <v>0</v>
      </c>
      <c r="CU227" s="80">
        <f t="shared" si="104"/>
        <v>0</v>
      </c>
      <c r="CV227" s="81">
        <f t="shared" si="105"/>
        <v>0</v>
      </c>
      <c r="CW227" s="144"/>
      <c r="CX227" s="145">
        <f>IF(ISERROR(VLOOKUP($A227,FIJOS!$B$11:$O$590,14,FALSE)),0,VLOOKUP($A227,FIJOS!$B$11:$O$590,14,FALSE))</f>
        <v>0</v>
      </c>
      <c r="CY227" s="145">
        <f>IF(ISERROR(VLOOKUP(A227,FIJOS!$B$10:$P$590,15,FALSE)),0,VLOOKUP(A227,FIJOS!$B$10:$P$590,15,FALSE))</f>
        <v>0</v>
      </c>
      <c r="CZ227" s="156"/>
      <c r="DA227" s="146"/>
      <c r="DB227" s="147"/>
      <c r="DC227" s="147"/>
      <c r="DD227" s="147"/>
      <c r="DE227" s="147"/>
      <c r="DF227" s="145">
        <f>IF(ISERROR(VLOOKUP($A227,FIJOS!$B$11:$N$590,13,FALSE)),0,VLOOKUP($A227,FIJOS!$B$11:$N$590,13,FALSE))</f>
        <v>0</v>
      </c>
      <c r="DG227" s="145">
        <f>IF(ISERROR(VLOOKUP($A227,FIJOS!$B$11:$P$447,12,FALSE)),0,VLOOKUP($A227,FIJOS!$B$11:$P$447,12,FALSE))</f>
        <v>0</v>
      </c>
      <c r="DH227" s="82">
        <f t="shared" si="127"/>
        <v>0</v>
      </c>
      <c r="DI227" s="83" t="b">
        <f>IF($C227=1,(VLOOKUP($A227,FIJOS!$B$11:$P$545,10,FALSE)/7)*(7-$CU227),IF(AND($C227=2,CV227&lt;$DJ$1),(VLOOKUP($D227,HORAS!$B$4:$C$42,2,FALSE)*24)*$CV227,IF(AND($C227=2,CV227&gt;=$DJ$1),VLOOKUP($D227,HORAS!$B$4:$D$42,3,FALSE),IF(AND($C227=3,$CV227&gt;=$DJ$1),VLOOKUP($A227,FIJOS!$B$11:$P$545,10,FALSE),IF(AND($C227=3,$CV227&lt;$DJ$1),((VLOOKUP($A227,FIJOS!$B$11:$P$545,10,FALSE)/48)*24)*$CV227,IF(AND($C227=4,$CV227&gt;=(42/24)),VLOOKUP($D227,HORAS!$B$4:$D$42,3,FALSE),IF(AND($C227=5,$CV227&gt;=(36/24)),VLOOKUP($D227,HORAS!$B$4:$D$42,3,FALSE))))))))</f>
        <v>0</v>
      </c>
      <c r="DJ227" s="145">
        <f>IF(OR($C227=2),VLOOKUP($D227,HORAS!$B$4:$E$42,4,FALSE)*$EC227,IF(ISERROR(VLOOKUP($A227,FIJOS!$B$11:$P$108,9,FALSE)),0,VLOOKUP($A227,FIJOS!$B$11:$P$231,9,FALSE)*$EC227))</f>
        <v>0</v>
      </c>
      <c r="DK227" s="145">
        <f>IF(OR($C227=2),VLOOKUP($D227,HORAS!$B$4:$F$42,5,FALSE)*$EE227,IF(ISERROR(VLOOKUP($A227,FIJOS!$B$11:$P$108,9,FALSE)),0,VLOOKUP($A227,FIJOS!$B$11:$P$231,9,FALSE)*$EE227))</f>
        <v>0</v>
      </c>
      <c r="DL227" s="144"/>
      <c r="DM227" s="145">
        <f>IF(ISERROR(VLOOKUP($A227,FIJOS!$B$11:$L$646,11,FALSE)),0,VLOOKUP($A227,FIJOS!$B$11:$L$646,11,FALSE))</f>
        <v>0</v>
      </c>
      <c r="DN227" s="148" t="e">
        <f>IF(OR($C227=1,$C227=3),0,IF((VLOOKUP(CAPTURA!D227,HORAS!$B$4:$K$42,10,FALSE)/4)*COUNTIF($H227:$CT227,3)&gt;100,100,(VLOOKUP(CAPTURA!D227,HORAS!$B$4:$K$42,10,FALSE)/4)*COUNTIF($H227:$CT227,3)))</f>
        <v>#N/A</v>
      </c>
      <c r="DO227" s="144" t="e">
        <f>IF(OR($C227=1,$C227=3),0,IF($C227=5,VLOOKUP(D227,HORAS!$B$4:$G$42,6,FALSE),IF(AND($C227=4,$CV227&gt;=(42/24)),VLOOKUP(D227,HORAS!$B$4:$G$42,6,FALSE),IF(COUNTIF($H227:$CL227,"F")&gt;0,0,IF(CV227&gt;$DJ$1,$DJ$1*(VLOOKUP(D227,HORAS!$B$4:$G$42,6,FALSE)/$DJ$1),CV227*(VLOOKUP(D227,HORAS!$B$4:$G$42,6,FALSE)/$DJ$1))))))</f>
        <v>#N/A</v>
      </c>
      <c r="DP227" s="156"/>
      <c r="DQ227" s="89"/>
      <c r="DR227" s="148"/>
      <c r="DS227" s="83" t="e">
        <f t="shared" si="130"/>
        <v>#N/A</v>
      </c>
      <c r="DT227" s="84"/>
      <c r="DU227" s="149" t="e">
        <f t="shared" si="131"/>
        <v>#N/A</v>
      </c>
      <c r="DV227" s="149" t="e">
        <f t="shared" si="132"/>
        <v>#N/A</v>
      </c>
      <c r="DW227" s="144" t="e">
        <f t="shared" si="133"/>
        <v>#N/A</v>
      </c>
      <c r="DX227" s="134"/>
      <c r="DY227" s="29"/>
      <c r="DZ227" s="150"/>
      <c r="EA227" s="134"/>
      <c r="EB227" s="137">
        <f t="shared" si="134"/>
        <v>0</v>
      </c>
      <c r="EC227" s="138">
        <f t="shared" si="128"/>
        <v>0</v>
      </c>
      <c r="ED227" s="137">
        <f t="shared" si="135"/>
        <v>0</v>
      </c>
      <c r="EE227" s="132">
        <f t="shared" si="129"/>
        <v>0</v>
      </c>
      <c r="EF227" s="29"/>
      <c r="EG227" s="134"/>
      <c r="EH227" s="134"/>
      <c r="EI227" s="134"/>
      <c r="EK227" s="29"/>
    </row>
    <row r="228" spans="1:141" ht="15" customHeight="1" x14ac:dyDescent="0.25">
      <c r="A228" s="140"/>
      <c r="B228" s="5"/>
      <c r="C228" s="72"/>
      <c r="D228" s="73"/>
      <c r="E228" s="73"/>
      <c r="F228" s="141"/>
      <c r="G228" s="74"/>
      <c r="H228" s="75"/>
      <c r="I228" s="76"/>
      <c r="J228" s="135"/>
      <c r="K228" s="135"/>
      <c r="L228" s="77">
        <f t="shared" si="106"/>
        <v>0</v>
      </c>
      <c r="M228" s="78"/>
      <c r="N228" s="142"/>
      <c r="O228" s="142"/>
      <c r="P228" s="77">
        <f t="shared" si="107"/>
        <v>0</v>
      </c>
      <c r="Q228" s="78"/>
      <c r="R228" s="143"/>
      <c r="S228" s="143"/>
      <c r="T228" s="77">
        <f t="shared" si="108"/>
        <v>0</v>
      </c>
      <c r="U228" s="75"/>
      <c r="V228" s="76"/>
      <c r="W228" s="135"/>
      <c r="X228" s="135"/>
      <c r="Y228" s="77">
        <f t="shared" si="109"/>
        <v>0</v>
      </c>
      <c r="Z228" s="78"/>
      <c r="AA228" s="142"/>
      <c r="AB228" s="142"/>
      <c r="AC228" s="77">
        <f t="shared" si="110"/>
        <v>0</v>
      </c>
      <c r="AD228" s="78"/>
      <c r="AE228" s="143"/>
      <c r="AF228" s="143"/>
      <c r="AG228" s="79">
        <f t="shared" si="111"/>
        <v>0</v>
      </c>
      <c r="AH228" s="75"/>
      <c r="AI228" s="76"/>
      <c r="AJ228" s="135"/>
      <c r="AK228" s="135"/>
      <c r="AL228" s="77">
        <f t="shared" si="112"/>
        <v>0</v>
      </c>
      <c r="AM228" s="76"/>
      <c r="AN228" s="142"/>
      <c r="AO228" s="142"/>
      <c r="AP228" s="77">
        <f t="shared" si="113"/>
        <v>0</v>
      </c>
      <c r="AQ228" s="78"/>
      <c r="AR228" s="142"/>
      <c r="AS228" s="142"/>
      <c r="AT228" s="79">
        <f t="shared" si="114"/>
        <v>0</v>
      </c>
      <c r="AU228" s="75"/>
      <c r="AV228" s="76"/>
      <c r="AW228" s="135"/>
      <c r="AX228" s="135"/>
      <c r="AY228" s="77">
        <f t="shared" si="115"/>
        <v>0</v>
      </c>
      <c r="AZ228" s="76"/>
      <c r="BA228" s="142"/>
      <c r="BB228" s="142"/>
      <c r="BC228" s="77">
        <f t="shared" si="116"/>
        <v>0</v>
      </c>
      <c r="BD228" s="78"/>
      <c r="BE228" s="142"/>
      <c r="BF228" s="142"/>
      <c r="BG228" s="79">
        <f t="shared" si="117"/>
        <v>0</v>
      </c>
      <c r="BH228" s="75"/>
      <c r="BI228" s="76"/>
      <c r="BJ228" s="135"/>
      <c r="BK228" s="135"/>
      <c r="BL228" s="77">
        <f t="shared" si="118"/>
        <v>0</v>
      </c>
      <c r="BM228" s="76"/>
      <c r="BN228" s="142"/>
      <c r="BO228" s="142"/>
      <c r="BP228" s="77">
        <f t="shared" si="119"/>
        <v>0</v>
      </c>
      <c r="BQ228" s="78"/>
      <c r="BR228" s="142"/>
      <c r="BS228" s="142"/>
      <c r="BT228" s="79">
        <f t="shared" si="120"/>
        <v>0</v>
      </c>
      <c r="BU228" s="75"/>
      <c r="BV228" s="76"/>
      <c r="BW228" s="135"/>
      <c r="BX228" s="135"/>
      <c r="BY228" s="77">
        <f t="shared" si="121"/>
        <v>0</v>
      </c>
      <c r="BZ228" s="78"/>
      <c r="CA228" s="142"/>
      <c r="CB228" s="142"/>
      <c r="CC228" s="77">
        <f t="shared" si="122"/>
        <v>0</v>
      </c>
      <c r="CD228" s="78"/>
      <c r="CE228" s="142"/>
      <c r="CF228" s="131"/>
      <c r="CG228" s="79">
        <f t="shared" si="123"/>
        <v>0</v>
      </c>
      <c r="CH228" s="75"/>
      <c r="CI228" s="76"/>
      <c r="CJ228" s="135"/>
      <c r="CK228" s="135"/>
      <c r="CL228" s="77">
        <f t="shared" si="124"/>
        <v>0</v>
      </c>
      <c r="CM228" s="78"/>
      <c r="CN228" s="142"/>
      <c r="CO228" s="142"/>
      <c r="CP228" s="77">
        <f t="shared" si="125"/>
        <v>0</v>
      </c>
      <c r="CQ228" s="78"/>
      <c r="CR228" s="142"/>
      <c r="CS228" s="142"/>
      <c r="CT228" s="79">
        <f t="shared" si="126"/>
        <v>0</v>
      </c>
      <c r="CU228" s="80">
        <f t="shared" si="104"/>
        <v>0</v>
      </c>
      <c r="CV228" s="81">
        <f t="shared" si="105"/>
        <v>0</v>
      </c>
      <c r="CW228" s="144"/>
      <c r="CX228" s="145">
        <f>IF(ISERROR(VLOOKUP($A228,FIJOS!$B$11:$O$590,14,FALSE)),0,VLOOKUP($A228,FIJOS!$B$11:$O$590,14,FALSE))</f>
        <v>0</v>
      </c>
      <c r="CY228" s="145">
        <f>IF(ISERROR(VLOOKUP(A228,FIJOS!$B$10:$P$590,15,FALSE)),0,VLOOKUP(A228,FIJOS!$B$10:$P$590,15,FALSE))</f>
        <v>0</v>
      </c>
      <c r="CZ228" s="156"/>
      <c r="DA228" s="146"/>
      <c r="DB228" s="147"/>
      <c r="DC228" s="147"/>
      <c r="DD228" s="147"/>
      <c r="DE228" s="147"/>
      <c r="DF228" s="145">
        <f>IF(ISERROR(VLOOKUP($A228,FIJOS!$B$11:$N$590,13,FALSE)),0,VLOOKUP($A228,FIJOS!$B$11:$N$590,13,FALSE))</f>
        <v>0</v>
      </c>
      <c r="DG228" s="145">
        <f>IF(ISERROR(VLOOKUP($A228,FIJOS!$B$11:$P$447,12,FALSE)),0,VLOOKUP($A228,FIJOS!$B$11:$P$447,12,FALSE))</f>
        <v>0</v>
      </c>
      <c r="DH228" s="82">
        <f t="shared" si="127"/>
        <v>0</v>
      </c>
      <c r="DI228" s="83" t="b">
        <f>IF($C228=1,(VLOOKUP($A228,FIJOS!$B$11:$P$545,10,FALSE)/7)*(7-$CU228),IF(AND($C228=2,CV228&lt;$DJ$1),(VLOOKUP($D228,HORAS!$B$4:$C$42,2,FALSE)*24)*$CV228,IF(AND($C228=2,CV228&gt;=$DJ$1),VLOOKUP($D228,HORAS!$B$4:$D$42,3,FALSE),IF(AND($C228=3,$CV228&gt;=$DJ$1),VLOOKUP($A228,FIJOS!$B$11:$P$545,10,FALSE),IF(AND($C228=3,$CV228&lt;$DJ$1),((VLOOKUP($A228,FIJOS!$B$11:$P$545,10,FALSE)/48)*24)*$CV228,IF(AND($C228=4,$CV228&gt;=(42/24)),VLOOKUP($D228,HORAS!$B$4:$D$42,3,FALSE),IF(AND($C228=5,$CV228&gt;=(36/24)),VLOOKUP($D228,HORAS!$B$4:$D$42,3,FALSE))))))))</f>
        <v>0</v>
      </c>
      <c r="DJ228" s="145">
        <f>IF(OR($C228=2),VLOOKUP($D228,HORAS!$B$4:$E$42,4,FALSE)*$EC228,IF(ISERROR(VLOOKUP($A228,FIJOS!$B$11:$P$108,9,FALSE)),0,VLOOKUP($A228,FIJOS!$B$11:$P$231,9,FALSE)*$EC228))</f>
        <v>0</v>
      </c>
      <c r="DK228" s="145">
        <f>IF(OR($C228=2),VLOOKUP($D228,HORAS!$B$4:$F$42,5,FALSE)*$EE228,IF(ISERROR(VLOOKUP($A228,FIJOS!$B$11:$P$108,9,FALSE)),0,VLOOKUP($A228,FIJOS!$B$11:$P$231,9,FALSE)*$EE228))</f>
        <v>0</v>
      </c>
      <c r="DL228" s="144"/>
      <c r="DM228" s="145">
        <f>IF(ISERROR(VLOOKUP($A228,FIJOS!$B$11:$L$646,11,FALSE)),0,VLOOKUP($A228,FIJOS!$B$11:$L$646,11,FALSE))</f>
        <v>0</v>
      </c>
      <c r="DN228" s="148" t="e">
        <f>IF(OR($C228=1,$C228=3),0,IF((VLOOKUP(CAPTURA!D228,HORAS!$B$4:$K$42,10,FALSE)/4)*COUNTIF($H228:$CT228,3)&gt;100,100,(VLOOKUP(CAPTURA!D228,HORAS!$B$4:$K$42,10,FALSE)/4)*COUNTIF($H228:$CT228,3)))</f>
        <v>#N/A</v>
      </c>
      <c r="DO228" s="144" t="e">
        <f>IF(OR($C228=1,$C228=3),0,IF($C228=5,VLOOKUP(D228,HORAS!$B$4:$G$42,6,FALSE),IF(AND($C228=4,$CV228&gt;=(42/24)),VLOOKUP(D228,HORAS!$B$4:$G$42,6,FALSE),IF(COUNTIF($H228:$CL228,"F")&gt;0,0,IF(CV228&gt;$DJ$1,$DJ$1*(VLOOKUP(D228,HORAS!$B$4:$G$42,6,FALSE)/$DJ$1),CV228*(VLOOKUP(D228,HORAS!$B$4:$G$42,6,FALSE)/$DJ$1))))))</f>
        <v>#N/A</v>
      </c>
      <c r="DP228" s="156"/>
      <c r="DQ228" s="89"/>
      <c r="DR228" s="148"/>
      <c r="DS228" s="83" t="e">
        <f t="shared" si="130"/>
        <v>#N/A</v>
      </c>
      <c r="DT228" s="84"/>
      <c r="DU228" s="149" t="e">
        <f t="shared" si="131"/>
        <v>#N/A</v>
      </c>
      <c r="DV228" s="149" t="e">
        <f t="shared" si="132"/>
        <v>#N/A</v>
      </c>
      <c r="DW228" s="144" t="e">
        <f t="shared" si="133"/>
        <v>#N/A</v>
      </c>
      <c r="DX228"/>
      <c r="DY228" s="29"/>
      <c r="DZ228" s="150"/>
      <c r="EA228" s="134"/>
      <c r="EB228" s="137">
        <f t="shared" si="134"/>
        <v>0</v>
      </c>
      <c r="EC228" s="138">
        <f t="shared" si="128"/>
        <v>0</v>
      </c>
      <c r="ED228" s="137">
        <f t="shared" si="135"/>
        <v>0</v>
      </c>
      <c r="EE228" s="132">
        <f t="shared" si="129"/>
        <v>0</v>
      </c>
      <c r="EF228" s="29"/>
      <c r="EG228" s="134"/>
      <c r="EH228" s="134"/>
      <c r="EI228" s="134"/>
      <c r="EK228" s="29"/>
    </row>
    <row r="229" spans="1:141" ht="15" customHeight="1" x14ac:dyDescent="0.25">
      <c r="A229" s="140"/>
      <c r="B229" s="151"/>
      <c r="C229" s="72"/>
      <c r="D229" s="73"/>
      <c r="E229" s="73"/>
      <c r="F229" s="141"/>
      <c r="G229" s="74"/>
      <c r="H229" s="75"/>
      <c r="I229" s="76"/>
      <c r="J229" s="135"/>
      <c r="K229" s="135"/>
      <c r="L229" s="77">
        <f t="shared" si="106"/>
        <v>0</v>
      </c>
      <c r="M229" s="78"/>
      <c r="N229" s="142"/>
      <c r="O229" s="142"/>
      <c r="P229" s="77">
        <f t="shared" si="107"/>
        <v>0</v>
      </c>
      <c r="Q229" s="78"/>
      <c r="R229" s="143"/>
      <c r="S229" s="143"/>
      <c r="T229" s="77">
        <f t="shared" si="108"/>
        <v>0</v>
      </c>
      <c r="U229" s="75"/>
      <c r="V229" s="76"/>
      <c r="W229" s="135"/>
      <c r="X229" s="135"/>
      <c r="Y229" s="77">
        <f t="shared" si="109"/>
        <v>0</v>
      </c>
      <c r="Z229" s="76"/>
      <c r="AA229" s="142"/>
      <c r="AB229" s="142"/>
      <c r="AC229" s="77">
        <f t="shared" si="110"/>
        <v>0</v>
      </c>
      <c r="AD229" s="76"/>
      <c r="AE229" s="143"/>
      <c r="AF229" s="143"/>
      <c r="AG229" s="79">
        <f t="shared" si="111"/>
        <v>0</v>
      </c>
      <c r="AH229" s="75"/>
      <c r="AI229" s="76"/>
      <c r="AJ229" s="135"/>
      <c r="AK229" s="135"/>
      <c r="AL229" s="77">
        <f t="shared" si="112"/>
        <v>0</v>
      </c>
      <c r="AM229" s="76"/>
      <c r="AN229" s="142"/>
      <c r="AO229" s="142"/>
      <c r="AP229" s="77">
        <f t="shared" si="113"/>
        <v>0</v>
      </c>
      <c r="AQ229" s="76"/>
      <c r="AR229" s="142"/>
      <c r="AS229" s="142"/>
      <c r="AT229" s="79">
        <f t="shared" si="114"/>
        <v>0</v>
      </c>
      <c r="AU229" s="75"/>
      <c r="AV229" s="76"/>
      <c r="AW229" s="135"/>
      <c r="AX229" s="135"/>
      <c r="AY229" s="77">
        <f t="shared" si="115"/>
        <v>0</v>
      </c>
      <c r="AZ229" s="76"/>
      <c r="BA229" s="142"/>
      <c r="BB229" s="142"/>
      <c r="BC229" s="77">
        <f t="shared" si="116"/>
        <v>0</v>
      </c>
      <c r="BD229" s="76"/>
      <c r="BE229" s="142"/>
      <c r="BF229" s="142"/>
      <c r="BG229" s="79">
        <f t="shared" si="117"/>
        <v>0</v>
      </c>
      <c r="BH229" s="75"/>
      <c r="BI229" s="76"/>
      <c r="BJ229" s="135"/>
      <c r="BK229" s="135"/>
      <c r="BL229" s="77">
        <f t="shared" si="118"/>
        <v>0</v>
      </c>
      <c r="BM229" s="76"/>
      <c r="BN229" s="142"/>
      <c r="BO229" s="142"/>
      <c r="BP229" s="77">
        <f t="shared" si="119"/>
        <v>0</v>
      </c>
      <c r="BQ229" s="76"/>
      <c r="BR229" s="142"/>
      <c r="BS229" s="142"/>
      <c r="BT229" s="79">
        <f t="shared" si="120"/>
        <v>0</v>
      </c>
      <c r="BU229" s="75"/>
      <c r="BV229" s="76"/>
      <c r="BW229" s="135"/>
      <c r="BX229" s="135"/>
      <c r="BY229" s="77">
        <f t="shared" si="121"/>
        <v>0</v>
      </c>
      <c r="BZ229" s="76"/>
      <c r="CA229" s="142"/>
      <c r="CB229" s="142"/>
      <c r="CC229" s="77">
        <f t="shared" si="122"/>
        <v>0</v>
      </c>
      <c r="CD229" s="76"/>
      <c r="CE229" s="142"/>
      <c r="CF229" s="142"/>
      <c r="CG229" s="79">
        <f t="shared" si="123"/>
        <v>0</v>
      </c>
      <c r="CH229" s="75"/>
      <c r="CI229" s="76"/>
      <c r="CJ229" s="135"/>
      <c r="CK229" s="135"/>
      <c r="CL229" s="77">
        <f t="shared" si="124"/>
        <v>0</v>
      </c>
      <c r="CM229" s="78"/>
      <c r="CN229" s="142"/>
      <c r="CO229" s="142"/>
      <c r="CP229" s="77">
        <f t="shared" si="125"/>
        <v>0</v>
      </c>
      <c r="CQ229" s="78"/>
      <c r="CR229" s="142"/>
      <c r="CS229" s="142"/>
      <c r="CT229" s="79">
        <f t="shared" si="126"/>
        <v>0</v>
      </c>
      <c r="CU229" s="80">
        <f t="shared" si="104"/>
        <v>0</v>
      </c>
      <c r="CV229" s="81">
        <f t="shared" si="105"/>
        <v>0</v>
      </c>
      <c r="CW229" s="144"/>
      <c r="CX229" s="145">
        <f>IF(ISERROR(VLOOKUP($A229,FIJOS!$B$11:$O$590,14,FALSE)),0,VLOOKUP($A229,FIJOS!$B$11:$O$590,14,FALSE))</f>
        <v>0</v>
      </c>
      <c r="CY229" s="145">
        <f>IF(ISERROR(VLOOKUP(A229,FIJOS!$B$10:$P$590,15,FALSE)),0,VLOOKUP(A229,FIJOS!$B$10:$P$590,15,FALSE))</f>
        <v>0</v>
      </c>
      <c r="CZ229" s="156"/>
      <c r="DA229" s="146"/>
      <c r="DB229" s="147"/>
      <c r="DC229" s="147"/>
      <c r="DD229" s="147"/>
      <c r="DE229" s="147"/>
      <c r="DF229" s="145">
        <f>IF(ISERROR(VLOOKUP($A229,FIJOS!$B$11:$N$590,13,FALSE)),0,VLOOKUP($A229,FIJOS!$B$11:$N$590,13,FALSE))</f>
        <v>0</v>
      </c>
      <c r="DG229" s="145">
        <f>IF(ISERROR(VLOOKUP($A229,FIJOS!$B$11:$P$447,12,FALSE)),0,VLOOKUP($A229,FIJOS!$B$11:$P$447,12,FALSE))</f>
        <v>0</v>
      </c>
      <c r="DH229" s="82">
        <f t="shared" si="127"/>
        <v>0</v>
      </c>
      <c r="DI229" s="83" t="b">
        <f>IF($C229=1,(VLOOKUP($A229,FIJOS!$B$11:$P$545,10,FALSE)/7)*(7-$CU229),IF(AND($C229=2,CV229&lt;$DJ$1),(VLOOKUP($D229,HORAS!$B$4:$C$42,2,FALSE)*24)*$CV229,IF(AND($C229=2,CV229&gt;=$DJ$1),VLOOKUP($D229,HORAS!$B$4:$D$42,3,FALSE),IF(AND($C229=3,$CV229&gt;=$DJ$1),VLOOKUP($A229,FIJOS!$B$11:$P$545,10,FALSE),IF(AND($C229=3,$CV229&lt;$DJ$1),((VLOOKUP($A229,FIJOS!$B$11:$P$545,10,FALSE)/48)*24)*$CV229,IF(AND($C229=4,$CV229&gt;=(42/24)),VLOOKUP($D229,HORAS!$B$4:$D$42,3,FALSE),IF(AND($C229=5,$CV229&gt;=(36/24)),VLOOKUP($D229,HORAS!$B$4:$D$42,3,FALSE))))))))</f>
        <v>0</v>
      </c>
      <c r="DJ229" s="145">
        <f>IF(OR($C229=2),VLOOKUP($D229,HORAS!$B$4:$E$42,4,FALSE)*$EC229,IF(ISERROR(VLOOKUP($A229,FIJOS!$B$11:$P$108,9,FALSE)),0,VLOOKUP($A229,FIJOS!$B$11:$P$231,9,FALSE)*$EC229))</f>
        <v>0</v>
      </c>
      <c r="DK229" s="145">
        <f>IF(OR($C229=2),VLOOKUP($D229,HORAS!$B$4:$F$42,5,FALSE)*$EE229,IF(ISERROR(VLOOKUP($A229,FIJOS!$B$11:$P$108,9,FALSE)),0,VLOOKUP($A229,FIJOS!$B$11:$P$231,9,FALSE)*$EE229))</f>
        <v>0</v>
      </c>
      <c r="DL229" s="144"/>
      <c r="DM229" s="145">
        <f>IF(ISERROR(VLOOKUP($A229,FIJOS!$B$11:$L$646,11,FALSE)),0,VLOOKUP($A229,FIJOS!$B$11:$L$646,11,FALSE))</f>
        <v>0</v>
      </c>
      <c r="DN229" s="148" t="e">
        <f>IF(OR($C229=1,$C229=3),0,IF((VLOOKUP(CAPTURA!D229,HORAS!$B$4:$K$42,10,FALSE)/4)*COUNTIF($H229:$CT229,3)&gt;100,100,(VLOOKUP(CAPTURA!D229,HORAS!$B$4:$K$42,10,FALSE)/4)*COUNTIF($H229:$CT229,3)))</f>
        <v>#N/A</v>
      </c>
      <c r="DO229" s="144" t="e">
        <f>IF(OR($C229=1,$C229=3),0,IF($C229=5,VLOOKUP(D229,HORAS!$B$4:$G$42,6,FALSE),IF(AND($C229=4,$CV229&gt;=(42/24)),VLOOKUP(D229,HORAS!$B$4:$G$42,6,FALSE),IF(COUNTIF($H229:$CL229,"F")&gt;0,0,IF(CV229&gt;$DJ$1,$DJ$1*(VLOOKUP(D229,HORAS!$B$4:$G$42,6,FALSE)/$DJ$1),CV229*(VLOOKUP(D229,HORAS!$B$4:$G$42,6,FALSE)/$DJ$1))))))</f>
        <v>#N/A</v>
      </c>
      <c r="DP229" s="156"/>
      <c r="DQ229" s="89"/>
      <c r="DR229" s="148"/>
      <c r="DS229" s="83" t="e">
        <f t="shared" si="130"/>
        <v>#N/A</v>
      </c>
      <c r="DT229" s="84"/>
      <c r="DU229" s="149" t="e">
        <f t="shared" si="131"/>
        <v>#N/A</v>
      </c>
      <c r="DV229" s="149" t="e">
        <f t="shared" si="132"/>
        <v>#N/A</v>
      </c>
      <c r="DW229" s="144" t="e">
        <f t="shared" si="133"/>
        <v>#N/A</v>
      </c>
      <c r="DX229" s="134"/>
      <c r="DY229" s="29"/>
      <c r="DZ229" s="150"/>
      <c r="EA229" s="134"/>
      <c r="EB229" s="137">
        <f t="shared" si="134"/>
        <v>0</v>
      </c>
      <c r="EC229" s="138">
        <f t="shared" si="128"/>
        <v>0</v>
      </c>
      <c r="ED229" s="137">
        <f t="shared" si="135"/>
        <v>0</v>
      </c>
      <c r="EE229" s="132">
        <f t="shared" si="129"/>
        <v>0</v>
      </c>
      <c r="EF229" s="29"/>
      <c r="EG229" s="134"/>
      <c r="EH229" s="134"/>
      <c r="EI229" s="134"/>
      <c r="EK229" s="29"/>
    </row>
    <row r="230" spans="1:141" ht="15" customHeight="1" x14ac:dyDescent="0.25">
      <c r="A230" s="140"/>
      <c r="B230" s="151"/>
      <c r="C230" s="72"/>
      <c r="D230" s="73"/>
      <c r="E230" s="73"/>
      <c r="F230" s="141"/>
      <c r="G230" s="74"/>
      <c r="H230" s="75"/>
      <c r="I230" s="76"/>
      <c r="J230" s="135"/>
      <c r="K230" s="135"/>
      <c r="L230" s="77">
        <f t="shared" si="106"/>
        <v>0</v>
      </c>
      <c r="M230" s="78"/>
      <c r="N230" s="142"/>
      <c r="O230" s="142"/>
      <c r="P230" s="77">
        <f t="shared" si="107"/>
        <v>0</v>
      </c>
      <c r="Q230" s="78"/>
      <c r="R230" s="143"/>
      <c r="S230" s="143"/>
      <c r="T230" s="77">
        <f t="shared" si="108"/>
        <v>0</v>
      </c>
      <c r="U230" s="75"/>
      <c r="V230" s="76"/>
      <c r="W230" s="135"/>
      <c r="X230" s="135"/>
      <c r="Y230" s="77">
        <f t="shared" si="109"/>
        <v>0</v>
      </c>
      <c r="Z230" s="78"/>
      <c r="AA230" s="142"/>
      <c r="AB230" s="142"/>
      <c r="AC230" s="77">
        <f t="shared" si="110"/>
        <v>0</v>
      </c>
      <c r="AD230" s="78"/>
      <c r="AE230" s="143"/>
      <c r="AF230" s="143"/>
      <c r="AG230" s="79">
        <f t="shared" si="111"/>
        <v>0</v>
      </c>
      <c r="AH230" s="75"/>
      <c r="AI230" s="76"/>
      <c r="AJ230" s="135"/>
      <c r="AK230" s="135"/>
      <c r="AL230" s="77">
        <f t="shared" si="112"/>
        <v>0</v>
      </c>
      <c r="AM230" s="76"/>
      <c r="AN230" s="142"/>
      <c r="AO230" s="142"/>
      <c r="AP230" s="77">
        <f t="shared" si="113"/>
        <v>0</v>
      </c>
      <c r="AQ230" s="78"/>
      <c r="AR230" s="142"/>
      <c r="AS230" s="142"/>
      <c r="AT230" s="79">
        <f t="shared" si="114"/>
        <v>0</v>
      </c>
      <c r="AU230" s="75"/>
      <c r="AV230" s="76"/>
      <c r="AW230" s="135"/>
      <c r="AX230" s="135"/>
      <c r="AY230" s="77">
        <f t="shared" si="115"/>
        <v>0</v>
      </c>
      <c r="AZ230" s="76"/>
      <c r="BA230" s="142"/>
      <c r="BB230" s="142"/>
      <c r="BC230" s="77">
        <f t="shared" si="116"/>
        <v>0</v>
      </c>
      <c r="BD230" s="78"/>
      <c r="BE230" s="142"/>
      <c r="BF230" s="142"/>
      <c r="BG230" s="79">
        <f t="shared" si="117"/>
        <v>0</v>
      </c>
      <c r="BH230" s="75"/>
      <c r="BI230" s="76"/>
      <c r="BJ230" s="135"/>
      <c r="BK230" s="135"/>
      <c r="BL230" s="77">
        <f t="shared" si="118"/>
        <v>0</v>
      </c>
      <c r="BM230" s="78"/>
      <c r="BN230" s="142"/>
      <c r="BO230" s="142"/>
      <c r="BP230" s="77">
        <f t="shared" si="119"/>
        <v>0</v>
      </c>
      <c r="BQ230" s="78"/>
      <c r="BR230" s="142"/>
      <c r="BS230" s="142"/>
      <c r="BT230" s="79">
        <f t="shared" si="120"/>
        <v>0</v>
      </c>
      <c r="BU230" s="75"/>
      <c r="BV230" s="76"/>
      <c r="BW230" s="135"/>
      <c r="BX230" s="135"/>
      <c r="BY230" s="77">
        <f t="shared" si="121"/>
        <v>0</v>
      </c>
      <c r="BZ230" s="78"/>
      <c r="CA230" s="142"/>
      <c r="CB230" s="142"/>
      <c r="CC230" s="77">
        <f t="shared" si="122"/>
        <v>0</v>
      </c>
      <c r="CD230" s="78"/>
      <c r="CE230" s="142"/>
      <c r="CF230" s="142"/>
      <c r="CG230" s="79">
        <f t="shared" si="123"/>
        <v>0</v>
      </c>
      <c r="CH230" s="75"/>
      <c r="CI230" s="76"/>
      <c r="CJ230" s="135"/>
      <c r="CK230" s="135"/>
      <c r="CL230" s="77">
        <f t="shared" si="124"/>
        <v>0</v>
      </c>
      <c r="CM230" s="78"/>
      <c r="CN230" s="142"/>
      <c r="CO230" s="142"/>
      <c r="CP230" s="77">
        <f t="shared" si="125"/>
        <v>0</v>
      </c>
      <c r="CQ230" s="78"/>
      <c r="CR230" s="142"/>
      <c r="CS230" s="142"/>
      <c r="CT230" s="79">
        <f t="shared" si="126"/>
        <v>0</v>
      </c>
      <c r="CU230" s="80">
        <f t="shared" si="104"/>
        <v>0</v>
      </c>
      <c r="CV230" s="81">
        <f t="shared" si="105"/>
        <v>0</v>
      </c>
      <c r="CW230" s="144"/>
      <c r="CX230" s="145">
        <f>IF(ISERROR(VLOOKUP($A230,FIJOS!$B$11:$O$590,14,FALSE)),0,VLOOKUP($A230,FIJOS!$B$11:$O$590,14,FALSE))</f>
        <v>0</v>
      </c>
      <c r="CY230" s="145">
        <f>IF(ISERROR(VLOOKUP(A230,FIJOS!$B$10:$P$590,15,FALSE)),0,VLOOKUP(A230,FIJOS!$B$10:$P$590,15,FALSE))</f>
        <v>0</v>
      </c>
      <c r="CZ230" s="156"/>
      <c r="DA230" s="146"/>
      <c r="DB230" s="147"/>
      <c r="DC230" s="147"/>
      <c r="DD230" s="147"/>
      <c r="DE230" s="147"/>
      <c r="DF230" s="145">
        <f>IF(ISERROR(VLOOKUP($A230,FIJOS!$B$11:$N$590,13,FALSE)),0,VLOOKUP($A230,FIJOS!$B$11:$N$590,13,FALSE))</f>
        <v>0</v>
      </c>
      <c r="DG230" s="145">
        <f>IF(ISERROR(VLOOKUP($A230,FIJOS!$B$11:$P$447,12,FALSE)),0,VLOOKUP($A230,FIJOS!$B$11:$P$447,12,FALSE))</f>
        <v>0</v>
      </c>
      <c r="DH230" s="82">
        <f t="shared" si="127"/>
        <v>0</v>
      </c>
      <c r="DI230" s="83" t="b">
        <f>IF($C230=1,(VLOOKUP($A230,FIJOS!$B$11:$P$545,10,FALSE)/7)*(7-$CU230),IF(AND($C230=2,CV230&lt;$DJ$1),(VLOOKUP($D230,HORAS!$B$4:$C$42,2,FALSE)*24)*$CV230,IF(AND($C230=2,CV230&gt;=$DJ$1),VLOOKUP($D230,HORAS!$B$4:$D$42,3,FALSE),IF(AND($C230=3,$CV230&gt;=$DJ$1),VLOOKUP($A230,FIJOS!$B$11:$P$545,10,FALSE),IF(AND($C230=3,$CV230&lt;$DJ$1),((VLOOKUP($A230,FIJOS!$B$11:$P$545,10,FALSE)/48)*24)*$CV230,IF(AND($C230=4,$CV230&gt;=(42/24)),VLOOKUP($D230,HORAS!$B$4:$D$42,3,FALSE),IF(AND($C230=5,$CV230&gt;=(36/24)),VLOOKUP($D230,HORAS!$B$4:$D$42,3,FALSE))))))))</f>
        <v>0</v>
      </c>
      <c r="DJ230" s="145">
        <f>IF(OR($C230=2),VLOOKUP($D230,HORAS!$B$4:$E$42,4,FALSE)*$EC230,IF(ISERROR(VLOOKUP($A230,FIJOS!$B$11:$P$108,9,FALSE)),0,VLOOKUP($A230,FIJOS!$B$11:$P$231,9,FALSE)*$EC230))</f>
        <v>0</v>
      </c>
      <c r="DK230" s="145">
        <f>IF(OR($C230=2),VLOOKUP($D230,HORAS!$B$4:$F$42,5,FALSE)*$EE230,IF(ISERROR(VLOOKUP($A230,FIJOS!$B$11:$P$108,9,FALSE)),0,VLOOKUP($A230,FIJOS!$B$11:$P$231,9,FALSE)*$EE230))</f>
        <v>0</v>
      </c>
      <c r="DL230" s="144"/>
      <c r="DM230" s="145">
        <f>IF(ISERROR(VLOOKUP($A230,FIJOS!$B$11:$L$646,11,FALSE)),0,VLOOKUP($A230,FIJOS!$B$11:$L$646,11,FALSE))</f>
        <v>0</v>
      </c>
      <c r="DN230" s="148" t="e">
        <f>IF(OR($C230=1,$C230=3),0,IF((VLOOKUP(CAPTURA!D230,HORAS!$B$4:$K$42,10,FALSE)/4)*COUNTIF($H230:$CT230,3)&gt;100,100,(VLOOKUP(CAPTURA!D230,HORAS!$B$4:$K$42,10,FALSE)/4)*COUNTIF($H230:$CT230,3)))</f>
        <v>#N/A</v>
      </c>
      <c r="DO230" s="144" t="e">
        <f>IF(OR($C230=1,$C230=3),0,IF($C230=5,VLOOKUP(D230,HORAS!$B$4:$G$42,6,FALSE),IF(AND($C230=4,$CV230&gt;=(42/24)),VLOOKUP(D230,HORAS!$B$4:$G$42,6,FALSE),IF(COUNTIF($H230:$CL230,"F")&gt;0,0,IF(CV230&gt;$DJ$1,$DJ$1*(VLOOKUP(D230,HORAS!$B$4:$G$42,6,FALSE)/$DJ$1),CV230*(VLOOKUP(D230,HORAS!$B$4:$G$42,6,FALSE)/$DJ$1))))))</f>
        <v>#N/A</v>
      </c>
      <c r="DP230" s="156"/>
      <c r="DQ230" s="148"/>
      <c r="DR230" s="148"/>
      <c r="DS230" s="83" t="e">
        <f t="shared" si="130"/>
        <v>#N/A</v>
      </c>
      <c r="DT230" s="84"/>
      <c r="DU230" s="149" t="e">
        <f t="shared" si="131"/>
        <v>#N/A</v>
      </c>
      <c r="DV230" s="149" t="e">
        <f t="shared" si="132"/>
        <v>#N/A</v>
      </c>
      <c r="DW230" s="144" t="e">
        <f t="shared" si="133"/>
        <v>#N/A</v>
      </c>
      <c r="DX230" s="134"/>
      <c r="DY230" s="29"/>
      <c r="DZ230" s="150"/>
      <c r="EA230" s="134"/>
      <c r="EB230" s="137">
        <f t="shared" si="134"/>
        <v>0</v>
      </c>
      <c r="EC230" s="138">
        <f t="shared" si="128"/>
        <v>0</v>
      </c>
      <c r="ED230" s="137">
        <f t="shared" si="135"/>
        <v>0</v>
      </c>
      <c r="EE230" s="132">
        <f t="shared" si="129"/>
        <v>0</v>
      </c>
      <c r="EF230" s="29"/>
      <c r="EG230" s="134"/>
      <c r="EH230" s="134"/>
      <c r="EI230" s="134"/>
      <c r="EK230" s="29"/>
    </row>
    <row r="231" spans="1:141" ht="15" customHeight="1" x14ac:dyDescent="0.25">
      <c r="A231" s="140"/>
      <c r="B231" s="151"/>
      <c r="C231" s="72"/>
      <c r="D231" s="73"/>
      <c r="E231" s="73"/>
      <c r="F231" s="141"/>
      <c r="G231" s="74"/>
      <c r="H231" s="75"/>
      <c r="I231" s="76"/>
      <c r="J231" s="135"/>
      <c r="K231" s="135"/>
      <c r="L231" s="77">
        <f t="shared" si="106"/>
        <v>0</v>
      </c>
      <c r="M231" s="78"/>
      <c r="N231" s="142"/>
      <c r="O231" s="142"/>
      <c r="P231" s="77">
        <f t="shared" si="107"/>
        <v>0</v>
      </c>
      <c r="Q231" s="78"/>
      <c r="R231" s="143"/>
      <c r="S231" s="143"/>
      <c r="T231" s="77">
        <f t="shared" si="108"/>
        <v>0</v>
      </c>
      <c r="U231" s="75"/>
      <c r="V231" s="76"/>
      <c r="W231" s="135"/>
      <c r="X231" s="135"/>
      <c r="Y231" s="77">
        <f t="shared" si="109"/>
        <v>0</v>
      </c>
      <c r="Z231" s="78"/>
      <c r="AA231" s="142"/>
      <c r="AB231" s="142"/>
      <c r="AC231" s="77">
        <f t="shared" si="110"/>
        <v>0</v>
      </c>
      <c r="AD231" s="78"/>
      <c r="AE231" s="143"/>
      <c r="AF231" s="143"/>
      <c r="AG231" s="79">
        <f t="shared" si="111"/>
        <v>0</v>
      </c>
      <c r="AH231" s="75"/>
      <c r="AI231" s="76"/>
      <c r="AJ231" s="135"/>
      <c r="AK231" s="135"/>
      <c r="AL231" s="77">
        <f t="shared" si="112"/>
        <v>0</v>
      </c>
      <c r="AM231" s="76"/>
      <c r="AN231" s="142"/>
      <c r="AO231" s="142"/>
      <c r="AP231" s="77">
        <f t="shared" si="113"/>
        <v>0</v>
      </c>
      <c r="AQ231" s="78"/>
      <c r="AR231" s="142"/>
      <c r="AS231" s="142"/>
      <c r="AT231" s="79">
        <f t="shared" si="114"/>
        <v>0</v>
      </c>
      <c r="AU231" s="75"/>
      <c r="AV231" s="76"/>
      <c r="AW231" s="135"/>
      <c r="AX231" s="135"/>
      <c r="AY231" s="77">
        <f t="shared" si="115"/>
        <v>0</v>
      </c>
      <c r="AZ231" s="76"/>
      <c r="BA231" s="142"/>
      <c r="BB231" s="142"/>
      <c r="BC231" s="77">
        <f t="shared" si="116"/>
        <v>0</v>
      </c>
      <c r="BD231" s="78"/>
      <c r="BE231" s="142"/>
      <c r="BF231" s="142"/>
      <c r="BG231" s="79">
        <f t="shared" si="117"/>
        <v>0</v>
      </c>
      <c r="BH231" s="75"/>
      <c r="BI231" s="76"/>
      <c r="BJ231" s="135"/>
      <c r="BK231" s="135"/>
      <c r="BL231" s="77">
        <f t="shared" si="118"/>
        <v>0</v>
      </c>
      <c r="BM231" s="78"/>
      <c r="BN231" s="142"/>
      <c r="BO231" s="142"/>
      <c r="BP231" s="77">
        <f t="shared" si="119"/>
        <v>0</v>
      </c>
      <c r="BQ231" s="78"/>
      <c r="BR231" s="142"/>
      <c r="BS231" s="85"/>
      <c r="BT231" s="79">
        <f t="shared" si="120"/>
        <v>0</v>
      </c>
      <c r="BU231" s="75"/>
      <c r="BV231" s="76"/>
      <c r="BW231" s="135"/>
      <c r="BX231" s="135"/>
      <c r="BY231" s="77">
        <f t="shared" si="121"/>
        <v>0</v>
      </c>
      <c r="BZ231" s="78"/>
      <c r="CA231" s="142"/>
      <c r="CB231" s="142"/>
      <c r="CC231" s="77">
        <f t="shared" si="122"/>
        <v>0</v>
      </c>
      <c r="CD231" s="78"/>
      <c r="CE231" s="142"/>
      <c r="CF231" s="142"/>
      <c r="CG231" s="79">
        <f t="shared" si="123"/>
        <v>0</v>
      </c>
      <c r="CH231" s="75"/>
      <c r="CI231" s="76"/>
      <c r="CJ231" s="135"/>
      <c r="CK231" s="135"/>
      <c r="CL231" s="77">
        <f t="shared" si="124"/>
        <v>0</v>
      </c>
      <c r="CM231" s="78"/>
      <c r="CN231" s="142"/>
      <c r="CO231" s="142"/>
      <c r="CP231" s="77">
        <f t="shared" si="125"/>
        <v>0</v>
      </c>
      <c r="CQ231" s="78"/>
      <c r="CR231" s="142"/>
      <c r="CS231" s="142"/>
      <c r="CT231" s="79">
        <f t="shared" si="126"/>
        <v>0</v>
      </c>
      <c r="CU231" s="80">
        <f t="shared" si="104"/>
        <v>0</v>
      </c>
      <c r="CV231" s="81">
        <f t="shared" si="105"/>
        <v>0</v>
      </c>
      <c r="CW231" s="144"/>
      <c r="CX231" s="145">
        <f>IF(ISERROR(VLOOKUP($A231,FIJOS!$B$11:$O$590,14,FALSE)),0,VLOOKUP($A231,FIJOS!$B$11:$O$590,14,FALSE))</f>
        <v>0</v>
      </c>
      <c r="CY231" s="145">
        <f>IF(ISERROR(VLOOKUP(A231,FIJOS!$B$10:$P$590,15,FALSE)),0,VLOOKUP(A231,FIJOS!$B$10:$P$590,15,FALSE))</f>
        <v>0</v>
      </c>
      <c r="CZ231" s="156"/>
      <c r="DA231" s="146"/>
      <c r="DB231" s="147"/>
      <c r="DC231" s="147"/>
      <c r="DD231" s="147"/>
      <c r="DE231" s="147"/>
      <c r="DF231" s="145">
        <f>IF(ISERROR(VLOOKUP($A231,FIJOS!$B$11:$N$590,13,FALSE)),0,VLOOKUP($A231,FIJOS!$B$11:$N$590,13,FALSE))</f>
        <v>0</v>
      </c>
      <c r="DG231" s="145">
        <f>IF(ISERROR(VLOOKUP($A231,FIJOS!$B$11:$P$447,12,FALSE)),0,VLOOKUP($A231,FIJOS!$B$11:$P$447,12,FALSE))</f>
        <v>0</v>
      </c>
      <c r="DH231" s="82">
        <f t="shared" si="127"/>
        <v>0</v>
      </c>
      <c r="DI231" s="83" t="b">
        <f>IF($C231=1,(VLOOKUP($A231,FIJOS!$B$11:$P$545,10,FALSE)/7)*(7-$CU231),IF(AND($C231=2,CV231&lt;$DJ$1),(VLOOKUP($D231,HORAS!$B$4:$C$42,2,FALSE)*24)*$CV231,IF(AND($C231=2,CV231&gt;=$DJ$1),VLOOKUP($D231,HORAS!$B$4:$D$42,3,FALSE),IF(AND($C231=3,$CV231&gt;=$DJ$1),VLOOKUP($A231,FIJOS!$B$11:$P$545,10,FALSE),IF(AND($C231=3,$CV231&lt;$DJ$1),((VLOOKUP($A231,FIJOS!$B$11:$P$545,10,FALSE)/48)*24)*$CV231,IF(AND($C231=4,$CV231&gt;=(42/24)),VLOOKUP($D231,HORAS!$B$4:$D$42,3,FALSE),IF(AND($C231=5,$CV231&gt;=(36/24)),VLOOKUP($D231,HORAS!$B$4:$D$42,3,FALSE))))))))</f>
        <v>0</v>
      </c>
      <c r="DJ231" s="145">
        <f>IF(OR($C231=2),VLOOKUP($D231,HORAS!$B$4:$E$42,4,FALSE)*$EC231,IF(ISERROR(VLOOKUP($A231,FIJOS!$B$11:$P$108,9,FALSE)),0,VLOOKUP($A231,FIJOS!$B$11:$P$231,9,FALSE)*$EC231))</f>
        <v>0</v>
      </c>
      <c r="DK231" s="145">
        <f>IF(OR($C231=2),VLOOKUP($D231,HORAS!$B$4:$F$42,5,FALSE)*$EE231,IF(ISERROR(VLOOKUP($A231,FIJOS!$B$11:$P$108,9,FALSE)),0,VLOOKUP($A231,FIJOS!$B$11:$P$231,9,FALSE)*$EE231))</f>
        <v>0</v>
      </c>
      <c r="DL231" s="144"/>
      <c r="DM231" s="145">
        <f>IF(ISERROR(VLOOKUP($A231,FIJOS!$B$11:$L$646,11,FALSE)),0,VLOOKUP($A231,FIJOS!$B$11:$L$646,11,FALSE))</f>
        <v>0</v>
      </c>
      <c r="DN231" s="148" t="e">
        <f>IF(OR($C231=1,$C231=3),0,IF((VLOOKUP(CAPTURA!D231,HORAS!$B$4:$K$42,10,FALSE)/4)*COUNTIF($H231:$CT231,3)&gt;100,100,(VLOOKUP(CAPTURA!D231,HORAS!$B$4:$K$42,10,FALSE)/4)*COUNTIF($H231:$CT231,3)))</f>
        <v>#N/A</v>
      </c>
      <c r="DO231" s="144" t="e">
        <f>IF(OR($C231=1,$C231=3),0,IF($C231=5,VLOOKUP(D231,HORAS!$B$4:$G$42,6,FALSE),IF(AND($C231=4,$CV231&gt;=(42/24)),VLOOKUP(D231,HORAS!$B$4:$G$42,6,FALSE),IF(COUNTIF($H231:$CL231,"F")&gt;0,0,IF(CV231&gt;$DJ$1,$DJ$1*(VLOOKUP(D231,HORAS!$B$4:$G$42,6,FALSE)/$DJ$1),CV231*(VLOOKUP(D231,HORAS!$B$4:$G$42,6,FALSE)/$DJ$1))))))</f>
        <v>#N/A</v>
      </c>
      <c r="DP231" s="156"/>
      <c r="DQ231" s="89"/>
      <c r="DR231" s="148"/>
      <c r="DS231" s="83" t="e">
        <f t="shared" si="130"/>
        <v>#N/A</v>
      </c>
      <c r="DT231" s="84"/>
      <c r="DU231" s="149" t="e">
        <f t="shared" si="131"/>
        <v>#N/A</v>
      </c>
      <c r="DV231" s="149" t="e">
        <f t="shared" si="132"/>
        <v>#N/A</v>
      </c>
      <c r="DW231" s="144" t="e">
        <f t="shared" si="133"/>
        <v>#N/A</v>
      </c>
      <c r="DX231"/>
      <c r="DY231" s="29"/>
      <c r="DZ231" s="150"/>
      <c r="EA231" s="134"/>
      <c r="EB231" s="137">
        <f t="shared" si="134"/>
        <v>0</v>
      </c>
      <c r="EC231" s="138">
        <f t="shared" si="128"/>
        <v>0</v>
      </c>
      <c r="ED231" s="137">
        <f t="shared" si="135"/>
        <v>0</v>
      </c>
      <c r="EE231" s="132">
        <f t="shared" si="129"/>
        <v>0</v>
      </c>
      <c r="EF231" s="29"/>
      <c r="EG231" s="134"/>
      <c r="EH231" s="134"/>
      <c r="EI231" s="134"/>
      <c r="EK231" s="29"/>
    </row>
    <row r="232" spans="1:141" ht="15" customHeight="1" x14ac:dyDescent="0.25">
      <c r="A232" s="140"/>
      <c r="B232" s="151"/>
      <c r="C232" s="72"/>
      <c r="D232" s="73"/>
      <c r="E232" s="73"/>
      <c r="F232" s="141"/>
      <c r="G232" s="74"/>
      <c r="H232" s="75"/>
      <c r="I232" s="76"/>
      <c r="J232" s="135"/>
      <c r="K232" s="135"/>
      <c r="L232" s="77">
        <f t="shared" si="106"/>
        <v>0</v>
      </c>
      <c r="M232" s="78"/>
      <c r="N232" s="142"/>
      <c r="O232" s="142"/>
      <c r="P232" s="77">
        <f t="shared" si="107"/>
        <v>0</v>
      </c>
      <c r="Q232" s="78"/>
      <c r="R232" s="143"/>
      <c r="S232" s="143"/>
      <c r="T232" s="77">
        <f t="shared" si="108"/>
        <v>0</v>
      </c>
      <c r="U232" s="75"/>
      <c r="V232" s="76"/>
      <c r="W232" s="135"/>
      <c r="X232" s="135"/>
      <c r="Y232" s="77">
        <f t="shared" si="109"/>
        <v>0</v>
      </c>
      <c r="Z232" s="78"/>
      <c r="AA232" s="142"/>
      <c r="AB232" s="142"/>
      <c r="AC232" s="77">
        <f t="shared" si="110"/>
        <v>0</v>
      </c>
      <c r="AD232" s="78"/>
      <c r="AE232" s="143"/>
      <c r="AF232" s="143"/>
      <c r="AG232" s="79">
        <f t="shared" si="111"/>
        <v>0</v>
      </c>
      <c r="AH232" s="75"/>
      <c r="AI232" s="76"/>
      <c r="AJ232" s="135"/>
      <c r="AK232" s="135"/>
      <c r="AL232" s="77">
        <f t="shared" si="112"/>
        <v>0</v>
      </c>
      <c r="AM232" s="76"/>
      <c r="AN232" s="142"/>
      <c r="AO232" s="142"/>
      <c r="AP232" s="77">
        <f t="shared" si="113"/>
        <v>0</v>
      </c>
      <c r="AQ232" s="78"/>
      <c r="AR232" s="142"/>
      <c r="AS232" s="142"/>
      <c r="AT232" s="79">
        <f t="shared" si="114"/>
        <v>0</v>
      </c>
      <c r="AU232" s="75"/>
      <c r="AV232" s="76"/>
      <c r="AW232" s="135"/>
      <c r="AX232" s="135"/>
      <c r="AY232" s="77">
        <f t="shared" si="115"/>
        <v>0</v>
      </c>
      <c r="AZ232" s="76"/>
      <c r="BA232" s="142"/>
      <c r="BB232" s="142"/>
      <c r="BC232" s="77">
        <f t="shared" si="116"/>
        <v>0</v>
      </c>
      <c r="BD232" s="78"/>
      <c r="BE232" s="142"/>
      <c r="BF232" s="142"/>
      <c r="BG232" s="79">
        <f t="shared" si="117"/>
        <v>0</v>
      </c>
      <c r="BH232" s="75"/>
      <c r="BI232" s="76"/>
      <c r="BJ232" s="135"/>
      <c r="BK232" s="86"/>
      <c r="BL232" s="77">
        <f t="shared" si="118"/>
        <v>0</v>
      </c>
      <c r="BM232" s="78"/>
      <c r="BN232" s="142"/>
      <c r="BO232" s="142"/>
      <c r="BP232" s="77">
        <f t="shared" si="119"/>
        <v>0</v>
      </c>
      <c r="BQ232" s="78"/>
      <c r="BR232" s="85"/>
      <c r="BS232" s="142"/>
      <c r="BT232" s="79">
        <f t="shared" si="120"/>
        <v>0</v>
      </c>
      <c r="BU232" s="75"/>
      <c r="BV232" s="76"/>
      <c r="BW232" s="135"/>
      <c r="BX232" s="135"/>
      <c r="BY232" s="77">
        <f t="shared" si="121"/>
        <v>0</v>
      </c>
      <c r="BZ232" s="78"/>
      <c r="CA232" s="142"/>
      <c r="CB232" s="142"/>
      <c r="CC232" s="77">
        <f t="shared" si="122"/>
        <v>0</v>
      </c>
      <c r="CD232" s="78"/>
      <c r="CE232" s="142"/>
      <c r="CF232" s="142"/>
      <c r="CG232" s="79">
        <f t="shared" si="123"/>
        <v>0</v>
      </c>
      <c r="CH232" s="75"/>
      <c r="CI232" s="76"/>
      <c r="CJ232" s="135"/>
      <c r="CK232" s="135"/>
      <c r="CL232" s="77">
        <f t="shared" si="124"/>
        <v>0</v>
      </c>
      <c r="CM232" s="78"/>
      <c r="CN232" s="142"/>
      <c r="CO232" s="142"/>
      <c r="CP232" s="77">
        <f t="shared" si="125"/>
        <v>0</v>
      </c>
      <c r="CQ232" s="78"/>
      <c r="CR232" s="142"/>
      <c r="CS232" s="142"/>
      <c r="CT232" s="79">
        <f t="shared" si="126"/>
        <v>0</v>
      </c>
      <c r="CU232" s="80">
        <f t="shared" si="104"/>
        <v>0</v>
      </c>
      <c r="CV232" s="81">
        <f t="shared" si="105"/>
        <v>0</v>
      </c>
      <c r="CW232" s="144"/>
      <c r="CX232" s="145">
        <f>IF(ISERROR(VLOOKUP($A232,FIJOS!$B$11:$O$590,14,FALSE)),0,VLOOKUP($A232,FIJOS!$B$11:$O$590,14,FALSE))</f>
        <v>0</v>
      </c>
      <c r="CY232" s="145">
        <f>IF(ISERROR(VLOOKUP(A232,FIJOS!$B$10:$P$590,15,FALSE)),0,VLOOKUP(A232,FIJOS!$B$10:$P$590,15,FALSE))</f>
        <v>0</v>
      </c>
      <c r="CZ232" s="156"/>
      <c r="DA232" s="146"/>
      <c r="DB232" s="147"/>
      <c r="DC232" s="147"/>
      <c r="DD232" s="147"/>
      <c r="DE232" s="147"/>
      <c r="DF232" s="145">
        <f>IF(ISERROR(VLOOKUP($A232,FIJOS!$B$11:$N$590,13,FALSE)),0,VLOOKUP($A232,FIJOS!$B$11:$N$590,13,FALSE))</f>
        <v>0</v>
      </c>
      <c r="DG232" s="145">
        <f>IF(ISERROR(VLOOKUP($A232,FIJOS!$B$11:$P$447,12,FALSE)),0,VLOOKUP($A232,FIJOS!$B$11:$P$447,12,FALSE))</f>
        <v>0</v>
      </c>
      <c r="DH232" s="82">
        <f t="shared" si="127"/>
        <v>0</v>
      </c>
      <c r="DI232" s="83" t="b">
        <f>IF($C232=1,(VLOOKUP($A232,FIJOS!$B$11:$P$545,10,FALSE)/7)*(7-$CU232),IF(AND($C232=2,CV232&lt;$DJ$1),(VLOOKUP($D232,HORAS!$B$4:$C$42,2,FALSE)*24)*$CV232,IF(AND($C232=2,CV232&gt;=$DJ$1),VLOOKUP($D232,HORAS!$B$4:$D$42,3,FALSE),IF(AND($C232=3,$CV232&gt;=$DJ$1),VLOOKUP($A232,FIJOS!$B$11:$P$545,10,FALSE),IF(AND($C232=3,$CV232&lt;$DJ$1),((VLOOKUP($A232,FIJOS!$B$11:$P$545,10,FALSE)/48)*24)*$CV232,IF(AND($C232=4,$CV232&gt;=(42/24)),VLOOKUP($D232,HORAS!$B$4:$D$42,3,FALSE),IF(AND($C232=5,$CV232&gt;=(36/24)),VLOOKUP($D232,HORAS!$B$4:$D$42,3,FALSE))))))))</f>
        <v>0</v>
      </c>
      <c r="DJ232" s="145">
        <f>IF(OR($C232=2),VLOOKUP($D232,HORAS!$B$4:$E$42,4,FALSE)*$EC232,IF(ISERROR(VLOOKUP($A232,FIJOS!$B$11:$P$108,9,FALSE)),0,VLOOKUP($A232,FIJOS!$B$11:$P$231,9,FALSE)*$EC232))</f>
        <v>0</v>
      </c>
      <c r="DK232" s="145">
        <f>IF(OR($C232=2),VLOOKUP($D232,HORAS!$B$4:$F$42,5,FALSE)*$EE232,IF(ISERROR(VLOOKUP($A232,FIJOS!$B$11:$P$108,9,FALSE)),0,VLOOKUP($A232,FIJOS!$B$11:$P$231,9,FALSE)*$EE232))</f>
        <v>0</v>
      </c>
      <c r="DL232" s="144"/>
      <c r="DM232" s="145">
        <f>IF(ISERROR(VLOOKUP($A232,FIJOS!$B$11:$L$646,11,FALSE)),0,VLOOKUP($A232,FIJOS!$B$11:$L$646,11,FALSE))</f>
        <v>0</v>
      </c>
      <c r="DN232" s="148" t="e">
        <f>IF(OR($C232=1,$C232=3),0,IF((VLOOKUP(CAPTURA!D232,HORAS!$B$4:$K$42,10,FALSE)/4)*COUNTIF($H232:$CT232,3)&gt;100,100,(VLOOKUP(CAPTURA!D232,HORAS!$B$4:$K$42,10,FALSE)/4)*COUNTIF($H232:$CT232,3)))</f>
        <v>#N/A</v>
      </c>
      <c r="DO232" s="144" t="e">
        <f>IF(OR($C232=1,$C232=3),0,IF($C232=5,VLOOKUP(D232,HORAS!$B$4:$G$42,6,FALSE),IF(AND($C232=4,$CV232&gt;=(42/24)),VLOOKUP(D232,HORAS!$B$4:$G$42,6,FALSE),IF(COUNTIF($H232:$CL232,"F")&gt;0,0,IF(CV232&gt;$DJ$1,$DJ$1*(VLOOKUP(D232,HORAS!$B$4:$G$42,6,FALSE)/$DJ$1),CV232*(VLOOKUP(D232,HORAS!$B$4:$G$42,6,FALSE)/$DJ$1))))))</f>
        <v>#N/A</v>
      </c>
      <c r="DP232" s="156"/>
      <c r="DQ232" s="89"/>
      <c r="DR232" s="148"/>
      <c r="DS232" s="83" t="e">
        <f t="shared" si="130"/>
        <v>#N/A</v>
      </c>
      <c r="DT232" s="84"/>
      <c r="DU232" s="149" t="e">
        <f t="shared" si="131"/>
        <v>#N/A</v>
      </c>
      <c r="DV232" s="149" t="e">
        <f t="shared" si="132"/>
        <v>#N/A</v>
      </c>
      <c r="DW232" s="144" t="e">
        <f t="shared" si="133"/>
        <v>#N/A</v>
      </c>
      <c r="DX232" s="134"/>
      <c r="DY232" s="29"/>
      <c r="DZ232" s="150"/>
      <c r="EA232" s="134"/>
      <c r="EB232" s="137">
        <f t="shared" si="134"/>
        <v>0</v>
      </c>
      <c r="EC232" s="138">
        <f t="shared" si="128"/>
        <v>0</v>
      </c>
      <c r="ED232" s="137">
        <f t="shared" si="135"/>
        <v>0</v>
      </c>
      <c r="EE232" s="132">
        <f t="shared" si="129"/>
        <v>0</v>
      </c>
      <c r="EF232" s="29"/>
      <c r="EG232" s="134"/>
      <c r="EH232" s="134"/>
      <c r="EI232" s="134"/>
      <c r="EK232" s="29"/>
    </row>
    <row r="233" spans="1:141" ht="15" customHeight="1" x14ac:dyDescent="0.25">
      <c r="A233" s="140"/>
      <c r="B233" s="151"/>
      <c r="C233" s="72"/>
      <c r="D233" s="73"/>
      <c r="E233" s="73"/>
      <c r="F233" s="141"/>
      <c r="G233" s="74"/>
      <c r="H233" s="75"/>
      <c r="I233" s="76"/>
      <c r="J233" s="135"/>
      <c r="K233" s="135"/>
      <c r="L233" s="77">
        <f t="shared" si="106"/>
        <v>0</v>
      </c>
      <c r="M233" s="78"/>
      <c r="N233" s="142"/>
      <c r="O233" s="142"/>
      <c r="P233" s="77">
        <f t="shared" si="107"/>
        <v>0</v>
      </c>
      <c r="Q233" s="78"/>
      <c r="R233" s="143"/>
      <c r="S233" s="143"/>
      <c r="T233" s="77">
        <f t="shared" si="108"/>
        <v>0</v>
      </c>
      <c r="U233" s="75"/>
      <c r="V233" s="76"/>
      <c r="W233" s="135"/>
      <c r="X233" s="135"/>
      <c r="Y233" s="77">
        <f t="shared" si="109"/>
        <v>0</v>
      </c>
      <c r="Z233" s="78"/>
      <c r="AA233" s="142"/>
      <c r="AB233" s="142"/>
      <c r="AC233" s="77">
        <f t="shared" si="110"/>
        <v>0</v>
      </c>
      <c r="AD233" s="78"/>
      <c r="AE233" s="143"/>
      <c r="AF233" s="143"/>
      <c r="AG233" s="79">
        <f t="shared" si="111"/>
        <v>0</v>
      </c>
      <c r="AH233" s="75"/>
      <c r="AI233" s="76"/>
      <c r="AJ233" s="135"/>
      <c r="AK233" s="135"/>
      <c r="AL233" s="77">
        <f t="shared" si="112"/>
        <v>0</v>
      </c>
      <c r="AM233" s="76"/>
      <c r="AN233" s="142"/>
      <c r="AO233" s="142"/>
      <c r="AP233" s="77">
        <f t="shared" si="113"/>
        <v>0</v>
      </c>
      <c r="AQ233" s="78"/>
      <c r="AR233" s="142"/>
      <c r="AS233" s="142"/>
      <c r="AT233" s="79">
        <f t="shared" si="114"/>
        <v>0</v>
      </c>
      <c r="AU233" s="75"/>
      <c r="AV233" s="76"/>
      <c r="AW233" s="135"/>
      <c r="AX233" s="135"/>
      <c r="AY233" s="77">
        <f t="shared" si="115"/>
        <v>0</v>
      </c>
      <c r="AZ233" s="76"/>
      <c r="BA233" s="142"/>
      <c r="BB233" s="142"/>
      <c r="BC233" s="77">
        <f t="shared" si="116"/>
        <v>0</v>
      </c>
      <c r="BD233" s="78"/>
      <c r="BE233" s="142"/>
      <c r="BF233" s="142"/>
      <c r="BG233" s="79">
        <f t="shared" si="117"/>
        <v>0</v>
      </c>
      <c r="BH233" s="75"/>
      <c r="BI233" s="76"/>
      <c r="BJ233" s="135"/>
      <c r="BK233" s="135"/>
      <c r="BL233" s="77">
        <f t="shared" si="118"/>
        <v>0</v>
      </c>
      <c r="BM233" s="78"/>
      <c r="BN233" s="142"/>
      <c r="BO233" s="142"/>
      <c r="BP233" s="77">
        <f t="shared" si="119"/>
        <v>0</v>
      </c>
      <c r="BQ233" s="78"/>
      <c r="BR233" s="142"/>
      <c r="BS233" s="142"/>
      <c r="BT233" s="79">
        <f t="shared" si="120"/>
        <v>0</v>
      </c>
      <c r="BU233" s="75"/>
      <c r="BV233" s="76"/>
      <c r="BW233" s="135"/>
      <c r="BX233" s="135"/>
      <c r="BY233" s="77">
        <f t="shared" si="121"/>
        <v>0</v>
      </c>
      <c r="BZ233" s="78"/>
      <c r="CA233" s="142"/>
      <c r="CB233" s="142"/>
      <c r="CC233" s="77">
        <f t="shared" si="122"/>
        <v>0</v>
      </c>
      <c r="CD233" s="78"/>
      <c r="CE233" s="142"/>
      <c r="CF233" s="142"/>
      <c r="CG233" s="79">
        <f t="shared" si="123"/>
        <v>0</v>
      </c>
      <c r="CH233" s="75"/>
      <c r="CI233" s="76"/>
      <c r="CJ233" s="135"/>
      <c r="CK233" s="135"/>
      <c r="CL233" s="77">
        <f t="shared" si="124"/>
        <v>0</v>
      </c>
      <c r="CM233" s="78"/>
      <c r="CN233" s="142"/>
      <c r="CO233" s="142"/>
      <c r="CP233" s="77">
        <f t="shared" si="125"/>
        <v>0</v>
      </c>
      <c r="CQ233" s="78"/>
      <c r="CR233" s="142"/>
      <c r="CS233" s="142"/>
      <c r="CT233" s="79">
        <f t="shared" si="126"/>
        <v>0</v>
      </c>
      <c r="CU233" s="80">
        <f t="shared" ref="CU233:CU296" si="136">COUNTIF($H233:$CL233,"F")+COUNTIF($H233:$CL233,"PSG")+COUNTIF($H233:$CL233,"INC")</f>
        <v>0</v>
      </c>
      <c r="CV233" s="81">
        <f t="shared" ref="CV233:CV296" si="137">SUMIFS($J233:$CT233,$J$6:$CT$6,$CV$5)</f>
        <v>0</v>
      </c>
      <c r="CW233" s="144"/>
      <c r="CX233" s="145">
        <f>IF(ISERROR(VLOOKUP($A233,FIJOS!$B$11:$O$590,14,FALSE)),0,VLOOKUP($A233,FIJOS!$B$11:$O$590,14,FALSE))</f>
        <v>0</v>
      </c>
      <c r="CY233" s="145">
        <f>IF(ISERROR(VLOOKUP(A233,FIJOS!$B$10:$P$590,15,FALSE)),0,VLOOKUP(A233,FIJOS!$B$10:$P$590,15,FALSE))</f>
        <v>0</v>
      </c>
      <c r="CZ233" s="156"/>
      <c r="DA233" s="146"/>
      <c r="DB233" s="147"/>
      <c r="DC233" s="147"/>
      <c r="DD233" s="147"/>
      <c r="DE233" s="147"/>
      <c r="DF233" s="145">
        <f>IF(ISERROR(VLOOKUP($A233,FIJOS!$B$11:$N$590,13,FALSE)),0,VLOOKUP($A233,FIJOS!$B$11:$N$590,13,FALSE))</f>
        <v>0</v>
      </c>
      <c r="DG233" s="145">
        <f>IF(ISERROR(VLOOKUP($A233,FIJOS!$B$11:$P$447,12,FALSE)),0,VLOOKUP($A233,FIJOS!$B$11:$P$447,12,FALSE))</f>
        <v>0</v>
      </c>
      <c r="DH233" s="82">
        <f t="shared" si="127"/>
        <v>0</v>
      </c>
      <c r="DI233" s="83" t="b">
        <f>IF($C233=1,(VLOOKUP($A233,FIJOS!$B$11:$P$545,10,FALSE)/7)*(7-$CU233),IF(AND($C233=2,CV233&lt;$DJ$1),(VLOOKUP($D233,HORAS!$B$4:$C$42,2,FALSE)*24)*$CV233,IF(AND($C233=2,CV233&gt;=$DJ$1),VLOOKUP($D233,HORAS!$B$4:$D$42,3,FALSE),IF(AND($C233=3,$CV233&gt;=$DJ$1),VLOOKUP($A233,FIJOS!$B$11:$P$545,10,FALSE),IF(AND($C233=3,$CV233&lt;$DJ$1),((VLOOKUP($A233,FIJOS!$B$11:$P$545,10,FALSE)/48)*24)*$CV233,IF(AND($C233=4,$CV233&gt;=(42/24)),VLOOKUP($D233,HORAS!$B$4:$D$42,3,FALSE),IF(AND($C233=5,$CV233&gt;=(36/24)),VLOOKUP($D233,HORAS!$B$4:$D$42,3,FALSE))))))))</f>
        <v>0</v>
      </c>
      <c r="DJ233" s="145">
        <f>IF(OR($C233=2),VLOOKUP($D233,HORAS!$B$4:$E$42,4,FALSE)*$EC233,IF(ISERROR(VLOOKUP($A233,FIJOS!$B$11:$P$108,9,FALSE)),0,VLOOKUP($A233,FIJOS!$B$11:$P$231,9,FALSE)*$EC233))</f>
        <v>0</v>
      </c>
      <c r="DK233" s="145">
        <f>IF(OR($C233=2),VLOOKUP($D233,HORAS!$B$4:$F$42,5,FALSE)*$EE233,IF(ISERROR(VLOOKUP($A233,FIJOS!$B$11:$P$108,9,FALSE)),0,VLOOKUP($A233,FIJOS!$B$11:$P$231,9,FALSE)*$EE233))</f>
        <v>0</v>
      </c>
      <c r="DL233" s="144"/>
      <c r="DM233" s="145">
        <f>IF(ISERROR(VLOOKUP($A233,FIJOS!$B$11:$L$646,11,FALSE)),0,VLOOKUP($A233,FIJOS!$B$11:$L$646,11,FALSE))</f>
        <v>0</v>
      </c>
      <c r="DN233" s="148" t="e">
        <f>IF(OR($C233=1,$C233=3),0,IF((VLOOKUP(CAPTURA!D233,HORAS!$B$4:$K$42,10,FALSE)/4)*COUNTIF($H233:$CT233,3)&gt;100,100,(VLOOKUP(CAPTURA!D233,HORAS!$B$4:$K$42,10,FALSE)/4)*COUNTIF($H233:$CT233,3)))</f>
        <v>#N/A</v>
      </c>
      <c r="DO233" s="144" t="e">
        <f>IF(OR($C233=1,$C233=3),0,IF($C233=5,VLOOKUP(D233,HORAS!$B$4:$G$42,6,FALSE),IF(AND($C233=4,$CV233&gt;=(42/24)),VLOOKUP(D233,HORAS!$B$4:$G$42,6,FALSE),IF(COUNTIF($H233:$CL233,"F")&gt;0,0,IF(CV233&gt;$DJ$1,$DJ$1*(VLOOKUP(D233,HORAS!$B$4:$G$42,6,FALSE)/$DJ$1),CV233*(VLOOKUP(D233,HORAS!$B$4:$G$42,6,FALSE)/$DJ$1))))))</f>
        <v>#N/A</v>
      </c>
      <c r="DP233" s="156"/>
      <c r="DQ233" s="89"/>
      <c r="DR233" s="148"/>
      <c r="DS233" s="83" t="e">
        <f t="shared" si="130"/>
        <v>#N/A</v>
      </c>
      <c r="DT233" s="84"/>
      <c r="DU233" s="149" t="e">
        <f t="shared" si="131"/>
        <v>#N/A</v>
      </c>
      <c r="DV233" s="149" t="e">
        <f t="shared" si="132"/>
        <v>#N/A</v>
      </c>
      <c r="DW233" s="144" t="e">
        <f t="shared" si="133"/>
        <v>#N/A</v>
      </c>
      <c r="DX233" s="134"/>
      <c r="DY233" s="29"/>
      <c r="DZ233" s="150"/>
      <c r="EA233" s="134"/>
      <c r="EB233" s="137">
        <f t="shared" si="134"/>
        <v>0</v>
      </c>
      <c r="EC233" s="138">
        <f t="shared" si="128"/>
        <v>0</v>
      </c>
      <c r="ED233" s="137">
        <f t="shared" si="135"/>
        <v>0</v>
      </c>
      <c r="EE233" s="132">
        <f t="shared" si="129"/>
        <v>0</v>
      </c>
      <c r="EF233" s="29"/>
      <c r="EG233" s="134"/>
      <c r="EH233" s="134"/>
      <c r="EI233" s="134"/>
      <c r="EK233" s="29"/>
    </row>
    <row r="234" spans="1:141" ht="15" customHeight="1" x14ac:dyDescent="0.25">
      <c r="A234" s="140"/>
      <c r="B234" s="5"/>
      <c r="C234" s="72"/>
      <c r="D234" s="73"/>
      <c r="E234" s="73"/>
      <c r="F234" s="141"/>
      <c r="G234" s="74"/>
      <c r="H234" s="75"/>
      <c r="I234" s="76"/>
      <c r="J234" s="135"/>
      <c r="K234" s="135"/>
      <c r="L234" s="77">
        <f t="shared" si="106"/>
        <v>0</v>
      </c>
      <c r="M234" s="78"/>
      <c r="N234" s="142"/>
      <c r="O234" s="142"/>
      <c r="P234" s="77">
        <f t="shared" si="107"/>
        <v>0</v>
      </c>
      <c r="Q234" s="78"/>
      <c r="R234" s="143"/>
      <c r="S234" s="143"/>
      <c r="T234" s="77">
        <f t="shared" si="108"/>
        <v>0</v>
      </c>
      <c r="U234" s="75"/>
      <c r="V234" s="76"/>
      <c r="W234" s="135"/>
      <c r="X234" s="135"/>
      <c r="Y234" s="77">
        <f t="shared" si="109"/>
        <v>0</v>
      </c>
      <c r="Z234" s="78"/>
      <c r="AA234" s="142"/>
      <c r="AB234" s="142"/>
      <c r="AC234" s="77">
        <f t="shared" si="110"/>
        <v>0</v>
      </c>
      <c r="AD234" s="78"/>
      <c r="AE234" s="143"/>
      <c r="AF234" s="143"/>
      <c r="AG234" s="79">
        <f t="shared" si="111"/>
        <v>0</v>
      </c>
      <c r="AH234" s="75"/>
      <c r="AI234" s="76"/>
      <c r="AJ234" s="135"/>
      <c r="AK234" s="135"/>
      <c r="AL234" s="77">
        <f t="shared" si="112"/>
        <v>0</v>
      </c>
      <c r="AM234" s="76"/>
      <c r="AN234" s="142"/>
      <c r="AO234" s="142"/>
      <c r="AP234" s="77">
        <f t="shared" si="113"/>
        <v>0</v>
      </c>
      <c r="AQ234" s="78"/>
      <c r="AR234" s="142"/>
      <c r="AS234" s="142"/>
      <c r="AT234" s="79">
        <f t="shared" si="114"/>
        <v>0</v>
      </c>
      <c r="AU234" s="75"/>
      <c r="AV234" s="76"/>
      <c r="AW234" s="135"/>
      <c r="AX234" s="135"/>
      <c r="AY234" s="77">
        <f t="shared" si="115"/>
        <v>0</v>
      </c>
      <c r="AZ234" s="76"/>
      <c r="BA234" s="142"/>
      <c r="BB234" s="142"/>
      <c r="BC234" s="77">
        <f t="shared" si="116"/>
        <v>0</v>
      </c>
      <c r="BD234" s="78"/>
      <c r="BE234" s="142"/>
      <c r="BF234" s="142"/>
      <c r="BG234" s="79">
        <f t="shared" si="117"/>
        <v>0</v>
      </c>
      <c r="BH234" s="75"/>
      <c r="BI234" s="76"/>
      <c r="BJ234" s="135"/>
      <c r="BK234" s="135"/>
      <c r="BL234" s="77">
        <f t="shared" si="118"/>
        <v>0</v>
      </c>
      <c r="BM234" s="78"/>
      <c r="BN234" s="142"/>
      <c r="BO234" s="142"/>
      <c r="BP234" s="77">
        <f t="shared" si="119"/>
        <v>0</v>
      </c>
      <c r="BQ234" s="78"/>
      <c r="BR234" s="142"/>
      <c r="BS234" s="142"/>
      <c r="BT234" s="79">
        <f t="shared" si="120"/>
        <v>0</v>
      </c>
      <c r="BU234" s="75"/>
      <c r="BV234" s="76"/>
      <c r="BW234" s="135"/>
      <c r="BX234" s="135"/>
      <c r="BY234" s="77">
        <f t="shared" si="121"/>
        <v>0</v>
      </c>
      <c r="BZ234" s="78"/>
      <c r="CA234" s="142"/>
      <c r="CB234" s="142"/>
      <c r="CC234" s="77">
        <f t="shared" si="122"/>
        <v>0</v>
      </c>
      <c r="CD234" s="78"/>
      <c r="CE234" s="142"/>
      <c r="CF234" s="142"/>
      <c r="CG234" s="79">
        <f t="shared" si="123"/>
        <v>0</v>
      </c>
      <c r="CH234" s="75"/>
      <c r="CI234" s="76"/>
      <c r="CJ234" s="135"/>
      <c r="CK234" s="135"/>
      <c r="CL234" s="77">
        <f t="shared" si="124"/>
        <v>0</v>
      </c>
      <c r="CM234" s="78"/>
      <c r="CN234" s="142"/>
      <c r="CO234" s="142"/>
      <c r="CP234" s="77">
        <f t="shared" si="125"/>
        <v>0</v>
      </c>
      <c r="CQ234" s="78"/>
      <c r="CR234" s="142"/>
      <c r="CS234" s="142"/>
      <c r="CT234" s="79">
        <f t="shared" si="126"/>
        <v>0</v>
      </c>
      <c r="CU234" s="80">
        <f t="shared" si="136"/>
        <v>0</v>
      </c>
      <c r="CV234" s="81">
        <f t="shared" si="137"/>
        <v>0</v>
      </c>
      <c r="CW234" s="144"/>
      <c r="CX234" s="145">
        <f>IF(ISERROR(VLOOKUP($A234,FIJOS!$B$11:$O$590,14,FALSE)),0,VLOOKUP($A234,FIJOS!$B$11:$O$590,14,FALSE))</f>
        <v>0</v>
      </c>
      <c r="CY234" s="145">
        <f>IF(ISERROR(VLOOKUP(A234,FIJOS!$B$10:$P$590,15,FALSE)),0,VLOOKUP(A234,FIJOS!$B$10:$P$590,15,FALSE))</f>
        <v>0</v>
      </c>
      <c r="CZ234" s="156"/>
      <c r="DA234" s="146"/>
      <c r="DB234" s="147"/>
      <c r="DC234" s="147"/>
      <c r="DD234" s="147"/>
      <c r="DE234" s="147"/>
      <c r="DF234" s="145">
        <f>IF(ISERROR(VLOOKUP($A234,FIJOS!$B$11:$N$590,13,FALSE)),0,VLOOKUP($A234,FIJOS!$B$11:$N$590,13,FALSE))</f>
        <v>0</v>
      </c>
      <c r="DG234" s="145">
        <f>IF(ISERROR(VLOOKUP($A234,FIJOS!$B$11:$P$447,12,FALSE)),0,VLOOKUP($A234,FIJOS!$B$11:$P$447,12,FALSE))</f>
        <v>0</v>
      </c>
      <c r="DH234" s="82">
        <f t="shared" si="127"/>
        <v>0</v>
      </c>
      <c r="DI234" s="83" t="b">
        <f>IF($C234=1,(VLOOKUP($A234,FIJOS!$B$11:$P$545,10,FALSE)/7)*(7-$CU234),IF(AND($C234=2,CV234&lt;$DJ$1),(VLOOKUP($D234,HORAS!$B$4:$C$42,2,FALSE)*24)*$CV234,IF(AND($C234=2,CV234&gt;=$DJ$1),VLOOKUP($D234,HORAS!$B$4:$D$42,3,FALSE),IF(AND($C234=3,$CV234&gt;=$DJ$1),VLOOKUP($A234,FIJOS!$B$11:$P$545,10,FALSE),IF(AND($C234=3,$CV234&lt;$DJ$1),((VLOOKUP($A234,FIJOS!$B$11:$P$545,10,FALSE)/48)*24)*$CV234,IF(AND($C234=4,$CV234&gt;=(42/24)),VLOOKUP($D234,HORAS!$B$4:$D$42,3,FALSE),IF(AND($C234=5,$CV234&gt;=(36/24)),VLOOKUP($D234,HORAS!$B$4:$D$42,3,FALSE))))))))</f>
        <v>0</v>
      </c>
      <c r="DJ234" s="145">
        <f>IF(OR($C234=2),VLOOKUP($D234,HORAS!$B$4:$E$42,4,FALSE)*$EC234,IF(ISERROR(VLOOKUP($A234,FIJOS!$B$11:$P$108,9,FALSE)),0,VLOOKUP($A234,FIJOS!$B$11:$P$231,9,FALSE)*$EC234))</f>
        <v>0</v>
      </c>
      <c r="DK234" s="145">
        <f>IF(OR($C234=2),VLOOKUP($D234,HORAS!$B$4:$F$42,5,FALSE)*$EE234,IF(ISERROR(VLOOKUP($A234,FIJOS!$B$11:$P$108,9,FALSE)),0,VLOOKUP($A234,FIJOS!$B$11:$P$231,9,FALSE)*$EE234))</f>
        <v>0</v>
      </c>
      <c r="DL234" s="144"/>
      <c r="DM234" s="145">
        <f>IF(ISERROR(VLOOKUP($A234,FIJOS!$B$11:$L$646,11,FALSE)),0,VLOOKUP($A234,FIJOS!$B$11:$L$646,11,FALSE))</f>
        <v>0</v>
      </c>
      <c r="DN234" s="148" t="e">
        <f>IF(OR($C234=1,$C234=3),0,IF((VLOOKUP(CAPTURA!D234,HORAS!$B$4:$K$42,10,FALSE)/4)*COUNTIF($H234:$CT234,3)&gt;100,100,(VLOOKUP(CAPTURA!D234,HORAS!$B$4:$K$42,10,FALSE)/4)*COUNTIF($H234:$CT234,3)))</f>
        <v>#N/A</v>
      </c>
      <c r="DO234" s="144" t="e">
        <f>IF(OR($C234=1,$C234=3),0,IF($C234=5,VLOOKUP(D234,HORAS!$B$4:$G$42,6,FALSE),IF(AND($C234=4,$CV234&gt;=(42/24)),VLOOKUP(D234,HORAS!$B$4:$G$42,6,FALSE),IF(COUNTIF($H234:$CL234,"F")&gt;0,0,IF(CV234&gt;$DJ$1,$DJ$1*(VLOOKUP(D234,HORAS!$B$4:$G$42,6,FALSE)/$DJ$1),CV234*(VLOOKUP(D234,HORAS!$B$4:$G$42,6,FALSE)/$DJ$1))))))</f>
        <v>#N/A</v>
      </c>
      <c r="DP234" s="156"/>
      <c r="DQ234" s="89"/>
      <c r="DR234" s="148"/>
      <c r="DS234" s="83" t="e">
        <f t="shared" si="130"/>
        <v>#N/A</v>
      </c>
      <c r="DT234" s="84"/>
      <c r="DU234" s="149" t="e">
        <f t="shared" si="131"/>
        <v>#N/A</v>
      </c>
      <c r="DV234" s="149" t="e">
        <f t="shared" si="132"/>
        <v>#N/A</v>
      </c>
      <c r="DW234" s="144" t="e">
        <f t="shared" si="133"/>
        <v>#N/A</v>
      </c>
      <c r="DX234"/>
      <c r="DY234" s="29"/>
      <c r="DZ234" s="150"/>
      <c r="EA234" s="134"/>
      <c r="EB234" s="137">
        <f t="shared" si="134"/>
        <v>0</v>
      </c>
      <c r="EC234" s="138">
        <f t="shared" si="128"/>
        <v>0</v>
      </c>
      <c r="ED234" s="137">
        <f t="shared" si="135"/>
        <v>0</v>
      </c>
      <c r="EE234" s="132">
        <f t="shared" si="129"/>
        <v>0</v>
      </c>
      <c r="EF234" s="29"/>
      <c r="EG234" s="134"/>
      <c r="EH234" s="134"/>
      <c r="EI234" s="134"/>
      <c r="EK234" s="29"/>
    </row>
    <row r="235" spans="1:141" ht="15" customHeight="1" x14ac:dyDescent="0.25">
      <c r="A235" s="140"/>
      <c r="B235" s="5"/>
      <c r="C235" s="72"/>
      <c r="D235" s="73"/>
      <c r="E235" s="73"/>
      <c r="F235" s="141"/>
      <c r="G235" s="74"/>
      <c r="H235" s="75"/>
      <c r="I235" s="76"/>
      <c r="J235" s="135"/>
      <c r="K235" s="135"/>
      <c r="L235" s="77">
        <f t="shared" si="106"/>
        <v>0</v>
      </c>
      <c r="M235" s="78"/>
      <c r="N235" s="142"/>
      <c r="O235" s="142"/>
      <c r="P235" s="77">
        <f t="shared" si="107"/>
        <v>0</v>
      </c>
      <c r="Q235" s="78"/>
      <c r="R235" s="143"/>
      <c r="S235" s="143"/>
      <c r="T235" s="77">
        <f t="shared" si="108"/>
        <v>0</v>
      </c>
      <c r="U235" s="75"/>
      <c r="V235" s="76"/>
      <c r="W235" s="135"/>
      <c r="X235" s="135"/>
      <c r="Y235" s="77">
        <f t="shared" si="109"/>
        <v>0</v>
      </c>
      <c r="Z235" s="78"/>
      <c r="AA235" s="142"/>
      <c r="AB235" s="142"/>
      <c r="AC235" s="77">
        <f t="shared" si="110"/>
        <v>0</v>
      </c>
      <c r="AD235" s="78"/>
      <c r="AE235" s="143"/>
      <c r="AF235" s="143"/>
      <c r="AG235" s="79">
        <f t="shared" si="111"/>
        <v>0</v>
      </c>
      <c r="AH235" s="75"/>
      <c r="AI235" s="76"/>
      <c r="AJ235" s="135"/>
      <c r="AK235" s="135"/>
      <c r="AL235" s="77">
        <f t="shared" si="112"/>
        <v>0</v>
      </c>
      <c r="AM235" s="76"/>
      <c r="AN235" s="142"/>
      <c r="AO235" s="142"/>
      <c r="AP235" s="77">
        <f t="shared" si="113"/>
        <v>0</v>
      </c>
      <c r="AQ235" s="78"/>
      <c r="AR235" s="142"/>
      <c r="AS235" s="142"/>
      <c r="AT235" s="79">
        <f t="shared" si="114"/>
        <v>0</v>
      </c>
      <c r="AU235" s="75"/>
      <c r="AV235" s="76"/>
      <c r="AW235" s="135"/>
      <c r="AX235" s="135"/>
      <c r="AY235" s="77">
        <f t="shared" si="115"/>
        <v>0</v>
      </c>
      <c r="AZ235" s="76"/>
      <c r="BA235" s="142"/>
      <c r="BB235" s="142"/>
      <c r="BC235" s="77">
        <f t="shared" si="116"/>
        <v>0</v>
      </c>
      <c r="BD235" s="78"/>
      <c r="BE235" s="142"/>
      <c r="BF235" s="142"/>
      <c r="BG235" s="79">
        <f t="shared" si="117"/>
        <v>0</v>
      </c>
      <c r="BH235" s="75"/>
      <c r="BI235" s="76"/>
      <c r="BJ235" s="135"/>
      <c r="BK235" s="135"/>
      <c r="BL235" s="77">
        <f t="shared" si="118"/>
        <v>0</v>
      </c>
      <c r="BM235" s="78"/>
      <c r="BN235" s="142"/>
      <c r="BO235" s="142"/>
      <c r="BP235" s="77">
        <f t="shared" si="119"/>
        <v>0</v>
      </c>
      <c r="BQ235" s="78"/>
      <c r="BR235" s="142"/>
      <c r="BS235" s="142"/>
      <c r="BT235" s="79">
        <f t="shared" si="120"/>
        <v>0</v>
      </c>
      <c r="BU235" s="75"/>
      <c r="BV235" s="76"/>
      <c r="BW235" s="135"/>
      <c r="BX235" s="135"/>
      <c r="BY235" s="77">
        <f t="shared" si="121"/>
        <v>0</v>
      </c>
      <c r="BZ235" s="78"/>
      <c r="CA235" s="142"/>
      <c r="CB235" s="142"/>
      <c r="CC235" s="77">
        <f t="shared" si="122"/>
        <v>0</v>
      </c>
      <c r="CD235" s="78"/>
      <c r="CE235" s="142"/>
      <c r="CF235" s="142"/>
      <c r="CG235" s="79">
        <f t="shared" si="123"/>
        <v>0</v>
      </c>
      <c r="CH235" s="75"/>
      <c r="CI235" s="76"/>
      <c r="CJ235" s="135"/>
      <c r="CK235" s="135"/>
      <c r="CL235" s="77">
        <f t="shared" si="124"/>
        <v>0</v>
      </c>
      <c r="CM235" s="78"/>
      <c r="CN235" s="142"/>
      <c r="CO235" s="142"/>
      <c r="CP235" s="77">
        <f t="shared" si="125"/>
        <v>0</v>
      </c>
      <c r="CQ235" s="78"/>
      <c r="CR235" s="142"/>
      <c r="CS235" s="142"/>
      <c r="CT235" s="79">
        <f t="shared" si="126"/>
        <v>0</v>
      </c>
      <c r="CU235" s="80">
        <f t="shared" si="136"/>
        <v>0</v>
      </c>
      <c r="CV235" s="81">
        <f t="shared" si="137"/>
        <v>0</v>
      </c>
      <c r="CW235" s="144"/>
      <c r="CX235" s="145">
        <f>IF(ISERROR(VLOOKUP($A235,FIJOS!$B$11:$O$590,14,FALSE)),0,VLOOKUP($A235,FIJOS!$B$11:$O$590,14,FALSE))</f>
        <v>0</v>
      </c>
      <c r="CY235" s="145">
        <f>IF(ISERROR(VLOOKUP(A235,FIJOS!$B$10:$P$590,15,FALSE)),0,VLOOKUP(A235,FIJOS!$B$10:$P$590,15,FALSE))</f>
        <v>0</v>
      </c>
      <c r="CZ235" s="156"/>
      <c r="DA235" s="146"/>
      <c r="DB235" s="147"/>
      <c r="DC235" s="147"/>
      <c r="DD235" s="147"/>
      <c r="DE235" s="147"/>
      <c r="DF235" s="145">
        <f>IF(ISERROR(VLOOKUP($A235,FIJOS!$B$11:$N$590,13,FALSE)),0,VLOOKUP($A235,FIJOS!$B$11:$N$590,13,FALSE))</f>
        <v>0</v>
      </c>
      <c r="DG235" s="145">
        <f>IF(ISERROR(VLOOKUP($A235,FIJOS!$B$11:$P$447,12,FALSE)),0,VLOOKUP($A235,FIJOS!$B$11:$P$447,12,FALSE))</f>
        <v>0</v>
      </c>
      <c r="DH235" s="82">
        <f t="shared" si="127"/>
        <v>0</v>
      </c>
      <c r="DI235" s="83" t="b">
        <f>IF($C235=1,(VLOOKUP($A235,FIJOS!$B$11:$P$545,10,FALSE)/7)*(7-$CU235),IF(AND($C235=2,CV235&lt;$DJ$1),(VLOOKUP($D235,HORAS!$B$4:$C$42,2,FALSE)*24)*$CV235,IF(AND($C235=2,CV235&gt;=$DJ$1),VLOOKUP($D235,HORAS!$B$4:$D$42,3,FALSE),IF(AND($C235=3,$CV235&gt;=$DJ$1),VLOOKUP($A235,FIJOS!$B$11:$P$545,10,FALSE),IF(AND($C235=3,$CV235&lt;$DJ$1),((VLOOKUP($A235,FIJOS!$B$11:$P$545,10,FALSE)/48)*24)*$CV235,IF(AND($C235=4,$CV235&gt;=(42/24)),VLOOKUP($D235,HORAS!$B$4:$D$42,3,FALSE),IF(AND($C235=5,$CV235&gt;=(36/24)),VLOOKUP($D235,HORAS!$B$4:$D$42,3,FALSE))))))))</f>
        <v>0</v>
      </c>
      <c r="DJ235" s="145">
        <f>IF(OR($C235=2),VLOOKUP($D235,HORAS!$B$4:$E$42,4,FALSE)*$EC235,IF(ISERROR(VLOOKUP($A235,FIJOS!$B$11:$P$108,9,FALSE)),0,VLOOKUP($A235,FIJOS!$B$11:$P$231,9,FALSE)*$EC235))</f>
        <v>0</v>
      </c>
      <c r="DK235" s="145">
        <f>IF(OR($C235=2),VLOOKUP($D235,HORAS!$B$4:$F$42,5,FALSE)*$EE235,IF(ISERROR(VLOOKUP($A235,FIJOS!$B$11:$P$108,9,FALSE)),0,VLOOKUP($A235,FIJOS!$B$11:$P$231,9,FALSE)*$EE235))</f>
        <v>0</v>
      </c>
      <c r="DL235" s="144"/>
      <c r="DM235" s="145">
        <f>IF(ISERROR(VLOOKUP($A235,FIJOS!$B$11:$L$646,11,FALSE)),0,VLOOKUP($A235,FIJOS!$B$11:$L$646,11,FALSE))</f>
        <v>0</v>
      </c>
      <c r="DN235" s="148" t="e">
        <f>IF(OR($C235=1,$C235=3),0,IF((VLOOKUP(CAPTURA!D235,HORAS!$B$4:$K$42,10,FALSE)/4)*COUNTIF($H235:$CT235,3)&gt;100,100,(VLOOKUP(CAPTURA!D235,HORAS!$B$4:$K$42,10,FALSE)/4)*COUNTIF($H235:$CT235,3)))</f>
        <v>#N/A</v>
      </c>
      <c r="DO235" s="144" t="e">
        <f>IF(OR($C235=1,$C235=3),0,IF($C235=5,VLOOKUP(D235,HORAS!$B$4:$G$42,6,FALSE),IF(AND($C235=4,$CV235&gt;=(42/24)),VLOOKUP(D235,HORAS!$B$4:$G$42,6,FALSE),IF(COUNTIF($H235:$CL235,"F")&gt;0,0,IF(CV235&gt;$DJ$1,$DJ$1*(VLOOKUP(D235,HORAS!$B$4:$G$42,6,FALSE)/$DJ$1),CV235*(VLOOKUP(D235,HORAS!$B$4:$G$42,6,FALSE)/$DJ$1))))))</f>
        <v>#N/A</v>
      </c>
      <c r="DP235" s="156"/>
      <c r="DQ235" s="89"/>
      <c r="DR235" s="148"/>
      <c r="DS235" s="83" t="e">
        <f t="shared" si="130"/>
        <v>#N/A</v>
      </c>
      <c r="DT235" s="84"/>
      <c r="DU235" s="149" t="e">
        <f t="shared" si="131"/>
        <v>#N/A</v>
      </c>
      <c r="DV235" s="149" t="e">
        <f t="shared" si="132"/>
        <v>#N/A</v>
      </c>
      <c r="DW235" s="144" t="e">
        <f t="shared" si="133"/>
        <v>#N/A</v>
      </c>
      <c r="DX235" s="134"/>
      <c r="DY235" s="29"/>
      <c r="DZ235" s="150"/>
      <c r="EA235" s="134"/>
      <c r="EB235" s="137">
        <f t="shared" si="134"/>
        <v>0</v>
      </c>
      <c r="EC235" s="138">
        <f t="shared" si="128"/>
        <v>0</v>
      </c>
      <c r="ED235" s="137">
        <f t="shared" si="135"/>
        <v>0</v>
      </c>
      <c r="EE235" s="132">
        <f t="shared" si="129"/>
        <v>0</v>
      </c>
      <c r="EF235" s="29"/>
      <c r="EG235" s="134"/>
      <c r="EH235" s="134"/>
      <c r="EI235" s="134"/>
      <c r="EK235" s="29"/>
    </row>
    <row r="236" spans="1:141" ht="15" customHeight="1" x14ac:dyDescent="0.25">
      <c r="A236" s="140"/>
      <c r="B236" s="151"/>
      <c r="C236" s="72"/>
      <c r="D236" s="73"/>
      <c r="E236" s="73"/>
      <c r="F236" s="141"/>
      <c r="G236" s="74"/>
      <c r="H236" s="75"/>
      <c r="I236" s="76"/>
      <c r="J236" s="135"/>
      <c r="K236" s="135"/>
      <c r="L236" s="77">
        <f t="shared" si="106"/>
        <v>0</v>
      </c>
      <c r="M236" s="78"/>
      <c r="N236" s="142"/>
      <c r="O236" s="142"/>
      <c r="P236" s="77">
        <f t="shared" si="107"/>
        <v>0</v>
      </c>
      <c r="Q236" s="78"/>
      <c r="R236" s="143"/>
      <c r="S236" s="143"/>
      <c r="T236" s="77">
        <f t="shared" si="108"/>
        <v>0</v>
      </c>
      <c r="U236" s="75"/>
      <c r="V236" s="76"/>
      <c r="W236" s="135"/>
      <c r="X236" s="135"/>
      <c r="Y236" s="77">
        <f t="shared" si="109"/>
        <v>0</v>
      </c>
      <c r="Z236" s="78"/>
      <c r="AA236" s="142"/>
      <c r="AB236" s="142"/>
      <c r="AC236" s="77">
        <f t="shared" si="110"/>
        <v>0</v>
      </c>
      <c r="AD236" s="78"/>
      <c r="AE236" s="143"/>
      <c r="AF236" s="143"/>
      <c r="AG236" s="79">
        <f t="shared" si="111"/>
        <v>0</v>
      </c>
      <c r="AH236" s="75"/>
      <c r="AI236" s="76"/>
      <c r="AJ236" s="135"/>
      <c r="AK236" s="135"/>
      <c r="AL236" s="77">
        <f t="shared" si="112"/>
        <v>0</v>
      </c>
      <c r="AM236" s="76"/>
      <c r="AN236" s="142"/>
      <c r="AO236" s="142"/>
      <c r="AP236" s="77">
        <f t="shared" si="113"/>
        <v>0</v>
      </c>
      <c r="AQ236" s="78"/>
      <c r="AR236" s="142"/>
      <c r="AS236" s="142"/>
      <c r="AT236" s="79">
        <f t="shared" si="114"/>
        <v>0</v>
      </c>
      <c r="AU236" s="75"/>
      <c r="AV236" s="76"/>
      <c r="AW236" s="135"/>
      <c r="AX236" s="135"/>
      <c r="AY236" s="77">
        <f t="shared" si="115"/>
        <v>0</v>
      </c>
      <c r="AZ236" s="76"/>
      <c r="BA236" s="142"/>
      <c r="BB236" s="142"/>
      <c r="BC236" s="77">
        <f t="shared" si="116"/>
        <v>0</v>
      </c>
      <c r="BD236" s="78"/>
      <c r="BE236" s="142"/>
      <c r="BF236" s="142"/>
      <c r="BG236" s="79">
        <f t="shared" si="117"/>
        <v>0</v>
      </c>
      <c r="BH236" s="75"/>
      <c r="BI236" s="76"/>
      <c r="BJ236" s="135"/>
      <c r="BK236" s="135"/>
      <c r="BL236" s="77">
        <f t="shared" si="118"/>
        <v>0</v>
      </c>
      <c r="BM236" s="78"/>
      <c r="BN236" s="142"/>
      <c r="BO236" s="142"/>
      <c r="BP236" s="77">
        <f t="shared" si="119"/>
        <v>0</v>
      </c>
      <c r="BQ236" s="78"/>
      <c r="BR236" s="142"/>
      <c r="BS236" s="142"/>
      <c r="BT236" s="79">
        <f t="shared" si="120"/>
        <v>0</v>
      </c>
      <c r="BU236" s="75"/>
      <c r="BV236" s="76"/>
      <c r="BW236" s="135"/>
      <c r="BX236" s="135"/>
      <c r="BY236" s="77">
        <f t="shared" si="121"/>
        <v>0</v>
      </c>
      <c r="BZ236" s="78"/>
      <c r="CA236" s="142"/>
      <c r="CB236" s="142"/>
      <c r="CC236" s="77">
        <f t="shared" si="122"/>
        <v>0</v>
      </c>
      <c r="CD236" s="78"/>
      <c r="CE236" s="142"/>
      <c r="CF236" s="142"/>
      <c r="CG236" s="79">
        <f t="shared" si="123"/>
        <v>0</v>
      </c>
      <c r="CH236" s="75"/>
      <c r="CI236" s="76"/>
      <c r="CJ236" s="135"/>
      <c r="CK236" s="135"/>
      <c r="CL236" s="77">
        <f t="shared" si="124"/>
        <v>0</v>
      </c>
      <c r="CM236" s="78"/>
      <c r="CN236" s="142"/>
      <c r="CO236" s="142"/>
      <c r="CP236" s="77">
        <f t="shared" si="125"/>
        <v>0</v>
      </c>
      <c r="CQ236" s="78"/>
      <c r="CR236" s="142"/>
      <c r="CS236" s="142"/>
      <c r="CT236" s="79">
        <f t="shared" si="126"/>
        <v>0</v>
      </c>
      <c r="CU236" s="80">
        <f t="shared" si="136"/>
        <v>0</v>
      </c>
      <c r="CV236" s="81">
        <f t="shared" si="137"/>
        <v>0</v>
      </c>
      <c r="CW236" s="144"/>
      <c r="CX236" s="145">
        <f>IF(ISERROR(VLOOKUP($A236,FIJOS!$B$11:$O$590,14,FALSE)),0,VLOOKUP($A236,FIJOS!$B$11:$O$590,14,FALSE))</f>
        <v>0</v>
      </c>
      <c r="CY236" s="145">
        <f>IF(ISERROR(VLOOKUP(A236,FIJOS!$B$10:$P$590,15,FALSE)),0,VLOOKUP(A236,FIJOS!$B$10:$P$590,15,FALSE))</f>
        <v>0</v>
      </c>
      <c r="CZ236" s="156"/>
      <c r="DA236" s="146"/>
      <c r="DB236" s="147"/>
      <c r="DC236" s="147"/>
      <c r="DD236" s="147"/>
      <c r="DE236" s="147"/>
      <c r="DF236" s="145">
        <f>IF(ISERROR(VLOOKUP($A236,FIJOS!$B$11:$N$590,13,FALSE)),0,VLOOKUP($A236,FIJOS!$B$11:$N$590,13,FALSE))</f>
        <v>0</v>
      </c>
      <c r="DG236" s="145">
        <f>IF(ISERROR(VLOOKUP($A236,FIJOS!$B$11:$P$447,12,FALSE)),0,VLOOKUP($A236,FIJOS!$B$11:$P$447,12,FALSE))</f>
        <v>0</v>
      </c>
      <c r="DH236" s="82">
        <f t="shared" si="127"/>
        <v>0</v>
      </c>
      <c r="DI236" s="83" t="b">
        <f>IF($C236=1,(VLOOKUP($A236,FIJOS!$B$11:$P$545,10,FALSE)/7)*(7-$CU236),IF(AND($C236=2,CV236&lt;$DJ$1),(VLOOKUP($D236,HORAS!$B$4:$C$42,2,FALSE)*24)*$CV236,IF(AND($C236=2,CV236&gt;=$DJ$1),VLOOKUP($D236,HORAS!$B$4:$D$42,3,FALSE),IF(AND($C236=3,$CV236&gt;=$DJ$1),VLOOKUP($A236,FIJOS!$B$11:$P$545,10,FALSE),IF(AND($C236=3,$CV236&lt;$DJ$1),((VLOOKUP($A236,FIJOS!$B$11:$P$545,10,FALSE)/48)*24)*$CV236,IF(AND($C236=4,$CV236&gt;=(42/24)),VLOOKUP($D236,HORAS!$B$4:$D$42,3,FALSE),IF(AND($C236=5,$CV236&gt;=(36/24)),VLOOKUP($D236,HORAS!$B$4:$D$42,3,FALSE))))))))</f>
        <v>0</v>
      </c>
      <c r="DJ236" s="145">
        <f>IF(OR($C236=2),VLOOKUP($D236,HORAS!$B$4:$E$42,4,FALSE)*$EC236,IF(ISERROR(VLOOKUP($A236,FIJOS!$B$11:$P$108,9,FALSE)),0,VLOOKUP($A236,FIJOS!$B$11:$P$231,9,FALSE)*$EC236))</f>
        <v>0</v>
      </c>
      <c r="DK236" s="145">
        <f>IF(OR($C236=2),VLOOKUP($D236,HORAS!$B$4:$F$42,5,FALSE)*$EE236,IF(ISERROR(VLOOKUP($A236,FIJOS!$B$11:$P$108,9,FALSE)),0,VLOOKUP($A236,FIJOS!$B$11:$P$231,9,FALSE)*$EE236))</f>
        <v>0</v>
      </c>
      <c r="DL236" s="144"/>
      <c r="DM236" s="145">
        <f>IF(ISERROR(VLOOKUP($A236,FIJOS!$B$11:$L$646,11,FALSE)),0,VLOOKUP($A236,FIJOS!$B$11:$L$646,11,FALSE))</f>
        <v>0</v>
      </c>
      <c r="DN236" s="148" t="e">
        <f>IF(OR($C236=1,$C236=3),0,IF((VLOOKUP(CAPTURA!D236,HORAS!$B$4:$K$42,10,FALSE)/4)*COUNTIF($H236:$CT236,3)&gt;100,100,(VLOOKUP(CAPTURA!D236,HORAS!$B$4:$K$42,10,FALSE)/4)*COUNTIF($H236:$CT236,3)))</f>
        <v>#N/A</v>
      </c>
      <c r="DO236" s="144" t="e">
        <f>IF(OR($C236=1,$C236=3),0,IF($C236=5,VLOOKUP(D236,HORAS!$B$4:$G$42,6,FALSE),IF(AND($C236=4,$CV236&gt;=(42/24)),VLOOKUP(D236,HORAS!$B$4:$G$42,6,FALSE),IF(COUNTIF($H236:$CL236,"F")&gt;0,0,IF(CV236&gt;$DJ$1,$DJ$1*(VLOOKUP(D236,HORAS!$B$4:$G$42,6,FALSE)/$DJ$1),CV236*(VLOOKUP(D236,HORAS!$B$4:$G$42,6,FALSE)/$DJ$1))))))</f>
        <v>#N/A</v>
      </c>
      <c r="DP236" s="178"/>
      <c r="DQ236" s="89"/>
      <c r="DR236" s="148"/>
      <c r="DS236" s="83" t="e">
        <f t="shared" si="130"/>
        <v>#N/A</v>
      </c>
      <c r="DT236" s="84"/>
      <c r="DU236" s="149" t="e">
        <f t="shared" si="131"/>
        <v>#N/A</v>
      </c>
      <c r="DV236" s="149" t="e">
        <f t="shared" si="132"/>
        <v>#N/A</v>
      </c>
      <c r="DW236" s="144" t="e">
        <f t="shared" si="133"/>
        <v>#N/A</v>
      </c>
      <c r="DX236" s="134"/>
      <c r="DY236" s="29"/>
      <c r="DZ236" s="150"/>
      <c r="EA236" s="134"/>
      <c r="EB236" s="137">
        <f t="shared" si="134"/>
        <v>0</v>
      </c>
      <c r="EC236" s="138">
        <f t="shared" si="128"/>
        <v>0</v>
      </c>
      <c r="ED236" s="137">
        <f t="shared" si="135"/>
        <v>0</v>
      </c>
      <c r="EE236" s="132">
        <f t="shared" si="129"/>
        <v>0</v>
      </c>
      <c r="EF236" s="29"/>
      <c r="EG236" s="134"/>
      <c r="EH236" s="134"/>
      <c r="EI236" s="134"/>
      <c r="EK236" s="29"/>
    </row>
    <row r="237" spans="1:141" ht="15" customHeight="1" x14ac:dyDescent="0.25">
      <c r="A237" s="140"/>
      <c r="B237" s="151"/>
      <c r="C237" s="72"/>
      <c r="D237" s="73"/>
      <c r="E237" s="73"/>
      <c r="F237" s="141"/>
      <c r="G237" s="74"/>
      <c r="H237" s="75"/>
      <c r="I237" s="76"/>
      <c r="J237" s="135"/>
      <c r="K237" s="135"/>
      <c r="L237" s="77">
        <f t="shared" si="106"/>
        <v>0</v>
      </c>
      <c r="M237" s="78"/>
      <c r="N237" s="142"/>
      <c r="O237" s="142"/>
      <c r="P237" s="77">
        <f t="shared" si="107"/>
        <v>0</v>
      </c>
      <c r="Q237" s="78"/>
      <c r="R237" s="143"/>
      <c r="S237" s="143"/>
      <c r="T237" s="77">
        <f t="shared" si="108"/>
        <v>0</v>
      </c>
      <c r="U237" s="75"/>
      <c r="V237" s="76"/>
      <c r="W237" s="135"/>
      <c r="X237" s="135"/>
      <c r="Y237" s="77">
        <f t="shared" si="109"/>
        <v>0</v>
      </c>
      <c r="Z237" s="78"/>
      <c r="AA237" s="142"/>
      <c r="AB237" s="142"/>
      <c r="AC237" s="77">
        <f t="shared" si="110"/>
        <v>0</v>
      </c>
      <c r="AD237" s="78"/>
      <c r="AE237" s="143"/>
      <c r="AF237" s="143"/>
      <c r="AG237" s="79">
        <f t="shared" si="111"/>
        <v>0</v>
      </c>
      <c r="AH237" s="75"/>
      <c r="AI237" s="76"/>
      <c r="AJ237" s="135"/>
      <c r="AK237" s="135"/>
      <c r="AL237" s="77">
        <f t="shared" si="112"/>
        <v>0</v>
      </c>
      <c r="AM237" s="76"/>
      <c r="AN237" s="142"/>
      <c r="AO237" s="142"/>
      <c r="AP237" s="77">
        <f t="shared" si="113"/>
        <v>0</v>
      </c>
      <c r="AQ237" s="78"/>
      <c r="AR237" s="142"/>
      <c r="AS237" s="142"/>
      <c r="AT237" s="79">
        <f t="shared" si="114"/>
        <v>0</v>
      </c>
      <c r="AU237" s="75"/>
      <c r="AV237" s="76"/>
      <c r="AW237" s="135"/>
      <c r="AX237" s="135"/>
      <c r="AY237" s="77">
        <f t="shared" si="115"/>
        <v>0</v>
      </c>
      <c r="AZ237" s="76"/>
      <c r="BA237" s="142"/>
      <c r="BB237" s="142"/>
      <c r="BC237" s="77">
        <f t="shared" si="116"/>
        <v>0</v>
      </c>
      <c r="BD237" s="78"/>
      <c r="BE237" s="142"/>
      <c r="BF237" s="142"/>
      <c r="BG237" s="79">
        <f t="shared" si="117"/>
        <v>0</v>
      </c>
      <c r="BH237" s="75"/>
      <c r="BI237" s="76"/>
      <c r="BJ237" s="135"/>
      <c r="BK237" s="135"/>
      <c r="BL237" s="77">
        <f t="shared" si="118"/>
        <v>0</v>
      </c>
      <c r="BM237" s="78"/>
      <c r="BN237" s="142"/>
      <c r="BO237" s="142"/>
      <c r="BP237" s="77">
        <f t="shared" si="119"/>
        <v>0</v>
      </c>
      <c r="BQ237" s="78"/>
      <c r="BR237" s="142"/>
      <c r="BS237" s="142"/>
      <c r="BT237" s="79">
        <f t="shared" si="120"/>
        <v>0</v>
      </c>
      <c r="BU237" s="75"/>
      <c r="BV237" s="76"/>
      <c r="BW237" s="135"/>
      <c r="BX237" s="135"/>
      <c r="BY237" s="77">
        <f t="shared" si="121"/>
        <v>0</v>
      </c>
      <c r="BZ237" s="78"/>
      <c r="CA237" s="142"/>
      <c r="CB237" s="142"/>
      <c r="CC237" s="77">
        <f t="shared" si="122"/>
        <v>0</v>
      </c>
      <c r="CD237" s="78"/>
      <c r="CE237" s="142"/>
      <c r="CF237" s="142"/>
      <c r="CG237" s="79">
        <f t="shared" si="123"/>
        <v>0</v>
      </c>
      <c r="CH237" s="75"/>
      <c r="CI237" s="76"/>
      <c r="CJ237" s="135"/>
      <c r="CK237" s="135"/>
      <c r="CL237" s="77">
        <f t="shared" si="124"/>
        <v>0</v>
      </c>
      <c r="CM237" s="78"/>
      <c r="CN237" s="142"/>
      <c r="CO237" s="142"/>
      <c r="CP237" s="77">
        <f t="shared" si="125"/>
        <v>0</v>
      </c>
      <c r="CQ237" s="78"/>
      <c r="CR237" s="142"/>
      <c r="CS237" s="142"/>
      <c r="CT237" s="79">
        <f t="shared" si="126"/>
        <v>0</v>
      </c>
      <c r="CU237" s="80">
        <f t="shared" si="136"/>
        <v>0</v>
      </c>
      <c r="CV237" s="81">
        <f t="shared" si="137"/>
        <v>0</v>
      </c>
      <c r="CW237" s="144"/>
      <c r="CX237" s="145">
        <f>IF(ISERROR(VLOOKUP($A237,FIJOS!$B$11:$O$590,14,FALSE)),0,VLOOKUP($A237,FIJOS!$B$11:$O$590,14,FALSE))</f>
        <v>0</v>
      </c>
      <c r="CY237" s="145">
        <f>IF(ISERROR(VLOOKUP(A237,FIJOS!$B$10:$P$590,15,FALSE)),0,VLOOKUP(A237,FIJOS!$B$10:$P$590,15,FALSE))</f>
        <v>0</v>
      </c>
      <c r="CZ237" s="156"/>
      <c r="DA237" s="146"/>
      <c r="DB237" s="147"/>
      <c r="DC237" s="147"/>
      <c r="DD237" s="147"/>
      <c r="DE237" s="147"/>
      <c r="DF237" s="145">
        <f>IF(ISERROR(VLOOKUP($A237,FIJOS!$B$11:$N$590,13,FALSE)),0,VLOOKUP($A237,FIJOS!$B$11:$N$590,13,FALSE))</f>
        <v>0</v>
      </c>
      <c r="DG237" s="145">
        <f>IF(ISERROR(VLOOKUP($A237,FIJOS!$B$11:$P$447,12,FALSE)),0,VLOOKUP($A237,FIJOS!$B$11:$P$447,12,FALSE))</f>
        <v>0</v>
      </c>
      <c r="DH237" s="82">
        <f t="shared" si="127"/>
        <v>0</v>
      </c>
      <c r="DI237" s="83" t="b">
        <f>IF($C237=1,(VLOOKUP($A237,FIJOS!$B$11:$P$545,10,FALSE)/7)*(7-$CU237),IF(AND($C237=2,CV237&lt;$DJ$1),(VLOOKUP($D237,HORAS!$B$4:$C$42,2,FALSE)*24)*$CV237,IF(AND($C237=2,CV237&gt;=$DJ$1),VLOOKUP($D237,HORAS!$B$4:$D$42,3,FALSE),IF(AND($C237=3,$CV237&gt;=$DJ$1),VLOOKUP($A237,FIJOS!$B$11:$P$545,10,FALSE),IF(AND($C237=3,$CV237&lt;$DJ$1),((VLOOKUP($A237,FIJOS!$B$11:$P$545,10,FALSE)/48)*24)*$CV237,IF(AND($C237=4,$CV237&gt;=(42/24)),VLOOKUP($D237,HORAS!$B$4:$D$42,3,FALSE),IF(AND($C237=5,$CV237&gt;=(36/24)),VLOOKUP($D237,HORAS!$B$4:$D$42,3,FALSE))))))))</f>
        <v>0</v>
      </c>
      <c r="DJ237" s="145">
        <f>IF(OR($C237=2),VLOOKUP($D237,HORAS!$B$4:$E$42,4,FALSE)*$EC237,IF(ISERROR(VLOOKUP($A237,FIJOS!$B$11:$P$108,9,FALSE)),0,VLOOKUP($A237,FIJOS!$B$11:$P$231,9,FALSE)*$EC237))</f>
        <v>0</v>
      </c>
      <c r="DK237" s="145">
        <f>IF(OR($C237=2),VLOOKUP($D237,HORAS!$B$4:$F$42,5,FALSE)*$EE237,IF(ISERROR(VLOOKUP($A237,FIJOS!$B$11:$P$108,9,FALSE)),0,VLOOKUP($A237,FIJOS!$B$11:$P$231,9,FALSE)*$EE237))</f>
        <v>0</v>
      </c>
      <c r="DL237" s="144"/>
      <c r="DM237" s="145">
        <f>IF(ISERROR(VLOOKUP($A237,FIJOS!$B$11:$L$646,11,FALSE)),0,VLOOKUP($A237,FIJOS!$B$11:$L$646,11,FALSE))</f>
        <v>0</v>
      </c>
      <c r="DN237" s="148" t="e">
        <f>IF(OR($C237=1,$C237=3),0,IF((VLOOKUP(CAPTURA!D237,HORAS!$B$4:$K$42,10,FALSE)/4)*COUNTIF($H237:$CT237,3)&gt;100,100,(VLOOKUP(CAPTURA!D237,HORAS!$B$4:$K$42,10,FALSE)/4)*COUNTIF($H237:$CT237,3)))</f>
        <v>#N/A</v>
      </c>
      <c r="DO237" s="144" t="e">
        <f>IF(OR($C237=1,$C237=3),0,IF($C237=5,VLOOKUP(D237,HORAS!$B$4:$G$42,6,FALSE),IF(AND($C237=4,$CV237&gt;=(42/24)),VLOOKUP(D237,HORAS!$B$4:$G$42,6,FALSE),IF(COUNTIF($H237:$CL237,"F")&gt;0,0,IF(CV237&gt;$DJ$1,$DJ$1*(VLOOKUP(D237,HORAS!$B$4:$G$42,6,FALSE)/$DJ$1),CV237*(VLOOKUP(D237,HORAS!$B$4:$G$42,6,FALSE)/$DJ$1))))))</f>
        <v>#N/A</v>
      </c>
      <c r="DP237" s="156"/>
      <c r="DQ237" s="89"/>
      <c r="DR237" s="148"/>
      <c r="DS237" s="83" t="e">
        <f t="shared" si="130"/>
        <v>#N/A</v>
      </c>
      <c r="DT237" s="84"/>
      <c r="DU237" s="149" t="e">
        <f t="shared" si="131"/>
        <v>#N/A</v>
      </c>
      <c r="DV237" s="149" t="e">
        <f t="shared" si="132"/>
        <v>#N/A</v>
      </c>
      <c r="DW237" s="144" t="e">
        <f t="shared" si="133"/>
        <v>#N/A</v>
      </c>
      <c r="DX237" s="134"/>
      <c r="DY237" s="29"/>
      <c r="DZ237" s="150"/>
      <c r="EA237" s="137"/>
      <c r="EB237" s="137">
        <f t="shared" si="134"/>
        <v>0</v>
      </c>
      <c r="EC237" s="138">
        <f t="shared" si="128"/>
        <v>0</v>
      </c>
      <c r="ED237" s="137">
        <f t="shared" si="135"/>
        <v>0</v>
      </c>
      <c r="EE237" s="132">
        <f t="shared" si="129"/>
        <v>0</v>
      </c>
      <c r="EF237" s="29"/>
      <c r="EG237" s="134"/>
      <c r="EH237" s="134"/>
      <c r="EI237" s="134"/>
      <c r="EK237" s="29"/>
    </row>
    <row r="238" spans="1:141" ht="15" customHeight="1" x14ac:dyDescent="0.25">
      <c r="A238" s="140"/>
      <c r="B238" s="5"/>
      <c r="C238" s="72"/>
      <c r="D238" s="73"/>
      <c r="E238" s="73"/>
      <c r="F238" s="141"/>
      <c r="G238" s="74"/>
      <c r="H238" s="75"/>
      <c r="I238" s="76"/>
      <c r="J238" s="135"/>
      <c r="K238" s="135"/>
      <c r="L238" s="77">
        <f t="shared" si="106"/>
        <v>0</v>
      </c>
      <c r="M238" s="78"/>
      <c r="N238" s="142"/>
      <c r="O238" s="142"/>
      <c r="P238" s="77">
        <f t="shared" si="107"/>
        <v>0</v>
      </c>
      <c r="Q238" s="78"/>
      <c r="R238" s="143"/>
      <c r="S238" s="143"/>
      <c r="T238" s="77">
        <f t="shared" si="108"/>
        <v>0</v>
      </c>
      <c r="U238" s="75"/>
      <c r="V238" s="76"/>
      <c r="W238" s="135"/>
      <c r="X238" s="135"/>
      <c r="Y238" s="77">
        <f t="shared" si="109"/>
        <v>0</v>
      </c>
      <c r="Z238" s="78"/>
      <c r="AA238" s="142"/>
      <c r="AB238" s="142"/>
      <c r="AC238" s="77">
        <f t="shared" si="110"/>
        <v>0</v>
      </c>
      <c r="AD238" s="78"/>
      <c r="AE238" s="143"/>
      <c r="AF238" s="143"/>
      <c r="AG238" s="79">
        <f t="shared" si="111"/>
        <v>0</v>
      </c>
      <c r="AH238" s="75"/>
      <c r="AI238" s="76"/>
      <c r="AJ238" s="135"/>
      <c r="AK238" s="135"/>
      <c r="AL238" s="77">
        <f t="shared" si="112"/>
        <v>0</v>
      </c>
      <c r="AM238" s="76"/>
      <c r="AN238" s="142"/>
      <c r="AO238" s="142"/>
      <c r="AP238" s="77">
        <f t="shared" si="113"/>
        <v>0</v>
      </c>
      <c r="AQ238" s="78"/>
      <c r="AR238" s="142"/>
      <c r="AS238" s="142"/>
      <c r="AT238" s="79">
        <f t="shared" si="114"/>
        <v>0</v>
      </c>
      <c r="AU238" s="75"/>
      <c r="AV238" s="76"/>
      <c r="AW238" s="135"/>
      <c r="AX238" s="135"/>
      <c r="AY238" s="77">
        <f t="shared" si="115"/>
        <v>0</v>
      </c>
      <c r="AZ238" s="76"/>
      <c r="BA238" s="142"/>
      <c r="BB238" s="142"/>
      <c r="BC238" s="77">
        <f t="shared" si="116"/>
        <v>0</v>
      </c>
      <c r="BD238" s="78"/>
      <c r="BE238" s="142"/>
      <c r="BF238" s="142"/>
      <c r="BG238" s="79">
        <f t="shared" si="117"/>
        <v>0</v>
      </c>
      <c r="BH238" s="75"/>
      <c r="BI238" s="76"/>
      <c r="BJ238" s="135"/>
      <c r="BK238" s="135"/>
      <c r="BL238" s="77">
        <f t="shared" si="118"/>
        <v>0</v>
      </c>
      <c r="BM238" s="78"/>
      <c r="BN238" s="142"/>
      <c r="BO238" s="142"/>
      <c r="BP238" s="77">
        <f t="shared" si="119"/>
        <v>0</v>
      </c>
      <c r="BQ238" s="78"/>
      <c r="BR238" s="142"/>
      <c r="BS238" s="142"/>
      <c r="BT238" s="79">
        <f t="shared" si="120"/>
        <v>0</v>
      </c>
      <c r="BU238" s="75"/>
      <c r="BV238" s="76"/>
      <c r="BW238" s="135"/>
      <c r="BX238" s="135"/>
      <c r="BY238" s="77">
        <f t="shared" si="121"/>
        <v>0</v>
      </c>
      <c r="BZ238" s="78"/>
      <c r="CA238" s="142"/>
      <c r="CB238" s="142"/>
      <c r="CC238" s="77">
        <f t="shared" si="122"/>
        <v>0</v>
      </c>
      <c r="CD238" s="78"/>
      <c r="CE238" s="142"/>
      <c r="CF238" s="142"/>
      <c r="CG238" s="79">
        <f t="shared" si="123"/>
        <v>0</v>
      </c>
      <c r="CH238" s="75"/>
      <c r="CI238" s="76"/>
      <c r="CJ238" s="135"/>
      <c r="CK238" s="135"/>
      <c r="CL238" s="77">
        <f t="shared" si="124"/>
        <v>0</v>
      </c>
      <c r="CM238" s="78"/>
      <c r="CN238" s="142"/>
      <c r="CO238" s="142"/>
      <c r="CP238" s="77">
        <f t="shared" si="125"/>
        <v>0</v>
      </c>
      <c r="CQ238" s="78"/>
      <c r="CR238" s="142"/>
      <c r="CS238" s="142"/>
      <c r="CT238" s="79">
        <f t="shared" si="126"/>
        <v>0</v>
      </c>
      <c r="CU238" s="80">
        <f t="shared" si="136"/>
        <v>0</v>
      </c>
      <c r="CV238" s="81">
        <f t="shared" si="137"/>
        <v>0</v>
      </c>
      <c r="CW238" s="144"/>
      <c r="CX238" s="145">
        <f>IF(ISERROR(VLOOKUP($A238,FIJOS!$B$11:$O$590,14,FALSE)),0,VLOOKUP($A238,FIJOS!$B$11:$O$590,14,FALSE))</f>
        <v>0</v>
      </c>
      <c r="CY238" s="145">
        <f>IF(ISERROR(VLOOKUP(A238,FIJOS!$B$10:$P$590,15,FALSE)),0,VLOOKUP(A238,FIJOS!$B$10:$P$590,15,FALSE))</f>
        <v>0</v>
      </c>
      <c r="CZ238" s="156"/>
      <c r="DA238" s="146"/>
      <c r="DB238" s="147"/>
      <c r="DC238" s="147"/>
      <c r="DD238" s="147"/>
      <c r="DE238" s="147"/>
      <c r="DF238" s="145">
        <f>IF(ISERROR(VLOOKUP($A238,FIJOS!$B$11:$N$590,13,FALSE)),0,VLOOKUP($A238,FIJOS!$B$11:$N$590,13,FALSE))</f>
        <v>0</v>
      </c>
      <c r="DG238" s="145">
        <f>IF(ISERROR(VLOOKUP($A238,FIJOS!$B$11:$P$447,12,FALSE)),0,VLOOKUP($A238,FIJOS!$B$11:$P$447,12,FALSE))</f>
        <v>0</v>
      </c>
      <c r="DH238" s="82">
        <f t="shared" si="127"/>
        <v>0</v>
      </c>
      <c r="DI238" s="83" t="b">
        <f>IF($C238=1,(VLOOKUP($A238,FIJOS!$B$11:$P$545,10,FALSE)/7)*(7-$CU238),IF(AND($C238=2,CV238&lt;$DJ$1),(VLOOKUP($D238,HORAS!$B$4:$C$42,2,FALSE)*24)*$CV238,IF(AND($C238=2,CV238&gt;=$DJ$1),VLOOKUP($D238,HORAS!$B$4:$D$42,3,FALSE),IF(AND($C238=3,$CV238&gt;=$DJ$1),VLOOKUP($A238,FIJOS!$B$11:$P$545,10,FALSE),IF(AND($C238=3,$CV238&lt;$DJ$1),((VLOOKUP($A238,FIJOS!$B$11:$P$545,10,FALSE)/48)*24)*$CV238,IF(AND($C238=4,$CV238&gt;=(42/24)),VLOOKUP($D238,HORAS!$B$4:$D$42,3,FALSE),IF(AND($C238=5,$CV238&gt;=(36/24)),VLOOKUP($D238,HORAS!$B$4:$D$42,3,FALSE))))))))</f>
        <v>0</v>
      </c>
      <c r="DJ238" s="145">
        <f>IF(OR($C238=2),VLOOKUP($D238,HORAS!$B$4:$E$42,4,FALSE)*$EC238,IF(ISERROR(VLOOKUP($A238,FIJOS!$B$11:$P$108,9,FALSE)),0,VLOOKUP($A238,FIJOS!$B$11:$P$231,9,FALSE)*$EC238))</f>
        <v>0</v>
      </c>
      <c r="DK238" s="145">
        <f>IF(OR($C238=2),VLOOKUP($D238,HORAS!$B$4:$F$42,5,FALSE)*$EE238,IF(ISERROR(VLOOKUP($A238,FIJOS!$B$11:$P$108,9,FALSE)),0,VLOOKUP($A238,FIJOS!$B$11:$P$231,9,FALSE)*$EE238))</f>
        <v>0</v>
      </c>
      <c r="DL238" s="144"/>
      <c r="DM238" s="145">
        <f>IF(ISERROR(VLOOKUP($A238,FIJOS!$B$11:$L$646,11,FALSE)),0,VLOOKUP($A238,FIJOS!$B$11:$L$646,11,FALSE))</f>
        <v>0</v>
      </c>
      <c r="DN238" s="148" t="e">
        <f>IF(OR($C238=1,$C238=3),0,IF((VLOOKUP(CAPTURA!D238,HORAS!$B$4:$K$42,10,FALSE)/4)*COUNTIF($H238:$CT238,3)&gt;100,100,(VLOOKUP(CAPTURA!D238,HORAS!$B$4:$K$42,10,FALSE)/4)*COUNTIF($H238:$CT238,3)))</f>
        <v>#N/A</v>
      </c>
      <c r="DO238" s="144" t="e">
        <f>IF(OR($C238=1,$C238=3),0,IF($C238=5,VLOOKUP(D238,HORAS!$B$4:$G$42,6,FALSE),IF(AND($C238=4,$CV238&gt;=(42/24)),VLOOKUP(D238,HORAS!$B$4:$G$42,6,FALSE),IF(COUNTIF($H238:$CL238,"F")&gt;0,0,IF(CV238&gt;$DJ$1,$DJ$1*(VLOOKUP(D238,HORAS!$B$4:$G$42,6,FALSE)/$DJ$1),CV238*(VLOOKUP(D238,HORAS!$B$4:$G$42,6,FALSE)/$DJ$1))))))</f>
        <v>#N/A</v>
      </c>
      <c r="DP238" s="156"/>
      <c r="DQ238" s="89"/>
      <c r="DR238" s="148"/>
      <c r="DS238" s="83" t="e">
        <f t="shared" si="130"/>
        <v>#N/A</v>
      </c>
      <c r="DT238" s="84"/>
      <c r="DU238" s="149" t="e">
        <f t="shared" si="131"/>
        <v>#N/A</v>
      </c>
      <c r="DV238" s="149" t="e">
        <f t="shared" si="132"/>
        <v>#N/A</v>
      </c>
      <c r="DW238" s="144" t="e">
        <f t="shared" si="133"/>
        <v>#N/A</v>
      </c>
      <c r="DX238" s="134"/>
      <c r="DY238" s="29"/>
      <c r="DZ238" s="150"/>
      <c r="EA238" s="134"/>
      <c r="EB238" s="137">
        <f t="shared" si="134"/>
        <v>0</v>
      </c>
      <c r="EC238" s="138">
        <f t="shared" si="128"/>
        <v>0</v>
      </c>
      <c r="ED238" s="137">
        <f t="shared" si="135"/>
        <v>0</v>
      </c>
      <c r="EE238" s="132">
        <f t="shared" si="129"/>
        <v>0</v>
      </c>
      <c r="EF238" s="29"/>
      <c r="EG238" s="134"/>
      <c r="EH238" s="134"/>
      <c r="EI238" s="134"/>
      <c r="EK238" s="29"/>
    </row>
    <row r="239" spans="1:141" ht="15" customHeight="1" x14ac:dyDescent="0.25">
      <c r="A239" s="140"/>
      <c r="B239" s="151"/>
      <c r="C239" s="72"/>
      <c r="D239" s="73"/>
      <c r="E239" s="73"/>
      <c r="F239" s="141"/>
      <c r="G239" s="74"/>
      <c r="H239" s="75"/>
      <c r="I239" s="76"/>
      <c r="J239" s="135"/>
      <c r="K239" s="135"/>
      <c r="L239" s="77">
        <f t="shared" si="106"/>
        <v>0</v>
      </c>
      <c r="M239" s="78"/>
      <c r="N239" s="142"/>
      <c r="O239" s="142"/>
      <c r="P239" s="77">
        <f t="shared" si="107"/>
        <v>0</v>
      </c>
      <c r="Q239" s="78"/>
      <c r="R239" s="143"/>
      <c r="S239" s="143"/>
      <c r="T239" s="77">
        <f t="shared" si="108"/>
        <v>0</v>
      </c>
      <c r="U239" s="75"/>
      <c r="V239" s="76"/>
      <c r="W239" s="135"/>
      <c r="X239" s="135"/>
      <c r="Y239" s="77">
        <f t="shared" si="109"/>
        <v>0</v>
      </c>
      <c r="Z239" s="78"/>
      <c r="AA239" s="142"/>
      <c r="AB239" s="142"/>
      <c r="AC239" s="77">
        <f t="shared" si="110"/>
        <v>0</v>
      </c>
      <c r="AD239" s="78"/>
      <c r="AE239" s="143"/>
      <c r="AF239" s="143"/>
      <c r="AG239" s="79">
        <f t="shared" si="111"/>
        <v>0</v>
      </c>
      <c r="AH239" s="75"/>
      <c r="AI239" s="76"/>
      <c r="AJ239" s="135"/>
      <c r="AK239" s="135"/>
      <c r="AL239" s="77">
        <f t="shared" si="112"/>
        <v>0</v>
      </c>
      <c r="AM239" s="76"/>
      <c r="AN239" s="142"/>
      <c r="AO239" s="142"/>
      <c r="AP239" s="77">
        <f t="shared" si="113"/>
        <v>0</v>
      </c>
      <c r="AQ239" s="78"/>
      <c r="AR239" s="142"/>
      <c r="AS239" s="142"/>
      <c r="AT239" s="79">
        <f t="shared" si="114"/>
        <v>0</v>
      </c>
      <c r="AU239" s="75"/>
      <c r="AV239" s="76"/>
      <c r="AW239" s="135"/>
      <c r="AX239" s="135"/>
      <c r="AY239" s="77">
        <f t="shared" si="115"/>
        <v>0</v>
      </c>
      <c r="AZ239" s="76"/>
      <c r="BA239" s="142"/>
      <c r="BB239" s="142"/>
      <c r="BC239" s="77">
        <f t="shared" si="116"/>
        <v>0</v>
      </c>
      <c r="BD239" s="78"/>
      <c r="BE239" s="142"/>
      <c r="BF239" s="142"/>
      <c r="BG239" s="79">
        <f t="shared" si="117"/>
        <v>0</v>
      </c>
      <c r="BH239" s="75"/>
      <c r="BI239" s="76"/>
      <c r="BJ239" s="135"/>
      <c r="BK239" s="135"/>
      <c r="BL239" s="77">
        <f t="shared" si="118"/>
        <v>0</v>
      </c>
      <c r="BM239" s="78"/>
      <c r="BN239" s="142"/>
      <c r="BO239" s="142"/>
      <c r="BP239" s="77">
        <f t="shared" si="119"/>
        <v>0</v>
      </c>
      <c r="BQ239" s="78"/>
      <c r="BR239" s="142"/>
      <c r="BS239" s="142"/>
      <c r="BT239" s="79">
        <f t="shared" si="120"/>
        <v>0</v>
      </c>
      <c r="BU239" s="75"/>
      <c r="BV239" s="76"/>
      <c r="BW239" s="135"/>
      <c r="BX239" s="135"/>
      <c r="BY239" s="77">
        <f t="shared" si="121"/>
        <v>0</v>
      </c>
      <c r="BZ239" s="78"/>
      <c r="CA239" s="142"/>
      <c r="CB239" s="142"/>
      <c r="CC239" s="77">
        <f t="shared" si="122"/>
        <v>0</v>
      </c>
      <c r="CD239" s="78"/>
      <c r="CE239" s="142"/>
      <c r="CF239" s="142"/>
      <c r="CG239" s="79">
        <f t="shared" si="123"/>
        <v>0</v>
      </c>
      <c r="CH239" s="75"/>
      <c r="CI239" s="76"/>
      <c r="CJ239" s="135"/>
      <c r="CK239" s="135"/>
      <c r="CL239" s="77">
        <f t="shared" si="124"/>
        <v>0</v>
      </c>
      <c r="CM239" s="78"/>
      <c r="CN239" s="142"/>
      <c r="CO239" s="142"/>
      <c r="CP239" s="77">
        <f t="shared" si="125"/>
        <v>0</v>
      </c>
      <c r="CQ239" s="78"/>
      <c r="CR239" s="142"/>
      <c r="CS239" s="142"/>
      <c r="CT239" s="79">
        <f t="shared" si="126"/>
        <v>0</v>
      </c>
      <c r="CU239" s="80">
        <f t="shared" si="136"/>
        <v>0</v>
      </c>
      <c r="CV239" s="81">
        <f t="shared" si="137"/>
        <v>0</v>
      </c>
      <c r="CW239" s="144"/>
      <c r="CX239" s="145">
        <f>IF(ISERROR(VLOOKUP($A239,FIJOS!$B$11:$O$590,14,FALSE)),0,VLOOKUP($A239,FIJOS!$B$11:$O$590,14,FALSE))</f>
        <v>0</v>
      </c>
      <c r="CY239" s="145">
        <f>IF(ISERROR(VLOOKUP(A239,FIJOS!$B$10:$P$590,15,FALSE)),0,VLOOKUP(A239,FIJOS!$B$10:$P$590,15,FALSE))</f>
        <v>0</v>
      </c>
      <c r="CZ239" s="156"/>
      <c r="DA239" s="146"/>
      <c r="DB239" s="147"/>
      <c r="DC239" s="147"/>
      <c r="DD239" s="147"/>
      <c r="DE239" s="147"/>
      <c r="DF239" s="145">
        <f>IF(ISERROR(VLOOKUP($A239,FIJOS!$B$11:$N$590,13,FALSE)),0,VLOOKUP($A239,FIJOS!$B$11:$N$590,13,FALSE))</f>
        <v>0</v>
      </c>
      <c r="DG239" s="145">
        <f>IF(ISERROR(VLOOKUP($A239,FIJOS!$B$11:$P$447,12,FALSE)),0,VLOOKUP($A239,FIJOS!$B$11:$P$447,12,FALSE))</f>
        <v>0</v>
      </c>
      <c r="DH239" s="82">
        <f t="shared" si="127"/>
        <v>0</v>
      </c>
      <c r="DI239" s="83" t="b">
        <f>IF($C239=1,(VLOOKUP($A239,FIJOS!$B$11:$P$545,10,FALSE)/7)*(7-$CU239),IF(AND($C239=2,CV239&lt;$DJ$1),(VLOOKUP($D239,HORAS!$B$4:$C$42,2,FALSE)*24)*$CV239,IF(AND($C239=2,CV239&gt;=$DJ$1),VLOOKUP($D239,HORAS!$B$4:$D$42,3,FALSE),IF(AND($C239=3,$CV239&gt;=$DJ$1),VLOOKUP($A239,FIJOS!$B$11:$P$545,10,FALSE),IF(AND($C239=3,$CV239&lt;$DJ$1),((VLOOKUP($A239,FIJOS!$B$11:$P$545,10,FALSE)/48)*24)*$CV239,IF(AND($C239=4,$CV239&gt;=(42/24)),VLOOKUP($D239,HORAS!$B$4:$D$42,3,FALSE),IF(AND($C239=5,$CV239&gt;=(36/24)),VLOOKUP($D239,HORAS!$B$4:$D$42,3,FALSE))))))))</f>
        <v>0</v>
      </c>
      <c r="DJ239" s="145">
        <f>IF(OR($C239=2),VLOOKUP($D239,HORAS!$B$4:$E$42,4,FALSE)*$EC239,IF(ISERROR(VLOOKUP($A239,FIJOS!$B$11:$P$108,9,FALSE)),0,VLOOKUP($A239,FIJOS!$B$11:$P$231,9,FALSE)*$EC239))</f>
        <v>0</v>
      </c>
      <c r="DK239" s="145">
        <f>IF(OR($C239=2),VLOOKUP($D239,HORAS!$B$4:$F$42,5,FALSE)*$EE239,IF(ISERROR(VLOOKUP($A239,FIJOS!$B$11:$P$108,9,FALSE)),0,VLOOKUP($A239,FIJOS!$B$11:$P$231,9,FALSE)*$EE239))</f>
        <v>0</v>
      </c>
      <c r="DL239" s="144"/>
      <c r="DM239" s="145">
        <f>IF(ISERROR(VLOOKUP($A239,FIJOS!$B$11:$L$646,11,FALSE)),0,VLOOKUP($A239,FIJOS!$B$11:$L$646,11,FALSE))</f>
        <v>0</v>
      </c>
      <c r="DN239" s="148" t="e">
        <f>IF(OR($C239=1,$C239=3),0,IF((VLOOKUP(CAPTURA!D239,HORAS!$B$4:$K$42,10,FALSE)/4)*COUNTIF($H239:$CT239,3)&gt;100,100,(VLOOKUP(CAPTURA!D239,HORAS!$B$4:$K$42,10,FALSE)/4)*COUNTIF($H239:$CT239,3)))</f>
        <v>#N/A</v>
      </c>
      <c r="DO239" s="144" t="e">
        <f>IF(OR($C239=1,$C239=3),0,IF($C239=5,VLOOKUP(D239,HORAS!$B$4:$G$42,6,FALSE),IF(AND($C239=4,$CV239&gt;=(42/24)),VLOOKUP(D239,HORAS!$B$4:$G$42,6,FALSE),IF(COUNTIF($H239:$CL239,"F")&gt;0,0,IF(CV239&gt;$DJ$1,$DJ$1*(VLOOKUP(D239,HORAS!$B$4:$G$42,6,FALSE)/$DJ$1),CV239*(VLOOKUP(D239,HORAS!$B$4:$G$42,6,FALSE)/$DJ$1))))))</f>
        <v>#N/A</v>
      </c>
      <c r="DP239" s="156"/>
      <c r="DQ239" s="89"/>
      <c r="DR239" s="148"/>
      <c r="DS239" s="83" t="e">
        <f t="shared" si="130"/>
        <v>#N/A</v>
      </c>
      <c r="DT239" s="84"/>
      <c r="DU239" s="149" t="e">
        <f t="shared" si="131"/>
        <v>#N/A</v>
      </c>
      <c r="DV239" s="149" t="e">
        <f t="shared" si="132"/>
        <v>#N/A</v>
      </c>
      <c r="DW239" s="144" t="e">
        <f t="shared" si="133"/>
        <v>#N/A</v>
      </c>
      <c r="DX239" s="134"/>
      <c r="DY239" s="29"/>
      <c r="DZ239" s="150"/>
      <c r="EA239" s="134"/>
      <c r="EB239" s="137">
        <f t="shared" si="134"/>
        <v>0</v>
      </c>
      <c r="EC239" s="138">
        <f t="shared" si="128"/>
        <v>0</v>
      </c>
      <c r="ED239" s="137">
        <f t="shared" si="135"/>
        <v>0</v>
      </c>
      <c r="EE239" s="132">
        <f t="shared" si="129"/>
        <v>0</v>
      </c>
      <c r="EF239" s="29"/>
      <c r="EG239" s="134"/>
      <c r="EH239" s="134"/>
      <c r="EI239" s="134"/>
      <c r="EK239" s="29"/>
    </row>
    <row r="240" spans="1:141" ht="15" customHeight="1" x14ac:dyDescent="0.25">
      <c r="A240" s="140"/>
      <c r="B240" s="5"/>
      <c r="C240" s="72"/>
      <c r="D240" s="73"/>
      <c r="E240" s="73"/>
      <c r="F240" s="141"/>
      <c r="G240" s="74"/>
      <c r="H240" s="75"/>
      <c r="I240" s="76"/>
      <c r="J240" s="135"/>
      <c r="K240" s="135"/>
      <c r="L240" s="77">
        <f t="shared" si="106"/>
        <v>0</v>
      </c>
      <c r="M240" s="78"/>
      <c r="N240" s="142"/>
      <c r="O240" s="142"/>
      <c r="P240" s="77">
        <f t="shared" si="107"/>
        <v>0</v>
      </c>
      <c r="Q240" s="78"/>
      <c r="R240" s="143"/>
      <c r="S240" s="143"/>
      <c r="T240" s="77">
        <f t="shared" si="108"/>
        <v>0</v>
      </c>
      <c r="U240" s="75"/>
      <c r="V240" s="76"/>
      <c r="W240" s="135"/>
      <c r="X240" s="135"/>
      <c r="Y240" s="77">
        <f t="shared" si="109"/>
        <v>0</v>
      </c>
      <c r="Z240" s="78"/>
      <c r="AA240" s="142"/>
      <c r="AB240" s="142"/>
      <c r="AC240" s="77">
        <f t="shared" si="110"/>
        <v>0</v>
      </c>
      <c r="AD240" s="78"/>
      <c r="AE240" s="143"/>
      <c r="AF240" s="143"/>
      <c r="AG240" s="79">
        <f t="shared" si="111"/>
        <v>0</v>
      </c>
      <c r="AH240" s="75"/>
      <c r="AI240" s="76"/>
      <c r="AJ240" s="135"/>
      <c r="AK240" s="135"/>
      <c r="AL240" s="77">
        <f t="shared" si="112"/>
        <v>0</v>
      </c>
      <c r="AM240" s="76"/>
      <c r="AN240" s="142"/>
      <c r="AO240" s="142"/>
      <c r="AP240" s="77">
        <f t="shared" si="113"/>
        <v>0</v>
      </c>
      <c r="AQ240" s="78"/>
      <c r="AR240" s="142"/>
      <c r="AS240" s="142"/>
      <c r="AT240" s="79">
        <f t="shared" si="114"/>
        <v>0</v>
      </c>
      <c r="AU240" s="75"/>
      <c r="AV240" s="76"/>
      <c r="AW240" s="135"/>
      <c r="AX240" s="135"/>
      <c r="AY240" s="77">
        <f t="shared" si="115"/>
        <v>0</v>
      </c>
      <c r="AZ240" s="76"/>
      <c r="BA240" s="142"/>
      <c r="BB240" s="142"/>
      <c r="BC240" s="77">
        <f t="shared" si="116"/>
        <v>0</v>
      </c>
      <c r="BD240" s="78"/>
      <c r="BE240" s="142"/>
      <c r="BF240" s="142"/>
      <c r="BG240" s="79">
        <f t="shared" si="117"/>
        <v>0</v>
      </c>
      <c r="BH240" s="75"/>
      <c r="BI240" s="76"/>
      <c r="BJ240" s="135"/>
      <c r="BK240" s="135"/>
      <c r="BL240" s="77">
        <f t="shared" si="118"/>
        <v>0</v>
      </c>
      <c r="BM240" s="78"/>
      <c r="BN240" s="142"/>
      <c r="BO240" s="142"/>
      <c r="BP240" s="77">
        <f t="shared" si="119"/>
        <v>0</v>
      </c>
      <c r="BQ240" s="78"/>
      <c r="BR240" s="142"/>
      <c r="BS240" s="142"/>
      <c r="BT240" s="79">
        <f t="shared" si="120"/>
        <v>0</v>
      </c>
      <c r="BU240" s="75"/>
      <c r="BV240" s="76"/>
      <c r="BW240" s="135"/>
      <c r="BX240" s="135"/>
      <c r="BY240" s="77">
        <f t="shared" si="121"/>
        <v>0</v>
      </c>
      <c r="BZ240" s="78"/>
      <c r="CA240" s="142"/>
      <c r="CB240" s="142"/>
      <c r="CC240" s="77">
        <f t="shared" si="122"/>
        <v>0</v>
      </c>
      <c r="CD240" s="78"/>
      <c r="CE240" s="142"/>
      <c r="CF240" s="142"/>
      <c r="CG240" s="79">
        <f t="shared" si="123"/>
        <v>0</v>
      </c>
      <c r="CH240" s="75"/>
      <c r="CI240" s="76"/>
      <c r="CJ240" s="135"/>
      <c r="CK240" s="135"/>
      <c r="CL240" s="77">
        <f t="shared" si="124"/>
        <v>0</v>
      </c>
      <c r="CM240" s="78"/>
      <c r="CN240" s="142"/>
      <c r="CO240" s="142"/>
      <c r="CP240" s="77">
        <f t="shared" si="125"/>
        <v>0</v>
      </c>
      <c r="CQ240" s="78"/>
      <c r="CR240" s="142"/>
      <c r="CS240" s="142"/>
      <c r="CT240" s="79">
        <f t="shared" si="126"/>
        <v>0</v>
      </c>
      <c r="CU240" s="80">
        <f t="shared" si="136"/>
        <v>0</v>
      </c>
      <c r="CV240" s="81">
        <f t="shared" si="137"/>
        <v>0</v>
      </c>
      <c r="CW240" s="144"/>
      <c r="CX240" s="145">
        <f>IF(ISERROR(VLOOKUP($A240,FIJOS!$B$11:$O$590,14,FALSE)),0,VLOOKUP($A240,FIJOS!$B$11:$O$590,14,FALSE))</f>
        <v>0</v>
      </c>
      <c r="CY240" s="145">
        <f>IF(ISERROR(VLOOKUP(A240,FIJOS!$B$10:$P$590,15,FALSE)),0,VLOOKUP(A240,FIJOS!$B$10:$P$590,15,FALSE))</f>
        <v>0</v>
      </c>
      <c r="CZ240" s="156"/>
      <c r="DA240" s="146"/>
      <c r="DB240" s="147"/>
      <c r="DC240" s="147"/>
      <c r="DD240" s="147"/>
      <c r="DE240" s="147"/>
      <c r="DF240" s="145">
        <f>IF(ISERROR(VLOOKUP($A240,FIJOS!$B$11:$N$590,13,FALSE)),0,VLOOKUP($A240,FIJOS!$B$11:$N$590,13,FALSE))</f>
        <v>0</v>
      </c>
      <c r="DG240" s="145">
        <f>IF(ISERROR(VLOOKUP($A240,FIJOS!$B$11:$P$447,12,FALSE)),0,VLOOKUP($A240,FIJOS!$B$11:$P$447,12,FALSE))</f>
        <v>0</v>
      </c>
      <c r="DH240" s="82">
        <f t="shared" si="127"/>
        <v>0</v>
      </c>
      <c r="DI240" s="83" t="b">
        <f>IF($C240=1,(VLOOKUP($A240,FIJOS!$B$11:$P$545,10,FALSE)/7)*(7-$CU240),IF(AND($C240=2,CV240&lt;$DJ$1),(VLOOKUP($D240,HORAS!$B$4:$C$42,2,FALSE)*24)*$CV240,IF(AND($C240=2,CV240&gt;=$DJ$1),VLOOKUP($D240,HORAS!$B$4:$D$42,3,FALSE),IF(AND($C240=3,$CV240&gt;=$DJ$1),VLOOKUP($A240,FIJOS!$B$11:$P$545,10,FALSE),IF(AND($C240=3,$CV240&lt;$DJ$1),((VLOOKUP($A240,FIJOS!$B$11:$P$545,10,FALSE)/48)*24)*$CV240,IF(AND($C240=4,$CV240&gt;=(42/24)),VLOOKUP($D240,HORAS!$B$4:$D$42,3,FALSE),IF(AND($C240=5,$CV240&gt;=(36/24)),VLOOKUP($D240,HORAS!$B$4:$D$42,3,FALSE))))))))</f>
        <v>0</v>
      </c>
      <c r="DJ240" s="145">
        <f>IF(OR($C240=2),VLOOKUP($D240,HORAS!$B$4:$E$42,4,FALSE)*$EC240,IF(ISERROR(VLOOKUP($A240,FIJOS!$B$11:$P$108,9,FALSE)),0,VLOOKUP($A240,FIJOS!$B$11:$P$231,9,FALSE)*$EC240))</f>
        <v>0</v>
      </c>
      <c r="DK240" s="145">
        <f>IF(OR($C240=2),VLOOKUP($D240,HORAS!$B$4:$F$42,5,FALSE)*$EE240,IF(ISERROR(VLOOKUP($A240,FIJOS!$B$11:$P$108,9,FALSE)),0,VLOOKUP($A240,FIJOS!$B$11:$P$231,9,FALSE)*$EE240))</f>
        <v>0</v>
      </c>
      <c r="DL240" s="144"/>
      <c r="DM240" s="145">
        <f>IF(ISERROR(VLOOKUP($A240,FIJOS!$B$11:$L$646,11,FALSE)),0,VLOOKUP($A240,FIJOS!$B$11:$L$646,11,FALSE))</f>
        <v>0</v>
      </c>
      <c r="DN240" s="148" t="e">
        <f>IF(OR($C240=1,$C240=3),0,IF((VLOOKUP(CAPTURA!D240,HORAS!$B$4:$K$42,10,FALSE)/4)*COUNTIF($H240:$CT240,3)&gt;100,100,(VLOOKUP(CAPTURA!D240,HORAS!$B$4:$K$42,10,FALSE)/4)*COUNTIF($H240:$CT240,3)))</f>
        <v>#N/A</v>
      </c>
      <c r="DO240" s="144" t="e">
        <f>IF(OR($C240=1,$C240=3),0,IF($C240=5,VLOOKUP(D240,HORAS!$B$4:$G$42,6,FALSE),IF(AND($C240=4,$CV240&gt;=(42/24)),VLOOKUP(D240,HORAS!$B$4:$G$42,6,FALSE),IF(COUNTIF($H240:$CL240,"F")&gt;0,0,IF(CV240&gt;$DJ$1,$DJ$1*(VLOOKUP(D240,HORAS!$B$4:$G$42,6,FALSE)/$DJ$1),CV240*(VLOOKUP(D240,HORAS!$B$4:$G$42,6,FALSE)/$DJ$1))))))</f>
        <v>#N/A</v>
      </c>
      <c r="DP240" s="156"/>
      <c r="DQ240" s="89"/>
      <c r="DR240" s="148"/>
      <c r="DS240" s="83" t="e">
        <f t="shared" si="130"/>
        <v>#N/A</v>
      </c>
      <c r="DT240" s="84"/>
      <c r="DU240" s="149" t="e">
        <f t="shared" si="131"/>
        <v>#N/A</v>
      </c>
      <c r="DV240" s="149" t="e">
        <f t="shared" si="132"/>
        <v>#N/A</v>
      </c>
      <c r="DW240" s="144" t="e">
        <f t="shared" si="133"/>
        <v>#N/A</v>
      </c>
      <c r="DX240" s="134"/>
      <c r="DY240" s="29"/>
      <c r="DZ240" s="150"/>
      <c r="EA240" s="134"/>
      <c r="EB240" s="137">
        <f t="shared" si="134"/>
        <v>0</v>
      </c>
      <c r="EC240" s="138">
        <f t="shared" si="128"/>
        <v>0</v>
      </c>
      <c r="ED240" s="137">
        <f t="shared" si="135"/>
        <v>0</v>
      </c>
      <c r="EE240" s="132">
        <f t="shared" si="129"/>
        <v>0</v>
      </c>
      <c r="EF240" s="29"/>
      <c r="EG240" s="134"/>
      <c r="EH240" s="134"/>
      <c r="EI240" s="134"/>
      <c r="EK240" s="29"/>
    </row>
    <row r="241" spans="1:141" ht="15" customHeight="1" x14ac:dyDescent="0.25">
      <c r="A241" s="140"/>
      <c r="B241" s="151"/>
      <c r="C241" s="72"/>
      <c r="D241" s="73"/>
      <c r="E241" s="73"/>
      <c r="F241" s="141"/>
      <c r="G241" s="74"/>
      <c r="H241" s="75"/>
      <c r="I241" s="76"/>
      <c r="J241" s="135"/>
      <c r="K241" s="135"/>
      <c r="L241" s="77">
        <f t="shared" si="106"/>
        <v>0</v>
      </c>
      <c r="M241" s="78"/>
      <c r="N241" s="142"/>
      <c r="O241" s="142"/>
      <c r="P241" s="77">
        <f t="shared" si="107"/>
        <v>0</v>
      </c>
      <c r="Q241" s="78"/>
      <c r="R241" s="143"/>
      <c r="S241" s="143"/>
      <c r="T241" s="77">
        <f t="shared" si="108"/>
        <v>0</v>
      </c>
      <c r="U241" s="75"/>
      <c r="V241" s="76"/>
      <c r="W241" s="135"/>
      <c r="X241" s="135"/>
      <c r="Y241" s="77">
        <f t="shared" si="109"/>
        <v>0</v>
      </c>
      <c r="Z241" s="78"/>
      <c r="AA241" s="142"/>
      <c r="AB241" s="142"/>
      <c r="AC241" s="77">
        <f t="shared" si="110"/>
        <v>0</v>
      </c>
      <c r="AD241" s="78"/>
      <c r="AE241" s="143"/>
      <c r="AF241" s="143"/>
      <c r="AG241" s="79">
        <f t="shared" si="111"/>
        <v>0</v>
      </c>
      <c r="AH241" s="75"/>
      <c r="AI241" s="76"/>
      <c r="AJ241" s="135"/>
      <c r="AK241" s="157"/>
      <c r="AL241" s="77">
        <f t="shared" si="112"/>
        <v>0</v>
      </c>
      <c r="AM241" s="76"/>
      <c r="AN241" s="142"/>
      <c r="AO241" s="142"/>
      <c r="AP241" s="77">
        <f t="shared" si="113"/>
        <v>0</v>
      </c>
      <c r="AQ241" s="78"/>
      <c r="AR241" s="142"/>
      <c r="AS241" s="142"/>
      <c r="AT241" s="79">
        <f t="shared" si="114"/>
        <v>0</v>
      </c>
      <c r="AU241" s="75"/>
      <c r="AV241" s="76"/>
      <c r="AW241" s="135"/>
      <c r="AX241" s="135"/>
      <c r="AY241" s="77">
        <f t="shared" si="115"/>
        <v>0</v>
      </c>
      <c r="AZ241" s="76"/>
      <c r="BA241" s="142"/>
      <c r="BB241" s="142"/>
      <c r="BC241" s="77">
        <f t="shared" si="116"/>
        <v>0</v>
      </c>
      <c r="BD241" s="78"/>
      <c r="BE241" s="142"/>
      <c r="BF241" s="142"/>
      <c r="BG241" s="79">
        <f t="shared" si="117"/>
        <v>0</v>
      </c>
      <c r="BH241" s="75"/>
      <c r="BI241" s="76"/>
      <c r="BJ241" s="135"/>
      <c r="BK241" s="135"/>
      <c r="BL241" s="77">
        <f t="shared" si="118"/>
        <v>0</v>
      </c>
      <c r="BM241" s="78"/>
      <c r="BN241" s="142"/>
      <c r="BO241" s="142"/>
      <c r="BP241" s="77">
        <f t="shared" si="119"/>
        <v>0</v>
      </c>
      <c r="BQ241" s="78"/>
      <c r="BR241" s="142"/>
      <c r="BS241" s="142"/>
      <c r="BT241" s="79">
        <f t="shared" si="120"/>
        <v>0</v>
      </c>
      <c r="BU241" s="75"/>
      <c r="BV241" s="76"/>
      <c r="BW241" s="135"/>
      <c r="BX241" s="157"/>
      <c r="BY241" s="77">
        <f t="shared" si="121"/>
        <v>0</v>
      </c>
      <c r="BZ241" s="78"/>
      <c r="CA241" s="142"/>
      <c r="CB241" s="142"/>
      <c r="CC241" s="77">
        <f t="shared" si="122"/>
        <v>0</v>
      </c>
      <c r="CD241" s="78"/>
      <c r="CE241" s="142"/>
      <c r="CF241" s="142"/>
      <c r="CG241" s="79">
        <f t="shared" si="123"/>
        <v>0</v>
      </c>
      <c r="CH241" s="75"/>
      <c r="CI241" s="76"/>
      <c r="CJ241" s="135"/>
      <c r="CK241" s="135"/>
      <c r="CL241" s="77">
        <f t="shared" si="124"/>
        <v>0</v>
      </c>
      <c r="CM241" s="78"/>
      <c r="CN241" s="142"/>
      <c r="CO241" s="142"/>
      <c r="CP241" s="77">
        <f t="shared" si="125"/>
        <v>0</v>
      </c>
      <c r="CQ241" s="78"/>
      <c r="CR241" s="142"/>
      <c r="CS241" s="142"/>
      <c r="CT241" s="79">
        <f t="shared" si="126"/>
        <v>0</v>
      </c>
      <c r="CU241" s="80">
        <f t="shared" si="136"/>
        <v>0</v>
      </c>
      <c r="CV241" s="81">
        <f t="shared" si="137"/>
        <v>0</v>
      </c>
      <c r="CW241" s="144"/>
      <c r="CX241" s="145">
        <f>IF(ISERROR(VLOOKUP($A241,FIJOS!$B$11:$O$590,14,FALSE)),0,VLOOKUP($A241,FIJOS!$B$11:$O$590,14,FALSE))</f>
        <v>0</v>
      </c>
      <c r="CY241" s="145">
        <f>IF(ISERROR(VLOOKUP(A241,FIJOS!$B$10:$P$590,15,FALSE)),0,VLOOKUP(A241,FIJOS!$B$10:$P$590,15,FALSE))</f>
        <v>0</v>
      </c>
      <c r="CZ241" s="156"/>
      <c r="DA241" s="146"/>
      <c r="DB241" s="147"/>
      <c r="DC241" s="147"/>
      <c r="DD241" s="147"/>
      <c r="DE241" s="147"/>
      <c r="DF241" s="145">
        <f>IF(ISERROR(VLOOKUP($A241,FIJOS!$B$11:$N$590,13,FALSE)),0,VLOOKUP($A241,FIJOS!$B$11:$N$590,13,FALSE))</f>
        <v>0</v>
      </c>
      <c r="DG241" s="145">
        <f>IF(ISERROR(VLOOKUP($A241,FIJOS!$B$11:$P$447,12,FALSE)),0,VLOOKUP($A241,FIJOS!$B$11:$P$447,12,FALSE))</f>
        <v>0</v>
      </c>
      <c r="DH241" s="82">
        <f t="shared" si="127"/>
        <v>0</v>
      </c>
      <c r="DI241" s="83" t="b">
        <f>IF($C241=1,(VLOOKUP($A241,FIJOS!$B$11:$P$545,10,FALSE)/7)*(7-$CU241),IF(AND($C241=2,CV241&lt;$DJ$1),(VLOOKUP($D241,HORAS!$B$4:$C$42,2,FALSE)*24)*$CV241,IF(AND($C241=2,CV241&gt;=$DJ$1),VLOOKUP($D241,HORAS!$B$4:$D$42,3,FALSE),IF(AND($C241=3,$CV241&gt;=$DJ$1),VLOOKUP($A241,FIJOS!$B$11:$P$545,10,FALSE),IF(AND($C241=3,$CV241&lt;$DJ$1),((VLOOKUP($A241,FIJOS!$B$11:$P$545,10,FALSE)/48)*24)*$CV241,IF(AND($C241=4,$CV241&gt;=(42/24)),VLOOKUP($D241,HORAS!$B$4:$D$42,3,FALSE),IF(AND($C241=5,$CV241&gt;=(36/24)),VLOOKUP($D241,HORAS!$B$4:$D$42,3,FALSE))))))))</f>
        <v>0</v>
      </c>
      <c r="DJ241" s="145">
        <f>IF(OR($C241=2),VLOOKUP($D241,HORAS!$B$4:$E$42,4,FALSE)*$EC241,IF(ISERROR(VLOOKUP($A241,FIJOS!$B$11:$P$108,9,FALSE)),0,VLOOKUP($A241,FIJOS!$B$11:$P$231,9,FALSE)*$EC241))</f>
        <v>0</v>
      </c>
      <c r="DK241" s="145">
        <f>IF(OR($C241=2),VLOOKUP($D241,HORAS!$B$4:$F$42,5,FALSE)*$EE241,IF(ISERROR(VLOOKUP($A241,FIJOS!$B$11:$P$108,9,FALSE)),0,VLOOKUP($A241,FIJOS!$B$11:$P$231,9,FALSE)*$EE241))</f>
        <v>0</v>
      </c>
      <c r="DL241" s="144"/>
      <c r="DM241" s="145">
        <f>IF(ISERROR(VLOOKUP($A241,FIJOS!$B$11:$L$646,11,FALSE)),0,VLOOKUP($A241,FIJOS!$B$11:$L$646,11,FALSE))</f>
        <v>0</v>
      </c>
      <c r="DN241" s="148" t="e">
        <f>IF(OR($C241=1,$C241=3),0,IF((VLOOKUP(CAPTURA!D241,HORAS!$B$4:$K$42,10,FALSE)/4)*COUNTIF($H241:$CT241,3)&gt;100,100,(VLOOKUP(CAPTURA!D241,HORAS!$B$4:$K$42,10,FALSE)/4)*COUNTIF($H241:$CT241,3)))</f>
        <v>#N/A</v>
      </c>
      <c r="DO241" s="144" t="e">
        <f>IF(OR($C241=1,$C241=3),0,IF($C241=5,VLOOKUP(D241,HORAS!$B$4:$G$42,6,FALSE),IF(AND($C241=4,$CV241&gt;=(42/24)),VLOOKUP(D241,HORAS!$B$4:$G$42,6,FALSE),IF(COUNTIF($H241:$CL241,"F")&gt;0,0,IF(CV241&gt;$DJ$1,$DJ$1*(VLOOKUP(D241,HORAS!$B$4:$G$42,6,FALSE)/$DJ$1),CV241*(VLOOKUP(D241,HORAS!$B$4:$G$42,6,FALSE)/$DJ$1))))))</f>
        <v>#N/A</v>
      </c>
      <c r="DP241" s="156"/>
      <c r="DQ241" s="148"/>
      <c r="DR241" s="148"/>
      <c r="DS241" s="83" t="e">
        <f t="shared" si="130"/>
        <v>#N/A</v>
      </c>
      <c r="DT241" s="84"/>
      <c r="DU241" s="149" t="e">
        <f t="shared" si="131"/>
        <v>#N/A</v>
      </c>
      <c r="DV241" s="149" t="e">
        <f t="shared" si="132"/>
        <v>#N/A</v>
      </c>
      <c r="DW241" s="144" t="e">
        <f t="shared" si="133"/>
        <v>#N/A</v>
      </c>
      <c r="DX241"/>
      <c r="DY241" s="29"/>
      <c r="DZ241" s="150"/>
      <c r="EA241" s="134"/>
      <c r="EB241" s="137">
        <f t="shared" si="134"/>
        <v>0</v>
      </c>
      <c r="EC241" s="138">
        <f t="shared" si="128"/>
        <v>0</v>
      </c>
      <c r="ED241" s="137">
        <f t="shared" si="135"/>
        <v>0</v>
      </c>
      <c r="EE241" s="132">
        <f t="shared" si="129"/>
        <v>0</v>
      </c>
      <c r="EF241" s="29"/>
      <c r="EG241" s="134"/>
      <c r="EH241" s="134"/>
      <c r="EI241" s="134"/>
      <c r="EK241" s="29"/>
    </row>
    <row r="242" spans="1:141" ht="15" customHeight="1" x14ac:dyDescent="0.25">
      <c r="A242" s="140"/>
      <c r="B242" s="5"/>
      <c r="C242" s="72"/>
      <c r="D242" s="73"/>
      <c r="E242" s="73"/>
      <c r="F242" s="141"/>
      <c r="G242" s="74"/>
      <c r="H242" s="75"/>
      <c r="I242" s="76"/>
      <c r="J242" s="135"/>
      <c r="K242" s="135"/>
      <c r="L242" s="77">
        <f t="shared" si="106"/>
        <v>0</v>
      </c>
      <c r="M242" s="78"/>
      <c r="N242" s="142"/>
      <c r="O242" s="142"/>
      <c r="P242" s="77">
        <f t="shared" si="107"/>
        <v>0</v>
      </c>
      <c r="Q242" s="78"/>
      <c r="R242" s="143"/>
      <c r="S242" s="143"/>
      <c r="T242" s="77">
        <f t="shared" si="108"/>
        <v>0</v>
      </c>
      <c r="U242" s="75"/>
      <c r="V242" s="76"/>
      <c r="W242" s="135"/>
      <c r="X242" s="135"/>
      <c r="Y242" s="77">
        <f t="shared" si="109"/>
        <v>0</v>
      </c>
      <c r="Z242" s="78"/>
      <c r="AA242" s="142"/>
      <c r="AB242" s="142"/>
      <c r="AC242" s="77">
        <f t="shared" si="110"/>
        <v>0</v>
      </c>
      <c r="AD242" s="78"/>
      <c r="AE242" s="143"/>
      <c r="AF242" s="143"/>
      <c r="AG242" s="79">
        <f t="shared" si="111"/>
        <v>0</v>
      </c>
      <c r="AH242" s="75"/>
      <c r="AI242" s="76"/>
      <c r="AJ242" s="135"/>
      <c r="AK242" s="135"/>
      <c r="AL242" s="77">
        <f t="shared" si="112"/>
        <v>0</v>
      </c>
      <c r="AM242" s="76"/>
      <c r="AN242" s="142"/>
      <c r="AO242" s="142"/>
      <c r="AP242" s="77">
        <f t="shared" si="113"/>
        <v>0</v>
      </c>
      <c r="AQ242" s="78"/>
      <c r="AR242" s="142"/>
      <c r="AS242" s="142"/>
      <c r="AT242" s="79">
        <f t="shared" si="114"/>
        <v>0</v>
      </c>
      <c r="AU242" s="75"/>
      <c r="AV242" s="76"/>
      <c r="AW242" s="135"/>
      <c r="AX242" s="135"/>
      <c r="AY242" s="77">
        <f t="shared" si="115"/>
        <v>0</v>
      </c>
      <c r="AZ242" s="76"/>
      <c r="BA242" s="142"/>
      <c r="BB242" s="142"/>
      <c r="BC242" s="77">
        <f t="shared" si="116"/>
        <v>0</v>
      </c>
      <c r="BD242" s="78"/>
      <c r="BE242" s="142"/>
      <c r="BF242" s="142"/>
      <c r="BG242" s="79">
        <f t="shared" si="117"/>
        <v>0</v>
      </c>
      <c r="BH242" s="75"/>
      <c r="BI242" s="76"/>
      <c r="BJ242" s="135"/>
      <c r="BK242" s="135"/>
      <c r="BL242" s="77">
        <f t="shared" si="118"/>
        <v>0</v>
      </c>
      <c r="BM242" s="78"/>
      <c r="BN242" s="142"/>
      <c r="BO242" s="142"/>
      <c r="BP242" s="77">
        <f t="shared" si="119"/>
        <v>0</v>
      </c>
      <c r="BQ242" s="78"/>
      <c r="BR242" s="142"/>
      <c r="BS242" s="142"/>
      <c r="BT242" s="79">
        <f t="shared" si="120"/>
        <v>0</v>
      </c>
      <c r="BU242" s="75"/>
      <c r="BV242" s="76"/>
      <c r="BW242" s="135"/>
      <c r="BX242" s="135"/>
      <c r="BY242" s="77">
        <f t="shared" si="121"/>
        <v>0</v>
      </c>
      <c r="BZ242" s="78"/>
      <c r="CA242" s="142"/>
      <c r="CB242" s="142"/>
      <c r="CC242" s="77">
        <f t="shared" si="122"/>
        <v>0</v>
      </c>
      <c r="CD242" s="78"/>
      <c r="CE242" s="142"/>
      <c r="CF242" s="142"/>
      <c r="CG242" s="79">
        <f t="shared" si="123"/>
        <v>0</v>
      </c>
      <c r="CH242" s="75"/>
      <c r="CI242" s="76"/>
      <c r="CJ242" s="135"/>
      <c r="CK242" s="135"/>
      <c r="CL242" s="77">
        <f t="shared" si="124"/>
        <v>0</v>
      </c>
      <c r="CM242" s="78"/>
      <c r="CN242" s="142"/>
      <c r="CO242" s="142"/>
      <c r="CP242" s="77">
        <f t="shared" si="125"/>
        <v>0</v>
      </c>
      <c r="CQ242" s="78"/>
      <c r="CR242" s="142"/>
      <c r="CS242" s="142"/>
      <c r="CT242" s="79">
        <f t="shared" si="126"/>
        <v>0</v>
      </c>
      <c r="CU242" s="80">
        <f t="shared" si="136"/>
        <v>0</v>
      </c>
      <c r="CV242" s="81">
        <f t="shared" si="137"/>
        <v>0</v>
      </c>
      <c r="CW242" s="144"/>
      <c r="CX242" s="145">
        <f>IF(ISERROR(VLOOKUP($A242,FIJOS!$B$11:$O$590,14,FALSE)),0,VLOOKUP($A242,FIJOS!$B$11:$O$590,14,FALSE))</f>
        <v>0</v>
      </c>
      <c r="CY242" s="145">
        <f>IF(ISERROR(VLOOKUP(A242,FIJOS!$B$10:$P$590,15,FALSE)),0,VLOOKUP(A242,FIJOS!$B$10:$P$590,15,FALSE))</f>
        <v>0</v>
      </c>
      <c r="CZ242" s="156"/>
      <c r="DA242" s="146"/>
      <c r="DB242" s="147"/>
      <c r="DC242" s="147"/>
      <c r="DD242" s="147"/>
      <c r="DE242" s="147"/>
      <c r="DF242" s="145">
        <f>IF(ISERROR(VLOOKUP($A242,FIJOS!$B$11:$N$590,13,FALSE)),0,VLOOKUP($A242,FIJOS!$B$11:$N$590,13,FALSE))</f>
        <v>0</v>
      </c>
      <c r="DG242" s="145">
        <f>IF(ISERROR(VLOOKUP($A242,FIJOS!$B$11:$P$447,12,FALSE)),0,VLOOKUP($A242,FIJOS!$B$11:$P$447,12,FALSE))</f>
        <v>0</v>
      </c>
      <c r="DH242" s="82">
        <f t="shared" si="127"/>
        <v>0</v>
      </c>
      <c r="DI242" s="83" t="b">
        <f>IF($C242=1,(VLOOKUP($A242,FIJOS!$B$11:$P$545,10,FALSE)/7)*(7-$CU242),IF(AND($C242=2,CV242&lt;$DJ$1),(VLOOKUP($D242,HORAS!$B$4:$C$42,2,FALSE)*24)*$CV242,IF(AND($C242=2,CV242&gt;=$DJ$1),VLOOKUP($D242,HORAS!$B$4:$D$42,3,FALSE),IF(AND($C242=3,$CV242&gt;=$DJ$1),VLOOKUP($A242,FIJOS!$B$11:$P$545,10,FALSE),IF(AND($C242=3,$CV242&lt;$DJ$1),((VLOOKUP($A242,FIJOS!$B$11:$P$545,10,FALSE)/48)*24)*$CV242,IF(AND($C242=4,$CV242&gt;=(42/24)),VLOOKUP($D242,HORAS!$B$4:$D$42,3,FALSE),IF(AND($C242=5,$CV242&gt;=(36/24)),VLOOKUP($D242,HORAS!$B$4:$D$42,3,FALSE))))))))</f>
        <v>0</v>
      </c>
      <c r="DJ242" s="145">
        <f>IF(OR($C242=2),VLOOKUP($D242,HORAS!$B$4:$E$42,4,FALSE)*$EC242,IF(ISERROR(VLOOKUP($A242,FIJOS!$B$11:$P$108,9,FALSE)),0,VLOOKUP($A242,FIJOS!$B$11:$P$231,9,FALSE)*$EC242))</f>
        <v>0</v>
      </c>
      <c r="DK242" s="145">
        <f>IF(OR($C242=2),VLOOKUP($D242,HORAS!$B$4:$F$42,5,FALSE)*$EE242,IF(ISERROR(VLOOKUP($A242,FIJOS!$B$11:$P$108,9,FALSE)),0,VLOOKUP($A242,FIJOS!$B$11:$P$231,9,FALSE)*$EE242))</f>
        <v>0</v>
      </c>
      <c r="DL242" s="144"/>
      <c r="DM242" s="145">
        <f>IF(ISERROR(VLOOKUP($A242,FIJOS!$B$11:$L$646,11,FALSE)),0,VLOOKUP($A242,FIJOS!$B$11:$L$646,11,FALSE))</f>
        <v>0</v>
      </c>
      <c r="DN242" s="148" t="e">
        <f>IF(OR($C242=1,$C242=3),0,IF((VLOOKUP(CAPTURA!D242,HORAS!$B$4:$K$42,10,FALSE)/4)*COUNTIF($H242:$CT242,3)&gt;100,100,(VLOOKUP(CAPTURA!D242,HORAS!$B$4:$K$42,10,FALSE)/4)*COUNTIF($H242:$CT242,3)))</f>
        <v>#N/A</v>
      </c>
      <c r="DO242" s="144" t="e">
        <f>IF(OR($C242=1,$C242=3),0,IF($C242=5,VLOOKUP(D242,HORAS!$B$4:$G$42,6,FALSE),IF(AND($C242=4,$CV242&gt;=(42/24)),VLOOKUP(D242,HORAS!$B$4:$G$42,6,FALSE),IF(COUNTIF($H242:$CL242,"F")&gt;0,0,IF(CV242&gt;$DJ$1,$DJ$1*(VLOOKUP(D242,HORAS!$B$4:$G$42,6,FALSE)/$DJ$1),CV242*(VLOOKUP(D242,HORAS!$B$4:$G$42,6,FALSE)/$DJ$1))))))</f>
        <v>#N/A</v>
      </c>
      <c r="DP242" s="156"/>
      <c r="DQ242" s="89"/>
      <c r="DR242" s="148"/>
      <c r="DS242" s="83" t="e">
        <f t="shared" si="130"/>
        <v>#N/A</v>
      </c>
      <c r="DT242" s="84"/>
      <c r="DU242" s="149" t="e">
        <f t="shared" si="131"/>
        <v>#N/A</v>
      </c>
      <c r="DV242" s="149" t="e">
        <f t="shared" si="132"/>
        <v>#N/A</v>
      </c>
      <c r="DW242" s="144" t="e">
        <f t="shared" si="133"/>
        <v>#N/A</v>
      </c>
      <c r="DX242" s="134"/>
      <c r="DY242" s="29"/>
      <c r="DZ242" s="150"/>
      <c r="EA242" s="137"/>
      <c r="EB242" s="137">
        <f t="shared" si="134"/>
        <v>0</v>
      </c>
      <c r="EC242" s="138">
        <f t="shared" si="128"/>
        <v>0</v>
      </c>
      <c r="ED242" s="137">
        <f t="shared" si="135"/>
        <v>0</v>
      </c>
      <c r="EE242" s="132">
        <f t="shared" si="129"/>
        <v>0</v>
      </c>
      <c r="EF242" s="29"/>
      <c r="EG242" s="134"/>
      <c r="EH242" s="134"/>
      <c r="EI242" s="134"/>
      <c r="EK242" s="29"/>
    </row>
    <row r="243" spans="1:141" ht="15" customHeight="1" x14ac:dyDescent="0.25">
      <c r="A243" s="140"/>
      <c r="B243" s="151"/>
      <c r="C243" s="72"/>
      <c r="D243" s="73"/>
      <c r="E243" s="73"/>
      <c r="F243" s="141"/>
      <c r="G243" s="74"/>
      <c r="H243" s="75"/>
      <c r="I243" s="76"/>
      <c r="J243" s="135"/>
      <c r="K243" s="135"/>
      <c r="L243" s="77">
        <f t="shared" si="106"/>
        <v>0</v>
      </c>
      <c r="M243" s="78"/>
      <c r="N243" s="142"/>
      <c r="O243" s="142"/>
      <c r="P243" s="77">
        <f t="shared" si="107"/>
        <v>0</v>
      </c>
      <c r="Q243" s="78"/>
      <c r="R243" s="143"/>
      <c r="S243" s="143"/>
      <c r="T243" s="77">
        <f t="shared" si="108"/>
        <v>0</v>
      </c>
      <c r="U243" s="75"/>
      <c r="V243" s="76"/>
      <c r="W243" s="86"/>
      <c r="X243" s="135"/>
      <c r="Y243" s="77">
        <f t="shared" si="109"/>
        <v>0</v>
      </c>
      <c r="Z243" s="78"/>
      <c r="AA243" s="142"/>
      <c r="AB243" s="142"/>
      <c r="AC243" s="77">
        <f t="shared" si="110"/>
        <v>0</v>
      </c>
      <c r="AD243" s="78"/>
      <c r="AE243" s="143"/>
      <c r="AF243" s="143"/>
      <c r="AG243" s="79">
        <f t="shared" si="111"/>
        <v>0</v>
      </c>
      <c r="AH243" s="75"/>
      <c r="AI243" s="76"/>
      <c r="AJ243" s="135"/>
      <c r="AK243" s="135"/>
      <c r="AL243" s="77">
        <f t="shared" si="112"/>
        <v>0</v>
      </c>
      <c r="AM243" s="76"/>
      <c r="AN243" s="142"/>
      <c r="AO243" s="142"/>
      <c r="AP243" s="77">
        <f t="shared" si="113"/>
        <v>0</v>
      </c>
      <c r="AQ243" s="78"/>
      <c r="AR243" s="142"/>
      <c r="AS243" s="142"/>
      <c r="AT243" s="79">
        <f t="shared" si="114"/>
        <v>0</v>
      </c>
      <c r="AU243" s="75"/>
      <c r="AV243" s="76"/>
      <c r="AW243" s="135"/>
      <c r="AX243" s="135"/>
      <c r="AY243" s="77">
        <f t="shared" si="115"/>
        <v>0</v>
      </c>
      <c r="AZ243" s="76"/>
      <c r="BA243" s="142"/>
      <c r="BB243" s="142"/>
      <c r="BC243" s="77">
        <f t="shared" si="116"/>
        <v>0</v>
      </c>
      <c r="BD243" s="78"/>
      <c r="BE243" s="142"/>
      <c r="BF243" s="142"/>
      <c r="BG243" s="79">
        <f t="shared" si="117"/>
        <v>0</v>
      </c>
      <c r="BH243" s="75"/>
      <c r="BI243" s="76"/>
      <c r="BJ243" s="135"/>
      <c r="BK243" s="135"/>
      <c r="BL243" s="77">
        <f t="shared" si="118"/>
        <v>0</v>
      </c>
      <c r="BM243" s="78"/>
      <c r="BN243" s="142"/>
      <c r="BO243" s="142"/>
      <c r="BP243" s="77">
        <f t="shared" si="119"/>
        <v>0</v>
      </c>
      <c r="BQ243" s="78"/>
      <c r="BR243" s="142"/>
      <c r="BS243" s="142"/>
      <c r="BT243" s="79">
        <f t="shared" si="120"/>
        <v>0</v>
      </c>
      <c r="BU243" s="75"/>
      <c r="BV243" s="76"/>
      <c r="BW243" s="135"/>
      <c r="BX243" s="135"/>
      <c r="BY243" s="77">
        <f t="shared" si="121"/>
        <v>0</v>
      </c>
      <c r="BZ243" s="78"/>
      <c r="CA243" s="142"/>
      <c r="CB243" s="142"/>
      <c r="CC243" s="77">
        <f t="shared" si="122"/>
        <v>0</v>
      </c>
      <c r="CD243" s="78"/>
      <c r="CE243" s="142"/>
      <c r="CF243" s="142"/>
      <c r="CG243" s="79">
        <f t="shared" si="123"/>
        <v>0</v>
      </c>
      <c r="CH243" s="75"/>
      <c r="CI243" s="76"/>
      <c r="CJ243" s="135"/>
      <c r="CK243" s="135"/>
      <c r="CL243" s="77">
        <f t="shared" si="124"/>
        <v>0</v>
      </c>
      <c r="CM243" s="78"/>
      <c r="CN243" s="142"/>
      <c r="CO243" s="142"/>
      <c r="CP243" s="77">
        <f t="shared" si="125"/>
        <v>0</v>
      </c>
      <c r="CQ243" s="78"/>
      <c r="CR243" s="142"/>
      <c r="CS243" s="142"/>
      <c r="CT243" s="79">
        <f t="shared" si="126"/>
        <v>0</v>
      </c>
      <c r="CU243" s="80">
        <f t="shared" si="136"/>
        <v>0</v>
      </c>
      <c r="CV243" s="81">
        <f t="shared" si="137"/>
        <v>0</v>
      </c>
      <c r="CW243" s="144"/>
      <c r="CX243" s="145">
        <f>IF(ISERROR(VLOOKUP($A243,FIJOS!$B$11:$O$590,14,FALSE)),0,VLOOKUP($A243,FIJOS!$B$11:$O$590,14,FALSE))</f>
        <v>0</v>
      </c>
      <c r="CY243" s="145">
        <f>IF(ISERROR(VLOOKUP(A243,FIJOS!$B$10:$P$590,15,FALSE)),0,VLOOKUP(A243,FIJOS!$B$10:$P$590,15,FALSE))</f>
        <v>0</v>
      </c>
      <c r="CZ243" s="156"/>
      <c r="DA243" s="146"/>
      <c r="DB243" s="147"/>
      <c r="DC243" s="147"/>
      <c r="DD243" s="147"/>
      <c r="DE243" s="147"/>
      <c r="DF243" s="145">
        <f>IF(ISERROR(VLOOKUP($A243,FIJOS!$B$11:$N$590,13,FALSE)),0,VLOOKUP($A243,FIJOS!$B$11:$N$590,13,FALSE))</f>
        <v>0</v>
      </c>
      <c r="DG243" s="145">
        <f>IF(ISERROR(VLOOKUP($A243,FIJOS!$B$11:$P$447,12,FALSE)),0,VLOOKUP($A243,FIJOS!$B$11:$P$447,12,FALSE))</f>
        <v>0</v>
      </c>
      <c r="DH243" s="82">
        <f t="shared" si="127"/>
        <v>0</v>
      </c>
      <c r="DI243" s="83" t="b">
        <f>IF($C243=1,(VLOOKUP($A243,FIJOS!$B$11:$P$545,10,FALSE)/7)*(7-$CU243),IF(AND($C243=2,CV243&lt;$DJ$1),(VLOOKUP($D243,HORAS!$B$4:$C$42,2,FALSE)*24)*$CV243,IF(AND($C243=2,CV243&gt;=$DJ$1),VLOOKUP($D243,HORAS!$B$4:$D$42,3,FALSE),IF(AND($C243=3,$CV243&gt;=$DJ$1),VLOOKUP($A243,FIJOS!$B$11:$P$545,10,FALSE),IF(AND($C243=3,$CV243&lt;$DJ$1),((VLOOKUP($A243,FIJOS!$B$11:$P$545,10,FALSE)/48)*24)*$CV243,IF(AND($C243=4,$CV243&gt;=(42/24)),VLOOKUP($D243,HORAS!$B$4:$D$42,3,FALSE),IF(AND($C243=5,$CV243&gt;=(36/24)),VLOOKUP($D243,HORAS!$B$4:$D$42,3,FALSE))))))))</f>
        <v>0</v>
      </c>
      <c r="DJ243" s="145">
        <f>IF(OR($C243=2),VLOOKUP($D243,HORAS!$B$4:$E$42,4,FALSE)*$EC243,IF(ISERROR(VLOOKUP($A243,FIJOS!$B$11:$P$108,9,FALSE)),0,VLOOKUP($A243,FIJOS!$B$11:$P$231,9,FALSE)*$EC243))</f>
        <v>0</v>
      </c>
      <c r="DK243" s="145">
        <f>IF(OR($C243=2),VLOOKUP($D243,HORAS!$B$4:$F$42,5,FALSE)*$EE243,IF(ISERROR(VLOOKUP($A243,FIJOS!$B$11:$P$108,9,FALSE)),0,VLOOKUP($A243,FIJOS!$B$11:$P$231,9,FALSE)*$EE243))</f>
        <v>0</v>
      </c>
      <c r="DL243" s="144"/>
      <c r="DM243" s="145">
        <f>IF(ISERROR(VLOOKUP($A243,FIJOS!$B$11:$L$646,11,FALSE)),0,VLOOKUP($A243,FIJOS!$B$11:$L$646,11,FALSE))</f>
        <v>0</v>
      </c>
      <c r="DN243" s="148" t="e">
        <f>IF(OR($C243=1,$C243=3),0,IF((VLOOKUP(CAPTURA!D243,HORAS!$B$4:$K$42,10,FALSE)/4)*COUNTIF($H243:$CT243,3)&gt;100,100,(VLOOKUP(CAPTURA!D243,HORAS!$B$4:$K$42,10,FALSE)/4)*COUNTIF($H243:$CT243,3)))</f>
        <v>#N/A</v>
      </c>
      <c r="DO243" s="144" t="e">
        <f>IF(OR($C243=1,$C243=3),0,IF($C243=5,VLOOKUP(D243,HORAS!$B$4:$G$42,6,FALSE),IF(AND($C243=4,$CV243&gt;=(42/24)),VLOOKUP(D243,HORAS!$B$4:$G$42,6,FALSE),IF(COUNTIF($H243:$CL243,"F")&gt;0,0,IF(CV243&gt;$DJ$1,$DJ$1*(VLOOKUP(D243,HORAS!$B$4:$G$42,6,FALSE)/$DJ$1),CV243*(VLOOKUP(D243,HORAS!$B$4:$G$42,6,FALSE)/$DJ$1))))))</f>
        <v>#N/A</v>
      </c>
      <c r="DP243" s="156"/>
      <c r="DQ243" s="148"/>
      <c r="DR243" s="148"/>
      <c r="DS243" s="83" t="e">
        <f t="shared" si="130"/>
        <v>#N/A</v>
      </c>
      <c r="DT243" s="84"/>
      <c r="DU243" s="149" t="e">
        <f t="shared" si="131"/>
        <v>#N/A</v>
      </c>
      <c r="DV243" s="149" t="e">
        <f t="shared" si="132"/>
        <v>#N/A</v>
      </c>
      <c r="DW243" s="144" t="e">
        <f t="shared" si="133"/>
        <v>#N/A</v>
      </c>
      <c r="DX243" s="134"/>
      <c r="DY243" s="29"/>
      <c r="DZ243" s="150"/>
      <c r="EA243" s="134"/>
      <c r="EB243" s="137">
        <f t="shared" si="134"/>
        <v>0</v>
      </c>
      <c r="EC243" s="138">
        <f t="shared" si="128"/>
        <v>0</v>
      </c>
      <c r="ED243" s="137">
        <f t="shared" si="135"/>
        <v>0</v>
      </c>
      <c r="EE243" s="132">
        <f t="shared" si="129"/>
        <v>0</v>
      </c>
      <c r="EF243" s="29"/>
      <c r="EG243" s="134"/>
      <c r="EH243" s="134"/>
      <c r="EI243" s="134"/>
      <c r="EK243" s="29"/>
    </row>
    <row r="244" spans="1:141" ht="15" customHeight="1" x14ac:dyDescent="0.25">
      <c r="A244" s="140"/>
      <c r="B244" s="151"/>
      <c r="C244" s="72"/>
      <c r="D244" s="73"/>
      <c r="E244" s="73"/>
      <c r="F244" s="141"/>
      <c r="G244" s="74"/>
      <c r="H244" s="75"/>
      <c r="I244" s="76"/>
      <c r="J244" s="135"/>
      <c r="K244" s="135"/>
      <c r="L244" s="77">
        <f t="shared" si="106"/>
        <v>0</v>
      </c>
      <c r="M244" s="78"/>
      <c r="N244" s="142"/>
      <c r="O244" s="142"/>
      <c r="P244" s="77">
        <f t="shared" si="107"/>
        <v>0</v>
      </c>
      <c r="Q244" s="78"/>
      <c r="R244" s="143"/>
      <c r="S244" s="143"/>
      <c r="T244" s="77">
        <f t="shared" si="108"/>
        <v>0</v>
      </c>
      <c r="U244" s="75"/>
      <c r="V244" s="76"/>
      <c r="W244" s="135"/>
      <c r="X244" s="135"/>
      <c r="Y244" s="77">
        <f t="shared" si="109"/>
        <v>0</v>
      </c>
      <c r="Z244" s="78"/>
      <c r="AA244" s="142"/>
      <c r="AB244" s="142"/>
      <c r="AC244" s="77">
        <f t="shared" si="110"/>
        <v>0</v>
      </c>
      <c r="AD244" s="78"/>
      <c r="AE244" s="143"/>
      <c r="AF244" s="143"/>
      <c r="AG244" s="79">
        <f t="shared" si="111"/>
        <v>0</v>
      </c>
      <c r="AH244" s="75"/>
      <c r="AI244" s="76"/>
      <c r="AJ244" s="135"/>
      <c r="AK244" s="135"/>
      <c r="AL244" s="77">
        <f t="shared" si="112"/>
        <v>0</v>
      </c>
      <c r="AM244" s="76"/>
      <c r="AN244" s="142"/>
      <c r="AO244" s="142"/>
      <c r="AP244" s="77">
        <f t="shared" si="113"/>
        <v>0</v>
      </c>
      <c r="AQ244" s="78"/>
      <c r="AR244" s="142"/>
      <c r="AS244" s="142"/>
      <c r="AT244" s="79">
        <f t="shared" si="114"/>
        <v>0</v>
      </c>
      <c r="AU244" s="75"/>
      <c r="AV244" s="76"/>
      <c r="AW244" s="135"/>
      <c r="AX244" s="135"/>
      <c r="AY244" s="77">
        <f t="shared" si="115"/>
        <v>0</v>
      </c>
      <c r="AZ244" s="76"/>
      <c r="BA244" s="142"/>
      <c r="BB244" s="142"/>
      <c r="BC244" s="77">
        <f t="shared" si="116"/>
        <v>0</v>
      </c>
      <c r="BD244" s="78"/>
      <c r="BE244" s="142"/>
      <c r="BF244" s="142"/>
      <c r="BG244" s="79">
        <f t="shared" si="117"/>
        <v>0</v>
      </c>
      <c r="BH244" s="75"/>
      <c r="BI244" s="76"/>
      <c r="BJ244" s="135"/>
      <c r="BK244" s="135"/>
      <c r="BL244" s="77">
        <f t="shared" si="118"/>
        <v>0</v>
      </c>
      <c r="BM244" s="78"/>
      <c r="BN244" s="142"/>
      <c r="BO244" s="142"/>
      <c r="BP244" s="77">
        <f t="shared" si="119"/>
        <v>0</v>
      </c>
      <c r="BQ244" s="78"/>
      <c r="BR244" s="142"/>
      <c r="BS244" s="142"/>
      <c r="BT244" s="79">
        <f t="shared" si="120"/>
        <v>0</v>
      </c>
      <c r="BU244" s="75"/>
      <c r="BV244" s="76"/>
      <c r="BW244" s="135"/>
      <c r="BX244" s="135"/>
      <c r="BY244" s="77">
        <f t="shared" si="121"/>
        <v>0</v>
      </c>
      <c r="BZ244" s="78"/>
      <c r="CA244" s="142"/>
      <c r="CB244" s="142"/>
      <c r="CC244" s="77">
        <f t="shared" si="122"/>
        <v>0</v>
      </c>
      <c r="CD244" s="78"/>
      <c r="CE244" s="142"/>
      <c r="CF244" s="142"/>
      <c r="CG244" s="79">
        <f t="shared" si="123"/>
        <v>0</v>
      </c>
      <c r="CH244" s="75"/>
      <c r="CI244" s="76"/>
      <c r="CJ244" s="135"/>
      <c r="CK244" s="135"/>
      <c r="CL244" s="77">
        <f t="shared" si="124"/>
        <v>0</v>
      </c>
      <c r="CM244" s="78"/>
      <c r="CN244" s="142"/>
      <c r="CO244" s="142"/>
      <c r="CP244" s="77">
        <f t="shared" si="125"/>
        <v>0</v>
      </c>
      <c r="CQ244" s="78"/>
      <c r="CR244" s="142"/>
      <c r="CS244" s="142"/>
      <c r="CT244" s="79">
        <f t="shared" si="126"/>
        <v>0</v>
      </c>
      <c r="CU244" s="80">
        <f t="shared" si="136"/>
        <v>0</v>
      </c>
      <c r="CV244" s="81">
        <f t="shared" si="137"/>
        <v>0</v>
      </c>
      <c r="CW244" s="144"/>
      <c r="CX244" s="145">
        <f>IF(ISERROR(VLOOKUP($A244,FIJOS!$B$11:$O$590,14,FALSE)),0,VLOOKUP($A244,FIJOS!$B$11:$O$590,14,FALSE))</f>
        <v>0</v>
      </c>
      <c r="CY244" s="145">
        <f>IF(ISERROR(VLOOKUP(A244,FIJOS!$B$10:$P$590,15,FALSE)),0,VLOOKUP(A244,FIJOS!$B$10:$P$590,15,FALSE))</f>
        <v>0</v>
      </c>
      <c r="CZ244" s="156"/>
      <c r="DA244" s="146"/>
      <c r="DB244" s="147"/>
      <c r="DC244" s="147"/>
      <c r="DD244" s="147"/>
      <c r="DE244" s="147"/>
      <c r="DF244" s="145">
        <f>IF(ISERROR(VLOOKUP($A244,FIJOS!$B$11:$N$590,13,FALSE)),0,VLOOKUP($A244,FIJOS!$B$11:$N$590,13,FALSE))</f>
        <v>0</v>
      </c>
      <c r="DG244" s="145">
        <f>IF(ISERROR(VLOOKUP($A244,FIJOS!$B$11:$P$447,12,FALSE)),0,VLOOKUP($A244,FIJOS!$B$11:$P$447,12,FALSE))</f>
        <v>0</v>
      </c>
      <c r="DH244" s="82">
        <f t="shared" si="127"/>
        <v>0</v>
      </c>
      <c r="DI244" s="83" t="b">
        <f>IF($C244=1,(VLOOKUP($A244,FIJOS!$B$11:$P$545,10,FALSE)/7)*(7-$CU244),IF(AND($C244=2,CV244&lt;$DJ$1),(VLOOKUP($D244,HORAS!$B$4:$C$42,2,FALSE)*24)*$CV244,IF(AND($C244=2,CV244&gt;=$DJ$1),VLOOKUP($D244,HORAS!$B$4:$D$42,3,FALSE),IF(AND($C244=3,$CV244&gt;=$DJ$1),VLOOKUP($A244,FIJOS!$B$11:$P$545,10,FALSE),IF(AND($C244=3,$CV244&lt;$DJ$1),((VLOOKUP($A244,FIJOS!$B$11:$P$545,10,FALSE)/48)*24)*$CV244,IF(AND($C244=4,$CV244&gt;=(42/24)),VLOOKUP($D244,HORAS!$B$4:$D$42,3,FALSE),IF(AND($C244=5,$CV244&gt;=(36/24)),VLOOKUP($D244,HORAS!$B$4:$D$42,3,FALSE))))))))</f>
        <v>0</v>
      </c>
      <c r="DJ244" s="145">
        <f>IF(OR($C244=2),VLOOKUP($D244,HORAS!$B$4:$E$42,4,FALSE)*$EC244,IF(ISERROR(VLOOKUP($A244,FIJOS!$B$11:$P$108,9,FALSE)),0,VLOOKUP($A244,FIJOS!$B$11:$P$231,9,FALSE)*$EC244))</f>
        <v>0</v>
      </c>
      <c r="DK244" s="145">
        <f>IF(OR($C244=2),VLOOKUP($D244,HORAS!$B$4:$F$42,5,FALSE)*$EE244,IF(ISERROR(VLOOKUP($A244,FIJOS!$B$11:$P$108,9,FALSE)),0,VLOOKUP($A244,FIJOS!$B$11:$P$231,9,FALSE)*$EE244))</f>
        <v>0</v>
      </c>
      <c r="DL244" s="144"/>
      <c r="DM244" s="145">
        <f>IF(ISERROR(VLOOKUP($A244,FIJOS!$B$11:$L$646,11,FALSE)),0,VLOOKUP($A244,FIJOS!$B$11:$L$646,11,FALSE))</f>
        <v>0</v>
      </c>
      <c r="DN244" s="148" t="e">
        <f>IF(OR($C244=1,$C244=3),0,IF((VLOOKUP(CAPTURA!D244,HORAS!$B$4:$K$42,10,FALSE)/4)*COUNTIF($H244:$CT244,3)&gt;100,100,(VLOOKUP(CAPTURA!D244,HORAS!$B$4:$K$42,10,FALSE)/4)*COUNTIF($H244:$CT244,3)))</f>
        <v>#N/A</v>
      </c>
      <c r="DO244" s="144" t="e">
        <f>IF(OR($C244=1,$C244=3),0,IF($C244=5,VLOOKUP(D244,HORAS!$B$4:$G$42,6,FALSE),IF(AND($C244=4,$CV244&gt;=(42/24)),VLOOKUP(D244,HORAS!$B$4:$G$42,6,FALSE),IF(COUNTIF($H244:$CL244,"F")&gt;0,0,IF(CV244&gt;$DJ$1,$DJ$1*(VLOOKUP(D244,HORAS!$B$4:$G$42,6,FALSE)/$DJ$1),CV244*(VLOOKUP(D244,HORAS!$B$4:$G$42,6,FALSE)/$DJ$1))))))</f>
        <v>#N/A</v>
      </c>
      <c r="DP244" s="156"/>
      <c r="DQ244" s="89"/>
      <c r="DR244" s="148"/>
      <c r="DS244" s="83" t="e">
        <f t="shared" si="130"/>
        <v>#N/A</v>
      </c>
      <c r="DT244" s="84"/>
      <c r="DU244" s="149" t="e">
        <f t="shared" si="131"/>
        <v>#N/A</v>
      </c>
      <c r="DV244" s="149" t="e">
        <f t="shared" si="132"/>
        <v>#N/A</v>
      </c>
      <c r="DW244" s="144" t="e">
        <f t="shared" si="133"/>
        <v>#N/A</v>
      </c>
      <c r="DX244" s="134"/>
      <c r="DY244" s="29"/>
      <c r="DZ244" s="150"/>
      <c r="EA244" s="134"/>
      <c r="EB244" s="137">
        <f t="shared" si="134"/>
        <v>0</v>
      </c>
      <c r="EC244" s="138">
        <f t="shared" si="128"/>
        <v>0</v>
      </c>
      <c r="ED244" s="137">
        <f t="shared" si="135"/>
        <v>0</v>
      </c>
      <c r="EE244" s="132">
        <f t="shared" si="129"/>
        <v>0</v>
      </c>
      <c r="EF244" s="29"/>
      <c r="EG244" s="134"/>
      <c r="EH244" s="134"/>
      <c r="EI244" s="134"/>
      <c r="EK244" s="29"/>
    </row>
    <row r="245" spans="1:141" ht="15" customHeight="1" x14ac:dyDescent="0.25">
      <c r="A245" s="140"/>
      <c r="B245" s="151"/>
      <c r="C245" s="72"/>
      <c r="D245" s="73"/>
      <c r="E245" s="73"/>
      <c r="F245" s="141"/>
      <c r="G245" s="74"/>
      <c r="H245" s="75"/>
      <c r="I245" s="76"/>
      <c r="J245" s="135"/>
      <c r="K245" s="135"/>
      <c r="L245" s="77">
        <f t="shared" si="106"/>
        <v>0</v>
      </c>
      <c r="M245" s="78"/>
      <c r="N245" s="142"/>
      <c r="O245" s="142"/>
      <c r="P245" s="77">
        <f t="shared" si="107"/>
        <v>0</v>
      </c>
      <c r="Q245" s="78"/>
      <c r="R245" s="143"/>
      <c r="S245" s="143"/>
      <c r="T245" s="77">
        <f t="shared" si="108"/>
        <v>0</v>
      </c>
      <c r="U245" s="75"/>
      <c r="V245" s="76"/>
      <c r="W245" s="135"/>
      <c r="X245" s="135"/>
      <c r="Y245" s="77">
        <f t="shared" si="109"/>
        <v>0</v>
      </c>
      <c r="Z245" s="78"/>
      <c r="AA245" s="142"/>
      <c r="AB245" s="142"/>
      <c r="AC245" s="77">
        <f t="shared" si="110"/>
        <v>0</v>
      </c>
      <c r="AD245" s="78"/>
      <c r="AE245" s="143"/>
      <c r="AF245" s="143"/>
      <c r="AG245" s="79">
        <f t="shared" si="111"/>
        <v>0</v>
      </c>
      <c r="AH245" s="75"/>
      <c r="AI245" s="76"/>
      <c r="AJ245" s="135"/>
      <c r="AK245" s="135"/>
      <c r="AL245" s="77">
        <f t="shared" si="112"/>
        <v>0</v>
      </c>
      <c r="AM245" s="76"/>
      <c r="AN245" s="142"/>
      <c r="AO245" s="142"/>
      <c r="AP245" s="77">
        <f t="shared" si="113"/>
        <v>0</v>
      </c>
      <c r="AQ245" s="78"/>
      <c r="AR245" s="142"/>
      <c r="AS245" s="142"/>
      <c r="AT245" s="79">
        <f t="shared" si="114"/>
        <v>0</v>
      </c>
      <c r="AU245" s="75"/>
      <c r="AV245" s="76"/>
      <c r="AW245" s="135"/>
      <c r="AX245" s="135"/>
      <c r="AY245" s="77">
        <f t="shared" si="115"/>
        <v>0</v>
      </c>
      <c r="AZ245" s="76"/>
      <c r="BA245" s="142"/>
      <c r="BB245" s="142"/>
      <c r="BC245" s="77">
        <f t="shared" si="116"/>
        <v>0</v>
      </c>
      <c r="BD245" s="78"/>
      <c r="BE245" s="142"/>
      <c r="BF245" s="142"/>
      <c r="BG245" s="79">
        <f t="shared" si="117"/>
        <v>0</v>
      </c>
      <c r="BH245" s="75"/>
      <c r="BI245" s="76"/>
      <c r="BJ245" s="135"/>
      <c r="BK245" s="135"/>
      <c r="BL245" s="77">
        <f t="shared" si="118"/>
        <v>0</v>
      </c>
      <c r="BM245" s="78"/>
      <c r="BN245" s="142"/>
      <c r="BO245" s="142"/>
      <c r="BP245" s="77">
        <f t="shared" si="119"/>
        <v>0</v>
      </c>
      <c r="BQ245" s="78"/>
      <c r="BR245" s="142"/>
      <c r="BS245" s="142"/>
      <c r="BT245" s="79">
        <f t="shared" si="120"/>
        <v>0</v>
      </c>
      <c r="BU245" s="75"/>
      <c r="BV245" s="76"/>
      <c r="BW245" s="135"/>
      <c r="BX245" s="135"/>
      <c r="BY245" s="77">
        <f t="shared" si="121"/>
        <v>0</v>
      </c>
      <c r="BZ245" s="78"/>
      <c r="CA245" s="142"/>
      <c r="CB245" s="142"/>
      <c r="CC245" s="77">
        <f t="shared" si="122"/>
        <v>0</v>
      </c>
      <c r="CD245" s="78"/>
      <c r="CE245" s="142"/>
      <c r="CF245" s="142"/>
      <c r="CG245" s="79">
        <f t="shared" si="123"/>
        <v>0</v>
      </c>
      <c r="CH245" s="75"/>
      <c r="CI245" s="76"/>
      <c r="CJ245" s="135"/>
      <c r="CK245" s="135"/>
      <c r="CL245" s="77">
        <f t="shared" si="124"/>
        <v>0</v>
      </c>
      <c r="CM245" s="78"/>
      <c r="CN245" s="142"/>
      <c r="CO245" s="142"/>
      <c r="CP245" s="77">
        <f t="shared" si="125"/>
        <v>0</v>
      </c>
      <c r="CQ245" s="78"/>
      <c r="CR245" s="142"/>
      <c r="CS245" s="142"/>
      <c r="CT245" s="79">
        <f t="shared" si="126"/>
        <v>0</v>
      </c>
      <c r="CU245" s="80">
        <f t="shared" si="136"/>
        <v>0</v>
      </c>
      <c r="CV245" s="81">
        <f t="shared" si="137"/>
        <v>0</v>
      </c>
      <c r="CW245" s="144"/>
      <c r="CX245" s="145">
        <f>IF(ISERROR(VLOOKUP($A245,FIJOS!$B$11:$O$590,14,FALSE)),0,VLOOKUP($A245,FIJOS!$B$11:$O$590,14,FALSE))</f>
        <v>0</v>
      </c>
      <c r="CY245" s="145">
        <f>IF(ISERROR(VLOOKUP(A245,FIJOS!$B$10:$P$590,15,FALSE)),0,VLOOKUP(A245,FIJOS!$B$10:$P$590,15,FALSE))</f>
        <v>0</v>
      </c>
      <c r="CZ245" s="156"/>
      <c r="DA245" s="146"/>
      <c r="DB245" s="147"/>
      <c r="DC245" s="147"/>
      <c r="DD245" s="147"/>
      <c r="DE245" s="147"/>
      <c r="DF245" s="145">
        <f>IF(ISERROR(VLOOKUP($A245,FIJOS!$B$11:$N$590,13,FALSE)),0,VLOOKUP($A245,FIJOS!$B$11:$N$590,13,FALSE))</f>
        <v>0</v>
      </c>
      <c r="DG245" s="145">
        <f>IF(ISERROR(VLOOKUP($A245,FIJOS!$B$11:$P$447,12,FALSE)),0,VLOOKUP($A245,FIJOS!$B$11:$P$447,12,FALSE))</f>
        <v>0</v>
      </c>
      <c r="DH245" s="82">
        <f t="shared" si="127"/>
        <v>0</v>
      </c>
      <c r="DI245" s="83" t="b">
        <f>IF($C245=1,(VLOOKUP($A245,FIJOS!$B$11:$P$545,10,FALSE)/7)*(7-$CU245),IF(AND($C245=2,CV245&lt;$DJ$1),(VLOOKUP($D245,HORAS!$B$4:$C$42,2,FALSE)*24)*$CV245,IF(AND($C245=2,CV245&gt;=$DJ$1),VLOOKUP($D245,HORAS!$B$4:$D$42,3,FALSE),IF(AND($C245=3,$CV245&gt;=$DJ$1),VLOOKUP($A245,FIJOS!$B$11:$P$545,10,FALSE),IF(AND($C245=3,$CV245&lt;$DJ$1),((VLOOKUP($A245,FIJOS!$B$11:$P$545,10,FALSE)/48)*24)*$CV245,IF(AND($C245=4,$CV245&gt;=(42/24)),VLOOKUP($D245,HORAS!$B$4:$D$42,3,FALSE),IF(AND($C245=5,$CV245&gt;=(36/24)),VLOOKUP($D245,HORAS!$B$4:$D$42,3,FALSE))))))))</f>
        <v>0</v>
      </c>
      <c r="DJ245" s="145">
        <f>IF(OR($C245=2),VLOOKUP($D245,HORAS!$B$4:$E$42,4,FALSE)*$EC245,IF(ISERROR(VLOOKUP($A245,FIJOS!$B$11:$P$108,9,FALSE)),0,VLOOKUP($A245,FIJOS!$B$11:$P$231,9,FALSE)*$EC245))</f>
        <v>0</v>
      </c>
      <c r="DK245" s="145">
        <f>IF(OR($C245=2),VLOOKUP($D245,HORAS!$B$4:$F$42,5,FALSE)*$EE245,IF(ISERROR(VLOOKUP($A245,FIJOS!$B$11:$P$108,9,FALSE)),0,VLOOKUP($A245,FIJOS!$B$11:$P$231,9,FALSE)*$EE245))</f>
        <v>0</v>
      </c>
      <c r="DL245" s="144"/>
      <c r="DM245" s="145">
        <f>IF(ISERROR(VLOOKUP($A245,FIJOS!$B$11:$L$646,11,FALSE)),0,VLOOKUP($A245,FIJOS!$B$11:$L$646,11,FALSE))</f>
        <v>0</v>
      </c>
      <c r="DN245" s="148" t="e">
        <f>IF(OR($C245=1,$C245=3),0,IF((VLOOKUP(CAPTURA!D245,HORAS!$B$4:$K$42,10,FALSE)/4)*COUNTIF($H245:$CT245,3)&gt;100,100,(VLOOKUP(CAPTURA!D245,HORAS!$B$4:$K$42,10,FALSE)/4)*COUNTIF($H245:$CT245,3)))</f>
        <v>#N/A</v>
      </c>
      <c r="DO245" s="144" t="e">
        <f>IF(OR($C245=1,$C245=3),0,IF($C245=5,VLOOKUP(D245,HORAS!$B$4:$G$42,6,FALSE),IF(AND($C245=4,$CV245&gt;=(42/24)),VLOOKUP(D245,HORAS!$B$4:$G$42,6,FALSE),IF(COUNTIF($H245:$CL245,"F")&gt;0,0,IF(CV245&gt;$DJ$1,$DJ$1*(VLOOKUP(D245,HORAS!$B$4:$G$42,6,FALSE)/$DJ$1),CV245*(VLOOKUP(D245,HORAS!$B$4:$G$42,6,FALSE)/$DJ$1))))))</f>
        <v>#N/A</v>
      </c>
      <c r="DP245" s="156"/>
      <c r="DQ245" s="89"/>
      <c r="DR245" s="148"/>
      <c r="DS245" s="83" t="e">
        <f t="shared" si="130"/>
        <v>#N/A</v>
      </c>
      <c r="DT245" s="84"/>
      <c r="DU245" s="149" t="e">
        <f t="shared" si="131"/>
        <v>#N/A</v>
      </c>
      <c r="DV245" s="149" t="e">
        <f t="shared" si="132"/>
        <v>#N/A</v>
      </c>
      <c r="DW245" s="144" t="e">
        <f t="shared" si="133"/>
        <v>#N/A</v>
      </c>
      <c r="DX245" s="134"/>
      <c r="DY245" s="29"/>
      <c r="DZ245" s="150"/>
      <c r="EA245" s="134"/>
      <c r="EB245" s="137">
        <f t="shared" si="134"/>
        <v>0</v>
      </c>
      <c r="EC245" s="138">
        <f t="shared" si="128"/>
        <v>0</v>
      </c>
      <c r="ED245" s="137">
        <f t="shared" si="135"/>
        <v>0</v>
      </c>
      <c r="EE245" s="132">
        <f t="shared" si="129"/>
        <v>0</v>
      </c>
      <c r="EF245" s="29"/>
      <c r="EG245" s="134"/>
      <c r="EH245" s="134"/>
      <c r="EI245" s="134"/>
      <c r="EK245" s="29"/>
    </row>
    <row r="246" spans="1:141" ht="15" customHeight="1" x14ac:dyDescent="0.25">
      <c r="A246" s="140"/>
      <c r="B246" s="151"/>
      <c r="C246" s="72"/>
      <c r="D246" s="73"/>
      <c r="E246" s="73"/>
      <c r="F246" s="141"/>
      <c r="G246" s="74"/>
      <c r="H246" s="75"/>
      <c r="I246" s="76"/>
      <c r="J246" s="135"/>
      <c r="K246" s="135"/>
      <c r="L246" s="77">
        <f t="shared" si="106"/>
        <v>0</v>
      </c>
      <c r="M246" s="78"/>
      <c r="N246" s="142"/>
      <c r="O246" s="142"/>
      <c r="P246" s="77">
        <f t="shared" si="107"/>
        <v>0</v>
      </c>
      <c r="Q246" s="78"/>
      <c r="R246" s="143"/>
      <c r="S246" s="143"/>
      <c r="T246" s="77">
        <f t="shared" si="108"/>
        <v>0</v>
      </c>
      <c r="U246" s="75"/>
      <c r="V246" s="76"/>
      <c r="W246" s="135"/>
      <c r="X246" s="135"/>
      <c r="Y246" s="77">
        <f t="shared" si="109"/>
        <v>0</v>
      </c>
      <c r="Z246" s="78"/>
      <c r="AA246" s="142"/>
      <c r="AB246" s="142"/>
      <c r="AC246" s="77">
        <f t="shared" si="110"/>
        <v>0</v>
      </c>
      <c r="AD246" s="78"/>
      <c r="AE246" s="143"/>
      <c r="AF246" s="143"/>
      <c r="AG246" s="79">
        <f t="shared" si="111"/>
        <v>0</v>
      </c>
      <c r="AH246" s="75"/>
      <c r="AI246" s="76"/>
      <c r="AJ246" s="135"/>
      <c r="AK246" s="135"/>
      <c r="AL246" s="77">
        <f t="shared" si="112"/>
        <v>0</v>
      </c>
      <c r="AM246" s="76"/>
      <c r="AN246" s="142"/>
      <c r="AO246" s="142"/>
      <c r="AP246" s="77">
        <f t="shared" si="113"/>
        <v>0</v>
      </c>
      <c r="AQ246" s="78"/>
      <c r="AR246" s="142"/>
      <c r="AS246" s="142"/>
      <c r="AT246" s="79">
        <f t="shared" si="114"/>
        <v>0</v>
      </c>
      <c r="AU246" s="75"/>
      <c r="AV246" s="76"/>
      <c r="AW246" s="135"/>
      <c r="AX246" s="135"/>
      <c r="AY246" s="77">
        <f t="shared" si="115"/>
        <v>0</v>
      </c>
      <c r="AZ246" s="76"/>
      <c r="BA246" s="142"/>
      <c r="BB246" s="142"/>
      <c r="BC246" s="77">
        <f t="shared" si="116"/>
        <v>0</v>
      </c>
      <c r="BD246" s="78"/>
      <c r="BE246" s="142"/>
      <c r="BF246" s="142"/>
      <c r="BG246" s="79">
        <f t="shared" si="117"/>
        <v>0</v>
      </c>
      <c r="BH246" s="75"/>
      <c r="BI246" s="76"/>
      <c r="BJ246" s="135"/>
      <c r="BK246" s="135"/>
      <c r="BL246" s="77">
        <f t="shared" si="118"/>
        <v>0</v>
      </c>
      <c r="BM246" s="78"/>
      <c r="BN246" s="142"/>
      <c r="BO246" s="142"/>
      <c r="BP246" s="77">
        <f t="shared" si="119"/>
        <v>0</v>
      </c>
      <c r="BQ246" s="78"/>
      <c r="BR246" s="142"/>
      <c r="BS246" s="142"/>
      <c r="BT246" s="79">
        <f t="shared" si="120"/>
        <v>0</v>
      </c>
      <c r="BU246" s="75"/>
      <c r="BV246" s="76"/>
      <c r="BW246" s="135"/>
      <c r="BX246" s="135"/>
      <c r="BY246" s="77">
        <f t="shared" si="121"/>
        <v>0</v>
      </c>
      <c r="BZ246" s="78"/>
      <c r="CA246" s="142"/>
      <c r="CB246" s="142"/>
      <c r="CC246" s="77">
        <f t="shared" si="122"/>
        <v>0</v>
      </c>
      <c r="CD246" s="78"/>
      <c r="CE246" s="142"/>
      <c r="CF246" s="142"/>
      <c r="CG246" s="79">
        <f t="shared" si="123"/>
        <v>0</v>
      </c>
      <c r="CH246" s="75"/>
      <c r="CI246" s="76"/>
      <c r="CJ246" s="135"/>
      <c r="CK246" s="135"/>
      <c r="CL246" s="77">
        <f t="shared" si="124"/>
        <v>0</v>
      </c>
      <c r="CM246" s="78"/>
      <c r="CN246" s="142"/>
      <c r="CO246" s="142"/>
      <c r="CP246" s="77">
        <f t="shared" si="125"/>
        <v>0</v>
      </c>
      <c r="CQ246" s="78"/>
      <c r="CR246" s="142"/>
      <c r="CS246" s="142"/>
      <c r="CT246" s="79">
        <f t="shared" si="126"/>
        <v>0</v>
      </c>
      <c r="CU246" s="80">
        <f t="shared" si="136"/>
        <v>0</v>
      </c>
      <c r="CV246" s="81">
        <f t="shared" si="137"/>
        <v>0</v>
      </c>
      <c r="CW246" s="144"/>
      <c r="CX246" s="145">
        <f>IF(ISERROR(VLOOKUP($A246,FIJOS!$B$11:$O$590,14,FALSE)),0,VLOOKUP($A246,FIJOS!$B$11:$O$590,14,FALSE))</f>
        <v>0</v>
      </c>
      <c r="CY246" s="145">
        <f>IF(ISERROR(VLOOKUP(A246,FIJOS!$B$10:$P$590,15,FALSE)),0,VLOOKUP(A246,FIJOS!$B$10:$P$590,15,FALSE))</f>
        <v>0</v>
      </c>
      <c r="CZ246" s="156"/>
      <c r="DA246" s="146"/>
      <c r="DB246" s="147"/>
      <c r="DC246" s="147"/>
      <c r="DD246" s="147"/>
      <c r="DE246" s="147"/>
      <c r="DF246" s="145">
        <f>IF(ISERROR(VLOOKUP($A246,FIJOS!$B$11:$N$590,13,FALSE)),0,VLOOKUP($A246,FIJOS!$B$11:$N$590,13,FALSE))</f>
        <v>0</v>
      </c>
      <c r="DG246" s="145">
        <f>IF(ISERROR(VLOOKUP($A246,FIJOS!$B$11:$P$447,12,FALSE)),0,VLOOKUP($A246,FIJOS!$B$11:$P$447,12,FALSE))</f>
        <v>0</v>
      </c>
      <c r="DH246" s="82">
        <f t="shared" si="127"/>
        <v>0</v>
      </c>
      <c r="DI246" s="83" t="b">
        <f>IF($C246=1,(VLOOKUP($A246,FIJOS!$B$11:$P$545,10,FALSE)/7)*(7-$CU246),IF(AND($C246=2,CV246&lt;$DJ$1),(VLOOKUP($D246,HORAS!$B$4:$C$42,2,FALSE)*24)*$CV246,IF(AND($C246=2,CV246&gt;=$DJ$1),VLOOKUP($D246,HORAS!$B$4:$D$42,3,FALSE),IF(AND($C246=3,$CV246&gt;=$DJ$1),VLOOKUP($A246,FIJOS!$B$11:$P$545,10,FALSE),IF(AND($C246=3,$CV246&lt;$DJ$1),((VLOOKUP($A246,FIJOS!$B$11:$P$545,10,FALSE)/48)*24)*$CV246,IF(AND($C246=4,$CV246&gt;=(42/24)),VLOOKUP($D246,HORAS!$B$4:$D$42,3,FALSE),IF(AND($C246=5,$CV246&gt;=(36/24)),VLOOKUP($D246,HORAS!$B$4:$D$42,3,FALSE))))))))</f>
        <v>0</v>
      </c>
      <c r="DJ246" s="145">
        <f>IF(OR($C246=2),VLOOKUP($D246,HORAS!$B$4:$E$42,4,FALSE)*$EC246,IF(ISERROR(VLOOKUP($A246,FIJOS!$B$11:$P$108,9,FALSE)),0,VLOOKUP($A246,FIJOS!$B$11:$P$231,9,FALSE)*$EC246))</f>
        <v>0</v>
      </c>
      <c r="DK246" s="145">
        <f>IF(OR($C246=2),VLOOKUP($D246,HORAS!$B$4:$F$42,5,FALSE)*$EE246,IF(ISERROR(VLOOKUP($A246,FIJOS!$B$11:$P$108,9,FALSE)),0,VLOOKUP($A246,FIJOS!$B$11:$P$231,9,FALSE)*$EE246))</f>
        <v>0</v>
      </c>
      <c r="DL246" s="144"/>
      <c r="DM246" s="145">
        <f>IF(ISERROR(VLOOKUP($A246,FIJOS!$B$11:$L$646,11,FALSE)),0,VLOOKUP($A246,FIJOS!$B$11:$L$646,11,FALSE))</f>
        <v>0</v>
      </c>
      <c r="DN246" s="148" t="e">
        <f>IF(OR($C246=1,$C246=3),0,IF((VLOOKUP(CAPTURA!D246,HORAS!$B$4:$K$42,10,FALSE)/4)*COUNTIF($H246:$CT246,3)&gt;100,100,(VLOOKUP(CAPTURA!D246,HORAS!$B$4:$K$42,10,FALSE)/4)*COUNTIF($H246:$CT246,3)))</f>
        <v>#N/A</v>
      </c>
      <c r="DO246" s="144" t="e">
        <f>IF(OR($C246=1,$C246=3),0,IF($C246=5,VLOOKUP(D246,HORAS!$B$4:$G$42,6,FALSE),IF(AND($C246=4,$CV246&gt;=(42/24)),VLOOKUP(D246,HORAS!$B$4:$G$42,6,FALSE),IF(COUNTIF($H246:$CL246,"F")&gt;0,0,IF(CV246&gt;$DJ$1,$DJ$1*(VLOOKUP(D246,HORAS!$B$4:$G$42,6,FALSE)/$DJ$1),CV246*(VLOOKUP(D246,HORAS!$B$4:$G$42,6,FALSE)/$DJ$1))))))</f>
        <v>#N/A</v>
      </c>
      <c r="DP246" s="156"/>
      <c r="DQ246" s="89"/>
      <c r="DR246" s="148"/>
      <c r="DS246" s="83" t="e">
        <f t="shared" si="130"/>
        <v>#N/A</v>
      </c>
      <c r="DT246" s="84"/>
      <c r="DU246" s="149" t="e">
        <f t="shared" si="131"/>
        <v>#N/A</v>
      </c>
      <c r="DV246" s="149" t="e">
        <f t="shared" si="132"/>
        <v>#N/A</v>
      </c>
      <c r="DW246" s="144" t="e">
        <f t="shared" si="133"/>
        <v>#N/A</v>
      </c>
      <c r="DX246" s="158"/>
      <c r="DY246" s="29"/>
      <c r="DZ246" s="150"/>
      <c r="EA246" s="134"/>
      <c r="EB246" s="137">
        <f t="shared" si="134"/>
        <v>0</v>
      </c>
      <c r="EC246" s="138">
        <f t="shared" si="128"/>
        <v>0</v>
      </c>
      <c r="ED246" s="137">
        <f t="shared" si="135"/>
        <v>0</v>
      </c>
      <c r="EE246" s="132">
        <f t="shared" si="129"/>
        <v>0</v>
      </c>
      <c r="EF246" s="29"/>
      <c r="EG246" s="134"/>
      <c r="EH246" s="134"/>
      <c r="EI246" s="134"/>
      <c r="EK246" s="29"/>
    </row>
    <row r="247" spans="1:141" ht="15" customHeight="1" x14ac:dyDescent="0.25">
      <c r="A247" s="140"/>
      <c r="B247" s="151"/>
      <c r="C247" s="72"/>
      <c r="D247" s="73"/>
      <c r="E247" s="73"/>
      <c r="F247" s="141"/>
      <c r="G247" s="74"/>
      <c r="H247" s="75"/>
      <c r="I247" s="76"/>
      <c r="J247" s="135"/>
      <c r="K247" s="135"/>
      <c r="L247" s="77">
        <f t="shared" si="106"/>
        <v>0</v>
      </c>
      <c r="M247" s="78"/>
      <c r="N247" s="142"/>
      <c r="O247" s="142"/>
      <c r="P247" s="77">
        <f t="shared" si="107"/>
        <v>0</v>
      </c>
      <c r="Q247" s="78"/>
      <c r="R247" s="143"/>
      <c r="S247" s="143"/>
      <c r="T247" s="77">
        <f t="shared" si="108"/>
        <v>0</v>
      </c>
      <c r="U247" s="75"/>
      <c r="V247" s="76"/>
      <c r="W247" s="135"/>
      <c r="X247" s="135"/>
      <c r="Y247" s="77">
        <f t="shared" si="109"/>
        <v>0</v>
      </c>
      <c r="Z247" s="78"/>
      <c r="AA247" s="142"/>
      <c r="AB247" s="142"/>
      <c r="AC247" s="77">
        <f t="shared" si="110"/>
        <v>0</v>
      </c>
      <c r="AD247" s="78"/>
      <c r="AE247" s="143"/>
      <c r="AF247" s="143"/>
      <c r="AG247" s="79">
        <f t="shared" si="111"/>
        <v>0</v>
      </c>
      <c r="AH247" s="75"/>
      <c r="AI247" s="76"/>
      <c r="AJ247" s="135"/>
      <c r="AK247" s="135"/>
      <c r="AL247" s="77">
        <f t="shared" si="112"/>
        <v>0</v>
      </c>
      <c r="AM247" s="76"/>
      <c r="AN247" s="142"/>
      <c r="AO247" s="142"/>
      <c r="AP247" s="77">
        <f t="shared" si="113"/>
        <v>0</v>
      </c>
      <c r="AQ247" s="78"/>
      <c r="AR247" s="142"/>
      <c r="AS247" s="142"/>
      <c r="AT247" s="79">
        <f t="shared" si="114"/>
        <v>0</v>
      </c>
      <c r="AU247" s="75"/>
      <c r="AV247" s="76"/>
      <c r="AW247" s="135"/>
      <c r="AX247" s="135"/>
      <c r="AY247" s="77">
        <f t="shared" si="115"/>
        <v>0</v>
      </c>
      <c r="AZ247" s="76"/>
      <c r="BA247" s="142"/>
      <c r="BB247" s="142"/>
      <c r="BC247" s="77">
        <f t="shared" si="116"/>
        <v>0</v>
      </c>
      <c r="BD247" s="78"/>
      <c r="BE247" s="142"/>
      <c r="BF247" s="142"/>
      <c r="BG247" s="79">
        <f t="shared" si="117"/>
        <v>0</v>
      </c>
      <c r="BH247" s="75"/>
      <c r="BI247" s="76"/>
      <c r="BJ247" s="135"/>
      <c r="BK247" s="135"/>
      <c r="BL247" s="77">
        <f t="shared" si="118"/>
        <v>0</v>
      </c>
      <c r="BM247" s="78"/>
      <c r="BN247" s="142"/>
      <c r="BO247" s="142"/>
      <c r="BP247" s="77">
        <f t="shared" si="119"/>
        <v>0</v>
      </c>
      <c r="BQ247" s="78"/>
      <c r="BR247" s="142"/>
      <c r="BS247" s="142"/>
      <c r="BT247" s="79">
        <f t="shared" si="120"/>
        <v>0</v>
      </c>
      <c r="BU247" s="75"/>
      <c r="BV247" s="76"/>
      <c r="BW247" s="135"/>
      <c r="BX247" s="135"/>
      <c r="BY247" s="77">
        <f t="shared" si="121"/>
        <v>0</v>
      </c>
      <c r="BZ247" s="78"/>
      <c r="CA247" s="142"/>
      <c r="CB247" s="142"/>
      <c r="CC247" s="77">
        <f t="shared" si="122"/>
        <v>0</v>
      </c>
      <c r="CD247" s="78"/>
      <c r="CE247" s="142"/>
      <c r="CF247" s="142"/>
      <c r="CG247" s="79">
        <f t="shared" si="123"/>
        <v>0</v>
      </c>
      <c r="CH247" s="75"/>
      <c r="CI247" s="76"/>
      <c r="CJ247" s="135"/>
      <c r="CK247" s="135"/>
      <c r="CL247" s="77">
        <f t="shared" si="124"/>
        <v>0</v>
      </c>
      <c r="CM247" s="78"/>
      <c r="CN247" s="142"/>
      <c r="CO247" s="142"/>
      <c r="CP247" s="77">
        <f t="shared" si="125"/>
        <v>0</v>
      </c>
      <c r="CQ247" s="78"/>
      <c r="CR247" s="142"/>
      <c r="CS247" s="142"/>
      <c r="CT247" s="79">
        <f t="shared" si="126"/>
        <v>0</v>
      </c>
      <c r="CU247" s="80">
        <f t="shared" si="136"/>
        <v>0</v>
      </c>
      <c r="CV247" s="81">
        <f t="shared" si="137"/>
        <v>0</v>
      </c>
      <c r="CW247" s="144"/>
      <c r="CX247" s="145">
        <f>IF(ISERROR(VLOOKUP($A247,FIJOS!$B$11:$O$590,14,FALSE)),0,VLOOKUP($A247,FIJOS!$B$11:$O$590,14,FALSE))</f>
        <v>0</v>
      </c>
      <c r="CY247" s="145">
        <f>IF(ISERROR(VLOOKUP(A247,FIJOS!$B$10:$P$590,15,FALSE)),0,VLOOKUP(A247,FIJOS!$B$10:$P$590,15,FALSE))</f>
        <v>0</v>
      </c>
      <c r="CZ247" s="156"/>
      <c r="DA247" s="146"/>
      <c r="DB247" s="147"/>
      <c r="DC247" s="147"/>
      <c r="DD247" s="147"/>
      <c r="DE247" s="147"/>
      <c r="DF247" s="145">
        <f>IF(ISERROR(VLOOKUP($A247,FIJOS!$B$11:$N$590,13,FALSE)),0,VLOOKUP($A247,FIJOS!$B$11:$N$590,13,FALSE))</f>
        <v>0</v>
      </c>
      <c r="DG247" s="145">
        <f>IF(ISERROR(VLOOKUP($A247,FIJOS!$B$11:$P$447,12,FALSE)),0,VLOOKUP($A247,FIJOS!$B$11:$P$447,12,FALSE))</f>
        <v>0</v>
      </c>
      <c r="DH247" s="82">
        <f t="shared" si="127"/>
        <v>0</v>
      </c>
      <c r="DI247" s="83" t="b">
        <f>IF($C247=1,(VLOOKUP($A247,FIJOS!$B$11:$P$545,10,FALSE)/7)*(7-$CU247),IF(AND($C247=2,CV247&lt;$DJ$1),(VLOOKUP($D247,HORAS!$B$4:$C$42,2,FALSE)*24)*$CV247,IF(AND($C247=2,CV247&gt;=$DJ$1),VLOOKUP($D247,HORAS!$B$4:$D$42,3,FALSE),IF(AND($C247=3,$CV247&gt;=$DJ$1),VLOOKUP($A247,FIJOS!$B$11:$P$545,10,FALSE),IF(AND($C247=3,$CV247&lt;$DJ$1),((VLOOKUP($A247,FIJOS!$B$11:$P$545,10,FALSE)/48)*24)*$CV247,IF(AND($C247=4,$CV247&gt;=(42/24)),VLOOKUP($D247,HORAS!$B$4:$D$42,3,FALSE),IF(AND($C247=5,$CV247&gt;=(36/24)),VLOOKUP($D247,HORAS!$B$4:$D$42,3,FALSE))))))))</f>
        <v>0</v>
      </c>
      <c r="DJ247" s="145">
        <f>IF(OR($C247=2),VLOOKUP($D247,HORAS!$B$4:$E$42,4,FALSE)*$EC247,IF(ISERROR(VLOOKUP($A247,FIJOS!$B$11:$P$108,9,FALSE)),0,VLOOKUP($A247,FIJOS!$B$11:$P$231,9,FALSE)*$EC247))</f>
        <v>0</v>
      </c>
      <c r="DK247" s="145">
        <f>IF(OR($C247=2),VLOOKUP($D247,HORAS!$B$4:$F$42,5,FALSE)*$EE247,IF(ISERROR(VLOOKUP($A247,FIJOS!$B$11:$P$108,9,FALSE)),0,VLOOKUP($A247,FIJOS!$B$11:$P$231,9,FALSE)*$EE247))</f>
        <v>0</v>
      </c>
      <c r="DL247" s="144"/>
      <c r="DM247" s="145">
        <f>IF(ISERROR(VLOOKUP($A247,FIJOS!$B$11:$L$646,11,FALSE)),0,VLOOKUP($A247,FIJOS!$B$11:$L$646,11,FALSE))</f>
        <v>0</v>
      </c>
      <c r="DN247" s="148" t="e">
        <f>IF(OR($C247=1,$C247=3),0,IF((VLOOKUP(CAPTURA!D247,HORAS!$B$4:$K$42,10,FALSE)/4)*COUNTIF($H247:$CT247,3)&gt;100,100,(VLOOKUP(CAPTURA!D247,HORAS!$B$4:$K$42,10,FALSE)/4)*COUNTIF($H247:$CT247,3)))</f>
        <v>#N/A</v>
      </c>
      <c r="DO247" s="144" t="e">
        <f>IF(OR($C247=1,$C247=3),0,IF($C247=5,VLOOKUP(D247,HORAS!$B$4:$G$42,6,FALSE),IF(AND($C247=4,$CV247&gt;=(42/24)),VLOOKUP(D247,HORAS!$B$4:$G$42,6,FALSE),IF(COUNTIF($H247:$CL247,"F")&gt;0,0,IF(CV247&gt;$DJ$1,$DJ$1*(VLOOKUP(D247,HORAS!$B$4:$G$42,6,FALSE)/$DJ$1),CV247*(VLOOKUP(D247,HORAS!$B$4:$G$42,6,FALSE)/$DJ$1))))))</f>
        <v>#N/A</v>
      </c>
      <c r="DP247" s="156"/>
      <c r="DQ247" s="89"/>
      <c r="DR247" s="148"/>
      <c r="DS247" s="83" t="e">
        <f t="shared" si="130"/>
        <v>#N/A</v>
      </c>
      <c r="DT247" s="84"/>
      <c r="DU247" s="149" t="e">
        <f t="shared" si="131"/>
        <v>#N/A</v>
      </c>
      <c r="DV247" s="149" t="e">
        <f t="shared" si="132"/>
        <v>#N/A</v>
      </c>
      <c r="DW247" s="144" t="e">
        <f t="shared" si="133"/>
        <v>#N/A</v>
      </c>
      <c r="DX247" s="134"/>
      <c r="DY247" s="29"/>
      <c r="DZ247" s="150"/>
      <c r="EA247" s="134"/>
      <c r="EB247" s="137">
        <f t="shared" si="134"/>
        <v>0</v>
      </c>
      <c r="EC247" s="138">
        <f t="shared" si="128"/>
        <v>0</v>
      </c>
      <c r="ED247" s="137">
        <f t="shared" si="135"/>
        <v>0</v>
      </c>
      <c r="EE247" s="132">
        <f t="shared" si="129"/>
        <v>0</v>
      </c>
      <c r="EF247" s="29"/>
      <c r="EG247" s="134"/>
      <c r="EH247" s="134"/>
      <c r="EI247" s="134"/>
      <c r="EK247" s="29"/>
    </row>
    <row r="248" spans="1:141" ht="15" customHeight="1" x14ac:dyDescent="0.25">
      <c r="A248" s="140"/>
      <c r="B248" s="5"/>
      <c r="C248" s="72"/>
      <c r="D248" s="73"/>
      <c r="E248" s="73"/>
      <c r="F248" s="141"/>
      <c r="G248" s="74"/>
      <c r="H248" s="75"/>
      <c r="I248" s="76"/>
      <c r="J248" s="135"/>
      <c r="K248" s="135"/>
      <c r="L248" s="77">
        <f t="shared" si="106"/>
        <v>0</v>
      </c>
      <c r="M248" s="78"/>
      <c r="N248" s="142"/>
      <c r="O248" s="142"/>
      <c r="P248" s="77">
        <f t="shared" si="107"/>
        <v>0</v>
      </c>
      <c r="Q248" s="78"/>
      <c r="R248" s="143"/>
      <c r="S248" s="143"/>
      <c r="T248" s="77">
        <f t="shared" si="108"/>
        <v>0</v>
      </c>
      <c r="U248" s="75"/>
      <c r="V248" s="76"/>
      <c r="W248" s="135"/>
      <c r="X248" s="135"/>
      <c r="Y248" s="77">
        <f t="shared" si="109"/>
        <v>0</v>
      </c>
      <c r="Z248" s="78"/>
      <c r="AA248" s="142"/>
      <c r="AB248" s="142"/>
      <c r="AC248" s="77">
        <f t="shared" si="110"/>
        <v>0</v>
      </c>
      <c r="AD248" s="78"/>
      <c r="AE248" s="143"/>
      <c r="AF248" s="143"/>
      <c r="AG248" s="79">
        <f t="shared" si="111"/>
        <v>0</v>
      </c>
      <c r="AH248" s="75"/>
      <c r="AI248" s="76"/>
      <c r="AJ248" s="135"/>
      <c r="AK248" s="135"/>
      <c r="AL248" s="77">
        <f t="shared" si="112"/>
        <v>0</v>
      </c>
      <c r="AM248" s="76"/>
      <c r="AN248" s="142"/>
      <c r="AO248" s="142"/>
      <c r="AP248" s="77">
        <f t="shared" si="113"/>
        <v>0</v>
      </c>
      <c r="AQ248" s="78"/>
      <c r="AR248" s="142"/>
      <c r="AS248" s="142"/>
      <c r="AT248" s="79">
        <f t="shared" si="114"/>
        <v>0</v>
      </c>
      <c r="AU248" s="75"/>
      <c r="AV248" s="76"/>
      <c r="AW248" s="135"/>
      <c r="AX248" s="135"/>
      <c r="AY248" s="77">
        <f t="shared" si="115"/>
        <v>0</v>
      </c>
      <c r="AZ248" s="76"/>
      <c r="BA248" s="142"/>
      <c r="BB248" s="142"/>
      <c r="BC248" s="77">
        <f t="shared" si="116"/>
        <v>0</v>
      </c>
      <c r="BD248" s="78"/>
      <c r="BE248" s="142"/>
      <c r="BF248" s="142"/>
      <c r="BG248" s="79">
        <f t="shared" si="117"/>
        <v>0</v>
      </c>
      <c r="BH248" s="75"/>
      <c r="BI248" s="76"/>
      <c r="BJ248" s="135"/>
      <c r="BK248" s="135"/>
      <c r="BL248" s="77">
        <f t="shared" si="118"/>
        <v>0</v>
      </c>
      <c r="BM248" s="78"/>
      <c r="BN248" s="142"/>
      <c r="BO248" s="142"/>
      <c r="BP248" s="77">
        <f t="shared" si="119"/>
        <v>0</v>
      </c>
      <c r="BQ248" s="78"/>
      <c r="BR248" s="142"/>
      <c r="BS248" s="142"/>
      <c r="BT248" s="79">
        <f t="shared" si="120"/>
        <v>0</v>
      </c>
      <c r="BU248" s="75"/>
      <c r="BV248" s="76"/>
      <c r="BW248" s="135"/>
      <c r="BX248" s="135"/>
      <c r="BY248" s="77">
        <f t="shared" si="121"/>
        <v>0</v>
      </c>
      <c r="BZ248" s="78"/>
      <c r="CA248" s="142"/>
      <c r="CB248" s="142"/>
      <c r="CC248" s="77">
        <f t="shared" si="122"/>
        <v>0</v>
      </c>
      <c r="CD248" s="78"/>
      <c r="CE248" s="142"/>
      <c r="CF248" s="142"/>
      <c r="CG248" s="79">
        <f t="shared" si="123"/>
        <v>0</v>
      </c>
      <c r="CH248" s="75"/>
      <c r="CI248" s="76"/>
      <c r="CJ248" s="135"/>
      <c r="CK248" s="135"/>
      <c r="CL248" s="77">
        <f t="shared" si="124"/>
        <v>0</v>
      </c>
      <c r="CM248" s="78"/>
      <c r="CN248" s="142"/>
      <c r="CO248" s="142"/>
      <c r="CP248" s="77">
        <f t="shared" si="125"/>
        <v>0</v>
      </c>
      <c r="CQ248" s="78"/>
      <c r="CR248" s="142"/>
      <c r="CS248" s="142"/>
      <c r="CT248" s="79">
        <f t="shared" si="126"/>
        <v>0</v>
      </c>
      <c r="CU248" s="80">
        <f t="shared" si="136"/>
        <v>0</v>
      </c>
      <c r="CV248" s="81">
        <f t="shared" si="137"/>
        <v>0</v>
      </c>
      <c r="CW248" s="144"/>
      <c r="CX248" s="145">
        <f>IF(ISERROR(VLOOKUP($A248,FIJOS!$B$11:$O$590,14,FALSE)),0,VLOOKUP($A248,FIJOS!$B$11:$O$590,14,FALSE))</f>
        <v>0</v>
      </c>
      <c r="CY248" s="145">
        <f>IF(ISERROR(VLOOKUP(A248,FIJOS!$B$10:$P$590,15,FALSE)),0,VLOOKUP(A248,FIJOS!$B$10:$P$590,15,FALSE))</f>
        <v>0</v>
      </c>
      <c r="CZ248" s="156"/>
      <c r="DA248" s="146"/>
      <c r="DB248" s="147"/>
      <c r="DC248" s="147"/>
      <c r="DD248" s="147"/>
      <c r="DE248" s="147"/>
      <c r="DF248" s="145">
        <f>IF(ISERROR(VLOOKUP($A248,FIJOS!$B$11:$N$590,13,FALSE)),0,VLOOKUP($A248,FIJOS!$B$11:$N$590,13,FALSE))</f>
        <v>0</v>
      </c>
      <c r="DG248" s="145">
        <f>IF(ISERROR(VLOOKUP($A248,FIJOS!$B$11:$P$447,12,FALSE)),0,VLOOKUP($A248,FIJOS!$B$11:$P$447,12,FALSE))</f>
        <v>0</v>
      </c>
      <c r="DH248" s="82">
        <f t="shared" si="127"/>
        <v>0</v>
      </c>
      <c r="DI248" s="83" t="b">
        <f>IF($C248=1,(VLOOKUP($A248,FIJOS!$B$11:$P$545,10,FALSE)/7)*(7-$CU248),IF(AND($C248=2,CV248&lt;$DJ$1),(VLOOKUP($D248,HORAS!$B$4:$C$42,2,FALSE)*24)*$CV248,IF(AND($C248=2,CV248&gt;=$DJ$1),VLOOKUP($D248,HORAS!$B$4:$D$42,3,FALSE),IF(AND($C248=3,$CV248&gt;=$DJ$1),VLOOKUP($A248,FIJOS!$B$11:$P$545,10,FALSE),IF(AND($C248=3,$CV248&lt;$DJ$1),((VLOOKUP($A248,FIJOS!$B$11:$P$545,10,FALSE)/48)*24)*$CV248,IF(AND($C248=4,$CV248&gt;=(42/24)),VLOOKUP($D248,HORAS!$B$4:$D$42,3,FALSE),IF(AND($C248=5,$CV248&gt;=(36/24)),VLOOKUP($D248,HORAS!$B$4:$D$42,3,FALSE))))))))</f>
        <v>0</v>
      </c>
      <c r="DJ248" s="145">
        <f>IF(OR($C248=2),VLOOKUP($D248,HORAS!$B$4:$E$42,4,FALSE)*$EC248,IF(ISERROR(VLOOKUP($A248,FIJOS!$B$11:$P$108,9,FALSE)),0,VLOOKUP($A248,FIJOS!$B$11:$P$231,9,FALSE)*$EC248))</f>
        <v>0</v>
      </c>
      <c r="DK248" s="145">
        <f>IF(OR($C248=2),VLOOKUP($D248,HORAS!$B$4:$F$42,5,FALSE)*$EE248,IF(ISERROR(VLOOKUP($A248,FIJOS!$B$11:$P$108,9,FALSE)),0,VLOOKUP($A248,FIJOS!$B$11:$P$231,9,FALSE)*$EE248))</f>
        <v>0</v>
      </c>
      <c r="DL248" s="144"/>
      <c r="DM248" s="145">
        <f>IF(ISERROR(VLOOKUP($A248,FIJOS!$B$11:$L$646,11,FALSE)),0,VLOOKUP($A248,FIJOS!$B$11:$L$646,11,FALSE))</f>
        <v>0</v>
      </c>
      <c r="DN248" s="148" t="e">
        <f>IF(OR($C248=1,$C248=3),0,IF((VLOOKUP(CAPTURA!D248,HORAS!$B$4:$K$42,10,FALSE)/4)*COUNTIF($H248:$CT248,3)&gt;100,100,(VLOOKUP(CAPTURA!D248,HORAS!$B$4:$K$42,10,FALSE)/4)*COUNTIF($H248:$CT248,3)))</f>
        <v>#N/A</v>
      </c>
      <c r="DO248" s="144" t="e">
        <f>IF(OR($C248=1,$C248=3),0,IF($C248=5,VLOOKUP(D248,HORAS!$B$4:$G$42,6,FALSE),IF(AND($C248=4,$CV248&gt;=(42/24)),VLOOKUP(D248,HORAS!$B$4:$G$42,6,FALSE),IF(COUNTIF($H248:$CL248,"F")&gt;0,0,IF(CV248&gt;$DJ$1,$DJ$1*(VLOOKUP(D248,HORAS!$B$4:$G$42,6,FALSE)/$DJ$1),CV248*(VLOOKUP(D248,HORAS!$B$4:$G$42,6,FALSE)/$DJ$1))))))</f>
        <v>#N/A</v>
      </c>
      <c r="DP248" s="156"/>
      <c r="DQ248" s="89"/>
      <c r="DR248" s="148"/>
      <c r="DS248" s="83" t="e">
        <f t="shared" si="130"/>
        <v>#N/A</v>
      </c>
      <c r="DT248" s="84"/>
      <c r="DU248" s="149" t="e">
        <f t="shared" si="131"/>
        <v>#N/A</v>
      </c>
      <c r="DV248" s="149" t="e">
        <f t="shared" si="132"/>
        <v>#N/A</v>
      </c>
      <c r="DW248" s="144" t="e">
        <f t="shared" si="133"/>
        <v>#N/A</v>
      </c>
      <c r="DX248"/>
      <c r="DY248" s="29"/>
      <c r="DZ248" s="150"/>
      <c r="EA248" s="134"/>
      <c r="EB248" s="137">
        <f t="shared" si="134"/>
        <v>0</v>
      </c>
      <c r="EC248" s="138">
        <f t="shared" si="128"/>
        <v>0</v>
      </c>
      <c r="ED248" s="137">
        <f t="shared" si="135"/>
        <v>0</v>
      </c>
      <c r="EE248" s="132">
        <f t="shared" si="129"/>
        <v>0</v>
      </c>
      <c r="EF248" s="29"/>
      <c r="EG248" s="134"/>
      <c r="EH248" s="134"/>
      <c r="EI248" s="134"/>
      <c r="EK248" s="29"/>
    </row>
    <row r="249" spans="1:141" ht="15" customHeight="1" x14ac:dyDescent="0.25">
      <c r="A249" s="140"/>
      <c r="B249" s="151"/>
      <c r="C249" s="72"/>
      <c r="D249" s="73"/>
      <c r="E249" s="73"/>
      <c r="F249" s="141"/>
      <c r="G249" s="74"/>
      <c r="H249" s="75"/>
      <c r="I249" s="76"/>
      <c r="J249" s="135"/>
      <c r="K249" s="135"/>
      <c r="L249" s="77">
        <f t="shared" si="106"/>
        <v>0</v>
      </c>
      <c r="M249" s="78"/>
      <c r="N249" s="142"/>
      <c r="O249" s="142"/>
      <c r="P249" s="77">
        <f t="shared" si="107"/>
        <v>0</v>
      </c>
      <c r="Q249" s="78"/>
      <c r="R249" s="143"/>
      <c r="S249" s="143"/>
      <c r="T249" s="77">
        <f t="shared" si="108"/>
        <v>0</v>
      </c>
      <c r="U249" s="75"/>
      <c r="V249" s="76"/>
      <c r="W249" s="135"/>
      <c r="X249" s="135"/>
      <c r="Y249" s="77">
        <f t="shared" si="109"/>
        <v>0</v>
      </c>
      <c r="Z249" s="78"/>
      <c r="AA249" s="142"/>
      <c r="AB249" s="142"/>
      <c r="AC249" s="77">
        <f t="shared" si="110"/>
        <v>0</v>
      </c>
      <c r="AD249" s="78"/>
      <c r="AE249" s="143"/>
      <c r="AF249" s="143"/>
      <c r="AG249" s="79">
        <f t="shared" si="111"/>
        <v>0</v>
      </c>
      <c r="AH249" s="75"/>
      <c r="AI249" s="76"/>
      <c r="AJ249" s="135"/>
      <c r="AK249" s="135"/>
      <c r="AL249" s="77">
        <f t="shared" si="112"/>
        <v>0</v>
      </c>
      <c r="AM249" s="76"/>
      <c r="AN249" s="142"/>
      <c r="AO249" s="142"/>
      <c r="AP249" s="77">
        <f t="shared" si="113"/>
        <v>0</v>
      </c>
      <c r="AQ249" s="78"/>
      <c r="AR249" s="142"/>
      <c r="AS249" s="142"/>
      <c r="AT249" s="79">
        <f t="shared" si="114"/>
        <v>0</v>
      </c>
      <c r="AU249" s="75"/>
      <c r="AV249" s="76"/>
      <c r="AW249" s="135"/>
      <c r="AX249" s="135"/>
      <c r="AY249" s="77">
        <f t="shared" si="115"/>
        <v>0</v>
      </c>
      <c r="AZ249" s="76"/>
      <c r="BA249" s="142"/>
      <c r="BB249" s="142"/>
      <c r="BC249" s="77">
        <f t="shared" si="116"/>
        <v>0</v>
      </c>
      <c r="BD249" s="78"/>
      <c r="BE249" s="142"/>
      <c r="BF249" s="142"/>
      <c r="BG249" s="79">
        <f t="shared" si="117"/>
        <v>0</v>
      </c>
      <c r="BH249" s="75"/>
      <c r="BI249" s="76"/>
      <c r="BJ249" s="135"/>
      <c r="BK249" s="135"/>
      <c r="BL249" s="77">
        <f t="shared" si="118"/>
        <v>0</v>
      </c>
      <c r="BM249" s="78"/>
      <c r="BN249" s="142"/>
      <c r="BO249" s="142"/>
      <c r="BP249" s="77">
        <f t="shared" si="119"/>
        <v>0</v>
      </c>
      <c r="BQ249" s="78"/>
      <c r="BR249" s="142"/>
      <c r="BS249" s="142"/>
      <c r="BT249" s="79">
        <f t="shared" si="120"/>
        <v>0</v>
      </c>
      <c r="BU249" s="75"/>
      <c r="BV249" s="76"/>
      <c r="BW249" s="135"/>
      <c r="BX249" s="135"/>
      <c r="BY249" s="77">
        <f t="shared" si="121"/>
        <v>0</v>
      </c>
      <c r="BZ249" s="78"/>
      <c r="CA249" s="142"/>
      <c r="CB249" s="142"/>
      <c r="CC249" s="77">
        <f t="shared" si="122"/>
        <v>0</v>
      </c>
      <c r="CD249" s="78"/>
      <c r="CE249" s="142"/>
      <c r="CF249" s="142"/>
      <c r="CG249" s="79">
        <f t="shared" si="123"/>
        <v>0</v>
      </c>
      <c r="CH249" s="75"/>
      <c r="CI249" s="76"/>
      <c r="CJ249" s="135"/>
      <c r="CK249" s="135"/>
      <c r="CL249" s="77">
        <f t="shared" si="124"/>
        <v>0</v>
      </c>
      <c r="CM249" s="78"/>
      <c r="CN249" s="142"/>
      <c r="CO249" s="142"/>
      <c r="CP249" s="77">
        <f t="shared" si="125"/>
        <v>0</v>
      </c>
      <c r="CQ249" s="78"/>
      <c r="CR249" s="142"/>
      <c r="CS249" s="142"/>
      <c r="CT249" s="79">
        <f t="shared" si="126"/>
        <v>0</v>
      </c>
      <c r="CU249" s="80">
        <f t="shared" si="136"/>
        <v>0</v>
      </c>
      <c r="CV249" s="81">
        <f t="shared" si="137"/>
        <v>0</v>
      </c>
      <c r="CW249" s="144"/>
      <c r="CX249" s="145">
        <f>IF(ISERROR(VLOOKUP($A249,FIJOS!$B$11:$O$590,14,FALSE)),0,VLOOKUP($A249,FIJOS!$B$11:$O$590,14,FALSE))</f>
        <v>0</v>
      </c>
      <c r="CY249" s="145">
        <f>IF(ISERROR(VLOOKUP(A249,FIJOS!$B$10:$P$590,15,FALSE)),0,VLOOKUP(A249,FIJOS!$B$10:$P$590,15,FALSE))</f>
        <v>0</v>
      </c>
      <c r="CZ249" s="156"/>
      <c r="DA249" s="146"/>
      <c r="DB249" s="147"/>
      <c r="DC249" s="147"/>
      <c r="DD249" s="147"/>
      <c r="DE249" s="147"/>
      <c r="DF249" s="145">
        <f>IF(ISERROR(VLOOKUP($A249,FIJOS!$B$11:$N$590,13,FALSE)),0,VLOOKUP($A249,FIJOS!$B$11:$N$590,13,FALSE))</f>
        <v>0</v>
      </c>
      <c r="DG249" s="145">
        <f>IF(ISERROR(VLOOKUP($A249,FIJOS!$B$11:$P$447,12,FALSE)),0,VLOOKUP($A249,FIJOS!$B$11:$P$447,12,FALSE))</f>
        <v>0</v>
      </c>
      <c r="DH249" s="82">
        <f t="shared" si="127"/>
        <v>0</v>
      </c>
      <c r="DI249" s="83" t="b">
        <f>IF($C249=1,(VLOOKUP($A249,FIJOS!$B$11:$P$545,10,FALSE)/7)*(7-$CU249),IF(AND($C249=2,CV249&lt;$DJ$1),(VLOOKUP($D249,HORAS!$B$4:$C$42,2,FALSE)*24)*$CV249,IF(AND($C249=2,CV249&gt;=$DJ$1),VLOOKUP($D249,HORAS!$B$4:$D$42,3,FALSE),IF(AND($C249=3,$CV249&gt;=$DJ$1),VLOOKUP($A249,FIJOS!$B$11:$P$545,10,FALSE),IF(AND($C249=3,$CV249&lt;$DJ$1),((VLOOKUP($A249,FIJOS!$B$11:$P$545,10,FALSE)/48)*24)*$CV249,IF(AND($C249=4,$CV249&gt;=(42/24)),VLOOKUP($D249,HORAS!$B$4:$D$42,3,FALSE),IF(AND($C249=5,$CV249&gt;=(36/24)),VLOOKUP($D249,HORAS!$B$4:$D$42,3,FALSE))))))))</f>
        <v>0</v>
      </c>
      <c r="DJ249" s="145">
        <f>IF(OR($C249=2),VLOOKUP($D249,HORAS!$B$4:$E$42,4,FALSE)*$EC249,IF(ISERROR(VLOOKUP($A249,FIJOS!$B$11:$P$108,9,FALSE)),0,VLOOKUP($A249,FIJOS!$B$11:$P$231,9,FALSE)*$EC249))</f>
        <v>0</v>
      </c>
      <c r="DK249" s="145">
        <f>IF(OR($C249=2),VLOOKUP($D249,HORAS!$B$4:$F$42,5,FALSE)*$EE249,IF(ISERROR(VLOOKUP($A249,FIJOS!$B$11:$P$108,9,FALSE)),0,VLOOKUP($A249,FIJOS!$B$11:$P$231,9,FALSE)*$EE249))</f>
        <v>0</v>
      </c>
      <c r="DL249" s="144"/>
      <c r="DM249" s="145">
        <f>IF(ISERROR(VLOOKUP($A249,FIJOS!$B$11:$L$646,11,FALSE)),0,VLOOKUP($A249,FIJOS!$B$11:$L$646,11,FALSE))</f>
        <v>0</v>
      </c>
      <c r="DN249" s="148" t="e">
        <f>IF(OR($C249=1,$C249=3),0,IF((VLOOKUP(CAPTURA!D249,HORAS!$B$4:$K$42,10,FALSE)/4)*COUNTIF($H249:$CT249,3)&gt;100,100,(VLOOKUP(CAPTURA!D249,HORAS!$B$4:$K$42,10,FALSE)/4)*COUNTIF($H249:$CT249,3)))</f>
        <v>#N/A</v>
      </c>
      <c r="DO249" s="144" t="e">
        <f>IF(OR($C249=1,$C249=3),0,IF($C249=5,VLOOKUP(D249,HORAS!$B$4:$G$42,6,FALSE),IF(AND($C249=4,$CV249&gt;=(42/24)),VLOOKUP(D249,HORAS!$B$4:$G$42,6,FALSE),IF(COUNTIF($H249:$CL249,"F")&gt;0,0,IF(CV249&gt;$DJ$1,$DJ$1*(VLOOKUP(D249,HORAS!$B$4:$G$42,6,FALSE)/$DJ$1),CV249*(VLOOKUP(D249,HORAS!$B$4:$G$42,6,FALSE)/$DJ$1))))))</f>
        <v>#N/A</v>
      </c>
      <c r="DP249" s="156"/>
      <c r="DQ249" s="89"/>
      <c r="DR249" s="148"/>
      <c r="DS249" s="83" t="e">
        <f t="shared" si="130"/>
        <v>#N/A</v>
      </c>
      <c r="DT249" s="84"/>
      <c r="DU249" s="149" t="e">
        <f t="shared" si="131"/>
        <v>#N/A</v>
      </c>
      <c r="DV249" s="149" t="e">
        <f t="shared" si="132"/>
        <v>#N/A</v>
      </c>
      <c r="DW249" s="144" t="e">
        <f t="shared" si="133"/>
        <v>#N/A</v>
      </c>
      <c r="DX249" s="134"/>
      <c r="DY249" s="29"/>
      <c r="DZ249" s="150"/>
      <c r="EA249" s="134"/>
      <c r="EB249" s="137">
        <f t="shared" si="134"/>
        <v>0</v>
      </c>
      <c r="EC249" s="138">
        <f t="shared" si="128"/>
        <v>0</v>
      </c>
      <c r="ED249" s="137">
        <f t="shared" si="135"/>
        <v>0</v>
      </c>
      <c r="EE249" s="132">
        <f t="shared" si="129"/>
        <v>0</v>
      </c>
      <c r="EF249" s="29"/>
      <c r="EG249" s="134"/>
      <c r="EH249" s="134"/>
      <c r="EI249" s="134"/>
      <c r="EK249" s="29"/>
    </row>
    <row r="250" spans="1:141" ht="15" customHeight="1" x14ac:dyDescent="0.25">
      <c r="A250" s="140"/>
      <c r="B250" s="5"/>
      <c r="C250" s="72"/>
      <c r="D250" s="73"/>
      <c r="E250" s="73"/>
      <c r="F250" s="141"/>
      <c r="G250" s="74"/>
      <c r="H250" s="75"/>
      <c r="I250" s="76"/>
      <c r="J250" s="135"/>
      <c r="K250" s="135"/>
      <c r="L250" s="77">
        <f t="shared" si="106"/>
        <v>0</v>
      </c>
      <c r="M250" s="78"/>
      <c r="N250" s="142"/>
      <c r="O250" s="142"/>
      <c r="P250" s="77">
        <f t="shared" si="107"/>
        <v>0</v>
      </c>
      <c r="Q250" s="78"/>
      <c r="R250" s="143"/>
      <c r="S250" s="143"/>
      <c r="T250" s="77">
        <f t="shared" si="108"/>
        <v>0</v>
      </c>
      <c r="U250" s="75"/>
      <c r="V250" s="76"/>
      <c r="W250" s="135"/>
      <c r="X250" s="135"/>
      <c r="Y250" s="77">
        <f t="shared" si="109"/>
        <v>0</v>
      </c>
      <c r="Z250" s="78"/>
      <c r="AA250" s="142"/>
      <c r="AB250" s="142"/>
      <c r="AC250" s="77">
        <f t="shared" si="110"/>
        <v>0</v>
      </c>
      <c r="AD250" s="78"/>
      <c r="AE250" s="143"/>
      <c r="AF250" s="143"/>
      <c r="AG250" s="79">
        <f t="shared" si="111"/>
        <v>0</v>
      </c>
      <c r="AH250" s="75"/>
      <c r="AI250" s="76"/>
      <c r="AJ250" s="135"/>
      <c r="AK250" s="135"/>
      <c r="AL250" s="77">
        <f t="shared" si="112"/>
        <v>0</v>
      </c>
      <c r="AM250" s="76"/>
      <c r="AN250" s="142"/>
      <c r="AO250" s="142"/>
      <c r="AP250" s="77">
        <f t="shared" si="113"/>
        <v>0</v>
      </c>
      <c r="AQ250" s="78"/>
      <c r="AR250" s="142"/>
      <c r="AS250" s="142"/>
      <c r="AT250" s="79">
        <f t="shared" si="114"/>
        <v>0</v>
      </c>
      <c r="AU250" s="75"/>
      <c r="AV250" s="76"/>
      <c r="AW250" s="135"/>
      <c r="AX250" s="135"/>
      <c r="AY250" s="77">
        <f t="shared" si="115"/>
        <v>0</v>
      </c>
      <c r="AZ250" s="76"/>
      <c r="BA250" s="142"/>
      <c r="BB250" s="142"/>
      <c r="BC250" s="77">
        <f t="shared" si="116"/>
        <v>0</v>
      </c>
      <c r="BD250" s="78"/>
      <c r="BE250" s="142"/>
      <c r="BF250" s="142"/>
      <c r="BG250" s="79">
        <f t="shared" si="117"/>
        <v>0</v>
      </c>
      <c r="BH250" s="75"/>
      <c r="BI250" s="76"/>
      <c r="BJ250" s="135"/>
      <c r="BK250" s="135"/>
      <c r="BL250" s="77">
        <f t="shared" si="118"/>
        <v>0</v>
      </c>
      <c r="BM250" s="78"/>
      <c r="BN250" s="142"/>
      <c r="BO250" s="142"/>
      <c r="BP250" s="77">
        <f t="shared" si="119"/>
        <v>0</v>
      </c>
      <c r="BQ250" s="78"/>
      <c r="BR250" s="142"/>
      <c r="BS250" s="142"/>
      <c r="BT250" s="79">
        <f t="shared" si="120"/>
        <v>0</v>
      </c>
      <c r="BU250" s="75"/>
      <c r="BV250" s="76"/>
      <c r="BW250" s="135"/>
      <c r="BX250" s="135"/>
      <c r="BY250" s="77">
        <f t="shared" si="121"/>
        <v>0</v>
      </c>
      <c r="BZ250" s="78"/>
      <c r="CA250" s="142"/>
      <c r="CB250" s="142"/>
      <c r="CC250" s="77">
        <f t="shared" si="122"/>
        <v>0</v>
      </c>
      <c r="CD250" s="78"/>
      <c r="CE250" s="142"/>
      <c r="CF250" s="142"/>
      <c r="CG250" s="79">
        <f t="shared" si="123"/>
        <v>0</v>
      </c>
      <c r="CH250" s="75"/>
      <c r="CI250" s="76"/>
      <c r="CJ250" s="135"/>
      <c r="CK250" s="135"/>
      <c r="CL250" s="77">
        <f t="shared" si="124"/>
        <v>0</v>
      </c>
      <c r="CM250" s="78"/>
      <c r="CN250" s="142"/>
      <c r="CO250" s="142"/>
      <c r="CP250" s="77">
        <f t="shared" si="125"/>
        <v>0</v>
      </c>
      <c r="CQ250" s="78"/>
      <c r="CR250" s="142"/>
      <c r="CS250" s="142"/>
      <c r="CT250" s="79">
        <f t="shared" si="126"/>
        <v>0</v>
      </c>
      <c r="CU250" s="80">
        <f t="shared" si="136"/>
        <v>0</v>
      </c>
      <c r="CV250" s="81">
        <f t="shared" si="137"/>
        <v>0</v>
      </c>
      <c r="CW250" s="144"/>
      <c r="CX250" s="145">
        <f>IF(ISERROR(VLOOKUP($A250,FIJOS!$B$11:$O$590,14,FALSE)),0,VLOOKUP($A250,FIJOS!$B$11:$O$590,14,FALSE))</f>
        <v>0</v>
      </c>
      <c r="CY250" s="145">
        <f>IF(ISERROR(VLOOKUP(A250,FIJOS!$B$10:$P$590,15,FALSE)),0,VLOOKUP(A250,FIJOS!$B$10:$P$590,15,FALSE))</f>
        <v>0</v>
      </c>
      <c r="CZ250" s="156"/>
      <c r="DA250" s="146"/>
      <c r="DB250" s="147"/>
      <c r="DC250" s="147"/>
      <c r="DD250" s="147"/>
      <c r="DE250" s="147"/>
      <c r="DF250" s="145">
        <f>IF(ISERROR(VLOOKUP($A250,FIJOS!$B$11:$N$590,13,FALSE)),0,VLOOKUP($A250,FIJOS!$B$11:$N$590,13,FALSE))</f>
        <v>0</v>
      </c>
      <c r="DG250" s="145">
        <f>IF(ISERROR(VLOOKUP($A250,FIJOS!$B$11:$P$447,12,FALSE)),0,VLOOKUP($A250,FIJOS!$B$11:$P$447,12,FALSE))</f>
        <v>0</v>
      </c>
      <c r="DH250" s="82">
        <f t="shared" si="127"/>
        <v>0</v>
      </c>
      <c r="DI250" s="83" t="b">
        <f>IF($C250=1,(VLOOKUP($A250,FIJOS!$B$11:$P$545,10,FALSE)/7)*(7-$CU250),IF(AND($C250=2,CV250&lt;$DJ$1),(VLOOKUP($D250,HORAS!$B$4:$C$42,2,FALSE)*24)*$CV250,IF(AND($C250=2,CV250&gt;=$DJ$1),VLOOKUP($D250,HORAS!$B$4:$D$42,3,FALSE),IF(AND($C250=3,$CV250&gt;=$DJ$1),VLOOKUP($A250,FIJOS!$B$11:$P$545,10,FALSE),IF(AND($C250=3,$CV250&lt;$DJ$1),((VLOOKUP($A250,FIJOS!$B$11:$P$545,10,FALSE)/48)*24)*$CV250,IF(AND($C250=4,$CV250&gt;=(42/24)),VLOOKUP($D250,HORAS!$B$4:$D$42,3,FALSE),IF(AND($C250=5,$CV250&gt;=(36/24)),VLOOKUP($D250,HORAS!$B$4:$D$42,3,FALSE))))))))</f>
        <v>0</v>
      </c>
      <c r="DJ250" s="145">
        <f>IF(OR($C250=2),VLOOKUP($D250,HORAS!$B$4:$E$42,4,FALSE)*$EC250,IF(ISERROR(VLOOKUP($A250,FIJOS!$B$11:$P$108,9,FALSE)),0,VLOOKUP($A250,FIJOS!$B$11:$P$231,9,FALSE)*$EC250))</f>
        <v>0</v>
      </c>
      <c r="DK250" s="145">
        <f>IF(OR($C250=2),VLOOKUP($D250,HORAS!$B$4:$F$42,5,FALSE)*$EE250,IF(ISERROR(VLOOKUP($A250,FIJOS!$B$11:$P$108,9,FALSE)),0,VLOOKUP($A250,FIJOS!$B$11:$P$231,9,FALSE)*$EE250))</f>
        <v>0</v>
      </c>
      <c r="DL250" s="144"/>
      <c r="DM250" s="145">
        <f>IF(ISERROR(VLOOKUP($A250,FIJOS!$B$11:$L$646,11,FALSE)),0,VLOOKUP($A250,FIJOS!$B$11:$L$646,11,FALSE))</f>
        <v>0</v>
      </c>
      <c r="DN250" s="148" t="e">
        <f>IF(OR($C250=1,$C250=3),0,IF((VLOOKUP(CAPTURA!D250,HORAS!$B$4:$K$42,10,FALSE)/4)*COUNTIF($H250:$CT250,3)&gt;100,100,(VLOOKUP(CAPTURA!D250,HORAS!$B$4:$K$42,10,FALSE)/4)*COUNTIF($H250:$CT250,3)))</f>
        <v>#N/A</v>
      </c>
      <c r="DO250" s="144" t="e">
        <f>IF(OR($C250=1,$C250=3),0,IF($C250=5,VLOOKUP(D250,HORAS!$B$4:$G$42,6,FALSE),IF(AND($C250=4,$CV250&gt;=(42/24)),VLOOKUP(D250,HORAS!$B$4:$G$42,6,FALSE),IF(COUNTIF($H250:$CL250,"F")&gt;0,0,IF(CV250&gt;$DJ$1,$DJ$1*(VLOOKUP(D250,HORAS!$B$4:$G$42,6,FALSE)/$DJ$1),CV250*(VLOOKUP(D250,HORAS!$B$4:$G$42,6,FALSE)/$DJ$1))))))</f>
        <v>#N/A</v>
      </c>
      <c r="DP250" s="156"/>
      <c r="DQ250" s="89"/>
      <c r="DR250" s="148"/>
      <c r="DS250" s="83" t="e">
        <f t="shared" si="130"/>
        <v>#N/A</v>
      </c>
      <c r="DT250" s="84"/>
      <c r="DU250" s="149" t="e">
        <f t="shared" si="131"/>
        <v>#N/A</v>
      </c>
      <c r="DV250" s="149" t="e">
        <f t="shared" si="132"/>
        <v>#N/A</v>
      </c>
      <c r="DW250" s="144" t="e">
        <f t="shared" si="133"/>
        <v>#N/A</v>
      </c>
      <c r="DX250" s="134"/>
      <c r="DY250" s="29"/>
      <c r="DZ250" s="150"/>
      <c r="EA250" s="134"/>
      <c r="EB250" s="137">
        <f t="shared" si="134"/>
        <v>0</v>
      </c>
      <c r="EC250" s="138">
        <f t="shared" si="128"/>
        <v>0</v>
      </c>
      <c r="ED250" s="137">
        <f t="shared" si="135"/>
        <v>0</v>
      </c>
      <c r="EE250" s="132">
        <f t="shared" si="129"/>
        <v>0</v>
      </c>
      <c r="EF250" s="29"/>
      <c r="EG250" s="134"/>
      <c r="EH250" s="134"/>
      <c r="EI250" s="134"/>
      <c r="EK250" s="29"/>
    </row>
    <row r="251" spans="1:141" ht="15" customHeight="1" x14ac:dyDescent="0.25">
      <c r="A251" s="140"/>
      <c r="B251" s="151"/>
      <c r="C251" s="72"/>
      <c r="D251" s="73"/>
      <c r="E251" s="73"/>
      <c r="F251" s="141"/>
      <c r="G251" s="74"/>
      <c r="H251" s="75"/>
      <c r="I251" s="76"/>
      <c r="J251" s="135"/>
      <c r="K251" s="135"/>
      <c r="L251" s="77">
        <f t="shared" si="106"/>
        <v>0</v>
      </c>
      <c r="M251" s="78"/>
      <c r="N251" s="142"/>
      <c r="O251" s="142"/>
      <c r="P251" s="77">
        <f t="shared" si="107"/>
        <v>0</v>
      </c>
      <c r="Q251" s="78"/>
      <c r="R251" s="143"/>
      <c r="S251" s="143"/>
      <c r="T251" s="77">
        <f t="shared" si="108"/>
        <v>0</v>
      </c>
      <c r="U251" s="75"/>
      <c r="V251" s="76"/>
      <c r="W251" s="135"/>
      <c r="X251" s="135"/>
      <c r="Y251" s="77">
        <f t="shared" si="109"/>
        <v>0</v>
      </c>
      <c r="Z251" s="78"/>
      <c r="AA251" s="142"/>
      <c r="AB251" s="142"/>
      <c r="AC251" s="77">
        <f t="shared" si="110"/>
        <v>0</v>
      </c>
      <c r="AD251" s="78"/>
      <c r="AE251" s="143"/>
      <c r="AF251" s="143"/>
      <c r="AG251" s="79">
        <f t="shared" si="111"/>
        <v>0</v>
      </c>
      <c r="AH251" s="75"/>
      <c r="AI251" s="76"/>
      <c r="AJ251" s="135"/>
      <c r="AK251" s="135"/>
      <c r="AL251" s="77">
        <f t="shared" si="112"/>
        <v>0</v>
      </c>
      <c r="AM251" s="76"/>
      <c r="AN251" s="142"/>
      <c r="AO251" s="142"/>
      <c r="AP251" s="77">
        <f t="shared" si="113"/>
        <v>0</v>
      </c>
      <c r="AQ251" s="78"/>
      <c r="AR251" s="142"/>
      <c r="AS251" s="142"/>
      <c r="AT251" s="79">
        <f t="shared" si="114"/>
        <v>0</v>
      </c>
      <c r="AU251" s="75"/>
      <c r="AV251" s="76"/>
      <c r="AW251" s="135"/>
      <c r="AX251" s="135"/>
      <c r="AY251" s="77">
        <f t="shared" si="115"/>
        <v>0</v>
      </c>
      <c r="AZ251" s="76"/>
      <c r="BA251" s="142"/>
      <c r="BB251" s="142"/>
      <c r="BC251" s="77">
        <f t="shared" si="116"/>
        <v>0</v>
      </c>
      <c r="BD251" s="78"/>
      <c r="BE251" s="142"/>
      <c r="BF251" s="142"/>
      <c r="BG251" s="79">
        <f t="shared" si="117"/>
        <v>0</v>
      </c>
      <c r="BH251" s="75"/>
      <c r="BI251" s="76"/>
      <c r="BJ251" s="135"/>
      <c r="BK251" s="135"/>
      <c r="BL251" s="77">
        <f t="shared" si="118"/>
        <v>0</v>
      </c>
      <c r="BM251" s="78"/>
      <c r="BN251" s="142"/>
      <c r="BO251" s="142"/>
      <c r="BP251" s="77">
        <f t="shared" si="119"/>
        <v>0</v>
      </c>
      <c r="BQ251" s="78"/>
      <c r="BR251" s="142"/>
      <c r="BS251" s="142"/>
      <c r="BT251" s="79">
        <f t="shared" si="120"/>
        <v>0</v>
      </c>
      <c r="BU251" s="75"/>
      <c r="BV251" s="76"/>
      <c r="BW251" s="135"/>
      <c r="BX251" s="135"/>
      <c r="BY251" s="77">
        <f t="shared" si="121"/>
        <v>0</v>
      </c>
      <c r="BZ251" s="78"/>
      <c r="CA251" s="142"/>
      <c r="CB251" s="142"/>
      <c r="CC251" s="77">
        <f t="shared" si="122"/>
        <v>0</v>
      </c>
      <c r="CD251" s="78"/>
      <c r="CE251" s="142"/>
      <c r="CF251" s="142"/>
      <c r="CG251" s="79">
        <f t="shared" si="123"/>
        <v>0</v>
      </c>
      <c r="CH251" s="75"/>
      <c r="CI251" s="76"/>
      <c r="CJ251" s="135"/>
      <c r="CK251" s="135"/>
      <c r="CL251" s="77">
        <f t="shared" si="124"/>
        <v>0</v>
      </c>
      <c r="CM251" s="78"/>
      <c r="CN251" s="142"/>
      <c r="CO251" s="142"/>
      <c r="CP251" s="77">
        <f t="shared" si="125"/>
        <v>0</v>
      </c>
      <c r="CQ251" s="78"/>
      <c r="CR251" s="142"/>
      <c r="CS251" s="142"/>
      <c r="CT251" s="79">
        <f t="shared" si="126"/>
        <v>0</v>
      </c>
      <c r="CU251" s="80">
        <f t="shared" si="136"/>
        <v>0</v>
      </c>
      <c r="CV251" s="81">
        <f t="shared" si="137"/>
        <v>0</v>
      </c>
      <c r="CW251" s="144"/>
      <c r="CX251" s="145">
        <f>IF(ISERROR(VLOOKUP($A251,FIJOS!$B$11:$O$590,14,FALSE)),0,VLOOKUP($A251,FIJOS!$B$11:$O$590,14,FALSE))</f>
        <v>0</v>
      </c>
      <c r="CY251" s="145">
        <f>IF(ISERROR(VLOOKUP(A251,FIJOS!$B$10:$P$590,15,FALSE)),0,VLOOKUP(A251,FIJOS!$B$10:$P$590,15,FALSE))</f>
        <v>0</v>
      </c>
      <c r="CZ251" s="156"/>
      <c r="DA251" s="146"/>
      <c r="DB251" s="147"/>
      <c r="DC251" s="147"/>
      <c r="DD251" s="147"/>
      <c r="DE251" s="147"/>
      <c r="DF251" s="145">
        <f>IF(ISERROR(VLOOKUP($A251,FIJOS!$B$11:$N$590,13,FALSE)),0,VLOOKUP($A251,FIJOS!$B$11:$N$590,13,FALSE))</f>
        <v>0</v>
      </c>
      <c r="DG251" s="145">
        <f>IF(ISERROR(VLOOKUP($A251,FIJOS!$B$11:$P$447,12,FALSE)),0,VLOOKUP($A251,FIJOS!$B$11:$P$447,12,FALSE))</f>
        <v>0</v>
      </c>
      <c r="DH251" s="82">
        <f t="shared" si="127"/>
        <v>0</v>
      </c>
      <c r="DI251" s="83" t="b">
        <f>IF($C251=1,(VLOOKUP($A251,FIJOS!$B$11:$P$545,10,FALSE)/7)*(7-$CU251),IF(AND($C251=2,CV251&lt;$DJ$1),(VLOOKUP($D251,HORAS!$B$4:$C$42,2,FALSE)*24)*$CV251,IF(AND($C251=2,CV251&gt;=$DJ$1),VLOOKUP($D251,HORAS!$B$4:$D$42,3,FALSE),IF(AND($C251=3,$CV251&gt;=$DJ$1),VLOOKUP($A251,FIJOS!$B$11:$P$545,10,FALSE),IF(AND($C251=3,$CV251&lt;$DJ$1),((VLOOKUP($A251,FIJOS!$B$11:$P$545,10,FALSE)/48)*24)*$CV251,IF(AND($C251=4,$CV251&gt;=(42/24)),VLOOKUP($D251,HORAS!$B$4:$D$42,3,FALSE),IF(AND($C251=5,$CV251&gt;=(36/24)),VLOOKUP($D251,HORAS!$B$4:$D$42,3,FALSE))))))))</f>
        <v>0</v>
      </c>
      <c r="DJ251" s="145">
        <f>IF(OR($C251=2),VLOOKUP($D251,HORAS!$B$4:$E$42,4,FALSE)*$EC251,IF(ISERROR(VLOOKUP($A251,FIJOS!$B$11:$P$108,9,FALSE)),0,VLOOKUP($A251,FIJOS!$B$11:$P$231,9,FALSE)*$EC251))</f>
        <v>0</v>
      </c>
      <c r="DK251" s="145">
        <f>IF(OR($C251=2),VLOOKUP($D251,HORAS!$B$4:$F$42,5,FALSE)*$EE251,IF(ISERROR(VLOOKUP($A251,FIJOS!$B$11:$P$108,9,FALSE)),0,VLOOKUP($A251,FIJOS!$B$11:$P$231,9,FALSE)*$EE251))</f>
        <v>0</v>
      </c>
      <c r="DL251" s="144"/>
      <c r="DM251" s="145">
        <f>IF(ISERROR(VLOOKUP($A251,FIJOS!$B$11:$L$646,11,FALSE)),0,VLOOKUP($A251,FIJOS!$B$11:$L$646,11,FALSE))</f>
        <v>0</v>
      </c>
      <c r="DN251" s="148" t="e">
        <f>IF(OR($C251=1,$C251=3),0,IF((VLOOKUP(CAPTURA!D251,HORAS!$B$4:$K$42,10,FALSE)/4)*COUNTIF($H251:$CT251,3)&gt;100,100,(VLOOKUP(CAPTURA!D251,HORAS!$B$4:$K$42,10,FALSE)/4)*COUNTIF($H251:$CT251,3)))</f>
        <v>#N/A</v>
      </c>
      <c r="DO251" s="144" t="e">
        <f>IF(OR($C251=1,$C251=3),0,IF($C251=5,VLOOKUP(D251,HORAS!$B$4:$G$42,6,FALSE),IF(AND($C251=4,$CV251&gt;=(42/24)),VLOOKUP(D251,HORAS!$B$4:$G$42,6,FALSE),IF(COUNTIF($H251:$CL251,"F")&gt;0,0,IF(CV251&gt;$DJ$1,$DJ$1*(VLOOKUP(D251,HORAS!$B$4:$G$42,6,FALSE)/$DJ$1),CV251*(VLOOKUP(D251,HORAS!$B$4:$G$42,6,FALSE)/$DJ$1))))))</f>
        <v>#N/A</v>
      </c>
      <c r="DP251" s="156"/>
      <c r="DQ251" s="89"/>
      <c r="DR251" s="148"/>
      <c r="DS251" s="83" t="e">
        <f t="shared" si="130"/>
        <v>#N/A</v>
      </c>
      <c r="DT251" s="84"/>
      <c r="DU251" s="149" t="e">
        <f t="shared" si="131"/>
        <v>#N/A</v>
      </c>
      <c r="DV251" s="149" t="e">
        <f t="shared" si="132"/>
        <v>#N/A</v>
      </c>
      <c r="DW251" s="144" t="e">
        <f t="shared" si="133"/>
        <v>#N/A</v>
      </c>
      <c r="DX251" s="134"/>
      <c r="DY251" s="29"/>
      <c r="DZ251" s="150"/>
      <c r="EA251" s="134"/>
      <c r="EB251" s="137">
        <f t="shared" si="134"/>
        <v>0</v>
      </c>
      <c r="EC251" s="138">
        <f t="shared" si="128"/>
        <v>0</v>
      </c>
      <c r="ED251" s="137">
        <f t="shared" si="135"/>
        <v>0</v>
      </c>
      <c r="EE251" s="132">
        <f t="shared" si="129"/>
        <v>0</v>
      </c>
      <c r="EF251" s="29"/>
      <c r="EG251" s="134"/>
      <c r="EH251" s="134"/>
      <c r="EI251" s="134"/>
      <c r="EK251" s="29"/>
    </row>
    <row r="252" spans="1:141" ht="15" customHeight="1" x14ac:dyDescent="0.25">
      <c r="A252" s="140"/>
      <c r="B252" s="151"/>
      <c r="C252" s="72"/>
      <c r="D252" s="73"/>
      <c r="E252" s="73"/>
      <c r="F252" s="141"/>
      <c r="G252" s="74"/>
      <c r="H252" s="75"/>
      <c r="I252" s="76"/>
      <c r="J252" s="135"/>
      <c r="K252" s="135"/>
      <c r="L252" s="77">
        <f t="shared" si="106"/>
        <v>0</v>
      </c>
      <c r="M252" s="78"/>
      <c r="N252" s="142"/>
      <c r="O252" s="142"/>
      <c r="P252" s="77">
        <f t="shared" si="107"/>
        <v>0</v>
      </c>
      <c r="Q252" s="78"/>
      <c r="R252" s="143"/>
      <c r="S252" s="143"/>
      <c r="T252" s="77">
        <f t="shared" si="108"/>
        <v>0</v>
      </c>
      <c r="U252" s="75"/>
      <c r="V252" s="76"/>
      <c r="W252" s="135"/>
      <c r="X252" s="135"/>
      <c r="Y252" s="77">
        <f t="shared" si="109"/>
        <v>0</v>
      </c>
      <c r="Z252" s="78"/>
      <c r="AA252" s="142"/>
      <c r="AB252" s="142"/>
      <c r="AC252" s="77">
        <f t="shared" si="110"/>
        <v>0</v>
      </c>
      <c r="AD252" s="78"/>
      <c r="AE252" s="143"/>
      <c r="AF252" s="143"/>
      <c r="AG252" s="79">
        <f t="shared" si="111"/>
        <v>0</v>
      </c>
      <c r="AH252" s="75"/>
      <c r="AI252" s="76"/>
      <c r="AJ252" s="135"/>
      <c r="AK252" s="135"/>
      <c r="AL252" s="77">
        <f t="shared" si="112"/>
        <v>0</v>
      </c>
      <c r="AM252" s="76"/>
      <c r="AN252" s="142"/>
      <c r="AO252" s="142"/>
      <c r="AP252" s="77">
        <f t="shared" si="113"/>
        <v>0</v>
      </c>
      <c r="AQ252" s="78"/>
      <c r="AR252" s="142"/>
      <c r="AS252" s="142"/>
      <c r="AT252" s="79">
        <f t="shared" si="114"/>
        <v>0</v>
      </c>
      <c r="AU252" s="75"/>
      <c r="AV252" s="76"/>
      <c r="AW252" s="135"/>
      <c r="AX252" s="135"/>
      <c r="AY252" s="77">
        <f t="shared" si="115"/>
        <v>0</v>
      </c>
      <c r="AZ252" s="76"/>
      <c r="BA252" s="142"/>
      <c r="BB252" s="142"/>
      <c r="BC252" s="77">
        <f t="shared" si="116"/>
        <v>0</v>
      </c>
      <c r="BD252" s="78"/>
      <c r="BE252" s="142"/>
      <c r="BF252" s="142"/>
      <c r="BG252" s="79">
        <f t="shared" si="117"/>
        <v>0</v>
      </c>
      <c r="BH252" s="75"/>
      <c r="BI252" s="76"/>
      <c r="BJ252" s="135"/>
      <c r="BK252" s="135"/>
      <c r="BL252" s="77">
        <f t="shared" si="118"/>
        <v>0</v>
      </c>
      <c r="BM252" s="78"/>
      <c r="BN252" s="142"/>
      <c r="BO252" s="142"/>
      <c r="BP252" s="77">
        <f t="shared" si="119"/>
        <v>0</v>
      </c>
      <c r="BQ252" s="78"/>
      <c r="BR252" s="142"/>
      <c r="BS252" s="142"/>
      <c r="BT252" s="79">
        <f t="shared" si="120"/>
        <v>0</v>
      </c>
      <c r="BU252" s="75"/>
      <c r="BV252" s="76"/>
      <c r="BW252" s="135"/>
      <c r="BX252" s="135"/>
      <c r="BY252" s="77">
        <f t="shared" si="121"/>
        <v>0</v>
      </c>
      <c r="BZ252" s="78"/>
      <c r="CA252" s="142"/>
      <c r="CB252" s="142"/>
      <c r="CC252" s="77">
        <f t="shared" si="122"/>
        <v>0</v>
      </c>
      <c r="CD252" s="78"/>
      <c r="CE252" s="142"/>
      <c r="CF252" s="142"/>
      <c r="CG252" s="79">
        <f t="shared" si="123"/>
        <v>0</v>
      </c>
      <c r="CH252" s="75"/>
      <c r="CI252" s="76"/>
      <c r="CJ252" s="135"/>
      <c r="CK252" s="135"/>
      <c r="CL252" s="77">
        <f t="shared" si="124"/>
        <v>0</v>
      </c>
      <c r="CM252" s="78"/>
      <c r="CN252" s="142"/>
      <c r="CO252" s="142"/>
      <c r="CP252" s="77">
        <f t="shared" si="125"/>
        <v>0</v>
      </c>
      <c r="CQ252" s="78"/>
      <c r="CR252" s="142"/>
      <c r="CS252" s="142"/>
      <c r="CT252" s="79">
        <f t="shared" si="126"/>
        <v>0</v>
      </c>
      <c r="CU252" s="80">
        <f t="shared" si="136"/>
        <v>0</v>
      </c>
      <c r="CV252" s="81">
        <f t="shared" si="137"/>
        <v>0</v>
      </c>
      <c r="CW252" s="144"/>
      <c r="CX252" s="145">
        <f>IF(ISERROR(VLOOKUP($A252,FIJOS!$B$11:$O$590,14,FALSE)),0,VLOOKUP($A252,FIJOS!$B$11:$O$590,14,FALSE))</f>
        <v>0</v>
      </c>
      <c r="CY252" s="145">
        <f>IF(ISERROR(VLOOKUP(A252,FIJOS!$B$10:$P$590,15,FALSE)),0,VLOOKUP(A252,FIJOS!$B$10:$P$590,15,FALSE))</f>
        <v>0</v>
      </c>
      <c r="CZ252" s="156"/>
      <c r="DA252" s="146"/>
      <c r="DB252" s="147"/>
      <c r="DC252" s="147"/>
      <c r="DD252" s="147"/>
      <c r="DE252" s="147"/>
      <c r="DF252" s="145">
        <f>IF(ISERROR(VLOOKUP($A252,FIJOS!$B$11:$N$590,13,FALSE)),0,VLOOKUP($A252,FIJOS!$B$11:$N$590,13,FALSE))</f>
        <v>0</v>
      </c>
      <c r="DG252" s="145">
        <f>IF(ISERROR(VLOOKUP($A252,FIJOS!$B$11:$P$447,12,FALSE)),0,VLOOKUP($A252,FIJOS!$B$11:$P$447,12,FALSE))</f>
        <v>0</v>
      </c>
      <c r="DH252" s="82">
        <f t="shared" si="127"/>
        <v>0</v>
      </c>
      <c r="DI252" s="83" t="b">
        <f>IF($C252=1,(VLOOKUP($A252,FIJOS!$B$11:$P$545,10,FALSE)/7)*(7-$CU252),IF(AND($C252=2,CV252&lt;$DJ$1),(VLOOKUP($D252,HORAS!$B$4:$C$42,2,FALSE)*24)*$CV252,IF(AND($C252=2,CV252&gt;=$DJ$1),VLOOKUP($D252,HORAS!$B$4:$D$42,3,FALSE),IF(AND($C252=3,$CV252&gt;=$DJ$1),VLOOKUP($A252,FIJOS!$B$11:$P$545,10,FALSE),IF(AND($C252=3,$CV252&lt;$DJ$1),((VLOOKUP($A252,FIJOS!$B$11:$P$545,10,FALSE)/48)*24)*$CV252,IF(AND($C252=4,$CV252&gt;=(42/24)),VLOOKUP($D252,HORAS!$B$4:$D$42,3,FALSE),IF(AND($C252=5,$CV252&gt;=(36/24)),VLOOKUP($D252,HORAS!$B$4:$D$42,3,FALSE))))))))</f>
        <v>0</v>
      </c>
      <c r="DJ252" s="145">
        <f>IF(OR($C252=2),VLOOKUP($D252,HORAS!$B$4:$E$42,4,FALSE)*$EC252,IF(ISERROR(VLOOKUP($A252,FIJOS!$B$11:$P$108,9,FALSE)),0,VLOOKUP($A252,FIJOS!$B$11:$P$231,9,FALSE)*$EC252))</f>
        <v>0</v>
      </c>
      <c r="DK252" s="145">
        <f>IF(OR($C252=2),VLOOKUP($D252,HORAS!$B$4:$F$42,5,FALSE)*$EE252,IF(ISERROR(VLOOKUP($A252,FIJOS!$B$11:$P$108,9,FALSE)),0,VLOOKUP($A252,FIJOS!$B$11:$P$231,9,FALSE)*$EE252))</f>
        <v>0</v>
      </c>
      <c r="DL252" s="144"/>
      <c r="DM252" s="145">
        <f>IF(ISERROR(VLOOKUP($A252,FIJOS!$B$11:$L$646,11,FALSE)),0,VLOOKUP($A252,FIJOS!$B$11:$L$646,11,FALSE))</f>
        <v>0</v>
      </c>
      <c r="DN252" s="148" t="e">
        <f>IF(OR($C252=1,$C252=3),0,IF((VLOOKUP(CAPTURA!D252,HORAS!$B$4:$K$42,10,FALSE)/4)*COUNTIF($H252:$CT252,3)&gt;100,100,(VLOOKUP(CAPTURA!D252,HORAS!$B$4:$K$42,10,FALSE)/4)*COUNTIF($H252:$CT252,3)))</f>
        <v>#N/A</v>
      </c>
      <c r="DO252" s="144" t="e">
        <f>IF(OR($C252=1,$C252=3),0,IF($C252=5,VLOOKUP(D252,HORAS!$B$4:$G$42,6,FALSE),IF(AND($C252=4,$CV252&gt;=(42/24)),VLOOKUP(D252,HORAS!$B$4:$G$42,6,FALSE),IF(COUNTIF($H252:$CL252,"F")&gt;0,0,IF(CV252&gt;$DJ$1,$DJ$1*(VLOOKUP(D252,HORAS!$B$4:$G$42,6,FALSE)/$DJ$1),CV252*(VLOOKUP(D252,HORAS!$B$4:$G$42,6,FALSE)/$DJ$1))))))</f>
        <v>#N/A</v>
      </c>
      <c r="DP252" s="156"/>
      <c r="DQ252" s="89"/>
      <c r="DR252" s="148"/>
      <c r="DS252" s="83" t="e">
        <f t="shared" si="130"/>
        <v>#N/A</v>
      </c>
      <c r="DT252" s="84"/>
      <c r="DU252" s="149" t="e">
        <f t="shared" si="131"/>
        <v>#N/A</v>
      </c>
      <c r="DV252" s="149" t="e">
        <f t="shared" si="132"/>
        <v>#N/A</v>
      </c>
      <c r="DW252" s="144" t="e">
        <f t="shared" si="133"/>
        <v>#N/A</v>
      </c>
      <c r="DX252"/>
      <c r="DY252" s="29"/>
      <c r="DZ252" s="150"/>
      <c r="EA252" s="134"/>
      <c r="EB252" s="137">
        <f t="shared" si="134"/>
        <v>0</v>
      </c>
      <c r="EC252" s="138">
        <f t="shared" si="128"/>
        <v>0</v>
      </c>
      <c r="ED252" s="137">
        <f t="shared" si="135"/>
        <v>0</v>
      </c>
      <c r="EE252" s="132">
        <f t="shared" si="129"/>
        <v>0</v>
      </c>
      <c r="EF252" s="29"/>
      <c r="EG252" s="134"/>
      <c r="EH252" s="134"/>
      <c r="EI252" s="134"/>
      <c r="EK252" s="29"/>
    </row>
    <row r="253" spans="1:141" ht="15" customHeight="1" x14ac:dyDescent="0.25">
      <c r="A253" s="140"/>
      <c r="B253" s="151"/>
      <c r="C253" s="72"/>
      <c r="D253" s="73"/>
      <c r="E253" s="73"/>
      <c r="F253" s="141"/>
      <c r="G253" s="74"/>
      <c r="H253" s="75"/>
      <c r="I253" s="76"/>
      <c r="J253" s="135"/>
      <c r="K253" s="135"/>
      <c r="L253" s="77">
        <f t="shared" si="106"/>
        <v>0</v>
      </c>
      <c r="M253" s="78"/>
      <c r="N253" s="142"/>
      <c r="O253" s="142"/>
      <c r="P253" s="77">
        <f t="shared" si="107"/>
        <v>0</v>
      </c>
      <c r="Q253" s="78"/>
      <c r="R253" s="143"/>
      <c r="S253" s="143"/>
      <c r="T253" s="77">
        <f t="shared" si="108"/>
        <v>0</v>
      </c>
      <c r="U253" s="75"/>
      <c r="V253" s="76"/>
      <c r="W253" s="135"/>
      <c r="X253" s="135"/>
      <c r="Y253" s="77">
        <f t="shared" si="109"/>
        <v>0</v>
      </c>
      <c r="Z253" s="78"/>
      <c r="AA253" s="142"/>
      <c r="AB253" s="142"/>
      <c r="AC253" s="77">
        <f t="shared" si="110"/>
        <v>0</v>
      </c>
      <c r="AD253" s="78"/>
      <c r="AE253" s="143"/>
      <c r="AF253" s="143"/>
      <c r="AG253" s="79">
        <f t="shared" si="111"/>
        <v>0</v>
      </c>
      <c r="AH253" s="75"/>
      <c r="AI253" s="76"/>
      <c r="AJ253" s="135"/>
      <c r="AK253" s="135"/>
      <c r="AL253" s="77">
        <f t="shared" si="112"/>
        <v>0</v>
      </c>
      <c r="AM253" s="76"/>
      <c r="AN253" s="142"/>
      <c r="AO253" s="142"/>
      <c r="AP253" s="77">
        <f t="shared" si="113"/>
        <v>0</v>
      </c>
      <c r="AQ253" s="78"/>
      <c r="AR253" s="142"/>
      <c r="AS253" s="142"/>
      <c r="AT253" s="79">
        <f t="shared" si="114"/>
        <v>0</v>
      </c>
      <c r="AU253" s="75"/>
      <c r="AV253" s="76"/>
      <c r="AW253" s="135"/>
      <c r="AX253" s="135"/>
      <c r="AY253" s="77">
        <f t="shared" si="115"/>
        <v>0</v>
      </c>
      <c r="AZ253" s="76"/>
      <c r="BA253" s="142"/>
      <c r="BB253" s="142"/>
      <c r="BC253" s="77">
        <f t="shared" si="116"/>
        <v>0</v>
      </c>
      <c r="BD253" s="78"/>
      <c r="BE253" s="142"/>
      <c r="BF253" s="142"/>
      <c r="BG253" s="79">
        <f t="shared" si="117"/>
        <v>0</v>
      </c>
      <c r="BH253" s="75"/>
      <c r="BI253" s="76"/>
      <c r="BJ253" s="135"/>
      <c r="BK253" s="135"/>
      <c r="BL253" s="77">
        <f t="shared" si="118"/>
        <v>0</v>
      </c>
      <c r="BM253" s="78"/>
      <c r="BN253" s="142"/>
      <c r="BO253" s="142"/>
      <c r="BP253" s="77">
        <f t="shared" si="119"/>
        <v>0</v>
      </c>
      <c r="BQ253" s="78"/>
      <c r="BR253" s="142"/>
      <c r="BS253" s="142"/>
      <c r="BT253" s="79">
        <f t="shared" si="120"/>
        <v>0</v>
      </c>
      <c r="BU253" s="75"/>
      <c r="BV253" s="76"/>
      <c r="BW253" s="135"/>
      <c r="BX253" s="135"/>
      <c r="BY253" s="77">
        <f t="shared" si="121"/>
        <v>0</v>
      </c>
      <c r="BZ253" s="78"/>
      <c r="CA253" s="142"/>
      <c r="CB253" s="142"/>
      <c r="CC253" s="77">
        <f t="shared" si="122"/>
        <v>0</v>
      </c>
      <c r="CD253" s="78"/>
      <c r="CE253" s="142"/>
      <c r="CF253" s="142"/>
      <c r="CG253" s="79">
        <f t="shared" si="123"/>
        <v>0</v>
      </c>
      <c r="CH253" s="75"/>
      <c r="CI253" s="76"/>
      <c r="CJ253" s="135"/>
      <c r="CK253" s="135"/>
      <c r="CL253" s="77">
        <f t="shared" si="124"/>
        <v>0</v>
      </c>
      <c r="CM253" s="78"/>
      <c r="CN253" s="142"/>
      <c r="CO253" s="142"/>
      <c r="CP253" s="77">
        <f t="shared" si="125"/>
        <v>0</v>
      </c>
      <c r="CQ253" s="78"/>
      <c r="CR253" s="142"/>
      <c r="CS253" s="142"/>
      <c r="CT253" s="79">
        <f t="shared" si="126"/>
        <v>0</v>
      </c>
      <c r="CU253" s="80">
        <f t="shared" si="136"/>
        <v>0</v>
      </c>
      <c r="CV253" s="81">
        <f t="shared" si="137"/>
        <v>0</v>
      </c>
      <c r="CW253" s="144"/>
      <c r="CX253" s="145">
        <f>IF(ISERROR(VLOOKUP($A253,FIJOS!$B$11:$O$590,14,FALSE)),0,VLOOKUP($A253,FIJOS!$B$11:$O$590,14,FALSE))</f>
        <v>0</v>
      </c>
      <c r="CY253" s="145">
        <f>IF(ISERROR(VLOOKUP(A253,FIJOS!$B$10:$P$590,15,FALSE)),0,VLOOKUP(A253,FIJOS!$B$10:$P$590,15,FALSE))</f>
        <v>0</v>
      </c>
      <c r="CZ253" s="156"/>
      <c r="DA253" s="146"/>
      <c r="DB253" s="147"/>
      <c r="DC253" s="147"/>
      <c r="DD253" s="147"/>
      <c r="DE253" s="147"/>
      <c r="DF253" s="145">
        <f>IF(ISERROR(VLOOKUP($A253,FIJOS!$B$11:$N$590,13,FALSE)),0,VLOOKUP($A253,FIJOS!$B$11:$N$590,13,FALSE))</f>
        <v>0</v>
      </c>
      <c r="DG253" s="145">
        <f>IF(ISERROR(VLOOKUP($A253,FIJOS!$B$11:$P$447,12,FALSE)),0,VLOOKUP($A253,FIJOS!$B$11:$P$447,12,FALSE))</f>
        <v>0</v>
      </c>
      <c r="DH253" s="82">
        <f t="shared" si="127"/>
        <v>0</v>
      </c>
      <c r="DI253" s="83" t="b">
        <f>IF($C253=1,(VLOOKUP($A253,FIJOS!$B$11:$P$545,10,FALSE)/7)*(7-$CU253),IF(AND($C253=2,CV253&lt;$DJ$1),(VLOOKUP($D253,HORAS!$B$4:$C$42,2,FALSE)*24)*$CV253,IF(AND($C253=2,CV253&gt;=$DJ$1),VLOOKUP($D253,HORAS!$B$4:$D$42,3,FALSE),IF(AND($C253=3,$CV253&gt;=$DJ$1),VLOOKUP($A253,FIJOS!$B$11:$P$545,10,FALSE),IF(AND($C253=3,$CV253&lt;$DJ$1),((VLOOKUP($A253,FIJOS!$B$11:$P$545,10,FALSE)/48)*24)*$CV253,IF(AND($C253=4,$CV253&gt;=(42/24)),VLOOKUP($D253,HORAS!$B$4:$D$42,3,FALSE),IF(AND($C253=5,$CV253&gt;=(36/24)),VLOOKUP($D253,HORAS!$B$4:$D$42,3,FALSE))))))))</f>
        <v>0</v>
      </c>
      <c r="DJ253" s="145">
        <f>IF(OR($C253=2),VLOOKUP($D253,HORAS!$B$4:$E$42,4,FALSE)*$EC253,IF(ISERROR(VLOOKUP($A253,FIJOS!$B$11:$P$108,9,FALSE)),0,VLOOKUP($A253,FIJOS!$B$11:$P$231,9,FALSE)*$EC253))</f>
        <v>0</v>
      </c>
      <c r="DK253" s="145">
        <f>IF(OR($C253=2),VLOOKUP($D253,HORAS!$B$4:$F$42,5,FALSE)*$EE253,IF(ISERROR(VLOOKUP($A253,FIJOS!$B$11:$P$108,9,FALSE)),0,VLOOKUP($A253,FIJOS!$B$11:$P$231,9,FALSE)*$EE253))</f>
        <v>0</v>
      </c>
      <c r="DL253" s="144"/>
      <c r="DM253" s="145">
        <f>IF(ISERROR(VLOOKUP($A253,FIJOS!$B$11:$L$646,11,FALSE)),0,VLOOKUP($A253,FIJOS!$B$11:$L$646,11,FALSE))</f>
        <v>0</v>
      </c>
      <c r="DN253" s="148" t="e">
        <f>IF(OR($C253=1,$C253=3),0,IF((VLOOKUP(CAPTURA!D253,HORAS!$B$4:$K$42,10,FALSE)/4)*COUNTIF($H253:$CT253,3)&gt;100,100,(VLOOKUP(CAPTURA!D253,HORAS!$B$4:$K$42,10,FALSE)/4)*COUNTIF($H253:$CT253,3)))</f>
        <v>#N/A</v>
      </c>
      <c r="DO253" s="144" t="e">
        <f>IF(OR($C253=1,$C253=3),0,IF($C253=5,VLOOKUP(D253,HORAS!$B$4:$G$42,6,FALSE),IF(AND($C253=4,$CV253&gt;=(42/24)),VLOOKUP(D253,HORAS!$B$4:$G$42,6,FALSE),IF(COUNTIF($H253:$CL253,"F")&gt;0,0,IF(CV253&gt;$DJ$1,$DJ$1*(VLOOKUP(D253,HORAS!$B$4:$G$42,6,FALSE)/$DJ$1),CV253*(VLOOKUP(D253,HORAS!$B$4:$G$42,6,FALSE)/$DJ$1))))))</f>
        <v>#N/A</v>
      </c>
      <c r="DP253" s="156"/>
      <c r="DQ253" s="148"/>
      <c r="DR253" s="148"/>
      <c r="DS253" s="83" t="e">
        <f t="shared" si="130"/>
        <v>#N/A</v>
      </c>
      <c r="DT253" s="84"/>
      <c r="DU253" s="149" t="e">
        <f t="shared" si="131"/>
        <v>#N/A</v>
      </c>
      <c r="DV253" s="149" t="e">
        <f t="shared" si="132"/>
        <v>#N/A</v>
      </c>
      <c r="DW253" s="144" t="e">
        <f t="shared" si="133"/>
        <v>#N/A</v>
      </c>
      <c r="DX253"/>
      <c r="DY253" s="29"/>
      <c r="DZ253" s="150"/>
      <c r="EA253" s="134"/>
      <c r="EB253" s="137">
        <f t="shared" si="134"/>
        <v>0</v>
      </c>
      <c r="EC253" s="138">
        <f t="shared" si="128"/>
        <v>0</v>
      </c>
      <c r="ED253" s="137">
        <f t="shared" si="135"/>
        <v>0</v>
      </c>
      <c r="EE253" s="132">
        <f t="shared" si="129"/>
        <v>0</v>
      </c>
      <c r="EF253" s="29"/>
      <c r="EG253" s="134"/>
      <c r="EH253" s="134"/>
      <c r="EI253" s="134"/>
      <c r="EK253" s="29"/>
    </row>
    <row r="254" spans="1:141" ht="15" customHeight="1" x14ac:dyDescent="0.25">
      <c r="A254" s="87"/>
      <c r="B254" s="151"/>
      <c r="C254" s="72"/>
      <c r="D254" s="73"/>
      <c r="E254" s="73"/>
      <c r="F254" s="141"/>
      <c r="G254" s="74"/>
      <c r="H254" s="75"/>
      <c r="I254" s="76"/>
      <c r="J254" s="135"/>
      <c r="K254" s="135"/>
      <c r="L254" s="77">
        <f t="shared" si="106"/>
        <v>0</v>
      </c>
      <c r="M254" s="78"/>
      <c r="N254" s="142"/>
      <c r="O254" s="142"/>
      <c r="P254" s="77">
        <f t="shared" si="107"/>
        <v>0</v>
      </c>
      <c r="Q254" s="78"/>
      <c r="R254" s="143"/>
      <c r="S254" s="143"/>
      <c r="T254" s="77">
        <f t="shared" si="108"/>
        <v>0</v>
      </c>
      <c r="U254" s="75"/>
      <c r="V254" s="76"/>
      <c r="W254" s="135"/>
      <c r="X254" s="135"/>
      <c r="Y254" s="77">
        <f t="shared" si="109"/>
        <v>0</v>
      </c>
      <c r="Z254" s="78"/>
      <c r="AA254" s="142"/>
      <c r="AB254" s="142"/>
      <c r="AC254" s="77">
        <f t="shared" si="110"/>
        <v>0</v>
      </c>
      <c r="AD254" s="78"/>
      <c r="AE254" s="143"/>
      <c r="AF254" s="143"/>
      <c r="AG254" s="79">
        <f t="shared" si="111"/>
        <v>0</v>
      </c>
      <c r="AH254" s="75"/>
      <c r="AI254" s="76"/>
      <c r="AJ254" s="135"/>
      <c r="AK254" s="135"/>
      <c r="AL254" s="77">
        <f t="shared" si="112"/>
        <v>0</v>
      </c>
      <c r="AM254" s="76"/>
      <c r="AN254" s="142"/>
      <c r="AO254" s="142"/>
      <c r="AP254" s="77">
        <f t="shared" si="113"/>
        <v>0</v>
      </c>
      <c r="AQ254" s="78"/>
      <c r="AR254" s="142"/>
      <c r="AS254" s="142"/>
      <c r="AT254" s="79">
        <f t="shared" si="114"/>
        <v>0</v>
      </c>
      <c r="AU254" s="75"/>
      <c r="AV254" s="76"/>
      <c r="AW254" s="135"/>
      <c r="AX254" s="135"/>
      <c r="AY254" s="77">
        <f t="shared" si="115"/>
        <v>0</v>
      </c>
      <c r="AZ254" s="76"/>
      <c r="BA254" s="142"/>
      <c r="BB254" s="142"/>
      <c r="BC254" s="77">
        <f t="shared" si="116"/>
        <v>0</v>
      </c>
      <c r="BD254" s="78"/>
      <c r="BE254" s="142"/>
      <c r="BF254" s="142"/>
      <c r="BG254" s="79">
        <f t="shared" si="117"/>
        <v>0</v>
      </c>
      <c r="BH254" s="75"/>
      <c r="BI254" s="76"/>
      <c r="BJ254" s="135"/>
      <c r="BK254" s="135"/>
      <c r="BL254" s="77">
        <f t="shared" si="118"/>
        <v>0</v>
      </c>
      <c r="BM254" s="78"/>
      <c r="BN254" s="142"/>
      <c r="BO254" s="142"/>
      <c r="BP254" s="77">
        <f t="shared" si="119"/>
        <v>0</v>
      </c>
      <c r="BQ254" s="78"/>
      <c r="BR254" s="142"/>
      <c r="BS254" s="142"/>
      <c r="BT254" s="79">
        <f t="shared" si="120"/>
        <v>0</v>
      </c>
      <c r="BU254" s="75"/>
      <c r="BV254" s="76"/>
      <c r="BW254" s="135"/>
      <c r="BX254" s="135"/>
      <c r="BY254" s="77">
        <f t="shared" si="121"/>
        <v>0</v>
      </c>
      <c r="BZ254" s="78"/>
      <c r="CA254" s="142"/>
      <c r="CB254" s="142"/>
      <c r="CC254" s="77">
        <f t="shared" si="122"/>
        <v>0</v>
      </c>
      <c r="CD254" s="78"/>
      <c r="CE254" s="142"/>
      <c r="CF254" s="142"/>
      <c r="CG254" s="79">
        <f t="shared" si="123"/>
        <v>0</v>
      </c>
      <c r="CH254" s="75"/>
      <c r="CI254" s="76"/>
      <c r="CJ254" s="135"/>
      <c r="CK254" s="135"/>
      <c r="CL254" s="77">
        <f t="shared" si="124"/>
        <v>0</v>
      </c>
      <c r="CM254" s="78"/>
      <c r="CN254" s="142"/>
      <c r="CO254" s="142"/>
      <c r="CP254" s="77">
        <f t="shared" si="125"/>
        <v>0</v>
      </c>
      <c r="CQ254" s="78"/>
      <c r="CR254" s="142"/>
      <c r="CS254" s="142"/>
      <c r="CT254" s="79">
        <f t="shared" si="126"/>
        <v>0</v>
      </c>
      <c r="CU254" s="80">
        <f t="shared" si="136"/>
        <v>0</v>
      </c>
      <c r="CV254" s="81">
        <f t="shared" si="137"/>
        <v>0</v>
      </c>
      <c r="CW254" s="144"/>
      <c r="CX254" s="145">
        <f>IF(ISERROR(VLOOKUP($A254,FIJOS!$B$11:$O$590,14,FALSE)),0,VLOOKUP($A254,FIJOS!$B$11:$O$590,14,FALSE))</f>
        <v>0</v>
      </c>
      <c r="CY254" s="145">
        <f>IF(ISERROR(VLOOKUP(A254,FIJOS!$B$10:$P$590,15,FALSE)),0,VLOOKUP(A254,FIJOS!$B$10:$P$590,15,FALSE))</f>
        <v>0</v>
      </c>
      <c r="CZ254" s="156"/>
      <c r="DA254" s="146"/>
      <c r="DB254" s="147"/>
      <c r="DC254" s="147"/>
      <c r="DD254" s="147"/>
      <c r="DE254" s="147"/>
      <c r="DF254" s="145">
        <f>IF(ISERROR(VLOOKUP($A254,FIJOS!$B$11:$N$590,13,FALSE)),0,VLOOKUP($A254,FIJOS!$B$11:$N$590,13,FALSE))</f>
        <v>0</v>
      </c>
      <c r="DG254" s="145">
        <f>IF(ISERROR(VLOOKUP($A254,FIJOS!$B$11:$P$447,12,FALSE)),0,VLOOKUP($A254,FIJOS!$B$11:$P$447,12,FALSE))</f>
        <v>0</v>
      </c>
      <c r="DH254" s="82">
        <f t="shared" si="127"/>
        <v>0</v>
      </c>
      <c r="DI254" s="83" t="b">
        <f>IF($C254=1,(VLOOKUP($A254,FIJOS!$B$11:$P$545,10,FALSE)/7)*(7-$CU254),IF(AND($C254=2,CV254&lt;$DJ$1),(VLOOKUP($D254,HORAS!$B$4:$C$42,2,FALSE)*24)*$CV254,IF(AND($C254=2,CV254&gt;=$DJ$1),VLOOKUP($D254,HORAS!$B$4:$D$42,3,FALSE),IF(AND($C254=3,$CV254&gt;=$DJ$1),VLOOKUP($A254,FIJOS!$B$11:$P$545,10,FALSE),IF(AND($C254=3,$CV254&lt;$DJ$1),((VLOOKUP($A254,FIJOS!$B$11:$P$545,10,FALSE)/48)*24)*$CV254,IF(AND($C254=4,$CV254&gt;=(42/24)),VLOOKUP($D254,HORAS!$B$4:$D$42,3,FALSE),IF(AND($C254=5,$CV254&gt;=(36/24)),VLOOKUP($D254,HORAS!$B$4:$D$42,3,FALSE))))))))</f>
        <v>0</v>
      </c>
      <c r="DJ254" s="145">
        <f>IF(OR($C254=2),VLOOKUP($D254,HORAS!$B$4:$E$42,4,FALSE)*$EC254,IF(ISERROR(VLOOKUP($A254,FIJOS!$B$11:$P$108,9,FALSE)),0,VLOOKUP($A254,FIJOS!$B$11:$P$231,9,FALSE)*$EC254))</f>
        <v>0</v>
      </c>
      <c r="DK254" s="145">
        <f>IF(OR($C254=2),VLOOKUP($D254,HORAS!$B$4:$F$42,5,FALSE)*$EE254,IF(ISERROR(VLOOKUP($A254,FIJOS!$B$11:$P$108,9,FALSE)),0,VLOOKUP($A254,FIJOS!$B$11:$P$231,9,FALSE)*$EE254))</f>
        <v>0</v>
      </c>
      <c r="DL254" s="144"/>
      <c r="DM254" s="145">
        <f>IF(ISERROR(VLOOKUP($A254,FIJOS!$B$11:$L$646,11,FALSE)),0,VLOOKUP($A254,FIJOS!$B$11:$L$646,11,FALSE))</f>
        <v>0</v>
      </c>
      <c r="DN254" s="148" t="e">
        <f>IF(OR($C254=1,$C254=3),0,IF((VLOOKUP(CAPTURA!D254,HORAS!$B$4:$K$42,10,FALSE)/4)*COUNTIF($H254:$CT254,3)&gt;100,100,(VLOOKUP(CAPTURA!D254,HORAS!$B$4:$K$42,10,FALSE)/4)*COUNTIF($H254:$CT254,3)))</f>
        <v>#N/A</v>
      </c>
      <c r="DO254" s="144" t="e">
        <f>IF(OR($C254=1,$C254=3),0,IF($C254=5,VLOOKUP(D254,HORAS!$B$4:$G$42,6,FALSE),IF(AND($C254=4,$CV254&gt;=(42/24)),VLOOKUP(D254,HORAS!$B$4:$G$42,6,FALSE),IF(COUNTIF($H254:$CL254,"F")&gt;0,0,IF(CV254&gt;$DJ$1,$DJ$1*(VLOOKUP(D254,HORAS!$B$4:$G$42,6,FALSE)/$DJ$1),CV254*(VLOOKUP(D254,HORAS!$B$4:$G$42,6,FALSE)/$DJ$1))))))</f>
        <v>#N/A</v>
      </c>
      <c r="DP254" s="156"/>
      <c r="DQ254" s="89"/>
      <c r="DR254" s="148"/>
      <c r="DS254" s="83" t="e">
        <f t="shared" si="130"/>
        <v>#N/A</v>
      </c>
      <c r="DT254" s="84"/>
      <c r="DU254" s="149" t="e">
        <f t="shared" si="131"/>
        <v>#N/A</v>
      </c>
      <c r="DV254" s="149" t="e">
        <f t="shared" si="132"/>
        <v>#N/A</v>
      </c>
      <c r="DW254" s="144" t="e">
        <f t="shared" si="133"/>
        <v>#N/A</v>
      </c>
      <c r="DX254" s="134"/>
      <c r="DY254" s="29"/>
      <c r="DZ254" s="150"/>
      <c r="EA254" s="134"/>
      <c r="EB254" s="137">
        <f t="shared" si="134"/>
        <v>0</v>
      </c>
      <c r="EC254" s="138">
        <f t="shared" si="128"/>
        <v>0</v>
      </c>
      <c r="ED254" s="137">
        <f t="shared" si="135"/>
        <v>0</v>
      </c>
      <c r="EE254" s="132">
        <f t="shared" si="129"/>
        <v>0</v>
      </c>
      <c r="EF254" s="29"/>
      <c r="EG254" s="134"/>
      <c r="EH254" s="134"/>
      <c r="EI254" s="134"/>
      <c r="EK254" s="29"/>
    </row>
    <row r="255" spans="1:141" ht="15" customHeight="1" x14ac:dyDescent="0.25">
      <c r="A255" s="87"/>
      <c r="B255" s="161"/>
      <c r="C255" s="72"/>
      <c r="D255" s="73"/>
      <c r="E255" s="73"/>
      <c r="F255" s="141"/>
      <c r="G255" s="74"/>
      <c r="H255" s="75"/>
      <c r="I255" s="76"/>
      <c r="J255" s="135"/>
      <c r="K255" s="135"/>
      <c r="L255" s="77">
        <f t="shared" si="106"/>
        <v>0</v>
      </c>
      <c r="M255" s="78"/>
      <c r="N255" s="142"/>
      <c r="O255" s="142"/>
      <c r="P255" s="77">
        <f t="shared" si="107"/>
        <v>0</v>
      </c>
      <c r="Q255" s="78"/>
      <c r="R255" s="143"/>
      <c r="S255" s="143"/>
      <c r="T255" s="77">
        <f t="shared" si="108"/>
        <v>0</v>
      </c>
      <c r="U255" s="75"/>
      <c r="V255" s="76"/>
      <c r="W255" s="135"/>
      <c r="X255" s="135"/>
      <c r="Y255" s="77">
        <f t="shared" si="109"/>
        <v>0</v>
      </c>
      <c r="Z255" s="78"/>
      <c r="AA255" s="142"/>
      <c r="AB255" s="142"/>
      <c r="AC255" s="77">
        <f t="shared" si="110"/>
        <v>0</v>
      </c>
      <c r="AD255" s="78"/>
      <c r="AE255" s="143"/>
      <c r="AF255" s="143"/>
      <c r="AG255" s="79">
        <f t="shared" si="111"/>
        <v>0</v>
      </c>
      <c r="AH255" s="75"/>
      <c r="AI255" s="76"/>
      <c r="AJ255" s="135"/>
      <c r="AK255" s="135"/>
      <c r="AL255" s="77">
        <f t="shared" si="112"/>
        <v>0</v>
      </c>
      <c r="AM255" s="76"/>
      <c r="AN255" s="142"/>
      <c r="AO255" s="142"/>
      <c r="AP255" s="77">
        <f t="shared" si="113"/>
        <v>0</v>
      </c>
      <c r="AQ255" s="78"/>
      <c r="AR255" s="142"/>
      <c r="AS255" s="142"/>
      <c r="AT255" s="79">
        <f t="shared" si="114"/>
        <v>0</v>
      </c>
      <c r="AU255" s="75"/>
      <c r="AV255" s="76"/>
      <c r="AW255" s="135"/>
      <c r="AX255" s="135"/>
      <c r="AY255" s="77">
        <f t="shared" si="115"/>
        <v>0</v>
      </c>
      <c r="AZ255" s="76"/>
      <c r="BA255" s="142"/>
      <c r="BB255" s="142"/>
      <c r="BC255" s="77">
        <f t="shared" si="116"/>
        <v>0</v>
      </c>
      <c r="BD255" s="78"/>
      <c r="BE255" s="142"/>
      <c r="BF255" s="142"/>
      <c r="BG255" s="79">
        <f t="shared" si="117"/>
        <v>0</v>
      </c>
      <c r="BH255" s="75"/>
      <c r="BI255" s="76"/>
      <c r="BJ255" s="135"/>
      <c r="BK255" s="135"/>
      <c r="BL255" s="77">
        <f t="shared" si="118"/>
        <v>0</v>
      </c>
      <c r="BM255" s="76"/>
      <c r="BN255" s="142"/>
      <c r="BO255" s="142"/>
      <c r="BP255" s="77">
        <f t="shared" si="119"/>
        <v>0</v>
      </c>
      <c r="BQ255" s="78"/>
      <c r="BR255" s="142"/>
      <c r="BS255" s="142"/>
      <c r="BT255" s="79">
        <f t="shared" si="120"/>
        <v>0</v>
      </c>
      <c r="BU255" s="75"/>
      <c r="BV255" s="76"/>
      <c r="BW255" s="135"/>
      <c r="BX255" s="135"/>
      <c r="BY255" s="77">
        <f t="shared" si="121"/>
        <v>0</v>
      </c>
      <c r="BZ255" s="78"/>
      <c r="CA255" s="142"/>
      <c r="CB255" s="142"/>
      <c r="CC255" s="77">
        <f t="shared" si="122"/>
        <v>0</v>
      </c>
      <c r="CD255" s="78"/>
      <c r="CE255" s="142"/>
      <c r="CF255" s="142"/>
      <c r="CG255" s="79">
        <f t="shared" si="123"/>
        <v>0</v>
      </c>
      <c r="CH255" s="75"/>
      <c r="CI255" s="76"/>
      <c r="CJ255" s="135"/>
      <c r="CK255" s="135"/>
      <c r="CL255" s="77">
        <f t="shared" si="124"/>
        <v>0</v>
      </c>
      <c r="CM255" s="78"/>
      <c r="CN255" s="142"/>
      <c r="CO255" s="142"/>
      <c r="CP255" s="77">
        <f t="shared" si="125"/>
        <v>0</v>
      </c>
      <c r="CQ255" s="78"/>
      <c r="CR255" s="142"/>
      <c r="CS255" s="142"/>
      <c r="CT255" s="79">
        <f t="shared" si="126"/>
        <v>0</v>
      </c>
      <c r="CU255" s="80">
        <f t="shared" si="136"/>
        <v>0</v>
      </c>
      <c r="CV255" s="81">
        <f t="shared" si="137"/>
        <v>0</v>
      </c>
      <c r="CW255" s="144"/>
      <c r="CX255" s="145">
        <f>IF(ISERROR(VLOOKUP($A255,FIJOS!$B$11:$O$590,14,FALSE)),0,VLOOKUP($A255,FIJOS!$B$11:$O$590,14,FALSE))</f>
        <v>0</v>
      </c>
      <c r="CY255" s="145">
        <f>IF(ISERROR(VLOOKUP(A255,FIJOS!$B$10:$P$590,15,FALSE)),0,VLOOKUP(A255,FIJOS!$B$10:$P$590,15,FALSE))</f>
        <v>0</v>
      </c>
      <c r="CZ255" s="156"/>
      <c r="DA255" s="146"/>
      <c r="DB255" s="147"/>
      <c r="DC255" s="147"/>
      <c r="DD255" s="147"/>
      <c r="DE255" s="147"/>
      <c r="DF255" s="145">
        <f>IF(ISERROR(VLOOKUP($A255,FIJOS!$B$11:$N$590,13,FALSE)),0,VLOOKUP($A255,FIJOS!$B$11:$N$590,13,FALSE))</f>
        <v>0</v>
      </c>
      <c r="DG255" s="145">
        <f>IF(ISERROR(VLOOKUP($A255,FIJOS!$B$11:$P$447,12,FALSE)),0,VLOOKUP($A255,FIJOS!$B$11:$P$447,12,FALSE))</f>
        <v>0</v>
      </c>
      <c r="DH255" s="82">
        <f t="shared" si="127"/>
        <v>0</v>
      </c>
      <c r="DI255" s="83" t="b">
        <f>IF($C255=1,(VLOOKUP($A255,FIJOS!$B$11:$P$545,10,FALSE)/7)*(7-$CU255),IF(AND($C255=2,CV255&lt;$DJ$1),(VLOOKUP($D255,HORAS!$B$4:$C$42,2,FALSE)*24)*$CV255,IF(AND($C255=2,CV255&gt;=$DJ$1),VLOOKUP($D255,HORAS!$B$4:$D$42,3,FALSE),IF(AND($C255=3,$CV255&gt;=$DJ$1),VLOOKUP($A255,FIJOS!$B$11:$P$545,10,FALSE),IF(AND($C255=3,$CV255&lt;$DJ$1),((VLOOKUP($A255,FIJOS!$B$11:$P$545,10,FALSE)/48)*24)*$CV255,IF(AND($C255=4,$CV255&gt;=(42/24)),VLOOKUP($D255,HORAS!$B$4:$D$42,3,FALSE),IF(AND($C255=5,$CV255&gt;=(36/24)),VLOOKUP($D255,HORAS!$B$4:$D$42,3,FALSE))))))))</f>
        <v>0</v>
      </c>
      <c r="DJ255" s="145">
        <f>IF(OR($C255=2),VLOOKUP($D255,HORAS!$B$4:$E$42,4,FALSE)*$EC255,IF(ISERROR(VLOOKUP($A255,FIJOS!$B$11:$P$108,9,FALSE)),0,VLOOKUP($A255,FIJOS!$B$11:$P$231,9,FALSE)*$EC255))</f>
        <v>0</v>
      </c>
      <c r="DK255" s="145">
        <f>IF(OR($C255=2),VLOOKUP($D255,HORAS!$B$4:$F$42,5,FALSE)*$EE255,IF(ISERROR(VLOOKUP($A255,FIJOS!$B$11:$P$108,9,FALSE)),0,VLOOKUP($A255,FIJOS!$B$11:$P$231,9,FALSE)*$EE255))</f>
        <v>0</v>
      </c>
      <c r="DL255" s="144"/>
      <c r="DM255" s="145">
        <f>IF(ISERROR(VLOOKUP($A255,FIJOS!$B$11:$L$646,11,FALSE)),0,VLOOKUP($A255,FIJOS!$B$11:$L$646,11,FALSE))</f>
        <v>0</v>
      </c>
      <c r="DN255" s="148" t="e">
        <f>IF(OR($C255=1,$C255=3),0,IF((VLOOKUP(CAPTURA!D255,HORAS!$B$4:$K$42,10,FALSE)/4)*COUNTIF($H255:$CT255,3)&gt;100,100,(VLOOKUP(CAPTURA!D255,HORAS!$B$4:$K$42,10,FALSE)/4)*COUNTIF($H255:$CT255,3)))</f>
        <v>#N/A</v>
      </c>
      <c r="DO255" s="144" t="e">
        <f>IF(OR($C255=1,$C255=3),0,IF($C255=5,VLOOKUP(D255,HORAS!$B$4:$G$42,6,FALSE),IF(AND($C255=4,$CV255&gt;=(42/24)),VLOOKUP(D255,HORAS!$B$4:$G$42,6,FALSE),IF(COUNTIF($H255:$CL255,"F")&gt;0,0,IF(CV255&gt;$DJ$1,$DJ$1*(VLOOKUP(D255,HORAS!$B$4:$G$42,6,FALSE)/$DJ$1),CV255*(VLOOKUP(D255,HORAS!$B$4:$G$42,6,FALSE)/$DJ$1))))))</f>
        <v>#N/A</v>
      </c>
      <c r="DP255" s="156"/>
      <c r="DQ255" s="89"/>
      <c r="DR255" s="148"/>
      <c r="DS255" s="83" t="e">
        <f t="shared" si="130"/>
        <v>#N/A</v>
      </c>
      <c r="DT255" s="84"/>
      <c r="DU255" s="149" t="e">
        <f t="shared" si="131"/>
        <v>#N/A</v>
      </c>
      <c r="DV255" s="149" t="e">
        <f t="shared" si="132"/>
        <v>#N/A</v>
      </c>
      <c r="DW255" s="144" t="e">
        <f t="shared" si="133"/>
        <v>#N/A</v>
      </c>
      <c r="DX255" s="134"/>
      <c r="DY255" s="29"/>
      <c r="DZ255" s="150"/>
      <c r="EA255" s="134"/>
      <c r="EB255" s="137">
        <f t="shared" si="134"/>
        <v>0</v>
      </c>
      <c r="EC255" s="138">
        <f t="shared" si="128"/>
        <v>0</v>
      </c>
      <c r="ED255" s="137">
        <f t="shared" si="135"/>
        <v>0</v>
      </c>
      <c r="EE255" s="132">
        <f t="shared" si="129"/>
        <v>0</v>
      </c>
      <c r="EF255" s="29"/>
      <c r="EG255" s="134"/>
      <c r="EH255" s="134"/>
      <c r="EI255" s="134"/>
      <c r="EK255" s="29"/>
    </row>
    <row r="256" spans="1:141" ht="15" customHeight="1" x14ac:dyDescent="0.25">
      <c r="A256" s="87"/>
      <c r="B256" s="5"/>
      <c r="C256" s="72"/>
      <c r="D256" s="73"/>
      <c r="E256" s="73"/>
      <c r="F256" s="141"/>
      <c r="G256" s="74"/>
      <c r="H256" s="75"/>
      <c r="I256" s="76"/>
      <c r="J256" s="135"/>
      <c r="K256" s="135"/>
      <c r="L256" s="77">
        <f t="shared" si="106"/>
        <v>0</v>
      </c>
      <c r="M256" s="78"/>
      <c r="N256" s="142"/>
      <c r="O256" s="142"/>
      <c r="P256" s="77">
        <f t="shared" si="107"/>
        <v>0</v>
      </c>
      <c r="Q256" s="78"/>
      <c r="R256" s="143"/>
      <c r="S256" s="143"/>
      <c r="T256" s="77">
        <f t="shared" si="108"/>
        <v>0</v>
      </c>
      <c r="U256" s="75"/>
      <c r="V256" s="76"/>
      <c r="W256" s="86"/>
      <c r="X256" s="135"/>
      <c r="Y256" s="77">
        <f t="shared" si="109"/>
        <v>0</v>
      </c>
      <c r="Z256" s="78"/>
      <c r="AA256" s="142"/>
      <c r="AB256" s="142"/>
      <c r="AC256" s="77">
        <f t="shared" si="110"/>
        <v>0</v>
      </c>
      <c r="AD256" s="78"/>
      <c r="AE256" s="143"/>
      <c r="AF256" s="143"/>
      <c r="AG256" s="79">
        <f t="shared" si="111"/>
        <v>0</v>
      </c>
      <c r="AH256" s="75"/>
      <c r="AI256" s="76"/>
      <c r="AJ256" s="135"/>
      <c r="AK256" s="135"/>
      <c r="AL256" s="77">
        <f t="shared" si="112"/>
        <v>0</v>
      </c>
      <c r="AM256" s="76"/>
      <c r="AN256" s="142"/>
      <c r="AO256" s="142"/>
      <c r="AP256" s="77">
        <f t="shared" si="113"/>
        <v>0</v>
      </c>
      <c r="AQ256" s="78"/>
      <c r="AR256" s="142"/>
      <c r="AS256" s="142"/>
      <c r="AT256" s="79">
        <f t="shared" si="114"/>
        <v>0</v>
      </c>
      <c r="AU256" s="75"/>
      <c r="AV256" s="76"/>
      <c r="AW256" s="135"/>
      <c r="AX256" s="135"/>
      <c r="AY256" s="77">
        <f t="shared" si="115"/>
        <v>0</v>
      </c>
      <c r="AZ256" s="76"/>
      <c r="BA256" s="142"/>
      <c r="BB256" s="142"/>
      <c r="BC256" s="77">
        <f t="shared" si="116"/>
        <v>0</v>
      </c>
      <c r="BD256" s="78"/>
      <c r="BE256" s="142"/>
      <c r="BF256" s="142"/>
      <c r="BG256" s="79">
        <f t="shared" si="117"/>
        <v>0</v>
      </c>
      <c r="BH256" s="75"/>
      <c r="BI256" s="76"/>
      <c r="BJ256" s="135"/>
      <c r="BK256" s="135"/>
      <c r="BL256" s="77">
        <f t="shared" si="118"/>
        <v>0</v>
      </c>
      <c r="BM256" s="78"/>
      <c r="BN256" s="142"/>
      <c r="BO256" s="142"/>
      <c r="BP256" s="77">
        <f t="shared" si="119"/>
        <v>0</v>
      </c>
      <c r="BQ256" s="78"/>
      <c r="BR256" s="142"/>
      <c r="BS256" s="142"/>
      <c r="BT256" s="79">
        <f t="shared" si="120"/>
        <v>0</v>
      </c>
      <c r="BU256" s="75"/>
      <c r="BV256" s="76"/>
      <c r="BW256" s="135"/>
      <c r="BX256" s="135"/>
      <c r="BY256" s="77">
        <f t="shared" si="121"/>
        <v>0</v>
      </c>
      <c r="BZ256" s="78"/>
      <c r="CA256" s="142"/>
      <c r="CB256" s="142"/>
      <c r="CC256" s="77">
        <f t="shared" si="122"/>
        <v>0</v>
      </c>
      <c r="CD256" s="78"/>
      <c r="CE256" s="142"/>
      <c r="CF256" s="142"/>
      <c r="CG256" s="79">
        <f t="shared" si="123"/>
        <v>0</v>
      </c>
      <c r="CH256" s="75"/>
      <c r="CI256" s="76"/>
      <c r="CJ256" s="135"/>
      <c r="CK256" s="135"/>
      <c r="CL256" s="77">
        <f t="shared" si="124"/>
        <v>0</v>
      </c>
      <c r="CM256" s="78"/>
      <c r="CN256" s="142"/>
      <c r="CO256" s="142"/>
      <c r="CP256" s="77">
        <f t="shared" si="125"/>
        <v>0</v>
      </c>
      <c r="CQ256" s="78"/>
      <c r="CR256" s="142"/>
      <c r="CS256" s="142"/>
      <c r="CT256" s="79">
        <f t="shared" si="126"/>
        <v>0</v>
      </c>
      <c r="CU256" s="80">
        <f t="shared" si="136"/>
        <v>0</v>
      </c>
      <c r="CV256" s="81">
        <f t="shared" si="137"/>
        <v>0</v>
      </c>
      <c r="CW256" s="144"/>
      <c r="CX256" s="145">
        <f>IF(ISERROR(VLOOKUP($A256,FIJOS!$B$11:$O$590,14,FALSE)),0,VLOOKUP($A256,FIJOS!$B$11:$O$590,14,FALSE))</f>
        <v>0</v>
      </c>
      <c r="CY256" s="145">
        <f>IF(ISERROR(VLOOKUP(A256,FIJOS!$B$10:$P$590,15,FALSE)),0,VLOOKUP(A256,FIJOS!$B$10:$P$590,15,FALSE))</f>
        <v>0</v>
      </c>
      <c r="CZ256" s="156"/>
      <c r="DA256" s="146"/>
      <c r="DB256" s="147"/>
      <c r="DC256" s="147"/>
      <c r="DD256" s="147"/>
      <c r="DE256" s="147"/>
      <c r="DF256" s="145">
        <f>IF(ISERROR(VLOOKUP($A256,FIJOS!$B$11:$N$590,13,FALSE)),0,VLOOKUP($A256,FIJOS!$B$11:$N$590,13,FALSE))</f>
        <v>0</v>
      </c>
      <c r="DG256" s="145">
        <f>IF(ISERROR(VLOOKUP($A256,FIJOS!$B$11:$P$447,12,FALSE)),0,VLOOKUP($A256,FIJOS!$B$11:$P$447,12,FALSE))</f>
        <v>0</v>
      </c>
      <c r="DH256" s="82">
        <f t="shared" si="127"/>
        <v>0</v>
      </c>
      <c r="DI256" s="83" t="b">
        <f>IF($C256=1,(VLOOKUP($A256,FIJOS!$B$11:$P$545,10,FALSE)/7)*(7-$CU256),IF(AND($C256=2,CV256&lt;$DJ$1),(VLOOKUP($D256,HORAS!$B$4:$C$42,2,FALSE)*24)*$CV256,IF(AND($C256=2,CV256&gt;=$DJ$1),VLOOKUP($D256,HORAS!$B$4:$D$42,3,FALSE),IF(AND($C256=3,$CV256&gt;=$DJ$1),VLOOKUP($A256,FIJOS!$B$11:$P$545,10,FALSE),IF(AND($C256=3,$CV256&lt;$DJ$1),((VLOOKUP($A256,FIJOS!$B$11:$P$545,10,FALSE)/48)*24)*$CV256,IF(AND($C256=4,$CV256&gt;=(42/24)),VLOOKUP($D256,HORAS!$B$4:$D$42,3,FALSE),IF(AND($C256=5,$CV256&gt;=(36/24)),VLOOKUP($D256,HORAS!$B$4:$D$42,3,FALSE))))))))</f>
        <v>0</v>
      </c>
      <c r="DJ256" s="145">
        <f>IF(OR($C256=2),VLOOKUP($D256,HORAS!$B$4:$E$42,4,FALSE)*$EC256,IF(ISERROR(VLOOKUP($A256,FIJOS!$B$11:$P$108,9,FALSE)),0,VLOOKUP($A256,FIJOS!$B$11:$P$231,9,FALSE)*$EC256))</f>
        <v>0</v>
      </c>
      <c r="DK256" s="145">
        <f>IF(OR($C256=2),VLOOKUP($D256,HORAS!$B$4:$F$42,5,FALSE)*$EE256,IF(ISERROR(VLOOKUP($A256,FIJOS!$B$11:$P$108,9,FALSE)),0,VLOOKUP($A256,FIJOS!$B$11:$P$231,9,FALSE)*$EE256))</f>
        <v>0</v>
      </c>
      <c r="DL256" s="144"/>
      <c r="DM256" s="145">
        <f>IF(ISERROR(VLOOKUP($A256,FIJOS!$B$11:$L$646,11,FALSE)),0,VLOOKUP($A256,FIJOS!$B$11:$L$646,11,FALSE))</f>
        <v>0</v>
      </c>
      <c r="DN256" s="148" t="e">
        <f>IF(OR($C256=1,$C256=3),0,IF((VLOOKUP(CAPTURA!D256,HORAS!$B$4:$K$42,10,FALSE)/4)*COUNTIF($H256:$CT256,3)&gt;100,100,(VLOOKUP(CAPTURA!D256,HORAS!$B$4:$K$42,10,FALSE)/4)*COUNTIF($H256:$CT256,3)))</f>
        <v>#N/A</v>
      </c>
      <c r="DO256" s="144" t="e">
        <f>IF(OR($C256=1,$C256=3),0,IF($C256=5,VLOOKUP(D256,HORAS!$B$4:$G$42,6,FALSE),IF(AND($C256=4,$CV256&gt;=(42/24)),VLOOKUP(D256,HORAS!$B$4:$G$42,6,FALSE),IF(COUNTIF($H256:$CL256,"F")&gt;0,0,IF(CV256&gt;$DJ$1,$DJ$1*(VLOOKUP(D256,HORAS!$B$4:$G$42,6,FALSE)/$DJ$1),CV256*(VLOOKUP(D256,HORAS!$B$4:$G$42,6,FALSE)/$DJ$1))))))</f>
        <v>#N/A</v>
      </c>
      <c r="DP256" s="156"/>
      <c r="DQ256" s="148"/>
      <c r="DR256" s="148"/>
      <c r="DS256" s="83" t="e">
        <f t="shared" si="130"/>
        <v>#N/A</v>
      </c>
      <c r="DT256" s="84"/>
      <c r="DU256" s="149" t="e">
        <f t="shared" si="131"/>
        <v>#N/A</v>
      </c>
      <c r="DV256" s="149" t="e">
        <f t="shared" si="132"/>
        <v>#N/A</v>
      </c>
      <c r="DW256" s="144" t="e">
        <f t="shared" si="133"/>
        <v>#N/A</v>
      </c>
      <c r="DX256"/>
      <c r="DY256" s="29"/>
      <c r="DZ256" s="150"/>
      <c r="EA256" s="134"/>
      <c r="EB256" s="137">
        <f t="shared" si="134"/>
        <v>0</v>
      </c>
      <c r="EC256" s="138">
        <f t="shared" si="128"/>
        <v>0</v>
      </c>
      <c r="ED256" s="137">
        <f t="shared" si="135"/>
        <v>0</v>
      </c>
      <c r="EE256" s="132">
        <f t="shared" si="129"/>
        <v>0</v>
      </c>
      <c r="EF256" s="29"/>
      <c r="EG256" s="134"/>
      <c r="EH256" s="134"/>
      <c r="EI256" s="134"/>
      <c r="EK256" s="29"/>
    </row>
    <row r="257" spans="1:141" ht="15" customHeight="1" x14ac:dyDescent="0.25">
      <c r="A257" s="87"/>
      <c r="B257" s="151"/>
      <c r="C257" s="72"/>
      <c r="D257" s="73"/>
      <c r="E257" s="73"/>
      <c r="F257" s="141"/>
      <c r="G257" s="74"/>
      <c r="H257" s="75"/>
      <c r="I257" s="76"/>
      <c r="J257" s="135"/>
      <c r="K257" s="135"/>
      <c r="L257" s="77">
        <f t="shared" si="106"/>
        <v>0</v>
      </c>
      <c r="M257" s="78"/>
      <c r="N257" s="142"/>
      <c r="O257" s="142"/>
      <c r="P257" s="77">
        <f t="shared" si="107"/>
        <v>0</v>
      </c>
      <c r="Q257" s="78"/>
      <c r="R257" s="143"/>
      <c r="S257" s="143"/>
      <c r="T257" s="77">
        <f t="shared" si="108"/>
        <v>0</v>
      </c>
      <c r="U257" s="75"/>
      <c r="V257" s="76"/>
      <c r="W257" s="135"/>
      <c r="X257" s="86"/>
      <c r="Y257" s="77">
        <f t="shared" si="109"/>
        <v>0</v>
      </c>
      <c r="Z257" s="78"/>
      <c r="AA257" s="142"/>
      <c r="AB257" s="142"/>
      <c r="AC257" s="77">
        <f t="shared" si="110"/>
        <v>0</v>
      </c>
      <c r="AD257" s="78"/>
      <c r="AE257" s="143"/>
      <c r="AF257" s="143"/>
      <c r="AG257" s="79">
        <f t="shared" si="111"/>
        <v>0</v>
      </c>
      <c r="AH257" s="75"/>
      <c r="AI257" s="76"/>
      <c r="AJ257" s="135"/>
      <c r="AK257" s="135"/>
      <c r="AL257" s="77">
        <f t="shared" si="112"/>
        <v>0</v>
      </c>
      <c r="AM257" s="76"/>
      <c r="AN257" s="142"/>
      <c r="AO257" s="142"/>
      <c r="AP257" s="77">
        <f t="shared" si="113"/>
        <v>0</v>
      </c>
      <c r="AQ257" s="78"/>
      <c r="AR257" s="142"/>
      <c r="AS257" s="142"/>
      <c r="AT257" s="79">
        <f t="shared" si="114"/>
        <v>0</v>
      </c>
      <c r="AU257" s="75"/>
      <c r="AV257" s="76"/>
      <c r="AW257" s="135"/>
      <c r="AX257" s="135"/>
      <c r="AY257" s="77">
        <f t="shared" si="115"/>
        <v>0</v>
      </c>
      <c r="AZ257" s="76"/>
      <c r="BA257" s="142"/>
      <c r="BB257" s="85"/>
      <c r="BC257" s="77">
        <f t="shared" si="116"/>
        <v>0</v>
      </c>
      <c r="BD257" s="78"/>
      <c r="BE257" s="142"/>
      <c r="BF257" s="142"/>
      <c r="BG257" s="79">
        <f t="shared" si="117"/>
        <v>0</v>
      </c>
      <c r="BH257" s="75"/>
      <c r="BI257" s="76"/>
      <c r="BJ257" s="135"/>
      <c r="BK257" s="86"/>
      <c r="BL257" s="77">
        <f t="shared" si="118"/>
        <v>0</v>
      </c>
      <c r="BM257" s="78"/>
      <c r="BN257" s="142"/>
      <c r="BO257" s="142"/>
      <c r="BP257" s="77">
        <f t="shared" si="119"/>
        <v>0</v>
      </c>
      <c r="BQ257" s="78"/>
      <c r="BR257" s="142"/>
      <c r="BS257" s="142"/>
      <c r="BT257" s="79">
        <f t="shared" si="120"/>
        <v>0</v>
      </c>
      <c r="BU257" s="75"/>
      <c r="BV257" s="76"/>
      <c r="BW257" s="135"/>
      <c r="BX257" s="86"/>
      <c r="BY257" s="77">
        <f t="shared" si="121"/>
        <v>0</v>
      </c>
      <c r="BZ257" s="78"/>
      <c r="CA257" s="142"/>
      <c r="CB257" s="142"/>
      <c r="CC257" s="77">
        <f t="shared" si="122"/>
        <v>0</v>
      </c>
      <c r="CD257" s="78"/>
      <c r="CE257" s="142"/>
      <c r="CF257" s="142"/>
      <c r="CG257" s="79">
        <f t="shared" si="123"/>
        <v>0</v>
      </c>
      <c r="CH257" s="75"/>
      <c r="CI257" s="76"/>
      <c r="CJ257" s="135"/>
      <c r="CK257" s="135"/>
      <c r="CL257" s="77">
        <f t="shared" si="124"/>
        <v>0</v>
      </c>
      <c r="CM257" s="78"/>
      <c r="CN257" s="142"/>
      <c r="CO257" s="142"/>
      <c r="CP257" s="77">
        <f t="shared" si="125"/>
        <v>0</v>
      </c>
      <c r="CQ257" s="78"/>
      <c r="CR257" s="142"/>
      <c r="CS257" s="142"/>
      <c r="CT257" s="79">
        <f t="shared" si="126"/>
        <v>0</v>
      </c>
      <c r="CU257" s="80">
        <f t="shared" si="136"/>
        <v>0</v>
      </c>
      <c r="CV257" s="81">
        <f t="shared" si="137"/>
        <v>0</v>
      </c>
      <c r="CW257" s="144"/>
      <c r="CX257" s="145">
        <f>IF(ISERROR(VLOOKUP($A257,FIJOS!$B$11:$O$590,14,FALSE)),0,VLOOKUP($A257,FIJOS!$B$11:$O$590,14,FALSE))</f>
        <v>0</v>
      </c>
      <c r="CY257" s="145">
        <f>IF(ISERROR(VLOOKUP(A257,FIJOS!$B$10:$P$590,15,FALSE)),0,VLOOKUP(A257,FIJOS!$B$10:$P$590,15,FALSE))</f>
        <v>0</v>
      </c>
      <c r="CZ257" s="156"/>
      <c r="DA257" s="146"/>
      <c r="DB257" s="147"/>
      <c r="DC257" s="147"/>
      <c r="DD257" s="147"/>
      <c r="DE257" s="147"/>
      <c r="DF257" s="145">
        <f>IF(ISERROR(VLOOKUP($A257,FIJOS!$B$11:$N$590,13,FALSE)),0,VLOOKUP($A257,FIJOS!$B$11:$N$590,13,FALSE))</f>
        <v>0</v>
      </c>
      <c r="DG257" s="145">
        <f>IF(ISERROR(VLOOKUP($A257,FIJOS!$B$11:$P$447,12,FALSE)),0,VLOOKUP($A257,FIJOS!$B$11:$P$447,12,FALSE))</f>
        <v>0</v>
      </c>
      <c r="DH257" s="82">
        <f t="shared" si="127"/>
        <v>0</v>
      </c>
      <c r="DI257" s="83" t="b">
        <f>IF($C257=1,(VLOOKUP($A257,FIJOS!$B$11:$P$545,10,FALSE)/7)*(7-$CU257),IF(AND($C257=2,CV257&lt;$DJ$1),(VLOOKUP($D257,HORAS!$B$4:$C$42,2,FALSE)*24)*$CV257,IF(AND($C257=2,CV257&gt;=$DJ$1),VLOOKUP($D257,HORAS!$B$4:$D$42,3,FALSE),IF(AND($C257=3,$CV257&gt;=$DJ$1),VLOOKUP($A257,FIJOS!$B$11:$P$545,10,FALSE),IF(AND($C257=3,$CV257&lt;$DJ$1),((VLOOKUP($A257,FIJOS!$B$11:$P$545,10,FALSE)/48)*24)*$CV257,IF(AND($C257=4,$CV257&gt;=(42/24)),VLOOKUP($D257,HORAS!$B$4:$D$42,3,FALSE),IF(AND($C257=5,$CV257&gt;=(36/24)),VLOOKUP($D257,HORAS!$B$4:$D$42,3,FALSE))))))))</f>
        <v>0</v>
      </c>
      <c r="DJ257" s="145">
        <f>IF(OR($C257=2),VLOOKUP($D257,HORAS!$B$4:$E$42,4,FALSE)*$EC257,IF(ISERROR(VLOOKUP($A257,FIJOS!$B$11:$P$108,9,FALSE)),0,VLOOKUP($A257,FIJOS!$B$11:$P$231,9,FALSE)*$EC257))</f>
        <v>0</v>
      </c>
      <c r="DK257" s="145">
        <f>IF(OR($C257=2),VLOOKUP($D257,HORAS!$B$4:$F$42,5,FALSE)*$EE257,IF(ISERROR(VLOOKUP($A257,FIJOS!$B$11:$P$108,9,FALSE)),0,VLOOKUP($A257,FIJOS!$B$11:$P$231,9,FALSE)*$EE257))</f>
        <v>0</v>
      </c>
      <c r="DL257" s="144"/>
      <c r="DM257" s="145">
        <f>IF(ISERROR(VLOOKUP($A257,FIJOS!$B$11:$L$646,11,FALSE)),0,VLOOKUP($A257,FIJOS!$B$11:$L$646,11,FALSE))</f>
        <v>0</v>
      </c>
      <c r="DN257" s="148" t="e">
        <f>IF(OR($C257=1,$C257=3),0,IF((VLOOKUP(CAPTURA!D257,HORAS!$B$4:$K$42,10,FALSE)/4)*COUNTIF($H257:$CT257,3)&gt;100,100,(VLOOKUP(CAPTURA!D257,HORAS!$B$4:$K$42,10,FALSE)/4)*COUNTIF($H257:$CT257,3)))</f>
        <v>#N/A</v>
      </c>
      <c r="DO257" s="144" t="e">
        <f>IF(OR($C257=1,$C257=3),0,IF($C257=5,VLOOKUP(D257,HORAS!$B$4:$G$42,6,FALSE),IF(AND($C257=4,$CV257&gt;=(42/24)),VLOOKUP(D257,HORAS!$B$4:$G$42,6,FALSE),IF(COUNTIF($H257:$CL257,"F")&gt;0,0,IF(CV257&gt;$DJ$1,$DJ$1*(VLOOKUP(D257,HORAS!$B$4:$G$42,6,FALSE)/$DJ$1),CV257*(VLOOKUP(D257,HORAS!$B$4:$G$42,6,FALSE)/$DJ$1))))))</f>
        <v>#N/A</v>
      </c>
      <c r="DP257" s="156"/>
      <c r="DQ257" s="148"/>
      <c r="DR257" s="148"/>
      <c r="DS257" s="83" t="e">
        <f t="shared" si="130"/>
        <v>#N/A</v>
      </c>
      <c r="DT257" s="84"/>
      <c r="DU257" s="149" t="e">
        <f t="shared" si="131"/>
        <v>#N/A</v>
      </c>
      <c r="DV257" s="149" t="e">
        <f t="shared" si="132"/>
        <v>#N/A</v>
      </c>
      <c r="DW257" s="144" t="e">
        <f t="shared" si="133"/>
        <v>#N/A</v>
      </c>
      <c r="DX257" s="134"/>
      <c r="DY257" s="29"/>
      <c r="DZ257" s="150"/>
      <c r="EA257" s="134"/>
      <c r="EB257" s="137">
        <f t="shared" si="134"/>
        <v>0</v>
      </c>
      <c r="EC257" s="138">
        <f t="shared" si="128"/>
        <v>0</v>
      </c>
      <c r="ED257" s="137">
        <f t="shared" si="135"/>
        <v>0</v>
      </c>
      <c r="EE257" s="132">
        <f t="shared" si="129"/>
        <v>0</v>
      </c>
      <c r="EF257" s="29"/>
      <c r="EG257" s="134"/>
      <c r="EH257" s="134"/>
      <c r="EI257" s="134"/>
      <c r="EK257" s="29"/>
    </row>
    <row r="258" spans="1:141" ht="15" customHeight="1" x14ac:dyDescent="0.25">
      <c r="A258" s="87"/>
      <c r="B258" s="151"/>
      <c r="C258" s="72"/>
      <c r="D258" s="73"/>
      <c r="E258" s="73"/>
      <c r="F258" s="141"/>
      <c r="G258" s="74"/>
      <c r="H258" s="75"/>
      <c r="I258" s="76"/>
      <c r="J258" s="86"/>
      <c r="K258" s="135"/>
      <c r="L258" s="77">
        <f t="shared" si="106"/>
        <v>0</v>
      </c>
      <c r="M258" s="78"/>
      <c r="N258" s="142"/>
      <c r="O258" s="142"/>
      <c r="P258" s="77">
        <f t="shared" si="107"/>
        <v>0</v>
      </c>
      <c r="Q258" s="78"/>
      <c r="R258" s="143"/>
      <c r="S258" s="143"/>
      <c r="T258" s="77">
        <f t="shared" si="108"/>
        <v>0</v>
      </c>
      <c r="U258" s="75"/>
      <c r="V258" s="76"/>
      <c r="W258" s="135"/>
      <c r="X258" s="135"/>
      <c r="Y258" s="77">
        <f t="shared" si="109"/>
        <v>0</v>
      </c>
      <c r="Z258" s="78"/>
      <c r="AA258" s="142"/>
      <c r="AB258" s="142"/>
      <c r="AC258" s="77">
        <f t="shared" si="110"/>
        <v>0</v>
      </c>
      <c r="AD258" s="78"/>
      <c r="AE258" s="143"/>
      <c r="AF258" s="143"/>
      <c r="AG258" s="79">
        <f t="shared" si="111"/>
        <v>0</v>
      </c>
      <c r="AH258" s="75"/>
      <c r="AI258" s="76"/>
      <c r="AJ258" s="135"/>
      <c r="AK258" s="135"/>
      <c r="AL258" s="77">
        <f t="shared" si="112"/>
        <v>0</v>
      </c>
      <c r="AM258" s="76"/>
      <c r="AN258" s="142"/>
      <c r="AO258" s="142"/>
      <c r="AP258" s="77">
        <f t="shared" si="113"/>
        <v>0</v>
      </c>
      <c r="AQ258" s="78"/>
      <c r="AR258" s="142"/>
      <c r="AS258" s="142"/>
      <c r="AT258" s="79">
        <f t="shared" si="114"/>
        <v>0</v>
      </c>
      <c r="AU258" s="75"/>
      <c r="AV258" s="76"/>
      <c r="AW258" s="135"/>
      <c r="AX258" s="135"/>
      <c r="AY258" s="77">
        <f t="shared" si="115"/>
        <v>0</v>
      </c>
      <c r="AZ258" s="76"/>
      <c r="BA258" s="142"/>
      <c r="BB258" s="142"/>
      <c r="BC258" s="77">
        <f t="shared" si="116"/>
        <v>0</v>
      </c>
      <c r="BD258" s="78"/>
      <c r="BE258" s="142"/>
      <c r="BF258" s="142"/>
      <c r="BG258" s="79">
        <f t="shared" si="117"/>
        <v>0</v>
      </c>
      <c r="BH258" s="75"/>
      <c r="BI258" s="76"/>
      <c r="BJ258" s="135"/>
      <c r="BK258" s="135"/>
      <c r="BL258" s="77">
        <f t="shared" si="118"/>
        <v>0</v>
      </c>
      <c r="BM258" s="78"/>
      <c r="BN258" s="142"/>
      <c r="BO258" s="142"/>
      <c r="BP258" s="77">
        <f t="shared" si="119"/>
        <v>0</v>
      </c>
      <c r="BQ258" s="78"/>
      <c r="BR258" s="142"/>
      <c r="BS258" s="142"/>
      <c r="BT258" s="79">
        <f t="shared" si="120"/>
        <v>0</v>
      </c>
      <c r="BU258" s="75"/>
      <c r="BV258" s="76"/>
      <c r="BW258" s="135"/>
      <c r="BX258" s="135"/>
      <c r="BY258" s="77">
        <f t="shared" si="121"/>
        <v>0</v>
      </c>
      <c r="BZ258" s="78"/>
      <c r="CA258" s="142"/>
      <c r="CB258" s="142"/>
      <c r="CC258" s="77">
        <f t="shared" si="122"/>
        <v>0</v>
      </c>
      <c r="CD258" s="78"/>
      <c r="CE258" s="142"/>
      <c r="CF258" s="142"/>
      <c r="CG258" s="79">
        <f t="shared" si="123"/>
        <v>0</v>
      </c>
      <c r="CH258" s="75"/>
      <c r="CI258" s="76"/>
      <c r="CJ258" s="135"/>
      <c r="CK258" s="135"/>
      <c r="CL258" s="77">
        <f t="shared" si="124"/>
        <v>0</v>
      </c>
      <c r="CM258" s="78"/>
      <c r="CN258" s="142"/>
      <c r="CO258" s="142"/>
      <c r="CP258" s="77">
        <f t="shared" si="125"/>
        <v>0</v>
      </c>
      <c r="CQ258" s="78"/>
      <c r="CR258" s="142"/>
      <c r="CS258" s="142"/>
      <c r="CT258" s="79">
        <f t="shared" si="126"/>
        <v>0</v>
      </c>
      <c r="CU258" s="80">
        <f t="shared" si="136"/>
        <v>0</v>
      </c>
      <c r="CV258" s="81">
        <f t="shared" si="137"/>
        <v>0</v>
      </c>
      <c r="CW258" s="144"/>
      <c r="CX258" s="145">
        <f>IF(ISERROR(VLOOKUP($A258,FIJOS!$B$11:$O$590,14,FALSE)),0,VLOOKUP($A258,FIJOS!$B$11:$O$590,14,FALSE))</f>
        <v>0</v>
      </c>
      <c r="CY258" s="145">
        <f>IF(ISERROR(VLOOKUP(A258,FIJOS!$B$10:$P$590,15,FALSE)),0,VLOOKUP(A258,FIJOS!$B$10:$P$590,15,FALSE))</f>
        <v>0</v>
      </c>
      <c r="CZ258" s="155"/>
      <c r="DA258" s="146"/>
      <c r="DB258" s="147"/>
      <c r="DC258" s="147"/>
      <c r="DD258" s="147"/>
      <c r="DE258" s="147"/>
      <c r="DF258" s="145">
        <f>IF(ISERROR(VLOOKUP($A258,FIJOS!$B$11:$N$590,13,FALSE)),0,VLOOKUP($A258,FIJOS!$B$11:$N$590,13,FALSE))</f>
        <v>0</v>
      </c>
      <c r="DG258" s="145">
        <f>IF(ISERROR(VLOOKUP($A258,FIJOS!$B$11:$P$447,12,FALSE)),0,VLOOKUP($A258,FIJOS!$B$11:$P$447,12,FALSE))</f>
        <v>0</v>
      </c>
      <c r="DH258" s="82">
        <f t="shared" si="127"/>
        <v>0</v>
      </c>
      <c r="DI258" s="83" t="b">
        <f>IF($C258=1,(VLOOKUP($A258,FIJOS!$B$11:$P$545,10,FALSE)/7)*(7-$CU258),IF(AND($C258=2,CV258&lt;$DJ$1),(VLOOKUP($D258,HORAS!$B$4:$C$42,2,FALSE)*24)*$CV258,IF(AND($C258=2,CV258&gt;=$DJ$1),VLOOKUP($D258,HORAS!$B$4:$D$42,3,FALSE),IF(AND($C258=3,$CV258&gt;=$DJ$1),VLOOKUP($A258,FIJOS!$B$11:$P$545,10,FALSE),IF(AND($C258=3,$CV258&lt;$DJ$1),((VLOOKUP($A258,FIJOS!$B$11:$P$545,10,FALSE)/48)*24)*$CV258,IF(AND($C258=4,$CV258&gt;=(42/24)),VLOOKUP($D258,HORAS!$B$4:$D$42,3,FALSE),IF(AND($C258=5,$CV258&gt;=(36/24)),VLOOKUP($D258,HORAS!$B$4:$D$42,3,FALSE))))))))</f>
        <v>0</v>
      </c>
      <c r="DJ258" s="145">
        <f>IF(OR($C258=2),VLOOKUP($D258,HORAS!$B$4:$E$42,4,FALSE)*$EC258,IF(ISERROR(VLOOKUP($A258,FIJOS!$B$11:$P$108,9,FALSE)),0,VLOOKUP($A258,FIJOS!$B$11:$P$231,9,FALSE)*$EC258))</f>
        <v>0</v>
      </c>
      <c r="DK258" s="145">
        <f>IF(OR($C258=2),VLOOKUP($D258,HORAS!$B$4:$F$42,5,FALSE)*$EE258,IF(ISERROR(VLOOKUP($A258,FIJOS!$B$11:$P$108,9,FALSE)),0,VLOOKUP($A258,FIJOS!$B$11:$P$231,9,FALSE)*$EE258))</f>
        <v>0</v>
      </c>
      <c r="DL258" s="144"/>
      <c r="DM258" s="145">
        <f>IF(ISERROR(VLOOKUP($A258,FIJOS!$B$11:$L$646,11,FALSE)),0,VLOOKUP($A258,FIJOS!$B$11:$L$646,11,FALSE))</f>
        <v>0</v>
      </c>
      <c r="DN258" s="148" t="e">
        <f>IF(OR($C258=1,$C258=3),0,IF((VLOOKUP(CAPTURA!D258,HORAS!$B$4:$K$42,10,FALSE)/4)*COUNTIF($H258:$CT258,3)&gt;100,100,(VLOOKUP(CAPTURA!D258,HORAS!$B$4:$K$42,10,FALSE)/4)*COUNTIF($H258:$CT258,3)))</f>
        <v>#N/A</v>
      </c>
      <c r="DO258" s="144" t="e">
        <f>IF(OR($C258=1,$C258=3),0,IF($C258=5,VLOOKUP(D258,HORAS!$B$4:$G$42,6,FALSE),IF(AND($C258=4,$CV258&gt;=(42/24)),VLOOKUP(D258,HORAS!$B$4:$G$42,6,FALSE),IF(COUNTIF($H258:$CL258,"F")&gt;0,0,IF(CV258&gt;$DJ$1,$DJ$1*(VLOOKUP(D258,HORAS!$B$4:$G$42,6,FALSE)/$DJ$1),CV258*(VLOOKUP(D258,HORAS!$B$4:$G$42,6,FALSE)/$DJ$1))))))</f>
        <v>#N/A</v>
      </c>
      <c r="DP258" s="156"/>
      <c r="DQ258" s="148"/>
      <c r="DR258" s="148"/>
      <c r="DS258" s="83" t="e">
        <f t="shared" si="130"/>
        <v>#N/A</v>
      </c>
      <c r="DT258" s="84"/>
      <c r="DU258" s="149" t="e">
        <f t="shared" si="131"/>
        <v>#N/A</v>
      </c>
      <c r="DV258" s="149" t="e">
        <f t="shared" si="132"/>
        <v>#N/A</v>
      </c>
      <c r="DW258" s="144" t="e">
        <f t="shared" si="133"/>
        <v>#N/A</v>
      </c>
      <c r="DX258"/>
      <c r="DY258" s="29"/>
      <c r="DZ258" s="150"/>
      <c r="EA258" s="137"/>
      <c r="EB258" s="137">
        <f t="shared" si="134"/>
        <v>0</v>
      </c>
      <c r="EC258" s="138">
        <f t="shared" si="128"/>
        <v>0</v>
      </c>
      <c r="ED258" s="137">
        <f t="shared" si="135"/>
        <v>0</v>
      </c>
      <c r="EE258" s="132">
        <f t="shared" si="129"/>
        <v>0</v>
      </c>
      <c r="EF258" s="29"/>
      <c r="EG258" s="134"/>
      <c r="EH258" s="134"/>
      <c r="EI258" s="134"/>
      <c r="EK258" s="29"/>
    </row>
    <row r="259" spans="1:141" ht="15" customHeight="1" x14ac:dyDescent="0.25">
      <c r="A259" s="87"/>
      <c r="B259" s="5"/>
      <c r="C259" s="72"/>
      <c r="D259" s="73"/>
      <c r="E259" s="160"/>
      <c r="F259" s="141"/>
      <c r="G259" s="74"/>
      <c r="H259" s="75"/>
      <c r="I259" s="76"/>
      <c r="J259" s="135"/>
      <c r="K259" s="135"/>
      <c r="L259" s="77">
        <f t="shared" si="106"/>
        <v>0</v>
      </c>
      <c r="M259" s="78"/>
      <c r="N259" s="142"/>
      <c r="O259" s="142"/>
      <c r="P259" s="77">
        <f t="shared" si="107"/>
        <v>0</v>
      </c>
      <c r="Q259" s="78"/>
      <c r="R259" s="143"/>
      <c r="S259" s="143"/>
      <c r="T259" s="77">
        <f t="shared" si="108"/>
        <v>0</v>
      </c>
      <c r="U259" s="75"/>
      <c r="V259" s="76"/>
      <c r="W259" s="135"/>
      <c r="X259" s="135"/>
      <c r="Y259" s="77">
        <f t="shared" si="109"/>
        <v>0</v>
      </c>
      <c r="Z259" s="78"/>
      <c r="AA259" s="142"/>
      <c r="AB259" s="142"/>
      <c r="AC259" s="77">
        <f t="shared" si="110"/>
        <v>0</v>
      </c>
      <c r="AD259" s="78"/>
      <c r="AE259" s="143"/>
      <c r="AF259" s="143"/>
      <c r="AG259" s="79">
        <f t="shared" si="111"/>
        <v>0</v>
      </c>
      <c r="AH259" s="75"/>
      <c r="AI259" s="76"/>
      <c r="AJ259" s="135"/>
      <c r="AK259" s="135"/>
      <c r="AL259" s="77">
        <f t="shared" si="112"/>
        <v>0</v>
      </c>
      <c r="AM259" s="76"/>
      <c r="AN259" s="142"/>
      <c r="AO259" s="142"/>
      <c r="AP259" s="77">
        <f t="shared" si="113"/>
        <v>0</v>
      </c>
      <c r="AQ259" s="78"/>
      <c r="AR259" s="142"/>
      <c r="AS259" s="142"/>
      <c r="AT259" s="79">
        <f t="shared" si="114"/>
        <v>0</v>
      </c>
      <c r="AU259" s="75"/>
      <c r="AV259" s="76"/>
      <c r="AW259" s="135"/>
      <c r="AX259" s="135"/>
      <c r="AY259" s="77">
        <f t="shared" si="115"/>
        <v>0</v>
      </c>
      <c r="AZ259" s="76"/>
      <c r="BA259" s="142"/>
      <c r="BB259" s="142"/>
      <c r="BC259" s="77">
        <f t="shared" si="116"/>
        <v>0</v>
      </c>
      <c r="BD259" s="78"/>
      <c r="BE259" s="142"/>
      <c r="BF259" s="142"/>
      <c r="BG259" s="79">
        <f t="shared" si="117"/>
        <v>0</v>
      </c>
      <c r="BH259" s="75"/>
      <c r="BI259" s="76"/>
      <c r="BJ259" s="135"/>
      <c r="BK259" s="135"/>
      <c r="BL259" s="77">
        <f t="shared" si="118"/>
        <v>0</v>
      </c>
      <c r="BM259" s="78"/>
      <c r="BN259" s="142"/>
      <c r="BO259" s="142"/>
      <c r="BP259" s="77">
        <f t="shared" si="119"/>
        <v>0</v>
      </c>
      <c r="BQ259" s="78"/>
      <c r="BR259" s="142"/>
      <c r="BS259" s="142"/>
      <c r="BT259" s="79">
        <f t="shared" si="120"/>
        <v>0</v>
      </c>
      <c r="BU259" s="75"/>
      <c r="BV259" s="76"/>
      <c r="BW259" s="135"/>
      <c r="BX259" s="135"/>
      <c r="BY259" s="77">
        <f t="shared" si="121"/>
        <v>0</v>
      </c>
      <c r="BZ259" s="78"/>
      <c r="CA259" s="142"/>
      <c r="CB259" s="142"/>
      <c r="CC259" s="77">
        <f t="shared" si="122"/>
        <v>0</v>
      </c>
      <c r="CD259" s="78"/>
      <c r="CE259" s="142"/>
      <c r="CF259" s="142"/>
      <c r="CG259" s="79">
        <f t="shared" si="123"/>
        <v>0</v>
      </c>
      <c r="CH259" s="75"/>
      <c r="CI259" s="76"/>
      <c r="CJ259" s="135"/>
      <c r="CK259" s="135"/>
      <c r="CL259" s="77">
        <f t="shared" si="124"/>
        <v>0</v>
      </c>
      <c r="CM259" s="78"/>
      <c r="CN259" s="142"/>
      <c r="CO259" s="142"/>
      <c r="CP259" s="77">
        <f t="shared" si="125"/>
        <v>0</v>
      </c>
      <c r="CQ259" s="78"/>
      <c r="CR259" s="142"/>
      <c r="CS259" s="142"/>
      <c r="CT259" s="79">
        <f t="shared" si="126"/>
        <v>0</v>
      </c>
      <c r="CU259" s="80">
        <f t="shared" si="136"/>
        <v>0</v>
      </c>
      <c r="CV259" s="81">
        <f t="shared" si="137"/>
        <v>0</v>
      </c>
      <c r="CW259" s="144"/>
      <c r="CX259" s="145">
        <f>IF(ISERROR(VLOOKUP($A259,FIJOS!$B$11:$O$590,14,FALSE)),0,VLOOKUP($A259,FIJOS!$B$11:$O$590,14,FALSE))</f>
        <v>0</v>
      </c>
      <c r="CY259" s="145">
        <f>IF(ISERROR(VLOOKUP(A259,FIJOS!$B$10:$P$590,15,FALSE)),0,VLOOKUP(A259,FIJOS!$B$10:$P$590,15,FALSE))</f>
        <v>0</v>
      </c>
      <c r="CZ259" s="155"/>
      <c r="DA259" s="146"/>
      <c r="DB259" s="147"/>
      <c r="DC259" s="147"/>
      <c r="DD259" s="147"/>
      <c r="DE259" s="147"/>
      <c r="DF259" s="145">
        <f>IF(ISERROR(VLOOKUP($A259,FIJOS!$B$11:$N$590,13,FALSE)),0,VLOOKUP($A259,FIJOS!$B$11:$N$590,13,FALSE))</f>
        <v>0</v>
      </c>
      <c r="DG259" s="145">
        <f>IF(ISERROR(VLOOKUP($A259,FIJOS!$B$11:$P$447,12,FALSE)),0,VLOOKUP($A259,FIJOS!$B$11:$P$447,12,FALSE))</f>
        <v>0</v>
      </c>
      <c r="DH259" s="82">
        <f t="shared" si="127"/>
        <v>0</v>
      </c>
      <c r="DI259" s="83" t="b">
        <f>IF($C259=1,(VLOOKUP($A259,FIJOS!$B$11:$P$545,10,FALSE)/7)*(7-$CU259),IF(AND($C259=2,CV259&lt;$DJ$1),(VLOOKUP($D259,HORAS!$B$4:$C$42,2,FALSE)*24)*$CV259,IF(AND($C259=2,CV259&gt;=$DJ$1),VLOOKUP($D259,HORAS!$B$4:$D$42,3,FALSE),IF(AND($C259=3,$CV259&gt;=$DJ$1),VLOOKUP($A259,FIJOS!$B$11:$P$545,10,FALSE),IF(AND($C259=3,$CV259&lt;$DJ$1),((VLOOKUP($A259,FIJOS!$B$11:$P$545,10,FALSE)/48)*24)*$CV259,IF(AND($C259=4,$CV259&gt;=(42/24)),VLOOKUP($D259,HORAS!$B$4:$D$42,3,FALSE),IF(AND($C259=5,$CV259&gt;=(36/24)),VLOOKUP($D259,HORAS!$B$4:$D$42,3,FALSE))))))))</f>
        <v>0</v>
      </c>
      <c r="DJ259" s="145">
        <f>IF(OR($C259=2),VLOOKUP($D259,HORAS!$B$4:$E$42,4,FALSE)*$EC259,IF(ISERROR(VLOOKUP($A259,FIJOS!$B$11:$P$108,9,FALSE)),0,VLOOKUP($A259,FIJOS!$B$11:$P$231,9,FALSE)*$EC259))</f>
        <v>0</v>
      </c>
      <c r="DK259" s="145">
        <f>IF(OR($C259=2),VLOOKUP($D259,HORAS!$B$4:$F$42,5,FALSE)*$EE259,IF(ISERROR(VLOOKUP($A259,FIJOS!$B$11:$P$108,9,FALSE)),0,VLOOKUP($A259,FIJOS!$B$11:$P$231,9,FALSE)*$EE259))</f>
        <v>0</v>
      </c>
      <c r="DL259" s="144"/>
      <c r="DM259" s="145">
        <f>IF(ISERROR(VLOOKUP($A259,FIJOS!$B$11:$L$646,11,FALSE)),0,VLOOKUP($A259,FIJOS!$B$11:$L$646,11,FALSE))</f>
        <v>0</v>
      </c>
      <c r="DN259" s="148" t="e">
        <f>IF(OR($C259=1,$C259=3),0,IF((VLOOKUP(CAPTURA!D259,HORAS!$B$4:$K$42,10,FALSE)/4)*COUNTIF($H259:$CT259,3)&gt;100,100,(VLOOKUP(CAPTURA!D259,HORAS!$B$4:$K$42,10,FALSE)/4)*COUNTIF($H259:$CT259,3)))</f>
        <v>#N/A</v>
      </c>
      <c r="DO259" s="144" t="e">
        <f>IF(OR($C259=1,$C259=3),0,IF($C259=5,VLOOKUP(D259,HORAS!$B$4:$G$42,6,FALSE),IF(AND($C259=4,$CV259&gt;=(42/24)),VLOOKUP(D259,HORAS!$B$4:$G$42,6,FALSE),IF(COUNTIF($H259:$CL259,"F")&gt;0,0,IF(CV259&gt;$DJ$1,$DJ$1*(VLOOKUP(D259,HORAS!$B$4:$G$42,6,FALSE)/$DJ$1),CV259*(VLOOKUP(D259,HORAS!$B$4:$G$42,6,FALSE)/$DJ$1))))))</f>
        <v>#N/A</v>
      </c>
      <c r="DP259" s="156"/>
      <c r="DQ259" s="89"/>
      <c r="DR259" s="148"/>
      <c r="DS259" s="83" t="e">
        <f t="shared" si="130"/>
        <v>#N/A</v>
      </c>
      <c r="DT259" s="84"/>
      <c r="DU259" s="149" t="e">
        <f t="shared" si="131"/>
        <v>#N/A</v>
      </c>
      <c r="DV259" s="149" t="e">
        <f t="shared" si="132"/>
        <v>#N/A</v>
      </c>
      <c r="DW259" s="144" t="e">
        <f t="shared" si="133"/>
        <v>#N/A</v>
      </c>
      <c r="DX259" s="134"/>
      <c r="DY259" s="29"/>
      <c r="DZ259" s="150"/>
      <c r="EA259" s="137"/>
      <c r="EB259" s="137">
        <f t="shared" si="134"/>
        <v>0</v>
      </c>
      <c r="EC259" s="138">
        <f t="shared" si="128"/>
        <v>0</v>
      </c>
      <c r="ED259" s="137">
        <f t="shared" si="135"/>
        <v>0</v>
      </c>
      <c r="EE259" s="132">
        <f t="shared" si="129"/>
        <v>0</v>
      </c>
      <c r="EF259" s="29"/>
      <c r="EG259" s="134"/>
      <c r="EH259" s="134"/>
      <c r="EI259" s="134"/>
      <c r="EK259" s="29"/>
    </row>
    <row r="260" spans="1:141" ht="15" customHeight="1" x14ac:dyDescent="0.25">
      <c r="A260" s="87"/>
      <c r="B260" s="5"/>
      <c r="C260" s="72"/>
      <c r="D260" s="73"/>
      <c r="E260" s="73"/>
      <c r="F260" s="141"/>
      <c r="G260" s="74"/>
      <c r="H260" s="75"/>
      <c r="I260" s="76"/>
      <c r="J260" s="135"/>
      <c r="K260" s="135"/>
      <c r="L260" s="77">
        <f t="shared" si="106"/>
        <v>0</v>
      </c>
      <c r="M260" s="78"/>
      <c r="N260" s="142"/>
      <c r="O260" s="142"/>
      <c r="P260" s="77">
        <f t="shared" si="107"/>
        <v>0</v>
      </c>
      <c r="Q260" s="78"/>
      <c r="R260" s="129"/>
      <c r="S260" s="143"/>
      <c r="T260" s="77">
        <f t="shared" si="108"/>
        <v>0</v>
      </c>
      <c r="U260" s="75"/>
      <c r="V260" s="76"/>
      <c r="W260" s="135"/>
      <c r="X260" s="135"/>
      <c r="Y260" s="77">
        <f t="shared" si="109"/>
        <v>0</v>
      </c>
      <c r="Z260" s="78"/>
      <c r="AA260" s="142"/>
      <c r="AB260" s="142"/>
      <c r="AC260" s="77">
        <f t="shared" si="110"/>
        <v>0</v>
      </c>
      <c r="AD260" s="78"/>
      <c r="AE260" s="143"/>
      <c r="AF260" s="143"/>
      <c r="AG260" s="79">
        <f t="shared" si="111"/>
        <v>0</v>
      </c>
      <c r="AH260" s="75"/>
      <c r="AI260" s="76"/>
      <c r="AJ260" s="135"/>
      <c r="AK260" s="135"/>
      <c r="AL260" s="77">
        <f t="shared" si="112"/>
        <v>0</v>
      </c>
      <c r="AM260" s="76"/>
      <c r="AN260" s="142"/>
      <c r="AO260" s="85"/>
      <c r="AP260" s="77">
        <f t="shared" si="113"/>
        <v>0</v>
      </c>
      <c r="AQ260" s="78"/>
      <c r="AR260" s="142"/>
      <c r="AS260" s="142"/>
      <c r="AT260" s="79">
        <f t="shared" si="114"/>
        <v>0</v>
      </c>
      <c r="AU260" s="75"/>
      <c r="AV260" s="76"/>
      <c r="AW260" s="135"/>
      <c r="AX260" s="135"/>
      <c r="AY260" s="77">
        <f t="shared" si="115"/>
        <v>0</v>
      </c>
      <c r="AZ260" s="76"/>
      <c r="BA260" s="142"/>
      <c r="BB260" s="142"/>
      <c r="BC260" s="77">
        <f t="shared" si="116"/>
        <v>0</v>
      </c>
      <c r="BD260" s="78"/>
      <c r="BE260" s="142"/>
      <c r="BF260" s="85"/>
      <c r="BG260" s="79">
        <f t="shared" si="117"/>
        <v>0</v>
      </c>
      <c r="BH260" s="75"/>
      <c r="BI260" s="76"/>
      <c r="BJ260" s="135"/>
      <c r="BK260" s="135"/>
      <c r="BL260" s="77">
        <f t="shared" si="118"/>
        <v>0</v>
      </c>
      <c r="BM260" s="78"/>
      <c r="BN260" s="142"/>
      <c r="BO260" s="142"/>
      <c r="BP260" s="77">
        <f t="shared" si="119"/>
        <v>0</v>
      </c>
      <c r="BQ260" s="78"/>
      <c r="BR260" s="142"/>
      <c r="BS260" s="142"/>
      <c r="BT260" s="79">
        <f t="shared" si="120"/>
        <v>0</v>
      </c>
      <c r="BU260" s="75"/>
      <c r="BV260" s="76"/>
      <c r="BW260" s="135"/>
      <c r="BX260" s="135"/>
      <c r="BY260" s="77">
        <f t="shared" si="121"/>
        <v>0</v>
      </c>
      <c r="BZ260" s="78"/>
      <c r="CA260" s="142"/>
      <c r="CB260" s="142"/>
      <c r="CC260" s="77">
        <f t="shared" si="122"/>
        <v>0</v>
      </c>
      <c r="CD260" s="78"/>
      <c r="CE260" s="142"/>
      <c r="CF260" s="142"/>
      <c r="CG260" s="79">
        <f t="shared" si="123"/>
        <v>0</v>
      </c>
      <c r="CH260" s="75"/>
      <c r="CI260" s="76"/>
      <c r="CJ260" s="135"/>
      <c r="CK260" s="135"/>
      <c r="CL260" s="77">
        <f t="shared" si="124"/>
        <v>0</v>
      </c>
      <c r="CM260" s="78"/>
      <c r="CN260" s="142"/>
      <c r="CO260" s="142"/>
      <c r="CP260" s="77">
        <f t="shared" si="125"/>
        <v>0</v>
      </c>
      <c r="CQ260" s="78"/>
      <c r="CR260" s="142"/>
      <c r="CS260" s="142"/>
      <c r="CT260" s="79">
        <f t="shared" si="126"/>
        <v>0</v>
      </c>
      <c r="CU260" s="80">
        <f t="shared" si="136"/>
        <v>0</v>
      </c>
      <c r="CV260" s="81">
        <f t="shared" si="137"/>
        <v>0</v>
      </c>
      <c r="CW260" s="144"/>
      <c r="CX260" s="145">
        <f>IF(ISERROR(VLOOKUP($A260,FIJOS!$B$11:$O$590,14,FALSE)),0,VLOOKUP($A260,FIJOS!$B$11:$O$590,14,FALSE))</f>
        <v>0</v>
      </c>
      <c r="CY260" s="145">
        <f>IF(ISERROR(VLOOKUP(A260,FIJOS!$B$10:$P$590,15,FALSE)),0,VLOOKUP(A260,FIJOS!$B$10:$P$590,15,FALSE))</f>
        <v>0</v>
      </c>
      <c r="CZ260" s="155"/>
      <c r="DA260" s="146"/>
      <c r="DB260" s="147"/>
      <c r="DC260" s="147"/>
      <c r="DD260" s="147"/>
      <c r="DE260" s="147"/>
      <c r="DF260" s="145">
        <f>IF(ISERROR(VLOOKUP($A260,FIJOS!$B$11:$N$590,13,FALSE)),0,VLOOKUP($A260,FIJOS!$B$11:$N$590,13,FALSE))</f>
        <v>0</v>
      </c>
      <c r="DG260" s="145">
        <f>IF(ISERROR(VLOOKUP($A260,FIJOS!$B$11:$P$447,12,FALSE)),0,VLOOKUP($A260,FIJOS!$B$11:$P$447,12,FALSE))</f>
        <v>0</v>
      </c>
      <c r="DH260" s="82">
        <f t="shared" si="127"/>
        <v>0</v>
      </c>
      <c r="DI260" s="83" t="b">
        <f>IF($C260=1,(VLOOKUP($A260,FIJOS!$B$11:$P$545,10,FALSE)/7)*(7-$CU260),IF(AND($C260=2,CV260&lt;$DJ$1),(VLOOKUP($D260,HORAS!$B$4:$C$42,2,FALSE)*24)*$CV260,IF(AND($C260=2,CV260&gt;=$DJ$1),VLOOKUP($D260,HORAS!$B$4:$D$42,3,FALSE),IF(AND($C260=3,$CV260&gt;=$DJ$1),VLOOKUP($A260,FIJOS!$B$11:$P$545,10,FALSE),IF(AND($C260=3,$CV260&lt;$DJ$1),((VLOOKUP($A260,FIJOS!$B$11:$P$545,10,FALSE)/48)*24)*$CV260,IF(AND($C260=4,$CV260&gt;=(42/24)),VLOOKUP($D260,HORAS!$B$4:$D$42,3,FALSE),IF(AND($C260=5,$CV260&gt;=(36/24)),VLOOKUP($D260,HORAS!$B$4:$D$42,3,FALSE))))))))</f>
        <v>0</v>
      </c>
      <c r="DJ260" s="145">
        <f>IF(OR($C260=2),VLOOKUP($D260,HORAS!$B$4:$E$42,4,FALSE)*$EC260,IF(ISERROR(VLOOKUP($A260,FIJOS!$B$11:$P$108,9,FALSE)),0,VLOOKUP($A260,FIJOS!$B$11:$P$231,9,FALSE)*$EC260))</f>
        <v>0</v>
      </c>
      <c r="DK260" s="145">
        <f>IF(OR($C260=2),VLOOKUP($D260,HORAS!$B$4:$F$42,5,FALSE)*$EE260,IF(ISERROR(VLOOKUP($A260,FIJOS!$B$11:$P$108,9,FALSE)),0,VLOOKUP($A260,FIJOS!$B$11:$P$231,9,FALSE)*$EE260))</f>
        <v>0</v>
      </c>
      <c r="DL260" s="144"/>
      <c r="DM260" s="145">
        <f>IF(ISERROR(VLOOKUP($A260,FIJOS!$B$11:$L$646,11,FALSE)),0,VLOOKUP($A260,FIJOS!$B$11:$L$646,11,FALSE))</f>
        <v>0</v>
      </c>
      <c r="DN260" s="148" t="e">
        <f>IF(OR($C260=1,$C260=3),0,IF((VLOOKUP(CAPTURA!D260,HORAS!$B$4:$K$42,10,FALSE)/4)*COUNTIF($H260:$CT260,3)&gt;100,100,(VLOOKUP(CAPTURA!D260,HORAS!$B$4:$K$42,10,FALSE)/4)*COUNTIF($H260:$CT260,3)))</f>
        <v>#N/A</v>
      </c>
      <c r="DO260" s="144" t="e">
        <f>IF(OR($C260=1,$C260=3),0,IF($C260=5,VLOOKUP(D260,HORAS!$B$4:$G$42,6,FALSE),IF(AND($C260=4,$CV260&gt;=(42/24)),VLOOKUP(D260,HORAS!$B$4:$G$42,6,FALSE),IF(COUNTIF($H260:$CL260,"F")&gt;0,0,IF(CV260&gt;$DJ$1,$DJ$1*(VLOOKUP(D260,HORAS!$B$4:$G$42,6,FALSE)/$DJ$1),CV260*(VLOOKUP(D260,HORAS!$B$4:$G$42,6,FALSE)/$DJ$1))))))</f>
        <v>#N/A</v>
      </c>
      <c r="DP260" s="156"/>
      <c r="DQ260" s="148"/>
      <c r="DR260" s="148"/>
      <c r="DS260" s="83" t="e">
        <f t="shared" si="130"/>
        <v>#N/A</v>
      </c>
      <c r="DT260" s="84"/>
      <c r="DU260" s="149" t="e">
        <f t="shared" si="131"/>
        <v>#N/A</v>
      </c>
      <c r="DV260" s="149" t="e">
        <f t="shared" si="132"/>
        <v>#N/A</v>
      </c>
      <c r="DW260" s="144" t="e">
        <f t="shared" si="133"/>
        <v>#N/A</v>
      </c>
      <c r="DX260" s="134"/>
      <c r="DY260" s="29"/>
      <c r="DZ260" s="150"/>
      <c r="EA260" s="134"/>
      <c r="EB260" s="137">
        <f t="shared" si="134"/>
        <v>0</v>
      </c>
      <c r="EC260" s="138">
        <f t="shared" si="128"/>
        <v>0</v>
      </c>
      <c r="ED260" s="137">
        <f t="shared" si="135"/>
        <v>0</v>
      </c>
      <c r="EE260" s="132">
        <f t="shared" si="129"/>
        <v>0</v>
      </c>
      <c r="EF260" s="29"/>
      <c r="EG260" s="134"/>
      <c r="EH260" s="134"/>
      <c r="EI260" s="134"/>
      <c r="EK260" s="29"/>
    </row>
    <row r="261" spans="1:141" ht="15" customHeight="1" x14ac:dyDescent="0.25">
      <c r="A261" s="87"/>
      <c r="B261" s="5"/>
      <c r="C261" s="72"/>
      <c r="D261" s="73"/>
      <c r="E261" s="73"/>
      <c r="F261" s="141"/>
      <c r="G261" s="74"/>
      <c r="H261" s="75"/>
      <c r="I261" s="76"/>
      <c r="J261" s="135"/>
      <c r="K261" s="135"/>
      <c r="L261" s="77">
        <f t="shared" si="106"/>
        <v>0</v>
      </c>
      <c r="M261" s="78"/>
      <c r="N261" s="142"/>
      <c r="O261" s="142"/>
      <c r="P261" s="77">
        <f t="shared" si="107"/>
        <v>0</v>
      </c>
      <c r="Q261" s="78"/>
      <c r="R261" s="143"/>
      <c r="S261" s="143"/>
      <c r="T261" s="77">
        <f t="shared" si="108"/>
        <v>0</v>
      </c>
      <c r="U261" s="75"/>
      <c r="V261" s="76"/>
      <c r="W261" s="135"/>
      <c r="X261" s="135"/>
      <c r="Y261" s="77">
        <f t="shared" si="109"/>
        <v>0</v>
      </c>
      <c r="Z261" s="78"/>
      <c r="AA261" s="142"/>
      <c r="AB261" s="142"/>
      <c r="AC261" s="77">
        <f t="shared" si="110"/>
        <v>0</v>
      </c>
      <c r="AD261" s="78"/>
      <c r="AE261" s="143"/>
      <c r="AF261" s="143"/>
      <c r="AG261" s="79">
        <f t="shared" si="111"/>
        <v>0</v>
      </c>
      <c r="AH261" s="75"/>
      <c r="AI261" s="76"/>
      <c r="AJ261" s="135"/>
      <c r="AK261" s="135"/>
      <c r="AL261" s="77">
        <f t="shared" si="112"/>
        <v>0</v>
      </c>
      <c r="AM261" s="76"/>
      <c r="AN261" s="142"/>
      <c r="AO261" s="142"/>
      <c r="AP261" s="77">
        <f t="shared" si="113"/>
        <v>0</v>
      </c>
      <c r="AQ261" s="78"/>
      <c r="AR261" s="142"/>
      <c r="AS261" s="142"/>
      <c r="AT261" s="79">
        <f t="shared" si="114"/>
        <v>0</v>
      </c>
      <c r="AU261" s="75"/>
      <c r="AV261" s="76"/>
      <c r="AW261" s="135"/>
      <c r="AX261" s="135"/>
      <c r="AY261" s="77">
        <f t="shared" si="115"/>
        <v>0</v>
      </c>
      <c r="AZ261" s="76"/>
      <c r="BA261" s="142"/>
      <c r="BB261" s="142"/>
      <c r="BC261" s="77">
        <f t="shared" si="116"/>
        <v>0</v>
      </c>
      <c r="BD261" s="78"/>
      <c r="BE261" s="142"/>
      <c r="BF261" s="142"/>
      <c r="BG261" s="79">
        <f t="shared" si="117"/>
        <v>0</v>
      </c>
      <c r="BH261" s="75"/>
      <c r="BI261" s="76"/>
      <c r="BJ261" s="135"/>
      <c r="BK261" s="135"/>
      <c r="BL261" s="77">
        <f t="shared" si="118"/>
        <v>0</v>
      </c>
      <c r="BM261" s="78"/>
      <c r="BN261" s="142"/>
      <c r="BO261" s="142"/>
      <c r="BP261" s="77">
        <f t="shared" si="119"/>
        <v>0</v>
      </c>
      <c r="BQ261" s="78"/>
      <c r="BR261" s="142"/>
      <c r="BS261" s="142"/>
      <c r="BT261" s="79">
        <f t="shared" si="120"/>
        <v>0</v>
      </c>
      <c r="BU261" s="75"/>
      <c r="BV261" s="76"/>
      <c r="BW261" s="135"/>
      <c r="BX261" s="135"/>
      <c r="BY261" s="77">
        <f t="shared" si="121"/>
        <v>0</v>
      </c>
      <c r="BZ261" s="78"/>
      <c r="CA261" s="142"/>
      <c r="CB261" s="142"/>
      <c r="CC261" s="77">
        <f t="shared" si="122"/>
        <v>0</v>
      </c>
      <c r="CD261" s="78"/>
      <c r="CE261" s="142"/>
      <c r="CF261" s="142"/>
      <c r="CG261" s="79">
        <f t="shared" si="123"/>
        <v>0</v>
      </c>
      <c r="CH261" s="75"/>
      <c r="CI261" s="76"/>
      <c r="CJ261" s="135"/>
      <c r="CK261" s="135"/>
      <c r="CL261" s="77">
        <f t="shared" si="124"/>
        <v>0</v>
      </c>
      <c r="CM261" s="78"/>
      <c r="CN261" s="142"/>
      <c r="CO261" s="142"/>
      <c r="CP261" s="77">
        <f t="shared" si="125"/>
        <v>0</v>
      </c>
      <c r="CQ261" s="78"/>
      <c r="CR261" s="142"/>
      <c r="CS261" s="142"/>
      <c r="CT261" s="79">
        <f t="shared" si="126"/>
        <v>0</v>
      </c>
      <c r="CU261" s="80">
        <f t="shared" si="136"/>
        <v>0</v>
      </c>
      <c r="CV261" s="81">
        <f t="shared" si="137"/>
        <v>0</v>
      </c>
      <c r="CW261" s="144"/>
      <c r="CX261" s="145">
        <f>IF(ISERROR(VLOOKUP($A261,FIJOS!$B$11:$O$590,14,FALSE)),0,VLOOKUP($A261,FIJOS!$B$11:$O$590,14,FALSE))</f>
        <v>0</v>
      </c>
      <c r="CY261" s="145">
        <f>IF(ISERROR(VLOOKUP(A261,FIJOS!$B$10:$P$590,15,FALSE)),0,VLOOKUP(A261,FIJOS!$B$10:$P$590,15,FALSE))</f>
        <v>0</v>
      </c>
      <c r="CZ261" s="155"/>
      <c r="DA261" s="146"/>
      <c r="DB261" s="147"/>
      <c r="DC261" s="147"/>
      <c r="DD261" s="147"/>
      <c r="DE261" s="147"/>
      <c r="DF261" s="145">
        <f>IF(ISERROR(VLOOKUP($A261,FIJOS!$B$11:$N$590,13,FALSE)),0,VLOOKUP($A261,FIJOS!$B$11:$N$590,13,FALSE))</f>
        <v>0</v>
      </c>
      <c r="DG261" s="145">
        <f>IF(ISERROR(VLOOKUP($A261,FIJOS!$B$11:$P$447,12,FALSE)),0,VLOOKUP($A261,FIJOS!$B$11:$P$447,12,FALSE))</f>
        <v>0</v>
      </c>
      <c r="DH261" s="82">
        <f t="shared" si="127"/>
        <v>0</v>
      </c>
      <c r="DI261" s="83" t="b">
        <f>IF($C261=1,(VLOOKUP($A261,FIJOS!$B$11:$P$545,10,FALSE)/7)*(7-$CU261),IF(AND($C261=2,CV261&lt;$DJ$1),(VLOOKUP($D261,HORAS!$B$4:$C$42,2,FALSE)*24)*$CV261,IF(AND($C261=2,CV261&gt;=$DJ$1),VLOOKUP($D261,HORAS!$B$4:$D$42,3,FALSE),IF(AND($C261=3,$CV261&gt;=$DJ$1),VLOOKUP($A261,FIJOS!$B$11:$P$545,10,FALSE),IF(AND($C261=3,$CV261&lt;$DJ$1),((VLOOKUP($A261,FIJOS!$B$11:$P$545,10,FALSE)/48)*24)*$CV261,IF(AND($C261=4,$CV261&gt;=(42/24)),VLOOKUP($D261,HORAS!$B$4:$D$42,3,FALSE),IF(AND($C261=5,$CV261&gt;=(36/24)),VLOOKUP($D261,HORAS!$B$4:$D$42,3,FALSE))))))))</f>
        <v>0</v>
      </c>
      <c r="DJ261" s="145">
        <f>IF(OR($C261=2),VLOOKUP($D261,HORAS!$B$4:$E$42,4,FALSE)*$EC261,IF(ISERROR(VLOOKUP($A261,FIJOS!$B$11:$P$108,9,FALSE)),0,VLOOKUP($A261,FIJOS!$B$11:$P$231,9,FALSE)*$EC261))</f>
        <v>0</v>
      </c>
      <c r="DK261" s="145">
        <f>IF(OR($C261=2),VLOOKUP($D261,HORAS!$B$4:$F$42,5,FALSE)*$EE261,IF(ISERROR(VLOOKUP($A261,FIJOS!$B$11:$P$108,9,FALSE)),0,VLOOKUP($A261,FIJOS!$B$11:$P$231,9,FALSE)*$EE261))</f>
        <v>0</v>
      </c>
      <c r="DL261" s="144"/>
      <c r="DM261" s="145">
        <f>IF(ISERROR(VLOOKUP($A261,FIJOS!$B$11:$L$646,11,FALSE)),0,VLOOKUP($A261,FIJOS!$B$11:$L$646,11,FALSE))</f>
        <v>0</v>
      </c>
      <c r="DN261" s="148" t="e">
        <f>IF(OR($C261=1,$C261=3),0,IF((VLOOKUP(CAPTURA!D261,HORAS!$B$4:$K$42,10,FALSE)/4)*COUNTIF($H261:$CT261,3)&gt;100,100,(VLOOKUP(CAPTURA!D261,HORAS!$B$4:$K$42,10,FALSE)/4)*COUNTIF($H261:$CT261,3)))</f>
        <v>#N/A</v>
      </c>
      <c r="DO261" s="144" t="e">
        <f>IF(OR($C261=1,$C261=3),0,IF($C261=5,VLOOKUP(D261,HORAS!$B$4:$G$42,6,FALSE),IF(AND($C261=4,$CV261&gt;=(42/24)),VLOOKUP(D261,HORAS!$B$4:$G$42,6,FALSE),IF(COUNTIF($H261:$CL261,"F")&gt;0,0,IF(CV261&gt;$DJ$1,$DJ$1*(VLOOKUP(D261,HORAS!$B$4:$G$42,6,FALSE)/$DJ$1),CV261*(VLOOKUP(D261,HORAS!$B$4:$G$42,6,FALSE)/$DJ$1))))))</f>
        <v>#N/A</v>
      </c>
      <c r="DP261" s="156"/>
      <c r="DQ261" s="148"/>
      <c r="DR261" s="148"/>
      <c r="DS261" s="83" t="e">
        <f t="shared" si="130"/>
        <v>#N/A</v>
      </c>
      <c r="DT261" s="84"/>
      <c r="DU261" s="149" t="e">
        <f t="shared" si="131"/>
        <v>#N/A</v>
      </c>
      <c r="DV261" s="149" t="e">
        <f t="shared" si="132"/>
        <v>#N/A</v>
      </c>
      <c r="DW261" s="144" t="e">
        <f t="shared" si="133"/>
        <v>#N/A</v>
      </c>
      <c r="DX261"/>
      <c r="DY261" s="29"/>
      <c r="DZ261" s="150"/>
      <c r="EA261" s="134"/>
      <c r="EB261" s="137">
        <f t="shared" si="134"/>
        <v>0</v>
      </c>
      <c r="EC261" s="138">
        <f t="shared" si="128"/>
        <v>0</v>
      </c>
      <c r="ED261" s="137">
        <f t="shared" si="135"/>
        <v>0</v>
      </c>
      <c r="EE261" s="132">
        <f t="shared" si="129"/>
        <v>0</v>
      </c>
      <c r="EF261" s="29"/>
      <c r="EG261" s="134"/>
      <c r="EH261" s="134"/>
      <c r="EI261" s="134"/>
      <c r="EK261" s="29"/>
    </row>
    <row r="262" spans="1:141" ht="15" customHeight="1" x14ac:dyDescent="0.25">
      <c r="A262" s="87"/>
      <c r="B262" s="5"/>
      <c r="C262" s="72"/>
      <c r="D262" s="73"/>
      <c r="E262" s="73"/>
      <c r="F262" s="141"/>
      <c r="G262" s="74"/>
      <c r="H262" s="75"/>
      <c r="I262" s="76"/>
      <c r="J262" s="135"/>
      <c r="K262" s="135"/>
      <c r="L262" s="77">
        <f t="shared" si="106"/>
        <v>0</v>
      </c>
      <c r="M262" s="78"/>
      <c r="N262" s="142"/>
      <c r="O262" s="142"/>
      <c r="P262" s="77">
        <f t="shared" si="107"/>
        <v>0</v>
      </c>
      <c r="Q262" s="78"/>
      <c r="R262" s="143"/>
      <c r="S262" s="143"/>
      <c r="T262" s="77">
        <f t="shared" si="108"/>
        <v>0</v>
      </c>
      <c r="U262" s="75"/>
      <c r="V262" s="76"/>
      <c r="W262" s="135"/>
      <c r="X262" s="135"/>
      <c r="Y262" s="77">
        <f t="shared" si="109"/>
        <v>0</v>
      </c>
      <c r="Z262" s="78"/>
      <c r="AA262" s="142"/>
      <c r="AB262" s="142"/>
      <c r="AC262" s="77">
        <f t="shared" si="110"/>
        <v>0</v>
      </c>
      <c r="AD262" s="78"/>
      <c r="AE262" s="143"/>
      <c r="AF262" s="143"/>
      <c r="AG262" s="79">
        <f t="shared" si="111"/>
        <v>0</v>
      </c>
      <c r="AH262" s="75"/>
      <c r="AI262" s="76"/>
      <c r="AJ262" s="135"/>
      <c r="AK262" s="135"/>
      <c r="AL262" s="77">
        <f t="shared" si="112"/>
        <v>0</v>
      </c>
      <c r="AM262" s="76"/>
      <c r="AN262" s="142"/>
      <c r="AO262" s="142"/>
      <c r="AP262" s="77">
        <f t="shared" si="113"/>
        <v>0</v>
      </c>
      <c r="AQ262" s="78"/>
      <c r="AR262" s="142"/>
      <c r="AS262" s="142"/>
      <c r="AT262" s="79">
        <f t="shared" si="114"/>
        <v>0</v>
      </c>
      <c r="AU262" s="75"/>
      <c r="AV262" s="76"/>
      <c r="AW262" s="135"/>
      <c r="AX262" s="135"/>
      <c r="AY262" s="77">
        <f t="shared" si="115"/>
        <v>0</v>
      </c>
      <c r="AZ262" s="76"/>
      <c r="BA262" s="142"/>
      <c r="BB262" s="142"/>
      <c r="BC262" s="77">
        <f t="shared" si="116"/>
        <v>0</v>
      </c>
      <c r="BD262" s="78"/>
      <c r="BE262" s="142"/>
      <c r="BF262" s="142"/>
      <c r="BG262" s="79">
        <f t="shared" si="117"/>
        <v>0</v>
      </c>
      <c r="BH262" s="75"/>
      <c r="BI262" s="76"/>
      <c r="BJ262" s="135"/>
      <c r="BK262" s="135"/>
      <c r="BL262" s="77">
        <f t="shared" si="118"/>
        <v>0</v>
      </c>
      <c r="BM262" s="78"/>
      <c r="BN262" s="142"/>
      <c r="BO262" s="142"/>
      <c r="BP262" s="77">
        <f t="shared" si="119"/>
        <v>0</v>
      </c>
      <c r="BQ262" s="78"/>
      <c r="BR262" s="142"/>
      <c r="BS262" s="142"/>
      <c r="BT262" s="79">
        <f t="shared" si="120"/>
        <v>0</v>
      </c>
      <c r="BU262" s="75"/>
      <c r="BV262" s="76"/>
      <c r="BW262" s="135"/>
      <c r="BX262" s="135"/>
      <c r="BY262" s="77">
        <f t="shared" si="121"/>
        <v>0</v>
      </c>
      <c r="BZ262" s="78"/>
      <c r="CA262" s="142"/>
      <c r="CB262" s="142"/>
      <c r="CC262" s="77">
        <f t="shared" si="122"/>
        <v>0</v>
      </c>
      <c r="CD262" s="78"/>
      <c r="CE262" s="142"/>
      <c r="CF262" s="142"/>
      <c r="CG262" s="79">
        <f t="shared" si="123"/>
        <v>0</v>
      </c>
      <c r="CH262" s="75"/>
      <c r="CI262" s="76"/>
      <c r="CJ262" s="135"/>
      <c r="CK262" s="135"/>
      <c r="CL262" s="77">
        <f t="shared" si="124"/>
        <v>0</v>
      </c>
      <c r="CM262" s="78"/>
      <c r="CN262" s="142"/>
      <c r="CO262" s="142"/>
      <c r="CP262" s="77">
        <f t="shared" si="125"/>
        <v>0</v>
      </c>
      <c r="CQ262" s="78"/>
      <c r="CR262" s="142"/>
      <c r="CS262" s="142"/>
      <c r="CT262" s="79">
        <f t="shared" si="126"/>
        <v>0</v>
      </c>
      <c r="CU262" s="80">
        <f t="shared" si="136"/>
        <v>0</v>
      </c>
      <c r="CV262" s="81">
        <f t="shared" si="137"/>
        <v>0</v>
      </c>
      <c r="CW262" s="144"/>
      <c r="CX262" s="145">
        <f>IF(ISERROR(VLOOKUP($A262,FIJOS!$B$11:$O$590,14,FALSE)),0,VLOOKUP($A262,FIJOS!$B$11:$O$590,14,FALSE))</f>
        <v>0</v>
      </c>
      <c r="CY262" s="145">
        <f>IF(ISERROR(VLOOKUP(A262,FIJOS!$B$10:$P$590,15,FALSE)),0,VLOOKUP(A262,FIJOS!$B$10:$P$590,15,FALSE))</f>
        <v>0</v>
      </c>
      <c r="CZ262" s="155"/>
      <c r="DA262" s="146"/>
      <c r="DB262" s="147"/>
      <c r="DC262" s="147"/>
      <c r="DD262" s="147"/>
      <c r="DE262" s="147"/>
      <c r="DF262" s="145">
        <f>IF(ISERROR(VLOOKUP($A262,FIJOS!$B$11:$N$590,13,FALSE)),0,VLOOKUP($A262,FIJOS!$B$11:$N$590,13,FALSE))</f>
        <v>0</v>
      </c>
      <c r="DG262" s="145">
        <f>IF(ISERROR(VLOOKUP($A262,FIJOS!$B$11:$P$447,12,FALSE)),0,VLOOKUP($A262,FIJOS!$B$11:$P$447,12,FALSE))</f>
        <v>0</v>
      </c>
      <c r="DH262" s="82">
        <f t="shared" si="127"/>
        <v>0</v>
      </c>
      <c r="DI262" s="83" t="b">
        <f>IF($C262=1,(VLOOKUP($A262,FIJOS!$B$11:$P$545,10,FALSE)/7)*(7-$CU262),IF(AND($C262=2,CV262&lt;$DJ$1),(VLOOKUP($D262,HORAS!$B$4:$C$42,2,FALSE)*24)*$CV262,IF(AND($C262=2,CV262&gt;=$DJ$1),VLOOKUP($D262,HORAS!$B$4:$D$42,3,FALSE),IF(AND($C262=3,$CV262&gt;=$DJ$1),VLOOKUP($A262,FIJOS!$B$11:$P$545,10,FALSE),IF(AND($C262=3,$CV262&lt;$DJ$1),((VLOOKUP($A262,FIJOS!$B$11:$P$545,10,FALSE)/48)*24)*$CV262,IF(AND($C262=4,$CV262&gt;=(42/24)),VLOOKUP($D262,HORAS!$B$4:$D$42,3,FALSE),IF(AND($C262=5,$CV262&gt;=(36/24)),VLOOKUP($D262,HORAS!$B$4:$D$42,3,FALSE))))))))</f>
        <v>0</v>
      </c>
      <c r="DJ262" s="145">
        <f>IF(OR($C262=2),VLOOKUP($D262,HORAS!$B$4:$E$42,4,FALSE)*$EC262,IF(ISERROR(VLOOKUP($A262,FIJOS!$B$11:$P$108,9,FALSE)),0,VLOOKUP($A262,FIJOS!$B$11:$P$231,9,FALSE)*$EC262))</f>
        <v>0</v>
      </c>
      <c r="DK262" s="145">
        <f>IF(OR($C262=2),VLOOKUP($D262,HORAS!$B$4:$F$42,5,FALSE)*$EE262,IF(ISERROR(VLOOKUP($A262,FIJOS!$B$11:$P$108,9,FALSE)),0,VLOOKUP($A262,FIJOS!$B$11:$P$231,9,FALSE)*$EE262))</f>
        <v>0</v>
      </c>
      <c r="DL262" s="144"/>
      <c r="DM262" s="145">
        <f>IF(ISERROR(VLOOKUP($A262,FIJOS!$B$11:$L$646,11,FALSE)),0,VLOOKUP($A262,FIJOS!$B$11:$L$646,11,FALSE))</f>
        <v>0</v>
      </c>
      <c r="DN262" s="148" t="e">
        <f>IF(OR($C262=1,$C262=3),0,IF((VLOOKUP(CAPTURA!D262,HORAS!$B$4:$K$42,10,FALSE)/4)*COUNTIF($H262:$CT262,3)&gt;100,100,(VLOOKUP(CAPTURA!D262,HORAS!$B$4:$K$42,10,FALSE)/4)*COUNTIF($H262:$CT262,3)))</f>
        <v>#N/A</v>
      </c>
      <c r="DO262" s="144" t="e">
        <f>IF(OR($C262=1,$C262=3),0,IF($C262=5,VLOOKUP(D262,HORAS!$B$4:$G$42,6,FALSE),IF(AND($C262=4,$CV262&gt;=(42/24)),VLOOKUP(D262,HORAS!$B$4:$G$42,6,FALSE),IF(COUNTIF($H262:$CL262,"F")&gt;0,0,IF(CV262&gt;$DJ$1,$DJ$1*(VLOOKUP(D262,HORAS!$B$4:$G$42,6,FALSE)/$DJ$1),CV262*(VLOOKUP(D262,HORAS!$B$4:$G$42,6,FALSE)/$DJ$1))))))</f>
        <v>#N/A</v>
      </c>
      <c r="DP262" s="156"/>
      <c r="DQ262" s="148"/>
      <c r="DR262" s="148"/>
      <c r="DS262" s="83" t="e">
        <f t="shared" si="130"/>
        <v>#N/A</v>
      </c>
      <c r="DT262" s="84"/>
      <c r="DU262" s="149" t="e">
        <f t="shared" si="131"/>
        <v>#N/A</v>
      </c>
      <c r="DV262" s="149" t="e">
        <f t="shared" si="132"/>
        <v>#N/A</v>
      </c>
      <c r="DW262" s="144" t="e">
        <f t="shared" si="133"/>
        <v>#N/A</v>
      </c>
      <c r="DX262" s="134"/>
      <c r="DY262" s="29"/>
      <c r="DZ262" s="150"/>
      <c r="EA262" s="134"/>
      <c r="EB262" s="137">
        <f t="shared" si="134"/>
        <v>0</v>
      </c>
      <c r="EC262" s="138">
        <f t="shared" si="128"/>
        <v>0</v>
      </c>
      <c r="ED262" s="137">
        <f t="shared" si="135"/>
        <v>0</v>
      </c>
      <c r="EE262" s="132">
        <f t="shared" si="129"/>
        <v>0</v>
      </c>
      <c r="EF262" s="29"/>
      <c r="EG262" s="134"/>
      <c r="EH262" s="134"/>
      <c r="EI262" s="134"/>
      <c r="EK262" s="29"/>
    </row>
    <row r="263" spans="1:141" ht="15" customHeight="1" x14ac:dyDescent="0.25">
      <c r="A263" s="87"/>
      <c r="B263" s="5"/>
      <c r="C263" s="72"/>
      <c r="D263" s="73"/>
      <c r="E263" s="73"/>
      <c r="F263" s="141"/>
      <c r="G263" s="74"/>
      <c r="H263" s="75"/>
      <c r="I263" s="76"/>
      <c r="J263" s="135"/>
      <c r="K263" s="135"/>
      <c r="L263" s="77">
        <f t="shared" ref="L263:L678" si="138">IF((K263-J263)&gt;=0,(K263-J263),$A$1+(K263-J263))</f>
        <v>0</v>
      </c>
      <c r="M263" s="78"/>
      <c r="N263" s="142"/>
      <c r="O263" s="142"/>
      <c r="P263" s="77">
        <f t="shared" ref="P263:P678" si="139">IF((O263-N263)&gt;=0,(O263-N263),$A$1+(O263-N263))</f>
        <v>0</v>
      </c>
      <c r="Q263" s="78"/>
      <c r="R263" s="143"/>
      <c r="S263" s="143"/>
      <c r="T263" s="77">
        <f t="shared" ref="T263:T678" si="140">IF((S263-R263)&gt;=0,(S263-R263),$A$1+(S263-R263))</f>
        <v>0</v>
      </c>
      <c r="U263" s="75"/>
      <c r="V263" s="76"/>
      <c r="W263" s="135"/>
      <c r="X263" s="135"/>
      <c r="Y263" s="77">
        <f t="shared" ref="Y263:Y678" si="141">IF((X263-W263)&gt;=0,(X263-W263),$A$1+(X263-W263))</f>
        <v>0</v>
      </c>
      <c r="Z263" s="78"/>
      <c r="AA263" s="142"/>
      <c r="AB263" s="142"/>
      <c r="AC263" s="77">
        <f t="shared" ref="AC263:AC678" si="142">IF((AB263-AA263)&gt;=0,(AB263-AA263),$A$1+(AB263-AA263))</f>
        <v>0</v>
      </c>
      <c r="AD263" s="78"/>
      <c r="AE263" s="143"/>
      <c r="AF263" s="143"/>
      <c r="AG263" s="79">
        <f t="shared" ref="AG263:AG678" si="143">IF((AF263-AE263)&gt;=0,(AF263-AE263),$A$1+(AF263-AE263))</f>
        <v>0</v>
      </c>
      <c r="AH263" s="75"/>
      <c r="AI263" s="76"/>
      <c r="AJ263" s="135"/>
      <c r="AK263" s="135"/>
      <c r="AL263" s="77">
        <f t="shared" ref="AL263:AL678" si="144">IF((AK263-AJ263)&gt;=0,(AK263-AJ263),$A$1+(AK263-AJ263))</f>
        <v>0</v>
      </c>
      <c r="AM263" s="76"/>
      <c r="AN263" s="142"/>
      <c r="AO263" s="142"/>
      <c r="AP263" s="77">
        <f t="shared" ref="AP263:AP678" si="145">IF((AO263-AN263)&gt;=0,(AO263-AN263),$A$1+(AO263-AN263))</f>
        <v>0</v>
      </c>
      <c r="AQ263" s="78"/>
      <c r="AR263" s="142"/>
      <c r="AS263" s="142"/>
      <c r="AT263" s="79">
        <f t="shared" ref="AT263:AT678" si="146">IF((AS263-AR263)&gt;=0,(AS263-AR263),$A$1+(AS263-AR263))</f>
        <v>0</v>
      </c>
      <c r="AU263" s="75"/>
      <c r="AV263" s="76"/>
      <c r="AW263" s="135"/>
      <c r="AX263" s="135"/>
      <c r="AY263" s="77">
        <f t="shared" ref="AY263:AY678" si="147">IF((AX263-AW263)&gt;=0,(AX263-AW263),$A$1+(AX263-AW263))</f>
        <v>0</v>
      </c>
      <c r="AZ263" s="76"/>
      <c r="BA263" s="142"/>
      <c r="BB263" s="142"/>
      <c r="BC263" s="77">
        <f t="shared" ref="BC263:BC678" si="148">IF((BB263-BA263)&gt;=0,(BB263-BA263),$A$1+(BB263-BA263))</f>
        <v>0</v>
      </c>
      <c r="BD263" s="78"/>
      <c r="BE263" s="142"/>
      <c r="BF263" s="142"/>
      <c r="BG263" s="79">
        <f t="shared" ref="BG263:BG678" si="149">IF((BF263-BE263)&gt;=0,(BF263-BE263),$A$1+(BF263-BE263))</f>
        <v>0</v>
      </c>
      <c r="BH263" s="75"/>
      <c r="BI263" s="76"/>
      <c r="BJ263" s="135"/>
      <c r="BK263" s="135"/>
      <c r="BL263" s="77">
        <f t="shared" ref="BL263:BL678" si="150">IF((BK263-BJ263)&gt;=0,(BK263-BJ263),$A$1+(BK263-BJ263))</f>
        <v>0</v>
      </c>
      <c r="BM263" s="78"/>
      <c r="BN263" s="142"/>
      <c r="BO263" s="142"/>
      <c r="BP263" s="77">
        <f t="shared" ref="BP263:BP678" si="151">IF((BO263-BN263)&gt;=0,(BO263-BN263),$A$1+(BO263-BN263))</f>
        <v>0</v>
      </c>
      <c r="BQ263" s="78"/>
      <c r="BR263" s="142"/>
      <c r="BS263" s="142"/>
      <c r="BT263" s="79">
        <f t="shared" ref="BT263:BT678" si="152">IF((BS263-BR263)&gt;=0,(BS263-BR263),$A$1+(BS263-BR263))</f>
        <v>0</v>
      </c>
      <c r="BU263" s="75"/>
      <c r="BV263" s="76"/>
      <c r="BW263" s="86"/>
      <c r="BX263" s="135"/>
      <c r="BY263" s="77">
        <f t="shared" ref="BY263:BY678" si="153">IF((BX263-BW263)&gt;=0,(BX263-BW263),$A$1+(BX263-BW263))</f>
        <v>0</v>
      </c>
      <c r="BZ263" s="78"/>
      <c r="CA263" s="142"/>
      <c r="CB263" s="142"/>
      <c r="CC263" s="77">
        <f t="shared" ref="CC263:CC678" si="154">IF((CB263-CA263)&gt;=0,(CB263-CA263),$A$1+(CB263-CA263))</f>
        <v>0</v>
      </c>
      <c r="CD263" s="78"/>
      <c r="CE263" s="142"/>
      <c r="CF263" s="142"/>
      <c r="CG263" s="79">
        <f t="shared" ref="CG263:CG678" si="155">IF((CF263-CE263)&gt;=0,(CF263-CE263),$A$1+(CF263-CE263))</f>
        <v>0</v>
      </c>
      <c r="CH263" s="75"/>
      <c r="CI263" s="76"/>
      <c r="CJ263" s="135"/>
      <c r="CK263" s="135"/>
      <c r="CL263" s="77">
        <f t="shared" ref="CL263:CL678" si="156">IF((CK263-CJ263)&gt;=0,(CK263-CJ263),$A$1+(CK263-CJ263))</f>
        <v>0</v>
      </c>
      <c r="CM263" s="78"/>
      <c r="CN263" s="142"/>
      <c r="CO263" s="142"/>
      <c r="CP263" s="77">
        <f t="shared" ref="CP263:CP678" si="157">IF((CO263-CN263)&gt;=0,(CO263-CN263),$A$1+(CO263-CN263))</f>
        <v>0</v>
      </c>
      <c r="CQ263" s="78"/>
      <c r="CR263" s="142"/>
      <c r="CS263" s="142"/>
      <c r="CT263" s="79">
        <f t="shared" ref="CT263:CT678" si="158">IF((CS263-CR263)&gt;=0,(CS263-CR263),$A$1+(CS263-CR263))</f>
        <v>0</v>
      </c>
      <c r="CU263" s="80">
        <f t="shared" si="136"/>
        <v>0</v>
      </c>
      <c r="CV263" s="81">
        <f t="shared" si="137"/>
        <v>0</v>
      </c>
      <c r="CW263" s="144"/>
      <c r="CX263" s="145">
        <f>IF(ISERROR(VLOOKUP($A263,FIJOS!$B$11:$O$590,14,FALSE)),0,VLOOKUP($A263,FIJOS!$B$11:$O$590,14,FALSE))</f>
        <v>0</v>
      </c>
      <c r="CY263" s="145">
        <f>IF(ISERROR(VLOOKUP(A263,FIJOS!$B$10:$P$590,15,FALSE)),0,VLOOKUP(A263,FIJOS!$B$10:$P$590,15,FALSE))</f>
        <v>0</v>
      </c>
      <c r="CZ263" s="155"/>
      <c r="DA263" s="146"/>
      <c r="DB263" s="147"/>
      <c r="DC263" s="147"/>
      <c r="DD263" s="147"/>
      <c r="DE263" s="147"/>
      <c r="DF263" s="145">
        <f>IF(ISERROR(VLOOKUP($A263,FIJOS!$B$11:$N$590,13,FALSE)),0,VLOOKUP($A263,FIJOS!$B$11:$N$590,13,FALSE))</f>
        <v>0</v>
      </c>
      <c r="DG263" s="145">
        <f>IF(ISERROR(VLOOKUP($A263,FIJOS!$B$11:$P$447,12,FALSE)),0,VLOOKUP($A263,FIJOS!$B$11:$P$447,12,FALSE))</f>
        <v>0</v>
      </c>
      <c r="DH263" s="82">
        <f t="shared" ref="DH263:DH678" si="159">SUM(CW263:DG263)</f>
        <v>0</v>
      </c>
      <c r="DI263" s="83" t="b">
        <f>IF($C263=1,(VLOOKUP($A263,FIJOS!$B$11:$P$545,10,FALSE)/7)*(7-$CU263),IF(AND($C263=2,CV263&lt;$DJ$1),(VLOOKUP($D263,HORAS!$B$4:$C$42,2,FALSE)*24)*$CV263,IF(AND($C263=2,CV263&gt;=$DJ$1),VLOOKUP($D263,HORAS!$B$4:$D$42,3,FALSE),IF(AND($C263=3,$CV263&gt;=$DJ$1),VLOOKUP($A263,FIJOS!$B$11:$P$545,10,FALSE),IF(AND($C263=3,$CV263&lt;$DJ$1),((VLOOKUP($A263,FIJOS!$B$11:$P$545,10,FALSE)/48)*24)*$CV263,IF(AND($C263=4,$CV263&gt;=(42/24)),VLOOKUP($D263,HORAS!$B$4:$D$42,3,FALSE),IF(AND($C263=5,$CV263&gt;=(36/24)),VLOOKUP($D263,HORAS!$B$4:$D$42,3,FALSE))))))))</f>
        <v>0</v>
      </c>
      <c r="DJ263" s="145">
        <f>IF(OR($C263=2),VLOOKUP($D263,HORAS!$B$4:$E$42,4,FALSE)*$EC263,IF(ISERROR(VLOOKUP($A263,FIJOS!$B$11:$P$108,9,FALSE)),0,VLOOKUP($A263,FIJOS!$B$11:$P$231,9,FALSE)*$EC263))</f>
        <v>0</v>
      </c>
      <c r="DK263" s="145">
        <f>IF(OR($C263=2),VLOOKUP($D263,HORAS!$B$4:$F$42,5,FALSE)*$EE263,IF(ISERROR(VLOOKUP($A263,FIJOS!$B$11:$P$108,9,FALSE)),0,VLOOKUP($A263,FIJOS!$B$11:$P$231,9,FALSE)*$EE263))</f>
        <v>0</v>
      </c>
      <c r="DL263" s="144"/>
      <c r="DM263" s="145">
        <f>IF(ISERROR(VLOOKUP($A263,FIJOS!$B$11:$L$646,11,FALSE)),0,VLOOKUP($A263,FIJOS!$B$11:$L$646,11,FALSE))</f>
        <v>0</v>
      </c>
      <c r="DN263" s="148" t="e">
        <f>IF(OR($C263=1,$C263=3),0,IF((VLOOKUP(CAPTURA!D263,HORAS!$B$4:$K$42,10,FALSE)/4)*COUNTIF($H263:$CT263,3)&gt;100,100,(VLOOKUP(CAPTURA!D263,HORAS!$B$4:$K$42,10,FALSE)/4)*COUNTIF($H263:$CT263,3)))</f>
        <v>#N/A</v>
      </c>
      <c r="DO263" s="144" t="e">
        <f>IF(OR($C263=1,$C263=3),0,IF($C263=5,VLOOKUP(D263,HORAS!$B$4:$G$42,6,FALSE),IF(AND($C263=4,$CV263&gt;=(42/24)),VLOOKUP(D263,HORAS!$B$4:$G$42,6,FALSE),IF(COUNTIF($H263:$CL263,"F")&gt;0,0,IF(CV263&gt;$DJ$1,$DJ$1*(VLOOKUP(D263,HORAS!$B$4:$G$42,6,FALSE)/$DJ$1),CV263*(VLOOKUP(D263,HORAS!$B$4:$G$42,6,FALSE)/$DJ$1))))))</f>
        <v>#N/A</v>
      </c>
      <c r="DP263" s="156"/>
      <c r="DQ263" s="148"/>
      <c r="DR263" s="148"/>
      <c r="DS263" s="83" t="e">
        <f t="shared" si="130"/>
        <v>#N/A</v>
      </c>
      <c r="DT263" s="84"/>
      <c r="DU263" s="149" t="e">
        <f t="shared" si="131"/>
        <v>#N/A</v>
      </c>
      <c r="DV263" s="149" t="e">
        <f t="shared" si="132"/>
        <v>#N/A</v>
      </c>
      <c r="DW263" s="144" t="e">
        <f t="shared" si="133"/>
        <v>#N/A</v>
      </c>
      <c r="DX263"/>
      <c r="DY263" s="29"/>
      <c r="DZ263" s="150"/>
      <c r="EA263" s="134"/>
      <c r="EB263" s="137">
        <f t="shared" si="134"/>
        <v>0</v>
      </c>
      <c r="EC263" s="138">
        <f t="shared" ref="EC263:EC678" si="160">EB263*24</f>
        <v>0</v>
      </c>
      <c r="ED263" s="137">
        <f t="shared" si="135"/>
        <v>0</v>
      </c>
      <c r="EE263" s="132">
        <f t="shared" ref="EE263:EE678" si="161">ED263*24</f>
        <v>0</v>
      </c>
      <c r="EF263" s="29"/>
      <c r="EG263" s="134"/>
      <c r="EH263" s="134"/>
      <c r="EI263" s="134"/>
      <c r="EK263" s="29"/>
    </row>
    <row r="264" spans="1:141" ht="15" customHeight="1" x14ac:dyDescent="0.25">
      <c r="A264" s="87"/>
      <c r="B264" s="5"/>
      <c r="C264" s="72"/>
      <c r="D264" s="73"/>
      <c r="E264" s="73"/>
      <c r="F264" s="141"/>
      <c r="G264" s="74"/>
      <c r="H264" s="75"/>
      <c r="I264" s="76"/>
      <c r="J264" s="135"/>
      <c r="K264" s="135"/>
      <c r="L264" s="77">
        <f t="shared" si="138"/>
        <v>0</v>
      </c>
      <c r="M264" s="78"/>
      <c r="N264" s="142"/>
      <c r="O264" s="142"/>
      <c r="P264" s="77">
        <f t="shared" si="139"/>
        <v>0</v>
      </c>
      <c r="Q264" s="78"/>
      <c r="R264" s="143"/>
      <c r="S264" s="143"/>
      <c r="T264" s="77">
        <f t="shared" si="140"/>
        <v>0</v>
      </c>
      <c r="U264" s="75"/>
      <c r="V264" s="76"/>
      <c r="W264" s="135"/>
      <c r="X264" s="135"/>
      <c r="Y264" s="77">
        <f t="shared" si="141"/>
        <v>0</v>
      </c>
      <c r="Z264" s="78"/>
      <c r="AA264" s="142"/>
      <c r="AB264" s="142"/>
      <c r="AC264" s="77">
        <f t="shared" si="142"/>
        <v>0</v>
      </c>
      <c r="AD264" s="78"/>
      <c r="AE264" s="143"/>
      <c r="AF264" s="143"/>
      <c r="AG264" s="79">
        <f t="shared" si="143"/>
        <v>0</v>
      </c>
      <c r="AH264" s="75"/>
      <c r="AI264" s="76"/>
      <c r="AJ264" s="135"/>
      <c r="AK264" s="135"/>
      <c r="AL264" s="77">
        <f t="shared" si="144"/>
        <v>0</v>
      </c>
      <c r="AM264" s="76"/>
      <c r="AN264" s="142"/>
      <c r="AO264" s="142"/>
      <c r="AP264" s="77">
        <f t="shared" si="145"/>
        <v>0</v>
      </c>
      <c r="AQ264" s="78"/>
      <c r="AR264" s="142"/>
      <c r="AS264" s="142"/>
      <c r="AT264" s="79">
        <f t="shared" si="146"/>
        <v>0</v>
      </c>
      <c r="AU264" s="75"/>
      <c r="AV264" s="76"/>
      <c r="AW264" s="135"/>
      <c r="AX264" s="135"/>
      <c r="AY264" s="77">
        <f t="shared" si="147"/>
        <v>0</v>
      </c>
      <c r="AZ264" s="76"/>
      <c r="BA264" s="142"/>
      <c r="BB264" s="142"/>
      <c r="BC264" s="77">
        <f t="shared" si="148"/>
        <v>0</v>
      </c>
      <c r="BD264" s="78"/>
      <c r="BE264" s="142"/>
      <c r="BF264" s="142"/>
      <c r="BG264" s="79">
        <f t="shared" si="149"/>
        <v>0</v>
      </c>
      <c r="BH264" s="75"/>
      <c r="BI264" s="76"/>
      <c r="BJ264" s="135"/>
      <c r="BK264" s="135"/>
      <c r="BL264" s="77">
        <f t="shared" si="150"/>
        <v>0</v>
      </c>
      <c r="BM264" s="78"/>
      <c r="BN264" s="142"/>
      <c r="BO264" s="142"/>
      <c r="BP264" s="77">
        <f t="shared" si="151"/>
        <v>0</v>
      </c>
      <c r="BQ264" s="78"/>
      <c r="BR264" s="142"/>
      <c r="BS264" s="142"/>
      <c r="BT264" s="79">
        <f t="shared" si="152"/>
        <v>0</v>
      </c>
      <c r="BU264" s="75"/>
      <c r="BV264" s="76"/>
      <c r="BW264" s="135"/>
      <c r="BX264" s="135"/>
      <c r="BY264" s="77">
        <f t="shared" si="153"/>
        <v>0</v>
      </c>
      <c r="BZ264" s="78"/>
      <c r="CA264" s="142"/>
      <c r="CB264" s="142"/>
      <c r="CC264" s="77">
        <f t="shared" si="154"/>
        <v>0</v>
      </c>
      <c r="CD264" s="78"/>
      <c r="CE264" s="142"/>
      <c r="CF264" s="142"/>
      <c r="CG264" s="79">
        <f t="shared" si="155"/>
        <v>0</v>
      </c>
      <c r="CH264" s="75"/>
      <c r="CI264" s="76"/>
      <c r="CJ264" s="135"/>
      <c r="CK264" s="135"/>
      <c r="CL264" s="77">
        <f t="shared" si="156"/>
        <v>0</v>
      </c>
      <c r="CM264" s="78"/>
      <c r="CN264" s="142"/>
      <c r="CO264" s="142"/>
      <c r="CP264" s="77">
        <f t="shared" si="157"/>
        <v>0</v>
      </c>
      <c r="CQ264" s="78"/>
      <c r="CR264" s="142"/>
      <c r="CS264" s="142"/>
      <c r="CT264" s="79">
        <f t="shared" si="158"/>
        <v>0</v>
      </c>
      <c r="CU264" s="80">
        <f t="shared" si="136"/>
        <v>0</v>
      </c>
      <c r="CV264" s="81">
        <f t="shared" si="137"/>
        <v>0</v>
      </c>
      <c r="CW264" s="144"/>
      <c r="CX264" s="145">
        <f>IF(ISERROR(VLOOKUP($A264,FIJOS!$B$11:$O$590,14,FALSE)),0,VLOOKUP($A264,FIJOS!$B$11:$O$590,14,FALSE))</f>
        <v>0</v>
      </c>
      <c r="CY264" s="145">
        <f>IF(ISERROR(VLOOKUP(A264,FIJOS!$B$10:$P$590,15,FALSE)),0,VLOOKUP(A264,FIJOS!$B$10:$P$590,15,FALSE))</f>
        <v>0</v>
      </c>
      <c r="CZ264" s="155"/>
      <c r="DA264" s="146"/>
      <c r="DB264" s="147"/>
      <c r="DC264" s="147"/>
      <c r="DD264" s="147"/>
      <c r="DE264" s="147"/>
      <c r="DF264" s="145">
        <f>IF(ISERROR(VLOOKUP($A264,FIJOS!$B$11:$N$590,13,FALSE)),0,VLOOKUP($A264,FIJOS!$B$11:$N$590,13,FALSE))</f>
        <v>0</v>
      </c>
      <c r="DG264" s="145">
        <f>IF(ISERROR(VLOOKUP($A264,FIJOS!$B$11:$P$447,12,FALSE)),0,VLOOKUP($A264,FIJOS!$B$11:$P$447,12,FALSE))</f>
        <v>0</v>
      </c>
      <c r="DH264" s="82">
        <f t="shared" si="159"/>
        <v>0</v>
      </c>
      <c r="DI264" s="83" t="b">
        <f>IF($C264=1,(VLOOKUP($A264,FIJOS!$B$11:$P$545,10,FALSE)/7)*(7-$CU264),IF(AND($C264=2,CV264&lt;$DJ$1),(VLOOKUP($D264,HORAS!$B$4:$C$42,2,FALSE)*24)*$CV264,IF(AND($C264=2,CV264&gt;=$DJ$1),VLOOKUP($D264,HORAS!$B$4:$D$42,3,FALSE),IF(AND($C264=3,$CV264&gt;=$DJ$1),VLOOKUP($A264,FIJOS!$B$11:$P$545,10,FALSE),IF(AND($C264=3,$CV264&lt;$DJ$1),((VLOOKUP($A264,FIJOS!$B$11:$P$545,10,FALSE)/48)*24)*$CV264,IF(AND($C264=4,$CV264&gt;=(42/24)),VLOOKUP($D264,HORAS!$B$4:$D$42,3,FALSE),IF(AND($C264=5,$CV264&gt;=(36/24)),VLOOKUP($D264,HORAS!$B$4:$D$42,3,FALSE))))))))</f>
        <v>0</v>
      </c>
      <c r="DJ264" s="145">
        <f>IF(OR($C264=2),VLOOKUP($D264,HORAS!$B$4:$E$42,4,FALSE)*$EC264,IF(ISERROR(VLOOKUP($A264,FIJOS!$B$11:$P$108,9,FALSE)),0,VLOOKUP($A264,FIJOS!$B$11:$P$231,9,FALSE)*$EC264))</f>
        <v>0</v>
      </c>
      <c r="DK264" s="145">
        <f>IF(OR($C264=2),VLOOKUP($D264,HORAS!$B$4:$F$42,5,FALSE)*$EE264,IF(ISERROR(VLOOKUP($A264,FIJOS!$B$11:$P$108,9,FALSE)),0,VLOOKUP($A264,FIJOS!$B$11:$P$231,9,FALSE)*$EE264))</f>
        <v>0</v>
      </c>
      <c r="DL264" s="144"/>
      <c r="DM264" s="145">
        <f>IF(ISERROR(VLOOKUP($A264,FIJOS!$B$11:$L$646,11,FALSE)),0,VLOOKUP($A264,FIJOS!$B$11:$L$646,11,FALSE))</f>
        <v>0</v>
      </c>
      <c r="DN264" s="148" t="e">
        <f>IF(OR($C264=1,$C264=3),0,IF((VLOOKUP(CAPTURA!D264,HORAS!$B$4:$K$42,10,FALSE)/4)*COUNTIF($H264:$CT264,3)&gt;100,100,(VLOOKUP(CAPTURA!D264,HORAS!$B$4:$K$42,10,FALSE)/4)*COUNTIF($H264:$CT264,3)))</f>
        <v>#N/A</v>
      </c>
      <c r="DO264" s="144" t="e">
        <f>IF(OR($C264=1,$C264=3),0,IF($C264=5,VLOOKUP(D264,HORAS!$B$4:$G$42,6,FALSE),IF(AND($C264=4,$CV264&gt;=(42/24)),VLOOKUP(D264,HORAS!$B$4:$G$42,6,FALSE),IF(COUNTIF($H264:$CL264,"F")&gt;0,0,IF(CV264&gt;$DJ$1,$DJ$1*(VLOOKUP(D264,HORAS!$B$4:$G$42,6,FALSE)/$DJ$1),CV264*(VLOOKUP(D264,HORAS!$B$4:$G$42,6,FALSE)/$DJ$1))))))</f>
        <v>#N/A</v>
      </c>
      <c r="DP264" s="156"/>
      <c r="DQ264" s="148"/>
      <c r="DR264" s="148"/>
      <c r="DS264" s="83" t="e">
        <f t="shared" ref="DS264:DS678" si="162">SUM(DI264:DR264)</f>
        <v>#N/A</v>
      </c>
      <c r="DT264" s="84"/>
      <c r="DU264" s="149" t="e">
        <f t="shared" ref="DU264:DU678" si="163">IF(DW264-DV264=0,0,DW264-DV264)</f>
        <v>#N/A</v>
      </c>
      <c r="DV264" s="149" t="e">
        <f t="shared" ref="DV264:DV678" si="164">IF(DS264&gt;DY264,DY264,DS264)-(CZ264+CY264)</f>
        <v>#N/A</v>
      </c>
      <c r="DW264" s="144" t="e">
        <f t="shared" ref="DW264:DW678" si="165">DS264-DH264</f>
        <v>#N/A</v>
      </c>
      <c r="DX264"/>
      <c r="DY264" s="29"/>
      <c r="DZ264" s="150"/>
      <c r="EA264" s="134"/>
      <c r="EB264" s="137">
        <f t="shared" ref="EB264:EB678" si="166">IF(CV264&lt;=$DJ$1,0,IF((CV264-$DJ$1)&gt;$EB$1,$EB$1,CV264-$DJ$1))</f>
        <v>0</v>
      </c>
      <c r="EC264" s="138">
        <f t="shared" si="160"/>
        <v>0</v>
      </c>
      <c r="ED264" s="137">
        <f t="shared" ref="ED264:ED678" si="167">IF(CV264&lt;=($EB$1+$DJ$1),0,CV264-($EB$1+$DJ$1))</f>
        <v>0</v>
      </c>
      <c r="EE264" s="132">
        <f t="shared" si="161"/>
        <v>0</v>
      </c>
      <c r="EF264" s="29"/>
      <c r="EG264" s="134"/>
      <c r="EH264" s="134"/>
      <c r="EI264" s="134"/>
      <c r="EK264" s="29"/>
    </row>
    <row r="265" spans="1:141" ht="15" customHeight="1" x14ac:dyDescent="0.25">
      <c r="A265" s="87"/>
      <c r="B265" s="5"/>
      <c r="C265" s="72"/>
      <c r="D265" s="73"/>
      <c r="E265" s="73"/>
      <c r="F265" s="141"/>
      <c r="G265" s="74"/>
      <c r="H265" s="75"/>
      <c r="I265" s="76"/>
      <c r="J265" s="135"/>
      <c r="K265" s="135"/>
      <c r="L265" s="77">
        <f t="shared" si="138"/>
        <v>0</v>
      </c>
      <c r="M265" s="78"/>
      <c r="N265" s="142"/>
      <c r="O265" s="142"/>
      <c r="P265" s="77">
        <f t="shared" si="139"/>
        <v>0</v>
      </c>
      <c r="Q265" s="78"/>
      <c r="R265" s="143"/>
      <c r="S265" s="143"/>
      <c r="T265" s="77">
        <f t="shared" si="140"/>
        <v>0</v>
      </c>
      <c r="U265" s="75"/>
      <c r="V265" s="76"/>
      <c r="W265" s="135"/>
      <c r="X265" s="135"/>
      <c r="Y265" s="77">
        <f t="shared" si="141"/>
        <v>0</v>
      </c>
      <c r="Z265" s="78"/>
      <c r="AA265" s="142"/>
      <c r="AB265" s="142"/>
      <c r="AC265" s="77">
        <f t="shared" si="142"/>
        <v>0</v>
      </c>
      <c r="AD265" s="78"/>
      <c r="AE265" s="143"/>
      <c r="AF265" s="143"/>
      <c r="AG265" s="79">
        <f t="shared" si="143"/>
        <v>0</v>
      </c>
      <c r="AH265" s="75"/>
      <c r="AI265" s="76"/>
      <c r="AJ265" s="135"/>
      <c r="AK265" s="135"/>
      <c r="AL265" s="77">
        <f t="shared" si="144"/>
        <v>0</v>
      </c>
      <c r="AM265" s="76"/>
      <c r="AN265" s="142"/>
      <c r="AO265" s="142"/>
      <c r="AP265" s="77">
        <f t="shared" si="145"/>
        <v>0</v>
      </c>
      <c r="AQ265" s="78"/>
      <c r="AR265" s="142"/>
      <c r="AS265" s="142"/>
      <c r="AT265" s="79">
        <f t="shared" si="146"/>
        <v>0</v>
      </c>
      <c r="AU265" s="75"/>
      <c r="AV265" s="76"/>
      <c r="AW265" s="135"/>
      <c r="AX265" s="135"/>
      <c r="AY265" s="77">
        <f t="shared" si="147"/>
        <v>0</v>
      </c>
      <c r="AZ265" s="76"/>
      <c r="BA265" s="142"/>
      <c r="BB265" s="142"/>
      <c r="BC265" s="77">
        <f t="shared" si="148"/>
        <v>0</v>
      </c>
      <c r="BD265" s="78"/>
      <c r="BE265" s="142"/>
      <c r="BF265" s="142"/>
      <c r="BG265" s="79">
        <f t="shared" si="149"/>
        <v>0</v>
      </c>
      <c r="BH265" s="75"/>
      <c r="BI265" s="76"/>
      <c r="BJ265" s="135"/>
      <c r="BK265" s="135"/>
      <c r="BL265" s="77">
        <f t="shared" si="150"/>
        <v>0</v>
      </c>
      <c r="BM265" s="78"/>
      <c r="BN265" s="142"/>
      <c r="BO265" s="142"/>
      <c r="BP265" s="77">
        <f t="shared" si="151"/>
        <v>0</v>
      </c>
      <c r="BQ265" s="78"/>
      <c r="BR265" s="142"/>
      <c r="BS265" s="142"/>
      <c r="BT265" s="79">
        <f t="shared" si="152"/>
        <v>0</v>
      </c>
      <c r="BU265" s="136"/>
      <c r="BV265" s="76"/>
      <c r="BW265" s="135"/>
      <c r="BX265" s="135"/>
      <c r="BY265" s="77">
        <f t="shared" si="153"/>
        <v>0</v>
      </c>
      <c r="BZ265" s="78"/>
      <c r="CA265" s="142"/>
      <c r="CB265" s="142"/>
      <c r="CC265" s="77">
        <f t="shared" si="154"/>
        <v>0</v>
      </c>
      <c r="CD265" s="78"/>
      <c r="CE265" s="142"/>
      <c r="CF265" s="142"/>
      <c r="CG265" s="79">
        <f t="shared" si="155"/>
        <v>0</v>
      </c>
      <c r="CH265" s="75"/>
      <c r="CI265" s="76"/>
      <c r="CJ265" s="135"/>
      <c r="CK265" s="135"/>
      <c r="CL265" s="77">
        <f t="shared" si="156"/>
        <v>0</v>
      </c>
      <c r="CM265" s="78"/>
      <c r="CN265" s="142"/>
      <c r="CO265" s="142"/>
      <c r="CP265" s="77">
        <f t="shared" si="157"/>
        <v>0</v>
      </c>
      <c r="CQ265" s="78"/>
      <c r="CR265" s="142"/>
      <c r="CS265" s="142"/>
      <c r="CT265" s="79">
        <f t="shared" si="158"/>
        <v>0</v>
      </c>
      <c r="CU265" s="80">
        <f t="shared" si="136"/>
        <v>0</v>
      </c>
      <c r="CV265" s="81">
        <f t="shared" si="137"/>
        <v>0</v>
      </c>
      <c r="CW265" s="144"/>
      <c r="CX265" s="145">
        <f>IF(ISERROR(VLOOKUP($A265,FIJOS!$B$11:$O$590,14,FALSE)),0,VLOOKUP($A265,FIJOS!$B$11:$O$590,14,FALSE))</f>
        <v>0</v>
      </c>
      <c r="CY265" s="145">
        <f>IF(ISERROR(VLOOKUP(A265,FIJOS!$B$10:$P$590,15,FALSE)),0,VLOOKUP(A265,FIJOS!$B$10:$P$590,15,FALSE))</f>
        <v>0</v>
      </c>
      <c r="CZ265" s="155"/>
      <c r="DA265" s="146"/>
      <c r="DB265" s="147"/>
      <c r="DC265" s="147"/>
      <c r="DD265" s="147"/>
      <c r="DE265" s="147"/>
      <c r="DF265" s="145">
        <f>IF(ISERROR(VLOOKUP($A265,FIJOS!$B$11:$N$590,13,FALSE)),0,VLOOKUP($A265,FIJOS!$B$11:$N$590,13,FALSE))</f>
        <v>0</v>
      </c>
      <c r="DG265" s="145">
        <f>IF(ISERROR(VLOOKUP($A265,FIJOS!$B$11:$P$447,12,FALSE)),0,VLOOKUP($A265,FIJOS!$B$11:$P$447,12,FALSE))</f>
        <v>0</v>
      </c>
      <c r="DH265" s="82">
        <f t="shared" si="159"/>
        <v>0</v>
      </c>
      <c r="DI265" s="83" t="b">
        <f>IF($C265=1,(VLOOKUP($A265,FIJOS!$B$11:$P$545,10,FALSE)/7)*(7-$CU265),IF(AND($C265=2,CV265&lt;$DJ$1),(VLOOKUP($D265,HORAS!$B$4:$C$42,2,FALSE)*24)*$CV265,IF(AND($C265=2,CV265&gt;=$DJ$1),VLOOKUP($D265,HORAS!$B$4:$D$42,3,FALSE),IF(AND($C265=3,$CV265&gt;=$DJ$1),VLOOKUP($A265,FIJOS!$B$11:$P$545,10,FALSE),IF(AND($C265=3,$CV265&lt;$DJ$1),((VLOOKUP($A265,FIJOS!$B$11:$P$545,10,FALSE)/48)*24)*$CV265,IF(AND($C265=4,$CV265&gt;=(42/24)),VLOOKUP($D265,HORAS!$B$4:$D$42,3,FALSE),IF(AND($C265=5,$CV265&gt;=(36/24)),VLOOKUP($D265,HORAS!$B$4:$D$42,3,FALSE))))))))</f>
        <v>0</v>
      </c>
      <c r="DJ265" s="145">
        <f>IF(OR($C265=2),VLOOKUP($D265,HORAS!$B$4:$E$42,4,FALSE)*$EC265,IF(ISERROR(VLOOKUP($A265,FIJOS!$B$11:$P$108,9,FALSE)),0,VLOOKUP($A265,FIJOS!$B$11:$P$231,9,FALSE)*$EC265))</f>
        <v>0</v>
      </c>
      <c r="DK265" s="145">
        <f>IF(OR($C265=2),VLOOKUP($D265,HORAS!$B$4:$F$42,5,FALSE)*$EE265,IF(ISERROR(VLOOKUP($A265,FIJOS!$B$11:$P$108,9,FALSE)),0,VLOOKUP($A265,FIJOS!$B$11:$P$231,9,FALSE)*$EE265))</f>
        <v>0</v>
      </c>
      <c r="DL265" s="144"/>
      <c r="DM265" s="145">
        <f>IF(ISERROR(VLOOKUP($A265,FIJOS!$B$11:$L$646,11,FALSE)),0,VLOOKUP($A265,FIJOS!$B$11:$L$646,11,FALSE))</f>
        <v>0</v>
      </c>
      <c r="DN265" s="148" t="e">
        <f>IF(OR($C265=1,$C265=3),0,IF((VLOOKUP(CAPTURA!D265,HORAS!$B$4:$K$42,10,FALSE)/4)*COUNTIF($H265:$CT265,3)&gt;100,100,(VLOOKUP(CAPTURA!D265,HORAS!$B$4:$K$42,10,FALSE)/4)*COUNTIF($H265:$CT265,3)))</f>
        <v>#N/A</v>
      </c>
      <c r="DO265" s="144" t="e">
        <f>IF(OR($C265=1,$C265=3),0,IF($C265=5,VLOOKUP(D265,HORAS!$B$4:$G$42,6,FALSE),IF(AND($C265=4,$CV265&gt;=(42/24)),VLOOKUP(D265,HORAS!$B$4:$G$42,6,FALSE),IF(COUNTIF($H265:$CL265,"F")&gt;0,0,IF(CV265&gt;$DJ$1,$DJ$1*(VLOOKUP(D265,HORAS!$B$4:$G$42,6,FALSE)/$DJ$1),CV265*(VLOOKUP(D265,HORAS!$B$4:$G$42,6,FALSE)/$DJ$1))))))</f>
        <v>#N/A</v>
      </c>
      <c r="DP265" s="156"/>
      <c r="DQ265" s="148"/>
      <c r="DR265" s="148"/>
      <c r="DS265" s="83" t="e">
        <f t="shared" si="162"/>
        <v>#N/A</v>
      </c>
      <c r="DT265" s="84"/>
      <c r="DU265" s="149" t="e">
        <f t="shared" si="163"/>
        <v>#N/A</v>
      </c>
      <c r="DV265" s="149" t="e">
        <f t="shared" si="164"/>
        <v>#N/A</v>
      </c>
      <c r="DW265" s="144" t="e">
        <f t="shared" si="165"/>
        <v>#N/A</v>
      </c>
      <c r="DX265"/>
      <c r="DY265" s="29"/>
      <c r="DZ265" s="150"/>
      <c r="EA265" s="134"/>
      <c r="EB265" s="137">
        <f t="shared" si="166"/>
        <v>0</v>
      </c>
      <c r="EC265" s="138">
        <f t="shared" si="160"/>
        <v>0</v>
      </c>
      <c r="ED265" s="137">
        <f t="shared" si="167"/>
        <v>0</v>
      </c>
      <c r="EE265" s="132">
        <f t="shared" si="161"/>
        <v>0</v>
      </c>
      <c r="EF265" s="29"/>
      <c r="EG265" s="134"/>
      <c r="EH265" s="134"/>
      <c r="EI265" s="134"/>
      <c r="EK265" s="29"/>
    </row>
    <row r="266" spans="1:141" ht="15" customHeight="1" x14ac:dyDescent="0.25">
      <c r="A266" s="87"/>
      <c r="B266" s="5"/>
      <c r="C266" s="72"/>
      <c r="D266" s="73"/>
      <c r="E266" s="73"/>
      <c r="F266" s="141"/>
      <c r="G266" s="74"/>
      <c r="H266" s="75"/>
      <c r="I266" s="76"/>
      <c r="J266" s="135"/>
      <c r="K266" s="135"/>
      <c r="L266" s="77">
        <f t="shared" si="138"/>
        <v>0</v>
      </c>
      <c r="M266" s="78"/>
      <c r="N266" s="142"/>
      <c r="O266" s="142"/>
      <c r="P266" s="77">
        <f t="shared" si="139"/>
        <v>0</v>
      </c>
      <c r="Q266" s="78"/>
      <c r="R266" s="143"/>
      <c r="S266" s="143"/>
      <c r="T266" s="77">
        <f t="shared" si="140"/>
        <v>0</v>
      </c>
      <c r="U266" s="75"/>
      <c r="V266" s="76"/>
      <c r="W266" s="135"/>
      <c r="X266" s="135"/>
      <c r="Y266" s="77">
        <f t="shared" si="141"/>
        <v>0</v>
      </c>
      <c r="Z266" s="78"/>
      <c r="AA266" s="142"/>
      <c r="AB266" s="142"/>
      <c r="AC266" s="77">
        <f t="shared" si="142"/>
        <v>0</v>
      </c>
      <c r="AD266" s="78"/>
      <c r="AE266" s="143"/>
      <c r="AF266" s="143"/>
      <c r="AG266" s="79">
        <f t="shared" si="143"/>
        <v>0</v>
      </c>
      <c r="AH266" s="75"/>
      <c r="AI266" s="76"/>
      <c r="AJ266" s="135"/>
      <c r="AK266" s="135"/>
      <c r="AL266" s="77">
        <f t="shared" si="144"/>
        <v>0</v>
      </c>
      <c r="AM266" s="76"/>
      <c r="AN266" s="142"/>
      <c r="AO266" s="142"/>
      <c r="AP266" s="77">
        <f t="shared" si="145"/>
        <v>0</v>
      </c>
      <c r="AQ266" s="78"/>
      <c r="AR266" s="142"/>
      <c r="AS266" s="142"/>
      <c r="AT266" s="79">
        <f t="shared" si="146"/>
        <v>0</v>
      </c>
      <c r="AU266" s="75"/>
      <c r="AV266" s="76"/>
      <c r="AW266" s="135"/>
      <c r="AX266" s="135"/>
      <c r="AY266" s="77">
        <f t="shared" si="147"/>
        <v>0</v>
      </c>
      <c r="AZ266" s="76"/>
      <c r="BA266" s="142"/>
      <c r="BB266" s="142"/>
      <c r="BC266" s="77">
        <f t="shared" si="148"/>
        <v>0</v>
      </c>
      <c r="BD266" s="78"/>
      <c r="BE266" s="142"/>
      <c r="BF266" s="142"/>
      <c r="BG266" s="79">
        <f t="shared" si="149"/>
        <v>0</v>
      </c>
      <c r="BH266" s="75"/>
      <c r="BI266" s="76"/>
      <c r="BJ266" s="135"/>
      <c r="BK266" s="135"/>
      <c r="BL266" s="77">
        <f t="shared" si="150"/>
        <v>0</v>
      </c>
      <c r="BM266" s="78"/>
      <c r="BN266" s="142"/>
      <c r="BO266" s="142"/>
      <c r="BP266" s="77">
        <f t="shared" si="151"/>
        <v>0</v>
      </c>
      <c r="BQ266" s="78"/>
      <c r="BR266" s="142"/>
      <c r="BS266" s="142"/>
      <c r="BT266" s="79">
        <f t="shared" si="152"/>
        <v>0</v>
      </c>
      <c r="BU266" s="75"/>
      <c r="BV266" s="76"/>
      <c r="BW266" s="135"/>
      <c r="BX266" s="135"/>
      <c r="BY266" s="77">
        <f t="shared" si="153"/>
        <v>0</v>
      </c>
      <c r="BZ266" s="78"/>
      <c r="CA266" s="142"/>
      <c r="CB266" s="142"/>
      <c r="CC266" s="77">
        <f t="shared" si="154"/>
        <v>0</v>
      </c>
      <c r="CD266" s="78"/>
      <c r="CE266" s="142"/>
      <c r="CF266" s="142"/>
      <c r="CG266" s="79">
        <f t="shared" si="155"/>
        <v>0</v>
      </c>
      <c r="CH266" s="75"/>
      <c r="CI266" s="76"/>
      <c r="CJ266" s="135"/>
      <c r="CK266" s="135"/>
      <c r="CL266" s="77">
        <f t="shared" si="156"/>
        <v>0</v>
      </c>
      <c r="CM266" s="78"/>
      <c r="CN266" s="142"/>
      <c r="CO266" s="142"/>
      <c r="CP266" s="77">
        <f t="shared" si="157"/>
        <v>0</v>
      </c>
      <c r="CQ266" s="78"/>
      <c r="CR266" s="142"/>
      <c r="CS266" s="142"/>
      <c r="CT266" s="79">
        <f t="shared" si="158"/>
        <v>0</v>
      </c>
      <c r="CU266" s="80">
        <f t="shared" si="136"/>
        <v>0</v>
      </c>
      <c r="CV266" s="81">
        <f t="shared" si="137"/>
        <v>0</v>
      </c>
      <c r="CW266" s="144"/>
      <c r="CX266" s="145">
        <f>IF(ISERROR(VLOOKUP($A266,FIJOS!$B$11:$O$590,14,FALSE)),0,VLOOKUP($A266,FIJOS!$B$11:$O$590,14,FALSE))</f>
        <v>0</v>
      </c>
      <c r="CY266" s="145">
        <f>IF(ISERROR(VLOOKUP(A266,FIJOS!$B$10:$P$590,15,FALSE)),0,VLOOKUP(A266,FIJOS!$B$10:$P$590,15,FALSE))</f>
        <v>0</v>
      </c>
      <c r="CZ266" s="155"/>
      <c r="DA266" s="146"/>
      <c r="DB266" s="147"/>
      <c r="DC266" s="147"/>
      <c r="DD266" s="147"/>
      <c r="DE266" s="147"/>
      <c r="DF266" s="145">
        <f>IF(ISERROR(VLOOKUP($A266,FIJOS!$B$11:$N$590,13,FALSE)),0,VLOOKUP($A266,FIJOS!$B$11:$N$590,13,FALSE))</f>
        <v>0</v>
      </c>
      <c r="DG266" s="145">
        <f>IF(ISERROR(VLOOKUP($A266,FIJOS!$B$11:$P$447,12,FALSE)),0,VLOOKUP($A266,FIJOS!$B$11:$P$447,12,FALSE))</f>
        <v>0</v>
      </c>
      <c r="DH266" s="82">
        <f t="shared" si="159"/>
        <v>0</v>
      </c>
      <c r="DI266" s="83" t="b">
        <f>IF($C266=1,(VLOOKUP($A266,FIJOS!$B$11:$P$545,10,FALSE)/7)*(7-$CU266),IF(AND($C266=2,CV266&lt;$DJ$1),(VLOOKUP($D266,HORAS!$B$4:$C$42,2,FALSE)*24)*$CV266,IF(AND($C266=2,CV266&gt;=$DJ$1),VLOOKUP($D266,HORAS!$B$4:$D$42,3,FALSE),IF(AND($C266=3,$CV266&gt;=$DJ$1),VLOOKUP($A266,FIJOS!$B$11:$P$545,10,FALSE),IF(AND($C266=3,$CV266&lt;$DJ$1),((VLOOKUP($A266,FIJOS!$B$11:$P$545,10,FALSE)/48)*24)*$CV266,IF(AND($C266=4,$CV266&gt;=(42/24)),VLOOKUP($D266,HORAS!$B$4:$D$42,3,FALSE),IF(AND($C266=5,$CV266&gt;=(36/24)),VLOOKUP($D266,HORAS!$B$4:$D$42,3,FALSE))))))))</f>
        <v>0</v>
      </c>
      <c r="DJ266" s="145">
        <f>IF(OR($C266=2),VLOOKUP($D266,HORAS!$B$4:$E$42,4,FALSE)*$EC266,IF(ISERROR(VLOOKUP($A266,FIJOS!$B$11:$P$108,9,FALSE)),0,VLOOKUP($A266,FIJOS!$B$11:$P$231,9,FALSE)*$EC266))</f>
        <v>0</v>
      </c>
      <c r="DK266" s="145">
        <f>IF(OR($C266=2),VLOOKUP($D266,HORAS!$B$4:$F$42,5,FALSE)*$EE266,IF(ISERROR(VLOOKUP($A266,FIJOS!$B$11:$P$108,9,FALSE)),0,VLOOKUP($A266,FIJOS!$B$11:$P$231,9,FALSE)*$EE266))</f>
        <v>0</v>
      </c>
      <c r="DL266" s="144"/>
      <c r="DM266" s="145">
        <f>IF(ISERROR(VLOOKUP($A266,FIJOS!$B$11:$L$646,11,FALSE)),0,VLOOKUP($A266,FIJOS!$B$11:$L$646,11,FALSE))</f>
        <v>0</v>
      </c>
      <c r="DN266" s="148" t="e">
        <f>IF(OR($C266=1,$C266=3),0,IF((VLOOKUP(CAPTURA!D266,HORAS!$B$4:$K$42,10,FALSE)/4)*COUNTIF($H266:$CT266,3)&gt;100,100,(VLOOKUP(CAPTURA!D266,HORAS!$B$4:$K$42,10,FALSE)/4)*COUNTIF($H266:$CT266,3)))</f>
        <v>#N/A</v>
      </c>
      <c r="DO266" s="144" t="e">
        <f>IF(OR($C266=1,$C266=3),0,IF($C266=5,VLOOKUP(D266,HORAS!$B$4:$G$42,6,FALSE),IF(AND($C266=4,$CV266&gt;=(42/24)),VLOOKUP(D266,HORAS!$B$4:$G$42,6,FALSE),IF(COUNTIF($H266:$CL266,"F")&gt;0,0,IF(CV266&gt;$DJ$1,$DJ$1*(VLOOKUP(D266,HORAS!$B$4:$G$42,6,FALSE)/$DJ$1),CV266*(VLOOKUP(D266,HORAS!$B$4:$G$42,6,FALSE)/$DJ$1))))))</f>
        <v>#N/A</v>
      </c>
      <c r="DP266" s="177"/>
      <c r="DQ266" s="148"/>
      <c r="DR266" s="148"/>
      <c r="DS266" s="83" t="e">
        <f t="shared" si="162"/>
        <v>#N/A</v>
      </c>
      <c r="DT266" s="84"/>
      <c r="DU266" s="149" t="e">
        <f t="shared" si="163"/>
        <v>#N/A</v>
      </c>
      <c r="DV266" s="149" t="e">
        <f t="shared" si="164"/>
        <v>#N/A</v>
      </c>
      <c r="DW266" s="144" t="e">
        <f t="shared" si="165"/>
        <v>#N/A</v>
      </c>
      <c r="DX266"/>
      <c r="DY266" s="29"/>
      <c r="DZ266" s="150"/>
      <c r="EA266" s="137"/>
      <c r="EB266" s="137">
        <f t="shared" si="166"/>
        <v>0</v>
      </c>
      <c r="EC266" s="138">
        <f t="shared" si="160"/>
        <v>0</v>
      </c>
      <c r="ED266" s="137">
        <f t="shared" si="167"/>
        <v>0</v>
      </c>
      <c r="EE266" s="132">
        <f t="shared" si="161"/>
        <v>0</v>
      </c>
      <c r="EF266" s="29"/>
      <c r="EG266" s="134"/>
      <c r="EH266" s="134"/>
      <c r="EI266" s="134"/>
      <c r="EK266" s="29"/>
    </row>
    <row r="267" spans="1:141" ht="15" customHeight="1" x14ac:dyDescent="0.25">
      <c r="A267" s="87"/>
      <c r="B267" s="151"/>
      <c r="C267" s="72"/>
      <c r="D267" s="73"/>
      <c r="E267" s="73"/>
      <c r="F267" s="141"/>
      <c r="G267" s="74"/>
      <c r="H267" s="75"/>
      <c r="I267" s="76"/>
      <c r="J267" s="135"/>
      <c r="K267" s="135"/>
      <c r="L267" s="77">
        <f t="shared" si="138"/>
        <v>0</v>
      </c>
      <c r="M267" s="78"/>
      <c r="N267" s="142"/>
      <c r="O267" s="142"/>
      <c r="P267" s="77">
        <f t="shared" si="139"/>
        <v>0</v>
      </c>
      <c r="Q267" s="78"/>
      <c r="R267" s="143"/>
      <c r="S267" s="143"/>
      <c r="T267" s="77">
        <f t="shared" si="140"/>
        <v>0</v>
      </c>
      <c r="U267" s="75"/>
      <c r="V267" s="76"/>
      <c r="W267" s="135"/>
      <c r="X267" s="135"/>
      <c r="Y267" s="77">
        <f t="shared" si="141"/>
        <v>0</v>
      </c>
      <c r="Z267" s="78"/>
      <c r="AA267" s="142"/>
      <c r="AB267" s="142"/>
      <c r="AC267" s="77">
        <f t="shared" si="142"/>
        <v>0</v>
      </c>
      <c r="AD267" s="78"/>
      <c r="AE267" s="143"/>
      <c r="AF267" s="143"/>
      <c r="AG267" s="79">
        <f t="shared" si="143"/>
        <v>0</v>
      </c>
      <c r="AH267" s="75"/>
      <c r="AI267" s="76"/>
      <c r="AJ267" s="135"/>
      <c r="AK267" s="135"/>
      <c r="AL267" s="77">
        <f t="shared" si="144"/>
        <v>0</v>
      </c>
      <c r="AM267" s="76"/>
      <c r="AN267" s="142"/>
      <c r="AO267" s="142"/>
      <c r="AP267" s="77">
        <f t="shared" si="145"/>
        <v>0</v>
      </c>
      <c r="AQ267" s="78"/>
      <c r="AR267" s="142"/>
      <c r="AS267" s="142"/>
      <c r="AT267" s="79">
        <f t="shared" si="146"/>
        <v>0</v>
      </c>
      <c r="AU267" s="75"/>
      <c r="AV267" s="76"/>
      <c r="AW267" s="135"/>
      <c r="AX267" s="135"/>
      <c r="AY267" s="77">
        <f t="shared" si="147"/>
        <v>0</v>
      </c>
      <c r="AZ267" s="76"/>
      <c r="BA267" s="142"/>
      <c r="BB267" s="142"/>
      <c r="BC267" s="77">
        <f t="shared" si="148"/>
        <v>0</v>
      </c>
      <c r="BD267" s="78"/>
      <c r="BE267" s="142"/>
      <c r="BF267" s="142"/>
      <c r="BG267" s="79">
        <f t="shared" si="149"/>
        <v>0</v>
      </c>
      <c r="BH267" s="75"/>
      <c r="BI267" s="76"/>
      <c r="BJ267" s="135"/>
      <c r="BK267" s="135"/>
      <c r="BL267" s="77">
        <f t="shared" si="150"/>
        <v>0</v>
      </c>
      <c r="BM267" s="78"/>
      <c r="BN267" s="142"/>
      <c r="BO267" s="142"/>
      <c r="BP267" s="77">
        <f t="shared" si="151"/>
        <v>0</v>
      </c>
      <c r="BQ267" s="78"/>
      <c r="BR267" s="142"/>
      <c r="BS267" s="142"/>
      <c r="BT267" s="79">
        <f t="shared" si="152"/>
        <v>0</v>
      </c>
      <c r="BU267" s="75"/>
      <c r="BV267" s="76"/>
      <c r="BW267" s="135"/>
      <c r="BX267" s="135"/>
      <c r="BY267" s="77">
        <f t="shared" si="153"/>
        <v>0</v>
      </c>
      <c r="BZ267" s="78"/>
      <c r="CA267" s="142"/>
      <c r="CB267" s="142"/>
      <c r="CC267" s="77">
        <f t="shared" si="154"/>
        <v>0</v>
      </c>
      <c r="CD267" s="78"/>
      <c r="CE267" s="142"/>
      <c r="CF267" s="142"/>
      <c r="CG267" s="79">
        <f t="shared" si="155"/>
        <v>0</v>
      </c>
      <c r="CH267" s="75"/>
      <c r="CI267" s="76"/>
      <c r="CJ267" s="135"/>
      <c r="CK267" s="135"/>
      <c r="CL267" s="77">
        <f t="shared" si="156"/>
        <v>0</v>
      </c>
      <c r="CM267" s="78"/>
      <c r="CN267" s="142"/>
      <c r="CO267" s="142"/>
      <c r="CP267" s="77">
        <f t="shared" si="157"/>
        <v>0</v>
      </c>
      <c r="CQ267" s="78"/>
      <c r="CR267" s="142"/>
      <c r="CS267" s="142"/>
      <c r="CT267" s="79">
        <f t="shared" si="158"/>
        <v>0</v>
      </c>
      <c r="CU267" s="80">
        <f t="shared" si="136"/>
        <v>0</v>
      </c>
      <c r="CV267" s="81">
        <f t="shared" si="137"/>
        <v>0</v>
      </c>
      <c r="CW267" s="144"/>
      <c r="CX267" s="145">
        <f>IF(ISERROR(VLOOKUP($A267,FIJOS!$B$11:$O$590,14,FALSE)),0,VLOOKUP($A267,FIJOS!$B$11:$O$590,14,FALSE))</f>
        <v>0</v>
      </c>
      <c r="CY267" s="145">
        <f>IF(ISERROR(VLOOKUP(A267,FIJOS!$B$10:$P$590,15,FALSE)),0,VLOOKUP(A267,FIJOS!$B$10:$P$590,15,FALSE))</f>
        <v>0</v>
      </c>
      <c r="CZ267" s="155"/>
      <c r="DA267" s="146"/>
      <c r="DB267" s="147"/>
      <c r="DC267" s="147"/>
      <c r="DD267" s="147"/>
      <c r="DE267" s="147"/>
      <c r="DF267" s="145">
        <f>IF(ISERROR(VLOOKUP($A267,FIJOS!$B$11:$N$590,13,FALSE)),0,VLOOKUP($A267,FIJOS!$B$11:$N$590,13,FALSE))</f>
        <v>0</v>
      </c>
      <c r="DG267" s="145">
        <f>IF(ISERROR(VLOOKUP($A267,FIJOS!$B$11:$P$447,12,FALSE)),0,VLOOKUP($A267,FIJOS!$B$11:$P$447,12,FALSE))</f>
        <v>0</v>
      </c>
      <c r="DH267" s="82">
        <f t="shared" si="159"/>
        <v>0</v>
      </c>
      <c r="DI267" s="83" t="b">
        <f>IF($C267=1,(VLOOKUP($A267,FIJOS!$B$11:$P$545,10,FALSE)/7)*(7-$CU267),IF(AND($C267=2,CV267&lt;$DJ$1),(VLOOKUP($D267,HORAS!$B$4:$C$42,2,FALSE)*24)*$CV267,IF(AND($C267=2,CV267&gt;=$DJ$1),VLOOKUP($D267,HORAS!$B$4:$D$42,3,FALSE),IF(AND($C267=3,$CV267&gt;=$DJ$1),VLOOKUP($A267,FIJOS!$B$11:$P$545,10,FALSE),IF(AND($C267=3,$CV267&lt;$DJ$1),((VLOOKUP($A267,FIJOS!$B$11:$P$545,10,FALSE)/48)*24)*$CV267,IF(AND($C267=4,$CV267&gt;=(42/24)),VLOOKUP($D267,HORAS!$B$4:$D$42,3,FALSE),IF(AND($C267=5,$CV267&gt;=(36/24)),VLOOKUP($D267,HORAS!$B$4:$D$42,3,FALSE))))))))</f>
        <v>0</v>
      </c>
      <c r="DJ267" s="145">
        <f>IF(OR($C267=2),VLOOKUP($D267,HORAS!$B$4:$E$42,4,FALSE)*$EC267,IF(ISERROR(VLOOKUP($A267,FIJOS!$B$11:$P$108,9,FALSE)),0,VLOOKUP($A267,FIJOS!$B$11:$P$231,9,FALSE)*$EC267))</f>
        <v>0</v>
      </c>
      <c r="DK267" s="145">
        <f>IF(OR($C267=2),VLOOKUP($D267,HORAS!$B$4:$F$42,5,FALSE)*$EE267,IF(ISERROR(VLOOKUP($A267,FIJOS!$B$11:$P$108,9,FALSE)),0,VLOOKUP($A267,FIJOS!$B$11:$P$231,9,FALSE)*$EE267))</f>
        <v>0</v>
      </c>
      <c r="DL267" s="144"/>
      <c r="DM267" s="145">
        <f>IF(ISERROR(VLOOKUP($A267,FIJOS!$B$11:$L$646,11,FALSE)),0,VLOOKUP($A267,FIJOS!$B$11:$L$646,11,FALSE))</f>
        <v>0</v>
      </c>
      <c r="DN267" s="148" t="e">
        <f>IF(OR($C267=1,$C267=3),0,IF((VLOOKUP(CAPTURA!D267,HORAS!$B$4:$K$42,10,FALSE)/4)*COUNTIF($H267:$CT267,3)&gt;100,100,(VLOOKUP(CAPTURA!D267,HORAS!$B$4:$K$42,10,FALSE)/4)*COUNTIF($H267:$CT267,3)))</f>
        <v>#N/A</v>
      </c>
      <c r="DO267" s="144" t="e">
        <f>IF(OR($C267=1,$C267=3),0,IF($C267=5,VLOOKUP(D267,HORAS!$B$4:$G$42,6,FALSE),IF(AND($C267=4,$CV267&gt;=(42/24)),VLOOKUP(D267,HORAS!$B$4:$G$42,6,FALSE),IF(COUNTIF($H267:$CL267,"F")&gt;0,0,IF(CV267&gt;$DJ$1,$DJ$1*(VLOOKUP(D267,HORAS!$B$4:$G$42,6,FALSE)/$DJ$1),CV267*(VLOOKUP(D267,HORAS!$B$4:$G$42,6,FALSE)/$DJ$1))))))</f>
        <v>#N/A</v>
      </c>
      <c r="DP267" s="156"/>
      <c r="DQ267" s="148"/>
      <c r="DR267" s="148"/>
      <c r="DS267" s="83" t="e">
        <f t="shared" si="162"/>
        <v>#N/A</v>
      </c>
      <c r="DT267" s="84"/>
      <c r="DU267" s="149" t="e">
        <f t="shared" si="163"/>
        <v>#N/A</v>
      </c>
      <c r="DV267" s="149" t="e">
        <f t="shared" si="164"/>
        <v>#N/A</v>
      </c>
      <c r="DW267" s="144" t="e">
        <f t="shared" si="165"/>
        <v>#N/A</v>
      </c>
      <c r="DX267"/>
      <c r="DY267" s="29"/>
      <c r="DZ267" s="150"/>
      <c r="EA267" s="137"/>
      <c r="EB267" s="137">
        <f t="shared" si="166"/>
        <v>0</v>
      </c>
      <c r="EC267" s="138">
        <f t="shared" si="160"/>
        <v>0</v>
      </c>
      <c r="ED267" s="137">
        <f t="shared" si="167"/>
        <v>0</v>
      </c>
      <c r="EE267" s="132">
        <f t="shared" si="161"/>
        <v>0</v>
      </c>
      <c r="EF267" s="29"/>
      <c r="EG267" s="134"/>
      <c r="EH267" s="134"/>
      <c r="EI267" s="134"/>
      <c r="EK267" s="29"/>
    </row>
    <row r="268" spans="1:141" ht="15" customHeight="1" x14ac:dyDescent="0.25">
      <c r="A268" s="87"/>
      <c r="B268" s="5"/>
      <c r="C268" s="90"/>
      <c r="D268" s="73"/>
      <c r="E268" s="73"/>
      <c r="F268" s="141"/>
      <c r="G268" s="74"/>
      <c r="H268" s="75"/>
      <c r="I268" s="76"/>
      <c r="J268" s="135"/>
      <c r="K268" s="135"/>
      <c r="L268" s="77">
        <f t="shared" si="138"/>
        <v>0</v>
      </c>
      <c r="M268" s="78"/>
      <c r="N268" s="142"/>
      <c r="O268" s="142"/>
      <c r="P268" s="77">
        <f t="shared" si="139"/>
        <v>0</v>
      </c>
      <c r="Q268" s="78"/>
      <c r="R268" s="143"/>
      <c r="S268" s="143"/>
      <c r="T268" s="77">
        <f t="shared" si="140"/>
        <v>0</v>
      </c>
      <c r="U268" s="75"/>
      <c r="V268" s="76"/>
      <c r="W268" s="135"/>
      <c r="X268" s="135"/>
      <c r="Y268" s="77">
        <f t="shared" si="141"/>
        <v>0</v>
      </c>
      <c r="Z268" s="78"/>
      <c r="AA268" s="142"/>
      <c r="AB268" s="142"/>
      <c r="AC268" s="77">
        <f t="shared" si="142"/>
        <v>0</v>
      </c>
      <c r="AD268" s="78"/>
      <c r="AE268" s="143"/>
      <c r="AF268" s="143"/>
      <c r="AG268" s="79">
        <f t="shared" si="143"/>
        <v>0</v>
      </c>
      <c r="AH268" s="75"/>
      <c r="AI268" s="76"/>
      <c r="AJ268" s="135"/>
      <c r="AK268" s="135"/>
      <c r="AL268" s="77">
        <f t="shared" si="144"/>
        <v>0</v>
      </c>
      <c r="AM268" s="76"/>
      <c r="AN268" s="142"/>
      <c r="AO268" s="142"/>
      <c r="AP268" s="77">
        <f t="shared" si="145"/>
        <v>0</v>
      </c>
      <c r="AQ268" s="78"/>
      <c r="AR268" s="142"/>
      <c r="AS268" s="142"/>
      <c r="AT268" s="79">
        <f t="shared" si="146"/>
        <v>0</v>
      </c>
      <c r="AU268" s="75"/>
      <c r="AV268" s="76"/>
      <c r="AW268" s="135"/>
      <c r="AX268" s="135"/>
      <c r="AY268" s="77">
        <f t="shared" si="147"/>
        <v>0</v>
      </c>
      <c r="AZ268" s="76"/>
      <c r="BA268" s="142"/>
      <c r="BB268" s="142"/>
      <c r="BC268" s="77">
        <f t="shared" si="148"/>
        <v>0</v>
      </c>
      <c r="BD268" s="78"/>
      <c r="BE268" s="142"/>
      <c r="BF268" s="142"/>
      <c r="BG268" s="79">
        <f t="shared" si="149"/>
        <v>0</v>
      </c>
      <c r="BH268" s="75"/>
      <c r="BI268" s="76"/>
      <c r="BJ268" s="135"/>
      <c r="BK268" s="135"/>
      <c r="BL268" s="77">
        <f t="shared" si="150"/>
        <v>0</v>
      </c>
      <c r="BM268" s="78"/>
      <c r="BN268" s="142"/>
      <c r="BO268" s="142"/>
      <c r="BP268" s="77">
        <f t="shared" si="151"/>
        <v>0</v>
      </c>
      <c r="BQ268" s="78"/>
      <c r="BR268" s="142"/>
      <c r="BS268" s="142"/>
      <c r="BT268" s="79">
        <f t="shared" si="152"/>
        <v>0</v>
      </c>
      <c r="BU268" s="75"/>
      <c r="BV268" s="76"/>
      <c r="BW268" s="135"/>
      <c r="BX268" s="135"/>
      <c r="BY268" s="77">
        <f t="shared" si="153"/>
        <v>0</v>
      </c>
      <c r="BZ268" s="78"/>
      <c r="CA268" s="142"/>
      <c r="CB268" s="142"/>
      <c r="CC268" s="77">
        <f t="shared" si="154"/>
        <v>0</v>
      </c>
      <c r="CD268" s="78"/>
      <c r="CE268" s="142"/>
      <c r="CF268" s="142"/>
      <c r="CG268" s="79">
        <f t="shared" si="155"/>
        <v>0</v>
      </c>
      <c r="CH268" s="75"/>
      <c r="CI268" s="76"/>
      <c r="CJ268" s="135"/>
      <c r="CK268" s="135"/>
      <c r="CL268" s="77">
        <f t="shared" si="156"/>
        <v>0</v>
      </c>
      <c r="CM268" s="78"/>
      <c r="CN268" s="142"/>
      <c r="CO268" s="142"/>
      <c r="CP268" s="77">
        <f t="shared" si="157"/>
        <v>0</v>
      </c>
      <c r="CQ268" s="78"/>
      <c r="CR268" s="142"/>
      <c r="CS268" s="142"/>
      <c r="CT268" s="79">
        <f t="shared" si="158"/>
        <v>0</v>
      </c>
      <c r="CU268" s="80">
        <f t="shared" si="136"/>
        <v>0</v>
      </c>
      <c r="CV268" s="81">
        <f t="shared" si="137"/>
        <v>0</v>
      </c>
      <c r="CW268" s="144"/>
      <c r="CX268" s="145">
        <f>IF(ISERROR(VLOOKUP($A268,FIJOS!$B$11:$O$590,14,FALSE)),0,VLOOKUP($A268,FIJOS!$B$11:$O$590,14,FALSE))</f>
        <v>0</v>
      </c>
      <c r="CY268" s="145">
        <f>IF(ISERROR(VLOOKUP(A268,FIJOS!$B$10:$P$590,15,FALSE)),0,VLOOKUP(A268,FIJOS!$B$10:$P$590,15,FALSE))</f>
        <v>0</v>
      </c>
      <c r="CZ268" s="155"/>
      <c r="DA268" s="146"/>
      <c r="DB268" s="147"/>
      <c r="DC268" s="147"/>
      <c r="DD268" s="147"/>
      <c r="DE268" s="147"/>
      <c r="DF268" s="145">
        <f>IF(ISERROR(VLOOKUP($A268,FIJOS!$B$11:$N$590,13,FALSE)),0,VLOOKUP($A268,FIJOS!$B$11:$N$590,13,FALSE))</f>
        <v>0</v>
      </c>
      <c r="DG268" s="145">
        <f>IF(ISERROR(VLOOKUP($A268,FIJOS!$B$11:$P$447,12,FALSE)),0,VLOOKUP($A268,FIJOS!$B$11:$P$447,12,FALSE))</f>
        <v>0</v>
      </c>
      <c r="DH268" s="82">
        <f t="shared" si="159"/>
        <v>0</v>
      </c>
      <c r="DI268" s="83" t="b">
        <f>IF($C268=1,(VLOOKUP($A268,FIJOS!$B$11:$P$545,10,FALSE)/7)*(7-$CU268),IF(AND($C268=2,CV268&lt;$DJ$1),(VLOOKUP($D268,HORAS!$B$4:$C$42,2,FALSE)*24)*$CV268,IF(AND($C268=2,CV268&gt;=$DJ$1),VLOOKUP($D268,HORAS!$B$4:$D$42,3,FALSE),IF(AND($C268=3,$CV268&gt;=$DJ$1),VLOOKUP($A268,FIJOS!$B$11:$P$545,10,FALSE),IF(AND($C268=3,$CV268&lt;$DJ$1),((VLOOKUP($A268,FIJOS!$B$11:$P$545,10,FALSE)/48)*24)*$CV268,IF(AND($C268=4,$CV268&gt;=(42/24)),VLOOKUP($D268,HORAS!$B$4:$D$42,3,FALSE),IF(AND($C268=5,$CV268&gt;=(36/24)),VLOOKUP($D268,HORAS!$B$4:$D$42,3,FALSE))))))))</f>
        <v>0</v>
      </c>
      <c r="DJ268" s="145">
        <f>IF(OR($C268=2),VLOOKUP($D268,HORAS!$B$4:$E$42,4,FALSE)*$EC268,IF(ISERROR(VLOOKUP($A268,FIJOS!$B$11:$P$108,9,FALSE)),0,VLOOKUP($A268,FIJOS!$B$11:$P$231,9,FALSE)*$EC268))</f>
        <v>0</v>
      </c>
      <c r="DK268" s="145">
        <f>IF(OR($C268=2),VLOOKUP($D268,HORAS!$B$4:$F$42,5,FALSE)*$EE268,IF(ISERROR(VLOOKUP($A268,FIJOS!$B$11:$P$108,9,FALSE)),0,VLOOKUP($A268,FIJOS!$B$11:$P$231,9,FALSE)*$EE268))</f>
        <v>0</v>
      </c>
      <c r="DL268" s="144"/>
      <c r="DM268" s="145">
        <f>IF(ISERROR(VLOOKUP($A268,FIJOS!$B$11:$L$646,11,FALSE)),0,VLOOKUP($A268,FIJOS!$B$11:$L$646,11,FALSE))</f>
        <v>0</v>
      </c>
      <c r="DN268" s="148" t="e">
        <f>IF(OR($C268=1,$C268=3),0,IF((VLOOKUP(CAPTURA!D268,HORAS!$B$4:$K$42,10,FALSE)/4)*COUNTIF($H268:$CT268,3)&gt;100,100,(VLOOKUP(CAPTURA!D268,HORAS!$B$4:$K$42,10,FALSE)/4)*COUNTIF($H268:$CT268,3)))</f>
        <v>#N/A</v>
      </c>
      <c r="DO268" s="144" t="e">
        <f>IF(OR($C268=1,$C268=3),0,IF($C268=5,VLOOKUP(D268,HORAS!$B$4:$G$42,6,FALSE),IF(AND($C268=4,$CV268&gt;=(42/24)),VLOOKUP(D268,HORAS!$B$4:$G$42,6,FALSE),IF(COUNTIF($H268:$CL268,"F")&gt;0,0,IF(CV268&gt;$DJ$1,$DJ$1*(VLOOKUP(D268,HORAS!$B$4:$G$42,6,FALSE)/$DJ$1),CV268*(VLOOKUP(D268,HORAS!$B$4:$G$42,6,FALSE)/$DJ$1))))))</f>
        <v>#N/A</v>
      </c>
      <c r="DP268" s="156"/>
      <c r="DQ268" s="148"/>
      <c r="DR268" s="148"/>
      <c r="DS268" s="83" t="e">
        <f t="shared" si="162"/>
        <v>#N/A</v>
      </c>
      <c r="DT268" s="84"/>
      <c r="DU268" s="149" t="e">
        <f t="shared" si="163"/>
        <v>#N/A</v>
      </c>
      <c r="DV268" s="149" t="e">
        <f t="shared" si="164"/>
        <v>#N/A</v>
      </c>
      <c r="DW268" s="144" t="e">
        <f t="shared" si="165"/>
        <v>#N/A</v>
      </c>
      <c r="DX268"/>
      <c r="DY268" s="29"/>
      <c r="DZ268" s="150"/>
      <c r="EA268" s="137"/>
      <c r="EB268" s="137">
        <f t="shared" si="166"/>
        <v>0</v>
      </c>
      <c r="EC268" s="138">
        <f t="shared" si="160"/>
        <v>0</v>
      </c>
      <c r="ED268" s="137">
        <f t="shared" si="167"/>
        <v>0</v>
      </c>
      <c r="EE268" s="132">
        <f t="shared" si="161"/>
        <v>0</v>
      </c>
      <c r="EF268" s="29"/>
      <c r="EG268" s="134"/>
      <c r="EH268" s="134"/>
      <c r="EI268" s="134"/>
      <c r="EK268" s="29"/>
    </row>
    <row r="269" spans="1:141" customFormat="1" ht="15" customHeight="1" x14ac:dyDescent="0.25">
      <c r="A269" s="87"/>
      <c r="B269" s="5"/>
      <c r="C269" s="72"/>
      <c r="D269" s="73"/>
      <c r="E269" s="73"/>
      <c r="F269" s="141"/>
      <c r="G269" s="74"/>
      <c r="H269" s="75"/>
      <c r="I269" s="76"/>
      <c r="J269" s="135"/>
      <c r="K269" s="135"/>
      <c r="L269" s="77">
        <f t="shared" si="138"/>
        <v>0</v>
      </c>
      <c r="M269" s="78"/>
      <c r="N269" s="142"/>
      <c r="O269" s="142"/>
      <c r="P269" s="77">
        <f t="shared" si="139"/>
        <v>0</v>
      </c>
      <c r="Q269" s="78"/>
      <c r="R269" s="143"/>
      <c r="S269" s="143"/>
      <c r="T269" s="77">
        <f t="shared" si="140"/>
        <v>0</v>
      </c>
      <c r="U269" s="75"/>
      <c r="V269" s="76"/>
      <c r="W269" s="135"/>
      <c r="X269" s="135"/>
      <c r="Y269" s="77">
        <f t="shared" si="141"/>
        <v>0</v>
      </c>
      <c r="Z269" s="78"/>
      <c r="AA269" s="142"/>
      <c r="AB269" s="142"/>
      <c r="AC269" s="77">
        <f t="shared" si="142"/>
        <v>0</v>
      </c>
      <c r="AD269" s="78"/>
      <c r="AE269" s="143"/>
      <c r="AF269" s="143"/>
      <c r="AG269" s="79">
        <f t="shared" si="143"/>
        <v>0</v>
      </c>
      <c r="AH269" s="75"/>
      <c r="AI269" s="76"/>
      <c r="AJ269" s="135"/>
      <c r="AK269" s="135"/>
      <c r="AL269" s="77">
        <f t="shared" si="144"/>
        <v>0</v>
      </c>
      <c r="AM269" s="76"/>
      <c r="AN269" s="142"/>
      <c r="AO269" s="142"/>
      <c r="AP269" s="77">
        <f t="shared" si="145"/>
        <v>0</v>
      </c>
      <c r="AQ269" s="78"/>
      <c r="AR269" s="142"/>
      <c r="AS269" s="142"/>
      <c r="AT269" s="79">
        <f t="shared" si="146"/>
        <v>0</v>
      </c>
      <c r="AU269" s="75"/>
      <c r="AV269" s="76"/>
      <c r="AW269" s="135"/>
      <c r="AX269" s="135"/>
      <c r="AY269" s="77">
        <f t="shared" si="147"/>
        <v>0</v>
      </c>
      <c r="AZ269" s="76"/>
      <c r="BA269" s="142"/>
      <c r="BB269" s="142"/>
      <c r="BC269" s="77">
        <f t="shared" si="148"/>
        <v>0</v>
      </c>
      <c r="BD269" s="78"/>
      <c r="BE269" s="142"/>
      <c r="BF269" s="142"/>
      <c r="BG269" s="79">
        <f t="shared" si="149"/>
        <v>0</v>
      </c>
      <c r="BH269" s="75"/>
      <c r="BI269" s="76"/>
      <c r="BJ269" s="135"/>
      <c r="BK269" s="135"/>
      <c r="BL269" s="77">
        <f t="shared" si="150"/>
        <v>0</v>
      </c>
      <c r="BM269" s="78"/>
      <c r="BN269" s="142"/>
      <c r="BO269" s="142"/>
      <c r="BP269" s="77">
        <f t="shared" si="151"/>
        <v>0</v>
      </c>
      <c r="BQ269" s="78"/>
      <c r="BR269" s="142"/>
      <c r="BS269" s="142"/>
      <c r="BT269" s="79">
        <f t="shared" si="152"/>
        <v>0</v>
      </c>
      <c r="BU269" s="75"/>
      <c r="BV269" s="76"/>
      <c r="BW269" s="135"/>
      <c r="BX269" s="135"/>
      <c r="BY269" s="77">
        <f t="shared" si="153"/>
        <v>0</v>
      </c>
      <c r="BZ269" s="78"/>
      <c r="CA269" s="142"/>
      <c r="CB269" s="142"/>
      <c r="CC269" s="77">
        <f t="shared" si="154"/>
        <v>0</v>
      </c>
      <c r="CD269" s="78"/>
      <c r="CE269" s="85"/>
      <c r="CF269" s="85"/>
      <c r="CG269" s="79">
        <f t="shared" si="155"/>
        <v>0</v>
      </c>
      <c r="CH269" s="75"/>
      <c r="CI269" s="76"/>
      <c r="CJ269" s="86"/>
      <c r="CK269" s="86"/>
      <c r="CL269" s="77">
        <f t="shared" si="156"/>
        <v>0</v>
      </c>
      <c r="CM269" s="78"/>
      <c r="CN269" s="85"/>
      <c r="CO269" s="85"/>
      <c r="CP269" s="77">
        <f t="shared" si="157"/>
        <v>0</v>
      </c>
      <c r="CQ269" s="78"/>
      <c r="CR269" s="85"/>
      <c r="CS269" s="85"/>
      <c r="CT269" s="79">
        <f t="shared" si="158"/>
        <v>0</v>
      </c>
      <c r="CU269" s="80">
        <f t="shared" si="136"/>
        <v>0</v>
      </c>
      <c r="CV269" s="81">
        <f t="shared" si="137"/>
        <v>0</v>
      </c>
      <c r="CW269" s="91"/>
      <c r="CX269" s="145">
        <f>IF(ISERROR(VLOOKUP($A269,FIJOS!$B$11:$O$590,14,FALSE)),0,VLOOKUP($A269,FIJOS!$B$11:$O$590,14,FALSE))</f>
        <v>0</v>
      </c>
      <c r="CY269" s="145">
        <f>IF(ISERROR(VLOOKUP(A269,FIJOS!$B$10:$P$590,15,FALSE)),0,VLOOKUP(A269,FIJOS!$B$10:$P$590,15,FALSE))</f>
        <v>0</v>
      </c>
      <c r="CZ269" s="179"/>
      <c r="DA269" s="92"/>
      <c r="DB269" s="84"/>
      <c r="DC269" s="84"/>
      <c r="DD269" s="84"/>
      <c r="DE269" s="84"/>
      <c r="DF269" s="145">
        <f>IF(ISERROR(VLOOKUP($A269,FIJOS!$B$11:$N$590,13,FALSE)),0,VLOOKUP($A269,FIJOS!$B$11:$N$590,13,FALSE))</f>
        <v>0</v>
      </c>
      <c r="DG269" s="145">
        <f>IF(ISERROR(VLOOKUP($A269,FIJOS!$B$11:$P$447,12,FALSE)),0,VLOOKUP($A269,FIJOS!$B$11:$P$447,12,FALSE))</f>
        <v>0</v>
      </c>
      <c r="DH269" s="82">
        <f t="shared" si="159"/>
        <v>0</v>
      </c>
      <c r="DI269" s="83" t="b">
        <f>IF($C269=1,(VLOOKUP($A269,FIJOS!$B$11:$P$545,10,FALSE)/7)*(7-$CU269),IF(AND($C269=2,CV269&lt;$DJ$1),(VLOOKUP($D269,HORAS!$B$4:$C$42,2,FALSE)*24)*$CV269,IF(AND($C269=2,CV269&gt;=$DJ$1),VLOOKUP($D269,HORAS!$B$4:$D$42,3,FALSE),IF(AND($C269=3,$CV269&gt;=$DJ$1),VLOOKUP($A269,FIJOS!$B$11:$P$545,10,FALSE),IF(AND($C269=3,$CV269&lt;$DJ$1),((VLOOKUP($A269,FIJOS!$B$11:$P$545,10,FALSE)/48)*24)*$CV269,IF(AND($C269=4,$CV269&gt;=(42/24)),VLOOKUP($D269,HORAS!$B$4:$D$42,3,FALSE),IF(AND($C269=5,$CV269&gt;=(36/24)),VLOOKUP($D269,HORAS!$B$4:$D$42,3,FALSE))))))))</f>
        <v>0</v>
      </c>
      <c r="DJ269" s="145">
        <f>IF(OR($C269=2),VLOOKUP($D269,HORAS!$B$4:$E$42,4,FALSE)*$EC269,IF(ISERROR(VLOOKUP($A269,FIJOS!$B$11:$P$108,9,FALSE)),0,VLOOKUP($A269,FIJOS!$B$11:$P$231,9,FALSE)*$EC269))</f>
        <v>0</v>
      </c>
      <c r="DK269" s="145">
        <f>IF(OR($C269=2),VLOOKUP($D269,HORAS!$B$4:$F$42,5,FALSE)*$EE269,IF(ISERROR(VLOOKUP($A269,FIJOS!$B$11:$P$108,9,FALSE)),0,VLOOKUP($A269,FIJOS!$B$11:$P$231,9,FALSE)*$EE269))</f>
        <v>0</v>
      </c>
      <c r="DL269" s="91"/>
      <c r="DM269" s="145">
        <f>IF(ISERROR(VLOOKUP($A269,FIJOS!$B$11:$L$646,11,FALSE)),0,VLOOKUP($A269,FIJOS!$B$11:$L$646,11,FALSE))</f>
        <v>0</v>
      </c>
      <c r="DN269" s="148" t="e">
        <f>IF(OR($C269=1,$C269=3),0,IF((VLOOKUP(CAPTURA!D269,HORAS!$B$4:$K$42,10,FALSE)/4)*COUNTIF($H269:$CT269,3)&gt;100,100,(VLOOKUP(CAPTURA!D269,HORAS!$B$4:$K$42,10,FALSE)/4)*COUNTIF($H269:$CT269,3)))</f>
        <v>#N/A</v>
      </c>
      <c r="DO269" s="144" t="e">
        <f>IF(OR($C269=1,$C269=3),0,IF($C269=5,VLOOKUP(D269,HORAS!$B$4:$G$42,6,FALSE),IF(AND($C269=4,$CV269&gt;=(42/24)),VLOOKUP(D269,HORAS!$B$4:$G$42,6,FALSE),IF(COUNTIF($H269:$CL269,"F")&gt;0,0,IF(CV269&gt;$DJ$1,$DJ$1*(VLOOKUP(D269,HORAS!$B$4:$G$42,6,FALSE)/$DJ$1),CV269*(VLOOKUP(D269,HORAS!$B$4:$G$42,6,FALSE)/$DJ$1))))))</f>
        <v>#N/A</v>
      </c>
      <c r="DP269" s="156"/>
      <c r="DQ269" s="89"/>
      <c r="DR269" s="148"/>
      <c r="DS269" s="83" t="e">
        <f t="shared" si="162"/>
        <v>#N/A</v>
      </c>
      <c r="DT269" s="84"/>
      <c r="DU269" s="149" t="e">
        <f t="shared" si="163"/>
        <v>#N/A</v>
      </c>
      <c r="DV269" s="149" t="e">
        <f t="shared" si="164"/>
        <v>#N/A</v>
      </c>
      <c r="DW269" s="144" t="e">
        <f t="shared" si="165"/>
        <v>#N/A</v>
      </c>
      <c r="DY269" s="29"/>
      <c r="DZ269" s="150"/>
      <c r="EA269" s="137"/>
      <c r="EB269" s="137">
        <f t="shared" si="166"/>
        <v>0</v>
      </c>
      <c r="EC269" s="138">
        <f t="shared" si="160"/>
        <v>0</v>
      </c>
      <c r="ED269" s="137">
        <f t="shared" si="167"/>
        <v>0</v>
      </c>
      <c r="EE269" s="132">
        <f t="shared" si="161"/>
        <v>0</v>
      </c>
      <c r="EF269" s="29"/>
      <c r="EG269" s="134"/>
      <c r="EI269" s="134"/>
      <c r="EJ269" s="35"/>
      <c r="EK269" s="29"/>
    </row>
    <row r="270" spans="1:141" ht="15" customHeight="1" x14ac:dyDescent="0.25">
      <c r="A270" s="87"/>
      <c r="B270" s="151"/>
      <c r="C270" s="72"/>
      <c r="D270" s="73"/>
      <c r="E270" s="73"/>
      <c r="F270" s="141"/>
      <c r="G270" s="74"/>
      <c r="H270" s="75"/>
      <c r="I270" s="76"/>
      <c r="J270" s="135"/>
      <c r="K270" s="135"/>
      <c r="L270" s="77">
        <f t="shared" si="138"/>
        <v>0</v>
      </c>
      <c r="M270" s="78"/>
      <c r="N270" s="142"/>
      <c r="O270" s="142"/>
      <c r="P270" s="77">
        <f t="shared" si="139"/>
        <v>0</v>
      </c>
      <c r="Q270" s="78"/>
      <c r="R270" s="129"/>
      <c r="S270" s="143"/>
      <c r="T270" s="77">
        <f t="shared" si="140"/>
        <v>0</v>
      </c>
      <c r="U270" s="75"/>
      <c r="V270" s="76"/>
      <c r="W270" s="135"/>
      <c r="X270" s="135"/>
      <c r="Y270" s="77">
        <f t="shared" si="141"/>
        <v>0</v>
      </c>
      <c r="Z270" s="78"/>
      <c r="AA270" s="142"/>
      <c r="AB270" s="142"/>
      <c r="AC270" s="77">
        <f t="shared" si="142"/>
        <v>0</v>
      </c>
      <c r="AD270" s="78"/>
      <c r="AE270" s="143"/>
      <c r="AF270" s="143"/>
      <c r="AG270" s="79">
        <f t="shared" si="143"/>
        <v>0</v>
      </c>
      <c r="AH270" s="75"/>
      <c r="AI270" s="76"/>
      <c r="AJ270" s="86"/>
      <c r="AK270" s="135"/>
      <c r="AL270" s="77">
        <f t="shared" si="144"/>
        <v>0</v>
      </c>
      <c r="AM270" s="76"/>
      <c r="AN270" s="142"/>
      <c r="AO270" s="142"/>
      <c r="AP270" s="77">
        <f t="shared" si="145"/>
        <v>0</v>
      </c>
      <c r="AQ270" s="76"/>
      <c r="AR270" s="142"/>
      <c r="AS270" s="142"/>
      <c r="AT270" s="79">
        <f t="shared" si="146"/>
        <v>0</v>
      </c>
      <c r="AU270" s="75"/>
      <c r="AV270" s="76"/>
      <c r="AW270" s="135"/>
      <c r="AX270" s="135"/>
      <c r="AY270" s="77">
        <f t="shared" si="147"/>
        <v>0</v>
      </c>
      <c r="AZ270" s="76"/>
      <c r="BA270" s="142"/>
      <c r="BB270" s="142"/>
      <c r="BC270" s="77">
        <f t="shared" si="148"/>
        <v>0</v>
      </c>
      <c r="BD270" s="78"/>
      <c r="BE270" s="142"/>
      <c r="BF270" s="142"/>
      <c r="BG270" s="79">
        <f t="shared" si="149"/>
        <v>0</v>
      </c>
      <c r="BH270" s="75"/>
      <c r="BI270" s="76"/>
      <c r="BJ270" s="135"/>
      <c r="BK270" s="135"/>
      <c r="BL270" s="77">
        <f t="shared" si="150"/>
        <v>0</v>
      </c>
      <c r="BM270" s="78"/>
      <c r="BN270" s="142"/>
      <c r="BO270" s="142"/>
      <c r="BP270" s="77">
        <f t="shared" si="151"/>
        <v>0</v>
      </c>
      <c r="BQ270" s="78"/>
      <c r="BR270" s="142"/>
      <c r="BS270" s="142"/>
      <c r="BT270" s="79">
        <f t="shared" si="152"/>
        <v>0</v>
      </c>
      <c r="BU270" s="75"/>
      <c r="BV270" s="76"/>
      <c r="BW270" s="135"/>
      <c r="BX270" s="135"/>
      <c r="BY270" s="77">
        <f t="shared" si="153"/>
        <v>0</v>
      </c>
      <c r="BZ270" s="78"/>
      <c r="CA270" s="142"/>
      <c r="CB270" s="142"/>
      <c r="CC270" s="77">
        <f t="shared" si="154"/>
        <v>0</v>
      </c>
      <c r="CD270" s="78"/>
      <c r="CE270" s="142"/>
      <c r="CF270" s="142"/>
      <c r="CG270" s="79">
        <f t="shared" si="155"/>
        <v>0</v>
      </c>
      <c r="CH270" s="75"/>
      <c r="CI270" s="76"/>
      <c r="CJ270" s="135"/>
      <c r="CK270" s="135"/>
      <c r="CL270" s="77">
        <f t="shared" si="156"/>
        <v>0</v>
      </c>
      <c r="CM270" s="78"/>
      <c r="CN270" s="142"/>
      <c r="CO270" s="142"/>
      <c r="CP270" s="77">
        <f t="shared" si="157"/>
        <v>0</v>
      </c>
      <c r="CQ270" s="78"/>
      <c r="CR270" s="142"/>
      <c r="CS270" s="142"/>
      <c r="CT270" s="79">
        <f t="shared" si="158"/>
        <v>0</v>
      </c>
      <c r="CU270" s="80">
        <f t="shared" si="136"/>
        <v>0</v>
      </c>
      <c r="CV270" s="81">
        <f t="shared" si="137"/>
        <v>0</v>
      </c>
      <c r="CW270" s="91"/>
      <c r="CX270" s="145">
        <f>IF(ISERROR(VLOOKUP($A270,FIJOS!$B$11:$O$590,14,FALSE)),0,VLOOKUP($A270,FIJOS!$B$11:$O$590,14,FALSE))</f>
        <v>0</v>
      </c>
      <c r="CY270" s="145">
        <f>IF(ISERROR(VLOOKUP(A270,FIJOS!$B$10:$P$590,15,FALSE)),0,VLOOKUP(A270,FIJOS!$B$10:$P$590,15,FALSE))</f>
        <v>0</v>
      </c>
      <c r="CZ270" s="155"/>
      <c r="DA270" s="146"/>
      <c r="DB270" s="147"/>
      <c r="DC270" s="147"/>
      <c r="DD270" s="147"/>
      <c r="DE270" s="147"/>
      <c r="DF270" s="145">
        <f>IF(ISERROR(VLOOKUP($A270,FIJOS!$B$11:$N$590,13,FALSE)),0,VLOOKUP($A270,FIJOS!$B$11:$N$590,13,FALSE))</f>
        <v>0</v>
      </c>
      <c r="DG270" s="145">
        <f>IF(ISERROR(VLOOKUP($A270,FIJOS!$B$11:$P$447,12,FALSE)),0,VLOOKUP($A270,FIJOS!$B$11:$P$447,12,FALSE))</f>
        <v>0</v>
      </c>
      <c r="DH270" s="82">
        <f t="shared" si="159"/>
        <v>0</v>
      </c>
      <c r="DI270" s="83" t="b">
        <f>IF($C270=1,(VLOOKUP($A270,FIJOS!$B$11:$P$545,10,FALSE)/7)*(7-$CU270),IF(AND($C270=2,CV270&lt;$DJ$1),(VLOOKUP($D270,HORAS!$B$4:$C$42,2,FALSE)*24)*$CV270,IF(AND($C270=2,CV270&gt;=$DJ$1),VLOOKUP($D270,HORAS!$B$4:$D$42,3,FALSE),IF(AND($C270=3,$CV270&gt;=$DJ$1),VLOOKUP($A270,FIJOS!$B$11:$P$545,10,FALSE),IF(AND($C270=3,$CV270&lt;$DJ$1),((VLOOKUP($A270,FIJOS!$B$11:$P$545,10,FALSE)/48)*24)*$CV270,IF(AND($C270=4,$CV270&gt;=(42/24)),VLOOKUP($D270,HORAS!$B$4:$D$42,3,FALSE),IF(AND($C270=5,$CV270&gt;=(36/24)),VLOOKUP($D270,HORAS!$B$4:$D$42,3,FALSE))))))))</f>
        <v>0</v>
      </c>
      <c r="DJ270" s="145">
        <f>IF(OR($C270=2),VLOOKUP($D270,HORAS!$B$4:$E$42,4,FALSE)*$EC270,IF(ISERROR(VLOOKUP($A270,FIJOS!$B$11:$P$108,9,FALSE)),0,VLOOKUP($A270,FIJOS!$B$11:$P$231,9,FALSE)*$EC270))</f>
        <v>0</v>
      </c>
      <c r="DK270" s="145">
        <f>IF(OR($C270=2),VLOOKUP($D270,HORAS!$B$4:$F$42,5,FALSE)*$EE270,IF(ISERROR(VLOOKUP($A270,FIJOS!$B$11:$P$108,9,FALSE)),0,VLOOKUP($A270,FIJOS!$B$11:$P$231,9,FALSE)*$EE270))</f>
        <v>0</v>
      </c>
      <c r="DL270" s="144"/>
      <c r="DM270" s="145">
        <f>IF(ISERROR(VLOOKUP($A270,FIJOS!$B$11:$L$646,11,FALSE)),0,VLOOKUP($A270,FIJOS!$B$11:$L$646,11,FALSE))</f>
        <v>0</v>
      </c>
      <c r="DN270" s="148" t="e">
        <f>IF(OR($C270=1,$C270=3),0,IF((VLOOKUP(CAPTURA!D270,HORAS!$B$4:$K$42,10,FALSE)/4)*COUNTIF($H270:$CT270,3)&gt;100,100,(VLOOKUP(CAPTURA!D270,HORAS!$B$4:$K$42,10,FALSE)/4)*COUNTIF($H270:$CT270,3)))</f>
        <v>#N/A</v>
      </c>
      <c r="DO270" s="144" t="e">
        <f>IF(OR($C270=1,$C270=3),0,IF($C270=5,VLOOKUP(D270,HORAS!$B$4:$G$42,6,FALSE),IF(AND($C270=4,$CV270&gt;=(42/24)),VLOOKUP(D270,HORAS!$B$4:$G$42,6,FALSE),IF(COUNTIF($H270:$CL270,"F")&gt;0,0,IF(CV270&gt;$DJ$1,$DJ$1*(VLOOKUP(D270,HORAS!$B$4:$G$42,6,FALSE)/$DJ$1),CV270*(VLOOKUP(D270,HORAS!$B$4:$G$42,6,FALSE)/$DJ$1))))))</f>
        <v>#N/A</v>
      </c>
      <c r="DP270" s="156"/>
      <c r="DQ270" s="148"/>
      <c r="DR270" s="148"/>
      <c r="DS270" s="83" t="e">
        <f t="shared" si="162"/>
        <v>#N/A</v>
      </c>
      <c r="DT270" s="84"/>
      <c r="DU270" s="149" t="e">
        <f t="shared" si="163"/>
        <v>#N/A</v>
      </c>
      <c r="DV270" s="149" t="e">
        <f t="shared" si="164"/>
        <v>#N/A</v>
      </c>
      <c r="DW270" s="144" t="e">
        <f t="shared" si="165"/>
        <v>#N/A</v>
      </c>
      <c r="DX270" s="134"/>
      <c r="DY270" s="29"/>
      <c r="DZ270" s="150"/>
      <c r="EA270" s="134"/>
      <c r="EB270" s="137">
        <f t="shared" si="166"/>
        <v>0</v>
      </c>
      <c r="EC270" s="138">
        <f t="shared" si="160"/>
        <v>0</v>
      </c>
      <c r="ED270" s="137">
        <f t="shared" si="167"/>
        <v>0</v>
      </c>
      <c r="EE270" s="132">
        <f t="shared" si="161"/>
        <v>0</v>
      </c>
      <c r="EF270" s="29"/>
      <c r="EG270" s="134"/>
      <c r="EH270" s="134"/>
      <c r="EI270" s="134"/>
      <c r="EK270" s="29"/>
    </row>
    <row r="271" spans="1:141" ht="15" customHeight="1" x14ac:dyDescent="0.25">
      <c r="A271" s="87"/>
      <c r="B271" s="5"/>
      <c r="C271" s="72"/>
      <c r="D271" s="73"/>
      <c r="E271" s="73"/>
      <c r="F271" s="141"/>
      <c r="G271" s="74"/>
      <c r="H271" s="75"/>
      <c r="I271" s="76"/>
      <c r="J271" s="135"/>
      <c r="K271" s="135"/>
      <c r="L271" s="77">
        <f t="shared" si="138"/>
        <v>0</v>
      </c>
      <c r="M271" s="78"/>
      <c r="N271" s="142"/>
      <c r="O271" s="142"/>
      <c r="P271" s="77">
        <f t="shared" si="139"/>
        <v>0</v>
      </c>
      <c r="Q271" s="78"/>
      <c r="R271" s="143"/>
      <c r="S271" s="143"/>
      <c r="T271" s="77">
        <f t="shared" si="140"/>
        <v>0</v>
      </c>
      <c r="U271" s="75"/>
      <c r="V271" s="76"/>
      <c r="W271" s="135"/>
      <c r="X271" s="135"/>
      <c r="Y271" s="77">
        <f t="shared" si="141"/>
        <v>0</v>
      </c>
      <c r="Z271" s="78"/>
      <c r="AA271" s="142"/>
      <c r="AB271" s="142"/>
      <c r="AC271" s="77">
        <f t="shared" si="142"/>
        <v>0</v>
      </c>
      <c r="AD271" s="78"/>
      <c r="AE271" s="143"/>
      <c r="AF271" s="143"/>
      <c r="AG271" s="79">
        <f t="shared" si="143"/>
        <v>0</v>
      </c>
      <c r="AH271" s="75"/>
      <c r="AI271" s="76"/>
      <c r="AJ271" s="135"/>
      <c r="AK271" s="135"/>
      <c r="AL271" s="77">
        <f t="shared" si="144"/>
        <v>0</v>
      </c>
      <c r="AM271" s="76"/>
      <c r="AN271" s="142"/>
      <c r="AO271" s="142"/>
      <c r="AP271" s="77">
        <f t="shared" si="145"/>
        <v>0</v>
      </c>
      <c r="AQ271" s="78"/>
      <c r="AR271" s="142"/>
      <c r="AS271" s="142"/>
      <c r="AT271" s="79">
        <f t="shared" si="146"/>
        <v>0</v>
      </c>
      <c r="AU271" s="75"/>
      <c r="AV271" s="76"/>
      <c r="AW271" s="135"/>
      <c r="AX271" s="135"/>
      <c r="AY271" s="77">
        <f t="shared" si="147"/>
        <v>0</v>
      </c>
      <c r="AZ271" s="76"/>
      <c r="BA271" s="142"/>
      <c r="BB271" s="142"/>
      <c r="BC271" s="77">
        <f t="shared" si="148"/>
        <v>0</v>
      </c>
      <c r="BD271" s="78"/>
      <c r="BE271" s="142"/>
      <c r="BF271" s="142"/>
      <c r="BG271" s="79">
        <f t="shared" si="149"/>
        <v>0</v>
      </c>
      <c r="BH271" s="75"/>
      <c r="BI271" s="76"/>
      <c r="BJ271" s="135"/>
      <c r="BK271" s="135"/>
      <c r="BL271" s="77">
        <f t="shared" si="150"/>
        <v>0</v>
      </c>
      <c r="BM271" s="78"/>
      <c r="BN271" s="142"/>
      <c r="BO271" s="142"/>
      <c r="BP271" s="77">
        <f t="shared" si="151"/>
        <v>0</v>
      </c>
      <c r="BQ271" s="78"/>
      <c r="BR271" s="142"/>
      <c r="BS271" s="142"/>
      <c r="BT271" s="79">
        <f t="shared" si="152"/>
        <v>0</v>
      </c>
      <c r="BU271" s="75"/>
      <c r="BV271" s="76"/>
      <c r="BW271" s="135"/>
      <c r="BX271" s="135"/>
      <c r="BY271" s="77">
        <f t="shared" si="153"/>
        <v>0</v>
      </c>
      <c r="BZ271" s="78"/>
      <c r="CA271" s="142"/>
      <c r="CB271" s="142"/>
      <c r="CC271" s="77">
        <f t="shared" si="154"/>
        <v>0</v>
      </c>
      <c r="CD271" s="78"/>
      <c r="CE271" s="142"/>
      <c r="CF271" s="142"/>
      <c r="CG271" s="79">
        <f t="shared" si="155"/>
        <v>0</v>
      </c>
      <c r="CH271" s="75"/>
      <c r="CI271" s="76"/>
      <c r="CJ271" s="135"/>
      <c r="CK271" s="135"/>
      <c r="CL271" s="77">
        <f t="shared" si="156"/>
        <v>0</v>
      </c>
      <c r="CM271" s="78"/>
      <c r="CN271" s="142"/>
      <c r="CO271" s="142"/>
      <c r="CP271" s="77">
        <f t="shared" si="157"/>
        <v>0</v>
      </c>
      <c r="CQ271" s="78"/>
      <c r="CR271" s="142"/>
      <c r="CS271" s="142"/>
      <c r="CT271" s="79">
        <f t="shared" si="158"/>
        <v>0</v>
      </c>
      <c r="CU271" s="80">
        <f t="shared" si="136"/>
        <v>0</v>
      </c>
      <c r="CV271" s="81">
        <f t="shared" si="137"/>
        <v>0</v>
      </c>
      <c r="CW271" s="144"/>
      <c r="CX271" s="145">
        <f>IF(ISERROR(VLOOKUP($A271,FIJOS!$B$11:$O$590,14,FALSE)),0,VLOOKUP($A271,FIJOS!$B$11:$O$590,14,FALSE))</f>
        <v>0</v>
      </c>
      <c r="CY271" s="145">
        <f>IF(ISERROR(VLOOKUP(A271,FIJOS!$B$10:$P$590,15,FALSE)),0,VLOOKUP(A271,FIJOS!$B$10:$P$590,15,FALSE))</f>
        <v>0</v>
      </c>
      <c r="CZ271" s="155"/>
      <c r="DA271" s="146"/>
      <c r="DB271" s="147"/>
      <c r="DC271" s="147"/>
      <c r="DD271" s="147"/>
      <c r="DE271" s="147"/>
      <c r="DF271" s="145">
        <f>IF(ISERROR(VLOOKUP($A271,FIJOS!$B$11:$N$590,13,FALSE)),0,VLOOKUP($A271,FIJOS!$B$11:$N$590,13,FALSE))</f>
        <v>0</v>
      </c>
      <c r="DG271" s="145">
        <f>IF(ISERROR(VLOOKUP($A271,FIJOS!$B$11:$P$447,12,FALSE)),0,VLOOKUP($A271,FIJOS!$B$11:$P$447,12,FALSE))</f>
        <v>0</v>
      </c>
      <c r="DH271" s="82">
        <f t="shared" si="159"/>
        <v>0</v>
      </c>
      <c r="DI271" s="83" t="b">
        <f>IF($C271=1,(VLOOKUP($A271,FIJOS!$B$11:$P$545,10,FALSE)/7)*(7-$CU271),IF(AND($C271=2,CV271&lt;$DJ$1),(VLOOKUP($D271,HORAS!$B$4:$C$42,2,FALSE)*24)*$CV271,IF(AND($C271=2,CV271&gt;=$DJ$1),VLOOKUP($D271,HORAS!$B$4:$D$42,3,FALSE),IF(AND($C271=3,$CV271&gt;=$DJ$1),VLOOKUP($A271,FIJOS!$B$11:$P$545,10,FALSE),IF(AND($C271=3,$CV271&lt;$DJ$1),((VLOOKUP($A271,FIJOS!$B$11:$P$545,10,FALSE)/48)*24)*$CV271,IF(AND($C271=4,$CV271&gt;=(42/24)),VLOOKUP($D271,HORAS!$B$4:$D$42,3,FALSE),IF(AND($C271=5,$CV271&gt;=(36/24)),VLOOKUP($D271,HORAS!$B$4:$D$42,3,FALSE))))))))</f>
        <v>0</v>
      </c>
      <c r="DJ271" s="145">
        <f>IF(OR($C271=2),VLOOKUP($D271,HORAS!$B$4:$E$42,4,FALSE)*$EC271,IF(ISERROR(VLOOKUP($A271,FIJOS!$B$11:$P$108,9,FALSE)),0,VLOOKUP($A271,FIJOS!$B$11:$P$231,9,FALSE)*$EC271))</f>
        <v>0</v>
      </c>
      <c r="DK271" s="145">
        <f>IF(OR($C271=2),VLOOKUP($D271,HORAS!$B$4:$F$42,5,FALSE)*$EE271,IF(ISERROR(VLOOKUP($A271,FIJOS!$B$11:$P$108,9,FALSE)),0,VLOOKUP($A271,FIJOS!$B$11:$P$231,9,FALSE)*$EE271))</f>
        <v>0</v>
      </c>
      <c r="DL271" s="144"/>
      <c r="DM271" s="145">
        <f>IF(ISERROR(VLOOKUP($A271,FIJOS!$B$11:$L$646,11,FALSE)),0,VLOOKUP($A271,FIJOS!$B$11:$L$646,11,FALSE))</f>
        <v>0</v>
      </c>
      <c r="DN271" s="148" t="e">
        <f>IF(OR($C271=1,$C271=3),0,IF((VLOOKUP(CAPTURA!D271,HORAS!$B$4:$K$42,10,FALSE)/4)*COUNTIF($H271:$CT271,3)&gt;100,100,(VLOOKUP(CAPTURA!D271,HORAS!$B$4:$K$42,10,FALSE)/4)*COUNTIF($H271:$CT271,3)))</f>
        <v>#N/A</v>
      </c>
      <c r="DO271" s="144" t="e">
        <f>IF(OR($C271=1,$C271=3),0,IF($C271=5,VLOOKUP(D271,HORAS!$B$4:$G$42,6,FALSE),IF(AND($C271=4,$CV271&gt;=(42/24)),VLOOKUP(D271,HORAS!$B$4:$G$42,6,FALSE),IF(COUNTIF($H271:$CL271,"F")&gt;0,0,IF(CV271&gt;$DJ$1,$DJ$1*(VLOOKUP(D271,HORAS!$B$4:$G$42,6,FALSE)/$DJ$1),CV271*(VLOOKUP(D271,HORAS!$B$4:$G$42,6,FALSE)/$DJ$1))))))</f>
        <v>#N/A</v>
      </c>
      <c r="DP271" s="156"/>
      <c r="DQ271" s="148"/>
      <c r="DR271" s="148"/>
      <c r="DS271" s="83" t="e">
        <f t="shared" si="162"/>
        <v>#N/A</v>
      </c>
      <c r="DT271" s="84"/>
      <c r="DU271" s="149" t="e">
        <f t="shared" si="163"/>
        <v>#N/A</v>
      </c>
      <c r="DV271" s="149" t="e">
        <f t="shared" si="164"/>
        <v>#N/A</v>
      </c>
      <c r="DW271" s="144" t="e">
        <f t="shared" si="165"/>
        <v>#N/A</v>
      </c>
      <c r="DX271"/>
      <c r="DY271" s="29"/>
      <c r="DZ271" s="150"/>
      <c r="EA271" s="134"/>
      <c r="EB271" s="137">
        <f t="shared" si="166"/>
        <v>0</v>
      </c>
      <c r="EC271" s="138">
        <f t="shared" si="160"/>
        <v>0</v>
      </c>
      <c r="ED271" s="137">
        <f t="shared" si="167"/>
        <v>0</v>
      </c>
      <c r="EE271" s="132">
        <f t="shared" si="161"/>
        <v>0</v>
      </c>
      <c r="EF271" s="29"/>
      <c r="EG271" s="134"/>
      <c r="EH271" s="134"/>
      <c r="EI271" s="134"/>
      <c r="EK271" s="29"/>
    </row>
    <row r="272" spans="1:141" ht="15" customHeight="1" x14ac:dyDescent="0.25">
      <c r="A272" s="87"/>
      <c r="B272" s="5"/>
      <c r="C272" s="72"/>
      <c r="D272" s="73"/>
      <c r="E272" s="73"/>
      <c r="F272" s="141"/>
      <c r="G272" s="74"/>
      <c r="H272" s="75"/>
      <c r="I272" s="76"/>
      <c r="J272" s="135"/>
      <c r="K272" s="157"/>
      <c r="L272" s="77">
        <f t="shared" si="138"/>
        <v>0</v>
      </c>
      <c r="M272" s="78"/>
      <c r="N272" s="142"/>
      <c r="O272" s="142"/>
      <c r="P272" s="77">
        <f t="shared" si="139"/>
        <v>0</v>
      </c>
      <c r="Q272" s="78"/>
      <c r="R272" s="143"/>
      <c r="S272" s="143"/>
      <c r="T272" s="77">
        <f t="shared" si="140"/>
        <v>0</v>
      </c>
      <c r="U272" s="75"/>
      <c r="V272" s="76"/>
      <c r="W272" s="135"/>
      <c r="X272" s="135"/>
      <c r="Y272" s="77">
        <f t="shared" si="141"/>
        <v>0</v>
      </c>
      <c r="Z272" s="78"/>
      <c r="AA272" s="142"/>
      <c r="AB272" s="142"/>
      <c r="AC272" s="77">
        <f t="shared" si="142"/>
        <v>0</v>
      </c>
      <c r="AD272" s="78"/>
      <c r="AE272" s="143"/>
      <c r="AF272" s="143"/>
      <c r="AG272" s="79">
        <f t="shared" si="143"/>
        <v>0</v>
      </c>
      <c r="AH272" s="75"/>
      <c r="AI272" s="76"/>
      <c r="AJ272" s="135"/>
      <c r="AK272" s="135"/>
      <c r="AL272" s="77">
        <f t="shared" si="144"/>
        <v>0</v>
      </c>
      <c r="AM272" s="76"/>
      <c r="AN272" s="142"/>
      <c r="AO272" s="142"/>
      <c r="AP272" s="77">
        <f t="shared" si="145"/>
        <v>0</v>
      </c>
      <c r="AQ272" s="78"/>
      <c r="AR272" s="142"/>
      <c r="AS272" s="142"/>
      <c r="AT272" s="79">
        <f t="shared" si="146"/>
        <v>0</v>
      </c>
      <c r="AU272" s="75"/>
      <c r="AV272" s="76"/>
      <c r="AW272" s="135"/>
      <c r="AX272" s="135"/>
      <c r="AY272" s="77">
        <f t="shared" si="147"/>
        <v>0</v>
      </c>
      <c r="AZ272" s="76"/>
      <c r="BA272" s="142"/>
      <c r="BB272" s="142"/>
      <c r="BC272" s="77">
        <f t="shared" si="148"/>
        <v>0</v>
      </c>
      <c r="BD272" s="78"/>
      <c r="BE272" s="142"/>
      <c r="BF272" s="142"/>
      <c r="BG272" s="79">
        <f t="shared" si="149"/>
        <v>0</v>
      </c>
      <c r="BH272" s="75"/>
      <c r="BI272" s="76"/>
      <c r="BJ272" s="135"/>
      <c r="BK272" s="135"/>
      <c r="BL272" s="77">
        <f t="shared" si="150"/>
        <v>0</v>
      </c>
      <c r="BM272" s="78"/>
      <c r="BN272" s="142"/>
      <c r="BO272" s="142"/>
      <c r="BP272" s="77">
        <f t="shared" si="151"/>
        <v>0</v>
      </c>
      <c r="BQ272" s="78"/>
      <c r="BR272" s="142"/>
      <c r="BS272" s="142"/>
      <c r="BT272" s="79">
        <f t="shared" si="152"/>
        <v>0</v>
      </c>
      <c r="BU272" s="75"/>
      <c r="BV272" s="76"/>
      <c r="BW272" s="135"/>
      <c r="BX272" s="135"/>
      <c r="BY272" s="77">
        <f t="shared" si="153"/>
        <v>0</v>
      </c>
      <c r="BZ272" s="78"/>
      <c r="CA272" s="142"/>
      <c r="CB272" s="142"/>
      <c r="CC272" s="77">
        <f t="shared" si="154"/>
        <v>0</v>
      </c>
      <c r="CD272" s="78"/>
      <c r="CE272" s="142"/>
      <c r="CF272" s="142"/>
      <c r="CG272" s="79">
        <f t="shared" si="155"/>
        <v>0</v>
      </c>
      <c r="CH272" s="75"/>
      <c r="CI272" s="76"/>
      <c r="CJ272" s="135"/>
      <c r="CK272" s="135"/>
      <c r="CL272" s="77">
        <f t="shared" si="156"/>
        <v>0</v>
      </c>
      <c r="CM272" s="78"/>
      <c r="CN272" s="85"/>
      <c r="CO272" s="85"/>
      <c r="CP272" s="77">
        <f t="shared" si="157"/>
        <v>0</v>
      </c>
      <c r="CQ272" s="78"/>
      <c r="CR272" s="85"/>
      <c r="CS272" s="85"/>
      <c r="CT272" s="79">
        <f t="shared" si="158"/>
        <v>0</v>
      </c>
      <c r="CU272" s="80">
        <f t="shared" si="136"/>
        <v>0</v>
      </c>
      <c r="CV272" s="81">
        <f t="shared" si="137"/>
        <v>0</v>
      </c>
      <c r="CW272" s="144"/>
      <c r="CX272" s="145">
        <f>IF(ISERROR(VLOOKUP($A272,FIJOS!$B$11:$O$590,14,FALSE)),0,VLOOKUP($A272,FIJOS!$B$11:$O$590,14,FALSE))</f>
        <v>0</v>
      </c>
      <c r="CY272" s="145">
        <f>IF(ISERROR(VLOOKUP(A272,FIJOS!$B$10:$P$590,15,FALSE)),0,VLOOKUP(A272,FIJOS!$B$10:$P$590,15,FALSE))</f>
        <v>0</v>
      </c>
      <c r="CZ272" s="155"/>
      <c r="DA272" s="147"/>
      <c r="DB272" s="147"/>
      <c r="DC272" s="147"/>
      <c r="DD272" s="147"/>
      <c r="DE272" s="147"/>
      <c r="DF272" s="145">
        <f>IF(ISERROR(VLOOKUP($A272,FIJOS!$B$11:$N$590,13,FALSE)),0,VLOOKUP($A272,FIJOS!$B$11:$N$590,13,FALSE))</f>
        <v>0</v>
      </c>
      <c r="DG272" s="145">
        <f>IF(ISERROR(VLOOKUP($A272,FIJOS!$B$11:$P$447,12,FALSE)),0,VLOOKUP($A272,FIJOS!$B$11:$P$447,12,FALSE))</f>
        <v>0</v>
      </c>
      <c r="DH272" s="82">
        <f t="shared" si="159"/>
        <v>0</v>
      </c>
      <c r="DI272" s="83" t="b">
        <f>IF($C272=1,(VLOOKUP($A272,FIJOS!$B$11:$P$545,10,FALSE)/7)*(7-$CU272),IF(AND($C272=2,CV272&lt;$DJ$1),(VLOOKUP($D272,HORAS!$B$4:$C$42,2,FALSE)*24)*$CV272,IF(AND($C272=2,CV272&gt;=$DJ$1),VLOOKUP($D272,HORAS!$B$4:$D$42,3,FALSE),IF(AND($C272=3,$CV272&gt;=$DJ$1),VLOOKUP($A272,FIJOS!$B$11:$P$545,10,FALSE),IF(AND($C272=3,$CV272&lt;$DJ$1),((VLOOKUP($A272,FIJOS!$B$11:$P$545,10,FALSE)/48)*24)*$CV272,IF(AND($C272=4,$CV272&gt;=(42/24)),VLOOKUP($D272,HORAS!$B$4:$D$42,3,FALSE),IF(AND($C272=5,$CV272&gt;=(36/24)),VLOOKUP($D272,HORAS!$B$4:$D$42,3,FALSE))))))))</f>
        <v>0</v>
      </c>
      <c r="DJ272" s="145">
        <f>IF(OR($C272=2),VLOOKUP($D272,HORAS!$B$4:$E$42,4,FALSE)*$EC272,IF(ISERROR(VLOOKUP($A272,FIJOS!$B$11:$P$108,9,FALSE)),0,VLOOKUP($A272,FIJOS!$B$11:$P$231,9,FALSE)*$EC272))</f>
        <v>0</v>
      </c>
      <c r="DK272" s="145">
        <f>IF(OR($C272=2),VLOOKUP($D272,HORAS!$B$4:$F$42,5,FALSE)*$EE272,IF(ISERROR(VLOOKUP($A272,FIJOS!$B$11:$P$108,9,FALSE)),0,VLOOKUP($A272,FIJOS!$B$11:$P$231,9,FALSE)*$EE272))</f>
        <v>0</v>
      </c>
      <c r="DL272" s="144"/>
      <c r="DM272" s="145">
        <f>IF(ISERROR(VLOOKUP($A272,FIJOS!$B$11:$L$646,11,FALSE)),0,VLOOKUP($A272,FIJOS!$B$11:$L$646,11,FALSE))</f>
        <v>0</v>
      </c>
      <c r="DN272" s="148" t="e">
        <f>IF(OR($C272=1,$C272=3),0,IF((VLOOKUP(CAPTURA!D272,HORAS!$B$4:$K$42,10,FALSE)/4)*COUNTIF($H272:$CT272,3)&gt;100,100,(VLOOKUP(CAPTURA!D272,HORAS!$B$4:$K$42,10,FALSE)/4)*COUNTIF($H272:$CT272,3)))</f>
        <v>#N/A</v>
      </c>
      <c r="DO272" s="144" t="e">
        <f>IF(OR($C272=1,$C272=3),0,IF($C272=5,VLOOKUP(D272,HORAS!$B$4:$G$42,6,FALSE),IF(AND($C272=4,$CV272&gt;=(42/24)),VLOOKUP(D272,HORAS!$B$4:$G$42,6,FALSE),IF(COUNTIF($H272:$CL272,"F")&gt;0,0,IF(CV272&gt;$DJ$1,$DJ$1*(VLOOKUP(D272,HORAS!$B$4:$G$42,6,FALSE)/$DJ$1),CV272*(VLOOKUP(D272,HORAS!$B$4:$G$42,6,FALSE)/$DJ$1))))))</f>
        <v>#N/A</v>
      </c>
      <c r="DP272" s="156"/>
      <c r="DQ272" s="148"/>
      <c r="DR272" s="148"/>
      <c r="DS272" s="83" t="e">
        <f t="shared" si="162"/>
        <v>#N/A</v>
      </c>
      <c r="DT272" s="84"/>
      <c r="DU272" s="149" t="e">
        <f t="shared" si="163"/>
        <v>#N/A</v>
      </c>
      <c r="DV272" s="149" t="e">
        <f t="shared" si="164"/>
        <v>#N/A</v>
      </c>
      <c r="DW272" s="144" t="e">
        <f t="shared" si="165"/>
        <v>#N/A</v>
      </c>
      <c r="DX272"/>
      <c r="DY272" s="29"/>
      <c r="DZ272" s="150"/>
      <c r="EA272" s="134"/>
      <c r="EB272" s="137">
        <f t="shared" si="166"/>
        <v>0</v>
      </c>
      <c r="EC272" s="138">
        <f t="shared" si="160"/>
        <v>0</v>
      </c>
      <c r="ED272" s="137">
        <f t="shared" si="167"/>
        <v>0</v>
      </c>
      <c r="EE272" s="132">
        <f t="shared" si="161"/>
        <v>0</v>
      </c>
      <c r="EF272" s="29"/>
      <c r="EG272" s="134"/>
      <c r="EH272" s="134"/>
      <c r="EI272" s="134"/>
      <c r="EK272" s="29"/>
    </row>
    <row r="273" spans="1:141" ht="15" customHeight="1" x14ac:dyDescent="0.25">
      <c r="A273" s="87"/>
      <c r="B273" s="5"/>
      <c r="C273" s="72"/>
      <c r="D273" s="73"/>
      <c r="E273" s="160"/>
      <c r="F273" s="141"/>
      <c r="G273" s="74"/>
      <c r="H273" s="75"/>
      <c r="I273" s="76"/>
      <c r="J273" s="135"/>
      <c r="K273" s="135"/>
      <c r="L273" s="77">
        <f t="shared" si="138"/>
        <v>0</v>
      </c>
      <c r="M273" s="78"/>
      <c r="N273" s="142"/>
      <c r="O273" s="142"/>
      <c r="P273" s="77">
        <f t="shared" si="139"/>
        <v>0</v>
      </c>
      <c r="Q273" s="78"/>
      <c r="R273" s="143"/>
      <c r="S273" s="143"/>
      <c r="T273" s="77">
        <f t="shared" si="140"/>
        <v>0</v>
      </c>
      <c r="U273" s="75"/>
      <c r="V273" s="76"/>
      <c r="W273" s="135"/>
      <c r="X273" s="135"/>
      <c r="Y273" s="77">
        <f t="shared" si="141"/>
        <v>0</v>
      </c>
      <c r="Z273" s="78"/>
      <c r="AA273" s="142"/>
      <c r="AB273" s="142"/>
      <c r="AC273" s="77">
        <f t="shared" si="142"/>
        <v>0</v>
      </c>
      <c r="AD273" s="78"/>
      <c r="AE273" s="143"/>
      <c r="AF273" s="143"/>
      <c r="AG273" s="79">
        <f t="shared" si="143"/>
        <v>0</v>
      </c>
      <c r="AH273" s="75"/>
      <c r="AI273" s="76"/>
      <c r="AJ273" s="135"/>
      <c r="AK273" s="135"/>
      <c r="AL273" s="77">
        <f t="shared" si="144"/>
        <v>0</v>
      </c>
      <c r="AM273" s="76"/>
      <c r="AN273" s="142"/>
      <c r="AO273" s="142"/>
      <c r="AP273" s="77">
        <f t="shared" si="145"/>
        <v>0</v>
      </c>
      <c r="AQ273" s="78"/>
      <c r="AR273" s="142"/>
      <c r="AS273" s="142"/>
      <c r="AT273" s="79">
        <f t="shared" si="146"/>
        <v>0</v>
      </c>
      <c r="AU273" s="75"/>
      <c r="AV273" s="76"/>
      <c r="AW273" s="135"/>
      <c r="AX273" s="135"/>
      <c r="AY273" s="77">
        <f t="shared" si="147"/>
        <v>0</v>
      </c>
      <c r="AZ273" s="76"/>
      <c r="BA273" s="142"/>
      <c r="BB273" s="142"/>
      <c r="BC273" s="77">
        <f t="shared" si="148"/>
        <v>0</v>
      </c>
      <c r="BD273" s="78"/>
      <c r="BE273" s="142"/>
      <c r="BF273" s="142"/>
      <c r="BG273" s="79">
        <f t="shared" si="149"/>
        <v>0</v>
      </c>
      <c r="BH273" s="75"/>
      <c r="BI273" s="76"/>
      <c r="BJ273" s="135"/>
      <c r="BK273" s="135"/>
      <c r="BL273" s="77">
        <f t="shared" si="150"/>
        <v>0</v>
      </c>
      <c r="BM273" s="78"/>
      <c r="BN273" s="142"/>
      <c r="BO273" s="142"/>
      <c r="BP273" s="77">
        <f t="shared" si="151"/>
        <v>0</v>
      </c>
      <c r="BQ273" s="78"/>
      <c r="BR273" s="142"/>
      <c r="BS273" s="142"/>
      <c r="BT273" s="79">
        <f t="shared" si="152"/>
        <v>0</v>
      </c>
      <c r="BU273" s="75"/>
      <c r="BV273" s="76"/>
      <c r="BW273" s="135"/>
      <c r="BX273" s="135"/>
      <c r="BY273" s="77">
        <f t="shared" si="153"/>
        <v>0</v>
      </c>
      <c r="BZ273" s="78"/>
      <c r="CA273" s="142"/>
      <c r="CB273" s="142"/>
      <c r="CC273" s="77">
        <f t="shared" si="154"/>
        <v>0</v>
      </c>
      <c r="CD273" s="78"/>
      <c r="CE273" s="142"/>
      <c r="CF273" s="142"/>
      <c r="CG273" s="79">
        <f t="shared" si="155"/>
        <v>0</v>
      </c>
      <c r="CH273" s="75"/>
      <c r="CI273" s="76"/>
      <c r="CJ273" s="86"/>
      <c r="CK273" s="86"/>
      <c r="CL273" s="77">
        <f t="shared" si="156"/>
        <v>0</v>
      </c>
      <c r="CM273" s="78"/>
      <c r="CN273" s="85"/>
      <c r="CO273" s="85"/>
      <c r="CP273" s="77">
        <f t="shared" si="157"/>
        <v>0</v>
      </c>
      <c r="CQ273" s="78"/>
      <c r="CR273" s="85"/>
      <c r="CS273" s="85"/>
      <c r="CT273" s="79">
        <f t="shared" si="158"/>
        <v>0</v>
      </c>
      <c r="CU273" s="80">
        <f t="shared" si="136"/>
        <v>0</v>
      </c>
      <c r="CV273" s="81">
        <f t="shared" si="137"/>
        <v>0</v>
      </c>
      <c r="CW273" s="144"/>
      <c r="CX273" s="145">
        <f>IF(ISERROR(VLOOKUP($A273,FIJOS!$B$11:$O$590,14,FALSE)),0,VLOOKUP($A273,FIJOS!$B$11:$O$590,14,FALSE))</f>
        <v>0</v>
      </c>
      <c r="CY273" s="145">
        <f>IF(ISERROR(VLOOKUP(A273,FIJOS!$B$10:$P$590,15,FALSE)),0,VLOOKUP(A273,FIJOS!$B$10:$P$590,15,FALSE))</f>
        <v>0</v>
      </c>
      <c r="CZ273" s="155"/>
      <c r="DA273" s="147"/>
      <c r="DB273" s="147"/>
      <c r="DC273" s="147"/>
      <c r="DD273" s="147"/>
      <c r="DE273" s="147"/>
      <c r="DF273" s="145">
        <f>IF(ISERROR(VLOOKUP($A273,FIJOS!$B$11:$N$590,13,FALSE)),0,VLOOKUP($A273,FIJOS!$B$11:$N$590,13,FALSE))</f>
        <v>0</v>
      </c>
      <c r="DG273" s="145">
        <f>IF(ISERROR(VLOOKUP($A273,FIJOS!$B$11:$P$447,12,FALSE)),0,VLOOKUP($A273,FIJOS!$B$11:$P$447,12,FALSE))</f>
        <v>0</v>
      </c>
      <c r="DH273" s="82">
        <f t="shared" si="159"/>
        <v>0</v>
      </c>
      <c r="DI273" s="83" t="b">
        <f>IF($C273=1,(VLOOKUP($A273,FIJOS!$B$11:$P$545,10,FALSE)/7)*(7-$CU273),IF(AND($C273=2,CV273&lt;$DJ$1),(VLOOKUP($D273,HORAS!$B$4:$C$42,2,FALSE)*24)*$CV273,IF(AND($C273=2,CV273&gt;=$DJ$1),VLOOKUP($D273,HORAS!$B$4:$D$42,3,FALSE),IF(AND($C273=3,$CV273&gt;=$DJ$1),VLOOKUP($A273,FIJOS!$B$11:$P$545,10,FALSE),IF(AND($C273=3,$CV273&lt;$DJ$1),((VLOOKUP($A273,FIJOS!$B$11:$P$545,10,FALSE)/48)*24)*$CV273,IF(AND($C273=4,$CV273&gt;=(42/24)),VLOOKUP($D273,HORAS!$B$4:$D$42,3,FALSE),IF(AND($C273=5,$CV273&gt;=(36/24)),VLOOKUP($D273,HORAS!$B$4:$D$42,3,FALSE))))))))</f>
        <v>0</v>
      </c>
      <c r="DJ273" s="145">
        <f>IF(OR($C273=2),VLOOKUP($D273,HORAS!$B$4:$E$42,4,FALSE)*$EC273,IF(ISERROR(VLOOKUP($A273,FIJOS!$B$11:$P$108,9,FALSE)),0,VLOOKUP($A273,FIJOS!$B$11:$P$231,9,FALSE)*$EC273))</f>
        <v>0</v>
      </c>
      <c r="DK273" s="145">
        <f>IF(OR($C273=2),VLOOKUP($D273,HORAS!$B$4:$F$42,5,FALSE)*$EE273,IF(ISERROR(VLOOKUP($A273,FIJOS!$B$11:$P$108,9,FALSE)),0,VLOOKUP($A273,FIJOS!$B$11:$P$231,9,FALSE)*$EE273))</f>
        <v>0</v>
      </c>
      <c r="DL273" s="144"/>
      <c r="DM273" s="145">
        <f>IF(ISERROR(VLOOKUP($A273,FIJOS!$B$11:$L$646,11,FALSE)),0,VLOOKUP($A273,FIJOS!$B$11:$L$646,11,FALSE))</f>
        <v>0</v>
      </c>
      <c r="DN273" s="148" t="e">
        <f>IF(OR($C273=1,$C273=3),0,IF((VLOOKUP(CAPTURA!D273,HORAS!$B$4:$K$42,10,FALSE)/4)*COUNTIF($H273:$CT273,3)&gt;100,100,(VLOOKUP(CAPTURA!D273,HORAS!$B$4:$K$42,10,FALSE)/4)*COUNTIF($H273:$CT273,3)))</f>
        <v>#N/A</v>
      </c>
      <c r="DO273" s="144" t="e">
        <f>IF(OR($C273=1,$C273=3),0,IF($C273=5,VLOOKUP(D273,HORAS!$B$4:$G$42,6,FALSE),IF(AND($C273=4,$CV273&gt;=(42/24)),VLOOKUP(D273,HORAS!$B$4:$G$42,6,FALSE),IF(COUNTIF($H273:$CL273,"F")&gt;0,0,IF(CV273&gt;$DJ$1,$DJ$1*(VLOOKUP(D273,HORAS!$B$4:$G$42,6,FALSE)/$DJ$1),CV273*(VLOOKUP(D273,HORAS!$B$4:$G$42,6,FALSE)/$DJ$1))))))</f>
        <v>#N/A</v>
      </c>
      <c r="DP273" s="156"/>
      <c r="DQ273" s="148"/>
      <c r="DR273" s="148"/>
      <c r="DS273" s="83" t="e">
        <f t="shared" si="162"/>
        <v>#N/A</v>
      </c>
      <c r="DT273" s="84"/>
      <c r="DU273" s="149" t="e">
        <f t="shared" si="163"/>
        <v>#N/A</v>
      </c>
      <c r="DV273" s="149" t="e">
        <f t="shared" si="164"/>
        <v>#N/A</v>
      </c>
      <c r="DW273" s="144" t="e">
        <f t="shared" si="165"/>
        <v>#N/A</v>
      </c>
      <c r="DX273"/>
      <c r="DY273" s="29"/>
      <c r="DZ273" s="150"/>
      <c r="EA273" s="134"/>
      <c r="EB273" s="137">
        <f t="shared" si="166"/>
        <v>0</v>
      </c>
      <c r="EC273" s="138">
        <f t="shared" si="160"/>
        <v>0</v>
      </c>
      <c r="ED273" s="137">
        <f t="shared" si="167"/>
        <v>0</v>
      </c>
      <c r="EE273" s="132">
        <f t="shared" si="161"/>
        <v>0</v>
      </c>
      <c r="EF273" s="29"/>
      <c r="EG273" s="134"/>
      <c r="EH273" s="134"/>
      <c r="EI273" s="134"/>
      <c r="EK273" s="29"/>
    </row>
    <row r="274" spans="1:141" ht="15" customHeight="1" x14ac:dyDescent="0.25">
      <c r="A274" s="87"/>
      <c r="B274" s="5"/>
      <c r="C274" s="72"/>
      <c r="D274" s="73"/>
      <c r="E274" s="73"/>
      <c r="F274" s="141"/>
      <c r="G274" s="74"/>
      <c r="H274" s="75"/>
      <c r="I274" s="76"/>
      <c r="J274" s="135"/>
      <c r="K274" s="135"/>
      <c r="L274" s="77">
        <f t="shared" si="138"/>
        <v>0</v>
      </c>
      <c r="M274" s="78"/>
      <c r="N274" s="142"/>
      <c r="O274" s="142"/>
      <c r="P274" s="77">
        <f t="shared" si="139"/>
        <v>0</v>
      </c>
      <c r="Q274" s="78"/>
      <c r="R274" s="143"/>
      <c r="S274" s="143"/>
      <c r="T274" s="77">
        <f t="shared" si="140"/>
        <v>0</v>
      </c>
      <c r="U274" s="75"/>
      <c r="V274" s="76"/>
      <c r="W274" s="135"/>
      <c r="X274" s="135"/>
      <c r="Y274" s="77">
        <f t="shared" si="141"/>
        <v>0</v>
      </c>
      <c r="Z274" s="78"/>
      <c r="AA274" s="142"/>
      <c r="AB274" s="142"/>
      <c r="AC274" s="77">
        <f t="shared" si="142"/>
        <v>0</v>
      </c>
      <c r="AD274" s="78"/>
      <c r="AE274" s="143"/>
      <c r="AF274" s="143"/>
      <c r="AG274" s="79">
        <f t="shared" si="143"/>
        <v>0</v>
      </c>
      <c r="AH274" s="75"/>
      <c r="AI274" s="76"/>
      <c r="AJ274" s="135"/>
      <c r="AK274" s="135"/>
      <c r="AL274" s="77">
        <f t="shared" si="144"/>
        <v>0</v>
      </c>
      <c r="AM274" s="76"/>
      <c r="AN274" s="142"/>
      <c r="AO274" s="142"/>
      <c r="AP274" s="77">
        <f t="shared" si="145"/>
        <v>0</v>
      </c>
      <c r="AQ274" s="78"/>
      <c r="AR274" s="142"/>
      <c r="AS274" s="142"/>
      <c r="AT274" s="79">
        <f t="shared" si="146"/>
        <v>0</v>
      </c>
      <c r="AU274" s="75"/>
      <c r="AV274" s="76"/>
      <c r="AW274" s="135"/>
      <c r="AX274" s="135"/>
      <c r="AY274" s="77">
        <f t="shared" si="147"/>
        <v>0</v>
      </c>
      <c r="AZ274" s="76"/>
      <c r="BA274" s="142"/>
      <c r="BB274" s="142"/>
      <c r="BC274" s="77">
        <f t="shared" si="148"/>
        <v>0</v>
      </c>
      <c r="BD274" s="78"/>
      <c r="BE274" s="142"/>
      <c r="BF274" s="142"/>
      <c r="BG274" s="79">
        <f t="shared" si="149"/>
        <v>0</v>
      </c>
      <c r="BH274" s="75"/>
      <c r="BI274" s="76"/>
      <c r="BJ274" s="135"/>
      <c r="BK274" s="135"/>
      <c r="BL274" s="77">
        <f t="shared" si="150"/>
        <v>0</v>
      </c>
      <c r="BM274" s="78"/>
      <c r="BN274" s="142"/>
      <c r="BO274" s="142"/>
      <c r="BP274" s="77">
        <f t="shared" si="151"/>
        <v>0</v>
      </c>
      <c r="BQ274" s="78"/>
      <c r="BR274" s="142"/>
      <c r="BS274" s="142"/>
      <c r="BT274" s="79">
        <f t="shared" si="152"/>
        <v>0</v>
      </c>
      <c r="BU274" s="75"/>
      <c r="BV274" s="76"/>
      <c r="BW274" s="135"/>
      <c r="BX274" s="135"/>
      <c r="BY274" s="77">
        <f t="shared" si="153"/>
        <v>0</v>
      </c>
      <c r="BZ274" s="78"/>
      <c r="CA274" s="142"/>
      <c r="CB274" s="142"/>
      <c r="CC274" s="77">
        <f t="shared" si="154"/>
        <v>0</v>
      </c>
      <c r="CD274" s="78"/>
      <c r="CE274" s="142"/>
      <c r="CF274" s="142"/>
      <c r="CG274" s="79">
        <f t="shared" si="155"/>
        <v>0</v>
      </c>
      <c r="CH274" s="75"/>
      <c r="CI274" s="76"/>
      <c r="CJ274" s="86"/>
      <c r="CK274" s="86"/>
      <c r="CL274" s="77">
        <f t="shared" si="156"/>
        <v>0</v>
      </c>
      <c r="CM274" s="78"/>
      <c r="CN274" s="85"/>
      <c r="CO274" s="85"/>
      <c r="CP274" s="77">
        <f t="shared" si="157"/>
        <v>0</v>
      </c>
      <c r="CQ274" s="78"/>
      <c r="CR274" s="85"/>
      <c r="CS274" s="85"/>
      <c r="CT274" s="79">
        <f t="shared" si="158"/>
        <v>0</v>
      </c>
      <c r="CU274" s="80">
        <f t="shared" si="136"/>
        <v>0</v>
      </c>
      <c r="CV274" s="81">
        <f t="shared" si="137"/>
        <v>0</v>
      </c>
      <c r="CW274" s="144"/>
      <c r="CX274" s="145">
        <f>IF(ISERROR(VLOOKUP($A274,FIJOS!$B$11:$O$590,14,FALSE)),0,VLOOKUP($A274,FIJOS!$B$11:$O$590,14,FALSE))</f>
        <v>0</v>
      </c>
      <c r="CY274" s="145">
        <f>IF(ISERROR(VLOOKUP(A274,FIJOS!$B$10:$P$590,15,FALSE)),0,VLOOKUP(A274,FIJOS!$B$10:$P$590,15,FALSE))</f>
        <v>0</v>
      </c>
      <c r="CZ274" s="155"/>
      <c r="DA274" s="147"/>
      <c r="DB274" s="147"/>
      <c r="DC274" s="147"/>
      <c r="DD274" s="147"/>
      <c r="DE274" s="147"/>
      <c r="DF274" s="145">
        <f>IF(ISERROR(VLOOKUP($A274,FIJOS!$B$11:$N$590,13,FALSE)),0,VLOOKUP($A274,FIJOS!$B$11:$N$590,13,FALSE))</f>
        <v>0</v>
      </c>
      <c r="DG274" s="145">
        <f>IF(ISERROR(VLOOKUP($A274,FIJOS!$B$11:$P$447,12,FALSE)),0,VLOOKUP($A274,FIJOS!$B$11:$P$447,12,FALSE))</f>
        <v>0</v>
      </c>
      <c r="DH274" s="82">
        <f t="shared" si="159"/>
        <v>0</v>
      </c>
      <c r="DI274" s="83" t="b">
        <f>IF($C274=1,(VLOOKUP($A274,FIJOS!$B$11:$P$545,10,FALSE)/7)*(7-$CU274),IF(AND($C274=2,CV274&lt;$DJ$1),(VLOOKUP($D274,HORAS!$B$4:$C$42,2,FALSE)*24)*$CV274,IF(AND($C274=2,CV274&gt;=$DJ$1),VLOOKUP($D274,HORAS!$B$4:$D$42,3,FALSE),IF(AND($C274=3,$CV274&gt;=$DJ$1),VLOOKUP($A274,FIJOS!$B$11:$P$545,10,FALSE),IF(AND($C274=3,$CV274&lt;$DJ$1),((VLOOKUP($A274,FIJOS!$B$11:$P$545,10,FALSE)/48)*24)*$CV274,IF(AND($C274=4,$CV274&gt;=(42/24)),VLOOKUP($D274,HORAS!$B$4:$D$42,3,FALSE),IF(AND($C274=5,$CV274&gt;=(36/24)),VLOOKUP($D274,HORAS!$B$4:$D$42,3,FALSE))))))))</f>
        <v>0</v>
      </c>
      <c r="DJ274" s="145">
        <f>IF(OR($C274=2),VLOOKUP($D274,HORAS!$B$4:$E$42,4,FALSE)*$EC274,IF(ISERROR(VLOOKUP($A274,FIJOS!$B$11:$P$108,9,FALSE)),0,VLOOKUP($A274,FIJOS!$B$11:$P$231,9,FALSE)*$EC274))</f>
        <v>0</v>
      </c>
      <c r="DK274" s="145">
        <f>IF(OR($C274=2),VLOOKUP($D274,HORAS!$B$4:$F$42,5,FALSE)*$EE274,IF(ISERROR(VLOOKUP($A274,FIJOS!$B$11:$P$108,9,FALSE)),0,VLOOKUP($A274,FIJOS!$B$11:$P$231,9,FALSE)*$EE274))</f>
        <v>0</v>
      </c>
      <c r="DL274" s="144"/>
      <c r="DM274" s="145">
        <f>IF(ISERROR(VLOOKUP($A274,FIJOS!$B$11:$L$646,11,FALSE)),0,VLOOKUP($A274,FIJOS!$B$11:$L$646,11,FALSE))</f>
        <v>0</v>
      </c>
      <c r="DN274" s="148" t="e">
        <f>IF(OR($C274=1,$C274=3),0,IF((VLOOKUP(CAPTURA!D274,HORAS!$B$4:$K$42,10,FALSE)/4)*COUNTIF($H274:$CT274,3)&gt;100,100,(VLOOKUP(CAPTURA!D274,HORAS!$B$4:$K$42,10,FALSE)/4)*COUNTIF($H274:$CT274,3)))</f>
        <v>#N/A</v>
      </c>
      <c r="DO274" s="144" t="e">
        <f>IF(OR($C274=1,$C274=3),0,IF($C274=5,VLOOKUP(D274,HORAS!$B$4:$G$42,6,FALSE),IF(AND($C274=4,$CV274&gt;=(42/24)),VLOOKUP(D274,HORAS!$B$4:$G$42,6,FALSE),IF(COUNTIF($H274:$CL274,"F")&gt;0,0,IF(CV274&gt;$DJ$1,$DJ$1*(VLOOKUP(D274,HORAS!$B$4:$G$42,6,FALSE)/$DJ$1),CV274*(VLOOKUP(D274,HORAS!$B$4:$G$42,6,FALSE)/$DJ$1))))))</f>
        <v>#N/A</v>
      </c>
      <c r="DP274" s="156"/>
      <c r="DQ274" s="148"/>
      <c r="DR274" s="148"/>
      <c r="DS274" s="83" t="e">
        <f t="shared" si="162"/>
        <v>#N/A</v>
      </c>
      <c r="DT274" s="84"/>
      <c r="DU274" s="149" t="e">
        <f t="shared" si="163"/>
        <v>#N/A</v>
      </c>
      <c r="DV274" s="149" t="e">
        <f t="shared" si="164"/>
        <v>#N/A</v>
      </c>
      <c r="DW274" s="144" t="e">
        <f t="shared" si="165"/>
        <v>#N/A</v>
      </c>
      <c r="DX274"/>
      <c r="DY274" s="29"/>
      <c r="DZ274" s="150"/>
      <c r="EA274" s="134"/>
      <c r="EB274" s="137">
        <f t="shared" si="166"/>
        <v>0</v>
      </c>
      <c r="EC274" s="138">
        <f t="shared" si="160"/>
        <v>0</v>
      </c>
      <c r="ED274" s="137">
        <f t="shared" si="167"/>
        <v>0</v>
      </c>
      <c r="EE274" s="132">
        <f t="shared" si="161"/>
        <v>0</v>
      </c>
      <c r="EF274" s="29"/>
      <c r="EG274" s="134"/>
      <c r="EH274" s="134"/>
      <c r="EI274" s="134"/>
      <c r="EK274" s="29"/>
    </row>
    <row r="275" spans="1:141" ht="15" customHeight="1" x14ac:dyDescent="0.25">
      <c r="A275" s="87"/>
      <c r="B275" s="5"/>
      <c r="C275" s="72"/>
      <c r="D275" s="73"/>
      <c r="E275" s="73"/>
      <c r="F275" s="141"/>
      <c r="G275" s="74"/>
      <c r="H275" s="75"/>
      <c r="I275" s="76"/>
      <c r="J275" s="135"/>
      <c r="K275" s="135"/>
      <c r="L275" s="77">
        <f t="shared" si="138"/>
        <v>0</v>
      </c>
      <c r="M275" s="78"/>
      <c r="N275" s="142"/>
      <c r="O275" s="142"/>
      <c r="P275" s="77">
        <f t="shared" si="139"/>
        <v>0</v>
      </c>
      <c r="Q275" s="78"/>
      <c r="R275" s="143"/>
      <c r="S275" s="143"/>
      <c r="T275" s="77">
        <f t="shared" si="140"/>
        <v>0</v>
      </c>
      <c r="U275" s="75"/>
      <c r="V275" s="76"/>
      <c r="W275" s="135"/>
      <c r="X275" s="135"/>
      <c r="Y275" s="77">
        <f t="shared" si="141"/>
        <v>0</v>
      </c>
      <c r="Z275" s="78"/>
      <c r="AA275" s="142"/>
      <c r="AB275" s="142"/>
      <c r="AC275" s="77">
        <f t="shared" si="142"/>
        <v>0</v>
      </c>
      <c r="AD275" s="78"/>
      <c r="AE275" s="143"/>
      <c r="AF275" s="143"/>
      <c r="AG275" s="79">
        <f t="shared" si="143"/>
        <v>0</v>
      </c>
      <c r="AH275" s="75"/>
      <c r="AI275" s="76"/>
      <c r="AJ275" s="135"/>
      <c r="AK275" s="135"/>
      <c r="AL275" s="77">
        <f t="shared" si="144"/>
        <v>0</v>
      </c>
      <c r="AM275" s="76"/>
      <c r="AN275" s="142"/>
      <c r="AO275" s="142"/>
      <c r="AP275" s="77">
        <f t="shared" si="145"/>
        <v>0</v>
      </c>
      <c r="AQ275" s="78"/>
      <c r="AR275" s="142"/>
      <c r="AS275" s="142"/>
      <c r="AT275" s="79">
        <f t="shared" si="146"/>
        <v>0</v>
      </c>
      <c r="AU275" s="75"/>
      <c r="AV275" s="76"/>
      <c r="AW275" s="135"/>
      <c r="AX275" s="135"/>
      <c r="AY275" s="77">
        <f t="shared" si="147"/>
        <v>0</v>
      </c>
      <c r="AZ275" s="76"/>
      <c r="BA275" s="142"/>
      <c r="BB275" s="142"/>
      <c r="BC275" s="77">
        <f t="shared" si="148"/>
        <v>0</v>
      </c>
      <c r="BD275" s="78"/>
      <c r="BE275" s="142"/>
      <c r="BF275" s="142"/>
      <c r="BG275" s="79">
        <f t="shared" si="149"/>
        <v>0</v>
      </c>
      <c r="BH275" s="75"/>
      <c r="BI275" s="76"/>
      <c r="BJ275" s="135"/>
      <c r="BK275" s="135"/>
      <c r="BL275" s="77">
        <f t="shared" si="150"/>
        <v>0</v>
      </c>
      <c r="BM275" s="78"/>
      <c r="BN275" s="142"/>
      <c r="BO275" s="142"/>
      <c r="BP275" s="77">
        <f t="shared" si="151"/>
        <v>0</v>
      </c>
      <c r="BQ275" s="78"/>
      <c r="BR275" s="142"/>
      <c r="BS275" s="142"/>
      <c r="BT275" s="79">
        <f t="shared" si="152"/>
        <v>0</v>
      </c>
      <c r="BU275" s="75"/>
      <c r="BV275" s="76"/>
      <c r="BW275" s="135"/>
      <c r="BX275" s="135"/>
      <c r="BY275" s="77">
        <f t="shared" si="153"/>
        <v>0</v>
      </c>
      <c r="BZ275" s="78"/>
      <c r="CA275" s="142"/>
      <c r="CB275" s="142"/>
      <c r="CC275" s="77">
        <f t="shared" si="154"/>
        <v>0</v>
      </c>
      <c r="CD275" s="78"/>
      <c r="CE275" s="142"/>
      <c r="CF275" s="142"/>
      <c r="CG275" s="79">
        <f t="shared" si="155"/>
        <v>0</v>
      </c>
      <c r="CH275" s="75"/>
      <c r="CI275" s="76"/>
      <c r="CJ275" s="86"/>
      <c r="CK275" s="86"/>
      <c r="CL275" s="77">
        <f t="shared" si="156"/>
        <v>0</v>
      </c>
      <c r="CM275" s="78"/>
      <c r="CN275" s="85"/>
      <c r="CO275" s="85"/>
      <c r="CP275" s="77">
        <f t="shared" si="157"/>
        <v>0</v>
      </c>
      <c r="CQ275" s="78"/>
      <c r="CR275" s="85"/>
      <c r="CS275" s="85"/>
      <c r="CT275" s="79">
        <f t="shared" si="158"/>
        <v>0</v>
      </c>
      <c r="CU275" s="80">
        <f t="shared" si="136"/>
        <v>0</v>
      </c>
      <c r="CV275" s="81">
        <f t="shared" si="137"/>
        <v>0</v>
      </c>
      <c r="CW275" s="144"/>
      <c r="CX275" s="145">
        <f>IF(ISERROR(VLOOKUP($A275,FIJOS!$B$11:$O$590,14,FALSE)),0,VLOOKUP($A275,FIJOS!$B$11:$O$590,14,FALSE))</f>
        <v>0</v>
      </c>
      <c r="CY275" s="145">
        <f>IF(ISERROR(VLOOKUP(A275,FIJOS!$B$10:$P$590,15,FALSE)),0,VLOOKUP(A275,FIJOS!$B$10:$P$590,15,FALSE))</f>
        <v>0</v>
      </c>
      <c r="CZ275" s="155"/>
      <c r="DA275" s="147"/>
      <c r="DB275" s="147"/>
      <c r="DC275" s="147"/>
      <c r="DD275" s="147"/>
      <c r="DE275" s="147"/>
      <c r="DF275" s="145">
        <f>IF(ISERROR(VLOOKUP($A275,FIJOS!$B$11:$N$590,13,FALSE)),0,VLOOKUP($A275,FIJOS!$B$11:$N$590,13,FALSE))</f>
        <v>0</v>
      </c>
      <c r="DG275" s="145">
        <f>IF(ISERROR(VLOOKUP($A275,FIJOS!$B$11:$P$447,12,FALSE)),0,VLOOKUP($A275,FIJOS!$B$11:$P$447,12,FALSE))</f>
        <v>0</v>
      </c>
      <c r="DH275" s="82">
        <f t="shared" si="159"/>
        <v>0</v>
      </c>
      <c r="DI275" s="83" t="b">
        <f>IF($C275=1,(VLOOKUP($A275,FIJOS!$B$11:$P$545,10,FALSE)/7)*(7-$CU275),IF(AND($C275=2,CV275&lt;$DJ$1),(VLOOKUP($D275,HORAS!$B$4:$C$42,2,FALSE)*24)*$CV275,IF(AND($C275=2,CV275&gt;=$DJ$1),VLOOKUP($D275,HORAS!$B$4:$D$42,3,FALSE),IF(AND($C275=3,$CV275&gt;=$DJ$1),VLOOKUP($A275,FIJOS!$B$11:$P$545,10,FALSE),IF(AND($C275=3,$CV275&lt;$DJ$1),((VLOOKUP($A275,FIJOS!$B$11:$P$545,10,FALSE)/48)*24)*$CV275,IF(AND($C275=4,$CV275&gt;=(42/24)),VLOOKUP($D275,HORAS!$B$4:$D$42,3,FALSE),IF(AND($C275=5,$CV275&gt;=(36/24)),VLOOKUP($D275,HORAS!$B$4:$D$42,3,FALSE))))))))</f>
        <v>0</v>
      </c>
      <c r="DJ275" s="145">
        <f>IF(OR($C275=2),VLOOKUP($D275,HORAS!$B$4:$E$42,4,FALSE)*$EC275,IF(ISERROR(VLOOKUP($A275,FIJOS!$B$11:$P$108,9,FALSE)),0,VLOOKUP($A275,FIJOS!$B$11:$P$231,9,FALSE)*$EC275))</f>
        <v>0</v>
      </c>
      <c r="DK275" s="145">
        <f>IF(OR($C275=2),VLOOKUP($D275,HORAS!$B$4:$F$42,5,FALSE)*$EE275,IF(ISERROR(VLOOKUP($A275,FIJOS!$B$11:$P$108,9,FALSE)),0,VLOOKUP($A275,FIJOS!$B$11:$P$231,9,FALSE)*$EE275))</f>
        <v>0</v>
      </c>
      <c r="DL275" s="144"/>
      <c r="DM275" s="145">
        <f>IF(ISERROR(VLOOKUP($A275,FIJOS!$B$11:$L$646,11,FALSE)),0,VLOOKUP($A275,FIJOS!$B$11:$L$646,11,FALSE))</f>
        <v>0</v>
      </c>
      <c r="DN275" s="148" t="e">
        <f>IF(OR($C275=1,$C275=3),0,IF((VLOOKUP(CAPTURA!D275,HORAS!$B$4:$K$42,10,FALSE)/4)*COUNTIF($H275:$CT275,3)&gt;100,100,(VLOOKUP(CAPTURA!D275,HORAS!$B$4:$K$42,10,FALSE)/4)*COUNTIF($H275:$CT275,3)))</f>
        <v>#N/A</v>
      </c>
      <c r="DO275" s="144" t="e">
        <f>IF(OR($C275=1,$C275=3),0,IF($C275=5,VLOOKUP(D275,HORAS!$B$4:$G$42,6,FALSE),IF(AND($C275=4,$CV275&gt;=(42/24)),VLOOKUP(D275,HORAS!$B$4:$G$42,6,FALSE),IF(COUNTIF($H275:$CL275,"F")&gt;0,0,IF(CV275&gt;$DJ$1,$DJ$1*(VLOOKUP(D275,HORAS!$B$4:$G$42,6,FALSE)/$DJ$1),CV275*(VLOOKUP(D275,HORAS!$B$4:$G$42,6,FALSE)/$DJ$1))))))</f>
        <v>#N/A</v>
      </c>
      <c r="DP275" s="156"/>
      <c r="DQ275" s="148"/>
      <c r="DR275" s="148"/>
      <c r="DS275" s="83" t="e">
        <f t="shared" si="162"/>
        <v>#N/A</v>
      </c>
      <c r="DT275" s="84"/>
      <c r="DU275" s="149" t="e">
        <f t="shared" si="163"/>
        <v>#N/A</v>
      </c>
      <c r="DV275" s="149" t="e">
        <f t="shared" si="164"/>
        <v>#N/A</v>
      </c>
      <c r="DW275" s="144" t="e">
        <f t="shared" si="165"/>
        <v>#N/A</v>
      </c>
      <c r="DX275"/>
      <c r="DY275" s="29"/>
      <c r="DZ275" s="150"/>
      <c r="EA275" s="134"/>
      <c r="EB275" s="137">
        <f t="shared" si="166"/>
        <v>0</v>
      </c>
      <c r="EC275" s="138">
        <f t="shared" si="160"/>
        <v>0</v>
      </c>
      <c r="ED275" s="137">
        <f t="shared" si="167"/>
        <v>0</v>
      </c>
      <c r="EE275" s="132">
        <f t="shared" si="161"/>
        <v>0</v>
      </c>
      <c r="EF275" s="29"/>
      <c r="EG275" s="134"/>
      <c r="EH275" s="134"/>
      <c r="EI275" s="134"/>
      <c r="EK275" s="29"/>
    </row>
    <row r="276" spans="1:141" ht="15" customHeight="1" x14ac:dyDescent="0.25">
      <c r="A276" s="87"/>
      <c r="B276" s="5"/>
      <c r="C276" s="72"/>
      <c r="D276" s="73"/>
      <c r="E276" s="73"/>
      <c r="F276" s="141"/>
      <c r="G276" s="74"/>
      <c r="H276" s="75"/>
      <c r="I276" s="76"/>
      <c r="J276" s="135"/>
      <c r="K276" s="135"/>
      <c r="L276" s="77">
        <f t="shared" si="138"/>
        <v>0</v>
      </c>
      <c r="M276" s="78"/>
      <c r="N276" s="142"/>
      <c r="O276" s="142"/>
      <c r="P276" s="77">
        <f t="shared" si="139"/>
        <v>0</v>
      </c>
      <c r="Q276" s="78"/>
      <c r="R276" s="143"/>
      <c r="S276" s="143"/>
      <c r="T276" s="77">
        <f t="shared" si="140"/>
        <v>0</v>
      </c>
      <c r="U276" s="75"/>
      <c r="V276" s="76"/>
      <c r="W276" s="135"/>
      <c r="X276" s="135"/>
      <c r="Y276" s="77">
        <f t="shared" si="141"/>
        <v>0</v>
      </c>
      <c r="Z276" s="78"/>
      <c r="AA276" s="142"/>
      <c r="AB276" s="142"/>
      <c r="AC276" s="77">
        <f t="shared" si="142"/>
        <v>0</v>
      </c>
      <c r="AD276" s="78"/>
      <c r="AE276" s="143"/>
      <c r="AF276" s="143"/>
      <c r="AG276" s="79">
        <f t="shared" si="143"/>
        <v>0</v>
      </c>
      <c r="AH276" s="75"/>
      <c r="AI276" s="76"/>
      <c r="AJ276" s="135"/>
      <c r="AK276" s="135"/>
      <c r="AL276" s="77">
        <f t="shared" si="144"/>
        <v>0</v>
      </c>
      <c r="AM276" s="76"/>
      <c r="AN276" s="142"/>
      <c r="AO276" s="142"/>
      <c r="AP276" s="77">
        <f t="shared" si="145"/>
        <v>0</v>
      </c>
      <c r="AQ276" s="78"/>
      <c r="AR276" s="142"/>
      <c r="AS276" s="142"/>
      <c r="AT276" s="79">
        <f t="shared" si="146"/>
        <v>0</v>
      </c>
      <c r="AU276" s="75"/>
      <c r="AV276" s="76"/>
      <c r="AW276" s="135"/>
      <c r="AX276" s="135"/>
      <c r="AY276" s="77">
        <f t="shared" si="147"/>
        <v>0</v>
      </c>
      <c r="AZ276" s="76"/>
      <c r="BA276" s="142"/>
      <c r="BB276" s="142"/>
      <c r="BC276" s="77">
        <f t="shared" si="148"/>
        <v>0</v>
      </c>
      <c r="BD276" s="78"/>
      <c r="BE276" s="142"/>
      <c r="BF276" s="142"/>
      <c r="BG276" s="79">
        <f t="shared" si="149"/>
        <v>0</v>
      </c>
      <c r="BH276" s="75"/>
      <c r="BI276" s="76"/>
      <c r="BJ276" s="135"/>
      <c r="BK276" s="135"/>
      <c r="BL276" s="77">
        <f t="shared" si="150"/>
        <v>0</v>
      </c>
      <c r="BM276" s="78"/>
      <c r="BN276" s="142"/>
      <c r="BO276" s="142"/>
      <c r="BP276" s="77">
        <f t="shared" si="151"/>
        <v>0</v>
      </c>
      <c r="BQ276" s="78"/>
      <c r="BR276" s="142"/>
      <c r="BS276" s="142"/>
      <c r="BT276" s="79">
        <f t="shared" si="152"/>
        <v>0</v>
      </c>
      <c r="BU276" s="75"/>
      <c r="BV276" s="76"/>
      <c r="BW276" s="135"/>
      <c r="BX276" s="135"/>
      <c r="BY276" s="77">
        <f t="shared" si="153"/>
        <v>0</v>
      </c>
      <c r="BZ276" s="78"/>
      <c r="CA276" s="142"/>
      <c r="CB276" s="142"/>
      <c r="CC276" s="77">
        <f t="shared" si="154"/>
        <v>0</v>
      </c>
      <c r="CD276" s="78"/>
      <c r="CE276" s="142"/>
      <c r="CF276" s="142"/>
      <c r="CG276" s="79">
        <f t="shared" si="155"/>
        <v>0</v>
      </c>
      <c r="CH276" s="75"/>
      <c r="CI276" s="76"/>
      <c r="CJ276" s="86"/>
      <c r="CK276" s="86"/>
      <c r="CL276" s="77">
        <f t="shared" si="156"/>
        <v>0</v>
      </c>
      <c r="CM276" s="78"/>
      <c r="CN276" s="85"/>
      <c r="CO276" s="85"/>
      <c r="CP276" s="77">
        <f t="shared" si="157"/>
        <v>0</v>
      </c>
      <c r="CQ276" s="78"/>
      <c r="CR276" s="85"/>
      <c r="CS276" s="85"/>
      <c r="CT276" s="79">
        <f t="shared" si="158"/>
        <v>0</v>
      </c>
      <c r="CU276" s="80">
        <f t="shared" si="136"/>
        <v>0</v>
      </c>
      <c r="CV276" s="81">
        <f t="shared" si="137"/>
        <v>0</v>
      </c>
      <c r="CW276" s="144"/>
      <c r="CX276" s="145">
        <f>IF(ISERROR(VLOOKUP($A276,FIJOS!$B$11:$O$590,14,FALSE)),0,VLOOKUP($A276,FIJOS!$B$11:$O$590,14,FALSE))</f>
        <v>0</v>
      </c>
      <c r="CY276" s="145">
        <f>IF(ISERROR(VLOOKUP(A276,FIJOS!$B$10:$P$590,15,FALSE)),0,VLOOKUP(A276,FIJOS!$B$10:$P$590,15,FALSE))</f>
        <v>0</v>
      </c>
      <c r="CZ276" s="155"/>
      <c r="DA276" s="147"/>
      <c r="DB276" s="147"/>
      <c r="DC276" s="147"/>
      <c r="DD276" s="147"/>
      <c r="DE276" s="147"/>
      <c r="DF276" s="145">
        <f>IF(ISERROR(VLOOKUP($A276,FIJOS!$B$11:$N$590,13,FALSE)),0,VLOOKUP($A276,FIJOS!$B$11:$N$590,13,FALSE))</f>
        <v>0</v>
      </c>
      <c r="DG276" s="145">
        <f>IF(ISERROR(VLOOKUP($A276,FIJOS!$B$11:$P$447,12,FALSE)),0,VLOOKUP($A276,FIJOS!$B$11:$P$447,12,FALSE))</f>
        <v>0</v>
      </c>
      <c r="DH276" s="82">
        <f t="shared" si="159"/>
        <v>0</v>
      </c>
      <c r="DI276" s="83" t="b">
        <f>IF($C276=1,(VLOOKUP($A276,FIJOS!$B$11:$P$545,10,FALSE)/7)*(7-$CU276),IF(AND($C276=2,CV276&lt;$DJ$1),(VLOOKUP($D276,HORAS!$B$4:$C$42,2,FALSE)*24)*$CV276,IF(AND($C276=2,CV276&gt;=$DJ$1),VLOOKUP($D276,HORAS!$B$4:$D$42,3,FALSE),IF(AND($C276=3,$CV276&gt;=$DJ$1),VLOOKUP($A276,FIJOS!$B$11:$P$545,10,FALSE),IF(AND($C276=3,$CV276&lt;$DJ$1),((VLOOKUP($A276,FIJOS!$B$11:$P$545,10,FALSE)/48)*24)*$CV276,IF(AND($C276=4,$CV276&gt;=(42/24)),VLOOKUP($D276,HORAS!$B$4:$D$42,3,FALSE),IF(AND($C276=5,$CV276&gt;=(36/24)),VLOOKUP($D276,HORAS!$B$4:$D$42,3,FALSE))))))))</f>
        <v>0</v>
      </c>
      <c r="DJ276" s="145">
        <f>IF(OR($C276=2),VLOOKUP($D276,HORAS!$B$4:$E$42,4,FALSE)*$EC276,IF(ISERROR(VLOOKUP($A276,FIJOS!$B$11:$P$108,9,FALSE)),0,VLOOKUP($A276,FIJOS!$B$11:$P$231,9,FALSE)*$EC276))</f>
        <v>0</v>
      </c>
      <c r="DK276" s="145">
        <f>IF(OR($C276=2),VLOOKUP($D276,HORAS!$B$4:$F$42,5,FALSE)*$EE276,IF(ISERROR(VLOOKUP($A276,FIJOS!$B$11:$P$108,9,FALSE)),0,VLOOKUP($A276,FIJOS!$B$11:$P$231,9,FALSE)*$EE276))</f>
        <v>0</v>
      </c>
      <c r="DL276" s="144"/>
      <c r="DM276" s="145">
        <f>IF(ISERROR(VLOOKUP($A276,FIJOS!$B$11:$L$646,11,FALSE)),0,VLOOKUP($A276,FIJOS!$B$11:$L$646,11,FALSE))</f>
        <v>0</v>
      </c>
      <c r="DN276" s="148" t="e">
        <f>IF(OR($C276=1,$C276=3),0,IF((VLOOKUP(CAPTURA!D276,HORAS!$B$4:$K$42,10,FALSE)/4)*COUNTIF($H276:$CT276,3)&gt;100,100,(VLOOKUP(CAPTURA!D276,HORAS!$B$4:$K$42,10,FALSE)/4)*COUNTIF($H276:$CT276,3)))</f>
        <v>#N/A</v>
      </c>
      <c r="DO276" s="144" t="e">
        <f>IF(OR($C276=1,$C276=3),0,IF($C276=5,VLOOKUP(D276,HORAS!$B$4:$G$42,6,FALSE),IF(AND($C276=4,$CV276&gt;=(42/24)),VLOOKUP(D276,HORAS!$B$4:$G$42,6,FALSE),IF(COUNTIF($H276:$CL276,"F")&gt;0,0,IF(CV276&gt;$DJ$1,$DJ$1*(VLOOKUP(D276,HORAS!$B$4:$G$42,6,FALSE)/$DJ$1),CV276*(VLOOKUP(D276,HORAS!$B$4:$G$42,6,FALSE)/$DJ$1))))))</f>
        <v>#N/A</v>
      </c>
      <c r="DP276" s="177"/>
      <c r="DQ276" s="148"/>
      <c r="DR276" s="148"/>
      <c r="DS276" s="83" t="e">
        <f t="shared" si="162"/>
        <v>#N/A</v>
      </c>
      <c r="DT276" s="84"/>
      <c r="DU276" s="149" t="e">
        <f t="shared" si="163"/>
        <v>#N/A</v>
      </c>
      <c r="DV276" s="149" t="e">
        <f t="shared" si="164"/>
        <v>#N/A</v>
      </c>
      <c r="DW276" s="144" t="e">
        <f t="shared" si="165"/>
        <v>#N/A</v>
      </c>
      <c r="DX276"/>
      <c r="DY276" s="29"/>
      <c r="DZ276" s="150"/>
      <c r="EA276" s="134"/>
      <c r="EB276" s="137">
        <f t="shared" si="166"/>
        <v>0</v>
      </c>
      <c r="EC276" s="138">
        <f t="shared" si="160"/>
        <v>0</v>
      </c>
      <c r="ED276" s="137">
        <f t="shared" si="167"/>
        <v>0</v>
      </c>
      <c r="EE276" s="132">
        <f t="shared" si="161"/>
        <v>0</v>
      </c>
      <c r="EF276" s="29"/>
      <c r="EG276" s="134"/>
      <c r="EH276" s="134"/>
      <c r="EI276" s="134"/>
      <c r="EK276" s="29"/>
    </row>
    <row r="277" spans="1:141" ht="15" customHeight="1" x14ac:dyDescent="0.25">
      <c r="A277" s="87"/>
      <c r="B277" s="5"/>
      <c r="C277" s="72"/>
      <c r="D277" s="73"/>
      <c r="E277" s="73"/>
      <c r="F277" s="141"/>
      <c r="G277" s="74"/>
      <c r="H277" s="75"/>
      <c r="I277" s="76"/>
      <c r="J277" s="135"/>
      <c r="K277" s="135"/>
      <c r="L277" s="77">
        <f t="shared" si="138"/>
        <v>0</v>
      </c>
      <c r="M277" s="78"/>
      <c r="N277" s="142"/>
      <c r="O277" s="142"/>
      <c r="P277" s="77">
        <f t="shared" si="139"/>
        <v>0</v>
      </c>
      <c r="Q277" s="78"/>
      <c r="R277" s="143"/>
      <c r="S277" s="143"/>
      <c r="T277" s="77">
        <f t="shared" si="140"/>
        <v>0</v>
      </c>
      <c r="U277" s="75"/>
      <c r="V277" s="76"/>
      <c r="W277" s="135"/>
      <c r="X277" s="135"/>
      <c r="Y277" s="77">
        <f t="shared" si="141"/>
        <v>0</v>
      </c>
      <c r="Z277" s="78"/>
      <c r="AA277" s="142"/>
      <c r="AB277" s="142"/>
      <c r="AC277" s="77">
        <f t="shared" si="142"/>
        <v>0</v>
      </c>
      <c r="AD277" s="78"/>
      <c r="AE277" s="143"/>
      <c r="AF277" s="143"/>
      <c r="AG277" s="79">
        <f t="shared" si="143"/>
        <v>0</v>
      </c>
      <c r="AH277" s="75"/>
      <c r="AI277" s="76"/>
      <c r="AJ277" s="135"/>
      <c r="AK277" s="135"/>
      <c r="AL277" s="77">
        <f t="shared" si="144"/>
        <v>0</v>
      </c>
      <c r="AM277" s="76"/>
      <c r="AN277" s="142"/>
      <c r="AO277" s="142"/>
      <c r="AP277" s="77">
        <f t="shared" si="145"/>
        <v>0</v>
      </c>
      <c r="AQ277" s="78"/>
      <c r="AR277" s="142"/>
      <c r="AS277" s="142"/>
      <c r="AT277" s="79">
        <f t="shared" si="146"/>
        <v>0</v>
      </c>
      <c r="AU277" s="75"/>
      <c r="AV277" s="76"/>
      <c r="AW277" s="135"/>
      <c r="AX277" s="135"/>
      <c r="AY277" s="77">
        <f t="shared" si="147"/>
        <v>0</v>
      </c>
      <c r="AZ277" s="76"/>
      <c r="BA277" s="142"/>
      <c r="BB277" s="142"/>
      <c r="BC277" s="77">
        <f t="shared" si="148"/>
        <v>0</v>
      </c>
      <c r="BD277" s="78"/>
      <c r="BE277" s="142"/>
      <c r="BF277" s="142"/>
      <c r="BG277" s="79">
        <f t="shared" si="149"/>
        <v>0</v>
      </c>
      <c r="BH277" s="75"/>
      <c r="BI277" s="76"/>
      <c r="BJ277" s="135"/>
      <c r="BK277" s="135"/>
      <c r="BL277" s="77">
        <f t="shared" si="150"/>
        <v>0</v>
      </c>
      <c r="BM277" s="78"/>
      <c r="BN277" s="142"/>
      <c r="BO277" s="142"/>
      <c r="BP277" s="77">
        <f t="shared" si="151"/>
        <v>0</v>
      </c>
      <c r="BQ277" s="78"/>
      <c r="BR277" s="142"/>
      <c r="BS277" s="142"/>
      <c r="BT277" s="79">
        <f t="shared" si="152"/>
        <v>0</v>
      </c>
      <c r="BU277" s="75"/>
      <c r="BV277" s="76"/>
      <c r="BW277" s="135"/>
      <c r="BX277" s="135"/>
      <c r="BY277" s="77">
        <f t="shared" si="153"/>
        <v>0</v>
      </c>
      <c r="BZ277" s="78"/>
      <c r="CA277" s="142"/>
      <c r="CB277" s="142"/>
      <c r="CC277" s="77">
        <f t="shared" si="154"/>
        <v>0</v>
      </c>
      <c r="CD277" s="78"/>
      <c r="CE277" s="142"/>
      <c r="CF277" s="142"/>
      <c r="CG277" s="79">
        <f t="shared" si="155"/>
        <v>0</v>
      </c>
      <c r="CH277" s="75"/>
      <c r="CI277" s="76"/>
      <c r="CJ277" s="135"/>
      <c r="CK277" s="135"/>
      <c r="CL277" s="77">
        <f t="shared" si="156"/>
        <v>0</v>
      </c>
      <c r="CM277" s="78"/>
      <c r="CN277" s="85"/>
      <c r="CO277" s="85"/>
      <c r="CP277" s="77">
        <f t="shared" si="157"/>
        <v>0</v>
      </c>
      <c r="CQ277" s="78"/>
      <c r="CR277" s="85"/>
      <c r="CS277" s="85"/>
      <c r="CT277" s="79">
        <f t="shared" si="158"/>
        <v>0</v>
      </c>
      <c r="CU277" s="80">
        <f t="shared" si="136"/>
        <v>0</v>
      </c>
      <c r="CV277" s="81">
        <f t="shared" si="137"/>
        <v>0</v>
      </c>
      <c r="CW277" s="144"/>
      <c r="CX277" s="145">
        <f>IF(ISERROR(VLOOKUP($A277,FIJOS!$B$11:$O$590,14,FALSE)),0,VLOOKUP($A277,FIJOS!$B$11:$O$590,14,FALSE))</f>
        <v>0</v>
      </c>
      <c r="CY277" s="145">
        <f>IF(ISERROR(VLOOKUP(A277,FIJOS!$B$10:$P$590,15,FALSE)),0,VLOOKUP(A277,FIJOS!$B$10:$P$590,15,FALSE))</f>
        <v>0</v>
      </c>
      <c r="CZ277" s="155"/>
      <c r="DA277" s="147"/>
      <c r="DB277" s="147"/>
      <c r="DC277" s="147"/>
      <c r="DD277" s="147"/>
      <c r="DE277" s="147"/>
      <c r="DF277" s="145">
        <f>IF(ISERROR(VLOOKUP($A277,FIJOS!$B$11:$N$590,13,FALSE)),0,VLOOKUP($A277,FIJOS!$B$11:$N$590,13,FALSE))</f>
        <v>0</v>
      </c>
      <c r="DG277" s="145">
        <f>IF(ISERROR(VLOOKUP($A277,FIJOS!$B$11:$P$447,12,FALSE)),0,VLOOKUP($A277,FIJOS!$B$11:$P$447,12,FALSE))</f>
        <v>0</v>
      </c>
      <c r="DH277" s="82">
        <f t="shared" si="159"/>
        <v>0</v>
      </c>
      <c r="DI277" s="83" t="b">
        <f>IF($C277=1,(VLOOKUP($A277,FIJOS!$B$11:$P$545,10,FALSE)/7)*(7-$CU277),IF(AND($C277=2,CV277&lt;$DJ$1),(VLOOKUP($D277,HORAS!$B$4:$C$42,2,FALSE)*24)*$CV277,IF(AND($C277=2,CV277&gt;=$DJ$1),VLOOKUP($D277,HORAS!$B$4:$D$42,3,FALSE),IF(AND($C277=3,$CV277&gt;=$DJ$1),VLOOKUP($A277,FIJOS!$B$11:$P$545,10,FALSE),IF(AND($C277=3,$CV277&lt;$DJ$1),((VLOOKUP($A277,FIJOS!$B$11:$P$545,10,FALSE)/48)*24)*$CV277,IF(AND($C277=4,$CV277&gt;=(42/24)),VLOOKUP($D277,HORAS!$B$4:$D$42,3,FALSE),IF(AND($C277=5,$CV277&gt;=(36/24)),VLOOKUP($D277,HORAS!$B$4:$D$42,3,FALSE))))))))</f>
        <v>0</v>
      </c>
      <c r="DJ277" s="145">
        <f>IF(OR($C277=2),VLOOKUP($D277,HORAS!$B$4:$E$42,4,FALSE)*$EC277,IF(ISERROR(VLOOKUP($A277,FIJOS!$B$11:$P$108,9,FALSE)),0,VLOOKUP($A277,FIJOS!$B$11:$P$231,9,FALSE)*$EC277))</f>
        <v>0</v>
      </c>
      <c r="DK277" s="145">
        <f>IF(OR($C277=2),VLOOKUP($D277,HORAS!$B$4:$F$42,5,FALSE)*$EE277,IF(ISERROR(VLOOKUP($A277,FIJOS!$B$11:$P$108,9,FALSE)),0,VLOOKUP($A277,FIJOS!$B$11:$P$231,9,FALSE)*$EE277))</f>
        <v>0</v>
      </c>
      <c r="DL277" s="144"/>
      <c r="DM277" s="145">
        <f>IF(ISERROR(VLOOKUP($A277,FIJOS!$B$11:$L$646,11,FALSE)),0,VLOOKUP($A277,FIJOS!$B$11:$L$646,11,FALSE))</f>
        <v>0</v>
      </c>
      <c r="DN277" s="148" t="e">
        <f>IF(OR($C277=1,$C277=3),0,IF((VLOOKUP(CAPTURA!D277,HORAS!$B$4:$K$42,10,FALSE)/4)*COUNTIF($H277:$CT277,3)&gt;100,100,(VLOOKUP(CAPTURA!D277,HORAS!$B$4:$K$42,10,FALSE)/4)*COUNTIF($H277:$CT277,3)))</f>
        <v>#N/A</v>
      </c>
      <c r="DO277" s="144" t="e">
        <f>IF(OR($C277=1,$C277=3),0,IF($C277=5,VLOOKUP(D277,HORAS!$B$4:$G$42,6,FALSE),IF(AND($C277=4,$CV277&gt;=(42/24)),VLOOKUP(D277,HORAS!$B$4:$G$42,6,FALSE),IF(COUNTIF($H277:$CL277,"F")&gt;0,0,IF(CV277&gt;$DJ$1,$DJ$1*(VLOOKUP(D277,HORAS!$B$4:$G$42,6,FALSE)/$DJ$1),CV277*(VLOOKUP(D277,HORAS!$B$4:$G$42,6,FALSE)/$DJ$1))))))</f>
        <v>#N/A</v>
      </c>
      <c r="DP277" s="156"/>
      <c r="DQ277" s="148"/>
      <c r="DR277" s="148"/>
      <c r="DS277" s="83" t="e">
        <f t="shared" si="162"/>
        <v>#N/A</v>
      </c>
      <c r="DT277" s="84"/>
      <c r="DU277" s="149" t="e">
        <f t="shared" si="163"/>
        <v>#N/A</v>
      </c>
      <c r="DV277" s="149" t="e">
        <f t="shared" si="164"/>
        <v>#N/A</v>
      </c>
      <c r="DW277" s="144" t="e">
        <f t="shared" si="165"/>
        <v>#N/A</v>
      </c>
      <c r="DX277"/>
      <c r="DY277" s="29"/>
      <c r="DZ277" s="150"/>
      <c r="EA277" s="134"/>
      <c r="EB277" s="137">
        <f t="shared" si="166"/>
        <v>0</v>
      </c>
      <c r="EC277" s="138">
        <f t="shared" si="160"/>
        <v>0</v>
      </c>
      <c r="ED277" s="137">
        <f t="shared" si="167"/>
        <v>0</v>
      </c>
      <c r="EE277" s="132">
        <f t="shared" si="161"/>
        <v>0</v>
      </c>
      <c r="EF277" s="29"/>
      <c r="EG277" s="134"/>
      <c r="EH277" s="134"/>
      <c r="EI277" s="134"/>
      <c r="EK277" s="29"/>
    </row>
    <row r="278" spans="1:141" ht="15" customHeight="1" x14ac:dyDescent="0.25">
      <c r="A278" s="133"/>
      <c r="B278" s="141"/>
      <c r="C278" s="72"/>
      <c r="D278" s="141"/>
      <c r="E278" s="73"/>
      <c r="F278" s="141"/>
      <c r="G278" s="74"/>
      <c r="H278" s="75"/>
      <c r="I278" s="76"/>
      <c r="J278" s="135"/>
      <c r="K278" s="135"/>
      <c r="L278" s="77">
        <f t="shared" si="138"/>
        <v>0</v>
      </c>
      <c r="M278" s="78"/>
      <c r="N278" s="142"/>
      <c r="O278" s="142"/>
      <c r="P278" s="77">
        <f t="shared" si="139"/>
        <v>0</v>
      </c>
      <c r="Q278" s="78"/>
      <c r="R278" s="143"/>
      <c r="S278" s="143"/>
      <c r="T278" s="77">
        <f t="shared" si="140"/>
        <v>0</v>
      </c>
      <c r="U278" s="75"/>
      <c r="V278" s="76"/>
      <c r="W278" s="135"/>
      <c r="X278" s="135"/>
      <c r="Y278" s="77">
        <f t="shared" si="141"/>
        <v>0</v>
      </c>
      <c r="Z278" s="78"/>
      <c r="AA278" s="142"/>
      <c r="AB278" s="142"/>
      <c r="AC278" s="77">
        <f t="shared" si="142"/>
        <v>0</v>
      </c>
      <c r="AD278" s="78"/>
      <c r="AE278" s="143"/>
      <c r="AF278" s="143"/>
      <c r="AG278" s="79">
        <f t="shared" si="143"/>
        <v>0</v>
      </c>
      <c r="AH278" s="75"/>
      <c r="AI278" s="76"/>
      <c r="AJ278" s="135"/>
      <c r="AK278" s="135"/>
      <c r="AL278" s="77">
        <f t="shared" si="144"/>
        <v>0</v>
      </c>
      <c r="AM278" s="76"/>
      <c r="AN278" s="142"/>
      <c r="AO278" s="142"/>
      <c r="AP278" s="77">
        <f t="shared" si="145"/>
        <v>0</v>
      </c>
      <c r="AQ278" s="78"/>
      <c r="AR278" s="142"/>
      <c r="AS278" s="142"/>
      <c r="AT278" s="79">
        <f t="shared" si="146"/>
        <v>0</v>
      </c>
      <c r="AU278" s="75"/>
      <c r="AV278" s="76"/>
      <c r="AW278" s="135"/>
      <c r="AX278" s="135"/>
      <c r="AY278" s="77">
        <f t="shared" si="147"/>
        <v>0</v>
      </c>
      <c r="AZ278" s="76"/>
      <c r="BA278" s="142"/>
      <c r="BB278" s="142"/>
      <c r="BC278" s="77">
        <f t="shared" si="148"/>
        <v>0</v>
      </c>
      <c r="BD278" s="78"/>
      <c r="BE278" s="142"/>
      <c r="BF278" s="142"/>
      <c r="BG278" s="79">
        <f t="shared" si="149"/>
        <v>0</v>
      </c>
      <c r="BH278" s="75"/>
      <c r="BI278" s="76"/>
      <c r="BJ278" s="135"/>
      <c r="BK278" s="135"/>
      <c r="BL278" s="77">
        <f t="shared" si="150"/>
        <v>0</v>
      </c>
      <c r="BM278" s="78"/>
      <c r="BN278" s="142"/>
      <c r="BO278" s="142"/>
      <c r="BP278" s="77">
        <f t="shared" si="151"/>
        <v>0</v>
      </c>
      <c r="BQ278" s="78"/>
      <c r="BR278" s="142"/>
      <c r="BS278" s="142"/>
      <c r="BT278" s="79">
        <f t="shared" si="152"/>
        <v>0</v>
      </c>
      <c r="BU278" s="75"/>
      <c r="BV278" s="76"/>
      <c r="BW278" s="135"/>
      <c r="BX278" s="135"/>
      <c r="BY278" s="77">
        <f t="shared" si="153"/>
        <v>0</v>
      </c>
      <c r="BZ278" s="78"/>
      <c r="CA278" s="142"/>
      <c r="CB278" s="142"/>
      <c r="CC278" s="77">
        <f t="shared" si="154"/>
        <v>0</v>
      </c>
      <c r="CD278" s="78"/>
      <c r="CE278" s="142"/>
      <c r="CF278" s="142"/>
      <c r="CG278" s="79">
        <f t="shared" si="155"/>
        <v>0</v>
      </c>
      <c r="CH278" s="75"/>
      <c r="CI278" s="76"/>
      <c r="CJ278" s="86"/>
      <c r="CK278" s="86"/>
      <c r="CL278" s="77">
        <f t="shared" si="156"/>
        <v>0</v>
      </c>
      <c r="CM278" s="78"/>
      <c r="CN278" s="85"/>
      <c r="CO278" s="85"/>
      <c r="CP278" s="77">
        <f t="shared" si="157"/>
        <v>0</v>
      </c>
      <c r="CQ278" s="78"/>
      <c r="CR278" s="85"/>
      <c r="CS278" s="85"/>
      <c r="CT278" s="79">
        <f t="shared" si="158"/>
        <v>0</v>
      </c>
      <c r="CU278" s="80">
        <f t="shared" si="136"/>
        <v>0</v>
      </c>
      <c r="CV278" s="81">
        <f t="shared" si="137"/>
        <v>0</v>
      </c>
      <c r="CW278" s="144"/>
      <c r="CX278" s="145">
        <f>IF(ISERROR(VLOOKUP($A278,FIJOS!$B$11:$O$590,14,FALSE)),0,VLOOKUP($A278,FIJOS!$B$11:$O$590,14,FALSE))</f>
        <v>0</v>
      </c>
      <c r="CY278" s="145">
        <f>IF(ISERROR(VLOOKUP(A278,FIJOS!$B$10:$P$590,15,FALSE)),0,VLOOKUP(A278,FIJOS!$B$10:$P$590,15,FALSE))</f>
        <v>0</v>
      </c>
      <c r="CZ278" s="155"/>
      <c r="DA278" s="147"/>
      <c r="DB278" s="147"/>
      <c r="DC278" s="147"/>
      <c r="DD278" s="147"/>
      <c r="DE278" s="147"/>
      <c r="DF278" s="145">
        <f>IF(ISERROR(VLOOKUP($A278,FIJOS!$B$11:$N$590,13,FALSE)),0,VLOOKUP($A278,FIJOS!$B$11:$N$590,13,FALSE))</f>
        <v>0</v>
      </c>
      <c r="DG278" s="145">
        <f>IF(ISERROR(VLOOKUP($A278,FIJOS!$B$11:$P$447,12,FALSE)),0,VLOOKUP($A278,FIJOS!$B$11:$P$447,12,FALSE))</f>
        <v>0</v>
      </c>
      <c r="DH278" s="82">
        <f t="shared" si="159"/>
        <v>0</v>
      </c>
      <c r="DI278" s="83" t="b">
        <f>IF($C278=1,(VLOOKUP($A278,FIJOS!$B$11:$P$545,10,FALSE)/7)*(7-$CU278),IF(AND($C278=2,CV278&lt;$DJ$1),(VLOOKUP($D278,HORAS!$B$4:$C$42,2,FALSE)*24)*$CV278,IF(AND($C278=2,CV278&gt;=$DJ$1),VLOOKUP($D278,HORAS!$B$4:$D$42,3,FALSE),IF(AND($C278=3,$CV278&gt;=$DJ$1),VLOOKUP($A278,FIJOS!$B$11:$P$545,10,FALSE),IF(AND($C278=3,$CV278&lt;$DJ$1),((VLOOKUP($A278,FIJOS!$B$11:$P$545,10,FALSE)/48)*24)*$CV278,IF(AND($C278=4,$CV278&gt;=(42/24)),VLOOKUP($D278,HORAS!$B$4:$D$42,3,FALSE),IF(AND($C278=5,$CV278&gt;=(36/24)),VLOOKUP($D278,HORAS!$B$4:$D$42,3,FALSE))))))))</f>
        <v>0</v>
      </c>
      <c r="DJ278" s="145">
        <f>IF(OR($C278=2),VLOOKUP($D278,HORAS!$B$4:$E$42,4,FALSE)*$EC278,IF(ISERROR(VLOOKUP($A278,FIJOS!$B$11:$P$108,9,FALSE)),0,VLOOKUP($A278,FIJOS!$B$11:$P$231,9,FALSE)*$EC278))</f>
        <v>0</v>
      </c>
      <c r="DK278" s="145">
        <f>IF(OR($C278=2),VLOOKUP($D278,HORAS!$B$4:$F$42,5,FALSE)*$EE278,IF(ISERROR(VLOOKUP($A278,FIJOS!$B$11:$P$108,9,FALSE)),0,VLOOKUP($A278,FIJOS!$B$11:$P$231,9,FALSE)*$EE278))</f>
        <v>0</v>
      </c>
      <c r="DL278" s="144"/>
      <c r="DM278" s="145">
        <f>IF(ISERROR(VLOOKUP($A278,FIJOS!$B$11:$L$646,11,FALSE)),0,VLOOKUP($A278,FIJOS!$B$11:$L$646,11,FALSE))</f>
        <v>0</v>
      </c>
      <c r="DN278" s="148" t="e">
        <f>IF(OR($C278=1,$C278=3),0,IF((VLOOKUP(CAPTURA!D278,HORAS!$B$4:$K$42,10,FALSE)/4)*COUNTIF($H278:$CT278,3)&gt;100,100,(VLOOKUP(CAPTURA!D278,HORAS!$B$4:$K$42,10,FALSE)/4)*COUNTIF($H278:$CT278,3)))</f>
        <v>#N/A</v>
      </c>
      <c r="DO278" s="144" t="e">
        <f>IF(OR($C278=1,$C278=3),0,IF($C278=5,VLOOKUP(D278,HORAS!$B$4:$G$42,6,FALSE),IF(AND($C278=4,$CV278&gt;=(42/24)),VLOOKUP(D278,HORAS!$B$4:$G$42,6,FALSE),IF(COUNTIF($H278:$CL278,"F")&gt;0,0,IF(CV278&gt;$DJ$1,$DJ$1*(VLOOKUP(D278,HORAS!$B$4:$G$42,6,FALSE)/$DJ$1),CV278*(VLOOKUP(D278,HORAS!$B$4:$G$42,6,FALSE)/$DJ$1))))))</f>
        <v>#N/A</v>
      </c>
      <c r="DP278" s="156"/>
      <c r="DQ278" s="148"/>
      <c r="DR278" s="148"/>
      <c r="DS278" s="83" t="e">
        <f t="shared" si="162"/>
        <v>#N/A</v>
      </c>
      <c r="DT278" s="84"/>
      <c r="DU278" s="149" t="e">
        <f t="shared" si="163"/>
        <v>#N/A</v>
      </c>
      <c r="DV278" s="149" t="e">
        <f t="shared" si="164"/>
        <v>#N/A</v>
      </c>
      <c r="DW278" s="144" t="e">
        <f t="shared" si="165"/>
        <v>#N/A</v>
      </c>
      <c r="DX278"/>
      <c r="DY278" s="29"/>
      <c r="DZ278" s="150"/>
      <c r="EA278" s="134"/>
      <c r="EB278" s="137">
        <f t="shared" si="166"/>
        <v>0</v>
      </c>
      <c r="EC278" s="138">
        <f t="shared" si="160"/>
        <v>0</v>
      </c>
      <c r="ED278" s="137">
        <f t="shared" si="167"/>
        <v>0</v>
      </c>
      <c r="EE278" s="132">
        <f t="shared" si="161"/>
        <v>0</v>
      </c>
      <c r="EF278" s="29"/>
      <c r="EG278" s="134"/>
      <c r="EH278" s="134"/>
      <c r="EI278" s="134"/>
      <c r="EK278" s="29"/>
    </row>
    <row r="279" spans="1:141" ht="15" customHeight="1" x14ac:dyDescent="0.25">
      <c r="A279" s="133"/>
      <c r="B279" s="141"/>
      <c r="C279" s="72"/>
      <c r="D279" s="141"/>
      <c r="E279" s="73"/>
      <c r="F279" s="141"/>
      <c r="G279" s="74"/>
      <c r="H279" s="75"/>
      <c r="I279" s="76"/>
      <c r="J279" s="135"/>
      <c r="K279" s="135"/>
      <c r="L279" s="77">
        <f t="shared" si="138"/>
        <v>0</v>
      </c>
      <c r="M279" s="78"/>
      <c r="N279" s="142"/>
      <c r="O279" s="142"/>
      <c r="P279" s="77">
        <f t="shared" si="139"/>
        <v>0</v>
      </c>
      <c r="Q279" s="78"/>
      <c r="R279" s="143"/>
      <c r="S279" s="143"/>
      <c r="T279" s="77">
        <f t="shared" si="140"/>
        <v>0</v>
      </c>
      <c r="U279" s="75"/>
      <c r="V279" s="76"/>
      <c r="W279" s="135"/>
      <c r="X279" s="135"/>
      <c r="Y279" s="77">
        <f t="shared" si="141"/>
        <v>0</v>
      </c>
      <c r="Z279" s="78"/>
      <c r="AA279" s="142"/>
      <c r="AB279" s="142"/>
      <c r="AC279" s="77">
        <f t="shared" si="142"/>
        <v>0</v>
      </c>
      <c r="AD279" s="78"/>
      <c r="AE279" s="143"/>
      <c r="AF279" s="143"/>
      <c r="AG279" s="79">
        <f t="shared" si="143"/>
        <v>0</v>
      </c>
      <c r="AH279" s="75"/>
      <c r="AI279" s="76"/>
      <c r="AJ279" s="135"/>
      <c r="AK279" s="135"/>
      <c r="AL279" s="77">
        <f t="shared" si="144"/>
        <v>0</v>
      </c>
      <c r="AM279" s="76"/>
      <c r="AN279" s="142"/>
      <c r="AO279" s="142"/>
      <c r="AP279" s="77">
        <f t="shared" si="145"/>
        <v>0</v>
      </c>
      <c r="AQ279" s="78"/>
      <c r="AR279" s="142"/>
      <c r="AS279" s="142"/>
      <c r="AT279" s="79">
        <f t="shared" si="146"/>
        <v>0</v>
      </c>
      <c r="AU279" s="75"/>
      <c r="AV279" s="76"/>
      <c r="AW279" s="135"/>
      <c r="AX279" s="135"/>
      <c r="AY279" s="77">
        <f t="shared" si="147"/>
        <v>0</v>
      </c>
      <c r="AZ279" s="76"/>
      <c r="BA279" s="142"/>
      <c r="BB279" s="142"/>
      <c r="BC279" s="77">
        <f t="shared" si="148"/>
        <v>0</v>
      </c>
      <c r="BD279" s="78"/>
      <c r="BE279" s="142"/>
      <c r="BF279" s="142"/>
      <c r="BG279" s="79">
        <f t="shared" si="149"/>
        <v>0</v>
      </c>
      <c r="BH279" s="75"/>
      <c r="BI279" s="76"/>
      <c r="BJ279" s="135"/>
      <c r="BK279" s="135"/>
      <c r="BL279" s="77">
        <f t="shared" si="150"/>
        <v>0</v>
      </c>
      <c r="BM279" s="78"/>
      <c r="BN279" s="142"/>
      <c r="BO279" s="142"/>
      <c r="BP279" s="77">
        <f t="shared" si="151"/>
        <v>0</v>
      </c>
      <c r="BQ279" s="78"/>
      <c r="BR279" s="142"/>
      <c r="BS279" s="142"/>
      <c r="BT279" s="79">
        <f t="shared" si="152"/>
        <v>0</v>
      </c>
      <c r="BU279" s="75"/>
      <c r="BV279" s="76"/>
      <c r="BW279" s="135"/>
      <c r="BX279" s="135"/>
      <c r="BY279" s="77">
        <f t="shared" si="153"/>
        <v>0</v>
      </c>
      <c r="BZ279" s="78"/>
      <c r="CA279" s="142"/>
      <c r="CB279" s="142"/>
      <c r="CC279" s="77">
        <f t="shared" si="154"/>
        <v>0</v>
      </c>
      <c r="CD279" s="78"/>
      <c r="CE279" s="142"/>
      <c r="CF279" s="142"/>
      <c r="CG279" s="79">
        <f t="shared" si="155"/>
        <v>0</v>
      </c>
      <c r="CH279" s="75"/>
      <c r="CI279" s="76"/>
      <c r="CJ279" s="86"/>
      <c r="CK279" s="86"/>
      <c r="CL279" s="77">
        <f t="shared" si="156"/>
        <v>0</v>
      </c>
      <c r="CM279" s="78"/>
      <c r="CN279" s="85"/>
      <c r="CO279" s="85"/>
      <c r="CP279" s="77">
        <f t="shared" si="157"/>
        <v>0</v>
      </c>
      <c r="CQ279" s="78"/>
      <c r="CR279" s="85"/>
      <c r="CS279" s="85"/>
      <c r="CT279" s="79">
        <f t="shared" si="158"/>
        <v>0</v>
      </c>
      <c r="CU279" s="80">
        <f t="shared" si="136"/>
        <v>0</v>
      </c>
      <c r="CV279" s="81">
        <f t="shared" si="137"/>
        <v>0</v>
      </c>
      <c r="CW279" s="144"/>
      <c r="CX279" s="145">
        <f>IF(ISERROR(VLOOKUP($A279,FIJOS!$B$11:$O$590,14,FALSE)),0,VLOOKUP($A279,FIJOS!$B$11:$O$590,14,FALSE))</f>
        <v>0</v>
      </c>
      <c r="CY279" s="145">
        <f>IF(ISERROR(VLOOKUP(A279,FIJOS!$B$10:$P$590,15,FALSE)),0,VLOOKUP(A279,FIJOS!$B$10:$P$590,15,FALSE))</f>
        <v>0</v>
      </c>
      <c r="CZ279" s="155"/>
      <c r="DA279" s="147"/>
      <c r="DB279" s="147"/>
      <c r="DC279" s="147"/>
      <c r="DD279" s="147"/>
      <c r="DE279" s="147"/>
      <c r="DF279" s="145">
        <f>IF(ISERROR(VLOOKUP($A279,FIJOS!$B$11:$N$590,13,FALSE)),0,VLOOKUP($A279,FIJOS!$B$11:$N$590,13,FALSE))</f>
        <v>0</v>
      </c>
      <c r="DG279" s="145">
        <f>IF(ISERROR(VLOOKUP($A279,FIJOS!$B$11:$P$447,12,FALSE)),0,VLOOKUP($A279,FIJOS!$B$11:$P$447,12,FALSE))</f>
        <v>0</v>
      </c>
      <c r="DH279" s="82">
        <f t="shared" si="159"/>
        <v>0</v>
      </c>
      <c r="DI279" s="83" t="b">
        <f>IF($C279=1,(VLOOKUP($A279,FIJOS!$B$11:$P$545,10,FALSE)/7)*(7-$CU279),IF(AND($C279=2,CV279&lt;$DJ$1),(VLOOKUP($D279,HORAS!$B$4:$C$42,2,FALSE)*24)*$CV279,IF(AND($C279=2,CV279&gt;=$DJ$1),VLOOKUP($D279,HORAS!$B$4:$D$42,3,FALSE),IF(AND($C279=3,$CV279&gt;=$DJ$1),VLOOKUP($A279,FIJOS!$B$11:$P$545,10,FALSE),IF(AND($C279=3,$CV279&lt;$DJ$1),((VLOOKUP($A279,FIJOS!$B$11:$P$545,10,FALSE)/48)*24)*$CV279,IF(AND($C279=4,$CV279&gt;=(42/24)),VLOOKUP($D279,HORAS!$B$4:$D$42,3,FALSE),IF(AND($C279=5,$CV279&gt;=(36/24)),VLOOKUP($D279,HORAS!$B$4:$D$42,3,FALSE))))))))</f>
        <v>0</v>
      </c>
      <c r="DJ279" s="145">
        <f>IF(OR($C279=2),VLOOKUP($D279,HORAS!$B$4:$E$42,4,FALSE)*$EC279,IF(ISERROR(VLOOKUP($A279,FIJOS!$B$11:$P$108,9,FALSE)),0,VLOOKUP($A279,FIJOS!$B$11:$P$231,9,FALSE)*$EC279))</f>
        <v>0</v>
      </c>
      <c r="DK279" s="145">
        <f>IF(OR($C279=2),VLOOKUP($D279,HORAS!$B$4:$F$42,5,FALSE)*$EE279,IF(ISERROR(VLOOKUP($A279,FIJOS!$B$11:$P$108,9,FALSE)),0,VLOOKUP($A279,FIJOS!$B$11:$P$231,9,FALSE)*$EE279))</f>
        <v>0</v>
      </c>
      <c r="DL279" s="144"/>
      <c r="DM279" s="145">
        <f>IF(ISERROR(VLOOKUP($A279,FIJOS!$B$11:$L$646,11,FALSE)),0,VLOOKUP($A279,FIJOS!$B$11:$L$646,11,FALSE))</f>
        <v>0</v>
      </c>
      <c r="DN279" s="148" t="e">
        <f>IF(OR($C279=1,$C279=3),0,IF((VLOOKUP(CAPTURA!D279,HORAS!$B$4:$K$42,10,FALSE)/4)*COUNTIF($H279:$CT279,3)&gt;100,100,(VLOOKUP(CAPTURA!D279,HORAS!$B$4:$K$42,10,FALSE)/4)*COUNTIF($H279:$CT279,3)))</f>
        <v>#N/A</v>
      </c>
      <c r="DO279" s="144" t="e">
        <f>IF(OR($C279=1,$C279=3),0,IF($C279=5,VLOOKUP(D279,HORAS!$B$4:$G$42,6,FALSE),IF(AND($C279=4,$CV279&gt;=(42/24)),VLOOKUP(D279,HORAS!$B$4:$G$42,6,FALSE),IF(COUNTIF($H279:$CL279,"F")&gt;0,0,IF(CV279&gt;$DJ$1,$DJ$1*(VLOOKUP(D279,HORAS!$B$4:$G$42,6,FALSE)/$DJ$1),CV279*(VLOOKUP(D279,HORAS!$B$4:$G$42,6,FALSE)/$DJ$1))))))</f>
        <v>#N/A</v>
      </c>
      <c r="DP279" s="156"/>
      <c r="DQ279" s="148"/>
      <c r="DR279" s="148"/>
      <c r="DS279" s="83" t="e">
        <f t="shared" si="162"/>
        <v>#N/A</v>
      </c>
      <c r="DT279" s="84"/>
      <c r="DU279" s="149" t="e">
        <f t="shared" si="163"/>
        <v>#N/A</v>
      </c>
      <c r="DV279" s="149" t="e">
        <f t="shared" si="164"/>
        <v>#N/A</v>
      </c>
      <c r="DW279" s="144" t="e">
        <f t="shared" si="165"/>
        <v>#N/A</v>
      </c>
      <c r="DX279"/>
      <c r="DY279" s="29"/>
      <c r="DZ279" s="150"/>
      <c r="EA279" s="134"/>
      <c r="EB279" s="137">
        <f t="shared" si="166"/>
        <v>0</v>
      </c>
      <c r="EC279" s="138">
        <f t="shared" si="160"/>
        <v>0</v>
      </c>
      <c r="ED279" s="137">
        <f t="shared" si="167"/>
        <v>0</v>
      </c>
      <c r="EE279" s="132">
        <f t="shared" si="161"/>
        <v>0</v>
      </c>
      <c r="EF279" s="29"/>
      <c r="EG279" s="134"/>
      <c r="EH279" s="134"/>
      <c r="EI279" s="134"/>
      <c r="EK279" s="29"/>
    </row>
    <row r="280" spans="1:141" ht="15" customHeight="1" x14ac:dyDescent="0.25">
      <c r="A280" s="87"/>
      <c r="B280" s="5"/>
      <c r="C280" s="72"/>
      <c r="D280" s="73"/>
      <c r="E280" s="73"/>
      <c r="F280" s="141"/>
      <c r="G280" s="74"/>
      <c r="H280" s="75"/>
      <c r="I280" s="76"/>
      <c r="J280" s="135"/>
      <c r="K280" s="135"/>
      <c r="L280" s="77">
        <f t="shared" si="138"/>
        <v>0</v>
      </c>
      <c r="M280" s="78"/>
      <c r="N280" s="142"/>
      <c r="O280" s="142"/>
      <c r="P280" s="77">
        <f t="shared" si="139"/>
        <v>0</v>
      </c>
      <c r="Q280" s="78"/>
      <c r="R280" s="143"/>
      <c r="S280" s="143"/>
      <c r="T280" s="77">
        <f t="shared" si="140"/>
        <v>0</v>
      </c>
      <c r="U280" s="75"/>
      <c r="V280" s="76"/>
      <c r="W280" s="135"/>
      <c r="X280" s="135"/>
      <c r="Y280" s="77">
        <f t="shared" si="141"/>
        <v>0</v>
      </c>
      <c r="Z280" s="78"/>
      <c r="AA280" s="142"/>
      <c r="AB280" s="142"/>
      <c r="AC280" s="77">
        <f t="shared" si="142"/>
        <v>0</v>
      </c>
      <c r="AD280" s="78"/>
      <c r="AE280" s="143"/>
      <c r="AF280" s="143"/>
      <c r="AG280" s="79">
        <f t="shared" si="143"/>
        <v>0</v>
      </c>
      <c r="AH280" s="75"/>
      <c r="AI280" s="76"/>
      <c r="AJ280" s="135"/>
      <c r="AK280" s="135"/>
      <c r="AL280" s="77">
        <f t="shared" si="144"/>
        <v>0</v>
      </c>
      <c r="AM280" s="76"/>
      <c r="AN280" s="142"/>
      <c r="AO280" s="142"/>
      <c r="AP280" s="77">
        <f t="shared" si="145"/>
        <v>0</v>
      </c>
      <c r="AQ280" s="78"/>
      <c r="AR280" s="142"/>
      <c r="AS280" s="142"/>
      <c r="AT280" s="79">
        <f t="shared" si="146"/>
        <v>0</v>
      </c>
      <c r="AU280" s="75"/>
      <c r="AV280" s="76"/>
      <c r="AW280" s="135"/>
      <c r="AX280" s="135"/>
      <c r="AY280" s="77">
        <f t="shared" si="147"/>
        <v>0</v>
      </c>
      <c r="AZ280" s="76"/>
      <c r="BA280" s="142"/>
      <c r="BB280" s="142"/>
      <c r="BC280" s="77">
        <f t="shared" si="148"/>
        <v>0</v>
      </c>
      <c r="BD280" s="78"/>
      <c r="BE280" s="142"/>
      <c r="BF280" s="142"/>
      <c r="BG280" s="79">
        <f t="shared" si="149"/>
        <v>0</v>
      </c>
      <c r="BH280" s="75"/>
      <c r="BI280" s="76"/>
      <c r="BJ280" s="135"/>
      <c r="BK280" s="135"/>
      <c r="BL280" s="77">
        <f t="shared" si="150"/>
        <v>0</v>
      </c>
      <c r="BM280" s="78"/>
      <c r="BN280" s="142"/>
      <c r="BO280" s="142"/>
      <c r="BP280" s="77">
        <f t="shared" si="151"/>
        <v>0</v>
      </c>
      <c r="BQ280" s="78"/>
      <c r="BR280" s="142"/>
      <c r="BS280" s="142"/>
      <c r="BT280" s="79">
        <f t="shared" si="152"/>
        <v>0</v>
      </c>
      <c r="BU280" s="75"/>
      <c r="BV280" s="76"/>
      <c r="BW280" s="135"/>
      <c r="BX280" s="135"/>
      <c r="BY280" s="77">
        <f t="shared" si="153"/>
        <v>0</v>
      </c>
      <c r="BZ280" s="78"/>
      <c r="CA280" s="142"/>
      <c r="CB280" s="142"/>
      <c r="CC280" s="77">
        <f t="shared" si="154"/>
        <v>0</v>
      </c>
      <c r="CD280" s="78"/>
      <c r="CE280" s="142"/>
      <c r="CF280" s="142"/>
      <c r="CG280" s="79">
        <f t="shared" si="155"/>
        <v>0</v>
      </c>
      <c r="CH280" s="75"/>
      <c r="CI280" s="76"/>
      <c r="CJ280" s="86"/>
      <c r="CK280" s="86"/>
      <c r="CL280" s="77">
        <f t="shared" si="156"/>
        <v>0</v>
      </c>
      <c r="CM280" s="78"/>
      <c r="CN280" s="85"/>
      <c r="CO280" s="85"/>
      <c r="CP280" s="77">
        <f t="shared" si="157"/>
        <v>0</v>
      </c>
      <c r="CQ280" s="78"/>
      <c r="CR280" s="85"/>
      <c r="CS280" s="85"/>
      <c r="CT280" s="79">
        <f t="shared" si="158"/>
        <v>0</v>
      </c>
      <c r="CU280" s="80">
        <f t="shared" si="136"/>
        <v>0</v>
      </c>
      <c r="CV280" s="81">
        <f t="shared" si="137"/>
        <v>0</v>
      </c>
      <c r="CW280" s="144"/>
      <c r="CX280" s="145">
        <f>IF(ISERROR(VLOOKUP($A280,FIJOS!$B$11:$O$590,14,FALSE)),0,VLOOKUP($A280,FIJOS!$B$11:$O$590,14,FALSE))</f>
        <v>0</v>
      </c>
      <c r="CY280" s="145">
        <f>IF(ISERROR(VLOOKUP(A280,FIJOS!$B$10:$P$590,15,FALSE)),0,VLOOKUP(A280,FIJOS!$B$10:$P$590,15,FALSE))</f>
        <v>0</v>
      </c>
      <c r="CZ280" s="155"/>
      <c r="DA280" s="147"/>
      <c r="DB280" s="147"/>
      <c r="DC280" s="147"/>
      <c r="DD280" s="147"/>
      <c r="DE280" s="147"/>
      <c r="DF280" s="145">
        <f>IF(ISERROR(VLOOKUP($A280,FIJOS!$B$11:$N$590,13,FALSE)),0,VLOOKUP($A280,FIJOS!$B$11:$N$590,13,FALSE))</f>
        <v>0</v>
      </c>
      <c r="DG280" s="145">
        <f>IF(ISERROR(VLOOKUP($A280,FIJOS!$B$11:$P$447,12,FALSE)),0,VLOOKUP($A280,FIJOS!$B$11:$P$447,12,FALSE))</f>
        <v>0</v>
      </c>
      <c r="DH280" s="82">
        <f t="shared" si="159"/>
        <v>0</v>
      </c>
      <c r="DI280" s="83" t="b">
        <f>IF($C280=1,(VLOOKUP($A280,FIJOS!$B$11:$P$545,10,FALSE)/7)*(7-$CU280),IF(AND($C280=2,CV280&lt;$DJ$1),(VLOOKUP($D280,HORAS!$B$4:$C$42,2,FALSE)*24)*$CV280,IF(AND($C280=2,CV280&gt;=$DJ$1),VLOOKUP($D280,HORAS!$B$4:$D$42,3,FALSE),IF(AND($C280=3,$CV280&gt;=$DJ$1),VLOOKUP($A280,FIJOS!$B$11:$P$545,10,FALSE),IF(AND($C280=3,$CV280&lt;$DJ$1),((VLOOKUP($A280,FIJOS!$B$11:$P$545,10,FALSE)/48)*24)*$CV280,IF(AND($C280=4,$CV280&gt;=(42/24)),VLOOKUP($D280,HORAS!$B$4:$D$42,3,FALSE),IF(AND($C280=5,$CV280&gt;=(36/24)),VLOOKUP($D280,HORAS!$B$4:$D$42,3,FALSE))))))))</f>
        <v>0</v>
      </c>
      <c r="DJ280" s="145">
        <f>IF(OR($C280=2),VLOOKUP($D280,HORAS!$B$4:$E$42,4,FALSE)*$EC280,IF(ISERROR(VLOOKUP($A280,FIJOS!$B$11:$P$108,9,FALSE)),0,VLOOKUP($A280,FIJOS!$B$11:$P$231,9,FALSE)*$EC280))</f>
        <v>0</v>
      </c>
      <c r="DK280" s="145">
        <f>IF(OR($C280=2),VLOOKUP($D280,HORAS!$B$4:$F$42,5,FALSE)*$EE280,IF(ISERROR(VLOOKUP($A280,FIJOS!$B$11:$P$108,9,FALSE)),0,VLOOKUP($A280,FIJOS!$B$11:$P$231,9,FALSE)*$EE280))</f>
        <v>0</v>
      </c>
      <c r="DL280" s="144"/>
      <c r="DM280" s="145">
        <f>IF(ISERROR(VLOOKUP($A280,FIJOS!$B$11:$L$646,11,FALSE)),0,VLOOKUP($A280,FIJOS!$B$11:$L$646,11,FALSE))</f>
        <v>0</v>
      </c>
      <c r="DN280" s="148" t="e">
        <f>IF(OR($C280=1,$C280=3),0,IF((VLOOKUP(CAPTURA!D280,HORAS!$B$4:$K$42,10,FALSE)/4)*COUNTIF($H280:$CT280,3)&gt;100,100,(VLOOKUP(CAPTURA!D280,HORAS!$B$4:$K$42,10,FALSE)/4)*COUNTIF($H280:$CT280,3)))</f>
        <v>#N/A</v>
      </c>
      <c r="DO280" s="144" t="e">
        <f>IF(OR($C280=1,$C280=3),0,IF($C280=5,VLOOKUP(D280,HORAS!$B$4:$G$42,6,FALSE),IF(AND($C280=4,$CV280&gt;=(42/24)),VLOOKUP(D280,HORAS!$B$4:$G$42,6,FALSE),IF(COUNTIF($H280:$CL280,"F")&gt;0,0,IF(CV280&gt;$DJ$1,$DJ$1*(VLOOKUP(D280,HORAS!$B$4:$G$42,6,FALSE)/$DJ$1),CV280*(VLOOKUP(D280,HORAS!$B$4:$G$42,6,FALSE)/$DJ$1))))))</f>
        <v>#N/A</v>
      </c>
      <c r="DP280" s="156"/>
      <c r="DQ280" s="148"/>
      <c r="DR280" s="148"/>
      <c r="DS280" s="83" t="e">
        <f t="shared" si="162"/>
        <v>#N/A</v>
      </c>
      <c r="DT280" s="84"/>
      <c r="DU280" s="149" t="e">
        <f t="shared" si="163"/>
        <v>#N/A</v>
      </c>
      <c r="DV280" s="149" t="e">
        <f t="shared" si="164"/>
        <v>#N/A</v>
      </c>
      <c r="DW280" s="144" t="e">
        <f t="shared" si="165"/>
        <v>#N/A</v>
      </c>
      <c r="DX280"/>
      <c r="DY280" s="29"/>
      <c r="DZ280" s="150"/>
      <c r="EA280" s="134"/>
      <c r="EB280" s="137">
        <f t="shared" si="166"/>
        <v>0</v>
      </c>
      <c r="EC280" s="138">
        <f t="shared" si="160"/>
        <v>0</v>
      </c>
      <c r="ED280" s="137">
        <f t="shared" si="167"/>
        <v>0</v>
      </c>
      <c r="EE280" s="132">
        <f t="shared" si="161"/>
        <v>0</v>
      </c>
      <c r="EF280" s="29"/>
      <c r="EG280" s="134"/>
      <c r="EH280" s="134"/>
      <c r="EI280" s="134"/>
      <c r="EK280" s="29"/>
    </row>
    <row r="281" spans="1:141" ht="15" customHeight="1" x14ac:dyDescent="0.25">
      <c r="A281" s="87"/>
      <c r="B281" s="5"/>
      <c r="C281" s="72"/>
      <c r="D281" s="73"/>
      <c r="E281" s="73"/>
      <c r="F281" s="141"/>
      <c r="G281" s="74"/>
      <c r="H281" s="75"/>
      <c r="I281" s="76"/>
      <c r="J281" s="135"/>
      <c r="K281" s="135"/>
      <c r="L281" s="77">
        <f t="shared" si="138"/>
        <v>0</v>
      </c>
      <c r="M281" s="78"/>
      <c r="N281" s="142"/>
      <c r="O281" s="142"/>
      <c r="P281" s="77">
        <f t="shared" si="139"/>
        <v>0</v>
      </c>
      <c r="Q281" s="78"/>
      <c r="R281" s="143"/>
      <c r="S281" s="143"/>
      <c r="T281" s="77">
        <f t="shared" si="140"/>
        <v>0</v>
      </c>
      <c r="U281" s="75"/>
      <c r="V281" s="76"/>
      <c r="W281" s="135"/>
      <c r="X281" s="135"/>
      <c r="Y281" s="77">
        <f t="shared" si="141"/>
        <v>0</v>
      </c>
      <c r="Z281" s="78"/>
      <c r="AA281" s="142"/>
      <c r="AB281" s="142"/>
      <c r="AC281" s="77">
        <f t="shared" si="142"/>
        <v>0</v>
      </c>
      <c r="AD281" s="78"/>
      <c r="AE281" s="143"/>
      <c r="AF281" s="143"/>
      <c r="AG281" s="79">
        <f t="shared" si="143"/>
        <v>0</v>
      </c>
      <c r="AH281" s="75"/>
      <c r="AI281" s="76"/>
      <c r="AJ281" s="135"/>
      <c r="AK281" s="135"/>
      <c r="AL281" s="77">
        <f t="shared" si="144"/>
        <v>0</v>
      </c>
      <c r="AM281" s="76"/>
      <c r="AN281" s="142"/>
      <c r="AO281" s="142"/>
      <c r="AP281" s="77">
        <f t="shared" si="145"/>
        <v>0</v>
      </c>
      <c r="AQ281" s="78"/>
      <c r="AR281" s="142"/>
      <c r="AS281" s="142"/>
      <c r="AT281" s="79">
        <f t="shared" si="146"/>
        <v>0</v>
      </c>
      <c r="AU281" s="75"/>
      <c r="AV281" s="76"/>
      <c r="AW281" s="135"/>
      <c r="AX281" s="135"/>
      <c r="AY281" s="77">
        <f t="shared" si="147"/>
        <v>0</v>
      </c>
      <c r="AZ281" s="76"/>
      <c r="BA281" s="142"/>
      <c r="BB281" s="142"/>
      <c r="BC281" s="77">
        <f t="shared" si="148"/>
        <v>0</v>
      </c>
      <c r="BD281" s="78"/>
      <c r="BE281" s="142"/>
      <c r="BF281" s="142"/>
      <c r="BG281" s="79">
        <f t="shared" si="149"/>
        <v>0</v>
      </c>
      <c r="BH281" s="75"/>
      <c r="BI281" s="76"/>
      <c r="BJ281" s="135"/>
      <c r="BK281" s="135"/>
      <c r="BL281" s="77">
        <f t="shared" si="150"/>
        <v>0</v>
      </c>
      <c r="BM281" s="78"/>
      <c r="BN281" s="142"/>
      <c r="BO281" s="142"/>
      <c r="BP281" s="77">
        <f t="shared" si="151"/>
        <v>0</v>
      </c>
      <c r="BQ281" s="78"/>
      <c r="BR281" s="142"/>
      <c r="BS281" s="142"/>
      <c r="BT281" s="79">
        <f t="shared" si="152"/>
        <v>0</v>
      </c>
      <c r="BU281" s="75"/>
      <c r="BV281" s="76"/>
      <c r="BW281" s="135"/>
      <c r="BX281" s="135"/>
      <c r="BY281" s="77">
        <f t="shared" si="153"/>
        <v>0</v>
      </c>
      <c r="BZ281" s="78"/>
      <c r="CA281" s="142"/>
      <c r="CB281" s="142"/>
      <c r="CC281" s="77">
        <f t="shared" si="154"/>
        <v>0</v>
      </c>
      <c r="CD281" s="78"/>
      <c r="CE281" s="142"/>
      <c r="CF281" s="142"/>
      <c r="CG281" s="79">
        <f t="shared" si="155"/>
        <v>0</v>
      </c>
      <c r="CH281" s="75"/>
      <c r="CI281" s="76"/>
      <c r="CJ281" s="86"/>
      <c r="CK281" s="86"/>
      <c r="CL281" s="77">
        <f t="shared" si="156"/>
        <v>0</v>
      </c>
      <c r="CM281" s="78"/>
      <c r="CN281" s="85"/>
      <c r="CO281" s="85"/>
      <c r="CP281" s="77">
        <f t="shared" si="157"/>
        <v>0</v>
      </c>
      <c r="CQ281" s="78"/>
      <c r="CR281" s="85"/>
      <c r="CS281" s="85"/>
      <c r="CT281" s="79">
        <f t="shared" si="158"/>
        <v>0</v>
      </c>
      <c r="CU281" s="80">
        <f t="shared" si="136"/>
        <v>0</v>
      </c>
      <c r="CV281" s="81">
        <f t="shared" si="137"/>
        <v>0</v>
      </c>
      <c r="CW281" s="144"/>
      <c r="CX281" s="145">
        <f>IF(ISERROR(VLOOKUP($A281,FIJOS!$B$11:$O$590,14,FALSE)),0,VLOOKUP($A281,FIJOS!$B$11:$O$590,14,FALSE))</f>
        <v>0</v>
      </c>
      <c r="CY281" s="145">
        <f>IF(ISERROR(VLOOKUP(A281,FIJOS!$B$10:$P$590,15,FALSE)),0,VLOOKUP(A281,FIJOS!$B$10:$P$590,15,FALSE))</f>
        <v>0</v>
      </c>
      <c r="CZ281" s="155"/>
      <c r="DA281" s="147"/>
      <c r="DB281" s="147"/>
      <c r="DC281" s="147"/>
      <c r="DD281" s="147"/>
      <c r="DE281" s="147"/>
      <c r="DF281" s="145">
        <f>IF(ISERROR(VLOOKUP($A281,FIJOS!$B$11:$N$590,13,FALSE)),0,VLOOKUP($A281,FIJOS!$B$11:$N$590,13,FALSE))</f>
        <v>0</v>
      </c>
      <c r="DG281" s="145">
        <f>IF(ISERROR(VLOOKUP($A281,FIJOS!$B$11:$P$447,12,FALSE)),0,VLOOKUP($A281,FIJOS!$B$11:$P$447,12,FALSE))</f>
        <v>0</v>
      </c>
      <c r="DH281" s="82">
        <f t="shared" si="159"/>
        <v>0</v>
      </c>
      <c r="DI281" s="83" t="b">
        <f>IF($C281=1,(VLOOKUP($A281,FIJOS!$B$11:$P$545,10,FALSE)/7)*(7-$CU281),IF(AND($C281=2,CV281&lt;$DJ$1),(VLOOKUP($D281,HORAS!$B$4:$C$42,2,FALSE)*24)*$CV281,IF(AND($C281=2,CV281&gt;=$DJ$1),VLOOKUP($D281,HORAS!$B$4:$D$42,3,FALSE),IF(AND($C281=3,$CV281&gt;=$DJ$1),VLOOKUP($A281,FIJOS!$B$11:$P$545,10,FALSE),IF(AND($C281=3,$CV281&lt;$DJ$1),((VLOOKUP($A281,FIJOS!$B$11:$P$545,10,FALSE)/48)*24)*$CV281,IF(AND($C281=4,$CV281&gt;=(42/24)),VLOOKUP($D281,HORAS!$B$4:$D$42,3,FALSE),IF(AND($C281=5,$CV281&gt;=(36/24)),VLOOKUP($D281,HORAS!$B$4:$D$42,3,FALSE))))))))</f>
        <v>0</v>
      </c>
      <c r="DJ281" s="145">
        <f>IF(OR($C281=2),VLOOKUP($D281,HORAS!$B$4:$E$42,4,FALSE)*$EC281,IF(ISERROR(VLOOKUP($A281,FIJOS!$B$11:$P$108,9,FALSE)),0,VLOOKUP($A281,FIJOS!$B$11:$P$231,9,FALSE)*$EC281))</f>
        <v>0</v>
      </c>
      <c r="DK281" s="145">
        <f>IF(OR($C281=2),VLOOKUP($D281,HORAS!$B$4:$F$42,5,FALSE)*$EE281,IF(ISERROR(VLOOKUP($A281,FIJOS!$B$11:$P$108,9,FALSE)),0,VLOOKUP($A281,FIJOS!$B$11:$P$231,9,FALSE)*$EE281))</f>
        <v>0</v>
      </c>
      <c r="DL281" s="144"/>
      <c r="DM281" s="145">
        <f>IF(ISERROR(VLOOKUP($A281,FIJOS!$B$11:$L$646,11,FALSE)),0,VLOOKUP($A281,FIJOS!$B$11:$L$646,11,FALSE))</f>
        <v>0</v>
      </c>
      <c r="DN281" s="148" t="e">
        <f>IF(OR($C281=1,$C281=3),0,IF((VLOOKUP(CAPTURA!D281,HORAS!$B$4:$K$42,10,FALSE)/4)*COUNTIF($H281:$CT281,3)&gt;100,100,(VLOOKUP(CAPTURA!D281,HORAS!$B$4:$K$42,10,FALSE)/4)*COUNTIF($H281:$CT281,3)))</f>
        <v>#N/A</v>
      </c>
      <c r="DO281" s="144" t="e">
        <f>IF(OR($C281=1,$C281=3),0,IF($C281=5,VLOOKUP(D281,HORAS!$B$4:$G$42,6,FALSE),IF(AND($C281=4,$CV281&gt;=(42/24)),VLOOKUP(D281,HORAS!$B$4:$G$42,6,FALSE),IF(COUNTIF($H281:$CL281,"F")&gt;0,0,IF(CV281&gt;$DJ$1,$DJ$1*(VLOOKUP(D281,HORAS!$B$4:$G$42,6,FALSE)/$DJ$1),CV281*(VLOOKUP(D281,HORAS!$B$4:$G$42,6,FALSE)/$DJ$1))))))</f>
        <v>#N/A</v>
      </c>
      <c r="DP281" s="156"/>
      <c r="DQ281" s="148"/>
      <c r="DR281" s="148"/>
      <c r="DS281" s="83" t="e">
        <f t="shared" si="162"/>
        <v>#N/A</v>
      </c>
      <c r="DT281" s="84"/>
      <c r="DU281" s="149" t="e">
        <f t="shared" si="163"/>
        <v>#N/A</v>
      </c>
      <c r="DV281" s="149" t="e">
        <f t="shared" si="164"/>
        <v>#N/A</v>
      </c>
      <c r="DW281" s="144" t="e">
        <f t="shared" si="165"/>
        <v>#N/A</v>
      </c>
      <c r="DX281"/>
      <c r="DY281" s="29"/>
      <c r="DZ281" s="150"/>
      <c r="EA281" s="134"/>
      <c r="EB281" s="137">
        <f t="shared" si="166"/>
        <v>0</v>
      </c>
      <c r="EC281" s="138">
        <f t="shared" si="160"/>
        <v>0</v>
      </c>
      <c r="ED281" s="137">
        <f t="shared" si="167"/>
        <v>0</v>
      </c>
      <c r="EE281" s="132">
        <f t="shared" si="161"/>
        <v>0</v>
      </c>
      <c r="EF281" s="29"/>
      <c r="EG281" s="134"/>
      <c r="EH281" s="134"/>
      <c r="EI281" s="134"/>
      <c r="EK281" s="29"/>
    </row>
    <row r="282" spans="1:141" ht="15" customHeight="1" x14ac:dyDescent="0.25">
      <c r="A282" s="87"/>
      <c r="B282" s="5"/>
      <c r="C282" s="72"/>
      <c r="D282" s="73"/>
      <c r="E282" s="73"/>
      <c r="F282" s="141"/>
      <c r="G282" s="74"/>
      <c r="H282" s="75"/>
      <c r="I282" s="76"/>
      <c r="J282" s="135"/>
      <c r="K282" s="135"/>
      <c r="L282" s="77">
        <f t="shared" si="138"/>
        <v>0</v>
      </c>
      <c r="M282" s="78"/>
      <c r="N282" s="142"/>
      <c r="O282" s="142"/>
      <c r="P282" s="77">
        <f t="shared" si="139"/>
        <v>0</v>
      </c>
      <c r="Q282" s="78"/>
      <c r="R282" s="143"/>
      <c r="S282" s="143"/>
      <c r="T282" s="77">
        <f t="shared" si="140"/>
        <v>0</v>
      </c>
      <c r="U282" s="75"/>
      <c r="V282" s="76"/>
      <c r="W282" s="135"/>
      <c r="X282" s="135"/>
      <c r="Y282" s="77">
        <f t="shared" si="141"/>
        <v>0</v>
      </c>
      <c r="Z282" s="78"/>
      <c r="AA282" s="142"/>
      <c r="AB282" s="142"/>
      <c r="AC282" s="77">
        <f t="shared" si="142"/>
        <v>0</v>
      </c>
      <c r="AD282" s="78"/>
      <c r="AE282" s="143"/>
      <c r="AF282" s="143"/>
      <c r="AG282" s="79">
        <f t="shared" si="143"/>
        <v>0</v>
      </c>
      <c r="AH282" s="75"/>
      <c r="AI282" s="76"/>
      <c r="AJ282" s="135"/>
      <c r="AK282" s="135"/>
      <c r="AL282" s="77">
        <f t="shared" si="144"/>
        <v>0</v>
      </c>
      <c r="AM282" s="76"/>
      <c r="AN282" s="142"/>
      <c r="AO282" s="142"/>
      <c r="AP282" s="77">
        <f t="shared" si="145"/>
        <v>0</v>
      </c>
      <c r="AQ282" s="78"/>
      <c r="AR282" s="142"/>
      <c r="AS282" s="142"/>
      <c r="AT282" s="79">
        <f t="shared" si="146"/>
        <v>0</v>
      </c>
      <c r="AU282" s="75"/>
      <c r="AV282" s="76"/>
      <c r="AW282" s="135"/>
      <c r="AX282" s="135"/>
      <c r="AY282" s="77">
        <f t="shared" si="147"/>
        <v>0</v>
      </c>
      <c r="AZ282" s="76"/>
      <c r="BA282" s="142"/>
      <c r="BB282" s="142"/>
      <c r="BC282" s="77">
        <f t="shared" si="148"/>
        <v>0</v>
      </c>
      <c r="BD282" s="78"/>
      <c r="BE282" s="142"/>
      <c r="BF282" s="142"/>
      <c r="BG282" s="79">
        <f t="shared" si="149"/>
        <v>0</v>
      </c>
      <c r="BH282" s="75"/>
      <c r="BI282" s="76"/>
      <c r="BJ282" s="135"/>
      <c r="BK282" s="135"/>
      <c r="BL282" s="77">
        <f t="shared" si="150"/>
        <v>0</v>
      </c>
      <c r="BM282" s="78"/>
      <c r="BN282" s="142"/>
      <c r="BO282" s="142"/>
      <c r="BP282" s="77">
        <f t="shared" si="151"/>
        <v>0</v>
      </c>
      <c r="BQ282" s="78"/>
      <c r="BR282" s="142"/>
      <c r="BS282" s="142"/>
      <c r="BT282" s="79">
        <f t="shared" si="152"/>
        <v>0</v>
      </c>
      <c r="BU282" s="75"/>
      <c r="BV282" s="76"/>
      <c r="BW282" s="135"/>
      <c r="BX282" s="135"/>
      <c r="BY282" s="77">
        <f t="shared" si="153"/>
        <v>0</v>
      </c>
      <c r="BZ282" s="78"/>
      <c r="CA282" s="142"/>
      <c r="CB282" s="142"/>
      <c r="CC282" s="77">
        <f t="shared" si="154"/>
        <v>0</v>
      </c>
      <c r="CD282" s="78"/>
      <c r="CE282" s="142"/>
      <c r="CF282" s="142"/>
      <c r="CG282" s="79">
        <f t="shared" si="155"/>
        <v>0</v>
      </c>
      <c r="CH282" s="75"/>
      <c r="CI282" s="76"/>
      <c r="CJ282" s="86"/>
      <c r="CK282" s="86"/>
      <c r="CL282" s="77">
        <f t="shared" si="156"/>
        <v>0</v>
      </c>
      <c r="CM282" s="78"/>
      <c r="CN282" s="85"/>
      <c r="CO282" s="85"/>
      <c r="CP282" s="77">
        <f t="shared" si="157"/>
        <v>0</v>
      </c>
      <c r="CQ282" s="78"/>
      <c r="CR282" s="85"/>
      <c r="CS282" s="85"/>
      <c r="CT282" s="79">
        <f t="shared" si="158"/>
        <v>0</v>
      </c>
      <c r="CU282" s="80">
        <f t="shared" si="136"/>
        <v>0</v>
      </c>
      <c r="CV282" s="81">
        <f t="shared" si="137"/>
        <v>0</v>
      </c>
      <c r="CW282" s="144"/>
      <c r="CX282" s="145">
        <f>IF(ISERROR(VLOOKUP($A282,FIJOS!$B$11:$O$590,14,FALSE)),0,VLOOKUP($A282,FIJOS!$B$11:$O$590,14,FALSE))</f>
        <v>0</v>
      </c>
      <c r="CY282" s="145">
        <f>IF(ISERROR(VLOOKUP(A282,FIJOS!$B$10:$P$590,15,FALSE)),0,VLOOKUP(A282,FIJOS!$B$10:$P$590,15,FALSE))</f>
        <v>0</v>
      </c>
      <c r="CZ282" s="155"/>
      <c r="DA282" s="147"/>
      <c r="DB282" s="147"/>
      <c r="DC282" s="147"/>
      <c r="DD282" s="147"/>
      <c r="DE282" s="147"/>
      <c r="DF282" s="145">
        <f>IF(ISERROR(VLOOKUP($A282,FIJOS!$B$11:$N$590,13,FALSE)),0,VLOOKUP($A282,FIJOS!$B$11:$N$590,13,FALSE))</f>
        <v>0</v>
      </c>
      <c r="DG282" s="145">
        <f>IF(ISERROR(VLOOKUP($A282,FIJOS!$B$11:$P$447,12,FALSE)),0,VLOOKUP($A282,FIJOS!$B$11:$P$447,12,FALSE))</f>
        <v>0</v>
      </c>
      <c r="DH282" s="82">
        <f t="shared" si="159"/>
        <v>0</v>
      </c>
      <c r="DI282" s="83" t="b">
        <f>IF($C282=1,(VLOOKUP($A282,FIJOS!$B$11:$P$545,10,FALSE)/7)*(7-$CU282),IF(AND($C282=2,CV282&lt;$DJ$1),(VLOOKUP($D282,HORAS!$B$4:$C$42,2,FALSE)*24)*$CV282,IF(AND($C282=2,CV282&gt;=$DJ$1),VLOOKUP($D282,HORAS!$B$4:$D$42,3,FALSE),IF(AND($C282=3,$CV282&gt;=$DJ$1),VLOOKUP($A282,FIJOS!$B$11:$P$545,10,FALSE),IF(AND($C282=3,$CV282&lt;$DJ$1),((VLOOKUP($A282,FIJOS!$B$11:$P$545,10,FALSE)/48)*24)*$CV282,IF(AND($C282=4,$CV282&gt;=(42/24)),VLOOKUP($D282,HORAS!$B$4:$D$42,3,FALSE),IF(AND($C282=5,$CV282&gt;=(36/24)),VLOOKUP($D282,HORAS!$B$4:$D$42,3,FALSE))))))))</f>
        <v>0</v>
      </c>
      <c r="DJ282" s="145">
        <f>IF(OR($C282=2),VLOOKUP($D282,HORAS!$B$4:$E$42,4,FALSE)*$EC282,IF(ISERROR(VLOOKUP($A282,FIJOS!$B$11:$P$108,9,FALSE)),0,VLOOKUP($A282,FIJOS!$B$11:$P$231,9,FALSE)*$EC282))</f>
        <v>0</v>
      </c>
      <c r="DK282" s="145">
        <f>IF(OR($C282=2),VLOOKUP($D282,HORAS!$B$4:$F$42,5,FALSE)*$EE282,IF(ISERROR(VLOOKUP($A282,FIJOS!$B$11:$P$108,9,FALSE)),0,VLOOKUP($A282,FIJOS!$B$11:$P$231,9,FALSE)*$EE282))</f>
        <v>0</v>
      </c>
      <c r="DL282" s="144"/>
      <c r="DM282" s="145">
        <f>IF(ISERROR(VLOOKUP($A282,FIJOS!$B$11:$L$646,11,FALSE)),0,VLOOKUP($A282,FIJOS!$B$11:$L$646,11,FALSE))</f>
        <v>0</v>
      </c>
      <c r="DN282" s="148" t="e">
        <f>IF(OR($C282=1,$C282=3),0,IF((VLOOKUP(CAPTURA!D282,HORAS!$B$4:$K$42,10,FALSE)/4)*COUNTIF($H282:$CT282,3)&gt;100,100,(VLOOKUP(CAPTURA!D282,HORAS!$B$4:$K$42,10,FALSE)/4)*COUNTIF($H282:$CT282,3)))</f>
        <v>#N/A</v>
      </c>
      <c r="DO282" s="144" t="e">
        <f>IF(OR($C282=1,$C282=3),0,IF($C282=5,VLOOKUP(D282,HORAS!$B$4:$G$42,6,FALSE),IF(AND($C282=4,$CV282&gt;=(42/24)),VLOOKUP(D282,HORAS!$B$4:$G$42,6,FALSE),IF(COUNTIF($H282:$CL282,"F")&gt;0,0,IF(CV282&gt;$DJ$1,$DJ$1*(VLOOKUP(D282,HORAS!$B$4:$G$42,6,FALSE)/$DJ$1),CV282*(VLOOKUP(D282,HORAS!$B$4:$G$42,6,FALSE)/$DJ$1))))))</f>
        <v>#N/A</v>
      </c>
      <c r="DP282" s="156"/>
      <c r="DQ282" s="148"/>
      <c r="DR282" s="148"/>
      <c r="DS282" s="83" t="e">
        <f t="shared" si="162"/>
        <v>#N/A</v>
      </c>
      <c r="DT282" s="84"/>
      <c r="DU282" s="149" t="e">
        <f t="shared" si="163"/>
        <v>#N/A</v>
      </c>
      <c r="DV282" s="149" t="e">
        <f t="shared" si="164"/>
        <v>#N/A</v>
      </c>
      <c r="DW282" s="144" t="e">
        <f t="shared" si="165"/>
        <v>#N/A</v>
      </c>
      <c r="DX282"/>
      <c r="DY282" s="29"/>
      <c r="DZ282" s="150"/>
      <c r="EA282" s="134"/>
      <c r="EB282" s="137">
        <f t="shared" si="166"/>
        <v>0</v>
      </c>
      <c r="EC282" s="138">
        <f t="shared" si="160"/>
        <v>0</v>
      </c>
      <c r="ED282" s="137">
        <f t="shared" si="167"/>
        <v>0</v>
      </c>
      <c r="EE282" s="132">
        <f t="shared" si="161"/>
        <v>0</v>
      </c>
      <c r="EF282" s="29"/>
      <c r="EG282" s="134"/>
      <c r="EH282" s="134"/>
      <c r="EI282" s="134"/>
      <c r="EK282" s="29"/>
    </row>
    <row r="283" spans="1:141" ht="15" customHeight="1" x14ac:dyDescent="0.25">
      <c r="A283" s="87"/>
      <c r="B283" s="5"/>
      <c r="C283" s="72"/>
      <c r="D283" s="73"/>
      <c r="E283" s="73"/>
      <c r="F283" s="141"/>
      <c r="G283" s="74"/>
      <c r="H283" s="75"/>
      <c r="I283" s="76"/>
      <c r="J283" s="135"/>
      <c r="K283" s="135"/>
      <c r="L283" s="77">
        <f t="shared" si="138"/>
        <v>0</v>
      </c>
      <c r="M283" s="78"/>
      <c r="N283" s="142"/>
      <c r="O283" s="142"/>
      <c r="P283" s="77">
        <f t="shared" si="139"/>
        <v>0</v>
      </c>
      <c r="Q283" s="78"/>
      <c r="R283" s="143"/>
      <c r="S283" s="143"/>
      <c r="T283" s="77">
        <f t="shared" si="140"/>
        <v>0</v>
      </c>
      <c r="U283" s="75"/>
      <c r="V283" s="76"/>
      <c r="W283" s="135"/>
      <c r="X283" s="135"/>
      <c r="Y283" s="77">
        <f t="shared" si="141"/>
        <v>0</v>
      </c>
      <c r="Z283" s="78"/>
      <c r="AA283" s="142"/>
      <c r="AB283" s="142"/>
      <c r="AC283" s="77">
        <f t="shared" si="142"/>
        <v>0</v>
      </c>
      <c r="AD283" s="78"/>
      <c r="AE283" s="143"/>
      <c r="AF283" s="143"/>
      <c r="AG283" s="79">
        <f t="shared" si="143"/>
        <v>0</v>
      </c>
      <c r="AH283" s="75"/>
      <c r="AI283" s="76"/>
      <c r="AJ283" s="135"/>
      <c r="AK283" s="135"/>
      <c r="AL283" s="77">
        <f t="shared" si="144"/>
        <v>0</v>
      </c>
      <c r="AM283" s="76"/>
      <c r="AN283" s="142"/>
      <c r="AO283" s="142"/>
      <c r="AP283" s="77">
        <f t="shared" si="145"/>
        <v>0</v>
      </c>
      <c r="AQ283" s="78"/>
      <c r="AR283" s="142"/>
      <c r="AS283" s="142"/>
      <c r="AT283" s="79">
        <f t="shared" si="146"/>
        <v>0</v>
      </c>
      <c r="AU283" s="75"/>
      <c r="AV283" s="76"/>
      <c r="AW283" s="135"/>
      <c r="AX283" s="135"/>
      <c r="AY283" s="77">
        <f t="shared" si="147"/>
        <v>0</v>
      </c>
      <c r="AZ283" s="76"/>
      <c r="BA283" s="142"/>
      <c r="BB283" s="142"/>
      <c r="BC283" s="77">
        <f t="shared" si="148"/>
        <v>0</v>
      </c>
      <c r="BD283" s="78"/>
      <c r="BE283" s="142"/>
      <c r="BF283" s="142"/>
      <c r="BG283" s="79">
        <f t="shared" si="149"/>
        <v>0</v>
      </c>
      <c r="BH283" s="75"/>
      <c r="BI283" s="76"/>
      <c r="BJ283" s="135"/>
      <c r="BK283" s="135"/>
      <c r="BL283" s="77">
        <f t="shared" si="150"/>
        <v>0</v>
      </c>
      <c r="BM283" s="78"/>
      <c r="BN283" s="142"/>
      <c r="BO283" s="142"/>
      <c r="BP283" s="77">
        <f t="shared" si="151"/>
        <v>0</v>
      </c>
      <c r="BQ283" s="78"/>
      <c r="BR283" s="142"/>
      <c r="BS283" s="142"/>
      <c r="BT283" s="79">
        <f t="shared" si="152"/>
        <v>0</v>
      </c>
      <c r="BU283" s="75"/>
      <c r="BV283" s="76"/>
      <c r="BW283" s="135"/>
      <c r="BX283" s="135"/>
      <c r="BY283" s="77">
        <f t="shared" si="153"/>
        <v>0</v>
      </c>
      <c r="BZ283" s="78"/>
      <c r="CA283" s="142"/>
      <c r="CB283" s="142"/>
      <c r="CC283" s="77">
        <f t="shared" si="154"/>
        <v>0</v>
      </c>
      <c r="CD283" s="78"/>
      <c r="CE283" s="142"/>
      <c r="CF283" s="142"/>
      <c r="CG283" s="79">
        <f t="shared" si="155"/>
        <v>0</v>
      </c>
      <c r="CH283" s="75"/>
      <c r="CI283" s="76"/>
      <c r="CJ283" s="86"/>
      <c r="CK283" s="86"/>
      <c r="CL283" s="77">
        <f t="shared" si="156"/>
        <v>0</v>
      </c>
      <c r="CM283" s="78"/>
      <c r="CN283" s="85"/>
      <c r="CO283" s="85"/>
      <c r="CP283" s="77">
        <f t="shared" si="157"/>
        <v>0</v>
      </c>
      <c r="CQ283" s="78"/>
      <c r="CR283" s="85"/>
      <c r="CS283" s="85"/>
      <c r="CT283" s="79">
        <f t="shared" si="158"/>
        <v>0</v>
      </c>
      <c r="CU283" s="80">
        <f t="shared" si="136"/>
        <v>0</v>
      </c>
      <c r="CV283" s="81">
        <f t="shared" si="137"/>
        <v>0</v>
      </c>
      <c r="CW283" s="144"/>
      <c r="CX283" s="145">
        <f>IF(ISERROR(VLOOKUP($A283,FIJOS!$B$11:$O$590,14,FALSE)),0,VLOOKUP($A283,FIJOS!$B$11:$O$590,14,FALSE))</f>
        <v>0</v>
      </c>
      <c r="CY283" s="145">
        <f>IF(ISERROR(VLOOKUP(A283,FIJOS!$B$10:$P$590,15,FALSE)),0,VLOOKUP(A283,FIJOS!$B$10:$P$590,15,FALSE))</f>
        <v>0</v>
      </c>
      <c r="CZ283" s="155"/>
      <c r="DA283" s="147"/>
      <c r="DB283" s="147"/>
      <c r="DC283" s="147"/>
      <c r="DD283" s="147"/>
      <c r="DE283" s="147"/>
      <c r="DF283" s="145">
        <f>IF(ISERROR(VLOOKUP($A283,FIJOS!$B$11:$N$590,13,FALSE)),0,VLOOKUP($A283,FIJOS!$B$11:$N$590,13,FALSE))</f>
        <v>0</v>
      </c>
      <c r="DG283" s="145">
        <f>IF(ISERROR(VLOOKUP($A283,FIJOS!$B$11:$P$447,12,FALSE)),0,VLOOKUP($A283,FIJOS!$B$11:$P$447,12,FALSE))</f>
        <v>0</v>
      </c>
      <c r="DH283" s="82">
        <f t="shared" si="159"/>
        <v>0</v>
      </c>
      <c r="DI283" s="83" t="b">
        <f>IF($C283=1,(VLOOKUP($A283,FIJOS!$B$11:$P$545,10,FALSE)/7)*(7-$CU283),IF(AND($C283=2,CV283&lt;$DJ$1),(VLOOKUP($D283,HORAS!$B$4:$C$42,2,FALSE)*24)*$CV283,IF(AND($C283=2,CV283&gt;=$DJ$1),VLOOKUP($D283,HORAS!$B$4:$D$42,3,FALSE),IF(AND($C283=3,$CV283&gt;=$DJ$1),VLOOKUP($A283,FIJOS!$B$11:$P$545,10,FALSE),IF(AND($C283=3,$CV283&lt;$DJ$1),((VLOOKUP($A283,FIJOS!$B$11:$P$545,10,FALSE)/48)*24)*$CV283,IF(AND($C283=4,$CV283&gt;=(42/24)),VLOOKUP($D283,HORAS!$B$4:$D$42,3,FALSE),IF(AND($C283=5,$CV283&gt;=(36/24)),VLOOKUP($D283,HORAS!$B$4:$D$42,3,FALSE))))))))</f>
        <v>0</v>
      </c>
      <c r="DJ283" s="145">
        <f>IF(OR($C283=2),VLOOKUP($D283,HORAS!$B$4:$E$42,4,FALSE)*$EC283,IF(ISERROR(VLOOKUP($A283,FIJOS!$B$11:$P$108,9,FALSE)),0,VLOOKUP($A283,FIJOS!$B$11:$P$231,9,FALSE)*$EC283))</f>
        <v>0</v>
      </c>
      <c r="DK283" s="145">
        <f>IF(OR($C283=2),VLOOKUP($D283,HORAS!$B$4:$F$42,5,FALSE)*$EE283,IF(ISERROR(VLOOKUP($A283,FIJOS!$B$11:$P$108,9,FALSE)),0,VLOOKUP($A283,FIJOS!$B$11:$P$231,9,FALSE)*$EE283))</f>
        <v>0</v>
      </c>
      <c r="DL283" s="144"/>
      <c r="DM283" s="145">
        <f>IF(ISERROR(VLOOKUP($A283,FIJOS!$B$11:$L$646,11,FALSE)),0,VLOOKUP($A283,FIJOS!$B$11:$L$646,11,FALSE))</f>
        <v>0</v>
      </c>
      <c r="DN283" s="148" t="e">
        <f>IF(OR($C283=1,$C283=3),0,IF((VLOOKUP(CAPTURA!D283,HORAS!$B$4:$K$42,10,FALSE)/4)*COUNTIF($H283:$CT283,3)&gt;100,100,(VLOOKUP(CAPTURA!D283,HORAS!$B$4:$K$42,10,FALSE)/4)*COUNTIF($H283:$CT283,3)))</f>
        <v>#N/A</v>
      </c>
      <c r="DO283" s="144" t="e">
        <f>IF(OR($C283=1,$C283=3),0,IF($C283=5,VLOOKUP(D283,HORAS!$B$4:$G$42,6,FALSE),IF(AND($C283=4,$CV283&gt;=(42/24)),VLOOKUP(D283,HORAS!$B$4:$G$42,6,FALSE),IF(COUNTIF($H283:$CL283,"F")&gt;0,0,IF(CV283&gt;$DJ$1,$DJ$1*(VLOOKUP(D283,HORAS!$B$4:$G$42,6,FALSE)/$DJ$1),CV283*(VLOOKUP(D283,HORAS!$B$4:$G$42,6,FALSE)/$DJ$1))))))</f>
        <v>#N/A</v>
      </c>
      <c r="DP283" s="156"/>
      <c r="DQ283" s="148"/>
      <c r="DR283" s="148"/>
      <c r="DS283" s="83" t="e">
        <f t="shared" si="162"/>
        <v>#N/A</v>
      </c>
      <c r="DT283" s="84"/>
      <c r="DU283" s="149" t="e">
        <f t="shared" si="163"/>
        <v>#N/A</v>
      </c>
      <c r="DV283" s="149" t="e">
        <f t="shared" si="164"/>
        <v>#N/A</v>
      </c>
      <c r="DW283" s="144" t="e">
        <f t="shared" si="165"/>
        <v>#N/A</v>
      </c>
      <c r="DX283"/>
      <c r="DY283" s="29"/>
      <c r="DZ283" s="150"/>
      <c r="EA283" s="134"/>
      <c r="EB283" s="137">
        <f t="shared" si="166"/>
        <v>0</v>
      </c>
      <c r="EC283" s="138">
        <f t="shared" si="160"/>
        <v>0</v>
      </c>
      <c r="ED283" s="137">
        <f t="shared" si="167"/>
        <v>0</v>
      </c>
      <c r="EE283" s="132">
        <f t="shared" si="161"/>
        <v>0</v>
      </c>
      <c r="EF283" s="29"/>
      <c r="EG283" s="134"/>
      <c r="EH283" s="134"/>
      <c r="EI283" s="134"/>
      <c r="EK283" s="29"/>
    </row>
    <row r="284" spans="1:141" ht="15" customHeight="1" x14ac:dyDescent="0.25">
      <c r="A284" s="87"/>
      <c r="B284" s="5"/>
      <c r="C284" s="72"/>
      <c r="D284" s="73"/>
      <c r="E284" s="73"/>
      <c r="F284" s="141"/>
      <c r="G284" s="74"/>
      <c r="H284" s="75"/>
      <c r="I284" s="76"/>
      <c r="J284" s="135"/>
      <c r="K284" s="135"/>
      <c r="L284" s="77">
        <f t="shared" si="138"/>
        <v>0</v>
      </c>
      <c r="M284" s="78"/>
      <c r="N284" s="142"/>
      <c r="O284" s="142"/>
      <c r="P284" s="77">
        <f t="shared" si="139"/>
        <v>0</v>
      </c>
      <c r="Q284" s="78"/>
      <c r="R284" s="143"/>
      <c r="S284" s="143"/>
      <c r="T284" s="77">
        <f t="shared" si="140"/>
        <v>0</v>
      </c>
      <c r="U284" s="75"/>
      <c r="V284" s="76"/>
      <c r="W284" s="135"/>
      <c r="X284" s="135"/>
      <c r="Y284" s="77">
        <f t="shared" si="141"/>
        <v>0</v>
      </c>
      <c r="Z284" s="78"/>
      <c r="AA284" s="142"/>
      <c r="AB284" s="142"/>
      <c r="AC284" s="77">
        <f t="shared" si="142"/>
        <v>0</v>
      </c>
      <c r="AD284" s="78"/>
      <c r="AE284" s="143"/>
      <c r="AF284" s="143"/>
      <c r="AG284" s="79">
        <f t="shared" si="143"/>
        <v>0</v>
      </c>
      <c r="AH284" s="75"/>
      <c r="AI284" s="76"/>
      <c r="AJ284" s="135"/>
      <c r="AK284" s="135"/>
      <c r="AL284" s="77">
        <f t="shared" si="144"/>
        <v>0</v>
      </c>
      <c r="AM284" s="76"/>
      <c r="AN284" s="142"/>
      <c r="AO284" s="142"/>
      <c r="AP284" s="77">
        <f t="shared" si="145"/>
        <v>0</v>
      </c>
      <c r="AQ284" s="78"/>
      <c r="AR284" s="142"/>
      <c r="AS284" s="142"/>
      <c r="AT284" s="79">
        <f t="shared" si="146"/>
        <v>0</v>
      </c>
      <c r="AU284" s="75"/>
      <c r="AV284" s="76"/>
      <c r="AW284" s="135"/>
      <c r="AX284" s="135"/>
      <c r="AY284" s="77">
        <f t="shared" si="147"/>
        <v>0</v>
      </c>
      <c r="AZ284" s="76"/>
      <c r="BA284" s="142"/>
      <c r="BB284" s="142"/>
      <c r="BC284" s="77">
        <f t="shared" si="148"/>
        <v>0</v>
      </c>
      <c r="BD284" s="78"/>
      <c r="BE284" s="142"/>
      <c r="BF284" s="142"/>
      <c r="BG284" s="79">
        <f t="shared" si="149"/>
        <v>0</v>
      </c>
      <c r="BH284" s="75"/>
      <c r="BI284" s="76"/>
      <c r="BJ284" s="135"/>
      <c r="BK284" s="135"/>
      <c r="BL284" s="77">
        <f t="shared" si="150"/>
        <v>0</v>
      </c>
      <c r="BM284" s="78"/>
      <c r="BN284" s="142"/>
      <c r="BO284" s="142"/>
      <c r="BP284" s="77">
        <f t="shared" si="151"/>
        <v>0</v>
      </c>
      <c r="BQ284" s="78"/>
      <c r="BR284" s="142"/>
      <c r="BS284" s="142"/>
      <c r="BT284" s="79">
        <f t="shared" si="152"/>
        <v>0</v>
      </c>
      <c r="BU284" s="75"/>
      <c r="BV284" s="76"/>
      <c r="BW284" s="135"/>
      <c r="BX284" s="135"/>
      <c r="BY284" s="77">
        <f t="shared" si="153"/>
        <v>0</v>
      </c>
      <c r="BZ284" s="78"/>
      <c r="CA284" s="142"/>
      <c r="CB284" s="142"/>
      <c r="CC284" s="77">
        <f t="shared" si="154"/>
        <v>0</v>
      </c>
      <c r="CD284" s="78"/>
      <c r="CE284" s="142"/>
      <c r="CF284" s="142"/>
      <c r="CG284" s="79">
        <f t="shared" si="155"/>
        <v>0</v>
      </c>
      <c r="CH284" s="75"/>
      <c r="CI284" s="76"/>
      <c r="CJ284" s="86"/>
      <c r="CK284" s="86"/>
      <c r="CL284" s="77">
        <f t="shared" si="156"/>
        <v>0</v>
      </c>
      <c r="CM284" s="78"/>
      <c r="CN284" s="85"/>
      <c r="CO284" s="85"/>
      <c r="CP284" s="77">
        <f t="shared" si="157"/>
        <v>0</v>
      </c>
      <c r="CQ284" s="78"/>
      <c r="CR284" s="85"/>
      <c r="CS284" s="85"/>
      <c r="CT284" s="79">
        <f t="shared" si="158"/>
        <v>0</v>
      </c>
      <c r="CU284" s="80">
        <f t="shared" si="136"/>
        <v>0</v>
      </c>
      <c r="CV284" s="81">
        <f t="shared" si="137"/>
        <v>0</v>
      </c>
      <c r="CW284" s="144"/>
      <c r="CX284" s="145">
        <f>IF(ISERROR(VLOOKUP($A284,FIJOS!$B$11:$O$590,14,FALSE)),0,VLOOKUP($A284,FIJOS!$B$11:$O$590,14,FALSE))</f>
        <v>0</v>
      </c>
      <c r="CY284" s="145">
        <f>IF(ISERROR(VLOOKUP(A284,FIJOS!$B$10:$P$590,15,FALSE)),0,VLOOKUP(A284,FIJOS!$B$10:$P$590,15,FALSE))</f>
        <v>0</v>
      </c>
      <c r="CZ284" s="155"/>
      <c r="DA284" s="147"/>
      <c r="DB284" s="147"/>
      <c r="DC284" s="147"/>
      <c r="DD284" s="147"/>
      <c r="DE284" s="147"/>
      <c r="DF284" s="145">
        <f>IF(ISERROR(VLOOKUP($A284,FIJOS!$B$11:$N$590,13,FALSE)),0,VLOOKUP($A284,FIJOS!$B$11:$N$590,13,FALSE))</f>
        <v>0</v>
      </c>
      <c r="DG284" s="145">
        <f>IF(ISERROR(VLOOKUP($A284,FIJOS!$B$11:$P$447,12,FALSE)),0,VLOOKUP($A284,FIJOS!$B$11:$P$447,12,FALSE))</f>
        <v>0</v>
      </c>
      <c r="DH284" s="82">
        <f t="shared" si="159"/>
        <v>0</v>
      </c>
      <c r="DI284" s="83" t="b">
        <f>IF($C284=1,(VLOOKUP($A284,FIJOS!$B$11:$P$545,10,FALSE)/7)*(7-$CU284),IF(AND($C284=2,CV284&lt;$DJ$1),(VLOOKUP($D284,HORAS!$B$4:$C$42,2,FALSE)*24)*$CV284,IF(AND($C284=2,CV284&gt;=$DJ$1),VLOOKUP($D284,HORAS!$B$4:$D$42,3,FALSE),IF(AND($C284=3,$CV284&gt;=$DJ$1),VLOOKUP($A284,FIJOS!$B$11:$P$545,10,FALSE),IF(AND($C284=3,$CV284&lt;$DJ$1),((VLOOKUP($A284,FIJOS!$B$11:$P$545,10,FALSE)/48)*24)*$CV284,IF(AND($C284=4,$CV284&gt;=(42/24)),VLOOKUP($D284,HORAS!$B$4:$D$42,3,FALSE),IF(AND($C284=5,$CV284&gt;=(36/24)),VLOOKUP($D284,HORAS!$B$4:$D$42,3,FALSE))))))))</f>
        <v>0</v>
      </c>
      <c r="DJ284" s="145">
        <f>IF(OR($C284=2),VLOOKUP($D284,HORAS!$B$4:$E$42,4,FALSE)*$EC284,IF(ISERROR(VLOOKUP($A284,FIJOS!$B$11:$P$108,9,FALSE)),0,VLOOKUP($A284,FIJOS!$B$11:$P$231,9,FALSE)*$EC284))</f>
        <v>0</v>
      </c>
      <c r="DK284" s="145">
        <f>IF(OR($C284=2),VLOOKUP($D284,HORAS!$B$4:$F$42,5,FALSE)*$EE284,IF(ISERROR(VLOOKUP($A284,FIJOS!$B$11:$P$108,9,FALSE)),0,VLOOKUP($A284,FIJOS!$B$11:$P$231,9,FALSE)*$EE284))</f>
        <v>0</v>
      </c>
      <c r="DL284" s="144"/>
      <c r="DM284" s="145">
        <f>IF(ISERROR(VLOOKUP($A284,FIJOS!$B$11:$L$646,11,FALSE)),0,VLOOKUP($A284,FIJOS!$B$11:$L$646,11,FALSE))</f>
        <v>0</v>
      </c>
      <c r="DN284" s="148" t="e">
        <f>IF(OR($C284=1,$C284=3),0,IF((VLOOKUP(CAPTURA!D284,HORAS!$B$4:$K$42,10,FALSE)/4)*COUNTIF($H284:$CT284,3)&gt;100,100,(VLOOKUP(CAPTURA!D284,HORAS!$B$4:$K$42,10,FALSE)/4)*COUNTIF($H284:$CT284,3)))</f>
        <v>#N/A</v>
      </c>
      <c r="DO284" s="144" t="e">
        <f>IF(OR($C284=1,$C284=3),0,IF($C284=5,VLOOKUP(D284,HORAS!$B$4:$G$42,6,FALSE),IF(AND($C284=4,$CV284&gt;=(42/24)),VLOOKUP(D284,HORAS!$B$4:$G$42,6,FALSE),IF(COUNTIF($H284:$CL284,"F")&gt;0,0,IF(CV284&gt;$DJ$1,$DJ$1*(VLOOKUP(D284,HORAS!$B$4:$G$42,6,FALSE)/$DJ$1),CV284*(VLOOKUP(D284,HORAS!$B$4:$G$42,6,FALSE)/$DJ$1))))))</f>
        <v>#N/A</v>
      </c>
      <c r="DP284" s="156"/>
      <c r="DQ284" s="148"/>
      <c r="DR284" s="148"/>
      <c r="DS284" s="83" t="e">
        <f t="shared" si="162"/>
        <v>#N/A</v>
      </c>
      <c r="DT284" s="84"/>
      <c r="DU284" s="149" t="e">
        <f t="shared" si="163"/>
        <v>#N/A</v>
      </c>
      <c r="DV284" s="149" t="e">
        <f t="shared" si="164"/>
        <v>#N/A</v>
      </c>
      <c r="DW284" s="144" t="e">
        <f t="shared" si="165"/>
        <v>#N/A</v>
      </c>
      <c r="DX284"/>
      <c r="DY284" s="29"/>
      <c r="DZ284" s="150"/>
      <c r="EA284" s="134"/>
      <c r="EB284" s="137">
        <f t="shared" si="166"/>
        <v>0</v>
      </c>
      <c r="EC284" s="138">
        <f t="shared" si="160"/>
        <v>0</v>
      </c>
      <c r="ED284" s="137">
        <f t="shared" si="167"/>
        <v>0</v>
      </c>
      <c r="EE284" s="132">
        <f t="shared" si="161"/>
        <v>0</v>
      </c>
      <c r="EF284" s="29"/>
      <c r="EG284" s="134"/>
      <c r="EH284" s="134"/>
      <c r="EI284" s="134"/>
      <c r="EK284" s="29"/>
    </row>
    <row r="285" spans="1:141" ht="15" customHeight="1" x14ac:dyDescent="0.25">
      <c r="A285" s="87"/>
      <c r="B285" s="5"/>
      <c r="C285" s="72"/>
      <c r="D285" s="73"/>
      <c r="E285" s="73"/>
      <c r="F285" s="141"/>
      <c r="G285" s="74"/>
      <c r="H285" s="75"/>
      <c r="I285" s="76"/>
      <c r="J285" s="135"/>
      <c r="K285" s="135"/>
      <c r="L285" s="77">
        <f t="shared" si="138"/>
        <v>0</v>
      </c>
      <c r="M285" s="78"/>
      <c r="N285" s="142"/>
      <c r="O285" s="142"/>
      <c r="P285" s="77">
        <f t="shared" si="139"/>
        <v>0</v>
      </c>
      <c r="Q285" s="78"/>
      <c r="R285" s="143"/>
      <c r="S285" s="143"/>
      <c r="T285" s="77">
        <f t="shared" si="140"/>
        <v>0</v>
      </c>
      <c r="U285" s="75"/>
      <c r="V285" s="76"/>
      <c r="W285" s="135"/>
      <c r="X285" s="135"/>
      <c r="Y285" s="77">
        <f t="shared" si="141"/>
        <v>0</v>
      </c>
      <c r="Z285" s="78"/>
      <c r="AA285" s="142"/>
      <c r="AB285" s="142"/>
      <c r="AC285" s="77">
        <f t="shared" si="142"/>
        <v>0</v>
      </c>
      <c r="AD285" s="78"/>
      <c r="AE285" s="143"/>
      <c r="AF285" s="143"/>
      <c r="AG285" s="79">
        <f t="shared" si="143"/>
        <v>0</v>
      </c>
      <c r="AH285" s="75"/>
      <c r="AI285" s="76"/>
      <c r="AJ285" s="135"/>
      <c r="AK285" s="157"/>
      <c r="AL285" s="77">
        <f t="shared" si="144"/>
        <v>0</v>
      </c>
      <c r="AM285" s="76"/>
      <c r="AN285" s="142"/>
      <c r="AO285" s="142"/>
      <c r="AP285" s="77">
        <f t="shared" si="145"/>
        <v>0</v>
      </c>
      <c r="AQ285" s="78"/>
      <c r="AR285" s="142"/>
      <c r="AS285" s="142"/>
      <c r="AT285" s="79">
        <f t="shared" si="146"/>
        <v>0</v>
      </c>
      <c r="AU285" s="75"/>
      <c r="AV285" s="76"/>
      <c r="AW285" s="135"/>
      <c r="AX285" s="135"/>
      <c r="AY285" s="77">
        <f t="shared" si="147"/>
        <v>0</v>
      </c>
      <c r="AZ285" s="76"/>
      <c r="BA285" s="142"/>
      <c r="BB285" s="142"/>
      <c r="BC285" s="77">
        <f t="shared" si="148"/>
        <v>0</v>
      </c>
      <c r="BD285" s="78"/>
      <c r="BE285" s="142"/>
      <c r="BF285" s="142"/>
      <c r="BG285" s="79">
        <f t="shared" si="149"/>
        <v>0</v>
      </c>
      <c r="BH285" s="75"/>
      <c r="BI285" s="76"/>
      <c r="BJ285" s="135"/>
      <c r="BK285" s="135"/>
      <c r="BL285" s="77">
        <f t="shared" si="150"/>
        <v>0</v>
      </c>
      <c r="BM285" s="78"/>
      <c r="BN285" s="142"/>
      <c r="BO285" s="142"/>
      <c r="BP285" s="77">
        <f t="shared" si="151"/>
        <v>0</v>
      </c>
      <c r="BQ285" s="78"/>
      <c r="BR285" s="142"/>
      <c r="BS285" s="142"/>
      <c r="BT285" s="79">
        <f t="shared" si="152"/>
        <v>0</v>
      </c>
      <c r="BU285" s="75"/>
      <c r="BV285" s="76"/>
      <c r="BW285" s="135"/>
      <c r="BX285" s="135"/>
      <c r="BY285" s="77">
        <f t="shared" si="153"/>
        <v>0</v>
      </c>
      <c r="BZ285" s="78"/>
      <c r="CA285" s="142"/>
      <c r="CB285" s="142"/>
      <c r="CC285" s="77">
        <f t="shared" si="154"/>
        <v>0</v>
      </c>
      <c r="CD285" s="78"/>
      <c r="CE285" s="142"/>
      <c r="CF285" s="142"/>
      <c r="CG285" s="79">
        <f t="shared" si="155"/>
        <v>0</v>
      </c>
      <c r="CH285" s="75"/>
      <c r="CI285" s="76"/>
      <c r="CJ285" s="86"/>
      <c r="CK285" s="86"/>
      <c r="CL285" s="77">
        <f t="shared" si="156"/>
        <v>0</v>
      </c>
      <c r="CM285" s="78"/>
      <c r="CN285" s="85"/>
      <c r="CO285" s="85"/>
      <c r="CP285" s="77">
        <f t="shared" si="157"/>
        <v>0</v>
      </c>
      <c r="CQ285" s="78"/>
      <c r="CR285" s="85"/>
      <c r="CS285" s="85"/>
      <c r="CT285" s="79">
        <f t="shared" si="158"/>
        <v>0</v>
      </c>
      <c r="CU285" s="80">
        <f t="shared" si="136"/>
        <v>0</v>
      </c>
      <c r="CV285" s="81">
        <f t="shared" si="137"/>
        <v>0</v>
      </c>
      <c r="CW285" s="144"/>
      <c r="CX285" s="145">
        <f>IF(ISERROR(VLOOKUP($A285,FIJOS!$B$11:$O$590,14,FALSE)),0,VLOOKUP($A285,FIJOS!$B$11:$O$590,14,FALSE))</f>
        <v>0</v>
      </c>
      <c r="CY285" s="145">
        <f>IF(ISERROR(VLOOKUP(A285,FIJOS!$B$10:$P$590,15,FALSE)),0,VLOOKUP(A285,FIJOS!$B$10:$P$590,15,FALSE))</f>
        <v>0</v>
      </c>
      <c r="CZ285" s="155"/>
      <c r="DA285" s="147"/>
      <c r="DB285" s="147"/>
      <c r="DC285" s="147"/>
      <c r="DD285" s="147"/>
      <c r="DE285" s="147"/>
      <c r="DF285" s="145">
        <f>IF(ISERROR(VLOOKUP($A285,FIJOS!$B$11:$N$590,13,FALSE)),0,VLOOKUP($A285,FIJOS!$B$11:$N$590,13,FALSE))</f>
        <v>0</v>
      </c>
      <c r="DG285" s="145">
        <f>IF(ISERROR(VLOOKUP($A285,FIJOS!$B$11:$P$447,12,FALSE)),0,VLOOKUP($A285,FIJOS!$B$11:$P$447,12,FALSE))</f>
        <v>0</v>
      </c>
      <c r="DH285" s="82">
        <f t="shared" si="159"/>
        <v>0</v>
      </c>
      <c r="DI285" s="83" t="b">
        <f>IF($C285=1,(VLOOKUP($A285,FIJOS!$B$11:$P$545,10,FALSE)/7)*(7-$CU285),IF(AND($C285=2,CV285&lt;$DJ$1),(VLOOKUP($D285,HORAS!$B$4:$C$42,2,FALSE)*24)*$CV285,IF(AND($C285=2,CV285&gt;=$DJ$1),VLOOKUP($D285,HORAS!$B$4:$D$42,3,FALSE),IF(AND($C285=3,$CV285&gt;=$DJ$1),VLOOKUP($A285,FIJOS!$B$11:$P$545,10,FALSE),IF(AND($C285=3,$CV285&lt;$DJ$1),((VLOOKUP($A285,FIJOS!$B$11:$P$545,10,FALSE)/48)*24)*$CV285,IF(AND($C285=4,$CV285&gt;=(42/24)),VLOOKUP($D285,HORAS!$B$4:$D$42,3,FALSE),IF(AND($C285=5,$CV285&gt;=(36/24)),VLOOKUP($D285,HORAS!$B$4:$D$42,3,FALSE))))))))</f>
        <v>0</v>
      </c>
      <c r="DJ285" s="145">
        <f>IF(OR($C285=2),VLOOKUP($D285,HORAS!$B$4:$E$42,4,FALSE)*$EC285,IF(ISERROR(VLOOKUP($A285,FIJOS!$B$11:$P$108,9,FALSE)),0,VLOOKUP($A285,FIJOS!$B$11:$P$231,9,FALSE)*$EC285))</f>
        <v>0</v>
      </c>
      <c r="DK285" s="145">
        <f>IF(OR($C285=2),VLOOKUP($D285,HORAS!$B$4:$F$42,5,FALSE)*$EE285,IF(ISERROR(VLOOKUP($A285,FIJOS!$B$11:$P$108,9,FALSE)),0,VLOOKUP($A285,FIJOS!$B$11:$P$231,9,FALSE)*$EE285))</f>
        <v>0</v>
      </c>
      <c r="DL285" s="144"/>
      <c r="DM285" s="145">
        <f>IF(ISERROR(VLOOKUP($A285,FIJOS!$B$11:$L$646,11,FALSE)),0,VLOOKUP($A285,FIJOS!$B$11:$L$646,11,FALSE))</f>
        <v>0</v>
      </c>
      <c r="DN285" s="148" t="e">
        <f>IF(OR($C285=1,$C285=3),0,IF((VLOOKUP(CAPTURA!D285,HORAS!$B$4:$K$42,10,FALSE)/4)*COUNTIF($H285:$CT285,3)&gt;100,100,(VLOOKUP(CAPTURA!D285,HORAS!$B$4:$K$42,10,FALSE)/4)*COUNTIF($H285:$CT285,3)))</f>
        <v>#N/A</v>
      </c>
      <c r="DO285" s="144" t="e">
        <f>IF(OR($C285=1,$C285=3),0,IF($C285=5,VLOOKUP(D285,HORAS!$B$4:$G$42,6,FALSE),IF(AND($C285=4,$CV285&gt;=(42/24)),VLOOKUP(D285,HORAS!$B$4:$G$42,6,FALSE),IF(COUNTIF($H285:$CL285,"F")&gt;0,0,IF(CV285&gt;$DJ$1,$DJ$1*(VLOOKUP(D285,HORAS!$B$4:$G$42,6,FALSE)/$DJ$1),CV285*(VLOOKUP(D285,HORAS!$B$4:$G$42,6,FALSE)/$DJ$1))))))</f>
        <v>#N/A</v>
      </c>
      <c r="DP285" s="156"/>
      <c r="DQ285" s="148"/>
      <c r="DR285" s="148"/>
      <c r="DS285" s="83" t="e">
        <f t="shared" si="162"/>
        <v>#N/A</v>
      </c>
      <c r="DT285" s="84"/>
      <c r="DU285" s="149" t="e">
        <f t="shared" si="163"/>
        <v>#N/A</v>
      </c>
      <c r="DV285" s="149" t="e">
        <f t="shared" si="164"/>
        <v>#N/A</v>
      </c>
      <c r="DW285" s="144" t="e">
        <f t="shared" si="165"/>
        <v>#N/A</v>
      </c>
      <c r="DX285"/>
      <c r="DY285" s="29"/>
      <c r="DZ285" s="150"/>
      <c r="EA285" s="134"/>
      <c r="EB285" s="137">
        <f t="shared" si="166"/>
        <v>0</v>
      </c>
      <c r="EC285" s="138">
        <f t="shared" si="160"/>
        <v>0</v>
      </c>
      <c r="ED285" s="137">
        <f t="shared" si="167"/>
        <v>0</v>
      </c>
      <c r="EE285" s="132">
        <f t="shared" si="161"/>
        <v>0</v>
      </c>
      <c r="EF285" s="29"/>
      <c r="EG285" s="134"/>
      <c r="EH285" s="134"/>
      <c r="EI285" s="134"/>
      <c r="EK285" s="29"/>
    </row>
    <row r="286" spans="1:141" ht="15" customHeight="1" x14ac:dyDescent="0.25">
      <c r="A286" s="87"/>
      <c r="B286" s="5"/>
      <c r="C286" s="72"/>
      <c r="D286" s="73"/>
      <c r="E286" s="73"/>
      <c r="F286" s="141"/>
      <c r="G286" s="74"/>
      <c r="H286" s="75"/>
      <c r="I286" s="76"/>
      <c r="J286" s="135"/>
      <c r="K286" s="157"/>
      <c r="L286" s="77">
        <f t="shared" si="138"/>
        <v>0</v>
      </c>
      <c r="M286" s="78"/>
      <c r="N286" s="142"/>
      <c r="O286" s="142"/>
      <c r="P286" s="77">
        <f t="shared" si="139"/>
        <v>0</v>
      </c>
      <c r="Q286" s="78"/>
      <c r="R286" s="143"/>
      <c r="S286" s="143"/>
      <c r="T286" s="77">
        <f t="shared" si="140"/>
        <v>0</v>
      </c>
      <c r="U286" s="75"/>
      <c r="V286" s="76"/>
      <c r="W286" s="135"/>
      <c r="X286" s="135"/>
      <c r="Y286" s="77">
        <f t="shared" si="141"/>
        <v>0</v>
      </c>
      <c r="Z286" s="78"/>
      <c r="AA286" s="142"/>
      <c r="AB286" s="142"/>
      <c r="AC286" s="77">
        <f t="shared" si="142"/>
        <v>0</v>
      </c>
      <c r="AD286" s="78"/>
      <c r="AE286" s="143"/>
      <c r="AF286" s="143"/>
      <c r="AG286" s="79">
        <f t="shared" si="143"/>
        <v>0</v>
      </c>
      <c r="AH286" s="75"/>
      <c r="AI286" s="76"/>
      <c r="AJ286" s="135"/>
      <c r="AK286" s="135"/>
      <c r="AL286" s="77">
        <f t="shared" si="144"/>
        <v>0</v>
      </c>
      <c r="AM286" s="76"/>
      <c r="AN286" s="142"/>
      <c r="AO286" s="142"/>
      <c r="AP286" s="77">
        <f t="shared" si="145"/>
        <v>0</v>
      </c>
      <c r="AQ286" s="78"/>
      <c r="AR286" s="142"/>
      <c r="AS286" s="142"/>
      <c r="AT286" s="79">
        <f t="shared" si="146"/>
        <v>0</v>
      </c>
      <c r="AU286" s="75"/>
      <c r="AV286" s="76"/>
      <c r="AW286" s="135"/>
      <c r="AX286" s="135"/>
      <c r="AY286" s="77">
        <f t="shared" si="147"/>
        <v>0</v>
      </c>
      <c r="AZ286" s="76"/>
      <c r="BA286" s="142"/>
      <c r="BB286" s="142"/>
      <c r="BC286" s="77">
        <f t="shared" si="148"/>
        <v>0</v>
      </c>
      <c r="BD286" s="78"/>
      <c r="BE286" s="142"/>
      <c r="BF286" s="142"/>
      <c r="BG286" s="79">
        <f t="shared" si="149"/>
        <v>0</v>
      </c>
      <c r="BH286" s="75"/>
      <c r="BI286" s="76"/>
      <c r="BJ286" s="135"/>
      <c r="BK286" s="135"/>
      <c r="BL286" s="77">
        <f t="shared" si="150"/>
        <v>0</v>
      </c>
      <c r="BM286" s="78"/>
      <c r="BN286" s="142"/>
      <c r="BO286" s="142"/>
      <c r="BP286" s="77">
        <f t="shared" si="151"/>
        <v>0</v>
      </c>
      <c r="BQ286" s="78"/>
      <c r="BR286" s="142"/>
      <c r="BS286" s="142"/>
      <c r="BT286" s="79">
        <f t="shared" si="152"/>
        <v>0</v>
      </c>
      <c r="BU286" s="75"/>
      <c r="BV286" s="76"/>
      <c r="BW286" s="135"/>
      <c r="BX286" s="135"/>
      <c r="BY286" s="77">
        <f t="shared" si="153"/>
        <v>0</v>
      </c>
      <c r="BZ286" s="78"/>
      <c r="CA286" s="142"/>
      <c r="CB286" s="142"/>
      <c r="CC286" s="77">
        <f t="shared" si="154"/>
        <v>0</v>
      </c>
      <c r="CD286" s="78"/>
      <c r="CE286" s="142"/>
      <c r="CF286" s="142"/>
      <c r="CG286" s="79">
        <f t="shared" si="155"/>
        <v>0</v>
      </c>
      <c r="CH286" s="75"/>
      <c r="CI286" s="76"/>
      <c r="CJ286" s="86"/>
      <c r="CK286" s="86"/>
      <c r="CL286" s="77">
        <f t="shared" si="156"/>
        <v>0</v>
      </c>
      <c r="CM286" s="78"/>
      <c r="CN286" s="85"/>
      <c r="CO286" s="85"/>
      <c r="CP286" s="77">
        <f t="shared" si="157"/>
        <v>0</v>
      </c>
      <c r="CQ286" s="78"/>
      <c r="CR286" s="85"/>
      <c r="CS286" s="85"/>
      <c r="CT286" s="79">
        <f t="shared" si="158"/>
        <v>0</v>
      </c>
      <c r="CU286" s="80">
        <f t="shared" si="136"/>
        <v>0</v>
      </c>
      <c r="CV286" s="81">
        <f t="shared" si="137"/>
        <v>0</v>
      </c>
      <c r="CW286" s="144"/>
      <c r="CX286" s="145">
        <f>IF(ISERROR(VLOOKUP($A286,FIJOS!$B$11:$O$590,14,FALSE)),0,VLOOKUP($A286,FIJOS!$B$11:$O$590,14,FALSE))</f>
        <v>0</v>
      </c>
      <c r="CY286" s="145">
        <f>IF(ISERROR(VLOOKUP(A286,FIJOS!$B$10:$P$590,15,FALSE)),0,VLOOKUP(A286,FIJOS!$B$10:$P$590,15,FALSE))</f>
        <v>0</v>
      </c>
      <c r="CZ286" s="155"/>
      <c r="DA286" s="147"/>
      <c r="DB286" s="147"/>
      <c r="DC286" s="147"/>
      <c r="DD286" s="147"/>
      <c r="DE286" s="147"/>
      <c r="DF286" s="145">
        <f>IF(ISERROR(VLOOKUP($A286,FIJOS!$B$11:$N$590,13,FALSE)),0,VLOOKUP($A286,FIJOS!$B$11:$N$590,13,FALSE))</f>
        <v>0</v>
      </c>
      <c r="DG286" s="145">
        <f>IF(ISERROR(VLOOKUP($A286,FIJOS!$B$11:$P$447,12,FALSE)),0,VLOOKUP($A286,FIJOS!$B$11:$P$447,12,FALSE))</f>
        <v>0</v>
      </c>
      <c r="DH286" s="82">
        <f t="shared" si="159"/>
        <v>0</v>
      </c>
      <c r="DI286" s="83" t="b">
        <f>IF($C286=1,(VLOOKUP($A286,FIJOS!$B$11:$P$545,10,FALSE)/7)*(7-$CU286),IF(AND($C286=2,CV286&lt;$DJ$1),(VLOOKUP($D286,HORAS!$B$4:$C$42,2,FALSE)*24)*$CV286,IF(AND($C286=2,CV286&gt;=$DJ$1),VLOOKUP($D286,HORAS!$B$4:$D$42,3,FALSE),IF(AND($C286=3,$CV286&gt;=$DJ$1),VLOOKUP($A286,FIJOS!$B$11:$P$545,10,FALSE),IF(AND($C286=3,$CV286&lt;$DJ$1),((VLOOKUP($A286,FIJOS!$B$11:$P$545,10,FALSE)/48)*24)*$CV286,IF(AND($C286=4,$CV286&gt;=(42/24)),VLOOKUP($D286,HORAS!$B$4:$D$42,3,FALSE),IF(AND($C286=5,$CV286&gt;=(36/24)),VLOOKUP($D286,HORAS!$B$4:$D$42,3,FALSE))))))))</f>
        <v>0</v>
      </c>
      <c r="DJ286" s="145">
        <f>IF(OR($C286=2),VLOOKUP($D286,HORAS!$B$4:$E$42,4,FALSE)*$EC286,IF(ISERROR(VLOOKUP($A286,FIJOS!$B$11:$P$108,9,FALSE)),0,VLOOKUP($A286,FIJOS!$B$11:$P$231,9,FALSE)*$EC286))</f>
        <v>0</v>
      </c>
      <c r="DK286" s="145">
        <f>IF(OR($C286=2),VLOOKUP($D286,HORAS!$B$4:$F$42,5,FALSE)*$EE286,IF(ISERROR(VLOOKUP($A286,FIJOS!$B$11:$P$108,9,FALSE)),0,VLOOKUP($A286,FIJOS!$B$11:$P$231,9,FALSE)*$EE286))</f>
        <v>0</v>
      </c>
      <c r="DL286" s="144"/>
      <c r="DM286" s="145">
        <f>IF(ISERROR(VLOOKUP($A286,FIJOS!$B$11:$L$646,11,FALSE)),0,VLOOKUP($A286,FIJOS!$B$11:$L$646,11,FALSE))</f>
        <v>0</v>
      </c>
      <c r="DN286" s="148" t="e">
        <f>IF(OR($C286=1,$C286=3),0,IF((VLOOKUP(CAPTURA!D286,HORAS!$B$4:$K$42,10,FALSE)/4)*COUNTIF($H286:$CT286,3)&gt;100,100,(VLOOKUP(CAPTURA!D286,HORAS!$B$4:$K$42,10,FALSE)/4)*COUNTIF($H286:$CT286,3)))</f>
        <v>#N/A</v>
      </c>
      <c r="DO286" s="144" t="e">
        <f>IF(OR($C286=1,$C286=3),0,IF($C286=5,VLOOKUP(D286,HORAS!$B$4:$G$42,6,FALSE),IF(AND($C286=4,$CV286&gt;=(42/24)),VLOOKUP(D286,HORAS!$B$4:$G$42,6,FALSE),IF(COUNTIF($H286:$CL286,"F")&gt;0,0,IF(CV286&gt;$DJ$1,$DJ$1*(VLOOKUP(D286,HORAS!$B$4:$G$42,6,FALSE)/$DJ$1),CV286*(VLOOKUP(D286,HORAS!$B$4:$G$42,6,FALSE)/$DJ$1))))))</f>
        <v>#N/A</v>
      </c>
      <c r="DP286" s="156"/>
      <c r="DQ286" s="148"/>
      <c r="DR286" s="148"/>
      <c r="DS286" s="83" t="e">
        <f t="shared" si="162"/>
        <v>#N/A</v>
      </c>
      <c r="DT286" s="84"/>
      <c r="DU286" s="149" t="e">
        <f t="shared" si="163"/>
        <v>#N/A</v>
      </c>
      <c r="DV286" s="149" t="e">
        <f t="shared" si="164"/>
        <v>#N/A</v>
      </c>
      <c r="DW286" s="144" t="e">
        <f t="shared" si="165"/>
        <v>#N/A</v>
      </c>
      <c r="DX286"/>
      <c r="DY286" s="29"/>
      <c r="DZ286" s="150"/>
      <c r="EA286" s="134"/>
      <c r="EB286" s="137">
        <f t="shared" si="166"/>
        <v>0</v>
      </c>
      <c r="EC286" s="138">
        <f t="shared" si="160"/>
        <v>0</v>
      </c>
      <c r="ED286" s="137">
        <f t="shared" si="167"/>
        <v>0</v>
      </c>
      <c r="EE286" s="132">
        <f t="shared" si="161"/>
        <v>0</v>
      </c>
      <c r="EF286" s="29"/>
      <c r="EG286" s="134"/>
      <c r="EH286" s="134"/>
      <c r="EI286" s="134"/>
      <c r="EK286" s="29"/>
    </row>
    <row r="287" spans="1:141" ht="15" customHeight="1" x14ac:dyDescent="0.25">
      <c r="A287" s="87"/>
      <c r="B287" s="5"/>
      <c r="C287" s="72"/>
      <c r="D287" s="73"/>
      <c r="E287" s="73"/>
      <c r="F287" s="141"/>
      <c r="G287" s="74"/>
      <c r="H287" s="75"/>
      <c r="I287" s="76"/>
      <c r="J287" s="135"/>
      <c r="K287" s="135"/>
      <c r="L287" s="77">
        <f t="shared" si="138"/>
        <v>0</v>
      </c>
      <c r="M287" s="78"/>
      <c r="N287" s="142"/>
      <c r="O287" s="142"/>
      <c r="P287" s="77">
        <f t="shared" si="139"/>
        <v>0</v>
      </c>
      <c r="Q287" s="78"/>
      <c r="R287" s="143"/>
      <c r="S287" s="143"/>
      <c r="T287" s="77">
        <f t="shared" si="140"/>
        <v>0</v>
      </c>
      <c r="U287" s="75"/>
      <c r="V287" s="76"/>
      <c r="W287" s="135"/>
      <c r="X287" s="135"/>
      <c r="Y287" s="77">
        <f t="shared" si="141"/>
        <v>0</v>
      </c>
      <c r="Z287" s="78"/>
      <c r="AA287" s="142"/>
      <c r="AB287" s="142"/>
      <c r="AC287" s="77">
        <f t="shared" si="142"/>
        <v>0</v>
      </c>
      <c r="AD287" s="78"/>
      <c r="AE287" s="143"/>
      <c r="AF287" s="143"/>
      <c r="AG287" s="79">
        <f t="shared" si="143"/>
        <v>0</v>
      </c>
      <c r="AH287" s="75"/>
      <c r="AI287" s="76"/>
      <c r="AJ287" s="135"/>
      <c r="AK287" s="135"/>
      <c r="AL287" s="77">
        <f t="shared" si="144"/>
        <v>0</v>
      </c>
      <c r="AM287" s="76"/>
      <c r="AN287" s="142"/>
      <c r="AO287" s="142"/>
      <c r="AP287" s="77">
        <f t="shared" si="145"/>
        <v>0</v>
      </c>
      <c r="AQ287" s="78"/>
      <c r="AR287" s="142"/>
      <c r="AS287" s="142"/>
      <c r="AT287" s="79">
        <f t="shared" si="146"/>
        <v>0</v>
      </c>
      <c r="AU287" s="75"/>
      <c r="AV287" s="76"/>
      <c r="AW287" s="135"/>
      <c r="AX287" s="135"/>
      <c r="AY287" s="77">
        <f t="shared" si="147"/>
        <v>0</v>
      </c>
      <c r="AZ287" s="76"/>
      <c r="BA287" s="142"/>
      <c r="BB287" s="142"/>
      <c r="BC287" s="77">
        <f t="shared" si="148"/>
        <v>0</v>
      </c>
      <c r="BD287" s="78"/>
      <c r="BE287" s="142"/>
      <c r="BF287" s="142"/>
      <c r="BG287" s="79">
        <f t="shared" si="149"/>
        <v>0</v>
      </c>
      <c r="BH287" s="75"/>
      <c r="BI287" s="76"/>
      <c r="BJ287" s="135"/>
      <c r="BK287" s="135"/>
      <c r="BL287" s="77">
        <f t="shared" si="150"/>
        <v>0</v>
      </c>
      <c r="BM287" s="78"/>
      <c r="BN287" s="142"/>
      <c r="BO287" s="142"/>
      <c r="BP287" s="77">
        <f t="shared" si="151"/>
        <v>0</v>
      </c>
      <c r="BQ287" s="78"/>
      <c r="BR287" s="142"/>
      <c r="BS287" s="142"/>
      <c r="BT287" s="79">
        <f t="shared" si="152"/>
        <v>0</v>
      </c>
      <c r="BU287" s="75"/>
      <c r="BV287" s="76"/>
      <c r="BW287" s="135"/>
      <c r="BX287" s="135"/>
      <c r="BY287" s="77">
        <f t="shared" si="153"/>
        <v>0</v>
      </c>
      <c r="BZ287" s="78"/>
      <c r="CA287" s="142"/>
      <c r="CB287" s="142"/>
      <c r="CC287" s="77">
        <f t="shared" si="154"/>
        <v>0</v>
      </c>
      <c r="CD287" s="78"/>
      <c r="CE287" s="142"/>
      <c r="CF287" s="142"/>
      <c r="CG287" s="79">
        <f t="shared" si="155"/>
        <v>0</v>
      </c>
      <c r="CH287" s="75"/>
      <c r="CI287" s="76"/>
      <c r="CJ287" s="86"/>
      <c r="CK287" s="86"/>
      <c r="CL287" s="77">
        <f t="shared" si="156"/>
        <v>0</v>
      </c>
      <c r="CM287" s="78"/>
      <c r="CN287" s="85"/>
      <c r="CO287" s="85"/>
      <c r="CP287" s="77">
        <f t="shared" si="157"/>
        <v>0</v>
      </c>
      <c r="CQ287" s="78"/>
      <c r="CR287" s="85"/>
      <c r="CS287" s="85"/>
      <c r="CT287" s="79">
        <f t="shared" si="158"/>
        <v>0</v>
      </c>
      <c r="CU287" s="80">
        <f t="shared" si="136"/>
        <v>0</v>
      </c>
      <c r="CV287" s="81">
        <f t="shared" si="137"/>
        <v>0</v>
      </c>
      <c r="CW287" s="144"/>
      <c r="CX287" s="145">
        <f>IF(ISERROR(VLOOKUP($A287,FIJOS!$B$11:$O$590,14,FALSE)),0,VLOOKUP($A287,FIJOS!$B$11:$O$590,14,FALSE))</f>
        <v>0</v>
      </c>
      <c r="CY287" s="145">
        <f>IF(ISERROR(VLOOKUP(A287,FIJOS!$B$10:$P$590,15,FALSE)),0,VLOOKUP(A287,FIJOS!$B$10:$P$590,15,FALSE))</f>
        <v>0</v>
      </c>
      <c r="CZ287" s="155"/>
      <c r="DA287" s="147"/>
      <c r="DB287" s="147"/>
      <c r="DC287" s="147"/>
      <c r="DD287" s="147"/>
      <c r="DE287" s="147"/>
      <c r="DF287" s="145">
        <f>IF(ISERROR(VLOOKUP($A287,FIJOS!$B$11:$N$590,13,FALSE)),0,VLOOKUP($A287,FIJOS!$B$11:$N$590,13,FALSE))</f>
        <v>0</v>
      </c>
      <c r="DG287" s="145">
        <f>IF(ISERROR(VLOOKUP($A287,FIJOS!$B$11:$P$447,12,FALSE)),0,VLOOKUP($A287,FIJOS!$B$11:$P$447,12,FALSE))</f>
        <v>0</v>
      </c>
      <c r="DH287" s="82">
        <f t="shared" si="159"/>
        <v>0</v>
      </c>
      <c r="DI287" s="83" t="b">
        <f>IF($C287=1,(VLOOKUP($A287,FIJOS!$B$11:$P$545,10,FALSE)/7)*(7-$CU287),IF(AND($C287=2,CV287&lt;$DJ$1),(VLOOKUP($D287,HORAS!$B$4:$C$42,2,FALSE)*24)*$CV287,IF(AND($C287=2,CV287&gt;=$DJ$1),VLOOKUP($D287,HORAS!$B$4:$D$42,3,FALSE),IF(AND($C287=3,$CV287&gt;=$DJ$1),VLOOKUP($A287,FIJOS!$B$11:$P$545,10,FALSE),IF(AND($C287=3,$CV287&lt;$DJ$1),((VLOOKUP($A287,FIJOS!$B$11:$P$545,10,FALSE)/48)*24)*$CV287,IF(AND($C287=4,$CV287&gt;=(42/24)),VLOOKUP($D287,HORAS!$B$4:$D$42,3,FALSE),IF(AND($C287=5,$CV287&gt;=(36/24)),VLOOKUP($D287,HORAS!$B$4:$D$42,3,FALSE))))))))</f>
        <v>0</v>
      </c>
      <c r="DJ287" s="145">
        <f>IF(OR($C287=2),VLOOKUP($D287,HORAS!$B$4:$E$42,4,FALSE)*$EC287,IF(ISERROR(VLOOKUP($A287,FIJOS!$B$11:$P$108,9,FALSE)),0,VLOOKUP($A287,FIJOS!$B$11:$P$231,9,FALSE)*$EC287))</f>
        <v>0</v>
      </c>
      <c r="DK287" s="145">
        <f>IF(OR($C287=2),VLOOKUP($D287,HORAS!$B$4:$F$42,5,FALSE)*$EE287,IF(ISERROR(VLOOKUP($A287,FIJOS!$B$11:$P$108,9,FALSE)),0,VLOOKUP($A287,FIJOS!$B$11:$P$231,9,FALSE)*$EE287))</f>
        <v>0</v>
      </c>
      <c r="DL287" s="144"/>
      <c r="DM287" s="145">
        <f>IF(ISERROR(VLOOKUP($A287,FIJOS!$B$11:$L$646,11,FALSE)),0,VLOOKUP($A287,FIJOS!$B$11:$L$646,11,FALSE))</f>
        <v>0</v>
      </c>
      <c r="DN287" s="148" t="e">
        <f>IF(OR($C287=1,$C287=3),0,IF((VLOOKUP(CAPTURA!D287,HORAS!$B$4:$K$42,10,FALSE)/4)*COUNTIF($H287:$CT287,3)&gt;100,100,(VLOOKUP(CAPTURA!D287,HORAS!$B$4:$K$42,10,FALSE)/4)*COUNTIF($H287:$CT287,3)))</f>
        <v>#N/A</v>
      </c>
      <c r="DO287" s="144" t="e">
        <f>IF(OR($C287=1,$C287=3),0,IF($C287=5,VLOOKUP(D287,HORAS!$B$4:$G$42,6,FALSE),IF(AND($C287=4,$CV287&gt;=(42/24)),VLOOKUP(D287,HORAS!$B$4:$G$42,6,FALSE),IF(COUNTIF($H287:$CL287,"F")&gt;0,0,IF(CV287&gt;$DJ$1,$DJ$1*(VLOOKUP(D287,HORAS!$B$4:$G$42,6,FALSE)/$DJ$1),CV287*(VLOOKUP(D287,HORAS!$B$4:$G$42,6,FALSE)/$DJ$1))))))</f>
        <v>#N/A</v>
      </c>
      <c r="DP287" s="156"/>
      <c r="DQ287" s="148"/>
      <c r="DR287" s="148"/>
      <c r="DS287" s="83" t="e">
        <f t="shared" si="162"/>
        <v>#N/A</v>
      </c>
      <c r="DT287" s="84"/>
      <c r="DU287" s="149" t="e">
        <f t="shared" si="163"/>
        <v>#N/A</v>
      </c>
      <c r="DV287" s="149" t="e">
        <f t="shared" si="164"/>
        <v>#N/A</v>
      </c>
      <c r="DW287" s="144" t="e">
        <f t="shared" si="165"/>
        <v>#N/A</v>
      </c>
      <c r="DX287"/>
      <c r="DY287" s="29"/>
      <c r="DZ287" s="150"/>
      <c r="EA287" s="134"/>
      <c r="EB287" s="137">
        <f t="shared" si="166"/>
        <v>0</v>
      </c>
      <c r="EC287" s="138">
        <f t="shared" si="160"/>
        <v>0</v>
      </c>
      <c r="ED287" s="137">
        <f t="shared" si="167"/>
        <v>0</v>
      </c>
      <c r="EE287" s="132">
        <f t="shared" si="161"/>
        <v>0</v>
      </c>
      <c r="EF287" s="29"/>
      <c r="EG287" s="134"/>
      <c r="EH287" s="134"/>
      <c r="EI287" s="134"/>
      <c r="EK287" s="29"/>
    </row>
    <row r="288" spans="1:141" ht="15" customHeight="1" x14ac:dyDescent="0.25">
      <c r="A288" s="87"/>
      <c r="B288" s="5"/>
      <c r="C288" s="72"/>
      <c r="D288" s="73"/>
      <c r="E288" s="73"/>
      <c r="F288" s="141"/>
      <c r="G288" s="74"/>
      <c r="H288" s="75"/>
      <c r="I288" s="76"/>
      <c r="J288" s="135"/>
      <c r="K288" s="135"/>
      <c r="L288" s="77">
        <f t="shared" si="138"/>
        <v>0</v>
      </c>
      <c r="M288" s="78"/>
      <c r="N288" s="142"/>
      <c r="O288" s="142"/>
      <c r="P288" s="77">
        <f t="shared" si="139"/>
        <v>0</v>
      </c>
      <c r="Q288" s="78"/>
      <c r="R288" s="143"/>
      <c r="S288" s="143"/>
      <c r="T288" s="77">
        <f t="shared" si="140"/>
        <v>0</v>
      </c>
      <c r="U288" s="75"/>
      <c r="V288" s="76"/>
      <c r="W288" s="135"/>
      <c r="X288" s="135"/>
      <c r="Y288" s="77">
        <f t="shared" si="141"/>
        <v>0</v>
      </c>
      <c r="Z288" s="78"/>
      <c r="AA288" s="142"/>
      <c r="AB288" s="142"/>
      <c r="AC288" s="77">
        <f t="shared" si="142"/>
        <v>0</v>
      </c>
      <c r="AD288" s="78"/>
      <c r="AE288" s="143"/>
      <c r="AF288" s="143"/>
      <c r="AG288" s="79">
        <f t="shared" si="143"/>
        <v>0</v>
      </c>
      <c r="AH288" s="75"/>
      <c r="AI288" s="76"/>
      <c r="AJ288" s="135"/>
      <c r="AK288" s="135"/>
      <c r="AL288" s="77">
        <f t="shared" si="144"/>
        <v>0</v>
      </c>
      <c r="AM288" s="76"/>
      <c r="AN288" s="142"/>
      <c r="AO288" s="142"/>
      <c r="AP288" s="77">
        <f t="shared" si="145"/>
        <v>0</v>
      </c>
      <c r="AQ288" s="78"/>
      <c r="AR288" s="142"/>
      <c r="AS288" s="142"/>
      <c r="AT288" s="79">
        <f t="shared" si="146"/>
        <v>0</v>
      </c>
      <c r="AU288" s="75"/>
      <c r="AV288" s="76"/>
      <c r="AW288" s="135"/>
      <c r="AX288" s="135"/>
      <c r="AY288" s="77">
        <f t="shared" si="147"/>
        <v>0</v>
      </c>
      <c r="AZ288" s="76"/>
      <c r="BA288" s="142"/>
      <c r="BB288" s="142"/>
      <c r="BC288" s="77">
        <f t="shared" si="148"/>
        <v>0</v>
      </c>
      <c r="BD288" s="78"/>
      <c r="BE288" s="142"/>
      <c r="BF288" s="142"/>
      <c r="BG288" s="79">
        <f t="shared" si="149"/>
        <v>0</v>
      </c>
      <c r="BH288" s="75"/>
      <c r="BI288" s="76"/>
      <c r="BJ288" s="135"/>
      <c r="BK288" s="135"/>
      <c r="BL288" s="77">
        <f t="shared" si="150"/>
        <v>0</v>
      </c>
      <c r="BM288" s="78"/>
      <c r="BN288" s="142"/>
      <c r="BO288" s="142"/>
      <c r="BP288" s="77">
        <f t="shared" si="151"/>
        <v>0</v>
      </c>
      <c r="BQ288" s="78"/>
      <c r="BR288" s="142"/>
      <c r="BS288" s="142"/>
      <c r="BT288" s="79">
        <f t="shared" si="152"/>
        <v>0</v>
      </c>
      <c r="BU288" s="75"/>
      <c r="BV288" s="76"/>
      <c r="BW288" s="135"/>
      <c r="BX288" s="135"/>
      <c r="BY288" s="77">
        <f t="shared" si="153"/>
        <v>0</v>
      </c>
      <c r="BZ288" s="78"/>
      <c r="CA288" s="142"/>
      <c r="CB288" s="142"/>
      <c r="CC288" s="77">
        <f t="shared" si="154"/>
        <v>0</v>
      </c>
      <c r="CD288" s="78"/>
      <c r="CE288" s="142"/>
      <c r="CF288" s="142"/>
      <c r="CG288" s="79">
        <f t="shared" si="155"/>
        <v>0</v>
      </c>
      <c r="CH288" s="75"/>
      <c r="CI288" s="76"/>
      <c r="CJ288" s="86"/>
      <c r="CK288" s="86"/>
      <c r="CL288" s="77">
        <f t="shared" si="156"/>
        <v>0</v>
      </c>
      <c r="CM288" s="78"/>
      <c r="CN288" s="85"/>
      <c r="CO288" s="85"/>
      <c r="CP288" s="77">
        <f t="shared" si="157"/>
        <v>0</v>
      </c>
      <c r="CQ288" s="78"/>
      <c r="CR288" s="85"/>
      <c r="CS288" s="85"/>
      <c r="CT288" s="79">
        <f t="shared" si="158"/>
        <v>0</v>
      </c>
      <c r="CU288" s="80">
        <f t="shared" si="136"/>
        <v>0</v>
      </c>
      <c r="CV288" s="81">
        <f t="shared" si="137"/>
        <v>0</v>
      </c>
      <c r="CW288" s="144"/>
      <c r="CX288" s="145">
        <f>IF(ISERROR(VLOOKUP($A288,FIJOS!$B$11:$O$590,14,FALSE)),0,VLOOKUP($A288,FIJOS!$B$11:$O$590,14,FALSE))</f>
        <v>0</v>
      </c>
      <c r="CY288" s="145">
        <f>IF(ISERROR(VLOOKUP(A288,FIJOS!$B$10:$P$590,15,FALSE)),0,VLOOKUP(A288,FIJOS!$B$10:$P$590,15,FALSE))</f>
        <v>0</v>
      </c>
      <c r="CZ288" s="155"/>
      <c r="DA288" s="147"/>
      <c r="DB288" s="147"/>
      <c r="DC288" s="147"/>
      <c r="DD288" s="147"/>
      <c r="DE288" s="147"/>
      <c r="DF288" s="145">
        <f>IF(ISERROR(VLOOKUP($A288,FIJOS!$B$11:$N$590,13,FALSE)),0,VLOOKUP($A288,FIJOS!$B$11:$N$590,13,FALSE))</f>
        <v>0</v>
      </c>
      <c r="DG288" s="145">
        <f>IF(ISERROR(VLOOKUP($A288,FIJOS!$B$11:$P$447,12,FALSE)),0,VLOOKUP($A288,FIJOS!$B$11:$P$447,12,FALSE))</f>
        <v>0</v>
      </c>
      <c r="DH288" s="82">
        <f t="shared" si="159"/>
        <v>0</v>
      </c>
      <c r="DI288" s="83" t="b">
        <f>IF($C288=1,(VLOOKUP($A288,FIJOS!$B$11:$P$545,10,FALSE)/7)*(7-$CU288),IF(AND($C288=2,CV288&lt;$DJ$1),(VLOOKUP($D288,HORAS!$B$4:$C$42,2,FALSE)*24)*$CV288,IF(AND($C288=2,CV288&gt;=$DJ$1),VLOOKUP($D288,HORAS!$B$4:$D$42,3,FALSE),IF(AND($C288=3,$CV288&gt;=$DJ$1),VLOOKUP($A288,FIJOS!$B$11:$P$545,10,FALSE),IF(AND($C288=3,$CV288&lt;$DJ$1),((VLOOKUP($A288,FIJOS!$B$11:$P$545,10,FALSE)/48)*24)*$CV288,IF(AND($C288=4,$CV288&gt;=(42/24)),VLOOKUP($D288,HORAS!$B$4:$D$42,3,FALSE),IF(AND($C288=5,$CV288&gt;=(36/24)),VLOOKUP($D288,HORAS!$B$4:$D$42,3,FALSE))))))))</f>
        <v>0</v>
      </c>
      <c r="DJ288" s="145">
        <f>IF(OR($C288=2),VLOOKUP($D288,HORAS!$B$4:$E$42,4,FALSE)*$EC288,IF(ISERROR(VLOOKUP($A288,FIJOS!$B$11:$P$108,9,FALSE)),0,VLOOKUP($A288,FIJOS!$B$11:$P$231,9,FALSE)*$EC288))</f>
        <v>0</v>
      </c>
      <c r="DK288" s="145">
        <f>IF(OR($C288=2),VLOOKUP($D288,HORAS!$B$4:$F$42,5,FALSE)*$EE288,IF(ISERROR(VLOOKUP($A288,FIJOS!$B$11:$P$108,9,FALSE)),0,VLOOKUP($A288,FIJOS!$B$11:$P$231,9,FALSE)*$EE288))</f>
        <v>0</v>
      </c>
      <c r="DL288" s="144"/>
      <c r="DM288" s="145">
        <f>IF(ISERROR(VLOOKUP($A288,FIJOS!$B$11:$L$646,11,FALSE)),0,VLOOKUP($A288,FIJOS!$B$11:$L$646,11,FALSE))</f>
        <v>0</v>
      </c>
      <c r="DN288" s="148" t="e">
        <f>IF(OR($C288=1,$C288=3),0,IF((VLOOKUP(CAPTURA!D288,HORAS!$B$4:$K$42,10,FALSE)/4)*COUNTIF($H288:$CT288,3)&gt;100,100,(VLOOKUP(CAPTURA!D288,HORAS!$B$4:$K$42,10,FALSE)/4)*COUNTIF($H288:$CT288,3)))</f>
        <v>#N/A</v>
      </c>
      <c r="DO288" s="144" t="e">
        <f>IF(OR($C288=1,$C288=3),0,IF($C288=5,VLOOKUP(D288,HORAS!$B$4:$G$42,6,FALSE),IF(AND($C288=4,$CV288&gt;=(42/24)),VLOOKUP(D288,HORAS!$B$4:$G$42,6,FALSE),IF(COUNTIF($H288:$CL288,"F")&gt;0,0,IF(CV288&gt;$DJ$1,$DJ$1*(VLOOKUP(D288,HORAS!$B$4:$G$42,6,FALSE)/$DJ$1),CV288*(VLOOKUP(D288,HORAS!$B$4:$G$42,6,FALSE)/$DJ$1))))))</f>
        <v>#N/A</v>
      </c>
      <c r="DP288" s="156"/>
      <c r="DQ288" s="148"/>
      <c r="DR288" s="148"/>
      <c r="DS288" s="83" t="e">
        <f t="shared" si="162"/>
        <v>#N/A</v>
      </c>
      <c r="DT288" s="84"/>
      <c r="DU288" s="149" t="e">
        <f t="shared" si="163"/>
        <v>#N/A</v>
      </c>
      <c r="DV288" s="149" t="e">
        <f t="shared" si="164"/>
        <v>#N/A</v>
      </c>
      <c r="DW288" s="144" t="e">
        <f t="shared" si="165"/>
        <v>#N/A</v>
      </c>
      <c r="DX288"/>
      <c r="DY288" s="29"/>
      <c r="DZ288" s="150"/>
      <c r="EA288" s="134"/>
      <c r="EB288" s="137">
        <f t="shared" si="166"/>
        <v>0</v>
      </c>
      <c r="EC288" s="138">
        <f t="shared" si="160"/>
        <v>0</v>
      </c>
      <c r="ED288" s="137">
        <f t="shared" si="167"/>
        <v>0</v>
      </c>
      <c r="EE288" s="132">
        <f t="shared" si="161"/>
        <v>0</v>
      </c>
      <c r="EF288" s="29"/>
      <c r="EG288" s="134"/>
      <c r="EH288" s="134"/>
      <c r="EI288" s="134"/>
      <c r="EK288" s="29"/>
    </row>
    <row r="289" spans="1:141" ht="15" customHeight="1" x14ac:dyDescent="0.25">
      <c r="A289" s="87"/>
      <c r="B289" s="5"/>
      <c r="C289" s="72"/>
      <c r="D289" s="73"/>
      <c r="E289" s="73"/>
      <c r="F289" s="141"/>
      <c r="G289" s="74"/>
      <c r="H289" s="75"/>
      <c r="I289" s="76"/>
      <c r="J289" s="135"/>
      <c r="K289" s="135"/>
      <c r="L289" s="77">
        <f t="shared" si="138"/>
        <v>0</v>
      </c>
      <c r="M289" s="78"/>
      <c r="N289" s="142"/>
      <c r="O289" s="142"/>
      <c r="P289" s="77">
        <f t="shared" si="139"/>
        <v>0</v>
      </c>
      <c r="Q289" s="78"/>
      <c r="R289" s="143"/>
      <c r="S289" s="143"/>
      <c r="T289" s="77">
        <f t="shared" si="140"/>
        <v>0</v>
      </c>
      <c r="U289" s="75"/>
      <c r="V289" s="76"/>
      <c r="W289" s="135"/>
      <c r="X289" s="135"/>
      <c r="Y289" s="77">
        <f t="shared" si="141"/>
        <v>0</v>
      </c>
      <c r="Z289" s="78"/>
      <c r="AA289" s="142"/>
      <c r="AB289" s="142"/>
      <c r="AC289" s="77">
        <f t="shared" si="142"/>
        <v>0</v>
      </c>
      <c r="AD289" s="78"/>
      <c r="AE289" s="143"/>
      <c r="AF289" s="143"/>
      <c r="AG289" s="79">
        <f t="shared" si="143"/>
        <v>0</v>
      </c>
      <c r="AH289" s="75"/>
      <c r="AI289" s="76"/>
      <c r="AJ289" s="135"/>
      <c r="AK289" s="135"/>
      <c r="AL289" s="77">
        <f t="shared" si="144"/>
        <v>0</v>
      </c>
      <c r="AM289" s="76"/>
      <c r="AN289" s="142"/>
      <c r="AO289" s="142"/>
      <c r="AP289" s="77">
        <f t="shared" si="145"/>
        <v>0</v>
      </c>
      <c r="AQ289" s="78"/>
      <c r="AR289" s="142"/>
      <c r="AS289" s="142"/>
      <c r="AT289" s="79">
        <f t="shared" si="146"/>
        <v>0</v>
      </c>
      <c r="AU289" s="75"/>
      <c r="AV289" s="76"/>
      <c r="AW289" s="135"/>
      <c r="AX289" s="135"/>
      <c r="AY289" s="77">
        <f t="shared" si="147"/>
        <v>0</v>
      </c>
      <c r="AZ289" s="76"/>
      <c r="BA289" s="142"/>
      <c r="BB289" s="142"/>
      <c r="BC289" s="77">
        <f t="shared" si="148"/>
        <v>0</v>
      </c>
      <c r="BD289" s="78"/>
      <c r="BE289" s="142"/>
      <c r="BF289" s="142"/>
      <c r="BG289" s="79">
        <f t="shared" si="149"/>
        <v>0</v>
      </c>
      <c r="BH289" s="75"/>
      <c r="BI289" s="76"/>
      <c r="BJ289" s="135"/>
      <c r="BK289" s="135"/>
      <c r="BL289" s="77">
        <f t="shared" si="150"/>
        <v>0</v>
      </c>
      <c r="BM289" s="78"/>
      <c r="BN289" s="142"/>
      <c r="BO289" s="142"/>
      <c r="BP289" s="77">
        <f t="shared" si="151"/>
        <v>0</v>
      </c>
      <c r="BQ289" s="78"/>
      <c r="BR289" s="142"/>
      <c r="BS289" s="142"/>
      <c r="BT289" s="79">
        <f t="shared" si="152"/>
        <v>0</v>
      </c>
      <c r="BU289" s="75"/>
      <c r="BV289" s="76"/>
      <c r="BW289" s="135"/>
      <c r="BX289" s="135"/>
      <c r="BY289" s="77">
        <f t="shared" si="153"/>
        <v>0</v>
      </c>
      <c r="BZ289" s="78"/>
      <c r="CA289" s="142"/>
      <c r="CB289" s="142"/>
      <c r="CC289" s="77">
        <f t="shared" si="154"/>
        <v>0</v>
      </c>
      <c r="CD289" s="78"/>
      <c r="CE289" s="142"/>
      <c r="CF289" s="142"/>
      <c r="CG289" s="79">
        <f t="shared" si="155"/>
        <v>0</v>
      </c>
      <c r="CH289" s="75"/>
      <c r="CI289" s="76"/>
      <c r="CJ289" s="86"/>
      <c r="CK289" s="86"/>
      <c r="CL289" s="77">
        <f t="shared" si="156"/>
        <v>0</v>
      </c>
      <c r="CM289" s="78"/>
      <c r="CN289" s="85"/>
      <c r="CO289" s="85"/>
      <c r="CP289" s="77">
        <f t="shared" si="157"/>
        <v>0</v>
      </c>
      <c r="CQ289" s="78"/>
      <c r="CR289" s="85"/>
      <c r="CS289" s="85"/>
      <c r="CT289" s="79">
        <f t="shared" si="158"/>
        <v>0</v>
      </c>
      <c r="CU289" s="80">
        <f t="shared" si="136"/>
        <v>0</v>
      </c>
      <c r="CV289" s="81">
        <f t="shared" si="137"/>
        <v>0</v>
      </c>
      <c r="CW289" s="144"/>
      <c r="CX289" s="145">
        <f>IF(ISERROR(VLOOKUP($A289,FIJOS!$B$11:$O$590,14,FALSE)),0,VLOOKUP($A289,FIJOS!$B$11:$O$590,14,FALSE))</f>
        <v>0</v>
      </c>
      <c r="CY289" s="145">
        <f>IF(ISERROR(VLOOKUP(A289,FIJOS!$B$10:$P$590,15,FALSE)),0,VLOOKUP(A289,FIJOS!$B$10:$P$590,15,FALSE))</f>
        <v>0</v>
      </c>
      <c r="CZ289" s="155"/>
      <c r="DA289" s="147"/>
      <c r="DB289" s="147"/>
      <c r="DC289" s="147"/>
      <c r="DD289" s="147"/>
      <c r="DE289" s="147"/>
      <c r="DF289" s="145">
        <f>IF(ISERROR(VLOOKUP($A289,FIJOS!$B$11:$N$590,13,FALSE)),0,VLOOKUP($A289,FIJOS!$B$11:$N$590,13,FALSE))</f>
        <v>0</v>
      </c>
      <c r="DG289" s="145">
        <f>IF(ISERROR(VLOOKUP($A289,FIJOS!$B$11:$P$447,12,FALSE)),0,VLOOKUP($A289,FIJOS!$B$11:$P$447,12,FALSE))</f>
        <v>0</v>
      </c>
      <c r="DH289" s="82">
        <f t="shared" si="159"/>
        <v>0</v>
      </c>
      <c r="DI289" s="83" t="b">
        <f>IF($C289=1,(VLOOKUP($A289,FIJOS!$B$11:$P$545,10,FALSE)/7)*(7-$CU289),IF(AND($C289=2,CV289&lt;$DJ$1),(VLOOKUP($D289,HORAS!$B$4:$C$42,2,FALSE)*24)*$CV289,IF(AND($C289=2,CV289&gt;=$DJ$1),VLOOKUP($D289,HORAS!$B$4:$D$42,3,FALSE),IF(AND($C289=3,$CV289&gt;=$DJ$1),VLOOKUP($A289,FIJOS!$B$11:$P$545,10,FALSE),IF(AND($C289=3,$CV289&lt;$DJ$1),((VLOOKUP($A289,FIJOS!$B$11:$P$545,10,FALSE)/48)*24)*$CV289,IF(AND($C289=4,$CV289&gt;=(42/24)),VLOOKUP($D289,HORAS!$B$4:$D$42,3,FALSE),IF(AND($C289=5,$CV289&gt;=(36/24)),VLOOKUP($D289,HORAS!$B$4:$D$42,3,FALSE))))))))</f>
        <v>0</v>
      </c>
      <c r="DJ289" s="145">
        <f>IF(OR($C289=2),VLOOKUP($D289,HORAS!$B$4:$E$42,4,FALSE)*$EC289,IF(ISERROR(VLOOKUP($A289,FIJOS!$B$11:$P$108,9,FALSE)),0,VLOOKUP($A289,FIJOS!$B$11:$P$231,9,FALSE)*$EC289))</f>
        <v>0</v>
      </c>
      <c r="DK289" s="145">
        <f>IF(OR($C289=2),VLOOKUP($D289,HORAS!$B$4:$F$42,5,FALSE)*$EE289,IF(ISERROR(VLOOKUP($A289,FIJOS!$B$11:$P$108,9,FALSE)),0,VLOOKUP($A289,FIJOS!$B$11:$P$231,9,FALSE)*$EE289))</f>
        <v>0</v>
      </c>
      <c r="DL289" s="144"/>
      <c r="DM289" s="145">
        <f>IF(ISERROR(VLOOKUP($A289,FIJOS!$B$11:$L$646,11,FALSE)),0,VLOOKUP($A289,FIJOS!$B$11:$L$646,11,FALSE))</f>
        <v>0</v>
      </c>
      <c r="DN289" s="148" t="e">
        <f>IF(OR($C289=1,$C289=3),0,IF((VLOOKUP(CAPTURA!D289,HORAS!$B$4:$K$42,10,FALSE)/4)*COUNTIF($H289:$CT289,3)&gt;100,100,(VLOOKUP(CAPTURA!D289,HORAS!$B$4:$K$42,10,FALSE)/4)*COUNTIF($H289:$CT289,3)))</f>
        <v>#N/A</v>
      </c>
      <c r="DO289" s="144" t="e">
        <f>IF(OR($C289=1,$C289=3),0,IF($C289=5,VLOOKUP(D289,HORAS!$B$4:$G$42,6,FALSE),IF(AND($C289=4,$CV289&gt;=(42/24)),VLOOKUP(D289,HORAS!$B$4:$G$42,6,FALSE),IF(COUNTIF($H289:$CL289,"F")&gt;0,0,IF(CV289&gt;$DJ$1,$DJ$1*(VLOOKUP(D289,HORAS!$B$4:$G$42,6,FALSE)/$DJ$1),CV289*(VLOOKUP(D289,HORAS!$B$4:$G$42,6,FALSE)/$DJ$1))))))</f>
        <v>#N/A</v>
      </c>
      <c r="DP289" s="156"/>
      <c r="DQ289" s="148"/>
      <c r="DR289" s="148"/>
      <c r="DS289" s="83" t="e">
        <f t="shared" si="162"/>
        <v>#N/A</v>
      </c>
      <c r="DT289" s="84"/>
      <c r="DU289" s="149" t="e">
        <f t="shared" si="163"/>
        <v>#N/A</v>
      </c>
      <c r="DV289" s="149" t="e">
        <f t="shared" si="164"/>
        <v>#N/A</v>
      </c>
      <c r="DW289" s="144" t="e">
        <f t="shared" si="165"/>
        <v>#N/A</v>
      </c>
      <c r="DX289"/>
      <c r="DY289" s="29"/>
      <c r="DZ289" s="150"/>
      <c r="EA289" s="134"/>
      <c r="EB289" s="137">
        <f t="shared" si="166"/>
        <v>0</v>
      </c>
      <c r="EC289" s="138">
        <f t="shared" si="160"/>
        <v>0</v>
      </c>
      <c r="ED289" s="137">
        <f t="shared" si="167"/>
        <v>0</v>
      </c>
      <c r="EE289" s="132">
        <f t="shared" si="161"/>
        <v>0</v>
      </c>
      <c r="EF289" s="29"/>
      <c r="EG289" s="134"/>
      <c r="EH289" s="134"/>
      <c r="EI289" s="134"/>
      <c r="EK289" s="29"/>
    </row>
    <row r="290" spans="1:141" ht="15" customHeight="1" x14ac:dyDescent="0.25">
      <c r="A290" s="87"/>
      <c r="B290" s="5"/>
      <c r="C290" s="72"/>
      <c r="D290" s="73"/>
      <c r="E290" s="73"/>
      <c r="F290" s="141"/>
      <c r="G290" s="74"/>
      <c r="H290" s="75"/>
      <c r="I290" s="76"/>
      <c r="J290" s="135"/>
      <c r="K290" s="135"/>
      <c r="L290" s="77">
        <f t="shared" si="138"/>
        <v>0</v>
      </c>
      <c r="M290" s="78"/>
      <c r="N290" s="142"/>
      <c r="O290" s="142"/>
      <c r="P290" s="77">
        <f t="shared" si="139"/>
        <v>0</v>
      </c>
      <c r="Q290" s="78"/>
      <c r="R290" s="143"/>
      <c r="S290" s="143"/>
      <c r="T290" s="77">
        <f t="shared" si="140"/>
        <v>0</v>
      </c>
      <c r="U290" s="75"/>
      <c r="V290" s="76"/>
      <c r="W290" s="135"/>
      <c r="X290" s="135"/>
      <c r="Y290" s="77">
        <f t="shared" si="141"/>
        <v>0</v>
      </c>
      <c r="Z290" s="78"/>
      <c r="AA290" s="142"/>
      <c r="AB290" s="142"/>
      <c r="AC290" s="77">
        <f t="shared" si="142"/>
        <v>0</v>
      </c>
      <c r="AD290" s="78"/>
      <c r="AE290" s="143"/>
      <c r="AF290" s="143"/>
      <c r="AG290" s="79">
        <f t="shared" si="143"/>
        <v>0</v>
      </c>
      <c r="AH290" s="75"/>
      <c r="AI290" s="76"/>
      <c r="AJ290" s="135"/>
      <c r="AK290" s="135"/>
      <c r="AL290" s="77">
        <f t="shared" si="144"/>
        <v>0</v>
      </c>
      <c r="AM290" s="76"/>
      <c r="AN290" s="142"/>
      <c r="AO290" s="142"/>
      <c r="AP290" s="77">
        <f t="shared" si="145"/>
        <v>0</v>
      </c>
      <c r="AQ290" s="78"/>
      <c r="AR290" s="142"/>
      <c r="AS290" s="142"/>
      <c r="AT290" s="79">
        <f t="shared" si="146"/>
        <v>0</v>
      </c>
      <c r="AU290" s="75"/>
      <c r="AV290" s="76"/>
      <c r="AW290" s="135"/>
      <c r="AX290" s="135"/>
      <c r="AY290" s="77">
        <f t="shared" si="147"/>
        <v>0</v>
      </c>
      <c r="AZ290" s="76"/>
      <c r="BA290" s="142"/>
      <c r="BB290" s="142"/>
      <c r="BC290" s="77">
        <f t="shared" si="148"/>
        <v>0</v>
      </c>
      <c r="BD290" s="78"/>
      <c r="BE290" s="142"/>
      <c r="BF290" s="142"/>
      <c r="BG290" s="79">
        <f t="shared" si="149"/>
        <v>0</v>
      </c>
      <c r="BH290" s="75"/>
      <c r="BI290" s="76"/>
      <c r="BJ290" s="135"/>
      <c r="BK290" s="135"/>
      <c r="BL290" s="77">
        <f t="shared" si="150"/>
        <v>0</v>
      </c>
      <c r="BM290" s="78"/>
      <c r="BN290" s="142"/>
      <c r="BO290" s="142"/>
      <c r="BP290" s="77">
        <f t="shared" si="151"/>
        <v>0</v>
      </c>
      <c r="BQ290" s="78"/>
      <c r="BR290" s="142"/>
      <c r="BS290" s="142"/>
      <c r="BT290" s="79">
        <f t="shared" si="152"/>
        <v>0</v>
      </c>
      <c r="BU290" s="75"/>
      <c r="BV290" s="76"/>
      <c r="BW290" s="135"/>
      <c r="BX290" s="135"/>
      <c r="BY290" s="77">
        <f t="shared" si="153"/>
        <v>0</v>
      </c>
      <c r="BZ290" s="78"/>
      <c r="CA290" s="142"/>
      <c r="CB290" s="142"/>
      <c r="CC290" s="77">
        <f t="shared" si="154"/>
        <v>0</v>
      </c>
      <c r="CD290" s="78"/>
      <c r="CE290" s="142"/>
      <c r="CF290" s="142"/>
      <c r="CG290" s="79">
        <f t="shared" si="155"/>
        <v>0</v>
      </c>
      <c r="CH290" s="75"/>
      <c r="CI290" s="76"/>
      <c r="CJ290" s="86"/>
      <c r="CK290" s="86"/>
      <c r="CL290" s="77">
        <f t="shared" si="156"/>
        <v>0</v>
      </c>
      <c r="CM290" s="78"/>
      <c r="CN290" s="85"/>
      <c r="CO290" s="85"/>
      <c r="CP290" s="77">
        <f t="shared" si="157"/>
        <v>0</v>
      </c>
      <c r="CQ290" s="78"/>
      <c r="CR290" s="85"/>
      <c r="CS290" s="85"/>
      <c r="CT290" s="79">
        <f t="shared" si="158"/>
        <v>0</v>
      </c>
      <c r="CU290" s="80">
        <f t="shared" si="136"/>
        <v>0</v>
      </c>
      <c r="CV290" s="81">
        <f t="shared" si="137"/>
        <v>0</v>
      </c>
      <c r="CW290" s="144"/>
      <c r="CX290" s="145">
        <f>IF(ISERROR(VLOOKUP($A290,FIJOS!$B$11:$O$590,14,FALSE)),0,VLOOKUP($A290,FIJOS!$B$11:$O$590,14,FALSE))</f>
        <v>0</v>
      </c>
      <c r="CY290" s="145">
        <f>IF(ISERROR(VLOOKUP(A290,FIJOS!$B$10:$P$590,15,FALSE)),0,VLOOKUP(A290,FIJOS!$B$10:$P$590,15,FALSE))</f>
        <v>0</v>
      </c>
      <c r="CZ290" s="155"/>
      <c r="DA290" s="147"/>
      <c r="DB290" s="147"/>
      <c r="DC290" s="147"/>
      <c r="DD290" s="147"/>
      <c r="DE290" s="147"/>
      <c r="DF290" s="145">
        <f>IF(ISERROR(VLOOKUP($A290,FIJOS!$B$11:$N$590,13,FALSE)),0,VLOOKUP($A290,FIJOS!$B$11:$N$590,13,FALSE))</f>
        <v>0</v>
      </c>
      <c r="DG290" s="145">
        <f>IF(ISERROR(VLOOKUP($A290,FIJOS!$B$11:$P$447,12,FALSE)),0,VLOOKUP($A290,FIJOS!$B$11:$P$447,12,FALSE))</f>
        <v>0</v>
      </c>
      <c r="DH290" s="82">
        <f t="shared" si="159"/>
        <v>0</v>
      </c>
      <c r="DI290" s="83" t="b">
        <f>IF($C290=1,(VLOOKUP($A290,FIJOS!$B$11:$P$545,10,FALSE)/7)*(7-$CU290),IF(AND($C290=2,CV290&lt;$DJ$1),(VLOOKUP($D290,HORAS!$B$4:$C$42,2,FALSE)*24)*$CV290,IF(AND($C290=2,CV290&gt;=$DJ$1),VLOOKUP($D290,HORAS!$B$4:$D$42,3,FALSE),IF(AND($C290=3,$CV290&gt;=$DJ$1),VLOOKUP($A290,FIJOS!$B$11:$P$545,10,FALSE),IF(AND($C290=3,$CV290&lt;$DJ$1),((VLOOKUP($A290,FIJOS!$B$11:$P$545,10,FALSE)/48)*24)*$CV290,IF(AND($C290=4,$CV290&gt;=(42/24)),VLOOKUP($D290,HORAS!$B$4:$D$42,3,FALSE),IF(AND($C290=5,$CV290&gt;=(36/24)),VLOOKUP($D290,HORAS!$B$4:$D$42,3,FALSE))))))))</f>
        <v>0</v>
      </c>
      <c r="DJ290" s="145">
        <f>IF(OR($C290=2),VLOOKUP($D290,HORAS!$B$4:$E$42,4,FALSE)*$EC290,IF(ISERROR(VLOOKUP($A290,FIJOS!$B$11:$P$108,9,FALSE)),0,VLOOKUP($A290,FIJOS!$B$11:$P$231,9,FALSE)*$EC290))</f>
        <v>0</v>
      </c>
      <c r="DK290" s="145">
        <f>IF(OR($C290=2),VLOOKUP($D290,HORAS!$B$4:$F$42,5,FALSE)*$EE290,IF(ISERROR(VLOOKUP($A290,FIJOS!$B$11:$P$108,9,FALSE)),0,VLOOKUP($A290,FIJOS!$B$11:$P$231,9,FALSE)*$EE290))</f>
        <v>0</v>
      </c>
      <c r="DL290" s="144"/>
      <c r="DM290" s="145">
        <f>IF(ISERROR(VLOOKUP($A290,FIJOS!$B$11:$L$646,11,FALSE)),0,VLOOKUP($A290,FIJOS!$B$11:$L$646,11,FALSE))</f>
        <v>0</v>
      </c>
      <c r="DN290" s="148" t="e">
        <f>IF(OR($C290=1,$C290=3),0,IF((VLOOKUP(CAPTURA!D290,HORAS!$B$4:$K$42,10,FALSE)/4)*COUNTIF($H290:$CT290,3)&gt;100,100,(VLOOKUP(CAPTURA!D290,HORAS!$B$4:$K$42,10,FALSE)/4)*COUNTIF($H290:$CT290,3)))</f>
        <v>#N/A</v>
      </c>
      <c r="DO290" s="144" t="e">
        <f>IF(OR($C290=1,$C290=3),0,IF($C290=5,VLOOKUP(D290,HORAS!$B$4:$G$42,6,FALSE),IF(AND($C290=4,$CV290&gt;=(42/24)),VLOOKUP(D290,HORAS!$B$4:$G$42,6,FALSE),IF(COUNTIF($H290:$CL290,"F")&gt;0,0,IF(CV290&gt;$DJ$1,$DJ$1*(VLOOKUP(D290,HORAS!$B$4:$G$42,6,FALSE)/$DJ$1),CV290*(VLOOKUP(D290,HORAS!$B$4:$G$42,6,FALSE)/$DJ$1))))))</f>
        <v>#N/A</v>
      </c>
      <c r="DP290" s="156"/>
      <c r="DQ290" s="148"/>
      <c r="DR290" s="148"/>
      <c r="DS290" s="83" t="e">
        <f t="shared" si="162"/>
        <v>#N/A</v>
      </c>
      <c r="DT290" s="84"/>
      <c r="DU290" s="149" t="e">
        <f t="shared" si="163"/>
        <v>#N/A</v>
      </c>
      <c r="DV290" s="149" t="e">
        <f t="shared" si="164"/>
        <v>#N/A</v>
      </c>
      <c r="DW290" s="144" t="e">
        <f t="shared" si="165"/>
        <v>#N/A</v>
      </c>
      <c r="DX290"/>
      <c r="DY290" s="29"/>
      <c r="DZ290" s="150"/>
      <c r="EA290" s="134"/>
      <c r="EB290" s="137">
        <f t="shared" si="166"/>
        <v>0</v>
      </c>
      <c r="EC290" s="138">
        <f t="shared" si="160"/>
        <v>0</v>
      </c>
      <c r="ED290" s="137">
        <f t="shared" si="167"/>
        <v>0</v>
      </c>
      <c r="EE290" s="132">
        <f t="shared" si="161"/>
        <v>0</v>
      </c>
      <c r="EF290" s="29"/>
      <c r="EG290" s="134"/>
      <c r="EH290" s="134"/>
      <c r="EI290" s="134"/>
      <c r="EK290" s="29"/>
    </row>
    <row r="291" spans="1:141" ht="15" customHeight="1" x14ac:dyDescent="0.25">
      <c r="A291" s="87"/>
      <c r="B291" s="5"/>
      <c r="C291" s="72"/>
      <c r="D291" s="73"/>
      <c r="E291" s="73"/>
      <c r="F291" s="141"/>
      <c r="G291" s="74"/>
      <c r="H291" s="75"/>
      <c r="I291" s="76"/>
      <c r="J291" s="135"/>
      <c r="K291" s="157"/>
      <c r="L291" s="77">
        <f t="shared" si="138"/>
        <v>0</v>
      </c>
      <c r="M291" s="78"/>
      <c r="N291" s="142"/>
      <c r="O291" s="142"/>
      <c r="P291" s="77">
        <f t="shared" si="139"/>
        <v>0</v>
      </c>
      <c r="Q291" s="78"/>
      <c r="R291" s="143"/>
      <c r="S291" s="143"/>
      <c r="T291" s="77">
        <f t="shared" si="140"/>
        <v>0</v>
      </c>
      <c r="U291" s="75"/>
      <c r="V291" s="76"/>
      <c r="W291" s="135"/>
      <c r="X291" s="135"/>
      <c r="Y291" s="77">
        <f t="shared" si="141"/>
        <v>0</v>
      </c>
      <c r="Z291" s="78"/>
      <c r="AA291" s="142"/>
      <c r="AB291" s="142"/>
      <c r="AC291" s="77">
        <f t="shared" si="142"/>
        <v>0</v>
      </c>
      <c r="AD291" s="78"/>
      <c r="AE291" s="143"/>
      <c r="AF291" s="143"/>
      <c r="AG291" s="79">
        <f t="shared" si="143"/>
        <v>0</v>
      </c>
      <c r="AH291" s="75"/>
      <c r="AI291" s="76"/>
      <c r="AJ291" s="135"/>
      <c r="AK291" s="135"/>
      <c r="AL291" s="77">
        <f t="shared" si="144"/>
        <v>0</v>
      </c>
      <c r="AM291" s="76"/>
      <c r="AN291" s="142"/>
      <c r="AO291" s="142"/>
      <c r="AP291" s="77">
        <f t="shared" si="145"/>
        <v>0</v>
      </c>
      <c r="AQ291" s="78"/>
      <c r="AR291" s="142"/>
      <c r="AS291" s="142"/>
      <c r="AT291" s="79">
        <f t="shared" si="146"/>
        <v>0</v>
      </c>
      <c r="AU291" s="75"/>
      <c r="AV291" s="76"/>
      <c r="AW291" s="135"/>
      <c r="AX291" s="135"/>
      <c r="AY291" s="77">
        <f t="shared" si="147"/>
        <v>0</v>
      </c>
      <c r="AZ291" s="76"/>
      <c r="BA291" s="142"/>
      <c r="BB291" s="142"/>
      <c r="BC291" s="77">
        <f t="shared" si="148"/>
        <v>0</v>
      </c>
      <c r="BD291" s="78"/>
      <c r="BE291" s="142"/>
      <c r="BF291" s="142"/>
      <c r="BG291" s="79">
        <f t="shared" si="149"/>
        <v>0</v>
      </c>
      <c r="BH291" s="75"/>
      <c r="BI291" s="76"/>
      <c r="BJ291" s="135"/>
      <c r="BK291" s="135"/>
      <c r="BL291" s="77">
        <f t="shared" si="150"/>
        <v>0</v>
      </c>
      <c r="BM291" s="78"/>
      <c r="BN291" s="142"/>
      <c r="BO291" s="142"/>
      <c r="BP291" s="77">
        <f t="shared" si="151"/>
        <v>0</v>
      </c>
      <c r="BQ291" s="78"/>
      <c r="BR291" s="142"/>
      <c r="BS291" s="142"/>
      <c r="BT291" s="79">
        <f t="shared" si="152"/>
        <v>0</v>
      </c>
      <c r="BU291" s="75"/>
      <c r="BV291" s="76"/>
      <c r="BW291" s="135"/>
      <c r="BX291" s="135"/>
      <c r="BY291" s="77">
        <f t="shared" si="153"/>
        <v>0</v>
      </c>
      <c r="BZ291" s="78"/>
      <c r="CA291" s="142"/>
      <c r="CB291" s="142"/>
      <c r="CC291" s="77">
        <f t="shared" si="154"/>
        <v>0</v>
      </c>
      <c r="CD291" s="78"/>
      <c r="CE291" s="142"/>
      <c r="CF291" s="142"/>
      <c r="CG291" s="79">
        <f t="shared" si="155"/>
        <v>0</v>
      </c>
      <c r="CH291" s="75"/>
      <c r="CI291" s="76"/>
      <c r="CJ291" s="86"/>
      <c r="CK291" s="86"/>
      <c r="CL291" s="77">
        <f t="shared" si="156"/>
        <v>0</v>
      </c>
      <c r="CM291" s="78"/>
      <c r="CN291" s="85"/>
      <c r="CO291" s="85"/>
      <c r="CP291" s="77">
        <f t="shared" si="157"/>
        <v>0</v>
      </c>
      <c r="CQ291" s="78"/>
      <c r="CR291" s="85"/>
      <c r="CS291" s="85"/>
      <c r="CT291" s="79">
        <f t="shared" si="158"/>
        <v>0</v>
      </c>
      <c r="CU291" s="80">
        <f t="shared" si="136"/>
        <v>0</v>
      </c>
      <c r="CV291" s="81">
        <f t="shared" si="137"/>
        <v>0</v>
      </c>
      <c r="CW291" s="144"/>
      <c r="CX291" s="145">
        <f>IF(ISERROR(VLOOKUP($A291,FIJOS!$B$11:$O$590,14,FALSE)),0,VLOOKUP($A291,FIJOS!$B$11:$O$590,14,FALSE))</f>
        <v>0</v>
      </c>
      <c r="CY291" s="145">
        <f>IF(ISERROR(VLOOKUP(A291,FIJOS!$B$10:$P$590,15,FALSE)),0,VLOOKUP(A291,FIJOS!$B$10:$P$590,15,FALSE))</f>
        <v>0</v>
      </c>
      <c r="CZ291" s="155"/>
      <c r="DA291" s="147"/>
      <c r="DB291" s="147"/>
      <c r="DC291" s="147"/>
      <c r="DD291" s="147"/>
      <c r="DE291" s="147"/>
      <c r="DF291" s="145">
        <f>IF(ISERROR(VLOOKUP($A291,FIJOS!$B$11:$N$590,13,FALSE)),0,VLOOKUP($A291,FIJOS!$B$11:$N$590,13,FALSE))</f>
        <v>0</v>
      </c>
      <c r="DG291" s="145">
        <f>IF(ISERROR(VLOOKUP($A291,FIJOS!$B$11:$P$447,12,FALSE)),0,VLOOKUP($A291,FIJOS!$B$11:$P$447,12,FALSE))</f>
        <v>0</v>
      </c>
      <c r="DH291" s="82">
        <f t="shared" si="159"/>
        <v>0</v>
      </c>
      <c r="DI291" s="83" t="b">
        <f>IF($C291=1,(VLOOKUP($A291,FIJOS!$B$11:$P$545,10,FALSE)/7)*(7-$CU291),IF(AND($C291=2,CV291&lt;$DJ$1),(VLOOKUP($D291,HORAS!$B$4:$C$42,2,FALSE)*24)*$CV291,IF(AND($C291=2,CV291&gt;=$DJ$1),VLOOKUP($D291,HORAS!$B$4:$D$42,3,FALSE),IF(AND($C291=3,$CV291&gt;=$DJ$1),VLOOKUP($A291,FIJOS!$B$11:$P$545,10,FALSE),IF(AND($C291=3,$CV291&lt;$DJ$1),((VLOOKUP($A291,FIJOS!$B$11:$P$545,10,FALSE)/48)*24)*$CV291,IF(AND($C291=4,$CV291&gt;=(42/24)),VLOOKUP($D291,HORAS!$B$4:$D$42,3,FALSE),IF(AND($C291=5,$CV291&gt;=(36/24)),VLOOKUP($D291,HORAS!$B$4:$D$42,3,FALSE))))))))</f>
        <v>0</v>
      </c>
      <c r="DJ291" s="145">
        <f>IF(OR($C291=2),VLOOKUP($D291,HORAS!$B$4:$E$42,4,FALSE)*$EC291,IF(ISERROR(VLOOKUP($A291,FIJOS!$B$11:$P$108,9,FALSE)),0,VLOOKUP($A291,FIJOS!$B$11:$P$231,9,FALSE)*$EC291))</f>
        <v>0</v>
      </c>
      <c r="DK291" s="145">
        <f>IF(OR($C291=2),VLOOKUP($D291,HORAS!$B$4:$F$42,5,FALSE)*$EE291,IF(ISERROR(VLOOKUP($A291,FIJOS!$B$11:$P$108,9,FALSE)),0,VLOOKUP($A291,FIJOS!$B$11:$P$231,9,FALSE)*$EE291))</f>
        <v>0</v>
      </c>
      <c r="DL291" s="144"/>
      <c r="DM291" s="145">
        <f>IF(ISERROR(VLOOKUP($A291,FIJOS!$B$11:$L$646,11,FALSE)),0,VLOOKUP($A291,FIJOS!$B$11:$L$646,11,FALSE))</f>
        <v>0</v>
      </c>
      <c r="DN291" s="148" t="e">
        <f>IF(OR($C291=1,$C291=3),0,IF((VLOOKUP(CAPTURA!D291,HORAS!$B$4:$K$42,10,FALSE)/4)*COUNTIF($H291:$CT291,3)&gt;100,100,(VLOOKUP(CAPTURA!D291,HORAS!$B$4:$K$42,10,FALSE)/4)*COUNTIF($H291:$CT291,3)))</f>
        <v>#N/A</v>
      </c>
      <c r="DO291" s="144" t="e">
        <f>IF(OR($C291=1,$C291=3),0,IF($C291=5,VLOOKUP(D291,HORAS!$B$4:$G$42,6,FALSE),IF(AND($C291=4,$CV291&gt;=(42/24)),VLOOKUP(D291,HORAS!$B$4:$G$42,6,FALSE),IF(COUNTIF($H291:$CL291,"F")&gt;0,0,IF(CV291&gt;$DJ$1,$DJ$1*(VLOOKUP(D291,HORAS!$B$4:$G$42,6,FALSE)/$DJ$1),CV291*(VLOOKUP(D291,HORAS!$B$4:$G$42,6,FALSE)/$DJ$1))))))</f>
        <v>#N/A</v>
      </c>
      <c r="DP291" s="156"/>
      <c r="DQ291" s="148"/>
      <c r="DR291" s="148"/>
      <c r="DS291" s="83" t="e">
        <f t="shared" si="162"/>
        <v>#N/A</v>
      </c>
      <c r="DT291" s="84"/>
      <c r="DU291" s="149" t="e">
        <f t="shared" si="163"/>
        <v>#N/A</v>
      </c>
      <c r="DV291" s="149" t="e">
        <f t="shared" si="164"/>
        <v>#N/A</v>
      </c>
      <c r="DW291" s="144" t="e">
        <f t="shared" si="165"/>
        <v>#N/A</v>
      </c>
      <c r="DX291"/>
      <c r="DY291" s="29"/>
      <c r="DZ291" s="150"/>
      <c r="EA291" s="134"/>
      <c r="EB291" s="137">
        <f t="shared" si="166"/>
        <v>0</v>
      </c>
      <c r="EC291" s="138">
        <f t="shared" si="160"/>
        <v>0</v>
      </c>
      <c r="ED291" s="137">
        <f t="shared" si="167"/>
        <v>0</v>
      </c>
      <c r="EE291" s="132">
        <f t="shared" si="161"/>
        <v>0</v>
      </c>
      <c r="EF291" s="29"/>
      <c r="EG291" s="134"/>
      <c r="EH291" s="134"/>
      <c r="EI291" s="134"/>
      <c r="EK291" s="29"/>
    </row>
    <row r="292" spans="1:141" ht="15" customHeight="1" x14ac:dyDescent="0.25">
      <c r="A292" s="87"/>
      <c r="B292" s="5"/>
      <c r="C292" s="72"/>
      <c r="D292" s="73"/>
      <c r="E292" s="73"/>
      <c r="F292" s="141"/>
      <c r="G292" s="74"/>
      <c r="H292" s="75"/>
      <c r="I292" s="76"/>
      <c r="J292" s="135"/>
      <c r="K292" s="135"/>
      <c r="L292" s="77">
        <f t="shared" si="138"/>
        <v>0</v>
      </c>
      <c r="M292" s="78"/>
      <c r="N292" s="142"/>
      <c r="O292" s="142"/>
      <c r="P292" s="77">
        <f t="shared" si="139"/>
        <v>0</v>
      </c>
      <c r="Q292" s="78"/>
      <c r="R292" s="143"/>
      <c r="S292" s="143"/>
      <c r="T292" s="77">
        <f t="shared" si="140"/>
        <v>0</v>
      </c>
      <c r="U292" s="75"/>
      <c r="V292" s="76"/>
      <c r="W292" s="135"/>
      <c r="X292" s="135"/>
      <c r="Y292" s="77">
        <f t="shared" si="141"/>
        <v>0</v>
      </c>
      <c r="Z292" s="78"/>
      <c r="AA292" s="142"/>
      <c r="AB292" s="142"/>
      <c r="AC292" s="77">
        <f t="shared" si="142"/>
        <v>0</v>
      </c>
      <c r="AD292" s="78"/>
      <c r="AE292" s="143"/>
      <c r="AF292" s="143"/>
      <c r="AG292" s="79">
        <f t="shared" si="143"/>
        <v>0</v>
      </c>
      <c r="AH292" s="75"/>
      <c r="AI292" s="76"/>
      <c r="AJ292" s="135"/>
      <c r="AK292" s="135"/>
      <c r="AL292" s="77">
        <f t="shared" si="144"/>
        <v>0</v>
      </c>
      <c r="AM292" s="76"/>
      <c r="AN292" s="142"/>
      <c r="AO292" s="142"/>
      <c r="AP292" s="77">
        <f t="shared" si="145"/>
        <v>0</v>
      </c>
      <c r="AQ292" s="78"/>
      <c r="AR292" s="142"/>
      <c r="AS292" s="142"/>
      <c r="AT292" s="79">
        <f t="shared" si="146"/>
        <v>0</v>
      </c>
      <c r="AU292" s="75"/>
      <c r="AV292" s="76"/>
      <c r="AW292" s="135"/>
      <c r="AX292" s="135"/>
      <c r="AY292" s="77">
        <f t="shared" si="147"/>
        <v>0</v>
      </c>
      <c r="AZ292" s="76"/>
      <c r="BA292" s="142"/>
      <c r="BB292" s="142"/>
      <c r="BC292" s="77">
        <f t="shared" si="148"/>
        <v>0</v>
      </c>
      <c r="BD292" s="78"/>
      <c r="BE292" s="142"/>
      <c r="BF292" s="142"/>
      <c r="BG292" s="79">
        <f t="shared" si="149"/>
        <v>0</v>
      </c>
      <c r="BH292" s="75"/>
      <c r="BI292" s="76"/>
      <c r="BJ292" s="135"/>
      <c r="BK292" s="135"/>
      <c r="BL292" s="77">
        <f t="shared" si="150"/>
        <v>0</v>
      </c>
      <c r="BM292" s="78"/>
      <c r="BN292" s="142"/>
      <c r="BO292" s="142"/>
      <c r="BP292" s="77">
        <f t="shared" si="151"/>
        <v>0</v>
      </c>
      <c r="BQ292" s="78"/>
      <c r="BR292" s="142"/>
      <c r="BS292" s="142"/>
      <c r="BT292" s="79">
        <f t="shared" si="152"/>
        <v>0</v>
      </c>
      <c r="BU292" s="75"/>
      <c r="BV292" s="76"/>
      <c r="BW292" s="135"/>
      <c r="BX292" s="135"/>
      <c r="BY292" s="77">
        <f t="shared" si="153"/>
        <v>0</v>
      </c>
      <c r="BZ292" s="78"/>
      <c r="CA292" s="142"/>
      <c r="CB292" s="142"/>
      <c r="CC292" s="77">
        <f t="shared" si="154"/>
        <v>0</v>
      </c>
      <c r="CD292" s="78"/>
      <c r="CE292" s="142"/>
      <c r="CF292" s="142"/>
      <c r="CG292" s="79">
        <f t="shared" si="155"/>
        <v>0</v>
      </c>
      <c r="CH292" s="75"/>
      <c r="CI292" s="76"/>
      <c r="CJ292" s="86"/>
      <c r="CK292" s="86"/>
      <c r="CL292" s="77">
        <f t="shared" si="156"/>
        <v>0</v>
      </c>
      <c r="CM292" s="78"/>
      <c r="CN292" s="85"/>
      <c r="CO292" s="85"/>
      <c r="CP292" s="77">
        <f t="shared" si="157"/>
        <v>0</v>
      </c>
      <c r="CQ292" s="78"/>
      <c r="CR292" s="85"/>
      <c r="CS292" s="85"/>
      <c r="CT292" s="79">
        <f t="shared" si="158"/>
        <v>0</v>
      </c>
      <c r="CU292" s="80">
        <f t="shared" si="136"/>
        <v>0</v>
      </c>
      <c r="CV292" s="81">
        <f t="shared" si="137"/>
        <v>0</v>
      </c>
      <c r="CW292" s="144"/>
      <c r="CX292" s="145">
        <f>IF(ISERROR(VLOOKUP($A292,FIJOS!$B$11:$O$590,14,FALSE)),0,VLOOKUP($A292,FIJOS!$B$11:$O$590,14,FALSE))</f>
        <v>0</v>
      </c>
      <c r="CY292" s="145">
        <f>IF(ISERROR(VLOOKUP(A292,FIJOS!$B$10:$P$590,15,FALSE)),0,VLOOKUP(A292,FIJOS!$B$10:$P$590,15,FALSE))</f>
        <v>0</v>
      </c>
      <c r="CZ292" s="155"/>
      <c r="DA292" s="147"/>
      <c r="DB292" s="147"/>
      <c r="DC292" s="147"/>
      <c r="DD292" s="147"/>
      <c r="DE292" s="147"/>
      <c r="DF292" s="145">
        <f>IF(ISERROR(VLOOKUP($A292,FIJOS!$B$11:$N$590,13,FALSE)),0,VLOOKUP($A292,FIJOS!$B$11:$N$590,13,FALSE))</f>
        <v>0</v>
      </c>
      <c r="DG292" s="145">
        <f>IF(ISERROR(VLOOKUP($A292,FIJOS!$B$11:$P$447,12,FALSE)),0,VLOOKUP($A292,FIJOS!$B$11:$P$447,12,FALSE))</f>
        <v>0</v>
      </c>
      <c r="DH292" s="82">
        <f t="shared" si="159"/>
        <v>0</v>
      </c>
      <c r="DI292" s="83" t="b">
        <f>IF($C292=1,(VLOOKUP($A292,FIJOS!$B$11:$P$545,10,FALSE)/7)*(7-$CU292),IF(AND($C292=2,CV292&lt;$DJ$1),(VLOOKUP($D292,HORAS!$B$4:$C$42,2,FALSE)*24)*$CV292,IF(AND($C292=2,CV292&gt;=$DJ$1),VLOOKUP($D292,HORAS!$B$4:$D$42,3,FALSE),IF(AND($C292=3,$CV292&gt;=$DJ$1),VLOOKUP($A292,FIJOS!$B$11:$P$545,10,FALSE),IF(AND($C292=3,$CV292&lt;$DJ$1),((VLOOKUP($A292,FIJOS!$B$11:$P$545,10,FALSE)/48)*24)*$CV292,IF(AND($C292=4,$CV292&gt;=(42/24)),VLOOKUP($D292,HORAS!$B$4:$D$42,3,FALSE),IF(AND($C292=5,$CV292&gt;=(36/24)),VLOOKUP($D292,HORAS!$B$4:$D$42,3,FALSE))))))))</f>
        <v>0</v>
      </c>
      <c r="DJ292" s="145">
        <f>IF(OR($C292=2),VLOOKUP($D292,HORAS!$B$4:$E$42,4,FALSE)*$EC292,IF(ISERROR(VLOOKUP($A292,FIJOS!$B$11:$P$108,9,FALSE)),0,VLOOKUP($A292,FIJOS!$B$11:$P$231,9,FALSE)*$EC292))</f>
        <v>0</v>
      </c>
      <c r="DK292" s="145">
        <f>IF(OR($C292=2),VLOOKUP($D292,HORAS!$B$4:$F$42,5,FALSE)*$EE292,IF(ISERROR(VLOOKUP($A292,FIJOS!$B$11:$P$108,9,FALSE)),0,VLOOKUP($A292,FIJOS!$B$11:$P$231,9,FALSE)*$EE292))</f>
        <v>0</v>
      </c>
      <c r="DL292" s="144"/>
      <c r="DM292" s="145">
        <f>IF(ISERROR(VLOOKUP($A292,FIJOS!$B$11:$L$646,11,FALSE)),0,VLOOKUP($A292,FIJOS!$B$11:$L$646,11,FALSE))</f>
        <v>0</v>
      </c>
      <c r="DN292" s="148" t="e">
        <f>IF(OR($C292=1,$C292=3),0,IF((VLOOKUP(CAPTURA!D292,HORAS!$B$4:$K$42,10,FALSE)/4)*COUNTIF($H292:$CT292,3)&gt;100,100,(VLOOKUP(CAPTURA!D292,HORAS!$B$4:$K$42,10,FALSE)/4)*COUNTIF($H292:$CT292,3)))</f>
        <v>#N/A</v>
      </c>
      <c r="DO292" s="144" t="e">
        <f>IF(OR($C292=1,$C292=3),0,IF($C292=5,VLOOKUP(D292,HORAS!$B$4:$G$42,6,FALSE),IF(AND($C292=4,$CV292&gt;=(42/24)),VLOOKUP(D292,HORAS!$B$4:$G$42,6,FALSE),IF(COUNTIF($H292:$CL292,"F")&gt;0,0,IF(CV292&gt;$DJ$1,$DJ$1*(VLOOKUP(D292,HORAS!$B$4:$G$42,6,FALSE)/$DJ$1),CV292*(VLOOKUP(D292,HORAS!$B$4:$G$42,6,FALSE)/$DJ$1))))))</f>
        <v>#N/A</v>
      </c>
      <c r="DP292" s="156"/>
      <c r="DQ292" s="148"/>
      <c r="DR292" s="148"/>
      <c r="DS292" s="83" t="e">
        <f t="shared" si="162"/>
        <v>#N/A</v>
      </c>
      <c r="DT292" s="84"/>
      <c r="DU292" s="149" t="e">
        <f t="shared" si="163"/>
        <v>#N/A</v>
      </c>
      <c r="DV292" s="149" t="e">
        <f t="shared" si="164"/>
        <v>#N/A</v>
      </c>
      <c r="DW292" s="144" t="e">
        <f t="shared" si="165"/>
        <v>#N/A</v>
      </c>
      <c r="DX292"/>
      <c r="DY292" s="29"/>
      <c r="DZ292" s="150"/>
      <c r="EA292" s="134"/>
      <c r="EB292" s="137">
        <f t="shared" si="166"/>
        <v>0</v>
      </c>
      <c r="EC292" s="138">
        <f t="shared" si="160"/>
        <v>0</v>
      </c>
      <c r="ED292" s="137">
        <f t="shared" si="167"/>
        <v>0</v>
      </c>
      <c r="EE292" s="132">
        <f t="shared" si="161"/>
        <v>0</v>
      </c>
      <c r="EF292" s="29"/>
      <c r="EG292" s="134"/>
      <c r="EH292" s="134"/>
      <c r="EI292" s="134"/>
      <c r="EK292" s="29"/>
    </row>
    <row r="293" spans="1:141" ht="15" customHeight="1" x14ac:dyDescent="0.25">
      <c r="A293" s="87"/>
      <c r="B293" s="5"/>
      <c r="C293" s="72"/>
      <c r="D293" s="73"/>
      <c r="E293" s="73"/>
      <c r="F293" s="141"/>
      <c r="G293" s="74"/>
      <c r="H293" s="75"/>
      <c r="I293" s="76"/>
      <c r="J293" s="135"/>
      <c r="K293" s="135"/>
      <c r="L293" s="77">
        <f t="shared" si="138"/>
        <v>0</v>
      </c>
      <c r="M293" s="78"/>
      <c r="N293" s="142"/>
      <c r="O293" s="142"/>
      <c r="P293" s="77">
        <f t="shared" si="139"/>
        <v>0</v>
      </c>
      <c r="Q293" s="78"/>
      <c r="R293" s="143"/>
      <c r="S293" s="143"/>
      <c r="T293" s="77">
        <f t="shared" si="140"/>
        <v>0</v>
      </c>
      <c r="U293" s="75"/>
      <c r="V293" s="76"/>
      <c r="W293" s="135"/>
      <c r="X293" s="135"/>
      <c r="Y293" s="77">
        <f t="shared" si="141"/>
        <v>0</v>
      </c>
      <c r="Z293" s="78"/>
      <c r="AA293" s="142"/>
      <c r="AB293" s="142"/>
      <c r="AC293" s="77">
        <f t="shared" si="142"/>
        <v>0</v>
      </c>
      <c r="AD293" s="78"/>
      <c r="AE293" s="143"/>
      <c r="AF293" s="143"/>
      <c r="AG293" s="79">
        <f t="shared" si="143"/>
        <v>0</v>
      </c>
      <c r="AH293" s="75"/>
      <c r="AI293" s="76"/>
      <c r="AJ293" s="135"/>
      <c r="AK293" s="135"/>
      <c r="AL293" s="77">
        <f t="shared" si="144"/>
        <v>0</v>
      </c>
      <c r="AM293" s="76"/>
      <c r="AN293" s="142"/>
      <c r="AO293" s="142"/>
      <c r="AP293" s="77">
        <f t="shared" si="145"/>
        <v>0</v>
      </c>
      <c r="AQ293" s="78"/>
      <c r="AR293" s="142"/>
      <c r="AS293" s="142"/>
      <c r="AT293" s="79">
        <f t="shared" si="146"/>
        <v>0</v>
      </c>
      <c r="AU293" s="75"/>
      <c r="AV293" s="76"/>
      <c r="AW293" s="135"/>
      <c r="AX293" s="135"/>
      <c r="AY293" s="77">
        <f t="shared" si="147"/>
        <v>0</v>
      </c>
      <c r="AZ293" s="76"/>
      <c r="BA293" s="142"/>
      <c r="BB293" s="142"/>
      <c r="BC293" s="77">
        <f t="shared" si="148"/>
        <v>0</v>
      </c>
      <c r="BD293" s="78"/>
      <c r="BE293" s="142"/>
      <c r="BF293" s="142"/>
      <c r="BG293" s="79">
        <f t="shared" si="149"/>
        <v>0</v>
      </c>
      <c r="BH293" s="75"/>
      <c r="BI293" s="76"/>
      <c r="BJ293" s="135"/>
      <c r="BK293" s="135"/>
      <c r="BL293" s="77">
        <f t="shared" si="150"/>
        <v>0</v>
      </c>
      <c r="BM293" s="78"/>
      <c r="BN293" s="142"/>
      <c r="BO293" s="142"/>
      <c r="BP293" s="77">
        <f t="shared" si="151"/>
        <v>0</v>
      </c>
      <c r="BQ293" s="78"/>
      <c r="BR293" s="142"/>
      <c r="BS293" s="142"/>
      <c r="BT293" s="79">
        <f t="shared" si="152"/>
        <v>0</v>
      </c>
      <c r="BU293" s="75"/>
      <c r="BV293" s="76"/>
      <c r="BW293" s="135"/>
      <c r="BX293" s="135"/>
      <c r="BY293" s="77">
        <f t="shared" si="153"/>
        <v>0</v>
      </c>
      <c r="BZ293" s="78"/>
      <c r="CA293" s="142"/>
      <c r="CB293" s="142"/>
      <c r="CC293" s="77">
        <f t="shared" si="154"/>
        <v>0</v>
      </c>
      <c r="CD293" s="78"/>
      <c r="CE293" s="142"/>
      <c r="CF293" s="142"/>
      <c r="CG293" s="79">
        <f t="shared" si="155"/>
        <v>0</v>
      </c>
      <c r="CH293" s="75"/>
      <c r="CI293" s="76"/>
      <c r="CJ293" s="86"/>
      <c r="CK293" s="86"/>
      <c r="CL293" s="77">
        <f t="shared" si="156"/>
        <v>0</v>
      </c>
      <c r="CM293" s="78"/>
      <c r="CN293" s="85"/>
      <c r="CO293" s="85"/>
      <c r="CP293" s="77">
        <f t="shared" si="157"/>
        <v>0</v>
      </c>
      <c r="CQ293" s="78"/>
      <c r="CR293" s="85"/>
      <c r="CS293" s="85"/>
      <c r="CT293" s="79">
        <f t="shared" si="158"/>
        <v>0</v>
      </c>
      <c r="CU293" s="80">
        <f t="shared" si="136"/>
        <v>0</v>
      </c>
      <c r="CV293" s="81">
        <f t="shared" si="137"/>
        <v>0</v>
      </c>
      <c r="CW293" s="144"/>
      <c r="CX293" s="145">
        <f>IF(ISERROR(VLOOKUP($A293,FIJOS!$B$11:$O$590,14,FALSE)),0,VLOOKUP($A293,FIJOS!$B$11:$O$590,14,FALSE))</f>
        <v>0</v>
      </c>
      <c r="CY293" s="145">
        <f>IF(ISERROR(VLOOKUP(A293,FIJOS!$B$10:$P$590,15,FALSE)),0,VLOOKUP(A293,FIJOS!$B$10:$P$590,15,FALSE))</f>
        <v>0</v>
      </c>
      <c r="CZ293" s="155"/>
      <c r="DA293" s="147"/>
      <c r="DB293" s="147"/>
      <c r="DC293" s="147"/>
      <c r="DD293" s="147"/>
      <c r="DE293" s="147"/>
      <c r="DF293" s="145">
        <f>IF(ISERROR(VLOOKUP($A293,FIJOS!$B$11:$N$590,13,FALSE)),0,VLOOKUP($A293,FIJOS!$B$11:$N$590,13,FALSE))</f>
        <v>0</v>
      </c>
      <c r="DG293" s="145">
        <f>IF(ISERROR(VLOOKUP($A293,FIJOS!$B$11:$P$447,12,FALSE)),0,VLOOKUP($A293,FIJOS!$B$11:$P$447,12,FALSE))</f>
        <v>0</v>
      </c>
      <c r="DH293" s="82">
        <f t="shared" si="159"/>
        <v>0</v>
      </c>
      <c r="DI293" s="83" t="b">
        <f>IF($C293=1,(VLOOKUP($A293,FIJOS!$B$11:$P$545,10,FALSE)/7)*(7-$CU293),IF(AND($C293=2,CV293&lt;$DJ$1),(VLOOKUP($D293,HORAS!$B$4:$C$42,2,FALSE)*24)*$CV293,IF(AND($C293=2,CV293&gt;=$DJ$1),VLOOKUP($D293,HORAS!$B$4:$D$42,3,FALSE),IF(AND($C293=3,$CV293&gt;=$DJ$1),VLOOKUP($A293,FIJOS!$B$11:$P$545,10,FALSE),IF(AND($C293=3,$CV293&lt;$DJ$1),((VLOOKUP($A293,FIJOS!$B$11:$P$545,10,FALSE)/48)*24)*$CV293,IF(AND($C293=4,$CV293&gt;=(42/24)),VLOOKUP($D293,HORAS!$B$4:$D$42,3,FALSE),IF(AND($C293=5,$CV293&gt;=(36/24)),VLOOKUP($D293,HORAS!$B$4:$D$42,3,FALSE))))))))</f>
        <v>0</v>
      </c>
      <c r="DJ293" s="145">
        <f>IF(OR($C293=2),VLOOKUP($D293,HORAS!$B$4:$E$42,4,FALSE)*$EC293,IF(ISERROR(VLOOKUP($A293,FIJOS!$B$11:$P$108,9,FALSE)),0,VLOOKUP($A293,FIJOS!$B$11:$P$231,9,FALSE)*$EC293))</f>
        <v>0</v>
      </c>
      <c r="DK293" s="145">
        <f>IF(OR($C293=2),VLOOKUP($D293,HORAS!$B$4:$F$42,5,FALSE)*$EE293,IF(ISERROR(VLOOKUP($A293,FIJOS!$B$11:$P$108,9,FALSE)),0,VLOOKUP($A293,FIJOS!$B$11:$P$231,9,FALSE)*$EE293))</f>
        <v>0</v>
      </c>
      <c r="DL293" s="144"/>
      <c r="DM293" s="145">
        <f>IF(ISERROR(VLOOKUP($A293,FIJOS!$B$11:$L$646,11,FALSE)),0,VLOOKUP($A293,FIJOS!$B$11:$L$646,11,FALSE))</f>
        <v>0</v>
      </c>
      <c r="DN293" s="148" t="e">
        <f>IF(OR($C293=1,$C293=3),0,IF((VLOOKUP(CAPTURA!D293,HORAS!$B$4:$K$42,10,FALSE)/4)*COUNTIF($H293:$CT293,3)&gt;100,100,(VLOOKUP(CAPTURA!D293,HORAS!$B$4:$K$42,10,FALSE)/4)*COUNTIF($H293:$CT293,3)))</f>
        <v>#N/A</v>
      </c>
      <c r="DO293" s="144" t="e">
        <f>IF(OR($C293=1,$C293=3),0,IF($C293=5,VLOOKUP(D293,HORAS!$B$4:$G$42,6,FALSE),IF(AND($C293=4,$CV293&gt;=(42/24)),VLOOKUP(D293,HORAS!$B$4:$G$42,6,FALSE),IF(COUNTIF($H293:$CL293,"F")&gt;0,0,IF(CV293&gt;$DJ$1,$DJ$1*(VLOOKUP(D293,HORAS!$B$4:$G$42,6,FALSE)/$DJ$1),CV293*(VLOOKUP(D293,HORAS!$B$4:$G$42,6,FALSE)/$DJ$1))))))</f>
        <v>#N/A</v>
      </c>
      <c r="DP293" s="156"/>
      <c r="DQ293" s="148"/>
      <c r="DR293" s="148"/>
      <c r="DS293" s="83" t="e">
        <f t="shared" si="162"/>
        <v>#N/A</v>
      </c>
      <c r="DT293" s="84"/>
      <c r="DU293" s="149" t="e">
        <f t="shared" si="163"/>
        <v>#N/A</v>
      </c>
      <c r="DV293" s="149" t="e">
        <f t="shared" si="164"/>
        <v>#N/A</v>
      </c>
      <c r="DW293" s="144" t="e">
        <f t="shared" si="165"/>
        <v>#N/A</v>
      </c>
      <c r="DX293"/>
      <c r="DY293" s="29"/>
      <c r="DZ293" s="150"/>
      <c r="EA293" s="134"/>
      <c r="EB293" s="137">
        <f t="shared" si="166"/>
        <v>0</v>
      </c>
      <c r="EC293" s="138">
        <f t="shared" si="160"/>
        <v>0</v>
      </c>
      <c r="ED293" s="137">
        <f t="shared" si="167"/>
        <v>0</v>
      </c>
      <c r="EE293" s="132">
        <f t="shared" si="161"/>
        <v>0</v>
      </c>
      <c r="EF293" s="29"/>
      <c r="EG293" s="134"/>
      <c r="EH293" s="134"/>
      <c r="EI293" s="134"/>
      <c r="EK293" s="29"/>
    </row>
    <row r="294" spans="1:141" ht="15" customHeight="1" x14ac:dyDescent="0.25">
      <c r="A294" s="87"/>
      <c r="B294" s="5"/>
      <c r="C294" s="72"/>
      <c r="D294" s="73"/>
      <c r="E294" s="73"/>
      <c r="F294" s="141"/>
      <c r="G294" s="74"/>
      <c r="H294" s="75"/>
      <c r="I294" s="76"/>
      <c r="J294" s="135"/>
      <c r="K294" s="135"/>
      <c r="L294" s="77">
        <f t="shared" si="138"/>
        <v>0</v>
      </c>
      <c r="M294" s="78"/>
      <c r="N294" s="142"/>
      <c r="O294" s="142"/>
      <c r="P294" s="77">
        <f t="shared" si="139"/>
        <v>0</v>
      </c>
      <c r="Q294" s="78"/>
      <c r="R294" s="143"/>
      <c r="S294" s="143"/>
      <c r="T294" s="77">
        <f t="shared" si="140"/>
        <v>0</v>
      </c>
      <c r="U294" s="75"/>
      <c r="V294" s="76"/>
      <c r="W294" s="135"/>
      <c r="X294" s="135"/>
      <c r="Y294" s="77">
        <f t="shared" si="141"/>
        <v>0</v>
      </c>
      <c r="Z294" s="78"/>
      <c r="AA294" s="142"/>
      <c r="AB294" s="142"/>
      <c r="AC294" s="77">
        <f t="shared" si="142"/>
        <v>0</v>
      </c>
      <c r="AD294" s="78"/>
      <c r="AE294" s="143"/>
      <c r="AF294" s="143"/>
      <c r="AG294" s="79">
        <f t="shared" si="143"/>
        <v>0</v>
      </c>
      <c r="AH294" s="75"/>
      <c r="AI294" s="76"/>
      <c r="AJ294" s="135"/>
      <c r="AK294" s="135"/>
      <c r="AL294" s="77">
        <f t="shared" si="144"/>
        <v>0</v>
      </c>
      <c r="AM294" s="76"/>
      <c r="AN294" s="142"/>
      <c r="AO294" s="142"/>
      <c r="AP294" s="77">
        <f t="shared" si="145"/>
        <v>0</v>
      </c>
      <c r="AQ294" s="78"/>
      <c r="AR294" s="142"/>
      <c r="AS294" s="142"/>
      <c r="AT294" s="79">
        <f t="shared" si="146"/>
        <v>0</v>
      </c>
      <c r="AU294" s="75"/>
      <c r="AV294" s="76"/>
      <c r="AW294" s="135"/>
      <c r="AX294" s="135"/>
      <c r="AY294" s="77">
        <f t="shared" si="147"/>
        <v>0</v>
      </c>
      <c r="AZ294" s="76"/>
      <c r="BA294" s="142"/>
      <c r="BB294" s="142"/>
      <c r="BC294" s="77">
        <f t="shared" si="148"/>
        <v>0</v>
      </c>
      <c r="BD294" s="78"/>
      <c r="BE294" s="142"/>
      <c r="BF294" s="142"/>
      <c r="BG294" s="79">
        <f t="shared" si="149"/>
        <v>0</v>
      </c>
      <c r="BH294" s="75"/>
      <c r="BI294" s="76"/>
      <c r="BJ294" s="135"/>
      <c r="BK294" s="135"/>
      <c r="BL294" s="77">
        <f t="shared" si="150"/>
        <v>0</v>
      </c>
      <c r="BM294" s="78"/>
      <c r="BN294" s="142"/>
      <c r="BO294" s="142"/>
      <c r="BP294" s="77">
        <f t="shared" si="151"/>
        <v>0</v>
      </c>
      <c r="BQ294" s="78"/>
      <c r="BR294" s="142"/>
      <c r="BS294" s="142"/>
      <c r="BT294" s="79">
        <f t="shared" si="152"/>
        <v>0</v>
      </c>
      <c r="BU294" s="75"/>
      <c r="BV294" s="76"/>
      <c r="BW294" s="135"/>
      <c r="BX294" s="135"/>
      <c r="BY294" s="77">
        <f t="shared" si="153"/>
        <v>0</v>
      </c>
      <c r="BZ294" s="78"/>
      <c r="CA294" s="142"/>
      <c r="CB294" s="142"/>
      <c r="CC294" s="77">
        <f t="shared" si="154"/>
        <v>0</v>
      </c>
      <c r="CD294" s="78"/>
      <c r="CE294" s="142"/>
      <c r="CF294" s="142"/>
      <c r="CG294" s="79">
        <f t="shared" si="155"/>
        <v>0</v>
      </c>
      <c r="CH294" s="75"/>
      <c r="CI294" s="76"/>
      <c r="CJ294" s="86"/>
      <c r="CK294" s="86"/>
      <c r="CL294" s="77">
        <f t="shared" si="156"/>
        <v>0</v>
      </c>
      <c r="CM294" s="78"/>
      <c r="CN294" s="85"/>
      <c r="CO294" s="85"/>
      <c r="CP294" s="77">
        <f t="shared" si="157"/>
        <v>0</v>
      </c>
      <c r="CQ294" s="78"/>
      <c r="CR294" s="85"/>
      <c r="CS294" s="85"/>
      <c r="CT294" s="79">
        <f t="shared" si="158"/>
        <v>0</v>
      </c>
      <c r="CU294" s="80">
        <f t="shared" si="136"/>
        <v>0</v>
      </c>
      <c r="CV294" s="81">
        <f t="shared" si="137"/>
        <v>0</v>
      </c>
      <c r="CW294" s="144"/>
      <c r="CX294" s="145">
        <f>IF(ISERROR(VLOOKUP($A294,FIJOS!$B$11:$O$590,14,FALSE)),0,VLOOKUP($A294,FIJOS!$B$11:$O$590,14,FALSE))</f>
        <v>0</v>
      </c>
      <c r="CY294" s="145">
        <f>IF(ISERROR(VLOOKUP(A294,FIJOS!$B$10:$P$590,15,FALSE)),0,VLOOKUP(A294,FIJOS!$B$10:$P$590,15,FALSE))</f>
        <v>0</v>
      </c>
      <c r="CZ294" s="155"/>
      <c r="DA294" s="147"/>
      <c r="DB294" s="147"/>
      <c r="DC294" s="147"/>
      <c r="DD294" s="147"/>
      <c r="DE294" s="147"/>
      <c r="DF294" s="145">
        <f>IF(ISERROR(VLOOKUP($A294,FIJOS!$B$11:$N$590,13,FALSE)),0,VLOOKUP($A294,FIJOS!$B$11:$N$590,13,FALSE))</f>
        <v>0</v>
      </c>
      <c r="DG294" s="145">
        <f>IF(ISERROR(VLOOKUP($A294,FIJOS!$B$11:$P$447,12,FALSE)),0,VLOOKUP($A294,FIJOS!$B$11:$P$447,12,FALSE))</f>
        <v>0</v>
      </c>
      <c r="DH294" s="82">
        <f t="shared" si="159"/>
        <v>0</v>
      </c>
      <c r="DI294" s="83" t="b">
        <f>IF($C294=1,(VLOOKUP($A294,FIJOS!$B$11:$P$545,10,FALSE)/7)*(7-$CU294),IF(AND($C294=2,CV294&lt;$DJ$1),(VLOOKUP($D294,HORAS!$B$4:$C$42,2,FALSE)*24)*$CV294,IF(AND($C294=2,CV294&gt;=$DJ$1),VLOOKUP($D294,HORAS!$B$4:$D$42,3,FALSE),IF(AND($C294=3,$CV294&gt;=$DJ$1),VLOOKUP($A294,FIJOS!$B$11:$P$545,10,FALSE),IF(AND($C294=3,$CV294&lt;$DJ$1),((VLOOKUP($A294,FIJOS!$B$11:$P$545,10,FALSE)/48)*24)*$CV294,IF(AND($C294=4,$CV294&gt;=(42/24)),VLOOKUP($D294,HORAS!$B$4:$D$42,3,FALSE),IF(AND($C294=5,$CV294&gt;=(36/24)),VLOOKUP($D294,HORAS!$B$4:$D$42,3,FALSE))))))))</f>
        <v>0</v>
      </c>
      <c r="DJ294" s="145">
        <f>IF(OR($C294=2),VLOOKUP($D294,HORAS!$B$4:$E$42,4,FALSE)*$EC294,IF(ISERROR(VLOOKUP($A294,FIJOS!$B$11:$P$108,9,FALSE)),0,VLOOKUP($A294,FIJOS!$B$11:$P$231,9,FALSE)*$EC294))</f>
        <v>0</v>
      </c>
      <c r="DK294" s="145">
        <f>IF(OR($C294=2),VLOOKUP($D294,HORAS!$B$4:$F$42,5,FALSE)*$EE294,IF(ISERROR(VLOOKUP($A294,FIJOS!$B$11:$P$108,9,FALSE)),0,VLOOKUP($A294,FIJOS!$B$11:$P$231,9,FALSE)*$EE294))</f>
        <v>0</v>
      </c>
      <c r="DL294" s="144"/>
      <c r="DM294" s="145">
        <f>IF(ISERROR(VLOOKUP($A294,FIJOS!$B$11:$L$646,11,FALSE)),0,VLOOKUP($A294,FIJOS!$B$11:$L$646,11,FALSE))</f>
        <v>0</v>
      </c>
      <c r="DN294" s="148" t="e">
        <f>IF(OR($C294=1,$C294=3),0,IF((VLOOKUP(CAPTURA!D294,HORAS!$B$4:$K$42,10,FALSE)/4)*COUNTIF($H294:$CT294,3)&gt;100,100,(VLOOKUP(CAPTURA!D294,HORAS!$B$4:$K$42,10,FALSE)/4)*COUNTIF($H294:$CT294,3)))</f>
        <v>#N/A</v>
      </c>
      <c r="DO294" s="144" t="e">
        <f>IF(OR($C294=1,$C294=3),0,IF($C294=5,VLOOKUP(D294,HORAS!$B$4:$G$42,6,FALSE),IF(AND($C294=4,$CV294&gt;=(42/24)),VLOOKUP(D294,HORAS!$B$4:$G$42,6,FALSE),IF(COUNTIF($H294:$CL294,"F")&gt;0,0,IF(CV294&gt;$DJ$1,$DJ$1*(VLOOKUP(D294,HORAS!$B$4:$G$42,6,FALSE)/$DJ$1),CV294*(VLOOKUP(D294,HORAS!$B$4:$G$42,6,FALSE)/$DJ$1))))))</f>
        <v>#N/A</v>
      </c>
      <c r="DP294" s="156"/>
      <c r="DQ294" s="148"/>
      <c r="DR294" s="148"/>
      <c r="DS294" s="83" t="e">
        <f t="shared" si="162"/>
        <v>#N/A</v>
      </c>
      <c r="DT294" s="84"/>
      <c r="DU294" s="149" t="e">
        <f t="shared" si="163"/>
        <v>#N/A</v>
      </c>
      <c r="DV294" s="149" t="e">
        <f t="shared" si="164"/>
        <v>#N/A</v>
      </c>
      <c r="DW294" s="144" t="e">
        <f t="shared" si="165"/>
        <v>#N/A</v>
      </c>
      <c r="DX294"/>
      <c r="DY294" s="29"/>
      <c r="DZ294" s="150"/>
      <c r="EA294" s="134"/>
      <c r="EB294" s="137">
        <f t="shared" si="166"/>
        <v>0</v>
      </c>
      <c r="EC294" s="138">
        <f t="shared" si="160"/>
        <v>0</v>
      </c>
      <c r="ED294" s="137">
        <f t="shared" si="167"/>
        <v>0</v>
      </c>
      <c r="EE294" s="132">
        <f t="shared" si="161"/>
        <v>0</v>
      </c>
      <c r="EF294" s="29"/>
      <c r="EG294" s="134"/>
      <c r="EH294" s="134"/>
      <c r="EI294" s="134"/>
      <c r="EK294" s="29"/>
    </row>
    <row r="295" spans="1:141" ht="15" customHeight="1" x14ac:dyDescent="0.25">
      <c r="A295" s="87"/>
      <c r="B295" s="5"/>
      <c r="C295" s="72"/>
      <c r="D295" s="73"/>
      <c r="E295" s="73"/>
      <c r="F295" s="141"/>
      <c r="G295" s="74"/>
      <c r="H295" s="75"/>
      <c r="I295" s="76"/>
      <c r="J295" s="135"/>
      <c r="K295" s="135"/>
      <c r="L295" s="77">
        <f t="shared" si="138"/>
        <v>0</v>
      </c>
      <c r="M295" s="78"/>
      <c r="N295" s="142"/>
      <c r="O295" s="142"/>
      <c r="P295" s="77">
        <f t="shared" si="139"/>
        <v>0</v>
      </c>
      <c r="Q295" s="78"/>
      <c r="R295" s="143"/>
      <c r="S295" s="143"/>
      <c r="T295" s="77">
        <f t="shared" si="140"/>
        <v>0</v>
      </c>
      <c r="U295" s="75"/>
      <c r="V295" s="76"/>
      <c r="W295" s="135"/>
      <c r="X295" s="135"/>
      <c r="Y295" s="77">
        <f t="shared" si="141"/>
        <v>0</v>
      </c>
      <c r="Z295" s="78"/>
      <c r="AA295" s="142"/>
      <c r="AB295" s="142"/>
      <c r="AC295" s="77">
        <f t="shared" si="142"/>
        <v>0</v>
      </c>
      <c r="AD295" s="78"/>
      <c r="AE295" s="143"/>
      <c r="AF295" s="143"/>
      <c r="AG295" s="79">
        <f t="shared" si="143"/>
        <v>0</v>
      </c>
      <c r="AH295" s="75"/>
      <c r="AI295" s="76"/>
      <c r="AJ295" s="135"/>
      <c r="AK295" s="135"/>
      <c r="AL295" s="77">
        <f t="shared" si="144"/>
        <v>0</v>
      </c>
      <c r="AM295" s="76"/>
      <c r="AN295" s="142"/>
      <c r="AO295" s="142"/>
      <c r="AP295" s="77">
        <f t="shared" si="145"/>
        <v>0</v>
      </c>
      <c r="AQ295" s="78"/>
      <c r="AR295" s="142"/>
      <c r="AS295" s="142"/>
      <c r="AT295" s="79">
        <f t="shared" si="146"/>
        <v>0</v>
      </c>
      <c r="AU295" s="75"/>
      <c r="AV295" s="76"/>
      <c r="AW295" s="135"/>
      <c r="AX295" s="135"/>
      <c r="AY295" s="77">
        <f t="shared" si="147"/>
        <v>0</v>
      </c>
      <c r="AZ295" s="76"/>
      <c r="BA295" s="142"/>
      <c r="BB295" s="142"/>
      <c r="BC295" s="77">
        <f t="shared" si="148"/>
        <v>0</v>
      </c>
      <c r="BD295" s="78"/>
      <c r="BE295" s="142"/>
      <c r="BF295" s="142"/>
      <c r="BG295" s="79">
        <f t="shared" si="149"/>
        <v>0</v>
      </c>
      <c r="BH295" s="75"/>
      <c r="BI295" s="76"/>
      <c r="BJ295" s="135"/>
      <c r="BK295" s="135"/>
      <c r="BL295" s="77">
        <f t="shared" si="150"/>
        <v>0</v>
      </c>
      <c r="BM295" s="78"/>
      <c r="BN295" s="142"/>
      <c r="BO295" s="142"/>
      <c r="BP295" s="77">
        <f t="shared" si="151"/>
        <v>0</v>
      </c>
      <c r="BQ295" s="78"/>
      <c r="BR295" s="142"/>
      <c r="BS295" s="142"/>
      <c r="BT295" s="79">
        <f t="shared" si="152"/>
        <v>0</v>
      </c>
      <c r="BU295" s="75"/>
      <c r="BV295" s="76"/>
      <c r="BW295" s="135"/>
      <c r="BX295" s="135"/>
      <c r="BY295" s="77">
        <f t="shared" si="153"/>
        <v>0</v>
      </c>
      <c r="BZ295" s="78"/>
      <c r="CA295" s="142"/>
      <c r="CB295" s="142"/>
      <c r="CC295" s="77">
        <f t="shared" si="154"/>
        <v>0</v>
      </c>
      <c r="CD295" s="78"/>
      <c r="CE295" s="142"/>
      <c r="CF295" s="142"/>
      <c r="CG295" s="79">
        <f t="shared" si="155"/>
        <v>0</v>
      </c>
      <c r="CH295" s="75"/>
      <c r="CI295" s="76"/>
      <c r="CJ295" s="86"/>
      <c r="CK295" s="86"/>
      <c r="CL295" s="77">
        <f t="shared" si="156"/>
        <v>0</v>
      </c>
      <c r="CM295" s="78"/>
      <c r="CN295" s="85"/>
      <c r="CO295" s="85"/>
      <c r="CP295" s="77">
        <f t="shared" si="157"/>
        <v>0</v>
      </c>
      <c r="CQ295" s="78"/>
      <c r="CR295" s="85"/>
      <c r="CS295" s="85"/>
      <c r="CT295" s="79">
        <f t="shared" si="158"/>
        <v>0</v>
      </c>
      <c r="CU295" s="80">
        <f t="shared" si="136"/>
        <v>0</v>
      </c>
      <c r="CV295" s="81">
        <f t="shared" si="137"/>
        <v>0</v>
      </c>
      <c r="CW295" s="144"/>
      <c r="CX295" s="145">
        <f>IF(ISERROR(VLOOKUP($A295,FIJOS!$B$11:$O$590,14,FALSE)),0,VLOOKUP($A295,FIJOS!$B$11:$O$590,14,FALSE))</f>
        <v>0</v>
      </c>
      <c r="CY295" s="145">
        <f>IF(ISERROR(VLOOKUP(A295,FIJOS!$B$10:$P$590,15,FALSE)),0,VLOOKUP(A295,FIJOS!$B$10:$P$590,15,FALSE))</f>
        <v>0</v>
      </c>
      <c r="CZ295" s="155"/>
      <c r="DA295" s="147"/>
      <c r="DB295" s="147"/>
      <c r="DC295" s="147"/>
      <c r="DD295" s="147"/>
      <c r="DE295" s="147"/>
      <c r="DF295" s="145">
        <f>IF(ISERROR(VLOOKUP($A295,FIJOS!$B$11:$N$590,13,FALSE)),0,VLOOKUP($A295,FIJOS!$B$11:$N$590,13,FALSE))</f>
        <v>0</v>
      </c>
      <c r="DG295" s="145">
        <f>IF(ISERROR(VLOOKUP($A295,FIJOS!$B$11:$P$447,12,FALSE)),0,VLOOKUP($A295,FIJOS!$B$11:$P$447,12,FALSE))</f>
        <v>0</v>
      </c>
      <c r="DH295" s="82">
        <f t="shared" si="159"/>
        <v>0</v>
      </c>
      <c r="DI295" s="83" t="b">
        <f>IF($C295=1,(VLOOKUP($A295,FIJOS!$B$11:$P$545,10,FALSE)/7)*(7-$CU295),IF(AND($C295=2,CV295&lt;$DJ$1),(VLOOKUP($D295,HORAS!$B$4:$C$42,2,FALSE)*24)*$CV295,IF(AND($C295=2,CV295&gt;=$DJ$1),VLOOKUP($D295,HORAS!$B$4:$D$42,3,FALSE),IF(AND($C295=3,$CV295&gt;=$DJ$1),VLOOKUP($A295,FIJOS!$B$11:$P$545,10,FALSE),IF(AND($C295=3,$CV295&lt;$DJ$1),((VLOOKUP($A295,FIJOS!$B$11:$P$545,10,FALSE)/48)*24)*$CV295,IF(AND($C295=4,$CV295&gt;=(42/24)),VLOOKUP($D295,HORAS!$B$4:$D$42,3,FALSE),IF(AND($C295=5,$CV295&gt;=(36/24)),VLOOKUP($D295,HORAS!$B$4:$D$42,3,FALSE))))))))</f>
        <v>0</v>
      </c>
      <c r="DJ295" s="145">
        <f>IF(OR($C295=2),VLOOKUP($D295,HORAS!$B$4:$E$42,4,FALSE)*$EC295,IF(ISERROR(VLOOKUP($A295,FIJOS!$B$11:$P$108,9,FALSE)),0,VLOOKUP($A295,FIJOS!$B$11:$P$231,9,FALSE)*$EC295))</f>
        <v>0</v>
      </c>
      <c r="DK295" s="145">
        <f>IF(OR($C295=2),VLOOKUP($D295,HORAS!$B$4:$F$42,5,FALSE)*$EE295,IF(ISERROR(VLOOKUP($A295,FIJOS!$B$11:$P$108,9,FALSE)),0,VLOOKUP($A295,FIJOS!$B$11:$P$231,9,FALSE)*$EE295))</f>
        <v>0</v>
      </c>
      <c r="DL295" s="144"/>
      <c r="DM295" s="145">
        <f>IF(ISERROR(VLOOKUP($A295,FIJOS!$B$11:$L$646,11,FALSE)),0,VLOOKUP($A295,FIJOS!$B$11:$L$646,11,FALSE))</f>
        <v>0</v>
      </c>
      <c r="DN295" s="148" t="e">
        <f>IF(OR($C295=1,$C295=3),0,IF((VLOOKUP(CAPTURA!D295,HORAS!$B$4:$K$42,10,FALSE)/4)*COUNTIF($H295:$CT295,3)&gt;100,100,(VLOOKUP(CAPTURA!D295,HORAS!$B$4:$K$42,10,FALSE)/4)*COUNTIF($H295:$CT295,3)))</f>
        <v>#N/A</v>
      </c>
      <c r="DO295" s="144" t="e">
        <f>IF(OR($C295=1,$C295=3),0,IF($C295=5,VLOOKUP(D295,HORAS!$B$4:$G$42,6,FALSE),IF(AND($C295=4,$CV295&gt;=(42/24)),VLOOKUP(D295,HORAS!$B$4:$G$42,6,FALSE),IF(COUNTIF($H295:$CL295,"F")&gt;0,0,IF(CV295&gt;$DJ$1,$DJ$1*(VLOOKUP(D295,HORAS!$B$4:$G$42,6,FALSE)/$DJ$1),CV295*(VLOOKUP(D295,HORAS!$B$4:$G$42,6,FALSE)/$DJ$1))))))</f>
        <v>#N/A</v>
      </c>
      <c r="DP295" s="156"/>
      <c r="DQ295" s="148"/>
      <c r="DR295" s="148"/>
      <c r="DS295" s="83" t="e">
        <f t="shared" si="162"/>
        <v>#N/A</v>
      </c>
      <c r="DT295" s="84"/>
      <c r="DU295" s="149" t="e">
        <f t="shared" si="163"/>
        <v>#N/A</v>
      </c>
      <c r="DV295" s="149" t="e">
        <f t="shared" si="164"/>
        <v>#N/A</v>
      </c>
      <c r="DW295" s="144" t="e">
        <f t="shared" si="165"/>
        <v>#N/A</v>
      </c>
      <c r="DX295"/>
      <c r="DY295" s="29"/>
      <c r="DZ295" s="150"/>
      <c r="EA295" s="134"/>
      <c r="EB295" s="137">
        <f t="shared" si="166"/>
        <v>0</v>
      </c>
      <c r="EC295" s="138">
        <f t="shared" si="160"/>
        <v>0</v>
      </c>
      <c r="ED295" s="137">
        <f t="shared" si="167"/>
        <v>0</v>
      </c>
      <c r="EE295" s="132">
        <f t="shared" si="161"/>
        <v>0</v>
      </c>
      <c r="EF295" s="29"/>
      <c r="EG295" s="134"/>
      <c r="EH295" s="134"/>
      <c r="EI295" s="134"/>
      <c r="EK295" s="29"/>
    </row>
    <row r="296" spans="1:141" ht="15" customHeight="1" x14ac:dyDescent="0.25">
      <c r="A296" s="87"/>
      <c r="B296" s="5"/>
      <c r="C296" s="72"/>
      <c r="D296" s="73"/>
      <c r="E296" s="73"/>
      <c r="F296" s="141"/>
      <c r="G296" s="74"/>
      <c r="H296" s="75"/>
      <c r="I296" s="76"/>
      <c r="J296" s="135"/>
      <c r="K296" s="135"/>
      <c r="L296" s="77">
        <f t="shared" si="138"/>
        <v>0</v>
      </c>
      <c r="M296" s="78"/>
      <c r="N296" s="142"/>
      <c r="O296" s="142"/>
      <c r="P296" s="77">
        <f t="shared" si="139"/>
        <v>0</v>
      </c>
      <c r="Q296" s="78"/>
      <c r="R296" s="143"/>
      <c r="S296" s="143"/>
      <c r="T296" s="77">
        <f t="shared" si="140"/>
        <v>0</v>
      </c>
      <c r="U296" s="75"/>
      <c r="V296" s="76"/>
      <c r="W296" s="135"/>
      <c r="X296" s="135"/>
      <c r="Y296" s="77">
        <f t="shared" si="141"/>
        <v>0</v>
      </c>
      <c r="Z296" s="78"/>
      <c r="AA296" s="142"/>
      <c r="AB296" s="142"/>
      <c r="AC296" s="77">
        <f t="shared" si="142"/>
        <v>0</v>
      </c>
      <c r="AD296" s="78"/>
      <c r="AE296" s="143"/>
      <c r="AF296" s="143"/>
      <c r="AG296" s="79">
        <f t="shared" si="143"/>
        <v>0</v>
      </c>
      <c r="AH296" s="75"/>
      <c r="AI296" s="76"/>
      <c r="AJ296" s="135"/>
      <c r="AK296" s="135"/>
      <c r="AL296" s="77">
        <f t="shared" si="144"/>
        <v>0</v>
      </c>
      <c r="AM296" s="76"/>
      <c r="AN296" s="142"/>
      <c r="AO296" s="142"/>
      <c r="AP296" s="77">
        <f t="shared" si="145"/>
        <v>0</v>
      </c>
      <c r="AQ296" s="78"/>
      <c r="AR296" s="142"/>
      <c r="AS296" s="142"/>
      <c r="AT296" s="79">
        <f t="shared" si="146"/>
        <v>0</v>
      </c>
      <c r="AU296" s="75"/>
      <c r="AV296" s="76"/>
      <c r="AW296" s="135"/>
      <c r="AX296" s="135"/>
      <c r="AY296" s="77">
        <f t="shared" si="147"/>
        <v>0</v>
      </c>
      <c r="AZ296" s="76"/>
      <c r="BA296" s="142"/>
      <c r="BB296" s="142"/>
      <c r="BC296" s="77">
        <f t="shared" si="148"/>
        <v>0</v>
      </c>
      <c r="BD296" s="78"/>
      <c r="BE296" s="142"/>
      <c r="BF296" s="142"/>
      <c r="BG296" s="79">
        <f t="shared" si="149"/>
        <v>0</v>
      </c>
      <c r="BH296" s="75"/>
      <c r="BI296" s="76"/>
      <c r="BJ296" s="135"/>
      <c r="BK296" s="135"/>
      <c r="BL296" s="77">
        <f t="shared" si="150"/>
        <v>0</v>
      </c>
      <c r="BM296" s="78"/>
      <c r="BN296" s="142"/>
      <c r="BO296" s="142"/>
      <c r="BP296" s="77">
        <f t="shared" si="151"/>
        <v>0</v>
      </c>
      <c r="BQ296" s="78"/>
      <c r="BR296" s="142"/>
      <c r="BS296" s="142"/>
      <c r="BT296" s="79">
        <f t="shared" si="152"/>
        <v>0</v>
      </c>
      <c r="BU296" s="75"/>
      <c r="BV296" s="76"/>
      <c r="BW296" s="135"/>
      <c r="BX296" s="135"/>
      <c r="BY296" s="77">
        <f t="shared" si="153"/>
        <v>0</v>
      </c>
      <c r="BZ296" s="78"/>
      <c r="CA296" s="142"/>
      <c r="CB296" s="142"/>
      <c r="CC296" s="77">
        <f t="shared" si="154"/>
        <v>0</v>
      </c>
      <c r="CD296" s="78"/>
      <c r="CE296" s="142"/>
      <c r="CF296" s="142"/>
      <c r="CG296" s="79">
        <f t="shared" si="155"/>
        <v>0</v>
      </c>
      <c r="CH296" s="75"/>
      <c r="CI296" s="76"/>
      <c r="CJ296" s="86"/>
      <c r="CK296" s="86"/>
      <c r="CL296" s="77">
        <f t="shared" si="156"/>
        <v>0</v>
      </c>
      <c r="CM296" s="78"/>
      <c r="CN296" s="85"/>
      <c r="CO296" s="85"/>
      <c r="CP296" s="77">
        <f t="shared" si="157"/>
        <v>0</v>
      </c>
      <c r="CQ296" s="78"/>
      <c r="CR296" s="85"/>
      <c r="CS296" s="85"/>
      <c r="CT296" s="79">
        <f t="shared" si="158"/>
        <v>0</v>
      </c>
      <c r="CU296" s="80">
        <f t="shared" si="136"/>
        <v>0</v>
      </c>
      <c r="CV296" s="81">
        <f t="shared" si="137"/>
        <v>0</v>
      </c>
      <c r="CW296" s="144"/>
      <c r="CX296" s="145">
        <f>IF(ISERROR(VLOOKUP($A296,FIJOS!$B$11:$O$590,14,FALSE)),0,VLOOKUP($A296,FIJOS!$B$11:$O$590,14,FALSE))</f>
        <v>0</v>
      </c>
      <c r="CY296" s="145">
        <f>IF(ISERROR(VLOOKUP(A296,FIJOS!$B$10:$P$590,15,FALSE)),0,VLOOKUP(A296,FIJOS!$B$10:$P$590,15,FALSE))</f>
        <v>0</v>
      </c>
      <c r="CZ296" s="155"/>
      <c r="DA296" s="147"/>
      <c r="DB296" s="147"/>
      <c r="DC296" s="147"/>
      <c r="DD296" s="147"/>
      <c r="DE296" s="147"/>
      <c r="DF296" s="145">
        <f>IF(ISERROR(VLOOKUP($A296,FIJOS!$B$11:$N$590,13,FALSE)),0,VLOOKUP($A296,FIJOS!$B$11:$N$590,13,FALSE))</f>
        <v>0</v>
      </c>
      <c r="DG296" s="145">
        <f>IF(ISERROR(VLOOKUP($A296,FIJOS!$B$11:$P$447,12,FALSE)),0,VLOOKUP($A296,FIJOS!$B$11:$P$447,12,FALSE))</f>
        <v>0</v>
      </c>
      <c r="DH296" s="82">
        <f t="shared" si="159"/>
        <v>0</v>
      </c>
      <c r="DI296" s="83" t="b">
        <f>IF($C296=1,(VLOOKUP($A296,FIJOS!$B$11:$P$545,10,FALSE)/7)*(7-$CU296),IF(AND($C296=2,CV296&lt;$DJ$1),(VLOOKUP($D296,HORAS!$B$4:$C$42,2,FALSE)*24)*$CV296,IF(AND($C296=2,CV296&gt;=$DJ$1),VLOOKUP($D296,HORAS!$B$4:$D$42,3,FALSE),IF(AND($C296=3,$CV296&gt;=$DJ$1),VLOOKUP($A296,FIJOS!$B$11:$P$545,10,FALSE),IF(AND($C296=3,$CV296&lt;$DJ$1),((VLOOKUP($A296,FIJOS!$B$11:$P$545,10,FALSE)/48)*24)*$CV296,IF(AND($C296=4,$CV296&gt;=(42/24)),VLOOKUP($D296,HORAS!$B$4:$D$42,3,FALSE),IF(AND($C296=5,$CV296&gt;=(36/24)),VLOOKUP($D296,HORAS!$B$4:$D$42,3,FALSE))))))))</f>
        <v>0</v>
      </c>
      <c r="DJ296" s="145">
        <f>IF(OR($C296=2),VLOOKUP($D296,HORAS!$B$4:$E$42,4,FALSE)*$EC296,IF(ISERROR(VLOOKUP($A296,FIJOS!$B$11:$P$108,9,FALSE)),0,VLOOKUP($A296,FIJOS!$B$11:$P$231,9,FALSE)*$EC296))</f>
        <v>0</v>
      </c>
      <c r="DK296" s="145">
        <f>IF(OR($C296=2),VLOOKUP($D296,HORAS!$B$4:$F$42,5,FALSE)*$EE296,IF(ISERROR(VLOOKUP($A296,FIJOS!$B$11:$P$108,9,FALSE)),0,VLOOKUP($A296,FIJOS!$B$11:$P$231,9,FALSE)*$EE296))</f>
        <v>0</v>
      </c>
      <c r="DL296" s="144"/>
      <c r="DM296" s="145">
        <f>IF(ISERROR(VLOOKUP($A296,FIJOS!$B$11:$L$646,11,FALSE)),0,VLOOKUP($A296,FIJOS!$B$11:$L$646,11,FALSE))</f>
        <v>0</v>
      </c>
      <c r="DN296" s="148" t="e">
        <f>IF(OR($C296=1,$C296=3),0,IF((VLOOKUP(CAPTURA!D296,HORAS!$B$4:$K$42,10,FALSE)/4)*COUNTIF($H296:$CT296,3)&gt;100,100,(VLOOKUP(CAPTURA!D296,HORAS!$B$4:$K$42,10,FALSE)/4)*COUNTIF($H296:$CT296,3)))</f>
        <v>#N/A</v>
      </c>
      <c r="DO296" s="144" t="e">
        <f>IF(OR($C296=1,$C296=3),0,IF($C296=5,VLOOKUP(D296,HORAS!$B$4:$G$42,6,FALSE),IF(AND($C296=4,$CV296&gt;=(42/24)),VLOOKUP(D296,HORAS!$B$4:$G$42,6,FALSE),IF(COUNTIF($H296:$CL296,"F")&gt;0,0,IF(CV296&gt;$DJ$1,$DJ$1*(VLOOKUP(D296,HORAS!$B$4:$G$42,6,FALSE)/$DJ$1),CV296*(VLOOKUP(D296,HORAS!$B$4:$G$42,6,FALSE)/$DJ$1))))))</f>
        <v>#N/A</v>
      </c>
      <c r="DP296" s="156"/>
      <c r="DQ296" s="148"/>
      <c r="DR296" s="148"/>
      <c r="DS296" s="83" t="e">
        <f t="shared" si="162"/>
        <v>#N/A</v>
      </c>
      <c r="DT296" s="84"/>
      <c r="DU296" s="149" t="e">
        <f t="shared" si="163"/>
        <v>#N/A</v>
      </c>
      <c r="DV296" s="149" t="e">
        <f t="shared" si="164"/>
        <v>#N/A</v>
      </c>
      <c r="DW296" s="144" t="e">
        <f t="shared" si="165"/>
        <v>#N/A</v>
      </c>
      <c r="DX296"/>
      <c r="DY296" s="29"/>
      <c r="DZ296" s="150"/>
      <c r="EA296" s="134"/>
      <c r="EB296" s="137">
        <f t="shared" si="166"/>
        <v>0</v>
      </c>
      <c r="EC296" s="138">
        <f t="shared" si="160"/>
        <v>0</v>
      </c>
      <c r="ED296" s="137">
        <f t="shared" si="167"/>
        <v>0</v>
      </c>
      <c r="EE296" s="132">
        <f t="shared" si="161"/>
        <v>0</v>
      </c>
      <c r="EF296" s="29"/>
      <c r="EG296" s="134"/>
      <c r="EH296" s="134"/>
      <c r="EI296" s="134"/>
      <c r="EK296" s="29"/>
    </row>
    <row r="297" spans="1:141" ht="15" customHeight="1" x14ac:dyDescent="0.25">
      <c r="A297" s="87"/>
      <c r="B297" s="5"/>
      <c r="C297" s="72"/>
      <c r="D297" s="73"/>
      <c r="E297" s="73"/>
      <c r="F297" s="141"/>
      <c r="G297" s="74"/>
      <c r="H297" s="75"/>
      <c r="I297" s="76"/>
      <c r="J297" s="135"/>
      <c r="K297" s="135"/>
      <c r="L297" s="77">
        <f t="shared" si="138"/>
        <v>0</v>
      </c>
      <c r="M297" s="78"/>
      <c r="N297" s="142"/>
      <c r="O297" s="142"/>
      <c r="P297" s="77">
        <f t="shared" si="139"/>
        <v>0</v>
      </c>
      <c r="Q297" s="78"/>
      <c r="R297" s="143"/>
      <c r="S297" s="143"/>
      <c r="T297" s="77">
        <f t="shared" si="140"/>
        <v>0</v>
      </c>
      <c r="U297" s="75"/>
      <c r="V297" s="76"/>
      <c r="W297" s="135"/>
      <c r="X297" s="135"/>
      <c r="Y297" s="77">
        <f t="shared" si="141"/>
        <v>0</v>
      </c>
      <c r="Z297" s="78"/>
      <c r="AA297" s="142"/>
      <c r="AB297" s="142"/>
      <c r="AC297" s="77">
        <f t="shared" si="142"/>
        <v>0</v>
      </c>
      <c r="AD297" s="78"/>
      <c r="AE297" s="143"/>
      <c r="AF297" s="143"/>
      <c r="AG297" s="79">
        <f t="shared" si="143"/>
        <v>0</v>
      </c>
      <c r="AH297" s="75"/>
      <c r="AI297" s="76"/>
      <c r="AJ297" s="135"/>
      <c r="AK297" s="135"/>
      <c r="AL297" s="77">
        <f t="shared" si="144"/>
        <v>0</v>
      </c>
      <c r="AM297" s="76"/>
      <c r="AN297" s="142"/>
      <c r="AO297" s="142"/>
      <c r="AP297" s="77">
        <f t="shared" si="145"/>
        <v>0</v>
      </c>
      <c r="AQ297" s="78"/>
      <c r="AR297" s="142"/>
      <c r="AS297" s="142"/>
      <c r="AT297" s="79">
        <f t="shared" si="146"/>
        <v>0</v>
      </c>
      <c r="AU297" s="75"/>
      <c r="AV297" s="76"/>
      <c r="AW297" s="135"/>
      <c r="AX297" s="135"/>
      <c r="AY297" s="77">
        <f t="shared" si="147"/>
        <v>0</v>
      </c>
      <c r="AZ297" s="76"/>
      <c r="BA297" s="142"/>
      <c r="BB297" s="142"/>
      <c r="BC297" s="77">
        <f t="shared" si="148"/>
        <v>0</v>
      </c>
      <c r="BD297" s="78"/>
      <c r="BE297" s="142"/>
      <c r="BF297" s="142"/>
      <c r="BG297" s="79">
        <f t="shared" si="149"/>
        <v>0</v>
      </c>
      <c r="BH297" s="75"/>
      <c r="BI297" s="76"/>
      <c r="BJ297" s="135"/>
      <c r="BK297" s="135"/>
      <c r="BL297" s="77">
        <f t="shared" si="150"/>
        <v>0</v>
      </c>
      <c r="BM297" s="78"/>
      <c r="BN297" s="142"/>
      <c r="BO297" s="142"/>
      <c r="BP297" s="77">
        <f t="shared" si="151"/>
        <v>0</v>
      </c>
      <c r="BQ297" s="78"/>
      <c r="BR297" s="142"/>
      <c r="BS297" s="142"/>
      <c r="BT297" s="79">
        <f t="shared" si="152"/>
        <v>0</v>
      </c>
      <c r="BU297" s="75"/>
      <c r="BV297" s="76"/>
      <c r="BW297" s="135"/>
      <c r="BX297" s="135"/>
      <c r="BY297" s="77">
        <f t="shared" si="153"/>
        <v>0</v>
      </c>
      <c r="BZ297" s="78"/>
      <c r="CA297" s="142"/>
      <c r="CB297" s="142"/>
      <c r="CC297" s="77">
        <f t="shared" si="154"/>
        <v>0</v>
      </c>
      <c r="CD297" s="78"/>
      <c r="CE297" s="142"/>
      <c r="CF297" s="142"/>
      <c r="CG297" s="79">
        <f t="shared" si="155"/>
        <v>0</v>
      </c>
      <c r="CH297" s="75"/>
      <c r="CI297" s="76"/>
      <c r="CJ297" s="86"/>
      <c r="CK297" s="86"/>
      <c r="CL297" s="77">
        <f t="shared" si="156"/>
        <v>0</v>
      </c>
      <c r="CM297" s="78"/>
      <c r="CN297" s="85"/>
      <c r="CO297" s="85"/>
      <c r="CP297" s="77">
        <f t="shared" si="157"/>
        <v>0</v>
      </c>
      <c r="CQ297" s="78"/>
      <c r="CR297" s="85"/>
      <c r="CS297" s="85"/>
      <c r="CT297" s="79">
        <f t="shared" si="158"/>
        <v>0</v>
      </c>
      <c r="CU297" s="80">
        <f t="shared" ref="CU297:CU678" si="168">COUNTIF($H297:$CL297,"F")+COUNTIF($H297:$CL297,"PSG")+COUNTIF($H297:$CL297,"INC")</f>
        <v>0</v>
      </c>
      <c r="CV297" s="81">
        <f t="shared" ref="CV297:CV678" si="169">SUMIFS($J297:$CT297,$J$6:$CT$6,$CV$5)</f>
        <v>0</v>
      </c>
      <c r="CW297" s="144"/>
      <c r="CX297" s="145">
        <f>IF(ISERROR(VLOOKUP($A297,FIJOS!$B$11:$O$590,14,FALSE)),0,VLOOKUP($A297,FIJOS!$B$11:$O$590,14,FALSE))</f>
        <v>0</v>
      </c>
      <c r="CY297" s="145">
        <f>IF(ISERROR(VLOOKUP(A297,FIJOS!$B$10:$P$590,15,FALSE)),0,VLOOKUP(A297,FIJOS!$B$10:$P$590,15,FALSE))</f>
        <v>0</v>
      </c>
      <c r="CZ297" s="155"/>
      <c r="DA297" s="147"/>
      <c r="DB297" s="147"/>
      <c r="DC297" s="147"/>
      <c r="DD297" s="147"/>
      <c r="DE297" s="147"/>
      <c r="DF297" s="145">
        <f>IF(ISERROR(VLOOKUP($A297,FIJOS!$B$11:$N$590,13,FALSE)),0,VLOOKUP($A297,FIJOS!$B$11:$N$590,13,FALSE))</f>
        <v>0</v>
      </c>
      <c r="DG297" s="145">
        <f>IF(ISERROR(VLOOKUP($A297,FIJOS!$B$11:$P$447,12,FALSE)),0,VLOOKUP($A297,FIJOS!$B$11:$P$447,12,FALSE))</f>
        <v>0</v>
      </c>
      <c r="DH297" s="82">
        <f t="shared" si="159"/>
        <v>0</v>
      </c>
      <c r="DI297" s="83" t="b">
        <f>IF($C297=1,(VLOOKUP($A297,FIJOS!$B$11:$P$545,10,FALSE)/7)*(7-$CU297),IF(AND($C297=2,CV297&lt;$DJ$1),(VLOOKUP($D297,HORAS!$B$4:$C$42,2,FALSE)*24)*$CV297,IF(AND($C297=2,CV297&gt;=$DJ$1),VLOOKUP($D297,HORAS!$B$4:$D$42,3,FALSE),IF(AND($C297=3,$CV297&gt;=$DJ$1),VLOOKUP($A297,FIJOS!$B$11:$P$545,10,FALSE),IF(AND($C297=3,$CV297&lt;$DJ$1),((VLOOKUP($A297,FIJOS!$B$11:$P$545,10,FALSE)/48)*24)*$CV297,IF(AND($C297=4,$CV297&gt;=(42/24)),VLOOKUP($D297,HORAS!$B$4:$D$42,3,FALSE),IF(AND($C297=5,$CV297&gt;=(36/24)),VLOOKUP($D297,HORAS!$B$4:$D$42,3,FALSE))))))))</f>
        <v>0</v>
      </c>
      <c r="DJ297" s="145">
        <f>IF(OR($C297=2),VLOOKUP($D297,HORAS!$B$4:$E$42,4,FALSE)*$EC297,IF(ISERROR(VLOOKUP($A297,FIJOS!$B$11:$P$108,9,FALSE)),0,VLOOKUP($A297,FIJOS!$B$11:$P$231,9,FALSE)*$EC297))</f>
        <v>0</v>
      </c>
      <c r="DK297" s="145">
        <f>IF(OR($C297=2),VLOOKUP($D297,HORAS!$B$4:$F$42,5,FALSE)*$EE297,IF(ISERROR(VLOOKUP($A297,FIJOS!$B$11:$P$108,9,FALSE)),0,VLOOKUP($A297,FIJOS!$B$11:$P$231,9,FALSE)*$EE297))</f>
        <v>0</v>
      </c>
      <c r="DL297" s="144"/>
      <c r="DM297" s="145">
        <f>IF(ISERROR(VLOOKUP($A297,FIJOS!$B$11:$L$646,11,FALSE)),0,VLOOKUP($A297,FIJOS!$B$11:$L$646,11,FALSE))</f>
        <v>0</v>
      </c>
      <c r="DN297" s="148" t="e">
        <f>IF(OR($C297=1,$C297=3),0,IF((VLOOKUP(CAPTURA!D297,HORAS!$B$4:$K$42,10,FALSE)/4)*COUNTIF($H297:$CT297,3)&gt;100,100,(VLOOKUP(CAPTURA!D297,HORAS!$B$4:$K$42,10,FALSE)/4)*COUNTIF($H297:$CT297,3)))</f>
        <v>#N/A</v>
      </c>
      <c r="DO297" s="144" t="e">
        <f>IF(OR($C297=1,$C297=3),0,IF($C297=5,VLOOKUP(D297,HORAS!$B$4:$G$42,6,FALSE),IF(AND($C297=4,$CV297&gt;=(42/24)),VLOOKUP(D297,HORAS!$B$4:$G$42,6,FALSE),IF(COUNTIF($H297:$CL297,"F")&gt;0,0,IF(CV297&gt;$DJ$1,$DJ$1*(VLOOKUP(D297,HORAS!$B$4:$G$42,6,FALSE)/$DJ$1),CV297*(VLOOKUP(D297,HORAS!$B$4:$G$42,6,FALSE)/$DJ$1))))))</f>
        <v>#N/A</v>
      </c>
      <c r="DP297" s="156"/>
      <c r="DQ297" s="148"/>
      <c r="DR297" s="148"/>
      <c r="DS297" s="83" t="e">
        <f t="shared" si="162"/>
        <v>#N/A</v>
      </c>
      <c r="DT297" s="84"/>
      <c r="DU297" s="149" t="e">
        <f t="shared" si="163"/>
        <v>#N/A</v>
      </c>
      <c r="DV297" s="149" t="e">
        <f t="shared" si="164"/>
        <v>#N/A</v>
      </c>
      <c r="DW297" s="144" t="e">
        <f t="shared" si="165"/>
        <v>#N/A</v>
      </c>
      <c r="DX297"/>
      <c r="DY297" s="29"/>
      <c r="DZ297" s="150"/>
      <c r="EA297" s="134"/>
      <c r="EB297" s="137">
        <f t="shared" si="166"/>
        <v>0</v>
      </c>
      <c r="EC297" s="138">
        <f t="shared" si="160"/>
        <v>0</v>
      </c>
      <c r="ED297" s="137">
        <f t="shared" si="167"/>
        <v>0</v>
      </c>
      <c r="EE297" s="132">
        <f t="shared" si="161"/>
        <v>0</v>
      </c>
      <c r="EF297" s="29"/>
      <c r="EG297" s="134"/>
      <c r="EH297" s="134"/>
      <c r="EI297" s="134"/>
      <c r="EK297" s="29"/>
    </row>
    <row r="298" spans="1:141" ht="15" customHeight="1" x14ac:dyDescent="0.25">
      <c r="A298" s="87"/>
      <c r="B298" s="5"/>
      <c r="C298" s="72"/>
      <c r="D298" s="73"/>
      <c r="E298" s="73"/>
      <c r="F298" s="141"/>
      <c r="G298" s="74"/>
      <c r="H298" s="75"/>
      <c r="I298" s="76"/>
      <c r="J298" s="135"/>
      <c r="K298" s="135"/>
      <c r="L298" s="77">
        <f t="shared" si="138"/>
        <v>0</v>
      </c>
      <c r="M298" s="78"/>
      <c r="N298" s="142"/>
      <c r="O298" s="142"/>
      <c r="P298" s="77">
        <f t="shared" si="139"/>
        <v>0</v>
      </c>
      <c r="Q298" s="78"/>
      <c r="R298" s="143"/>
      <c r="S298" s="143"/>
      <c r="T298" s="77">
        <f t="shared" si="140"/>
        <v>0</v>
      </c>
      <c r="U298" s="75"/>
      <c r="V298" s="76"/>
      <c r="W298" s="135"/>
      <c r="X298" s="135"/>
      <c r="Y298" s="77">
        <f t="shared" si="141"/>
        <v>0</v>
      </c>
      <c r="Z298" s="78"/>
      <c r="AA298" s="142"/>
      <c r="AB298" s="142"/>
      <c r="AC298" s="77">
        <f t="shared" si="142"/>
        <v>0</v>
      </c>
      <c r="AD298" s="78"/>
      <c r="AE298" s="143"/>
      <c r="AF298" s="143"/>
      <c r="AG298" s="79">
        <f t="shared" si="143"/>
        <v>0</v>
      </c>
      <c r="AH298" s="75"/>
      <c r="AI298" s="76"/>
      <c r="AJ298" s="135"/>
      <c r="AK298" s="135"/>
      <c r="AL298" s="77">
        <f t="shared" si="144"/>
        <v>0</v>
      </c>
      <c r="AM298" s="76"/>
      <c r="AN298" s="142"/>
      <c r="AO298" s="142"/>
      <c r="AP298" s="77">
        <f t="shared" si="145"/>
        <v>0</v>
      </c>
      <c r="AQ298" s="78"/>
      <c r="AR298" s="142"/>
      <c r="AS298" s="142"/>
      <c r="AT298" s="79">
        <f t="shared" si="146"/>
        <v>0</v>
      </c>
      <c r="AU298" s="75"/>
      <c r="AV298" s="76"/>
      <c r="AW298" s="135"/>
      <c r="AX298" s="135"/>
      <c r="AY298" s="77">
        <f t="shared" si="147"/>
        <v>0</v>
      </c>
      <c r="AZ298" s="76"/>
      <c r="BA298" s="142"/>
      <c r="BB298" s="142"/>
      <c r="BC298" s="77">
        <f t="shared" si="148"/>
        <v>0</v>
      </c>
      <c r="BD298" s="78"/>
      <c r="BE298" s="142"/>
      <c r="BF298" s="142"/>
      <c r="BG298" s="79">
        <f t="shared" si="149"/>
        <v>0</v>
      </c>
      <c r="BH298" s="75"/>
      <c r="BI298" s="76"/>
      <c r="BJ298" s="135"/>
      <c r="BK298" s="135"/>
      <c r="BL298" s="77">
        <f t="shared" si="150"/>
        <v>0</v>
      </c>
      <c r="BM298" s="78"/>
      <c r="BN298" s="142"/>
      <c r="BO298" s="142"/>
      <c r="BP298" s="77">
        <f t="shared" si="151"/>
        <v>0</v>
      </c>
      <c r="BQ298" s="78"/>
      <c r="BR298" s="142"/>
      <c r="BS298" s="142"/>
      <c r="BT298" s="79">
        <f t="shared" si="152"/>
        <v>0</v>
      </c>
      <c r="BU298" s="75"/>
      <c r="BV298" s="76"/>
      <c r="BW298" s="135"/>
      <c r="BX298" s="135"/>
      <c r="BY298" s="77">
        <f t="shared" si="153"/>
        <v>0</v>
      </c>
      <c r="BZ298" s="78"/>
      <c r="CA298" s="142"/>
      <c r="CB298" s="142"/>
      <c r="CC298" s="77">
        <f t="shared" si="154"/>
        <v>0</v>
      </c>
      <c r="CD298" s="78"/>
      <c r="CE298" s="142"/>
      <c r="CF298" s="142"/>
      <c r="CG298" s="79">
        <f t="shared" si="155"/>
        <v>0</v>
      </c>
      <c r="CH298" s="75"/>
      <c r="CI298" s="76"/>
      <c r="CJ298" s="86"/>
      <c r="CK298" s="86"/>
      <c r="CL298" s="77">
        <f t="shared" si="156"/>
        <v>0</v>
      </c>
      <c r="CM298" s="78"/>
      <c r="CN298" s="85"/>
      <c r="CO298" s="85"/>
      <c r="CP298" s="77">
        <f t="shared" si="157"/>
        <v>0</v>
      </c>
      <c r="CQ298" s="78"/>
      <c r="CR298" s="85"/>
      <c r="CS298" s="85"/>
      <c r="CT298" s="79">
        <f t="shared" si="158"/>
        <v>0</v>
      </c>
      <c r="CU298" s="80">
        <f t="shared" si="168"/>
        <v>0</v>
      </c>
      <c r="CV298" s="81">
        <f t="shared" si="169"/>
        <v>0</v>
      </c>
      <c r="CW298" s="144"/>
      <c r="CX298" s="145">
        <f>IF(ISERROR(VLOOKUP($A298,FIJOS!$B$11:$O$590,14,FALSE)),0,VLOOKUP($A298,FIJOS!$B$11:$O$590,14,FALSE))</f>
        <v>0</v>
      </c>
      <c r="CY298" s="145">
        <f>IF(ISERROR(VLOOKUP(A298,FIJOS!$B$10:$P$590,15,FALSE)),0,VLOOKUP(A298,FIJOS!$B$10:$P$590,15,FALSE))</f>
        <v>0</v>
      </c>
      <c r="CZ298" s="155"/>
      <c r="DA298" s="147"/>
      <c r="DB298" s="147"/>
      <c r="DC298" s="147"/>
      <c r="DD298" s="147"/>
      <c r="DE298" s="147"/>
      <c r="DF298" s="145">
        <f>IF(ISERROR(VLOOKUP($A298,FIJOS!$B$11:$N$590,13,FALSE)),0,VLOOKUP($A298,FIJOS!$B$11:$N$590,13,FALSE))</f>
        <v>0</v>
      </c>
      <c r="DG298" s="145">
        <f>IF(ISERROR(VLOOKUP($A298,FIJOS!$B$11:$P$447,12,FALSE)),0,VLOOKUP($A298,FIJOS!$B$11:$P$447,12,FALSE))</f>
        <v>0</v>
      </c>
      <c r="DH298" s="82">
        <f t="shared" si="159"/>
        <v>0</v>
      </c>
      <c r="DI298" s="83" t="b">
        <f>IF($C298=1,(VLOOKUP($A298,FIJOS!$B$11:$P$545,10,FALSE)/7)*(7-$CU298),IF(AND($C298=2,CV298&lt;$DJ$1),(VLOOKUP($D298,HORAS!$B$4:$C$42,2,FALSE)*24)*$CV298,IF(AND($C298=2,CV298&gt;=$DJ$1),VLOOKUP($D298,HORAS!$B$4:$D$42,3,FALSE),IF(AND($C298=3,$CV298&gt;=$DJ$1),VLOOKUP($A298,FIJOS!$B$11:$P$545,10,FALSE),IF(AND($C298=3,$CV298&lt;$DJ$1),((VLOOKUP($A298,FIJOS!$B$11:$P$545,10,FALSE)/48)*24)*$CV298,IF(AND($C298=4,$CV298&gt;=(42/24)),VLOOKUP($D298,HORAS!$B$4:$D$42,3,FALSE),IF(AND($C298=5,$CV298&gt;=(36/24)),VLOOKUP($D298,HORAS!$B$4:$D$42,3,FALSE))))))))</f>
        <v>0</v>
      </c>
      <c r="DJ298" s="145">
        <f>IF(OR($C298=2),VLOOKUP($D298,HORAS!$B$4:$E$42,4,FALSE)*$EC298,IF(ISERROR(VLOOKUP($A298,FIJOS!$B$11:$P$108,9,FALSE)),0,VLOOKUP($A298,FIJOS!$B$11:$P$231,9,FALSE)*$EC298))</f>
        <v>0</v>
      </c>
      <c r="DK298" s="145">
        <f>IF(OR($C298=2),VLOOKUP($D298,HORAS!$B$4:$F$42,5,FALSE)*$EE298,IF(ISERROR(VLOOKUP($A298,FIJOS!$B$11:$P$108,9,FALSE)),0,VLOOKUP($A298,FIJOS!$B$11:$P$231,9,FALSE)*$EE298))</f>
        <v>0</v>
      </c>
      <c r="DL298" s="144"/>
      <c r="DM298" s="145">
        <f>IF(ISERROR(VLOOKUP($A298,FIJOS!$B$11:$L$646,11,FALSE)),0,VLOOKUP($A298,FIJOS!$B$11:$L$646,11,FALSE))</f>
        <v>0</v>
      </c>
      <c r="DN298" s="148" t="e">
        <f>IF(OR($C298=1,$C298=3),0,IF((VLOOKUP(CAPTURA!D298,HORAS!$B$4:$K$42,10,FALSE)/4)*COUNTIF($H298:$CT298,3)&gt;100,100,(VLOOKUP(CAPTURA!D298,HORAS!$B$4:$K$42,10,FALSE)/4)*COUNTIF($H298:$CT298,3)))</f>
        <v>#N/A</v>
      </c>
      <c r="DO298" s="144" t="e">
        <f>IF(OR($C298=1,$C298=3),0,IF($C298=5,VLOOKUP(D298,HORAS!$B$4:$G$42,6,FALSE),IF(AND($C298=4,$CV298&gt;=(42/24)),VLOOKUP(D298,HORAS!$B$4:$G$42,6,FALSE),IF(COUNTIF($H298:$CL298,"F")&gt;0,0,IF(CV298&gt;$DJ$1,$DJ$1*(VLOOKUP(D298,HORAS!$B$4:$G$42,6,FALSE)/$DJ$1),CV298*(VLOOKUP(D298,HORAS!$B$4:$G$42,6,FALSE)/$DJ$1))))))</f>
        <v>#N/A</v>
      </c>
      <c r="DP298" s="156"/>
      <c r="DQ298" s="148"/>
      <c r="DR298" s="148"/>
      <c r="DS298" s="83" t="e">
        <f t="shared" si="162"/>
        <v>#N/A</v>
      </c>
      <c r="DT298" s="84"/>
      <c r="DU298" s="149" t="e">
        <f t="shared" si="163"/>
        <v>#N/A</v>
      </c>
      <c r="DV298" s="149" t="e">
        <f t="shared" si="164"/>
        <v>#N/A</v>
      </c>
      <c r="DW298" s="144" t="e">
        <f t="shared" si="165"/>
        <v>#N/A</v>
      </c>
      <c r="DX298"/>
      <c r="DY298" s="29"/>
      <c r="DZ298" s="150"/>
      <c r="EA298" s="134"/>
      <c r="EB298" s="137">
        <f t="shared" si="166"/>
        <v>0</v>
      </c>
      <c r="EC298" s="138">
        <f t="shared" si="160"/>
        <v>0</v>
      </c>
      <c r="ED298" s="137">
        <f t="shared" si="167"/>
        <v>0</v>
      </c>
      <c r="EE298" s="132">
        <f t="shared" si="161"/>
        <v>0</v>
      </c>
      <c r="EF298" s="29"/>
      <c r="EG298" s="134"/>
      <c r="EH298" s="134"/>
      <c r="EI298" s="134"/>
      <c r="EK298" s="29"/>
    </row>
    <row r="299" spans="1:141" ht="15" customHeight="1" x14ac:dyDescent="0.25">
      <c r="A299" s="87"/>
      <c r="B299" s="5"/>
      <c r="C299" s="72"/>
      <c r="D299" s="73"/>
      <c r="E299" s="73"/>
      <c r="F299" s="141"/>
      <c r="G299" s="74"/>
      <c r="H299" s="75"/>
      <c r="I299" s="76"/>
      <c r="J299" s="135"/>
      <c r="K299" s="135"/>
      <c r="L299" s="77">
        <f t="shared" si="138"/>
        <v>0</v>
      </c>
      <c r="M299" s="78"/>
      <c r="N299" s="142"/>
      <c r="O299" s="142"/>
      <c r="P299" s="77">
        <f t="shared" si="139"/>
        <v>0</v>
      </c>
      <c r="Q299" s="78"/>
      <c r="R299" s="143"/>
      <c r="S299" s="143"/>
      <c r="T299" s="77">
        <f t="shared" si="140"/>
        <v>0</v>
      </c>
      <c r="U299" s="75"/>
      <c r="V299" s="76"/>
      <c r="W299" s="135"/>
      <c r="X299" s="135"/>
      <c r="Y299" s="77">
        <f t="shared" si="141"/>
        <v>0</v>
      </c>
      <c r="Z299" s="78"/>
      <c r="AA299" s="142"/>
      <c r="AB299" s="142"/>
      <c r="AC299" s="77">
        <f t="shared" si="142"/>
        <v>0</v>
      </c>
      <c r="AD299" s="78"/>
      <c r="AE299" s="143"/>
      <c r="AF299" s="143"/>
      <c r="AG299" s="79">
        <f t="shared" si="143"/>
        <v>0</v>
      </c>
      <c r="AH299" s="75"/>
      <c r="AI299" s="76"/>
      <c r="AJ299" s="135"/>
      <c r="AK299" s="135"/>
      <c r="AL299" s="77">
        <f t="shared" si="144"/>
        <v>0</v>
      </c>
      <c r="AM299" s="76"/>
      <c r="AN299" s="142"/>
      <c r="AO299" s="142"/>
      <c r="AP299" s="77">
        <f t="shared" si="145"/>
        <v>0</v>
      </c>
      <c r="AQ299" s="78"/>
      <c r="AR299" s="142"/>
      <c r="AS299" s="142"/>
      <c r="AT299" s="79">
        <f t="shared" si="146"/>
        <v>0</v>
      </c>
      <c r="AU299" s="75"/>
      <c r="AV299" s="76"/>
      <c r="AW299" s="135"/>
      <c r="AX299" s="135"/>
      <c r="AY299" s="77">
        <f t="shared" si="147"/>
        <v>0</v>
      </c>
      <c r="AZ299" s="76"/>
      <c r="BA299" s="142"/>
      <c r="BB299" s="142"/>
      <c r="BC299" s="77">
        <f t="shared" si="148"/>
        <v>0</v>
      </c>
      <c r="BD299" s="78"/>
      <c r="BE299" s="142"/>
      <c r="BF299" s="142"/>
      <c r="BG299" s="79">
        <f t="shared" si="149"/>
        <v>0</v>
      </c>
      <c r="BH299" s="75"/>
      <c r="BI299" s="76"/>
      <c r="BJ299" s="135"/>
      <c r="BK299" s="135"/>
      <c r="BL299" s="77">
        <f t="shared" si="150"/>
        <v>0</v>
      </c>
      <c r="BM299" s="78"/>
      <c r="BN299" s="142"/>
      <c r="BO299" s="142"/>
      <c r="BP299" s="77">
        <f t="shared" si="151"/>
        <v>0</v>
      </c>
      <c r="BQ299" s="78"/>
      <c r="BR299" s="142"/>
      <c r="BS299" s="142"/>
      <c r="BT299" s="79">
        <f t="shared" si="152"/>
        <v>0</v>
      </c>
      <c r="BU299" s="75"/>
      <c r="BV299" s="76"/>
      <c r="BW299" s="135"/>
      <c r="BX299" s="135"/>
      <c r="BY299" s="77">
        <f t="shared" si="153"/>
        <v>0</v>
      </c>
      <c r="BZ299" s="78"/>
      <c r="CA299" s="142"/>
      <c r="CB299" s="142"/>
      <c r="CC299" s="77">
        <f t="shared" si="154"/>
        <v>0</v>
      </c>
      <c r="CD299" s="78"/>
      <c r="CE299" s="142"/>
      <c r="CF299" s="142"/>
      <c r="CG299" s="79">
        <f t="shared" si="155"/>
        <v>0</v>
      </c>
      <c r="CH299" s="75"/>
      <c r="CI299" s="76"/>
      <c r="CJ299" s="86"/>
      <c r="CK299" s="86"/>
      <c r="CL299" s="77">
        <f t="shared" si="156"/>
        <v>0</v>
      </c>
      <c r="CM299" s="78"/>
      <c r="CN299" s="85"/>
      <c r="CO299" s="85"/>
      <c r="CP299" s="77">
        <f t="shared" si="157"/>
        <v>0</v>
      </c>
      <c r="CQ299" s="78"/>
      <c r="CR299" s="85"/>
      <c r="CS299" s="85"/>
      <c r="CT299" s="79">
        <f t="shared" si="158"/>
        <v>0</v>
      </c>
      <c r="CU299" s="80">
        <f t="shared" si="168"/>
        <v>0</v>
      </c>
      <c r="CV299" s="81">
        <f t="shared" si="169"/>
        <v>0</v>
      </c>
      <c r="CW299" s="144"/>
      <c r="CX299" s="145">
        <f>IF(ISERROR(VLOOKUP($A299,FIJOS!$B$11:$O$590,14,FALSE)),0,VLOOKUP($A299,FIJOS!$B$11:$O$590,14,FALSE))</f>
        <v>0</v>
      </c>
      <c r="CY299" s="145">
        <f>IF(ISERROR(VLOOKUP(A299,FIJOS!$B$10:$P$590,15,FALSE)),0,VLOOKUP(A299,FIJOS!$B$10:$P$590,15,FALSE))</f>
        <v>0</v>
      </c>
      <c r="CZ299" s="155"/>
      <c r="DA299" s="147"/>
      <c r="DB299" s="147"/>
      <c r="DC299" s="147"/>
      <c r="DD299" s="147"/>
      <c r="DE299" s="147"/>
      <c r="DF299" s="145">
        <f>IF(ISERROR(VLOOKUP($A299,FIJOS!$B$11:$N$590,13,FALSE)),0,VLOOKUP($A299,FIJOS!$B$11:$N$590,13,FALSE))</f>
        <v>0</v>
      </c>
      <c r="DG299" s="145">
        <f>IF(ISERROR(VLOOKUP($A299,FIJOS!$B$11:$P$447,12,FALSE)),0,VLOOKUP($A299,FIJOS!$B$11:$P$447,12,FALSE))</f>
        <v>0</v>
      </c>
      <c r="DH299" s="82">
        <f t="shared" si="159"/>
        <v>0</v>
      </c>
      <c r="DI299" s="83" t="b">
        <f>IF($C299=1,(VLOOKUP($A299,FIJOS!$B$11:$P$545,10,FALSE)/7)*(7-$CU299),IF(AND($C299=2,CV299&lt;$DJ$1),(VLOOKUP($D299,HORAS!$B$4:$C$42,2,FALSE)*24)*$CV299,IF(AND($C299=2,CV299&gt;=$DJ$1),VLOOKUP($D299,HORAS!$B$4:$D$42,3,FALSE),IF(AND($C299=3,$CV299&gt;=$DJ$1),VLOOKUP($A299,FIJOS!$B$11:$P$545,10,FALSE),IF(AND($C299=3,$CV299&lt;$DJ$1),((VLOOKUP($A299,FIJOS!$B$11:$P$545,10,FALSE)/48)*24)*$CV299,IF(AND($C299=4,$CV299&gt;=(42/24)),VLOOKUP($D299,HORAS!$B$4:$D$42,3,FALSE),IF(AND($C299=5,$CV299&gt;=(36/24)),VLOOKUP($D299,HORAS!$B$4:$D$42,3,FALSE))))))))</f>
        <v>0</v>
      </c>
      <c r="DJ299" s="145">
        <f>IF(OR($C299=2),VLOOKUP($D299,HORAS!$B$4:$E$42,4,FALSE)*$EC299,IF(ISERROR(VLOOKUP($A299,FIJOS!$B$11:$P$108,9,FALSE)),0,VLOOKUP($A299,FIJOS!$B$11:$P$231,9,FALSE)*$EC299))</f>
        <v>0</v>
      </c>
      <c r="DK299" s="145">
        <f>IF(OR($C299=2),VLOOKUP($D299,HORAS!$B$4:$F$42,5,FALSE)*$EE299,IF(ISERROR(VLOOKUP($A299,FIJOS!$B$11:$P$108,9,FALSE)),0,VLOOKUP($A299,FIJOS!$B$11:$P$231,9,FALSE)*$EE299))</f>
        <v>0</v>
      </c>
      <c r="DL299" s="144"/>
      <c r="DM299" s="145">
        <f>IF(ISERROR(VLOOKUP($A299,FIJOS!$B$11:$L$646,11,FALSE)),0,VLOOKUP($A299,FIJOS!$B$11:$L$646,11,FALSE))</f>
        <v>0</v>
      </c>
      <c r="DN299" s="148" t="e">
        <f>IF(OR($C299=1,$C299=3),0,IF((VLOOKUP(CAPTURA!D299,HORAS!$B$4:$K$42,10,FALSE)/4)*COUNTIF($H299:$CT299,3)&gt;100,100,(VLOOKUP(CAPTURA!D299,HORAS!$B$4:$K$42,10,FALSE)/4)*COUNTIF($H299:$CT299,3)))</f>
        <v>#N/A</v>
      </c>
      <c r="DO299" s="144" t="e">
        <f>IF(OR($C299=1,$C299=3),0,IF($C299=5,VLOOKUP(D299,HORAS!$B$4:$G$42,6,FALSE),IF(AND($C299=4,$CV299&gt;=(42/24)),VLOOKUP(D299,HORAS!$B$4:$G$42,6,FALSE),IF(COUNTIF($H299:$CL299,"F")&gt;0,0,IF(CV299&gt;$DJ$1,$DJ$1*(VLOOKUP(D299,HORAS!$B$4:$G$42,6,FALSE)/$DJ$1),CV299*(VLOOKUP(D299,HORAS!$B$4:$G$42,6,FALSE)/$DJ$1))))))</f>
        <v>#N/A</v>
      </c>
      <c r="DP299" s="156"/>
      <c r="DQ299" s="148"/>
      <c r="DR299" s="148"/>
      <c r="DS299" s="83" t="e">
        <f t="shared" si="162"/>
        <v>#N/A</v>
      </c>
      <c r="DT299" s="84"/>
      <c r="DU299" s="149" t="e">
        <f t="shared" si="163"/>
        <v>#N/A</v>
      </c>
      <c r="DV299" s="149" t="e">
        <f t="shared" si="164"/>
        <v>#N/A</v>
      </c>
      <c r="DW299" s="144" t="e">
        <f t="shared" si="165"/>
        <v>#N/A</v>
      </c>
      <c r="DX299"/>
      <c r="DY299" s="29"/>
      <c r="DZ299" s="150"/>
      <c r="EA299" s="134"/>
      <c r="EB299" s="137">
        <f t="shared" si="166"/>
        <v>0</v>
      </c>
      <c r="EC299" s="138">
        <f t="shared" si="160"/>
        <v>0</v>
      </c>
      <c r="ED299" s="137">
        <f t="shared" si="167"/>
        <v>0</v>
      </c>
      <c r="EE299" s="132">
        <f t="shared" si="161"/>
        <v>0</v>
      </c>
      <c r="EF299" s="29"/>
      <c r="EG299" s="134"/>
      <c r="EH299" s="134"/>
      <c r="EI299" s="134"/>
      <c r="EK299" s="29"/>
    </row>
    <row r="300" spans="1:141" ht="15" customHeight="1" x14ac:dyDescent="0.25">
      <c r="A300" s="87"/>
      <c r="B300" s="5"/>
      <c r="C300" s="72"/>
      <c r="D300" s="73"/>
      <c r="E300" s="73"/>
      <c r="F300" s="141"/>
      <c r="G300" s="74"/>
      <c r="H300" s="75"/>
      <c r="I300" s="76"/>
      <c r="J300" s="135"/>
      <c r="K300" s="135"/>
      <c r="L300" s="77">
        <f t="shared" si="138"/>
        <v>0</v>
      </c>
      <c r="M300" s="78"/>
      <c r="N300" s="142"/>
      <c r="O300" s="142"/>
      <c r="P300" s="77">
        <f t="shared" si="139"/>
        <v>0</v>
      </c>
      <c r="Q300" s="78"/>
      <c r="R300" s="143"/>
      <c r="S300" s="143"/>
      <c r="T300" s="77">
        <f t="shared" si="140"/>
        <v>0</v>
      </c>
      <c r="U300" s="75"/>
      <c r="V300" s="76"/>
      <c r="W300" s="135"/>
      <c r="X300" s="135"/>
      <c r="Y300" s="77">
        <f t="shared" si="141"/>
        <v>0</v>
      </c>
      <c r="Z300" s="78"/>
      <c r="AA300" s="142"/>
      <c r="AB300" s="142"/>
      <c r="AC300" s="77">
        <f t="shared" si="142"/>
        <v>0</v>
      </c>
      <c r="AD300" s="78"/>
      <c r="AE300" s="143"/>
      <c r="AF300" s="143"/>
      <c r="AG300" s="79">
        <f t="shared" si="143"/>
        <v>0</v>
      </c>
      <c r="AH300" s="75"/>
      <c r="AI300" s="76"/>
      <c r="AJ300" s="135"/>
      <c r="AK300" s="135"/>
      <c r="AL300" s="77">
        <f t="shared" si="144"/>
        <v>0</v>
      </c>
      <c r="AM300" s="76"/>
      <c r="AN300" s="142"/>
      <c r="AO300" s="142"/>
      <c r="AP300" s="77">
        <f t="shared" si="145"/>
        <v>0</v>
      </c>
      <c r="AQ300" s="78"/>
      <c r="AR300" s="142"/>
      <c r="AS300" s="142"/>
      <c r="AT300" s="79">
        <f t="shared" si="146"/>
        <v>0</v>
      </c>
      <c r="AU300" s="75"/>
      <c r="AV300" s="76"/>
      <c r="AW300" s="135"/>
      <c r="AX300" s="135"/>
      <c r="AY300" s="77">
        <f t="shared" si="147"/>
        <v>0</v>
      </c>
      <c r="AZ300" s="76"/>
      <c r="BA300" s="142"/>
      <c r="BB300" s="142"/>
      <c r="BC300" s="77">
        <f t="shared" si="148"/>
        <v>0</v>
      </c>
      <c r="BD300" s="78"/>
      <c r="BE300" s="142"/>
      <c r="BF300" s="142"/>
      <c r="BG300" s="79">
        <f t="shared" si="149"/>
        <v>0</v>
      </c>
      <c r="BH300" s="75"/>
      <c r="BI300" s="76"/>
      <c r="BJ300" s="135"/>
      <c r="BK300" s="135"/>
      <c r="BL300" s="77">
        <f t="shared" si="150"/>
        <v>0</v>
      </c>
      <c r="BM300" s="78"/>
      <c r="BN300" s="142"/>
      <c r="BO300" s="142"/>
      <c r="BP300" s="77">
        <f t="shared" si="151"/>
        <v>0</v>
      </c>
      <c r="BQ300" s="78"/>
      <c r="BR300" s="142"/>
      <c r="BS300" s="142"/>
      <c r="BT300" s="79">
        <f t="shared" si="152"/>
        <v>0</v>
      </c>
      <c r="BU300" s="75"/>
      <c r="BV300" s="76"/>
      <c r="BW300" s="135"/>
      <c r="BX300" s="135"/>
      <c r="BY300" s="77">
        <f t="shared" si="153"/>
        <v>0</v>
      </c>
      <c r="BZ300" s="78"/>
      <c r="CA300" s="142"/>
      <c r="CB300" s="142"/>
      <c r="CC300" s="77">
        <f t="shared" si="154"/>
        <v>0</v>
      </c>
      <c r="CD300" s="78"/>
      <c r="CE300" s="142"/>
      <c r="CF300" s="142"/>
      <c r="CG300" s="79">
        <f t="shared" si="155"/>
        <v>0</v>
      </c>
      <c r="CH300" s="75"/>
      <c r="CI300" s="76"/>
      <c r="CJ300" s="86"/>
      <c r="CK300" s="86"/>
      <c r="CL300" s="77">
        <f t="shared" si="156"/>
        <v>0</v>
      </c>
      <c r="CM300" s="78"/>
      <c r="CN300" s="85"/>
      <c r="CO300" s="85"/>
      <c r="CP300" s="77">
        <f t="shared" si="157"/>
        <v>0</v>
      </c>
      <c r="CQ300" s="78"/>
      <c r="CR300" s="85"/>
      <c r="CS300" s="85"/>
      <c r="CT300" s="79">
        <f t="shared" si="158"/>
        <v>0</v>
      </c>
      <c r="CU300" s="80">
        <f t="shared" si="168"/>
        <v>0</v>
      </c>
      <c r="CV300" s="81">
        <f t="shared" si="169"/>
        <v>0</v>
      </c>
      <c r="CW300" s="144"/>
      <c r="CX300" s="145">
        <f>IF(ISERROR(VLOOKUP($A300,FIJOS!$B$11:$O$590,14,FALSE)),0,VLOOKUP($A300,FIJOS!$B$11:$O$590,14,FALSE))</f>
        <v>0</v>
      </c>
      <c r="CY300" s="145">
        <f>IF(ISERROR(VLOOKUP(A300,FIJOS!$B$10:$P$590,15,FALSE)),0,VLOOKUP(A300,FIJOS!$B$10:$P$590,15,FALSE))</f>
        <v>0</v>
      </c>
      <c r="CZ300" s="155"/>
      <c r="DA300" s="147"/>
      <c r="DB300" s="147"/>
      <c r="DC300" s="147"/>
      <c r="DD300" s="147"/>
      <c r="DE300" s="147"/>
      <c r="DF300" s="145">
        <f>IF(ISERROR(VLOOKUP($A300,FIJOS!$B$11:$N$590,13,FALSE)),0,VLOOKUP($A300,FIJOS!$B$11:$N$590,13,FALSE))</f>
        <v>0</v>
      </c>
      <c r="DG300" s="145">
        <f>IF(ISERROR(VLOOKUP($A300,FIJOS!$B$11:$P$447,12,FALSE)),0,VLOOKUP($A300,FIJOS!$B$11:$P$447,12,FALSE))</f>
        <v>0</v>
      </c>
      <c r="DH300" s="82">
        <f t="shared" si="159"/>
        <v>0</v>
      </c>
      <c r="DI300" s="83" t="b">
        <f>IF($C300=1,(VLOOKUP($A300,FIJOS!$B$11:$P$545,10,FALSE)/7)*(7-$CU300),IF(AND($C300=2,CV300&lt;$DJ$1),(VLOOKUP($D300,HORAS!$B$4:$C$42,2,FALSE)*24)*$CV300,IF(AND($C300=2,CV300&gt;=$DJ$1),VLOOKUP($D300,HORAS!$B$4:$D$42,3,FALSE),IF(AND($C300=3,$CV300&gt;=$DJ$1),VLOOKUP($A300,FIJOS!$B$11:$P$545,10,FALSE),IF(AND($C300=3,$CV300&lt;$DJ$1),((VLOOKUP($A300,FIJOS!$B$11:$P$545,10,FALSE)/48)*24)*$CV300,IF(AND($C300=4,$CV300&gt;=(42/24)),VLOOKUP($D300,HORAS!$B$4:$D$42,3,FALSE),IF(AND($C300=5,$CV300&gt;=(36/24)),VLOOKUP($D300,HORAS!$B$4:$D$42,3,FALSE))))))))</f>
        <v>0</v>
      </c>
      <c r="DJ300" s="145">
        <f>IF(OR($C300=2),VLOOKUP($D300,HORAS!$B$4:$E$42,4,FALSE)*$EC300,IF(ISERROR(VLOOKUP($A300,FIJOS!$B$11:$P$108,9,FALSE)),0,VLOOKUP($A300,FIJOS!$B$11:$P$231,9,FALSE)*$EC300))</f>
        <v>0</v>
      </c>
      <c r="DK300" s="145">
        <f>IF(OR($C300=2),VLOOKUP($D300,HORAS!$B$4:$F$42,5,FALSE)*$EE300,IF(ISERROR(VLOOKUP($A300,FIJOS!$B$11:$P$108,9,FALSE)),0,VLOOKUP($A300,FIJOS!$B$11:$P$231,9,FALSE)*$EE300))</f>
        <v>0</v>
      </c>
      <c r="DL300" s="144"/>
      <c r="DM300" s="145">
        <f>IF(ISERROR(VLOOKUP($A300,FIJOS!$B$11:$L$646,11,FALSE)),0,VLOOKUP($A300,FIJOS!$B$11:$L$646,11,FALSE))</f>
        <v>0</v>
      </c>
      <c r="DN300" s="148" t="e">
        <f>IF(OR($C300=1,$C300=3),0,IF((VLOOKUP(CAPTURA!D300,HORAS!$B$4:$K$42,10,FALSE)/4)*COUNTIF($H300:$CT300,3)&gt;100,100,(VLOOKUP(CAPTURA!D300,HORAS!$B$4:$K$42,10,FALSE)/4)*COUNTIF($H300:$CT300,3)))</f>
        <v>#N/A</v>
      </c>
      <c r="DO300" s="144" t="e">
        <f>IF(OR($C300=1,$C300=3),0,IF($C300=5,VLOOKUP(D300,HORAS!$B$4:$G$42,6,FALSE),IF(AND($C300=4,$CV300&gt;=(42/24)),VLOOKUP(D300,HORAS!$B$4:$G$42,6,FALSE),IF(COUNTIF($H300:$CL300,"F")&gt;0,0,IF(CV300&gt;$DJ$1,$DJ$1*(VLOOKUP(D300,HORAS!$B$4:$G$42,6,FALSE)/$DJ$1),CV300*(VLOOKUP(D300,HORAS!$B$4:$G$42,6,FALSE)/$DJ$1))))))</f>
        <v>#N/A</v>
      </c>
      <c r="DP300" s="156"/>
      <c r="DQ300" s="148"/>
      <c r="DR300" s="148"/>
      <c r="DS300" s="83" t="e">
        <f t="shared" si="162"/>
        <v>#N/A</v>
      </c>
      <c r="DT300" s="84"/>
      <c r="DU300" s="149" t="e">
        <f t="shared" si="163"/>
        <v>#N/A</v>
      </c>
      <c r="DV300" s="149" t="e">
        <f t="shared" si="164"/>
        <v>#N/A</v>
      </c>
      <c r="DW300" s="144" t="e">
        <f t="shared" si="165"/>
        <v>#N/A</v>
      </c>
      <c r="DX300"/>
      <c r="DY300" s="29"/>
      <c r="DZ300" s="150"/>
      <c r="EA300" s="134"/>
      <c r="EB300" s="137">
        <f t="shared" si="166"/>
        <v>0</v>
      </c>
      <c r="EC300" s="138">
        <f t="shared" si="160"/>
        <v>0</v>
      </c>
      <c r="ED300" s="137">
        <f t="shared" si="167"/>
        <v>0</v>
      </c>
      <c r="EE300" s="132">
        <f t="shared" si="161"/>
        <v>0</v>
      </c>
      <c r="EF300" s="29"/>
      <c r="EG300" s="134"/>
      <c r="EH300" s="134"/>
      <c r="EI300" s="134"/>
      <c r="EK300" s="29"/>
    </row>
    <row r="301" spans="1:141" ht="15" customHeight="1" x14ac:dyDescent="0.25">
      <c r="A301" s="87"/>
      <c r="B301" s="5"/>
      <c r="C301" s="72"/>
      <c r="D301" s="73"/>
      <c r="E301" s="73"/>
      <c r="F301" s="141"/>
      <c r="G301" s="74"/>
      <c r="H301" s="75"/>
      <c r="I301" s="76"/>
      <c r="J301" s="135"/>
      <c r="K301" s="135"/>
      <c r="L301" s="77">
        <f t="shared" si="138"/>
        <v>0</v>
      </c>
      <c r="M301" s="78"/>
      <c r="N301" s="142"/>
      <c r="O301" s="142"/>
      <c r="P301" s="77">
        <f t="shared" si="139"/>
        <v>0</v>
      </c>
      <c r="Q301" s="78"/>
      <c r="R301" s="143"/>
      <c r="S301" s="143"/>
      <c r="T301" s="77">
        <f t="shared" si="140"/>
        <v>0</v>
      </c>
      <c r="U301" s="75"/>
      <c r="V301" s="76"/>
      <c r="W301" s="135"/>
      <c r="X301" s="135"/>
      <c r="Y301" s="77">
        <f t="shared" si="141"/>
        <v>0</v>
      </c>
      <c r="Z301" s="78"/>
      <c r="AA301" s="142"/>
      <c r="AB301" s="142"/>
      <c r="AC301" s="77">
        <f t="shared" si="142"/>
        <v>0</v>
      </c>
      <c r="AD301" s="78"/>
      <c r="AE301" s="143"/>
      <c r="AF301" s="143"/>
      <c r="AG301" s="79">
        <f t="shared" si="143"/>
        <v>0</v>
      </c>
      <c r="AH301" s="75"/>
      <c r="AI301" s="76"/>
      <c r="AJ301" s="135"/>
      <c r="AK301" s="135"/>
      <c r="AL301" s="77">
        <f t="shared" si="144"/>
        <v>0</v>
      </c>
      <c r="AM301" s="76"/>
      <c r="AN301" s="142"/>
      <c r="AO301" s="142"/>
      <c r="AP301" s="77">
        <f t="shared" si="145"/>
        <v>0</v>
      </c>
      <c r="AQ301" s="78"/>
      <c r="AR301" s="142"/>
      <c r="AS301" s="142"/>
      <c r="AT301" s="79">
        <f t="shared" si="146"/>
        <v>0</v>
      </c>
      <c r="AU301" s="75"/>
      <c r="AV301" s="76"/>
      <c r="AW301" s="135"/>
      <c r="AX301" s="135"/>
      <c r="AY301" s="77">
        <f t="shared" si="147"/>
        <v>0</v>
      </c>
      <c r="AZ301" s="76"/>
      <c r="BA301" s="142"/>
      <c r="BB301" s="142"/>
      <c r="BC301" s="77">
        <f t="shared" si="148"/>
        <v>0</v>
      </c>
      <c r="BD301" s="78"/>
      <c r="BE301" s="142"/>
      <c r="BF301" s="142"/>
      <c r="BG301" s="79">
        <f t="shared" si="149"/>
        <v>0</v>
      </c>
      <c r="BH301" s="75"/>
      <c r="BI301" s="76"/>
      <c r="BJ301" s="135"/>
      <c r="BK301" s="135"/>
      <c r="BL301" s="77">
        <f t="shared" si="150"/>
        <v>0</v>
      </c>
      <c r="BM301" s="78"/>
      <c r="BN301" s="142"/>
      <c r="BO301" s="142"/>
      <c r="BP301" s="77">
        <f t="shared" si="151"/>
        <v>0</v>
      </c>
      <c r="BQ301" s="78"/>
      <c r="BR301" s="142"/>
      <c r="BS301" s="142"/>
      <c r="BT301" s="79">
        <f t="shared" si="152"/>
        <v>0</v>
      </c>
      <c r="BU301" s="75"/>
      <c r="BV301" s="76"/>
      <c r="BW301" s="135"/>
      <c r="BX301" s="135"/>
      <c r="BY301" s="77">
        <f t="shared" si="153"/>
        <v>0</v>
      </c>
      <c r="BZ301" s="78"/>
      <c r="CA301" s="142"/>
      <c r="CB301" s="142"/>
      <c r="CC301" s="77">
        <f t="shared" si="154"/>
        <v>0</v>
      </c>
      <c r="CD301" s="78"/>
      <c r="CE301" s="142"/>
      <c r="CF301" s="142"/>
      <c r="CG301" s="79">
        <f t="shared" si="155"/>
        <v>0</v>
      </c>
      <c r="CH301" s="75"/>
      <c r="CI301" s="76"/>
      <c r="CJ301" s="86"/>
      <c r="CK301" s="86"/>
      <c r="CL301" s="77">
        <f t="shared" si="156"/>
        <v>0</v>
      </c>
      <c r="CM301" s="78"/>
      <c r="CN301" s="85"/>
      <c r="CO301" s="85"/>
      <c r="CP301" s="77">
        <f t="shared" si="157"/>
        <v>0</v>
      </c>
      <c r="CQ301" s="78"/>
      <c r="CR301" s="85"/>
      <c r="CS301" s="85"/>
      <c r="CT301" s="79">
        <f t="shared" si="158"/>
        <v>0</v>
      </c>
      <c r="CU301" s="80">
        <f t="shared" si="168"/>
        <v>0</v>
      </c>
      <c r="CV301" s="81">
        <f t="shared" si="169"/>
        <v>0</v>
      </c>
      <c r="CW301" s="144"/>
      <c r="CX301" s="145">
        <f>IF(ISERROR(VLOOKUP($A301,FIJOS!$B$11:$O$590,14,FALSE)),0,VLOOKUP($A301,FIJOS!$B$11:$O$590,14,FALSE))</f>
        <v>0</v>
      </c>
      <c r="CY301" s="145">
        <f>IF(ISERROR(VLOOKUP(A301,FIJOS!$B$10:$P$590,15,FALSE)),0,VLOOKUP(A301,FIJOS!$B$10:$P$590,15,FALSE))</f>
        <v>0</v>
      </c>
      <c r="CZ301" s="155"/>
      <c r="DA301" s="147"/>
      <c r="DB301" s="147"/>
      <c r="DC301" s="147"/>
      <c r="DD301" s="147"/>
      <c r="DE301" s="147"/>
      <c r="DF301" s="145">
        <f>IF(ISERROR(VLOOKUP($A301,FIJOS!$B$11:$N$590,13,FALSE)),0,VLOOKUP($A301,FIJOS!$B$11:$N$590,13,FALSE))</f>
        <v>0</v>
      </c>
      <c r="DG301" s="145">
        <f>IF(ISERROR(VLOOKUP($A301,FIJOS!$B$11:$P$447,12,FALSE)),0,VLOOKUP($A301,FIJOS!$B$11:$P$447,12,FALSE))</f>
        <v>0</v>
      </c>
      <c r="DH301" s="82">
        <f t="shared" si="159"/>
        <v>0</v>
      </c>
      <c r="DI301" s="83" t="b">
        <f>IF($C301=1,(VLOOKUP($A301,FIJOS!$B$11:$P$545,10,FALSE)/7)*(7-$CU301),IF(AND($C301=2,CV301&lt;$DJ$1),(VLOOKUP($D301,HORAS!$B$4:$C$42,2,FALSE)*24)*$CV301,IF(AND($C301=2,CV301&gt;=$DJ$1),VLOOKUP($D301,HORAS!$B$4:$D$42,3,FALSE),IF(AND($C301=3,$CV301&gt;=$DJ$1),VLOOKUP($A301,FIJOS!$B$11:$P$545,10,FALSE),IF(AND($C301=3,$CV301&lt;$DJ$1),((VLOOKUP($A301,FIJOS!$B$11:$P$545,10,FALSE)/48)*24)*$CV301,IF(AND($C301=4,$CV301&gt;=(42/24)),VLOOKUP($D301,HORAS!$B$4:$D$42,3,FALSE),IF(AND($C301=5,$CV301&gt;=(36/24)),VLOOKUP($D301,HORAS!$B$4:$D$42,3,FALSE))))))))</f>
        <v>0</v>
      </c>
      <c r="DJ301" s="145">
        <f>IF(OR($C301=2),VLOOKUP($D301,HORAS!$B$4:$E$42,4,FALSE)*$EC301,IF(ISERROR(VLOOKUP($A301,FIJOS!$B$11:$P$108,9,FALSE)),0,VLOOKUP($A301,FIJOS!$B$11:$P$231,9,FALSE)*$EC301))</f>
        <v>0</v>
      </c>
      <c r="DK301" s="145">
        <f>IF(OR($C301=2),VLOOKUP($D301,HORAS!$B$4:$F$42,5,FALSE)*$EE301,IF(ISERROR(VLOOKUP($A301,FIJOS!$B$11:$P$108,9,FALSE)),0,VLOOKUP($A301,FIJOS!$B$11:$P$231,9,FALSE)*$EE301))</f>
        <v>0</v>
      </c>
      <c r="DL301" s="144"/>
      <c r="DM301" s="145">
        <f>IF(ISERROR(VLOOKUP($A301,FIJOS!$B$11:$L$646,11,FALSE)),0,VLOOKUP($A301,FIJOS!$B$11:$L$646,11,FALSE))</f>
        <v>0</v>
      </c>
      <c r="DN301" s="148" t="e">
        <f>IF(OR($C301=1,$C301=3),0,IF((VLOOKUP(CAPTURA!D301,HORAS!$B$4:$K$42,10,FALSE)/4)*COUNTIF($H301:$CT301,3)&gt;100,100,(VLOOKUP(CAPTURA!D301,HORAS!$B$4:$K$42,10,FALSE)/4)*COUNTIF($H301:$CT301,3)))</f>
        <v>#N/A</v>
      </c>
      <c r="DO301" s="144" t="e">
        <f>IF(OR($C301=1,$C301=3),0,IF($C301=5,VLOOKUP(D301,HORAS!$B$4:$G$42,6,FALSE),IF(AND($C301=4,$CV301&gt;=(42/24)),VLOOKUP(D301,HORAS!$B$4:$G$42,6,FALSE),IF(COUNTIF($H301:$CL301,"F")&gt;0,0,IF(CV301&gt;$DJ$1,$DJ$1*(VLOOKUP(D301,HORAS!$B$4:$G$42,6,FALSE)/$DJ$1),CV301*(VLOOKUP(D301,HORAS!$B$4:$G$42,6,FALSE)/$DJ$1))))))</f>
        <v>#N/A</v>
      </c>
      <c r="DP301" s="156"/>
      <c r="DQ301" s="148"/>
      <c r="DR301" s="148"/>
      <c r="DS301" s="83" t="e">
        <f t="shared" si="162"/>
        <v>#N/A</v>
      </c>
      <c r="DT301" s="84"/>
      <c r="DU301" s="149" t="e">
        <f t="shared" si="163"/>
        <v>#N/A</v>
      </c>
      <c r="DV301" s="149" t="e">
        <f t="shared" si="164"/>
        <v>#N/A</v>
      </c>
      <c r="DW301" s="144" t="e">
        <f t="shared" si="165"/>
        <v>#N/A</v>
      </c>
      <c r="DX301"/>
      <c r="DY301" s="29"/>
      <c r="DZ301" s="150"/>
      <c r="EA301" s="134"/>
      <c r="EB301" s="137">
        <f t="shared" si="166"/>
        <v>0</v>
      </c>
      <c r="EC301" s="138">
        <f t="shared" si="160"/>
        <v>0</v>
      </c>
      <c r="ED301" s="137">
        <f t="shared" si="167"/>
        <v>0</v>
      </c>
      <c r="EE301" s="132">
        <f t="shared" si="161"/>
        <v>0</v>
      </c>
      <c r="EF301" s="29"/>
      <c r="EG301" s="134"/>
      <c r="EH301" s="134"/>
      <c r="EI301" s="134"/>
      <c r="EK301" s="29"/>
    </row>
    <row r="302" spans="1:141" ht="15" customHeight="1" x14ac:dyDescent="0.25">
      <c r="A302" s="87"/>
      <c r="B302" s="5"/>
      <c r="C302" s="72"/>
      <c r="D302" s="73"/>
      <c r="E302" s="73"/>
      <c r="F302" s="141"/>
      <c r="G302" s="74"/>
      <c r="H302" s="75"/>
      <c r="I302" s="76"/>
      <c r="J302" s="135"/>
      <c r="K302" s="135"/>
      <c r="L302" s="77">
        <f t="shared" si="138"/>
        <v>0</v>
      </c>
      <c r="M302" s="78"/>
      <c r="N302" s="142"/>
      <c r="O302" s="142"/>
      <c r="P302" s="77">
        <f t="shared" si="139"/>
        <v>0</v>
      </c>
      <c r="Q302" s="78"/>
      <c r="R302" s="143"/>
      <c r="S302" s="143"/>
      <c r="T302" s="77">
        <f t="shared" si="140"/>
        <v>0</v>
      </c>
      <c r="U302" s="75"/>
      <c r="V302" s="76"/>
      <c r="W302" s="135"/>
      <c r="X302" s="135"/>
      <c r="Y302" s="77">
        <f t="shared" si="141"/>
        <v>0</v>
      </c>
      <c r="Z302" s="78"/>
      <c r="AA302" s="142"/>
      <c r="AB302" s="142"/>
      <c r="AC302" s="77">
        <f t="shared" si="142"/>
        <v>0</v>
      </c>
      <c r="AD302" s="78"/>
      <c r="AE302" s="143"/>
      <c r="AF302" s="143"/>
      <c r="AG302" s="79">
        <f t="shared" si="143"/>
        <v>0</v>
      </c>
      <c r="AH302" s="75"/>
      <c r="AI302" s="76"/>
      <c r="AJ302" s="135"/>
      <c r="AK302" s="135"/>
      <c r="AL302" s="77">
        <f t="shared" si="144"/>
        <v>0</v>
      </c>
      <c r="AM302" s="76"/>
      <c r="AN302" s="142"/>
      <c r="AO302" s="142"/>
      <c r="AP302" s="77">
        <f t="shared" si="145"/>
        <v>0</v>
      </c>
      <c r="AQ302" s="78"/>
      <c r="AR302" s="142"/>
      <c r="AS302" s="142"/>
      <c r="AT302" s="79">
        <f t="shared" si="146"/>
        <v>0</v>
      </c>
      <c r="AU302" s="75"/>
      <c r="AV302" s="76"/>
      <c r="AW302" s="135"/>
      <c r="AX302" s="135"/>
      <c r="AY302" s="77">
        <f t="shared" si="147"/>
        <v>0</v>
      </c>
      <c r="AZ302" s="76"/>
      <c r="BA302" s="142"/>
      <c r="BB302" s="142"/>
      <c r="BC302" s="77">
        <f t="shared" si="148"/>
        <v>0</v>
      </c>
      <c r="BD302" s="78"/>
      <c r="BE302" s="142"/>
      <c r="BF302" s="142"/>
      <c r="BG302" s="79">
        <f t="shared" si="149"/>
        <v>0</v>
      </c>
      <c r="BH302" s="75"/>
      <c r="BI302" s="76"/>
      <c r="BJ302" s="135"/>
      <c r="BK302" s="135"/>
      <c r="BL302" s="77">
        <f t="shared" si="150"/>
        <v>0</v>
      </c>
      <c r="BM302" s="78"/>
      <c r="BN302" s="142"/>
      <c r="BO302" s="142"/>
      <c r="BP302" s="77">
        <f t="shared" si="151"/>
        <v>0</v>
      </c>
      <c r="BQ302" s="78"/>
      <c r="BR302" s="142"/>
      <c r="BS302" s="142"/>
      <c r="BT302" s="79">
        <f t="shared" si="152"/>
        <v>0</v>
      </c>
      <c r="BU302" s="75"/>
      <c r="BV302" s="76"/>
      <c r="BW302" s="135"/>
      <c r="BX302" s="135"/>
      <c r="BY302" s="77">
        <f t="shared" si="153"/>
        <v>0</v>
      </c>
      <c r="BZ302" s="78"/>
      <c r="CA302" s="142"/>
      <c r="CB302" s="142"/>
      <c r="CC302" s="77">
        <f t="shared" si="154"/>
        <v>0</v>
      </c>
      <c r="CD302" s="78"/>
      <c r="CE302" s="142"/>
      <c r="CF302" s="142"/>
      <c r="CG302" s="79">
        <f t="shared" si="155"/>
        <v>0</v>
      </c>
      <c r="CH302" s="75"/>
      <c r="CI302" s="76"/>
      <c r="CJ302" s="86"/>
      <c r="CK302" s="86"/>
      <c r="CL302" s="77">
        <f t="shared" si="156"/>
        <v>0</v>
      </c>
      <c r="CM302" s="78"/>
      <c r="CN302" s="85"/>
      <c r="CO302" s="85"/>
      <c r="CP302" s="77">
        <f t="shared" si="157"/>
        <v>0</v>
      </c>
      <c r="CQ302" s="78"/>
      <c r="CR302" s="85"/>
      <c r="CS302" s="85"/>
      <c r="CT302" s="79">
        <f t="shared" si="158"/>
        <v>0</v>
      </c>
      <c r="CU302" s="80">
        <f t="shared" si="168"/>
        <v>0</v>
      </c>
      <c r="CV302" s="81">
        <f t="shared" si="169"/>
        <v>0</v>
      </c>
      <c r="CW302" s="144"/>
      <c r="CX302" s="145">
        <f>IF(ISERROR(VLOOKUP($A302,FIJOS!$B$11:$O$590,14,FALSE)),0,VLOOKUP($A302,FIJOS!$B$11:$O$590,14,FALSE))</f>
        <v>0</v>
      </c>
      <c r="CY302" s="145">
        <f>IF(ISERROR(VLOOKUP(A302,FIJOS!$B$10:$P$590,15,FALSE)),0,VLOOKUP(A302,FIJOS!$B$10:$P$590,15,FALSE))</f>
        <v>0</v>
      </c>
      <c r="CZ302" s="155"/>
      <c r="DA302" s="147"/>
      <c r="DB302" s="147"/>
      <c r="DC302" s="147"/>
      <c r="DD302" s="147"/>
      <c r="DE302" s="147"/>
      <c r="DF302" s="145">
        <f>IF(ISERROR(VLOOKUP($A302,FIJOS!$B$11:$N$590,13,FALSE)),0,VLOOKUP($A302,FIJOS!$B$11:$N$590,13,FALSE))</f>
        <v>0</v>
      </c>
      <c r="DG302" s="145">
        <f>IF(ISERROR(VLOOKUP($A302,FIJOS!$B$11:$P$447,12,FALSE)),0,VLOOKUP($A302,FIJOS!$B$11:$P$447,12,FALSE))</f>
        <v>0</v>
      </c>
      <c r="DH302" s="82">
        <f t="shared" si="159"/>
        <v>0</v>
      </c>
      <c r="DI302" s="83" t="b">
        <f>IF($C302=1,(VLOOKUP($A302,FIJOS!$B$11:$P$545,10,FALSE)/7)*(7-$CU302),IF(AND($C302=2,CV302&lt;$DJ$1),(VLOOKUP($D302,HORAS!$B$4:$C$42,2,FALSE)*24)*$CV302,IF(AND($C302=2,CV302&gt;=$DJ$1),VLOOKUP($D302,HORAS!$B$4:$D$42,3,FALSE),IF(AND($C302=3,$CV302&gt;=$DJ$1),VLOOKUP($A302,FIJOS!$B$11:$P$545,10,FALSE),IF(AND($C302=3,$CV302&lt;$DJ$1),((VLOOKUP($A302,FIJOS!$B$11:$P$545,10,FALSE)/48)*24)*$CV302,IF(AND($C302=4,$CV302&gt;=(42/24)),VLOOKUP($D302,HORAS!$B$4:$D$42,3,FALSE),IF(AND($C302=5,$CV302&gt;=(36/24)),VLOOKUP($D302,HORAS!$B$4:$D$42,3,FALSE))))))))</f>
        <v>0</v>
      </c>
      <c r="DJ302" s="145">
        <f>IF(OR($C302=2),VLOOKUP($D302,HORAS!$B$4:$E$42,4,FALSE)*$EC302,IF(ISERROR(VLOOKUP($A302,FIJOS!$B$11:$P$108,9,FALSE)),0,VLOOKUP($A302,FIJOS!$B$11:$P$231,9,FALSE)*$EC302))</f>
        <v>0</v>
      </c>
      <c r="DK302" s="145">
        <f>IF(OR($C302=2),VLOOKUP($D302,HORAS!$B$4:$F$42,5,FALSE)*$EE302,IF(ISERROR(VLOOKUP($A302,FIJOS!$B$11:$P$108,9,FALSE)),0,VLOOKUP($A302,FIJOS!$B$11:$P$231,9,FALSE)*$EE302))</f>
        <v>0</v>
      </c>
      <c r="DL302" s="144"/>
      <c r="DM302" s="145">
        <f>IF(ISERROR(VLOOKUP($A302,FIJOS!$B$11:$L$646,11,FALSE)),0,VLOOKUP($A302,FIJOS!$B$11:$L$646,11,FALSE))</f>
        <v>0</v>
      </c>
      <c r="DN302" s="148" t="e">
        <f>IF(OR($C302=1,$C302=3),0,IF((VLOOKUP(CAPTURA!D302,HORAS!$B$4:$K$42,10,FALSE)/4)*COUNTIF($H302:$CT302,3)&gt;100,100,(VLOOKUP(CAPTURA!D302,HORAS!$B$4:$K$42,10,FALSE)/4)*COUNTIF($H302:$CT302,3)))</f>
        <v>#N/A</v>
      </c>
      <c r="DO302" s="144" t="e">
        <f>IF(OR($C302=1,$C302=3),0,IF($C302=5,VLOOKUP(D302,HORAS!$B$4:$G$42,6,FALSE),IF(AND($C302=4,$CV302&gt;=(42/24)),VLOOKUP(D302,HORAS!$B$4:$G$42,6,FALSE),IF(COUNTIF($H302:$CL302,"F")&gt;0,0,IF(CV302&gt;$DJ$1,$DJ$1*(VLOOKUP(D302,HORAS!$B$4:$G$42,6,FALSE)/$DJ$1),CV302*(VLOOKUP(D302,HORAS!$B$4:$G$42,6,FALSE)/$DJ$1))))))</f>
        <v>#N/A</v>
      </c>
      <c r="DP302" s="156"/>
      <c r="DQ302" s="148"/>
      <c r="DR302" s="148"/>
      <c r="DS302" s="83" t="e">
        <f t="shared" si="162"/>
        <v>#N/A</v>
      </c>
      <c r="DT302" s="84"/>
      <c r="DU302" s="149" t="e">
        <f t="shared" si="163"/>
        <v>#N/A</v>
      </c>
      <c r="DV302" s="149" t="e">
        <f t="shared" si="164"/>
        <v>#N/A</v>
      </c>
      <c r="DW302" s="144" t="e">
        <f t="shared" si="165"/>
        <v>#N/A</v>
      </c>
      <c r="DX302"/>
      <c r="DY302" s="29"/>
      <c r="DZ302" s="150"/>
      <c r="EA302" s="134"/>
      <c r="EB302" s="137">
        <f t="shared" si="166"/>
        <v>0</v>
      </c>
      <c r="EC302" s="138">
        <f t="shared" si="160"/>
        <v>0</v>
      </c>
      <c r="ED302" s="137">
        <f t="shared" si="167"/>
        <v>0</v>
      </c>
      <c r="EE302" s="132">
        <f t="shared" si="161"/>
        <v>0</v>
      </c>
      <c r="EF302" s="29"/>
      <c r="EG302" s="134"/>
      <c r="EH302" s="134"/>
      <c r="EI302" s="134"/>
      <c r="EK302" s="29"/>
    </row>
    <row r="303" spans="1:141" ht="15" customHeight="1" x14ac:dyDescent="0.25">
      <c r="A303" s="87"/>
      <c r="B303" s="5"/>
      <c r="C303" s="72"/>
      <c r="D303" s="73"/>
      <c r="E303" s="73"/>
      <c r="F303" s="141"/>
      <c r="G303" s="74"/>
      <c r="H303" s="75"/>
      <c r="I303" s="76"/>
      <c r="J303" s="135"/>
      <c r="K303" s="135"/>
      <c r="L303" s="77">
        <f t="shared" si="138"/>
        <v>0</v>
      </c>
      <c r="M303" s="78"/>
      <c r="N303" s="142"/>
      <c r="O303" s="142"/>
      <c r="P303" s="77">
        <f t="shared" si="139"/>
        <v>0</v>
      </c>
      <c r="Q303" s="78"/>
      <c r="R303" s="143"/>
      <c r="S303" s="143"/>
      <c r="T303" s="77">
        <f t="shared" si="140"/>
        <v>0</v>
      </c>
      <c r="U303" s="75"/>
      <c r="V303" s="76"/>
      <c r="W303" s="135"/>
      <c r="X303" s="135"/>
      <c r="Y303" s="77">
        <f t="shared" si="141"/>
        <v>0</v>
      </c>
      <c r="Z303" s="78"/>
      <c r="AA303" s="142"/>
      <c r="AB303" s="142"/>
      <c r="AC303" s="77">
        <f t="shared" si="142"/>
        <v>0</v>
      </c>
      <c r="AD303" s="78"/>
      <c r="AE303" s="143"/>
      <c r="AF303" s="143"/>
      <c r="AG303" s="79">
        <f t="shared" si="143"/>
        <v>0</v>
      </c>
      <c r="AH303" s="75"/>
      <c r="AI303" s="76"/>
      <c r="AJ303" s="135"/>
      <c r="AK303" s="135"/>
      <c r="AL303" s="77">
        <f t="shared" si="144"/>
        <v>0</v>
      </c>
      <c r="AM303" s="76"/>
      <c r="AN303" s="142"/>
      <c r="AO303" s="142"/>
      <c r="AP303" s="77">
        <f t="shared" si="145"/>
        <v>0</v>
      </c>
      <c r="AQ303" s="78"/>
      <c r="AR303" s="142"/>
      <c r="AS303" s="142"/>
      <c r="AT303" s="79">
        <f t="shared" si="146"/>
        <v>0</v>
      </c>
      <c r="AU303" s="75"/>
      <c r="AV303" s="76"/>
      <c r="AW303" s="135"/>
      <c r="AX303" s="135"/>
      <c r="AY303" s="77">
        <f t="shared" si="147"/>
        <v>0</v>
      </c>
      <c r="AZ303" s="76"/>
      <c r="BA303" s="142"/>
      <c r="BB303" s="142"/>
      <c r="BC303" s="77">
        <f t="shared" si="148"/>
        <v>0</v>
      </c>
      <c r="BD303" s="78"/>
      <c r="BE303" s="142"/>
      <c r="BF303" s="142"/>
      <c r="BG303" s="79">
        <f t="shared" si="149"/>
        <v>0</v>
      </c>
      <c r="BH303" s="75"/>
      <c r="BI303" s="76"/>
      <c r="BJ303" s="135"/>
      <c r="BK303" s="135"/>
      <c r="BL303" s="77">
        <f t="shared" si="150"/>
        <v>0</v>
      </c>
      <c r="BM303" s="78"/>
      <c r="BN303" s="142"/>
      <c r="BO303" s="142"/>
      <c r="BP303" s="77">
        <f t="shared" si="151"/>
        <v>0</v>
      </c>
      <c r="BQ303" s="78"/>
      <c r="BR303" s="142"/>
      <c r="BS303" s="142"/>
      <c r="BT303" s="79">
        <f t="shared" si="152"/>
        <v>0</v>
      </c>
      <c r="BU303" s="75"/>
      <c r="BV303" s="76"/>
      <c r="BW303" s="135"/>
      <c r="BX303" s="135"/>
      <c r="BY303" s="77">
        <f t="shared" si="153"/>
        <v>0</v>
      </c>
      <c r="BZ303" s="78"/>
      <c r="CA303" s="142"/>
      <c r="CB303" s="142"/>
      <c r="CC303" s="77">
        <f t="shared" si="154"/>
        <v>0</v>
      </c>
      <c r="CD303" s="78"/>
      <c r="CE303" s="142"/>
      <c r="CF303" s="142"/>
      <c r="CG303" s="79">
        <f t="shared" si="155"/>
        <v>0</v>
      </c>
      <c r="CH303" s="75"/>
      <c r="CI303" s="76"/>
      <c r="CJ303" s="86"/>
      <c r="CK303" s="86"/>
      <c r="CL303" s="77">
        <f t="shared" si="156"/>
        <v>0</v>
      </c>
      <c r="CM303" s="78"/>
      <c r="CN303" s="85"/>
      <c r="CO303" s="85"/>
      <c r="CP303" s="77">
        <f t="shared" si="157"/>
        <v>0</v>
      </c>
      <c r="CQ303" s="78"/>
      <c r="CR303" s="85"/>
      <c r="CS303" s="85"/>
      <c r="CT303" s="79">
        <f t="shared" si="158"/>
        <v>0</v>
      </c>
      <c r="CU303" s="80">
        <f t="shared" si="168"/>
        <v>0</v>
      </c>
      <c r="CV303" s="81">
        <f t="shared" si="169"/>
        <v>0</v>
      </c>
      <c r="CW303" s="144"/>
      <c r="CX303" s="145">
        <f>IF(ISERROR(VLOOKUP($A303,FIJOS!$B$11:$O$590,14,FALSE)),0,VLOOKUP($A303,FIJOS!$B$11:$O$590,14,FALSE))</f>
        <v>0</v>
      </c>
      <c r="CY303" s="145">
        <f>IF(ISERROR(VLOOKUP(A303,FIJOS!$B$10:$P$590,15,FALSE)),0,VLOOKUP(A303,FIJOS!$B$10:$P$590,15,FALSE))</f>
        <v>0</v>
      </c>
      <c r="CZ303" s="155"/>
      <c r="DA303" s="147"/>
      <c r="DB303" s="147"/>
      <c r="DC303" s="147"/>
      <c r="DD303" s="147"/>
      <c r="DE303" s="147"/>
      <c r="DF303" s="145">
        <f>IF(ISERROR(VLOOKUP($A303,FIJOS!$B$11:$N$590,13,FALSE)),0,VLOOKUP($A303,FIJOS!$B$11:$N$590,13,FALSE))</f>
        <v>0</v>
      </c>
      <c r="DG303" s="145">
        <f>IF(ISERROR(VLOOKUP($A303,FIJOS!$B$11:$P$447,12,FALSE)),0,VLOOKUP($A303,FIJOS!$B$11:$P$447,12,FALSE))</f>
        <v>0</v>
      </c>
      <c r="DH303" s="82">
        <f t="shared" si="159"/>
        <v>0</v>
      </c>
      <c r="DI303" s="83" t="b">
        <f>IF($C303=1,(VLOOKUP($A303,FIJOS!$B$11:$P$545,10,FALSE)/7)*(7-$CU303),IF(AND($C303=2,CV303&lt;$DJ$1),(VLOOKUP($D303,HORAS!$B$4:$C$42,2,FALSE)*24)*$CV303,IF(AND($C303=2,CV303&gt;=$DJ$1),VLOOKUP($D303,HORAS!$B$4:$D$42,3,FALSE),IF(AND($C303=3,$CV303&gt;=$DJ$1),VLOOKUP($A303,FIJOS!$B$11:$P$545,10,FALSE),IF(AND($C303=3,$CV303&lt;$DJ$1),((VLOOKUP($A303,FIJOS!$B$11:$P$545,10,FALSE)/48)*24)*$CV303,IF(AND($C303=4,$CV303&gt;=(42/24)),VLOOKUP($D303,HORAS!$B$4:$D$42,3,FALSE),IF(AND($C303=5,$CV303&gt;=(36/24)),VLOOKUP($D303,HORAS!$B$4:$D$42,3,FALSE))))))))</f>
        <v>0</v>
      </c>
      <c r="DJ303" s="145">
        <f>IF(OR($C303=2),VLOOKUP($D303,HORAS!$B$4:$E$42,4,FALSE)*$EC303,IF(ISERROR(VLOOKUP($A303,FIJOS!$B$11:$P$108,9,FALSE)),0,VLOOKUP($A303,FIJOS!$B$11:$P$231,9,FALSE)*$EC303))</f>
        <v>0</v>
      </c>
      <c r="DK303" s="145">
        <f>IF(OR($C303=2),VLOOKUP($D303,HORAS!$B$4:$F$42,5,FALSE)*$EE303,IF(ISERROR(VLOOKUP($A303,FIJOS!$B$11:$P$108,9,FALSE)),0,VLOOKUP($A303,FIJOS!$B$11:$P$231,9,FALSE)*$EE303))</f>
        <v>0</v>
      </c>
      <c r="DL303" s="144"/>
      <c r="DM303" s="145">
        <f>IF(ISERROR(VLOOKUP($A303,FIJOS!$B$11:$L$646,11,FALSE)),0,VLOOKUP($A303,FIJOS!$B$11:$L$646,11,FALSE))</f>
        <v>0</v>
      </c>
      <c r="DN303" s="148" t="e">
        <f>IF(OR($C303=1,$C303=3),0,IF((VLOOKUP(CAPTURA!D303,HORAS!$B$4:$K$42,10,FALSE)/4)*COUNTIF($H303:$CT303,3)&gt;100,100,(VLOOKUP(CAPTURA!D303,HORAS!$B$4:$K$42,10,FALSE)/4)*COUNTIF($H303:$CT303,3)))</f>
        <v>#N/A</v>
      </c>
      <c r="DO303" s="144" t="e">
        <f>IF(OR($C303=1,$C303=3),0,IF($C303=5,VLOOKUP(D303,HORAS!$B$4:$G$42,6,FALSE),IF(AND($C303=4,$CV303&gt;=(42/24)),VLOOKUP(D303,HORAS!$B$4:$G$42,6,FALSE),IF(COUNTIF($H303:$CL303,"F")&gt;0,0,IF(CV303&gt;$DJ$1,$DJ$1*(VLOOKUP(D303,HORAS!$B$4:$G$42,6,FALSE)/$DJ$1),CV303*(VLOOKUP(D303,HORAS!$B$4:$G$42,6,FALSE)/$DJ$1))))))</f>
        <v>#N/A</v>
      </c>
      <c r="DP303" s="156"/>
      <c r="DQ303" s="148"/>
      <c r="DR303" s="148"/>
      <c r="DS303" s="83" t="e">
        <f t="shared" si="162"/>
        <v>#N/A</v>
      </c>
      <c r="DT303" s="84"/>
      <c r="DU303" s="149" t="e">
        <f t="shared" si="163"/>
        <v>#N/A</v>
      </c>
      <c r="DV303" s="149" t="e">
        <f t="shared" si="164"/>
        <v>#N/A</v>
      </c>
      <c r="DW303" s="144" t="e">
        <f t="shared" si="165"/>
        <v>#N/A</v>
      </c>
      <c r="DX303"/>
      <c r="DY303" s="29"/>
      <c r="DZ303" s="150"/>
      <c r="EA303" s="134"/>
      <c r="EB303" s="137">
        <f t="shared" si="166"/>
        <v>0</v>
      </c>
      <c r="EC303" s="138">
        <f t="shared" si="160"/>
        <v>0</v>
      </c>
      <c r="ED303" s="137">
        <f t="shared" si="167"/>
        <v>0</v>
      </c>
      <c r="EE303" s="132">
        <f t="shared" si="161"/>
        <v>0</v>
      </c>
      <c r="EF303" s="29"/>
      <c r="EG303" s="134"/>
      <c r="EH303" s="134"/>
      <c r="EI303" s="134"/>
      <c r="EK303" s="29"/>
    </row>
    <row r="304" spans="1:141" ht="15" customHeight="1" x14ac:dyDescent="0.25">
      <c r="A304" s="87"/>
      <c r="B304" s="5"/>
      <c r="C304" s="72"/>
      <c r="D304" s="73"/>
      <c r="E304" s="73"/>
      <c r="F304" s="141"/>
      <c r="G304" s="74"/>
      <c r="H304" s="75"/>
      <c r="I304" s="76"/>
      <c r="J304" s="135"/>
      <c r="K304" s="135"/>
      <c r="L304" s="77">
        <f t="shared" si="138"/>
        <v>0</v>
      </c>
      <c r="M304" s="78"/>
      <c r="N304" s="142"/>
      <c r="O304" s="142"/>
      <c r="P304" s="77">
        <f t="shared" si="139"/>
        <v>0</v>
      </c>
      <c r="Q304" s="78"/>
      <c r="R304" s="143"/>
      <c r="S304" s="143"/>
      <c r="T304" s="77">
        <f t="shared" si="140"/>
        <v>0</v>
      </c>
      <c r="U304" s="75"/>
      <c r="V304" s="76"/>
      <c r="W304" s="135"/>
      <c r="X304" s="135"/>
      <c r="Y304" s="77">
        <f t="shared" si="141"/>
        <v>0</v>
      </c>
      <c r="Z304" s="78"/>
      <c r="AA304" s="142"/>
      <c r="AB304" s="142"/>
      <c r="AC304" s="77">
        <f t="shared" si="142"/>
        <v>0</v>
      </c>
      <c r="AD304" s="78"/>
      <c r="AE304" s="143"/>
      <c r="AF304" s="143"/>
      <c r="AG304" s="79">
        <f t="shared" si="143"/>
        <v>0</v>
      </c>
      <c r="AH304" s="75"/>
      <c r="AI304" s="76"/>
      <c r="AJ304" s="135"/>
      <c r="AK304" s="135"/>
      <c r="AL304" s="77">
        <f t="shared" si="144"/>
        <v>0</v>
      </c>
      <c r="AM304" s="76"/>
      <c r="AN304" s="142"/>
      <c r="AO304" s="142"/>
      <c r="AP304" s="77">
        <f t="shared" si="145"/>
        <v>0</v>
      </c>
      <c r="AQ304" s="78"/>
      <c r="AR304" s="142"/>
      <c r="AS304" s="142"/>
      <c r="AT304" s="79">
        <f t="shared" si="146"/>
        <v>0</v>
      </c>
      <c r="AU304" s="75"/>
      <c r="AV304" s="76"/>
      <c r="AW304" s="135"/>
      <c r="AX304" s="135"/>
      <c r="AY304" s="77">
        <f t="shared" si="147"/>
        <v>0</v>
      </c>
      <c r="AZ304" s="76"/>
      <c r="BA304" s="142"/>
      <c r="BB304" s="142"/>
      <c r="BC304" s="77">
        <f t="shared" si="148"/>
        <v>0</v>
      </c>
      <c r="BD304" s="78"/>
      <c r="BE304" s="142"/>
      <c r="BF304" s="142"/>
      <c r="BG304" s="79">
        <f t="shared" si="149"/>
        <v>0</v>
      </c>
      <c r="BH304" s="75"/>
      <c r="BI304" s="76"/>
      <c r="BJ304" s="135"/>
      <c r="BK304" s="135"/>
      <c r="BL304" s="77">
        <f t="shared" si="150"/>
        <v>0</v>
      </c>
      <c r="BM304" s="78"/>
      <c r="BN304" s="142"/>
      <c r="BO304" s="142"/>
      <c r="BP304" s="77">
        <f t="shared" si="151"/>
        <v>0</v>
      </c>
      <c r="BQ304" s="78"/>
      <c r="BR304" s="142"/>
      <c r="BS304" s="142"/>
      <c r="BT304" s="79">
        <f t="shared" si="152"/>
        <v>0</v>
      </c>
      <c r="BU304" s="75"/>
      <c r="BV304" s="76"/>
      <c r="BW304" s="135"/>
      <c r="BX304" s="135"/>
      <c r="BY304" s="77">
        <f t="shared" si="153"/>
        <v>0</v>
      </c>
      <c r="BZ304" s="78"/>
      <c r="CA304" s="142"/>
      <c r="CB304" s="142"/>
      <c r="CC304" s="77">
        <f t="shared" si="154"/>
        <v>0</v>
      </c>
      <c r="CD304" s="78"/>
      <c r="CE304" s="142"/>
      <c r="CF304" s="142"/>
      <c r="CG304" s="79">
        <f t="shared" si="155"/>
        <v>0</v>
      </c>
      <c r="CH304" s="75"/>
      <c r="CI304" s="76"/>
      <c r="CJ304" s="86"/>
      <c r="CK304" s="86"/>
      <c r="CL304" s="77">
        <f t="shared" si="156"/>
        <v>0</v>
      </c>
      <c r="CM304" s="78"/>
      <c r="CN304" s="85"/>
      <c r="CO304" s="85"/>
      <c r="CP304" s="77">
        <f t="shared" si="157"/>
        <v>0</v>
      </c>
      <c r="CQ304" s="78"/>
      <c r="CR304" s="85"/>
      <c r="CS304" s="85"/>
      <c r="CT304" s="79">
        <f t="shared" si="158"/>
        <v>0</v>
      </c>
      <c r="CU304" s="80">
        <f t="shared" si="168"/>
        <v>0</v>
      </c>
      <c r="CV304" s="81">
        <f t="shared" si="169"/>
        <v>0</v>
      </c>
      <c r="CW304" s="144"/>
      <c r="CX304" s="145">
        <f>IF(ISERROR(VLOOKUP($A304,FIJOS!$B$11:$O$590,14,FALSE)),0,VLOOKUP($A304,FIJOS!$B$11:$O$590,14,FALSE))</f>
        <v>0</v>
      </c>
      <c r="CY304" s="145">
        <f>IF(ISERROR(VLOOKUP(A304,FIJOS!$B$10:$P$590,15,FALSE)),0,VLOOKUP(A304,FIJOS!$B$10:$P$590,15,FALSE))</f>
        <v>0</v>
      </c>
      <c r="CZ304" s="155"/>
      <c r="DA304" s="147"/>
      <c r="DB304" s="147"/>
      <c r="DC304" s="147"/>
      <c r="DD304" s="147"/>
      <c r="DE304" s="147"/>
      <c r="DF304" s="145">
        <f>IF(ISERROR(VLOOKUP($A304,FIJOS!$B$11:$N$590,13,FALSE)),0,VLOOKUP($A304,FIJOS!$B$11:$N$590,13,FALSE))</f>
        <v>0</v>
      </c>
      <c r="DG304" s="145">
        <f>IF(ISERROR(VLOOKUP($A304,FIJOS!$B$11:$P$447,12,FALSE)),0,VLOOKUP($A304,FIJOS!$B$11:$P$447,12,FALSE))</f>
        <v>0</v>
      </c>
      <c r="DH304" s="82">
        <f t="shared" si="159"/>
        <v>0</v>
      </c>
      <c r="DI304" s="83" t="b">
        <f>IF($C304=1,(VLOOKUP($A304,FIJOS!$B$11:$P$545,10,FALSE)/7)*(7-$CU304),IF(AND($C304=2,CV304&lt;$DJ$1),(VLOOKUP($D304,HORAS!$B$4:$C$42,2,FALSE)*24)*$CV304,IF(AND($C304=2,CV304&gt;=$DJ$1),VLOOKUP($D304,HORAS!$B$4:$D$42,3,FALSE),IF(AND($C304=3,$CV304&gt;=$DJ$1),VLOOKUP($A304,FIJOS!$B$11:$P$545,10,FALSE),IF(AND($C304=3,$CV304&lt;$DJ$1),((VLOOKUP($A304,FIJOS!$B$11:$P$545,10,FALSE)/48)*24)*$CV304,IF(AND($C304=4,$CV304&gt;=(42/24)),VLOOKUP($D304,HORAS!$B$4:$D$42,3,FALSE),IF(AND($C304=5,$CV304&gt;=(36/24)),VLOOKUP($D304,HORAS!$B$4:$D$42,3,FALSE))))))))</f>
        <v>0</v>
      </c>
      <c r="DJ304" s="145">
        <f>IF(OR($C304=2),VLOOKUP($D304,HORAS!$B$4:$E$42,4,FALSE)*$EC304,IF(ISERROR(VLOOKUP($A304,FIJOS!$B$11:$P$108,9,FALSE)),0,VLOOKUP($A304,FIJOS!$B$11:$P$231,9,FALSE)*$EC304))</f>
        <v>0</v>
      </c>
      <c r="DK304" s="145">
        <f>IF(OR($C304=2),VLOOKUP($D304,HORAS!$B$4:$F$42,5,FALSE)*$EE304,IF(ISERROR(VLOOKUP($A304,FIJOS!$B$11:$P$108,9,FALSE)),0,VLOOKUP($A304,FIJOS!$B$11:$P$231,9,FALSE)*$EE304))</f>
        <v>0</v>
      </c>
      <c r="DL304" s="144"/>
      <c r="DM304" s="145">
        <f>IF(ISERROR(VLOOKUP($A304,FIJOS!$B$11:$L$646,11,FALSE)),0,VLOOKUP($A304,FIJOS!$B$11:$L$646,11,FALSE))</f>
        <v>0</v>
      </c>
      <c r="DN304" s="148" t="e">
        <f>IF(OR($C304=1,$C304=3),0,IF((VLOOKUP(CAPTURA!D304,HORAS!$B$4:$K$42,10,FALSE)/4)*COUNTIF($H304:$CT304,3)&gt;100,100,(VLOOKUP(CAPTURA!D304,HORAS!$B$4:$K$42,10,FALSE)/4)*COUNTIF($H304:$CT304,3)))</f>
        <v>#N/A</v>
      </c>
      <c r="DO304" s="144" t="e">
        <f>IF(OR($C304=1,$C304=3),0,IF($C304=5,VLOOKUP(D304,HORAS!$B$4:$G$42,6,FALSE),IF(AND($C304=4,$CV304&gt;=(42/24)),VLOOKUP(D304,HORAS!$B$4:$G$42,6,FALSE),IF(COUNTIF($H304:$CL304,"F")&gt;0,0,IF(CV304&gt;$DJ$1,$DJ$1*(VLOOKUP(D304,HORAS!$B$4:$G$42,6,FALSE)/$DJ$1),CV304*(VLOOKUP(D304,HORAS!$B$4:$G$42,6,FALSE)/$DJ$1))))))</f>
        <v>#N/A</v>
      </c>
      <c r="DP304" s="156"/>
      <c r="DQ304" s="148"/>
      <c r="DR304" s="148"/>
      <c r="DS304" s="83" t="e">
        <f t="shared" si="162"/>
        <v>#N/A</v>
      </c>
      <c r="DT304" s="84"/>
      <c r="DU304" s="149" t="e">
        <f t="shared" si="163"/>
        <v>#N/A</v>
      </c>
      <c r="DV304" s="149" t="e">
        <f t="shared" si="164"/>
        <v>#N/A</v>
      </c>
      <c r="DW304" s="144" t="e">
        <f t="shared" si="165"/>
        <v>#N/A</v>
      </c>
      <c r="DX304"/>
      <c r="DY304" s="29"/>
      <c r="DZ304" s="150"/>
      <c r="EA304" s="134"/>
      <c r="EB304" s="137">
        <f t="shared" si="166"/>
        <v>0</v>
      </c>
      <c r="EC304" s="138">
        <f t="shared" si="160"/>
        <v>0</v>
      </c>
      <c r="ED304" s="137">
        <f t="shared" si="167"/>
        <v>0</v>
      </c>
      <c r="EE304" s="132">
        <f t="shared" si="161"/>
        <v>0</v>
      </c>
      <c r="EF304" s="29"/>
      <c r="EG304" s="134"/>
      <c r="EH304" s="134"/>
      <c r="EI304" s="134"/>
      <c r="EK304" s="29"/>
    </row>
    <row r="305" spans="1:141" ht="15" customHeight="1" x14ac:dyDescent="0.25">
      <c r="A305" s="87"/>
      <c r="B305" s="5"/>
      <c r="C305" s="72"/>
      <c r="D305" s="73"/>
      <c r="E305" s="73"/>
      <c r="F305" s="141"/>
      <c r="G305" s="74"/>
      <c r="H305" s="75"/>
      <c r="I305" s="76"/>
      <c r="J305" s="135"/>
      <c r="K305" s="135"/>
      <c r="L305" s="77">
        <f t="shared" si="138"/>
        <v>0</v>
      </c>
      <c r="M305" s="78"/>
      <c r="N305" s="142"/>
      <c r="O305" s="142"/>
      <c r="P305" s="77">
        <f t="shared" si="139"/>
        <v>0</v>
      </c>
      <c r="Q305" s="78"/>
      <c r="R305" s="143"/>
      <c r="S305" s="143"/>
      <c r="T305" s="77">
        <f t="shared" si="140"/>
        <v>0</v>
      </c>
      <c r="U305" s="75"/>
      <c r="V305" s="76"/>
      <c r="W305" s="135"/>
      <c r="X305" s="135"/>
      <c r="Y305" s="77">
        <f t="shared" si="141"/>
        <v>0</v>
      </c>
      <c r="Z305" s="78"/>
      <c r="AA305" s="142"/>
      <c r="AB305" s="142"/>
      <c r="AC305" s="77">
        <f t="shared" si="142"/>
        <v>0</v>
      </c>
      <c r="AD305" s="78"/>
      <c r="AE305" s="143"/>
      <c r="AF305" s="143"/>
      <c r="AG305" s="79">
        <f t="shared" si="143"/>
        <v>0</v>
      </c>
      <c r="AH305" s="75"/>
      <c r="AI305" s="76"/>
      <c r="AJ305" s="135"/>
      <c r="AK305" s="135"/>
      <c r="AL305" s="77">
        <f t="shared" si="144"/>
        <v>0</v>
      </c>
      <c r="AM305" s="76"/>
      <c r="AN305" s="142"/>
      <c r="AO305" s="142"/>
      <c r="AP305" s="77">
        <f t="shared" si="145"/>
        <v>0</v>
      </c>
      <c r="AQ305" s="78"/>
      <c r="AR305" s="142"/>
      <c r="AS305" s="142"/>
      <c r="AT305" s="79">
        <f t="shared" si="146"/>
        <v>0</v>
      </c>
      <c r="AU305" s="75"/>
      <c r="AV305" s="76"/>
      <c r="AW305" s="135"/>
      <c r="AX305" s="135"/>
      <c r="AY305" s="77">
        <f t="shared" si="147"/>
        <v>0</v>
      </c>
      <c r="AZ305" s="76"/>
      <c r="BA305" s="142"/>
      <c r="BB305" s="142"/>
      <c r="BC305" s="77">
        <f t="shared" si="148"/>
        <v>0</v>
      </c>
      <c r="BD305" s="78"/>
      <c r="BE305" s="142"/>
      <c r="BF305" s="142"/>
      <c r="BG305" s="79">
        <f t="shared" si="149"/>
        <v>0</v>
      </c>
      <c r="BH305" s="75"/>
      <c r="BI305" s="76"/>
      <c r="BJ305" s="135"/>
      <c r="BK305" s="135"/>
      <c r="BL305" s="77">
        <f t="shared" si="150"/>
        <v>0</v>
      </c>
      <c r="BM305" s="78"/>
      <c r="BN305" s="142"/>
      <c r="BO305" s="142"/>
      <c r="BP305" s="77">
        <f t="shared" si="151"/>
        <v>0</v>
      </c>
      <c r="BQ305" s="78"/>
      <c r="BR305" s="142"/>
      <c r="BS305" s="142"/>
      <c r="BT305" s="79">
        <f t="shared" si="152"/>
        <v>0</v>
      </c>
      <c r="BU305" s="75"/>
      <c r="BV305" s="76"/>
      <c r="BW305" s="135"/>
      <c r="BX305" s="135"/>
      <c r="BY305" s="77">
        <f t="shared" si="153"/>
        <v>0</v>
      </c>
      <c r="BZ305" s="78"/>
      <c r="CA305" s="142"/>
      <c r="CB305" s="142"/>
      <c r="CC305" s="77">
        <f t="shared" si="154"/>
        <v>0</v>
      </c>
      <c r="CD305" s="78"/>
      <c r="CE305" s="142"/>
      <c r="CF305" s="142"/>
      <c r="CG305" s="79">
        <f t="shared" si="155"/>
        <v>0</v>
      </c>
      <c r="CH305" s="75"/>
      <c r="CI305" s="76"/>
      <c r="CJ305" s="86"/>
      <c r="CK305" s="86"/>
      <c r="CL305" s="77">
        <f t="shared" si="156"/>
        <v>0</v>
      </c>
      <c r="CM305" s="78"/>
      <c r="CN305" s="85"/>
      <c r="CO305" s="85"/>
      <c r="CP305" s="77">
        <f t="shared" si="157"/>
        <v>0</v>
      </c>
      <c r="CQ305" s="78"/>
      <c r="CR305" s="85"/>
      <c r="CS305" s="85"/>
      <c r="CT305" s="79">
        <f t="shared" si="158"/>
        <v>0</v>
      </c>
      <c r="CU305" s="80">
        <f t="shared" si="168"/>
        <v>0</v>
      </c>
      <c r="CV305" s="81">
        <f t="shared" si="169"/>
        <v>0</v>
      </c>
      <c r="CW305" s="144"/>
      <c r="CX305" s="145">
        <f>IF(ISERROR(VLOOKUP($A305,FIJOS!$B$11:$O$590,14,FALSE)),0,VLOOKUP($A305,FIJOS!$B$11:$O$590,14,FALSE))</f>
        <v>0</v>
      </c>
      <c r="CY305" s="145">
        <f>IF(ISERROR(VLOOKUP(A305,FIJOS!$B$10:$P$590,15,FALSE)),0,VLOOKUP(A305,FIJOS!$B$10:$P$590,15,FALSE))</f>
        <v>0</v>
      </c>
      <c r="CZ305" s="155"/>
      <c r="DA305" s="147"/>
      <c r="DB305" s="147"/>
      <c r="DC305" s="147"/>
      <c r="DD305" s="147"/>
      <c r="DE305" s="147"/>
      <c r="DF305" s="145">
        <f>IF(ISERROR(VLOOKUP($A305,FIJOS!$B$11:$N$590,13,FALSE)),0,VLOOKUP($A305,FIJOS!$B$11:$N$590,13,FALSE))</f>
        <v>0</v>
      </c>
      <c r="DG305" s="145">
        <f>IF(ISERROR(VLOOKUP($A305,FIJOS!$B$11:$P$447,12,FALSE)),0,VLOOKUP($A305,FIJOS!$B$11:$P$447,12,FALSE))</f>
        <v>0</v>
      </c>
      <c r="DH305" s="82">
        <f t="shared" si="159"/>
        <v>0</v>
      </c>
      <c r="DI305" s="83" t="b">
        <f>IF($C305=1,(VLOOKUP($A305,FIJOS!$B$11:$P$545,10,FALSE)/7)*(7-$CU305),IF(AND($C305=2,CV305&lt;$DJ$1),(VLOOKUP($D305,HORAS!$B$4:$C$42,2,FALSE)*24)*$CV305,IF(AND($C305=2,CV305&gt;=$DJ$1),VLOOKUP($D305,HORAS!$B$4:$D$42,3,FALSE),IF(AND($C305=3,$CV305&gt;=$DJ$1),VLOOKUP($A305,FIJOS!$B$11:$P$545,10,FALSE),IF(AND($C305=3,$CV305&lt;$DJ$1),((VLOOKUP($A305,FIJOS!$B$11:$P$545,10,FALSE)/48)*24)*$CV305,IF(AND($C305=4,$CV305&gt;=(42/24)),VLOOKUP($D305,HORAS!$B$4:$D$42,3,FALSE),IF(AND($C305=5,$CV305&gt;=(36/24)),VLOOKUP($D305,HORAS!$B$4:$D$42,3,FALSE))))))))</f>
        <v>0</v>
      </c>
      <c r="DJ305" s="145">
        <f>IF(OR($C305=2),VLOOKUP($D305,HORAS!$B$4:$E$42,4,FALSE)*$EC305,IF(ISERROR(VLOOKUP($A305,FIJOS!$B$11:$P$108,9,FALSE)),0,VLOOKUP($A305,FIJOS!$B$11:$P$231,9,FALSE)*$EC305))</f>
        <v>0</v>
      </c>
      <c r="DK305" s="145">
        <f>IF(OR($C305=2),VLOOKUP($D305,HORAS!$B$4:$F$42,5,FALSE)*$EE305,IF(ISERROR(VLOOKUP($A305,FIJOS!$B$11:$P$108,9,FALSE)),0,VLOOKUP($A305,FIJOS!$B$11:$P$231,9,FALSE)*$EE305))</f>
        <v>0</v>
      </c>
      <c r="DL305" s="144"/>
      <c r="DM305" s="145">
        <f>IF(ISERROR(VLOOKUP($A305,FIJOS!$B$11:$L$646,11,FALSE)),0,VLOOKUP($A305,FIJOS!$B$11:$L$646,11,FALSE))</f>
        <v>0</v>
      </c>
      <c r="DN305" s="148" t="e">
        <f>IF(OR($C305=1,$C305=3),0,IF((VLOOKUP(CAPTURA!D305,HORAS!$B$4:$K$42,10,FALSE)/4)*COUNTIF($H305:$CT305,3)&gt;100,100,(VLOOKUP(CAPTURA!D305,HORAS!$B$4:$K$42,10,FALSE)/4)*COUNTIF($H305:$CT305,3)))</f>
        <v>#N/A</v>
      </c>
      <c r="DO305" s="144" t="e">
        <f>IF(OR($C305=1,$C305=3),0,IF($C305=5,VLOOKUP(D305,HORAS!$B$4:$G$42,6,FALSE),IF(AND($C305=4,$CV305&gt;=(42/24)),VLOOKUP(D305,HORAS!$B$4:$G$42,6,FALSE),IF(COUNTIF($H305:$CL305,"F")&gt;0,0,IF(CV305&gt;$DJ$1,$DJ$1*(VLOOKUP(D305,HORAS!$B$4:$G$42,6,FALSE)/$DJ$1),CV305*(VLOOKUP(D305,HORAS!$B$4:$G$42,6,FALSE)/$DJ$1))))))</f>
        <v>#N/A</v>
      </c>
      <c r="DP305" s="156"/>
      <c r="DQ305" s="148"/>
      <c r="DR305" s="148"/>
      <c r="DS305" s="83" t="e">
        <f t="shared" si="162"/>
        <v>#N/A</v>
      </c>
      <c r="DT305" s="84"/>
      <c r="DU305" s="149" t="e">
        <f t="shared" si="163"/>
        <v>#N/A</v>
      </c>
      <c r="DV305" s="149" t="e">
        <f t="shared" si="164"/>
        <v>#N/A</v>
      </c>
      <c r="DW305" s="144" t="e">
        <f t="shared" si="165"/>
        <v>#N/A</v>
      </c>
      <c r="DX305"/>
      <c r="DY305" s="29"/>
      <c r="DZ305" s="150"/>
      <c r="EA305" s="134"/>
      <c r="EB305" s="137">
        <f t="shared" si="166"/>
        <v>0</v>
      </c>
      <c r="EC305" s="138">
        <f t="shared" si="160"/>
        <v>0</v>
      </c>
      <c r="ED305" s="137">
        <f t="shared" si="167"/>
        <v>0</v>
      </c>
      <c r="EE305" s="132">
        <f t="shared" si="161"/>
        <v>0</v>
      </c>
      <c r="EF305" s="29"/>
      <c r="EG305" s="134"/>
      <c r="EH305" s="134"/>
      <c r="EI305" s="134"/>
      <c r="EK305" s="29"/>
    </row>
    <row r="306" spans="1:141" ht="15" customHeight="1" x14ac:dyDescent="0.25">
      <c r="A306" s="87"/>
      <c r="B306" s="5"/>
      <c r="C306" s="72"/>
      <c r="D306" s="73"/>
      <c r="E306" s="73"/>
      <c r="F306" s="141"/>
      <c r="G306" s="74"/>
      <c r="H306" s="75"/>
      <c r="I306" s="76"/>
      <c r="J306" s="135"/>
      <c r="K306" s="135"/>
      <c r="L306" s="77">
        <f t="shared" si="138"/>
        <v>0</v>
      </c>
      <c r="M306" s="78"/>
      <c r="N306" s="142"/>
      <c r="O306" s="142"/>
      <c r="P306" s="77">
        <f t="shared" si="139"/>
        <v>0</v>
      </c>
      <c r="Q306" s="78"/>
      <c r="R306" s="143"/>
      <c r="S306" s="143"/>
      <c r="T306" s="77">
        <f t="shared" si="140"/>
        <v>0</v>
      </c>
      <c r="U306" s="75"/>
      <c r="V306" s="76"/>
      <c r="W306" s="135"/>
      <c r="X306" s="135"/>
      <c r="Y306" s="77">
        <f t="shared" si="141"/>
        <v>0</v>
      </c>
      <c r="Z306" s="78"/>
      <c r="AA306" s="142"/>
      <c r="AB306" s="142"/>
      <c r="AC306" s="77">
        <f t="shared" si="142"/>
        <v>0</v>
      </c>
      <c r="AD306" s="78"/>
      <c r="AE306" s="143"/>
      <c r="AF306" s="143"/>
      <c r="AG306" s="79">
        <f t="shared" si="143"/>
        <v>0</v>
      </c>
      <c r="AH306" s="75"/>
      <c r="AI306" s="76"/>
      <c r="AJ306" s="135"/>
      <c r="AK306" s="135"/>
      <c r="AL306" s="77">
        <f t="shared" si="144"/>
        <v>0</v>
      </c>
      <c r="AM306" s="76"/>
      <c r="AN306" s="142"/>
      <c r="AO306" s="142"/>
      <c r="AP306" s="77">
        <f t="shared" si="145"/>
        <v>0</v>
      </c>
      <c r="AQ306" s="78"/>
      <c r="AR306" s="142"/>
      <c r="AS306" s="142"/>
      <c r="AT306" s="79">
        <f t="shared" si="146"/>
        <v>0</v>
      </c>
      <c r="AU306" s="75"/>
      <c r="AV306" s="76"/>
      <c r="AW306" s="135"/>
      <c r="AX306" s="135"/>
      <c r="AY306" s="77">
        <f t="shared" si="147"/>
        <v>0</v>
      </c>
      <c r="AZ306" s="76"/>
      <c r="BA306" s="142"/>
      <c r="BB306" s="142"/>
      <c r="BC306" s="77">
        <f t="shared" si="148"/>
        <v>0</v>
      </c>
      <c r="BD306" s="78"/>
      <c r="BE306" s="142"/>
      <c r="BF306" s="142"/>
      <c r="BG306" s="79">
        <f t="shared" si="149"/>
        <v>0</v>
      </c>
      <c r="BH306" s="75"/>
      <c r="BI306" s="76"/>
      <c r="BJ306" s="135"/>
      <c r="BK306" s="135"/>
      <c r="BL306" s="77">
        <f t="shared" si="150"/>
        <v>0</v>
      </c>
      <c r="BM306" s="78"/>
      <c r="BN306" s="142"/>
      <c r="BO306" s="142"/>
      <c r="BP306" s="77">
        <f t="shared" si="151"/>
        <v>0</v>
      </c>
      <c r="BQ306" s="78"/>
      <c r="BR306" s="142"/>
      <c r="BS306" s="142"/>
      <c r="BT306" s="79">
        <f t="shared" si="152"/>
        <v>0</v>
      </c>
      <c r="BU306" s="75"/>
      <c r="BV306" s="76"/>
      <c r="BW306" s="135"/>
      <c r="BX306" s="135"/>
      <c r="BY306" s="77">
        <f t="shared" si="153"/>
        <v>0</v>
      </c>
      <c r="BZ306" s="78"/>
      <c r="CA306" s="142"/>
      <c r="CB306" s="142"/>
      <c r="CC306" s="77">
        <f t="shared" si="154"/>
        <v>0</v>
      </c>
      <c r="CD306" s="78"/>
      <c r="CE306" s="142"/>
      <c r="CF306" s="142"/>
      <c r="CG306" s="79">
        <f t="shared" si="155"/>
        <v>0</v>
      </c>
      <c r="CH306" s="75"/>
      <c r="CI306" s="76"/>
      <c r="CJ306" s="135"/>
      <c r="CK306" s="135"/>
      <c r="CL306" s="77">
        <f t="shared" si="156"/>
        <v>0</v>
      </c>
      <c r="CM306" s="78"/>
      <c r="CN306" s="85"/>
      <c r="CO306" s="85"/>
      <c r="CP306" s="77">
        <f t="shared" si="157"/>
        <v>0</v>
      </c>
      <c r="CQ306" s="78"/>
      <c r="CR306" s="85"/>
      <c r="CS306" s="85"/>
      <c r="CT306" s="79">
        <f t="shared" si="158"/>
        <v>0</v>
      </c>
      <c r="CU306" s="80">
        <f t="shared" si="168"/>
        <v>0</v>
      </c>
      <c r="CV306" s="81">
        <f t="shared" si="169"/>
        <v>0</v>
      </c>
      <c r="CW306" s="144"/>
      <c r="CX306" s="145">
        <f>IF(ISERROR(VLOOKUP($A306,FIJOS!$B$11:$O$590,14,FALSE)),0,VLOOKUP($A306,FIJOS!$B$11:$O$590,14,FALSE))</f>
        <v>0</v>
      </c>
      <c r="CY306" s="145">
        <f>IF(ISERROR(VLOOKUP(A306,FIJOS!$B$10:$P$590,15,FALSE)),0,VLOOKUP(A306,FIJOS!$B$10:$P$590,15,FALSE))</f>
        <v>0</v>
      </c>
      <c r="CZ306" s="155"/>
      <c r="DA306" s="147"/>
      <c r="DB306" s="147"/>
      <c r="DC306" s="147"/>
      <c r="DD306" s="147"/>
      <c r="DE306" s="147"/>
      <c r="DF306" s="145">
        <f>IF(ISERROR(VLOOKUP($A306,FIJOS!$B$11:$N$590,13,FALSE)),0,VLOOKUP($A306,FIJOS!$B$11:$N$590,13,FALSE))</f>
        <v>0</v>
      </c>
      <c r="DG306" s="145">
        <f>IF(ISERROR(VLOOKUP($A306,FIJOS!$B$11:$P$447,12,FALSE)),0,VLOOKUP($A306,FIJOS!$B$11:$P$447,12,FALSE))</f>
        <v>0</v>
      </c>
      <c r="DH306" s="82">
        <f t="shared" si="159"/>
        <v>0</v>
      </c>
      <c r="DI306" s="83" t="b">
        <f>IF($C306=1,(VLOOKUP($A306,FIJOS!$B$11:$P$545,10,FALSE)/7)*(7-$CU306),IF(AND($C306=2,CV306&lt;$DJ$1),(VLOOKUP($D306,HORAS!$B$4:$C$42,2,FALSE)*24)*$CV306,IF(AND($C306=2,CV306&gt;=$DJ$1),VLOOKUP($D306,HORAS!$B$4:$D$42,3,FALSE),IF(AND($C306=3,$CV306&gt;=$DJ$1),VLOOKUP($A306,FIJOS!$B$11:$P$545,10,FALSE),IF(AND($C306=3,$CV306&lt;$DJ$1),((VLOOKUP($A306,FIJOS!$B$11:$P$545,10,FALSE)/48)*24)*$CV306,IF(AND($C306=4,$CV306&gt;=(42/24)),VLOOKUP($D306,HORAS!$B$4:$D$42,3,FALSE),IF(AND($C306=5,$CV306&gt;=(36/24)),VLOOKUP($D306,HORAS!$B$4:$D$42,3,FALSE))))))))</f>
        <v>0</v>
      </c>
      <c r="DJ306" s="145">
        <f>IF(OR($C306=2),VLOOKUP($D306,HORAS!$B$4:$E$42,4,FALSE)*$EC306,IF(ISERROR(VLOOKUP($A306,FIJOS!$B$11:$P$108,9,FALSE)),0,VLOOKUP($A306,FIJOS!$B$11:$P$231,9,FALSE)*$EC306))</f>
        <v>0</v>
      </c>
      <c r="DK306" s="145">
        <f>IF(OR($C306=2),VLOOKUP($D306,HORAS!$B$4:$F$42,5,FALSE)*$EE306,IF(ISERROR(VLOOKUP($A306,FIJOS!$B$11:$P$108,9,FALSE)),0,VLOOKUP($A306,FIJOS!$B$11:$P$231,9,FALSE)*$EE306))</f>
        <v>0</v>
      </c>
      <c r="DL306" s="144"/>
      <c r="DM306" s="145">
        <f>IF(ISERROR(VLOOKUP($A306,FIJOS!$B$11:$L$646,11,FALSE)),0,VLOOKUP($A306,FIJOS!$B$11:$L$646,11,FALSE))</f>
        <v>0</v>
      </c>
      <c r="DN306" s="148" t="e">
        <f>IF(OR($C306=1,$C306=3),0,IF((VLOOKUP(CAPTURA!D306,HORAS!$B$4:$K$42,10,FALSE)/4)*COUNTIF($H306:$CT306,3)&gt;100,100,(VLOOKUP(CAPTURA!D306,HORAS!$B$4:$K$42,10,FALSE)/4)*COUNTIF($H306:$CT306,3)))</f>
        <v>#N/A</v>
      </c>
      <c r="DO306" s="144" t="e">
        <f>IF(OR($C306=1,$C306=3),0,IF($C306=5,VLOOKUP(D306,HORAS!$B$4:$G$42,6,FALSE),IF(AND($C306=4,$CV306&gt;=(42/24)),VLOOKUP(D306,HORAS!$B$4:$G$42,6,FALSE),IF(COUNTIF($H306:$CL306,"F")&gt;0,0,IF(CV306&gt;$DJ$1,$DJ$1*(VLOOKUP(D306,HORAS!$B$4:$G$42,6,FALSE)/$DJ$1),CV306*(VLOOKUP(D306,HORAS!$B$4:$G$42,6,FALSE)/$DJ$1))))))</f>
        <v>#N/A</v>
      </c>
      <c r="DP306" s="156"/>
      <c r="DQ306" s="148"/>
      <c r="DR306" s="148"/>
      <c r="DS306" s="83" t="e">
        <f t="shared" si="162"/>
        <v>#N/A</v>
      </c>
      <c r="DT306" s="84"/>
      <c r="DU306" s="149" t="e">
        <f t="shared" si="163"/>
        <v>#N/A</v>
      </c>
      <c r="DV306" s="149" t="e">
        <f t="shared" si="164"/>
        <v>#N/A</v>
      </c>
      <c r="DW306" s="144" t="e">
        <f t="shared" si="165"/>
        <v>#N/A</v>
      </c>
      <c r="DX306"/>
      <c r="DY306" s="29"/>
      <c r="DZ306" s="150"/>
      <c r="EA306" s="134"/>
      <c r="EB306" s="137">
        <f t="shared" si="166"/>
        <v>0</v>
      </c>
      <c r="EC306" s="138">
        <f t="shared" si="160"/>
        <v>0</v>
      </c>
      <c r="ED306" s="137">
        <f t="shared" si="167"/>
        <v>0</v>
      </c>
      <c r="EE306" s="132">
        <f t="shared" si="161"/>
        <v>0</v>
      </c>
      <c r="EF306" s="29"/>
      <c r="EG306" s="134"/>
      <c r="EH306" s="134"/>
      <c r="EI306" s="134"/>
      <c r="EK306" s="29"/>
    </row>
    <row r="307" spans="1:141" ht="15" customHeight="1" x14ac:dyDescent="0.25">
      <c r="A307" s="87"/>
      <c r="B307" s="5"/>
      <c r="C307" s="72"/>
      <c r="D307" s="73"/>
      <c r="E307" s="73"/>
      <c r="F307" s="141"/>
      <c r="G307" s="74"/>
      <c r="H307" s="75"/>
      <c r="I307" s="76"/>
      <c r="J307" s="135"/>
      <c r="K307" s="135"/>
      <c r="L307" s="77">
        <f t="shared" si="138"/>
        <v>0</v>
      </c>
      <c r="M307" s="78"/>
      <c r="N307" s="142"/>
      <c r="O307" s="142"/>
      <c r="P307" s="77">
        <f t="shared" si="139"/>
        <v>0</v>
      </c>
      <c r="Q307" s="78"/>
      <c r="R307" s="143"/>
      <c r="S307" s="143"/>
      <c r="T307" s="77">
        <f t="shared" si="140"/>
        <v>0</v>
      </c>
      <c r="U307" s="75"/>
      <c r="V307" s="76"/>
      <c r="W307" s="135"/>
      <c r="X307" s="135"/>
      <c r="Y307" s="77">
        <f t="shared" si="141"/>
        <v>0</v>
      </c>
      <c r="Z307" s="78"/>
      <c r="AA307" s="142"/>
      <c r="AB307" s="142"/>
      <c r="AC307" s="77">
        <f t="shared" si="142"/>
        <v>0</v>
      </c>
      <c r="AD307" s="78"/>
      <c r="AE307" s="143"/>
      <c r="AF307" s="143"/>
      <c r="AG307" s="79">
        <f t="shared" si="143"/>
        <v>0</v>
      </c>
      <c r="AH307" s="75"/>
      <c r="AI307" s="76"/>
      <c r="AJ307" s="135"/>
      <c r="AK307" s="135"/>
      <c r="AL307" s="77">
        <f t="shared" si="144"/>
        <v>0</v>
      </c>
      <c r="AM307" s="76"/>
      <c r="AN307" s="142"/>
      <c r="AO307" s="142"/>
      <c r="AP307" s="77">
        <f t="shared" si="145"/>
        <v>0</v>
      </c>
      <c r="AQ307" s="78"/>
      <c r="AR307" s="142"/>
      <c r="AS307" s="142"/>
      <c r="AT307" s="79">
        <f t="shared" si="146"/>
        <v>0</v>
      </c>
      <c r="AU307" s="75"/>
      <c r="AV307" s="76"/>
      <c r="AW307" s="135"/>
      <c r="AX307" s="135"/>
      <c r="AY307" s="77">
        <f t="shared" si="147"/>
        <v>0</v>
      </c>
      <c r="AZ307" s="76"/>
      <c r="BA307" s="142"/>
      <c r="BB307" s="142"/>
      <c r="BC307" s="77">
        <f t="shared" si="148"/>
        <v>0</v>
      </c>
      <c r="BD307" s="78"/>
      <c r="BE307" s="142"/>
      <c r="BF307" s="142"/>
      <c r="BG307" s="79">
        <f t="shared" si="149"/>
        <v>0</v>
      </c>
      <c r="BH307" s="75"/>
      <c r="BI307" s="76"/>
      <c r="BJ307" s="135"/>
      <c r="BK307" s="135"/>
      <c r="BL307" s="77">
        <f t="shared" si="150"/>
        <v>0</v>
      </c>
      <c r="BM307" s="78"/>
      <c r="BN307" s="142"/>
      <c r="BO307" s="142"/>
      <c r="BP307" s="77">
        <f t="shared" si="151"/>
        <v>0</v>
      </c>
      <c r="BQ307" s="78"/>
      <c r="BR307" s="142"/>
      <c r="BS307" s="142"/>
      <c r="BT307" s="79">
        <f t="shared" si="152"/>
        <v>0</v>
      </c>
      <c r="BU307" s="75"/>
      <c r="BV307" s="76"/>
      <c r="BW307" s="135"/>
      <c r="BX307" s="135"/>
      <c r="BY307" s="77">
        <f t="shared" si="153"/>
        <v>0</v>
      </c>
      <c r="BZ307" s="78"/>
      <c r="CA307" s="142"/>
      <c r="CB307" s="142"/>
      <c r="CC307" s="77">
        <f t="shared" si="154"/>
        <v>0</v>
      </c>
      <c r="CD307" s="78"/>
      <c r="CE307" s="142"/>
      <c r="CF307" s="142"/>
      <c r="CG307" s="79">
        <f t="shared" si="155"/>
        <v>0</v>
      </c>
      <c r="CH307" s="75"/>
      <c r="CI307" s="76"/>
      <c r="CJ307" s="86"/>
      <c r="CK307" s="86"/>
      <c r="CL307" s="77">
        <f t="shared" si="156"/>
        <v>0</v>
      </c>
      <c r="CM307" s="78"/>
      <c r="CN307" s="85"/>
      <c r="CO307" s="85"/>
      <c r="CP307" s="77">
        <f t="shared" si="157"/>
        <v>0</v>
      </c>
      <c r="CQ307" s="78"/>
      <c r="CR307" s="85"/>
      <c r="CS307" s="85"/>
      <c r="CT307" s="79">
        <f t="shared" si="158"/>
        <v>0</v>
      </c>
      <c r="CU307" s="80">
        <f t="shared" si="168"/>
        <v>0</v>
      </c>
      <c r="CV307" s="81">
        <f t="shared" si="169"/>
        <v>0</v>
      </c>
      <c r="CW307" s="144"/>
      <c r="CX307" s="145">
        <f>IF(ISERROR(VLOOKUP($A307,FIJOS!$B$11:$O$590,14,FALSE)),0,VLOOKUP($A307,FIJOS!$B$11:$O$590,14,FALSE))</f>
        <v>0</v>
      </c>
      <c r="CY307" s="145">
        <f>IF(ISERROR(VLOOKUP(A307,FIJOS!$B$10:$P$590,15,FALSE)),0,VLOOKUP(A307,FIJOS!$B$10:$P$590,15,FALSE))</f>
        <v>0</v>
      </c>
      <c r="CZ307" s="155"/>
      <c r="DA307" s="147"/>
      <c r="DB307" s="147"/>
      <c r="DC307" s="147"/>
      <c r="DD307" s="147"/>
      <c r="DE307" s="147"/>
      <c r="DF307" s="145">
        <f>IF(ISERROR(VLOOKUP($A307,FIJOS!$B$11:$N$590,13,FALSE)),0,VLOOKUP($A307,FIJOS!$B$11:$N$590,13,FALSE))</f>
        <v>0</v>
      </c>
      <c r="DG307" s="145">
        <f>IF(ISERROR(VLOOKUP($A307,FIJOS!$B$11:$P$447,12,FALSE)),0,VLOOKUP($A307,FIJOS!$B$11:$P$447,12,FALSE))</f>
        <v>0</v>
      </c>
      <c r="DH307" s="82">
        <f t="shared" si="159"/>
        <v>0</v>
      </c>
      <c r="DI307" s="83" t="b">
        <f>IF($C307=1,(VLOOKUP($A307,FIJOS!$B$11:$P$545,10,FALSE)/7)*(7-$CU307),IF(AND($C307=2,CV307&lt;$DJ$1),(VLOOKUP($D307,HORAS!$B$4:$C$42,2,FALSE)*24)*$CV307,IF(AND($C307=2,CV307&gt;=$DJ$1),VLOOKUP($D307,HORAS!$B$4:$D$42,3,FALSE),IF(AND($C307=3,$CV307&gt;=$DJ$1),VLOOKUP($A307,FIJOS!$B$11:$P$545,10,FALSE),IF(AND($C307=3,$CV307&lt;$DJ$1),((VLOOKUP($A307,FIJOS!$B$11:$P$545,10,FALSE)/48)*24)*$CV307,IF(AND($C307=4,$CV307&gt;=(42/24)),VLOOKUP($D307,HORAS!$B$4:$D$42,3,FALSE),IF(AND($C307=5,$CV307&gt;=(36/24)),VLOOKUP($D307,HORAS!$B$4:$D$42,3,FALSE))))))))</f>
        <v>0</v>
      </c>
      <c r="DJ307" s="145">
        <f>IF(OR($C307=2),VLOOKUP($D307,HORAS!$B$4:$E$42,4,FALSE)*$EC307,IF(ISERROR(VLOOKUP($A307,FIJOS!$B$11:$P$108,9,FALSE)),0,VLOOKUP($A307,FIJOS!$B$11:$P$231,9,FALSE)*$EC307))</f>
        <v>0</v>
      </c>
      <c r="DK307" s="145">
        <f>IF(OR($C307=2),VLOOKUP($D307,HORAS!$B$4:$F$42,5,FALSE)*$EE307,IF(ISERROR(VLOOKUP($A307,FIJOS!$B$11:$P$108,9,FALSE)),0,VLOOKUP($A307,FIJOS!$B$11:$P$231,9,FALSE)*$EE307))</f>
        <v>0</v>
      </c>
      <c r="DL307" s="144"/>
      <c r="DM307" s="145">
        <f>IF(ISERROR(VLOOKUP($A307,FIJOS!$B$11:$L$646,11,FALSE)),0,VLOOKUP($A307,FIJOS!$B$11:$L$646,11,FALSE))</f>
        <v>0</v>
      </c>
      <c r="DN307" s="148" t="e">
        <f>IF(OR($C307=1,$C307=3),0,IF((VLOOKUP(CAPTURA!D307,HORAS!$B$4:$K$42,10,FALSE)/4)*COUNTIF($H307:$CT307,3)&gt;100,100,(VLOOKUP(CAPTURA!D307,HORAS!$B$4:$K$42,10,FALSE)/4)*COUNTIF($H307:$CT307,3)))</f>
        <v>#N/A</v>
      </c>
      <c r="DO307" s="144" t="e">
        <f>IF(OR($C307=1,$C307=3),0,IF($C307=5,VLOOKUP(D307,HORAS!$B$4:$G$42,6,FALSE),IF(AND($C307=4,$CV307&gt;=(42/24)),VLOOKUP(D307,HORAS!$B$4:$G$42,6,FALSE),IF(COUNTIF($H307:$CL307,"F")&gt;0,0,IF(CV307&gt;$DJ$1,$DJ$1*(VLOOKUP(D307,HORAS!$B$4:$G$42,6,FALSE)/$DJ$1),CV307*(VLOOKUP(D307,HORAS!$B$4:$G$42,6,FALSE)/$DJ$1))))))</f>
        <v>#N/A</v>
      </c>
      <c r="DP307" s="156"/>
      <c r="DQ307" s="148"/>
      <c r="DR307" s="148"/>
      <c r="DS307" s="83" t="e">
        <f t="shared" si="162"/>
        <v>#N/A</v>
      </c>
      <c r="DT307" s="84"/>
      <c r="DU307" s="149" t="e">
        <f t="shared" si="163"/>
        <v>#N/A</v>
      </c>
      <c r="DV307" s="149" t="e">
        <f t="shared" si="164"/>
        <v>#N/A</v>
      </c>
      <c r="DW307" s="144" t="e">
        <f t="shared" si="165"/>
        <v>#N/A</v>
      </c>
      <c r="DX307"/>
      <c r="DY307" s="29"/>
      <c r="DZ307" s="150"/>
      <c r="EA307" s="134"/>
      <c r="EB307" s="137">
        <f t="shared" si="166"/>
        <v>0</v>
      </c>
      <c r="EC307" s="138">
        <f t="shared" si="160"/>
        <v>0</v>
      </c>
      <c r="ED307" s="137">
        <f t="shared" si="167"/>
        <v>0</v>
      </c>
      <c r="EE307" s="132">
        <f t="shared" si="161"/>
        <v>0</v>
      </c>
      <c r="EF307" s="29"/>
      <c r="EG307" s="134"/>
      <c r="EH307" s="134"/>
      <c r="EI307" s="134"/>
      <c r="EK307" s="29"/>
    </row>
    <row r="308" spans="1:141" ht="15" customHeight="1" x14ac:dyDescent="0.25">
      <c r="A308" s="87"/>
      <c r="B308" s="5"/>
      <c r="C308" s="72"/>
      <c r="D308" s="73"/>
      <c r="E308" s="73"/>
      <c r="F308" s="141"/>
      <c r="G308" s="74"/>
      <c r="H308" s="75"/>
      <c r="I308" s="76"/>
      <c r="J308" s="135"/>
      <c r="K308" s="135"/>
      <c r="L308" s="77">
        <f t="shared" si="138"/>
        <v>0</v>
      </c>
      <c r="M308" s="78"/>
      <c r="N308" s="142"/>
      <c r="O308" s="142"/>
      <c r="P308" s="77">
        <f t="shared" si="139"/>
        <v>0</v>
      </c>
      <c r="Q308" s="78"/>
      <c r="R308" s="143"/>
      <c r="S308" s="143"/>
      <c r="T308" s="77">
        <f t="shared" si="140"/>
        <v>0</v>
      </c>
      <c r="U308" s="75"/>
      <c r="V308" s="76"/>
      <c r="W308" s="135"/>
      <c r="X308" s="135"/>
      <c r="Y308" s="77">
        <f t="shared" si="141"/>
        <v>0</v>
      </c>
      <c r="Z308" s="78"/>
      <c r="AA308" s="142"/>
      <c r="AB308" s="142"/>
      <c r="AC308" s="77">
        <f t="shared" si="142"/>
        <v>0</v>
      </c>
      <c r="AD308" s="78"/>
      <c r="AE308" s="143"/>
      <c r="AF308" s="143"/>
      <c r="AG308" s="79">
        <f t="shared" si="143"/>
        <v>0</v>
      </c>
      <c r="AH308" s="75"/>
      <c r="AI308" s="76"/>
      <c r="AJ308" s="135"/>
      <c r="AK308" s="135"/>
      <c r="AL308" s="77">
        <f t="shared" si="144"/>
        <v>0</v>
      </c>
      <c r="AM308" s="76"/>
      <c r="AN308" s="142"/>
      <c r="AO308" s="142"/>
      <c r="AP308" s="77">
        <f t="shared" si="145"/>
        <v>0</v>
      </c>
      <c r="AQ308" s="78"/>
      <c r="AR308" s="142"/>
      <c r="AS308" s="142"/>
      <c r="AT308" s="79">
        <f t="shared" si="146"/>
        <v>0</v>
      </c>
      <c r="AU308" s="75"/>
      <c r="AV308" s="76"/>
      <c r="AW308" s="135"/>
      <c r="AX308" s="135"/>
      <c r="AY308" s="77">
        <f t="shared" si="147"/>
        <v>0</v>
      </c>
      <c r="AZ308" s="76"/>
      <c r="BA308" s="142"/>
      <c r="BB308" s="142"/>
      <c r="BC308" s="77">
        <f t="shared" si="148"/>
        <v>0</v>
      </c>
      <c r="BD308" s="78"/>
      <c r="BE308" s="142"/>
      <c r="BF308" s="142"/>
      <c r="BG308" s="79">
        <f t="shared" si="149"/>
        <v>0</v>
      </c>
      <c r="BH308" s="75"/>
      <c r="BI308" s="76"/>
      <c r="BJ308" s="135"/>
      <c r="BK308" s="135"/>
      <c r="BL308" s="77">
        <f t="shared" si="150"/>
        <v>0</v>
      </c>
      <c r="BM308" s="78"/>
      <c r="BN308" s="142"/>
      <c r="BO308" s="142"/>
      <c r="BP308" s="77">
        <f t="shared" si="151"/>
        <v>0</v>
      </c>
      <c r="BQ308" s="78"/>
      <c r="BR308" s="142"/>
      <c r="BS308" s="142"/>
      <c r="BT308" s="79">
        <f t="shared" si="152"/>
        <v>0</v>
      </c>
      <c r="BU308" s="75"/>
      <c r="BV308" s="76"/>
      <c r="BW308" s="135"/>
      <c r="BX308" s="135"/>
      <c r="BY308" s="77">
        <f t="shared" si="153"/>
        <v>0</v>
      </c>
      <c r="BZ308" s="78"/>
      <c r="CA308" s="142"/>
      <c r="CB308" s="142"/>
      <c r="CC308" s="77">
        <f t="shared" si="154"/>
        <v>0</v>
      </c>
      <c r="CD308" s="78"/>
      <c r="CE308" s="142"/>
      <c r="CF308" s="142"/>
      <c r="CG308" s="79">
        <f t="shared" si="155"/>
        <v>0</v>
      </c>
      <c r="CH308" s="75"/>
      <c r="CI308" s="76"/>
      <c r="CJ308" s="86"/>
      <c r="CK308" s="86"/>
      <c r="CL308" s="77">
        <f t="shared" si="156"/>
        <v>0</v>
      </c>
      <c r="CM308" s="78"/>
      <c r="CN308" s="85"/>
      <c r="CO308" s="85"/>
      <c r="CP308" s="77">
        <f t="shared" si="157"/>
        <v>0</v>
      </c>
      <c r="CQ308" s="78"/>
      <c r="CR308" s="85"/>
      <c r="CS308" s="85"/>
      <c r="CT308" s="79">
        <f t="shared" si="158"/>
        <v>0</v>
      </c>
      <c r="CU308" s="80">
        <f t="shared" si="168"/>
        <v>0</v>
      </c>
      <c r="CV308" s="81">
        <f t="shared" si="169"/>
        <v>0</v>
      </c>
      <c r="CW308" s="144"/>
      <c r="CX308" s="145">
        <f>IF(ISERROR(VLOOKUP($A308,FIJOS!$B$11:$O$590,14,FALSE)),0,VLOOKUP($A308,FIJOS!$B$11:$O$590,14,FALSE))</f>
        <v>0</v>
      </c>
      <c r="CY308" s="145">
        <f>IF(ISERROR(VLOOKUP(A308,FIJOS!$B$10:$P$590,15,FALSE)),0,VLOOKUP(A308,FIJOS!$B$10:$P$590,15,FALSE))</f>
        <v>0</v>
      </c>
      <c r="CZ308" s="155"/>
      <c r="DA308" s="147"/>
      <c r="DB308" s="147"/>
      <c r="DC308" s="147"/>
      <c r="DD308" s="147"/>
      <c r="DE308" s="147"/>
      <c r="DF308" s="145">
        <f>IF(ISERROR(VLOOKUP($A308,FIJOS!$B$11:$N$590,13,FALSE)),0,VLOOKUP($A308,FIJOS!$B$11:$N$590,13,FALSE))</f>
        <v>0</v>
      </c>
      <c r="DG308" s="145">
        <f>IF(ISERROR(VLOOKUP($A308,FIJOS!$B$11:$P$447,12,FALSE)),0,VLOOKUP($A308,FIJOS!$B$11:$P$447,12,FALSE))</f>
        <v>0</v>
      </c>
      <c r="DH308" s="82">
        <f t="shared" si="159"/>
        <v>0</v>
      </c>
      <c r="DI308" s="83" t="b">
        <f>IF($C308=1,(VLOOKUP($A308,FIJOS!$B$11:$P$545,10,FALSE)/7)*(7-$CU308),IF(AND($C308=2,CV308&lt;$DJ$1),(VLOOKUP($D308,HORAS!$B$4:$C$42,2,FALSE)*24)*$CV308,IF(AND($C308=2,CV308&gt;=$DJ$1),VLOOKUP($D308,HORAS!$B$4:$D$42,3,FALSE),IF(AND($C308=3,$CV308&gt;=$DJ$1),VLOOKUP($A308,FIJOS!$B$11:$P$545,10,FALSE),IF(AND($C308=3,$CV308&lt;$DJ$1),((VLOOKUP($A308,FIJOS!$B$11:$P$545,10,FALSE)/48)*24)*$CV308,IF(AND($C308=4,$CV308&gt;=(42/24)),VLOOKUP($D308,HORAS!$B$4:$D$42,3,FALSE),IF(AND($C308=5,$CV308&gt;=(36/24)),VLOOKUP($D308,HORAS!$B$4:$D$42,3,FALSE))))))))</f>
        <v>0</v>
      </c>
      <c r="DJ308" s="145">
        <f>IF(OR($C308=2),VLOOKUP($D308,HORAS!$B$4:$E$42,4,FALSE)*$EC308,IF(ISERROR(VLOOKUP($A308,FIJOS!$B$11:$P$108,9,FALSE)),0,VLOOKUP($A308,FIJOS!$B$11:$P$231,9,FALSE)*$EC308))</f>
        <v>0</v>
      </c>
      <c r="DK308" s="145">
        <f>IF(OR($C308=2),VLOOKUP($D308,HORAS!$B$4:$F$42,5,FALSE)*$EE308,IF(ISERROR(VLOOKUP($A308,FIJOS!$B$11:$P$108,9,FALSE)),0,VLOOKUP($A308,FIJOS!$B$11:$P$231,9,FALSE)*$EE308))</f>
        <v>0</v>
      </c>
      <c r="DL308" s="144"/>
      <c r="DM308" s="145">
        <f>IF(ISERROR(VLOOKUP($A308,FIJOS!$B$11:$L$646,11,FALSE)),0,VLOOKUP($A308,FIJOS!$B$11:$L$646,11,FALSE))</f>
        <v>0</v>
      </c>
      <c r="DN308" s="148" t="e">
        <f>IF(OR($C308=1,$C308=3),0,IF((VLOOKUP(CAPTURA!D308,HORAS!$B$4:$K$42,10,FALSE)/4)*COUNTIF($H308:$CT308,3)&gt;100,100,(VLOOKUP(CAPTURA!D308,HORAS!$B$4:$K$42,10,FALSE)/4)*COUNTIF($H308:$CT308,3)))</f>
        <v>#N/A</v>
      </c>
      <c r="DO308" s="144" t="e">
        <f>IF(OR($C308=1,$C308=3),0,IF($C308=5,VLOOKUP(D308,HORAS!$B$4:$G$42,6,FALSE),IF(AND($C308=4,$CV308&gt;=(42/24)),VLOOKUP(D308,HORAS!$B$4:$G$42,6,FALSE),IF(COUNTIF($H308:$CL308,"F")&gt;0,0,IF(CV308&gt;$DJ$1,$DJ$1*(VLOOKUP(D308,HORAS!$B$4:$G$42,6,FALSE)/$DJ$1),CV308*(VLOOKUP(D308,HORAS!$B$4:$G$42,6,FALSE)/$DJ$1))))))</f>
        <v>#N/A</v>
      </c>
      <c r="DP308" s="156"/>
      <c r="DQ308" s="148"/>
      <c r="DR308" s="148"/>
      <c r="DS308" s="83" t="e">
        <f t="shared" si="162"/>
        <v>#N/A</v>
      </c>
      <c r="DT308" s="84"/>
      <c r="DU308" s="149" t="e">
        <f t="shared" si="163"/>
        <v>#N/A</v>
      </c>
      <c r="DV308" s="149" t="e">
        <f t="shared" si="164"/>
        <v>#N/A</v>
      </c>
      <c r="DW308" s="144" t="e">
        <f t="shared" si="165"/>
        <v>#N/A</v>
      </c>
      <c r="DX308"/>
      <c r="DY308" s="29"/>
      <c r="DZ308" s="150"/>
      <c r="EA308" s="134"/>
      <c r="EB308" s="137">
        <f t="shared" si="166"/>
        <v>0</v>
      </c>
      <c r="EC308" s="138">
        <f t="shared" si="160"/>
        <v>0</v>
      </c>
      <c r="ED308" s="137">
        <f t="shared" si="167"/>
        <v>0</v>
      </c>
      <c r="EE308" s="132">
        <f t="shared" si="161"/>
        <v>0</v>
      </c>
      <c r="EF308" s="29"/>
      <c r="EG308" s="134"/>
      <c r="EH308" s="134"/>
      <c r="EI308" s="134"/>
      <c r="EK308" s="29"/>
    </row>
    <row r="309" spans="1:141" ht="15" customHeight="1" x14ac:dyDescent="0.25">
      <c r="A309" s="87"/>
      <c r="B309" s="5"/>
      <c r="C309" s="72"/>
      <c r="D309" s="73"/>
      <c r="E309" s="73"/>
      <c r="F309" s="141"/>
      <c r="G309" s="74"/>
      <c r="H309" s="75"/>
      <c r="I309" s="76"/>
      <c r="J309" s="135"/>
      <c r="K309" s="135"/>
      <c r="L309" s="77">
        <f t="shared" si="138"/>
        <v>0</v>
      </c>
      <c r="M309" s="78"/>
      <c r="N309" s="142"/>
      <c r="O309" s="142"/>
      <c r="P309" s="77">
        <f t="shared" si="139"/>
        <v>0</v>
      </c>
      <c r="Q309" s="78"/>
      <c r="R309" s="143"/>
      <c r="S309" s="143"/>
      <c r="T309" s="77">
        <f t="shared" si="140"/>
        <v>0</v>
      </c>
      <c r="U309" s="75"/>
      <c r="V309" s="76"/>
      <c r="W309" s="135"/>
      <c r="X309" s="135"/>
      <c r="Y309" s="77">
        <f t="shared" si="141"/>
        <v>0</v>
      </c>
      <c r="Z309" s="78"/>
      <c r="AA309" s="142"/>
      <c r="AB309" s="142"/>
      <c r="AC309" s="77">
        <f t="shared" si="142"/>
        <v>0</v>
      </c>
      <c r="AD309" s="78"/>
      <c r="AE309" s="143"/>
      <c r="AF309" s="143"/>
      <c r="AG309" s="79">
        <f t="shared" si="143"/>
        <v>0</v>
      </c>
      <c r="AH309" s="75"/>
      <c r="AI309" s="76"/>
      <c r="AJ309" s="135"/>
      <c r="AK309" s="135"/>
      <c r="AL309" s="77">
        <f t="shared" si="144"/>
        <v>0</v>
      </c>
      <c r="AM309" s="76"/>
      <c r="AN309" s="142"/>
      <c r="AO309" s="142"/>
      <c r="AP309" s="77">
        <f t="shared" si="145"/>
        <v>0</v>
      </c>
      <c r="AQ309" s="78"/>
      <c r="AR309" s="142"/>
      <c r="AS309" s="142"/>
      <c r="AT309" s="79">
        <f t="shared" si="146"/>
        <v>0</v>
      </c>
      <c r="AU309" s="75"/>
      <c r="AV309" s="76"/>
      <c r="AW309" s="135"/>
      <c r="AX309" s="135"/>
      <c r="AY309" s="77">
        <f t="shared" si="147"/>
        <v>0</v>
      </c>
      <c r="AZ309" s="76"/>
      <c r="BA309" s="142"/>
      <c r="BB309" s="142"/>
      <c r="BC309" s="77">
        <f t="shared" si="148"/>
        <v>0</v>
      </c>
      <c r="BD309" s="78"/>
      <c r="BE309" s="142"/>
      <c r="BF309" s="142"/>
      <c r="BG309" s="79">
        <f t="shared" si="149"/>
        <v>0</v>
      </c>
      <c r="BH309" s="75"/>
      <c r="BI309" s="76"/>
      <c r="BJ309" s="135"/>
      <c r="BK309" s="135"/>
      <c r="BL309" s="77">
        <f t="shared" si="150"/>
        <v>0</v>
      </c>
      <c r="BM309" s="78"/>
      <c r="BN309" s="142"/>
      <c r="BO309" s="142"/>
      <c r="BP309" s="77">
        <f t="shared" si="151"/>
        <v>0</v>
      </c>
      <c r="BQ309" s="78"/>
      <c r="BR309" s="142"/>
      <c r="BS309" s="142"/>
      <c r="BT309" s="79">
        <f t="shared" si="152"/>
        <v>0</v>
      </c>
      <c r="BU309" s="75"/>
      <c r="BV309" s="76"/>
      <c r="BW309" s="135"/>
      <c r="BX309" s="135"/>
      <c r="BY309" s="77">
        <f t="shared" si="153"/>
        <v>0</v>
      </c>
      <c r="BZ309" s="78"/>
      <c r="CA309" s="142"/>
      <c r="CB309" s="142"/>
      <c r="CC309" s="77">
        <f t="shared" si="154"/>
        <v>0</v>
      </c>
      <c r="CD309" s="78"/>
      <c r="CE309" s="142"/>
      <c r="CF309" s="142"/>
      <c r="CG309" s="79">
        <f t="shared" si="155"/>
        <v>0</v>
      </c>
      <c r="CH309" s="75"/>
      <c r="CI309" s="76"/>
      <c r="CJ309" s="86"/>
      <c r="CK309" s="86"/>
      <c r="CL309" s="77">
        <f t="shared" si="156"/>
        <v>0</v>
      </c>
      <c r="CM309" s="78"/>
      <c r="CN309" s="85"/>
      <c r="CO309" s="85"/>
      <c r="CP309" s="77">
        <f t="shared" si="157"/>
        <v>0</v>
      </c>
      <c r="CQ309" s="78"/>
      <c r="CR309" s="85"/>
      <c r="CS309" s="85"/>
      <c r="CT309" s="79">
        <f t="shared" si="158"/>
        <v>0</v>
      </c>
      <c r="CU309" s="80">
        <f t="shared" si="168"/>
        <v>0</v>
      </c>
      <c r="CV309" s="81">
        <f t="shared" si="169"/>
        <v>0</v>
      </c>
      <c r="CW309" s="144"/>
      <c r="CX309" s="145">
        <f>IF(ISERROR(VLOOKUP($A309,FIJOS!$B$11:$O$590,14,FALSE)),0,VLOOKUP($A309,FIJOS!$B$11:$O$590,14,FALSE))</f>
        <v>0</v>
      </c>
      <c r="CY309" s="145">
        <f>IF(ISERROR(VLOOKUP(A309,FIJOS!$B$10:$P$590,15,FALSE)),0,VLOOKUP(A309,FIJOS!$B$10:$P$590,15,FALSE))</f>
        <v>0</v>
      </c>
      <c r="CZ309" s="155"/>
      <c r="DA309" s="147"/>
      <c r="DB309" s="147"/>
      <c r="DC309" s="147"/>
      <c r="DD309" s="147"/>
      <c r="DE309" s="147"/>
      <c r="DF309" s="145">
        <f>IF(ISERROR(VLOOKUP($A309,FIJOS!$B$11:$N$590,13,FALSE)),0,VLOOKUP($A309,FIJOS!$B$11:$N$590,13,FALSE))</f>
        <v>0</v>
      </c>
      <c r="DG309" s="145">
        <f>IF(ISERROR(VLOOKUP($A309,FIJOS!$B$11:$P$447,12,FALSE)),0,VLOOKUP($A309,FIJOS!$B$11:$P$447,12,FALSE))</f>
        <v>0</v>
      </c>
      <c r="DH309" s="82">
        <f t="shared" si="159"/>
        <v>0</v>
      </c>
      <c r="DI309" s="83" t="b">
        <f>IF($C309=1,(VLOOKUP($A309,FIJOS!$B$11:$P$545,10,FALSE)/7)*(7-$CU309),IF(AND($C309=2,CV309&lt;$DJ$1),(VLOOKUP($D309,HORAS!$B$4:$C$42,2,FALSE)*24)*$CV309,IF(AND($C309=2,CV309&gt;=$DJ$1),VLOOKUP($D309,HORAS!$B$4:$D$42,3,FALSE),IF(AND($C309=3,$CV309&gt;=$DJ$1),VLOOKUP($A309,FIJOS!$B$11:$P$545,10,FALSE),IF(AND($C309=3,$CV309&lt;$DJ$1),((VLOOKUP($A309,FIJOS!$B$11:$P$545,10,FALSE)/48)*24)*$CV309,IF(AND($C309=4,$CV309&gt;=(42/24)),VLOOKUP($D309,HORAS!$B$4:$D$42,3,FALSE),IF(AND($C309=5,$CV309&gt;=(36/24)),VLOOKUP($D309,HORAS!$B$4:$D$42,3,FALSE))))))))</f>
        <v>0</v>
      </c>
      <c r="DJ309" s="145">
        <f>IF(OR($C309=2),VLOOKUP($D309,HORAS!$B$4:$E$42,4,FALSE)*$EC309,IF(ISERROR(VLOOKUP($A309,FIJOS!$B$11:$P$108,9,FALSE)),0,VLOOKUP($A309,FIJOS!$B$11:$P$231,9,FALSE)*$EC309))</f>
        <v>0</v>
      </c>
      <c r="DK309" s="145">
        <f>IF(OR($C309=2),VLOOKUP($D309,HORAS!$B$4:$F$42,5,FALSE)*$EE309,IF(ISERROR(VLOOKUP($A309,FIJOS!$B$11:$P$108,9,FALSE)),0,VLOOKUP($A309,FIJOS!$B$11:$P$231,9,FALSE)*$EE309))</f>
        <v>0</v>
      </c>
      <c r="DL309" s="144"/>
      <c r="DM309" s="145">
        <f>IF(ISERROR(VLOOKUP($A309,FIJOS!$B$11:$L$646,11,FALSE)),0,VLOOKUP($A309,FIJOS!$B$11:$L$646,11,FALSE))</f>
        <v>0</v>
      </c>
      <c r="DN309" s="148" t="e">
        <f>IF(OR($C309=1,$C309=3),0,IF((VLOOKUP(CAPTURA!D309,HORAS!$B$4:$K$42,10,FALSE)/4)*COUNTIF($H309:$CT309,3)&gt;100,100,(VLOOKUP(CAPTURA!D309,HORAS!$B$4:$K$42,10,FALSE)/4)*COUNTIF($H309:$CT309,3)))</f>
        <v>#N/A</v>
      </c>
      <c r="DO309" s="144" t="e">
        <f>IF(OR($C309=1,$C309=3),0,IF($C309=5,VLOOKUP(D309,HORAS!$B$4:$G$42,6,FALSE),IF(AND($C309=4,$CV309&gt;=(42/24)),VLOOKUP(D309,HORAS!$B$4:$G$42,6,FALSE),IF(COUNTIF($H309:$CL309,"F")&gt;0,0,IF(CV309&gt;$DJ$1,$DJ$1*(VLOOKUP(D309,HORAS!$B$4:$G$42,6,FALSE)/$DJ$1),CV309*(VLOOKUP(D309,HORAS!$B$4:$G$42,6,FALSE)/$DJ$1))))))</f>
        <v>#N/A</v>
      </c>
      <c r="DP309" s="156"/>
      <c r="DQ309" s="148"/>
      <c r="DR309" s="148"/>
      <c r="DS309" s="83" t="e">
        <f t="shared" si="162"/>
        <v>#N/A</v>
      </c>
      <c r="DT309" s="84"/>
      <c r="DU309" s="149" t="e">
        <f t="shared" si="163"/>
        <v>#N/A</v>
      </c>
      <c r="DV309" s="149" t="e">
        <f t="shared" si="164"/>
        <v>#N/A</v>
      </c>
      <c r="DW309" s="144" t="e">
        <f t="shared" si="165"/>
        <v>#N/A</v>
      </c>
      <c r="DX309"/>
      <c r="DY309" s="29"/>
      <c r="DZ309" s="150"/>
      <c r="EA309" s="134"/>
      <c r="EB309" s="137">
        <f t="shared" si="166"/>
        <v>0</v>
      </c>
      <c r="EC309" s="138">
        <f t="shared" si="160"/>
        <v>0</v>
      </c>
      <c r="ED309" s="137">
        <f t="shared" si="167"/>
        <v>0</v>
      </c>
      <c r="EE309" s="132">
        <f t="shared" si="161"/>
        <v>0</v>
      </c>
      <c r="EF309" s="29"/>
      <c r="EG309" s="134"/>
      <c r="EH309" s="134"/>
      <c r="EI309" s="134"/>
      <c r="EK309" s="29"/>
    </row>
    <row r="310" spans="1:141" ht="15" customHeight="1" x14ac:dyDescent="0.25">
      <c r="A310" s="87"/>
      <c r="B310" s="5"/>
      <c r="C310" s="72"/>
      <c r="D310" s="73"/>
      <c r="E310" s="73"/>
      <c r="F310" s="141"/>
      <c r="G310" s="74"/>
      <c r="H310" s="75"/>
      <c r="I310" s="76"/>
      <c r="J310" s="135"/>
      <c r="K310" s="135"/>
      <c r="L310" s="77">
        <f t="shared" si="138"/>
        <v>0</v>
      </c>
      <c r="M310" s="78"/>
      <c r="N310" s="142"/>
      <c r="O310" s="142"/>
      <c r="P310" s="77">
        <f t="shared" si="139"/>
        <v>0</v>
      </c>
      <c r="Q310" s="78"/>
      <c r="R310" s="143"/>
      <c r="S310" s="143"/>
      <c r="T310" s="77">
        <f t="shared" si="140"/>
        <v>0</v>
      </c>
      <c r="U310" s="75"/>
      <c r="V310" s="76"/>
      <c r="W310" s="135"/>
      <c r="X310" s="135"/>
      <c r="Y310" s="77">
        <f t="shared" si="141"/>
        <v>0</v>
      </c>
      <c r="Z310" s="78"/>
      <c r="AA310" s="142"/>
      <c r="AB310" s="142"/>
      <c r="AC310" s="77">
        <f t="shared" si="142"/>
        <v>0</v>
      </c>
      <c r="AD310" s="78"/>
      <c r="AE310" s="143"/>
      <c r="AF310" s="143"/>
      <c r="AG310" s="79">
        <f t="shared" si="143"/>
        <v>0</v>
      </c>
      <c r="AH310" s="75"/>
      <c r="AI310" s="76"/>
      <c r="AJ310" s="135"/>
      <c r="AK310" s="135"/>
      <c r="AL310" s="77">
        <f t="shared" si="144"/>
        <v>0</v>
      </c>
      <c r="AM310" s="76"/>
      <c r="AN310" s="142"/>
      <c r="AO310" s="142"/>
      <c r="AP310" s="77">
        <f t="shared" si="145"/>
        <v>0</v>
      </c>
      <c r="AQ310" s="78"/>
      <c r="AR310" s="142"/>
      <c r="AS310" s="142"/>
      <c r="AT310" s="79">
        <f t="shared" si="146"/>
        <v>0</v>
      </c>
      <c r="AU310" s="75"/>
      <c r="AV310" s="76"/>
      <c r="AW310" s="135"/>
      <c r="AX310" s="135"/>
      <c r="AY310" s="77">
        <f t="shared" si="147"/>
        <v>0</v>
      </c>
      <c r="AZ310" s="76"/>
      <c r="BA310" s="142"/>
      <c r="BB310" s="142"/>
      <c r="BC310" s="77">
        <f t="shared" si="148"/>
        <v>0</v>
      </c>
      <c r="BD310" s="78"/>
      <c r="BE310" s="142"/>
      <c r="BF310" s="142"/>
      <c r="BG310" s="79">
        <f t="shared" si="149"/>
        <v>0</v>
      </c>
      <c r="BH310" s="75"/>
      <c r="BI310" s="76"/>
      <c r="BJ310" s="135"/>
      <c r="BK310" s="135"/>
      <c r="BL310" s="77">
        <f t="shared" si="150"/>
        <v>0</v>
      </c>
      <c r="BM310" s="78"/>
      <c r="BN310" s="142"/>
      <c r="BO310" s="142"/>
      <c r="BP310" s="77">
        <f t="shared" si="151"/>
        <v>0</v>
      </c>
      <c r="BQ310" s="78"/>
      <c r="BR310" s="142"/>
      <c r="BS310" s="142"/>
      <c r="BT310" s="79">
        <f t="shared" si="152"/>
        <v>0</v>
      </c>
      <c r="BU310" s="75"/>
      <c r="BV310" s="76"/>
      <c r="BW310" s="135"/>
      <c r="BX310" s="135"/>
      <c r="BY310" s="77">
        <f t="shared" si="153"/>
        <v>0</v>
      </c>
      <c r="BZ310" s="78"/>
      <c r="CA310" s="142"/>
      <c r="CB310" s="142"/>
      <c r="CC310" s="77">
        <f t="shared" si="154"/>
        <v>0</v>
      </c>
      <c r="CD310" s="78"/>
      <c r="CE310" s="142"/>
      <c r="CF310" s="142"/>
      <c r="CG310" s="79">
        <f t="shared" si="155"/>
        <v>0</v>
      </c>
      <c r="CH310" s="75"/>
      <c r="CI310" s="76"/>
      <c r="CJ310" s="86"/>
      <c r="CK310" s="86"/>
      <c r="CL310" s="77">
        <f t="shared" si="156"/>
        <v>0</v>
      </c>
      <c r="CM310" s="78"/>
      <c r="CN310" s="85"/>
      <c r="CO310" s="85"/>
      <c r="CP310" s="77">
        <f t="shared" si="157"/>
        <v>0</v>
      </c>
      <c r="CQ310" s="78"/>
      <c r="CR310" s="85"/>
      <c r="CS310" s="85"/>
      <c r="CT310" s="79">
        <f t="shared" si="158"/>
        <v>0</v>
      </c>
      <c r="CU310" s="80">
        <f t="shared" si="168"/>
        <v>0</v>
      </c>
      <c r="CV310" s="81">
        <f t="shared" si="169"/>
        <v>0</v>
      </c>
      <c r="CW310" s="144"/>
      <c r="CX310" s="145">
        <f>IF(ISERROR(VLOOKUP($A310,FIJOS!$B$11:$O$590,14,FALSE)),0,VLOOKUP($A310,FIJOS!$B$11:$O$590,14,FALSE))</f>
        <v>0</v>
      </c>
      <c r="CY310" s="145">
        <f>IF(ISERROR(VLOOKUP(A310,FIJOS!$B$10:$P$590,15,FALSE)),0,VLOOKUP(A310,FIJOS!$B$10:$P$590,15,FALSE))</f>
        <v>0</v>
      </c>
      <c r="CZ310" s="155"/>
      <c r="DA310" s="147"/>
      <c r="DB310" s="147"/>
      <c r="DC310" s="147"/>
      <c r="DD310" s="147"/>
      <c r="DE310" s="147"/>
      <c r="DF310" s="145">
        <f>IF(ISERROR(VLOOKUP($A310,FIJOS!$B$11:$N$590,13,FALSE)),0,VLOOKUP($A310,FIJOS!$B$11:$N$590,13,FALSE))</f>
        <v>0</v>
      </c>
      <c r="DG310" s="145">
        <f>IF(ISERROR(VLOOKUP($A310,FIJOS!$B$11:$P$447,12,FALSE)),0,VLOOKUP($A310,FIJOS!$B$11:$P$447,12,FALSE))</f>
        <v>0</v>
      </c>
      <c r="DH310" s="82">
        <f t="shared" si="159"/>
        <v>0</v>
      </c>
      <c r="DI310" s="83" t="b">
        <f>IF($C310=1,(VLOOKUP($A310,FIJOS!$B$11:$P$545,10,FALSE)/7)*(7-$CU310),IF(AND($C310=2,CV310&lt;$DJ$1),(VLOOKUP($D310,HORAS!$B$4:$C$42,2,FALSE)*24)*$CV310,IF(AND($C310=2,CV310&gt;=$DJ$1),VLOOKUP($D310,HORAS!$B$4:$D$42,3,FALSE),IF(AND($C310=3,$CV310&gt;=$DJ$1),VLOOKUP($A310,FIJOS!$B$11:$P$545,10,FALSE),IF(AND($C310=3,$CV310&lt;$DJ$1),((VLOOKUP($A310,FIJOS!$B$11:$P$545,10,FALSE)/48)*24)*$CV310,IF(AND($C310=4,$CV310&gt;=(42/24)),VLOOKUP($D310,HORAS!$B$4:$D$42,3,FALSE),IF(AND($C310=5,$CV310&gt;=(36/24)),VLOOKUP($D310,HORAS!$B$4:$D$42,3,FALSE))))))))</f>
        <v>0</v>
      </c>
      <c r="DJ310" s="145">
        <f>IF(OR($C310=2),VLOOKUP($D310,HORAS!$B$4:$E$42,4,FALSE)*$EC310,IF(ISERROR(VLOOKUP($A310,FIJOS!$B$11:$P$108,9,FALSE)),0,VLOOKUP($A310,FIJOS!$B$11:$P$231,9,FALSE)*$EC310))</f>
        <v>0</v>
      </c>
      <c r="DK310" s="145">
        <f>IF(OR($C310=2),VLOOKUP($D310,HORAS!$B$4:$F$42,5,FALSE)*$EE310,IF(ISERROR(VLOOKUP($A310,FIJOS!$B$11:$P$108,9,FALSE)),0,VLOOKUP($A310,FIJOS!$B$11:$P$231,9,FALSE)*$EE310))</f>
        <v>0</v>
      </c>
      <c r="DL310" s="144"/>
      <c r="DM310" s="145">
        <f>IF(ISERROR(VLOOKUP($A310,FIJOS!$B$11:$L$646,11,FALSE)),0,VLOOKUP($A310,FIJOS!$B$11:$L$646,11,FALSE))</f>
        <v>0</v>
      </c>
      <c r="DN310" s="148" t="e">
        <f>IF(OR($C310=1,$C310=3),0,IF((VLOOKUP(CAPTURA!D310,HORAS!$B$4:$K$42,10,FALSE)/4)*COUNTIF($H310:$CT310,3)&gt;100,100,(VLOOKUP(CAPTURA!D310,HORAS!$B$4:$K$42,10,FALSE)/4)*COUNTIF($H310:$CT310,3)))</f>
        <v>#N/A</v>
      </c>
      <c r="DO310" s="144" t="e">
        <f>IF(OR($C310=1,$C310=3),0,IF($C310=5,VLOOKUP(D310,HORAS!$B$4:$G$42,6,FALSE),IF(AND($C310=4,$CV310&gt;=(42/24)),VLOOKUP(D310,HORAS!$B$4:$G$42,6,FALSE),IF(COUNTIF($H310:$CL310,"F")&gt;0,0,IF(CV310&gt;$DJ$1,$DJ$1*(VLOOKUP(D310,HORAS!$B$4:$G$42,6,FALSE)/$DJ$1),CV310*(VLOOKUP(D310,HORAS!$B$4:$G$42,6,FALSE)/$DJ$1))))))</f>
        <v>#N/A</v>
      </c>
      <c r="DP310" s="156"/>
      <c r="DQ310" s="148"/>
      <c r="DR310" s="148"/>
      <c r="DS310" s="83" t="e">
        <f t="shared" si="162"/>
        <v>#N/A</v>
      </c>
      <c r="DT310" s="84"/>
      <c r="DU310" s="149" t="e">
        <f t="shared" si="163"/>
        <v>#N/A</v>
      </c>
      <c r="DV310" s="149" t="e">
        <f t="shared" si="164"/>
        <v>#N/A</v>
      </c>
      <c r="DW310" s="144" t="e">
        <f t="shared" si="165"/>
        <v>#N/A</v>
      </c>
      <c r="DX310"/>
      <c r="DY310" s="29"/>
      <c r="DZ310" s="150"/>
      <c r="EA310" s="134"/>
      <c r="EB310" s="137">
        <f t="shared" si="166"/>
        <v>0</v>
      </c>
      <c r="EC310" s="138">
        <f t="shared" si="160"/>
        <v>0</v>
      </c>
      <c r="ED310" s="137">
        <f t="shared" si="167"/>
        <v>0</v>
      </c>
      <c r="EE310" s="132">
        <f t="shared" si="161"/>
        <v>0</v>
      </c>
      <c r="EF310" s="29"/>
      <c r="EG310" s="134"/>
      <c r="EH310" s="134"/>
      <c r="EI310" s="134"/>
      <c r="EK310" s="29"/>
    </row>
    <row r="311" spans="1:141" ht="15" customHeight="1" x14ac:dyDescent="0.25">
      <c r="A311" s="87"/>
      <c r="B311" s="5"/>
      <c r="C311" s="72"/>
      <c r="D311" s="73"/>
      <c r="E311" s="73"/>
      <c r="F311" s="141"/>
      <c r="G311" s="74"/>
      <c r="H311" s="75"/>
      <c r="I311" s="76"/>
      <c r="J311" s="135"/>
      <c r="K311" s="135"/>
      <c r="L311" s="77">
        <f t="shared" si="138"/>
        <v>0</v>
      </c>
      <c r="M311" s="78"/>
      <c r="N311" s="142"/>
      <c r="O311" s="142"/>
      <c r="P311" s="77">
        <f t="shared" si="139"/>
        <v>0</v>
      </c>
      <c r="Q311" s="78"/>
      <c r="R311" s="143"/>
      <c r="S311" s="143"/>
      <c r="T311" s="77">
        <f t="shared" si="140"/>
        <v>0</v>
      </c>
      <c r="U311" s="75"/>
      <c r="V311" s="76"/>
      <c r="W311" s="135"/>
      <c r="X311" s="135"/>
      <c r="Y311" s="77">
        <f t="shared" si="141"/>
        <v>0</v>
      </c>
      <c r="Z311" s="78"/>
      <c r="AA311" s="142"/>
      <c r="AB311" s="142"/>
      <c r="AC311" s="77">
        <f t="shared" si="142"/>
        <v>0</v>
      </c>
      <c r="AD311" s="78"/>
      <c r="AE311" s="143"/>
      <c r="AF311" s="143"/>
      <c r="AG311" s="79">
        <f t="shared" si="143"/>
        <v>0</v>
      </c>
      <c r="AH311" s="75"/>
      <c r="AI311" s="76"/>
      <c r="AJ311" s="135"/>
      <c r="AK311" s="135"/>
      <c r="AL311" s="77">
        <f t="shared" si="144"/>
        <v>0</v>
      </c>
      <c r="AM311" s="76"/>
      <c r="AN311" s="142"/>
      <c r="AO311" s="142"/>
      <c r="AP311" s="77">
        <f t="shared" si="145"/>
        <v>0</v>
      </c>
      <c r="AQ311" s="78"/>
      <c r="AR311" s="142"/>
      <c r="AS311" s="142"/>
      <c r="AT311" s="79">
        <f t="shared" si="146"/>
        <v>0</v>
      </c>
      <c r="AU311" s="75"/>
      <c r="AV311" s="76"/>
      <c r="AW311" s="135"/>
      <c r="AX311" s="135"/>
      <c r="AY311" s="77">
        <f t="shared" si="147"/>
        <v>0</v>
      </c>
      <c r="AZ311" s="76"/>
      <c r="BA311" s="142"/>
      <c r="BB311" s="142"/>
      <c r="BC311" s="77">
        <f t="shared" si="148"/>
        <v>0</v>
      </c>
      <c r="BD311" s="78"/>
      <c r="BE311" s="142"/>
      <c r="BF311" s="142"/>
      <c r="BG311" s="79">
        <f t="shared" si="149"/>
        <v>0</v>
      </c>
      <c r="BH311" s="75"/>
      <c r="BI311" s="76"/>
      <c r="BJ311" s="135"/>
      <c r="BK311" s="135"/>
      <c r="BL311" s="77">
        <f t="shared" si="150"/>
        <v>0</v>
      </c>
      <c r="BM311" s="78"/>
      <c r="BN311" s="142"/>
      <c r="BO311" s="142"/>
      <c r="BP311" s="77">
        <f t="shared" si="151"/>
        <v>0</v>
      </c>
      <c r="BQ311" s="78"/>
      <c r="BR311" s="142"/>
      <c r="BS311" s="142"/>
      <c r="BT311" s="79">
        <f t="shared" si="152"/>
        <v>0</v>
      </c>
      <c r="BU311" s="75"/>
      <c r="BV311" s="76"/>
      <c r="BW311" s="135"/>
      <c r="BX311" s="135"/>
      <c r="BY311" s="77">
        <f t="shared" si="153"/>
        <v>0</v>
      </c>
      <c r="BZ311" s="78"/>
      <c r="CA311" s="142"/>
      <c r="CB311" s="142"/>
      <c r="CC311" s="77">
        <f t="shared" si="154"/>
        <v>0</v>
      </c>
      <c r="CD311" s="78"/>
      <c r="CE311" s="142"/>
      <c r="CF311" s="142"/>
      <c r="CG311" s="79">
        <f t="shared" si="155"/>
        <v>0</v>
      </c>
      <c r="CH311" s="75"/>
      <c r="CI311" s="76"/>
      <c r="CJ311" s="86"/>
      <c r="CK311" s="86"/>
      <c r="CL311" s="77">
        <f t="shared" si="156"/>
        <v>0</v>
      </c>
      <c r="CM311" s="78"/>
      <c r="CN311" s="85"/>
      <c r="CO311" s="85"/>
      <c r="CP311" s="77">
        <f t="shared" si="157"/>
        <v>0</v>
      </c>
      <c r="CQ311" s="78"/>
      <c r="CR311" s="85"/>
      <c r="CS311" s="85"/>
      <c r="CT311" s="79">
        <f t="shared" si="158"/>
        <v>0</v>
      </c>
      <c r="CU311" s="80">
        <f t="shared" si="168"/>
        <v>0</v>
      </c>
      <c r="CV311" s="81">
        <f t="shared" si="169"/>
        <v>0</v>
      </c>
      <c r="CW311" s="144"/>
      <c r="CX311" s="145">
        <f>IF(ISERROR(VLOOKUP($A311,FIJOS!$B$11:$O$590,14,FALSE)),0,VLOOKUP($A311,FIJOS!$B$11:$O$590,14,FALSE))</f>
        <v>0</v>
      </c>
      <c r="CY311" s="145">
        <f>IF(ISERROR(VLOOKUP(A311,FIJOS!$B$10:$P$590,15,FALSE)),0,VLOOKUP(A311,FIJOS!$B$10:$P$590,15,FALSE))</f>
        <v>0</v>
      </c>
      <c r="CZ311" s="155"/>
      <c r="DA311" s="147"/>
      <c r="DB311" s="147"/>
      <c r="DC311" s="147"/>
      <c r="DD311" s="147"/>
      <c r="DE311" s="147"/>
      <c r="DF311" s="145">
        <f>IF(ISERROR(VLOOKUP($A311,FIJOS!$B$11:$N$590,13,FALSE)),0,VLOOKUP($A311,FIJOS!$B$11:$N$590,13,FALSE))</f>
        <v>0</v>
      </c>
      <c r="DG311" s="145">
        <f>IF(ISERROR(VLOOKUP($A311,FIJOS!$B$11:$P$447,12,FALSE)),0,VLOOKUP($A311,FIJOS!$B$11:$P$447,12,FALSE))</f>
        <v>0</v>
      </c>
      <c r="DH311" s="82">
        <f t="shared" si="159"/>
        <v>0</v>
      </c>
      <c r="DI311" s="83" t="b">
        <f>IF($C311=1,(VLOOKUP($A311,FIJOS!$B$11:$P$545,10,FALSE)/7)*(7-$CU311),IF(AND($C311=2,CV311&lt;$DJ$1),(VLOOKUP($D311,HORAS!$B$4:$C$42,2,FALSE)*24)*$CV311,IF(AND($C311=2,CV311&gt;=$DJ$1),VLOOKUP($D311,HORAS!$B$4:$D$42,3,FALSE),IF(AND($C311=3,$CV311&gt;=$DJ$1),VLOOKUP($A311,FIJOS!$B$11:$P$545,10,FALSE),IF(AND($C311=3,$CV311&lt;$DJ$1),((VLOOKUP($A311,FIJOS!$B$11:$P$545,10,FALSE)/48)*24)*$CV311,IF(AND($C311=4,$CV311&gt;=(42/24)),VLOOKUP($D311,HORAS!$B$4:$D$42,3,FALSE),IF(AND($C311=5,$CV311&gt;=(36/24)),VLOOKUP($D311,HORAS!$B$4:$D$42,3,FALSE))))))))</f>
        <v>0</v>
      </c>
      <c r="DJ311" s="145">
        <f>IF(OR($C311=2),VLOOKUP($D311,HORAS!$B$4:$E$42,4,FALSE)*$EC311,IF(ISERROR(VLOOKUP($A311,FIJOS!$B$11:$P$108,9,FALSE)),0,VLOOKUP($A311,FIJOS!$B$11:$P$231,9,FALSE)*$EC311))</f>
        <v>0</v>
      </c>
      <c r="DK311" s="145">
        <f>IF(OR($C311=2),VLOOKUP($D311,HORAS!$B$4:$F$42,5,FALSE)*$EE311,IF(ISERROR(VLOOKUP($A311,FIJOS!$B$11:$P$108,9,FALSE)),0,VLOOKUP($A311,FIJOS!$B$11:$P$231,9,FALSE)*$EE311))</f>
        <v>0</v>
      </c>
      <c r="DL311" s="144"/>
      <c r="DM311" s="145">
        <f>IF(ISERROR(VLOOKUP($A311,FIJOS!$B$11:$L$646,11,FALSE)),0,VLOOKUP($A311,FIJOS!$B$11:$L$646,11,FALSE))</f>
        <v>0</v>
      </c>
      <c r="DN311" s="148" t="e">
        <f>IF(OR($C311=1,$C311=3),0,IF((VLOOKUP(CAPTURA!D311,HORAS!$B$4:$K$42,10,FALSE)/4)*COUNTIF($H311:$CT311,3)&gt;100,100,(VLOOKUP(CAPTURA!D311,HORAS!$B$4:$K$42,10,FALSE)/4)*COUNTIF($H311:$CT311,3)))</f>
        <v>#N/A</v>
      </c>
      <c r="DO311" s="144" t="e">
        <f>IF(OR($C311=1,$C311=3),0,IF($C311=5,VLOOKUP(D311,HORAS!$B$4:$G$42,6,FALSE),IF(AND($C311=4,$CV311&gt;=(42/24)),VLOOKUP(D311,HORAS!$B$4:$G$42,6,FALSE),IF(COUNTIF($H311:$CL311,"F")&gt;0,0,IF(CV311&gt;$DJ$1,$DJ$1*(VLOOKUP(D311,HORAS!$B$4:$G$42,6,FALSE)/$DJ$1),CV311*(VLOOKUP(D311,HORAS!$B$4:$G$42,6,FALSE)/$DJ$1))))))</f>
        <v>#N/A</v>
      </c>
      <c r="DP311" s="156"/>
      <c r="DQ311" s="148"/>
      <c r="DR311" s="148"/>
      <c r="DS311" s="83" t="e">
        <f t="shared" si="162"/>
        <v>#N/A</v>
      </c>
      <c r="DT311" s="84"/>
      <c r="DU311" s="149" t="e">
        <f t="shared" si="163"/>
        <v>#N/A</v>
      </c>
      <c r="DV311" s="149" t="e">
        <f t="shared" si="164"/>
        <v>#N/A</v>
      </c>
      <c r="DW311" s="144" t="e">
        <f t="shared" si="165"/>
        <v>#N/A</v>
      </c>
      <c r="DX311"/>
      <c r="DY311" s="29"/>
      <c r="DZ311" s="150"/>
      <c r="EA311" s="134"/>
      <c r="EB311" s="137">
        <f t="shared" si="166"/>
        <v>0</v>
      </c>
      <c r="EC311" s="138">
        <f t="shared" si="160"/>
        <v>0</v>
      </c>
      <c r="ED311" s="137">
        <f t="shared" si="167"/>
        <v>0</v>
      </c>
      <c r="EE311" s="132">
        <f t="shared" si="161"/>
        <v>0</v>
      </c>
      <c r="EF311" s="29"/>
      <c r="EG311" s="134"/>
      <c r="EH311" s="134"/>
      <c r="EI311" s="134"/>
      <c r="EK311" s="29"/>
    </row>
    <row r="312" spans="1:141" ht="15" customHeight="1" x14ac:dyDescent="0.25">
      <c r="A312" s="87"/>
      <c r="B312" s="5"/>
      <c r="C312" s="72"/>
      <c r="D312" s="73"/>
      <c r="E312" s="73"/>
      <c r="F312" s="141"/>
      <c r="G312" s="74"/>
      <c r="H312" s="75"/>
      <c r="I312" s="76"/>
      <c r="J312" s="135"/>
      <c r="K312" s="135"/>
      <c r="L312" s="77">
        <f t="shared" si="138"/>
        <v>0</v>
      </c>
      <c r="M312" s="78"/>
      <c r="N312" s="142"/>
      <c r="O312" s="142"/>
      <c r="P312" s="77">
        <f t="shared" si="139"/>
        <v>0</v>
      </c>
      <c r="Q312" s="78"/>
      <c r="R312" s="143"/>
      <c r="S312" s="143"/>
      <c r="T312" s="77">
        <f t="shared" si="140"/>
        <v>0</v>
      </c>
      <c r="U312" s="75"/>
      <c r="V312" s="76"/>
      <c r="W312" s="135"/>
      <c r="X312" s="135"/>
      <c r="Y312" s="77">
        <f t="shared" si="141"/>
        <v>0</v>
      </c>
      <c r="Z312" s="78"/>
      <c r="AA312" s="142"/>
      <c r="AB312" s="142"/>
      <c r="AC312" s="77">
        <f t="shared" si="142"/>
        <v>0</v>
      </c>
      <c r="AD312" s="78"/>
      <c r="AE312" s="143"/>
      <c r="AF312" s="143"/>
      <c r="AG312" s="79">
        <f t="shared" si="143"/>
        <v>0</v>
      </c>
      <c r="AH312" s="75"/>
      <c r="AI312" s="76"/>
      <c r="AJ312" s="135"/>
      <c r="AK312" s="135"/>
      <c r="AL312" s="77">
        <f t="shared" si="144"/>
        <v>0</v>
      </c>
      <c r="AM312" s="76"/>
      <c r="AN312" s="142"/>
      <c r="AO312" s="142"/>
      <c r="AP312" s="77">
        <f t="shared" si="145"/>
        <v>0</v>
      </c>
      <c r="AQ312" s="78"/>
      <c r="AR312" s="142"/>
      <c r="AS312" s="142"/>
      <c r="AT312" s="79">
        <f t="shared" si="146"/>
        <v>0</v>
      </c>
      <c r="AU312" s="75"/>
      <c r="AV312" s="76"/>
      <c r="AW312" s="135"/>
      <c r="AX312" s="135"/>
      <c r="AY312" s="77">
        <f t="shared" si="147"/>
        <v>0</v>
      </c>
      <c r="AZ312" s="76"/>
      <c r="BA312" s="142"/>
      <c r="BB312" s="142"/>
      <c r="BC312" s="77">
        <f t="shared" si="148"/>
        <v>0</v>
      </c>
      <c r="BD312" s="78"/>
      <c r="BE312" s="142"/>
      <c r="BF312" s="142"/>
      <c r="BG312" s="79">
        <f t="shared" si="149"/>
        <v>0</v>
      </c>
      <c r="BH312" s="75"/>
      <c r="BI312" s="76"/>
      <c r="BJ312" s="135"/>
      <c r="BK312" s="135"/>
      <c r="BL312" s="77">
        <f t="shared" si="150"/>
        <v>0</v>
      </c>
      <c r="BM312" s="78"/>
      <c r="BN312" s="142"/>
      <c r="BO312" s="142"/>
      <c r="BP312" s="77">
        <f t="shared" si="151"/>
        <v>0</v>
      </c>
      <c r="BQ312" s="78"/>
      <c r="BR312" s="142"/>
      <c r="BS312" s="142"/>
      <c r="BT312" s="79">
        <f t="shared" si="152"/>
        <v>0</v>
      </c>
      <c r="BU312" s="75"/>
      <c r="BV312" s="76"/>
      <c r="BW312" s="135"/>
      <c r="BX312" s="135"/>
      <c r="BY312" s="77">
        <f t="shared" si="153"/>
        <v>0</v>
      </c>
      <c r="BZ312" s="78"/>
      <c r="CA312" s="142"/>
      <c r="CB312" s="142"/>
      <c r="CC312" s="77">
        <f t="shared" si="154"/>
        <v>0</v>
      </c>
      <c r="CD312" s="78"/>
      <c r="CE312" s="142"/>
      <c r="CF312" s="142"/>
      <c r="CG312" s="79">
        <f t="shared" si="155"/>
        <v>0</v>
      </c>
      <c r="CH312" s="75"/>
      <c r="CI312" s="76"/>
      <c r="CJ312" s="86"/>
      <c r="CK312" s="86"/>
      <c r="CL312" s="77">
        <f t="shared" si="156"/>
        <v>0</v>
      </c>
      <c r="CM312" s="78"/>
      <c r="CN312" s="85"/>
      <c r="CO312" s="85"/>
      <c r="CP312" s="77">
        <f t="shared" si="157"/>
        <v>0</v>
      </c>
      <c r="CQ312" s="78"/>
      <c r="CR312" s="85"/>
      <c r="CS312" s="85"/>
      <c r="CT312" s="79">
        <f t="shared" si="158"/>
        <v>0</v>
      </c>
      <c r="CU312" s="80">
        <f t="shared" si="168"/>
        <v>0</v>
      </c>
      <c r="CV312" s="81">
        <f t="shared" si="169"/>
        <v>0</v>
      </c>
      <c r="CW312" s="144"/>
      <c r="CX312" s="145">
        <f>IF(ISERROR(VLOOKUP($A312,FIJOS!$B$11:$O$590,14,FALSE)),0,VLOOKUP($A312,FIJOS!$B$11:$O$590,14,FALSE))</f>
        <v>0</v>
      </c>
      <c r="CY312" s="145">
        <f>IF(ISERROR(VLOOKUP(A312,FIJOS!$B$10:$P$590,15,FALSE)),0,VLOOKUP(A312,FIJOS!$B$10:$P$590,15,FALSE))</f>
        <v>0</v>
      </c>
      <c r="CZ312" s="155"/>
      <c r="DA312" s="147"/>
      <c r="DB312" s="147"/>
      <c r="DC312" s="147"/>
      <c r="DD312" s="147"/>
      <c r="DE312" s="147"/>
      <c r="DF312" s="145">
        <f>IF(ISERROR(VLOOKUP($A312,FIJOS!$B$11:$N$590,13,FALSE)),0,VLOOKUP($A312,FIJOS!$B$11:$N$590,13,FALSE))</f>
        <v>0</v>
      </c>
      <c r="DG312" s="145">
        <f>IF(ISERROR(VLOOKUP($A312,FIJOS!$B$11:$P$447,12,FALSE)),0,VLOOKUP($A312,FIJOS!$B$11:$P$447,12,FALSE))</f>
        <v>0</v>
      </c>
      <c r="DH312" s="82">
        <f t="shared" si="159"/>
        <v>0</v>
      </c>
      <c r="DI312" s="83" t="b">
        <f>IF($C312=1,(VLOOKUP($A312,FIJOS!$B$11:$P$545,10,FALSE)/7)*(7-$CU312),IF(AND($C312=2,CV312&lt;$DJ$1),(VLOOKUP($D312,HORAS!$B$4:$C$42,2,FALSE)*24)*$CV312,IF(AND($C312=2,CV312&gt;=$DJ$1),VLOOKUP($D312,HORAS!$B$4:$D$42,3,FALSE),IF(AND($C312=3,$CV312&gt;=$DJ$1),VLOOKUP($A312,FIJOS!$B$11:$P$545,10,FALSE),IF(AND($C312=3,$CV312&lt;$DJ$1),((VLOOKUP($A312,FIJOS!$B$11:$P$545,10,FALSE)/48)*24)*$CV312,IF(AND($C312=4,$CV312&gt;=(42/24)),VLOOKUP($D312,HORAS!$B$4:$D$42,3,FALSE),IF(AND($C312=5,$CV312&gt;=(36/24)),VLOOKUP($D312,HORAS!$B$4:$D$42,3,FALSE))))))))</f>
        <v>0</v>
      </c>
      <c r="DJ312" s="145">
        <f>IF(OR($C312=2),VLOOKUP($D312,HORAS!$B$4:$E$42,4,FALSE)*$EC312,IF(ISERROR(VLOOKUP($A312,FIJOS!$B$11:$P$108,9,FALSE)),0,VLOOKUP($A312,FIJOS!$B$11:$P$231,9,FALSE)*$EC312))</f>
        <v>0</v>
      </c>
      <c r="DK312" s="145">
        <f>IF(OR($C312=2),VLOOKUP($D312,HORAS!$B$4:$F$42,5,FALSE)*$EE312,IF(ISERROR(VLOOKUP($A312,FIJOS!$B$11:$P$108,9,FALSE)),0,VLOOKUP($A312,FIJOS!$B$11:$P$231,9,FALSE)*$EE312))</f>
        <v>0</v>
      </c>
      <c r="DL312" s="144"/>
      <c r="DM312" s="145">
        <f>IF(ISERROR(VLOOKUP($A312,FIJOS!$B$11:$L$646,11,FALSE)),0,VLOOKUP($A312,FIJOS!$B$11:$L$646,11,FALSE))</f>
        <v>0</v>
      </c>
      <c r="DN312" s="148" t="e">
        <f>IF(OR($C312=1,$C312=3),0,IF((VLOOKUP(CAPTURA!D312,HORAS!$B$4:$K$42,10,FALSE)/4)*COUNTIF($H312:$CT312,3)&gt;100,100,(VLOOKUP(CAPTURA!D312,HORAS!$B$4:$K$42,10,FALSE)/4)*COUNTIF($H312:$CT312,3)))</f>
        <v>#N/A</v>
      </c>
      <c r="DO312" s="144" t="e">
        <f>IF(OR($C312=1,$C312=3),0,IF($C312=5,VLOOKUP(D312,HORAS!$B$4:$G$42,6,FALSE),IF(AND($C312=4,$CV312&gt;=(42/24)),VLOOKUP(D312,HORAS!$B$4:$G$42,6,FALSE),IF(COUNTIF($H312:$CL312,"F")&gt;0,0,IF(CV312&gt;$DJ$1,$DJ$1*(VLOOKUP(D312,HORAS!$B$4:$G$42,6,FALSE)/$DJ$1),CV312*(VLOOKUP(D312,HORAS!$B$4:$G$42,6,FALSE)/$DJ$1))))))</f>
        <v>#N/A</v>
      </c>
      <c r="DP312" s="156"/>
      <c r="DQ312" s="148"/>
      <c r="DR312" s="148"/>
      <c r="DS312" s="83" t="e">
        <f t="shared" si="162"/>
        <v>#N/A</v>
      </c>
      <c r="DT312" s="84"/>
      <c r="DU312" s="149" t="e">
        <f t="shared" si="163"/>
        <v>#N/A</v>
      </c>
      <c r="DV312" s="149" t="e">
        <f t="shared" si="164"/>
        <v>#N/A</v>
      </c>
      <c r="DW312" s="144" t="e">
        <f t="shared" si="165"/>
        <v>#N/A</v>
      </c>
      <c r="DX312"/>
      <c r="DY312" s="29"/>
      <c r="DZ312" s="150"/>
      <c r="EA312" s="134"/>
      <c r="EB312" s="137">
        <f t="shared" si="166"/>
        <v>0</v>
      </c>
      <c r="EC312" s="138">
        <f t="shared" si="160"/>
        <v>0</v>
      </c>
      <c r="ED312" s="137">
        <f t="shared" si="167"/>
        <v>0</v>
      </c>
      <c r="EE312" s="132">
        <f t="shared" si="161"/>
        <v>0</v>
      </c>
      <c r="EF312" s="29"/>
      <c r="EG312" s="134"/>
      <c r="EH312" s="134"/>
      <c r="EI312" s="134"/>
      <c r="EK312" s="29"/>
    </row>
    <row r="313" spans="1:141" ht="15" customHeight="1" x14ac:dyDescent="0.25">
      <c r="A313" s="87"/>
      <c r="B313" s="5"/>
      <c r="C313" s="72"/>
      <c r="D313" s="73"/>
      <c r="E313" s="73"/>
      <c r="F313" s="141"/>
      <c r="G313" s="74"/>
      <c r="H313" s="75"/>
      <c r="I313" s="76"/>
      <c r="J313" s="135"/>
      <c r="K313" s="135"/>
      <c r="L313" s="77">
        <f t="shared" si="138"/>
        <v>0</v>
      </c>
      <c r="M313" s="78"/>
      <c r="N313" s="142"/>
      <c r="O313" s="142"/>
      <c r="P313" s="77">
        <f t="shared" si="139"/>
        <v>0</v>
      </c>
      <c r="Q313" s="78"/>
      <c r="R313" s="143"/>
      <c r="S313" s="143"/>
      <c r="T313" s="77">
        <f t="shared" si="140"/>
        <v>0</v>
      </c>
      <c r="U313" s="75"/>
      <c r="V313" s="76"/>
      <c r="W313" s="135"/>
      <c r="X313" s="135"/>
      <c r="Y313" s="77">
        <f t="shared" si="141"/>
        <v>0</v>
      </c>
      <c r="Z313" s="78"/>
      <c r="AA313" s="142"/>
      <c r="AB313" s="142"/>
      <c r="AC313" s="77">
        <f t="shared" si="142"/>
        <v>0</v>
      </c>
      <c r="AD313" s="78"/>
      <c r="AE313" s="143"/>
      <c r="AF313" s="143"/>
      <c r="AG313" s="79">
        <f t="shared" si="143"/>
        <v>0</v>
      </c>
      <c r="AH313" s="75"/>
      <c r="AI313" s="76"/>
      <c r="AJ313" s="135"/>
      <c r="AK313" s="135"/>
      <c r="AL313" s="77">
        <f t="shared" si="144"/>
        <v>0</v>
      </c>
      <c r="AM313" s="76"/>
      <c r="AN313" s="142"/>
      <c r="AO313" s="142"/>
      <c r="AP313" s="77">
        <f t="shared" si="145"/>
        <v>0</v>
      </c>
      <c r="AQ313" s="78"/>
      <c r="AR313" s="142"/>
      <c r="AS313" s="142"/>
      <c r="AT313" s="79">
        <f t="shared" si="146"/>
        <v>0</v>
      </c>
      <c r="AU313" s="75"/>
      <c r="AV313" s="76"/>
      <c r="AW313" s="135"/>
      <c r="AX313" s="135"/>
      <c r="AY313" s="77">
        <f t="shared" si="147"/>
        <v>0</v>
      </c>
      <c r="AZ313" s="76"/>
      <c r="BA313" s="142"/>
      <c r="BB313" s="142"/>
      <c r="BC313" s="77">
        <f t="shared" si="148"/>
        <v>0</v>
      </c>
      <c r="BD313" s="78"/>
      <c r="BE313" s="142"/>
      <c r="BF313" s="142"/>
      <c r="BG313" s="79">
        <f t="shared" si="149"/>
        <v>0</v>
      </c>
      <c r="BH313" s="75"/>
      <c r="BI313" s="76"/>
      <c r="BJ313" s="135"/>
      <c r="BK313" s="135"/>
      <c r="BL313" s="77">
        <f t="shared" si="150"/>
        <v>0</v>
      </c>
      <c r="BM313" s="78"/>
      <c r="BN313" s="142"/>
      <c r="BO313" s="142"/>
      <c r="BP313" s="77">
        <f t="shared" si="151"/>
        <v>0</v>
      </c>
      <c r="BQ313" s="78"/>
      <c r="BR313" s="142"/>
      <c r="BS313" s="142"/>
      <c r="BT313" s="79">
        <f t="shared" si="152"/>
        <v>0</v>
      </c>
      <c r="BU313" s="75"/>
      <c r="BV313" s="76"/>
      <c r="BW313" s="135"/>
      <c r="BX313" s="135"/>
      <c r="BY313" s="77">
        <f t="shared" si="153"/>
        <v>0</v>
      </c>
      <c r="BZ313" s="78"/>
      <c r="CA313" s="142"/>
      <c r="CB313" s="142"/>
      <c r="CC313" s="77">
        <f t="shared" si="154"/>
        <v>0</v>
      </c>
      <c r="CD313" s="78"/>
      <c r="CE313" s="142"/>
      <c r="CF313" s="142"/>
      <c r="CG313" s="79">
        <f t="shared" si="155"/>
        <v>0</v>
      </c>
      <c r="CH313" s="75"/>
      <c r="CI313" s="76"/>
      <c r="CJ313" s="86"/>
      <c r="CK313" s="86"/>
      <c r="CL313" s="77">
        <f t="shared" si="156"/>
        <v>0</v>
      </c>
      <c r="CM313" s="78"/>
      <c r="CN313" s="85"/>
      <c r="CO313" s="85"/>
      <c r="CP313" s="77">
        <f t="shared" si="157"/>
        <v>0</v>
      </c>
      <c r="CQ313" s="78"/>
      <c r="CR313" s="85"/>
      <c r="CS313" s="85"/>
      <c r="CT313" s="79">
        <f t="shared" si="158"/>
        <v>0</v>
      </c>
      <c r="CU313" s="80">
        <f t="shared" si="168"/>
        <v>0</v>
      </c>
      <c r="CV313" s="81">
        <f t="shared" si="169"/>
        <v>0</v>
      </c>
      <c r="CW313" s="144"/>
      <c r="CX313" s="145">
        <f>IF(ISERROR(VLOOKUP($A313,FIJOS!$B$11:$O$590,14,FALSE)),0,VLOOKUP($A313,FIJOS!$B$11:$O$590,14,FALSE))</f>
        <v>0</v>
      </c>
      <c r="CY313" s="145">
        <f>IF(ISERROR(VLOOKUP(A313,FIJOS!$B$10:$P$590,15,FALSE)),0,VLOOKUP(A313,FIJOS!$B$10:$P$590,15,FALSE))</f>
        <v>0</v>
      </c>
      <c r="CZ313" s="155"/>
      <c r="DA313" s="147"/>
      <c r="DB313" s="147"/>
      <c r="DC313" s="147"/>
      <c r="DD313" s="147"/>
      <c r="DE313" s="147"/>
      <c r="DF313" s="145">
        <f>IF(ISERROR(VLOOKUP($A313,FIJOS!$B$11:$N$590,13,FALSE)),0,VLOOKUP($A313,FIJOS!$B$11:$N$590,13,FALSE))</f>
        <v>0</v>
      </c>
      <c r="DG313" s="145">
        <f>IF(ISERROR(VLOOKUP($A313,FIJOS!$B$11:$P$447,12,FALSE)),0,VLOOKUP($A313,FIJOS!$B$11:$P$447,12,FALSE))</f>
        <v>0</v>
      </c>
      <c r="DH313" s="82">
        <f t="shared" si="159"/>
        <v>0</v>
      </c>
      <c r="DI313" s="83" t="b">
        <f>IF($C313=1,(VLOOKUP($A313,FIJOS!$B$11:$P$545,10,FALSE)/7)*(7-$CU313),IF(AND($C313=2,CV313&lt;$DJ$1),(VLOOKUP($D313,HORAS!$B$4:$C$42,2,FALSE)*24)*$CV313,IF(AND($C313=2,CV313&gt;=$DJ$1),VLOOKUP($D313,HORAS!$B$4:$D$42,3,FALSE),IF(AND($C313=3,$CV313&gt;=$DJ$1),VLOOKUP($A313,FIJOS!$B$11:$P$545,10,FALSE),IF(AND($C313=3,$CV313&lt;$DJ$1),((VLOOKUP($A313,FIJOS!$B$11:$P$545,10,FALSE)/48)*24)*$CV313,IF(AND($C313=4,$CV313&gt;=(42/24)),VLOOKUP($D313,HORAS!$B$4:$D$42,3,FALSE),IF(AND($C313=5,$CV313&gt;=(36/24)),VLOOKUP($D313,HORAS!$B$4:$D$42,3,FALSE))))))))</f>
        <v>0</v>
      </c>
      <c r="DJ313" s="145">
        <f>IF(OR($C313=2),VLOOKUP($D313,HORAS!$B$4:$E$42,4,FALSE)*$EC313,IF(ISERROR(VLOOKUP($A313,FIJOS!$B$11:$P$108,9,FALSE)),0,VLOOKUP($A313,FIJOS!$B$11:$P$231,9,FALSE)*$EC313))</f>
        <v>0</v>
      </c>
      <c r="DK313" s="145">
        <f>IF(OR($C313=2),VLOOKUP($D313,HORAS!$B$4:$F$42,5,FALSE)*$EE313,IF(ISERROR(VLOOKUP($A313,FIJOS!$B$11:$P$108,9,FALSE)),0,VLOOKUP($A313,FIJOS!$B$11:$P$231,9,FALSE)*$EE313))</f>
        <v>0</v>
      </c>
      <c r="DL313" s="144"/>
      <c r="DM313" s="145">
        <f>IF(ISERROR(VLOOKUP($A313,FIJOS!$B$11:$L$646,11,FALSE)),0,VLOOKUP($A313,FIJOS!$B$11:$L$646,11,FALSE))</f>
        <v>0</v>
      </c>
      <c r="DN313" s="148" t="e">
        <f>IF(OR($C313=1,$C313=3),0,IF((VLOOKUP(CAPTURA!D313,HORAS!$B$4:$K$42,10,FALSE)/4)*COUNTIF($H313:$CT313,3)&gt;100,100,(VLOOKUP(CAPTURA!D313,HORAS!$B$4:$K$42,10,FALSE)/4)*COUNTIF($H313:$CT313,3)))</f>
        <v>#N/A</v>
      </c>
      <c r="DO313" s="144" t="e">
        <f>IF(OR($C313=1,$C313=3),0,IF($C313=5,VLOOKUP(D313,HORAS!$B$4:$G$42,6,FALSE),IF(AND($C313=4,$CV313&gt;=(42/24)),VLOOKUP(D313,HORAS!$B$4:$G$42,6,FALSE),IF(COUNTIF($H313:$CL313,"F")&gt;0,0,IF(CV313&gt;$DJ$1,$DJ$1*(VLOOKUP(D313,HORAS!$B$4:$G$42,6,FALSE)/$DJ$1),CV313*(VLOOKUP(D313,HORAS!$B$4:$G$42,6,FALSE)/$DJ$1))))))</f>
        <v>#N/A</v>
      </c>
      <c r="DP313" s="156"/>
      <c r="DQ313" s="148"/>
      <c r="DR313" s="148"/>
      <c r="DS313" s="83" t="e">
        <f t="shared" si="162"/>
        <v>#N/A</v>
      </c>
      <c r="DT313" s="84"/>
      <c r="DU313" s="149" t="e">
        <f t="shared" si="163"/>
        <v>#N/A</v>
      </c>
      <c r="DV313" s="149" t="e">
        <f t="shared" si="164"/>
        <v>#N/A</v>
      </c>
      <c r="DW313" s="144" t="e">
        <f t="shared" si="165"/>
        <v>#N/A</v>
      </c>
      <c r="DX313"/>
      <c r="DY313" s="29"/>
      <c r="DZ313" s="150"/>
      <c r="EA313" s="134"/>
      <c r="EB313" s="137">
        <f t="shared" si="166"/>
        <v>0</v>
      </c>
      <c r="EC313" s="138">
        <f t="shared" si="160"/>
        <v>0</v>
      </c>
      <c r="ED313" s="137">
        <f t="shared" si="167"/>
        <v>0</v>
      </c>
      <c r="EE313" s="132">
        <f t="shared" si="161"/>
        <v>0</v>
      </c>
      <c r="EF313" s="29"/>
      <c r="EG313" s="134"/>
      <c r="EH313" s="134"/>
      <c r="EI313" s="134"/>
      <c r="EK313" s="29"/>
    </row>
    <row r="314" spans="1:141" ht="15" customHeight="1" x14ac:dyDescent="0.25">
      <c r="A314" s="87"/>
      <c r="B314" s="5"/>
      <c r="C314" s="72"/>
      <c r="D314" s="73"/>
      <c r="E314" s="73"/>
      <c r="F314" s="141"/>
      <c r="G314" s="74"/>
      <c r="H314" s="75"/>
      <c r="I314" s="76"/>
      <c r="J314" s="135"/>
      <c r="K314" s="135"/>
      <c r="L314" s="77">
        <f t="shared" si="138"/>
        <v>0</v>
      </c>
      <c r="M314" s="78"/>
      <c r="N314" s="142"/>
      <c r="O314" s="142"/>
      <c r="P314" s="77">
        <f t="shared" si="139"/>
        <v>0</v>
      </c>
      <c r="Q314" s="78"/>
      <c r="R314" s="143"/>
      <c r="S314" s="143"/>
      <c r="T314" s="77">
        <f t="shared" si="140"/>
        <v>0</v>
      </c>
      <c r="U314" s="75"/>
      <c r="V314" s="76"/>
      <c r="W314" s="135"/>
      <c r="X314" s="135"/>
      <c r="Y314" s="77">
        <f t="shared" si="141"/>
        <v>0</v>
      </c>
      <c r="Z314" s="78"/>
      <c r="AA314" s="142"/>
      <c r="AB314" s="142"/>
      <c r="AC314" s="77">
        <f t="shared" si="142"/>
        <v>0</v>
      </c>
      <c r="AD314" s="78"/>
      <c r="AE314" s="143"/>
      <c r="AF314" s="143"/>
      <c r="AG314" s="79">
        <f t="shared" si="143"/>
        <v>0</v>
      </c>
      <c r="AH314" s="75"/>
      <c r="AI314" s="76"/>
      <c r="AJ314" s="135"/>
      <c r="AK314" s="135"/>
      <c r="AL314" s="77">
        <f t="shared" si="144"/>
        <v>0</v>
      </c>
      <c r="AM314" s="76"/>
      <c r="AN314" s="142"/>
      <c r="AO314" s="142"/>
      <c r="AP314" s="77">
        <f t="shared" si="145"/>
        <v>0</v>
      </c>
      <c r="AQ314" s="78"/>
      <c r="AR314" s="142"/>
      <c r="AS314" s="142"/>
      <c r="AT314" s="79">
        <f t="shared" si="146"/>
        <v>0</v>
      </c>
      <c r="AU314" s="75"/>
      <c r="AV314" s="76"/>
      <c r="AW314" s="135"/>
      <c r="AX314" s="135"/>
      <c r="AY314" s="77">
        <f t="shared" si="147"/>
        <v>0</v>
      </c>
      <c r="AZ314" s="76"/>
      <c r="BA314" s="142"/>
      <c r="BB314" s="142"/>
      <c r="BC314" s="77">
        <f t="shared" si="148"/>
        <v>0</v>
      </c>
      <c r="BD314" s="78"/>
      <c r="BE314" s="142"/>
      <c r="BF314" s="142"/>
      <c r="BG314" s="79">
        <f t="shared" si="149"/>
        <v>0</v>
      </c>
      <c r="BH314" s="75"/>
      <c r="BI314" s="76"/>
      <c r="BJ314" s="135"/>
      <c r="BK314" s="135"/>
      <c r="BL314" s="77">
        <f t="shared" si="150"/>
        <v>0</v>
      </c>
      <c r="BM314" s="78"/>
      <c r="BN314" s="142"/>
      <c r="BO314" s="142"/>
      <c r="BP314" s="77">
        <f t="shared" si="151"/>
        <v>0</v>
      </c>
      <c r="BQ314" s="78"/>
      <c r="BR314" s="142"/>
      <c r="BS314" s="142"/>
      <c r="BT314" s="79">
        <f t="shared" si="152"/>
        <v>0</v>
      </c>
      <c r="BU314" s="75"/>
      <c r="BV314" s="76"/>
      <c r="BW314" s="135"/>
      <c r="BX314" s="135"/>
      <c r="BY314" s="77">
        <f t="shared" si="153"/>
        <v>0</v>
      </c>
      <c r="BZ314" s="78"/>
      <c r="CA314" s="142"/>
      <c r="CB314" s="142"/>
      <c r="CC314" s="77">
        <f t="shared" si="154"/>
        <v>0</v>
      </c>
      <c r="CD314" s="78"/>
      <c r="CE314" s="142"/>
      <c r="CF314" s="142"/>
      <c r="CG314" s="79">
        <f t="shared" si="155"/>
        <v>0</v>
      </c>
      <c r="CH314" s="75"/>
      <c r="CI314" s="76"/>
      <c r="CJ314" s="86"/>
      <c r="CK314" s="86"/>
      <c r="CL314" s="77">
        <f t="shared" si="156"/>
        <v>0</v>
      </c>
      <c r="CM314" s="78"/>
      <c r="CN314" s="85"/>
      <c r="CO314" s="85"/>
      <c r="CP314" s="77">
        <f t="shared" si="157"/>
        <v>0</v>
      </c>
      <c r="CQ314" s="78"/>
      <c r="CR314" s="85"/>
      <c r="CS314" s="85"/>
      <c r="CT314" s="79">
        <f t="shared" si="158"/>
        <v>0</v>
      </c>
      <c r="CU314" s="80">
        <f t="shared" si="168"/>
        <v>0</v>
      </c>
      <c r="CV314" s="81">
        <f t="shared" si="169"/>
        <v>0</v>
      </c>
      <c r="CW314" s="144"/>
      <c r="CX314" s="145">
        <f>IF(ISERROR(VLOOKUP($A314,FIJOS!$B$11:$O$590,14,FALSE)),0,VLOOKUP($A314,FIJOS!$B$11:$O$590,14,FALSE))</f>
        <v>0</v>
      </c>
      <c r="CY314" s="145">
        <f>IF(ISERROR(VLOOKUP(A314,FIJOS!$B$10:$P$590,15,FALSE)),0,VLOOKUP(A314,FIJOS!$B$10:$P$590,15,FALSE))</f>
        <v>0</v>
      </c>
      <c r="CZ314" s="155"/>
      <c r="DA314" s="147"/>
      <c r="DB314" s="147"/>
      <c r="DC314" s="147"/>
      <c r="DD314" s="147"/>
      <c r="DE314" s="147"/>
      <c r="DF314" s="145">
        <f>IF(ISERROR(VLOOKUP($A314,FIJOS!$B$11:$N$590,13,FALSE)),0,VLOOKUP($A314,FIJOS!$B$11:$N$590,13,FALSE))</f>
        <v>0</v>
      </c>
      <c r="DG314" s="145">
        <f>IF(ISERROR(VLOOKUP($A314,FIJOS!$B$11:$P$447,12,FALSE)),0,VLOOKUP($A314,FIJOS!$B$11:$P$447,12,FALSE))</f>
        <v>0</v>
      </c>
      <c r="DH314" s="82">
        <f t="shared" si="159"/>
        <v>0</v>
      </c>
      <c r="DI314" s="83" t="b">
        <f>IF($C314=1,(VLOOKUP($A314,FIJOS!$B$11:$P$545,10,FALSE)/7)*(7-$CU314),IF(AND($C314=2,CV314&lt;$DJ$1),(VLOOKUP($D314,HORAS!$B$4:$C$42,2,FALSE)*24)*$CV314,IF(AND($C314=2,CV314&gt;=$DJ$1),VLOOKUP($D314,HORAS!$B$4:$D$42,3,FALSE),IF(AND($C314=3,$CV314&gt;=$DJ$1),VLOOKUP($A314,FIJOS!$B$11:$P$545,10,FALSE),IF(AND($C314=3,$CV314&lt;$DJ$1),((VLOOKUP($A314,FIJOS!$B$11:$P$545,10,FALSE)/48)*24)*$CV314,IF(AND($C314=4,$CV314&gt;=(42/24)),VLOOKUP($D314,HORAS!$B$4:$D$42,3,FALSE),IF(AND($C314=5,$CV314&gt;=(36/24)),VLOOKUP($D314,HORAS!$B$4:$D$42,3,FALSE))))))))</f>
        <v>0</v>
      </c>
      <c r="DJ314" s="145">
        <f>IF(OR($C314=2),VLOOKUP($D314,HORAS!$B$4:$E$42,4,FALSE)*$EC314,IF(ISERROR(VLOOKUP($A314,FIJOS!$B$11:$P$108,9,FALSE)),0,VLOOKUP($A314,FIJOS!$B$11:$P$231,9,FALSE)*$EC314))</f>
        <v>0</v>
      </c>
      <c r="DK314" s="145">
        <f>IF(OR($C314=2),VLOOKUP($D314,HORAS!$B$4:$F$42,5,FALSE)*$EE314,IF(ISERROR(VLOOKUP($A314,FIJOS!$B$11:$P$108,9,FALSE)),0,VLOOKUP($A314,FIJOS!$B$11:$P$231,9,FALSE)*$EE314))</f>
        <v>0</v>
      </c>
      <c r="DL314" s="144"/>
      <c r="DM314" s="145">
        <f>IF(ISERROR(VLOOKUP($A314,FIJOS!$B$11:$L$646,11,FALSE)),0,VLOOKUP($A314,FIJOS!$B$11:$L$646,11,FALSE))</f>
        <v>0</v>
      </c>
      <c r="DN314" s="148" t="e">
        <f>IF(OR($C314=1,$C314=3),0,IF((VLOOKUP(CAPTURA!D314,HORAS!$B$4:$K$42,10,FALSE)/4)*COUNTIF($H314:$CT314,3)&gt;100,100,(VLOOKUP(CAPTURA!D314,HORAS!$B$4:$K$42,10,FALSE)/4)*COUNTIF($H314:$CT314,3)))</f>
        <v>#N/A</v>
      </c>
      <c r="DO314" s="144" t="e">
        <f>IF(OR($C314=1,$C314=3),0,IF($C314=5,VLOOKUP(D314,HORAS!$B$4:$G$42,6,FALSE),IF(AND($C314=4,$CV314&gt;=(42/24)),VLOOKUP(D314,HORAS!$B$4:$G$42,6,FALSE),IF(COUNTIF($H314:$CL314,"F")&gt;0,0,IF(CV314&gt;$DJ$1,$DJ$1*(VLOOKUP(D314,HORAS!$B$4:$G$42,6,FALSE)/$DJ$1),CV314*(VLOOKUP(D314,HORAS!$B$4:$G$42,6,FALSE)/$DJ$1))))))</f>
        <v>#N/A</v>
      </c>
      <c r="DP314" s="156"/>
      <c r="DQ314" s="148"/>
      <c r="DR314" s="148"/>
      <c r="DS314" s="83" t="e">
        <f t="shared" si="162"/>
        <v>#N/A</v>
      </c>
      <c r="DT314" s="84"/>
      <c r="DU314" s="149" t="e">
        <f t="shared" si="163"/>
        <v>#N/A</v>
      </c>
      <c r="DV314" s="149" t="e">
        <f t="shared" si="164"/>
        <v>#N/A</v>
      </c>
      <c r="DW314" s="144" t="e">
        <f t="shared" si="165"/>
        <v>#N/A</v>
      </c>
      <c r="DX314"/>
      <c r="DY314" s="29"/>
      <c r="DZ314" s="150"/>
      <c r="EA314" s="134"/>
      <c r="EB314" s="137">
        <f t="shared" si="166"/>
        <v>0</v>
      </c>
      <c r="EC314" s="138">
        <f t="shared" si="160"/>
        <v>0</v>
      </c>
      <c r="ED314" s="137">
        <f t="shared" si="167"/>
        <v>0</v>
      </c>
      <c r="EE314" s="132">
        <f t="shared" si="161"/>
        <v>0</v>
      </c>
      <c r="EF314" s="29"/>
      <c r="EG314" s="134"/>
      <c r="EH314" s="134"/>
      <c r="EI314" s="134"/>
      <c r="EK314" s="29"/>
    </row>
    <row r="315" spans="1:141" ht="15" customHeight="1" x14ac:dyDescent="0.25">
      <c r="A315" s="87"/>
      <c r="B315" s="5"/>
      <c r="C315" s="72"/>
      <c r="D315" s="73"/>
      <c r="E315" s="73"/>
      <c r="F315" s="141"/>
      <c r="G315" s="74"/>
      <c r="H315" s="75"/>
      <c r="I315" s="76"/>
      <c r="J315" s="135"/>
      <c r="K315" s="135"/>
      <c r="L315" s="77">
        <f t="shared" si="138"/>
        <v>0</v>
      </c>
      <c r="M315" s="78"/>
      <c r="N315" s="142"/>
      <c r="O315" s="142"/>
      <c r="P315" s="77">
        <f t="shared" si="139"/>
        <v>0</v>
      </c>
      <c r="Q315" s="78"/>
      <c r="R315" s="143"/>
      <c r="S315" s="143"/>
      <c r="T315" s="77">
        <f t="shared" si="140"/>
        <v>0</v>
      </c>
      <c r="U315" s="75"/>
      <c r="V315" s="76"/>
      <c r="W315" s="135"/>
      <c r="X315" s="135"/>
      <c r="Y315" s="77">
        <f t="shared" si="141"/>
        <v>0</v>
      </c>
      <c r="Z315" s="78"/>
      <c r="AA315" s="142"/>
      <c r="AB315" s="142"/>
      <c r="AC315" s="77">
        <f t="shared" si="142"/>
        <v>0</v>
      </c>
      <c r="AD315" s="78"/>
      <c r="AE315" s="143"/>
      <c r="AF315" s="143"/>
      <c r="AG315" s="79">
        <f t="shared" si="143"/>
        <v>0</v>
      </c>
      <c r="AH315" s="75"/>
      <c r="AI315" s="76"/>
      <c r="AJ315" s="135"/>
      <c r="AK315" s="135"/>
      <c r="AL315" s="77">
        <f t="shared" si="144"/>
        <v>0</v>
      </c>
      <c r="AM315" s="76"/>
      <c r="AN315" s="142"/>
      <c r="AO315" s="142"/>
      <c r="AP315" s="77">
        <f t="shared" si="145"/>
        <v>0</v>
      </c>
      <c r="AQ315" s="78"/>
      <c r="AR315" s="142"/>
      <c r="AS315" s="142"/>
      <c r="AT315" s="79">
        <f t="shared" si="146"/>
        <v>0</v>
      </c>
      <c r="AU315" s="75"/>
      <c r="AV315" s="76"/>
      <c r="AW315" s="135"/>
      <c r="AX315" s="135"/>
      <c r="AY315" s="77">
        <f t="shared" si="147"/>
        <v>0</v>
      </c>
      <c r="AZ315" s="76"/>
      <c r="BA315" s="142"/>
      <c r="BB315" s="142"/>
      <c r="BC315" s="77">
        <f t="shared" si="148"/>
        <v>0</v>
      </c>
      <c r="BD315" s="78"/>
      <c r="BE315" s="142"/>
      <c r="BF315" s="142"/>
      <c r="BG315" s="79">
        <f t="shared" si="149"/>
        <v>0</v>
      </c>
      <c r="BH315" s="75"/>
      <c r="BI315" s="76"/>
      <c r="BJ315" s="135"/>
      <c r="BK315" s="135"/>
      <c r="BL315" s="77">
        <f t="shared" si="150"/>
        <v>0</v>
      </c>
      <c r="BM315" s="78"/>
      <c r="BN315" s="142"/>
      <c r="BO315" s="142"/>
      <c r="BP315" s="77">
        <f t="shared" si="151"/>
        <v>0</v>
      </c>
      <c r="BQ315" s="78"/>
      <c r="BR315" s="142"/>
      <c r="BS315" s="142"/>
      <c r="BT315" s="79">
        <f t="shared" si="152"/>
        <v>0</v>
      </c>
      <c r="BU315" s="75"/>
      <c r="BV315" s="76"/>
      <c r="BW315" s="135"/>
      <c r="BX315" s="135"/>
      <c r="BY315" s="77">
        <f t="shared" si="153"/>
        <v>0</v>
      </c>
      <c r="BZ315" s="78"/>
      <c r="CA315" s="142"/>
      <c r="CB315" s="142"/>
      <c r="CC315" s="77">
        <f t="shared" si="154"/>
        <v>0</v>
      </c>
      <c r="CD315" s="78"/>
      <c r="CE315" s="142"/>
      <c r="CF315" s="142"/>
      <c r="CG315" s="79">
        <f t="shared" si="155"/>
        <v>0</v>
      </c>
      <c r="CH315" s="75"/>
      <c r="CI315" s="76"/>
      <c r="CJ315" s="86"/>
      <c r="CK315" s="86"/>
      <c r="CL315" s="77">
        <f t="shared" si="156"/>
        <v>0</v>
      </c>
      <c r="CM315" s="78"/>
      <c r="CN315" s="85"/>
      <c r="CO315" s="85"/>
      <c r="CP315" s="77">
        <f t="shared" si="157"/>
        <v>0</v>
      </c>
      <c r="CQ315" s="78"/>
      <c r="CR315" s="85"/>
      <c r="CS315" s="85"/>
      <c r="CT315" s="79">
        <f t="shared" si="158"/>
        <v>0</v>
      </c>
      <c r="CU315" s="80">
        <f t="shared" si="168"/>
        <v>0</v>
      </c>
      <c r="CV315" s="81">
        <f t="shared" si="169"/>
        <v>0</v>
      </c>
      <c r="CW315" s="144"/>
      <c r="CX315" s="145">
        <f>IF(ISERROR(VLOOKUP($A315,FIJOS!$B$11:$O$590,14,FALSE)),0,VLOOKUP($A315,FIJOS!$B$11:$O$590,14,FALSE))</f>
        <v>0</v>
      </c>
      <c r="CY315" s="145">
        <f>IF(ISERROR(VLOOKUP(A315,FIJOS!$B$10:$P$590,15,FALSE)),0,VLOOKUP(A315,FIJOS!$B$10:$P$590,15,FALSE))</f>
        <v>0</v>
      </c>
      <c r="CZ315" s="155"/>
      <c r="DA315" s="147"/>
      <c r="DB315" s="147"/>
      <c r="DC315" s="147"/>
      <c r="DD315" s="147"/>
      <c r="DE315" s="147"/>
      <c r="DF315" s="145">
        <f>IF(ISERROR(VLOOKUP($A315,FIJOS!$B$11:$N$590,13,FALSE)),0,VLOOKUP($A315,FIJOS!$B$11:$N$590,13,FALSE))</f>
        <v>0</v>
      </c>
      <c r="DG315" s="145">
        <f>IF(ISERROR(VLOOKUP($A315,FIJOS!$B$11:$P$447,12,FALSE)),0,VLOOKUP($A315,FIJOS!$B$11:$P$447,12,FALSE))</f>
        <v>0</v>
      </c>
      <c r="DH315" s="82">
        <f t="shared" si="159"/>
        <v>0</v>
      </c>
      <c r="DI315" s="83" t="b">
        <f>IF($C315=1,(VLOOKUP($A315,FIJOS!$B$11:$P$545,10,FALSE)/7)*(7-$CU315),IF(AND($C315=2,CV315&lt;$DJ$1),(VLOOKUP($D315,HORAS!$B$4:$C$42,2,FALSE)*24)*$CV315,IF(AND($C315=2,CV315&gt;=$DJ$1),VLOOKUP($D315,HORAS!$B$4:$D$42,3,FALSE),IF(AND($C315=3,$CV315&gt;=$DJ$1),VLOOKUP($A315,FIJOS!$B$11:$P$545,10,FALSE),IF(AND($C315=3,$CV315&lt;$DJ$1),((VLOOKUP($A315,FIJOS!$B$11:$P$545,10,FALSE)/48)*24)*$CV315,IF(AND($C315=4,$CV315&gt;=(42/24)),VLOOKUP($D315,HORAS!$B$4:$D$42,3,FALSE),IF(AND($C315=5,$CV315&gt;=(36/24)),VLOOKUP($D315,HORAS!$B$4:$D$42,3,FALSE))))))))</f>
        <v>0</v>
      </c>
      <c r="DJ315" s="145">
        <f>IF(OR($C315=2),VLOOKUP($D315,HORAS!$B$4:$E$42,4,FALSE)*$EC315,IF(ISERROR(VLOOKUP($A315,FIJOS!$B$11:$P$108,9,FALSE)),0,VLOOKUP($A315,FIJOS!$B$11:$P$231,9,FALSE)*$EC315))</f>
        <v>0</v>
      </c>
      <c r="DK315" s="145">
        <f>IF(OR($C315=2),VLOOKUP($D315,HORAS!$B$4:$F$42,5,FALSE)*$EE315,IF(ISERROR(VLOOKUP($A315,FIJOS!$B$11:$P$108,9,FALSE)),0,VLOOKUP($A315,FIJOS!$B$11:$P$231,9,FALSE)*$EE315))</f>
        <v>0</v>
      </c>
      <c r="DL315" s="144"/>
      <c r="DM315" s="145">
        <f>IF(ISERROR(VLOOKUP($A315,FIJOS!$B$11:$L$646,11,FALSE)),0,VLOOKUP($A315,FIJOS!$B$11:$L$646,11,FALSE))</f>
        <v>0</v>
      </c>
      <c r="DN315" s="148" t="e">
        <f>IF(OR($C315=1,$C315=3),0,IF((VLOOKUP(CAPTURA!D315,HORAS!$B$4:$K$42,10,FALSE)/4)*COUNTIF($H315:$CT315,3)&gt;100,100,(VLOOKUP(CAPTURA!D315,HORAS!$B$4:$K$42,10,FALSE)/4)*COUNTIF($H315:$CT315,3)))</f>
        <v>#N/A</v>
      </c>
      <c r="DO315" s="144" t="e">
        <f>IF(OR($C315=1,$C315=3),0,IF($C315=5,VLOOKUP(D315,HORAS!$B$4:$G$42,6,FALSE),IF(AND($C315=4,$CV315&gt;=(42/24)),VLOOKUP(D315,HORAS!$B$4:$G$42,6,FALSE),IF(COUNTIF($H315:$CL315,"F")&gt;0,0,IF(CV315&gt;$DJ$1,$DJ$1*(VLOOKUP(D315,HORAS!$B$4:$G$42,6,FALSE)/$DJ$1),CV315*(VLOOKUP(D315,HORAS!$B$4:$G$42,6,FALSE)/$DJ$1))))))</f>
        <v>#N/A</v>
      </c>
      <c r="DP315" s="156"/>
      <c r="DQ315" s="148"/>
      <c r="DR315" s="148"/>
      <c r="DS315" s="83" t="e">
        <f t="shared" si="162"/>
        <v>#N/A</v>
      </c>
      <c r="DT315" s="84"/>
      <c r="DU315" s="149" t="e">
        <f t="shared" si="163"/>
        <v>#N/A</v>
      </c>
      <c r="DV315" s="149" t="e">
        <f t="shared" si="164"/>
        <v>#N/A</v>
      </c>
      <c r="DW315" s="144" t="e">
        <f t="shared" si="165"/>
        <v>#N/A</v>
      </c>
      <c r="DX315"/>
      <c r="DY315" s="29"/>
      <c r="DZ315" s="150"/>
      <c r="EA315" s="134"/>
      <c r="EB315" s="137">
        <f t="shared" si="166"/>
        <v>0</v>
      </c>
      <c r="EC315" s="138">
        <f t="shared" si="160"/>
        <v>0</v>
      </c>
      <c r="ED315" s="137">
        <f t="shared" si="167"/>
        <v>0</v>
      </c>
      <c r="EE315" s="132">
        <f t="shared" si="161"/>
        <v>0</v>
      </c>
      <c r="EF315" s="29"/>
      <c r="EG315" s="134"/>
      <c r="EH315" s="134"/>
      <c r="EI315" s="134"/>
      <c r="EK315" s="29"/>
    </row>
    <row r="316" spans="1:141" ht="15" customHeight="1" x14ac:dyDescent="0.25">
      <c r="A316" s="87"/>
      <c r="B316" s="5"/>
      <c r="C316" s="72"/>
      <c r="D316" s="73"/>
      <c r="E316" s="73"/>
      <c r="F316" s="141"/>
      <c r="G316" s="74"/>
      <c r="H316" s="75"/>
      <c r="I316" s="76"/>
      <c r="J316" s="135"/>
      <c r="K316" s="135"/>
      <c r="L316" s="77">
        <f t="shared" si="138"/>
        <v>0</v>
      </c>
      <c r="M316" s="78"/>
      <c r="N316" s="142"/>
      <c r="O316" s="142"/>
      <c r="P316" s="77">
        <f t="shared" si="139"/>
        <v>0</v>
      </c>
      <c r="Q316" s="78"/>
      <c r="R316" s="143"/>
      <c r="S316" s="143"/>
      <c r="T316" s="77">
        <f t="shared" si="140"/>
        <v>0</v>
      </c>
      <c r="U316" s="75"/>
      <c r="V316" s="76"/>
      <c r="W316" s="135"/>
      <c r="X316" s="135"/>
      <c r="Y316" s="77">
        <f t="shared" si="141"/>
        <v>0</v>
      </c>
      <c r="Z316" s="78"/>
      <c r="AA316" s="142"/>
      <c r="AB316" s="142"/>
      <c r="AC316" s="77">
        <f t="shared" si="142"/>
        <v>0</v>
      </c>
      <c r="AD316" s="78"/>
      <c r="AE316" s="143"/>
      <c r="AF316" s="143"/>
      <c r="AG316" s="79">
        <f t="shared" si="143"/>
        <v>0</v>
      </c>
      <c r="AH316" s="75"/>
      <c r="AI316" s="76"/>
      <c r="AJ316" s="135"/>
      <c r="AK316" s="135"/>
      <c r="AL316" s="77">
        <f t="shared" si="144"/>
        <v>0</v>
      </c>
      <c r="AM316" s="76"/>
      <c r="AN316" s="142"/>
      <c r="AO316" s="142"/>
      <c r="AP316" s="77">
        <f t="shared" si="145"/>
        <v>0</v>
      </c>
      <c r="AQ316" s="78"/>
      <c r="AR316" s="142"/>
      <c r="AS316" s="142"/>
      <c r="AT316" s="79">
        <f t="shared" si="146"/>
        <v>0</v>
      </c>
      <c r="AU316" s="75"/>
      <c r="AV316" s="76"/>
      <c r="AW316" s="135"/>
      <c r="AX316" s="135"/>
      <c r="AY316" s="77">
        <f t="shared" si="147"/>
        <v>0</v>
      </c>
      <c r="AZ316" s="76"/>
      <c r="BA316" s="142"/>
      <c r="BB316" s="142"/>
      <c r="BC316" s="77">
        <f t="shared" si="148"/>
        <v>0</v>
      </c>
      <c r="BD316" s="78"/>
      <c r="BE316" s="142"/>
      <c r="BF316" s="142"/>
      <c r="BG316" s="79">
        <f t="shared" si="149"/>
        <v>0</v>
      </c>
      <c r="BH316" s="75"/>
      <c r="BI316" s="76"/>
      <c r="BJ316" s="135"/>
      <c r="BK316" s="135"/>
      <c r="BL316" s="77">
        <f t="shared" si="150"/>
        <v>0</v>
      </c>
      <c r="BM316" s="78"/>
      <c r="BN316" s="142"/>
      <c r="BO316" s="142"/>
      <c r="BP316" s="77">
        <f t="shared" si="151"/>
        <v>0</v>
      </c>
      <c r="BQ316" s="78"/>
      <c r="BR316" s="142"/>
      <c r="BS316" s="142"/>
      <c r="BT316" s="79">
        <f t="shared" si="152"/>
        <v>0</v>
      </c>
      <c r="BU316" s="75"/>
      <c r="BV316" s="76"/>
      <c r="BW316" s="135"/>
      <c r="BX316" s="135"/>
      <c r="BY316" s="77">
        <f t="shared" si="153"/>
        <v>0</v>
      </c>
      <c r="BZ316" s="78"/>
      <c r="CA316" s="142"/>
      <c r="CB316" s="142"/>
      <c r="CC316" s="77">
        <f t="shared" si="154"/>
        <v>0</v>
      </c>
      <c r="CD316" s="78"/>
      <c r="CE316" s="142"/>
      <c r="CF316" s="142"/>
      <c r="CG316" s="79">
        <f t="shared" si="155"/>
        <v>0</v>
      </c>
      <c r="CH316" s="75"/>
      <c r="CI316" s="76"/>
      <c r="CJ316" s="86"/>
      <c r="CK316" s="86"/>
      <c r="CL316" s="77">
        <f t="shared" si="156"/>
        <v>0</v>
      </c>
      <c r="CM316" s="78"/>
      <c r="CN316" s="85"/>
      <c r="CO316" s="85"/>
      <c r="CP316" s="77">
        <f t="shared" si="157"/>
        <v>0</v>
      </c>
      <c r="CQ316" s="78"/>
      <c r="CR316" s="85"/>
      <c r="CS316" s="85"/>
      <c r="CT316" s="79">
        <f t="shared" si="158"/>
        <v>0</v>
      </c>
      <c r="CU316" s="80">
        <f t="shared" si="168"/>
        <v>0</v>
      </c>
      <c r="CV316" s="81">
        <f t="shared" si="169"/>
        <v>0</v>
      </c>
      <c r="CW316" s="144"/>
      <c r="CX316" s="145">
        <f>IF(ISERROR(VLOOKUP($A316,FIJOS!$B$11:$O$590,14,FALSE)),0,VLOOKUP($A316,FIJOS!$B$11:$O$590,14,FALSE))</f>
        <v>0</v>
      </c>
      <c r="CY316" s="145">
        <f>IF(ISERROR(VLOOKUP(A316,FIJOS!$B$10:$P$590,15,FALSE)),0,VLOOKUP(A316,FIJOS!$B$10:$P$590,15,FALSE))</f>
        <v>0</v>
      </c>
      <c r="CZ316" s="155"/>
      <c r="DA316" s="147"/>
      <c r="DB316" s="147"/>
      <c r="DC316" s="147"/>
      <c r="DD316" s="147"/>
      <c r="DE316" s="147"/>
      <c r="DF316" s="145">
        <f>IF(ISERROR(VLOOKUP($A316,FIJOS!$B$11:$N$590,13,FALSE)),0,VLOOKUP($A316,FIJOS!$B$11:$N$590,13,FALSE))</f>
        <v>0</v>
      </c>
      <c r="DG316" s="145">
        <f>IF(ISERROR(VLOOKUP($A316,FIJOS!$B$11:$P$447,12,FALSE)),0,VLOOKUP($A316,FIJOS!$B$11:$P$447,12,FALSE))</f>
        <v>0</v>
      </c>
      <c r="DH316" s="82">
        <f t="shared" si="159"/>
        <v>0</v>
      </c>
      <c r="DI316" s="83" t="b">
        <f>IF($C316=1,(VLOOKUP($A316,FIJOS!$B$11:$P$545,10,FALSE)/7)*(7-$CU316),IF(AND($C316=2,CV316&lt;$DJ$1),(VLOOKUP($D316,HORAS!$B$4:$C$42,2,FALSE)*24)*$CV316,IF(AND($C316=2,CV316&gt;=$DJ$1),VLOOKUP($D316,HORAS!$B$4:$D$42,3,FALSE),IF(AND($C316=3,$CV316&gt;=$DJ$1),VLOOKUP($A316,FIJOS!$B$11:$P$545,10,FALSE),IF(AND($C316=3,$CV316&lt;$DJ$1),((VLOOKUP($A316,FIJOS!$B$11:$P$545,10,FALSE)/48)*24)*$CV316,IF(AND($C316=4,$CV316&gt;=(42/24)),VLOOKUP($D316,HORAS!$B$4:$D$42,3,FALSE),IF(AND($C316=5,$CV316&gt;=(36/24)),VLOOKUP($D316,HORAS!$B$4:$D$42,3,FALSE))))))))</f>
        <v>0</v>
      </c>
      <c r="DJ316" s="145">
        <f>IF(OR($C316=2),VLOOKUP($D316,HORAS!$B$4:$E$42,4,FALSE)*$EC316,IF(ISERROR(VLOOKUP($A316,FIJOS!$B$11:$P$108,9,FALSE)),0,VLOOKUP($A316,FIJOS!$B$11:$P$231,9,FALSE)*$EC316))</f>
        <v>0</v>
      </c>
      <c r="DK316" s="145">
        <f>IF(OR($C316=2),VLOOKUP($D316,HORAS!$B$4:$F$42,5,FALSE)*$EE316,IF(ISERROR(VLOOKUP($A316,FIJOS!$B$11:$P$108,9,FALSE)),0,VLOOKUP($A316,FIJOS!$B$11:$P$231,9,FALSE)*$EE316))</f>
        <v>0</v>
      </c>
      <c r="DL316" s="144"/>
      <c r="DM316" s="145">
        <f>IF(ISERROR(VLOOKUP($A316,FIJOS!$B$11:$L$646,11,FALSE)),0,VLOOKUP($A316,FIJOS!$B$11:$L$646,11,FALSE))</f>
        <v>0</v>
      </c>
      <c r="DN316" s="148" t="e">
        <f>IF(OR($C316=1,$C316=3),0,IF((VLOOKUP(CAPTURA!D316,HORAS!$B$4:$K$42,10,FALSE)/4)*COUNTIF($H316:$CT316,3)&gt;100,100,(VLOOKUP(CAPTURA!D316,HORAS!$B$4:$K$42,10,FALSE)/4)*COUNTIF($H316:$CT316,3)))</f>
        <v>#N/A</v>
      </c>
      <c r="DO316" s="144" t="e">
        <f>IF(OR($C316=1,$C316=3),0,IF($C316=5,VLOOKUP(D316,HORAS!$B$4:$G$42,6,FALSE),IF(AND($C316=4,$CV316&gt;=(42/24)),VLOOKUP(D316,HORAS!$B$4:$G$42,6,FALSE),IF(COUNTIF($H316:$CL316,"F")&gt;0,0,IF(CV316&gt;$DJ$1,$DJ$1*(VLOOKUP(D316,HORAS!$B$4:$G$42,6,FALSE)/$DJ$1),CV316*(VLOOKUP(D316,HORAS!$B$4:$G$42,6,FALSE)/$DJ$1))))))</f>
        <v>#N/A</v>
      </c>
      <c r="DP316" s="156"/>
      <c r="DQ316" s="148"/>
      <c r="DR316" s="148"/>
      <c r="DS316" s="83" t="e">
        <f t="shared" si="162"/>
        <v>#N/A</v>
      </c>
      <c r="DT316" s="84"/>
      <c r="DU316" s="149" t="e">
        <f t="shared" si="163"/>
        <v>#N/A</v>
      </c>
      <c r="DV316" s="149" t="e">
        <f t="shared" si="164"/>
        <v>#N/A</v>
      </c>
      <c r="DW316" s="144" t="e">
        <f t="shared" si="165"/>
        <v>#N/A</v>
      </c>
      <c r="DX316"/>
      <c r="DY316" s="29"/>
      <c r="DZ316" s="150"/>
      <c r="EA316" s="134"/>
      <c r="EB316" s="137">
        <f t="shared" si="166"/>
        <v>0</v>
      </c>
      <c r="EC316" s="138">
        <f t="shared" si="160"/>
        <v>0</v>
      </c>
      <c r="ED316" s="137">
        <f t="shared" si="167"/>
        <v>0</v>
      </c>
      <c r="EE316" s="132">
        <f t="shared" si="161"/>
        <v>0</v>
      </c>
      <c r="EF316" s="29"/>
      <c r="EG316" s="134"/>
      <c r="EH316" s="134"/>
      <c r="EI316" s="134"/>
      <c r="EK316" s="29"/>
    </row>
    <row r="317" spans="1:141" ht="15" customHeight="1" x14ac:dyDescent="0.25">
      <c r="A317" s="87"/>
      <c r="B317" s="5"/>
      <c r="C317" s="72"/>
      <c r="D317" s="73"/>
      <c r="E317" s="73"/>
      <c r="F317" s="141"/>
      <c r="G317" s="74"/>
      <c r="H317" s="75"/>
      <c r="I317" s="76"/>
      <c r="J317" s="135"/>
      <c r="K317" s="135"/>
      <c r="L317" s="77">
        <f t="shared" si="138"/>
        <v>0</v>
      </c>
      <c r="M317" s="78"/>
      <c r="N317" s="142"/>
      <c r="O317" s="142"/>
      <c r="P317" s="77">
        <f t="shared" si="139"/>
        <v>0</v>
      </c>
      <c r="Q317" s="78"/>
      <c r="R317" s="143"/>
      <c r="S317" s="143"/>
      <c r="T317" s="77">
        <f t="shared" si="140"/>
        <v>0</v>
      </c>
      <c r="U317" s="75"/>
      <c r="V317" s="76"/>
      <c r="W317" s="135"/>
      <c r="X317" s="135"/>
      <c r="Y317" s="77">
        <f t="shared" si="141"/>
        <v>0</v>
      </c>
      <c r="Z317" s="78"/>
      <c r="AA317" s="142"/>
      <c r="AB317" s="142"/>
      <c r="AC317" s="77">
        <f t="shared" si="142"/>
        <v>0</v>
      </c>
      <c r="AD317" s="78"/>
      <c r="AE317" s="143"/>
      <c r="AF317" s="143"/>
      <c r="AG317" s="79">
        <f t="shared" si="143"/>
        <v>0</v>
      </c>
      <c r="AH317" s="75"/>
      <c r="AI317" s="76"/>
      <c r="AJ317" s="135"/>
      <c r="AK317" s="135"/>
      <c r="AL317" s="77">
        <f t="shared" si="144"/>
        <v>0</v>
      </c>
      <c r="AM317" s="76"/>
      <c r="AN317" s="142"/>
      <c r="AO317" s="142"/>
      <c r="AP317" s="77">
        <f t="shared" si="145"/>
        <v>0</v>
      </c>
      <c r="AQ317" s="78"/>
      <c r="AR317" s="142"/>
      <c r="AS317" s="142"/>
      <c r="AT317" s="79">
        <f t="shared" si="146"/>
        <v>0</v>
      </c>
      <c r="AU317" s="75"/>
      <c r="AV317" s="76"/>
      <c r="AW317" s="135"/>
      <c r="AX317" s="135"/>
      <c r="AY317" s="77">
        <f t="shared" si="147"/>
        <v>0</v>
      </c>
      <c r="AZ317" s="76"/>
      <c r="BA317" s="142"/>
      <c r="BB317" s="142"/>
      <c r="BC317" s="77">
        <f t="shared" si="148"/>
        <v>0</v>
      </c>
      <c r="BD317" s="78"/>
      <c r="BE317" s="142"/>
      <c r="BF317" s="142"/>
      <c r="BG317" s="79">
        <f t="shared" si="149"/>
        <v>0</v>
      </c>
      <c r="BH317" s="75"/>
      <c r="BI317" s="76"/>
      <c r="BJ317" s="135"/>
      <c r="BK317" s="135"/>
      <c r="BL317" s="77">
        <f t="shared" si="150"/>
        <v>0</v>
      </c>
      <c r="BM317" s="78"/>
      <c r="BN317" s="142"/>
      <c r="BO317" s="142"/>
      <c r="BP317" s="77">
        <f t="shared" si="151"/>
        <v>0</v>
      </c>
      <c r="BQ317" s="78"/>
      <c r="BR317" s="142"/>
      <c r="BS317" s="142"/>
      <c r="BT317" s="79">
        <f t="shared" si="152"/>
        <v>0</v>
      </c>
      <c r="BU317" s="75"/>
      <c r="BV317" s="76"/>
      <c r="BW317" s="135"/>
      <c r="BX317" s="135"/>
      <c r="BY317" s="77">
        <f t="shared" si="153"/>
        <v>0</v>
      </c>
      <c r="BZ317" s="78"/>
      <c r="CA317" s="142"/>
      <c r="CB317" s="142"/>
      <c r="CC317" s="77">
        <f t="shared" si="154"/>
        <v>0</v>
      </c>
      <c r="CD317" s="78"/>
      <c r="CE317" s="142"/>
      <c r="CF317" s="142"/>
      <c r="CG317" s="79">
        <f t="shared" si="155"/>
        <v>0</v>
      </c>
      <c r="CH317" s="75"/>
      <c r="CI317" s="76"/>
      <c r="CJ317" s="86"/>
      <c r="CK317" s="86"/>
      <c r="CL317" s="77">
        <f t="shared" si="156"/>
        <v>0</v>
      </c>
      <c r="CM317" s="78"/>
      <c r="CN317" s="85"/>
      <c r="CO317" s="85"/>
      <c r="CP317" s="77">
        <f t="shared" si="157"/>
        <v>0</v>
      </c>
      <c r="CQ317" s="78"/>
      <c r="CR317" s="85"/>
      <c r="CS317" s="85"/>
      <c r="CT317" s="79">
        <f t="shared" si="158"/>
        <v>0</v>
      </c>
      <c r="CU317" s="80">
        <f t="shared" si="168"/>
        <v>0</v>
      </c>
      <c r="CV317" s="81">
        <f t="shared" si="169"/>
        <v>0</v>
      </c>
      <c r="CW317" s="144"/>
      <c r="CX317" s="145">
        <f>IF(ISERROR(VLOOKUP($A317,FIJOS!$B$11:$O$590,14,FALSE)),0,VLOOKUP($A317,FIJOS!$B$11:$O$590,14,FALSE))</f>
        <v>0</v>
      </c>
      <c r="CY317" s="145">
        <f>IF(ISERROR(VLOOKUP(A317,FIJOS!$B$10:$P$590,15,FALSE)),0,VLOOKUP(A317,FIJOS!$B$10:$P$590,15,FALSE))</f>
        <v>0</v>
      </c>
      <c r="CZ317" s="155"/>
      <c r="DA317" s="147"/>
      <c r="DB317" s="147"/>
      <c r="DC317" s="147"/>
      <c r="DD317" s="147"/>
      <c r="DE317" s="147"/>
      <c r="DF317" s="145">
        <f>IF(ISERROR(VLOOKUP($A317,FIJOS!$B$11:$N$590,13,FALSE)),0,VLOOKUP($A317,FIJOS!$B$11:$N$590,13,FALSE))</f>
        <v>0</v>
      </c>
      <c r="DG317" s="145">
        <f>IF(ISERROR(VLOOKUP($A317,FIJOS!$B$11:$P$447,12,FALSE)),0,VLOOKUP($A317,FIJOS!$B$11:$P$447,12,FALSE))</f>
        <v>0</v>
      </c>
      <c r="DH317" s="82">
        <f t="shared" si="159"/>
        <v>0</v>
      </c>
      <c r="DI317" s="83" t="b">
        <f>IF($C317=1,(VLOOKUP($A317,FIJOS!$B$11:$P$545,10,FALSE)/7)*(7-$CU317),IF(AND($C317=2,CV317&lt;$DJ$1),(VLOOKUP($D317,HORAS!$B$4:$C$42,2,FALSE)*24)*$CV317,IF(AND($C317=2,CV317&gt;=$DJ$1),VLOOKUP($D317,HORAS!$B$4:$D$42,3,FALSE),IF(AND($C317=3,$CV317&gt;=$DJ$1),VLOOKUP($A317,FIJOS!$B$11:$P$545,10,FALSE),IF(AND($C317=3,$CV317&lt;$DJ$1),((VLOOKUP($A317,FIJOS!$B$11:$P$545,10,FALSE)/48)*24)*$CV317,IF(AND($C317=4,$CV317&gt;=(42/24)),VLOOKUP($D317,HORAS!$B$4:$D$42,3,FALSE),IF(AND($C317=5,$CV317&gt;=(36/24)),VLOOKUP($D317,HORAS!$B$4:$D$42,3,FALSE))))))))</f>
        <v>0</v>
      </c>
      <c r="DJ317" s="145">
        <f>IF(OR($C317=2),VLOOKUP($D317,HORAS!$B$4:$E$42,4,FALSE)*$EC317,IF(ISERROR(VLOOKUP($A317,FIJOS!$B$11:$P$108,9,FALSE)),0,VLOOKUP($A317,FIJOS!$B$11:$P$231,9,FALSE)*$EC317))</f>
        <v>0</v>
      </c>
      <c r="DK317" s="145">
        <f>IF(OR($C317=2),VLOOKUP($D317,HORAS!$B$4:$F$42,5,FALSE)*$EE317,IF(ISERROR(VLOOKUP($A317,FIJOS!$B$11:$P$108,9,FALSE)),0,VLOOKUP($A317,FIJOS!$B$11:$P$231,9,FALSE)*$EE317))</f>
        <v>0</v>
      </c>
      <c r="DL317" s="144"/>
      <c r="DM317" s="145">
        <f>IF(ISERROR(VLOOKUP($A317,FIJOS!$B$11:$L$646,11,FALSE)),0,VLOOKUP($A317,FIJOS!$B$11:$L$646,11,FALSE))</f>
        <v>0</v>
      </c>
      <c r="DN317" s="148" t="e">
        <f>IF(OR($C317=1,$C317=3),0,IF((VLOOKUP(CAPTURA!D317,HORAS!$B$4:$K$42,10,FALSE)/4)*COUNTIF($H317:$CT317,3)&gt;100,100,(VLOOKUP(CAPTURA!D317,HORAS!$B$4:$K$42,10,FALSE)/4)*COUNTIF($H317:$CT317,3)))</f>
        <v>#N/A</v>
      </c>
      <c r="DO317" s="144" t="e">
        <f>IF(OR($C317=1,$C317=3),0,IF($C317=5,VLOOKUP(D317,HORAS!$B$4:$G$42,6,FALSE),IF(AND($C317=4,$CV317&gt;=(42/24)),VLOOKUP(D317,HORAS!$B$4:$G$42,6,FALSE),IF(COUNTIF($H317:$CL317,"F")&gt;0,0,IF(CV317&gt;$DJ$1,$DJ$1*(VLOOKUP(D317,HORAS!$B$4:$G$42,6,FALSE)/$DJ$1),CV317*(VLOOKUP(D317,HORAS!$B$4:$G$42,6,FALSE)/$DJ$1))))))</f>
        <v>#N/A</v>
      </c>
      <c r="DP317" s="156"/>
      <c r="DQ317" s="148"/>
      <c r="DR317" s="148"/>
      <c r="DS317" s="83" t="e">
        <f t="shared" si="162"/>
        <v>#N/A</v>
      </c>
      <c r="DT317" s="84"/>
      <c r="DU317" s="149" t="e">
        <f t="shared" si="163"/>
        <v>#N/A</v>
      </c>
      <c r="DV317" s="149" t="e">
        <f t="shared" si="164"/>
        <v>#N/A</v>
      </c>
      <c r="DW317" s="144" t="e">
        <f t="shared" si="165"/>
        <v>#N/A</v>
      </c>
      <c r="DX317"/>
      <c r="DY317" s="29"/>
      <c r="DZ317" s="150"/>
      <c r="EA317" s="134"/>
      <c r="EB317" s="137">
        <f t="shared" si="166"/>
        <v>0</v>
      </c>
      <c r="EC317" s="138">
        <f t="shared" si="160"/>
        <v>0</v>
      </c>
      <c r="ED317" s="137">
        <f t="shared" si="167"/>
        <v>0</v>
      </c>
      <c r="EE317" s="132">
        <f t="shared" si="161"/>
        <v>0</v>
      </c>
      <c r="EF317" s="29"/>
      <c r="EG317" s="134"/>
      <c r="EH317" s="134"/>
      <c r="EI317" s="134"/>
      <c r="EK317" s="29"/>
    </row>
    <row r="318" spans="1:141" ht="15" customHeight="1" x14ac:dyDescent="0.25">
      <c r="A318" s="87"/>
      <c r="B318" s="5"/>
      <c r="C318" s="72"/>
      <c r="D318" s="73"/>
      <c r="E318" s="73"/>
      <c r="F318" s="141"/>
      <c r="G318" s="74"/>
      <c r="H318" s="75"/>
      <c r="I318" s="76"/>
      <c r="J318" s="135"/>
      <c r="K318" s="135"/>
      <c r="L318" s="77">
        <f t="shared" si="138"/>
        <v>0</v>
      </c>
      <c r="M318" s="78"/>
      <c r="N318" s="142"/>
      <c r="O318" s="142"/>
      <c r="P318" s="77">
        <f t="shared" si="139"/>
        <v>0</v>
      </c>
      <c r="Q318" s="78"/>
      <c r="R318" s="143"/>
      <c r="S318" s="143"/>
      <c r="T318" s="77">
        <f t="shared" si="140"/>
        <v>0</v>
      </c>
      <c r="U318" s="75"/>
      <c r="V318" s="76"/>
      <c r="W318" s="135"/>
      <c r="X318" s="135"/>
      <c r="Y318" s="77">
        <f t="shared" si="141"/>
        <v>0</v>
      </c>
      <c r="Z318" s="78"/>
      <c r="AA318" s="142"/>
      <c r="AB318" s="142"/>
      <c r="AC318" s="77">
        <f t="shared" si="142"/>
        <v>0</v>
      </c>
      <c r="AD318" s="78"/>
      <c r="AE318" s="143"/>
      <c r="AF318" s="143"/>
      <c r="AG318" s="79">
        <f t="shared" si="143"/>
        <v>0</v>
      </c>
      <c r="AH318" s="75"/>
      <c r="AI318" s="76"/>
      <c r="AJ318" s="135"/>
      <c r="AK318" s="135"/>
      <c r="AL318" s="77">
        <f t="shared" si="144"/>
        <v>0</v>
      </c>
      <c r="AM318" s="76"/>
      <c r="AN318" s="142"/>
      <c r="AO318" s="142"/>
      <c r="AP318" s="77">
        <f t="shared" si="145"/>
        <v>0</v>
      </c>
      <c r="AQ318" s="78"/>
      <c r="AR318" s="142"/>
      <c r="AS318" s="142"/>
      <c r="AT318" s="79">
        <f t="shared" si="146"/>
        <v>0</v>
      </c>
      <c r="AU318" s="75"/>
      <c r="AV318" s="76"/>
      <c r="AW318" s="135"/>
      <c r="AX318" s="135"/>
      <c r="AY318" s="77">
        <f t="shared" si="147"/>
        <v>0</v>
      </c>
      <c r="AZ318" s="76"/>
      <c r="BA318" s="142"/>
      <c r="BB318" s="142"/>
      <c r="BC318" s="77">
        <f t="shared" si="148"/>
        <v>0</v>
      </c>
      <c r="BD318" s="78"/>
      <c r="BE318" s="142"/>
      <c r="BF318" s="142"/>
      <c r="BG318" s="79">
        <f t="shared" si="149"/>
        <v>0</v>
      </c>
      <c r="BH318" s="75"/>
      <c r="BI318" s="76"/>
      <c r="BJ318" s="135"/>
      <c r="BK318" s="135"/>
      <c r="BL318" s="77">
        <f t="shared" si="150"/>
        <v>0</v>
      </c>
      <c r="BM318" s="78"/>
      <c r="BN318" s="142"/>
      <c r="BO318" s="142"/>
      <c r="BP318" s="77">
        <f t="shared" si="151"/>
        <v>0</v>
      </c>
      <c r="BQ318" s="78"/>
      <c r="BR318" s="142"/>
      <c r="BS318" s="142"/>
      <c r="BT318" s="79">
        <f t="shared" si="152"/>
        <v>0</v>
      </c>
      <c r="BU318" s="75"/>
      <c r="BV318" s="76"/>
      <c r="BW318" s="135"/>
      <c r="BX318" s="135"/>
      <c r="BY318" s="77">
        <f t="shared" si="153"/>
        <v>0</v>
      </c>
      <c r="BZ318" s="78"/>
      <c r="CA318" s="142"/>
      <c r="CB318" s="142"/>
      <c r="CC318" s="77">
        <f t="shared" si="154"/>
        <v>0</v>
      </c>
      <c r="CD318" s="78"/>
      <c r="CE318" s="142"/>
      <c r="CF318" s="142"/>
      <c r="CG318" s="79">
        <f t="shared" si="155"/>
        <v>0</v>
      </c>
      <c r="CH318" s="75"/>
      <c r="CI318" s="76"/>
      <c r="CJ318" s="86"/>
      <c r="CK318" s="86"/>
      <c r="CL318" s="77">
        <f t="shared" si="156"/>
        <v>0</v>
      </c>
      <c r="CM318" s="78"/>
      <c r="CN318" s="85"/>
      <c r="CO318" s="85"/>
      <c r="CP318" s="77">
        <f t="shared" si="157"/>
        <v>0</v>
      </c>
      <c r="CQ318" s="78"/>
      <c r="CR318" s="85"/>
      <c r="CS318" s="85"/>
      <c r="CT318" s="79">
        <f t="shared" si="158"/>
        <v>0</v>
      </c>
      <c r="CU318" s="80">
        <f t="shared" si="168"/>
        <v>0</v>
      </c>
      <c r="CV318" s="81">
        <f t="shared" si="169"/>
        <v>0</v>
      </c>
      <c r="CW318" s="144"/>
      <c r="CX318" s="145">
        <f>IF(ISERROR(VLOOKUP($A318,FIJOS!$B$11:$O$590,14,FALSE)),0,VLOOKUP($A318,FIJOS!$B$11:$O$590,14,FALSE))</f>
        <v>0</v>
      </c>
      <c r="CY318" s="145">
        <f>IF(ISERROR(VLOOKUP(A318,FIJOS!$B$10:$P$590,15,FALSE)),0,VLOOKUP(A318,FIJOS!$B$10:$P$590,15,FALSE))</f>
        <v>0</v>
      </c>
      <c r="CZ318" s="155"/>
      <c r="DA318" s="147"/>
      <c r="DB318" s="147"/>
      <c r="DC318" s="147"/>
      <c r="DD318" s="147"/>
      <c r="DE318" s="147"/>
      <c r="DF318" s="145">
        <f>IF(ISERROR(VLOOKUP($A318,FIJOS!$B$11:$N$590,13,FALSE)),0,VLOOKUP($A318,FIJOS!$B$11:$N$590,13,FALSE))</f>
        <v>0</v>
      </c>
      <c r="DG318" s="145">
        <f>IF(ISERROR(VLOOKUP($A318,FIJOS!$B$11:$P$447,12,FALSE)),0,VLOOKUP($A318,FIJOS!$B$11:$P$447,12,FALSE))</f>
        <v>0</v>
      </c>
      <c r="DH318" s="82">
        <f t="shared" si="159"/>
        <v>0</v>
      </c>
      <c r="DI318" s="83" t="b">
        <f>IF($C318=1,(VLOOKUP($A318,FIJOS!$B$11:$P$545,10,FALSE)/7)*(7-$CU318),IF(AND($C318=2,CV318&lt;$DJ$1),(VLOOKUP($D318,HORAS!$B$4:$C$42,2,FALSE)*24)*$CV318,IF(AND($C318=2,CV318&gt;=$DJ$1),VLOOKUP($D318,HORAS!$B$4:$D$42,3,FALSE),IF(AND($C318=3,$CV318&gt;=$DJ$1),VLOOKUP($A318,FIJOS!$B$11:$P$545,10,FALSE),IF(AND($C318=3,$CV318&lt;$DJ$1),((VLOOKUP($A318,FIJOS!$B$11:$P$545,10,FALSE)/48)*24)*$CV318,IF(AND($C318=4,$CV318&gt;=(42/24)),VLOOKUP($D318,HORAS!$B$4:$D$42,3,FALSE),IF(AND($C318=5,$CV318&gt;=(36/24)),VLOOKUP($D318,HORAS!$B$4:$D$42,3,FALSE))))))))</f>
        <v>0</v>
      </c>
      <c r="DJ318" s="145">
        <f>IF(OR($C318=2),VLOOKUP($D318,HORAS!$B$4:$E$42,4,FALSE)*$EC318,IF(ISERROR(VLOOKUP($A318,FIJOS!$B$11:$P$108,9,FALSE)),0,VLOOKUP($A318,FIJOS!$B$11:$P$231,9,FALSE)*$EC318))</f>
        <v>0</v>
      </c>
      <c r="DK318" s="145">
        <f>IF(OR($C318=2),VLOOKUP($D318,HORAS!$B$4:$F$42,5,FALSE)*$EE318,IF(ISERROR(VLOOKUP($A318,FIJOS!$B$11:$P$108,9,FALSE)),0,VLOOKUP($A318,FIJOS!$B$11:$P$231,9,FALSE)*$EE318))</f>
        <v>0</v>
      </c>
      <c r="DL318" s="144"/>
      <c r="DM318" s="145">
        <f>IF(ISERROR(VLOOKUP($A318,FIJOS!$B$11:$L$646,11,FALSE)),0,VLOOKUP($A318,FIJOS!$B$11:$L$646,11,FALSE))</f>
        <v>0</v>
      </c>
      <c r="DN318" s="148" t="e">
        <f>IF(OR($C318=1,$C318=3),0,IF((VLOOKUP(CAPTURA!D318,HORAS!$B$4:$K$42,10,FALSE)/4)*COUNTIF($H318:$CT318,3)&gt;100,100,(VLOOKUP(CAPTURA!D318,HORAS!$B$4:$K$42,10,FALSE)/4)*COUNTIF($H318:$CT318,3)))</f>
        <v>#N/A</v>
      </c>
      <c r="DO318" s="144" t="e">
        <f>IF(OR($C318=1,$C318=3),0,IF($C318=5,VLOOKUP(D318,HORAS!$B$4:$G$42,6,FALSE),IF(AND($C318=4,$CV318&gt;=(42/24)),VLOOKUP(D318,HORAS!$B$4:$G$42,6,FALSE),IF(COUNTIF($H318:$CL318,"F")&gt;0,0,IF(CV318&gt;$DJ$1,$DJ$1*(VLOOKUP(D318,HORAS!$B$4:$G$42,6,FALSE)/$DJ$1),CV318*(VLOOKUP(D318,HORAS!$B$4:$G$42,6,FALSE)/$DJ$1))))))</f>
        <v>#N/A</v>
      </c>
      <c r="DP318" s="156"/>
      <c r="DQ318" s="148"/>
      <c r="DR318" s="148"/>
      <c r="DS318" s="83" t="e">
        <f t="shared" si="162"/>
        <v>#N/A</v>
      </c>
      <c r="DT318" s="84"/>
      <c r="DU318" s="149" t="e">
        <f t="shared" si="163"/>
        <v>#N/A</v>
      </c>
      <c r="DV318" s="149" t="e">
        <f t="shared" si="164"/>
        <v>#N/A</v>
      </c>
      <c r="DW318" s="144" t="e">
        <f t="shared" si="165"/>
        <v>#N/A</v>
      </c>
      <c r="DX318"/>
      <c r="DY318" s="29"/>
      <c r="DZ318" s="150"/>
      <c r="EA318" s="134"/>
      <c r="EB318" s="137">
        <f t="shared" si="166"/>
        <v>0</v>
      </c>
      <c r="EC318" s="138">
        <f t="shared" si="160"/>
        <v>0</v>
      </c>
      <c r="ED318" s="137">
        <f t="shared" si="167"/>
        <v>0</v>
      </c>
      <c r="EE318" s="132">
        <f t="shared" si="161"/>
        <v>0</v>
      </c>
      <c r="EF318" s="29"/>
      <c r="EG318" s="134"/>
      <c r="EH318" s="134"/>
      <c r="EI318" s="134"/>
      <c r="EK318" s="29"/>
    </row>
    <row r="319" spans="1:141" ht="15" customHeight="1" x14ac:dyDescent="0.25">
      <c r="A319" s="87"/>
      <c r="B319" s="5"/>
      <c r="C319" s="72"/>
      <c r="D319" s="73"/>
      <c r="E319" s="73"/>
      <c r="F319" s="141"/>
      <c r="G319" s="74"/>
      <c r="H319" s="75"/>
      <c r="I319" s="76"/>
      <c r="J319" s="135"/>
      <c r="K319" s="135"/>
      <c r="L319" s="77">
        <f t="shared" si="138"/>
        <v>0</v>
      </c>
      <c r="M319" s="78"/>
      <c r="N319" s="142"/>
      <c r="O319" s="142"/>
      <c r="P319" s="77">
        <f t="shared" si="139"/>
        <v>0</v>
      </c>
      <c r="Q319" s="78"/>
      <c r="R319" s="143"/>
      <c r="S319" s="143"/>
      <c r="T319" s="77">
        <f t="shared" si="140"/>
        <v>0</v>
      </c>
      <c r="U319" s="75"/>
      <c r="V319" s="76"/>
      <c r="W319" s="135"/>
      <c r="X319" s="135"/>
      <c r="Y319" s="77">
        <f t="shared" si="141"/>
        <v>0</v>
      </c>
      <c r="Z319" s="78"/>
      <c r="AA319" s="142"/>
      <c r="AB319" s="142"/>
      <c r="AC319" s="77">
        <f t="shared" si="142"/>
        <v>0</v>
      </c>
      <c r="AD319" s="78"/>
      <c r="AE319" s="143"/>
      <c r="AF319" s="143"/>
      <c r="AG319" s="79">
        <f t="shared" si="143"/>
        <v>0</v>
      </c>
      <c r="AH319" s="75"/>
      <c r="AI319" s="76"/>
      <c r="AJ319" s="135"/>
      <c r="AK319" s="135"/>
      <c r="AL319" s="77">
        <f t="shared" si="144"/>
        <v>0</v>
      </c>
      <c r="AM319" s="76"/>
      <c r="AN319" s="142"/>
      <c r="AO319" s="142"/>
      <c r="AP319" s="77">
        <f t="shared" si="145"/>
        <v>0</v>
      </c>
      <c r="AQ319" s="78"/>
      <c r="AR319" s="142"/>
      <c r="AS319" s="142"/>
      <c r="AT319" s="79">
        <f t="shared" si="146"/>
        <v>0</v>
      </c>
      <c r="AU319" s="75"/>
      <c r="AV319" s="76"/>
      <c r="AW319" s="135"/>
      <c r="AX319" s="135"/>
      <c r="AY319" s="77">
        <f t="shared" si="147"/>
        <v>0</v>
      </c>
      <c r="AZ319" s="76"/>
      <c r="BA319" s="142"/>
      <c r="BB319" s="142"/>
      <c r="BC319" s="77">
        <f t="shared" si="148"/>
        <v>0</v>
      </c>
      <c r="BD319" s="78"/>
      <c r="BE319" s="142"/>
      <c r="BF319" s="142"/>
      <c r="BG319" s="79">
        <f t="shared" si="149"/>
        <v>0</v>
      </c>
      <c r="BH319" s="75"/>
      <c r="BI319" s="76"/>
      <c r="BJ319" s="135"/>
      <c r="BK319" s="135"/>
      <c r="BL319" s="77">
        <f t="shared" si="150"/>
        <v>0</v>
      </c>
      <c r="BM319" s="78"/>
      <c r="BN319" s="142"/>
      <c r="BO319" s="142"/>
      <c r="BP319" s="77">
        <f t="shared" si="151"/>
        <v>0</v>
      </c>
      <c r="BQ319" s="78"/>
      <c r="BR319" s="142"/>
      <c r="BS319" s="142"/>
      <c r="BT319" s="79">
        <f t="shared" si="152"/>
        <v>0</v>
      </c>
      <c r="BU319" s="75"/>
      <c r="BV319" s="76"/>
      <c r="BW319" s="135"/>
      <c r="BX319" s="135"/>
      <c r="BY319" s="77">
        <f t="shared" si="153"/>
        <v>0</v>
      </c>
      <c r="BZ319" s="78"/>
      <c r="CA319" s="142"/>
      <c r="CB319" s="142"/>
      <c r="CC319" s="77">
        <f t="shared" si="154"/>
        <v>0</v>
      </c>
      <c r="CD319" s="78"/>
      <c r="CE319" s="142"/>
      <c r="CF319" s="142"/>
      <c r="CG319" s="79">
        <f t="shared" si="155"/>
        <v>0</v>
      </c>
      <c r="CH319" s="75"/>
      <c r="CI319" s="76"/>
      <c r="CJ319" s="86"/>
      <c r="CK319" s="86"/>
      <c r="CL319" s="77">
        <f t="shared" si="156"/>
        <v>0</v>
      </c>
      <c r="CM319" s="78"/>
      <c r="CN319" s="85"/>
      <c r="CO319" s="85"/>
      <c r="CP319" s="77">
        <f t="shared" si="157"/>
        <v>0</v>
      </c>
      <c r="CQ319" s="78"/>
      <c r="CR319" s="85"/>
      <c r="CS319" s="85"/>
      <c r="CT319" s="79">
        <f t="shared" si="158"/>
        <v>0</v>
      </c>
      <c r="CU319" s="80">
        <f t="shared" si="168"/>
        <v>0</v>
      </c>
      <c r="CV319" s="81">
        <f t="shared" si="169"/>
        <v>0</v>
      </c>
      <c r="CW319" s="144"/>
      <c r="CX319" s="145">
        <f>IF(ISERROR(VLOOKUP($A319,FIJOS!$B$11:$O$590,14,FALSE)),0,VLOOKUP($A319,FIJOS!$B$11:$O$590,14,FALSE))</f>
        <v>0</v>
      </c>
      <c r="CY319" s="145">
        <f>IF(ISERROR(VLOOKUP(A319,FIJOS!$B$10:$P$590,15,FALSE)),0,VLOOKUP(A319,FIJOS!$B$10:$P$590,15,FALSE))</f>
        <v>0</v>
      </c>
      <c r="CZ319" s="155"/>
      <c r="DA319" s="147"/>
      <c r="DB319" s="147"/>
      <c r="DC319" s="147"/>
      <c r="DD319" s="147"/>
      <c r="DE319" s="147"/>
      <c r="DF319" s="145">
        <f>IF(ISERROR(VLOOKUP($A319,FIJOS!$B$11:$N$590,13,FALSE)),0,VLOOKUP($A319,FIJOS!$B$11:$N$590,13,FALSE))</f>
        <v>0</v>
      </c>
      <c r="DG319" s="145">
        <f>IF(ISERROR(VLOOKUP($A319,FIJOS!$B$11:$P$447,12,FALSE)),0,VLOOKUP($A319,FIJOS!$B$11:$P$447,12,FALSE))</f>
        <v>0</v>
      </c>
      <c r="DH319" s="82">
        <f t="shared" si="159"/>
        <v>0</v>
      </c>
      <c r="DI319" s="83" t="b">
        <f>IF($C319=1,(VLOOKUP($A319,FIJOS!$B$11:$P$545,10,FALSE)/7)*(7-$CU319),IF(AND($C319=2,CV319&lt;$DJ$1),(VLOOKUP($D319,HORAS!$B$4:$C$42,2,FALSE)*24)*$CV319,IF(AND($C319=2,CV319&gt;=$DJ$1),VLOOKUP($D319,HORAS!$B$4:$D$42,3,FALSE),IF(AND($C319=3,$CV319&gt;=$DJ$1),VLOOKUP($A319,FIJOS!$B$11:$P$545,10,FALSE),IF(AND($C319=3,$CV319&lt;$DJ$1),((VLOOKUP($A319,FIJOS!$B$11:$P$545,10,FALSE)/48)*24)*$CV319,IF(AND($C319=4,$CV319&gt;=(42/24)),VLOOKUP($D319,HORAS!$B$4:$D$42,3,FALSE),IF(AND($C319=5,$CV319&gt;=(36/24)),VLOOKUP($D319,HORAS!$B$4:$D$42,3,FALSE))))))))</f>
        <v>0</v>
      </c>
      <c r="DJ319" s="145">
        <f>IF(OR($C319=2),VLOOKUP($D319,HORAS!$B$4:$E$42,4,FALSE)*$EC319,IF(ISERROR(VLOOKUP($A319,FIJOS!$B$11:$P$108,9,FALSE)),0,VLOOKUP($A319,FIJOS!$B$11:$P$231,9,FALSE)*$EC319))</f>
        <v>0</v>
      </c>
      <c r="DK319" s="145">
        <f>IF(OR($C319=2),VLOOKUP($D319,HORAS!$B$4:$F$42,5,FALSE)*$EE319,IF(ISERROR(VLOOKUP($A319,FIJOS!$B$11:$P$108,9,FALSE)),0,VLOOKUP($A319,FIJOS!$B$11:$P$231,9,FALSE)*$EE319))</f>
        <v>0</v>
      </c>
      <c r="DL319" s="144"/>
      <c r="DM319" s="145">
        <f>IF(ISERROR(VLOOKUP($A319,FIJOS!$B$11:$L$646,11,FALSE)),0,VLOOKUP($A319,FIJOS!$B$11:$L$646,11,FALSE))</f>
        <v>0</v>
      </c>
      <c r="DN319" s="148" t="e">
        <f>IF(OR($C319=1,$C319=3),0,IF((VLOOKUP(CAPTURA!D319,HORAS!$B$4:$K$42,10,FALSE)/4)*COUNTIF($H319:$CT319,3)&gt;100,100,(VLOOKUP(CAPTURA!D319,HORAS!$B$4:$K$42,10,FALSE)/4)*COUNTIF($H319:$CT319,3)))</f>
        <v>#N/A</v>
      </c>
      <c r="DO319" s="144" t="e">
        <f>IF(OR($C319=1,$C319=3),0,IF($C319=5,VLOOKUP(D319,HORAS!$B$4:$G$42,6,FALSE),IF(AND($C319=4,$CV319&gt;=(42/24)),VLOOKUP(D319,HORAS!$B$4:$G$42,6,FALSE),IF(COUNTIF($H319:$CL319,"F")&gt;0,0,IF(CV319&gt;$DJ$1,$DJ$1*(VLOOKUP(D319,HORAS!$B$4:$G$42,6,FALSE)/$DJ$1),CV319*(VLOOKUP(D319,HORAS!$B$4:$G$42,6,FALSE)/$DJ$1))))))</f>
        <v>#N/A</v>
      </c>
      <c r="DP319" s="156"/>
      <c r="DQ319" s="148"/>
      <c r="DR319" s="148"/>
      <c r="DS319" s="83" t="e">
        <f t="shared" si="162"/>
        <v>#N/A</v>
      </c>
      <c r="DT319" s="84"/>
      <c r="DU319" s="149" t="e">
        <f t="shared" si="163"/>
        <v>#N/A</v>
      </c>
      <c r="DV319" s="149" t="e">
        <f t="shared" si="164"/>
        <v>#N/A</v>
      </c>
      <c r="DW319" s="144" t="e">
        <f t="shared" si="165"/>
        <v>#N/A</v>
      </c>
      <c r="DX319"/>
      <c r="DY319" s="29"/>
      <c r="DZ319" s="150"/>
      <c r="EA319" s="134"/>
      <c r="EB319" s="137">
        <f t="shared" si="166"/>
        <v>0</v>
      </c>
      <c r="EC319" s="138">
        <f t="shared" si="160"/>
        <v>0</v>
      </c>
      <c r="ED319" s="137">
        <f t="shared" si="167"/>
        <v>0</v>
      </c>
      <c r="EE319" s="132">
        <f t="shared" si="161"/>
        <v>0</v>
      </c>
      <c r="EF319" s="29"/>
      <c r="EG319" s="134"/>
      <c r="EH319" s="134"/>
      <c r="EI319" s="134"/>
      <c r="EK319" s="29"/>
    </row>
    <row r="320" spans="1:141" ht="15" customHeight="1" x14ac:dyDescent="0.25">
      <c r="A320" s="87"/>
      <c r="B320" s="5"/>
      <c r="C320" s="72"/>
      <c r="D320" s="73"/>
      <c r="E320" s="73"/>
      <c r="F320" s="141"/>
      <c r="G320" s="74"/>
      <c r="H320" s="75"/>
      <c r="I320" s="76"/>
      <c r="J320" s="135"/>
      <c r="K320" s="135"/>
      <c r="L320" s="77">
        <f t="shared" si="138"/>
        <v>0</v>
      </c>
      <c r="M320" s="78"/>
      <c r="N320" s="142"/>
      <c r="O320" s="142"/>
      <c r="P320" s="77">
        <f t="shared" si="139"/>
        <v>0</v>
      </c>
      <c r="Q320" s="78"/>
      <c r="R320" s="143"/>
      <c r="S320" s="143"/>
      <c r="T320" s="77">
        <f t="shared" si="140"/>
        <v>0</v>
      </c>
      <c r="U320" s="75"/>
      <c r="V320" s="76"/>
      <c r="W320" s="135"/>
      <c r="X320" s="135"/>
      <c r="Y320" s="77">
        <f t="shared" si="141"/>
        <v>0</v>
      </c>
      <c r="Z320" s="78"/>
      <c r="AA320" s="142"/>
      <c r="AB320" s="142"/>
      <c r="AC320" s="77">
        <f t="shared" si="142"/>
        <v>0</v>
      </c>
      <c r="AD320" s="78"/>
      <c r="AE320" s="143"/>
      <c r="AF320" s="143"/>
      <c r="AG320" s="79">
        <f t="shared" si="143"/>
        <v>0</v>
      </c>
      <c r="AH320" s="75"/>
      <c r="AI320" s="76"/>
      <c r="AJ320" s="135"/>
      <c r="AK320" s="135"/>
      <c r="AL320" s="77">
        <f t="shared" si="144"/>
        <v>0</v>
      </c>
      <c r="AM320" s="76"/>
      <c r="AN320" s="142"/>
      <c r="AO320" s="142"/>
      <c r="AP320" s="77">
        <f t="shared" si="145"/>
        <v>0</v>
      </c>
      <c r="AQ320" s="78"/>
      <c r="AR320" s="142"/>
      <c r="AS320" s="142"/>
      <c r="AT320" s="79">
        <f t="shared" si="146"/>
        <v>0</v>
      </c>
      <c r="AU320" s="75"/>
      <c r="AV320" s="76"/>
      <c r="AW320" s="135"/>
      <c r="AX320" s="135"/>
      <c r="AY320" s="77">
        <f t="shared" si="147"/>
        <v>0</v>
      </c>
      <c r="AZ320" s="76"/>
      <c r="BA320" s="142"/>
      <c r="BB320" s="142"/>
      <c r="BC320" s="77">
        <f t="shared" si="148"/>
        <v>0</v>
      </c>
      <c r="BD320" s="78"/>
      <c r="BE320" s="142"/>
      <c r="BF320" s="142"/>
      <c r="BG320" s="79">
        <f t="shared" si="149"/>
        <v>0</v>
      </c>
      <c r="BH320" s="75"/>
      <c r="BI320" s="76"/>
      <c r="BJ320" s="135"/>
      <c r="BK320" s="135"/>
      <c r="BL320" s="77">
        <f t="shared" si="150"/>
        <v>0</v>
      </c>
      <c r="BM320" s="78"/>
      <c r="BN320" s="142"/>
      <c r="BO320" s="142"/>
      <c r="BP320" s="77">
        <f t="shared" si="151"/>
        <v>0</v>
      </c>
      <c r="BQ320" s="78"/>
      <c r="BR320" s="142"/>
      <c r="BS320" s="142"/>
      <c r="BT320" s="79">
        <f t="shared" si="152"/>
        <v>0</v>
      </c>
      <c r="BU320" s="75"/>
      <c r="BV320" s="76"/>
      <c r="BW320" s="135"/>
      <c r="BX320" s="135"/>
      <c r="BY320" s="77">
        <f t="shared" si="153"/>
        <v>0</v>
      </c>
      <c r="BZ320" s="78"/>
      <c r="CA320" s="142"/>
      <c r="CB320" s="142"/>
      <c r="CC320" s="77">
        <f t="shared" si="154"/>
        <v>0</v>
      </c>
      <c r="CD320" s="78"/>
      <c r="CE320" s="142"/>
      <c r="CF320" s="142"/>
      <c r="CG320" s="79">
        <f t="shared" si="155"/>
        <v>0</v>
      </c>
      <c r="CH320" s="75"/>
      <c r="CI320" s="76"/>
      <c r="CJ320" s="86"/>
      <c r="CK320" s="86"/>
      <c r="CL320" s="77">
        <f t="shared" si="156"/>
        <v>0</v>
      </c>
      <c r="CM320" s="78"/>
      <c r="CN320" s="85"/>
      <c r="CO320" s="85"/>
      <c r="CP320" s="77">
        <f t="shared" si="157"/>
        <v>0</v>
      </c>
      <c r="CQ320" s="78"/>
      <c r="CR320" s="85"/>
      <c r="CS320" s="85"/>
      <c r="CT320" s="79">
        <f t="shared" si="158"/>
        <v>0</v>
      </c>
      <c r="CU320" s="80">
        <f t="shared" si="168"/>
        <v>0</v>
      </c>
      <c r="CV320" s="81">
        <f t="shared" si="169"/>
        <v>0</v>
      </c>
      <c r="CW320" s="144"/>
      <c r="CX320" s="145">
        <f>IF(ISERROR(VLOOKUP($A320,FIJOS!$B$11:$O$590,14,FALSE)),0,VLOOKUP($A320,FIJOS!$B$11:$O$590,14,FALSE))</f>
        <v>0</v>
      </c>
      <c r="CY320" s="145">
        <f>IF(ISERROR(VLOOKUP(A320,FIJOS!$B$10:$P$590,15,FALSE)),0,VLOOKUP(A320,FIJOS!$B$10:$P$590,15,FALSE))</f>
        <v>0</v>
      </c>
      <c r="CZ320" s="155"/>
      <c r="DA320" s="147"/>
      <c r="DB320" s="147"/>
      <c r="DC320" s="147"/>
      <c r="DD320" s="147"/>
      <c r="DE320" s="147"/>
      <c r="DF320" s="145">
        <f>IF(ISERROR(VLOOKUP($A320,FIJOS!$B$11:$N$590,13,FALSE)),0,VLOOKUP($A320,FIJOS!$B$11:$N$590,13,FALSE))</f>
        <v>0</v>
      </c>
      <c r="DG320" s="145">
        <f>IF(ISERROR(VLOOKUP($A320,FIJOS!$B$11:$P$447,12,FALSE)),0,VLOOKUP($A320,FIJOS!$B$11:$P$447,12,FALSE))</f>
        <v>0</v>
      </c>
      <c r="DH320" s="82">
        <f t="shared" si="159"/>
        <v>0</v>
      </c>
      <c r="DI320" s="83" t="b">
        <f>IF($C320=1,(VLOOKUP($A320,FIJOS!$B$11:$P$545,10,FALSE)/7)*(7-$CU320),IF(AND($C320=2,CV320&lt;$DJ$1),(VLOOKUP($D320,HORAS!$B$4:$C$42,2,FALSE)*24)*$CV320,IF(AND($C320=2,CV320&gt;=$DJ$1),VLOOKUP($D320,HORAS!$B$4:$D$42,3,FALSE),IF(AND($C320=3,$CV320&gt;=$DJ$1),VLOOKUP($A320,FIJOS!$B$11:$P$545,10,FALSE),IF(AND($C320=3,$CV320&lt;$DJ$1),((VLOOKUP($A320,FIJOS!$B$11:$P$545,10,FALSE)/48)*24)*$CV320,IF(AND($C320=4,$CV320&gt;=(42/24)),VLOOKUP($D320,HORAS!$B$4:$D$42,3,FALSE),IF(AND($C320=5,$CV320&gt;=(36/24)),VLOOKUP($D320,HORAS!$B$4:$D$42,3,FALSE))))))))</f>
        <v>0</v>
      </c>
      <c r="DJ320" s="145">
        <f>IF(OR($C320=2),VLOOKUP($D320,HORAS!$B$4:$E$42,4,FALSE)*$EC320,IF(ISERROR(VLOOKUP($A320,FIJOS!$B$11:$P$108,9,FALSE)),0,VLOOKUP($A320,FIJOS!$B$11:$P$231,9,FALSE)*$EC320))</f>
        <v>0</v>
      </c>
      <c r="DK320" s="145">
        <f>IF(OR($C320=2),VLOOKUP($D320,HORAS!$B$4:$F$42,5,FALSE)*$EE320,IF(ISERROR(VLOOKUP($A320,FIJOS!$B$11:$P$108,9,FALSE)),0,VLOOKUP($A320,FIJOS!$B$11:$P$231,9,FALSE)*$EE320))</f>
        <v>0</v>
      </c>
      <c r="DL320" s="144"/>
      <c r="DM320" s="145">
        <f>IF(ISERROR(VLOOKUP($A320,FIJOS!$B$11:$L$646,11,FALSE)),0,VLOOKUP($A320,FIJOS!$B$11:$L$646,11,FALSE))</f>
        <v>0</v>
      </c>
      <c r="DN320" s="148" t="e">
        <f>IF(OR($C320=1,$C320=3),0,IF((VLOOKUP(CAPTURA!D320,HORAS!$B$4:$K$42,10,FALSE)/4)*COUNTIF($H320:$CT320,3)&gt;100,100,(VLOOKUP(CAPTURA!D320,HORAS!$B$4:$K$42,10,FALSE)/4)*COUNTIF($H320:$CT320,3)))</f>
        <v>#N/A</v>
      </c>
      <c r="DO320" s="144" t="e">
        <f>IF(OR($C320=1,$C320=3),0,IF($C320=5,VLOOKUP(D320,HORAS!$B$4:$G$42,6,FALSE),IF(AND($C320=4,$CV320&gt;=(42/24)),VLOOKUP(D320,HORAS!$B$4:$G$42,6,FALSE),IF(COUNTIF($H320:$CL320,"F")&gt;0,0,IF(CV320&gt;$DJ$1,$DJ$1*(VLOOKUP(D320,HORAS!$B$4:$G$42,6,FALSE)/$DJ$1),CV320*(VLOOKUP(D320,HORAS!$B$4:$G$42,6,FALSE)/$DJ$1))))))</f>
        <v>#N/A</v>
      </c>
      <c r="DP320" s="156"/>
      <c r="DQ320" s="148"/>
      <c r="DR320" s="148"/>
      <c r="DS320" s="83" t="e">
        <f t="shared" si="162"/>
        <v>#N/A</v>
      </c>
      <c r="DT320" s="84"/>
      <c r="DU320" s="149" t="e">
        <f t="shared" si="163"/>
        <v>#N/A</v>
      </c>
      <c r="DV320" s="149" t="e">
        <f t="shared" si="164"/>
        <v>#N/A</v>
      </c>
      <c r="DW320" s="144" t="e">
        <f t="shared" si="165"/>
        <v>#N/A</v>
      </c>
      <c r="DX320"/>
      <c r="DY320" s="29"/>
      <c r="DZ320" s="150"/>
      <c r="EA320" s="134"/>
      <c r="EB320" s="137">
        <f t="shared" si="166"/>
        <v>0</v>
      </c>
      <c r="EC320" s="138">
        <f t="shared" si="160"/>
        <v>0</v>
      </c>
      <c r="ED320" s="137">
        <f t="shared" si="167"/>
        <v>0</v>
      </c>
      <c r="EE320" s="132">
        <f t="shared" si="161"/>
        <v>0</v>
      </c>
      <c r="EF320" s="29"/>
      <c r="EG320" s="134"/>
      <c r="EH320" s="134"/>
      <c r="EI320" s="134"/>
      <c r="EK320" s="29"/>
    </row>
    <row r="321" spans="1:141" ht="15" customHeight="1" x14ac:dyDescent="0.25">
      <c r="A321" s="87"/>
      <c r="B321" s="5"/>
      <c r="C321" s="72"/>
      <c r="D321" s="73"/>
      <c r="E321" s="73"/>
      <c r="F321" s="141"/>
      <c r="G321" s="74"/>
      <c r="H321" s="75"/>
      <c r="I321" s="76"/>
      <c r="J321" s="135"/>
      <c r="K321" s="135"/>
      <c r="L321" s="77">
        <f t="shared" ref="L321:L352" si="170">IF((K321-J321)&gt;=0,(K321-J321),$A$1+(K321-J321))</f>
        <v>0</v>
      </c>
      <c r="M321" s="78"/>
      <c r="N321" s="142"/>
      <c r="O321" s="142"/>
      <c r="P321" s="77">
        <f t="shared" ref="P321:P352" si="171">IF((O321-N321)&gt;=0,(O321-N321),$A$1+(O321-N321))</f>
        <v>0</v>
      </c>
      <c r="Q321" s="78"/>
      <c r="R321" s="143"/>
      <c r="S321" s="143"/>
      <c r="T321" s="77">
        <f t="shared" ref="T321:T352" si="172">IF((S321-R321)&gt;=0,(S321-R321),$A$1+(S321-R321))</f>
        <v>0</v>
      </c>
      <c r="U321" s="75"/>
      <c r="V321" s="76"/>
      <c r="W321" s="135"/>
      <c r="X321" s="135"/>
      <c r="Y321" s="77">
        <f t="shared" ref="Y321:Y352" si="173">IF((X321-W321)&gt;=0,(X321-W321),$A$1+(X321-W321))</f>
        <v>0</v>
      </c>
      <c r="Z321" s="78"/>
      <c r="AA321" s="142"/>
      <c r="AB321" s="142"/>
      <c r="AC321" s="77">
        <f t="shared" ref="AC321:AC352" si="174">IF((AB321-AA321)&gt;=0,(AB321-AA321),$A$1+(AB321-AA321))</f>
        <v>0</v>
      </c>
      <c r="AD321" s="78"/>
      <c r="AE321" s="143"/>
      <c r="AF321" s="143"/>
      <c r="AG321" s="79">
        <f t="shared" ref="AG321:AG352" si="175">IF((AF321-AE321)&gt;=0,(AF321-AE321),$A$1+(AF321-AE321))</f>
        <v>0</v>
      </c>
      <c r="AH321" s="75"/>
      <c r="AI321" s="76"/>
      <c r="AJ321" s="135"/>
      <c r="AK321" s="135"/>
      <c r="AL321" s="77">
        <f t="shared" ref="AL321:AL352" si="176">IF((AK321-AJ321)&gt;=0,(AK321-AJ321),$A$1+(AK321-AJ321))</f>
        <v>0</v>
      </c>
      <c r="AM321" s="76"/>
      <c r="AN321" s="142"/>
      <c r="AO321" s="142"/>
      <c r="AP321" s="77">
        <f t="shared" ref="AP321:AP352" si="177">IF((AO321-AN321)&gt;=0,(AO321-AN321),$A$1+(AO321-AN321))</f>
        <v>0</v>
      </c>
      <c r="AQ321" s="78"/>
      <c r="AR321" s="142"/>
      <c r="AS321" s="142"/>
      <c r="AT321" s="79">
        <f t="shared" ref="AT321:AT352" si="178">IF((AS321-AR321)&gt;=0,(AS321-AR321),$A$1+(AS321-AR321))</f>
        <v>0</v>
      </c>
      <c r="AU321" s="75"/>
      <c r="AV321" s="76"/>
      <c r="AW321" s="135"/>
      <c r="AX321" s="135"/>
      <c r="AY321" s="77">
        <f t="shared" ref="AY321:AY352" si="179">IF((AX321-AW321)&gt;=0,(AX321-AW321),$A$1+(AX321-AW321))</f>
        <v>0</v>
      </c>
      <c r="AZ321" s="76"/>
      <c r="BA321" s="142"/>
      <c r="BB321" s="142"/>
      <c r="BC321" s="77">
        <f t="shared" ref="BC321:BC352" si="180">IF((BB321-BA321)&gt;=0,(BB321-BA321),$A$1+(BB321-BA321))</f>
        <v>0</v>
      </c>
      <c r="BD321" s="78"/>
      <c r="BE321" s="142"/>
      <c r="BF321" s="142"/>
      <c r="BG321" s="79">
        <f t="shared" ref="BG321:BG352" si="181">IF((BF321-BE321)&gt;=0,(BF321-BE321),$A$1+(BF321-BE321))</f>
        <v>0</v>
      </c>
      <c r="BH321" s="75"/>
      <c r="BI321" s="76"/>
      <c r="BJ321" s="135"/>
      <c r="BK321" s="135"/>
      <c r="BL321" s="77">
        <f t="shared" ref="BL321:BL352" si="182">IF((BK321-BJ321)&gt;=0,(BK321-BJ321),$A$1+(BK321-BJ321))</f>
        <v>0</v>
      </c>
      <c r="BM321" s="78"/>
      <c r="BN321" s="142"/>
      <c r="BO321" s="142"/>
      <c r="BP321" s="77">
        <f t="shared" ref="BP321:BP352" si="183">IF((BO321-BN321)&gt;=0,(BO321-BN321),$A$1+(BO321-BN321))</f>
        <v>0</v>
      </c>
      <c r="BQ321" s="78"/>
      <c r="BR321" s="142"/>
      <c r="BS321" s="142"/>
      <c r="BT321" s="79">
        <f t="shared" ref="BT321:BT352" si="184">IF((BS321-BR321)&gt;=0,(BS321-BR321),$A$1+(BS321-BR321))</f>
        <v>0</v>
      </c>
      <c r="BU321" s="75"/>
      <c r="BV321" s="76"/>
      <c r="BW321" s="135"/>
      <c r="BX321" s="135"/>
      <c r="BY321" s="77">
        <f t="shared" ref="BY321:BY352" si="185">IF((BX321-BW321)&gt;=0,(BX321-BW321),$A$1+(BX321-BW321))</f>
        <v>0</v>
      </c>
      <c r="BZ321" s="78"/>
      <c r="CA321" s="142"/>
      <c r="CB321" s="142"/>
      <c r="CC321" s="77">
        <f t="shared" ref="CC321:CC352" si="186">IF((CB321-CA321)&gt;=0,(CB321-CA321),$A$1+(CB321-CA321))</f>
        <v>0</v>
      </c>
      <c r="CD321" s="78"/>
      <c r="CE321" s="142"/>
      <c r="CF321" s="142"/>
      <c r="CG321" s="79">
        <f t="shared" ref="CG321:CG352" si="187">IF((CF321-CE321)&gt;=0,(CF321-CE321),$A$1+(CF321-CE321))</f>
        <v>0</v>
      </c>
      <c r="CH321" s="75"/>
      <c r="CI321" s="76"/>
      <c r="CJ321" s="86"/>
      <c r="CK321" s="86"/>
      <c r="CL321" s="77">
        <f t="shared" ref="CL321:CL352" si="188">IF((CK321-CJ321)&gt;=0,(CK321-CJ321),$A$1+(CK321-CJ321))</f>
        <v>0</v>
      </c>
      <c r="CM321" s="78"/>
      <c r="CN321" s="85"/>
      <c r="CO321" s="85"/>
      <c r="CP321" s="77">
        <f t="shared" ref="CP321:CP352" si="189">IF((CO321-CN321)&gt;=0,(CO321-CN321),$A$1+(CO321-CN321))</f>
        <v>0</v>
      </c>
      <c r="CQ321" s="78"/>
      <c r="CR321" s="85"/>
      <c r="CS321" s="85"/>
      <c r="CT321" s="79">
        <f t="shared" ref="CT321:CT352" si="190">IF((CS321-CR321)&gt;=0,(CS321-CR321),$A$1+(CS321-CR321))</f>
        <v>0</v>
      </c>
      <c r="CU321" s="80">
        <f t="shared" ref="CU321:CU352" si="191">COUNTIF($H321:$CL321,"F")+COUNTIF($H321:$CL321,"PSG")+COUNTIF($H321:$CL321,"INC")</f>
        <v>0</v>
      </c>
      <c r="CV321" s="81">
        <f t="shared" ref="CV321:CV352" si="192">SUMIFS($J321:$CT321,$J$6:$CT$6,$CV$5)</f>
        <v>0</v>
      </c>
      <c r="CW321" s="144"/>
      <c r="CX321" s="145">
        <f>IF(ISERROR(VLOOKUP($A321,FIJOS!$B$11:$O$590,14,FALSE)),0,VLOOKUP($A321,FIJOS!$B$11:$O$590,14,FALSE))</f>
        <v>0</v>
      </c>
      <c r="CY321" s="145">
        <f>IF(ISERROR(VLOOKUP(A321,FIJOS!$B$10:$P$590,15,FALSE)),0,VLOOKUP(A321,FIJOS!$B$10:$P$590,15,FALSE))</f>
        <v>0</v>
      </c>
      <c r="CZ321" s="155"/>
      <c r="DA321" s="147"/>
      <c r="DB321" s="147"/>
      <c r="DC321" s="147"/>
      <c r="DD321" s="147"/>
      <c r="DE321" s="147"/>
      <c r="DF321" s="145">
        <f>IF(ISERROR(VLOOKUP($A321,FIJOS!$B$11:$N$590,13,FALSE)),0,VLOOKUP($A321,FIJOS!$B$11:$N$590,13,FALSE))</f>
        <v>0</v>
      </c>
      <c r="DG321" s="145">
        <f>IF(ISERROR(VLOOKUP($A321,FIJOS!$B$11:$P$447,12,FALSE)),0,VLOOKUP($A321,FIJOS!$B$11:$P$447,12,FALSE))</f>
        <v>0</v>
      </c>
      <c r="DH321" s="82">
        <f t="shared" ref="DH321:DH352" si="193">SUM(CW321:DG321)</f>
        <v>0</v>
      </c>
      <c r="DI321" s="83" t="b">
        <f>IF($C321=1,(VLOOKUP($A321,FIJOS!$B$11:$P$545,10,FALSE)/7)*(7-$CU321),IF(AND($C321=2,CV321&lt;$DJ$1),(VLOOKUP($D321,HORAS!$B$4:$C$42,2,FALSE)*24)*$CV321,IF(AND($C321=2,CV321&gt;=$DJ$1),VLOOKUP($D321,HORAS!$B$4:$D$42,3,FALSE),IF(AND($C321=3,$CV321&gt;=$DJ$1),VLOOKUP($A321,FIJOS!$B$11:$P$545,10,FALSE),IF(AND($C321=3,$CV321&lt;$DJ$1),((VLOOKUP($A321,FIJOS!$B$11:$P$545,10,FALSE)/48)*24)*$CV321,IF(AND($C321=4,$CV321&gt;=(42/24)),VLOOKUP($D321,HORAS!$B$4:$D$42,3,FALSE),IF(AND($C321=5,$CV321&gt;=(36/24)),VLOOKUP($D321,HORAS!$B$4:$D$42,3,FALSE))))))))</f>
        <v>0</v>
      </c>
      <c r="DJ321" s="145">
        <f>IF(OR($C321=2),VLOOKUP($D321,HORAS!$B$4:$E$42,4,FALSE)*$EC321,IF(ISERROR(VLOOKUP($A321,FIJOS!$B$11:$P$108,9,FALSE)),0,VLOOKUP($A321,FIJOS!$B$11:$P$231,9,FALSE)*$EC321))</f>
        <v>0</v>
      </c>
      <c r="DK321" s="145">
        <f>IF(OR($C321=2),VLOOKUP($D321,HORAS!$B$4:$F$42,5,FALSE)*$EE321,IF(ISERROR(VLOOKUP($A321,FIJOS!$B$11:$P$108,9,FALSE)),0,VLOOKUP($A321,FIJOS!$B$11:$P$231,9,FALSE)*$EE321))</f>
        <v>0</v>
      </c>
      <c r="DL321" s="144"/>
      <c r="DM321" s="145">
        <f>IF(ISERROR(VLOOKUP($A321,FIJOS!$B$11:$L$646,11,FALSE)),0,VLOOKUP($A321,FIJOS!$B$11:$L$646,11,FALSE))</f>
        <v>0</v>
      </c>
      <c r="DN321" s="148" t="e">
        <f>IF(OR($C321=1,$C321=3),0,IF((VLOOKUP(CAPTURA!D321,HORAS!$B$4:$K$42,10,FALSE)/4)*COUNTIF($H321:$CT321,3)&gt;100,100,(VLOOKUP(CAPTURA!D321,HORAS!$B$4:$K$42,10,FALSE)/4)*COUNTIF($H321:$CT321,3)))</f>
        <v>#N/A</v>
      </c>
      <c r="DO321" s="144" t="e">
        <f>IF(OR($C321=1,$C321=3),0,IF($C321=5,VLOOKUP(D321,HORAS!$B$4:$G$42,6,FALSE),IF(AND($C321=4,$CV321&gt;=(42/24)),VLOOKUP(D321,HORAS!$B$4:$G$42,6,FALSE),IF(COUNTIF($H321:$CL321,"F")&gt;0,0,IF(CV321&gt;$DJ$1,$DJ$1*(VLOOKUP(D321,HORAS!$B$4:$G$42,6,FALSE)/$DJ$1),CV321*(VLOOKUP(D321,HORAS!$B$4:$G$42,6,FALSE)/$DJ$1))))))</f>
        <v>#N/A</v>
      </c>
      <c r="DP321" s="156"/>
      <c r="DQ321" s="148"/>
      <c r="DR321" s="148"/>
      <c r="DS321" s="83" t="e">
        <f t="shared" ref="DS321:DS352" si="194">SUM(DI321:DR321)</f>
        <v>#N/A</v>
      </c>
      <c r="DT321" s="84"/>
      <c r="DU321" s="149" t="e">
        <f t="shared" ref="DU321:DU352" si="195">IF(DW321-DV321=0,0,DW321-DV321)</f>
        <v>#N/A</v>
      </c>
      <c r="DV321" s="149" t="e">
        <f t="shared" ref="DV321:DV352" si="196">IF(DS321&gt;DY321,DY321,DS321)-(CZ321+CY321)</f>
        <v>#N/A</v>
      </c>
      <c r="DW321" s="144" t="e">
        <f t="shared" ref="DW321:DW352" si="197">DS321-DH321</f>
        <v>#N/A</v>
      </c>
      <c r="DX321"/>
      <c r="DY321" s="29"/>
      <c r="DZ321" s="150"/>
      <c r="EA321" s="134"/>
      <c r="EB321" s="137">
        <f t="shared" ref="EB321:EB352" si="198">IF(CV321&lt;=$DJ$1,0,IF((CV321-$DJ$1)&gt;$EB$1,$EB$1,CV321-$DJ$1))</f>
        <v>0</v>
      </c>
      <c r="EC321" s="138">
        <f t="shared" ref="EC321:EC352" si="199">EB321*24</f>
        <v>0</v>
      </c>
      <c r="ED321" s="137">
        <f t="shared" ref="ED321:ED352" si="200">IF(CV321&lt;=($EB$1+$DJ$1),0,CV321-($EB$1+$DJ$1))</f>
        <v>0</v>
      </c>
      <c r="EE321" s="132">
        <f t="shared" ref="EE321:EE352" si="201">ED321*24</f>
        <v>0</v>
      </c>
      <c r="EF321" s="29"/>
      <c r="EG321" s="134"/>
      <c r="EH321" s="134"/>
      <c r="EI321" s="134"/>
      <c r="EK321" s="29"/>
    </row>
    <row r="322" spans="1:141" ht="15" customHeight="1" x14ac:dyDescent="0.25">
      <c r="A322" s="87"/>
      <c r="B322" s="5"/>
      <c r="C322" s="72"/>
      <c r="D322" s="73"/>
      <c r="E322" s="73"/>
      <c r="F322" s="141"/>
      <c r="G322" s="74"/>
      <c r="H322" s="75"/>
      <c r="I322" s="76"/>
      <c r="J322" s="135"/>
      <c r="K322" s="135"/>
      <c r="L322" s="77">
        <f t="shared" si="170"/>
        <v>0</v>
      </c>
      <c r="M322" s="78"/>
      <c r="N322" s="142"/>
      <c r="O322" s="142"/>
      <c r="P322" s="77">
        <f t="shared" si="171"/>
        <v>0</v>
      </c>
      <c r="Q322" s="78"/>
      <c r="R322" s="143"/>
      <c r="S322" s="143"/>
      <c r="T322" s="77">
        <f t="shared" si="172"/>
        <v>0</v>
      </c>
      <c r="U322" s="75"/>
      <c r="V322" s="76"/>
      <c r="W322" s="135"/>
      <c r="X322" s="135"/>
      <c r="Y322" s="77">
        <f t="shared" si="173"/>
        <v>0</v>
      </c>
      <c r="Z322" s="78"/>
      <c r="AA322" s="142"/>
      <c r="AB322" s="142"/>
      <c r="AC322" s="77">
        <f t="shared" si="174"/>
        <v>0</v>
      </c>
      <c r="AD322" s="78"/>
      <c r="AE322" s="143"/>
      <c r="AF322" s="143"/>
      <c r="AG322" s="79">
        <f t="shared" si="175"/>
        <v>0</v>
      </c>
      <c r="AH322" s="75"/>
      <c r="AI322" s="76"/>
      <c r="AJ322" s="135"/>
      <c r="AK322" s="135"/>
      <c r="AL322" s="77">
        <f t="shared" si="176"/>
        <v>0</v>
      </c>
      <c r="AM322" s="76"/>
      <c r="AN322" s="142"/>
      <c r="AO322" s="142"/>
      <c r="AP322" s="77">
        <f t="shared" si="177"/>
        <v>0</v>
      </c>
      <c r="AQ322" s="78"/>
      <c r="AR322" s="142"/>
      <c r="AS322" s="142"/>
      <c r="AT322" s="79">
        <f t="shared" si="178"/>
        <v>0</v>
      </c>
      <c r="AU322" s="75"/>
      <c r="AV322" s="76"/>
      <c r="AW322" s="135"/>
      <c r="AX322" s="135"/>
      <c r="AY322" s="77">
        <f t="shared" si="179"/>
        <v>0</v>
      </c>
      <c r="AZ322" s="76"/>
      <c r="BA322" s="142"/>
      <c r="BB322" s="142"/>
      <c r="BC322" s="77">
        <f t="shared" si="180"/>
        <v>0</v>
      </c>
      <c r="BD322" s="78"/>
      <c r="BE322" s="142"/>
      <c r="BF322" s="142"/>
      <c r="BG322" s="79">
        <f t="shared" si="181"/>
        <v>0</v>
      </c>
      <c r="BH322" s="75"/>
      <c r="BI322" s="76"/>
      <c r="BJ322" s="135"/>
      <c r="BK322" s="135"/>
      <c r="BL322" s="77">
        <f t="shared" si="182"/>
        <v>0</v>
      </c>
      <c r="BM322" s="78"/>
      <c r="BN322" s="142"/>
      <c r="BO322" s="142"/>
      <c r="BP322" s="77">
        <f t="shared" si="183"/>
        <v>0</v>
      </c>
      <c r="BQ322" s="78"/>
      <c r="BR322" s="142"/>
      <c r="BS322" s="142"/>
      <c r="BT322" s="79">
        <f t="shared" si="184"/>
        <v>0</v>
      </c>
      <c r="BU322" s="75"/>
      <c r="BV322" s="76"/>
      <c r="BW322" s="135"/>
      <c r="BX322" s="135"/>
      <c r="BY322" s="77">
        <f t="shared" si="185"/>
        <v>0</v>
      </c>
      <c r="BZ322" s="78"/>
      <c r="CA322" s="142"/>
      <c r="CB322" s="142"/>
      <c r="CC322" s="77">
        <f t="shared" si="186"/>
        <v>0</v>
      </c>
      <c r="CD322" s="78"/>
      <c r="CE322" s="142"/>
      <c r="CF322" s="142"/>
      <c r="CG322" s="79">
        <f t="shared" si="187"/>
        <v>0</v>
      </c>
      <c r="CH322" s="75"/>
      <c r="CI322" s="76"/>
      <c r="CJ322" s="86"/>
      <c r="CK322" s="86"/>
      <c r="CL322" s="77">
        <f t="shared" si="188"/>
        <v>0</v>
      </c>
      <c r="CM322" s="78"/>
      <c r="CN322" s="85"/>
      <c r="CO322" s="85"/>
      <c r="CP322" s="77">
        <f t="shared" si="189"/>
        <v>0</v>
      </c>
      <c r="CQ322" s="78"/>
      <c r="CR322" s="85"/>
      <c r="CS322" s="85"/>
      <c r="CT322" s="79">
        <f t="shared" si="190"/>
        <v>0</v>
      </c>
      <c r="CU322" s="80">
        <f t="shared" si="191"/>
        <v>0</v>
      </c>
      <c r="CV322" s="81">
        <f t="shared" si="192"/>
        <v>0</v>
      </c>
      <c r="CW322" s="144"/>
      <c r="CX322" s="145">
        <f>IF(ISERROR(VLOOKUP($A322,FIJOS!$B$11:$O$590,14,FALSE)),0,VLOOKUP($A322,FIJOS!$B$11:$O$590,14,FALSE))</f>
        <v>0</v>
      </c>
      <c r="CY322" s="145">
        <f>IF(ISERROR(VLOOKUP(A322,FIJOS!$B$10:$P$590,15,FALSE)),0,VLOOKUP(A322,FIJOS!$B$10:$P$590,15,FALSE))</f>
        <v>0</v>
      </c>
      <c r="CZ322" s="155"/>
      <c r="DA322" s="147"/>
      <c r="DB322" s="147"/>
      <c r="DC322" s="147"/>
      <c r="DD322" s="147"/>
      <c r="DE322" s="147"/>
      <c r="DF322" s="145">
        <f>IF(ISERROR(VLOOKUP($A322,FIJOS!$B$11:$N$590,13,FALSE)),0,VLOOKUP($A322,FIJOS!$B$11:$N$590,13,FALSE))</f>
        <v>0</v>
      </c>
      <c r="DG322" s="145">
        <f>IF(ISERROR(VLOOKUP($A322,FIJOS!$B$11:$P$447,12,FALSE)),0,VLOOKUP($A322,FIJOS!$B$11:$P$447,12,FALSE))</f>
        <v>0</v>
      </c>
      <c r="DH322" s="82">
        <f t="shared" si="193"/>
        <v>0</v>
      </c>
      <c r="DI322" s="83" t="b">
        <f>IF($C322=1,(VLOOKUP($A322,FIJOS!$B$11:$P$545,10,FALSE)/7)*(7-$CU322),IF(AND($C322=2,CV322&lt;$DJ$1),(VLOOKUP($D322,HORAS!$B$4:$C$42,2,FALSE)*24)*$CV322,IF(AND($C322=2,CV322&gt;=$DJ$1),VLOOKUP($D322,HORAS!$B$4:$D$42,3,FALSE),IF(AND($C322=3,$CV322&gt;=$DJ$1),VLOOKUP($A322,FIJOS!$B$11:$P$545,10,FALSE),IF(AND($C322=3,$CV322&lt;$DJ$1),((VLOOKUP($A322,FIJOS!$B$11:$P$545,10,FALSE)/48)*24)*$CV322,IF(AND($C322=4,$CV322&gt;=(42/24)),VLOOKUP($D322,HORAS!$B$4:$D$42,3,FALSE),IF(AND($C322=5,$CV322&gt;=(36/24)),VLOOKUP($D322,HORAS!$B$4:$D$42,3,FALSE))))))))</f>
        <v>0</v>
      </c>
      <c r="DJ322" s="145">
        <f>IF(OR($C322=2),VLOOKUP($D322,HORAS!$B$4:$E$42,4,FALSE)*$EC322,IF(ISERROR(VLOOKUP($A322,FIJOS!$B$11:$P$108,9,FALSE)),0,VLOOKUP($A322,FIJOS!$B$11:$P$231,9,FALSE)*$EC322))</f>
        <v>0</v>
      </c>
      <c r="DK322" s="145">
        <f>IF(OR($C322=2),VLOOKUP($D322,HORAS!$B$4:$F$42,5,FALSE)*$EE322,IF(ISERROR(VLOOKUP($A322,FIJOS!$B$11:$P$108,9,FALSE)),0,VLOOKUP($A322,FIJOS!$B$11:$P$231,9,FALSE)*$EE322))</f>
        <v>0</v>
      </c>
      <c r="DL322" s="144"/>
      <c r="DM322" s="145">
        <f>IF(ISERROR(VLOOKUP($A322,FIJOS!$B$11:$L$646,11,FALSE)),0,VLOOKUP($A322,FIJOS!$B$11:$L$646,11,FALSE))</f>
        <v>0</v>
      </c>
      <c r="DN322" s="148" t="e">
        <f>IF(OR($C322=1,$C322=3),0,IF((VLOOKUP(CAPTURA!D322,HORAS!$B$4:$K$42,10,FALSE)/4)*COUNTIF($H322:$CT322,3)&gt;100,100,(VLOOKUP(CAPTURA!D322,HORAS!$B$4:$K$42,10,FALSE)/4)*COUNTIF($H322:$CT322,3)))</f>
        <v>#N/A</v>
      </c>
      <c r="DO322" s="144" t="e">
        <f>IF(OR($C322=1,$C322=3),0,IF($C322=5,VLOOKUP(D322,HORAS!$B$4:$G$42,6,FALSE),IF(AND($C322=4,$CV322&gt;=(42/24)),VLOOKUP(D322,HORAS!$B$4:$G$42,6,FALSE),IF(COUNTIF($H322:$CL322,"F")&gt;0,0,IF(CV322&gt;$DJ$1,$DJ$1*(VLOOKUP(D322,HORAS!$B$4:$G$42,6,FALSE)/$DJ$1),CV322*(VLOOKUP(D322,HORAS!$B$4:$G$42,6,FALSE)/$DJ$1))))))</f>
        <v>#N/A</v>
      </c>
      <c r="DP322" s="156"/>
      <c r="DQ322" s="148"/>
      <c r="DR322" s="148"/>
      <c r="DS322" s="83" t="e">
        <f t="shared" si="194"/>
        <v>#N/A</v>
      </c>
      <c r="DT322" s="84"/>
      <c r="DU322" s="149" t="e">
        <f t="shared" si="195"/>
        <v>#N/A</v>
      </c>
      <c r="DV322" s="149" t="e">
        <f t="shared" si="196"/>
        <v>#N/A</v>
      </c>
      <c r="DW322" s="144" t="e">
        <f t="shared" si="197"/>
        <v>#N/A</v>
      </c>
      <c r="DX322" s="168"/>
      <c r="DY322" s="29"/>
      <c r="DZ322" s="150"/>
      <c r="EA322" s="134"/>
      <c r="EB322" s="137">
        <f t="shared" si="198"/>
        <v>0</v>
      </c>
      <c r="EC322" s="138">
        <f t="shared" si="199"/>
        <v>0</v>
      </c>
      <c r="ED322" s="137">
        <f t="shared" si="200"/>
        <v>0</v>
      </c>
      <c r="EE322" s="132">
        <f t="shared" si="201"/>
        <v>0</v>
      </c>
      <c r="EF322" s="29"/>
      <c r="EG322" s="134"/>
      <c r="EH322" s="134"/>
      <c r="EI322" s="134"/>
      <c r="EK322" s="29"/>
    </row>
    <row r="323" spans="1:141" ht="15" customHeight="1" x14ac:dyDescent="0.25">
      <c r="A323" s="87"/>
      <c r="B323" s="5"/>
      <c r="C323" s="72"/>
      <c r="D323" s="73"/>
      <c r="E323" s="73"/>
      <c r="F323" s="141"/>
      <c r="G323" s="74"/>
      <c r="H323" s="75"/>
      <c r="I323" s="76"/>
      <c r="J323" s="135"/>
      <c r="K323" s="135"/>
      <c r="L323" s="77">
        <f t="shared" si="170"/>
        <v>0</v>
      </c>
      <c r="M323" s="78"/>
      <c r="N323" s="142"/>
      <c r="O323" s="142"/>
      <c r="P323" s="77">
        <f t="shared" si="171"/>
        <v>0</v>
      </c>
      <c r="Q323" s="78"/>
      <c r="R323" s="143"/>
      <c r="S323" s="143"/>
      <c r="T323" s="77">
        <f t="shared" si="172"/>
        <v>0</v>
      </c>
      <c r="U323" s="75"/>
      <c r="V323" s="76"/>
      <c r="W323" s="135"/>
      <c r="X323" s="135"/>
      <c r="Y323" s="77">
        <f t="shared" si="173"/>
        <v>0</v>
      </c>
      <c r="Z323" s="78"/>
      <c r="AA323" s="142"/>
      <c r="AB323" s="142"/>
      <c r="AC323" s="77">
        <f t="shared" si="174"/>
        <v>0</v>
      </c>
      <c r="AD323" s="78"/>
      <c r="AE323" s="143"/>
      <c r="AF323" s="143"/>
      <c r="AG323" s="79">
        <f t="shared" si="175"/>
        <v>0</v>
      </c>
      <c r="AH323" s="75"/>
      <c r="AI323" s="76"/>
      <c r="AJ323" s="135"/>
      <c r="AK323" s="135"/>
      <c r="AL323" s="77">
        <f t="shared" si="176"/>
        <v>0</v>
      </c>
      <c r="AM323" s="76"/>
      <c r="AN323" s="142"/>
      <c r="AO323" s="142"/>
      <c r="AP323" s="77">
        <f t="shared" si="177"/>
        <v>0</v>
      </c>
      <c r="AQ323" s="78"/>
      <c r="AR323" s="142"/>
      <c r="AS323" s="142"/>
      <c r="AT323" s="79">
        <f t="shared" si="178"/>
        <v>0</v>
      </c>
      <c r="AU323" s="75"/>
      <c r="AV323" s="76"/>
      <c r="AW323" s="135"/>
      <c r="AX323" s="135"/>
      <c r="AY323" s="77">
        <f t="shared" si="179"/>
        <v>0</v>
      </c>
      <c r="AZ323" s="76"/>
      <c r="BA323" s="142"/>
      <c r="BB323" s="142"/>
      <c r="BC323" s="77">
        <f t="shared" si="180"/>
        <v>0</v>
      </c>
      <c r="BD323" s="78"/>
      <c r="BE323" s="142"/>
      <c r="BF323" s="142"/>
      <c r="BG323" s="79">
        <f t="shared" si="181"/>
        <v>0</v>
      </c>
      <c r="BH323" s="75"/>
      <c r="BI323" s="76"/>
      <c r="BJ323" s="135"/>
      <c r="BK323" s="135"/>
      <c r="BL323" s="77">
        <f t="shared" si="182"/>
        <v>0</v>
      </c>
      <c r="BM323" s="78"/>
      <c r="BN323" s="142"/>
      <c r="BO323" s="142"/>
      <c r="BP323" s="77">
        <f t="shared" si="183"/>
        <v>0</v>
      </c>
      <c r="BQ323" s="78"/>
      <c r="BR323" s="142"/>
      <c r="BS323" s="142"/>
      <c r="BT323" s="79">
        <f t="shared" si="184"/>
        <v>0</v>
      </c>
      <c r="BU323" s="75"/>
      <c r="BV323" s="76"/>
      <c r="BW323" s="135"/>
      <c r="BX323" s="135"/>
      <c r="BY323" s="77">
        <f t="shared" si="185"/>
        <v>0</v>
      </c>
      <c r="BZ323" s="78"/>
      <c r="CA323" s="142"/>
      <c r="CB323" s="142"/>
      <c r="CC323" s="77">
        <f t="shared" si="186"/>
        <v>0</v>
      </c>
      <c r="CD323" s="78"/>
      <c r="CE323" s="142"/>
      <c r="CF323" s="142"/>
      <c r="CG323" s="79">
        <f t="shared" si="187"/>
        <v>0</v>
      </c>
      <c r="CH323" s="75"/>
      <c r="CI323" s="76"/>
      <c r="CJ323" s="86"/>
      <c r="CK323" s="86"/>
      <c r="CL323" s="77">
        <f t="shared" si="188"/>
        <v>0</v>
      </c>
      <c r="CM323" s="78"/>
      <c r="CN323" s="85"/>
      <c r="CO323" s="85"/>
      <c r="CP323" s="77">
        <f t="shared" si="189"/>
        <v>0</v>
      </c>
      <c r="CQ323" s="78"/>
      <c r="CR323" s="85"/>
      <c r="CS323" s="85"/>
      <c r="CT323" s="79">
        <f t="shared" si="190"/>
        <v>0</v>
      </c>
      <c r="CU323" s="80">
        <f t="shared" si="191"/>
        <v>0</v>
      </c>
      <c r="CV323" s="81">
        <f t="shared" si="192"/>
        <v>0</v>
      </c>
      <c r="CW323" s="144"/>
      <c r="CX323" s="145">
        <f>IF(ISERROR(VLOOKUP($A323,FIJOS!$B$11:$O$590,14,FALSE)),0,VLOOKUP($A323,FIJOS!$B$11:$O$590,14,FALSE))</f>
        <v>0</v>
      </c>
      <c r="CY323" s="145">
        <f>IF(ISERROR(VLOOKUP(A323,FIJOS!$B$10:$P$590,15,FALSE)),0,VLOOKUP(A323,FIJOS!$B$10:$P$590,15,FALSE))</f>
        <v>0</v>
      </c>
      <c r="CZ323" s="155"/>
      <c r="DA323" s="147"/>
      <c r="DB323" s="147"/>
      <c r="DC323" s="147"/>
      <c r="DD323" s="147"/>
      <c r="DE323" s="147"/>
      <c r="DF323" s="145">
        <f>IF(ISERROR(VLOOKUP($A323,FIJOS!$B$11:$N$590,13,FALSE)),0,VLOOKUP($A323,FIJOS!$B$11:$N$590,13,FALSE))</f>
        <v>0</v>
      </c>
      <c r="DG323" s="145">
        <f>IF(ISERROR(VLOOKUP($A323,FIJOS!$B$11:$P$447,12,FALSE)),0,VLOOKUP($A323,FIJOS!$B$11:$P$447,12,FALSE))</f>
        <v>0</v>
      </c>
      <c r="DH323" s="82">
        <f t="shared" si="193"/>
        <v>0</v>
      </c>
      <c r="DI323" s="83" t="b">
        <f>IF($C323=1,(VLOOKUP($A323,FIJOS!$B$11:$P$545,10,FALSE)/7)*(7-$CU323),IF(AND($C323=2,CV323&lt;$DJ$1),(VLOOKUP($D323,HORAS!$B$4:$C$42,2,FALSE)*24)*$CV323,IF(AND($C323=2,CV323&gt;=$DJ$1),VLOOKUP($D323,HORAS!$B$4:$D$42,3,FALSE),IF(AND($C323=3,$CV323&gt;=$DJ$1),VLOOKUP($A323,FIJOS!$B$11:$P$545,10,FALSE),IF(AND($C323=3,$CV323&lt;$DJ$1),((VLOOKUP($A323,FIJOS!$B$11:$P$545,10,FALSE)/48)*24)*$CV323,IF(AND($C323=4,$CV323&gt;=(42/24)),VLOOKUP($D323,HORAS!$B$4:$D$42,3,FALSE),IF(AND($C323=5,$CV323&gt;=(36/24)),VLOOKUP($D323,HORAS!$B$4:$D$42,3,FALSE))))))))</f>
        <v>0</v>
      </c>
      <c r="DJ323" s="145">
        <f>IF(OR($C323=2),VLOOKUP($D323,HORAS!$B$4:$E$42,4,FALSE)*$EC323,IF(ISERROR(VLOOKUP($A323,FIJOS!$B$11:$P$108,9,FALSE)),0,VLOOKUP($A323,FIJOS!$B$11:$P$231,9,FALSE)*$EC323))</f>
        <v>0</v>
      </c>
      <c r="DK323" s="145">
        <f>IF(OR($C323=2),VLOOKUP($D323,HORAS!$B$4:$F$42,5,FALSE)*$EE323,IF(ISERROR(VLOOKUP($A323,FIJOS!$B$11:$P$108,9,FALSE)),0,VLOOKUP($A323,FIJOS!$B$11:$P$231,9,FALSE)*$EE323))</f>
        <v>0</v>
      </c>
      <c r="DL323" s="144"/>
      <c r="DM323" s="145">
        <f>IF(ISERROR(VLOOKUP($A323,FIJOS!$B$11:$L$646,11,FALSE)),0,VLOOKUP($A323,FIJOS!$B$11:$L$646,11,FALSE))</f>
        <v>0</v>
      </c>
      <c r="DN323" s="148" t="e">
        <f>IF(OR($C323=1,$C323=3),0,IF((VLOOKUP(CAPTURA!D323,HORAS!$B$4:$K$42,10,FALSE)/4)*COUNTIF($H323:$CT323,3)&gt;100,100,(VLOOKUP(CAPTURA!D323,HORAS!$B$4:$K$42,10,FALSE)/4)*COUNTIF($H323:$CT323,3)))</f>
        <v>#N/A</v>
      </c>
      <c r="DO323" s="144" t="e">
        <f>IF(OR($C323=1,$C323=3),0,IF($C323=5,VLOOKUP(D323,HORAS!$B$4:$G$42,6,FALSE),IF(AND($C323=4,$CV323&gt;=(42/24)),VLOOKUP(D323,HORAS!$B$4:$G$42,6,FALSE),IF(COUNTIF($H323:$CL323,"F")&gt;0,0,IF(CV323&gt;$DJ$1,$DJ$1*(VLOOKUP(D323,HORAS!$B$4:$G$42,6,FALSE)/$DJ$1),CV323*(VLOOKUP(D323,HORAS!$B$4:$G$42,6,FALSE)/$DJ$1))))))</f>
        <v>#N/A</v>
      </c>
      <c r="DP323" s="156"/>
      <c r="DQ323" s="148"/>
      <c r="DR323" s="148"/>
      <c r="DS323" s="83" t="e">
        <f t="shared" si="194"/>
        <v>#N/A</v>
      </c>
      <c r="DT323" s="84"/>
      <c r="DU323" s="149" t="e">
        <f t="shared" si="195"/>
        <v>#N/A</v>
      </c>
      <c r="DV323" s="149" t="e">
        <f t="shared" si="196"/>
        <v>#N/A</v>
      </c>
      <c r="DW323" s="144" t="e">
        <f t="shared" si="197"/>
        <v>#N/A</v>
      </c>
      <c r="DX323" s="168"/>
      <c r="DY323" s="29"/>
      <c r="DZ323" s="150"/>
      <c r="EA323" s="134"/>
      <c r="EB323" s="137">
        <f t="shared" si="198"/>
        <v>0</v>
      </c>
      <c r="EC323" s="138">
        <f t="shared" si="199"/>
        <v>0</v>
      </c>
      <c r="ED323" s="137">
        <f t="shared" si="200"/>
        <v>0</v>
      </c>
      <c r="EE323" s="132">
        <f t="shared" si="201"/>
        <v>0</v>
      </c>
      <c r="EF323" s="29"/>
      <c r="EG323" s="134"/>
      <c r="EH323" s="134"/>
      <c r="EI323" s="134"/>
      <c r="EK323" s="29"/>
    </row>
    <row r="324" spans="1:141" ht="15" customHeight="1" x14ac:dyDescent="0.25">
      <c r="A324" s="87"/>
      <c r="B324" s="5"/>
      <c r="C324" s="72"/>
      <c r="D324" s="73"/>
      <c r="E324" s="73"/>
      <c r="F324" s="141"/>
      <c r="G324" s="74"/>
      <c r="H324" s="75"/>
      <c r="I324" s="76"/>
      <c r="J324" s="135"/>
      <c r="K324" s="135"/>
      <c r="L324" s="77">
        <f t="shared" si="170"/>
        <v>0</v>
      </c>
      <c r="M324" s="78"/>
      <c r="N324" s="142"/>
      <c r="O324" s="142"/>
      <c r="P324" s="77">
        <f t="shared" si="171"/>
        <v>0</v>
      </c>
      <c r="Q324" s="78"/>
      <c r="R324" s="143"/>
      <c r="S324" s="143"/>
      <c r="T324" s="77">
        <f t="shared" si="172"/>
        <v>0</v>
      </c>
      <c r="U324" s="75"/>
      <c r="V324" s="76"/>
      <c r="W324" s="135"/>
      <c r="X324" s="135"/>
      <c r="Y324" s="77">
        <f t="shared" si="173"/>
        <v>0</v>
      </c>
      <c r="Z324" s="78"/>
      <c r="AA324" s="142"/>
      <c r="AB324" s="142"/>
      <c r="AC324" s="77">
        <f t="shared" si="174"/>
        <v>0</v>
      </c>
      <c r="AD324" s="78"/>
      <c r="AE324" s="143"/>
      <c r="AF324" s="143"/>
      <c r="AG324" s="79">
        <f t="shared" si="175"/>
        <v>0</v>
      </c>
      <c r="AH324" s="75"/>
      <c r="AI324" s="76"/>
      <c r="AJ324" s="135"/>
      <c r="AK324" s="135"/>
      <c r="AL324" s="77">
        <f t="shared" si="176"/>
        <v>0</v>
      </c>
      <c r="AM324" s="76"/>
      <c r="AN324" s="142"/>
      <c r="AO324" s="142"/>
      <c r="AP324" s="77">
        <f t="shared" si="177"/>
        <v>0</v>
      </c>
      <c r="AQ324" s="78"/>
      <c r="AR324" s="142"/>
      <c r="AS324" s="142"/>
      <c r="AT324" s="79">
        <f t="shared" si="178"/>
        <v>0</v>
      </c>
      <c r="AU324" s="75"/>
      <c r="AV324" s="76"/>
      <c r="AW324" s="135"/>
      <c r="AX324" s="135"/>
      <c r="AY324" s="77">
        <f t="shared" si="179"/>
        <v>0</v>
      </c>
      <c r="AZ324" s="76"/>
      <c r="BA324" s="142"/>
      <c r="BB324" s="142"/>
      <c r="BC324" s="77">
        <f t="shared" si="180"/>
        <v>0</v>
      </c>
      <c r="BD324" s="78"/>
      <c r="BE324" s="142"/>
      <c r="BF324" s="142"/>
      <c r="BG324" s="79">
        <f t="shared" si="181"/>
        <v>0</v>
      </c>
      <c r="BH324" s="75"/>
      <c r="BI324" s="76"/>
      <c r="BJ324" s="135"/>
      <c r="BK324" s="135"/>
      <c r="BL324" s="77">
        <f t="shared" si="182"/>
        <v>0</v>
      </c>
      <c r="BM324" s="78"/>
      <c r="BN324" s="142"/>
      <c r="BO324" s="142"/>
      <c r="BP324" s="77">
        <f t="shared" si="183"/>
        <v>0</v>
      </c>
      <c r="BQ324" s="78"/>
      <c r="BR324" s="142"/>
      <c r="BS324" s="142"/>
      <c r="BT324" s="79">
        <f t="shared" si="184"/>
        <v>0</v>
      </c>
      <c r="BU324" s="75"/>
      <c r="BV324" s="76"/>
      <c r="BW324" s="135"/>
      <c r="BX324" s="135"/>
      <c r="BY324" s="77">
        <f t="shared" si="185"/>
        <v>0</v>
      </c>
      <c r="BZ324" s="78"/>
      <c r="CA324" s="142"/>
      <c r="CB324" s="142"/>
      <c r="CC324" s="77">
        <f t="shared" si="186"/>
        <v>0</v>
      </c>
      <c r="CD324" s="78"/>
      <c r="CE324" s="142"/>
      <c r="CF324" s="142"/>
      <c r="CG324" s="79">
        <f t="shared" si="187"/>
        <v>0</v>
      </c>
      <c r="CH324" s="75"/>
      <c r="CI324" s="76"/>
      <c r="CJ324" s="86"/>
      <c r="CK324" s="86"/>
      <c r="CL324" s="77">
        <f t="shared" si="188"/>
        <v>0</v>
      </c>
      <c r="CM324" s="78"/>
      <c r="CN324" s="85"/>
      <c r="CO324" s="85"/>
      <c r="CP324" s="77">
        <f t="shared" si="189"/>
        <v>0</v>
      </c>
      <c r="CQ324" s="78"/>
      <c r="CR324" s="85"/>
      <c r="CS324" s="85"/>
      <c r="CT324" s="79">
        <f t="shared" si="190"/>
        <v>0</v>
      </c>
      <c r="CU324" s="80">
        <f t="shared" si="191"/>
        <v>0</v>
      </c>
      <c r="CV324" s="81">
        <f t="shared" si="192"/>
        <v>0</v>
      </c>
      <c r="CW324" s="144"/>
      <c r="CX324" s="145">
        <f>IF(ISERROR(VLOOKUP($A324,FIJOS!$B$11:$O$590,14,FALSE)),0,VLOOKUP($A324,FIJOS!$B$11:$O$590,14,FALSE))</f>
        <v>0</v>
      </c>
      <c r="CY324" s="145">
        <f>IF(ISERROR(VLOOKUP(A324,FIJOS!$B$10:$P$590,15,FALSE)),0,VLOOKUP(A324,FIJOS!$B$10:$P$590,15,FALSE))</f>
        <v>0</v>
      </c>
      <c r="CZ324" s="155"/>
      <c r="DA324" s="147"/>
      <c r="DB324" s="147"/>
      <c r="DC324" s="147"/>
      <c r="DD324" s="147"/>
      <c r="DE324" s="147"/>
      <c r="DF324" s="145">
        <f>IF(ISERROR(VLOOKUP($A324,FIJOS!$B$11:$N$590,13,FALSE)),0,VLOOKUP($A324,FIJOS!$B$11:$N$590,13,FALSE))</f>
        <v>0</v>
      </c>
      <c r="DG324" s="145">
        <f>IF(ISERROR(VLOOKUP($A324,FIJOS!$B$11:$P$447,12,FALSE)),0,VLOOKUP($A324,FIJOS!$B$11:$P$447,12,FALSE))</f>
        <v>0</v>
      </c>
      <c r="DH324" s="82">
        <f t="shared" si="193"/>
        <v>0</v>
      </c>
      <c r="DI324" s="83" t="b">
        <f>IF($C324=1,(VLOOKUP($A324,FIJOS!$B$11:$P$545,10,FALSE)/7)*(7-$CU324),IF(AND($C324=2,CV324&lt;$DJ$1),(VLOOKUP($D324,HORAS!$B$4:$C$42,2,FALSE)*24)*$CV324,IF(AND($C324=2,CV324&gt;=$DJ$1),VLOOKUP($D324,HORAS!$B$4:$D$42,3,FALSE),IF(AND($C324=3,$CV324&gt;=$DJ$1),VLOOKUP($A324,FIJOS!$B$11:$P$545,10,FALSE),IF(AND($C324=3,$CV324&lt;$DJ$1),((VLOOKUP($A324,FIJOS!$B$11:$P$545,10,FALSE)/48)*24)*$CV324,IF(AND($C324=4,$CV324&gt;=(42/24)),VLOOKUP($D324,HORAS!$B$4:$D$42,3,FALSE),IF(AND($C324=5,$CV324&gt;=(36/24)),VLOOKUP($D324,HORAS!$B$4:$D$42,3,FALSE))))))))</f>
        <v>0</v>
      </c>
      <c r="DJ324" s="145">
        <f>IF(OR($C324=2),VLOOKUP($D324,HORAS!$B$4:$E$42,4,FALSE)*$EC324,IF(ISERROR(VLOOKUP($A324,FIJOS!$B$11:$P$108,9,FALSE)),0,VLOOKUP($A324,FIJOS!$B$11:$P$231,9,FALSE)*$EC324))</f>
        <v>0</v>
      </c>
      <c r="DK324" s="145">
        <f>IF(OR($C324=2),VLOOKUP($D324,HORAS!$B$4:$F$42,5,FALSE)*$EE324,IF(ISERROR(VLOOKUP($A324,FIJOS!$B$11:$P$108,9,FALSE)),0,VLOOKUP($A324,FIJOS!$B$11:$P$231,9,FALSE)*$EE324))</f>
        <v>0</v>
      </c>
      <c r="DL324" s="144"/>
      <c r="DM324" s="145">
        <f>IF(ISERROR(VLOOKUP($A324,FIJOS!$B$11:$L$646,11,FALSE)),0,VLOOKUP($A324,FIJOS!$B$11:$L$646,11,FALSE))</f>
        <v>0</v>
      </c>
      <c r="DN324" s="148" t="e">
        <f>IF(OR($C324=1,$C324=3),0,IF((VLOOKUP(CAPTURA!D324,HORAS!$B$4:$K$42,10,FALSE)/4)*COUNTIF($H324:$CT324,3)&gt;100,100,(VLOOKUP(CAPTURA!D324,HORAS!$B$4:$K$42,10,FALSE)/4)*COUNTIF($H324:$CT324,3)))</f>
        <v>#N/A</v>
      </c>
      <c r="DO324" s="144" t="e">
        <f>IF(OR($C324=1,$C324=3),0,IF($C324=5,VLOOKUP(D324,HORAS!$B$4:$G$42,6,FALSE),IF(AND($C324=4,$CV324&gt;=(42/24)),VLOOKUP(D324,HORAS!$B$4:$G$42,6,FALSE),IF(COUNTIF($H324:$CL324,"F")&gt;0,0,IF(CV324&gt;$DJ$1,$DJ$1*(VLOOKUP(D324,HORAS!$B$4:$G$42,6,FALSE)/$DJ$1),CV324*(VLOOKUP(D324,HORAS!$B$4:$G$42,6,FALSE)/$DJ$1))))))</f>
        <v>#N/A</v>
      </c>
      <c r="DP324" s="156"/>
      <c r="DQ324" s="148"/>
      <c r="DR324" s="148"/>
      <c r="DS324" s="83" t="e">
        <f t="shared" si="194"/>
        <v>#N/A</v>
      </c>
      <c r="DT324" s="84"/>
      <c r="DU324" s="149" t="e">
        <f t="shared" si="195"/>
        <v>#N/A</v>
      </c>
      <c r="DV324" s="149" t="e">
        <f t="shared" si="196"/>
        <v>#N/A</v>
      </c>
      <c r="DW324" s="144" t="e">
        <f t="shared" si="197"/>
        <v>#N/A</v>
      </c>
      <c r="DX324" s="168"/>
      <c r="DY324" s="29"/>
      <c r="DZ324" s="150"/>
      <c r="EA324" s="134"/>
      <c r="EB324" s="137">
        <f t="shared" si="198"/>
        <v>0</v>
      </c>
      <c r="EC324" s="138">
        <f t="shared" si="199"/>
        <v>0</v>
      </c>
      <c r="ED324" s="137">
        <f t="shared" si="200"/>
        <v>0</v>
      </c>
      <c r="EE324" s="132">
        <f t="shared" si="201"/>
        <v>0</v>
      </c>
      <c r="EF324" s="29"/>
      <c r="EG324" s="134"/>
      <c r="EH324" s="134"/>
      <c r="EI324" s="134"/>
      <c r="EK324" s="29"/>
    </row>
    <row r="325" spans="1:141" ht="15" customHeight="1" x14ac:dyDescent="0.25">
      <c r="A325" s="87"/>
      <c r="B325" s="5"/>
      <c r="C325" s="72"/>
      <c r="D325" s="73"/>
      <c r="E325" s="73"/>
      <c r="F325" s="141"/>
      <c r="G325" s="74"/>
      <c r="H325" s="75"/>
      <c r="I325" s="76"/>
      <c r="J325" s="135"/>
      <c r="K325" s="135"/>
      <c r="L325" s="77">
        <f t="shared" si="170"/>
        <v>0</v>
      </c>
      <c r="M325" s="78"/>
      <c r="N325" s="142"/>
      <c r="O325" s="142"/>
      <c r="P325" s="77">
        <f t="shared" si="171"/>
        <v>0</v>
      </c>
      <c r="Q325" s="78"/>
      <c r="R325" s="143"/>
      <c r="S325" s="143"/>
      <c r="T325" s="77">
        <f t="shared" si="172"/>
        <v>0</v>
      </c>
      <c r="U325" s="75"/>
      <c r="V325" s="76"/>
      <c r="W325" s="135"/>
      <c r="X325" s="135"/>
      <c r="Y325" s="77">
        <f t="shared" si="173"/>
        <v>0</v>
      </c>
      <c r="Z325" s="78"/>
      <c r="AA325" s="142"/>
      <c r="AB325" s="142"/>
      <c r="AC325" s="77">
        <f t="shared" si="174"/>
        <v>0</v>
      </c>
      <c r="AD325" s="78"/>
      <c r="AE325" s="143"/>
      <c r="AF325" s="143"/>
      <c r="AG325" s="79">
        <f t="shared" si="175"/>
        <v>0</v>
      </c>
      <c r="AH325" s="75"/>
      <c r="AI325" s="76"/>
      <c r="AJ325" s="135"/>
      <c r="AK325" s="135"/>
      <c r="AL325" s="77">
        <f t="shared" si="176"/>
        <v>0</v>
      </c>
      <c r="AM325" s="76"/>
      <c r="AN325" s="142"/>
      <c r="AO325" s="142"/>
      <c r="AP325" s="77">
        <f t="shared" si="177"/>
        <v>0</v>
      </c>
      <c r="AQ325" s="78"/>
      <c r="AR325" s="142"/>
      <c r="AS325" s="142"/>
      <c r="AT325" s="79">
        <f t="shared" si="178"/>
        <v>0</v>
      </c>
      <c r="AU325" s="75"/>
      <c r="AV325" s="76"/>
      <c r="AW325" s="135"/>
      <c r="AX325" s="135"/>
      <c r="AY325" s="77">
        <f t="shared" si="179"/>
        <v>0</v>
      </c>
      <c r="AZ325" s="76"/>
      <c r="BA325" s="142"/>
      <c r="BB325" s="142"/>
      <c r="BC325" s="77">
        <f t="shared" si="180"/>
        <v>0</v>
      </c>
      <c r="BD325" s="78"/>
      <c r="BE325" s="142"/>
      <c r="BF325" s="142"/>
      <c r="BG325" s="79">
        <f t="shared" si="181"/>
        <v>0</v>
      </c>
      <c r="BH325" s="75"/>
      <c r="BI325" s="76"/>
      <c r="BJ325" s="135"/>
      <c r="BK325" s="135"/>
      <c r="BL325" s="77">
        <f t="shared" si="182"/>
        <v>0</v>
      </c>
      <c r="BM325" s="78"/>
      <c r="BN325" s="142"/>
      <c r="BO325" s="142"/>
      <c r="BP325" s="77">
        <f t="shared" si="183"/>
        <v>0</v>
      </c>
      <c r="BQ325" s="78"/>
      <c r="BR325" s="142"/>
      <c r="BS325" s="142"/>
      <c r="BT325" s="79">
        <f t="shared" si="184"/>
        <v>0</v>
      </c>
      <c r="BU325" s="75"/>
      <c r="BV325" s="76"/>
      <c r="BW325" s="135"/>
      <c r="BX325" s="135"/>
      <c r="BY325" s="77">
        <f t="shared" si="185"/>
        <v>0</v>
      </c>
      <c r="BZ325" s="78"/>
      <c r="CA325" s="142"/>
      <c r="CB325" s="142"/>
      <c r="CC325" s="77">
        <f t="shared" si="186"/>
        <v>0</v>
      </c>
      <c r="CD325" s="78"/>
      <c r="CE325" s="142"/>
      <c r="CF325" s="142"/>
      <c r="CG325" s="79">
        <f t="shared" si="187"/>
        <v>0</v>
      </c>
      <c r="CH325" s="75"/>
      <c r="CI325" s="76"/>
      <c r="CJ325" s="86"/>
      <c r="CK325" s="86"/>
      <c r="CL325" s="77">
        <f t="shared" si="188"/>
        <v>0</v>
      </c>
      <c r="CM325" s="78"/>
      <c r="CN325" s="85"/>
      <c r="CO325" s="85"/>
      <c r="CP325" s="77">
        <f t="shared" si="189"/>
        <v>0</v>
      </c>
      <c r="CQ325" s="78"/>
      <c r="CR325" s="85"/>
      <c r="CS325" s="85"/>
      <c r="CT325" s="79">
        <f t="shared" si="190"/>
        <v>0</v>
      </c>
      <c r="CU325" s="80">
        <f t="shared" si="191"/>
        <v>0</v>
      </c>
      <c r="CV325" s="81">
        <f t="shared" si="192"/>
        <v>0</v>
      </c>
      <c r="CW325" s="144"/>
      <c r="CX325" s="145">
        <f>IF(ISERROR(VLOOKUP($A325,FIJOS!$B$11:$O$590,14,FALSE)),0,VLOOKUP($A325,FIJOS!$B$11:$O$590,14,FALSE))</f>
        <v>0</v>
      </c>
      <c r="CY325" s="145">
        <f>IF(ISERROR(VLOOKUP(A325,FIJOS!$B$10:$P$590,15,FALSE)),0,VLOOKUP(A325,FIJOS!$B$10:$P$590,15,FALSE))</f>
        <v>0</v>
      </c>
      <c r="CZ325" s="155"/>
      <c r="DA325" s="147"/>
      <c r="DB325" s="147"/>
      <c r="DC325" s="147"/>
      <c r="DD325" s="147"/>
      <c r="DE325" s="147"/>
      <c r="DF325" s="145">
        <f>IF(ISERROR(VLOOKUP($A325,FIJOS!$B$11:$N$590,13,FALSE)),0,VLOOKUP($A325,FIJOS!$B$11:$N$590,13,FALSE))</f>
        <v>0</v>
      </c>
      <c r="DG325" s="145">
        <f>IF(ISERROR(VLOOKUP($A325,FIJOS!$B$11:$P$447,12,FALSE)),0,VLOOKUP($A325,FIJOS!$B$11:$P$447,12,FALSE))</f>
        <v>0</v>
      </c>
      <c r="DH325" s="82">
        <f t="shared" si="193"/>
        <v>0</v>
      </c>
      <c r="DI325" s="83" t="b">
        <f>IF($C325=1,(VLOOKUP($A325,FIJOS!$B$11:$P$545,10,FALSE)/7)*(7-$CU325),IF(AND($C325=2,CV325&lt;$DJ$1),(VLOOKUP($D325,HORAS!$B$4:$C$42,2,FALSE)*24)*$CV325,IF(AND($C325=2,CV325&gt;=$DJ$1),VLOOKUP($D325,HORAS!$B$4:$D$42,3,FALSE),IF(AND($C325=3,$CV325&gt;=$DJ$1),VLOOKUP($A325,FIJOS!$B$11:$P$545,10,FALSE),IF(AND($C325=3,$CV325&lt;$DJ$1),((VLOOKUP($A325,FIJOS!$B$11:$P$545,10,FALSE)/48)*24)*$CV325,IF(AND($C325=4,$CV325&gt;=(42/24)),VLOOKUP($D325,HORAS!$B$4:$D$42,3,FALSE),IF(AND($C325=5,$CV325&gt;=(36/24)),VLOOKUP($D325,HORAS!$B$4:$D$42,3,FALSE))))))))</f>
        <v>0</v>
      </c>
      <c r="DJ325" s="145">
        <f>IF(OR($C325=2),VLOOKUP($D325,HORAS!$B$4:$E$42,4,FALSE)*$EC325,IF(ISERROR(VLOOKUP($A325,FIJOS!$B$11:$P$108,9,FALSE)),0,VLOOKUP($A325,FIJOS!$B$11:$P$231,9,FALSE)*$EC325))</f>
        <v>0</v>
      </c>
      <c r="DK325" s="145">
        <f>IF(OR($C325=2),VLOOKUP($D325,HORAS!$B$4:$F$42,5,FALSE)*$EE325,IF(ISERROR(VLOOKUP($A325,FIJOS!$B$11:$P$108,9,FALSE)),0,VLOOKUP($A325,FIJOS!$B$11:$P$231,9,FALSE)*$EE325))</f>
        <v>0</v>
      </c>
      <c r="DL325" s="144"/>
      <c r="DM325" s="145">
        <f>IF(ISERROR(VLOOKUP($A325,FIJOS!$B$11:$L$646,11,FALSE)),0,VLOOKUP($A325,FIJOS!$B$11:$L$646,11,FALSE))</f>
        <v>0</v>
      </c>
      <c r="DN325" s="148" t="e">
        <f>IF(OR($C325=1,$C325=3),0,IF((VLOOKUP(CAPTURA!D325,HORAS!$B$4:$K$42,10,FALSE)/4)*COUNTIF($H325:$CT325,3)&gt;100,100,(VLOOKUP(CAPTURA!D325,HORAS!$B$4:$K$42,10,FALSE)/4)*COUNTIF($H325:$CT325,3)))</f>
        <v>#N/A</v>
      </c>
      <c r="DO325" s="144" t="e">
        <f>IF(OR($C325=1,$C325=3),0,IF($C325=5,VLOOKUP(D325,HORAS!$B$4:$G$42,6,FALSE),IF(AND($C325=4,$CV325&gt;=(42/24)),VLOOKUP(D325,HORAS!$B$4:$G$42,6,FALSE),IF(COUNTIF($H325:$CL325,"F")&gt;0,0,IF(CV325&gt;$DJ$1,$DJ$1*(VLOOKUP(D325,HORAS!$B$4:$G$42,6,FALSE)/$DJ$1),CV325*(VLOOKUP(D325,HORAS!$B$4:$G$42,6,FALSE)/$DJ$1))))))</f>
        <v>#N/A</v>
      </c>
      <c r="DP325" s="156"/>
      <c r="DQ325" s="148"/>
      <c r="DR325" s="148"/>
      <c r="DS325" s="83" t="e">
        <f t="shared" si="194"/>
        <v>#N/A</v>
      </c>
      <c r="DT325" s="84"/>
      <c r="DU325" s="149" t="e">
        <f t="shared" si="195"/>
        <v>#N/A</v>
      </c>
      <c r="DV325" s="149" t="e">
        <f t="shared" si="196"/>
        <v>#N/A</v>
      </c>
      <c r="DW325" s="144" t="e">
        <f t="shared" si="197"/>
        <v>#N/A</v>
      </c>
      <c r="DX325" s="168"/>
      <c r="DY325" s="29"/>
      <c r="DZ325" s="150"/>
      <c r="EA325" s="134"/>
      <c r="EB325" s="137">
        <f t="shared" si="198"/>
        <v>0</v>
      </c>
      <c r="EC325" s="138">
        <f t="shared" si="199"/>
        <v>0</v>
      </c>
      <c r="ED325" s="137">
        <f t="shared" si="200"/>
        <v>0</v>
      </c>
      <c r="EE325" s="132">
        <f t="shared" si="201"/>
        <v>0</v>
      </c>
      <c r="EF325" s="29"/>
      <c r="EG325" s="134"/>
      <c r="EH325" s="134"/>
      <c r="EI325" s="134"/>
      <c r="EK325" s="29"/>
    </row>
    <row r="326" spans="1:141" ht="15" customHeight="1" x14ac:dyDescent="0.25">
      <c r="A326" s="87"/>
      <c r="B326" s="5"/>
      <c r="C326" s="72"/>
      <c r="D326" s="73"/>
      <c r="E326" s="73"/>
      <c r="F326" s="141"/>
      <c r="G326" s="74"/>
      <c r="H326" s="75"/>
      <c r="I326" s="76"/>
      <c r="J326" s="135"/>
      <c r="K326" s="135"/>
      <c r="L326" s="77">
        <f t="shared" si="170"/>
        <v>0</v>
      </c>
      <c r="M326" s="78"/>
      <c r="N326" s="142"/>
      <c r="O326" s="142"/>
      <c r="P326" s="77">
        <f t="shared" si="171"/>
        <v>0</v>
      </c>
      <c r="Q326" s="78"/>
      <c r="R326" s="143"/>
      <c r="S326" s="143"/>
      <c r="T326" s="77">
        <f t="shared" si="172"/>
        <v>0</v>
      </c>
      <c r="U326" s="75"/>
      <c r="V326" s="76"/>
      <c r="W326" s="135"/>
      <c r="X326" s="135"/>
      <c r="Y326" s="77">
        <f t="shared" si="173"/>
        <v>0</v>
      </c>
      <c r="Z326" s="78"/>
      <c r="AA326" s="142"/>
      <c r="AB326" s="142"/>
      <c r="AC326" s="77">
        <f t="shared" si="174"/>
        <v>0</v>
      </c>
      <c r="AD326" s="78"/>
      <c r="AE326" s="143"/>
      <c r="AF326" s="143"/>
      <c r="AG326" s="79">
        <f t="shared" si="175"/>
        <v>0</v>
      </c>
      <c r="AH326" s="75"/>
      <c r="AI326" s="76"/>
      <c r="AJ326" s="135"/>
      <c r="AK326" s="135"/>
      <c r="AL326" s="77">
        <f t="shared" si="176"/>
        <v>0</v>
      </c>
      <c r="AM326" s="76"/>
      <c r="AN326" s="142"/>
      <c r="AO326" s="142"/>
      <c r="AP326" s="77">
        <f t="shared" si="177"/>
        <v>0</v>
      </c>
      <c r="AQ326" s="78"/>
      <c r="AR326" s="142"/>
      <c r="AS326" s="142"/>
      <c r="AT326" s="79">
        <f t="shared" si="178"/>
        <v>0</v>
      </c>
      <c r="AU326" s="75"/>
      <c r="AV326" s="76"/>
      <c r="AW326" s="135"/>
      <c r="AX326" s="135"/>
      <c r="AY326" s="77">
        <f t="shared" si="179"/>
        <v>0</v>
      </c>
      <c r="AZ326" s="76"/>
      <c r="BA326" s="142"/>
      <c r="BB326" s="142"/>
      <c r="BC326" s="77">
        <f t="shared" si="180"/>
        <v>0</v>
      </c>
      <c r="BD326" s="78"/>
      <c r="BE326" s="142"/>
      <c r="BF326" s="142"/>
      <c r="BG326" s="79">
        <f t="shared" si="181"/>
        <v>0</v>
      </c>
      <c r="BH326" s="75"/>
      <c r="BI326" s="76"/>
      <c r="BJ326" s="135"/>
      <c r="BK326" s="135"/>
      <c r="BL326" s="77">
        <f t="shared" si="182"/>
        <v>0</v>
      </c>
      <c r="BM326" s="78"/>
      <c r="BN326" s="142"/>
      <c r="BO326" s="142"/>
      <c r="BP326" s="77">
        <f t="shared" si="183"/>
        <v>0</v>
      </c>
      <c r="BQ326" s="78"/>
      <c r="BR326" s="142"/>
      <c r="BS326" s="142"/>
      <c r="BT326" s="79">
        <f t="shared" si="184"/>
        <v>0</v>
      </c>
      <c r="BU326" s="75"/>
      <c r="BV326" s="76"/>
      <c r="BW326" s="135"/>
      <c r="BX326" s="135"/>
      <c r="BY326" s="77">
        <f t="shared" si="185"/>
        <v>0</v>
      </c>
      <c r="BZ326" s="78"/>
      <c r="CA326" s="142"/>
      <c r="CB326" s="142"/>
      <c r="CC326" s="77">
        <f t="shared" si="186"/>
        <v>0</v>
      </c>
      <c r="CD326" s="78"/>
      <c r="CE326" s="142"/>
      <c r="CF326" s="142"/>
      <c r="CG326" s="79">
        <f t="shared" si="187"/>
        <v>0</v>
      </c>
      <c r="CH326" s="75"/>
      <c r="CI326" s="76"/>
      <c r="CJ326" s="86"/>
      <c r="CK326" s="86"/>
      <c r="CL326" s="77">
        <f t="shared" si="188"/>
        <v>0</v>
      </c>
      <c r="CM326" s="78"/>
      <c r="CN326" s="85"/>
      <c r="CO326" s="85"/>
      <c r="CP326" s="77">
        <f t="shared" si="189"/>
        <v>0</v>
      </c>
      <c r="CQ326" s="78"/>
      <c r="CR326" s="85"/>
      <c r="CS326" s="85"/>
      <c r="CT326" s="79">
        <f t="shared" si="190"/>
        <v>0</v>
      </c>
      <c r="CU326" s="80">
        <f t="shared" si="191"/>
        <v>0</v>
      </c>
      <c r="CV326" s="81">
        <f t="shared" si="192"/>
        <v>0</v>
      </c>
      <c r="CW326" s="144"/>
      <c r="CX326" s="145">
        <f>IF(ISERROR(VLOOKUP($A326,FIJOS!$B$11:$O$590,14,FALSE)),0,VLOOKUP($A326,FIJOS!$B$11:$O$590,14,FALSE))</f>
        <v>0</v>
      </c>
      <c r="CY326" s="145">
        <f>IF(ISERROR(VLOOKUP(A326,FIJOS!$B$10:$P$590,15,FALSE)),0,VLOOKUP(A326,FIJOS!$B$10:$P$590,15,FALSE))</f>
        <v>0</v>
      </c>
      <c r="CZ326" s="155"/>
      <c r="DA326" s="147"/>
      <c r="DB326" s="147"/>
      <c r="DC326" s="147"/>
      <c r="DD326" s="147"/>
      <c r="DE326" s="147"/>
      <c r="DF326" s="145">
        <f>IF(ISERROR(VLOOKUP($A326,FIJOS!$B$11:$N$590,13,FALSE)),0,VLOOKUP($A326,FIJOS!$B$11:$N$590,13,FALSE))</f>
        <v>0</v>
      </c>
      <c r="DG326" s="145">
        <f>IF(ISERROR(VLOOKUP($A326,FIJOS!$B$11:$P$447,12,FALSE)),0,VLOOKUP($A326,FIJOS!$B$11:$P$447,12,FALSE))</f>
        <v>0</v>
      </c>
      <c r="DH326" s="82">
        <f t="shared" si="193"/>
        <v>0</v>
      </c>
      <c r="DI326" s="83" t="b">
        <f>IF($C326=1,(VLOOKUP($A326,FIJOS!$B$11:$P$545,10,FALSE)/7)*(7-$CU326),IF(AND($C326=2,CV326&lt;$DJ$1),(VLOOKUP($D326,HORAS!$B$4:$C$42,2,FALSE)*24)*$CV326,IF(AND($C326=2,CV326&gt;=$DJ$1),VLOOKUP($D326,HORAS!$B$4:$D$42,3,FALSE),IF(AND($C326=3,$CV326&gt;=$DJ$1),VLOOKUP($A326,FIJOS!$B$11:$P$545,10,FALSE),IF(AND($C326=3,$CV326&lt;$DJ$1),((VLOOKUP($A326,FIJOS!$B$11:$P$545,10,FALSE)/48)*24)*$CV326,IF(AND($C326=4,$CV326&gt;=(42/24)),VLOOKUP($D326,HORAS!$B$4:$D$42,3,FALSE),IF(AND($C326=5,$CV326&gt;=(36/24)),VLOOKUP($D326,HORAS!$B$4:$D$42,3,FALSE))))))))</f>
        <v>0</v>
      </c>
      <c r="DJ326" s="145">
        <f>IF(OR($C326=2),VLOOKUP($D326,HORAS!$B$4:$E$42,4,FALSE)*$EC326,IF(ISERROR(VLOOKUP($A326,FIJOS!$B$11:$P$108,9,FALSE)),0,VLOOKUP($A326,FIJOS!$B$11:$P$231,9,FALSE)*$EC326))</f>
        <v>0</v>
      </c>
      <c r="DK326" s="145">
        <f>IF(OR($C326=2),VLOOKUP($D326,HORAS!$B$4:$F$42,5,FALSE)*$EE326,IF(ISERROR(VLOOKUP($A326,FIJOS!$B$11:$P$108,9,FALSE)),0,VLOOKUP($A326,FIJOS!$B$11:$P$231,9,FALSE)*$EE326))</f>
        <v>0</v>
      </c>
      <c r="DL326" s="144"/>
      <c r="DM326" s="145">
        <f>IF(ISERROR(VLOOKUP($A326,FIJOS!$B$11:$L$646,11,FALSE)),0,VLOOKUP($A326,FIJOS!$B$11:$L$646,11,FALSE))</f>
        <v>0</v>
      </c>
      <c r="DN326" s="148" t="e">
        <f>IF(OR($C326=1,$C326=3),0,IF((VLOOKUP(CAPTURA!D326,HORAS!$B$4:$K$42,10,FALSE)/4)*COUNTIF($H326:$CT326,3)&gt;100,100,(VLOOKUP(CAPTURA!D326,HORAS!$B$4:$K$42,10,FALSE)/4)*COUNTIF($H326:$CT326,3)))</f>
        <v>#N/A</v>
      </c>
      <c r="DO326" s="144" t="e">
        <f>IF(OR($C326=1,$C326=3),0,IF($C326=5,VLOOKUP(D326,HORAS!$B$4:$G$42,6,FALSE),IF(AND($C326=4,$CV326&gt;=(42/24)),VLOOKUP(D326,HORAS!$B$4:$G$42,6,FALSE),IF(COUNTIF($H326:$CL326,"F")&gt;0,0,IF(CV326&gt;$DJ$1,$DJ$1*(VLOOKUP(D326,HORAS!$B$4:$G$42,6,FALSE)/$DJ$1),CV326*(VLOOKUP(D326,HORAS!$B$4:$G$42,6,FALSE)/$DJ$1))))))</f>
        <v>#N/A</v>
      </c>
      <c r="DP326" s="156"/>
      <c r="DQ326" s="148"/>
      <c r="DR326" s="148"/>
      <c r="DS326" s="83" t="e">
        <f t="shared" si="194"/>
        <v>#N/A</v>
      </c>
      <c r="DT326" s="84"/>
      <c r="DU326" s="149" t="e">
        <f t="shared" si="195"/>
        <v>#N/A</v>
      </c>
      <c r="DV326" s="149" t="e">
        <f t="shared" si="196"/>
        <v>#N/A</v>
      </c>
      <c r="DW326" s="144" t="e">
        <f t="shared" si="197"/>
        <v>#N/A</v>
      </c>
      <c r="DX326" s="168"/>
      <c r="DY326" s="29"/>
      <c r="DZ326" s="150"/>
      <c r="EA326" s="134"/>
      <c r="EB326" s="137">
        <f t="shared" si="198"/>
        <v>0</v>
      </c>
      <c r="EC326" s="138">
        <f t="shared" si="199"/>
        <v>0</v>
      </c>
      <c r="ED326" s="137">
        <f t="shared" si="200"/>
        <v>0</v>
      </c>
      <c r="EE326" s="132">
        <f t="shared" si="201"/>
        <v>0</v>
      </c>
      <c r="EF326" s="29"/>
      <c r="EG326" s="134"/>
      <c r="EH326" s="134"/>
      <c r="EI326" s="134"/>
      <c r="EK326" s="29"/>
    </row>
    <row r="327" spans="1:141" ht="15" customHeight="1" x14ac:dyDescent="0.25">
      <c r="A327" s="87"/>
      <c r="B327" s="5"/>
      <c r="C327" s="72"/>
      <c r="D327" s="73"/>
      <c r="E327" s="73"/>
      <c r="F327" s="141"/>
      <c r="G327" s="74"/>
      <c r="H327" s="75"/>
      <c r="I327" s="76"/>
      <c r="J327" s="135"/>
      <c r="K327" s="135"/>
      <c r="L327" s="77">
        <f t="shared" si="170"/>
        <v>0</v>
      </c>
      <c r="M327" s="78"/>
      <c r="N327" s="142"/>
      <c r="O327" s="142"/>
      <c r="P327" s="77">
        <f t="shared" si="171"/>
        <v>0</v>
      </c>
      <c r="Q327" s="78"/>
      <c r="R327" s="143"/>
      <c r="S327" s="143"/>
      <c r="T327" s="77">
        <f t="shared" si="172"/>
        <v>0</v>
      </c>
      <c r="U327" s="75"/>
      <c r="V327" s="76"/>
      <c r="W327" s="135"/>
      <c r="X327" s="135"/>
      <c r="Y327" s="77">
        <f t="shared" si="173"/>
        <v>0</v>
      </c>
      <c r="Z327" s="78"/>
      <c r="AA327" s="142"/>
      <c r="AB327" s="142"/>
      <c r="AC327" s="77">
        <f t="shared" si="174"/>
        <v>0</v>
      </c>
      <c r="AD327" s="78"/>
      <c r="AE327" s="143"/>
      <c r="AF327" s="143"/>
      <c r="AG327" s="79">
        <f t="shared" si="175"/>
        <v>0</v>
      </c>
      <c r="AH327" s="75"/>
      <c r="AI327" s="76"/>
      <c r="AJ327" s="135"/>
      <c r="AK327" s="135"/>
      <c r="AL327" s="77">
        <f t="shared" si="176"/>
        <v>0</v>
      </c>
      <c r="AM327" s="76"/>
      <c r="AN327" s="142"/>
      <c r="AO327" s="142"/>
      <c r="AP327" s="77">
        <f t="shared" si="177"/>
        <v>0</v>
      </c>
      <c r="AQ327" s="78"/>
      <c r="AR327" s="142"/>
      <c r="AS327" s="142"/>
      <c r="AT327" s="79">
        <f t="shared" si="178"/>
        <v>0</v>
      </c>
      <c r="AU327" s="75"/>
      <c r="AV327" s="76"/>
      <c r="AW327" s="135"/>
      <c r="AX327" s="135"/>
      <c r="AY327" s="77">
        <f t="shared" si="179"/>
        <v>0</v>
      </c>
      <c r="AZ327" s="76"/>
      <c r="BA327" s="142"/>
      <c r="BB327" s="142"/>
      <c r="BC327" s="77">
        <f t="shared" si="180"/>
        <v>0</v>
      </c>
      <c r="BD327" s="78"/>
      <c r="BE327" s="142"/>
      <c r="BF327" s="142"/>
      <c r="BG327" s="79">
        <f t="shared" si="181"/>
        <v>0</v>
      </c>
      <c r="BH327" s="75"/>
      <c r="BI327" s="76"/>
      <c r="BJ327" s="135"/>
      <c r="BK327" s="135"/>
      <c r="BL327" s="77">
        <f t="shared" si="182"/>
        <v>0</v>
      </c>
      <c r="BM327" s="78"/>
      <c r="BN327" s="142"/>
      <c r="BO327" s="142"/>
      <c r="BP327" s="77">
        <f t="shared" si="183"/>
        <v>0</v>
      </c>
      <c r="BQ327" s="78"/>
      <c r="BR327" s="142"/>
      <c r="BS327" s="142"/>
      <c r="BT327" s="79">
        <f t="shared" si="184"/>
        <v>0</v>
      </c>
      <c r="BU327" s="75"/>
      <c r="BV327" s="76"/>
      <c r="BW327" s="135"/>
      <c r="BX327" s="135"/>
      <c r="BY327" s="77">
        <f t="shared" si="185"/>
        <v>0</v>
      </c>
      <c r="BZ327" s="78"/>
      <c r="CA327" s="142"/>
      <c r="CB327" s="142"/>
      <c r="CC327" s="77">
        <f t="shared" si="186"/>
        <v>0</v>
      </c>
      <c r="CD327" s="78"/>
      <c r="CE327" s="142"/>
      <c r="CF327" s="142"/>
      <c r="CG327" s="79">
        <f t="shared" si="187"/>
        <v>0</v>
      </c>
      <c r="CH327" s="75"/>
      <c r="CI327" s="76"/>
      <c r="CJ327" s="86"/>
      <c r="CK327" s="86"/>
      <c r="CL327" s="77">
        <f t="shared" si="188"/>
        <v>0</v>
      </c>
      <c r="CM327" s="78"/>
      <c r="CN327" s="85"/>
      <c r="CO327" s="85"/>
      <c r="CP327" s="77">
        <f t="shared" si="189"/>
        <v>0</v>
      </c>
      <c r="CQ327" s="78"/>
      <c r="CR327" s="85"/>
      <c r="CS327" s="85"/>
      <c r="CT327" s="79">
        <f t="shared" si="190"/>
        <v>0</v>
      </c>
      <c r="CU327" s="80">
        <f t="shared" si="191"/>
        <v>0</v>
      </c>
      <c r="CV327" s="81">
        <f t="shared" si="192"/>
        <v>0</v>
      </c>
      <c r="CW327" s="144"/>
      <c r="CX327" s="145">
        <f>IF(ISERROR(VLOOKUP($A327,FIJOS!$B$11:$O$590,14,FALSE)),0,VLOOKUP($A327,FIJOS!$B$11:$O$590,14,FALSE))</f>
        <v>0</v>
      </c>
      <c r="CY327" s="145">
        <f>IF(ISERROR(VLOOKUP(A327,FIJOS!$B$10:$P$590,15,FALSE)),0,VLOOKUP(A327,FIJOS!$B$10:$P$590,15,FALSE))</f>
        <v>0</v>
      </c>
      <c r="CZ327" s="155"/>
      <c r="DA327" s="147"/>
      <c r="DB327" s="147"/>
      <c r="DC327" s="147"/>
      <c r="DD327" s="147"/>
      <c r="DE327" s="147"/>
      <c r="DF327" s="145">
        <f>IF(ISERROR(VLOOKUP($A327,FIJOS!$B$11:$N$590,13,FALSE)),0,VLOOKUP($A327,FIJOS!$B$11:$N$590,13,FALSE))</f>
        <v>0</v>
      </c>
      <c r="DG327" s="145">
        <f>IF(ISERROR(VLOOKUP($A327,FIJOS!$B$11:$P$447,12,FALSE)),0,VLOOKUP($A327,FIJOS!$B$11:$P$447,12,FALSE))</f>
        <v>0</v>
      </c>
      <c r="DH327" s="82">
        <f t="shared" si="193"/>
        <v>0</v>
      </c>
      <c r="DI327" s="83" t="b">
        <f>IF($C327=1,(VLOOKUP($A327,FIJOS!$B$11:$P$545,10,FALSE)/7)*(7-$CU327),IF(AND($C327=2,CV327&lt;$DJ$1),(VLOOKUP($D327,HORAS!$B$4:$C$42,2,FALSE)*24)*$CV327,IF(AND($C327=2,CV327&gt;=$DJ$1),VLOOKUP($D327,HORAS!$B$4:$D$42,3,FALSE),IF(AND($C327=3,$CV327&gt;=$DJ$1),VLOOKUP($A327,FIJOS!$B$11:$P$545,10,FALSE),IF(AND($C327=3,$CV327&lt;$DJ$1),((VLOOKUP($A327,FIJOS!$B$11:$P$545,10,FALSE)/48)*24)*$CV327,IF(AND($C327=4,$CV327&gt;=(42/24)),VLOOKUP($D327,HORAS!$B$4:$D$42,3,FALSE),IF(AND($C327=5,$CV327&gt;=(36/24)),VLOOKUP($D327,HORAS!$B$4:$D$42,3,FALSE))))))))</f>
        <v>0</v>
      </c>
      <c r="DJ327" s="145">
        <f>IF(OR($C327=2),VLOOKUP($D327,HORAS!$B$4:$E$42,4,FALSE)*$EC327,IF(ISERROR(VLOOKUP($A327,FIJOS!$B$11:$P$108,9,FALSE)),0,VLOOKUP($A327,FIJOS!$B$11:$P$231,9,FALSE)*$EC327))</f>
        <v>0</v>
      </c>
      <c r="DK327" s="145">
        <f>IF(OR($C327=2),VLOOKUP($D327,HORAS!$B$4:$F$42,5,FALSE)*$EE327,IF(ISERROR(VLOOKUP($A327,FIJOS!$B$11:$P$108,9,FALSE)),0,VLOOKUP($A327,FIJOS!$B$11:$P$231,9,FALSE)*$EE327))</f>
        <v>0</v>
      </c>
      <c r="DL327" s="144"/>
      <c r="DM327" s="145">
        <f>IF(ISERROR(VLOOKUP($A327,FIJOS!$B$11:$L$646,11,FALSE)),0,VLOOKUP($A327,FIJOS!$B$11:$L$646,11,FALSE))</f>
        <v>0</v>
      </c>
      <c r="DN327" s="148" t="e">
        <f>IF(OR($C327=1,$C327=3),0,IF((VLOOKUP(CAPTURA!D327,HORAS!$B$4:$K$42,10,FALSE)/4)*COUNTIF($H327:$CT327,3)&gt;100,100,(VLOOKUP(CAPTURA!D327,HORAS!$B$4:$K$42,10,FALSE)/4)*COUNTIF($H327:$CT327,3)))</f>
        <v>#N/A</v>
      </c>
      <c r="DO327" s="144" t="e">
        <f>IF(OR($C327=1,$C327=3),0,IF($C327=5,VLOOKUP(D327,HORAS!$B$4:$G$42,6,FALSE),IF(AND($C327=4,$CV327&gt;=(42/24)),VLOOKUP(D327,HORAS!$B$4:$G$42,6,FALSE),IF(COUNTIF($H327:$CL327,"F")&gt;0,0,IF(CV327&gt;$DJ$1,$DJ$1*(VLOOKUP(D327,HORAS!$B$4:$G$42,6,FALSE)/$DJ$1),CV327*(VLOOKUP(D327,HORAS!$B$4:$G$42,6,FALSE)/$DJ$1))))))</f>
        <v>#N/A</v>
      </c>
      <c r="DP327" s="156"/>
      <c r="DQ327" s="148"/>
      <c r="DR327" s="148"/>
      <c r="DS327" s="83" t="e">
        <f t="shared" si="194"/>
        <v>#N/A</v>
      </c>
      <c r="DT327" s="84"/>
      <c r="DU327" s="149" t="e">
        <f t="shared" si="195"/>
        <v>#N/A</v>
      </c>
      <c r="DV327" s="149" t="e">
        <f t="shared" si="196"/>
        <v>#N/A</v>
      </c>
      <c r="DW327" s="144" t="e">
        <f t="shared" si="197"/>
        <v>#N/A</v>
      </c>
      <c r="DX327" s="168"/>
      <c r="DY327" s="29"/>
      <c r="DZ327" s="150"/>
      <c r="EA327" s="134"/>
      <c r="EB327" s="137">
        <f t="shared" si="198"/>
        <v>0</v>
      </c>
      <c r="EC327" s="138">
        <f t="shared" si="199"/>
        <v>0</v>
      </c>
      <c r="ED327" s="137">
        <f t="shared" si="200"/>
        <v>0</v>
      </c>
      <c r="EE327" s="132">
        <f t="shared" si="201"/>
        <v>0</v>
      </c>
      <c r="EF327" s="29"/>
      <c r="EG327" s="134"/>
      <c r="EH327" s="134"/>
      <c r="EI327" s="134"/>
      <c r="EK327" s="29"/>
    </row>
    <row r="328" spans="1:141" ht="15" customHeight="1" x14ac:dyDescent="0.25">
      <c r="A328" s="87"/>
      <c r="B328" s="5"/>
      <c r="C328" s="72"/>
      <c r="D328" s="73"/>
      <c r="E328" s="73"/>
      <c r="F328" s="141"/>
      <c r="G328" s="74"/>
      <c r="H328" s="75"/>
      <c r="I328" s="76"/>
      <c r="J328" s="135"/>
      <c r="K328" s="135"/>
      <c r="L328" s="77">
        <f t="shared" si="170"/>
        <v>0</v>
      </c>
      <c r="M328" s="78"/>
      <c r="N328" s="142"/>
      <c r="O328" s="142"/>
      <c r="P328" s="77">
        <f t="shared" si="171"/>
        <v>0</v>
      </c>
      <c r="Q328" s="78"/>
      <c r="R328" s="143"/>
      <c r="S328" s="143"/>
      <c r="T328" s="77">
        <f t="shared" si="172"/>
        <v>0</v>
      </c>
      <c r="U328" s="75"/>
      <c r="V328" s="76"/>
      <c r="W328" s="135"/>
      <c r="X328" s="135"/>
      <c r="Y328" s="77">
        <f t="shared" si="173"/>
        <v>0</v>
      </c>
      <c r="Z328" s="78"/>
      <c r="AA328" s="142"/>
      <c r="AB328" s="142"/>
      <c r="AC328" s="77">
        <f t="shared" si="174"/>
        <v>0</v>
      </c>
      <c r="AD328" s="78"/>
      <c r="AE328" s="143"/>
      <c r="AF328" s="143"/>
      <c r="AG328" s="79">
        <f t="shared" si="175"/>
        <v>0</v>
      </c>
      <c r="AH328" s="75"/>
      <c r="AI328" s="76"/>
      <c r="AJ328" s="135"/>
      <c r="AK328" s="135"/>
      <c r="AL328" s="77">
        <f t="shared" si="176"/>
        <v>0</v>
      </c>
      <c r="AM328" s="76"/>
      <c r="AN328" s="142"/>
      <c r="AO328" s="142"/>
      <c r="AP328" s="77">
        <f t="shared" si="177"/>
        <v>0</v>
      </c>
      <c r="AQ328" s="78"/>
      <c r="AR328" s="142"/>
      <c r="AS328" s="142"/>
      <c r="AT328" s="79">
        <f t="shared" si="178"/>
        <v>0</v>
      </c>
      <c r="AU328" s="75"/>
      <c r="AV328" s="76"/>
      <c r="AW328" s="135"/>
      <c r="AX328" s="135"/>
      <c r="AY328" s="77">
        <f t="shared" si="179"/>
        <v>0</v>
      </c>
      <c r="AZ328" s="76"/>
      <c r="BA328" s="142"/>
      <c r="BB328" s="142"/>
      <c r="BC328" s="77">
        <f t="shared" si="180"/>
        <v>0</v>
      </c>
      <c r="BD328" s="78"/>
      <c r="BE328" s="142"/>
      <c r="BF328" s="142"/>
      <c r="BG328" s="79">
        <f t="shared" si="181"/>
        <v>0</v>
      </c>
      <c r="BH328" s="75"/>
      <c r="BI328" s="76"/>
      <c r="BJ328" s="135"/>
      <c r="BK328" s="135"/>
      <c r="BL328" s="77">
        <f t="shared" si="182"/>
        <v>0</v>
      </c>
      <c r="BM328" s="78"/>
      <c r="BN328" s="142"/>
      <c r="BO328" s="142"/>
      <c r="BP328" s="77">
        <f t="shared" si="183"/>
        <v>0</v>
      </c>
      <c r="BQ328" s="78"/>
      <c r="BR328" s="142"/>
      <c r="BS328" s="142"/>
      <c r="BT328" s="79">
        <f t="shared" si="184"/>
        <v>0</v>
      </c>
      <c r="BU328" s="75"/>
      <c r="BV328" s="76"/>
      <c r="BW328" s="135"/>
      <c r="BX328" s="135"/>
      <c r="BY328" s="77">
        <f t="shared" si="185"/>
        <v>0</v>
      </c>
      <c r="BZ328" s="78"/>
      <c r="CA328" s="142"/>
      <c r="CB328" s="142"/>
      <c r="CC328" s="77">
        <f t="shared" si="186"/>
        <v>0</v>
      </c>
      <c r="CD328" s="78"/>
      <c r="CE328" s="142"/>
      <c r="CF328" s="142"/>
      <c r="CG328" s="79">
        <f t="shared" si="187"/>
        <v>0</v>
      </c>
      <c r="CH328" s="75"/>
      <c r="CI328" s="76"/>
      <c r="CJ328" s="86"/>
      <c r="CK328" s="86"/>
      <c r="CL328" s="77">
        <f t="shared" si="188"/>
        <v>0</v>
      </c>
      <c r="CM328" s="78"/>
      <c r="CN328" s="85"/>
      <c r="CO328" s="85"/>
      <c r="CP328" s="77">
        <f t="shared" si="189"/>
        <v>0</v>
      </c>
      <c r="CQ328" s="78"/>
      <c r="CR328" s="85"/>
      <c r="CS328" s="85"/>
      <c r="CT328" s="79">
        <f t="shared" si="190"/>
        <v>0</v>
      </c>
      <c r="CU328" s="80">
        <f t="shared" si="191"/>
        <v>0</v>
      </c>
      <c r="CV328" s="81">
        <f t="shared" si="192"/>
        <v>0</v>
      </c>
      <c r="CW328" s="144"/>
      <c r="CX328" s="145">
        <f>IF(ISERROR(VLOOKUP($A328,FIJOS!$B$11:$O$590,14,FALSE)),0,VLOOKUP($A328,FIJOS!$B$11:$O$590,14,FALSE))</f>
        <v>0</v>
      </c>
      <c r="CY328" s="145">
        <f>IF(ISERROR(VLOOKUP(A328,FIJOS!$B$10:$P$590,15,FALSE)),0,VLOOKUP(A328,FIJOS!$B$10:$P$590,15,FALSE))</f>
        <v>0</v>
      </c>
      <c r="CZ328" s="155"/>
      <c r="DA328" s="147"/>
      <c r="DB328" s="147"/>
      <c r="DC328" s="147"/>
      <c r="DD328" s="147"/>
      <c r="DE328" s="147"/>
      <c r="DF328" s="145">
        <f>IF(ISERROR(VLOOKUP($A328,FIJOS!$B$11:$N$590,13,FALSE)),0,VLOOKUP($A328,FIJOS!$B$11:$N$590,13,FALSE))</f>
        <v>0</v>
      </c>
      <c r="DG328" s="145">
        <f>IF(ISERROR(VLOOKUP($A328,FIJOS!$B$11:$P$447,12,FALSE)),0,VLOOKUP($A328,FIJOS!$B$11:$P$447,12,FALSE))</f>
        <v>0</v>
      </c>
      <c r="DH328" s="82">
        <f t="shared" si="193"/>
        <v>0</v>
      </c>
      <c r="DI328" s="83" t="b">
        <f>IF($C328=1,(VLOOKUP($A328,FIJOS!$B$11:$P$545,10,FALSE)/7)*(7-$CU328),IF(AND($C328=2,CV328&lt;$DJ$1),(VLOOKUP($D328,HORAS!$B$4:$C$42,2,FALSE)*24)*$CV328,IF(AND($C328=2,CV328&gt;=$DJ$1),VLOOKUP($D328,HORAS!$B$4:$D$42,3,FALSE),IF(AND($C328=3,$CV328&gt;=$DJ$1),VLOOKUP($A328,FIJOS!$B$11:$P$545,10,FALSE),IF(AND($C328=3,$CV328&lt;$DJ$1),((VLOOKUP($A328,FIJOS!$B$11:$P$545,10,FALSE)/48)*24)*$CV328,IF(AND($C328=4,$CV328&gt;=(42/24)),VLOOKUP($D328,HORAS!$B$4:$D$42,3,FALSE),IF(AND($C328=5,$CV328&gt;=(36/24)),VLOOKUP($D328,HORAS!$B$4:$D$42,3,FALSE))))))))</f>
        <v>0</v>
      </c>
      <c r="DJ328" s="145">
        <f>IF(OR($C328=2),VLOOKUP($D328,HORAS!$B$4:$E$42,4,FALSE)*$EC328,IF(ISERROR(VLOOKUP($A328,FIJOS!$B$11:$P$108,9,FALSE)),0,VLOOKUP($A328,FIJOS!$B$11:$P$231,9,FALSE)*$EC328))</f>
        <v>0</v>
      </c>
      <c r="DK328" s="145">
        <f>IF(OR($C328=2),VLOOKUP($D328,HORAS!$B$4:$F$42,5,FALSE)*$EE328,IF(ISERROR(VLOOKUP($A328,FIJOS!$B$11:$P$108,9,FALSE)),0,VLOOKUP($A328,FIJOS!$B$11:$P$231,9,FALSE)*$EE328))</f>
        <v>0</v>
      </c>
      <c r="DL328" s="144"/>
      <c r="DM328" s="145">
        <f>IF(ISERROR(VLOOKUP($A328,FIJOS!$B$11:$L$646,11,FALSE)),0,VLOOKUP($A328,FIJOS!$B$11:$L$646,11,FALSE))</f>
        <v>0</v>
      </c>
      <c r="DN328" s="148" t="e">
        <f>IF(OR($C328=1,$C328=3),0,IF((VLOOKUP(CAPTURA!D328,HORAS!$B$4:$K$42,10,FALSE)/4)*COUNTIF($H328:$CT328,3)&gt;100,100,(VLOOKUP(CAPTURA!D328,HORAS!$B$4:$K$42,10,FALSE)/4)*COUNTIF($H328:$CT328,3)))</f>
        <v>#N/A</v>
      </c>
      <c r="DO328" s="144" t="e">
        <f>IF(OR($C328=1,$C328=3),0,IF($C328=5,VLOOKUP(D328,HORAS!$B$4:$G$42,6,FALSE),IF(AND($C328=4,$CV328&gt;=(42/24)),VLOOKUP(D328,HORAS!$B$4:$G$42,6,FALSE),IF(COUNTIF($H328:$CL328,"F")&gt;0,0,IF(CV328&gt;$DJ$1,$DJ$1*(VLOOKUP(D328,HORAS!$B$4:$G$42,6,FALSE)/$DJ$1),CV328*(VLOOKUP(D328,HORAS!$B$4:$G$42,6,FALSE)/$DJ$1))))))</f>
        <v>#N/A</v>
      </c>
      <c r="DP328" s="156"/>
      <c r="DQ328" s="148"/>
      <c r="DR328" s="148"/>
      <c r="DS328" s="83" t="e">
        <f t="shared" si="194"/>
        <v>#N/A</v>
      </c>
      <c r="DT328" s="84"/>
      <c r="DU328" s="149" t="e">
        <f t="shared" si="195"/>
        <v>#N/A</v>
      </c>
      <c r="DV328" s="149" t="e">
        <f t="shared" si="196"/>
        <v>#N/A</v>
      </c>
      <c r="DW328" s="144" t="e">
        <f t="shared" si="197"/>
        <v>#N/A</v>
      </c>
      <c r="DX328" s="168"/>
      <c r="DY328" s="29"/>
      <c r="DZ328" s="150"/>
      <c r="EA328" s="134"/>
      <c r="EB328" s="137">
        <f t="shared" si="198"/>
        <v>0</v>
      </c>
      <c r="EC328" s="138">
        <f t="shared" si="199"/>
        <v>0</v>
      </c>
      <c r="ED328" s="137">
        <f t="shared" si="200"/>
        <v>0</v>
      </c>
      <c r="EE328" s="132">
        <f t="shared" si="201"/>
        <v>0</v>
      </c>
      <c r="EF328" s="29"/>
      <c r="EG328" s="134"/>
      <c r="EH328" s="134"/>
      <c r="EI328" s="134"/>
      <c r="EK328" s="29"/>
    </row>
    <row r="329" spans="1:141" ht="15" customHeight="1" x14ac:dyDescent="0.25">
      <c r="A329" s="87"/>
      <c r="B329" s="5"/>
      <c r="C329" s="72"/>
      <c r="D329" s="73"/>
      <c r="E329" s="73"/>
      <c r="F329" s="141"/>
      <c r="G329" s="74"/>
      <c r="H329" s="75"/>
      <c r="I329" s="76"/>
      <c r="J329" s="135"/>
      <c r="K329" s="135"/>
      <c r="L329" s="77">
        <f t="shared" si="170"/>
        <v>0</v>
      </c>
      <c r="M329" s="78"/>
      <c r="N329" s="142"/>
      <c r="O329" s="142"/>
      <c r="P329" s="77">
        <f t="shared" si="171"/>
        <v>0</v>
      </c>
      <c r="Q329" s="78"/>
      <c r="R329" s="143"/>
      <c r="S329" s="143"/>
      <c r="T329" s="77">
        <f t="shared" si="172"/>
        <v>0</v>
      </c>
      <c r="U329" s="75"/>
      <c r="V329" s="76"/>
      <c r="W329" s="135"/>
      <c r="X329" s="135"/>
      <c r="Y329" s="77">
        <f t="shared" si="173"/>
        <v>0</v>
      </c>
      <c r="Z329" s="78"/>
      <c r="AA329" s="142"/>
      <c r="AB329" s="142"/>
      <c r="AC329" s="77">
        <f t="shared" si="174"/>
        <v>0</v>
      </c>
      <c r="AD329" s="78"/>
      <c r="AE329" s="143"/>
      <c r="AF329" s="143"/>
      <c r="AG329" s="79">
        <f t="shared" si="175"/>
        <v>0</v>
      </c>
      <c r="AH329" s="75"/>
      <c r="AI329" s="76"/>
      <c r="AJ329" s="135"/>
      <c r="AK329" s="135"/>
      <c r="AL329" s="77">
        <f t="shared" si="176"/>
        <v>0</v>
      </c>
      <c r="AM329" s="76"/>
      <c r="AN329" s="142"/>
      <c r="AO329" s="142"/>
      <c r="AP329" s="77">
        <f t="shared" si="177"/>
        <v>0</v>
      </c>
      <c r="AQ329" s="78"/>
      <c r="AR329" s="142"/>
      <c r="AS329" s="142"/>
      <c r="AT329" s="79">
        <f t="shared" si="178"/>
        <v>0</v>
      </c>
      <c r="AU329" s="75"/>
      <c r="AV329" s="76"/>
      <c r="AW329" s="135"/>
      <c r="AX329" s="135"/>
      <c r="AY329" s="77">
        <f t="shared" si="179"/>
        <v>0</v>
      </c>
      <c r="AZ329" s="76"/>
      <c r="BA329" s="142"/>
      <c r="BB329" s="142"/>
      <c r="BC329" s="77">
        <f t="shared" si="180"/>
        <v>0</v>
      </c>
      <c r="BD329" s="78"/>
      <c r="BE329" s="142"/>
      <c r="BF329" s="142"/>
      <c r="BG329" s="79">
        <f t="shared" si="181"/>
        <v>0</v>
      </c>
      <c r="BH329" s="75"/>
      <c r="BI329" s="76"/>
      <c r="BJ329" s="135"/>
      <c r="BK329" s="135"/>
      <c r="BL329" s="77">
        <f t="shared" si="182"/>
        <v>0</v>
      </c>
      <c r="BM329" s="78"/>
      <c r="BN329" s="142"/>
      <c r="BO329" s="142"/>
      <c r="BP329" s="77">
        <f t="shared" si="183"/>
        <v>0</v>
      </c>
      <c r="BQ329" s="78"/>
      <c r="BR329" s="142"/>
      <c r="BS329" s="142"/>
      <c r="BT329" s="79">
        <f t="shared" si="184"/>
        <v>0</v>
      </c>
      <c r="BU329" s="75"/>
      <c r="BV329" s="76"/>
      <c r="BW329" s="135"/>
      <c r="BX329" s="135"/>
      <c r="BY329" s="77">
        <f t="shared" si="185"/>
        <v>0</v>
      </c>
      <c r="BZ329" s="78"/>
      <c r="CA329" s="142"/>
      <c r="CB329" s="142"/>
      <c r="CC329" s="77">
        <f t="shared" si="186"/>
        <v>0</v>
      </c>
      <c r="CD329" s="78"/>
      <c r="CE329" s="142"/>
      <c r="CF329" s="142"/>
      <c r="CG329" s="79">
        <f t="shared" si="187"/>
        <v>0</v>
      </c>
      <c r="CH329" s="75"/>
      <c r="CI329" s="76"/>
      <c r="CJ329" s="86"/>
      <c r="CK329" s="86"/>
      <c r="CL329" s="77">
        <f t="shared" si="188"/>
        <v>0</v>
      </c>
      <c r="CM329" s="78"/>
      <c r="CN329" s="85"/>
      <c r="CO329" s="85"/>
      <c r="CP329" s="77">
        <f t="shared" si="189"/>
        <v>0</v>
      </c>
      <c r="CQ329" s="78"/>
      <c r="CR329" s="85"/>
      <c r="CS329" s="85"/>
      <c r="CT329" s="79">
        <f t="shared" si="190"/>
        <v>0</v>
      </c>
      <c r="CU329" s="80">
        <f t="shared" si="191"/>
        <v>0</v>
      </c>
      <c r="CV329" s="81">
        <f t="shared" si="192"/>
        <v>0</v>
      </c>
      <c r="CW329" s="144"/>
      <c r="CX329" s="145">
        <f>IF(ISERROR(VLOOKUP($A329,FIJOS!$B$11:$O$590,14,FALSE)),0,VLOOKUP($A329,FIJOS!$B$11:$O$590,14,FALSE))</f>
        <v>0</v>
      </c>
      <c r="CY329" s="145">
        <f>IF(ISERROR(VLOOKUP(A329,FIJOS!$B$10:$P$590,15,FALSE)),0,VLOOKUP(A329,FIJOS!$B$10:$P$590,15,FALSE))</f>
        <v>0</v>
      </c>
      <c r="CZ329" s="155"/>
      <c r="DA329" s="147"/>
      <c r="DB329" s="147"/>
      <c r="DC329" s="147"/>
      <c r="DD329" s="147"/>
      <c r="DE329" s="147"/>
      <c r="DF329" s="145">
        <f>IF(ISERROR(VLOOKUP($A329,FIJOS!$B$11:$N$590,13,FALSE)),0,VLOOKUP($A329,FIJOS!$B$11:$N$590,13,FALSE))</f>
        <v>0</v>
      </c>
      <c r="DG329" s="145">
        <f>IF(ISERROR(VLOOKUP($A329,FIJOS!$B$11:$P$447,12,FALSE)),0,VLOOKUP($A329,FIJOS!$B$11:$P$447,12,FALSE))</f>
        <v>0</v>
      </c>
      <c r="DH329" s="82">
        <f t="shared" si="193"/>
        <v>0</v>
      </c>
      <c r="DI329" s="83" t="b">
        <f>IF($C329=1,(VLOOKUP($A329,FIJOS!$B$11:$P$545,10,FALSE)/7)*(7-$CU329),IF(AND($C329=2,CV329&lt;$DJ$1),(VLOOKUP($D329,HORAS!$B$4:$C$42,2,FALSE)*24)*$CV329,IF(AND($C329=2,CV329&gt;=$DJ$1),VLOOKUP($D329,HORAS!$B$4:$D$42,3,FALSE),IF(AND($C329=3,$CV329&gt;=$DJ$1),VLOOKUP($A329,FIJOS!$B$11:$P$545,10,FALSE),IF(AND($C329=3,$CV329&lt;$DJ$1),((VLOOKUP($A329,FIJOS!$B$11:$P$545,10,FALSE)/48)*24)*$CV329,IF(AND($C329=4,$CV329&gt;=(42/24)),VLOOKUP($D329,HORAS!$B$4:$D$42,3,FALSE),IF(AND($C329=5,$CV329&gt;=(36/24)),VLOOKUP($D329,HORAS!$B$4:$D$42,3,FALSE))))))))</f>
        <v>0</v>
      </c>
      <c r="DJ329" s="145">
        <f>IF(OR($C329=2),VLOOKUP($D329,HORAS!$B$4:$E$42,4,FALSE)*$EC329,IF(ISERROR(VLOOKUP($A329,FIJOS!$B$11:$P$108,9,FALSE)),0,VLOOKUP($A329,FIJOS!$B$11:$P$231,9,FALSE)*$EC329))</f>
        <v>0</v>
      </c>
      <c r="DK329" s="145">
        <f>IF(OR($C329=2),VLOOKUP($D329,HORAS!$B$4:$F$42,5,FALSE)*$EE329,IF(ISERROR(VLOOKUP($A329,FIJOS!$B$11:$P$108,9,FALSE)),0,VLOOKUP($A329,FIJOS!$B$11:$P$231,9,FALSE)*$EE329))</f>
        <v>0</v>
      </c>
      <c r="DL329" s="144"/>
      <c r="DM329" s="145">
        <f>IF(ISERROR(VLOOKUP($A329,FIJOS!$B$11:$L$646,11,FALSE)),0,VLOOKUP($A329,FIJOS!$B$11:$L$646,11,FALSE))</f>
        <v>0</v>
      </c>
      <c r="DN329" s="148" t="e">
        <f>IF(OR($C329=1,$C329=3),0,IF((VLOOKUP(CAPTURA!D329,HORAS!$B$4:$K$42,10,FALSE)/4)*COUNTIF($H329:$CT329,3)&gt;100,100,(VLOOKUP(CAPTURA!D329,HORAS!$B$4:$K$42,10,FALSE)/4)*COUNTIF($H329:$CT329,3)))</f>
        <v>#N/A</v>
      </c>
      <c r="DO329" s="144" t="e">
        <f>IF(OR($C329=1,$C329=3),0,IF($C329=5,VLOOKUP(D329,HORAS!$B$4:$G$42,6,FALSE),IF(AND($C329=4,$CV329&gt;=(42/24)),VLOOKUP(D329,HORAS!$B$4:$G$42,6,FALSE),IF(COUNTIF($H329:$CL329,"F")&gt;0,0,IF(CV329&gt;$DJ$1,$DJ$1*(VLOOKUP(D329,HORAS!$B$4:$G$42,6,FALSE)/$DJ$1),CV329*(VLOOKUP(D329,HORAS!$B$4:$G$42,6,FALSE)/$DJ$1))))))</f>
        <v>#N/A</v>
      </c>
      <c r="DP329" s="156"/>
      <c r="DQ329" s="148"/>
      <c r="DR329" s="148"/>
      <c r="DS329" s="83" t="e">
        <f t="shared" si="194"/>
        <v>#N/A</v>
      </c>
      <c r="DT329" s="84"/>
      <c r="DU329" s="149" t="e">
        <f t="shared" si="195"/>
        <v>#N/A</v>
      </c>
      <c r="DV329" s="149" t="e">
        <f t="shared" si="196"/>
        <v>#N/A</v>
      </c>
      <c r="DW329" s="144" t="e">
        <f t="shared" si="197"/>
        <v>#N/A</v>
      </c>
      <c r="DX329" s="168"/>
      <c r="DY329" s="29"/>
      <c r="DZ329" s="150"/>
      <c r="EA329" s="134"/>
      <c r="EB329" s="137">
        <f t="shared" si="198"/>
        <v>0</v>
      </c>
      <c r="EC329" s="138">
        <f t="shared" si="199"/>
        <v>0</v>
      </c>
      <c r="ED329" s="137">
        <f t="shared" si="200"/>
        <v>0</v>
      </c>
      <c r="EE329" s="132">
        <f t="shared" si="201"/>
        <v>0</v>
      </c>
      <c r="EF329" s="29"/>
      <c r="EG329" s="134"/>
      <c r="EH329" s="134"/>
      <c r="EI329" s="134"/>
      <c r="EK329" s="29"/>
    </row>
    <row r="330" spans="1:141" ht="15" customHeight="1" x14ac:dyDescent="0.25">
      <c r="A330" s="87"/>
      <c r="B330" s="5"/>
      <c r="C330" s="72"/>
      <c r="D330" s="73"/>
      <c r="E330" s="73"/>
      <c r="F330" s="141"/>
      <c r="G330" s="74"/>
      <c r="H330" s="75"/>
      <c r="I330" s="76"/>
      <c r="J330" s="135"/>
      <c r="K330" s="135"/>
      <c r="L330" s="77">
        <f t="shared" si="170"/>
        <v>0</v>
      </c>
      <c r="M330" s="78"/>
      <c r="N330" s="142"/>
      <c r="O330" s="142"/>
      <c r="P330" s="77">
        <f t="shared" si="171"/>
        <v>0</v>
      </c>
      <c r="Q330" s="78"/>
      <c r="R330" s="143"/>
      <c r="S330" s="143"/>
      <c r="T330" s="77">
        <f t="shared" si="172"/>
        <v>0</v>
      </c>
      <c r="U330" s="75"/>
      <c r="V330" s="76"/>
      <c r="W330" s="135"/>
      <c r="X330" s="135"/>
      <c r="Y330" s="77">
        <f t="shared" si="173"/>
        <v>0</v>
      </c>
      <c r="Z330" s="78"/>
      <c r="AA330" s="142"/>
      <c r="AB330" s="142"/>
      <c r="AC330" s="77">
        <f t="shared" si="174"/>
        <v>0</v>
      </c>
      <c r="AD330" s="78"/>
      <c r="AE330" s="143"/>
      <c r="AF330" s="143"/>
      <c r="AG330" s="79">
        <f t="shared" si="175"/>
        <v>0</v>
      </c>
      <c r="AH330" s="75"/>
      <c r="AI330" s="76"/>
      <c r="AJ330" s="135"/>
      <c r="AK330" s="135"/>
      <c r="AL330" s="77">
        <f t="shared" si="176"/>
        <v>0</v>
      </c>
      <c r="AM330" s="76"/>
      <c r="AN330" s="142"/>
      <c r="AO330" s="142"/>
      <c r="AP330" s="77">
        <f t="shared" si="177"/>
        <v>0</v>
      </c>
      <c r="AQ330" s="78"/>
      <c r="AR330" s="142"/>
      <c r="AS330" s="142"/>
      <c r="AT330" s="79">
        <f t="shared" si="178"/>
        <v>0</v>
      </c>
      <c r="AU330" s="75"/>
      <c r="AV330" s="76"/>
      <c r="AW330" s="135"/>
      <c r="AX330" s="135"/>
      <c r="AY330" s="77">
        <f t="shared" si="179"/>
        <v>0</v>
      </c>
      <c r="AZ330" s="76"/>
      <c r="BA330" s="142"/>
      <c r="BB330" s="142"/>
      <c r="BC330" s="77">
        <f t="shared" si="180"/>
        <v>0</v>
      </c>
      <c r="BD330" s="78"/>
      <c r="BE330" s="142"/>
      <c r="BF330" s="142"/>
      <c r="BG330" s="79">
        <f t="shared" si="181"/>
        <v>0</v>
      </c>
      <c r="BH330" s="75"/>
      <c r="BI330" s="76"/>
      <c r="BJ330" s="135"/>
      <c r="BK330" s="135"/>
      <c r="BL330" s="77">
        <f t="shared" si="182"/>
        <v>0</v>
      </c>
      <c r="BM330" s="78"/>
      <c r="BN330" s="142"/>
      <c r="BO330" s="142"/>
      <c r="BP330" s="77">
        <f t="shared" si="183"/>
        <v>0</v>
      </c>
      <c r="BQ330" s="78"/>
      <c r="BR330" s="142"/>
      <c r="BS330" s="142"/>
      <c r="BT330" s="79">
        <f t="shared" si="184"/>
        <v>0</v>
      </c>
      <c r="BU330" s="75"/>
      <c r="BV330" s="76"/>
      <c r="BW330" s="135"/>
      <c r="BX330" s="135"/>
      <c r="BY330" s="77">
        <f t="shared" si="185"/>
        <v>0</v>
      </c>
      <c r="BZ330" s="78"/>
      <c r="CA330" s="142"/>
      <c r="CB330" s="142"/>
      <c r="CC330" s="77">
        <f t="shared" si="186"/>
        <v>0</v>
      </c>
      <c r="CD330" s="78"/>
      <c r="CE330" s="142"/>
      <c r="CF330" s="142"/>
      <c r="CG330" s="79">
        <f t="shared" si="187"/>
        <v>0</v>
      </c>
      <c r="CH330" s="75"/>
      <c r="CI330" s="76"/>
      <c r="CJ330" s="86"/>
      <c r="CK330" s="86"/>
      <c r="CL330" s="77">
        <f t="shared" si="188"/>
        <v>0</v>
      </c>
      <c r="CM330" s="78"/>
      <c r="CN330" s="85"/>
      <c r="CO330" s="85"/>
      <c r="CP330" s="77">
        <f t="shared" si="189"/>
        <v>0</v>
      </c>
      <c r="CQ330" s="78"/>
      <c r="CR330" s="85"/>
      <c r="CS330" s="85"/>
      <c r="CT330" s="79">
        <f t="shared" si="190"/>
        <v>0</v>
      </c>
      <c r="CU330" s="80">
        <f t="shared" si="191"/>
        <v>0</v>
      </c>
      <c r="CV330" s="81">
        <f t="shared" si="192"/>
        <v>0</v>
      </c>
      <c r="CW330" s="144"/>
      <c r="CX330" s="145">
        <f>IF(ISERROR(VLOOKUP($A330,FIJOS!$B$11:$O$590,14,FALSE)),0,VLOOKUP($A330,FIJOS!$B$11:$O$590,14,FALSE))</f>
        <v>0</v>
      </c>
      <c r="CY330" s="145">
        <f>IF(ISERROR(VLOOKUP(A330,FIJOS!$B$10:$P$590,15,FALSE)),0,VLOOKUP(A330,FIJOS!$B$10:$P$590,15,FALSE))</f>
        <v>0</v>
      </c>
      <c r="CZ330" s="155"/>
      <c r="DA330" s="147"/>
      <c r="DB330" s="147"/>
      <c r="DC330" s="147"/>
      <c r="DD330" s="147"/>
      <c r="DE330" s="147"/>
      <c r="DF330" s="145">
        <f>IF(ISERROR(VLOOKUP($A330,FIJOS!$B$11:$N$590,13,FALSE)),0,VLOOKUP($A330,FIJOS!$B$11:$N$590,13,FALSE))</f>
        <v>0</v>
      </c>
      <c r="DG330" s="145">
        <f>IF(ISERROR(VLOOKUP($A330,FIJOS!$B$11:$P$447,12,FALSE)),0,VLOOKUP($A330,FIJOS!$B$11:$P$447,12,FALSE))</f>
        <v>0</v>
      </c>
      <c r="DH330" s="82">
        <f t="shared" si="193"/>
        <v>0</v>
      </c>
      <c r="DI330" s="83" t="b">
        <f>IF($C330=1,(VLOOKUP($A330,FIJOS!$B$11:$P$545,10,FALSE)/7)*(7-$CU330),IF(AND($C330=2,CV330&lt;$DJ$1),(VLOOKUP($D330,HORAS!$B$4:$C$42,2,FALSE)*24)*$CV330,IF(AND($C330=2,CV330&gt;=$DJ$1),VLOOKUP($D330,HORAS!$B$4:$D$42,3,FALSE),IF(AND($C330=3,$CV330&gt;=$DJ$1),VLOOKUP($A330,FIJOS!$B$11:$P$545,10,FALSE),IF(AND($C330=3,$CV330&lt;$DJ$1),((VLOOKUP($A330,FIJOS!$B$11:$P$545,10,FALSE)/48)*24)*$CV330,IF(AND($C330=4,$CV330&gt;=(42/24)),VLOOKUP($D330,HORAS!$B$4:$D$42,3,FALSE),IF(AND($C330=5,$CV330&gt;=(36/24)),VLOOKUP($D330,HORAS!$B$4:$D$42,3,FALSE))))))))</f>
        <v>0</v>
      </c>
      <c r="DJ330" s="145">
        <f>IF(OR($C330=2),VLOOKUP($D330,HORAS!$B$4:$E$42,4,FALSE)*$EC330,IF(ISERROR(VLOOKUP($A330,FIJOS!$B$11:$P$108,9,FALSE)),0,VLOOKUP($A330,FIJOS!$B$11:$P$231,9,FALSE)*$EC330))</f>
        <v>0</v>
      </c>
      <c r="DK330" s="145">
        <f>IF(OR($C330=2),VLOOKUP($D330,HORAS!$B$4:$F$42,5,FALSE)*$EE330,IF(ISERROR(VLOOKUP($A330,FIJOS!$B$11:$P$108,9,FALSE)),0,VLOOKUP($A330,FIJOS!$B$11:$P$231,9,FALSE)*$EE330))</f>
        <v>0</v>
      </c>
      <c r="DL330" s="144"/>
      <c r="DM330" s="145">
        <f>IF(ISERROR(VLOOKUP($A330,FIJOS!$B$11:$L$646,11,FALSE)),0,VLOOKUP($A330,FIJOS!$B$11:$L$646,11,FALSE))</f>
        <v>0</v>
      </c>
      <c r="DN330" s="148" t="e">
        <f>IF(OR($C330=1,$C330=3),0,IF((VLOOKUP(CAPTURA!D330,HORAS!$B$4:$K$42,10,FALSE)/4)*COUNTIF($H330:$CT330,3)&gt;100,100,(VLOOKUP(CAPTURA!D330,HORAS!$B$4:$K$42,10,FALSE)/4)*COUNTIF($H330:$CT330,3)))</f>
        <v>#N/A</v>
      </c>
      <c r="DO330" s="144" t="e">
        <f>IF(OR($C330=1,$C330=3),0,IF($C330=5,VLOOKUP(D330,HORAS!$B$4:$G$42,6,FALSE),IF(AND($C330=4,$CV330&gt;=(42/24)),VLOOKUP(D330,HORAS!$B$4:$G$42,6,FALSE),IF(COUNTIF($H330:$CL330,"F")&gt;0,0,IF(CV330&gt;$DJ$1,$DJ$1*(VLOOKUP(D330,HORAS!$B$4:$G$42,6,FALSE)/$DJ$1),CV330*(VLOOKUP(D330,HORAS!$B$4:$G$42,6,FALSE)/$DJ$1))))))</f>
        <v>#N/A</v>
      </c>
      <c r="DP330" s="156"/>
      <c r="DQ330" s="148"/>
      <c r="DR330" s="148"/>
      <c r="DS330" s="83" t="e">
        <f t="shared" si="194"/>
        <v>#N/A</v>
      </c>
      <c r="DT330" s="84"/>
      <c r="DU330" s="149" t="e">
        <f t="shared" si="195"/>
        <v>#N/A</v>
      </c>
      <c r="DV330" s="149" t="e">
        <f t="shared" si="196"/>
        <v>#N/A</v>
      </c>
      <c r="DW330" s="144" t="e">
        <f t="shared" si="197"/>
        <v>#N/A</v>
      </c>
      <c r="DX330" s="168"/>
      <c r="DY330" s="29"/>
      <c r="DZ330" s="150"/>
      <c r="EA330" s="134"/>
      <c r="EB330" s="137">
        <f t="shared" si="198"/>
        <v>0</v>
      </c>
      <c r="EC330" s="138">
        <f t="shared" si="199"/>
        <v>0</v>
      </c>
      <c r="ED330" s="137">
        <f t="shared" si="200"/>
        <v>0</v>
      </c>
      <c r="EE330" s="132">
        <f t="shared" si="201"/>
        <v>0</v>
      </c>
      <c r="EF330" s="29"/>
      <c r="EG330" s="134"/>
      <c r="EH330" s="134"/>
      <c r="EI330" s="134"/>
      <c r="EK330" s="29"/>
    </row>
    <row r="331" spans="1:141" ht="15" customHeight="1" x14ac:dyDescent="0.25">
      <c r="A331" s="87"/>
      <c r="B331" s="5"/>
      <c r="C331" s="72"/>
      <c r="D331" s="73"/>
      <c r="E331" s="73"/>
      <c r="F331" s="141"/>
      <c r="G331" s="74"/>
      <c r="H331" s="75"/>
      <c r="I331" s="76"/>
      <c r="J331" s="135"/>
      <c r="K331" s="135"/>
      <c r="L331" s="77">
        <f t="shared" si="170"/>
        <v>0</v>
      </c>
      <c r="M331" s="78"/>
      <c r="N331" s="142"/>
      <c r="O331" s="142"/>
      <c r="P331" s="77">
        <f t="shared" si="171"/>
        <v>0</v>
      </c>
      <c r="Q331" s="78"/>
      <c r="R331" s="143"/>
      <c r="S331" s="143"/>
      <c r="T331" s="77">
        <f t="shared" si="172"/>
        <v>0</v>
      </c>
      <c r="U331" s="75"/>
      <c r="V331" s="76"/>
      <c r="W331" s="135"/>
      <c r="X331" s="135"/>
      <c r="Y331" s="77">
        <f t="shared" si="173"/>
        <v>0</v>
      </c>
      <c r="Z331" s="78"/>
      <c r="AA331" s="142"/>
      <c r="AB331" s="142"/>
      <c r="AC331" s="77">
        <f t="shared" si="174"/>
        <v>0</v>
      </c>
      <c r="AD331" s="78"/>
      <c r="AE331" s="143"/>
      <c r="AF331" s="143"/>
      <c r="AG331" s="79">
        <f t="shared" si="175"/>
        <v>0</v>
      </c>
      <c r="AH331" s="75"/>
      <c r="AI331" s="76"/>
      <c r="AJ331" s="135"/>
      <c r="AK331" s="135"/>
      <c r="AL331" s="77">
        <f t="shared" si="176"/>
        <v>0</v>
      </c>
      <c r="AM331" s="76"/>
      <c r="AN331" s="142"/>
      <c r="AO331" s="142"/>
      <c r="AP331" s="77">
        <f t="shared" si="177"/>
        <v>0</v>
      </c>
      <c r="AQ331" s="78"/>
      <c r="AR331" s="142"/>
      <c r="AS331" s="142"/>
      <c r="AT331" s="79">
        <f t="shared" si="178"/>
        <v>0</v>
      </c>
      <c r="AU331" s="75"/>
      <c r="AV331" s="76"/>
      <c r="AW331" s="135"/>
      <c r="AX331" s="135"/>
      <c r="AY331" s="77">
        <f t="shared" si="179"/>
        <v>0</v>
      </c>
      <c r="AZ331" s="76"/>
      <c r="BA331" s="142"/>
      <c r="BB331" s="142"/>
      <c r="BC331" s="77">
        <f t="shared" si="180"/>
        <v>0</v>
      </c>
      <c r="BD331" s="78"/>
      <c r="BE331" s="142"/>
      <c r="BF331" s="142"/>
      <c r="BG331" s="79">
        <f t="shared" si="181"/>
        <v>0</v>
      </c>
      <c r="BH331" s="75"/>
      <c r="BI331" s="76"/>
      <c r="BJ331" s="135"/>
      <c r="BK331" s="135"/>
      <c r="BL331" s="77">
        <f t="shared" si="182"/>
        <v>0</v>
      </c>
      <c r="BM331" s="78"/>
      <c r="BN331" s="142"/>
      <c r="BO331" s="142"/>
      <c r="BP331" s="77">
        <f t="shared" si="183"/>
        <v>0</v>
      </c>
      <c r="BQ331" s="78"/>
      <c r="BR331" s="142"/>
      <c r="BS331" s="142"/>
      <c r="BT331" s="79">
        <f t="shared" si="184"/>
        <v>0</v>
      </c>
      <c r="BU331" s="75"/>
      <c r="BV331" s="76"/>
      <c r="BW331" s="135"/>
      <c r="BX331" s="135"/>
      <c r="BY331" s="77">
        <f t="shared" si="185"/>
        <v>0</v>
      </c>
      <c r="BZ331" s="78"/>
      <c r="CA331" s="142"/>
      <c r="CB331" s="142"/>
      <c r="CC331" s="77">
        <f t="shared" si="186"/>
        <v>0</v>
      </c>
      <c r="CD331" s="78"/>
      <c r="CE331" s="142"/>
      <c r="CF331" s="142"/>
      <c r="CG331" s="79">
        <f t="shared" si="187"/>
        <v>0</v>
      </c>
      <c r="CH331" s="75"/>
      <c r="CI331" s="76"/>
      <c r="CJ331" s="86"/>
      <c r="CK331" s="86"/>
      <c r="CL331" s="77">
        <f t="shared" si="188"/>
        <v>0</v>
      </c>
      <c r="CM331" s="78"/>
      <c r="CN331" s="85"/>
      <c r="CO331" s="85"/>
      <c r="CP331" s="77">
        <f t="shared" si="189"/>
        <v>0</v>
      </c>
      <c r="CQ331" s="78"/>
      <c r="CR331" s="85"/>
      <c r="CS331" s="85"/>
      <c r="CT331" s="79">
        <f t="shared" si="190"/>
        <v>0</v>
      </c>
      <c r="CU331" s="80">
        <f t="shared" si="191"/>
        <v>0</v>
      </c>
      <c r="CV331" s="81">
        <f t="shared" si="192"/>
        <v>0</v>
      </c>
      <c r="CW331" s="144"/>
      <c r="CX331" s="145">
        <f>IF(ISERROR(VLOOKUP($A331,FIJOS!$B$11:$O$590,14,FALSE)),0,VLOOKUP($A331,FIJOS!$B$11:$O$590,14,FALSE))</f>
        <v>0</v>
      </c>
      <c r="CY331" s="145">
        <f>IF(ISERROR(VLOOKUP(A331,FIJOS!$B$10:$P$590,15,FALSE)),0,VLOOKUP(A331,FIJOS!$B$10:$P$590,15,FALSE))</f>
        <v>0</v>
      </c>
      <c r="CZ331" s="155"/>
      <c r="DA331" s="147"/>
      <c r="DB331" s="147"/>
      <c r="DC331" s="147"/>
      <c r="DD331" s="147"/>
      <c r="DE331" s="147"/>
      <c r="DF331" s="145">
        <f>IF(ISERROR(VLOOKUP($A331,FIJOS!$B$11:$N$590,13,FALSE)),0,VLOOKUP($A331,FIJOS!$B$11:$N$590,13,FALSE))</f>
        <v>0</v>
      </c>
      <c r="DG331" s="145">
        <f>IF(ISERROR(VLOOKUP($A331,FIJOS!$B$11:$P$447,12,FALSE)),0,VLOOKUP($A331,FIJOS!$B$11:$P$447,12,FALSE))</f>
        <v>0</v>
      </c>
      <c r="DH331" s="82">
        <f t="shared" si="193"/>
        <v>0</v>
      </c>
      <c r="DI331" s="83" t="b">
        <f>IF($C331=1,(VLOOKUP($A331,FIJOS!$B$11:$P$545,10,FALSE)/7)*(7-$CU331),IF(AND($C331=2,CV331&lt;$DJ$1),(VLOOKUP($D331,HORAS!$B$4:$C$42,2,FALSE)*24)*$CV331,IF(AND($C331=2,CV331&gt;=$DJ$1),VLOOKUP($D331,HORAS!$B$4:$D$42,3,FALSE),IF(AND($C331=3,$CV331&gt;=$DJ$1),VLOOKUP($A331,FIJOS!$B$11:$P$545,10,FALSE),IF(AND($C331=3,$CV331&lt;$DJ$1),((VLOOKUP($A331,FIJOS!$B$11:$P$545,10,FALSE)/48)*24)*$CV331,IF(AND($C331=4,$CV331&gt;=(42/24)),VLOOKUP($D331,HORAS!$B$4:$D$42,3,FALSE),IF(AND($C331=5,$CV331&gt;=(36/24)),VLOOKUP($D331,HORAS!$B$4:$D$42,3,FALSE))))))))</f>
        <v>0</v>
      </c>
      <c r="DJ331" s="145">
        <f>IF(OR($C331=2),VLOOKUP($D331,HORAS!$B$4:$E$42,4,FALSE)*$EC331,IF(ISERROR(VLOOKUP($A331,FIJOS!$B$11:$P$108,9,FALSE)),0,VLOOKUP($A331,FIJOS!$B$11:$P$231,9,FALSE)*$EC331))</f>
        <v>0</v>
      </c>
      <c r="DK331" s="145">
        <f>IF(OR($C331=2),VLOOKUP($D331,HORAS!$B$4:$F$42,5,FALSE)*$EE331,IF(ISERROR(VLOOKUP($A331,FIJOS!$B$11:$P$108,9,FALSE)),0,VLOOKUP($A331,FIJOS!$B$11:$P$231,9,FALSE)*$EE331))</f>
        <v>0</v>
      </c>
      <c r="DL331" s="144"/>
      <c r="DM331" s="145">
        <f>IF(ISERROR(VLOOKUP($A331,FIJOS!$B$11:$L$646,11,FALSE)),0,VLOOKUP($A331,FIJOS!$B$11:$L$646,11,FALSE))</f>
        <v>0</v>
      </c>
      <c r="DN331" s="148" t="e">
        <f>IF(OR($C331=1,$C331=3),0,IF((VLOOKUP(CAPTURA!D331,HORAS!$B$4:$K$42,10,FALSE)/4)*COUNTIF($H331:$CT331,3)&gt;100,100,(VLOOKUP(CAPTURA!D331,HORAS!$B$4:$K$42,10,FALSE)/4)*COUNTIF($H331:$CT331,3)))</f>
        <v>#N/A</v>
      </c>
      <c r="DO331" s="144" t="e">
        <f>IF(OR($C331=1,$C331=3),0,IF($C331=5,VLOOKUP(D331,HORAS!$B$4:$G$42,6,FALSE),IF(AND($C331=4,$CV331&gt;=(42/24)),VLOOKUP(D331,HORAS!$B$4:$G$42,6,FALSE),IF(COUNTIF($H331:$CL331,"F")&gt;0,0,IF(CV331&gt;$DJ$1,$DJ$1*(VLOOKUP(D331,HORAS!$B$4:$G$42,6,FALSE)/$DJ$1),CV331*(VLOOKUP(D331,HORAS!$B$4:$G$42,6,FALSE)/$DJ$1))))))</f>
        <v>#N/A</v>
      </c>
      <c r="DP331" s="156"/>
      <c r="DQ331" s="148"/>
      <c r="DR331" s="148"/>
      <c r="DS331" s="83" t="e">
        <f t="shared" si="194"/>
        <v>#N/A</v>
      </c>
      <c r="DT331" s="84"/>
      <c r="DU331" s="149" t="e">
        <f t="shared" si="195"/>
        <v>#N/A</v>
      </c>
      <c r="DV331" s="149" t="e">
        <f t="shared" si="196"/>
        <v>#N/A</v>
      </c>
      <c r="DW331" s="144" t="e">
        <f t="shared" si="197"/>
        <v>#N/A</v>
      </c>
      <c r="DX331" s="168"/>
      <c r="DY331" s="29"/>
      <c r="DZ331" s="150"/>
      <c r="EA331" s="134"/>
      <c r="EB331" s="137">
        <f t="shared" si="198"/>
        <v>0</v>
      </c>
      <c r="EC331" s="138">
        <f t="shared" si="199"/>
        <v>0</v>
      </c>
      <c r="ED331" s="137">
        <f t="shared" si="200"/>
        <v>0</v>
      </c>
      <c r="EE331" s="132">
        <f t="shared" si="201"/>
        <v>0</v>
      </c>
      <c r="EF331" s="29"/>
      <c r="EG331" s="134"/>
      <c r="EH331" s="134"/>
      <c r="EI331" s="134"/>
      <c r="EK331" s="29"/>
    </row>
    <row r="332" spans="1:141" ht="15" customHeight="1" x14ac:dyDescent="0.25">
      <c r="A332" s="87"/>
      <c r="B332" s="5"/>
      <c r="C332" s="72"/>
      <c r="D332" s="73"/>
      <c r="E332" s="73"/>
      <c r="F332" s="141"/>
      <c r="G332" s="74"/>
      <c r="H332" s="75"/>
      <c r="I332" s="76"/>
      <c r="J332" s="135"/>
      <c r="K332" s="135"/>
      <c r="L332" s="77">
        <f t="shared" si="170"/>
        <v>0</v>
      </c>
      <c r="M332" s="78"/>
      <c r="N332" s="142"/>
      <c r="O332" s="142"/>
      <c r="P332" s="77">
        <f t="shared" si="171"/>
        <v>0</v>
      </c>
      <c r="Q332" s="78"/>
      <c r="R332" s="143"/>
      <c r="S332" s="143"/>
      <c r="T332" s="77">
        <f t="shared" si="172"/>
        <v>0</v>
      </c>
      <c r="U332" s="75"/>
      <c r="V332" s="76"/>
      <c r="W332" s="135"/>
      <c r="X332" s="135"/>
      <c r="Y332" s="77">
        <f t="shared" si="173"/>
        <v>0</v>
      </c>
      <c r="Z332" s="78"/>
      <c r="AA332" s="142"/>
      <c r="AB332" s="142"/>
      <c r="AC332" s="77">
        <f t="shared" si="174"/>
        <v>0</v>
      </c>
      <c r="AD332" s="78"/>
      <c r="AE332" s="143"/>
      <c r="AF332" s="143"/>
      <c r="AG332" s="79">
        <f t="shared" si="175"/>
        <v>0</v>
      </c>
      <c r="AH332" s="75"/>
      <c r="AI332" s="76"/>
      <c r="AJ332" s="135"/>
      <c r="AK332" s="135"/>
      <c r="AL332" s="77">
        <f t="shared" si="176"/>
        <v>0</v>
      </c>
      <c r="AM332" s="76"/>
      <c r="AN332" s="142"/>
      <c r="AO332" s="142"/>
      <c r="AP332" s="77">
        <f t="shared" si="177"/>
        <v>0</v>
      </c>
      <c r="AQ332" s="78"/>
      <c r="AR332" s="142"/>
      <c r="AS332" s="142"/>
      <c r="AT332" s="79">
        <f t="shared" si="178"/>
        <v>0</v>
      </c>
      <c r="AU332" s="75"/>
      <c r="AV332" s="76"/>
      <c r="AW332" s="135"/>
      <c r="AX332" s="135"/>
      <c r="AY332" s="77">
        <f t="shared" si="179"/>
        <v>0</v>
      </c>
      <c r="AZ332" s="76"/>
      <c r="BA332" s="142"/>
      <c r="BB332" s="142"/>
      <c r="BC332" s="77">
        <f t="shared" si="180"/>
        <v>0</v>
      </c>
      <c r="BD332" s="78"/>
      <c r="BE332" s="142"/>
      <c r="BF332" s="142"/>
      <c r="BG332" s="79">
        <f t="shared" si="181"/>
        <v>0</v>
      </c>
      <c r="BH332" s="75"/>
      <c r="BI332" s="76"/>
      <c r="BJ332" s="135"/>
      <c r="BK332" s="135"/>
      <c r="BL332" s="77">
        <f t="shared" si="182"/>
        <v>0</v>
      </c>
      <c r="BM332" s="78"/>
      <c r="BN332" s="142"/>
      <c r="BO332" s="142"/>
      <c r="BP332" s="77">
        <f t="shared" si="183"/>
        <v>0</v>
      </c>
      <c r="BQ332" s="78"/>
      <c r="BR332" s="142"/>
      <c r="BS332" s="142"/>
      <c r="BT332" s="79">
        <f t="shared" si="184"/>
        <v>0</v>
      </c>
      <c r="BU332" s="75"/>
      <c r="BV332" s="76"/>
      <c r="BW332" s="135"/>
      <c r="BX332" s="135"/>
      <c r="BY332" s="77">
        <f t="shared" si="185"/>
        <v>0</v>
      </c>
      <c r="BZ332" s="78"/>
      <c r="CA332" s="142"/>
      <c r="CB332" s="142"/>
      <c r="CC332" s="77">
        <f t="shared" si="186"/>
        <v>0</v>
      </c>
      <c r="CD332" s="78"/>
      <c r="CE332" s="142"/>
      <c r="CF332" s="142"/>
      <c r="CG332" s="79">
        <f t="shared" si="187"/>
        <v>0</v>
      </c>
      <c r="CH332" s="75"/>
      <c r="CI332" s="76"/>
      <c r="CJ332" s="86"/>
      <c r="CK332" s="86"/>
      <c r="CL332" s="77">
        <f t="shared" si="188"/>
        <v>0</v>
      </c>
      <c r="CM332" s="78"/>
      <c r="CN332" s="85"/>
      <c r="CO332" s="85"/>
      <c r="CP332" s="77">
        <f t="shared" si="189"/>
        <v>0</v>
      </c>
      <c r="CQ332" s="78"/>
      <c r="CR332" s="85"/>
      <c r="CS332" s="85"/>
      <c r="CT332" s="79">
        <f t="shared" si="190"/>
        <v>0</v>
      </c>
      <c r="CU332" s="80">
        <f t="shared" si="191"/>
        <v>0</v>
      </c>
      <c r="CV332" s="81">
        <f t="shared" si="192"/>
        <v>0</v>
      </c>
      <c r="CW332" s="144"/>
      <c r="CX332" s="145">
        <f>IF(ISERROR(VLOOKUP($A332,FIJOS!$B$11:$O$590,14,FALSE)),0,VLOOKUP($A332,FIJOS!$B$11:$O$590,14,FALSE))</f>
        <v>0</v>
      </c>
      <c r="CY332" s="145">
        <f>IF(ISERROR(VLOOKUP(A332,FIJOS!$B$10:$P$590,15,FALSE)),0,VLOOKUP(A332,FIJOS!$B$10:$P$590,15,FALSE))</f>
        <v>0</v>
      </c>
      <c r="CZ332" s="155"/>
      <c r="DA332" s="147"/>
      <c r="DB332" s="147"/>
      <c r="DC332" s="147"/>
      <c r="DD332" s="147"/>
      <c r="DE332" s="147"/>
      <c r="DF332" s="145">
        <f>IF(ISERROR(VLOOKUP($A332,FIJOS!$B$11:$N$590,13,FALSE)),0,VLOOKUP($A332,FIJOS!$B$11:$N$590,13,FALSE))</f>
        <v>0</v>
      </c>
      <c r="DG332" s="145">
        <f>IF(ISERROR(VLOOKUP($A332,FIJOS!$B$11:$P$447,12,FALSE)),0,VLOOKUP($A332,FIJOS!$B$11:$P$447,12,FALSE))</f>
        <v>0</v>
      </c>
      <c r="DH332" s="82">
        <f t="shared" si="193"/>
        <v>0</v>
      </c>
      <c r="DI332" s="83" t="b">
        <f>IF($C332=1,(VLOOKUP($A332,FIJOS!$B$11:$P$545,10,FALSE)/7)*(7-$CU332),IF(AND($C332=2,CV332&lt;$DJ$1),(VLOOKUP($D332,HORAS!$B$4:$C$42,2,FALSE)*24)*$CV332,IF(AND($C332=2,CV332&gt;=$DJ$1),VLOOKUP($D332,HORAS!$B$4:$D$42,3,FALSE),IF(AND($C332=3,$CV332&gt;=$DJ$1),VLOOKUP($A332,FIJOS!$B$11:$P$545,10,FALSE),IF(AND($C332=3,$CV332&lt;$DJ$1),((VLOOKUP($A332,FIJOS!$B$11:$P$545,10,FALSE)/48)*24)*$CV332,IF(AND($C332=4,$CV332&gt;=(42/24)),VLOOKUP($D332,HORAS!$B$4:$D$42,3,FALSE),IF(AND($C332=5,$CV332&gt;=(36/24)),VLOOKUP($D332,HORAS!$B$4:$D$42,3,FALSE))))))))</f>
        <v>0</v>
      </c>
      <c r="DJ332" s="145">
        <f>IF(OR($C332=2),VLOOKUP($D332,HORAS!$B$4:$E$42,4,FALSE)*$EC332,IF(ISERROR(VLOOKUP($A332,FIJOS!$B$11:$P$108,9,FALSE)),0,VLOOKUP($A332,FIJOS!$B$11:$P$231,9,FALSE)*$EC332))</f>
        <v>0</v>
      </c>
      <c r="DK332" s="145">
        <f>IF(OR($C332=2),VLOOKUP($D332,HORAS!$B$4:$F$42,5,FALSE)*$EE332,IF(ISERROR(VLOOKUP($A332,FIJOS!$B$11:$P$108,9,FALSE)),0,VLOOKUP($A332,FIJOS!$B$11:$P$231,9,FALSE)*$EE332))</f>
        <v>0</v>
      </c>
      <c r="DL332" s="144"/>
      <c r="DM332" s="145">
        <f>IF(ISERROR(VLOOKUP($A332,FIJOS!$B$11:$L$646,11,FALSE)),0,VLOOKUP($A332,FIJOS!$B$11:$L$646,11,FALSE))</f>
        <v>0</v>
      </c>
      <c r="DN332" s="148" t="e">
        <f>IF(OR($C332=1,$C332=3),0,IF((VLOOKUP(CAPTURA!D332,HORAS!$B$4:$K$42,10,FALSE)/4)*COUNTIF($H332:$CT332,3)&gt;100,100,(VLOOKUP(CAPTURA!D332,HORAS!$B$4:$K$42,10,FALSE)/4)*COUNTIF($H332:$CT332,3)))</f>
        <v>#N/A</v>
      </c>
      <c r="DO332" s="144" t="e">
        <f>IF(OR($C332=1,$C332=3),0,IF($C332=5,VLOOKUP(D332,HORAS!$B$4:$G$42,6,FALSE),IF(AND($C332=4,$CV332&gt;=(42/24)),VLOOKUP(D332,HORAS!$B$4:$G$42,6,FALSE),IF(COUNTIF($H332:$CL332,"F")&gt;0,0,IF(CV332&gt;$DJ$1,$DJ$1*(VLOOKUP(D332,HORAS!$B$4:$G$42,6,FALSE)/$DJ$1),CV332*(VLOOKUP(D332,HORAS!$B$4:$G$42,6,FALSE)/$DJ$1))))))</f>
        <v>#N/A</v>
      </c>
      <c r="DP332" s="156"/>
      <c r="DQ332" s="148"/>
      <c r="DR332" s="148"/>
      <c r="DS332" s="83" t="e">
        <f t="shared" si="194"/>
        <v>#N/A</v>
      </c>
      <c r="DT332" s="84"/>
      <c r="DU332" s="149" t="e">
        <f t="shared" si="195"/>
        <v>#N/A</v>
      </c>
      <c r="DV332" s="149" t="e">
        <f t="shared" si="196"/>
        <v>#N/A</v>
      </c>
      <c r="DW332" s="144" t="e">
        <f t="shared" si="197"/>
        <v>#N/A</v>
      </c>
      <c r="DX332" s="168"/>
      <c r="DY332" s="29"/>
      <c r="DZ332" s="150"/>
      <c r="EA332" s="134"/>
      <c r="EB332" s="137">
        <f t="shared" si="198"/>
        <v>0</v>
      </c>
      <c r="EC332" s="138">
        <f t="shared" si="199"/>
        <v>0</v>
      </c>
      <c r="ED332" s="137">
        <f t="shared" si="200"/>
        <v>0</v>
      </c>
      <c r="EE332" s="132">
        <f t="shared" si="201"/>
        <v>0</v>
      </c>
      <c r="EF332" s="29"/>
      <c r="EG332" s="134"/>
      <c r="EH332" s="134"/>
      <c r="EI332" s="134"/>
      <c r="EK332" s="29"/>
    </row>
    <row r="333" spans="1:141" ht="15" customHeight="1" x14ac:dyDescent="0.25">
      <c r="A333" s="87"/>
      <c r="B333" s="5"/>
      <c r="C333" s="72"/>
      <c r="D333" s="73"/>
      <c r="E333" s="73"/>
      <c r="F333" s="141"/>
      <c r="G333" s="74"/>
      <c r="H333" s="75"/>
      <c r="I333" s="76"/>
      <c r="J333" s="135"/>
      <c r="K333" s="135"/>
      <c r="L333" s="77">
        <f t="shared" si="170"/>
        <v>0</v>
      </c>
      <c r="M333" s="78"/>
      <c r="N333" s="142"/>
      <c r="O333" s="142"/>
      <c r="P333" s="77">
        <f t="shared" si="171"/>
        <v>0</v>
      </c>
      <c r="Q333" s="78"/>
      <c r="R333" s="143"/>
      <c r="S333" s="143"/>
      <c r="T333" s="77">
        <f t="shared" si="172"/>
        <v>0</v>
      </c>
      <c r="U333" s="75"/>
      <c r="V333" s="76"/>
      <c r="W333" s="135"/>
      <c r="X333" s="135"/>
      <c r="Y333" s="77">
        <f t="shared" si="173"/>
        <v>0</v>
      </c>
      <c r="Z333" s="78"/>
      <c r="AA333" s="142"/>
      <c r="AB333" s="142"/>
      <c r="AC333" s="77">
        <f t="shared" si="174"/>
        <v>0</v>
      </c>
      <c r="AD333" s="78"/>
      <c r="AE333" s="143"/>
      <c r="AF333" s="143"/>
      <c r="AG333" s="79">
        <f t="shared" si="175"/>
        <v>0</v>
      </c>
      <c r="AH333" s="75"/>
      <c r="AI333" s="76"/>
      <c r="AJ333" s="135"/>
      <c r="AK333" s="135"/>
      <c r="AL333" s="77">
        <f t="shared" si="176"/>
        <v>0</v>
      </c>
      <c r="AM333" s="76"/>
      <c r="AN333" s="142"/>
      <c r="AO333" s="142"/>
      <c r="AP333" s="77">
        <f t="shared" si="177"/>
        <v>0</v>
      </c>
      <c r="AQ333" s="78"/>
      <c r="AR333" s="142"/>
      <c r="AS333" s="142"/>
      <c r="AT333" s="79">
        <f t="shared" si="178"/>
        <v>0</v>
      </c>
      <c r="AU333" s="75"/>
      <c r="AV333" s="76"/>
      <c r="AW333" s="135"/>
      <c r="AX333" s="135"/>
      <c r="AY333" s="77">
        <f t="shared" si="179"/>
        <v>0</v>
      </c>
      <c r="AZ333" s="76"/>
      <c r="BA333" s="142"/>
      <c r="BB333" s="142"/>
      <c r="BC333" s="77">
        <f t="shared" si="180"/>
        <v>0</v>
      </c>
      <c r="BD333" s="78"/>
      <c r="BE333" s="142"/>
      <c r="BF333" s="142"/>
      <c r="BG333" s="79">
        <f t="shared" si="181"/>
        <v>0</v>
      </c>
      <c r="BH333" s="75"/>
      <c r="BI333" s="76"/>
      <c r="BJ333" s="135"/>
      <c r="BK333" s="135"/>
      <c r="BL333" s="77">
        <f t="shared" si="182"/>
        <v>0</v>
      </c>
      <c r="BM333" s="78"/>
      <c r="BN333" s="142"/>
      <c r="BO333" s="142"/>
      <c r="BP333" s="77">
        <f t="shared" si="183"/>
        <v>0</v>
      </c>
      <c r="BQ333" s="78"/>
      <c r="BR333" s="142"/>
      <c r="BS333" s="142"/>
      <c r="BT333" s="79">
        <f t="shared" si="184"/>
        <v>0</v>
      </c>
      <c r="BU333" s="75"/>
      <c r="BV333" s="76"/>
      <c r="BW333" s="135"/>
      <c r="BX333" s="135"/>
      <c r="BY333" s="77">
        <f t="shared" si="185"/>
        <v>0</v>
      </c>
      <c r="BZ333" s="78"/>
      <c r="CA333" s="142"/>
      <c r="CB333" s="142"/>
      <c r="CC333" s="77">
        <f t="shared" si="186"/>
        <v>0</v>
      </c>
      <c r="CD333" s="78"/>
      <c r="CE333" s="142"/>
      <c r="CF333" s="142"/>
      <c r="CG333" s="79">
        <f t="shared" si="187"/>
        <v>0</v>
      </c>
      <c r="CH333" s="75"/>
      <c r="CI333" s="76"/>
      <c r="CJ333" s="86"/>
      <c r="CK333" s="86"/>
      <c r="CL333" s="77">
        <f t="shared" si="188"/>
        <v>0</v>
      </c>
      <c r="CM333" s="78"/>
      <c r="CN333" s="85"/>
      <c r="CO333" s="85"/>
      <c r="CP333" s="77">
        <f t="shared" si="189"/>
        <v>0</v>
      </c>
      <c r="CQ333" s="78"/>
      <c r="CR333" s="85"/>
      <c r="CS333" s="85"/>
      <c r="CT333" s="79">
        <f t="shared" si="190"/>
        <v>0</v>
      </c>
      <c r="CU333" s="80">
        <f t="shared" si="191"/>
        <v>0</v>
      </c>
      <c r="CV333" s="81">
        <f t="shared" si="192"/>
        <v>0</v>
      </c>
      <c r="CW333" s="144"/>
      <c r="CX333" s="145">
        <f>IF(ISERROR(VLOOKUP($A333,FIJOS!$B$11:$O$590,14,FALSE)),0,VLOOKUP($A333,FIJOS!$B$11:$O$590,14,FALSE))</f>
        <v>0</v>
      </c>
      <c r="CY333" s="145">
        <f>IF(ISERROR(VLOOKUP(A333,FIJOS!$B$10:$P$590,15,FALSE)),0,VLOOKUP(A333,FIJOS!$B$10:$P$590,15,FALSE))</f>
        <v>0</v>
      </c>
      <c r="CZ333" s="155"/>
      <c r="DA333" s="147"/>
      <c r="DB333" s="147"/>
      <c r="DC333" s="147"/>
      <c r="DD333" s="147"/>
      <c r="DE333" s="147"/>
      <c r="DF333" s="145">
        <f>IF(ISERROR(VLOOKUP($A333,FIJOS!$B$11:$N$590,13,FALSE)),0,VLOOKUP($A333,FIJOS!$B$11:$N$590,13,FALSE))</f>
        <v>0</v>
      </c>
      <c r="DG333" s="145">
        <f>IF(ISERROR(VLOOKUP($A333,FIJOS!$B$11:$P$447,12,FALSE)),0,VLOOKUP($A333,FIJOS!$B$11:$P$447,12,FALSE))</f>
        <v>0</v>
      </c>
      <c r="DH333" s="82">
        <f t="shared" si="193"/>
        <v>0</v>
      </c>
      <c r="DI333" s="83" t="b">
        <f>IF($C333=1,(VLOOKUP($A333,FIJOS!$B$11:$P$545,10,FALSE)/7)*(7-$CU333),IF(AND($C333=2,CV333&lt;$DJ$1),(VLOOKUP($D333,HORAS!$B$4:$C$42,2,FALSE)*24)*$CV333,IF(AND($C333=2,CV333&gt;=$DJ$1),VLOOKUP($D333,HORAS!$B$4:$D$42,3,FALSE),IF(AND($C333=3,$CV333&gt;=$DJ$1),VLOOKUP($A333,FIJOS!$B$11:$P$545,10,FALSE),IF(AND($C333=3,$CV333&lt;$DJ$1),((VLOOKUP($A333,FIJOS!$B$11:$P$545,10,FALSE)/48)*24)*$CV333,IF(AND($C333=4,$CV333&gt;=(42/24)),VLOOKUP($D333,HORAS!$B$4:$D$42,3,FALSE),IF(AND($C333=5,$CV333&gt;=(36/24)),VLOOKUP($D333,HORAS!$B$4:$D$42,3,FALSE))))))))</f>
        <v>0</v>
      </c>
      <c r="DJ333" s="145">
        <f>IF(OR($C333=2),VLOOKUP($D333,HORAS!$B$4:$E$42,4,FALSE)*$EC333,IF(ISERROR(VLOOKUP($A333,FIJOS!$B$11:$P$108,9,FALSE)),0,VLOOKUP($A333,FIJOS!$B$11:$P$231,9,FALSE)*$EC333))</f>
        <v>0</v>
      </c>
      <c r="DK333" s="145">
        <f>IF(OR($C333=2),VLOOKUP($D333,HORAS!$B$4:$F$42,5,FALSE)*$EE333,IF(ISERROR(VLOOKUP($A333,FIJOS!$B$11:$P$108,9,FALSE)),0,VLOOKUP($A333,FIJOS!$B$11:$P$231,9,FALSE)*$EE333))</f>
        <v>0</v>
      </c>
      <c r="DL333" s="144"/>
      <c r="DM333" s="145">
        <f>IF(ISERROR(VLOOKUP($A333,FIJOS!$B$11:$L$646,11,FALSE)),0,VLOOKUP($A333,FIJOS!$B$11:$L$646,11,FALSE))</f>
        <v>0</v>
      </c>
      <c r="DN333" s="148" t="e">
        <f>IF(OR($C333=1,$C333=3),0,IF((VLOOKUP(CAPTURA!D333,HORAS!$B$4:$K$42,10,FALSE)/4)*COUNTIF($H333:$CT333,3)&gt;100,100,(VLOOKUP(CAPTURA!D333,HORAS!$B$4:$K$42,10,FALSE)/4)*COUNTIF($H333:$CT333,3)))</f>
        <v>#N/A</v>
      </c>
      <c r="DO333" s="144" t="e">
        <f>IF(OR($C333=1,$C333=3),0,IF($C333=5,VLOOKUP(D333,HORAS!$B$4:$G$42,6,FALSE),IF(AND($C333=4,$CV333&gt;=(42/24)),VLOOKUP(D333,HORAS!$B$4:$G$42,6,FALSE),IF(COUNTIF($H333:$CL333,"F")&gt;0,0,IF(CV333&gt;$DJ$1,$DJ$1*(VLOOKUP(D333,HORAS!$B$4:$G$42,6,FALSE)/$DJ$1),CV333*(VLOOKUP(D333,HORAS!$B$4:$G$42,6,FALSE)/$DJ$1))))))</f>
        <v>#N/A</v>
      </c>
      <c r="DP333" s="156"/>
      <c r="DQ333" s="148"/>
      <c r="DR333" s="148"/>
      <c r="DS333" s="83" t="e">
        <f t="shared" si="194"/>
        <v>#N/A</v>
      </c>
      <c r="DT333" s="84"/>
      <c r="DU333" s="149" t="e">
        <f t="shared" si="195"/>
        <v>#N/A</v>
      </c>
      <c r="DV333" s="149" t="e">
        <f t="shared" si="196"/>
        <v>#N/A</v>
      </c>
      <c r="DW333" s="144" t="e">
        <f t="shared" si="197"/>
        <v>#N/A</v>
      </c>
      <c r="DX333" s="168"/>
      <c r="DY333" s="29"/>
      <c r="DZ333" s="150"/>
      <c r="EA333" s="134"/>
      <c r="EB333" s="137">
        <f t="shared" si="198"/>
        <v>0</v>
      </c>
      <c r="EC333" s="138">
        <f t="shared" si="199"/>
        <v>0</v>
      </c>
      <c r="ED333" s="137">
        <f t="shared" si="200"/>
        <v>0</v>
      </c>
      <c r="EE333" s="132">
        <f t="shared" si="201"/>
        <v>0</v>
      </c>
      <c r="EF333" s="29"/>
      <c r="EG333" s="134"/>
      <c r="EH333" s="134"/>
      <c r="EI333" s="134"/>
      <c r="EK333" s="29"/>
    </row>
    <row r="334" spans="1:141" ht="15" customHeight="1" x14ac:dyDescent="0.25">
      <c r="A334" s="87"/>
      <c r="B334" s="5"/>
      <c r="C334" s="72"/>
      <c r="D334" s="73"/>
      <c r="E334" s="73"/>
      <c r="F334" s="141"/>
      <c r="G334" s="74"/>
      <c r="H334" s="75"/>
      <c r="I334" s="76"/>
      <c r="J334" s="135"/>
      <c r="K334" s="135"/>
      <c r="L334" s="77">
        <f t="shared" si="170"/>
        <v>0</v>
      </c>
      <c r="M334" s="78"/>
      <c r="N334" s="142"/>
      <c r="O334" s="142"/>
      <c r="P334" s="77">
        <f t="shared" si="171"/>
        <v>0</v>
      </c>
      <c r="Q334" s="78"/>
      <c r="R334" s="143"/>
      <c r="S334" s="143"/>
      <c r="T334" s="77">
        <f t="shared" si="172"/>
        <v>0</v>
      </c>
      <c r="U334" s="75"/>
      <c r="V334" s="76"/>
      <c r="W334" s="135"/>
      <c r="X334" s="135"/>
      <c r="Y334" s="77">
        <f t="shared" si="173"/>
        <v>0</v>
      </c>
      <c r="Z334" s="78"/>
      <c r="AA334" s="142"/>
      <c r="AB334" s="142"/>
      <c r="AC334" s="77">
        <f t="shared" si="174"/>
        <v>0</v>
      </c>
      <c r="AD334" s="78"/>
      <c r="AE334" s="143"/>
      <c r="AF334" s="143"/>
      <c r="AG334" s="79">
        <f t="shared" si="175"/>
        <v>0</v>
      </c>
      <c r="AH334" s="75"/>
      <c r="AI334" s="76"/>
      <c r="AJ334" s="135"/>
      <c r="AK334" s="135"/>
      <c r="AL334" s="77">
        <f t="shared" si="176"/>
        <v>0</v>
      </c>
      <c r="AM334" s="76"/>
      <c r="AN334" s="142"/>
      <c r="AO334" s="142"/>
      <c r="AP334" s="77">
        <f t="shared" si="177"/>
        <v>0</v>
      </c>
      <c r="AQ334" s="78"/>
      <c r="AR334" s="142"/>
      <c r="AS334" s="142"/>
      <c r="AT334" s="79">
        <f t="shared" si="178"/>
        <v>0</v>
      </c>
      <c r="AU334" s="75"/>
      <c r="AV334" s="76"/>
      <c r="AW334" s="135"/>
      <c r="AX334" s="135"/>
      <c r="AY334" s="77">
        <f t="shared" si="179"/>
        <v>0</v>
      </c>
      <c r="AZ334" s="76"/>
      <c r="BA334" s="142"/>
      <c r="BB334" s="142"/>
      <c r="BC334" s="77">
        <f t="shared" si="180"/>
        <v>0</v>
      </c>
      <c r="BD334" s="78"/>
      <c r="BE334" s="142"/>
      <c r="BF334" s="142"/>
      <c r="BG334" s="79">
        <f t="shared" si="181"/>
        <v>0</v>
      </c>
      <c r="BH334" s="75"/>
      <c r="BI334" s="76"/>
      <c r="BJ334" s="135"/>
      <c r="BK334" s="135"/>
      <c r="BL334" s="77">
        <f t="shared" si="182"/>
        <v>0</v>
      </c>
      <c r="BM334" s="78"/>
      <c r="BN334" s="142"/>
      <c r="BO334" s="142"/>
      <c r="BP334" s="77">
        <f t="shared" si="183"/>
        <v>0</v>
      </c>
      <c r="BQ334" s="78"/>
      <c r="BR334" s="142"/>
      <c r="BS334" s="142"/>
      <c r="BT334" s="79">
        <f t="shared" si="184"/>
        <v>0</v>
      </c>
      <c r="BU334" s="75"/>
      <c r="BV334" s="76"/>
      <c r="BW334" s="135"/>
      <c r="BX334" s="135"/>
      <c r="BY334" s="77">
        <f t="shared" si="185"/>
        <v>0</v>
      </c>
      <c r="BZ334" s="78"/>
      <c r="CA334" s="142"/>
      <c r="CB334" s="142"/>
      <c r="CC334" s="77">
        <f t="shared" si="186"/>
        <v>0</v>
      </c>
      <c r="CD334" s="78"/>
      <c r="CE334" s="142"/>
      <c r="CF334" s="142"/>
      <c r="CG334" s="79">
        <f t="shared" si="187"/>
        <v>0</v>
      </c>
      <c r="CH334" s="75"/>
      <c r="CI334" s="76"/>
      <c r="CJ334" s="86"/>
      <c r="CK334" s="86"/>
      <c r="CL334" s="77">
        <f t="shared" si="188"/>
        <v>0</v>
      </c>
      <c r="CM334" s="78"/>
      <c r="CN334" s="85"/>
      <c r="CO334" s="85"/>
      <c r="CP334" s="77">
        <f t="shared" si="189"/>
        <v>0</v>
      </c>
      <c r="CQ334" s="78"/>
      <c r="CR334" s="85"/>
      <c r="CS334" s="85"/>
      <c r="CT334" s="79">
        <f t="shared" si="190"/>
        <v>0</v>
      </c>
      <c r="CU334" s="80">
        <f t="shared" si="191"/>
        <v>0</v>
      </c>
      <c r="CV334" s="81">
        <f t="shared" si="192"/>
        <v>0</v>
      </c>
      <c r="CW334" s="144"/>
      <c r="CX334" s="145">
        <f>IF(ISERROR(VLOOKUP($A334,FIJOS!$B$11:$O$590,14,FALSE)),0,VLOOKUP($A334,FIJOS!$B$11:$O$590,14,FALSE))</f>
        <v>0</v>
      </c>
      <c r="CY334" s="145">
        <f>IF(ISERROR(VLOOKUP(A334,FIJOS!$B$10:$P$590,15,FALSE)),0,VLOOKUP(A334,FIJOS!$B$10:$P$590,15,FALSE))</f>
        <v>0</v>
      </c>
      <c r="CZ334" s="155"/>
      <c r="DA334" s="147"/>
      <c r="DB334" s="147"/>
      <c r="DC334" s="147"/>
      <c r="DD334" s="147"/>
      <c r="DE334" s="147"/>
      <c r="DF334" s="145">
        <f>IF(ISERROR(VLOOKUP($A334,FIJOS!$B$11:$N$590,13,FALSE)),0,VLOOKUP($A334,FIJOS!$B$11:$N$590,13,FALSE))</f>
        <v>0</v>
      </c>
      <c r="DG334" s="145">
        <f>IF(ISERROR(VLOOKUP($A334,FIJOS!$B$11:$P$447,12,FALSE)),0,VLOOKUP($A334,FIJOS!$B$11:$P$447,12,FALSE))</f>
        <v>0</v>
      </c>
      <c r="DH334" s="82">
        <f t="shared" si="193"/>
        <v>0</v>
      </c>
      <c r="DI334" s="83" t="b">
        <f>IF($C334=1,(VLOOKUP($A334,FIJOS!$B$11:$P$545,10,FALSE)/7)*(7-$CU334),IF(AND($C334=2,CV334&lt;$DJ$1),(VLOOKUP($D334,HORAS!$B$4:$C$42,2,FALSE)*24)*$CV334,IF(AND($C334=2,CV334&gt;=$DJ$1),VLOOKUP($D334,HORAS!$B$4:$D$42,3,FALSE),IF(AND($C334=3,$CV334&gt;=$DJ$1),VLOOKUP($A334,FIJOS!$B$11:$P$545,10,FALSE),IF(AND($C334=3,$CV334&lt;$DJ$1),((VLOOKUP($A334,FIJOS!$B$11:$P$545,10,FALSE)/48)*24)*$CV334,IF(AND($C334=4,$CV334&gt;=(42/24)),VLOOKUP($D334,HORAS!$B$4:$D$42,3,FALSE),IF(AND($C334=5,$CV334&gt;=(36/24)),VLOOKUP($D334,HORAS!$B$4:$D$42,3,FALSE))))))))</f>
        <v>0</v>
      </c>
      <c r="DJ334" s="145">
        <f>IF(OR($C334=2),VLOOKUP($D334,HORAS!$B$4:$E$42,4,FALSE)*$EC334,IF(ISERROR(VLOOKUP($A334,FIJOS!$B$11:$P$108,9,FALSE)),0,VLOOKUP($A334,FIJOS!$B$11:$P$231,9,FALSE)*$EC334))</f>
        <v>0</v>
      </c>
      <c r="DK334" s="145">
        <f>IF(OR($C334=2),VLOOKUP($D334,HORAS!$B$4:$F$42,5,FALSE)*$EE334,IF(ISERROR(VLOOKUP($A334,FIJOS!$B$11:$P$108,9,FALSE)),0,VLOOKUP($A334,FIJOS!$B$11:$P$231,9,FALSE)*$EE334))</f>
        <v>0</v>
      </c>
      <c r="DL334" s="144"/>
      <c r="DM334" s="145">
        <f>IF(ISERROR(VLOOKUP($A334,FIJOS!$B$11:$L$646,11,FALSE)),0,VLOOKUP($A334,FIJOS!$B$11:$L$646,11,FALSE))</f>
        <v>0</v>
      </c>
      <c r="DN334" s="148" t="e">
        <f>IF(OR($C334=1,$C334=3),0,IF((VLOOKUP(CAPTURA!D334,HORAS!$B$4:$K$42,10,FALSE)/4)*COUNTIF($H334:$CT334,3)&gt;100,100,(VLOOKUP(CAPTURA!D334,HORAS!$B$4:$K$42,10,FALSE)/4)*COUNTIF($H334:$CT334,3)))</f>
        <v>#N/A</v>
      </c>
      <c r="DO334" s="144" t="e">
        <f>IF(OR($C334=1,$C334=3),0,IF($C334=5,VLOOKUP(D334,HORAS!$B$4:$G$42,6,FALSE),IF(AND($C334=4,$CV334&gt;=(42/24)),VLOOKUP(D334,HORAS!$B$4:$G$42,6,FALSE),IF(COUNTIF($H334:$CL334,"F")&gt;0,0,IF(CV334&gt;$DJ$1,$DJ$1*(VLOOKUP(D334,HORAS!$B$4:$G$42,6,FALSE)/$DJ$1),CV334*(VLOOKUP(D334,HORAS!$B$4:$G$42,6,FALSE)/$DJ$1))))))</f>
        <v>#N/A</v>
      </c>
      <c r="DP334" s="156"/>
      <c r="DQ334" s="148"/>
      <c r="DR334" s="148"/>
      <c r="DS334" s="83" t="e">
        <f t="shared" si="194"/>
        <v>#N/A</v>
      </c>
      <c r="DT334" s="84"/>
      <c r="DU334" s="149" t="e">
        <f t="shared" si="195"/>
        <v>#N/A</v>
      </c>
      <c r="DV334" s="149" t="e">
        <f t="shared" si="196"/>
        <v>#N/A</v>
      </c>
      <c r="DW334" s="144" t="e">
        <f t="shared" si="197"/>
        <v>#N/A</v>
      </c>
      <c r="DX334" s="168"/>
      <c r="DY334" s="29"/>
      <c r="DZ334" s="150"/>
      <c r="EA334" s="134"/>
      <c r="EB334" s="137">
        <f t="shared" si="198"/>
        <v>0</v>
      </c>
      <c r="EC334" s="138">
        <f t="shared" si="199"/>
        <v>0</v>
      </c>
      <c r="ED334" s="137">
        <f t="shared" si="200"/>
        <v>0</v>
      </c>
      <c r="EE334" s="132">
        <f t="shared" si="201"/>
        <v>0</v>
      </c>
      <c r="EF334" s="29"/>
      <c r="EG334" s="134"/>
      <c r="EH334" s="134"/>
      <c r="EI334" s="134"/>
      <c r="EK334" s="29"/>
    </row>
    <row r="335" spans="1:141" ht="15" customHeight="1" x14ac:dyDescent="0.25">
      <c r="A335" s="87"/>
      <c r="B335" s="5"/>
      <c r="C335" s="72"/>
      <c r="D335" s="73"/>
      <c r="E335" s="73"/>
      <c r="F335" s="141"/>
      <c r="G335" s="74"/>
      <c r="H335" s="75"/>
      <c r="I335" s="76"/>
      <c r="J335" s="135"/>
      <c r="K335" s="135"/>
      <c r="L335" s="77">
        <f t="shared" si="170"/>
        <v>0</v>
      </c>
      <c r="M335" s="78"/>
      <c r="N335" s="142"/>
      <c r="O335" s="142"/>
      <c r="P335" s="77">
        <f t="shared" si="171"/>
        <v>0</v>
      </c>
      <c r="Q335" s="78"/>
      <c r="R335" s="143"/>
      <c r="S335" s="143"/>
      <c r="T335" s="77">
        <f t="shared" si="172"/>
        <v>0</v>
      </c>
      <c r="U335" s="75"/>
      <c r="V335" s="76"/>
      <c r="W335" s="135"/>
      <c r="X335" s="135"/>
      <c r="Y335" s="77">
        <f t="shared" si="173"/>
        <v>0</v>
      </c>
      <c r="Z335" s="78"/>
      <c r="AA335" s="142"/>
      <c r="AB335" s="142"/>
      <c r="AC335" s="77">
        <f t="shared" si="174"/>
        <v>0</v>
      </c>
      <c r="AD335" s="78"/>
      <c r="AE335" s="143"/>
      <c r="AF335" s="143"/>
      <c r="AG335" s="79">
        <f t="shared" si="175"/>
        <v>0</v>
      </c>
      <c r="AH335" s="75"/>
      <c r="AI335" s="76"/>
      <c r="AJ335" s="135"/>
      <c r="AK335" s="135"/>
      <c r="AL335" s="77">
        <f t="shared" si="176"/>
        <v>0</v>
      </c>
      <c r="AM335" s="76"/>
      <c r="AN335" s="142"/>
      <c r="AO335" s="142"/>
      <c r="AP335" s="77">
        <f t="shared" si="177"/>
        <v>0</v>
      </c>
      <c r="AQ335" s="78"/>
      <c r="AR335" s="142"/>
      <c r="AS335" s="142"/>
      <c r="AT335" s="79">
        <f t="shared" si="178"/>
        <v>0</v>
      </c>
      <c r="AU335" s="75"/>
      <c r="AV335" s="76"/>
      <c r="AW335" s="135"/>
      <c r="AX335" s="135"/>
      <c r="AY335" s="77">
        <f t="shared" si="179"/>
        <v>0</v>
      </c>
      <c r="AZ335" s="76"/>
      <c r="BA335" s="142"/>
      <c r="BB335" s="142"/>
      <c r="BC335" s="77">
        <f t="shared" si="180"/>
        <v>0</v>
      </c>
      <c r="BD335" s="78"/>
      <c r="BE335" s="142"/>
      <c r="BF335" s="142"/>
      <c r="BG335" s="79">
        <f t="shared" si="181"/>
        <v>0</v>
      </c>
      <c r="BH335" s="75"/>
      <c r="BI335" s="76"/>
      <c r="BJ335" s="135"/>
      <c r="BK335" s="135"/>
      <c r="BL335" s="77">
        <f t="shared" si="182"/>
        <v>0</v>
      </c>
      <c r="BM335" s="78"/>
      <c r="BN335" s="142"/>
      <c r="BO335" s="142"/>
      <c r="BP335" s="77">
        <f t="shared" si="183"/>
        <v>0</v>
      </c>
      <c r="BQ335" s="78"/>
      <c r="BR335" s="142"/>
      <c r="BS335" s="142"/>
      <c r="BT335" s="79">
        <f t="shared" si="184"/>
        <v>0</v>
      </c>
      <c r="BU335" s="75"/>
      <c r="BV335" s="76"/>
      <c r="BW335" s="135"/>
      <c r="BX335" s="135"/>
      <c r="BY335" s="77">
        <f t="shared" si="185"/>
        <v>0</v>
      </c>
      <c r="BZ335" s="78"/>
      <c r="CA335" s="142"/>
      <c r="CB335" s="142"/>
      <c r="CC335" s="77">
        <f t="shared" si="186"/>
        <v>0</v>
      </c>
      <c r="CD335" s="78"/>
      <c r="CE335" s="142"/>
      <c r="CF335" s="142"/>
      <c r="CG335" s="79">
        <f t="shared" si="187"/>
        <v>0</v>
      </c>
      <c r="CH335" s="75"/>
      <c r="CI335" s="76"/>
      <c r="CJ335" s="86"/>
      <c r="CK335" s="86"/>
      <c r="CL335" s="77">
        <f t="shared" si="188"/>
        <v>0</v>
      </c>
      <c r="CM335" s="78"/>
      <c r="CN335" s="85"/>
      <c r="CO335" s="85"/>
      <c r="CP335" s="77">
        <f t="shared" si="189"/>
        <v>0</v>
      </c>
      <c r="CQ335" s="78"/>
      <c r="CR335" s="85"/>
      <c r="CS335" s="85"/>
      <c r="CT335" s="79">
        <f t="shared" si="190"/>
        <v>0</v>
      </c>
      <c r="CU335" s="80">
        <f t="shared" si="191"/>
        <v>0</v>
      </c>
      <c r="CV335" s="81">
        <f t="shared" si="192"/>
        <v>0</v>
      </c>
      <c r="CW335" s="144"/>
      <c r="CX335" s="145">
        <f>IF(ISERROR(VLOOKUP($A335,FIJOS!$B$11:$O$590,14,FALSE)),0,VLOOKUP($A335,FIJOS!$B$11:$O$590,14,FALSE))</f>
        <v>0</v>
      </c>
      <c r="CY335" s="145">
        <f>IF(ISERROR(VLOOKUP(A335,FIJOS!$B$10:$P$590,15,FALSE)),0,VLOOKUP(A335,FIJOS!$B$10:$P$590,15,FALSE))</f>
        <v>0</v>
      </c>
      <c r="CZ335" s="155"/>
      <c r="DA335" s="147"/>
      <c r="DB335" s="147"/>
      <c r="DC335" s="147"/>
      <c r="DD335" s="147"/>
      <c r="DE335" s="147"/>
      <c r="DF335" s="145">
        <f>IF(ISERROR(VLOOKUP($A335,FIJOS!$B$11:$N$590,13,FALSE)),0,VLOOKUP($A335,FIJOS!$B$11:$N$590,13,FALSE))</f>
        <v>0</v>
      </c>
      <c r="DG335" s="145">
        <f>IF(ISERROR(VLOOKUP($A335,FIJOS!$B$11:$P$447,12,FALSE)),0,VLOOKUP($A335,FIJOS!$B$11:$P$447,12,FALSE))</f>
        <v>0</v>
      </c>
      <c r="DH335" s="82">
        <f t="shared" si="193"/>
        <v>0</v>
      </c>
      <c r="DI335" s="83" t="b">
        <f>IF($C335=1,(VLOOKUP($A335,FIJOS!$B$11:$P$545,10,FALSE)/7)*(7-$CU335),IF(AND($C335=2,CV335&lt;$DJ$1),(VLOOKUP($D335,HORAS!$B$4:$C$42,2,FALSE)*24)*$CV335,IF(AND($C335=2,CV335&gt;=$DJ$1),VLOOKUP($D335,HORAS!$B$4:$D$42,3,FALSE),IF(AND($C335=3,$CV335&gt;=$DJ$1),VLOOKUP($A335,FIJOS!$B$11:$P$545,10,FALSE),IF(AND($C335=3,$CV335&lt;$DJ$1),((VLOOKUP($A335,FIJOS!$B$11:$P$545,10,FALSE)/48)*24)*$CV335,IF(AND($C335=4,$CV335&gt;=(42/24)),VLOOKUP($D335,HORAS!$B$4:$D$42,3,FALSE),IF(AND($C335=5,$CV335&gt;=(36/24)),VLOOKUP($D335,HORAS!$B$4:$D$42,3,FALSE))))))))</f>
        <v>0</v>
      </c>
      <c r="DJ335" s="145">
        <f>IF(OR($C335=2),VLOOKUP($D335,HORAS!$B$4:$E$42,4,FALSE)*$EC335,IF(ISERROR(VLOOKUP($A335,FIJOS!$B$11:$P$108,9,FALSE)),0,VLOOKUP($A335,FIJOS!$B$11:$P$231,9,FALSE)*$EC335))</f>
        <v>0</v>
      </c>
      <c r="DK335" s="145">
        <f>IF(OR($C335=2),VLOOKUP($D335,HORAS!$B$4:$F$42,5,FALSE)*$EE335,IF(ISERROR(VLOOKUP($A335,FIJOS!$B$11:$P$108,9,FALSE)),0,VLOOKUP($A335,FIJOS!$B$11:$P$231,9,FALSE)*$EE335))</f>
        <v>0</v>
      </c>
      <c r="DL335" s="144"/>
      <c r="DM335" s="145">
        <f>IF(ISERROR(VLOOKUP($A335,FIJOS!$B$11:$L$646,11,FALSE)),0,VLOOKUP($A335,FIJOS!$B$11:$L$646,11,FALSE))</f>
        <v>0</v>
      </c>
      <c r="DN335" s="148" t="e">
        <f>IF(OR($C335=1,$C335=3),0,IF((VLOOKUP(CAPTURA!D335,HORAS!$B$4:$K$42,10,FALSE)/4)*COUNTIF($H335:$CT335,3)&gt;100,100,(VLOOKUP(CAPTURA!D335,HORAS!$B$4:$K$42,10,FALSE)/4)*COUNTIF($H335:$CT335,3)))</f>
        <v>#N/A</v>
      </c>
      <c r="DO335" s="144" t="e">
        <f>IF(OR($C335=1,$C335=3),0,IF($C335=5,VLOOKUP(D335,HORAS!$B$4:$G$42,6,FALSE),IF(AND($C335=4,$CV335&gt;=(42/24)),VLOOKUP(D335,HORAS!$B$4:$G$42,6,FALSE),IF(COUNTIF($H335:$CL335,"F")&gt;0,0,IF(CV335&gt;$DJ$1,$DJ$1*(VLOOKUP(D335,HORAS!$B$4:$G$42,6,FALSE)/$DJ$1),CV335*(VLOOKUP(D335,HORAS!$B$4:$G$42,6,FALSE)/$DJ$1))))))</f>
        <v>#N/A</v>
      </c>
      <c r="DP335" s="156"/>
      <c r="DQ335" s="148"/>
      <c r="DR335" s="148"/>
      <c r="DS335" s="83" t="e">
        <f t="shared" si="194"/>
        <v>#N/A</v>
      </c>
      <c r="DT335" s="84"/>
      <c r="DU335" s="149" t="e">
        <f t="shared" si="195"/>
        <v>#N/A</v>
      </c>
      <c r="DV335" s="149" t="e">
        <f t="shared" si="196"/>
        <v>#N/A</v>
      </c>
      <c r="DW335" s="144" t="e">
        <f t="shared" si="197"/>
        <v>#N/A</v>
      </c>
      <c r="DX335" s="168"/>
      <c r="DY335" s="29"/>
      <c r="DZ335" s="150"/>
      <c r="EA335" s="134"/>
      <c r="EB335" s="137">
        <f t="shared" si="198"/>
        <v>0</v>
      </c>
      <c r="EC335" s="138">
        <f t="shared" si="199"/>
        <v>0</v>
      </c>
      <c r="ED335" s="137">
        <f t="shared" si="200"/>
        <v>0</v>
      </c>
      <c r="EE335" s="132">
        <f t="shared" si="201"/>
        <v>0</v>
      </c>
      <c r="EF335" s="29"/>
      <c r="EG335" s="134"/>
      <c r="EH335" s="134"/>
      <c r="EI335" s="134"/>
      <c r="EK335" s="29"/>
    </row>
    <row r="336" spans="1:141" ht="15" customHeight="1" x14ac:dyDescent="0.25">
      <c r="A336" s="87"/>
      <c r="B336" s="5"/>
      <c r="C336" s="72"/>
      <c r="D336" s="73"/>
      <c r="E336" s="73"/>
      <c r="F336" s="141"/>
      <c r="G336" s="74"/>
      <c r="H336" s="75"/>
      <c r="I336" s="76"/>
      <c r="J336" s="135"/>
      <c r="K336" s="135"/>
      <c r="L336" s="77">
        <f t="shared" si="170"/>
        <v>0</v>
      </c>
      <c r="M336" s="78"/>
      <c r="N336" s="142"/>
      <c r="O336" s="142"/>
      <c r="P336" s="77">
        <f t="shared" si="171"/>
        <v>0</v>
      </c>
      <c r="Q336" s="78"/>
      <c r="R336" s="143"/>
      <c r="S336" s="143"/>
      <c r="T336" s="77">
        <f t="shared" si="172"/>
        <v>0</v>
      </c>
      <c r="U336" s="75"/>
      <c r="V336" s="76"/>
      <c r="W336" s="135"/>
      <c r="X336" s="135"/>
      <c r="Y336" s="77">
        <f t="shared" si="173"/>
        <v>0</v>
      </c>
      <c r="Z336" s="78"/>
      <c r="AA336" s="142"/>
      <c r="AB336" s="142"/>
      <c r="AC336" s="77">
        <f t="shared" si="174"/>
        <v>0</v>
      </c>
      <c r="AD336" s="78"/>
      <c r="AE336" s="143"/>
      <c r="AF336" s="143"/>
      <c r="AG336" s="79">
        <f t="shared" si="175"/>
        <v>0</v>
      </c>
      <c r="AH336" s="75"/>
      <c r="AI336" s="76"/>
      <c r="AJ336" s="135"/>
      <c r="AK336" s="135"/>
      <c r="AL336" s="77">
        <f t="shared" si="176"/>
        <v>0</v>
      </c>
      <c r="AM336" s="76"/>
      <c r="AN336" s="142"/>
      <c r="AO336" s="142"/>
      <c r="AP336" s="77">
        <f t="shared" si="177"/>
        <v>0</v>
      </c>
      <c r="AQ336" s="78"/>
      <c r="AR336" s="142"/>
      <c r="AS336" s="142"/>
      <c r="AT336" s="79">
        <f t="shared" si="178"/>
        <v>0</v>
      </c>
      <c r="AU336" s="75"/>
      <c r="AV336" s="76"/>
      <c r="AW336" s="135"/>
      <c r="AX336" s="135"/>
      <c r="AY336" s="77">
        <f t="shared" si="179"/>
        <v>0</v>
      </c>
      <c r="AZ336" s="76"/>
      <c r="BA336" s="142"/>
      <c r="BB336" s="142"/>
      <c r="BC336" s="77">
        <f t="shared" si="180"/>
        <v>0</v>
      </c>
      <c r="BD336" s="78"/>
      <c r="BE336" s="142"/>
      <c r="BF336" s="142"/>
      <c r="BG336" s="79">
        <f t="shared" si="181"/>
        <v>0</v>
      </c>
      <c r="BH336" s="75"/>
      <c r="BI336" s="76"/>
      <c r="BJ336" s="135"/>
      <c r="BK336" s="135"/>
      <c r="BL336" s="77">
        <f t="shared" si="182"/>
        <v>0</v>
      </c>
      <c r="BM336" s="78"/>
      <c r="BN336" s="142"/>
      <c r="BO336" s="142"/>
      <c r="BP336" s="77">
        <f t="shared" si="183"/>
        <v>0</v>
      </c>
      <c r="BQ336" s="78"/>
      <c r="BR336" s="142"/>
      <c r="BS336" s="142"/>
      <c r="BT336" s="79">
        <f t="shared" si="184"/>
        <v>0</v>
      </c>
      <c r="BU336" s="75"/>
      <c r="BV336" s="76"/>
      <c r="BW336" s="135"/>
      <c r="BX336" s="135"/>
      <c r="BY336" s="77">
        <f t="shared" si="185"/>
        <v>0</v>
      </c>
      <c r="BZ336" s="78"/>
      <c r="CA336" s="142"/>
      <c r="CB336" s="142"/>
      <c r="CC336" s="77">
        <f t="shared" si="186"/>
        <v>0</v>
      </c>
      <c r="CD336" s="78"/>
      <c r="CE336" s="142"/>
      <c r="CF336" s="142"/>
      <c r="CG336" s="79">
        <f t="shared" si="187"/>
        <v>0</v>
      </c>
      <c r="CH336" s="75"/>
      <c r="CI336" s="76"/>
      <c r="CJ336" s="86"/>
      <c r="CK336" s="86"/>
      <c r="CL336" s="77">
        <f t="shared" si="188"/>
        <v>0</v>
      </c>
      <c r="CM336" s="78"/>
      <c r="CN336" s="85"/>
      <c r="CO336" s="85"/>
      <c r="CP336" s="77">
        <f t="shared" si="189"/>
        <v>0</v>
      </c>
      <c r="CQ336" s="78"/>
      <c r="CR336" s="85"/>
      <c r="CS336" s="85"/>
      <c r="CT336" s="79">
        <f t="shared" si="190"/>
        <v>0</v>
      </c>
      <c r="CU336" s="80">
        <f t="shared" si="191"/>
        <v>0</v>
      </c>
      <c r="CV336" s="81">
        <f t="shared" si="192"/>
        <v>0</v>
      </c>
      <c r="CW336" s="144"/>
      <c r="CX336" s="145">
        <f>IF(ISERROR(VLOOKUP($A336,FIJOS!$B$11:$O$590,14,FALSE)),0,VLOOKUP($A336,FIJOS!$B$11:$O$590,14,FALSE))</f>
        <v>0</v>
      </c>
      <c r="CY336" s="145">
        <f>IF(ISERROR(VLOOKUP(A336,FIJOS!$B$10:$P$590,15,FALSE)),0,VLOOKUP(A336,FIJOS!$B$10:$P$590,15,FALSE))</f>
        <v>0</v>
      </c>
      <c r="CZ336" s="155"/>
      <c r="DA336" s="147"/>
      <c r="DB336" s="147"/>
      <c r="DC336" s="147"/>
      <c r="DD336" s="147"/>
      <c r="DE336" s="147"/>
      <c r="DF336" s="145">
        <f>IF(ISERROR(VLOOKUP($A336,FIJOS!$B$11:$N$590,13,FALSE)),0,VLOOKUP($A336,FIJOS!$B$11:$N$590,13,FALSE))</f>
        <v>0</v>
      </c>
      <c r="DG336" s="145">
        <f>IF(ISERROR(VLOOKUP($A336,FIJOS!$B$11:$P$447,12,FALSE)),0,VLOOKUP($A336,FIJOS!$B$11:$P$447,12,FALSE))</f>
        <v>0</v>
      </c>
      <c r="DH336" s="82">
        <f t="shared" si="193"/>
        <v>0</v>
      </c>
      <c r="DI336" s="83" t="b">
        <f>IF($C336=1,(VLOOKUP($A336,FIJOS!$B$11:$P$545,10,FALSE)/7)*(7-$CU336),IF(AND($C336=2,CV336&lt;$DJ$1),(VLOOKUP($D336,HORAS!$B$4:$C$42,2,FALSE)*24)*$CV336,IF(AND($C336=2,CV336&gt;=$DJ$1),VLOOKUP($D336,HORAS!$B$4:$D$42,3,FALSE),IF(AND($C336=3,$CV336&gt;=$DJ$1),VLOOKUP($A336,FIJOS!$B$11:$P$545,10,FALSE),IF(AND($C336=3,$CV336&lt;$DJ$1),((VLOOKUP($A336,FIJOS!$B$11:$P$545,10,FALSE)/48)*24)*$CV336,IF(AND($C336=4,$CV336&gt;=(42/24)),VLOOKUP($D336,HORAS!$B$4:$D$42,3,FALSE),IF(AND($C336=5,$CV336&gt;=(36/24)),VLOOKUP($D336,HORAS!$B$4:$D$42,3,FALSE))))))))</f>
        <v>0</v>
      </c>
      <c r="DJ336" s="145">
        <f>IF(OR($C336=2),VLOOKUP($D336,HORAS!$B$4:$E$42,4,FALSE)*$EC336,IF(ISERROR(VLOOKUP($A336,FIJOS!$B$11:$P$108,9,FALSE)),0,VLOOKUP($A336,FIJOS!$B$11:$P$231,9,FALSE)*$EC336))</f>
        <v>0</v>
      </c>
      <c r="DK336" s="145">
        <f>IF(OR($C336=2),VLOOKUP($D336,HORAS!$B$4:$F$42,5,FALSE)*$EE336,IF(ISERROR(VLOOKUP($A336,FIJOS!$B$11:$P$108,9,FALSE)),0,VLOOKUP($A336,FIJOS!$B$11:$P$231,9,FALSE)*$EE336))</f>
        <v>0</v>
      </c>
      <c r="DL336" s="144"/>
      <c r="DM336" s="145">
        <f>IF(ISERROR(VLOOKUP($A336,FIJOS!$B$11:$L$646,11,FALSE)),0,VLOOKUP($A336,FIJOS!$B$11:$L$646,11,FALSE))</f>
        <v>0</v>
      </c>
      <c r="DN336" s="148" t="e">
        <f>IF(OR($C336=1,$C336=3),0,IF((VLOOKUP(CAPTURA!D336,HORAS!$B$4:$K$42,10,FALSE)/4)*COUNTIF($H336:$CT336,3)&gt;100,100,(VLOOKUP(CAPTURA!D336,HORAS!$B$4:$K$42,10,FALSE)/4)*COUNTIF($H336:$CT336,3)))</f>
        <v>#N/A</v>
      </c>
      <c r="DO336" s="144" t="e">
        <f>IF(OR($C336=1,$C336=3),0,IF($C336=5,VLOOKUP(D336,HORAS!$B$4:$G$42,6,FALSE),IF(AND($C336=4,$CV336&gt;=(42/24)),VLOOKUP(D336,HORAS!$B$4:$G$42,6,FALSE),IF(COUNTIF($H336:$CL336,"F")&gt;0,0,IF(CV336&gt;$DJ$1,$DJ$1*(VLOOKUP(D336,HORAS!$B$4:$G$42,6,FALSE)/$DJ$1),CV336*(VLOOKUP(D336,HORAS!$B$4:$G$42,6,FALSE)/$DJ$1))))))</f>
        <v>#N/A</v>
      </c>
      <c r="DP336" s="156"/>
      <c r="DQ336" s="148"/>
      <c r="DR336" s="148"/>
      <c r="DS336" s="83" t="e">
        <f t="shared" si="194"/>
        <v>#N/A</v>
      </c>
      <c r="DT336" s="84"/>
      <c r="DU336" s="149" t="e">
        <f t="shared" si="195"/>
        <v>#N/A</v>
      </c>
      <c r="DV336" s="149" t="e">
        <f t="shared" si="196"/>
        <v>#N/A</v>
      </c>
      <c r="DW336" s="144" t="e">
        <f t="shared" si="197"/>
        <v>#N/A</v>
      </c>
      <c r="DX336" s="168"/>
      <c r="DY336" s="29"/>
      <c r="DZ336" s="150"/>
      <c r="EA336" s="134"/>
      <c r="EB336" s="137">
        <f t="shared" si="198"/>
        <v>0</v>
      </c>
      <c r="EC336" s="138">
        <f t="shared" si="199"/>
        <v>0</v>
      </c>
      <c r="ED336" s="137">
        <f t="shared" si="200"/>
        <v>0</v>
      </c>
      <c r="EE336" s="132">
        <f t="shared" si="201"/>
        <v>0</v>
      </c>
      <c r="EF336" s="29"/>
      <c r="EG336" s="134"/>
      <c r="EH336" s="134"/>
      <c r="EI336" s="134"/>
      <c r="EK336" s="29"/>
    </row>
    <row r="337" spans="1:141" ht="15" customHeight="1" x14ac:dyDescent="0.25">
      <c r="A337" s="87"/>
      <c r="B337" s="5"/>
      <c r="C337" s="72"/>
      <c r="D337" s="73"/>
      <c r="E337" s="73"/>
      <c r="F337" s="141"/>
      <c r="G337" s="74"/>
      <c r="H337" s="75"/>
      <c r="I337" s="76"/>
      <c r="J337" s="135"/>
      <c r="K337" s="135"/>
      <c r="L337" s="77">
        <f t="shared" si="170"/>
        <v>0</v>
      </c>
      <c r="M337" s="78"/>
      <c r="N337" s="142"/>
      <c r="O337" s="142"/>
      <c r="P337" s="77">
        <f t="shared" si="171"/>
        <v>0</v>
      </c>
      <c r="Q337" s="78"/>
      <c r="R337" s="143"/>
      <c r="S337" s="143"/>
      <c r="T337" s="77">
        <f t="shared" si="172"/>
        <v>0</v>
      </c>
      <c r="U337" s="75"/>
      <c r="V337" s="76"/>
      <c r="W337" s="135"/>
      <c r="X337" s="135"/>
      <c r="Y337" s="77">
        <f t="shared" si="173"/>
        <v>0</v>
      </c>
      <c r="Z337" s="78"/>
      <c r="AA337" s="142"/>
      <c r="AB337" s="142"/>
      <c r="AC337" s="77">
        <f t="shared" si="174"/>
        <v>0</v>
      </c>
      <c r="AD337" s="78"/>
      <c r="AE337" s="143"/>
      <c r="AF337" s="143"/>
      <c r="AG337" s="79">
        <f t="shared" si="175"/>
        <v>0</v>
      </c>
      <c r="AH337" s="75"/>
      <c r="AI337" s="76"/>
      <c r="AJ337" s="135"/>
      <c r="AK337" s="135"/>
      <c r="AL337" s="77">
        <f t="shared" si="176"/>
        <v>0</v>
      </c>
      <c r="AM337" s="76"/>
      <c r="AN337" s="142"/>
      <c r="AO337" s="142"/>
      <c r="AP337" s="77">
        <f t="shared" si="177"/>
        <v>0</v>
      </c>
      <c r="AQ337" s="78"/>
      <c r="AR337" s="142"/>
      <c r="AS337" s="142"/>
      <c r="AT337" s="79">
        <f t="shared" si="178"/>
        <v>0</v>
      </c>
      <c r="AU337" s="75"/>
      <c r="AV337" s="76"/>
      <c r="AW337" s="135"/>
      <c r="AX337" s="135"/>
      <c r="AY337" s="77">
        <f t="shared" si="179"/>
        <v>0</v>
      </c>
      <c r="AZ337" s="76"/>
      <c r="BA337" s="142"/>
      <c r="BB337" s="142"/>
      <c r="BC337" s="77">
        <f t="shared" si="180"/>
        <v>0</v>
      </c>
      <c r="BD337" s="78"/>
      <c r="BE337" s="142"/>
      <c r="BF337" s="142"/>
      <c r="BG337" s="79">
        <f t="shared" si="181"/>
        <v>0</v>
      </c>
      <c r="BH337" s="75"/>
      <c r="BI337" s="76"/>
      <c r="BJ337" s="135"/>
      <c r="BK337" s="135"/>
      <c r="BL337" s="77">
        <f t="shared" si="182"/>
        <v>0</v>
      </c>
      <c r="BM337" s="78"/>
      <c r="BN337" s="142"/>
      <c r="BO337" s="142"/>
      <c r="BP337" s="77">
        <f t="shared" si="183"/>
        <v>0</v>
      </c>
      <c r="BQ337" s="78"/>
      <c r="BR337" s="142"/>
      <c r="BS337" s="142"/>
      <c r="BT337" s="79">
        <f t="shared" si="184"/>
        <v>0</v>
      </c>
      <c r="BU337" s="75"/>
      <c r="BV337" s="76"/>
      <c r="BW337" s="135"/>
      <c r="BX337" s="135"/>
      <c r="BY337" s="77">
        <f t="shared" si="185"/>
        <v>0</v>
      </c>
      <c r="BZ337" s="78"/>
      <c r="CA337" s="142"/>
      <c r="CB337" s="142"/>
      <c r="CC337" s="77">
        <f t="shared" si="186"/>
        <v>0</v>
      </c>
      <c r="CD337" s="78"/>
      <c r="CE337" s="142"/>
      <c r="CF337" s="142"/>
      <c r="CG337" s="79">
        <f t="shared" si="187"/>
        <v>0</v>
      </c>
      <c r="CH337" s="75"/>
      <c r="CI337" s="76"/>
      <c r="CJ337" s="86"/>
      <c r="CK337" s="86"/>
      <c r="CL337" s="77">
        <f t="shared" si="188"/>
        <v>0</v>
      </c>
      <c r="CM337" s="78"/>
      <c r="CN337" s="85"/>
      <c r="CO337" s="85"/>
      <c r="CP337" s="77">
        <f t="shared" si="189"/>
        <v>0</v>
      </c>
      <c r="CQ337" s="78"/>
      <c r="CR337" s="85"/>
      <c r="CS337" s="85"/>
      <c r="CT337" s="79">
        <f t="shared" si="190"/>
        <v>0</v>
      </c>
      <c r="CU337" s="80">
        <f t="shared" si="191"/>
        <v>0</v>
      </c>
      <c r="CV337" s="81">
        <f t="shared" si="192"/>
        <v>0</v>
      </c>
      <c r="CW337" s="144"/>
      <c r="CX337" s="145">
        <f>IF(ISERROR(VLOOKUP($A337,FIJOS!$B$11:$O$590,14,FALSE)),0,VLOOKUP($A337,FIJOS!$B$11:$O$590,14,FALSE))</f>
        <v>0</v>
      </c>
      <c r="CY337" s="145">
        <f>IF(ISERROR(VLOOKUP(A337,FIJOS!$B$10:$P$590,15,FALSE)),0,VLOOKUP(A337,FIJOS!$B$10:$P$590,15,FALSE))</f>
        <v>0</v>
      </c>
      <c r="CZ337" s="155"/>
      <c r="DA337" s="147"/>
      <c r="DB337" s="147"/>
      <c r="DC337" s="147"/>
      <c r="DD337" s="147"/>
      <c r="DE337" s="147"/>
      <c r="DF337" s="145">
        <f>IF(ISERROR(VLOOKUP($A337,FIJOS!$B$11:$N$590,13,FALSE)),0,VLOOKUP($A337,FIJOS!$B$11:$N$590,13,FALSE))</f>
        <v>0</v>
      </c>
      <c r="DG337" s="145">
        <f>IF(ISERROR(VLOOKUP($A337,FIJOS!$B$11:$P$447,12,FALSE)),0,VLOOKUP($A337,FIJOS!$B$11:$P$447,12,FALSE))</f>
        <v>0</v>
      </c>
      <c r="DH337" s="82">
        <f t="shared" si="193"/>
        <v>0</v>
      </c>
      <c r="DI337" s="83" t="b">
        <f>IF($C337=1,(VLOOKUP($A337,FIJOS!$B$11:$P$545,10,FALSE)/7)*(7-$CU337),IF(AND($C337=2,CV337&lt;$DJ$1),(VLOOKUP($D337,HORAS!$B$4:$C$42,2,FALSE)*24)*$CV337,IF(AND($C337=2,CV337&gt;=$DJ$1),VLOOKUP($D337,HORAS!$B$4:$D$42,3,FALSE),IF(AND($C337=3,$CV337&gt;=$DJ$1),VLOOKUP($A337,FIJOS!$B$11:$P$545,10,FALSE),IF(AND($C337=3,$CV337&lt;$DJ$1),((VLOOKUP($A337,FIJOS!$B$11:$P$545,10,FALSE)/48)*24)*$CV337,IF(AND($C337=4,$CV337&gt;=(42/24)),VLOOKUP($D337,HORAS!$B$4:$D$42,3,FALSE),IF(AND($C337=5,$CV337&gt;=(36/24)),VLOOKUP($D337,HORAS!$B$4:$D$42,3,FALSE))))))))</f>
        <v>0</v>
      </c>
      <c r="DJ337" s="145">
        <f>IF(OR($C337=2),VLOOKUP($D337,HORAS!$B$4:$E$42,4,FALSE)*$EC337,IF(ISERROR(VLOOKUP($A337,FIJOS!$B$11:$P$108,9,FALSE)),0,VLOOKUP($A337,FIJOS!$B$11:$P$231,9,FALSE)*$EC337))</f>
        <v>0</v>
      </c>
      <c r="DK337" s="145">
        <f>IF(OR($C337=2),VLOOKUP($D337,HORAS!$B$4:$F$42,5,FALSE)*$EE337,IF(ISERROR(VLOOKUP($A337,FIJOS!$B$11:$P$108,9,FALSE)),0,VLOOKUP($A337,FIJOS!$B$11:$P$231,9,FALSE)*$EE337))</f>
        <v>0</v>
      </c>
      <c r="DL337" s="144"/>
      <c r="DM337" s="145">
        <f>IF(ISERROR(VLOOKUP($A337,FIJOS!$B$11:$L$646,11,FALSE)),0,VLOOKUP($A337,FIJOS!$B$11:$L$646,11,FALSE))</f>
        <v>0</v>
      </c>
      <c r="DN337" s="148" t="e">
        <f>IF(OR($C337=1,$C337=3),0,IF((VLOOKUP(CAPTURA!D337,HORAS!$B$4:$K$42,10,FALSE)/4)*COUNTIF($H337:$CT337,3)&gt;100,100,(VLOOKUP(CAPTURA!D337,HORAS!$B$4:$K$42,10,FALSE)/4)*COUNTIF($H337:$CT337,3)))</f>
        <v>#N/A</v>
      </c>
      <c r="DO337" s="144" t="e">
        <f>IF(OR($C337=1,$C337=3),0,IF($C337=5,VLOOKUP(D337,HORAS!$B$4:$G$42,6,FALSE),IF(AND($C337=4,$CV337&gt;=(42/24)),VLOOKUP(D337,HORAS!$B$4:$G$42,6,FALSE),IF(COUNTIF($H337:$CL337,"F")&gt;0,0,IF(CV337&gt;$DJ$1,$DJ$1*(VLOOKUP(D337,HORAS!$B$4:$G$42,6,FALSE)/$DJ$1),CV337*(VLOOKUP(D337,HORAS!$B$4:$G$42,6,FALSE)/$DJ$1))))))</f>
        <v>#N/A</v>
      </c>
      <c r="DP337" s="156"/>
      <c r="DQ337" s="148"/>
      <c r="DR337" s="148"/>
      <c r="DS337" s="83" t="e">
        <f t="shared" si="194"/>
        <v>#N/A</v>
      </c>
      <c r="DT337" s="84"/>
      <c r="DU337" s="149" t="e">
        <f t="shared" si="195"/>
        <v>#N/A</v>
      </c>
      <c r="DV337" s="149" t="e">
        <f t="shared" si="196"/>
        <v>#N/A</v>
      </c>
      <c r="DW337" s="144" t="e">
        <f t="shared" si="197"/>
        <v>#N/A</v>
      </c>
      <c r="DX337" s="168"/>
      <c r="DY337" s="29"/>
      <c r="DZ337" s="150"/>
      <c r="EA337" s="134"/>
      <c r="EB337" s="137">
        <f t="shared" si="198"/>
        <v>0</v>
      </c>
      <c r="EC337" s="138">
        <f t="shared" si="199"/>
        <v>0</v>
      </c>
      <c r="ED337" s="137">
        <f t="shared" si="200"/>
        <v>0</v>
      </c>
      <c r="EE337" s="132">
        <f t="shared" si="201"/>
        <v>0</v>
      </c>
      <c r="EF337" s="29"/>
      <c r="EG337" s="134"/>
      <c r="EH337" s="134"/>
      <c r="EI337" s="134"/>
      <c r="EK337" s="29"/>
    </row>
    <row r="338" spans="1:141" ht="15" customHeight="1" x14ac:dyDescent="0.25">
      <c r="A338" s="87"/>
      <c r="B338" s="5"/>
      <c r="C338" s="72"/>
      <c r="D338" s="73"/>
      <c r="E338" s="73"/>
      <c r="F338" s="141"/>
      <c r="G338" s="74"/>
      <c r="H338" s="75"/>
      <c r="I338" s="76"/>
      <c r="J338" s="135"/>
      <c r="K338" s="135"/>
      <c r="L338" s="77">
        <f t="shared" si="170"/>
        <v>0</v>
      </c>
      <c r="M338" s="78"/>
      <c r="N338" s="142"/>
      <c r="O338" s="142"/>
      <c r="P338" s="77">
        <f t="shared" si="171"/>
        <v>0</v>
      </c>
      <c r="Q338" s="78"/>
      <c r="R338" s="143"/>
      <c r="S338" s="143"/>
      <c r="T338" s="77">
        <f t="shared" si="172"/>
        <v>0</v>
      </c>
      <c r="U338" s="75"/>
      <c r="V338" s="76"/>
      <c r="W338" s="135"/>
      <c r="X338" s="135"/>
      <c r="Y338" s="77">
        <f t="shared" si="173"/>
        <v>0</v>
      </c>
      <c r="Z338" s="78"/>
      <c r="AA338" s="142"/>
      <c r="AB338" s="142"/>
      <c r="AC338" s="77">
        <f t="shared" si="174"/>
        <v>0</v>
      </c>
      <c r="AD338" s="78"/>
      <c r="AE338" s="143"/>
      <c r="AF338" s="143"/>
      <c r="AG338" s="79">
        <f t="shared" si="175"/>
        <v>0</v>
      </c>
      <c r="AH338" s="75"/>
      <c r="AI338" s="76"/>
      <c r="AJ338" s="135"/>
      <c r="AK338" s="135"/>
      <c r="AL338" s="77">
        <f t="shared" si="176"/>
        <v>0</v>
      </c>
      <c r="AM338" s="76"/>
      <c r="AN338" s="142"/>
      <c r="AO338" s="142"/>
      <c r="AP338" s="77">
        <f t="shared" si="177"/>
        <v>0</v>
      </c>
      <c r="AQ338" s="78"/>
      <c r="AR338" s="142"/>
      <c r="AS338" s="142"/>
      <c r="AT338" s="79">
        <f t="shared" si="178"/>
        <v>0</v>
      </c>
      <c r="AU338" s="75"/>
      <c r="AV338" s="76"/>
      <c r="AW338" s="135"/>
      <c r="AX338" s="135"/>
      <c r="AY338" s="77">
        <f t="shared" si="179"/>
        <v>0</v>
      </c>
      <c r="AZ338" s="76"/>
      <c r="BA338" s="142"/>
      <c r="BB338" s="142"/>
      <c r="BC338" s="77">
        <f t="shared" si="180"/>
        <v>0</v>
      </c>
      <c r="BD338" s="78"/>
      <c r="BE338" s="142"/>
      <c r="BF338" s="142"/>
      <c r="BG338" s="79">
        <f t="shared" si="181"/>
        <v>0</v>
      </c>
      <c r="BH338" s="75"/>
      <c r="BI338" s="76"/>
      <c r="BJ338" s="135"/>
      <c r="BK338" s="135"/>
      <c r="BL338" s="77">
        <f t="shared" si="182"/>
        <v>0</v>
      </c>
      <c r="BM338" s="78"/>
      <c r="BN338" s="142"/>
      <c r="BO338" s="142"/>
      <c r="BP338" s="77">
        <f t="shared" si="183"/>
        <v>0</v>
      </c>
      <c r="BQ338" s="78"/>
      <c r="BR338" s="142"/>
      <c r="BS338" s="142"/>
      <c r="BT338" s="79">
        <f t="shared" si="184"/>
        <v>0</v>
      </c>
      <c r="BU338" s="75"/>
      <c r="BV338" s="76"/>
      <c r="BW338" s="135"/>
      <c r="BX338" s="135"/>
      <c r="BY338" s="77">
        <f t="shared" si="185"/>
        <v>0</v>
      </c>
      <c r="BZ338" s="78"/>
      <c r="CA338" s="142"/>
      <c r="CB338" s="142"/>
      <c r="CC338" s="77">
        <f t="shared" si="186"/>
        <v>0</v>
      </c>
      <c r="CD338" s="78"/>
      <c r="CE338" s="142"/>
      <c r="CF338" s="142"/>
      <c r="CG338" s="79">
        <f t="shared" si="187"/>
        <v>0</v>
      </c>
      <c r="CH338" s="75"/>
      <c r="CI338" s="76"/>
      <c r="CJ338" s="86"/>
      <c r="CK338" s="86"/>
      <c r="CL338" s="77">
        <f t="shared" si="188"/>
        <v>0</v>
      </c>
      <c r="CM338" s="78"/>
      <c r="CN338" s="85"/>
      <c r="CO338" s="85"/>
      <c r="CP338" s="77">
        <f t="shared" si="189"/>
        <v>0</v>
      </c>
      <c r="CQ338" s="78"/>
      <c r="CR338" s="85"/>
      <c r="CS338" s="85"/>
      <c r="CT338" s="79">
        <f t="shared" si="190"/>
        <v>0</v>
      </c>
      <c r="CU338" s="80">
        <f t="shared" si="191"/>
        <v>0</v>
      </c>
      <c r="CV338" s="81">
        <f t="shared" si="192"/>
        <v>0</v>
      </c>
      <c r="CW338" s="144"/>
      <c r="CX338" s="145">
        <f>IF(ISERROR(VLOOKUP($A338,FIJOS!$B$11:$O$590,14,FALSE)),0,VLOOKUP($A338,FIJOS!$B$11:$O$590,14,FALSE))</f>
        <v>0</v>
      </c>
      <c r="CY338" s="145">
        <f>IF(ISERROR(VLOOKUP(A338,FIJOS!$B$10:$P$590,15,FALSE)),0,VLOOKUP(A338,FIJOS!$B$10:$P$590,15,FALSE))</f>
        <v>0</v>
      </c>
      <c r="CZ338" s="155"/>
      <c r="DA338" s="147"/>
      <c r="DB338" s="147"/>
      <c r="DC338" s="147"/>
      <c r="DD338" s="147"/>
      <c r="DE338" s="147"/>
      <c r="DF338" s="145">
        <f>IF(ISERROR(VLOOKUP($A338,FIJOS!$B$11:$N$590,13,FALSE)),0,VLOOKUP($A338,FIJOS!$B$11:$N$590,13,FALSE))</f>
        <v>0</v>
      </c>
      <c r="DG338" s="145">
        <f>IF(ISERROR(VLOOKUP($A338,FIJOS!$B$11:$P$447,12,FALSE)),0,VLOOKUP($A338,FIJOS!$B$11:$P$447,12,FALSE))</f>
        <v>0</v>
      </c>
      <c r="DH338" s="82">
        <f t="shared" si="193"/>
        <v>0</v>
      </c>
      <c r="DI338" s="83" t="b">
        <f>IF($C338=1,(VLOOKUP($A338,FIJOS!$B$11:$P$545,10,FALSE)/7)*(7-$CU338),IF(AND($C338=2,CV338&lt;$DJ$1),(VLOOKUP($D338,HORAS!$B$4:$C$42,2,FALSE)*24)*$CV338,IF(AND($C338=2,CV338&gt;=$DJ$1),VLOOKUP($D338,HORAS!$B$4:$D$42,3,FALSE),IF(AND($C338=3,$CV338&gt;=$DJ$1),VLOOKUP($A338,FIJOS!$B$11:$P$545,10,FALSE),IF(AND($C338=3,$CV338&lt;$DJ$1),((VLOOKUP($A338,FIJOS!$B$11:$P$545,10,FALSE)/48)*24)*$CV338,IF(AND($C338=4,$CV338&gt;=(42/24)),VLOOKUP($D338,HORAS!$B$4:$D$42,3,FALSE),IF(AND($C338=5,$CV338&gt;=(36/24)),VLOOKUP($D338,HORAS!$B$4:$D$42,3,FALSE))))))))</f>
        <v>0</v>
      </c>
      <c r="DJ338" s="145">
        <f>IF(OR($C338=2),VLOOKUP($D338,HORAS!$B$4:$E$42,4,FALSE)*$EC338,IF(ISERROR(VLOOKUP($A338,FIJOS!$B$11:$P$108,9,FALSE)),0,VLOOKUP($A338,FIJOS!$B$11:$P$231,9,FALSE)*$EC338))</f>
        <v>0</v>
      </c>
      <c r="DK338" s="145">
        <f>IF(OR($C338=2),VLOOKUP($D338,HORAS!$B$4:$F$42,5,FALSE)*$EE338,IF(ISERROR(VLOOKUP($A338,FIJOS!$B$11:$P$108,9,FALSE)),0,VLOOKUP($A338,FIJOS!$B$11:$P$231,9,FALSE)*$EE338))</f>
        <v>0</v>
      </c>
      <c r="DL338" s="144"/>
      <c r="DM338" s="145">
        <f>IF(ISERROR(VLOOKUP($A338,FIJOS!$B$11:$L$646,11,FALSE)),0,VLOOKUP($A338,FIJOS!$B$11:$L$646,11,FALSE))</f>
        <v>0</v>
      </c>
      <c r="DN338" s="148" t="e">
        <f>IF(OR($C338=1,$C338=3),0,IF((VLOOKUP(CAPTURA!D338,HORAS!$B$4:$K$42,10,FALSE)/4)*COUNTIF($H338:$CT338,3)&gt;100,100,(VLOOKUP(CAPTURA!D338,HORAS!$B$4:$K$42,10,FALSE)/4)*COUNTIF($H338:$CT338,3)))</f>
        <v>#N/A</v>
      </c>
      <c r="DO338" s="144" t="e">
        <f>IF(OR($C338=1,$C338=3),0,IF($C338=5,VLOOKUP(D338,HORAS!$B$4:$G$42,6,FALSE),IF(AND($C338=4,$CV338&gt;=(42/24)),VLOOKUP(D338,HORAS!$B$4:$G$42,6,FALSE),IF(COUNTIF($H338:$CL338,"F")&gt;0,0,IF(CV338&gt;$DJ$1,$DJ$1*(VLOOKUP(D338,HORAS!$B$4:$G$42,6,FALSE)/$DJ$1),CV338*(VLOOKUP(D338,HORAS!$B$4:$G$42,6,FALSE)/$DJ$1))))))</f>
        <v>#N/A</v>
      </c>
      <c r="DP338" s="156"/>
      <c r="DQ338" s="148"/>
      <c r="DR338" s="148"/>
      <c r="DS338" s="83" t="e">
        <f t="shared" si="194"/>
        <v>#N/A</v>
      </c>
      <c r="DT338" s="84"/>
      <c r="DU338" s="149" t="e">
        <f t="shared" si="195"/>
        <v>#N/A</v>
      </c>
      <c r="DV338" s="149" t="e">
        <f t="shared" si="196"/>
        <v>#N/A</v>
      </c>
      <c r="DW338" s="144" t="e">
        <f t="shared" si="197"/>
        <v>#N/A</v>
      </c>
      <c r="DX338" s="168"/>
      <c r="DY338" s="29"/>
      <c r="DZ338" s="150"/>
      <c r="EA338" s="134"/>
      <c r="EB338" s="137">
        <f t="shared" si="198"/>
        <v>0</v>
      </c>
      <c r="EC338" s="138">
        <f t="shared" si="199"/>
        <v>0</v>
      </c>
      <c r="ED338" s="137">
        <f t="shared" si="200"/>
        <v>0</v>
      </c>
      <c r="EE338" s="132">
        <f t="shared" si="201"/>
        <v>0</v>
      </c>
      <c r="EF338" s="29"/>
      <c r="EG338" s="134"/>
      <c r="EH338" s="134"/>
      <c r="EI338" s="134"/>
      <c r="EK338" s="29"/>
    </row>
    <row r="339" spans="1:141" ht="15" customHeight="1" x14ac:dyDescent="0.25">
      <c r="A339" s="87"/>
      <c r="B339" s="5"/>
      <c r="C339" s="72"/>
      <c r="D339" s="73"/>
      <c r="E339" s="73"/>
      <c r="F339" s="141"/>
      <c r="G339" s="74"/>
      <c r="H339" s="75"/>
      <c r="I339" s="76"/>
      <c r="J339" s="135"/>
      <c r="K339" s="135"/>
      <c r="L339" s="77">
        <f t="shared" si="170"/>
        <v>0</v>
      </c>
      <c r="M339" s="78"/>
      <c r="N339" s="142"/>
      <c r="O339" s="142"/>
      <c r="P339" s="77">
        <f t="shared" si="171"/>
        <v>0</v>
      </c>
      <c r="Q339" s="78"/>
      <c r="R339" s="143"/>
      <c r="S339" s="143"/>
      <c r="T339" s="77">
        <f t="shared" si="172"/>
        <v>0</v>
      </c>
      <c r="U339" s="75"/>
      <c r="V339" s="76"/>
      <c r="W339" s="135"/>
      <c r="X339" s="135"/>
      <c r="Y339" s="77">
        <f t="shared" si="173"/>
        <v>0</v>
      </c>
      <c r="Z339" s="78"/>
      <c r="AA339" s="142"/>
      <c r="AB339" s="142"/>
      <c r="AC339" s="77">
        <f t="shared" si="174"/>
        <v>0</v>
      </c>
      <c r="AD339" s="78"/>
      <c r="AE339" s="143"/>
      <c r="AF339" s="143"/>
      <c r="AG339" s="79">
        <f t="shared" si="175"/>
        <v>0</v>
      </c>
      <c r="AH339" s="75"/>
      <c r="AI339" s="76"/>
      <c r="AJ339" s="135"/>
      <c r="AK339" s="135"/>
      <c r="AL339" s="77">
        <f t="shared" si="176"/>
        <v>0</v>
      </c>
      <c r="AM339" s="76"/>
      <c r="AN339" s="142"/>
      <c r="AO339" s="142"/>
      <c r="AP339" s="77">
        <f t="shared" si="177"/>
        <v>0</v>
      </c>
      <c r="AQ339" s="78"/>
      <c r="AR339" s="142"/>
      <c r="AS339" s="142"/>
      <c r="AT339" s="79">
        <f t="shared" si="178"/>
        <v>0</v>
      </c>
      <c r="AU339" s="75"/>
      <c r="AV339" s="76"/>
      <c r="AW339" s="135"/>
      <c r="AX339" s="135"/>
      <c r="AY339" s="77">
        <f t="shared" si="179"/>
        <v>0</v>
      </c>
      <c r="AZ339" s="76"/>
      <c r="BA339" s="142"/>
      <c r="BB339" s="142"/>
      <c r="BC339" s="77">
        <f t="shared" si="180"/>
        <v>0</v>
      </c>
      <c r="BD339" s="78"/>
      <c r="BE339" s="142"/>
      <c r="BF339" s="142"/>
      <c r="BG339" s="79">
        <f t="shared" si="181"/>
        <v>0</v>
      </c>
      <c r="BH339" s="75"/>
      <c r="BI339" s="76"/>
      <c r="BJ339" s="135"/>
      <c r="BK339" s="135"/>
      <c r="BL339" s="77">
        <f t="shared" si="182"/>
        <v>0</v>
      </c>
      <c r="BM339" s="78"/>
      <c r="BN339" s="142"/>
      <c r="BO339" s="142"/>
      <c r="BP339" s="77">
        <f t="shared" si="183"/>
        <v>0</v>
      </c>
      <c r="BQ339" s="78"/>
      <c r="BR339" s="142"/>
      <c r="BS339" s="142"/>
      <c r="BT339" s="79">
        <f t="shared" si="184"/>
        <v>0</v>
      </c>
      <c r="BU339" s="75"/>
      <c r="BV339" s="76"/>
      <c r="BW339" s="135"/>
      <c r="BX339" s="135"/>
      <c r="BY339" s="77">
        <f t="shared" si="185"/>
        <v>0</v>
      </c>
      <c r="BZ339" s="78"/>
      <c r="CA339" s="142"/>
      <c r="CB339" s="142"/>
      <c r="CC339" s="77">
        <f t="shared" si="186"/>
        <v>0</v>
      </c>
      <c r="CD339" s="78"/>
      <c r="CE339" s="142"/>
      <c r="CF339" s="142"/>
      <c r="CG339" s="79">
        <f t="shared" si="187"/>
        <v>0</v>
      </c>
      <c r="CH339" s="75"/>
      <c r="CI339" s="76"/>
      <c r="CJ339" s="86"/>
      <c r="CK339" s="86"/>
      <c r="CL339" s="77">
        <f t="shared" si="188"/>
        <v>0</v>
      </c>
      <c r="CM339" s="78"/>
      <c r="CN339" s="85"/>
      <c r="CO339" s="85"/>
      <c r="CP339" s="77">
        <f t="shared" si="189"/>
        <v>0</v>
      </c>
      <c r="CQ339" s="78"/>
      <c r="CR339" s="85"/>
      <c r="CS339" s="85"/>
      <c r="CT339" s="79">
        <f t="shared" si="190"/>
        <v>0</v>
      </c>
      <c r="CU339" s="80">
        <f t="shared" si="191"/>
        <v>0</v>
      </c>
      <c r="CV339" s="81">
        <f t="shared" si="192"/>
        <v>0</v>
      </c>
      <c r="CW339" s="144"/>
      <c r="CX339" s="145">
        <f>IF(ISERROR(VLOOKUP($A339,FIJOS!$B$11:$O$590,14,FALSE)),0,VLOOKUP($A339,FIJOS!$B$11:$O$590,14,FALSE))</f>
        <v>0</v>
      </c>
      <c r="CY339" s="145">
        <f>IF(ISERROR(VLOOKUP(A339,FIJOS!$B$10:$P$590,15,FALSE)),0,VLOOKUP(A339,FIJOS!$B$10:$P$590,15,FALSE))</f>
        <v>0</v>
      </c>
      <c r="CZ339" s="155"/>
      <c r="DA339" s="147"/>
      <c r="DB339" s="147"/>
      <c r="DC339" s="147"/>
      <c r="DD339" s="147"/>
      <c r="DE339" s="147"/>
      <c r="DF339" s="145">
        <f>IF(ISERROR(VLOOKUP($A339,FIJOS!$B$11:$N$590,13,FALSE)),0,VLOOKUP($A339,FIJOS!$B$11:$N$590,13,FALSE))</f>
        <v>0</v>
      </c>
      <c r="DG339" s="145">
        <f>IF(ISERROR(VLOOKUP($A339,FIJOS!$B$11:$P$447,12,FALSE)),0,VLOOKUP($A339,FIJOS!$B$11:$P$447,12,FALSE))</f>
        <v>0</v>
      </c>
      <c r="DH339" s="82">
        <f t="shared" si="193"/>
        <v>0</v>
      </c>
      <c r="DI339" s="83" t="b">
        <f>IF($C339=1,(VLOOKUP($A339,FIJOS!$B$11:$P$545,10,FALSE)/7)*(7-$CU339),IF(AND($C339=2,CV339&lt;$DJ$1),(VLOOKUP($D339,HORAS!$B$4:$C$42,2,FALSE)*24)*$CV339,IF(AND($C339=2,CV339&gt;=$DJ$1),VLOOKUP($D339,HORAS!$B$4:$D$42,3,FALSE),IF(AND($C339=3,$CV339&gt;=$DJ$1),VLOOKUP($A339,FIJOS!$B$11:$P$545,10,FALSE),IF(AND($C339=3,$CV339&lt;$DJ$1),((VLOOKUP($A339,FIJOS!$B$11:$P$545,10,FALSE)/48)*24)*$CV339,IF(AND($C339=4,$CV339&gt;=(42/24)),VLOOKUP($D339,HORAS!$B$4:$D$42,3,FALSE),IF(AND($C339=5,$CV339&gt;=(36/24)),VLOOKUP($D339,HORAS!$B$4:$D$42,3,FALSE))))))))</f>
        <v>0</v>
      </c>
      <c r="DJ339" s="145">
        <f>IF(OR($C339=2),VLOOKUP($D339,HORAS!$B$4:$E$42,4,FALSE)*$EC339,IF(ISERROR(VLOOKUP($A339,FIJOS!$B$11:$P$108,9,FALSE)),0,VLOOKUP($A339,FIJOS!$B$11:$P$231,9,FALSE)*$EC339))</f>
        <v>0</v>
      </c>
      <c r="DK339" s="145">
        <f>IF(OR($C339=2),VLOOKUP($D339,HORAS!$B$4:$F$42,5,FALSE)*$EE339,IF(ISERROR(VLOOKUP($A339,FIJOS!$B$11:$P$108,9,FALSE)),0,VLOOKUP($A339,FIJOS!$B$11:$P$231,9,FALSE)*$EE339))</f>
        <v>0</v>
      </c>
      <c r="DL339" s="144"/>
      <c r="DM339" s="145">
        <f>IF(ISERROR(VLOOKUP($A339,FIJOS!$B$11:$L$646,11,FALSE)),0,VLOOKUP($A339,FIJOS!$B$11:$L$646,11,FALSE))</f>
        <v>0</v>
      </c>
      <c r="DN339" s="148" t="e">
        <f>IF(OR($C339=1,$C339=3),0,IF((VLOOKUP(CAPTURA!D339,HORAS!$B$4:$K$42,10,FALSE)/4)*COUNTIF($H339:$CT339,3)&gt;100,100,(VLOOKUP(CAPTURA!D339,HORAS!$B$4:$K$42,10,FALSE)/4)*COUNTIF($H339:$CT339,3)))</f>
        <v>#N/A</v>
      </c>
      <c r="DO339" s="144" t="e">
        <f>IF(OR($C339=1,$C339=3),0,IF($C339=5,VLOOKUP(D339,HORAS!$B$4:$G$42,6,FALSE),IF(AND($C339=4,$CV339&gt;=(42/24)),VLOOKUP(D339,HORAS!$B$4:$G$42,6,FALSE),IF(COUNTIF($H339:$CL339,"F")&gt;0,0,IF(CV339&gt;$DJ$1,$DJ$1*(VLOOKUP(D339,HORAS!$B$4:$G$42,6,FALSE)/$DJ$1),CV339*(VLOOKUP(D339,HORAS!$B$4:$G$42,6,FALSE)/$DJ$1))))))</f>
        <v>#N/A</v>
      </c>
      <c r="DP339" s="156"/>
      <c r="DQ339" s="148"/>
      <c r="DR339" s="148"/>
      <c r="DS339" s="83" t="e">
        <f t="shared" si="194"/>
        <v>#N/A</v>
      </c>
      <c r="DT339" s="84"/>
      <c r="DU339" s="149" t="e">
        <f t="shared" si="195"/>
        <v>#N/A</v>
      </c>
      <c r="DV339" s="149" t="e">
        <f t="shared" si="196"/>
        <v>#N/A</v>
      </c>
      <c r="DW339" s="144" t="e">
        <f t="shared" si="197"/>
        <v>#N/A</v>
      </c>
      <c r="DX339" s="168"/>
      <c r="DY339" s="29"/>
      <c r="DZ339" s="150"/>
      <c r="EA339" s="134"/>
      <c r="EB339" s="137">
        <f t="shared" si="198"/>
        <v>0</v>
      </c>
      <c r="EC339" s="138">
        <f t="shared" si="199"/>
        <v>0</v>
      </c>
      <c r="ED339" s="137">
        <f t="shared" si="200"/>
        <v>0</v>
      </c>
      <c r="EE339" s="132">
        <f t="shared" si="201"/>
        <v>0</v>
      </c>
      <c r="EF339" s="29"/>
      <c r="EG339" s="134"/>
      <c r="EH339" s="134"/>
      <c r="EI339" s="134"/>
      <c r="EK339" s="29"/>
    </row>
    <row r="340" spans="1:141" ht="15" customHeight="1" x14ac:dyDescent="0.25">
      <c r="A340" s="87"/>
      <c r="B340" s="5"/>
      <c r="C340" s="72"/>
      <c r="D340" s="73"/>
      <c r="E340" s="73"/>
      <c r="F340" s="141"/>
      <c r="G340" s="74"/>
      <c r="H340" s="75"/>
      <c r="I340" s="76"/>
      <c r="J340" s="135"/>
      <c r="K340" s="135"/>
      <c r="L340" s="77">
        <f t="shared" si="170"/>
        <v>0</v>
      </c>
      <c r="M340" s="78"/>
      <c r="N340" s="142"/>
      <c r="O340" s="142"/>
      <c r="P340" s="77">
        <f t="shared" si="171"/>
        <v>0</v>
      </c>
      <c r="Q340" s="78"/>
      <c r="R340" s="143"/>
      <c r="S340" s="143"/>
      <c r="T340" s="77">
        <f t="shared" si="172"/>
        <v>0</v>
      </c>
      <c r="U340" s="75"/>
      <c r="V340" s="76"/>
      <c r="W340" s="135"/>
      <c r="X340" s="135"/>
      <c r="Y340" s="77">
        <f t="shared" si="173"/>
        <v>0</v>
      </c>
      <c r="Z340" s="78"/>
      <c r="AA340" s="142"/>
      <c r="AB340" s="142"/>
      <c r="AC340" s="77">
        <f t="shared" si="174"/>
        <v>0</v>
      </c>
      <c r="AD340" s="78"/>
      <c r="AE340" s="143"/>
      <c r="AF340" s="143"/>
      <c r="AG340" s="79">
        <f t="shared" si="175"/>
        <v>0</v>
      </c>
      <c r="AH340" s="75"/>
      <c r="AI340" s="76"/>
      <c r="AJ340" s="135"/>
      <c r="AK340" s="135"/>
      <c r="AL340" s="77">
        <f t="shared" si="176"/>
        <v>0</v>
      </c>
      <c r="AM340" s="76"/>
      <c r="AN340" s="142"/>
      <c r="AO340" s="142"/>
      <c r="AP340" s="77">
        <f t="shared" si="177"/>
        <v>0</v>
      </c>
      <c r="AQ340" s="78"/>
      <c r="AR340" s="142"/>
      <c r="AS340" s="142"/>
      <c r="AT340" s="79">
        <f t="shared" si="178"/>
        <v>0</v>
      </c>
      <c r="AU340" s="75"/>
      <c r="AV340" s="76"/>
      <c r="AW340" s="135"/>
      <c r="AX340" s="135"/>
      <c r="AY340" s="77">
        <f t="shared" si="179"/>
        <v>0</v>
      </c>
      <c r="AZ340" s="76"/>
      <c r="BA340" s="142"/>
      <c r="BB340" s="142"/>
      <c r="BC340" s="77">
        <f t="shared" si="180"/>
        <v>0</v>
      </c>
      <c r="BD340" s="78"/>
      <c r="BE340" s="142"/>
      <c r="BF340" s="142"/>
      <c r="BG340" s="79">
        <f t="shared" si="181"/>
        <v>0</v>
      </c>
      <c r="BH340" s="75"/>
      <c r="BI340" s="76"/>
      <c r="BJ340" s="135"/>
      <c r="BK340" s="135"/>
      <c r="BL340" s="77">
        <f t="shared" si="182"/>
        <v>0</v>
      </c>
      <c r="BM340" s="78"/>
      <c r="BN340" s="142"/>
      <c r="BO340" s="142"/>
      <c r="BP340" s="77">
        <f t="shared" si="183"/>
        <v>0</v>
      </c>
      <c r="BQ340" s="78"/>
      <c r="BR340" s="142"/>
      <c r="BS340" s="142"/>
      <c r="BT340" s="79">
        <f t="shared" si="184"/>
        <v>0</v>
      </c>
      <c r="BU340" s="75"/>
      <c r="BV340" s="76"/>
      <c r="BW340" s="135"/>
      <c r="BX340" s="135"/>
      <c r="BY340" s="77">
        <f t="shared" si="185"/>
        <v>0</v>
      </c>
      <c r="BZ340" s="78"/>
      <c r="CA340" s="142"/>
      <c r="CB340" s="142"/>
      <c r="CC340" s="77">
        <f t="shared" si="186"/>
        <v>0</v>
      </c>
      <c r="CD340" s="78"/>
      <c r="CE340" s="142"/>
      <c r="CF340" s="142"/>
      <c r="CG340" s="79">
        <f t="shared" si="187"/>
        <v>0</v>
      </c>
      <c r="CH340" s="75"/>
      <c r="CI340" s="76"/>
      <c r="CJ340" s="86"/>
      <c r="CK340" s="86"/>
      <c r="CL340" s="77">
        <f t="shared" si="188"/>
        <v>0</v>
      </c>
      <c r="CM340" s="78"/>
      <c r="CN340" s="85"/>
      <c r="CO340" s="85"/>
      <c r="CP340" s="77">
        <f t="shared" si="189"/>
        <v>0</v>
      </c>
      <c r="CQ340" s="78"/>
      <c r="CR340" s="85"/>
      <c r="CS340" s="85"/>
      <c r="CT340" s="79">
        <f t="shared" si="190"/>
        <v>0</v>
      </c>
      <c r="CU340" s="80">
        <f t="shared" si="191"/>
        <v>0</v>
      </c>
      <c r="CV340" s="81">
        <f t="shared" si="192"/>
        <v>0</v>
      </c>
      <c r="CW340" s="144"/>
      <c r="CX340" s="145">
        <f>IF(ISERROR(VLOOKUP($A340,FIJOS!$B$11:$O$590,14,FALSE)),0,VLOOKUP($A340,FIJOS!$B$11:$O$590,14,FALSE))</f>
        <v>0</v>
      </c>
      <c r="CY340" s="145">
        <f>IF(ISERROR(VLOOKUP(A340,FIJOS!$B$10:$P$590,15,FALSE)),0,VLOOKUP(A340,FIJOS!$B$10:$P$590,15,FALSE))</f>
        <v>0</v>
      </c>
      <c r="CZ340" s="155"/>
      <c r="DA340" s="147"/>
      <c r="DB340" s="147"/>
      <c r="DC340" s="147"/>
      <c r="DD340" s="147"/>
      <c r="DE340" s="147"/>
      <c r="DF340" s="145">
        <f>IF(ISERROR(VLOOKUP($A340,FIJOS!$B$11:$N$590,13,FALSE)),0,VLOOKUP($A340,FIJOS!$B$11:$N$590,13,FALSE))</f>
        <v>0</v>
      </c>
      <c r="DG340" s="145">
        <f>IF(ISERROR(VLOOKUP($A340,FIJOS!$B$11:$P$447,12,FALSE)),0,VLOOKUP($A340,FIJOS!$B$11:$P$447,12,FALSE))</f>
        <v>0</v>
      </c>
      <c r="DH340" s="82">
        <f t="shared" si="193"/>
        <v>0</v>
      </c>
      <c r="DI340" s="83" t="b">
        <f>IF($C340=1,(VLOOKUP($A340,FIJOS!$B$11:$P$545,10,FALSE)/7)*(7-$CU340),IF(AND($C340=2,CV340&lt;$DJ$1),(VLOOKUP($D340,HORAS!$B$4:$C$42,2,FALSE)*24)*$CV340,IF(AND($C340=2,CV340&gt;=$DJ$1),VLOOKUP($D340,HORAS!$B$4:$D$42,3,FALSE),IF(AND($C340=3,$CV340&gt;=$DJ$1),VLOOKUP($A340,FIJOS!$B$11:$P$545,10,FALSE),IF(AND($C340=3,$CV340&lt;$DJ$1),((VLOOKUP($A340,FIJOS!$B$11:$P$545,10,FALSE)/48)*24)*$CV340,IF(AND($C340=4,$CV340&gt;=(42/24)),VLOOKUP($D340,HORAS!$B$4:$D$42,3,FALSE),IF(AND($C340=5,$CV340&gt;=(36/24)),VLOOKUP($D340,HORAS!$B$4:$D$42,3,FALSE))))))))</f>
        <v>0</v>
      </c>
      <c r="DJ340" s="145">
        <f>IF(OR($C340=2),VLOOKUP($D340,HORAS!$B$4:$E$42,4,FALSE)*$EC340,IF(ISERROR(VLOOKUP($A340,FIJOS!$B$11:$P$108,9,FALSE)),0,VLOOKUP($A340,FIJOS!$B$11:$P$231,9,FALSE)*$EC340))</f>
        <v>0</v>
      </c>
      <c r="DK340" s="145">
        <f>IF(OR($C340=2),VLOOKUP($D340,HORAS!$B$4:$F$42,5,FALSE)*$EE340,IF(ISERROR(VLOOKUP($A340,FIJOS!$B$11:$P$108,9,FALSE)),0,VLOOKUP($A340,FIJOS!$B$11:$P$231,9,FALSE)*$EE340))</f>
        <v>0</v>
      </c>
      <c r="DL340" s="144"/>
      <c r="DM340" s="145">
        <f>IF(ISERROR(VLOOKUP($A340,FIJOS!$B$11:$L$646,11,FALSE)),0,VLOOKUP($A340,FIJOS!$B$11:$L$646,11,FALSE))</f>
        <v>0</v>
      </c>
      <c r="DN340" s="148" t="e">
        <f>IF(OR($C340=1,$C340=3),0,IF((VLOOKUP(CAPTURA!D340,HORAS!$B$4:$K$42,10,FALSE)/4)*COUNTIF($H340:$CT340,3)&gt;100,100,(VLOOKUP(CAPTURA!D340,HORAS!$B$4:$K$42,10,FALSE)/4)*COUNTIF($H340:$CT340,3)))</f>
        <v>#N/A</v>
      </c>
      <c r="DO340" s="144" t="e">
        <f>IF(OR($C340=1,$C340=3),0,IF($C340=5,VLOOKUP(D340,HORAS!$B$4:$G$42,6,FALSE),IF(AND($C340=4,$CV340&gt;=(42/24)),VLOOKUP(D340,HORAS!$B$4:$G$42,6,FALSE),IF(COUNTIF($H340:$CL340,"F")&gt;0,0,IF(CV340&gt;$DJ$1,$DJ$1*(VLOOKUP(D340,HORAS!$B$4:$G$42,6,FALSE)/$DJ$1),CV340*(VLOOKUP(D340,HORAS!$B$4:$G$42,6,FALSE)/$DJ$1))))))</f>
        <v>#N/A</v>
      </c>
      <c r="DP340" s="156"/>
      <c r="DQ340" s="148"/>
      <c r="DR340" s="148"/>
      <c r="DS340" s="83" t="e">
        <f t="shared" si="194"/>
        <v>#N/A</v>
      </c>
      <c r="DT340" s="84"/>
      <c r="DU340" s="149" t="e">
        <f t="shared" si="195"/>
        <v>#N/A</v>
      </c>
      <c r="DV340" s="149" t="e">
        <f t="shared" si="196"/>
        <v>#N/A</v>
      </c>
      <c r="DW340" s="144" t="e">
        <f t="shared" si="197"/>
        <v>#N/A</v>
      </c>
      <c r="DX340" s="168"/>
      <c r="DY340" s="29"/>
      <c r="DZ340" s="150"/>
      <c r="EA340" s="134"/>
      <c r="EB340" s="137">
        <f t="shared" si="198"/>
        <v>0</v>
      </c>
      <c r="EC340" s="138">
        <f t="shared" si="199"/>
        <v>0</v>
      </c>
      <c r="ED340" s="137">
        <f t="shared" si="200"/>
        <v>0</v>
      </c>
      <c r="EE340" s="132">
        <f t="shared" si="201"/>
        <v>0</v>
      </c>
      <c r="EF340" s="29"/>
      <c r="EG340" s="134"/>
      <c r="EH340" s="134"/>
      <c r="EI340" s="134"/>
      <c r="EK340" s="29"/>
    </row>
    <row r="341" spans="1:141" ht="15" customHeight="1" x14ac:dyDescent="0.25">
      <c r="A341" s="87"/>
      <c r="B341" s="5"/>
      <c r="C341" s="72"/>
      <c r="D341" s="73"/>
      <c r="E341" s="73"/>
      <c r="F341" s="141"/>
      <c r="G341" s="74"/>
      <c r="H341" s="75"/>
      <c r="I341" s="76"/>
      <c r="J341" s="135"/>
      <c r="K341" s="135"/>
      <c r="L341" s="77">
        <f t="shared" si="170"/>
        <v>0</v>
      </c>
      <c r="M341" s="78"/>
      <c r="N341" s="142"/>
      <c r="O341" s="142"/>
      <c r="P341" s="77">
        <f t="shared" si="171"/>
        <v>0</v>
      </c>
      <c r="Q341" s="78"/>
      <c r="R341" s="143"/>
      <c r="S341" s="143"/>
      <c r="T341" s="77">
        <f t="shared" si="172"/>
        <v>0</v>
      </c>
      <c r="U341" s="75"/>
      <c r="V341" s="76"/>
      <c r="W341" s="135"/>
      <c r="X341" s="135"/>
      <c r="Y341" s="77">
        <f t="shared" si="173"/>
        <v>0</v>
      </c>
      <c r="Z341" s="78"/>
      <c r="AA341" s="142"/>
      <c r="AB341" s="142"/>
      <c r="AC341" s="77">
        <f t="shared" si="174"/>
        <v>0</v>
      </c>
      <c r="AD341" s="78"/>
      <c r="AE341" s="143"/>
      <c r="AF341" s="143"/>
      <c r="AG341" s="79">
        <f t="shared" si="175"/>
        <v>0</v>
      </c>
      <c r="AH341" s="75"/>
      <c r="AI341" s="76"/>
      <c r="AJ341" s="135"/>
      <c r="AK341" s="135"/>
      <c r="AL341" s="77">
        <f t="shared" si="176"/>
        <v>0</v>
      </c>
      <c r="AM341" s="76"/>
      <c r="AN341" s="142"/>
      <c r="AO341" s="142"/>
      <c r="AP341" s="77">
        <f t="shared" si="177"/>
        <v>0</v>
      </c>
      <c r="AQ341" s="78"/>
      <c r="AR341" s="142"/>
      <c r="AS341" s="142"/>
      <c r="AT341" s="79">
        <f t="shared" si="178"/>
        <v>0</v>
      </c>
      <c r="AU341" s="75"/>
      <c r="AV341" s="76"/>
      <c r="AW341" s="135"/>
      <c r="AX341" s="135"/>
      <c r="AY341" s="77">
        <f t="shared" si="179"/>
        <v>0</v>
      </c>
      <c r="AZ341" s="76"/>
      <c r="BA341" s="142"/>
      <c r="BB341" s="142"/>
      <c r="BC341" s="77">
        <f t="shared" si="180"/>
        <v>0</v>
      </c>
      <c r="BD341" s="78"/>
      <c r="BE341" s="142"/>
      <c r="BF341" s="142"/>
      <c r="BG341" s="79">
        <f t="shared" si="181"/>
        <v>0</v>
      </c>
      <c r="BH341" s="75"/>
      <c r="BI341" s="76"/>
      <c r="BJ341" s="135"/>
      <c r="BK341" s="135"/>
      <c r="BL341" s="77">
        <f t="shared" si="182"/>
        <v>0</v>
      </c>
      <c r="BM341" s="78"/>
      <c r="BN341" s="142"/>
      <c r="BO341" s="142"/>
      <c r="BP341" s="77">
        <f t="shared" si="183"/>
        <v>0</v>
      </c>
      <c r="BQ341" s="78"/>
      <c r="BR341" s="142"/>
      <c r="BS341" s="142"/>
      <c r="BT341" s="79">
        <f t="shared" si="184"/>
        <v>0</v>
      </c>
      <c r="BU341" s="75"/>
      <c r="BV341" s="76"/>
      <c r="BW341" s="135"/>
      <c r="BX341" s="135"/>
      <c r="BY341" s="77">
        <f t="shared" si="185"/>
        <v>0</v>
      </c>
      <c r="BZ341" s="78"/>
      <c r="CA341" s="142"/>
      <c r="CB341" s="142"/>
      <c r="CC341" s="77">
        <f t="shared" si="186"/>
        <v>0</v>
      </c>
      <c r="CD341" s="78"/>
      <c r="CE341" s="142"/>
      <c r="CF341" s="142"/>
      <c r="CG341" s="79">
        <f t="shared" si="187"/>
        <v>0</v>
      </c>
      <c r="CH341" s="75"/>
      <c r="CI341" s="76"/>
      <c r="CJ341" s="86"/>
      <c r="CK341" s="86"/>
      <c r="CL341" s="77">
        <f t="shared" si="188"/>
        <v>0</v>
      </c>
      <c r="CM341" s="78"/>
      <c r="CN341" s="85"/>
      <c r="CO341" s="85"/>
      <c r="CP341" s="77">
        <f t="shared" si="189"/>
        <v>0</v>
      </c>
      <c r="CQ341" s="78"/>
      <c r="CR341" s="85"/>
      <c r="CS341" s="85"/>
      <c r="CT341" s="79">
        <f t="shared" si="190"/>
        <v>0</v>
      </c>
      <c r="CU341" s="80">
        <f t="shared" si="191"/>
        <v>0</v>
      </c>
      <c r="CV341" s="81">
        <f t="shared" si="192"/>
        <v>0</v>
      </c>
      <c r="CW341" s="144"/>
      <c r="CX341" s="145">
        <f>IF(ISERROR(VLOOKUP($A341,FIJOS!$B$11:$O$590,14,FALSE)),0,VLOOKUP($A341,FIJOS!$B$11:$O$590,14,FALSE))</f>
        <v>0</v>
      </c>
      <c r="CY341" s="145">
        <f>IF(ISERROR(VLOOKUP(A341,FIJOS!$B$10:$P$590,15,FALSE)),0,VLOOKUP(A341,FIJOS!$B$10:$P$590,15,FALSE))</f>
        <v>0</v>
      </c>
      <c r="CZ341" s="155"/>
      <c r="DA341" s="147"/>
      <c r="DB341" s="147"/>
      <c r="DC341" s="147"/>
      <c r="DD341" s="147"/>
      <c r="DE341" s="147"/>
      <c r="DF341" s="145">
        <f>IF(ISERROR(VLOOKUP($A341,FIJOS!$B$11:$N$590,13,FALSE)),0,VLOOKUP($A341,FIJOS!$B$11:$N$590,13,FALSE))</f>
        <v>0</v>
      </c>
      <c r="DG341" s="145">
        <f>IF(ISERROR(VLOOKUP($A341,FIJOS!$B$11:$P$447,12,FALSE)),0,VLOOKUP($A341,FIJOS!$B$11:$P$447,12,FALSE))</f>
        <v>0</v>
      </c>
      <c r="DH341" s="82">
        <f t="shared" si="193"/>
        <v>0</v>
      </c>
      <c r="DI341" s="83" t="b">
        <f>IF($C341=1,(VLOOKUP($A341,FIJOS!$B$11:$P$545,10,FALSE)/7)*(7-$CU341),IF(AND($C341=2,CV341&lt;$DJ$1),(VLOOKUP($D341,HORAS!$B$4:$C$42,2,FALSE)*24)*$CV341,IF(AND($C341=2,CV341&gt;=$DJ$1),VLOOKUP($D341,HORAS!$B$4:$D$42,3,FALSE),IF(AND($C341=3,$CV341&gt;=$DJ$1),VLOOKUP($A341,FIJOS!$B$11:$P$545,10,FALSE),IF(AND($C341=3,$CV341&lt;$DJ$1),((VLOOKUP($A341,FIJOS!$B$11:$P$545,10,FALSE)/48)*24)*$CV341,IF(AND($C341=4,$CV341&gt;=(42/24)),VLOOKUP($D341,HORAS!$B$4:$D$42,3,FALSE),IF(AND($C341=5,$CV341&gt;=(36/24)),VLOOKUP($D341,HORAS!$B$4:$D$42,3,FALSE))))))))</f>
        <v>0</v>
      </c>
      <c r="DJ341" s="145">
        <f>IF(OR($C341=2),VLOOKUP($D341,HORAS!$B$4:$E$42,4,FALSE)*$EC341,IF(ISERROR(VLOOKUP($A341,FIJOS!$B$11:$P$108,9,FALSE)),0,VLOOKUP($A341,FIJOS!$B$11:$P$231,9,FALSE)*$EC341))</f>
        <v>0</v>
      </c>
      <c r="DK341" s="145">
        <f>IF(OR($C341=2),VLOOKUP($D341,HORAS!$B$4:$F$42,5,FALSE)*$EE341,IF(ISERROR(VLOOKUP($A341,FIJOS!$B$11:$P$108,9,FALSE)),0,VLOOKUP($A341,FIJOS!$B$11:$P$231,9,FALSE)*$EE341))</f>
        <v>0</v>
      </c>
      <c r="DL341" s="144"/>
      <c r="DM341" s="145">
        <f>IF(ISERROR(VLOOKUP($A341,FIJOS!$B$11:$L$646,11,FALSE)),0,VLOOKUP($A341,FIJOS!$B$11:$L$646,11,FALSE))</f>
        <v>0</v>
      </c>
      <c r="DN341" s="148" t="e">
        <f>IF(OR($C341=1,$C341=3),0,IF((VLOOKUP(CAPTURA!D341,HORAS!$B$4:$K$42,10,FALSE)/4)*COUNTIF($H341:$CT341,3)&gt;100,100,(VLOOKUP(CAPTURA!D341,HORAS!$B$4:$K$42,10,FALSE)/4)*COUNTIF($H341:$CT341,3)))</f>
        <v>#N/A</v>
      </c>
      <c r="DO341" s="144" t="e">
        <f>IF(OR($C341=1,$C341=3),0,IF($C341=5,VLOOKUP(D341,HORAS!$B$4:$G$42,6,FALSE),IF(AND($C341=4,$CV341&gt;=(42/24)),VLOOKUP(D341,HORAS!$B$4:$G$42,6,FALSE),IF(COUNTIF($H341:$CL341,"F")&gt;0,0,IF(CV341&gt;$DJ$1,$DJ$1*(VLOOKUP(D341,HORAS!$B$4:$G$42,6,FALSE)/$DJ$1),CV341*(VLOOKUP(D341,HORAS!$B$4:$G$42,6,FALSE)/$DJ$1))))))</f>
        <v>#N/A</v>
      </c>
      <c r="DP341" s="156"/>
      <c r="DQ341" s="148"/>
      <c r="DR341" s="148"/>
      <c r="DS341" s="83" t="e">
        <f t="shared" si="194"/>
        <v>#N/A</v>
      </c>
      <c r="DT341" s="84"/>
      <c r="DU341" s="149" t="e">
        <f t="shared" si="195"/>
        <v>#N/A</v>
      </c>
      <c r="DV341" s="149" t="e">
        <f t="shared" si="196"/>
        <v>#N/A</v>
      </c>
      <c r="DW341" s="144" t="e">
        <f t="shared" si="197"/>
        <v>#N/A</v>
      </c>
      <c r="DX341" s="168"/>
      <c r="DY341" s="29"/>
      <c r="DZ341" s="150"/>
      <c r="EA341" s="134"/>
      <c r="EB341" s="137">
        <f t="shared" si="198"/>
        <v>0</v>
      </c>
      <c r="EC341" s="138">
        <f t="shared" si="199"/>
        <v>0</v>
      </c>
      <c r="ED341" s="137">
        <f t="shared" si="200"/>
        <v>0</v>
      </c>
      <c r="EE341" s="132">
        <f t="shared" si="201"/>
        <v>0</v>
      </c>
      <c r="EF341" s="29"/>
      <c r="EG341" s="134"/>
      <c r="EH341" s="134"/>
      <c r="EI341" s="134"/>
      <c r="EK341" s="29"/>
    </row>
    <row r="342" spans="1:141" ht="15" customHeight="1" x14ac:dyDescent="0.25">
      <c r="A342" s="87"/>
      <c r="B342" s="5"/>
      <c r="C342" s="72"/>
      <c r="D342" s="73"/>
      <c r="E342" s="73"/>
      <c r="F342" s="141"/>
      <c r="G342" s="74"/>
      <c r="H342" s="75"/>
      <c r="I342" s="76"/>
      <c r="J342" s="135"/>
      <c r="K342" s="135"/>
      <c r="L342" s="77">
        <f t="shared" si="170"/>
        <v>0</v>
      </c>
      <c r="M342" s="78"/>
      <c r="N342" s="142"/>
      <c r="O342" s="142"/>
      <c r="P342" s="77">
        <f t="shared" si="171"/>
        <v>0</v>
      </c>
      <c r="Q342" s="78"/>
      <c r="R342" s="143"/>
      <c r="S342" s="143"/>
      <c r="T342" s="77">
        <f t="shared" si="172"/>
        <v>0</v>
      </c>
      <c r="U342" s="75"/>
      <c r="V342" s="76"/>
      <c r="W342" s="135"/>
      <c r="X342" s="135"/>
      <c r="Y342" s="77">
        <f t="shared" si="173"/>
        <v>0</v>
      </c>
      <c r="Z342" s="78"/>
      <c r="AA342" s="142"/>
      <c r="AB342" s="142"/>
      <c r="AC342" s="77">
        <f t="shared" si="174"/>
        <v>0</v>
      </c>
      <c r="AD342" s="78"/>
      <c r="AE342" s="143"/>
      <c r="AF342" s="143"/>
      <c r="AG342" s="79">
        <f t="shared" si="175"/>
        <v>0</v>
      </c>
      <c r="AH342" s="75"/>
      <c r="AI342" s="76"/>
      <c r="AJ342" s="135"/>
      <c r="AK342" s="135"/>
      <c r="AL342" s="77">
        <f t="shared" si="176"/>
        <v>0</v>
      </c>
      <c r="AM342" s="76"/>
      <c r="AN342" s="142"/>
      <c r="AO342" s="142"/>
      <c r="AP342" s="77">
        <f t="shared" si="177"/>
        <v>0</v>
      </c>
      <c r="AQ342" s="78"/>
      <c r="AR342" s="142"/>
      <c r="AS342" s="142"/>
      <c r="AT342" s="79">
        <f t="shared" si="178"/>
        <v>0</v>
      </c>
      <c r="AU342" s="75"/>
      <c r="AV342" s="76"/>
      <c r="AW342" s="135"/>
      <c r="AX342" s="135"/>
      <c r="AY342" s="77">
        <f t="shared" si="179"/>
        <v>0</v>
      </c>
      <c r="AZ342" s="76"/>
      <c r="BA342" s="142"/>
      <c r="BB342" s="142"/>
      <c r="BC342" s="77">
        <f t="shared" si="180"/>
        <v>0</v>
      </c>
      <c r="BD342" s="78"/>
      <c r="BE342" s="142"/>
      <c r="BF342" s="142"/>
      <c r="BG342" s="79">
        <f t="shared" si="181"/>
        <v>0</v>
      </c>
      <c r="BH342" s="75"/>
      <c r="BI342" s="76"/>
      <c r="BJ342" s="135"/>
      <c r="BK342" s="135"/>
      <c r="BL342" s="77">
        <f t="shared" si="182"/>
        <v>0</v>
      </c>
      <c r="BM342" s="78"/>
      <c r="BN342" s="142"/>
      <c r="BO342" s="142"/>
      <c r="BP342" s="77">
        <f t="shared" si="183"/>
        <v>0</v>
      </c>
      <c r="BQ342" s="78"/>
      <c r="BR342" s="142"/>
      <c r="BS342" s="142"/>
      <c r="BT342" s="79">
        <f t="shared" si="184"/>
        <v>0</v>
      </c>
      <c r="BU342" s="75"/>
      <c r="BV342" s="76"/>
      <c r="BW342" s="135"/>
      <c r="BX342" s="135"/>
      <c r="BY342" s="77">
        <f t="shared" si="185"/>
        <v>0</v>
      </c>
      <c r="BZ342" s="78"/>
      <c r="CA342" s="142"/>
      <c r="CB342" s="142"/>
      <c r="CC342" s="77">
        <f t="shared" si="186"/>
        <v>0</v>
      </c>
      <c r="CD342" s="78"/>
      <c r="CE342" s="142"/>
      <c r="CF342" s="142"/>
      <c r="CG342" s="79">
        <f t="shared" si="187"/>
        <v>0</v>
      </c>
      <c r="CH342" s="75"/>
      <c r="CI342" s="76"/>
      <c r="CJ342" s="86"/>
      <c r="CK342" s="86"/>
      <c r="CL342" s="77">
        <f t="shared" si="188"/>
        <v>0</v>
      </c>
      <c r="CM342" s="78"/>
      <c r="CN342" s="85"/>
      <c r="CO342" s="85"/>
      <c r="CP342" s="77">
        <f t="shared" si="189"/>
        <v>0</v>
      </c>
      <c r="CQ342" s="78"/>
      <c r="CR342" s="85"/>
      <c r="CS342" s="85"/>
      <c r="CT342" s="79">
        <f t="shared" si="190"/>
        <v>0</v>
      </c>
      <c r="CU342" s="80">
        <f t="shared" si="191"/>
        <v>0</v>
      </c>
      <c r="CV342" s="81">
        <f t="shared" si="192"/>
        <v>0</v>
      </c>
      <c r="CW342" s="144"/>
      <c r="CX342" s="145">
        <f>IF(ISERROR(VLOOKUP($A342,FIJOS!$B$11:$O$590,14,FALSE)),0,VLOOKUP($A342,FIJOS!$B$11:$O$590,14,FALSE))</f>
        <v>0</v>
      </c>
      <c r="CY342" s="145">
        <f>IF(ISERROR(VLOOKUP(A342,FIJOS!$B$10:$P$590,15,FALSE)),0,VLOOKUP(A342,FIJOS!$B$10:$P$590,15,FALSE))</f>
        <v>0</v>
      </c>
      <c r="CZ342" s="155"/>
      <c r="DA342" s="147"/>
      <c r="DB342" s="147"/>
      <c r="DC342" s="147"/>
      <c r="DD342" s="147"/>
      <c r="DE342" s="147"/>
      <c r="DF342" s="145">
        <f>IF(ISERROR(VLOOKUP($A342,FIJOS!$B$11:$N$590,13,FALSE)),0,VLOOKUP($A342,FIJOS!$B$11:$N$590,13,FALSE))</f>
        <v>0</v>
      </c>
      <c r="DG342" s="145">
        <f>IF(ISERROR(VLOOKUP($A342,FIJOS!$B$11:$P$447,12,FALSE)),0,VLOOKUP($A342,FIJOS!$B$11:$P$447,12,FALSE))</f>
        <v>0</v>
      </c>
      <c r="DH342" s="82">
        <f t="shared" si="193"/>
        <v>0</v>
      </c>
      <c r="DI342" s="83" t="b">
        <f>IF($C342=1,(VLOOKUP($A342,FIJOS!$B$11:$P$545,10,FALSE)/7)*(7-$CU342),IF(AND($C342=2,CV342&lt;$DJ$1),(VLOOKUP($D342,HORAS!$B$4:$C$42,2,FALSE)*24)*$CV342,IF(AND($C342=2,CV342&gt;=$DJ$1),VLOOKUP($D342,HORAS!$B$4:$D$42,3,FALSE),IF(AND($C342=3,$CV342&gt;=$DJ$1),VLOOKUP($A342,FIJOS!$B$11:$P$545,10,FALSE),IF(AND($C342=3,$CV342&lt;$DJ$1),((VLOOKUP($A342,FIJOS!$B$11:$P$545,10,FALSE)/48)*24)*$CV342,IF(AND($C342=4,$CV342&gt;=(42/24)),VLOOKUP($D342,HORAS!$B$4:$D$42,3,FALSE),IF(AND($C342=5,$CV342&gt;=(36/24)),VLOOKUP($D342,HORAS!$B$4:$D$42,3,FALSE))))))))</f>
        <v>0</v>
      </c>
      <c r="DJ342" s="145">
        <f>IF(OR($C342=2),VLOOKUP($D342,HORAS!$B$4:$E$42,4,FALSE)*$EC342,IF(ISERROR(VLOOKUP($A342,FIJOS!$B$11:$P$108,9,FALSE)),0,VLOOKUP($A342,FIJOS!$B$11:$P$231,9,FALSE)*$EC342))</f>
        <v>0</v>
      </c>
      <c r="DK342" s="145">
        <f>IF(OR($C342=2),VLOOKUP($D342,HORAS!$B$4:$F$42,5,FALSE)*$EE342,IF(ISERROR(VLOOKUP($A342,FIJOS!$B$11:$P$108,9,FALSE)),0,VLOOKUP($A342,FIJOS!$B$11:$P$231,9,FALSE)*$EE342))</f>
        <v>0</v>
      </c>
      <c r="DL342" s="144"/>
      <c r="DM342" s="145">
        <f>IF(ISERROR(VLOOKUP($A342,FIJOS!$B$11:$L$646,11,FALSE)),0,VLOOKUP($A342,FIJOS!$B$11:$L$646,11,FALSE))</f>
        <v>0</v>
      </c>
      <c r="DN342" s="148" t="e">
        <f>IF(OR($C342=1,$C342=3),0,IF((VLOOKUP(CAPTURA!D342,HORAS!$B$4:$K$42,10,FALSE)/4)*COUNTIF($H342:$CT342,3)&gt;100,100,(VLOOKUP(CAPTURA!D342,HORAS!$B$4:$K$42,10,FALSE)/4)*COUNTIF($H342:$CT342,3)))</f>
        <v>#N/A</v>
      </c>
      <c r="DO342" s="144" t="e">
        <f>IF(OR($C342=1,$C342=3),0,IF($C342=5,VLOOKUP(D342,HORAS!$B$4:$G$42,6,FALSE),IF(AND($C342=4,$CV342&gt;=(42/24)),VLOOKUP(D342,HORAS!$B$4:$G$42,6,FALSE),IF(COUNTIF($H342:$CL342,"F")&gt;0,0,IF(CV342&gt;$DJ$1,$DJ$1*(VLOOKUP(D342,HORAS!$B$4:$G$42,6,FALSE)/$DJ$1),CV342*(VLOOKUP(D342,HORAS!$B$4:$G$42,6,FALSE)/$DJ$1))))))</f>
        <v>#N/A</v>
      </c>
      <c r="DP342" s="156"/>
      <c r="DQ342" s="148"/>
      <c r="DR342" s="148"/>
      <c r="DS342" s="83" t="e">
        <f t="shared" si="194"/>
        <v>#N/A</v>
      </c>
      <c r="DT342" s="84"/>
      <c r="DU342" s="149" t="e">
        <f t="shared" si="195"/>
        <v>#N/A</v>
      </c>
      <c r="DV342" s="149" t="e">
        <f t="shared" si="196"/>
        <v>#N/A</v>
      </c>
      <c r="DW342" s="144" t="e">
        <f t="shared" si="197"/>
        <v>#N/A</v>
      </c>
      <c r="DX342" s="168"/>
      <c r="DY342" s="29"/>
      <c r="DZ342" s="150"/>
      <c r="EA342" s="134"/>
      <c r="EB342" s="137">
        <f t="shared" si="198"/>
        <v>0</v>
      </c>
      <c r="EC342" s="138">
        <f t="shared" si="199"/>
        <v>0</v>
      </c>
      <c r="ED342" s="137">
        <f t="shared" si="200"/>
        <v>0</v>
      </c>
      <c r="EE342" s="132">
        <f t="shared" si="201"/>
        <v>0</v>
      </c>
      <c r="EF342" s="29"/>
      <c r="EG342" s="134"/>
      <c r="EH342" s="134"/>
      <c r="EI342" s="134"/>
      <c r="EK342" s="29"/>
    </row>
    <row r="343" spans="1:141" ht="15" customHeight="1" x14ac:dyDescent="0.25">
      <c r="A343" s="87"/>
      <c r="B343" s="5"/>
      <c r="C343" s="72"/>
      <c r="D343" s="73"/>
      <c r="E343" s="73"/>
      <c r="F343" s="141"/>
      <c r="G343" s="74"/>
      <c r="H343" s="75"/>
      <c r="I343" s="76"/>
      <c r="J343" s="135"/>
      <c r="K343" s="135"/>
      <c r="L343" s="77">
        <f t="shared" si="170"/>
        <v>0</v>
      </c>
      <c r="M343" s="78"/>
      <c r="N343" s="142"/>
      <c r="O343" s="142"/>
      <c r="P343" s="77">
        <f t="shared" si="171"/>
        <v>0</v>
      </c>
      <c r="Q343" s="78"/>
      <c r="R343" s="143"/>
      <c r="S343" s="143"/>
      <c r="T343" s="77">
        <f t="shared" si="172"/>
        <v>0</v>
      </c>
      <c r="U343" s="75"/>
      <c r="V343" s="76"/>
      <c r="W343" s="135"/>
      <c r="X343" s="135"/>
      <c r="Y343" s="77">
        <f t="shared" si="173"/>
        <v>0</v>
      </c>
      <c r="Z343" s="78"/>
      <c r="AA343" s="142"/>
      <c r="AB343" s="142"/>
      <c r="AC343" s="77">
        <f t="shared" si="174"/>
        <v>0</v>
      </c>
      <c r="AD343" s="78"/>
      <c r="AE343" s="143"/>
      <c r="AF343" s="143"/>
      <c r="AG343" s="79">
        <f t="shared" si="175"/>
        <v>0</v>
      </c>
      <c r="AH343" s="75"/>
      <c r="AI343" s="76"/>
      <c r="AJ343" s="135"/>
      <c r="AK343" s="135"/>
      <c r="AL343" s="77">
        <f t="shared" si="176"/>
        <v>0</v>
      </c>
      <c r="AM343" s="76"/>
      <c r="AN343" s="142"/>
      <c r="AO343" s="142"/>
      <c r="AP343" s="77">
        <f t="shared" si="177"/>
        <v>0</v>
      </c>
      <c r="AQ343" s="78"/>
      <c r="AR343" s="142"/>
      <c r="AS343" s="142"/>
      <c r="AT343" s="79">
        <f t="shared" si="178"/>
        <v>0</v>
      </c>
      <c r="AU343" s="75"/>
      <c r="AV343" s="76"/>
      <c r="AW343" s="135"/>
      <c r="AX343" s="135"/>
      <c r="AY343" s="77">
        <f t="shared" si="179"/>
        <v>0</v>
      </c>
      <c r="AZ343" s="76"/>
      <c r="BA343" s="142"/>
      <c r="BB343" s="142"/>
      <c r="BC343" s="77">
        <f t="shared" si="180"/>
        <v>0</v>
      </c>
      <c r="BD343" s="78"/>
      <c r="BE343" s="142"/>
      <c r="BF343" s="142"/>
      <c r="BG343" s="79">
        <f t="shared" si="181"/>
        <v>0</v>
      </c>
      <c r="BH343" s="75"/>
      <c r="BI343" s="76"/>
      <c r="BJ343" s="135"/>
      <c r="BK343" s="135"/>
      <c r="BL343" s="77">
        <f t="shared" si="182"/>
        <v>0</v>
      </c>
      <c r="BM343" s="78"/>
      <c r="BN343" s="142"/>
      <c r="BO343" s="142"/>
      <c r="BP343" s="77">
        <f t="shared" si="183"/>
        <v>0</v>
      </c>
      <c r="BQ343" s="78"/>
      <c r="BR343" s="142"/>
      <c r="BS343" s="142"/>
      <c r="BT343" s="79">
        <f t="shared" si="184"/>
        <v>0</v>
      </c>
      <c r="BU343" s="75"/>
      <c r="BV343" s="76"/>
      <c r="BW343" s="135"/>
      <c r="BX343" s="135"/>
      <c r="BY343" s="77">
        <f t="shared" si="185"/>
        <v>0</v>
      </c>
      <c r="BZ343" s="78"/>
      <c r="CA343" s="142"/>
      <c r="CB343" s="142"/>
      <c r="CC343" s="77">
        <f t="shared" si="186"/>
        <v>0</v>
      </c>
      <c r="CD343" s="78"/>
      <c r="CE343" s="142"/>
      <c r="CF343" s="142"/>
      <c r="CG343" s="79">
        <f t="shared" si="187"/>
        <v>0</v>
      </c>
      <c r="CH343" s="75"/>
      <c r="CI343" s="76"/>
      <c r="CJ343" s="86"/>
      <c r="CK343" s="86"/>
      <c r="CL343" s="77">
        <f t="shared" si="188"/>
        <v>0</v>
      </c>
      <c r="CM343" s="78"/>
      <c r="CN343" s="85"/>
      <c r="CO343" s="85"/>
      <c r="CP343" s="77">
        <f t="shared" si="189"/>
        <v>0</v>
      </c>
      <c r="CQ343" s="78"/>
      <c r="CR343" s="85"/>
      <c r="CS343" s="85"/>
      <c r="CT343" s="79">
        <f t="shared" si="190"/>
        <v>0</v>
      </c>
      <c r="CU343" s="80">
        <f t="shared" si="191"/>
        <v>0</v>
      </c>
      <c r="CV343" s="81">
        <f t="shared" si="192"/>
        <v>0</v>
      </c>
      <c r="CW343" s="144"/>
      <c r="CX343" s="145">
        <f>IF(ISERROR(VLOOKUP($A343,FIJOS!$B$11:$O$590,14,FALSE)),0,VLOOKUP($A343,FIJOS!$B$11:$O$590,14,FALSE))</f>
        <v>0</v>
      </c>
      <c r="CY343" s="145">
        <f>IF(ISERROR(VLOOKUP(A343,FIJOS!$B$10:$P$590,15,FALSE)),0,VLOOKUP(A343,FIJOS!$B$10:$P$590,15,FALSE))</f>
        <v>0</v>
      </c>
      <c r="CZ343" s="155"/>
      <c r="DA343" s="147"/>
      <c r="DB343" s="147"/>
      <c r="DC343" s="147"/>
      <c r="DD343" s="147"/>
      <c r="DE343" s="147"/>
      <c r="DF343" s="145">
        <f>IF(ISERROR(VLOOKUP($A343,FIJOS!$B$11:$N$590,13,FALSE)),0,VLOOKUP($A343,FIJOS!$B$11:$N$590,13,FALSE))</f>
        <v>0</v>
      </c>
      <c r="DG343" s="145">
        <f>IF(ISERROR(VLOOKUP($A343,FIJOS!$B$11:$P$447,12,FALSE)),0,VLOOKUP($A343,FIJOS!$B$11:$P$447,12,FALSE))</f>
        <v>0</v>
      </c>
      <c r="DH343" s="82">
        <f t="shared" si="193"/>
        <v>0</v>
      </c>
      <c r="DI343" s="83" t="b">
        <f>IF($C343=1,(VLOOKUP($A343,FIJOS!$B$11:$P$545,10,FALSE)/7)*(7-$CU343),IF(AND($C343=2,CV343&lt;$DJ$1),(VLOOKUP($D343,HORAS!$B$4:$C$42,2,FALSE)*24)*$CV343,IF(AND($C343=2,CV343&gt;=$DJ$1),VLOOKUP($D343,HORAS!$B$4:$D$42,3,FALSE),IF(AND($C343=3,$CV343&gt;=$DJ$1),VLOOKUP($A343,FIJOS!$B$11:$P$545,10,FALSE),IF(AND($C343=3,$CV343&lt;$DJ$1),((VLOOKUP($A343,FIJOS!$B$11:$P$545,10,FALSE)/48)*24)*$CV343,IF(AND($C343=4,$CV343&gt;=(42/24)),VLOOKUP($D343,HORAS!$B$4:$D$42,3,FALSE),IF(AND($C343=5,$CV343&gt;=(36/24)),VLOOKUP($D343,HORAS!$B$4:$D$42,3,FALSE))))))))</f>
        <v>0</v>
      </c>
      <c r="DJ343" s="145">
        <f>IF(OR($C343=2),VLOOKUP($D343,HORAS!$B$4:$E$42,4,FALSE)*$EC343,IF(ISERROR(VLOOKUP($A343,FIJOS!$B$11:$P$108,9,FALSE)),0,VLOOKUP($A343,FIJOS!$B$11:$P$231,9,FALSE)*$EC343))</f>
        <v>0</v>
      </c>
      <c r="DK343" s="145">
        <f>IF(OR($C343=2),VLOOKUP($D343,HORAS!$B$4:$F$42,5,FALSE)*$EE343,IF(ISERROR(VLOOKUP($A343,FIJOS!$B$11:$P$108,9,FALSE)),0,VLOOKUP($A343,FIJOS!$B$11:$P$231,9,FALSE)*$EE343))</f>
        <v>0</v>
      </c>
      <c r="DL343" s="144"/>
      <c r="DM343" s="145">
        <f>IF(ISERROR(VLOOKUP($A343,FIJOS!$B$11:$L$646,11,FALSE)),0,VLOOKUP($A343,FIJOS!$B$11:$L$646,11,FALSE))</f>
        <v>0</v>
      </c>
      <c r="DN343" s="148" t="e">
        <f>IF(OR($C343=1,$C343=3),0,IF((VLOOKUP(CAPTURA!D343,HORAS!$B$4:$K$42,10,FALSE)/4)*COUNTIF($H343:$CT343,3)&gt;100,100,(VLOOKUP(CAPTURA!D343,HORAS!$B$4:$K$42,10,FALSE)/4)*COUNTIF($H343:$CT343,3)))</f>
        <v>#N/A</v>
      </c>
      <c r="DO343" s="144" t="e">
        <f>IF(OR($C343=1,$C343=3),0,IF($C343=5,VLOOKUP(D343,HORAS!$B$4:$G$42,6,FALSE),IF(AND($C343=4,$CV343&gt;=(42/24)),VLOOKUP(D343,HORAS!$B$4:$G$42,6,FALSE),IF(COUNTIF($H343:$CL343,"F")&gt;0,0,IF(CV343&gt;$DJ$1,$DJ$1*(VLOOKUP(D343,HORAS!$B$4:$G$42,6,FALSE)/$DJ$1),CV343*(VLOOKUP(D343,HORAS!$B$4:$G$42,6,FALSE)/$DJ$1))))))</f>
        <v>#N/A</v>
      </c>
      <c r="DP343" s="156"/>
      <c r="DQ343" s="148"/>
      <c r="DR343" s="148"/>
      <c r="DS343" s="83" t="e">
        <f t="shared" si="194"/>
        <v>#N/A</v>
      </c>
      <c r="DT343" s="84"/>
      <c r="DU343" s="149" t="e">
        <f t="shared" si="195"/>
        <v>#N/A</v>
      </c>
      <c r="DV343" s="149" t="e">
        <f t="shared" si="196"/>
        <v>#N/A</v>
      </c>
      <c r="DW343" s="144" t="e">
        <f t="shared" si="197"/>
        <v>#N/A</v>
      </c>
      <c r="DX343" s="168"/>
      <c r="DY343" s="29"/>
      <c r="DZ343" s="150"/>
      <c r="EA343" s="134"/>
      <c r="EB343" s="137">
        <f t="shared" si="198"/>
        <v>0</v>
      </c>
      <c r="EC343" s="138">
        <f t="shared" si="199"/>
        <v>0</v>
      </c>
      <c r="ED343" s="137">
        <f t="shared" si="200"/>
        <v>0</v>
      </c>
      <c r="EE343" s="132">
        <f t="shared" si="201"/>
        <v>0</v>
      </c>
      <c r="EF343" s="29"/>
      <c r="EG343" s="134"/>
      <c r="EH343" s="134"/>
      <c r="EI343" s="134"/>
      <c r="EK343" s="29"/>
    </row>
    <row r="344" spans="1:141" ht="15" customHeight="1" x14ac:dyDescent="0.25">
      <c r="A344" s="87"/>
      <c r="B344" s="5"/>
      <c r="C344" s="72"/>
      <c r="D344" s="73"/>
      <c r="E344" s="73"/>
      <c r="F344" s="141"/>
      <c r="G344" s="74"/>
      <c r="H344" s="75"/>
      <c r="I344" s="76"/>
      <c r="J344" s="135"/>
      <c r="K344" s="135"/>
      <c r="L344" s="77">
        <f t="shared" si="170"/>
        <v>0</v>
      </c>
      <c r="M344" s="78"/>
      <c r="N344" s="142"/>
      <c r="O344" s="142"/>
      <c r="P344" s="77">
        <f t="shared" si="171"/>
        <v>0</v>
      </c>
      <c r="Q344" s="78"/>
      <c r="R344" s="143"/>
      <c r="S344" s="143"/>
      <c r="T344" s="77">
        <f t="shared" si="172"/>
        <v>0</v>
      </c>
      <c r="U344" s="75"/>
      <c r="V344" s="76"/>
      <c r="W344" s="135"/>
      <c r="X344" s="135"/>
      <c r="Y344" s="77">
        <f t="shared" si="173"/>
        <v>0</v>
      </c>
      <c r="Z344" s="78"/>
      <c r="AA344" s="142"/>
      <c r="AB344" s="142"/>
      <c r="AC344" s="77">
        <f t="shared" si="174"/>
        <v>0</v>
      </c>
      <c r="AD344" s="78"/>
      <c r="AE344" s="143"/>
      <c r="AF344" s="143"/>
      <c r="AG344" s="79">
        <f t="shared" si="175"/>
        <v>0</v>
      </c>
      <c r="AH344" s="75"/>
      <c r="AI344" s="76"/>
      <c r="AJ344" s="135"/>
      <c r="AK344" s="135"/>
      <c r="AL344" s="77">
        <f t="shared" si="176"/>
        <v>0</v>
      </c>
      <c r="AM344" s="76"/>
      <c r="AN344" s="142"/>
      <c r="AO344" s="142"/>
      <c r="AP344" s="77">
        <f t="shared" si="177"/>
        <v>0</v>
      </c>
      <c r="AQ344" s="78"/>
      <c r="AR344" s="142"/>
      <c r="AS344" s="142"/>
      <c r="AT344" s="79">
        <f t="shared" si="178"/>
        <v>0</v>
      </c>
      <c r="AU344" s="75"/>
      <c r="AV344" s="76"/>
      <c r="AW344" s="135"/>
      <c r="AX344" s="135"/>
      <c r="AY344" s="77">
        <f t="shared" si="179"/>
        <v>0</v>
      </c>
      <c r="AZ344" s="76"/>
      <c r="BA344" s="142"/>
      <c r="BB344" s="142"/>
      <c r="BC344" s="77">
        <f t="shared" si="180"/>
        <v>0</v>
      </c>
      <c r="BD344" s="78"/>
      <c r="BE344" s="142"/>
      <c r="BF344" s="142"/>
      <c r="BG344" s="79">
        <f t="shared" si="181"/>
        <v>0</v>
      </c>
      <c r="BH344" s="75"/>
      <c r="BI344" s="76"/>
      <c r="BJ344" s="135"/>
      <c r="BK344" s="135"/>
      <c r="BL344" s="77">
        <f t="shared" si="182"/>
        <v>0</v>
      </c>
      <c r="BM344" s="78"/>
      <c r="BN344" s="142"/>
      <c r="BO344" s="142"/>
      <c r="BP344" s="77">
        <f t="shared" si="183"/>
        <v>0</v>
      </c>
      <c r="BQ344" s="78"/>
      <c r="BR344" s="142"/>
      <c r="BS344" s="142"/>
      <c r="BT344" s="79">
        <f t="shared" si="184"/>
        <v>0</v>
      </c>
      <c r="BU344" s="75"/>
      <c r="BV344" s="76"/>
      <c r="BW344" s="135"/>
      <c r="BX344" s="135"/>
      <c r="BY344" s="77">
        <f t="shared" si="185"/>
        <v>0</v>
      </c>
      <c r="BZ344" s="78"/>
      <c r="CA344" s="142"/>
      <c r="CB344" s="142"/>
      <c r="CC344" s="77">
        <f t="shared" si="186"/>
        <v>0</v>
      </c>
      <c r="CD344" s="78"/>
      <c r="CE344" s="142"/>
      <c r="CF344" s="142"/>
      <c r="CG344" s="79">
        <f t="shared" si="187"/>
        <v>0</v>
      </c>
      <c r="CH344" s="75"/>
      <c r="CI344" s="76"/>
      <c r="CJ344" s="86"/>
      <c r="CK344" s="86"/>
      <c r="CL344" s="77">
        <f t="shared" si="188"/>
        <v>0</v>
      </c>
      <c r="CM344" s="78"/>
      <c r="CN344" s="85"/>
      <c r="CO344" s="85"/>
      <c r="CP344" s="77">
        <f t="shared" si="189"/>
        <v>0</v>
      </c>
      <c r="CQ344" s="78"/>
      <c r="CR344" s="85"/>
      <c r="CS344" s="85"/>
      <c r="CT344" s="79">
        <f t="shared" si="190"/>
        <v>0</v>
      </c>
      <c r="CU344" s="80">
        <f t="shared" si="191"/>
        <v>0</v>
      </c>
      <c r="CV344" s="81">
        <f t="shared" si="192"/>
        <v>0</v>
      </c>
      <c r="CW344" s="144"/>
      <c r="CX344" s="145">
        <f>IF(ISERROR(VLOOKUP($A344,FIJOS!$B$11:$O$590,14,FALSE)),0,VLOOKUP($A344,FIJOS!$B$11:$O$590,14,FALSE))</f>
        <v>0</v>
      </c>
      <c r="CY344" s="145">
        <f>IF(ISERROR(VLOOKUP(A344,FIJOS!$B$10:$P$590,15,FALSE)),0,VLOOKUP(A344,FIJOS!$B$10:$P$590,15,FALSE))</f>
        <v>0</v>
      </c>
      <c r="CZ344" s="155"/>
      <c r="DA344" s="147"/>
      <c r="DB344" s="147"/>
      <c r="DC344" s="147"/>
      <c r="DD344" s="147"/>
      <c r="DE344" s="147"/>
      <c r="DF344" s="145">
        <f>IF(ISERROR(VLOOKUP($A344,FIJOS!$B$11:$N$590,13,FALSE)),0,VLOOKUP($A344,FIJOS!$B$11:$N$590,13,FALSE))</f>
        <v>0</v>
      </c>
      <c r="DG344" s="145">
        <f>IF(ISERROR(VLOOKUP($A344,FIJOS!$B$11:$P$447,12,FALSE)),0,VLOOKUP($A344,FIJOS!$B$11:$P$447,12,FALSE))</f>
        <v>0</v>
      </c>
      <c r="DH344" s="82">
        <f t="shared" si="193"/>
        <v>0</v>
      </c>
      <c r="DI344" s="83" t="b">
        <f>IF($C344=1,(VLOOKUP($A344,FIJOS!$B$11:$P$545,10,FALSE)/7)*(7-$CU344),IF(AND($C344=2,CV344&lt;$DJ$1),(VLOOKUP($D344,HORAS!$B$4:$C$42,2,FALSE)*24)*$CV344,IF(AND($C344=2,CV344&gt;=$DJ$1),VLOOKUP($D344,HORAS!$B$4:$D$42,3,FALSE),IF(AND($C344=3,$CV344&gt;=$DJ$1),VLOOKUP($A344,FIJOS!$B$11:$P$545,10,FALSE),IF(AND($C344=3,$CV344&lt;$DJ$1),((VLOOKUP($A344,FIJOS!$B$11:$P$545,10,FALSE)/48)*24)*$CV344,IF(AND($C344=4,$CV344&gt;=(42/24)),VLOOKUP($D344,HORAS!$B$4:$D$42,3,FALSE),IF(AND($C344=5,$CV344&gt;=(36/24)),VLOOKUP($D344,HORAS!$B$4:$D$42,3,FALSE))))))))</f>
        <v>0</v>
      </c>
      <c r="DJ344" s="145">
        <f>IF(OR($C344=2),VLOOKUP($D344,HORAS!$B$4:$E$42,4,FALSE)*$EC344,IF(ISERROR(VLOOKUP($A344,FIJOS!$B$11:$P$108,9,FALSE)),0,VLOOKUP($A344,FIJOS!$B$11:$P$231,9,FALSE)*$EC344))</f>
        <v>0</v>
      </c>
      <c r="DK344" s="145">
        <f>IF(OR($C344=2),VLOOKUP($D344,HORAS!$B$4:$F$42,5,FALSE)*$EE344,IF(ISERROR(VLOOKUP($A344,FIJOS!$B$11:$P$108,9,FALSE)),0,VLOOKUP($A344,FIJOS!$B$11:$P$231,9,FALSE)*$EE344))</f>
        <v>0</v>
      </c>
      <c r="DL344" s="144"/>
      <c r="DM344" s="145">
        <f>IF(ISERROR(VLOOKUP($A344,FIJOS!$B$11:$L$646,11,FALSE)),0,VLOOKUP($A344,FIJOS!$B$11:$L$646,11,FALSE))</f>
        <v>0</v>
      </c>
      <c r="DN344" s="148" t="e">
        <f>IF(OR($C344=1,$C344=3),0,IF((VLOOKUP(CAPTURA!D344,HORAS!$B$4:$K$42,10,FALSE)/4)*COUNTIF($H344:$CT344,3)&gt;100,100,(VLOOKUP(CAPTURA!D344,HORAS!$B$4:$K$42,10,FALSE)/4)*COUNTIF($H344:$CT344,3)))</f>
        <v>#N/A</v>
      </c>
      <c r="DO344" s="144" t="e">
        <f>IF(OR($C344=1,$C344=3),0,IF($C344=5,VLOOKUP(D344,HORAS!$B$4:$G$42,6,FALSE),IF(AND($C344=4,$CV344&gt;=(42/24)),VLOOKUP(D344,HORAS!$B$4:$G$42,6,FALSE),IF(COUNTIF($H344:$CL344,"F")&gt;0,0,IF(CV344&gt;$DJ$1,$DJ$1*(VLOOKUP(D344,HORAS!$B$4:$G$42,6,FALSE)/$DJ$1),CV344*(VLOOKUP(D344,HORAS!$B$4:$G$42,6,FALSE)/$DJ$1))))))</f>
        <v>#N/A</v>
      </c>
      <c r="DP344" s="156"/>
      <c r="DQ344" s="148"/>
      <c r="DR344" s="148"/>
      <c r="DS344" s="83" t="e">
        <f t="shared" si="194"/>
        <v>#N/A</v>
      </c>
      <c r="DT344" s="84"/>
      <c r="DU344" s="149" t="e">
        <f t="shared" si="195"/>
        <v>#N/A</v>
      </c>
      <c r="DV344" s="149" t="e">
        <f t="shared" si="196"/>
        <v>#N/A</v>
      </c>
      <c r="DW344" s="144" t="e">
        <f t="shared" si="197"/>
        <v>#N/A</v>
      </c>
      <c r="DX344" s="168"/>
      <c r="DY344" s="29"/>
      <c r="DZ344" s="150"/>
      <c r="EA344" s="134"/>
      <c r="EB344" s="137">
        <f t="shared" si="198"/>
        <v>0</v>
      </c>
      <c r="EC344" s="138">
        <f t="shared" si="199"/>
        <v>0</v>
      </c>
      <c r="ED344" s="137">
        <f t="shared" si="200"/>
        <v>0</v>
      </c>
      <c r="EE344" s="132">
        <f t="shared" si="201"/>
        <v>0</v>
      </c>
      <c r="EF344" s="29"/>
      <c r="EG344" s="134"/>
      <c r="EH344" s="134"/>
      <c r="EI344" s="134"/>
      <c r="EK344" s="29"/>
    </row>
    <row r="345" spans="1:141" ht="15" customHeight="1" x14ac:dyDescent="0.25">
      <c r="A345" s="87"/>
      <c r="B345" s="5"/>
      <c r="C345" s="72"/>
      <c r="D345" s="73"/>
      <c r="E345" s="73"/>
      <c r="F345" s="141"/>
      <c r="G345" s="74"/>
      <c r="H345" s="75"/>
      <c r="I345" s="76"/>
      <c r="J345" s="135"/>
      <c r="K345" s="135"/>
      <c r="L345" s="77">
        <f t="shared" si="170"/>
        <v>0</v>
      </c>
      <c r="M345" s="78"/>
      <c r="N345" s="142"/>
      <c r="O345" s="142"/>
      <c r="P345" s="77">
        <f t="shared" si="171"/>
        <v>0</v>
      </c>
      <c r="Q345" s="78"/>
      <c r="R345" s="143"/>
      <c r="S345" s="143"/>
      <c r="T345" s="77">
        <f t="shared" si="172"/>
        <v>0</v>
      </c>
      <c r="U345" s="75"/>
      <c r="V345" s="76"/>
      <c r="W345" s="135"/>
      <c r="X345" s="135"/>
      <c r="Y345" s="77">
        <f t="shared" si="173"/>
        <v>0</v>
      </c>
      <c r="Z345" s="78"/>
      <c r="AA345" s="142"/>
      <c r="AB345" s="142"/>
      <c r="AC345" s="77">
        <f t="shared" si="174"/>
        <v>0</v>
      </c>
      <c r="AD345" s="78"/>
      <c r="AE345" s="143"/>
      <c r="AF345" s="143"/>
      <c r="AG345" s="79">
        <f t="shared" si="175"/>
        <v>0</v>
      </c>
      <c r="AH345" s="75"/>
      <c r="AI345" s="76"/>
      <c r="AJ345" s="135"/>
      <c r="AK345" s="135"/>
      <c r="AL345" s="77">
        <f t="shared" si="176"/>
        <v>0</v>
      </c>
      <c r="AM345" s="76"/>
      <c r="AN345" s="142"/>
      <c r="AO345" s="142"/>
      <c r="AP345" s="77">
        <f t="shared" si="177"/>
        <v>0</v>
      </c>
      <c r="AQ345" s="78"/>
      <c r="AR345" s="142"/>
      <c r="AS345" s="142"/>
      <c r="AT345" s="79">
        <f t="shared" si="178"/>
        <v>0</v>
      </c>
      <c r="AU345" s="75"/>
      <c r="AV345" s="76"/>
      <c r="AW345" s="135"/>
      <c r="AX345" s="135"/>
      <c r="AY345" s="77">
        <f t="shared" si="179"/>
        <v>0</v>
      </c>
      <c r="AZ345" s="76"/>
      <c r="BA345" s="142"/>
      <c r="BB345" s="142"/>
      <c r="BC345" s="77">
        <f t="shared" si="180"/>
        <v>0</v>
      </c>
      <c r="BD345" s="78"/>
      <c r="BE345" s="142"/>
      <c r="BF345" s="142"/>
      <c r="BG345" s="79">
        <f t="shared" si="181"/>
        <v>0</v>
      </c>
      <c r="BH345" s="75"/>
      <c r="BI345" s="76"/>
      <c r="BJ345" s="135"/>
      <c r="BK345" s="135"/>
      <c r="BL345" s="77">
        <f t="shared" si="182"/>
        <v>0</v>
      </c>
      <c r="BM345" s="78"/>
      <c r="BN345" s="142"/>
      <c r="BO345" s="142"/>
      <c r="BP345" s="77">
        <f t="shared" si="183"/>
        <v>0</v>
      </c>
      <c r="BQ345" s="78"/>
      <c r="BR345" s="142"/>
      <c r="BS345" s="142"/>
      <c r="BT345" s="79">
        <f t="shared" si="184"/>
        <v>0</v>
      </c>
      <c r="BU345" s="75"/>
      <c r="BV345" s="76"/>
      <c r="BW345" s="135"/>
      <c r="BX345" s="135"/>
      <c r="BY345" s="77">
        <f t="shared" si="185"/>
        <v>0</v>
      </c>
      <c r="BZ345" s="78"/>
      <c r="CA345" s="142"/>
      <c r="CB345" s="142"/>
      <c r="CC345" s="77">
        <f t="shared" si="186"/>
        <v>0</v>
      </c>
      <c r="CD345" s="78"/>
      <c r="CE345" s="142"/>
      <c r="CF345" s="142"/>
      <c r="CG345" s="79">
        <f t="shared" si="187"/>
        <v>0</v>
      </c>
      <c r="CH345" s="75"/>
      <c r="CI345" s="76"/>
      <c r="CJ345" s="86"/>
      <c r="CK345" s="86"/>
      <c r="CL345" s="77">
        <f t="shared" si="188"/>
        <v>0</v>
      </c>
      <c r="CM345" s="78"/>
      <c r="CN345" s="85"/>
      <c r="CO345" s="85"/>
      <c r="CP345" s="77">
        <f t="shared" si="189"/>
        <v>0</v>
      </c>
      <c r="CQ345" s="78"/>
      <c r="CR345" s="85"/>
      <c r="CS345" s="85"/>
      <c r="CT345" s="79">
        <f t="shared" si="190"/>
        <v>0</v>
      </c>
      <c r="CU345" s="80">
        <f t="shared" si="191"/>
        <v>0</v>
      </c>
      <c r="CV345" s="81">
        <f t="shared" si="192"/>
        <v>0</v>
      </c>
      <c r="CW345" s="144"/>
      <c r="CX345" s="145">
        <f>IF(ISERROR(VLOOKUP($A345,FIJOS!$B$11:$O$590,14,FALSE)),0,VLOOKUP($A345,FIJOS!$B$11:$O$590,14,FALSE))</f>
        <v>0</v>
      </c>
      <c r="CY345" s="145">
        <f>IF(ISERROR(VLOOKUP(A345,FIJOS!$B$10:$P$590,15,FALSE)),0,VLOOKUP(A345,FIJOS!$B$10:$P$590,15,FALSE))</f>
        <v>0</v>
      </c>
      <c r="CZ345" s="155"/>
      <c r="DA345" s="147"/>
      <c r="DB345" s="147"/>
      <c r="DC345" s="147"/>
      <c r="DD345" s="147"/>
      <c r="DE345" s="147"/>
      <c r="DF345" s="145">
        <f>IF(ISERROR(VLOOKUP($A345,FIJOS!$B$11:$N$590,13,FALSE)),0,VLOOKUP($A345,FIJOS!$B$11:$N$590,13,FALSE))</f>
        <v>0</v>
      </c>
      <c r="DG345" s="145">
        <f>IF(ISERROR(VLOOKUP($A345,FIJOS!$B$11:$P$447,12,FALSE)),0,VLOOKUP($A345,FIJOS!$B$11:$P$447,12,FALSE))</f>
        <v>0</v>
      </c>
      <c r="DH345" s="82">
        <f t="shared" si="193"/>
        <v>0</v>
      </c>
      <c r="DI345" s="83" t="b">
        <f>IF($C345=1,(VLOOKUP($A345,FIJOS!$B$11:$P$545,10,FALSE)/7)*(7-$CU345),IF(AND($C345=2,CV345&lt;$DJ$1),(VLOOKUP($D345,HORAS!$B$4:$C$42,2,FALSE)*24)*$CV345,IF(AND($C345=2,CV345&gt;=$DJ$1),VLOOKUP($D345,HORAS!$B$4:$D$42,3,FALSE),IF(AND($C345=3,$CV345&gt;=$DJ$1),VLOOKUP($A345,FIJOS!$B$11:$P$545,10,FALSE),IF(AND($C345=3,$CV345&lt;$DJ$1),((VLOOKUP($A345,FIJOS!$B$11:$P$545,10,FALSE)/48)*24)*$CV345,IF(AND($C345=4,$CV345&gt;=(42/24)),VLOOKUP($D345,HORAS!$B$4:$D$42,3,FALSE),IF(AND($C345=5,$CV345&gt;=(36/24)),VLOOKUP($D345,HORAS!$B$4:$D$42,3,FALSE))))))))</f>
        <v>0</v>
      </c>
      <c r="DJ345" s="145">
        <f>IF(OR($C345=2),VLOOKUP($D345,HORAS!$B$4:$E$42,4,FALSE)*$EC345,IF(ISERROR(VLOOKUP($A345,FIJOS!$B$11:$P$108,9,FALSE)),0,VLOOKUP($A345,FIJOS!$B$11:$P$231,9,FALSE)*$EC345))</f>
        <v>0</v>
      </c>
      <c r="DK345" s="145">
        <f>IF(OR($C345=2),VLOOKUP($D345,HORAS!$B$4:$F$42,5,FALSE)*$EE345,IF(ISERROR(VLOOKUP($A345,FIJOS!$B$11:$P$108,9,FALSE)),0,VLOOKUP($A345,FIJOS!$B$11:$P$231,9,FALSE)*$EE345))</f>
        <v>0</v>
      </c>
      <c r="DL345" s="144"/>
      <c r="DM345" s="145">
        <f>IF(ISERROR(VLOOKUP($A345,FIJOS!$B$11:$L$646,11,FALSE)),0,VLOOKUP($A345,FIJOS!$B$11:$L$646,11,FALSE))</f>
        <v>0</v>
      </c>
      <c r="DN345" s="148" t="e">
        <f>IF(OR($C345=1,$C345=3),0,IF((VLOOKUP(CAPTURA!D345,HORAS!$B$4:$K$42,10,FALSE)/4)*COUNTIF($H345:$CT345,3)&gt;100,100,(VLOOKUP(CAPTURA!D345,HORAS!$B$4:$K$42,10,FALSE)/4)*COUNTIF($H345:$CT345,3)))</f>
        <v>#N/A</v>
      </c>
      <c r="DO345" s="144" t="e">
        <f>IF(OR($C345=1,$C345=3),0,IF($C345=5,VLOOKUP(D345,HORAS!$B$4:$G$42,6,FALSE),IF(AND($C345=4,$CV345&gt;=(42/24)),VLOOKUP(D345,HORAS!$B$4:$G$42,6,FALSE),IF(COUNTIF($H345:$CL345,"F")&gt;0,0,IF(CV345&gt;$DJ$1,$DJ$1*(VLOOKUP(D345,HORAS!$B$4:$G$42,6,FALSE)/$DJ$1),CV345*(VLOOKUP(D345,HORAS!$B$4:$G$42,6,FALSE)/$DJ$1))))))</f>
        <v>#N/A</v>
      </c>
      <c r="DP345" s="156"/>
      <c r="DQ345" s="148"/>
      <c r="DR345" s="148"/>
      <c r="DS345" s="83" t="e">
        <f t="shared" si="194"/>
        <v>#N/A</v>
      </c>
      <c r="DT345" s="84"/>
      <c r="DU345" s="149" t="e">
        <f t="shared" si="195"/>
        <v>#N/A</v>
      </c>
      <c r="DV345" s="149" t="e">
        <f t="shared" si="196"/>
        <v>#N/A</v>
      </c>
      <c r="DW345" s="144" t="e">
        <f t="shared" si="197"/>
        <v>#N/A</v>
      </c>
      <c r="DX345" s="168"/>
      <c r="DY345" s="29"/>
      <c r="DZ345" s="150"/>
      <c r="EA345" s="134"/>
      <c r="EB345" s="137">
        <f t="shared" si="198"/>
        <v>0</v>
      </c>
      <c r="EC345" s="138">
        <f t="shared" si="199"/>
        <v>0</v>
      </c>
      <c r="ED345" s="137">
        <f t="shared" si="200"/>
        <v>0</v>
      </c>
      <c r="EE345" s="132">
        <f t="shared" si="201"/>
        <v>0</v>
      </c>
      <c r="EF345" s="29"/>
      <c r="EG345" s="134"/>
      <c r="EH345" s="134"/>
      <c r="EI345" s="134"/>
      <c r="EK345" s="29"/>
    </row>
    <row r="346" spans="1:141" ht="15" customHeight="1" x14ac:dyDescent="0.25">
      <c r="A346" s="87"/>
      <c r="B346" s="5"/>
      <c r="C346" s="72"/>
      <c r="D346" s="73"/>
      <c r="E346" s="73"/>
      <c r="F346" s="141"/>
      <c r="G346" s="74"/>
      <c r="H346" s="75"/>
      <c r="I346" s="76"/>
      <c r="J346" s="135"/>
      <c r="K346" s="135"/>
      <c r="L346" s="77">
        <f t="shared" si="170"/>
        <v>0</v>
      </c>
      <c r="M346" s="78"/>
      <c r="N346" s="142"/>
      <c r="O346" s="142"/>
      <c r="P346" s="77">
        <f t="shared" si="171"/>
        <v>0</v>
      </c>
      <c r="Q346" s="78"/>
      <c r="R346" s="143"/>
      <c r="S346" s="143"/>
      <c r="T346" s="77">
        <f t="shared" si="172"/>
        <v>0</v>
      </c>
      <c r="U346" s="75"/>
      <c r="V346" s="76"/>
      <c r="W346" s="135"/>
      <c r="X346" s="135"/>
      <c r="Y346" s="77">
        <f t="shared" si="173"/>
        <v>0</v>
      </c>
      <c r="Z346" s="78"/>
      <c r="AA346" s="142"/>
      <c r="AB346" s="142"/>
      <c r="AC346" s="77">
        <f t="shared" si="174"/>
        <v>0</v>
      </c>
      <c r="AD346" s="78"/>
      <c r="AE346" s="143"/>
      <c r="AF346" s="143"/>
      <c r="AG346" s="79">
        <f t="shared" si="175"/>
        <v>0</v>
      </c>
      <c r="AH346" s="75"/>
      <c r="AI346" s="76"/>
      <c r="AJ346" s="135"/>
      <c r="AK346" s="135"/>
      <c r="AL346" s="77">
        <f t="shared" si="176"/>
        <v>0</v>
      </c>
      <c r="AM346" s="76"/>
      <c r="AN346" s="142"/>
      <c r="AO346" s="142"/>
      <c r="AP346" s="77">
        <f t="shared" si="177"/>
        <v>0</v>
      </c>
      <c r="AQ346" s="78"/>
      <c r="AR346" s="142"/>
      <c r="AS346" s="142"/>
      <c r="AT346" s="79">
        <f t="shared" si="178"/>
        <v>0</v>
      </c>
      <c r="AU346" s="75"/>
      <c r="AV346" s="76"/>
      <c r="AW346" s="135"/>
      <c r="AX346" s="135"/>
      <c r="AY346" s="77">
        <f t="shared" si="179"/>
        <v>0</v>
      </c>
      <c r="AZ346" s="76"/>
      <c r="BA346" s="142"/>
      <c r="BB346" s="142"/>
      <c r="BC346" s="77">
        <f t="shared" si="180"/>
        <v>0</v>
      </c>
      <c r="BD346" s="78"/>
      <c r="BE346" s="142"/>
      <c r="BF346" s="142"/>
      <c r="BG346" s="79">
        <f t="shared" si="181"/>
        <v>0</v>
      </c>
      <c r="BH346" s="75"/>
      <c r="BI346" s="76"/>
      <c r="BJ346" s="135"/>
      <c r="BK346" s="135"/>
      <c r="BL346" s="77">
        <f t="shared" si="182"/>
        <v>0</v>
      </c>
      <c r="BM346" s="78"/>
      <c r="BN346" s="142"/>
      <c r="BO346" s="142"/>
      <c r="BP346" s="77">
        <f t="shared" si="183"/>
        <v>0</v>
      </c>
      <c r="BQ346" s="78"/>
      <c r="BR346" s="142"/>
      <c r="BS346" s="142"/>
      <c r="BT346" s="79">
        <f t="shared" si="184"/>
        <v>0</v>
      </c>
      <c r="BU346" s="75"/>
      <c r="BV346" s="76"/>
      <c r="BW346" s="135"/>
      <c r="BX346" s="135"/>
      <c r="BY346" s="77">
        <f t="shared" si="185"/>
        <v>0</v>
      </c>
      <c r="BZ346" s="78"/>
      <c r="CA346" s="142"/>
      <c r="CB346" s="142"/>
      <c r="CC346" s="77">
        <f t="shared" si="186"/>
        <v>0</v>
      </c>
      <c r="CD346" s="78"/>
      <c r="CE346" s="142"/>
      <c r="CF346" s="142"/>
      <c r="CG346" s="79">
        <f t="shared" si="187"/>
        <v>0</v>
      </c>
      <c r="CH346" s="75"/>
      <c r="CI346" s="76"/>
      <c r="CJ346" s="86"/>
      <c r="CK346" s="86"/>
      <c r="CL346" s="77">
        <f t="shared" si="188"/>
        <v>0</v>
      </c>
      <c r="CM346" s="78"/>
      <c r="CN346" s="85"/>
      <c r="CO346" s="85"/>
      <c r="CP346" s="77">
        <f t="shared" si="189"/>
        <v>0</v>
      </c>
      <c r="CQ346" s="78"/>
      <c r="CR346" s="85"/>
      <c r="CS346" s="85"/>
      <c r="CT346" s="79">
        <f t="shared" si="190"/>
        <v>0</v>
      </c>
      <c r="CU346" s="80">
        <f t="shared" si="191"/>
        <v>0</v>
      </c>
      <c r="CV346" s="81">
        <f t="shared" si="192"/>
        <v>0</v>
      </c>
      <c r="CW346" s="144"/>
      <c r="CX346" s="145">
        <f>IF(ISERROR(VLOOKUP($A346,FIJOS!$B$11:$O$590,14,FALSE)),0,VLOOKUP($A346,FIJOS!$B$11:$O$590,14,FALSE))</f>
        <v>0</v>
      </c>
      <c r="CY346" s="145">
        <f>IF(ISERROR(VLOOKUP(A346,FIJOS!$B$10:$P$590,15,FALSE)),0,VLOOKUP(A346,FIJOS!$B$10:$P$590,15,FALSE))</f>
        <v>0</v>
      </c>
      <c r="CZ346" s="155"/>
      <c r="DA346" s="147"/>
      <c r="DB346" s="147"/>
      <c r="DC346" s="147"/>
      <c r="DD346" s="147"/>
      <c r="DE346" s="147"/>
      <c r="DF346" s="145">
        <f>IF(ISERROR(VLOOKUP($A346,FIJOS!$B$11:$N$590,13,FALSE)),0,VLOOKUP($A346,FIJOS!$B$11:$N$590,13,FALSE))</f>
        <v>0</v>
      </c>
      <c r="DG346" s="145">
        <f>IF(ISERROR(VLOOKUP($A346,FIJOS!$B$11:$P$447,12,FALSE)),0,VLOOKUP($A346,FIJOS!$B$11:$P$447,12,FALSE))</f>
        <v>0</v>
      </c>
      <c r="DH346" s="82">
        <f t="shared" si="193"/>
        <v>0</v>
      </c>
      <c r="DI346" s="83" t="b">
        <f>IF($C346=1,(VLOOKUP($A346,FIJOS!$B$11:$P$545,10,FALSE)/7)*(7-$CU346),IF(AND($C346=2,CV346&lt;$DJ$1),(VLOOKUP($D346,HORAS!$B$4:$C$42,2,FALSE)*24)*$CV346,IF(AND($C346=2,CV346&gt;=$DJ$1),VLOOKUP($D346,HORAS!$B$4:$D$42,3,FALSE),IF(AND($C346=3,$CV346&gt;=$DJ$1),VLOOKUP($A346,FIJOS!$B$11:$P$545,10,FALSE),IF(AND($C346=3,$CV346&lt;$DJ$1),((VLOOKUP($A346,FIJOS!$B$11:$P$545,10,FALSE)/48)*24)*$CV346,IF(AND($C346=4,$CV346&gt;=(42/24)),VLOOKUP($D346,HORAS!$B$4:$D$42,3,FALSE),IF(AND($C346=5,$CV346&gt;=(36/24)),VLOOKUP($D346,HORAS!$B$4:$D$42,3,FALSE))))))))</f>
        <v>0</v>
      </c>
      <c r="DJ346" s="145">
        <f>IF(OR($C346=2),VLOOKUP($D346,HORAS!$B$4:$E$42,4,FALSE)*$EC346,IF(ISERROR(VLOOKUP($A346,FIJOS!$B$11:$P$108,9,FALSE)),0,VLOOKUP($A346,FIJOS!$B$11:$P$231,9,FALSE)*$EC346))</f>
        <v>0</v>
      </c>
      <c r="DK346" s="145">
        <f>IF(OR($C346=2),VLOOKUP($D346,HORAS!$B$4:$F$42,5,FALSE)*$EE346,IF(ISERROR(VLOOKUP($A346,FIJOS!$B$11:$P$108,9,FALSE)),0,VLOOKUP($A346,FIJOS!$B$11:$P$231,9,FALSE)*$EE346))</f>
        <v>0</v>
      </c>
      <c r="DL346" s="144"/>
      <c r="DM346" s="145">
        <f>IF(ISERROR(VLOOKUP($A346,FIJOS!$B$11:$L$646,11,FALSE)),0,VLOOKUP($A346,FIJOS!$B$11:$L$646,11,FALSE))</f>
        <v>0</v>
      </c>
      <c r="DN346" s="148" t="e">
        <f>IF(OR($C346=1,$C346=3),0,IF((VLOOKUP(CAPTURA!D346,HORAS!$B$4:$K$42,10,FALSE)/4)*COUNTIF($H346:$CT346,3)&gt;100,100,(VLOOKUP(CAPTURA!D346,HORAS!$B$4:$K$42,10,FALSE)/4)*COUNTIF($H346:$CT346,3)))</f>
        <v>#N/A</v>
      </c>
      <c r="DO346" s="144" t="e">
        <f>IF(OR($C346=1,$C346=3),0,IF($C346=5,VLOOKUP(D346,HORAS!$B$4:$G$42,6,FALSE),IF(AND($C346=4,$CV346&gt;=(42/24)),VLOOKUP(D346,HORAS!$B$4:$G$42,6,FALSE),IF(COUNTIF($H346:$CL346,"F")&gt;0,0,IF(CV346&gt;$DJ$1,$DJ$1*(VLOOKUP(D346,HORAS!$B$4:$G$42,6,FALSE)/$DJ$1),CV346*(VLOOKUP(D346,HORAS!$B$4:$G$42,6,FALSE)/$DJ$1))))))</f>
        <v>#N/A</v>
      </c>
      <c r="DP346" s="156"/>
      <c r="DQ346" s="148"/>
      <c r="DR346" s="148"/>
      <c r="DS346" s="83" t="e">
        <f t="shared" si="194"/>
        <v>#N/A</v>
      </c>
      <c r="DT346" s="84"/>
      <c r="DU346" s="149" t="e">
        <f t="shared" si="195"/>
        <v>#N/A</v>
      </c>
      <c r="DV346" s="149" t="e">
        <f t="shared" si="196"/>
        <v>#N/A</v>
      </c>
      <c r="DW346" s="144" t="e">
        <f t="shared" si="197"/>
        <v>#N/A</v>
      </c>
      <c r="DX346" s="168"/>
      <c r="DY346" s="29"/>
      <c r="DZ346" s="150"/>
      <c r="EA346" s="134"/>
      <c r="EB346" s="137">
        <f t="shared" si="198"/>
        <v>0</v>
      </c>
      <c r="EC346" s="138">
        <f t="shared" si="199"/>
        <v>0</v>
      </c>
      <c r="ED346" s="137">
        <f t="shared" si="200"/>
        <v>0</v>
      </c>
      <c r="EE346" s="132">
        <f t="shared" si="201"/>
        <v>0</v>
      </c>
      <c r="EF346" s="29"/>
      <c r="EG346" s="134"/>
      <c r="EH346" s="134"/>
      <c r="EI346" s="134"/>
      <c r="EK346" s="29"/>
    </row>
    <row r="347" spans="1:141" ht="15" customHeight="1" x14ac:dyDescent="0.25">
      <c r="A347" s="87"/>
      <c r="B347" s="5"/>
      <c r="C347" s="72"/>
      <c r="D347" s="73"/>
      <c r="E347" s="73"/>
      <c r="F347" s="141"/>
      <c r="G347" s="74"/>
      <c r="H347" s="75"/>
      <c r="I347" s="76"/>
      <c r="J347" s="135"/>
      <c r="K347" s="135"/>
      <c r="L347" s="77">
        <f t="shared" si="170"/>
        <v>0</v>
      </c>
      <c r="M347" s="78"/>
      <c r="N347" s="142"/>
      <c r="O347" s="142"/>
      <c r="P347" s="77">
        <f t="shared" si="171"/>
        <v>0</v>
      </c>
      <c r="Q347" s="78"/>
      <c r="R347" s="143"/>
      <c r="S347" s="143"/>
      <c r="T347" s="77">
        <f t="shared" si="172"/>
        <v>0</v>
      </c>
      <c r="U347" s="75"/>
      <c r="V347" s="76"/>
      <c r="W347" s="135"/>
      <c r="X347" s="135"/>
      <c r="Y347" s="77">
        <f t="shared" si="173"/>
        <v>0</v>
      </c>
      <c r="Z347" s="78"/>
      <c r="AA347" s="142"/>
      <c r="AB347" s="142"/>
      <c r="AC347" s="77">
        <f t="shared" si="174"/>
        <v>0</v>
      </c>
      <c r="AD347" s="78"/>
      <c r="AE347" s="143"/>
      <c r="AF347" s="143"/>
      <c r="AG347" s="79">
        <f t="shared" si="175"/>
        <v>0</v>
      </c>
      <c r="AH347" s="75"/>
      <c r="AI347" s="76"/>
      <c r="AJ347" s="135"/>
      <c r="AK347" s="135"/>
      <c r="AL347" s="77">
        <f t="shared" si="176"/>
        <v>0</v>
      </c>
      <c r="AM347" s="76"/>
      <c r="AN347" s="142"/>
      <c r="AO347" s="142"/>
      <c r="AP347" s="77">
        <f t="shared" si="177"/>
        <v>0</v>
      </c>
      <c r="AQ347" s="78"/>
      <c r="AR347" s="142"/>
      <c r="AS347" s="142"/>
      <c r="AT347" s="79">
        <f t="shared" si="178"/>
        <v>0</v>
      </c>
      <c r="AU347" s="75"/>
      <c r="AV347" s="76"/>
      <c r="AW347" s="135"/>
      <c r="AX347" s="135"/>
      <c r="AY347" s="77">
        <f t="shared" si="179"/>
        <v>0</v>
      </c>
      <c r="AZ347" s="76"/>
      <c r="BA347" s="142"/>
      <c r="BB347" s="142"/>
      <c r="BC347" s="77">
        <f t="shared" si="180"/>
        <v>0</v>
      </c>
      <c r="BD347" s="78"/>
      <c r="BE347" s="142"/>
      <c r="BF347" s="142"/>
      <c r="BG347" s="79">
        <f t="shared" si="181"/>
        <v>0</v>
      </c>
      <c r="BH347" s="75"/>
      <c r="BI347" s="76"/>
      <c r="BJ347" s="135"/>
      <c r="BK347" s="135"/>
      <c r="BL347" s="77">
        <f t="shared" si="182"/>
        <v>0</v>
      </c>
      <c r="BM347" s="78"/>
      <c r="BN347" s="142"/>
      <c r="BO347" s="142"/>
      <c r="BP347" s="77">
        <f t="shared" si="183"/>
        <v>0</v>
      </c>
      <c r="BQ347" s="78"/>
      <c r="BR347" s="142"/>
      <c r="BS347" s="142"/>
      <c r="BT347" s="79">
        <f t="shared" si="184"/>
        <v>0</v>
      </c>
      <c r="BU347" s="75"/>
      <c r="BV347" s="76"/>
      <c r="BW347" s="135"/>
      <c r="BX347" s="135"/>
      <c r="BY347" s="77">
        <f t="shared" si="185"/>
        <v>0</v>
      </c>
      <c r="BZ347" s="78"/>
      <c r="CA347" s="142"/>
      <c r="CB347" s="142"/>
      <c r="CC347" s="77">
        <f t="shared" si="186"/>
        <v>0</v>
      </c>
      <c r="CD347" s="78"/>
      <c r="CE347" s="142"/>
      <c r="CF347" s="142"/>
      <c r="CG347" s="79">
        <f t="shared" si="187"/>
        <v>0</v>
      </c>
      <c r="CH347" s="75"/>
      <c r="CI347" s="76"/>
      <c r="CJ347" s="86"/>
      <c r="CK347" s="86"/>
      <c r="CL347" s="77">
        <f t="shared" si="188"/>
        <v>0</v>
      </c>
      <c r="CM347" s="78"/>
      <c r="CN347" s="85"/>
      <c r="CO347" s="85"/>
      <c r="CP347" s="77">
        <f t="shared" si="189"/>
        <v>0</v>
      </c>
      <c r="CQ347" s="78"/>
      <c r="CR347" s="85"/>
      <c r="CS347" s="85"/>
      <c r="CT347" s="79">
        <f t="shared" si="190"/>
        <v>0</v>
      </c>
      <c r="CU347" s="80">
        <f t="shared" si="191"/>
        <v>0</v>
      </c>
      <c r="CV347" s="81">
        <f t="shared" si="192"/>
        <v>0</v>
      </c>
      <c r="CW347" s="144"/>
      <c r="CX347" s="145">
        <f>IF(ISERROR(VLOOKUP($A347,FIJOS!$B$11:$O$590,14,FALSE)),0,VLOOKUP($A347,FIJOS!$B$11:$O$590,14,FALSE))</f>
        <v>0</v>
      </c>
      <c r="CY347" s="145">
        <f>IF(ISERROR(VLOOKUP(A347,FIJOS!$B$10:$P$590,15,FALSE)),0,VLOOKUP(A347,FIJOS!$B$10:$P$590,15,FALSE))</f>
        <v>0</v>
      </c>
      <c r="CZ347" s="155"/>
      <c r="DA347" s="147"/>
      <c r="DB347" s="147"/>
      <c r="DC347" s="147"/>
      <c r="DD347" s="147"/>
      <c r="DE347" s="147"/>
      <c r="DF347" s="145">
        <f>IF(ISERROR(VLOOKUP($A347,FIJOS!$B$11:$N$590,13,FALSE)),0,VLOOKUP($A347,FIJOS!$B$11:$N$590,13,FALSE))</f>
        <v>0</v>
      </c>
      <c r="DG347" s="145">
        <f>IF(ISERROR(VLOOKUP($A347,FIJOS!$B$11:$P$447,12,FALSE)),0,VLOOKUP($A347,FIJOS!$B$11:$P$447,12,FALSE))</f>
        <v>0</v>
      </c>
      <c r="DH347" s="82">
        <f t="shared" si="193"/>
        <v>0</v>
      </c>
      <c r="DI347" s="83" t="b">
        <f>IF($C347=1,(VLOOKUP($A347,FIJOS!$B$11:$P$545,10,FALSE)/7)*(7-$CU347),IF(AND($C347=2,CV347&lt;$DJ$1),(VLOOKUP($D347,HORAS!$B$4:$C$42,2,FALSE)*24)*$CV347,IF(AND($C347=2,CV347&gt;=$DJ$1),VLOOKUP($D347,HORAS!$B$4:$D$42,3,FALSE),IF(AND($C347=3,$CV347&gt;=$DJ$1),VLOOKUP($A347,FIJOS!$B$11:$P$545,10,FALSE),IF(AND($C347=3,$CV347&lt;$DJ$1),((VLOOKUP($A347,FIJOS!$B$11:$P$545,10,FALSE)/48)*24)*$CV347,IF(AND($C347=4,$CV347&gt;=(42/24)),VLOOKUP($D347,HORAS!$B$4:$D$42,3,FALSE),IF(AND($C347=5,$CV347&gt;=(36/24)),VLOOKUP($D347,HORAS!$B$4:$D$42,3,FALSE))))))))</f>
        <v>0</v>
      </c>
      <c r="DJ347" s="145">
        <f>IF(OR($C347=2),VLOOKUP($D347,HORAS!$B$4:$E$42,4,FALSE)*$EC347,IF(ISERROR(VLOOKUP($A347,FIJOS!$B$11:$P$108,9,FALSE)),0,VLOOKUP($A347,FIJOS!$B$11:$P$231,9,FALSE)*$EC347))</f>
        <v>0</v>
      </c>
      <c r="DK347" s="145">
        <f>IF(OR($C347=2),VLOOKUP($D347,HORAS!$B$4:$F$42,5,FALSE)*$EE347,IF(ISERROR(VLOOKUP($A347,FIJOS!$B$11:$P$108,9,FALSE)),0,VLOOKUP($A347,FIJOS!$B$11:$P$231,9,FALSE)*$EE347))</f>
        <v>0</v>
      </c>
      <c r="DL347" s="144"/>
      <c r="DM347" s="145">
        <f>IF(ISERROR(VLOOKUP($A347,FIJOS!$B$11:$L$646,11,FALSE)),0,VLOOKUP($A347,FIJOS!$B$11:$L$646,11,FALSE))</f>
        <v>0</v>
      </c>
      <c r="DN347" s="148" t="e">
        <f>IF(OR($C347=1,$C347=3),0,IF((VLOOKUP(CAPTURA!D347,HORAS!$B$4:$K$42,10,FALSE)/4)*COUNTIF($H347:$CT347,3)&gt;100,100,(VLOOKUP(CAPTURA!D347,HORAS!$B$4:$K$42,10,FALSE)/4)*COUNTIF($H347:$CT347,3)))</f>
        <v>#N/A</v>
      </c>
      <c r="DO347" s="144" t="e">
        <f>IF(OR($C347=1,$C347=3),0,IF($C347=5,VLOOKUP(D347,HORAS!$B$4:$G$42,6,FALSE),IF(AND($C347=4,$CV347&gt;=(42/24)),VLOOKUP(D347,HORAS!$B$4:$G$42,6,FALSE),IF(COUNTIF($H347:$CL347,"F")&gt;0,0,IF(CV347&gt;$DJ$1,$DJ$1*(VLOOKUP(D347,HORAS!$B$4:$G$42,6,FALSE)/$DJ$1),CV347*(VLOOKUP(D347,HORAS!$B$4:$G$42,6,FALSE)/$DJ$1))))))</f>
        <v>#N/A</v>
      </c>
      <c r="DP347" s="156"/>
      <c r="DQ347" s="148"/>
      <c r="DR347" s="148"/>
      <c r="DS347" s="83" t="e">
        <f t="shared" si="194"/>
        <v>#N/A</v>
      </c>
      <c r="DT347" s="84"/>
      <c r="DU347" s="149" t="e">
        <f t="shared" si="195"/>
        <v>#N/A</v>
      </c>
      <c r="DV347" s="149" t="e">
        <f t="shared" si="196"/>
        <v>#N/A</v>
      </c>
      <c r="DW347" s="144" t="e">
        <f t="shared" si="197"/>
        <v>#N/A</v>
      </c>
      <c r="DX347" s="168"/>
      <c r="DY347" s="29"/>
      <c r="DZ347" s="150"/>
      <c r="EA347" s="134"/>
      <c r="EB347" s="137">
        <f t="shared" si="198"/>
        <v>0</v>
      </c>
      <c r="EC347" s="138">
        <f t="shared" si="199"/>
        <v>0</v>
      </c>
      <c r="ED347" s="137">
        <f t="shared" si="200"/>
        <v>0</v>
      </c>
      <c r="EE347" s="132">
        <f t="shared" si="201"/>
        <v>0</v>
      </c>
      <c r="EF347" s="29"/>
      <c r="EG347" s="134"/>
      <c r="EH347" s="134"/>
      <c r="EI347" s="134"/>
      <c r="EK347" s="29"/>
    </row>
    <row r="348" spans="1:141" ht="15" customHeight="1" x14ac:dyDescent="0.25">
      <c r="A348" s="87"/>
      <c r="B348" s="5"/>
      <c r="C348" s="72"/>
      <c r="D348" s="73"/>
      <c r="E348" s="73"/>
      <c r="F348" s="141"/>
      <c r="G348" s="74"/>
      <c r="H348" s="75"/>
      <c r="I348" s="76"/>
      <c r="J348" s="135"/>
      <c r="K348" s="135"/>
      <c r="L348" s="77">
        <f t="shared" si="170"/>
        <v>0</v>
      </c>
      <c r="M348" s="78"/>
      <c r="N348" s="142"/>
      <c r="O348" s="142"/>
      <c r="P348" s="77">
        <f t="shared" si="171"/>
        <v>0</v>
      </c>
      <c r="Q348" s="78"/>
      <c r="R348" s="143"/>
      <c r="S348" s="143"/>
      <c r="T348" s="77">
        <f t="shared" si="172"/>
        <v>0</v>
      </c>
      <c r="U348" s="75"/>
      <c r="V348" s="76"/>
      <c r="W348" s="135"/>
      <c r="X348" s="135"/>
      <c r="Y348" s="77">
        <f t="shared" si="173"/>
        <v>0</v>
      </c>
      <c r="Z348" s="78"/>
      <c r="AA348" s="142"/>
      <c r="AB348" s="142"/>
      <c r="AC348" s="77">
        <f t="shared" si="174"/>
        <v>0</v>
      </c>
      <c r="AD348" s="78"/>
      <c r="AE348" s="143"/>
      <c r="AF348" s="143"/>
      <c r="AG348" s="79">
        <f t="shared" si="175"/>
        <v>0</v>
      </c>
      <c r="AH348" s="75"/>
      <c r="AI348" s="76"/>
      <c r="AJ348" s="135"/>
      <c r="AK348" s="135"/>
      <c r="AL348" s="77">
        <f t="shared" si="176"/>
        <v>0</v>
      </c>
      <c r="AM348" s="76"/>
      <c r="AN348" s="142"/>
      <c r="AO348" s="142"/>
      <c r="AP348" s="77">
        <f t="shared" si="177"/>
        <v>0</v>
      </c>
      <c r="AQ348" s="78"/>
      <c r="AR348" s="142"/>
      <c r="AS348" s="142"/>
      <c r="AT348" s="79">
        <f t="shared" si="178"/>
        <v>0</v>
      </c>
      <c r="AU348" s="75"/>
      <c r="AV348" s="76"/>
      <c r="AW348" s="135"/>
      <c r="AX348" s="135"/>
      <c r="AY348" s="77">
        <f t="shared" si="179"/>
        <v>0</v>
      </c>
      <c r="AZ348" s="76"/>
      <c r="BA348" s="142"/>
      <c r="BB348" s="142"/>
      <c r="BC348" s="77">
        <f t="shared" si="180"/>
        <v>0</v>
      </c>
      <c r="BD348" s="78"/>
      <c r="BE348" s="142"/>
      <c r="BF348" s="142"/>
      <c r="BG348" s="79">
        <f t="shared" si="181"/>
        <v>0</v>
      </c>
      <c r="BH348" s="75"/>
      <c r="BI348" s="76"/>
      <c r="BJ348" s="135"/>
      <c r="BK348" s="135"/>
      <c r="BL348" s="77">
        <f t="shared" si="182"/>
        <v>0</v>
      </c>
      <c r="BM348" s="78"/>
      <c r="BN348" s="142"/>
      <c r="BO348" s="142"/>
      <c r="BP348" s="77">
        <f t="shared" si="183"/>
        <v>0</v>
      </c>
      <c r="BQ348" s="78"/>
      <c r="BR348" s="142"/>
      <c r="BS348" s="142"/>
      <c r="BT348" s="79">
        <f t="shared" si="184"/>
        <v>0</v>
      </c>
      <c r="BU348" s="75"/>
      <c r="BV348" s="76"/>
      <c r="BW348" s="135"/>
      <c r="BX348" s="135"/>
      <c r="BY348" s="77">
        <f t="shared" si="185"/>
        <v>0</v>
      </c>
      <c r="BZ348" s="78"/>
      <c r="CA348" s="142"/>
      <c r="CB348" s="142"/>
      <c r="CC348" s="77">
        <f t="shared" si="186"/>
        <v>0</v>
      </c>
      <c r="CD348" s="78"/>
      <c r="CE348" s="142"/>
      <c r="CF348" s="142"/>
      <c r="CG348" s="79">
        <f t="shared" si="187"/>
        <v>0</v>
      </c>
      <c r="CH348" s="75"/>
      <c r="CI348" s="76"/>
      <c r="CJ348" s="86"/>
      <c r="CK348" s="86"/>
      <c r="CL348" s="77">
        <f t="shared" si="188"/>
        <v>0</v>
      </c>
      <c r="CM348" s="78"/>
      <c r="CN348" s="85"/>
      <c r="CO348" s="85"/>
      <c r="CP348" s="77">
        <f t="shared" si="189"/>
        <v>0</v>
      </c>
      <c r="CQ348" s="78"/>
      <c r="CR348" s="85"/>
      <c r="CS348" s="85"/>
      <c r="CT348" s="79">
        <f t="shared" si="190"/>
        <v>0</v>
      </c>
      <c r="CU348" s="80">
        <f t="shared" si="191"/>
        <v>0</v>
      </c>
      <c r="CV348" s="81">
        <f t="shared" si="192"/>
        <v>0</v>
      </c>
      <c r="CW348" s="144"/>
      <c r="CX348" s="145">
        <f>IF(ISERROR(VLOOKUP($A348,FIJOS!$B$11:$O$590,14,FALSE)),0,VLOOKUP($A348,FIJOS!$B$11:$O$590,14,FALSE))</f>
        <v>0</v>
      </c>
      <c r="CY348" s="145">
        <f>IF(ISERROR(VLOOKUP(A348,FIJOS!$B$10:$P$590,15,FALSE)),0,VLOOKUP(A348,FIJOS!$B$10:$P$590,15,FALSE))</f>
        <v>0</v>
      </c>
      <c r="CZ348" s="155"/>
      <c r="DA348" s="147"/>
      <c r="DB348" s="147"/>
      <c r="DC348" s="147"/>
      <c r="DD348" s="147"/>
      <c r="DE348" s="147"/>
      <c r="DF348" s="145">
        <f>IF(ISERROR(VLOOKUP($A348,FIJOS!$B$11:$N$590,13,FALSE)),0,VLOOKUP($A348,FIJOS!$B$11:$N$590,13,FALSE))</f>
        <v>0</v>
      </c>
      <c r="DG348" s="145">
        <f>IF(ISERROR(VLOOKUP($A348,FIJOS!$B$11:$P$447,12,FALSE)),0,VLOOKUP($A348,FIJOS!$B$11:$P$447,12,FALSE))</f>
        <v>0</v>
      </c>
      <c r="DH348" s="82">
        <f t="shared" si="193"/>
        <v>0</v>
      </c>
      <c r="DI348" s="83" t="b">
        <f>IF($C348=1,(VLOOKUP($A348,FIJOS!$B$11:$P$545,10,FALSE)/7)*(7-$CU348),IF(AND($C348=2,CV348&lt;$DJ$1),(VLOOKUP($D348,HORAS!$B$4:$C$42,2,FALSE)*24)*$CV348,IF(AND($C348=2,CV348&gt;=$DJ$1),VLOOKUP($D348,HORAS!$B$4:$D$42,3,FALSE),IF(AND($C348=3,$CV348&gt;=$DJ$1),VLOOKUP($A348,FIJOS!$B$11:$P$545,10,FALSE),IF(AND($C348=3,$CV348&lt;$DJ$1),((VLOOKUP($A348,FIJOS!$B$11:$P$545,10,FALSE)/48)*24)*$CV348,IF(AND($C348=4,$CV348&gt;=(42/24)),VLOOKUP($D348,HORAS!$B$4:$D$42,3,FALSE),IF(AND($C348=5,$CV348&gt;=(36/24)),VLOOKUP($D348,HORAS!$B$4:$D$42,3,FALSE))))))))</f>
        <v>0</v>
      </c>
      <c r="DJ348" s="145">
        <f>IF(OR($C348=2),VLOOKUP($D348,HORAS!$B$4:$E$42,4,FALSE)*$EC348,IF(ISERROR(VLOOKUP($A348,FIJOS!$B$11:$P$108,9,FALSE)),0,VLOOKUP($A348,FIJOS!$B$11:$P$231,9,FALSE)*$EC348))</f>
        <v>0</v>
      </c>
      <c r="DK348" s="145">
        <f>IF(OR($C348=2),VLOOKUP($D348,HORAS!$B$4:$F$42,5,FALSE)*$EE348,IF(ISERROR(VLOOKUP($A348,FIJOS!$B$11:$P$108,9,FALSE)),0,VLOOKUP($A348,FIJOS!$B$11:$P$231,9,FALSE)*$EE348))</f>
        <v>0</v>
      </c>
      <c r="DL348" s="144"/>
      <c r="DM348" s="145">
        <f>IF(ISERROR(VLOOKUP($A348,FIJOS!$B$11:$L$646,11,FALSE)),0,VLOOKUP($A348,FIJOS!$B$11:$L$646,11,FALSE))</f>
        <v>0</v>
      </c>
      <c r="DN348" s="148" t="e">
        <f>IF(OR($C348=1,$C348=3),0,IF((VLOOKUP(CAPTURA!D348,HORAS!$B$4:$K$42,10,FALSE)/4)*COUNTIF($H348:$CT348,3)&gt;100,100,(VLOOKUP(CAPTURA!D348,HORAS!$B$4:$K$42,10,FALSE)/4)*COUNTIF($H348:$CT348,3)))</f>
        <v>#N/A</v>
      </c>
      <c r="DO348" s="144" t="e">
        <f>IF(OR($C348=1,$C348=3),0,IF($C348=5,VLOOKUP(D348,HORAS!$B$4:$G$42,6,FALSE),IF(AND($C348=4,$CV348&gt;=(42/24)),VLOOKUP(D348,HORAS!$B$4:$G$42,6,FALSE),IF(COUNTIF($H348:$CL348,"F")&gt;0,0,IF(CV348&gt;$DJ$1,$DJ$1*(VLOOKUP(D348,HORAS!$B$4:$G$42,6,FALSE)/$DJ$1),CV348*(VLOOKUP(D348,HORAS!$B$4:$G$42,6,FALSE)/$DJ$1))))))</f>
        <v>#N/A</v>
      </c>
      <c r="DP348" s="156"/>
      <c r="DQ348" s="148"/>
      <c r="DR348" s="148"/>
      <c r="DS348" s="83" t="e">
        <f t="shared" si="194"/>
        <v>#N/A</v>
      </c>
      <c r="DT348" s="84"/>
      <c r="DU348" s="149" t="e">
        <f t="shared" si="195"/>
        <v>#N/A</v>
      </c>
      <c r="DV348" s="149" t="e">
        <f t="shared" si="196"/>
        <v>#N/A</v>
      </c>
      <c r="DW348" s="144" t="e">
        <f t="shared" si="197"/>
        <v>#N/A</v>
      </c>
      <c r="DX348" s="168"/>
      <c r="DY348" s="29"/>
      <c r="DZ348" s="150"/>
      <c r="EA348" s="134"/>
      <c r="EB348" s="137">
        <f t="shared" si="198"/>
        <v>0</v>
      </c>
      <c r="EC348" s="138">
        <f t="shared" si="199"/>
        <v>0</v>
      </c>
      <c r="ED348" s="137">
        <f t="shared" si="200"/>
        <v>0</v>
      </c>
      <c r="EE348" s="132">
        <f t="shared" si="201"/>
        <v>0</v>
      </c>
      <c r="EF348" s="29"/>
      <c r="EG348" s="134"/>
      <c r="EH348" s="134"/>
      <c r="EI348" s="134"/>
      <c r="EK348" s="29"/>
    </row>
    <row r="349" spans="1:141" ht="15" customHeight="1" x14ac:dyDescent="0.25">
      <c r="A349" s="87"/>
      <c r="B349" s="5"/>
      <c r="C349" s="72"/>
      <c r="D349" s="73"/>
      <c r="E349" s="73"/>
      <c r="F349" s="141"/>
      <c r="G349" s="74"/>
      <c r="H349" s="75"/>
      <c r="I349" s="76"/>
      <c r="J349" s="135"/>
      <c r="K349" s="135"/>
      <c r="L349" s="77">
        <f t="shared" si="170"/>
        <v>0</v>
      </c>
      <c r="M349" s="78"/>
      <c r="N349" s="142"/>
      <c r="O349" s="142"/>
      <c r="P349" s="77">
        <f t="shared" si="171"/>
        <v>0</v>
      </c>
      <c r="Q349" s="78"/>
      <c r="R349" s="143"/>
      <c r="S349" s="143"/>
      <c r="T349" s="77">
        <f t="shared" si="172"/>
        <v>0</v>
      </c>
      <c r="U349" s="75"/>
      <c r="V349" s="76"/>
      <c r="W349" s="135"/>
      <c r="X349" s="135"/>
      <c r="Y349" s="77">
        <f t="shared" si="173"/>
        <v>0</v>
      </c>
      <c r="Z349" s="78"/>
      <c r="AA349" s="142"/>
      <c r="AB349" s="142"/>
      <c r="AC349" s="77">
        <f t="shared" si="174"/>
        <v>0</v>
      </c>
      <c r="AD349" s="78"/>
      <c r="AE349" s="143"/>
      <c r="AF349" s="143"/>
      <c r="AG349" s="79">
        <f t="shared" si="175"/>
        <v>0</v>
      </c>
      <c r="AH349" s="75"/>
      <c r="AI349" s="76"/>
      <c r="AJ349" s="135"/>
      <c r="AK349" s="135"/>
      <c r="AL349" s="77">
        <f t="shared" si="176"/>
        <v>0</v>
      </c>
      <c r="AM349" s="76"/>
      <c r="AN349" s="142"/>
      <c r="AO349" s="142"/>
      <c r="AP349" s="77">
        <f t="shared" si="177"/>
        <v>0</v>
      </c>
      <c r="AQ349" s="78"/>
      <c r="AR349" s="142"/>
      <c r="AS349" s="142"/>
      <c r="AT349" s="79">
        <f t="shared" si="178"/>
        <v>0</v>
      </c>
      <c r="AU349" s="75"/>
      <c r="AV349" s="76"/>
      <c r="AW349" s="135"/>
      <c r="AX349" s="135"/>
      <c r="AY349" s="77">
        <f t="shared" si="179"/>
        <v>0</v>
      </c>
      <c r="AZ349" s="76"/>
      <c r="BA349" s="142"/>
      <c r="BB349" s="142"/>
      <c r="BC349" s="77">
        <f t="shared" si="180"/>
        <v>0</v>
      </c>
      <c r="BD349" s="78"/>
      <c r="BE349" s="142"/>
      <c r="BF349" s="142"/>
      <c r="BG349" s="79">
        <f t="shared" si="181"/>
        <v>0</v>
      </c>
      <c r="BH349" s="75"/>
      <c r="BI349" s="76"/>
      <c r="BJ349" s="135"/>
      <c r="BK349" s="135"/>
      <c r="BL349" s="77">
        <f t="shared" si="182"/>
        <v>0</v>
      </c>
      <c r="BM349" s="78"/>
      <c r="BN349" s="142"/>
      <c r="BO349" s="142"/>
      <c r="BP349" s="77">
        <f t="shared" si="183"/>
        <v>0</v>
      </c>
      <c r="BQ349" s="78"/>
      <c r="BR349" s="142"/>
      <c r="BS349" s="142"/>
      <c r="BT349" s="79">
        <f t="shared" si="184"/>
        <v>0</v>
      </c>
      <c r="BU349" s="75"/>
      <c r="BV349" s="76"/>
      <c r="BW349" s="135"/>
      <c r="BX349" s="135"/>
      <c r="BY349" s="77">
        <f t="shared" si="185"/>
        <v>0</v>
      </c>
      <c r="BZ349" s="78"/>
      <c r="CA349" s="142"/>
      <c r="CB349" s="142"/>
      <c r="CC349" s="77">
        <f t="shared" si="186"/>
        <v>0</v>
      </c>
      <c r="CD349" s="78"/>
      <c r="CE349" s="142"/>
      <c r="CF349" s="142"/>
      <c r="CG349" s="79">
        <f t="shared" si="187"/>
        <v>0</v>
      </c>
      <c r="CH349" s="75"/>
      <c r="CI349" s="76"/>
      <c r="CJ349" s="86"/>
      <c r="CK349" s="86"/>
      <c r="CL349" s="77">
        <f t="shared" si="188"/>
        <v>0</v>
      </c>
      <c r="CM349" s="78"/>
      <c r="CN349" s="85"/>
      <c r="CO349" s="85"/>
      <c r="CP349" s="77">
        <f t="shared" si="189"/>
        <v>0</v>
      </c>
      <c r="CQ349" s="78"/>
      <c r="CR349" s="85"/>
      <c r="CS349" s="85"/>
      <c r="CT349" s="79">
        <f t="shared" si="190"/>
        <v>0</v>
      </c>
      <c r="CU349" s="80">
        <f t="shared" si="191"/>
        <v>0</v>
      </c>
      <c r="CV349" s="81">
        <f t="shared" si="192"/>
        <v>0</v>
      </c>
      <c r="CW349" s="144"/>
      <c r="CX349" s="145">
        <f>IF(ISERROR(VLOOKUP($A349,FIJOS!$B$11:$O$590,14,FALSE)),0,VLOOKUP($A349,FIJOS!$B$11:$O$590,14,FALSE))</f>
        <v>0</v>
      </c>
      <c r="CY349" s="145">
        <f>IF(ISERROR(VLOOKUP(A349,FIJOS!$B$10:$P$590,15,FALSE)),0,VLOOKUP(A349,FIJOS!$B$10:$P$590,15,FALSE))</f>
        <v>0</v>
      </c>
      <c r="CZ349" s="155"/>
      <c r="DA349" s="147"/>
      <c r="DB349" s="147"/>
      <c r="DC349" s="147"/>
      <c r="DD349" s="147"/>
      <c r="DE349" s="147"/>
      <c r="DF349" s="145">
        <f>IF(ISERROR(VLOOKUP($A349,FIJOS!$B$11:$N$590,13,FALSE)),0,VLOOKUP($A349,FIJOS!$B$11:$N$590,13,FALSE))</f>
        <v>0</v>
      </c>
      <c r="DG349" s="145">
        <f>IF(ISERROR(VLOOKUP($A349,FIJOS!$B$11:$P$447,12,FALSE)),0,VLOOKUP($A349,FIJOS!$B$11:$P$447,12,FALSE))</f>
        <v>0</v>
      </c>
      <c r="DH349" s="82">
        <f t="shared" si="193"/>
        <v>0</v>
      </c>
      <c r="DI349" s="83" t="b">
        <f>IF($C349=1,(VLOOKUP($A349,FIJOS!$B$11:$P$545,10,FALSE)/7)*(7-$CU349),IF(AND($C349=2,CV349&lt;$DJ$1),(VLOOKUP($D349,HORAS!$B$4:$C$42,2,FALSE)*24)*$CV349,IF(AND($C349=2,CV349&gt;=$DJ$1),VLOOKUP($D349,HORAS!$B$4:$D$42,3,FALSE),IF(AND($C349=3,$CV349&gt;=$DJ$1),VLOOKUP($A349,FIJOS!$B$11:$P$545,10,FALSE),IF(AND($C349=3,$CV349&lt;$DJ$1),((VLOOKUP($A349,FIJOS!$B$11:$P$545,10,FALSE)/48)*24)*$CV349,IF(AND($C349=4,$CV349&gt;=(42/24)),VLOOKUP($D349,HORAS!$B$4:$D$42,3,FALSE),IF(AND($C349=5,$CV349&gt;=(36/24)),VLOOKUP($D349,HORAS!$B$4:$D$42,3,FALSE))))))))</f>
        <v>0</v>
      </c>
      <c r="DJ349" s="145">
        <f>IF(OR($C349=2),VLOOKUP($D349,HORAS!$B$4:$E$42,4,FALSE)*$EC349,IF(ISERROR(VLOOKUP($A349,FIJOS!$B$11:$P$108,9,FALSE)),0,VLOOKUP($A349,FIJOS!$B$11:$P$231,9,FALSE)*$EC349))</f>
        <v>0</v>
      </c>
      <c r="DK349" s="145">
        <f>IF(OR($C349=2),VLOOKUP($D349,HORAS!$B$4:$F$42,5,FALSE)*$EE349,IF(ISERROR(VLOOKUP($A349,FIJOS!$B$11:$P$108,9,FALSE)),0,VLOOKUP($A349,FIJOS!$B$11:$P$231,9,FALSE)*$EE349))</f>
        <v>0</v>
      </c>
      <c r="DL349" s="144"/>
      <c r="DM349" s="145">
        <f>IF(ISERROR(VLOOKUP($A349,FIJOS!$B$11:$L$646,11,FALSE)),0,VLOOKUP($A349,FIJOS!$B$11:$L$646,11,FALSE))</f>
        <v>0</v>
      </c>
      <c r="DN349" s="148" t="e">
        <f>IF(OR($C349=1,$C349=3),0,IF((VLOOKUP(CAPTURA!D349,HORAS!$B$4:$K$42,10,FALSE)/4)*COUNTIF($H349:$CT349,3)&gt;100,100,(VLOOKUP(CAPTURA!D349,HORAS!$B$4:$K$42,10,FALSE)/4)*COUNTIF($H349:$CT349,3)))</f>
        <v>#N/A</v>
      </c>
      <c r="DO349" s="144" t="e">
        <f>IF(OR($C349=1,$C349=3),0,IF($C349=5,VLOOKUP(D349,HORAS!$B$4:$G$42,6,FALSE),IF(AND($C349=4,$CV349&gt;=(42/24)),VLOOKUP(D349,HORAS!$B$4:$G$42,6,FALSE),IF(COUNTIF($H349:$CL349,"F")&gt;0,0,IF(CV349&gt;$DJ$1,$DJ$1*(VLOOKUP(D349,HORAS!$B$4:$G$42,6,FALSE)/$DJ$1),CV349*(VLOOKUP(D349,HORAS!$B$4:$G$42,6,FALSE)/$DJ$1))))))</f>
        <v>#N/A</v>
      </c>
      <c r="DP349" s="156"/>
      <c r="DQ349" s="148"/>
      <c r="DR349" s="148"/>
      <c r="DS349" s="83" t="e">
        <f t="shared" si="194"/>
        <v>#N/A</v>
      </c>
      <c r="DT349" s="84"/>
      <c r="DU349" s="149" t="e">
        <f t="shared" si="195"/>
        <v>#N/A</v>
      </c>
      <c r="DV349" s="149" t="e">
        <f t="shared" si="196"/>
        <v>#N/A</v>
      </c>
      <c r="DW349" s="144" t="e">
        <f t="shared" si="197"/>
        <v>#N/A</v>
      </c>
      <c r="DX349" s="168"/>
      <c r="DY349" s="29"/>
      <c r="DZ349" s="150"/>
      <c r="EA349" s="134"/>
      <c r="EB349" s="137">
        <f t="shared" si="198"/>
        <v>0</v>
      </c>
      <c r="EC349" s="138">
        <f t="shared" si="199"/>
        <v>0</v>
      </c>
      <c r="ED349" s="137">
        <f t="shared" si="200"/>
        <v>0</v>
      </c>
      <c r="EE349" s="132">
        <f t="shared" si="201"/>
        <v>0</v>
      </c>
      <c r="EF349" s="29"/>
      <c r="EG349" s="134"/>
      <c r="EH349" s="134"/>
      <c r="EI349" s="134"/>
      <c r="EK349" s="29"/>
    </row>
    <row r="350" spans="1:141" ht="15" customHeight="1" x14ac:dyDescent="0.25">
      <c r="A350" s="87"/>
      <c r="B350" s="5"/>
      <c r="C350" s="72"/>
      <c r="D350" s="73"/>
      <c r="E350" s="73"/>
      <c r="F350" s="141"/>
      <c r="G350" s="74"/>
      <c r="H350" s="75"/>
      <c r="I350" s="76"/>
      <c r="J350" s="135"/>
      <c r="K350" s="135"/>
      <c r="L350" s="77">
        <f t="shared" si="170"/>
        <v>0</v>
      </c>
      <c r="M350" s="78"/>
      <c r="N350" s="142"/>
      <c r="O350" s="142"/>
      <c r="P350" s="77">
        <f t="shared" si="171"/>
        <v>0</v>
      </c>
      <c r="Q350" s="78"/>
      <c r="R350" s="143"/>
      <c r="S350" s="143"/>
      <c r="T350" s="77">
        <f t="shared" si="172"/>
        <v>0</v>
      </c>
      <c r="U350" s="75"/>
      <c r="V350" s="76"/>
      <c r="W350" s="135"/>
      <c r="X350" s="135"/>
      <c r="Y350" s="77">
        <f t="shared" si="173"/>
        <v>0</v>
      </c>
      <c r="Z350" s="78"/>
      <c r="AA350" s="142"/>
      <c r="AB350" s="142"/>
      <c r="AC350" s="77">
        <f t="shared" si="174"/>
        <v>0</v>
      </c>
      <c r="AD350" s="78"/>
      <c r="AE350" s="143"/>
      <c r="AF350" s="143"/>
      <c r="AG350" s="79">
        <f t="shared" si="175"/>
        <v>0</v>
      </c>
      <c r="AH350" s="75"/>
      <c r="AI350" s="76"/>
      <c r="AJ350" s="135"/>
      <c r="AK350" s="135"/>
      <c r="AL350" s="77">
        <f t="shared" si="176"/>
        <v>0</v>
      </c>
      <c r="AM350" s="76"/>
      <c r="AN350" s="142"/>
      <c r="AO350" s="142"/>
      <c r="AP350" s="77">
        <f t="shared" si="177"/>
        <v>0</v>
      </c>
      <c r="AQ350" s="78"/>
      <c r="AR350" s="142"/>
      <c r="AS350" s="142"/>
      <c r="AT350" s="79">
        <f t="shared" si="178"/>
        <v>0</v>
      </c>
      <c r="AU350" s="75"/>
      <c r="AV350" s="76"/>
      <c r="AW350" s="135"/>
      <c r="AX350" s="135"/>
      <c r="AY350" s="77">
        <f t="shared" si="179"/>
        <v>0</v>
      </c>
      <c r="AZ350" s="76"/>
      <c r="BA350" s="142"/>
      <c r="BB350" s="142"/>
      <c r="BC350" s="77">
        <f t="shared" si="180"/>
        <v>0</v>
      </c>
      <c r="BD350" s="78"/>
      <c r="BE350" s="142"/>
      <c r="BF350" s="142"/>
      <c r="BG350" s="79">
        <f t="shared" si="181"/>
        <v>0</v>
      </c>
      <c r="BH350" s="75"/>
      <c r="BI350" s="76"/>
      <c r="BJ350" s="135"/>
      <c r="BK350" s="135"/>
      <c r="BL350" s="77">
        <f t="shared" si="182"/>
        <v>0</v>
      </c>
      <c r="BM350" s="78"/>
      <c r="BN350" s="142"/>
      <c r="BO350" s="142"/>
      <c r="BP350" s="77">
        <f t="shared" si="183"/>
        <v>0</v>
      </c>
      <c r="BQ350" s="78"/>
      <c r="BR350" s="142"/>
      <c r="BS350" s="142"/>
      <c r="BT350" s="79">
        <f t="shared" si="184"/>
        <v>0</v>
      </c>
      <c r="BU350" s="75"/>
      <c r="BV350" s="76"/>
      <c r="BW350" s="135"/>
      <c r="BX350" s="135"/>
      <c r="BY350" s="77">
        <f t="shared" si="185"/>
        <v>0</v>
      </c>
      <c r="BZ350" s="78"/>
      <c r="CA350" s="142"/>
      <c r="CB350" s="142"/>
      <c r="CC350" s="77">
        <f t="shared" si="186"/>
        <v>0</v>
      </c>
      <c r="CD350" s="78"/>
      <c r="CE350" s="142"/>
      <c r="CF350" s="142"/>
      <c r="CG350" s="79">
        <f t="shared" si="187"/>
        <v>0</v>
      </c>
      <c r="CH350" s="75"/>
      <c r="CI350" s="76"/>
      <c r="CJ350" s="86"/>
      <c r="CK350" s="86"/>
      <c r="CL350" s="77">
        <f t="shared" si="188"/>
        <v>0</v>
      </c>
      <c r="CM350" s="78"/>
      <c r="CN350" s="85"/>
      <c r="CO350" s="85"/>
      <c r="CP350" s="77">
        <f t="shared" si="189"/>
        <v>0</v>
      </c>
      <c r="CQ350" s="78"/>
      <c r="CR350" s="85"/>
      <c r="CS350" s="85"/>
      <c r="CT350" s="79">
        <f t="shared" si="190"/>
        <v>0</v>
      </c>
      <c r="CU350" s="80">
        <f t="shared" si="191"/>
        <v>0</v>
      </c>
      <c r="CV350" s="81">
        <f t="shared" si="192"/>
        <v>0</v>
      </c>
      <c r="CW350" s="144"/>
      <c r="CX350" s="145">
        <f>IF(ISERROR(VLOOKUP($A350,FIJOS!$B$11:$O$590,14,FALSE)),0,VLOOKUP($A350,FIJOS!$B$11:$O$590,14,FALSE))</f>
        <v>0</v>
      </c>
      <c r="CY350" s="145">
        <f>IF(ISERROR(VLOOKUP(A350,FIJOS!$B$10:$P$590,15,FALSE)),0,VLOOKUP(A350,FIJOS!$B$10:$P$590,15,FALSE))</f>
        <v>0</v>
      </c>
      <c r="CZ350" s="155"/>
      <c r="DA350" s="147"/>
      <c r="DB350" s="147"/>
      <c r="DC350" s="147"/>
      <c r="DD350" s="147"/>
      <c r="DE350" s="147"/>
      <c r="DF350" s="145">
        <f>IF(ISERROR(VLOOKUP($A350,FIJOS!$B$11:$N$590,13,FALSE)),0,VLOOKUP($A350,FIJOS!$B$11:$N$590,13,FALSE))</f>
        <v>0</v>
      </c>
      <c r="DG350" s="145">
        <f>IF(ISERROR(VLOOKUP($A350,FIJOS!$B$11:$P$447,12,FALSE)),0,VLOOKUP($A350,FIJOS!$B$11:$P$447,12,FALSE))</f>
        <v>0</v>
      </c>
      <c r="DH350" s="82">
        <f t="shared" si="193"/>
        <v>0</v>
      </c>
      <c r="DI350" s="83" t="b">
        <f>IF($C350=1,(VLOOKUP($A350,FIJOS!$B$11:$P$545,10,FALSE)/7)*(7-$CU350),IF(AND($C350=2,CV350&lt;$DJ$1),(VLOOKUP($D350,HORAS!$B$4:$C$42,2,FALSE)*24)*$CV350,IF(AND($C350=2,CV350&gt;=$DJ$1),VLOOKUP($D350,HORAS!$B$4:$D$42,3,FALSE),IF(AND($C350=3,$CV350&gt;=$DJ$1),VLOOKUP($A350,FIJOS!$B$11:$P$545,10,FALSE),IF(AND($C350=3,$CV350&lt;$DJ$1),((VLOOKUP($A350,FIJOS!$B$11:$P$545,10,FALSE)/48)*24)*$CV350,IF(AND($C350=4,$CV350&gt;=(42/24)),VLOOKUP($D350,HORAS!$B$4:$D$42,3,FALSE),IF(AND($C350=5,$CV350&gt;=(36/24)),VLOOKUP($D350,HORAS!$B$4:$D$42,3,FALSE))))))))</f>
        <v>0</v>
      </c>
      <c r="DJ350" s="145">
        <f>IF(OR($C350=2),VLOOKUP($D350,HORAS!$B$4:$E$42,4,FALSE)*$EC350,IF(ISERROR(VLOOKUP($A350,FIJOS!$B$11:$P$108,9,FALSE)),0,VLOOKUP($A350,FIJOS!$B$11:$P$231,9,FALSE)*$EC350))</f>
        <v>0</v>
      </c>
      <c r="DK350" s="145">
        <f>IF(OR($C350=2),VLOOKUP($D350,HORAS!$B$4:$F$42,5,FALSE)*$EE350,IF(ISERROR(VLOOKUP($A350,FIJOS!$B$11:$P$108,9,FALSE)),0,VLOOKUP($A350,FIJOS!$B$11:$P$231,9,FALSE)*$EE350))</f>
        <v>0</v>
      </c>
      <c r="DL350" s="144"/>
      <c r="DM350" s="145">
        <f>IF(ISERROR(VLOOKUP($A350,FIJOS!$B$11:$L$646,11,FALSE)),0,VLOOKUP($A350,FIJOS!$B$11:$L$646,11,FALSE))</f>
        <v>0</v>
      </c>
      <c r="DN350" s="148" t="e">
        <f>IF(OR($C350=1,$C350=3),0,IF((VLOOKUP(CAPTURA!D350,HORAS!$B$4:$K$42,10,FALSE)/4)*COUNTIF($H350:$CT350,3)&gt;100,100,(VLOOKUP(CAPTURA!D350,HORAS!$B$4:$K$42,10,FALSE)/4)*COUNTIF($H350:$CT350,3)))</f>
        <v>#N/A</v>
      </c>
      <c r="DO350" s="144" t="e">
        <f>IF(OR($C350=1,$C350=3),0,IF($C350=5,VLOOKUP(D350,HORAS!$B$4:$G$42,6,FALSE),IF(AND($C350=4,$CV350&gt;=(42/24)),VLOOKUP(D350,HORAS!$B$4:$G$42,6,FALSE),IF(COUNTIF($H350:$CL350,"F")&gt;0,0,IF(CV350&gt;$DJ$1,$DJ$1*(VLOOKUP(D350,HORAS!$B$4:$G$42,6,FALSE)/$DJ$1),CV350*(VLOOKUP(D350,HORAS!$B$4:$G$42,6,FALSE)/$DJ$1))))))</f>
        <v>#N/A</v>
      </c>
      <c r="DP350" s="156"/>
      <c r="DQ350" s="148"/>
      <c r="DR350" s="148"/>
      <c r="DS350" s="83" t="e">
        <f t="shared" si="194"/>
        <v>#N/A</v>
      </c>
      <c r="DT350" s="84"/>
      <c r="DU350" s="149" t="e">
        <f t="shared" si="195"/>
        <v>#N/A</v>
      </c>
      <c r="DV350" s="149" t="e">
        <f t="shared" si="196"/>
        <v>#N/A</v>
      </c>
      <c r="DW350" s="144" t="e">
        <f t="shared" si="197"/>
        <v>#N/A</v>
      </c>
      <c r="DX350" s="168"/>
      <c r="DY350" s="29"/>
      <c r="DZ350" s="150"/>
      <c r="EA350" s="134"/>
      <c r="EB350" s="137">
        <f t="shared" si="198"/>
        <v>0</v>
      </c>
      <c r="EC350" s="138">
        <f t="shared" si="199"/>
        <v>0</v>
      </c>
      <c r="ED350" s="137">
        <f t="shared" si="200"/>
        <v>0</v>
      </c>
      <c r="EE350" s="132">
        <f t="shared" si="201"/>
        <v>0</v>
      </c>
      <c r="EF350" s="29"/>
      <c r="EG350" s="134"/>
      <c r="EH350" s="134"/>
      <c r="EI350" s="134"/>
      <c r="EK350" s="29"/>
    </row>
    <row r="351" spans="1:141" ht="15" customHeight="1" x14ac:dyDescent="0.25">
      <c r="A351" s="87"/>
      <c r="B351" s="5"/>
      <c r="C351" s="72"/>
      <c r="D351" s="73"/>
      <c r="E351" s="73"/>
      <c r="F351" s="141"/>
      <c r="G351" s="74"/>
      <c r="H351" s="75"/>
      <c r="I351" s="76"/>
      <c r="J351" s="135"/>
      <c r="K351" s="135"/>
      <c r="L351" s="77">
        <f t="shared" si="170"/>
        <v>0</v>
      </c>
      <c r="M351" s="78"/>
      <c r="N351" s="142"/>
      <c r="O351" s="142"/>
      <c r="P351" s="77">
        <f t="shared" si="171"/>
        <v>0</v>
      </c>
      <c r="Q351" s="78"/>
      <c r="R351" s="143"/>
      <c r="S351" s="143"/>
      <c r="T351" s="77">
        <f t="shared" si="172"/>
        <v>0</v>
      </c>
      <c r="U351" s="75"/>
      <c r="V351" s="76"/>
      <c r="W351" s="135"/>
      <c r="X351" s="135"/>
      <c r="Y351" s="77">
        <f t="shared" si="173"/>
        <v>0</v>
      </c>
      <c r="Z351" s="78"/>
      <c r="AA351" s="142"/>
      <c r="AB351" s="142"/>
      <c r="AC351" s="77">
        <f t="shared" si="174"/>
        <v>0</v>
      </c>
      <c r="AD351" s="78"/>
      <c r="AE351" s="143"/>
      <c r="AF351" s="143"/>
      <c r="AG351" s="79">
        <f t="shared" si="175"/>
        <v>0</v>
      </c>
      <c r="AH351" s="75"/>
      <c r="AI351" s="76"/>
      <c r="AJ351" s="135"/>
      <c r="AK351" s="135"/>
      <c r="AL351" s="77">
        <f t="shared" si="176"/>
        <v>0</v>
      </c>
      <c r="AM351" s="76"/>
      <c r="AN351" s="142"/>
      <c r="AO351" s="142"/>
      <c r="AP351" s="77">
        <f t="shared" si="177"/>
        <v>0</v>
      </c>
      <c r="AQ351" s="78"/>
      <c r="AR351" s="142"/>
      <c r="AS351" s="142"/>
      <c r="AT351" s="79">
        <f t="shared" si="178"/>
        <v>0</v>
      </c>
      <c r="AU351" s="75"/>
      <c r="AV351" s="76"/>
      <c r="AW351" s="135"/>
      <c r="AX351" s="135"/>
      <c r="AY351" s="77">
        <f t="shared" si="179"/>
        <v>0</v>
      </c>
      <c r="AZ351" s="76"/>
      <c r="BA351" s="142"/>
      <c r="BB351" s="142"/>
      <c r="BC351" s="77">
        <f t="shared" si="180"/>
        <v>0</v>
      </c>
      <c r="BD351" s="78"/>
      <c r="BE351" s="142"/>
      <c r="BF351" s="142"/>
      <c r="BG351" s="79">
        <f t="shared" si="181"/>
        <v>0</v>
      </c>
      <c r="BH351" s="75"/>
      <c r="BI351" s="76"/>
      <c r="BJ351" s="135"/>
      <c r="BK351" s="135"/>
      <c r="BL351" s="77">
        <f t="shared" si="182"/>
        <v>0</v>
      </c>
      <c r="BM351" s="78"/>
      <c r="BN351" s="142"/>
      <c r="BO351" s="142"/>
      <c r="BP351" s="77">
        <f t="shared" si="183"/>
        <v>0</v>
      </c>
      <c r="BQ351" s="78"/>
      <c r="BR351" s="142"/>
      <c r="BS351" s="142"/>
      <c r="BT351" s="79">
        <f t="shared" si="184"/>
        <v>0</v>
      </c>
      <c r="BU351" s="75"/>
      <c r="BV351" s="76"/>
      <c r="BW351" s="135"/>
      <c r="BX351" s="135"/>
      <c r="BY351" s="77">
        <f t="shared" si="185"/>
        <v>0</v>
      </c>
      <c r="BZ351" s="78"/>
      <c r="CA351" s="142"/>
      <c r="CB351" s="142"/>
      <c r="CC351" s="77">
        <f t="shared" si="186"/>
        <v>0</v>
      </c>
      <c r="CD351" s="78"/>
      <c r="CE351" s="142"/>
      <c r="CF351" s="142"/>
      <c r="CG351" s="79">
        <f t="shared" si="187"/>
        <v>0</v>
      </c>
      <c r="CH351" s="75"/>
      <c r="CI351" s="76"/>
      <c r="CJ351" s="86"/>
      <c r="CK351" s="86"/>
      <c r="CL351" s="77">
        <f t="shared" si="188"/>
        <v>0</v>
      </c>
      <c r="CM351" s="78"/>
      <c r="CN351" s="85"/>
      <c r="CO351" s="85"/>
      <c r="CP351" s="77">
        <f t="shared" si="189"/>
        <v>0</v>
      </c>
      <c r="CQ351" s="78"/>
      <c r="CR351" s="85"/>
      <c r="CS351" s="85"/>
      <c r="CT351" s="79">
        <f t="shared" si="190"/>
        <v>0</v>
      </c>
      <c r="CU351" s="80">
        <f t="shared" si="191"/>
        <v>0</v>
      </c>
      <c r="CV351" s="81">
        <f t="shared" si="192"/>
        <v>0</v>
      </c>
      <c r="CW351" s="144"/>
      <c r="CX351" s="145">
        <f>IF(ISERROR(VLOOKUP($A351,FIJOS!$B$11:$O$590,14,FALSE)),0,VLOOKUP($A351,FIJOS!$B$11:$O$590,14,FALSE))</f>
        <v>0</v>
      </c>
      <c r="CY351" s="145">
        <f>IF(ISERROR(VLOOKUP(A351,FIJOS!$B$10:$P$590,15,FALSE)),0,VLOOKUP(A351,FIJOS!$B$10:$P$590,15,FALSE))</f>
        <v>0</v>
      </c>
      <c r="CZ351" s="155"/>
      <c r="DA351" s="147"/>
      <c r="DB351" s="147"/>
      <c r="DC351" s="147"/>
      <c r="DD351" s="147"/>
      <c r="DE351" s="147"/>
      <c r="DF351" s="145">
        <f>IF(ISERROR(VLOOKUP($A351,FIJOS!$B$11:$N$590,13,FALSE)),0,VLOOKUP($A351,FIJOS!$B$11:$N$590,13,FALSE))</f>
        <v>0</v>
      </c>
      <c r="DG351" s="145">
        <f>IF(ISERROR(VLOOKUP($A351,FIJOS!$B$11:$P$447,12,FALSE)),0,VLOOKUP($A351,FIJOS!$B$11:$P$447,12,FALSE))</f>
        <v>0</v>
      </c>
      <c r="DH351" s="82">
        <f t="shared" si="193"/>
        <v>0</v>
      </c>
      <c r="DI351" s="83" t="b">
        <f>IF($C351=1,(VLOOKUP($A351,FIJOS!$B$11:$P$545,10,FALSE)/7)*(7-$CU351),IF(AND($C351=2,CV351&lt;$DJ$1),(VLOOKUP($D351,HORAS!$B$4:$C$42,2,FALSE)*24)*$CV351,IF(AND($C351=2,CV351&gt;=$DJ$1),VLOOKUP($D351,HORAS!$B$4:$D$42,3,FALSE),IF(AND($C351=3,$CV351&gt;=$DJ$1),VLOOKUP($A351,FIJOS!$B$11:$P$545,10,FALSE),IF(AND($C351=3,$CV351&lt;$DJ$1),((VLOOKUP($A351,FIJOS!$B$11:$P$545,10,FALSE)/48)*24)*$CV351,IF(AND($C351=4,$CV351&gt;=(42/24)),VLOOKUP($D351,HORAS!$B$4:$D$42,3,FALSE),IF(AND($C351=5,$CV351&gt;=(36/24)),VLOOKUP($D351,HORAS!$B$4:$D$42,3,FALSE))))))))</f>
        <v>0</v>
      </c>
      <c r="DJ351" s="145">
        <f>IF(OR($C351=2),VLOOKUP($D351,HORAS!$B$4:$E$42,4,FALSE)*$EC351,IF(ISERROR(VLOOKUP($A351,FIJOS!$B$11:$P$108,9,FALSE)),0,VLOOKUP($A351,FIJOS!$B$11:$P$231,9,FALSE)*$EC351))</f>
        <v>0</v>
      </c>
      <c r="DK351" s="145">
        <f>IF(OR($C351=2),VLOOKUP($D351,HORAS!$B$4:$F$42,5,FALSE)*$EE351,IF(ISERROR(VLOOKUP($A351,FIJOS!$B$11:$P$108,9,FALSE)),0,VLOOKUP($A351,FIJOS!$B$11:$P$231,9,FALSE)*$EE351))</f>
        <v>0</v>
      </c>
      <c r="DL351" s="144"/>
      <c r="DM351" s="145">
        <f>IF(ISERROR(VLOOKUP($A351,FIJOS!$B$11:$L$646,11,FALSE)),0,VLOOKUP($A351,FIJOS!$B$11:$L$646,11,FALSE))</f>
        <v>0</v>
      </c>
      <c r="DN351" s="148" t="e">
        <f>IF(OR($C351=1,$C351=3),0,IF((VLOOKUP(CAPTURA!D351,HORAS!$B$4:$K$42,10,FALSE)/4)*COUNTIF($H351:$CT351,3)&gt;100,100,(VLOOKUP(CAPTURA!D351,HORAS!$B$4:$K$42,10,FALSE)/4)*COUNTIF($H351:$CT351,3)))</f>
        <v>#N/A</v>
      </c>
      <c r="DO351" s="144" t="e">
        <f>IF(OR($C351=1,$C351=3),0,IF($C351=5,VLOOKUP(D351,HORAS!$B$4:$G$42,6,FALSE),IF(AND($C351=4,$CV351&gt;=(42/24)),VLOOKUP(D351,HORAS!$B$4:$G$42,6,FALSE),IF(COUNTIF($H351:$CL351,"F")&gt;0,0,IF(CV351&gt;$DJ$1,$DJ$1*(VLOOKUP(D351,HORAS!$B$4:$G$42,6,FALSE)/$DJ$1),CV351*(VLOOKUP(D351,HORAS!$B$4:$G$42,6,FALSE)/$DJ$1))))))</f>
        <v>#N/A</v>
      </c>
      <c r="DP351" s="156"/>
      <c r="DQ351" s="148"/>
      <c r="DR351" s="148"/>
      <c r="DS351" s="83" t="e">
        <f t="shared" si="194"/>
        <v>#N/A</v>
      </c>
      <c r="DT351" s="84"/>
      <c r="DU351" s="149" t="e">
        <f t="shared" si="195"/>
        <v>#N/A</v>
      </c>
      <c r="DV351" s="149" t="e">
        <f t="shared" si="196"/>
        <v>#N/A</v>
      </c>
      <c r="DW351" s="144" t="e">
        <f t="shared" si="197"/>
        <v>#N/A</v>
      </c>
      <c r="DX351" s="168"/>
      <c r="DY351" s="29"/>
      <c r="DZ351" s="150"/>
      <c r="EA351" s="134"/>
      <c r="EB351" s="137">
        <f t="shared" si="198"/>
        <v>0</v>
      </c>
      <c r="EC351" s="138">
        <f t="shared" si="199"/>
        <v>0</v>
      </c>
      <c r="ED351" s="137">
        <f t="shared" si="200"/>
        <v>0</v>
      </c>
      <c r="EE351" s="132">
        <f t="shared" si="201"/>
        <v>0</v>
      </c>
      <c r="EF351" s="29"/>
      <c r="EG351" s="134"/>
      <c r="EH351" s="134"/>
      <c r="EI351" s="134"/>
      <c r="EK351" s="29"/>
    </row>
    <row r="352" spans="1:141" ht="15" customHeight="1" x14ac:dyDescent="0.25">
      <c r="A352" s="87"/>
      <c r="B352" s="5"/>
      <c r="C352" s="72"/>
      <c r="D352" s="73"/>
      <c r="E352" s="73"/>
      <c r="F352" s="141"/>
      <c r="G352" s="74"/>
      <c r="H352" s="75"/>
      <c r="I352" s="76"/>
      <c r="J352" s="135"/>
      <c r="K352" s="135"/>
      <c r="L352" s="77">
        <f t="shared" si="170"/>
        <v>0</v>
      </c>
      <c r="M352" s="78"/>
      <c r="N352" s="142"/>
      <c r="O352" s="142"/>
      <c r="P352" s="77">
        <f t="shared" si="171"/>
        <v>0</v>
      </c>
      <c r="Q352" s="78"/>
      <c r="R352" s="143"/>
      <c r="S352" s="143"/>
      <c r="T352" s="77">
        <f t="shared" si="172"/>
        <v>0</v>
      </c>
      <c r="U352" s="75"/>
      <c r="V352" s="76"/>
      <c r="W352" s="135"/>
      <c r="X352" s="135"/>
      <c r="Y352" s="77">
        <f t="shared" si="173"/>
        <v>0</v>
      </c>
      <c r="Z352" s="78"/>
      <c r="AA352" s="142"/>
      <c r="AB352" s="142"/>
      <c r="AC352" s="77">
        <f t="shared" si="174"/>
        <v>0</v>
      </c>
      <c r="AD352" s="78"/>
      <c r="AE352" s="143"/>
      <c r="AF352" s="143"/>
      <c r="AG352" s="79">
        <f t="shared" si="175"/>
        <v>0</v>
      </c>
      <c r="AH352" s="75"/>
      <c r="AI352" s="76"/>
      <c r="AJ352" s="135"/>
      <c r="AK352" s="135"/>
      <c r="AL352" s="77">
        <f t="shared" si="176"/>
        <v>0</v>
      </c>
      <c r="AM352" s="76"/>
      <c r="AN352" s="142"/>
      <c r="AO352" s="142"/>
      <c r="AP352" s="77">
        <f t="shared" si="177"/>
        <v>0</v>
      </c>
      <c r="AQ352" s="78"/>
      <c r="AR352" s="142"/>
      <c r="AS352" s="142"/>
      <c r="AT352" s="79">
        <f t="shared" si="178"/>
        <v>0</v>
      </c>
      <c r="AU352" s="75"/>
      <c r="AV352" s="76"/>
      <c r="AW352" s="135"/>
      <c r="AX352" s="135"/>
      <c r="AY352" s="77">
        <f t="shared" si="179"/>
        <v>0</v>
      </c>
      <c r="AZ352" s="76"/>
      <c r="BA352" s="142"/>
      <c r="BB352" s="142"/>
      <c r="BC352" s="77">
        <f t="shared" si="180"/>
        <v>0</v>
      </c>
      <c r="BD352" s="78"/>
      <c r="BE352" s="142"/>
      <c r="BF352" s="142"/>
      <c r="BG352" s="79">
        <f t="shared" si="181"/>
        <v>0</v>
      </c>
      <c r="BH352" s="75"/>
      <c r="BI352" s="76"/>
      <c r="BJ352" s="135"/>
      <c r="BK352" s="135"/>
      <c r="BL352" s="77">
        <f t="shared" si="182"/>
        <v>0</v>
      </c>
      <c r="BM352" s="78"/>
      <c r="BN352" s="142"/>
      <c r="BO352" s="142"/>
      <c r="BP352" s="77">
        <f t="shared" si="183"/>
        <v>0</v>
      </c>
      <c r="BQ352" s="78"/>
      <c r="BR352" s="142"/>
      <c r="BS352" s="142"/>
      <c r="BT352" s="79">
        <f t="shared" si="184"/>
        <v>0</v>
      </c>
      <c r="BU352" s="75"/>
      <c r="BV352" s="76"/>
      <c r="BW352" s="135"/>
      <c r="BX352" s="135"/>
      <c r="BY352" s="77">
        <f t="shared" si="185"/>
        <v>0</v>
      </c>
      <c r="BZ352" s="78"/>
      <c r="CA352" s="142"/>
      <c r="CB352" s="142"/>
      <c r="CC352" s="77">
        <f t="shared" si="186"/>
        <v>0</v>
      </c>
      <c r="CD352" s="78"/>
      <c r="CE352" s="142"/>
      <c r="CF352" s="142"/>
      <c r="CG352" s="79">
        <f t="shared" si="187"/>
        <v>0</v>
      </c>
      <c r="CH352" s="75"/>
      <c r="CI352" s="76"/>
      <c r="CJ352" s="86"/>
      <c r="CK352" s="86"/>
      <c r="CL352" s="77">
        <f t="shared" si="188"/>
        <v>0</v>
      </c>
      <c r="CM352" s="78"/>
      <c r="CN352" s="85"/>
      <c r="CO352" s="85"/>
      <c r="CP352" s="77">
        <f t="shared" si="189"/>
        <v>0</v>
      </c>
      <c r="CQ352" s="78"/>
      <c r="CR352" s="85"/>
      <c r="CS352" s="85"/>
      <c r="CT352" s="79">
        <f t="shared" si="190"/>
        <v>0</v>
      </c>
      <c r="CU352" s="80">
        <f t="shared" si="191"/>
        <v>0</v>
      </c>
      <c r="CV352" s="81">
        <f t="shared" si="192"/>
        <v>0</v>
      </c>
      <c r="CW352" s="144"/>
      <c r="CX352" s="145">
        <f>IF(ISERROR(VLOOKUP($A352,FIJOS!$B$11:$O$590,14,FALSE)),0,VLOOKUP($A352,FIJOS!$B$11:$O$590,14,FALSE))</f>
        <v>0</v>
      </c>
      <c r="CY352" s="145">
        <f>IF(ISERROR(VLOOKUP(A352,FIJOS!$B$10:$P$590,15,FALSE)),0,VLOOKUP(A352,FIJOS!$B$10:$P$590,15,FALSE))</f>
        <v>0</v>
      </c>
      <c r="CZ352" s="155"/>
      <c r="DA352" s="147"/>
      <c r="DB352" s="147"/>
      <c r="DC352" s="147"/>
      <c r="DD352" s="147"/>
      <c r="DE352" s="147"/>
      <c r="DF352" s="145">
        <f>IF(ISERROR(VLOOKUP($A352,FIJOS!$B$11:$N$590,13,FALSE)),0,VLOOKUP($A352,FIJOS!$B$11:$N$590,13,FALSE))</f>
        <v>0</v>
      </c>
      <c r="DG352" s="145">
        <f>IF(ISERROR(VLOOKUP($A352,FIJOS!$B$11:$P$447,12,FALSE)),0,VLOOKUP($A352,FIJOS!$B$11:$P$447,12,FALSE))</f>
        <v>0</v>
      </c>
      <c r="DH352" s="82">
        <f t="shared" si="193"/>
        <v>0</v>
      </c>
      <c r="DI352" s="83" t="b">
        <f>IF($C352=1,(VLOOKUP($A352,FIJOS!$B$11:$P$545,10,FALSE)/7)*(7-$CU352),IF(AND($C352=2,CV352&lt;$DJ$1),(VLOOKUP($D352,HORAS!$B$4:$C$42,2,FALSE)*24)*$CV352,IF(AND($C352=2,CV352&gt;=$DJ$1),VLOOKUP($D352,HORAS!$B$4:$D$42,3,FALSE),IF(AND($C352=3,$CV352&gt;=$DJ$1),VLOOKUP($A352,FIJOS!$B$11:$P$545,10,FALSE),IF(AND($C352=3,$CV352&lt;$DJ$1),((VLOOKUP($A352,FIJOS!$B$11:$P$545,10,FALSE)/48)*24)*$CV352,IF(AND($C352=4,$CV352&gt;=(42/24)),VLOOKUP($D352,HORAS!$B$4:$D$42,3,FALSE),IF(AND($C352=5,$CV352&gt;=(36/24)),VLOOKUP($D352,HORAS!$B$4:$D$42,3,FALSE))))))))</f>
        <v>0</v>
      </c>
      <c r="DJ352" s="145">
        <f>IF(OR($C352=2),VLOOKUP($D352,HORAS!$B$4:$E$42,4,FALSE)*$EC352,IF(ISERROR(VLOOKUP($A352,FIJOS!$B$11:$P$108,9,FALSE)),0,VLOOKUP($A352,FIJOS!$B$11:$P$231,9,FALSE)*$EC352))</f>
        <v>0</v>
      </c>
      <c r="DK352" s="145">
        <f>IF(OR($C352=2),VLOOKUP($D352,HORAS!$B$4:$F$42,5,FALSE)*$EE352,IF(ISERROR(VLOOKUP($A352,FIJOS!$B$11:$P$108,9,FALSE)),0,VLOOKUP($A352,FIJOS!$B$11:$P$231,9,FALSE)*$EE352))</f>
        <v>0</v>
      </c>
      <c r="DL352" s="144"/>
      <c r="DM352" s="145">
        <f>IF(ISERROR(VLOOKUP($A352,FIJOS!$B$11:$L$646,11,FALSE)),0,VLOOKUP($A352,FIJOS!$B$11:$L$646,11,FALSE))</f>
        <v>0</v>
      </c>
      <c r="DN352" s="148" t="e">
        <f>IF(OR($C352=1,$C352=3),0,IF((VLOOKUP(CAPTURA!D352,HORAS!$B$4:$K$42,10,FALSE)/4)*COUNTIF($H352:$CT352,3)&gt;100,100,(VLOOKUP(CAPTURA!D352,HORAS!$B$4:$K$42,10,FALSE)/4)*COUNTIF($H352:$CT352,3)))</f>
        <v>#N/A</v>
      </c>
      <c r="DO352" s="144" t="e">
        <f>IF(OR($C352=1,$C352=3),0,IF($C352=5,VLOOKUP(D352,HORAS!$B$4:$G$42,6,FALSE),IF(AND($C352=4,$CV352&gt;=(42/24)),VLOOKUP(D352,HORAS!$B$4:$G$42,6,FALSE),IF(COUNTIF($H352:$CL352,"F")&gt;0,0,IF(CV352&gt;$DJ$1,$DJ$1*(VLOOKUP(D352,HORAS!$B$4:$G$42,6,FALSE)/$DJ$1),CV352*(VLOOKUP(D352,HORAS!$B$4:$G$42,6,FALSE)/$DJ$1))))))</f>
        <v>#N/A</v>
      </c>
      <c r="DP352" s="156"/>
      <c r="DQ352" s="148"/>
      <c r="DR352" s="148"/>
      <c r="DS352" s="83" t="e">
        <f t="shared" si="194"/>
        <v>#N/A</v>
      </c>
      <c r="DT352" s="84"/>
      <c r="DU352" s="149" t="e">
        <f t="shared" si="195"/>
        <v>#N/A</v>
      </c>
      <c r="DV352" s="149" t="e">
        <f t="shared" si="196"/>
        <v>#N/A</v>
      </c>
      <c r="DW352" s="144" t="e">
        <f t="shared" si="197"/>
        <v>#N/A</v>
      </c>
      <c r="DX352" s="168"/>
      <c r="DY352" s="29"/>
      <c r="DZ352" s="150"/>
      <c r="EA352" s="134"/>
      <c r="EB352" s="137">
        <f t="shared" si="198"/>
        <v>0</v>
      </c>
      <c r="EC352" s="138">
        <f t="shared" si="199"/>
        <v>0</v>
      </c>
      <c r="ED352" s="137">
        <f t="shared" si="200"/>
        <v>0</v>
      </c>
      <c r="EE352" s="132">
        <f t="shared" si="201"/>
        <v>0</v>
      </c>
      <c r="EF352" s="29"/>
      <c r="EG352" s="134"/>
      <c r="EH352" s="134"/>
      <c r="EI352" s="134"/>
      <c r="EK352" s="29"/>
    </row>
    <row r="353" spans="1:141" ht="15" customHeight="1" x14ac:dyDescent="0.25">
      <c r="A353" s="87"/>
      <c r="B353" s="5"/>
      <c r="C353" s="72"/>
      <c r="D353" s="73"/>
      <c r="E353" s="73"/>
      <c r="F353" s="141"/>
      <c r="G353" s="74"/>
      <c r="H353" s="75"/>
      <c r="I353" s="76"/>
      <c r="J353" s="135"/>
      <c r="K353" s="135"/>
      <c r="L353" s="77">
        <f t="shared" ref="L353:L372" si="202">IF((K353-J353)&gt;=0,(K353-J353),$A$1+(K353-J353))</f>
        <v>0</v>
      </c>
      <c r="M353" s="78"/>
      <c r="N353" s="142"/>
      <c r="O353" s="142"/>
      <c r="P353" s="77">
        <f t="shared" ref="P353:P372" si="203">IF((O353-N353)&gt;=0,(O353-N353),$A$1+(O353-N353))</f>
        <v>0</v>
      </c>
      <c r="Q353" s="78"/>
      <c r="R353" s="143"/>
      <c r="S353" s="143"/>
      <c r="T353" s="77">
        <f t="shared" ref="T353:T372" si="204">IF((S353-R353)&gt;=0,(S353-R353),$A$1+(S353-R353))</f>
        <v>0</v>
      </c>
      <c r="U353" s="75"/>
      <c r="V353" s="76"/>
      <c r="W353" s="135"/>
      <c r="X353" s="135"/>
      <c r="Y353" s="77">
        <f t="shared" ref="Y353:Y372" si="205">IF((X353-W353)&gt;=0,(X353-W353),$A$1+(X353-W353))</f>
        <v>0</v>
      </c>
      <c r="Z353" s="78"/>
      <c r="AA353" s="142"/>
      <c r="AB353" s="142"/>
      <c r="AC353" s="77">
        <f t="shared" ref="AC353:AC372" si="206">IF((AB353-AA353)&gt;=0,(AB353-AA353),$A$1+(AB353-AA353))</f>
        <v>0</v>
      </c>
      <c r="AD353" s="78"/>
      <c r="AE353" s="143"/>
      <c r="AF353" s="143"/>
      <c r="AG353" s="79">
        <f t="shared" ref="AG353:AG372" si="207">IF((AF353-AE353)&gt;=0,(AF353-AE353),$A$1+(AF353-AE353))</f>
        <v>0</v>
      </c>
      <c r="AH353" s="75"/>
      <c r="AI353" s="76"/>
      <c r="AJ353" s="135"/>
      <c r="AK353" s="135"/>
      <c r="AL353" s="77">
        <f t="shared" ref="AL353:AL372" si="208">IF((AK353-AJ353)&gt;=0,(AK353-AJ353),$A$1+(AK353-AJ353))</f>
        <v>0</v>
      </c>
      <c r="AM353" s="76"/>
      <c r="AN353" s="142"/>
      <c r="AO353" s="142"/>
      <c r="AP353" s="77">
        <f t="shared" ref="AP353:AP372" si="209">IF((AO353-AN353)&gt;=0,(AO353-AN353),$A$1+(AO353-AN353))</f>
        <v>0</v>
      </c>
      <c r="AQ353" s="78"/>
      <c r="AR353" s="142"/>
      <c r="AS353" s="142"/>
      <c r="AT353" s="79">
        <f t="shared" ref="AT353:AT372" si="210">IF((AS353-AR353)&gt;=0,(AS353-AR353),$A$1+(AS353-AR353))</f>
        <v>0</v>
      </c>
      <c r="AU353" s="75"/>
      <c r="AV353" s="76"/>
      <c r="AW353" s="135"/>
      <c r="AX353" s="135"/>
      <c r="AY353" s="77">
        <f t="shared" ref="AY353:AY372" si="211">IF((AX353-AW353)&gt;=0,(AX353-AW353),$A$1+(AX353-AW353))</f>
        <v>0</v>
      </c>
      <c r="AZ353" s="76"/>
      <c r="BA353" s="142"/>
      <c r="BB353" s="142"/>
      <c r="BC353" s="77">
        <f t="shared" ref="BC353:BC372" si="212">IF((BB353-BA353)&gt;=0,(BB353-BA353),$A$1+(BB353-BA353))</f>
        <v>0</v>
      </c>
      <c r="BD353" s="78"/>
      <c r="BE353" s="142"/>
      <c r="BF353" s="142"/>
      <c r="BG353" s="79">
        <f t="shared" ref="BG353:BG372" si="213">IF((BF353-BE353)&gt;=0,(BF353-BE353),$A$1+(BF353-BE353))</f>
        <v>0</v>
      </c>
      <c r="BH353" s="75"/>
      <c r="BI353" s="76"/>
      <c r="BJ353" s="135"/>
      <c r="BK353" s="135"/>
      <c r="BL353" s="77">
        <f t="shared" ref="BL353:BL372" si="214">IF((BK353-BJ353)&gt;=0,(BK353-BJ353),$A$1+(BK353-BJ353))</f>
        <v>0</v>
      </c>
      <c r="BM353" s="78"/>
      <c r="BN353" s="142"/>
      <c r="BO353" s="142"/>
      <c r="BP353" s="77">
        <f t="shared" ref="BP353:BP372" si="215">IF((BO353-BN353)&gt;=0,(BO353-BN353),$A$1+(BO353-BN353))</f>
        <v>0</v>
      </c>
      <c r="BQ353" s="78"/>
      <c r="BR353" s="142"/>
      <c r="BS353" s="142"/>
      <c r="BT353" s="79">
        <f t="shared" ref="BT353:BT372" si="216">IF((BS353-BR353)&gt;=0,(BS353-BR353),$A$1+(BS353-BR353))</f>
        <v>0</v>
      </c>
      <c r="BU353" s="75"/>
      <c r="BV353" s="76"/>
      <c r="BW353" s="135"/>
      <c r="BX353" s="135"/>
      <c r="BY353" s="77">
        <f t="shared" ref="BY353:BY372" si="217">IF((BX353-BW353)&gt;=0,(BX353-BW353),$A$1+(BX353-BW353))</f>
        <v>0</v>
      </c>
      <c r="BZ353" s="78"/>
      <c r="CA353" s="142"/>
      <c r="CB353" s="142"/>
      <c r="CC353" s="77">
        <f t="shared" ref="CC353:CC372" si="218">IF((CB353-CA353)&gt;=0,(CB353-CA353),$A$1+(CB353-CA353))</f>
        <v>0</v>
      </c>
      <c r="CD353" s="78"/>
      <c r="CE353" s="142"/>
      <c r="CF353" s="142"/>
      <c r="CG353" s="79">
        <f t="shared" ref="CG353:CG372" si="219">IF((CF353-CE353)&gt;=0,(CF353-CE353),$A$1+(CF353-CE353))</f>
        <v>0</v>
      </c>
      <c r="CH353" s="75"/>
      <c r="CI353" s="76"/>
      <c r="CJ353" s="86"/>
      <c r="CK353" s="86"/>
      <c r="CL353" s="77">
        <f t="shared" ref="CL353:CL372" si="220">IF((CK353-CJ353)&gt;=0,(CK353-CJ353),$A$1+(CK353-CJ353))</f>
        <v>0</v>
      </c>
      <c r="CM353" s="78"/>
      <c r="CN353" s="85"/>
      <c r="CO353" s="85"/>
      <c r="CP353" s="77">
        <f t="shared" ref="CP353:CP372" si="221">IF((CO353-CN353)&gt;=0,(CO353-CN353),$A$1+(CO353-CN353))</f>
        <v>0</v>
      </c>
      <c r="CQ353" s="78"/>
      <c r="CR353" s="85"/>
      <c r="CS353" s="85"/>
      <c r="CT353" s="79">
        <f t="shared" ref="CT353:CT372" si="222">IF((CS353-CR353)&gt;=0,(CS353-CR353),$A$1+(CS353-CR353))</f>
        <v>0</v>
      </c>
      <c r="CU353" s="80">
        <f t="shared" ref="CU353:CU372" si="223">COUNTIF($H353:$CL353,"F")+COUNTIF($H353:$CL353,"PSG")+COUNTIF($H353:$CL353,"INC")</f>
        <v>0</v>
      </c>
      <c r="CV353" s="81">
        <f t="shared" ref="CV353:CV372" si="224">SUMIFS($J353:$CT353,$J$6:$CT$6,$CV$5)</f>
        <v>0</v>
      </c>
      <c r="CW353" s="144"/>
      <c r="CX353" s="145">
        <f>IF(ISERROR(VLOOKUP($A353,FIJOS!$B$11:$O$590,14,FALSE)),0,VLOOKUP($A353,FIJOS!$B$11:$O$590,14,FALSE))</f>
        <v>0</v>
      </c>
      <c r="CY353" s="145">
        <f>IF(ISERROR(VLOOKUP(A353,FIJOS!$B$10:$P$590,15,FALSE)),0,VLOOKUP(A353,FIJOS!$B$10:$P$590,15,FALSE))</f>
        <v>0</v>
      </c>
      <c r="CZ353" s="155"/>
      <c r="DA353" s="147"/>
      <c r="DB353" s="147"/>
      <c r="DC353" s="147"/>
      <c r="DD353" s="147"/>
      <c r="DE353" s="147"/>
      <c r="DF353" s="145">
        <f>IF(ISERROR(VLOOKUP($A353,FIJOS!$B$11:$N$590,13,FALSE)),0,VLOOKUP($A353,FIJOS!$B$11:$N$590,13,FALSE))</f>
        <v>0</v>
      </c>
      <c r="DG353" s="145">
        <f>IF(ISERROR(VLOOKUP($A353,FIJOS!$B$11:$P$447,12,FALSE)),0,VLOOKUP($A353,FIJOS!$B$11:$P$447,12,FALSE))</f>
        <v>0</v>
      </c>
      <c r="DH353" s="82">
        <f t="shared" ref="DH353:DH372" si="225">SUM(CW353:DG353)</f>
        <v>0</v>
      </c>
      <c r="DI353" s="83" t="b">
        <f>IF($C353=1,(VLOOKUP($A353,FIJOS!$B$11:$P$545,10,FALSE)/7)*(7-$CU353),IF(AND($C353=2,CV353&lt;$DJ$1),(VLOOKUP($D353,HORAS!$B$4:$C$42,2,FALSE)*24)*$CV353,IF(AND($C353=2,CV353&gt;=$DJ$1),VLOOKUP($D353,HORAS!$B$4:$D$42,3,FALSE),IF(AND($C353=3,$CV353&gt;=$DJ$1),VLOOKUP($A353,FIJOS!$B$11:$P$545,10,FALSE),IF(AND($C353=3,$CV353&lt;$DJ$1),((VLOOKUP($A353,FIJOS!$B$11:$P$545,10,FALSE)/48)*24)*$CV353,IF(AND($C353=4,$CV353&gt;=(42/24)),VLOOKUP($D353,HORAS!$B$4:$D$42,3,FALSE),IF(AND($C353=5,$CV353&gt;=(36/24)),VLOOKUP($D353,HORAS!$B$4:$D$42,3,FALSE))))))))</f>
        <v>0</v>
      </c>
      <c r="DJ353" s="145">
        <f>IF(OR($C353=2),VLOOKUP($D353,HORAS!$B$4:$E$42,4,FALSE)*$EC353,IF(ISERROR(VLOOKUP($A353,FIJOS!$B$11:$P$108,9,FALSE)),0,VLOOKUP($A353,FIJOS!$B$11:$P$231,9,FALSE)*$EC353))</f>
        <v>0</v>
      </c>
      <c r="DK353" s="145">
        <f>IF(OR($C353=2),VLOOKUP($D353,HORAS!$B$4:$F$42,5,FALSE)*$EE353,IF(ISERROR(VLOOKUP($A353,FIJOS!$B$11:$P$108,9,FALSE)),0,VLOOKUP($A353,FIJOS!$B$11:$P$231,9,FALSE)*$EE353))</f>
        <v>0</v>
      </c>
      <c r="DL353" s="144"/>
      <c r="DM353" s="145">
        <f>IF(ISERROR(VLOOKUP($A353,FIJOS!$B$11:$L$646,11,FALSE)),0,VLOOKUP($A353,FIJOS!$B$11:$L$646,11,FALSE))</f>
        <v>0</v>
      </c>
      <c r="DN353" s="148" t="e">
        <f>IF(OR($C353=1,$C353=3),0,IF((VLOOKUP(CAPTURA!D353,HORAS!$B$4:$K$42,10,FALSE)/4)*COUNTIF($H353:$CT353,3)&gt;100,100,(VLOOKUP(CAPTURA!D353,HORAS!$B$4:$K$42,10,FALSE)/4)*COUNTIF($H353:$CT353,3)))</f>
        <v>#N/A</v>
      </c>
      <c r="DO353" s="144" t="e">
        <f>IF(OR($C353=1,$C353=3),0,IF($C353=5,VLOOKUP(D353,HORAS!$B$4:$G$42,6,FALSE),IF(AND($C353=4,$CV353&gt;=(42/24)),VLOOKUP(D353,HORAS!$B$4:$G$42,6,FALSE),IF(COUNTIF($H353:$CL353,"F")&gt;0,0,IF(CV353&gt;$DJ$1,$DJ$1*(VLOOKUP(D353,HORAS!$B$4:$G$42,6,FALSE)/$DJ$1),CV353*(VLOOKUP(D353,HORAS!$B$4:$G$42,6,FALSE)/$DJ$1))))))</f>
        <v>#N/A</v>
      </c>
      <c r="DP353" s="156"/>
      <c r="DQ353" s="148"/>
      <c r="DR353" s="148"/>
      <c r="DS353" s="83" t="e">
        <f t="shared" ref="DS353:DS372" si="226">SUM(DI353:DR353)</f>
        <v>#N/A</v>
      </c>
      <c r="DT353" s="84"/>
      <c r="DU353" s="149" t="e">
        <f t="shared" ref="DU353:DU372" si="227">IF(DW353-DV353=0,0,DW353-DV353)</f>
        <v>#N/A</v>
      </c>
      <c r="DV353" s="149" t="e">
        <f t="shared" ref="DV353:DV372" si="228">IF(DS353&gt;DY353,DY353,DS353)-(CZ353+CY353)</f>
        <v>#N/A</v>
      </c>
      <c r="DW353" s="144" t="e">
        <f t="shared" ref="DW353:DW372" si="229">DS353-DH353</f>
        <v>#N/A</v>
      </c>
      <c r="DX353" s="168"/>
      <c r="DY353" s="29"/>
      <c r="DZ353" s="150"/>
      <c r="EA353" s="134"/>
      <c r="EB353" s="137">
        <f t="shared" ref="EB353:EB372" si="230">IF(CV353&lt;=$DJ$1,0,IF((CV353-$DJ$1)&gt;$EB$1,$EB$1,CV353-$DJ$1))</f>
        <v>0</v>
      </c>
      <c r="EC353" s="138">
        <f t="shared" ref="EC353:EC372" si="231">EB353*24</f>
        <v>0</v>
      </c>
      <c r="ED353" s="137">
        <f t="shared" ref="ED353:ED372" si="232">IF(CV353&lt;=($EB$1+$DJ$1),0,CV353-($EB$1+$DJ$1))</f>
        <v>0</v>
      </c>
      <c r="EE353" s="132">
        <f t="shared" ref="EE353:EE372" si="233">ED353*24</f>
        <v>0</v>
      </c>
      <c r="EF353" s="29"/>
      <c r="EG353" s="134"/>
      <c r="EH353" s="134"/>
      <c r="EI353" s="134"/>
      <c r="EK353" s="29"/>
    </row>
    <row r="354" spans="1:141" ht="15" customHeight="1" x14ac:dyDescent="0.25">
      <c r="A354" s="87"/>
      <c r="B354" s="5"/>
      <c r="C354" s="72"/>
      <c r="D354" s="73"/>
      <c r="E354" s="73"/>
      <c r="F354" s="141"/>
      <c r="G354" s="74"/>
      <c r="H354" s="75"/>
      <c r="I354" s="76"/>
      <c r="J354" s="135"/>
      <c r="K354" s="135"/>
      <c r="L354" s="77">
        <f t="shared" si="202"/>
        <v>0</v>
      </c>
      <c r="M354" s="78"/>
      <c r="N354" s="142"/>
      <c r="O354" s="142"/>
      <c r="P354" s="77">
        <f t="shared" si="203"/>
        <v>0</v>
      </c>
      <c r="Q354" s="78"/>
      <c r="R354" s="143"/>
      <c r="S354" s="143"/>
      <c r="T354" s="77">
        <f t="shared" si="204"/>
        <v>0</v>
      </c>
      <c r="U354" s="75"/>
      <c r="V354" s="76"/>
      <c r="W354" s="135"/>
      <c r="X354" s="135"/>
      <c r="Y354" s="77">
        <f t="shared" si="205"/>
        <v>0</v>
      </c>
      <c r="Z354" s="78"/>
      <c r="AA354" s="142"/>
      <c r="AB354" s="142"/>
      <c r="AC354" s="77">
        <f t="shared" si="206"/>
        <v>0</v>
      </c>
      <c r="AD354" s="78"/>
      <c r="AE354" s="143"/>
      <c r="AF354" s="143"/>
      <c r="AG354" s="79">
        <f t="shared" si="207"/>
        <v>0</v>
      </c>
      <c r="AH354" s="75"/>
      <c r="AI354" s="76"/>
      <c r="AJ354" s="135"/>
      <c r="AK354" s="135"/>
      <c r="AL354" s="77">
        <f t="shared" si="208"/>
        <v>0</v>
      </c>
      <c r="AM354" s="76"/>
      <c r="AN354" s="142"/>
      <c r="AO354" s="142"/>
      <c r="AP354" s="77">
        <f t="shared" si="209"/>
        <v>0</v>
      </c>
      <c r="AQ354" s="78"/>
      <c r="AR354" s="142"/>
      <c r="AS354" s="142"/>
      <c r="AT354" s="79">
        <f t="shared" si="210"/>
        <v>0</v>
      </c>
      <c r="AU354" s="75"/>
      <c r="AV354" s="76"/>
      <c r="AW354" s="135"/>
      <c r="AX354" s="135"/>
      <c r="AY354" s="77">
        <f t="shared" si="211"/>
        <v>0</v>
      </c>
      <c r="AZ354" s="76"/>
      <c r="BA354" s="142"/>
      <c r="BB354" s="142"/>
      <c r="BC354" s="77">
        <f t="shared" si="212"/>
        <v>0</v>
      </c>
      <c r="BD354" s="78"/>
      <c r="BE354" s="142"/>
      <c r="BF354" s="142"/>
      <c r="BG354" s="79">
        <f t="shared" si="213"/>
        <v>0</v>
      </c>
      <c r="BH354" s="75"/>
      <c r="BI354" s="76"/>
      <c r="BJ354" s="135"/>
      <c r="BK354" s="135"/>
      <c r="BL354" s="77">
        <f t="shared" si="214"/>
        <v>0</v>
      </c>
      <c r="BM354" s="78"/>
      <c r="BN354" s="142"/>
      <c r="BO354" s="142"/>
      <c r="BP354" s="77">
        <f t="shared" si="215"/>
        <v>0</v>
      </c>
      <c r="BQ354" s="78"/>
      <c r="BR354" s="142"/>
      <c r="BS354" s="142"/>
      <c r="BT354" s="79">
        <f t="shared" si="216"/>
        <v>0</v>
      </c>
      <c r="BU354" s="75"/>
      <c r="BV354" s="76"/>
      <c r="BW354" s="135"/>
      <c r="BX354" s="135"/>
      <c r="BY354" s="77">
        <f t="shared" si="217"/>
        <v>0</v>
      </c>
      <c r="BZ354" s="78"/>
      <c r="CA354" s="142"/>
      <c r="CB354" s="142"/>
      <c r="CC354" s="77">
        <f t="shared" si="218"/>
        <v>0</v>
      </c>
      <c r="CD354" s="78"/>
      <c r="CE354" s="142"/>
      <c r="CF354" s="142"/>
      <c r="CG354" s="79">
        <f t="shared" si="219"/>
        <v>0</v>
      </c>
      <c r="CH354" s="75"/>
      <c r="CI354" s="76"/>
      <c r="CJ354" s="86"/>
      <c r="CK354" s="86"/>
      <c r="CL354" s="77">
        <f t="shared" si="220"/>
        <v>0</v>
      </c>
      <c r="CM354" s="78"/>
      <c r="CN354" s="85"/>
      <c r="CO354" s="85"/>
      <c r="CP354" s="77">
        <f t="shared" si="221"/>
        <v>0</v>
      </c>
      <c r="CQ354" s="78"/>
      <c r="CR354" s="85"/>
      <c r="CS354" s="85"/>
      <c r="CT354" s="79">
        <f t="shared" si="222"/>
        <v>0</v>
      </c>
      <c r="CU354" s="80">
        <f t="shared" si="223"/>
        <v>0</v>
      </c>
      <c r="CV354" s="81">
        <f t="shared" si="224"/>
        <v>0</v>
      </c>
      <c r="CW354" s="144"/>
      <c r="CX354" s="145">
        <f>IF(ISERROR(VLOOKUP($A354,FIJOS!$B$11:$O$590,14,FALSE)),0,VLOOKUP($A354,FIJOS!$B$11:$O$590,14,FALSE))</f>
        <v>0</v>
      </c>
      <c r="CY354" s="145">
        <f>IF(ISERROR(VLOOKUP(A354,FIJOS!$B$10:$P$590,15,FALSE)),0,VLOOKUP(A354,FIJOS!$B$10:$P$590,15,FALSE))</f>
        <v>0</v>
      </c>
      <c r="CZ354" s="155"/>
      <c r="DA354" s="147"/>
      <c r="DB354" s="147"/>
      <c r="DC354" s="147"/>
      <c r="DD354" s="147"/>
      <c r="DE354" s="147"/>
      <c r="DF354" s="145">
        <f>IF(ISERROR(VLOOKUP($A354,FIJOS!$B$11:$N$590,13,FALSE)),0,VLOOKUP($A354,FIJOS!$B$11:$N$590,13,FALSE))</f>
        <v>0</v>
      </c>
      <c r="DG354" s="145">
        <f>IF(ISERROR(VLOOKUP($A354,FIJOS!$B$11:$P$447,12,FALSE)),0,VLOOKUP($A354,FIJOS!$B$11:$P$447,12,FALSE))</f>
        <v>0</v>
      </c>
      <c r="DH354" s="82">
        <f t="shared" si="225"/>
        <v>0</v>
      </c>
      <c r="DI354" s="83" t="b">
        <f>IF($C354=1,(VLOOKUP($A354,FIJOS!$B$11:$P$545,10,FALSE)/7)*(7-$CU354),IF(AND($C354=2,CV354&lt;$DJ$1),(VLOOKUP($D354,HORAS!$B$4:$C$42,2,FALSE)*24)*$CV354,IF(AND($C354=2,CV354&gt;=$DJ$1),VLOOKUP($D354,HORAS!$B$4:$D$42,3,FALSE),IF(AND($C354=3,$CV354&gt;=$DJ$1),VLOOKUP($A354,FIJOS!$B$11:$P$545,10,FALSE),IF(AND($C354=3,$CV354&lt;$DJ$1),((VLOOKUP($A354,FIJOS!$B$11:$P$545,10,FALSE)/48)*24)*$CV354,IF(AND($C354=4,$CV354&gt;=(42/24)),VLOOKUP($D354,HORAS!$B$4:$D$42,3,FALSE),IF(AND($C354=5,$CV354&gt;=(36/24)),VLOOKUP($D354,HORAS!$B$4:$D$42,3,FALSE))))))))</f>
        <v>0</v>
      </c>
      <c r="DJ354" s="145">
        <f>IF(OR($C354=2),VLOOKUP($D354,HORAS!$B$4:$E$42,4,FALSE)*$EC354,IF(ISERROR(VLOOKUP($A354,FIJOS!$B$11:$P$108,9,FALSE)),0,VLOOKUP($A354,FIJOS!$B$11:$P$231,9,FALSE)*$EC354))</f>
        <v>0</v>
      </c>
      <c r="DK354" s="145">
        <f>IF(OR($C354=2),VLOOKUP($D354,HORAS!$B$4:$F$42,5,FALSE)*$EE354,IF(ISERROR(VLOOKUP($A354,FIJOS!$B$11:$P$108,9,FALSE)),0,VLOOKUP($A354,FIJOS!$B$11:$P$231,9,FALSE)*$EE354))</f>
        <v>0</v>
      </c>
      <c r="DL354" s="144"/>
      <c r="DM354" s="145">
        <f>IF(ISERROR(VLOOKUP($A354,FIJOS!$B$11:$L$646,11,FALSE)),0,VLOOKUP($A354,FIJOS!$B$11:$L$646,11,FALSE))</f>
        <v>0</v>
      </c>
      <c r="DN354" s="148" t="e">
        <f>IF(OR($C354=1,$C354=3),0,IF((VLOOKUP(CAPTURA!D354,HORAS!$B$4:$K$42,10,FALSE)/4)*COUNTIF($H354:$CT354,3)&gt;100,100,(VLOOKUP(CAPTURA!D354,HORAS!$B$4:$K$42,10,FALSE)/4)*COUNTIF($H354:$CT354,3)))</f>
        <v>#N/A</v>
      </c>
      <c r="DO354" s="144" t="e">
        <f>IF(OR($C354=1,$C354=3),0,IF($C354=5,VLOOKUP(D354,HORAS!$B$4:$G$42,6,FALSE),IF(AND($C354=4,$CV354&gt;=(42/24)),VLOOKUP(D354,HORAS!$B$4:$G$42,6,FALSE),IF(COUNTIF($H354:$CL354,"F")&gt;0,0,IF(CV354&gt;$DJ$1,$DJ$1*(VLOOKUP(D354,HORAS!$B$4:$G$42,6,FALSE)/$DJ$1),CV354*(VLOOKUP(D354,HORAS!$B$4:$G$42,6,FALSE)/$DJ$1))))))</f>
        <v>#N/A</v>
      </c>
      <c r="DP354" s="156"/>
      <c r="DQ354" s="148"/>
      <c r="DR354" s="148"/>
      <c r="DS354" s="83" t="e">
        <f t="shared" si="226"/>
        <v>#N/A</v>
      </c>
      <c r="DT354" s="84"/>
      <c r="DU354" s="149" t="e">
        <f t="shared" si="227"/>
        <v>#N/A</v>
      </c>
      <c r="DV354" s="149" t="e">
        <f t="shared" si="228"/>
        <v>#N/A</v>
      </c>
      <c r="DW354" s="144" t="e">
        <f t="shared" si="229"/>
        <v>#N/A</v>
      </c>
      <c r="DX354" s="168"/>
      <c r="DY354" s="29"/>
      <c r="DZ354" s="150"/>
      <c r="EA354" s="134"/>
      <c r="EB354" s="137">
        <f t="shared" si="230"/>
        <v>0</v>
      </c>
      <c r="EC354" s="138">
        <f t="shared" si="231"/>
        <v>0</v>
      </c>
      <c r="ED354" s="137">
        <f t="shared" si="232"/>
        <v>0</v>
      </c>
      <c r="EE354" s="132">
        <f t="shared" si="233"/>
        <v>0</v>
      </c>
      <c r="EF354" s="29"/>
      <c r="EG354" s="134"/>
      <c r="EH354" s="134"/>
      <c r="EI354" s="134"/>
      <c r="EK354" s="29"/>
    </row>
    <row r="355" spans="1:141" ht="15" customHeight="1" x14ac:dyDescent="0.25">
      <c r="A355" s="87"/>
      <c r="B355" s="5"/>
      <c r="C355" s="72"/>
      <c r="D355" s="73"/>
      <c r="E355" s="73"/>
      <c r="F355" s="141"/>
      <c r="G355" s="74"/>
      <c r="H355" s="75"/>
      <c r="I355" s="76"/>
      <c r="J355" s="135"/>
      <c r="K355" s="135"/>
      <c r="L355" s="77">
        <f t="shared" si="202"/>
        <v>0</v>
      </c>
      <c r="M355" s="78"/>
      <c r="N355" s="142"/>
      <c r="O355" s="142"/>
      <c r="P355" s="77">
        <f t="shared" si="203"/>
        <v>0</v>
      </c>
      <c r="Q355" s="78"/>
      <c r="R355" s="143"/>
      <c r="S355" s="143"/>
      <c r="T355" s="77">
        <f t="shared" si="204"/>
        <v>0</v>
      </c>
      <c r="U355" s="75"/>
      <c r="V355" s="76"/>
      <c r="W355" s="135"/>
      <c r="X355" s="135"/>
      <c r="Y355" s="77">
        <f t="shared" si="205"/>
        <v>0</v>
      </c>
      <c r="Z355" s="78"/>
      <c r="AA355" s="142"/>
      <c r="AB355" s="142"/>
      <c r="AC355" s="77">
        <f t="shared" si="206"/>
        <v>0</v>
      </c>
      <c r="AD355" s="78"/>
      <c r="AE355" s="143"/>
      <c r="AF355" s="143"/>
      <c r="AG355" s="79">
        <f t="shared" si="207"/>
        <v>0</v>
      </c>
      <c r="AH355" s="75"/>
      <c r="AI355" s="76"/>
      <c r="AJ355" s="135"/>
      <c r="AK355" s="135"/>
      <c r="AL355" s="77">
        <f t="shared" si="208"/>
        <v>0</v>
      </c>
      <c r="AM355" s="76"/>
      <c r="AN355" s="142"/>
      <c r="AO355" s="142"/>
      <c r="AP355" s="77">
        <f t="shared" si="209"/>
        <v>0</v>
      </c>
      <c r="AQ355" s="78"/>
      <c r="AR355" s="142"/>
      <c r="AS355" s="142"/>
      <c r="AT355" s="79">
        <f t="shared" si="210"/>
        <v>0</v>
      </c>
      <c r="AU355" s="75"/>
      <c r="AV355" s="76"/>
      <c r="AW355" s="135"/>
      <c r="AX355" s="135"/>
      <c r="AY355" s="77">
        <f t="shared" si="211"/>
        <v>0</v>
      </c>
      <c r="AZ355" s="76"/>
      <c r="BA355" s="142"/>
      <c r="BB355" s="142"/>
      <c r="BC355" s="77">
        <f t="shared" si="212"/>
        <v>0</v>
      </c>
      <c r="BD355" s="78"/>
      <c r="BE355" s="142"/>
      <c r="BF355" s="142"/>
      <c r="BG355" s="79">
        <f t="shared" si="213"/>
        <v>0</v>
      </c>
      <c r="BH355" s="75"/>
      <c r="BI355" s="76"/>
      <c r="BJ355" s="135"/>
      <c r="BK355" s="135"/>
      <c r="BL355" s="77">
        <f t="shared" si="214"/>
        <v>0</v>
      </c>
      <c r="BM355" s="78"/>
      <c r="BN355" s="142"/>
      <c r="BO355" s="142"/>
      <c r="BP355" s="77">
        <f t="shared" si="215"/>
        <v>0</v>
      </c>
      <c r="BQ355" s="78"/>
      <c r="BR355" s="142"/>
      <c r="BS355" s="142"/>
      <c r="BT355" s="79">
        <f t="shared" si="216"/>
        <v>0</v>
      </c>
      <c r="BU355" s="75"/>
      <c r="BV355" s="76"/>
      <c r="BW355" s="135"/>
      <c r="BX355" s="135"/>
      <c r="BY355" s="77">
        <f t="shared" si="217"/>
        <v>0</v>
      </c>
      <c r="BZ355" s="78"/>
      <c r="CA355" s="142"/>
      <c r="CB355" s="142"/>
      <c r="CC355" s="77">
        <f t="shared" si="218"/>
        <v>0</v>
      </c>
      <c r="CD355" s="78"/>
      <c r="CE355" s="142"/>
      <c r="CF355" s="142"/>
      <c r="CG355" s="79">
        <f t="shared" si="219"/>
        <v>0</v>
      </c>
      <c r="CH355" s="75"/>
      <c r="CI355" s="76"/>
      <c r="CJ355" s="86"/>
      <c r="CK355" s="86"/>
      <c r="CL355" s="77">
        <f t="shared" si="220"/>
        <v>0</v>
      </c>
      <c r="CM355" s="78"/>
      <c r="CN355" s="85"/>
      <c r="CO355" s="85"/>
      <c r="CP355" s="77">
        <f t="shared" si="221"/>
        <v>0</v>
      </c>
      <c r="CQ355" s="78"/>
      <c r="CR355" s="85"/>
      <c r="CS355" s="85"/>
      <c r="CT355" s="79">
        <f t="shared" si="222"/>
        <v>0</v>
      </c>
      <c r="CU355" s="80">
        <f t="shared" si="223"/>
        <v>0</v>
      </c>
      <c r="CV355" s="81">
        <f t="shared" si="224"/>
        <v>0</v>
      </c>
      <c r="CW355" s="144"/>
      <c r="CX355" s="145">
        <f>IF(ISERROR(VLOOKUP($A355,FIJOS!$B$11:$O$590,14,FALSE)),0,VLOOKUP($A355,FIJOS!$B$11:$O$590,14,FALSE))</f>
        <v>0</v>
      </c>
      <c r="CY355" s="145">
        <f>IF(ISERROR(VLOOKUP(A355,FIJOS!$B$10:$P$590,15,FALSE)),0,VLOOKUP(A355,FIJOS!$B$10:$P$590,15,FALSE))</f>
        <v>0</v>
      </c>
      <c r="CZ355" s="155"/>
      <c r="DA355" s="147"/>
      <c r="DB355" s="147"/>
      <c r="DC355" s="147"/>
      <c r="DD355" s="147"/>
      <c r="DE355" s="147"/>
      <c r="DF355" s="145">
        <f>IF(ISERROR(VLOOKUP($A355,FIJOS!$B$11:$N$590,13,FALSE)),0,VLOOKUP($A355,FIJOS!$B$11:$N$590,13,FALSE))</f>
        <v>0</v>
      </c>
      <c r="DG355" s="145">
        <f>IF(ISERROR(VLOOKUP($A355,FIJOS!$B$11:$P$447,12,FALSE)),0,VLOOKUP($A355,FIJOS!$B$11:$P$447,12,FALSE))</f>
        <v>0</v>
      </c>
      <c r="DH355" s="82">
        <f t="shared" si="225"/>
        <v>0</v>
      </c>
      <c r="DI355" s="83" t="b">
        <f>IF($C355=1,(VLOOKUP($A355,FIJOS!$B$11:$P$545,10,FALSE)/7)*(7-$CU355),IF(AND($C355=2,CV355&lt;$DJ$1),(VLOOKUP($D355,HORAS!$B$4:$C$42,2,FALSE)*24)*$CV355,IF(AND($C355=2,CV355&gt;=$DJ$1),VLOOKUP($D355,HORAS!$B$4:$D$42,3,FALSE),IF(AND($C355=3,$CV355&gt;=$DJ$1),VLOOKUP($A355,FIJOS!$B$11:$P$545,10,FALSE),IF(AND($C355=3,$CV355&lt;$DJ$1),((VLOOKUP($A355,FIJOS!$B$11:$P$545,10,FALSE)/48)*24)*$CV355,IF(AND($C355=4,$CV355&gt;=(42/24)),VLOOKUP($D355,HORAS!$B$4:$D$42,3,FALSE),IF(AND($C355=5,$CV355&gt;=(36/24)),VLOOKUP($D355,HORAS!$B$4:$D$42,3,FALSE))))))))</f>
        <v>0</v>
      </c>
      <c r="DJ355" s="145">
        <f>IF(OR($C355=2),VLOOKUP($D355,HORAS!$B$4:$E$42,4,FALSE)*$EC355,IF(ISERROR(VLOOKUP($A355,FIJOS!$B$11:$P$108,9,FALSE)),0,VLOOKUP($A355,FIJOS!$B$11:$P$231,9,FALSE)*$EC355))</f>
        <v>0</v>
      </c>
      <c r="DK355" s="145">
        <f>IF(OR($C355=2),VLOOKUP($D355,HORAS!$B$4:$F$42,5,FALSE)*$EE355,IF(ISERROR(VLOOKUP($A355,FIJOS!$B$11:$P$108,9,FALSE)),0,VLOOKUP($A355,FIJOS!$B$11:$P$231,9,FALSE)*$EE355))</f>
        <v>0</v>
      </c>
      <c r="DL355" s="144"/>
      <c r="DM355" s="145">
        <f>IF(ISERROR(VLOOKUP($A355,FIJOS!$B$11:$L$646,11,FALSE)),0,VLOOKUP($A355,FIJOS!$B$11:$L$646,11,FALSE))</f>
        <v>0</v>
      </c>
      <c r="DN355" s="148" t="e">
        <f>IF(OR($C355=1,$C355=3),0,IF((VLOOKUP(CAPTURA!D355,HORAS!$B$4:$K$42,10,FALSE)/4)*COUNTIF($H355:$CT355,3)&gt;100,100,(VLOOKUP(CAPTURA!D355,HORAS!$B$4:$K$42,10,FALSE)/4)*COUNTIF($H355:$CT355,3)))</f>
        <v>#N/A</v>
      </c>
      <c r="DO355" s="144" t="e">
        <f>IF(OR($C355=1,$C355=3),0,IF($C355=5,VLOOKUP(D355,HORAS!$B$4:$G$42,6,FALSE),IF(AND($C355=4,$CV355&gt;=(42/24)),VLOOKUP(D355,HORAS!$B$4:$G$42,6,FALSE),IF(COUNTIF($H355:$CL355,"F")&gt;0,0,IF(CV355&gt;$DJ$1,$DJ$1*(VLOOKUP(D355,HORAS!$B$4:$G$42,6,FALSE)/$DJ$1),CV355*(VLOOKUP(D355,HORAS!$B$4:$G$42,6,FALSE)/$DJ$1))))))</f>
        <v>#N/A</v>
      </c>
      <c r="DP355" s="156"/>
      <c r="DQ355" s="148"/>
      <c r="DR355" s="148"/>
      <c r="DS355" s="83" t="e">
        <f t="shared" si="226"/>
        <v>#N/A</v>
      </c>
      <c r="DT355" s="84"/>
      <c r="DU355" s="149" t="e">
        <f t="shared" si="227"/>
        <v>#N/A</v>
      </c>
      <c r="DV355" s="149" t="e">
        <f t="shared" si="228"/>
        <v>#N/A</v>
      </c>
      <c r="DW355" s="144" t="e">
        <f t="shared" si="229"/>
        <v>#N/A</v>
      </c>
      <c r="DX355" s="168"/>
      <c r="DY355" s="29"/>
      <c r="DZ355" s="150"/>
      <c r="EA355" s="134"/>
      <c r="EB355" s="137">
        <f t="shared" si="230"/>
        <v>0</v>
      </c>
      <c r="EC355" s="138">
        <f t="shared" si="231"/>
        <v>0</v>
      </c>
      <c r="ED355" s="137">
        <f t="shared" si="232"/>
        <v>0</v>
      </c>
      <c r="EE355" s="132">
        <f t="shared" si="233"/>
        <v>0</v>
      </c>
      <c r="EF355" s="29"/>
      <c r="EG355" s="134"/>
      <c r="EH355" s="134"/>
      <c r="EI355" s="134"/>
      <c r="EK355" s="29"/>
    </row>
    <row r="356" spans="1:141" ht="15" customHeight="1" x14ac:dyDescent="0.25">
      <c r="A356" s="87"/>
      <c r="B356" s="5"/>
      <c r="C356" s="72"/>
      <c r="D356" s="73"/>
      <c r="E356" s="73"/>
      <c r="F356" s="141"/>
      <c r="G356" s="74"/>
      <c r="H356" s="75"/>
      <c r="I356" s="76"/>
      <c r="J356" s="135"/>
      <c r="K356" s="135"/>
      <c r="L356" s="77">
        <f t="shared" si="202"/>
        <v>0</v>
      </c>
      <c r="M356" s="78"/>
      <c r="N356" s="142"/>
      <c r="O356" s="142"/>
      <c r="P356" s="77">
        <f t="shared" si="203"/>
        <v>0</v>
      </c>
      <c r="Q356" s="78"/>
      <c r="R356" s="143"/>
      <c r="S356" s="143"/>
      <c r="T356" s="77">
        <f t="shared" si="204"/>
        <v>0</v>
      </c>
      <c r="U356" s="75"/>
      <c r="V356" s="76"/>
      <c r="W356" s="135"/>
      <c r="X356" s="135"/>
      <c r="Y356" s="77">
        <f t="shared" si="205"/>
        <v>0</v>
      </c>
      <c r="Z356" s="78"/>
      <c r="AA356" s="142"/>
      <c r="AB356" s="142"/>
      <c r="AC356" s="77">
        <f t="shared" si="206"/>
        <v>0</v>
      </c>
      <c r="AD356" s="78"/>
      <c r="AE356" s="143"/>
      <c r="AF356" s="143"/>
      <c r="AG356" s="79">
        <f t="shared" si="207"/>
        <v>0</v>
      </c>
      <c r="AH356" s="75"/>
      <c r="AI356" s="76"/>
      <c r="AJ356" s="135"/>
      <c r="AK356" s="135"/>
      <c r="AL356" s="77">
        <f t="shared" si="208"/>
        <v>0</v>
      </c>
      <c r="AM356" s="76"/>
      <c r="AN356" s="142"/>
      <c r="AO356" s="142"/>
      <c r="AP356" s="77">
        <f t="shared" si="209"/>
        <v>0</v>
      </c>
      <c r="AQ356" s="78"/>
      <c r="AR356" s="142"/>
      <c r="AS356" s="142"/>
      <c r="AT356" s="79">
        <f t="shared" si="210"/>
        <v>0</v>
      </c>
      <c r="AU356" s="75"/>
      <c r="AV356" s="76"/>
      <c r="AW356" s="135"/>
      <c r="AX356" s="135"/>
      <c r="AY356" s="77">
        <f t="shared" si="211"/>
        <v>0</v>
      </c>
      <c r="AZ356" s="76"/>
      <c r="BA356" s="142"/>
      <c r="BB356" s="142"/>
      <c r="BC356" s="77">
        <f t="shared" si="212"/>
        <v>0</v>
      </c>
      <c r="BD356" s="78"/>
      <c r="BE356" s="142"/>
      <c r="BF356" s="142"/>
      <c r="BG356" s="79">
        <f t="shared" si="213"/>
        <v>0</v>
      </c>
      <c r="BH356" s="75"/>
      <c r="BI356" s="76"/>
      <c r="BJ356" s="135"/>
      <c r="BK356" s="135"/>
      <c r="BL356" s="77">
        <f t="shared" si="214"/>
        <v>0</v>
      </c>
      <c r="BM356" s="78"/>
      <c r="BN356" s="142"/>
      <c r="BO356" s="142"/>
      <c r="BP356" s="77">
        <f t="shared" si="215"/>
        <v>0</v>
      </c>
      <c r="BQ356" s="78"/>
      <c r="BR356" s="142"/>
      <c r="BS356" s="142"/>
      <c r="BT356" s="79">
        <f t="shared" si="216"/>
        <v>0</v>
      </c>
      <c r="BU356" s="75"/>
      <c r="BV356" s="76"/>
      <c r="BW356" s="135"/>
      <c r="BX356" s="135"/>
      <c r="BY356" s="77">
        <f t="shared" si="217"/>
        <v>0</v>
      </c>
      <c r="BZ356" s="78"/>
      <c r="CA356" s="142"/>
      <c r="CB356" s="142"/>
      <c r="CC356" s="77">
        <f t="shared" si="218"/>
        <v>0</v>
      </c>
      <c r="CD356" s="78"/>
      <c r="CE356" s="142"/>
      <c r="CF356" s="142"/>
      <c r="CG356" s="79">
        <f t="shared" si="219"/>
        <v>0</v>
      </c>
      <c r="CH356" s="75"/>
      <c r="CI356" s="76"/>
      <c r="CJ356" s="86"/>
      <c r="CK356" s="86"/>
      <c r="CL356" s="77">
        <f t="shared" si="220"/>
        <v>0</v>
      </c>
      <c r="CM356" s="78"/>
      <c r="CN356" s="85"/>
      <c r="CO356" s="85"/>
      <c r="CP356" s="77">
        <f t="shared" si="221"/>
        <v>0</v>
      </c>
      <c r="CQ356" s="78"/>
      <c r="CR356" s="85"/>
      <c r="CS356" s="85"/>
      <c r="CT356" s="79">
        <f t="shared" si="222"/>
        <v>0</v>
      </c>
      <c r="CU356" s="80">
        <f t="shared" si="223"/>
        <v>0</v>
      </c>
      <c r="CV356" s="81">
        <f t="shared" si="224"/>
        <v>0</v>
      </c>
      <c r="CW356" s="144"/>
      <c r="CX356" s="145">
        <f>IF(ISERROR(VLOOKUP($A356,FIJOS!$B$11:$O$590,14,FALSE)),0,VLOOKUP($A356,FIJOS!$B$11:$O$590,14,FALSE))</f>
        <v>0</v>
      </c>
      <c r="CY356" s="145">
        <f>IF(ISERROR(VLOOKUP(A356,FIJOS!$B$10:$P$590,15,FALSE)),0,VLOOKUP(A356,FIJOS!$B$10:$P$590,15,FALSE))</f>
        <v>0</v>
      </c>
      <c r="CZ356" s="155"/>
      <c r="DA356" s="147"/>
      <c r="DB356" s="147"/>
      <c r="DC356" s="147"/>
      <c r="DD356" s="147"/>
      <c r="DE356" s="147"/>
      <c r="DF356" s="145">
        <f>IF(ISERROR(VLOOKUP($A356,FIJOS!$B$11:$N$590,13,FALSE)),0,VLOOKUP($A356,FIJOS!$B$11:$N$590,13,FALSE))</f>
        <v>0</v>
      </c>
      <c r="DG356" s="145">
        <f>IF(ISERROR(VLOOKUP($A356,FIJOS!$B$11:$P$447,12,FALSE)),0,VLOOKUP($A356,FIJOS!$B$11:$P$447,12,FALSE))</f>
        <v>0</v>
      </c>
      <c r="DH356" s="82">
        <f t="shared" si="225"/>
        <v>0</v>
      </c>
      <c r="DI356" s="83" t="b">
        <f>IF($C356=1,(VLOOKUP($A356,FIJOS!$B$11:$P$545,10,FALSE)/7)*(7-$CU356),IF(AND($C356=2,CV356&lt;$DJ$1),(VLOOKUP($D356,HORAS!$B$4:$C$42,2,FALSE)*24)*$CV356,IF(AND($C356=2,CV356&gt;=$DJ$1),VLOOKUP($D356,HORAS!$B$4:$D$42,3,FALSE),IF(AND($C356=3,$CV356&gt;=$DJ$1),VLOOKUP($A356,FIJOS!$B$11:$P$545,10,FALSE),IF(AND($C356=3,$CV356&lt;$DJ$1),((VLOOKUP($A356,FIJOS!$B$11:$P$545,10,FALSE)/48)*24)*$CV356,IF(AND($C356=4,$CV356&gt;=(42/24)),VLOOKUP($D356,HORAS!$B$4:$D$42,3,FALSE),IF(AND($C356=5,$CV356&gt;=(36/24)),VLOOKUP($D356,HORAS!$B$4:$D$42,3,FALSE))))))))</f>
        <v>0</v>
      </c>
      <c r="DJ356" s="145">
        <f>IF(OR($C356=2),VLOOKUP($D356,HORAS!$B$4:$E$42,4,FALSE)*$EC356,IF(ISERROR(VLOOKUP($A356,FIJOS!$B$11:$P$108,9,FALSE)),0,VLOOKUP($A356,FIJOS!$B$11:$P$231,9,FALSE)*$EC356))</f>
        <v>0</v>
      </c>
      <c r="DK356" s="145">
        <f>IF(OR($C356=2),VLOOKUP($D356,HORAS!$B$4:$F$42,5,FALSE)*$EE356,IF(ISERROR(VLOOKUP($A356,FIJOS!$B$11:$P$108,9,FALSE)),0,VLOOKUP($A356,FIJOS!$B$11:$P$231,9,FALSE)*$EE356))</f>
        <v>0</v>
      </c>
      <c r="DL356" s="144"/>
      <c r="DM356" s="145">
        <f>IF(ISERROR(VLOOKUP($A356,FIJOS!$B$11:$L$646,11,FALSE)),0,VLOOKUP($A356,FIJOS!$B$11:$L$646,11,FALSE))</f>
        <v>0</v>
      </c>
      <c r="DN356" s="148" t="e">
        <f>IF(OR($C356=1,$C356=3),0,IF((VLOOKUP(CAPTURA!D356,HORAS!$B$4:$K$42,10,FALSE)/4)*COUNTIF($H356:$CT356,3)&gt;100,100,(VLOOKUP(CAPTURA!D356,HORAS!$B$4:$K$42,10,FALSE)/4)*COUNTIF($H356:$CT356,3)))</f>
        <v>#N/A</v>
      </c>
      <c r="DO356" s="144" t="e">
        <f>IF(OR($C356=1,$C356=3),0,IF($C356=5,VLOOKUP(D356,HORAS!$B$4:$G$42,6,FALSE),IF(AND($C356=4,$CV356&gt;=(42/24)),VLOOKUP(D356,HORAS!$B$4:$G$42,6,FALSE),IF(COUNTIF($H356:$CL356,"F")&gt;0,0,IF(CV356&gt;$DJ$1,$DJ$1*(VLOOKUP(D356,HORAS!$B$4:$G$42,6,FALSE)/$DJ$1),CV356*(VLOOKUP(D356,HORAS!$B$4:$G$42,6,FALSE)/$DJ$1))))))</f>
        <v>#N/A</v>
      </c>
      <c r="DP356" s="156"/>
      <c r="DQ356" s="148"/>
      <c r="DR356" s="148"/>
      <c r="DS356" s="83" t="e">
        <f t="shared" si="226"/>
        <v>#N/A</v>
      </c>
      <c r="DT356" s="84"/>
      <c r="DU356" s="149" t="e">
        <f t="shared" si="227"/>
        <v>#N/A</v>
      </c>
      <c r="DV356" s="149" t="e">
        <f t="shared" si="228"/>
        <v>#N/A</v>
      </c>
      <c r="DW356" s="144" t="e">
        <f t="shared" si="229"/>
        <v>#N/A</v>
      </c>
      <c r="DX356" s="168"/>
      <c r="DY356" s="29"/>
      <c r="DZ356" s="150"/>
      <c r="EA356" s="134"/>
      <c r="EB356" s="137">
        <f t="shared" si="230"/>
        <v>0</v>
      </c>
      <c r="EC356" s="138">
        <f t="shared" si="231"/>
        <v>0</v>
      </c>
      <c r="ED356" s="137">
        <f t="shared" si="232"/>
        <v>0</v>
      </c>
      <c r="EE356" s="132">
        <f t="shared" si="233"/>
        <v>0</v>
      </c>
      <c r="EF356" s="29"/>
      <c r="EG356" s="134"/>
      <c r="EH356" s="134"/>
      <c r="EI356" s="134"/>
      <c r="EK356" s="29"/>
    </row>
    <row r="357" spans="1:141" ht="15" customHeight="1" x14ac:dyDescent="0.25">
      <c r="A357" s="87"/>
      <c r="B357" s="5"/>
      <c r="C357" s="72"/>
      <c r="D357" s="73"/>
      <c r="E357" s="73"/>
      <c r="F357" s="141"/>
      <c r="G357" s="74"/>
      <c r="H357" s="75"/>
      <c r="I357" s="76"/>
      <c r="J357" s="135"/>
      <c r="K357" s="135"/>
      <c r="L357" s="77">
        <f t="shared" si="202"/>
        <v>0</v>
      </c>
      <c r="M357" s="78"/>
      <c r="N357" s="142"/>
      <c r="O357" s="142"/>
      <c r="P357" s="77">
        <f t="shared" si="203"/>
        <v>0</v>
      </c>
      <c r="Q357" s="78"/>
      <c r="R357" s="143"/>
      <c r="S357" s="143"/>
      <c r="T357" s="77">
        <f t="shared" si="204"/>
        <v>0</v>
      </c>
      <c r="U357" s="75"/>
      <c r="V357" s="76"/>
      <c r="W357" s="135"/>
      <c r="X357" s="135"/>
      <c r="Y357" s="77">
        <f t="shared" si="205"/>
        <v>0</v>
      </c>
      <c r="Z357" s="78"/>
      <c r="AA357" s="142"/>
      <c r="AB357" s="142"/>
      <c r="AC357" s="77">
        <f t="shared" si="206"/>
        <v>0</v>
      </c>
      <c r="AD357" s="78"/>
      <c r="AE357" s="143"/>
      <c r="AF357" s="143"/>
      <c r="AG357" s="79">
        <f t="shared" si="207"/>
        <v>0</v>
      </c>
      <c r="AH357" s="75"/>
      <c r="AI357" s="76"/>
      <c r="AJ357" s="135"/>
      <c r="AK357" s="135"/>
      <c r="AL357" s="77">
        <f t="shared" si="208"/>
        <v>0</v>
      </c>
      <c r="AM357" s="76"/>
      <c r="AN357" s="142"/>
      <c r="AO357" s="142"/>
      <c r="AP357" s="77">
        <f t="shared" si="209"/>
        <v>0</v>
      </c>
      <c r="AQ357" s="78"/>
      <c r="AR357" s="142"/>
      <c r="AS357" s="142"/>
      <c r="AT357" s="79">
        <f t="shared" si="210"/>
        <v>0</v>
      </c>
      <c r="AU357" s="75"/>
      <c r="AV357" s="76"/>
      <c r="AW357" s="135"/>
      <c r="AX357" s="135"/>
      <c r="AY357" s="77">
        <f t="shared" si="211"/>
        <v>0</v>
      </c>
      <c r="AZ357" s="76"/>
      <c r="BA357" s="142"/>
      <c r="BB357" s="142"/>
      <c r="BC357" s="77">
        <f t="shared" si="212"/>
        <v>0</v>
      </c>
      <c r="BD357" s="78"/>
      <c r="BE357" s="142"/>
      <c r="BF357" s="142"/>
      <c r="BG357" s="79">
        <f t="shared" si="213"/>
        <v>0</v>
      </c>
      <c r="BH357" s="75"/>
      <c r="BI357" s="76"/>
      <c r="BJ357" s="135"/>
      <c r="BK357" s="135"/>
      <c r="BL357" s="77">
        <f t="shared" si="214"/>
        <v>0</v>
      </c>
      <c r="BM357" s="78"/>
      <c r="BN357" s="142"/>
      <c r="BO357" s="142"/>
      <c r="BP357" s="77">
        <f t="shared" si="215"/>
        <v>0</v>
      </c>
      <c r="BQ357" s="78"/>
      <c r="BR357" s="142"/>
      <c r="BS357" s="142"/>
      <c r="BT357" s="79">
        <f t="shared" si="216"/>
        <v>0</v>
      </c>
      <c r="BU357" s="75"/>
      <c r="BV357" s="76"/>
      <c r="BW357" s="135"/>
      <c r="BX357" s="135"/>
      <c r="BY357" s="77">
        <f t="shared" si="217"/>
        <v>0</v>
      </c>
      <c r="BZ357" s="78"/>
      <c r="CA357" s="142"/>
      <c r="CB357" s="142"/>
      <c r="CC357" s="77">
        <f t="shared" si="218"/>
        <v>0</v>
      </c>
      <c r="CD357" s="78"/>
      <c r="CE357" s="142"/>
      <c r="CF357" s="142"/>
      <c r="CG357" s="79">
        <f t="shared" si="219"/>
        <v>0</v>
      </c>
      <c r="CH357" s="75"/>
      <c r="CI357" s="76"/>
      <c r="CJ357" s="86"/>
      <c r="CK357" s="86"/>
      <c r="CL357" s="77">
        <f t="shared" si="220"/>
        <v>0</v>
      </c>
      <c r="CM357" s="78"/>
      <c r="CN357" s="85"/>
      <c r="CO357" s="85"/>
      <c r="CP357" s="77">
        <f t="shared" si="221"/>
        <v>0</v>
      </c>
      <c r="CQ357" s="78"/>
      <c r="CR357" s="85"/>
      <c r="CS357" s="85"/>
      <c r="CT357" s="79">
        <f t="shared" si="222"/>
        <v>0</v>
      </c>
      <c r="CU357" s="80">
        <f t="shared" si="223"/>
        <v>0</v>
      </c>
      <c r="CV357" s="81">
        <f t="shared" si="224"/>
        <v>0</v>
      </c>
      <c r="CW357" s="144"/>
      <c r="CX357" s="145">
        <f>IF(ISERROR(VLOOKUP($A357,FIJOS!$B$11:$O$590,14,FALSE)),0,VLOOKUP($A357,FIJOS!$B$11:$O$590,14,FALSE))</f>
        <v>0</v>
      </c>
      <c r="CY357" s="145">
        <f>IF(ISERROR(VLOOKUP(A357,FIJOS!$B$10:$P$590,15,FALSE)),0,VLOOKUP(A357,FIJOS!$B$10:$P$590,15,FALSE))</f>
        <v>0</v>
      </c>
      <c r="CZ357" s="155"/>
      <c r="DA357" s="147"/>
      <c r="DB357" s="147"/>
      <c r="DC357" s="147"/>
      <c r="DD357" s="147"/>
      <c r="DE357" s="147"/>
      <c r="DF357" s="145">
        <f>IF(ISERROR(VLOOKUP($A357,FIJOS!$B$11:$N$590,13,FALSE)),0,VLOOKUP($A357,FIJOS!$B$11:$N$590,13,FALSE))</f>
        <v>0</v>
      </c>
      <c r="DG357" s="145">
        <f>IF(ISERROR(VLOOKUP($A357,FIJOS!$B$11:$P$447,12,FALSE)),0,VLOOKUP($A357,FIJOS!$B$11:$P$447,12,FALSE))</f>
        <v>0</v>
      </c>
      <c r="DH357" s="82">
        <f t="shared" si="225"/>
        <v>0</v>
      </c>
      <c r="DI357" s="83" t="b">
        <f>IF($C357=1,(VLOOKUP($A357,FIJOS!$B$11:$P$545,10,FALSE)/7)*(7-$CU357),IF(AND($C357=2,CV357&lt;$DJ$1),(VLOOKUP($D357,HORAS!$B$4:$C$42,2,FALSE)*24)*$CV357,IF(AND($C357=2,CV357&gt;=$DJ$1),VLOOKUP($D357,HORAS!$B$4:$D$42,3,FALSE),IF(AND($C357=3,$CV357&gt;=$DJ$1),VLOOKUP($A357,FIJOS!$B$11:$P$545,10,FALSE),IF(AND($C357=3,$CV357&lt;$DJ$1),((VLOOKUP($A357,FIJOS!$B$11:$P$545,10,FALSE)/48)*24)*$CV357,IF(AND($C357=4,$CV357&gt;=(42/24)),VLOOKUP($D357,HORAS!$B$4:$D$42,3,FALSE),IF(AND($C357=5,$CV357&gt;=(36/24)),VLOOKUP($D357,HORAS!$B$4:$D$42,3,FALSE))))))))</f>
        <v>0</v>
      </c>
      <c r="DJ357" s="145">
        <f>IF(OR($C357=2),VLOOKUP($D357,HORAS!$B$4:$E$42,4,FALSE)*$EC357,IF(ISERROR(VLOOKUP($A357,FIJOS!$B$11:$P$108,9,FALSE)),0,VLOOKUP($A357,FIJOS!$B$11:$P$231,9,FALSE)*$EC357))</f>
        <v>0</v>
      </c>
      <c r="DK357" s="145">
        <f>IF(OR($C357=2),VLOOKUP($D357,HORAS!$B$4:$F$42,5,FALSE)*$EE357,IF(ISERROR(VLOOKUP($A357,FIJOS!$B$11:$P$108,9,FALSE)),0,VLOOKUP($A357,FIJOS!$B$11:$P$231,9,FALSE)*$EE357))</f>
        <v>0</v>
      </c>
      <c r="DL357" s="144"/>
      <c r="DM357" s="145">
        <f>IF(ISERROR(VLOOKUP($A357,FIJOS!$B$11:$L$646,11,FALSE)),0,VLOOKUP($A357,FIJOS!$B$11:$L$646,11,FALSE))</f>
        <v>0</v>
      </c>
      <c r="DN357" s="148" t="e">
        <f>IF(OR($C357=1,$C357=3),0,IF((VLOOKUP(CAPTURA!D357,HORAS!$B$4:$K$42,10,FALSE)/4)*COUNTIF($H357:$CT357,3)&gt;100,100,(VLOOKUP(CAPTURA!D357,HORAS!$B$4:$K$42,10,FALSE)/4)*COUNTIF($H357:$CT357,3)))</f>
        <v>#N/A</v>
      </c>
      <c r="DO357" s="144" t="e">
        <f>IF(OR($C357=1,$C357=3),0,IF($C357=5,VLOOKUP(D357,HORAS!$B$4:$G$42,6,FALSE),IF(AND($C357=4,$CV357&gt;=(42/24)),VLOOKUP(D357,HORAS!$B$4:$G$42,6,FALSE),IF(COUNTIF($H357:$CL357,"F")&gt;0,0,IF(CV357&gt;$DJ$1,$DJ$1*(VLOOKUP(D357,HORAS!$B$4:$G$42,6,FALSE)/$DJ$1),CV357*(VLOOKUP(D357,HORAS!$B$4:$G$42,6,FALSE)/$DJ$1))))))</f>
        <v>#N/A</v>
      </c>
      <c r="DP357" s="156"/>
      <c r="DQ357" s="148"/>
      <c r="DR357" s="148"/>
      <c r="DS357" s="83" t="e">
        <f t="shared" si="226"/>
        <v>#N/A</v>
      </c>
      <c r="DT357" s="84"/>
      <c r="DU357" s="149" t="e">
        <f t="shared" si="227"/>
        <v>#N/A</v>
      </c>
      <c r="DV357" s="149" t="e">
        <f t="shared" si="228"/>
        <v>#N/A</v>
      </c>
      <c r="DW357" s="144" t="e">
        <f t="shared" si="229"/>
        <v>#N/A</v>
      </c>
      <c r="DX357" s="168"/>
      <c r="DY357" s="29"/>
      <c r="DZ357" s="150"/>
      <c r="EA357" s="134"/>
      <c r="EB357" s="137">
        <f t="shared" si="230"/>
        <v>0</v>
      </c>
      <c r="EC357" s="138">
        <f t="shared" si="231"/>
        <v>0</v>
      </c>
      <c r="ED357" s="137">
        <f t="shared" si="232"/>
        <v>0</v>
      </c>
      <c r="EE357" s="132">
        <f t="shared" si="233"/>
        <v>0</v>
      </c>
      <c r="EF357" s="29"/>
      <c r="EG357" s="134"/>
      <c r="EH357" s="134"/>
      <c r="EI357" s="134"/>
      <c r="EK357" s="29"/>
    </row>
    <row r="358" spans="1:141" ht="15" customHeight="1" x14ac:dyDescent="0.25">
      <c r="A358" s="87"/>
      <c r="B358" s="5"/>
      <c r="C358" s="72"/>
      <c r="D358" s="73"/>
      <c r="E358" s="73"/>
      <c r="F358" s="141"/>
      <c r="G358" s="74"/>
      <c r="H358" s="75"/>
      <c r="I358" s="76"/>
      <c r="J358" s="135"/>
      <c r="K358" s="135"/>
      <c r="L358" s="77">
        <f t="shared" si="202"/>
        <v>0</v>
      </c>
      <c r="M358" s="78"/>
      <c r="N358" s="142"/>
      <c r="O358" s="142"/>
      <c r="P358" s="77">
        <f t="shared" si="203"/>
        <v>0</v>
      </c>
      <c r="Q358" s="78"/>
      <c r="R358" s="143"/>
      <c r="S358" s="143"/>
      <c r="T358" s="77">
        <f t="shared" si="204"/>
        <v>0</v>
      </c>
      <c r="U358" s="75"/>
      <c r="V358" s="76"/>
      <c r="W358" s="135"/>
      <c r="X358" s="135"/>
      <c r="Y358" s="77">
        <f t="shared" si="205"/>
        <v>0</v>
      </c>
      <c r="Z358" s="78"/>
      <c r="AA358" s="142"/>
      <c r="AB358" s="142"/>
      <c r="AC358" s="77">
        <f t="shared" si="206"/>
        <v>0</v>
      </c>
      <c r="AD358" s="78"/>
      <c r="AE358" s="143"/>
      <c r="AF358" s="143"/>
      <c r="AG358" s="79">
        <f t="shared" si="207"/>
        <v>0</v>
      </c>
      <c r="AH358" s="75"/>
      <c r="AI358" s="76"/>
      <c r="AJ358" s="135"/>
      <c r="AK358" s="135"/>
      <c r="AL358" s="77">
        <f t="shared" si="208"/>
        <v>0</v>
      </c>
      <c r="AM358" s="76"/>
      <c r="AN358" s="142"/>
      <c r="AO358" s="142"/>
      <c r="AP358" s="77">
        <f t="shared" si="209"/>
        <v>0</v>
      </c>
      <c r="AQ358" s="78"/>
      <c r="AR358" s="142"/>
      <c r="AS358" s="142"/>
      <c r="AT358" s="79">
        <f t="shared" si="210"/>
        <v>0</v>
      </c>
      <c r="AU358" s="75"/>
      <c r="AV358" s="76"/>
      <c r="AW358" s="135"/>
      <c r="AX358" s="135"/>
      <c r="AY358" s="77">
        <f t="shared" si="211"/>
        <v>0</v>
      </c>
      <c r="AZ358" s="76"/>
      <c r="BA358" s="142"/>
      <c r="BB358" s="142"/>
      <c r="BC358" s="77">
        <f t="shared" si="212"/>
        <v>0</v>
      </c>
      <c r="BD358" s="78"/>
      <c r="BE358" s="142"/>
      <c r="BF358" s="142"/>
      <c r="BG358" s="79">
        <f t="shared" si="213"/>
        <v>0</v>
      </c>
      <c r="BH358" s="75"/>
      <c r="BI358" s="76"/>
      <c r="BJ358" s="135"/>
      <c r="BK358" s="135"/>
      <c r="BL358" s="77">
        <f t="shared" si="214"/>
        <v>0</v>
      </c>
      <c r="BM358" s="78"/>
      <c r="BN358" s="142"/>
      <c r="BO358" s="142"/>
      <c r="BP358" s="77">
        <f t="shared" si="215"/>
        <v>0</v>
      </c>
      <c r="BQ358" s="78"/>
      <c r="BR358" s="142"/>
      <c r="BS358" s="142"/>
      <c r="BT358" s="79">
        <f t="shared" si="216"/>
        <v>0</v>
      </c>
      <c r="BU358" s="75"/>
      <c r="BV358" s="76"/>
      <c r="BW358" s="135"/>
      <c r="BX358" s="135"/>
      <c r="BY358" s="77">
        <f t="shared" si="217"/>
        <v>0</v>
      </c>
      <c r="BZ358" s="78"/>
      <c r="CA358" s="142"/>
      <c r="CB358" s="142"/>
      <c r="CC358" s="77">
        <f t="shared" si="218"/>
        <v>0</v>
      </c>
      <c r="CD358" s="78"/>
      <c r="CE358" s="142"/>
      <c r="CF358" s="142"/>
      <c r="CG358" s="79">
        <f t="shared" si="219"/>
        <v>0</v>
      </c>
      <c r="CH358" s="75"/>
      <c r="CI358" s="76"/>
      <c r="CJ358" s="86"/>
      <c r="CK358" s="86"/>
      <c r="CL358" s="77">
        <f t="shared" si="220"/>
        <v>0</v>
      </c>
      <c r="CM358" s="78"/>
      <c r="CN358" s="85"/>
      <c r="CO358" s="85"/>
      <c r="CP358" s="77">
        <f t="shared" si="221"/>
        <v>0</v>
      </c>
      <c r="CQ358" s="78"/>
      <c r="CR358" s="85"/>
      <c r="CS358" s="85"/>
      <c r="CT358" s="79">
        <f t="shared" si="222"/>
        <v>0</v>
      </c>
      <c r="CU358" s="80">
        <f t="shared" si="223"/>
        <v>0</v>
      </c>
      <c r="CV358" s="81">
        <f t="shared" si="224"/>
        <v>0</v>
      </c>
      <c r="CW358" s="144"/>
      <c r="CX358" s="145">
        <f>IF(ISERROR(VLOOKUP($A358,FIJOS!$B$11:$O$590,14,FALSE)),0,VLOOKUP($A358,FIJOS!$B$11:$O$590,14,FALSE))</f>
        <v>0</v>
      </c>
      <c r="CY358" s="145">
        <f>IF(ISERROR(VLOOKUP(A358,FIJOS!$B$10:$P$590,15,FALSE)),0,VLOOKUP(A358,FIJOS!$B$10:$P$590,15,FALSE))</f>
        <v>0</v>
      </c>
      <c r="CZ358" s="155"/>
      <c r="DA358" s="147"/>
      <c r="DB358" s="147"/>
      <c r="DC358" s="147"/>
      <c r="DD358" s="147"/>
      <c r="DE358" s="147"/>
      <c r="DF358" s="145">
        <f>IF(ISERROR(VLOOKUP($A358,FIJOS!$B$11:$N$590,13,FALSE)),0,VLOOKUP($A358,FIJOS!$B$11:$N$590,13,FALSE))</f>
        <v>0</v>
      </c>
      <c r="DG358" s="145">
        <f>IF(ISERROR(VLOOKUP($A358,FIJOS!$B$11:$P$447,12,FALSE)),0,VLOOKUP($A358,FIJOS!$B$11:$P$447,12,FALSE))</f>
        <v>0</v>
      </c>
      <c r="DH358" s="82">
        <f t="shared" si="225"/>
        <v>0</v>
      </c>
      <c r="DI358" s="83" t="b">
        <f>IF($C358=1,(VLOOKUP($A358,FIJOS!$B$11:$P$545,10,FALSE)/7)*(7-$CU358),IF(AND($C358=2,CV358&lt;$DJ$1),(VLOOKUP($D358,HORAS!$B$4:$C$42,2,FALSE)*24)*$CV358,IF(AND($C358=2,CV358&gt;=$DJ$1),VLOOKUP($D358,HORAS!$B$4:$D$42,3,FALSE),IF(AND($C358=3,$CV358&gt;=$DJ$1),VLOOKUP($A358,FIJOS!$B$11:$P$545,10,FALSE),IF(AND($C358=3,$CV358&lt;$DJ$1),((VLOOKUP($A358,FIJOS!$B$11:$P$545,10,FALSE)/48)*24)*$CV358,IF(AND($C358=4,$CV358&gt;=(42/24)),VLOOKUP($D358,HORAS!$B$4:$D$42,3,FALSE),IF(AND($C358=5,$CV358&gt;=(36/24)),VLOOKUP($D358,HORAS!$B$4:$D$42,3,FALSE))))))))</f>
        <v>0</v>
      </c>
      <c r="DJ358" s="145">
        <f>IF(OR($C358=2),VLOOKUP($D358,HORAS!$B$4:$E$42,4,FALSE)*$EC358,IF(ISERROR(VLOOKUP($A358,FIJOS!$B$11:$P$108,9,FALSE)),0,VLOOKUP($A358,FIJOS!$B$11:$P$231,9,FALSE)*$EC358))</f>
        <v>0</v>
      </c>
      <c r="DK358" s="145">
        <f>IF(OR($C358=2),VLOOKUP($D358,HORAS!$B$4:$F$42,5,FALSE)*$EE358,IF(ISERROR(VLOOKUP($A358,FIJOS!$B$11:$P$108,9,FALSE)),0,VLOOKUP($A358,FIJOS!$B$11:$P$231,9,FALSE)*$EE358))</f>
        <v>0</v>
      </c>
      <c r="DL358" s="144"/>
      <c r="DM358" s="145">
        <f>IF(ISERROR(VLOOKUP($A358,FIJOS!$B$11:$L$646,11,FALSE)),0,VLOOKUP($A358,FIJOS!$B$11:$L$646,11,FALSE))</f>
        <v>0</v>
      </c>
      <c r="DN358" s="148" t="e">
        <f>IF(OR($C358=1,$C358=3),0,IF((VLOOKUP(CAPTURA!D358,HORAS!$B$4:$K$42,10,FALSE)/4)*COUNTIF($H358:$CT358,3)&gt;100,100,(VLOOKUP(CAPTURA!D358,HORAS!$B$4:$K$42,10,FALSE)/4)*COUNTIF($H358:$CT358,3)))</f>
        <v>#N/A</v>
      </c>
      <c r="DO358" s="144" t="e">
        <f>IF(OR($C358=1,$C358=3),0,IF($C358=5,VLOOKUP(D358,HORAS!$B$4:$G$42,6,FALSE),IF(AND($C358=4,$CV358&gt;=(42/24)),VLOOKUP(D358,HORAS!$B$4:$G$42,6,FALSE),IF(COUNTIF($H358:$CL358,"F")&gt;0,0,IF(CV358&gt;$DJ$1,$DJ$1*(VLOOKUP(D358,HORAS!$B$4:$G$42,6,FALSE)/$DJ$1),CV358*(VLOOKUP(D358,HORAS!$B$4:$G$42,6,FALSE)/$DJ$1))))))</f>
        <v>#N/A</v>
      </c>
      <c r="DP358" s="156"/>
      <c r="DQ358" s="148"/>
      <c r="DR358" s="148"/>
      <c r="DS358" s="83" t="e">
        <f t="shared" si="226"/>
        <v>#N/A</v>
      </c>
      <c r="DT358" s="84"/>
      <c r="DU358" s="149" t="e">
        <f t="shared" si="227"/>
        <v>#N/A</v>
      </c>
      <c r="DV358" s="149" t="e">
        <f t="shared" si="228"/>
        <v>#N/A</v>
      </c>
      <c r="DW358" s="144" t="e">
        <f t="shared" si="229"/>
        <v>#N/A</v>
      </c>
      <c r="DX358" s="168"/>
      <c r="DY358" s="29"/>
      <c r="DZ358" s="150"/>
      <c r="EA358" s="134"/>
      <c r="EB358" s="137">
        <f t="shared" si="230"/>
        <v>0</v>
      </c>
      <c r="EC358" s="138">
        <f t="shared" si="231"/>
        <v>0</v>
      </c>
      <c r="ED358" s="137">
        <f t="shared" si="232"/>
        <v>0</v>
      </c>
      <c r="EE358" s="132">
        <f t="shared" si="233"/>
        <v>0</v>
      </c>
      <c r="EF358" s="29"/>
      <c r="EG358" s="134"/>
      <c r="EH358" s="134"/>
      <c r="EI358" s="134"/>
      <c r="EK358" s="29"/>
    </row>
    <row r="359" spans="1:141" ht="15" customHeight="1" x14ac:dyDescent="0.25">
      <c r="A359" s="87"/>
      <c r="B359" s="5"/>
      <c r="C359" s="72"/>
      <c r="D359" s="73"/>
      <c r="E359" s="73"/>
      <c r="F359" s="141"/>
      <c r="G359" s="74"/>
      <c r="H359" s="75"/>
      <c r="I359" s="76"/>
      <c r="J359" s="135"/>
      <c r="K359" s="135"/>
      <c r="L359" s="77">
        <f t="shared" si="202"/>
        <v>0</v>
      </c>
      <c r="M359" s="78"/>
      <c r="N359" s="142"/>
      <c r="O359" s="142"/>
      <c r="P359" s="77">
        <f t="shared" si="203"/>
        <v>0</v>
      </c>
      <c r="Q359" s="78"/>
      <c r="R359" s="143"/>
      <c r="S359" s="143"/>
      <c r="T359" s="77">
        <f t="shared" si="204"/>
        <v>0</v>
      </c>
      <c r="U359" s="75"/>
      <c r="V359" s="76"/>
      <c r="W359" s="135"/>
      <c r="X359" s="135"/>
      <c r="Y359" s="77">
        <f t="shared" si="205"/>
        <v>0</v>
      </c>
      <c r="Z359" s="78"/>
      <c r="AA359" s="142"/>
      <c r="AB359" s="142"/>
      <c r="AC359" s="77">
        <f t="shared" si="206"/>
        <v>0</v>
      </c>
      <c r="AD359" s="78"/>
      <c r="AE359" s="143"/>
      <c r="AF359" s="143"/>
      <c r="AG359" s="79">
        <f t="shared" si="207"/>
        <v>0</v>
      </c>
      <c r="AH359" s="75"/>
      <c r="AI359" s="76"/>
      <c r="AJ359" s="135"/>
      <c r="AK359" s="135"/>
      <c r="AL359" s="77">
        <f t="shared" si="208"/>
        <v>0</v>
      </c>
      <c r="AM359" s="76"/>
      <c r="AN359" s="142"/>
      <c r="AO359" s="142"/>
      <c r="AP359" s="77">
        <f t="shared" si="209"/>
        <v>0</v>
      </c>
      <c r="AQ359" s="78"/>
      <c r="AR359" s="142"/>
      <c r="AS359" s="142"/>
      <c r="AT359" s="79">
        <f t="shared" si="210"/>
        <v>0</v>
      </c>
      <c r="AU359" s="75"/>
      <c r="AV359" s="76"/>
      <c r="AW359" s="135"/>
      <c r="AX359" s="135"/>
      <c r="AY359" s="77">
        <f t="shared" si="211"/>
        <v>0</v>
      </c>
      <c r="AZ359" s="76"/>
      <c r="BA359" s="142"/>
      <c r="BB359" s="142"/>
      <c r="BC359" s="77">
        <f t="shared" si="212"/>
        <v>0</v>
      </c>
      <c r="BD359" s="78"/>
      <c r="BE359" s="142"/>
      <c r="BF359" s="142"/>
      <c r="BG359" s="79">
        <f t="shared" si="213"/>
        <v>0</v>
      </c>
      <c r="BH359" s="75"/>
      <c r="BI359" s="76"/>
      <c r="BJ359" s="135"/>
      <c r="BK359" s="135"/>
      <c r="BL359" s="77">
        <f t="shared" si="214"/>
        <v>0</v>
      </c>
      <c r="BM359" s="78"/>
      <c r="BN359" s="142"/>
      <c r="BO359" s="142"/>
      <c r="BP359" s="77">
        <f t="shared" si="215"/>
        <v>0</v>
      </c>
      <c r="BQ359" s="78"/>
      <c r="BR359" s="142"/>
      <c r="BS359" s="142"/>
      <c r="BT359" s="79">
        <f t="shared" si="216"/>
        <v>0</v>
      </c>
      <c r="BU359" s="75"/>
      <c r="BV359" s="76"/>
      <c r="BW359" s="135"/>
      <c r="BX359" s="135"/>
      <c r="BY359" s="77">
        <f t="shared" si="217"/>
        <v>0</v>
      </c>
      <c r="BZ359" s="78"/>
      <c r="CA359" s="142"/>
      <c r="CB359" s="142"/>
      <c r="CC359" s="77">
        <f t="shared" si="218"/>
        <v>0</v>
      </c>
      <c r="CD359" s="78"/>
      <c r="CE359" s="142"/>
      <c r="CF359" s="142"/>
      <c r="CG359" s="79">
        <f t="shared" si="219"/>
        <v>0</v>
      </c>
      <c r="CH359" s="75"/>
      <c r="CI359" s="76"/>
      <c r="CJ359" s="86"/>
      <c r="CK359" s="86"/>
      <c r="CL359" s="77">
        <f t="shared" si="220"/>
        <v>0</v>
      </c>
      <c r="CM359" s="78"/>
      <c r="CN359" s="85"/>
      <c r="CO359" s="85"/>
      <c r="CP359" s="77">
        <f t="shared" si="221"/>
        <v>0</v>
      </c>
      <c r="CQ359" s="78"/>
      <c r="CR359" s="85"/>
      <c r="CS359" s="85"/>
      <c r="CT359" s="79">
        <f t="shared" si="222"/>
        <v>0</v>
      </c>
      <c r="CU359" s="80">
        <f t="shared" si="223"/>
        <v>0</v>
      </c>
      <c r="CV359" s="81">
        <f t="shared" si="224"/>
        <v>0</v>
      </c>
      <c r="CW359" s="144"/>
      <c r="CX359" s="145">
        <f>IF(ISERROR(VLOOKUP($A359,FIJOS!$B$11:$O$590,14,FALSE)),0,VLOOKUP($A359,FIJOS!$B$11:$O$590,14,FALSE))</f>
        <v>0</v>
      </c>
      <c r="CY359" s="145">
        <f>IF(ISERROR(VLOOKUP(A359,FIJOS!$B$10:$P$590,15,FALSE)),0,VLOOKUP(A359,FIJOS!$B$10:$P$590,15,FALSE))</f>
        <v>0</v>
      </c>
      <c r="CZ359" s="155"/>
      <c r="DA359" s="147"/>
      <c r="DB359" s="147"/>
      <c r="DC359" s="147"/>
      <c r="DD359" s="147"/>
      <c r="DE359" s="147"/>
      <c r="DF359" s="145">
        <f>IF(ISERROR(VLOOKUP($A359,FIJOS!$B$11:$N$590,13,FALSE)),0,VLOOKUP($A359,FIJOS!$B$11:$N$590,13,FALSE))</f>
        <v>0</v>
      </c>
      <c r="DG359" s="145">
        <f>IF(ISERROR(VLOOKUP($A359,FIJOS!$B$11:$P$447,12,FALSE)),0,VLOOKUP($A359,FIJOS!$B$11:$P$447,12,FALSE))</f>
        <v>0</v>
      </c>
      <c r="DH359" s="82">
        <f t="shared" si="225"/>
        <v>0</v>
      </c>
      <c r="DI359" s="83" t="b">
        <f>IF($C359=1,(VLOOKUP($A359,FIJOS!$B$11:$P$545,10,FALSE)/7)*(7-$CU359),IF(AND($C359=2,CV359&lt;$DJ$1),(VLOOKUP($D359,HORAS!$B$4:$C$42,2,FALSE)*24)*$CV359,IF(AND($C359=2,CV359&gt;=$DJ$1),VLOOKUP($D359,HORAS!$B$4:$D$42,3,FALSE),IF(AND($C359=3,$CV359&gt;=$DJ$1),VLOOKUP($A359,FIJOS!$B$11:$P$545,10,FALSE),IF(AND($C359=3,$CV359&lt;$DJ$1),((VLOOKUP($A359,FIJOS!$B$11:$P$545,10,FALSE)/48)*24)*$CV359,IF(AND($C359=4,$CV359&gt;=(42/24)),VLOOKUP($D359,HORAS!$B$4:$D$42,3,FALSE),IF(AND($C359=5,$CV359&gt;=(36/24)),VLOOKUP($D359,HORAS!$B$4:$D$42,3,FALSE))))))))</f>
        <v>0</v>
      </c>
      <c r="DJ359" s="145">
        <f>IF(OR($C359=2),VLOOKUP($D359,HORAS!$B$4:$E$42,4,FALSE)*$EC359,IF(ISERROR(VLOOKUP($A359,FIJOS!$B$11:$P$108,9,FALSE)),0,VLOOKUP($A359,FIJOS!$B$11:$P$231,9,FALSE)*$EC359))</f>
        <v>0</v>
      </c>
      <c r="DK359" s="145">
        <f>IF(OR($C359=2),VLOOKUP($D359,HORAS!$B$4:$F$42,5,FALSE)*$EE359,IF(ISERROR(VLOOKUP($A359,FIJOS!$B$11:$P$108,9,FALSE)),0,VLOOKUP($A359,FIJOS!$B$11:$P$231,9,FALSE)*$EE359))</f>
        <v>0</v>
      </c>
      <c r="DL359" s="144"/>
      <c r="DM359" s="145">
        <f>IF(ISERROR(VLOOKUP($A359,FIJOS!$B$11:$L$646,11,FALSE)),0,VLOOKUP($A359,FIJOS!$B$11:$L$646,11,FALSE))</f>
        <v>0</v>
      </c>
      <c r="DN359" s="148" t="e">
        <f>IF(OR($C359=1,$C359=3),0,IF((VLOOKUP(CAPTURA!D359,HORAS!$B$4:$K$42,10,FALSE)/4)*COUNTIF($H359:$CT359,3)&gt;100,100,(VLOOKUP(CAPTURA!D359,HORAS!$B$4:$K$42,10,FALSE)/4)*COUNTIF($H359:$CT359,3)))</f>
        <v>#N/A</v>
      </c>
      <c r="DO359" s="144" t="e">
        <f>IF(OR($C359=1,$C359=3),0,IF($C359=5,VLOOKUP(D359,HORAS!$B$4:$G$42,6,FALSE),IF(AND($C359=4,$CV359&gt;=(42/24)),VLOOKUP(D359,HORAS!$B$4:$G$42,6,FALSE),IF(COUNTIF($H359:$CL359,"F")&gt;0,0,IF(CV359&gt;$DJ$1,$DJ$1*(VLOOKUP(D359,HORAS!$B$4:$G$42,6,FALSE)/$DJ$1),CV359*(VLOOKUP(D359,HORAS!$B$4:$G$42,6,FALSE)/$DJ$1))))))</f>
        <v>#N/A</v>
      </c>
      <c r="DP359" s="156"/>
      <c r="DQ359" s="148"/>
      <c r="DR359" s="148"/>
      <c r="DS359" s="83" t="e">
        <f t="shared" si="226"/>
        <v>#N/A</v>
      </c>
      <c r="DT359" s="84"/>
      <c r="DU359" s="149" t="e">
        <f t="shared" si="227"/>
        <v>#N/A</v>
      </c>
      <c r="DV359" s="149" t="e">
        <f t="shared" si="228"/>
        <v>#N/A</v>
      </c>
      <c r="DW359" s="144" t="e">
        <f t="shared" si="229"/>
        <v>#N/A</v>
      </c>
      <c r="DX359" s="168"/>
      <c r="DY359" s="29"/>
      <c r="DZ359" s="150"/>
      <c r="EA359" s="134"/>
      <c r="EB359" s="137">
        <f t="shared" si="230"/>
        <v>0</v>
      </c>
      <c r="EC359" s="138">
        <f t="shared" si="231"/>
        <v>0</v>
      </c>
      <c r="ED359" s="137">
        <f t="shared" si="232"/>
        <v>0</v>
      </c>
      <c r="EE359" s="132">
        <f t="shared" si="233"/>
        <v>0</v>
      </c>
      <c r="EF359" s="29"/>
      <c r="EG359" s="134"/>
      <c r="EH359" s="134"/>
      <c r="EI359" s="134"/>
      <c r="EK359" s="29"/>
    </row>
    <row r="360" spans="1:141" ht="15" customHeight="1" x14ac:dyDescent="0.25">
      <c r="A360" s="87"/>
      <c r="B360" s="5"/>
      <c r="C360" s="72"/>
      <c r="D360" s="73"/>
      <c r="E360" s="73"/>
      <c r="F360" s="141"/>
      <c r="G360" s="74"/>
      <c r="H360" s="75"/>
      <c r="I360" s="76"/>
      <c r="J360" s="135"/>
      <c r="K360" s="135"/>
      <c r="L360" s="77">
        <f t="shared" si="202"/>
        <v>0</v>
      </c>
      <c r="M360" s="78"/>
      <c r="N360" s="142"/>
      <c r="O360" s="142"/>
      <c r="P360" s="77">
        <f t="shared" si="203"/>
        <v>0</v>
      </c>
      <c r="Q360" s="78"/>
      <c r="R360" s="143"/>
      <c r="S360" s="143"/>
      <c r="T360" s="77">
        <f t="shared" si="204"/>
        <v>0</v>
      </c>
      <c r="U360" s="75"/>
      <c r="V360" s="76"/>
      <c r="W360" s="135"/>
      <c r="X360" s="135"/>
      <c r="Y360" s="77">
        <f t="shared" si="205"/>
        <v>0</v>
      </c>
      <c r="Z360" s="78"/>
      <c r="AA360" s="142"/>
      <c r="AB360" s="142"/>
      <c r="AC360" s="77">
        <f t="shared" si="206"/>
        <v>0</v>
      </c>
      <c r="AD360" s="78"/>
      <c r="AE360" s="143"/>
      <c r="AF360" s="143"/>
      <c r="AG360" s="79">
        <f t="shared" si="207"/>
        <v>0</v>
      </c>
      <c r="AH360" s="75"/>
      <c r="AI360" s="76"/>
      <c r="AJ360" s="135"/>
      <c r="AK360" s="135"/>
      <c r="AL360" s="77">
        <f t="shared" si="208"/>
        <v>0</v>
      </c>
      <c r="AM360" s="76"/>
      <c r="AN360" s="142"/>
      <c r="AO360" s="142"/>
      <c r="AP360" s="77">
        <f t="shared" si="209"/>
        <v>0</v>
      </c>
      <c r="AQ360" s="78"/>
      <c r="AR360" s="142"/>
      <c r="AS360" s="142"/>
      <c r="AT360" s="79">
        <f t="shared" si="210"/>
        <v>0</v>
      </c>
      <c r="AU360" s="75"/>
      <c r="AV360" s="76"/>
      <c r="AW360" s="135"/>
      <c r="AX360" s="135"/>
      <c r="AY360" s="77">
        <f t="shared" si="211"/>
        <v>0</v>
      </c>
      <c r="AZ360" s="76"/>
      <c r="BA360" s="142"/>
      <c r="BB360" s="142"/>
      <c r="BC360" s="77">
        <f t="shared" si="212"/>
        <v>0</v>
      </c>
      <c r="BD360" s="78"/>
      <c r="BE360" s="142"/>
      <c r="BF360" s="142"/>
      <c r="BG360" s="79">
        <f t="shared" si="213"/>
        <v>0</v>
      </c>
      <c r="BH360" s="75"/>
      <c r="BI360" s="76"/>
      <c r="BJ360" s="135"/>
      <c r="BK360" s="135"/>
      <c r="BL360" s="77">
        <f t="shared" si="214"/>
        <v>0</v>
      </c>
      <c r="BM360" s="78"/>
      <c r="BN360" s="142"/>
      <c r="BO360" s="142"/>
      <c r="BP360" s="77">
        <f t="shared" si="215"/>
        <v>0</v>
      </c>
      <c r="BQ360" s="78"/>
      <c r="BR360" s="142"/>
      <c r="BS360" s="142"/>
      <c r="BT360" s="79">
        <f t="shared" si="216"/>
        <v>0</v>
      </c>
      <c r="BU360" s="75"/>
      <c r="BV360" s="76"/>
      <c r="BW360" s="135"/>
      <c r="BX360" s="135"/>
      <c r="BY360" s="77">
        <f t="shared" si="217"/>
        <v>0</v>
      </c>
      <c r="BZ360" s="78"/>
      <c r="CA360" s="142"/>
      <c r="CB360" s="142"/>
      <c r="CC360" s="77">
        <f t="shared" si="218"/>
        <v>0</v>
      </c>
      <c r="CD360" s="78"/>
      <c r="CE360" s="142"/>
      <c r="CF360" s="142"/>
      <c r="CG360" s="79">
        <f t="shared" si="219"/>
        <v>0</v>
      </c>
      <c r="CH360" s="75"/>
      <c r="CI360" s="76"/>
      <c r="CJ360" s="86"/>
      <c r="CK360" s="86"/>
      <c r="CL360" s="77">
        <f t="shared" si="220"/>
        <v>0</v>
      </c>
      <c r="CM360" s="78"/>
      <c r="CN360" s="85"/>
      <c r="CO360" s="85"/>
      <c r="CP360" s="77">
        <f t="shared" si="221"/>
        <v>0</v>
      </c>
      <c r="CQ360" s="78"/>
      <c r="CR360" s="85"/>
      <c r="CS360" s="85"/>
      <c r="CT360" s="79">
        <f t="shared" si="222"/>
        <v>0</v>
      </c>
      <c r="CU360" s="80">
        <f t="shared" si="223"/>
        <v>0</v>
      </c>
      <c r="CV360" s="81">
        <f t="shared" si="224"/>
        <v>0</v>
      </c>
      <c r="CW360" s="144"/>
      <c r="CX360" s="145">
        <f>IF(ISERROR(VLOOKUP($A360,FIJOS!$B$11:$O$590,14,FALSE)),0,VLOOKUP($A360,FIJOS!$B$11:$O$590,14,FALSE))</f>
        <v>0</v>
      </c>
      <c r="CY360" s="145">
        <f>IF(ISERROR(VLOOKUP(A360,FIJOS!$B$10:$P$590,15,FALSE)),0,VLOOKUP(A360,FIJOS!$B$10:$P$590,15,FALSE))</f>
        <v>0</v>
      </c>
      <c r="CZ360" s="155"/>
      <c r="DA360" s="147"/>
      <c r="DB360" s="147"/>
      <c r="DC360" s="147"/>
      <c r="DD360" s="147"/>
      <c r="DE360" s="147"/>
      <c r="DF360" s="145">
        <f>IF(ISERROR(VLOOKUP($A360,FIJOS!$B$11:$N$590,13,FALSE)),0,VLOOKUP($A360,FIJOS!$B$11:$N$590,13,FALSE))</f>
        <v>0</v>
      </c>
      <c r="DG360" s="145">
        <f>IF(ISERROR(VLOOKUP($A360,FIJOS!$B$11:$P$447,12,FALSE)),0,VLOOKUP($A360,FIJOS!$B$11:$P$447,12,FALSE))</f>
        <v>0</v>
      </c>
      <c r="DH360" s="82">
        <f t="shared" si="225"/>
        <v>0</v>
      </c>
      <c r="DI360" s="83" t="b">
        <f>IF($C360=1,(VLOOKUP($A360,FIJOS!$B$11:$P$545,10,FALSE)/7)*(7-$CU360),IF(AND($C360=2,CV360&lt;$DJ$1),(VLOOKUP($D360,HORAS!$B$4:$C$42,2,FALSE)*24)*$CV360,IF(AND($C360=2,CV360&gt;=$DJ$1),VLOOKUP($D360,HORAS!$B$4:$D$42,3,FALSE),IF(AND($C360=3,$CV360&gt;=$DJ$1),VLOOKUP($A360,FIJOS!$B$11:$P$545,10,FALSE),IF(AND($C360=3,$CV360&lt;$DJ$1),((VLOOKUP($A360,FIJOS!$B$11:$P$545,10,FALSE)/48)*24)*$CV360,IF(AND($C360=4,$CV360&gt;=(42/24)),VLOOKUP($D360,HORAS!$B$4:$D$42,3,FALSE),IF(AND($C360=5,$CV360&gt;=(36/24)),VLOOKUP($D360,HORAS!$B$4:$D$42,3,FALSE))))))))</f>
        <v>0</v>
      </c>
      <c r="DJ360" s="145">
        <f>IF(OR($C360=2),VLOOKUP($D360,HORAS!$B$4:$E$42,4,FALSE)*$EC360,IF(ISERROR(VLOOKUP($A360,FIJOS!$B$11:$P$108,9,FALSE)),0,VLOOKUP($A360,FIJOS!$B$11:$P$231,9,FALSE)*$EC360))</f>
        <v>0</v>
      </c>
      <c r="DK360" s="145">
        <f>IF(OR($C360=2),VLOOKUP($D360,HORAS!$B$4:$F$42,5,FALSE)*$EE360,IF(ISERROR(VLOOKUP($A360,FIJOS!$B$11:$P$108,9,FALSE)),0,VLOOKUP($A360,FIJOS!$B$11:$P$231,9,FALSE)*$EE360))</f>
        <v>0</v>
      </c>
      <c r="DL360" s="144"/>
      <c r="DM360" s="145">
        <f>IF(ISERROR(VLOOKUP($A360,FIJOS!$B$11:$L$646,11,FALSE)),0,VLOOKUP($A360,FIJOS!$B$11:$L$646,11,FALSE))</f>
        <v>0</v>
      </c>
      <c r="DN360" s="148" t="e">
        <f>IF(OR($C360=1,$C360=3),0,IF((VLOOKUP(CAPTURA!D360,HORAS!$B$4:$K$42,10,FALSE)/4)*COUNTIF($H360:$CT360,3)&gt;100,100,(VLOOKUP(CAPTURA!D360,HORAS!$B$4:$K$42,10,FALSE)/4)*COUNTIF($H360:$CT360,3)))</f>
        <v>#N/A</v>
      </c>
      <c r="DO360" s="144" t="e">
        <f>IF(OR($C360=1,$C360=3),0,IF($C360=5,VLOOKUP(D360,HORAS!$B$4:$G$42,6,FALSE),IF(AND($C360=4,$CV360&gt;=(42/24)),VLOOKUP(D360,HORAS!$B$4:$G$42,6,FALSE),IF(COUNTIF($H360:$CL360,"F")&gt;0,0,IF(CV360&gt;$DJ$1,$DJ$1*(VLOOKUP(D360,HORAS!$B$4:$G$42,6,FALSE)/$DJ$1),CV360*(VLOOKUP(D360,HORAS!$B$4:$G$42,6,FALSE)/$DJ$1))))))</f>
        <v>#N/A</v>
      </c>
      <c r="DP360" s="156"/>
      <c r="DQ360" s="148"/>
      <c r="DR360" s="148"/>
      <c r="DS360" s="83" t="e">
        <f t="shared" si="226"/>
        <v>#N/A</v>
      </c>
      <c r="DT360" s="84"/>
      <c r="DU360" s="149" t="e">
        <f t="shared" si="227"/>
        <v>#N/A</v>
      </c>
      <c r="DV360" s="149" t="e">
        <f t="shared" si="228"/>
        <v>#N/A</v>
      </c>
      <c r="DW360" s="144" t="e">
        <f t="shared" si="229"/>
        <v>#N/A</v>
      </c>
      <c r="DX360" s="168"/>
      <c r="DY360" s="29"/>
      <c r="DZ360" s="150"/>
      <c r="EA360" s="134"/>
      <c r="EB360" s="137">
        <f t="shared" si="230"/>
        <v>0</v>
      </c>
      <c r="EC360" s="138">
        <f t="shared" si="231"/>
        <v>0</v>
      </c>
      <c r="ED360" s="137">
        <f t="shared" si="232"/>
        <v>0</v>
      </c>
      <c r="EE360" s="132">
        <f t="shared" si="233"/>
        <v>0</v>
      </c>
      <c r="EF360" s="29"/>
      <c r="EG360" s="134"/>
      <c r="EH360" s="134"/>
      <c r="EI360" s="134"/>
      <c r="EK360" s="29"/>
    </row>
    <row r="361" spans="1:141" ht="15" customHeight="1" x14ac:dyDescent="0.25">
      <c r="A361" s="87"/>
      <c r="B361" s="5"/>
      <c r="C361" s="72"/>
      <c r="D361" s="73"/>
      <c r="E361" s="73"/>
      <c r="F361" s="141"/>
      <c r="G361" s="74"/>
      <c r="H361" s="75"/>
      <c r="I361" s="76"/>
      <c r="J361" s="135"/>
      <c r="K361" s="135"/>
      <c r="L361" s="77">
        <f t="shared" si="202"/>
        <v>0</v>
      </c>
      <c r="M361" s="78"/>
      <c r="N361" s="142"/>
      <c r="O361" s="142"/>
      <c r="P361" s="77">
        <f t="shared" si="203"/>
        <v>0</v>
      </c>
      <c r="Q361" s="78"/>
      <c r="R361" s="143"/>
      <c r="S361" s="143"/>
      <c r="T361" s="77">
        <f t="shared" si="204"/>
        <v>0</v>
      </c>
      <c r="U361" s="75"/>
      <c r="V361" s="76"/>
      <c r="W361" s="135"/>
      <c r="X361" s="135"/>
      <c r="Y361" s="77">
        <f t="shared" si="205"/>
        <v>0</v>
      </c>
      <c r="Z361" s="78"/>
      <c r="AA361" s="142"/>
      <c r="AB361" s="142"/>
      <c r="AC361" s="77">
        <f t="shared" si="206"/>
        <v>0</v>
      </c>
      <c r="AD361" s="78"/>
      <c r="AE361" s="143"/>
      <c r="AF361" s="143"/>
      <c r="AG361" s="79">
        <f t="shared" si="207"/>
        <v>0</v>
      </c>
      <c r="AH361" s="75"/>
      <c r="AI361" s="76"/>
      <c r="AJ361" s="135"/>
      <c r="AK361" s="135"/>
      <c r="AL361" s="77">
        <f t="shared" si="208"/>
        <v>0</v>
      </c>
      <c r="AM361" s="76"/>
      <c r="AN361" s="142"/>
      <c r="AO361" s="142"/>
      <c r="AP361" s="77">
        <f t="shared" si="209"/>
        <v>0</v>
      </c>
      <c r="AQ361" s="78"/>
      <c r="AR361" s="142"/>
      <c r="AS361" s="142"/>
      <c r="AT361" s="79">
        <f t="shared" si="210"/>
        <v>0</v>
      </c>
      <c r="AU361" s="75"/>
      <c r="AV361" s="76"/>
      <c r="AW361" s="135"/>
      <c r="AX361" s="135"/>
      <c r="AY361" s="77">
        <f t="shared" si="211"/>
        <v>0</v>
      </c>
      <c r="AZ361" s="76"/>
      <c r="BA361" s="142"/>
      <c r="BB361" s="142"/>
      <c r="BC361" s="77">
        <f t="shared" si="212"/>
        <v>0</v>
      </c>
      <c r="BD361" s="78"/>
      <c r="BE361" s="142"/>
      <c r="BF361" s="142"/>
      <c r="BG361" s="79">
        <f t="shared" si="213"/>
        <v>0</v>
      </c>
      <c r="BH361" s="75"/>
      <c r="BI361" s="76"/>
      <c r="BJ361" s="135"/>
      <c r="BK361" s="135"/>
      <c r="BL361" s="77">
        <f t="shared" si="214"/>
        <v>0</v>
      </c>
      <c r="BM361" s="78"/>
      <c r="BN361" s="142"/>
      <c r="BO361" s="142"/>
      <c r="BP361" s="77">
        <f t="shared" si="215"/>
        <v>0</v>
      </c>
      <c r="BQ361" s="78"/>
      <c r="BR361" s="142"/>
      <c r="BS361" s="142"/>
      <c r="BT361" s="79">
        <f t="shared" si="216"/>
        <v>0</v>
      </c>
      <c r="BU361" s="75"/>
      <c r="BV361" s="76"/>
      <c r="BW361" s="135"/>
      <c r="BX361" s="135"/>
      <c r="BY361" s="77">
        <f t="shared" si="217"/>
        <v>0</v>
      </c>
      <c r="BZ361" s="78"/>
      <c r="CA361" s="142"/>
      <c r="CB361" s="142"/>
      <c r="CC361" s="77">
        <f t="shared" si="218"/>
        <v>0</v>
      </c>
      <c r="CD361" s="78"/>
      <c r="CE361" s="142"/>
      <c r="CF361" s="142"/>
      <c r="CG361" s="79">
        <f t="shared" si="219"/>
        <v>0</v>
      </c>
      <c r="CH361" s="75"/>
      <c r="CI361" s="76"/>
      <c r="CJ361" s="86"/>
      <c r="CK361" s="86"/>
      <c r="CL361" s="77">
        <f t="shared" si="220"/>
        <v>0</v>
      </c>
      <c r="CM361" s="78"/>
      <c r="CN361" s="85"/>
      <c r="CO361" s="85"/>
      <c r="CP361" s="77">
        <f t="shared" si="221"/>
        <v>0</v>
      </c>
      <c r="CQ361" s="78"/>
      <c r="CR361" s="85"/>
      <c r="CS361" s="85"/>
      <c r="CT361" s="79">
        <f t="shared" si="222"/>
        <v>0</v>
      </c>
      <c r="CU361" s="80">
        <f t="shared" si="223"/>
        <v>0</v>
      </c>
      <c r="CV361" s="81">
        <f t="shared" si="224"/>
        <v>0</v>
      </c>
      <c r="CW361" s="144"/>
      <c r="CX361" s="145">
        <f>IF(ISERROR(VLOOKUP($A361,FIJOS!$B$11:$O$590,14,FALSE)),0,VLOOKUP($A361,FIJOS!$B$11:$O$590,14,FALSE))</f>
        <v>0</v>
      </c>
      <c r="CY361" s="145">
        <f>IF(ISERROR(VLOOKUP(A361,FIJOS!$B$10:$P$590,15,FALSE)),0,VLOOKUP(A361,FIJOS!$B$10:$P$590,15,FALSE))</f>
        <v>0</v>
      </c>
      <c r="CZ361" s="155"/>
      <c r="DA361" s="147"/>
      <c r="DB361" s="147"/>
      <c r="DC361" s="147"/>
      <c r="DD361" s="147"/>
      <c r="DE361" s="147"/>
      <c r="DF361" s="145">
        <f>IF(ISERROR(VLOOKUP($A361,FIJOS!$B$11:$N$590,13,FALSE)),0,VLOOKUP($A361,FIJOS!$B$11:$N$590,13,FALSE))</f>
        <v>0</v>
      </c>
      <c r="DG361" s="145">
        <f>IF(ISERROR(VLOOKUP($A361,FIJOS!$B$11:$P$447,12,FALSE)),0,VLOOKUP($A361,FIJOS!$B$11:$P$447,12,FALSE))</f>
        <v>0</v>
      </c>
      <c r="DH361" s="82">
        <f t="shared" si="225"/>
        <v>0</v>
      </c>
      <c r="DI361" s="83" t="b">
        <f>IF($C361=1,(VLOOKUP($A361,FIJOS!$B$11:$P$545,10,FALSE)/7)*(7-$CU361),IF(AND($C361=2,CV361&lt;$DJ$1),(VLOOKUP($D361,HORAS!$B$4:$C$42,2,FALSE)*24)*$CV361,IF(AND($C361=2,CV361&gt;=$DJ$1),VLOOKUP($D361,HORAS!$B$4:$D$42,3,FALSE),IF(AND($C361=3,$CV361&gt;=$DJ$1),VLOOKUP($A361,FIJOS!$B$11:$P$545,10,FALSE),IF(AND($C361=3,$CV361&lt;$DJ$1),((VLOOKUP($A361,FIJOS!$B$11:$P$545,10,FALSE)/48)*24)*$CV361,IF(AND($C361=4,$CV361&gt;=(42/24)),VLOOKUP($D361,HORAS!$B$4:$D$42,3,FALSE),IF(AND($C361=5,$CV361&gt;=(36/24)),VLOOKUP($D361,HORAS!$B$4:$D$42,3,FALSE))))))))</f>
        <v>0</v>
      </c>
      <c r="DJ361" s="145">
        <f>IF(OR($C361=2),VLOOKUP($D361,HORAS!$B$4:$E$42,4,FALSE)*$EC361,IF(ISERROR(VLOOKUP($A361,FIJOS!$B$11:$P$108,9,FALSE)),0,VLOOKUP($A361,FIJOS!$B$11:$P$231,9,FALSE)*$EC361))</f>
        <v>0</v>
      </c>
      <c r="DK361" s="145">
        <f>IF(OR($C361=2),VLOOKUP($D361,HORAS!$B$4:$F$42,5,FALSE)*$EE361,IF(ISERROR(VLOOKUP($A361,FIJOS!$B$11:$P$108,9,FALSE)),0,VLOOKUP($A361,FIJOS!$B$11:$P$231,9,FALSE)*$EE361))</f>
        <v>0</v>
      </c>
      <c r="DL361" s="144"/>
      <c r="DM361" s="145">
        <f>IF(ISERROR(VLOOKUP($A361,FIJOS!$B$11:$L$646,11,FALSE)),0,VLOOKUP($A361,FIJOS!$B$11:$L$646,11,FALSE))</f>
        <v>0</v>
      </c>
      <c r="DN361" s="148" t="e">
        <f>IF(OR($C361=1,$C361=3),0,IF((VLOOKUP(CAPTURA!D361,HORAS!$B$4:$K$42,10,FALSE)/4)*COUNTIF($H361:$CT361,3)&gt;100,100,(VLOOKUP(CAPTURA!D361,HORAS!$B$4:$K$42,10,FALSE)/4)*COUNTIF($H361:$CT361,3)))</f>
        <v>#N/A</v>
      </c>
      <c r="DO361" s="144" t="e">
        <f>IF(OR($C361=1,$C361=3),0,IF($C361=5,VLOOKUP(D361,HORAS!$B$4:$G$42,6,FALSE),IF(AND($C361=4,$CV361&gt;=(42/24)),VLOOKUP(D361,HORAS!$B$4:$G$42,6,FALSE),IF(COUNTIF($H361:$CL361,"F")&gt;0,0,IF(CV361&gt;$DJ$1,$DJ$1*(VLOOKUP(D361,HORAS!$B$4:$G$42,6,FALSE)/$DJ$1),CV361*(VLOOKUP(D361,HORAS!$B$4:$G$42,6,FALSE)/$DJ$1))))))</f>
        <v>#N/A</v>
      </c>
      <c r="DP361" s="156"/>
      <c r="DQ361" s="148"/>
      <c r="DR361" s="148"/>
      <c r="DS361" s="83" t="e">
        <f t="shared" si="226"/>
        <v>#N/A</v>
      </c>
      <c r="DT361" s="84"/>
      <c r="DU361" s="149" t="e">
        <f t="shared" si="227"/>
        <v>#N/A</v>
      </c>
      <c r="DV361" s="149" t="e">
        <f t="shared" si="228"/>
        <v>#N/A</v>
      </c>
      <c r="DW361" s="144" t="e">
        <f t="shared" si="229"/>
        <v>#N/A</v>
      </c>
      <c r="DX361" s="168"/>
      <c r="DY361" s="29"/>
      <c r="DZ361" s="150"/>
      <c r="EA361" s="134"/>
      <c r="EB361" s="137">
        <f t="shared" si="230"/>
        <v>0</v>
      </c>
      <c r="EC361" s="138">
        <f t="shared" si="231"/>
        <v>0</v>
      </c>
      <c r="ED361" s="137">
        <f t="shared" si="232"/>
        <v>0</v>
      </c>
      <c r="EE361" s="132">
        <f t="shared" si="233"/>
        <v>0</v>
      </c>
      <c r="EF361" s="29"/>
      <c r="EG361" s="134"/>
      <c r="EH361" s="134"/>
      <c r="EI361" s="134"/>
      <c r="EK361" s="29"/>
    </row>
    <row r="362" spans="1:141" ht="15" customHeight="1" x14ac:dyDescent="0.25">
      <c r="A362" s="87"/>
      <c r="B362" s="5"/>
      <c r="C362" s="72"/>
      <c r="D362" s="73"/>
      <c r="E362" s="73"/>
      <c r="F362" s="141"/>
      <c r="G362" s="74"/>
      <c r="H362" s="75"/>
      <c r="I362" s="76"/>
      <c r="J362" s="135"/>
      <c r="K362" s="135"/>
      <c r="L362" s="77">
        <f t="shared" si="202"/>
        <v>0</v>
      </c>
      <c r="M362" s="78"/>
      <c r="N362" s="142"/>
      <c r="O362" s="142"/>
      <c r="P362" s="77">
        <f t="shared" si="203"/>
        <v>0</v>
      </c>
      <c r="Q362" s="78"/>
      <c r="R362" s="143"/>
      <c r="S362" s="143"/>
      <c r="T362" s="77">
        <f t="shared" si="204"/>
        <v>0</v>
      </c>
      <c r="U362" s="75"/>
      <c r="V362" s="76"/>
      <c r="W362" s="135"/>
      <c r="X362" s="135"/>
      <c r="Y362" s="77">
        <f t="shared" si="205"/>
        <v>0</v>
      </c>
      <c r="Z362" s="78"/>
      <c r="AA362" s="142"/>
      <c r="AB362" s="142"/>
      <c r="AC362" s="77">
        <f t="shared" si="206"/>
        <v>0</v>
      </c>
      <c r="AD362" s="78"/>
      <c r="AE362" s="143"/>
      <c r="AF362" s="143"/>
      <c r="AG362" s="79">
        <f t="shared" si="207"/>
        <v>0</v>
      </c>
      <c r="AH362" s="75"/>
      <c r="AI362" s="76"/>
      <c r="AJ362" s="135"/>
      <c r="AK362" s="135"/>
      <c r="AL362" s="77">
        <f t="shared" si="208"/>
        <v>0</v>
      </c>
      <c r="AM362" s="76"/>
      <c r="AN362" s="142"/>
      <c r="AO362" s="142"/>
      <c r="AP362" s="77">
        <f t="shared" si="209"/>
        <v>0</v>
      </c>
      <c r="AQ362" s="78"/>
      <c r="AR362" s="142"/>
      <c r="AS362" s="142"/>
      <c r="AT362" s="79">
        <f t="shared" si="210"/>
        <v>0</v>
      </c>
      <c r="AU362" s="75"/>
      <c r="AV362" s="76"/>
      <c r="AW362" s="135"/>
      <c r="AX362" s="135"/>
      <c r="AY362" s="77">
        <f t="shared" si="211"/>
        <v>0</v>
      </c>
      <c r="AZ362" s="76"/>
      <c r="BA362" s="142"/>
      <c r="BB362" s="142"/>
      <c r="BC362" s="77">
        <f t="shared" si="212"/>
        <v>0</v>
      </c>
      <c r="BD362" s="78"/>
      <c r="BE362" s="142"/>
      <c r="BF362" s="142"/>
      <c r="BG362" s="79">
        <f t="shared" si="213"/>
        <v>0</v>
      </c>
      <c r="BH362" s="75"/>
      <c r="BI362" s="76"/>
      <c r="BJ362" s="135"/>
      <c r="BK362" s="135"/>
      <c r="BL362" s="77">
        <f t="shared" si="214"/>
        <v>0</v>
      </c>
      <c r="BM362" s="78"/>
      <c r="BN362" s="142"/>
      <c r="BO362" s="142"/>
      <c r="BP362" s="77">
        <f t="shared" si="215"/>
        <v>0</v>
      </c>
      <c r="BQ362" s="78"/>
      <c r="BR362" s="142"/>
      <c r="BS362" s="142"/>
      <c r="BT362" s="79">
        <f t="shared" si="216"/>
        <v>0</v>
      </c>
      <c r="BU362" s="75"/>
      <c r="BV362" s="76"/>
      <c r="BW362" s="135"/>
      <c r="BX362" s="135"/>
      <c r="BY362" s="77">
        <f t="shared" si="217"/>
        <v>0</v>
      </c>
      <c r="BZ362" s="78"/>
      <c r="CA362" s="142"/>
      <c r="CB362" s="142"/>
      <c r="CC362" s="77">
        <f t="shared" si="218"/>
        <v>0</v>
      </c>
      <c r="CD362" s="78"/>
      <c r="CE362" s="142"/>
      <c r="CF362" s="142"/>
      <c r="CG362" s="79">
        <f t="shared" si="219"/>
        <v>0</v>
      </c>
      <c r="CH362" s="75"/>
      <c r="CI362" s="76"/>
      <c r="CJ362" s="86"/>
      <c r="CK362" s="86"/>
      <c r="CL362" s="77">
        <f t="shared" si="220"/>
        <v>0</v>
      </c>
      <c r="CM362" s="78"/>
      <c r="CN362" s="85"/>
      <c r="CO362" s="85"/>
      <c r="CP362" s="77">
        <f t="shared" si="221"/>
        <v>0</v>
      </c>
      <c r="CQ362" s="78"/>
      <c r="CR362" s="85"/>
      <c r="CS362" s="85"/>
      <c r="CT362" s="79">
        <f t="shared" si="222"/>
        <v>0</v>
      </c>
      <c r="CU362" s="80">
        <f t="shared" si="223"/>
        <v>0</v>
      </c>
      <c r="CV362" s="81">
        <f t="shared" si="224"/>
        <v>0</v>
      </c>
      <c r="CW362" s="144"/>
      <c r="CX362" s="145">
        <f>IF(ISERROR(VLOOKUP($A362,FIJOS!$B$11:$O$590,14,FALSE)),0,VLOOKUP($A362,FIJOS!$B$11:$O$590,14,FALSE))</f>
        <v>0</v>
      </c>
      <c r="CY362" s="145">
        <f>IF(ISERROR(VLOOKUP(A362,FIJOS!$B$10:$P$590,15,FALSE)),0,VLOOKUP(A362,FIJOS!$B$10:$P$590,15,FALSE))</f>
        <v>0</v>
      </c>
      <c r="CZ362" s="155"/>
      <c r="DA362" s="147"/>
      <c r="DB362" s="147"/>
      <c r="DC362" s="147"/>
      <c r="DD362" s="147"/>
      <c r="DE362" s="147"/>
      <c r="DF362" s="145">
        <f>IF(ISERROR(VLOOKUP($A362,FIJOS!$B$11:$N$590,13,FALSE)),0,VLOOKUP($A362,FIJOS!$B$11:$N$590,13,FALSE))</f>
        <v>0</v>
      </c>
      <c r="DG362" s="145">
        <f>IF(ISERROR(VLOOKUP($A362,FIJOS!$B$11:$P$447,12,FALSE)),0,VLOOKUP($A362,FIJOS!$B$11:$P$447,12,FALSE))</f>
        <v>0</v>
      </c>
      <c r="DH362" s="82">
        <f t="shared" si="225"/>
        <v>0</v>
      </c>
      <c r="DI362" s="83" t="b">
        <f>IF($C362=1,(VLOOKUP($A362,FIJOS!$B$11:$P$545,10,FALSE)/7)*(7-$CU362),IF(AND($C362=2,CV362&lt;$DJ$1),(VLOOKUP($D362,HORAS!$B$4:$C$42,2,FALSE)*24)*$CV362,IF(AND($C362=2,CV362&gt;=$DJ$1),VLOOKUP($D362,HORAS!$B$4:$D$42,3,FALSE),IF(AND($C362=3,$CV362&gt;=$DJ$1),VLOOKUP($A362,FIJOS!$B$11:$P$545,10,FALSE),IF(AND($C362=3,$CV362&lt;$DJ$1),((VLOOKUP($A362,FIJOS!$B$11:$P$545,10,FALSE)/48)*24)*$CV362,IF(AND($C362=4,$CV362&gt;=(42/24)),VLOOKUP($D362,HORAS!$B$4:$D$42,3,FALSE),IF(AND($C362=5,$CV362&gt;=(36/24)),VLOOKUP($D362,HORAS!$B$4:$D$42,3,FALSE))))))))</f>
        <v>0</v>
      </c>
      <c r="DJ362" s="145">
        <f>IF(OR($C362=2),VLOOKUP($D362,HORAS!$B$4:$E$42,4,FALSE)*$EC362,IF(ISERROR(VLOOKUP($A362,FIJOS!$B$11:$P$108,9,FALSE)),0,VLOOKUP($A362,FIJOS!$B$11:$P$231,9,FALSE)*$EC362))</f>
        <v>0</v>
      </c>
      <c r="DK362" s="145">
        <f>IF(OR($C362=2),VLOOKUP($D362,HORAS!$B$4:$F$42,5,FALSE)*$EE362,IF(ISERROR(VLOOKUP($A362,FIJOS!$B$11:$P$108,9,FALSE)),0,VLOOKUP($A362,FIJOS!$B$11:$P$231,9,FALSE)*$EE362))</f>
        <v>0</v>
      </c>
      <c r="DL362" s="144"/>
      <c r="DM362" s="145">
        <f>IF(ISERROR(VLOOKUP($A362,FIJOS!$B$11:$L$646,11,FALSE)),0,VLOOKUP($A362,FIJOS!$B$11:$L$646,11,FALSE))</f>
        <v>0</v>
      </c>
      <c r="DN362" s="148" t="e">
        <f>IF(OR($C362=1,$C362=3),0,IF((VLOOKUP(CAPTURA!D362,HORAS!$B$4:$K$42,10,FALSE)/4)*COUNTIF($H362:$CT362,3)&gt;100,100,(VLOOKUP(CAPTURA!D362,HORAS!$B$4:$K$42,10,FALSE)/4)*COUNTIF($H362:$CT362,3)))</f>
        <v>#N/A</v>
      </c>
      <c r="DO362" s="144" t="e">
        <f>IF(OR($C362=1,$C362=3),0,IF($C362=5,VLOOKUP(D362,HORAS!$B$4:$G$42,6,FALSE),IF(AND($C362=4,$CV362&gt;=(42/24)),VLOOKUP(D362,HORAS!$B$4:$G$42,6,FALSE),IF(COUNTIF($H362:$CL362,"F")&gt;0,0,IF(CV362&gt;$DJ$1,$DJ$1*(VLOOKUP(D362,HORAS!$B$4:$G$42,6,FALSE)/$DJ$1),CV362*(VLOOKUP(D362,HORAS!$B$4:$G$42,6,FALSE)/$DJ$1))))))</f>
        <v>#N/A</v>
      </c>
      <c r="DP362" s="156"/>
      <c r="DQ362" s="148"/>
      <c r="DR362" s="148"/>
      <c r="DS362" s="83" t="e">
        <f t="shared" si="226"/>
        <v>#N/A</v>
      </c>
      <c r="DT362" s="84"/>
      <c r="DU362" s="149" t="e">
        <f t="shared" si="227"/>
        <v>#N/A</v>
      </c>
      <c r="DV362" s="149" t="e">
        <f t="shared" si="228"/>
        <v>#N/A</v>
      </c>
      <c r="DW362" s="144" t="e">
        <f t="shared" si="229"/>
        <v>#N/A</v>
      </c>
      <c r="DX362" s="168"/>
      <c r="DY362" s="29"/>
      <c r="DZ362" s="150"/>
      <c r="EA362" s="134"/>
      <c r="EB362" s="137">
        <f t="shared" si="230"/>
        <v>0</v>
      </c>
      <c r="EC362" s="138">
        <f t="shared" si="231"/>
        <v>0</v>
      </c>
      <c r="ED362" s="137">
        <f t="shared" si="232"/>
        <v>0</v>
      </c>
      <c r="EE362" s="132">
        <f t="shared" si="233"/>
        <v>0</v>
      </c>
      <c r="EF362" s="29"/>
      <c r="EG362" s="134"/>
      <c r="EH362" s="134"/>
      <c r="EI362" s="134"/>
      <c r="EK362" s="29"/>
    </row>
    <row r="363" spans="1:141" ht="15" customHeight="1" x14ac:dyDescent="0.25">
      <c r="A363" s="87"/>
      <c r="B363" s="5"/>
      <c r="C363" s="72"/>
      <c r="D363" s="73"/>
      <c r="E363" s="73"/>
      <c r="F363" s="141"/>
      <c r="G363" s="74"/>
      <c r="H363" s="75"/>
      <c r="I363" s="76"/>
      <c r="J363" s="135"/>
      <c r="K363" s="135"/>
      <c r="L363" s="77">
        <f t="shared" si="202"/>
        <v>0</v>
      </c>
      <c r="M363" s="78"/>
      <c r="N363" s="142"/>
      <c r="O363" s="142"/>
      <c r="P363" s="77">
        <f t="shared" si="203"/>
        <v>0</v>
      </c>
      <c r="Q363" s="78"/>
      <c r="R363" s="143"/>
      <c r="S363" s="143"/>
      <c r="T363" s="77">
        <f t="shared" si="204"/>
        <v>0</v>
      </c>
      <c r="U363" s="75"/>
      <c r="V363" s="76"/>
      <c r="W363" s="135"/>
      <c r="X363" s="135"/>
      <c r="Y363" s="77">
        <f t="shared" si="205"/>
        <v>0</v>
      </c>
      <c r="Z363" s="78"/>
      <c r="AA363" s="142"/>
      <c r="AB363" s="142"/>
      <c r="AC363" s="77">
        <f t="shared" si="206"/>
        <v>0</v>
      </c>
      <c r="AD363" s="78"/>
      <c r="AE363" s="143"/>
      <c r="AF363" s="143"/>
      <c r="AG363" s="79">
        <f t="shared" si="207"/>
        <v>0</v>
      </c>
      <c r="AH363" s="75"/>
      <c r="AI363" s="76"/>
      <c r="AJ363" s="135"/>
      <c r="AK363" s="135"/>
      <c r="AL363" s="77">
        <f t="shared" si="208"/>
        <v>0</v>
      </c>
      <c r="AM363" s="76"/>
      <c r="AN363" s="142"/>
      <c r="AO363" s="142"/>
      <c r="AP363" s="77">
        <f t="shared" si="209"/>
        <v>0</v>
      </c>
      <c r="AQ363" s="78"/>
      <c r="AR363" s="142"/>
      <c r="AS363" s="142"/>
      <c r="AT363" s="79">
        <f t="shared" si="210"/>
        <v>0</v>
      </c>
      <c r="AU363" s="75"/>
      <c r="AV363" s="76"/>
      <c r="AW363" s="135"/>
      <c r="AX363" s="135"/>
      <c r="AY363" s="77">
        <f t="shared" si="211"/>
        <v>0</v>
      </c>
      <c r="AZ363" s="76"/>
      <c r="BA363" s="142"/>
      <c r="BB363" s="142"/>
      <c r="BC363" s="77">
        <f t="shared" si="212"/>
        <v>0</v>
      </c>
      <c r="BD363" s="78"/>
      <c r="BE363" s="142"/>
      <c r="BF363" s="142"/>
      <c r="BG363" s="79">
        <f t="shared" si="213"/>
        <v>0</v>
      </c>
      <c r="BH363" s="75"/>
      <c r="BI363" s="76"/>
      <c r="BJ363" s="135"/>
      <c r="BK363" s="135"/>
      <c r="BL363" s="77">
        <f t="shared" si="214"/>
        <v>0</v>
      </c>
      <c r="BM363" s="78"/>
      <c r="BN363" s="142"/>
      <c r="BO363" s="142"/>
      <c r="BP363" s="77">
        <f t="shared" si="215"/>
        <v>0</v>
      </c>
      <c r="BQ363" s="78"/>
      <c r="BR363" s="142"/>
      <c r="BS363" s="142"/>
      <c r="BT363" s="79">
        <f t="shared" si="216"/>
        <v>0</v>
      </c>
      <c r="BU363" s="75"/>
      <c r="BV363" s="76"/>
      <c r="BW363" s="135"/>
      <c r="BX363" s="135"/>
      <c r="BY363" s="77">
        <f t="shared" si="217"/>
        <v>0</v>
      </c>
      <c r="BZ363" s="78"/>
      <c r="CA363" s="142"/>
      <c r="CB363" s="142"/>
      <c r="CC363" s="77">
        <f t="shared" si="218"/>
        <v>0</v>
      </c>
      <c r="CD363" s="78"/>
      <c r="CE363" s="142"/>
      <c r="CF363" s="142"/>
      <c r="CG363" s="79">
        <f t="shared" si="219"/>
        <v>0</v>
      </c>
      <c r="CH363" s="75"/>
      <c r="CI363" s="76"/>
      <c r="CJ363" s="86"/>
      <c r="CK363" s="86"/>
      <c r="CL363" s="77">
        <f t="shared" si="220"/>
        <v>0</v>
      </c>
      <c r="CM363" s="78"/>
      <c r="CN363" s="85"/>
      <c r="CO363" s="85"/>
      <c r="CP363" s="77">
        <f t="shared" si="221"/>
        <v>0</v>
      </c>
      <c r="CQ363" s="78"/>
      <c r="CR363" s="85"/>
      <c r="CS363" s="85"/>
      <c r="CT363" s="79">
        <f t="shared" si="222"/>
        <v>0</v>
      </c>
      <c r="CU363" s="80">
        <f t="shared" si="223"/>
        <v>0</v>
      </c>
      <c r="CV363" s="81">
        <f t="shared" si="224"/>
        <v>0</v>
      </c>
      <c r="CW363" s="144"/>
      <c r="CX363" s="145">
        <f>IF(ISERROR(VLOOKUP($A363,FIJOS!$B$11:$O$590,14,FALSE)),0,VLOOKUP($A363,FIJOS!$B$11:$O$590,14,FALSE))</f>
        <v>0</v>
      </c>
      <c r="CY363" s="145">
        <f>IF(ISERROR(VLOOKUP(A363,FIJOS!$B$10:$P$590,15,FALSE)),0,VLOOKUP(A363,FIJOS!$B$10:$P$590,15,FALSE))</f>
        <v>0</v>
      </c>
      <c r="CZ363" s="155"/>
      <c r="DA363" s="147"/>
      <c r="DB363" s="147"/>
      <c r="DC363" s="147"/>
      <c r="DD363" s="147"/>
      <c r="DE363" s="147"/>
      <c r="DF363" s="145">
        <f>IF(ISERROR(VLOOKUP($A363,FIJOS!$B$11:$N$590,13,FALSE)),0,VLOOKUP($A363,FIJOS!$B$11:$N$590,13,FALSE))</f>
        <v>0</v>
      </c>
      <c r="DG363" s="145">
        <f>IF(ISERROR(VLOOKUP($A363,FIJOS!$B$11:$P$447,12,FALSE)),0,VLOOKUP($A363,FIJOS!$B$11:$P$447,12,FALSE))</f>
        <v>0</v>
      </c>
      <c r="DH363" s="82">
        <f t="shared" si="225"/>
        <v>0</v>
      </c>
      <c r="DI363" s="83" t="b">
        <f>IF($C363=1,(VLOOKUP($A363,FIJOS!$B$11:$P$545,10,FALSE)/7)*(7-$CU363),IF(AND($C363=2,CV363&lt;$DJ$1),(VLOOKUP($D363,HORAS!$B$4:$C$42,2,FALSE)*24)*$CV363,IF(AND($C363=2,CV363&gt;=$DJ$1),VLOOKUP($D363,HORAS!$B$4:$D$42,3,FALSE),IF(AND($C363=3,$CV363&gt;=$DJ$1),VLOOKUP($A363,FIJOS!$B$11:$P$545,10,FALSE),IF(AND($C363=3,$CV363&lt;$DJ$1),((VLOOKUP($A363,FIJOS!$B$11:$P$545,10,FALSE)/48)*24)*$CV363,IF(AND($C363=4,$CV363&gt;=(42/24)),VLOOKUP($D363,HORAS!$B$4:$D$42,3,FALSE),IF(AND($C363=5,$CV363&gt;=(36/24)),VLOOKUP($D363,HORAS!$B$4:$D$42,3,FALSE))))))))</f>
        <v>0</v>
      </c>
      <c r="DJ363" s="145">
        <f>IF(OR($C363=2),VLOOKUP($D363,HORAS!$B$4:$E$42,4,FALSE)*$EC363,IF(ISERROR(VLOOKUP($A363,FIJOS!$B$11:$P$108,9,FALSE)),0,VLOOKUP($A363,FIJOS!$B$11:$P$231,9,FALSE)*$EC363))</f>
        <v>0</v>
      </c>
      <c r="DK363" s="145">
        <f>IF(OR($C363=2),VLOOKUP($D363,HORAS!$B$4:$F$42,5,FALSE)*$EE363,IF(ISERROR(VLOOKUP($A363,FIJOS!$B$11:$P$108,9,FALSE)),0,VLOOKUP($A363,FIJOS!$B$11:$P$231,9,FALSE)*$EE363))</f>
        <v>0</v>
      </c>
      <c r="DL363" s="144"/>
      <c r="DM363" s="145">
        <f>IF(ISERROR(VLOOKUP($A363,FIJOS!$B$11:$L$646,11,FALSE)),0,VLOOKUP($A363,FIJOS!$B$11:$L$646,11,FALSE))</f>
        <v>0</v>
      </c>
      <c r="DN363" s="148" t="e">
        <f>IF(OR($C363=1,$C363=3),0,IF((VLOOKUP(CAPTURA!D363,HORAS!$B$4:$K$42,10,FALSE)/4)*COUNTIF($H363:$CT363,3)&gt;100,100,(VLOOKUP(CAPTURA!D363,HORAS!$B$4:$K$42,10,FALSE)/4)*COUNTIF($H363:$CT363,3)))</f>
        <v>#N/A</v>
      </c>
      <c r="DO363" s="144" t="e">
        <f>IF(OR($C363=1,$C363=3),0,IF($C363=5,VLOOKUP(D363,HORAS!$B$4:$G$42,6,FALSE),IF(AND($C363=4,$CV363&gt;=(42/24)),VLOOKUP(D363,HORAS!$B$4:$G$42,6,FALSE),IF(COUNTIF($H363:$CL363,"F")&gt;0,0,IF(CV363&gt;$DJ$1,$DJ$1*(VLOOKUP(D363,HORAS!$B$4:$G$42,6,FALSE)/$DJ$1),CV363*(VLOOKUP(D363,HORAS!$B$4:$G$42,6,FALSE)/$DJ$1))))))</f>
        <v>#N/A</v>
      </c>
      <c r="DP363" s="156"/>
      <c r="DQ363" s="148"/>
      <c r="DR363" s="148"/>
      <c r="DS363" s="83" t="e">
        <f t="shared" si="226"/>
        <v>#N/A</v>
      </c>
      <c r="DT363" s="84"/>
      <c r="DU363" s="149" t="e">
        <f t="shared" si="227"/>
        <v>#N/A</v>
      </c>
      <c r="DV363" s="149" t="e">
        <f t="shared" si="228"/>
        <v>#N/A</v>
      </c>
      <c r="DW363" s="144" t="e">
        <f t="shared" si="229"/>
        <v>#N/A</v>
      </c>
      <c r="DX363" s="168"/>
      <c r="DY363" s="29"/>
      <c r="DZ363" s="150"/>
      <c r="EA363" s="134"/>
      <c r="EB363" s="137">
        <f t="shared" si="230"/>
        <v>0</v>
      </c>
      <c r="EC363" s="138">
        <f t="shared" si="231"/>
        <v>0</v>
      </c>
      <c r="ED363" s="137">
        <f t="shared" si="232"/>
        <v>0</v>
      </c>
      <c r="EE363" s="132">
        <f t="shared" si="233"/>
        <v>0</v>
      </c>
      <c r="EF363" s="29"/>
      <c r="EG363" s="134"/>
      <c r="EH363" s="134"/>
      <c r="EI363" s="134"/>
      <c r="EK363" s="29"/>
    </row>
    <row r="364" spans="1:141" ht="15" customHeight="1" x14ac:dyDescent="0.25">
      <c r="A364" s="87"/>
      <c r="B364" s="5"/>
      <c r="C364" s="72"/>
      <c r="D364" s="73"/>
      <c r="E364" s="73"/>
      <c r="F364" s="141"/>
      <c r="G364" s="74"/>
      <c r="H364" s="75"/>
      <c r="I364" s="76"/>
      <c r="J364" s="135"/>
      <c r="K364" s="135"/>
      <c r="L364" s="77">
        <f t="shared" si="202"/>
        <v>0</v>
      </c>
      <c r="M364" s="78"/>
      <c r="N364" s="142"/>
      <c r="O364" s="142"/>
      <c r="P364" s="77">
        <f t="shared" si="203"/>
        <v>0</v>
      </c>
      <c r="Q364" s="78"/>
      <c r="R364" s="143"/>
      <c r="S364" s="143"/>
      <c r="T364" s="77">
        <f t="shared" si="204"/>
        <v>0</v>
      </c>
      <c r="U364" s="75"/>
      <c r="V364" s="76"/>
      <c r="W364" s="135"/>
      <c r="X364" s="135"/>
      <c r="Y364" s="77">
        <f t="shared" si="205"/>
        <v>0</v>
      </c>
      <c r="Z364" s="78"/>
      <c r="AA364" s="142"/>
      <c r="AB364" s="142"/>
      <c r="AC364" s="77">
        <f t="shared" si="206"/>
        <v>0</v>
      </c>
      <c r="AD364" s="78"/>
      <c r="AE364" s="143"/>
      <c r="AF364" s="143"/>
      <c r="AG364" s="79">
        <f t="shared" si="207"/>
        <v>0</v>
      </c>
      <c r="AH364" s="75"/>
      <c r="AI364" s="76"/>
      <c r="AJ364" s="135"/>
      <c r="AK364" s="135"/>
      <c r="AL364" s="77">
        <f t="shared" si="208"/>
        <v>0</v>
      </c>
      <c r="AM364" s="76"/>
      <c r="AN364" s="142"/>
      <c r="AO364" s="142"/>
      <c r="AP364" s="77">
        <f t="shared" si="209"/>
        <v>0</v>
      </c>
      <c r="AQ364" s="78"/>
      <c r="AR364" s="142"/>
      <c r="AS364" s="142"/>
      <c r="AT364" s="79">
        <f t="shared" si="210"/>
        <v>0</v>
      </c>
      <c r="AU364" s="75"/>
      <c r="AV364" s="76"/>
      <c r="AW364" s="135"/>
      <c r="AX364" s="135"/>
      <c r="AY364" s="77">
        <f t="shared" si="211"/>
        <v>0</v>
      </c>
      <c r="AZ364" s="76"/>
      <c r="BA364" s="142"/>
      <c r="BB364" s="142"/>
      <c r="BC364" s="77">
        <f t="shared" si="212"/>
        <v>0</v>
      </c>
      <c r="BD364" s="78"/>
      <c r="BE364" s="142"/>
      <c r="BF364" s="142"/>
      <c r="BG364" s="79">
        <f t="shared" si="213"/>
        <v>0</v>
      </c>
      <c r="BH364" s="75"/>
      <c r="BI364" s="76"/>
      <c r="BJ364" s="135"/>
      <c r="BK364" s="135"/>
      <c r="BL364" s="77">
        <f t="shared" si="214"/>
        <v>0</v>
      </c>
      <c r="BM364" s="78"/>
      <c r="BN364" s="142"/>
      <c r="BO364" s="142"/>
      <c r="BP364" s="77">
        <f t="shared" si="215"/>
        <v>0</v>
      </c>
      <c r="BQ364" s="78"/>
      <c r="BR364" s="142"/>
      <c r="BS364" s="142"/>
      <c r="BT364" s="79">
        <f t="shared" si="216"/>
        <v>0</v>
      </c>
      <c r="BU364" s="75"/>
      <c r="BV364" s="76"/>
      <c r="BW364" s="135"/>
      <c r="BX364" s="135"/>
      <c r="BY364" s="77">
        <f t="shared" si="217"/>
        <v>0</v>
      </c>
      <c r="BZ364" s="78"/>
      <c r="CA364" s="142"/>
      <c r="CB364" s="142"/>
      <c r="CC364" s="77">
        <f t="shared" si="218"/>
        <v>0</v>
      </c>
      <c r="CD364" s="78"/>
      <c r="CE364" s="142"/>
      <c r="CF364" s="142"/>
      <c r="CG364" s="79">
        <f t="shared" si="219"/>
        <v>0</v>
      </c>
      <c r="CH364" s="75"/>
      <c r="CI364" s="76"/>
      <c r="CJ364" s="86"/>
      <c r="CK364" s="86"/>
      <c r="CL364" s="77">
        <f t="shared" si="220"/>
        <v>0</v>
      </c>
      <c r="CM364" s="78"/>
      <c r="CN364" s="85"/>
      <c r="CO364" s="85"/>
      <c r="CP364" s="77">
        <f t="shared" si="221"/>
        <v>0</v>
      </c>
      <c r="CQ364" s="78"/>
      <c r="CR364" s="85"/>
      <c r="CS364" s="85"/>
      <c r="CT364" s="79">
        <f t="shared" si="222"/>
        <v>0</v>
      </c>
      <c r="CU364" s="80">
        <f t="shared" si="223"/>
        <v>0</v>
      </c>
      <c r="CV364" s="81">
        <f t="shared" si="224"/>
        <v>0</v>
      </c>
      <c r="CW364" s="144"/>
      <c r="CX364" s="145">
        <f>IF(ISERROR(VLOOKUP($A364,FIJOS!$B$11:$O$590,14,FALSE)),0,VLOOKUP($A364,FIJOS!$B$11:$O$590,14,FALSE))</f>
        <v>0</v>
      </c>
      <c r="CY364" s="145">
        <f>IF(ISERROR(VLOOKUP(A364,FIJOS!$B$10:$P$590,15,FALSE)),0,VLOOKUP(A364,FIJOS!$B$10:$P$590,15,FALSE))</f>
        <v>0</v>
      </c>
      <c r="CZ364" s="155"/>
      <c r="DA364" s="147"/>
      <c r="DB364" s="147"/>
      <c r="DC364" s="147"/>
      <c r="DD364" s="147"/>
      <c r="DE364" s="147"/>
      <c r="DF364" s="145">
        <f>IF(ISERROR(VLOOKUP($A364,FIJOS!$B$11:$N$590,13,FALSE)),0,VLOOKUP($A364,FIJOS!$B$11:$N$590,13,FALSE))</f>
        <v>0</v>
      </c>
      <c r="DG364" s="145">
        <f>IF(ISERROR(VLOOKUP($A364,FIJOS!$B$11:$P$447,12,FALSE)),0,VLOOKUP($A364,FIJOS!$B$11:$P$447,12,FALSE))</f>
        <v>0</v>
      </c>
      <c r="DH364" s="82">
        <f t="shared" si="225"/>
        <v>0</v>
      </c>
      <c r="DI364" s="83" t="b">
        <f>IF($C364=1,(VLOOKUP($A364,FIJOS!$B$11:$P$545,10,FALSE)/7)*(7-$CU364),IF(AND($C364=2,CV364&lt;$DJ$1),(VLOOKUP($D364,HORAS!$B$4:$C$42,2,FALSE)*24)*$CV364,IF(AND($C364=2,CV364&gt;=$DJ$1),VLOOKUP($D364,HORAS!$B$4:$D$42,3,FALSE),IF(AND($C364=3,$CV364&gt;=$DJ$1),VLOOKUP($A364,FIJOS!$B$11:$P$545,10,FALSE),IF(AND($C364=3,$CV364&lt;$DJ$1),((VLOOKUP($A364,FIJOS!$B$11:$P$545,10,FALSE)/48)*24)*$CV364,IF(AND($C364=4,$CV364&gt;=(42/24)),VLOOKUP($D364,HORAS!$B$4:$D$42,3,FALSE),IF(AND($C364=5,$CV364&gt;=(36/24)),VLOOKUP($D364,HORAS!$B$4:$D$42,3,FALSE))))))))</f>
        <v>0</v>
      </c>
      <c r="DJ364" s="145">
        <f>IF(OR($C364=2),VLOOKUP($D364,HORAS!$B$4:$E$42,4,FALSE)*$EC364,IF(ISERROR(VLOOKUP($A364,FIJOS!$B$11:$P$108,9,FALSE)),0,VLOOKUP($A364,FIJOS!$B$11:$P$231,9,FALSE)*$EC364))</f>
        <v>0</v>
      </c>
      <c r="DK364" s="145">
        <f>IF(OR($C364=2),VLOOKUP($D364,HORAS!$B$4:$F$42,5,FALSE)*$EE364,IF(ISERROR(VLOOKUP($A364,FIJOS!$B$11:$P$108,9,FALSE)),0,VLOOKUP($A364,FIJOS!$B$11:$P$231,9,FALSE)*$EE364))</f>
        <v>0</v>
      </c>
      <c r="DL364" s="144"/>
      <c r="DM364" s="145">
        <f>IF(ISERROR(VLOOKUP($A364,FIJOS!$B$11:$L$646,11,FALSE)),0,VLOOKUP($A364,FIJOS!$B$11:$L$646,11,FALSE))</f>
        <v>0</v>
      </c>
      <c r="DN364" s="148" t="e">
        <f>IF(OR($C364=1,$C364=3),0,IF((VLOOKUP(CAPTURA!D364,HORAS!$B$4:$K$42,10,FALSE)/4)*COUNTIF($H364:$CT364,3)&gt;100,100,(VLOOKUP(CAPTURA!D364,HORAS!$B$4:$K$42,10,FALSE)/4)*COUNTIF($H364:$CT364,3)))</f>
        <v>#N/A</v>
      </c>
      <c r="DO364" s="144" t="e">
        <f>IF(OR($C364=1,$C364=3),0,IF($C364=5,VLOOKUP(D364,HORAS!$B$4:$G$42,6,FALSE),IF(AND($C364=4,$CV364&gt;=(42/24)),VLOOKUP(D364,HORAS!$B$4:$G$42,6,FALSE),IF(COUNTIF($H364:$CL364,"F")&gt;0,0,IF(CV364&gt;$DJ$1,$DJ$1*(VLOOKUP(D364,HORAS!$B$4:$G$42,6,FALSE)/$DJ$1),CV364*(VLOOKUP(D364,HORAS!$B$4:$G$42,6,FALSE)/$DJ$1))))))</f>
        <v>#N/A</v>
      </c>
      <c r="DP364" s="156"/>
      <c r="DQ364" s="148"/>
      <c r="DR364" s="148"/>
      <c r="DS364" s="83" t="e">
        <f t="shared" si="226"/>
        <v>#N/A</v>
      </c>
      <c r="DT364" s="84"/>
      <c r="DU364" s="149" t="e">
        <f t="shared" si="227"/>
        <v>#N/A</v>
      </c>
      <c r="DV364" s="149" t="e">
        <f t="shared" si="228"/>
        <v>#N/A</v>
      </c>
      <c r="DW364" s="144" t="e">
        <f t="shared" si="229"/>
        <v>#N/A</v>
      </c>
      <c r="DX364" s="168"/>
      <c r="DY364" s="29"/>
      <c r="DZ364" s="150"/>
      <c r="EA364" s="134"/>
      <c r="EB364" s="137">
        <f t="shared" si="230"/>
        <v>0</v>
      </c>
      <c r="EC364" s="138">
        <f t="shared" si="231"/>
        <v>0</v>
      </c>
      <c r="ED364" s="137">
        <f t="shared" si="232"/>
        <v>0</v>
      </c>
      <c r="EE364" s="132">
        <f t="shared" si="233"/>
        <v>0</v>
      </c>
      <c r="EF364" s="29"/>
      <c r="EG364" s="134"/>
      <c r="EH364" s="134"/>
      <c r="EI364" s="134"/>
      <c r="EK364" s="29"/>
    </row>
    <row r="365" spans="1:141" ht="15" customHeight="1" x14ac:dyDescent="0.25">
      <c r="A365" s="87"/>
      <c r="B365" s="5"/>
      <c r="C365" s="72"/>
      <c r="D365" s="73"/>
      <c r="E365" s="73"/>
      <c r="F365" s="141"/>
      <c r="G365" s="74"/>
      <c r="H365" s="75"/>
      <c r="I365" s="76"/>
      <c r="J365" s="135"/>
      <c r="K365" s="135"/>
      <c r="L365" s="77">
        <f t="shared" si="202"/>
        <v>0</v>
      </c>
      <c r="M365" s="78"/>
      <c r="N365" s="142"/>
      <c r="O365" s="142"/>
      <c r="P365" s="77">
        <f t="shared" si="203"/>
        <v>0</v>
      </c>
      <c r="Q365" s="78"/>
      <c r="R365" s="143"/>
      <c r="S365" s="143"/>
      <c r="T365" s="77">
        <f t="shared" si="204"/>
        <v>0</v>
      </c>
      <c r="U365" s="75"/>
      <c r="V365" s="76"/>
      <c r="W365" s="135"/>
      <c r="X365" s="135"/>
      <c r="Y365" s="77">
        <f t="shared" si="205"/>
        <v>0</v>
      </c>
      <c r="Z365" s="78"/>
      <c r="AA365" s="142"/>
      <c r="AB365" s="142"/>
      <c r="AC365" s="77">
        <f t="shared" si="206"/>
        <v>0</v>
      </c>
      <c r="AD365" s="78"/>
      <c r="AE365" s="143"/>
      <c r="AF365" s="143"/>
      <c r="AG365" s="79">
        <f t="shared" si="207"/>
        <v>0</v>
      </c>
      <c r="AH365" s="75"/>
      <c r="AI365" s="76"/>
      <c r="AJ365" s="135"/>
      <c r="AK365" s="135"/>
      <c r="AL365" s="77">
        <f t="shared" si="208"/>
        <v>0</v>
      </c>
      <c r="AM365" s="76"/>
      <c r="AN365" s="142"/>
      <c r="AO365" s="142"/>
      <c r="AP365" s="77">
        <f t="shared" si="209"/>
        <v>0</v>
      </c>
      <c r="AQ365" s="78"/>
      <c r="AR365" s="142"/>
      <c r="AS365" s="142"/>
      <c r="AT365" s="79">
        <f t="shared" si="210"/>
        <v>0</v>
      </c>
      <c r="AU365" s="75"/>
      <c r="AV365" s="76"/>
      <c r="AW365" s="135"/>
      <c r="AX365" s="135"/>
      <c r="AY365" s="77">
        <f t="shared" si="211"/>
        <v>0</v>
      </c>
      <c r="AZ365" s="76"/>
      <c r="BA365" s="142"/>
      <c r="BB365" s="142"/>
      <c r="BC365" s="77">
        <f t="shared" si="212"/>
        <v>0</v>
      </c>
      <c r="BD365" s="78"/>
      <c r="BE365" s="142"/>
      <c r="BF365" s="142"/>
      <c r="BG365" s="79">
        <f t="shared" si="213"/>
        <v>0</v>
      </c>
      <c r="BH365" s="75"/>
      <c r="BI365" s="76"/>
      <c r="BJ365" s="135"/>
      <c r="BK365" s="135"/>
      <c r="BL365" s="77">
        <f t="shared" si="214"/>
        <v>0</v>
      </c>
      <c r="BM365" s="78"/>
      <c r="BN365" s="142"/>
      <c r="BO365" s="142"/>
      <c r="BP365" s="77">
        <f t="shared" si="215"/>
        <v>0</v>
      </c>
      <c r="BQ365" s="78"/>
      <c r="BR365" s="142"/>
      <c r="BS365" s="142"/>
      <c r="BT365" s="79">
        <f t="shared" si="216"/>
        <v>0</v>
      </c>
      <c r="BU365" s="75"/>
      <c r="BV365" s="76"/>
      <c r="BW365" s="135"/>
      <c r="BX365" s="135"/>
      <c r="BY365" s="77">
        <f t="shared" si="217"/>
        <v>0</v>
      </c>
      <c r="BZ365" s="78"/>
      <c r="CA365" s="142"/>
      <c r="CB365" s="142"/>
      <c r="CC365" s="77">
        <f t="shared" si="218"/>
        <v>0</v>
      </c>
      <c r="CD365" s="78"/>
      <c r="CE365" s="142"/>
      <c r="CF365" s="142"/>
      <c r="CG365" s="79">
        <f t="shared" si="219"/>
        <v>0</v>
      </c>
      <c r="CH365" s="75"/>
      <c r="CI365" s="76"/>
      <c r="CJ365" s="86"/>
      <c r="CK365" s="86"/>
      <c r="CL365" s="77">
        <f t="shared" si="220"/>
        <v>0</v>
      </c>
      <c r="CM365" s="78"/>
      <c r="CN365" s="85"/>
      <c r="CO365" s="85"/>
      <c r="CP365" s="77">
        <f t="shared" si="221"/>
        <v>0</v>
      </c>
      <c r="CQ365" s="78"/>
      <c r="CR365" s="85"/>
      <c r="CS365" s="85"/>
      <c r="CT365" s="79">
        <f t="shared" si="222"/>
        <v>0</v>
      </c>
      <c r="CU365" s="80">
        <f t="shared" si="223"/>
        <v>0</v>
      </c>
      <c r="CV365" s="81">
        <f t="shared" si="224"/>
        <v>0</v>
      </c>
      <c r="CW365" s="144"/>
      <c r="CX365" s="145">
        <f>IF(ISERROR(VLOOKUP($A365,FIJOS!$B$11:$O$590,14,FALSE)),0,VLOOKUP($A365,FIJOS!$B$11:$O$590,14,FALSE))</f>
        <v>0</v>
      </c>
      <c r="CY365" s="145">
        <f>IF(ISERROR(VLOOKUP(A365,FIJOS!$B$10:$P$590,15,FALSE)),0,VLOOKUP(A365,FIJOS!$B$10:$P$590,15,FALSE))</f>
        <v>0</v>
      </c>
      <c r="CZ365" s="155"/>
      <c r="DA365" s="147"/>
      <c r="DB365" s="147"/>
      <c r="DC365" s="147"/>
      <c r="DD365" s="147"/>
      <c r="DE365" s="147"/>
      <c r="DF365" s="145">
        <f>IF(ISERROR(VLOOKUP($A365,FIJOS!$B$11:$N$590,13,FALSE)),0,VLOOKUP($A365,FIJOS!$B$11:$N$590,13,FALSE))</f>
        <v>0</v>
      </c>
      <c r="DG365" s="145">
        <f>IF(ISERROR(VLOOKUP($A365,FIJOS!$B$11:$P$447,12,FALSE)),0,VLOOKUP($A365,FIJOS!$B$11:$P$447,12,FALSE))</f>
        <v>0</v>
      </c>
      <c r="DH365" s="82">
        <f t="shared" si="225"/>
        <v>0</v>
      </c>
      <c r="DI365" s="83" t="b">
        <f>IF($C365=1,(VLOOKUP($A365,FIJOS!$B$11:$P$545,10,FALSE)/7)*(7-$CU365),IF(AND($C365=2,CV365&lt;$DJ$1),(VLOOKUP($D365,HORAS!$B$4:$C$42,2,FALSE)*24)*$CV365,IF(AND($C365=2,CV365&gt;=$DJ$1),VLOOKUP($D365,HORAS!$B$4:$D$42,3,FALSE),IF(AND($C365=3,$CV365&gt;=$DJ$1),VLOOKUP($A365,FIJOS!$B$11:$P$545,10,FALSE),IF(AND($C365=3,$CV365&lt;$DJ$1),((VLOOKUP($A365,FIJOS!$B$11:$P$545,10,FALSE)/48)*24)*$CV365,IF(AND($C365=4,$CV365&gt;=(42/24)),VLOOKUP($D365,HORAS!$B$4:$D$42,3,FALSE),IF(AND($C365=5,$CV365&gt;=(36/24)),VLOOKUP($D365,HORAS!$B$4:$D$42,3,FALSE))))))))</f>
        <v>0</v>
      </c>
      <c r="DJ365" s="145">
        <f>IF(OR($C365=2),VLOOKUP($D365,HORAS!$B$4:$E$42,4,FALSE)*$EC365,IF(ISERROR(VLOOKUP($A365,FIJOS!$B$11:$P$108,9,FALSE)),0,VLOOKUP($A365,FIJOS!$B$11:$P$231,9,FALSE)*$EC365))</f>
        <v>0</v>
      </c>
      <c r="DK365" s="145">
        <f>IF(OR($C365=2),VLOOKUP($D365,HORAS!$B$4:$F$42,5,FALSE)*$EE365,IF(ISERROR(VLOOKUP($A365,FIJOS!$B$11:$P$108,9,FALSE)),0,VLOOKUP($A365,FIJOS!$B$11:$P$231,9,FALSE)*$EE365))</f>
        <v>0</v>
      </c>
      <c r="DL365" s="144"/>
      <c r="DM365" s="145">
        <f>IF(ISERROR(VLOOKUP($A365,FIJOS!$B$11:$L$646,11,FALSE)),0,VLOOKUP($A365,FIJOS!$B$11:$L$646,11,FALSE))</f>
        <v>0</v>
      </c>
      <c r="DN365" s="148" t="e">
        <f>IF(OR($C365=1,$C365=3),0,IF((VLOOKUP(CAPTURA!D365,HORAS!$B$4:$K$42,10,FALSE)/4)*COUNTIF($H365:$CT365,3)&gt;100,100,(VLOOKUP(CAPTURA!D365,HORAS!$B$4:$K$42,10,FALSE)/4)*COUNTIF($H365:$CT365,3)))</f>
        <v>#N/A</v>
      </c>
      <c r="DO365" s="144" t="e">
        <f>IF(OR($C365=1,$C365=3),0,IF($C365=5,VLOOKUP(D365,HORAS!$B$4:$G$42,6,FALSE),IF(AND($C365=4,$CV365&gt;=(42/24)),VLOOKUP(D365,HORAS!$B$4:$G$42,6,FALSE),IF(COUNTIF($H365:$CL365,"F")&gt;0,0,IF(CV365&gt;$DJ$1,$DJ$1*(VLOOKUP(D365,HORAS!$B$4:$G$42,6,FALSE)/$DJ$1),CV365*(VLOOKUP(D365,HORAS!$B$4:$G$42,6,FALSE)/$DJ$1))))))</f>
        <v>#N/A</v>
      </c>
      <c r="DP365" s="156"/>
      <c r="DQ365" s="148"/>
      <c r="DR365" s="148"/>
      <c r="DS365" s="83" t="e">
        <f t="shared" si="226"/>
        <v>#N/A</v>
      </c>
      <c r="DT365" s="84"/>
      <c r="DU365" s="149" t="e">
        <f t="shared" si="227"/>
        <v>#N/A</v>
      </c>
      <c r="DV365" s="149" t="e">
        <f t="shared" si="228"/>
        <v>#N/A</v>
      </c>
      <c r="DW365" s="144" t="e">
        <f t="shared" si="229"/>
        <v>#N/A</v>
      </c>
      <c r="DX365" s="168"/>
      <c r="DY365" s="29"/>
      <c r="DZ365" s="150"/>
      <c r="EA365" s="134"/>
      <c r="EB365" s="137">
        <f t="shared" si="230"/>
        <v>0</v>
      </c>
      <c r="EC365" s="138">
        <f t="shared" si="231"/>
        <v>0</v>
      </c>
      <c r="ED365" s="137">
        <f t="shared" si="232"/>
        <v>0</v>
      </c>
      <c r="EE365" s="132">
        <f t="shared" si="233"/>
        <v>0</v>
      </c>
      <c r="EF365" s="29"/>
      <c r="EG365" s="134"/>
      <c r="EH365" s="134"/>
      <c r="EI365" s="134"/>
      <c r="EK365" s="29"/>
    </row>
    <row r="366" spans="1:141" ht="15" customHeight="1" x14ac:dyDescent="0.25">
      <c r="A366" s="87"/>
      <c r="B366" s="5"/>
      <c r="C366" s="72"/>
      <c r="D366" s="73"/>
      <c r="E366" s="73"/>
      <c r="F366" s="141"/>
      <c r="G366" s="74"/>
      <c r="H366" s="75"/>
      <c r="I366" s="76"/>
      <c r="J366" s="135"/>
      <c r="K366" s="135"/>
      <c r="L366" s="77">
        <f t="shared" si="202"/>
        <v>0</v>
      </c>
      <c r="M366" s="78"/>
      <c r="N366" s="142"/>
      <c r="O366" s="142"/>
      <c r="P366" s="77">
        <f t="shared" si="203"/>
        <v>0</v>
      </c>
      <c r="Q366" s="78"/>
      <c r="R366" s="143"/>
      <c r="S366" s="143"/>
      <c r="T366" s="77">
        <f t="shared" si="204"/>
        <v>0</v>
      </c>
      <c r="U366" s="75"/>
      <c r="V366" s="76"/>
      <c r="W366" s="135"/>
      <c r="X366" s="135"/>
      <c r="Y366" s="77">
        <f t="shared" si="205"/>
        <v>0</v>
      </c>
      <c r="Z366" s="78"/>
      <c r="AA366" s="142"/>
      <c r="AB366" s="142"/>
      <c r="AC366" s="77">
        <f t="shared" si="206"/>
        <v>0</v>
      </c>
      <c r="AD366" s="78"/>
      <c r="AE366" s="143"/>
      <c r="AF366" s="143"/>
      <c r="AG366" s="79">
        <f t="shared" si="207"/>
        <v>0</v>
      </c>
      <c r="AH366" s="75"/>
      <c r="AI366" s="76"/>
      <c r="AJ366" s="135"/>
      <c r="AK366" s="135"/>
      <c r="AL366" s="77">
        <f t="shared" si="208"/>
        <v>0</v>
      </c>
      <c r="AM366" s="76"/>
      <c r="AN366" s="142"/>
      <c r="AO366" s="142"/>
      <c r="AP366" s="77">
        <f t="shared" si="209"/>
        <v>0</v>
      </c>
      <c r="AQ366" s="78"/>
      <c r="AR366" s="142"/>
      <c r="AS366" s="142"/>
      <c r="AT366" s="79">
        <f t="shared" si="210"/>
        <v>0</v>
      </c>
      <c r="AU366" s="75"/>
      <c r="AV366" s="76"/>
      <c r="AW366" s="135"/>
      <c r="AX366" s="135"/>
      <c r="AY366" s="77">
        <f t="shared" si="211"/>
        <v>0</v>
      </c>
      <c r="AZ366" s="76"/>
      <c r="BA366" s="142"/>
      <c r="BB366" s="142"/>
      <c r="BC366" s="77">
        <f t="shared" si="212"/>
        <v>0</v>
      </c>
      <c r="BD366" s="78"/>
      <c r="BE366" s="142"/>
      <c r="BF366" s="142"/>
      <c r="BG366" s="79">
        <f t="shared" si="213"/>
        <v>0</v>
      </c>
      <c r="BH366" s="75"/>
      <c r="BI366" s="76"/>
      <c r="BJ366" s="135"/>
      <c r="BK366" s="135"/>
      <c r="BL366" s="77">
        <f t="shared" si="214"/>
        <v>0</v>
      </c>
      <c r="BM366" s="78"/>
      <c r="BN366" s="142"/>
      <c r="BO366" s="142"/>
      <c r="BP366" s="77">
        <f t="shared" si="215"/>
        <v>0</v>
      </c>
      <c r="BQ366" s="78"/>
      <c r="BR366" s="142"/>
      <c r="BS366" s="142"/>
      <c r="BT366" s="79">
        <f t="shared" si="216"/>
        <v>0</v>
      </c>
      <c r="BU366" s="75"/>
      <c r="BV366" s="76"/>
      <c r="BW366" s="135"/>
      <c r="BX366" s="135"/>
      <c r="BY366" s="77">
        <f t="shared" si="217"/>
        <v>0</v>
      </c>
      <c r="BZ366" s="78"/>
      <c r="CA366" s="142"/>
      <c r="CB366" s="142"/>
      <c r="CC366" s="77">
        <f t="shared" si="218"/>
        <v>0</v>
      </c>
      <c r="CD366" s="78"/>
      <c r="CE366" s="142"/>
      <c r="CF366" s="142"/>
      <c r="CG366" s="79">
        <f t="shared" si="219"/>
        <v>0</v>
      </c>
      <c r="CH366" s="75"/>
      <c r="CI366" s="76"/>
      <c r="CJ366" s="86"/>
      <c r="CK366" s="86"/>
      <c r="CL366" s="77">
        <f t="shared" si="220"/>
        <v>0</v>
      </c>
      <c r="CM366" s="78"/>
      <c r="CN366" s="85"/>
      <c r="CO366" s="85"/>
      <c r="CP366" s="77">
        <f t="shared" si="221"/>
        <v>0</v>
      </c>
      <c r="CQ366" s="78"/>
      <c r="CR366" s="85"/>
      <c r="CS366" s="85"/>
      <c r="CT366" s="79">
        <f t="shared" si="222"/>
        <v>0</v>
      </c>
      <c r="CU366" s="80">
        <f t="shared" si="223"/>
        <v>0</v>
      </c>
      <c r="CV366" s="81">
        <f t="shared" si="224"/>
        <v>0</v>
      </c>
      <c r="CW366" s="144"/>
      <c r="CX366" s="145">
        <f>IF(ISERROR(VLOOKUP($A366,FIJOS!$B$11:$O$590,14,FALSE)),0,VLOOKUP($A366,FIJOS!$B$11:$O$590,14,FALSE))</f>
        <v>0</v>
      </c>
      <c r="CY366" s="145">
        <f>IF(ISERROR(VLOOKUP(A366,FIJOS!$B$10:$P$590,15,FALSE)),0,VLOOKUP(A366,FIJOS!$B$10:$P$590,15,FALSE))</f>
        <v>0</v>
      </c>
      <c r="CZ366" s="155"/>
      <c r="DA366" s="147"/>
      <c r="DB366" s="147"/>
      <c r="DC366" s="147"/>
      <c r="DD366" s="147"/>
      <c r="DE366" s="147"/>
      <c r="DF366" s="145">
        <f>IF(ISERROR(VLOOKUP($A366,FIJOS!$B$11:$N$590,13,FALSE)),0,VLOOKUP($A366,FIJOS!$B$11:$N$590,13,FALSE))</f>
        <v>0</v>
      </c>
      <c r="DG366" s="145">
        <f>IF(ISERROR(VLOOKUP($A366,FIJOS!$B$11:$P$447,12,FALSE)),0,VLOOKUP($A366,FIJOS!$B$11:$P$447,12,FALSE))</f>
        <v>0</v>
      </c>
      <c r="DH366" s="82">
        <f t="shared" si="225"/>
        <v>0</v>
      </c>
      <c r="DI366" s="83" t="b">
        <f>IF($C366=1,(VLOOKUP($A366,FIJOS!$B$11:$P$545,10,FALSE)/7)*(7-$CU366),IF(AND($C366=2,CV366&lt;$DJ$1),(VLOOKUP($D366,HORAS!$B$4:$C$42,2,FALSE)*24)*$CV366,IF(AND($C366=2,CV366&gt;=$DJ$1),VLOOKUP($D366,HORAS!$B$4:$D$42,3,FALSE),IF(AND($C366=3,$CV366&gt;=$DJ$1),VLOOKUP($A366,FIJOS!$B$11:$P$545,10,FALSE),IF(AND($C366=3,$CV366&lt;$DJ$1),((VLOOKUP($A366,FIJOS!$B$11:$P$545,10,FALSE)/48)*24)*$CV366,IF(AND($C366=4,$CV366&gt;=(42/24)),VLOOKUP($D366,HORAS!$B$4:$D$42,3,FALSE),IF(AND($C366=5,$CV366&gt;=(36/24)),VLOOKUP($D366,HORAS!$B$4:$D$42,3,FALSE))))))))</f>
        <v>0</v>
      </c>
      <c r="DJ366" s="145">
        <f>IF(OR($C366=2),VLOOKUP($D366,HORAS!$B$4:$E$42,4,FALSE)*$EC366,IF(ISERROR(VLOOKUP($A366,FIJOS!$B$11:$P$108,9,FALSE)),0,VLOOKUP($A366,FIJOS!$B$11:$P$231,9,FALSE)*$EC366))</f>
        <v>0</v>
      </c>
      <c r="DK366" s="145">
        <f>IF(OR($C366=2),VLOOKUP($D366,HORAS!$B$4:$F$42,5,FALSE)*$EE366,IF(ISERROR(VLOOKUP($A366,FIJOS!$B$11:$P$108,9,FALSE)),0,VLOOKUP($A366,FIJOS!$B$11:$P$231,9,FALSE)*$EE366))</f>
        <v>0</v>
      </c>
      <c r="DL366" s="144"/>
      <c r="DM366" s="145">
        <f>IF(ISERROR(VLOOKUP($A366,FIJOS!$B$11:$L$646,11,FALSE)),0,VLOOKUP($A366,FIJOS!$B$11:$L$646,11,FALSE))</f>
        <v>0</v>
      </c>
      <c r="DN366" s="148" t="e">
        <f>IF(OR($C366=1,$C366=3),0,IF((VLOOKUP(CAPTURA!D366,HORAS!$B$4:$K$42,10,FALSE)/4)*COUNTIF($H366:$CT366,3)&gt;100,100,(VLOOKUP(CAPTURA!D366,HORAS!$B$4:$K$42,10,FALSE)/4)*COUNTIF($H366:$CT366,3)))</f>
        <v>#N/A</v>
      </c>
      <c r="DO366" s="144" t="e">
        <f>IF(OR($C366=1,$C366=3),0,IF($C366=5,VLOOKUP(D366,HORAS!$B$4:$G$42,6,FALSE),IF(AND($C366=4,$CV366&gt;=(42/24)),VLOOKUP(D366,HORAS!$B$4:$G$42,6,FALSE),IF(COUNTIF($H366:$CL366,"F")&gt;0,0,IF(CV366&gt;$DJ$1,$DJ$1*(VLOOKUP(D366,HORAS!$B$4:$G$42,6,FALSE)/$DJ$1),CV366*(VLOOKUP(D366,HORAS!$B$4:$G$42,6,FALSE)/$DJ$1))))))</f>
        <v>#N/A</v>
      </c>
      <c r="DP366" s="156"/>
      <c r="DQ366" s="148"/>
      <c r="DR366" s="148"/>
      <c r="DS366" s="83" t="e">
        <f t="shared" si="226"/>
        <v>#N/A</v>
      </c>
      <c r="DT366" s="84"/>
      <c r="DU366" s="149" t="e">
        <f t="shared" si="227"/>
        <v>#N/A</v>
      </c>
      <c r="DV366" s="149" t="e">
        <f t="shared" si="228"/>
        <v>#N/A</v>
      </c>
      <c r="DW366" s="144" t="e">
        <f t="shared" si="229"/>
        <v>#N/A</v>
      </c>
      <c r="DX366" s="168"/>
      <c r="DY366" s="29"/>
      <c r="DZ366" s="150"/>
      <c r="EA366" s="134"/>
      <c r="EB366" s="137">
        <f t="shared" si="230"/>
        <v>0</v>
      </c>
      <c r="EC366" s="138">
        <f t="shared" si="231"/>
        <v>0</v>
      </c>
      <c r="ED366" s="137">
        <f t="shared" si="232"/>
        <v>0</v>
      </c>
      <c r="EE366" s="132">
        <f t="shared" si="233"/>
        <v>0</v>
      </c>
      <c r="EF366" s="29"/>
      <c r="EG366" s="134"/>
      <c r="EH366" s="134"/>
      <c r="EI366" s="134"/>
      <c r="EK366" s="29"/>
    </row>
    <row r="367" spans="1:141" ht="15" customHeight="1" x14ac:dyDescent="0.25">
      <c r="A367" s="87"/>
      <c r="B367" s="5"/>
      <c r="C367" s="72"/>
      <c r="D367" s="73"/>
      <c r="E367" s="73"/>
      <c r="F367" s="141"/>
      <c r="G367" s="74"/>
      <c r="H367" s="75"/>
      <c r="I367" s="76"/>
      <c r="J367" s="135"/>
      <c r="K367" s="135"/>
      <c r="L367" s="77">
        <f t="shared" si="202"/>
        <v>0</v>
      </c>
      <c r="M367" s="78"/>
      <c r="N367" s="142"/>
      <c r="O367" s="142"/>
      <c r="P367" s="77">
        <f t="shared" si="203"/>
        <v>0</v>
      </c>
      <c r="Q367" s="78"/>
      <c r="R367" s="143"/>
      <c r="S367" s="143"/>
      <c r="T367" s="77">
        <f t="shared" si="204"/>
        <v>0</v>
      </c>
      <c r="U367" s="75"/>
      <c r="V367" s="76"/>
      <c r="W367" s="135"/>
      <c r="X367" s="135"/>
      <c r="Y367" s="77">
        <f t="shared" si="205"/>
        <v>0</v>
      </c>
      <c r="Z367" s="78"/>
      <c r="AA367" s="142"/>
      <c r="AB367" s="142"/>
      <c r="AC367" s="77">
        <f t="shared" si="206"/>
        <v>0</v>
      </c>
      <c r="AD367" s="78"/>
      <c r="AE367" s="143"/>
      <c r="AF367" s="143"/>
      <c r="AG367" s="79">
        <f t="shared" si="207"/>
        <v>0</v>
      </c>
      <c r="AH367" s="75"/>
      <c r="AI367" s="76"/>
      <c r="AJ367" s="135"/>
      <c r="AK367" s="135"/>
      <c r="AL367" s="77">
        <f t="shared" si="208"/>
        <v>0</v>
      </c>
      <c r="AM367" s="76"/>
      <c r="AN367" s="142"/>
      <c r="AO367" s="142"/>
      <c r="AP367" s="77">
        <f t="shared" si="209"/>
        <v>0</v>
      </c>
      <c r="AQ367" s="78"/>
      <c r="AR367" s="142"/>
      <c r="AS367" s="142"/>
      <c r="AT367" s="79">
        <f t="shared" si="210"/>
        <v>0</v>
      </c>
      <c r="AU367" s="75"/>
      <c r="AV367" s="76"/>
      <c r="AW367" s="135"/>
      <c r="AX367" s="135"/>
      <c r="AY367" s="77">
        <f t="shared" si="211"/>
        <v>0</v>
      </c>
      <c r="AZ367" s="76"/>
      <c r="BA367" s="142"/>
      <c r="BB367" s="142"/>
      <c r="BC367" s="77">
        <f t="shared" si="212"/>
        <v>0</v>
      </c>
      <c r="BD367" s="78"/>
      <c r="BE367" s="142"/>
      <c r="BF367" s="142"/>
      <c r="BG367" s="79">
        <f t="shared" si="213"/>
        <v>0</v>
      </c>
      <c r="BH367" s="75"/>
      <c r="BI367" s="76"/>
      <c r="BJ367" s="135"/>
      <c r="BK367" s="135"/>
      <c r="BL367" s="77">
        <f t="shared" si="214"/>
        <v>0</v>
      </c>
      <c r="BM367" s="78"/>
      <c r="BN367" s="142"/>
      <c r="BO367" s="142"/>
      <c r="BP367" s="77">
        <f t="shared" si="215"/>
        <v>0</v>
      </c>
      <c r="BQ367" s="78"/>
      <c r="BR367" s="142"/>
      <c r="BS367" s="142"/>
      <c r="BT367" s="79">
        <f t="shared" si="216"/>
        <v>0</v>
      </c>
      <c r="BU367" s="75"/>
      <c r="BV367" s="76"/>
      <c r="BW367" s="135"/>
      <c r="BX367" s="135"/>
      <c r="BY367" s="77">
        <f t="shared" si="217"/>
        <v>0</v>
      </c>
      <c r="BZ367" s="78"/>
      <c r="CA367" s="142"/>
      <c r="CB367" s="142"/>
      <c r="CC367" s="77">
        <f t="shared" si="218"/>
        <v>0</v>
      </c>
      <c r="CD367" s="78"/>
      <c r="CE367" s="142"/>
      <c r="CF367" s="142"/>
      <c r="CG367" s="79">
        <f t="shared" si="219"/>
        <v>0</v>
      </c>
      <c r="CH367" s="75"/>
      <c r="CI367" s="76"/>
      <c r="CJ367" s="86"/>
      <c r="CK367" s="86"/>
      <c r="CL367" s="77">
        <f t="shared" si="220"/>
        <v>0</v>
      </c>
      <c r="CM367" s="78"/>
      <c r="CN367" s="85"/>
      <c r="CO367" s="85"/>
      <c r="CP367" s="77">
        <f t="shared" si="221"/>
        <v>0</v>
      </c>
      <c r="CQ367" s="78"/>
      <c r="CR367" s="85"/>
      <c r="CS367" s="85"/>
      <c r="CT367" s="79">
        <f t="shared" si="222"/>
        <v>0</v>
      </c>
      <c r="CU367" s="80">
        <f t="shared" si="223"/>
        <v>0</v>
      </c>
      <c r="CV367" s="81">
        <f t="shared" si="224"/>
        <v>0</v>
      </c>
      <c r="CW367" s="144"/>
      <c r="CX367" s="145">
        <f>IF(ISERROR(VLOOKUP($A367,FIJOS!$B$11:$O$590,14,FALSE)),0,VLOOKUP($A367,FIJOS!$B$11:$O$590,14,FALSE))</f>
        <v>0</v>
      </c>
      <c r="CY367" s="145">
        <f>IF(ISERROR(VLOOKUP(A367,FIJOS!$B$10:$P$590,15,FALSE)),0,VLOOKUP(A367,FIJOS!$B$10:$P$590,15,FALSE))</f>
        <v>0</v>
      </c>
      <c r="CZ367" s="155"/>
      <c r="DA367" s="147"/>
      <c r="DB367" s="147"/>
      <c r="DC367" s="147"/>
      <c r="DD367" s="147"/>
      <c r="DE367" s="147"/>
      <c r="DF367" s="145">
        <f>IF(ISERROR(VLOOKUP($A367,FIJOS!$B$11:$N$590,13,FALSE)),0,VLOOKUP($A367,FIJOS!$B$11:$N$590,13,FALSE))</f>
        <v>0</v>
      </c>
      <c r="DG367" s="145">
        <f>IF(ISERROR(VLOOKUP($A367,FIJOS!$B$11:$P$447,12,FALSE)),0,VLOOKUP($A367,FIJOS!$B$11:$P$447,12,FALSE))</f>
        <v>0</v>
      </c>
      <c r="DH367" s="82">
        <f t="shared" si="225"/>
        <v>0</v>
      </c>
      <c r="DI367" s="83" t="b">
        <f>IF($C367=1,(VLOOKUP($A367,FIJOS!$B$11:$P$545,10,FALSE)/7)*(7-$CU367),IF(AND($C367=2,CV367&lt;$DJ$1),(VLOOKUP($D367,HORAS!$B$4:$C$42,2,FALSE)*24)*$CV367,IF(AND($C367=2,CV367&gt;=$DJ$1),VLOOKUP($D367,HORAS!$B$4:$D$42,3,FALSE),IF(AND($C367=3,$CV367&gt;=$DJ$1),VLOOKUP($A367,FIJOS!$B$11:$P$545,10,FALSE),IF(AND($C367=3,$CV367&lt;$DJ$1),((VLOOKUP($A367,FIJOS!$B$11:$P$545,10,FALSE)/48)*24)*$CV367,IF(AND($C367=4,$CV367&gt;=(42/24)),VLOOKUP($D367,HORAS!$B$4:$D$42,3,FALSE),IF(AND($C367=5,$CV367&gt;=(36/24)),VLOOKUP($D367,HORAS!$B$4:$D$42,3,FALSE))))))))</f>
        <v>0</v>
      </c>
      <c r="DJ367" s="145">
        <f>IF(OR($C367=2),VLOOKUP($D367,HORAS!$B$4:$E$42,4,FALSE)*$EC367,IF(ISERROR(VLOOKUP($A367,FIJOS!$B$11:$P$108,9,FALSE)),0,VLOOKUP($A367,FIJOS!$B$11:$P$231,9,FALSE)*$EC367))</f>
        <v>0</v>
      </c>
      <c r="DK367" s="145">
        <f>IF(OR($C367=2),VLOOKUP($D367,HORAS!$B$4:$F$42,5,FALSE)*$EE367,IF(ISERROR(VLOOKUP($A367,FIJOS!$B$11:$P$108,9,FALSE)),0,VLOOKUP($A367,FIJOS!$B$11:$P$231,9,FALSE)*$EE367))</f>
        <v>0</v>
      </c>
      <c r="DL367" s="144"/>
      <c r="DM367" s="145">
        <f>IF(ISERROR(VLOOKUP($A367,FIJOS!$B$11:$L$646,11,FALSE)),0,VLOOKUP($A367,FIJOS!$B$11:$L$646,11,FALSE))</f>
        <v>0</v>
      </c>
      <c r="DN367" s="148" t="e">
        <f>IF(OR($C367=1,$C367=3),0,IF((VLOOKUP(CAPTURA!D367,HORAS!$B$4:$K$42,10,FALSE)/4)*COUNTIF($H367:$CT367,3)&gt;100,100,(VLOOKUP(CAPTURA!D367,HORAS!$B$4:$K$42,10,FALSE)/4)*COUNTIF($H367:$CT367,3)))</f>
        <v>#N/A</v>
      </c>
      <c r="DO367" s="144" t="e">
        <f>IF(OR($C367=1,$C367=3),0,IF($C367=5,VLOOKUP(D367,HORAS!$B$4:$G$42,6,FALSE),IF(AND($C367=4,$CV367&gt;=(42/24)),VLOOKUP(D367,HORAS!$B$4:$G$42,6,FALSE),IF(COUNTIF($H367:$CL367,"F")&gt;0,0,IF(CV367&gt;$DJ$1,$DJ$1*(VLOOKUP(D367,HORAS!$B$4:$G$42,6,FALSE)/$DJ$1),CV367*(VLOOKUP(D367,HORAS!$B$4:$G$42,6,FALSE)/$DJ$1))))))</f>
        <v>#N/A</v>
      </c>
      <c r="DP367" s="156"/>
      <c r="DQ367" s="148"/>
      <c r="DR367" s="148"/>
      <c r="DS367" s="83" t="e">
        <f t="shared" si="226"/>
        <v>#N/A</v>
      </c>
      <c r="DT367" s="84"/>
      <c r="DU367" s="149" t="e">
        <f t="shared" si="227"/>
        <v>#N/A</v>
      </c>
      <c r="DV367" s="149" t="e">
        <f t="shared" si="228"/>
        <v>#N/A</v>
      </c>
      <c r="DW367" s="144" t="e">
        <f t="shared" si="229"/>
        <v>#N/A</v>
      </c>
      <c r="DX367" s="168"/>
      <c r="DY367" s="29"/>
      <c r="DZ367" s="150"/>
      <c r="EA367" s="134"/>
      <c r="EB367" s="137">
        <f t="shared" si="230"/>
        <v>0</v>
      </c>
      <c r="EC367" s="138">
        <f t="shared" si="231"/>
        <v>0</v>
      </c>
      <c r="ED367" s="137">
        <f t="shared" si="232"/>
        <v>0</v>
      </c>
      <c r="EE367" s="132">
        <f t="shared" si="233"/>
        <v>0</v>
      </c>
      <c r="EF367" s="29"/>
      <c r="EG367" s="134"/>
      <c r="EH367" s="134"/>
      <c r="EI367" s="134"/>
      <c r="EK367" s="29"/>
    </row>
    <row r="368" spans="1:141" ht="15" customHeight="1" x14ac:dyDescent="0.25">
      <c r="A368" s="87"/>
      <c r="B368" s="5"/>
      <c r="C368" s="72"/>
      <c r="D368" s="73"/>
      <c r="E368" s="73"/>
      <c r="F368" s="141"/>
      <c r="G368" s="74"/>
      <c r="H368" s="75"/>
      <c r="I368" s="76"/>
      <c r="J368" s="135"/>
      <c r="K368" s="135"/>
      <c r="L368" s="77">
        <f t="shared" si="202"/>
        <v>0</v>
      </c>
      <c r="M368" s="78"/>
      <c r="N368" s="142"/>
      <c r="O368" s="142"/>
      <c r="P368" s="77">
        <f t="shared" si="203"/>
        <v>0</v>
      </c>
      <c r="Q368" s="78"/>
      <c r="R368" s="143"/>
      <c r="S368" s="143"/>
      <c r="T368" s="77">
        <f t="shared" si="204"/>
        <v>0</v>
      </c>
      <c r="U368" s="75"/>
      <c r="V368" s="76"/>
      <c r="W368" s="135"/>
      <c r="X368" s="135"/>
      <c r="Y368" s="77">
        <f t="shared" si="205"/>
        <v>0</v>
      </c>
      <c r="Z368" s="78"/>
      <c r="AA368" s="142"/>
      <c r="AB368" s="142"/>
      <c r="AC368" s="77">
        <f t="shared" si="206"/>
        <v>0</v>
      </c>
      <c r="AD368" s="78"/>
      <c r="AE368" s="143"/>
      <c r="AF368" s="143"/>
      <c r="AG368" s="79">
        <f t="shared" si="207"/>
        <v>0</v>
      </c>
      <c r="AH368" s="75"/>
      <c r="AI368" s="76"/>
      <c r="AJ368" s="135"/>
      <c r="AK368" s="135"/>
      <c r="AL368" s="77">
        <f t="shared" si="208"/>
        <v>0</v>
      </c>
      <c r="AM368" s="76"/>
      <c r="AN368" s="142"/>
      <c r="AO368" s="142"/>
      <c r="AP368" s="77">
        <f t="shared" si="209"/>
        <v>0</v>
      </c>
      <c r="AQ368" s="78"/>
      <c r="AR368" s="142"/>
      <c r="AS368" s="142"/>
      <c r="AT368" s="79">
        <f t="shared" si="210"/>
        <v>0</v>
      </c>
      <c r="AU368" s="75"/>
      <c r="AV368" s="76"/>
      <c r="AW368" s="135"/>
      <c r="AX368" s="135"/>
      <c r="AY368" s="77">
        <f t="shared" si="211"/>
        <v>0</v>
      </c>
      <c r="AZ368" s="76"/>
      <c r="BA368" s="142"/>
      <c r="BB368" s="142"/>
      <c r="BC368" s="77">
        <f t="shared" si="212"/>
        <v>0</v>
      </c>
      <c r="BD368" s="78"/>
      <c r="BE368" s="142"/>
      <c r="BF368" s="142"/>
      <c r="BG368" s="79">
        <f t="shared" si="213"/>
        <v>0</v>
      </c>
      <c r="BH368" s="75"/>
      <c r="BI368" s="76"/>
      <c r="BJ368" s="135"/>
      <c r="BK368" s="135"/>
      <c r="BL368" s="77">
        <f t="shared" si="214"/>
        <v>0</v>
      </c>
      <c r="BM368" s="78"/>
      <c r="BN368" s="142"/>
      <c r="BO368" s="142"/>
      <c r="BP368" s="77">
        <f t="shared" si="215"/>
        <v>0</v>
      </c>
      <c r="BQ368" s="78"/>
      <c r="BR368" s="142"/>
      <c r="BS368" s="142"/>
      <c r="BT368" s="79">
        <f t="shared" si="216"/>
        <v>0</v>
      </c>
      <c r="BU368" s="75"/>
      <c r="BV368" s="76"/>
      <c r="BW368" s="135"/>
      <c r="BX368" s="135"/>
      <c r="BY368" s="77">
        <f t="shared" si="217"/>
        <v>0</v>
      </c>
      <c r="BZ368" s="78"/>
      <c r="CA368" s="142"/>
      <c r="CB368" s="142"/>
      <c r="CC368" s="77">
        <f t="shared" si="218"/>
        <v>0</v>
      </c>
      <c r="CD368" s="78"/>
      <c r="CE368" s="142"/>
      <c r="CF368" s="142"/>
      <c r="CG368" s="79">
        <f t="shared" si="219"/>
        <v>0</v>
      </c>
      <c r="CH368" s="75"/>
      <c r="CI368" s="76"/>
      <c r="CJ368" s="86"/>
      <c r="CK368" s="86"/>
      <c r="CL368" s="77">
        <f t="shared" si="220"/>
        <v>0</v>
      </c>
      <c r="CM368" s="78"/>
      <c r="CN368" s="85"/>
      <c r="CO368" s="85"/>
      <c r="CP368" s="77">
        <f t="shared" si="221"/>
        <v>0</v>
      </c>
      <c r="CQ368" s="78"/>
      <c r="CR368" s="85"/>
      <c r="CS368" s="85"/>
      <c r="CT368" s="79">
        <f t="shared" si="222"/>
        <v>0</v>
      </c>
      <c r="CU368" s="80">
        <f t="shared" si="223"/>
        <v>0</v>
      </c>
      <c r="CV368" s="81">
        <f t="shared" si="224"/>
        <v>0</v>
      </c>
      <c r="CW368" s="144"/>
      <c r="CX368" s="145">
        <f>IF(ISERROR(VLOOKUP($A368,FIJOS!$B$11:$O$590,14,FALSE)),0,VLOOKUP($A368,FIJOS!$B$11:$O$590,14,FALSE))</f>
        <v>0</v>
      </c>
      <c r="CY368" s="145">
        <f>IF(ISERROR(VLOOKUP(A368,FIJOS!$B$10:$P$590,15,FALSE)),0,VLOOKUP(A368,FIJOS!$B$10:$P$590,15,FALSE))</f>
        <v>0</v>
      </c>
      <c r="CZ368" s="155"/>
      <c r="DA368" s="147"/>
      <c r="DB368" s="147"/>
      <c r="DC368" s="147"/>
      <c r="DD368" s="147"/>
      <c r="DE368" s="147"/>
      <c r="DF368" s="145">
        <f>IF(ISERROR(VLOOKUP($A368,FIJOS!$B$11:$N$590,13,FALSE)),0,VLOOKUP($A368,FIJOS!$B$11:$N$590,13,FALSE))</f>
        <v>0</v>
      </c>
      <c r="DG368" s="145">
        <f>IF(ISERROR(VLOOKUP($A368,FIJOS!$B$11:$P$447,12,FALSE)),0,VLOOKUP($A368,FIJOS!$B$11:$P$447,12,FALSE))</f>
        <v>0</v>
      </c>
      <c r="DH368" s="82">
        <f t="shared" si="225"/>
        <v>0</v>
      </c>
      <c r="DI368" s="83" t="b">
        <f>IF($C368=1,(VLOOKUP($A368,FIJOS!$B$11:$P$545,10,FALSE)/7)*(7-$CU368),IF(AND($C368=2,CV368&lt;$DJ$1),(VLOOKUP($D368,HORAS!$B$4:$C$42,2,FALSE)*24)*$CV368,IF(AND($C368=2,CV368&gt;=$DJ$1),VLOOKUP($D368,HORAS!$B$4:$D$42,3,FALSE),IF(AND($C368=3,$CV368&gt;=$DJ$1),VLOOKUP($A368,FIJOS!$B$11:$P$545,10,FALSE),IF(AND($C368=3,$CV368&lt;$DJ$1),((VLOOKUP($A368,FIJOS!$B$11:$P$545,10,FALSE)/48)*24)*$CV368,IF(AND($C368=4,$CV368&gt;=(42/24)),VLOOKUP($D368,HORAS!$B$4:$D$42,3,FALSE),IF(AND($C368=5,$CV368&gt;=(36/24)),VLOOKUP($D368,HORAS!$B$4:$D$42,3,FALSE))))))))</f>
        <v>0</v>
      </c>
      <c r="DJ368" s="145">
        <f>IF(OR($C368=2),VLOOKUP($D368,HORAS!$B$4:$E$42,4,FALSE)*$EC368,IF(ISERROR(VLOOKUP($A368,FIJOS!$B$11:$P$108,9,FALSE)),0,VLOOKUP($A368,FIJOS!$B$11:$P$231,9,FALSE)*$EC368))</f>
        <v>0</v>
      </c>
      <c r="DK368" s="145">
        <f>IF(OR($C368=2),VLOOKUP($D368,HORAS!$B$4:$F$42,5,FALSE)*$EE368,IF(ISERROR(VLOOKUP($A368,FIJOS!$B$11:$P$108,9,FALSE)),0,VLOOKUP($A368,FIJOS!$B$11:$P$231,9,FALSE)*$EE368))</f>
        <v>0</v>
      </c>
      <c r="DL368" s="144"/>
      <c r="DM368" s="145">
        <f>IF(ISERROR(VLOOKUP($A368,FIJOS!$B$11:$L$646,11,FALSE)),0,VLOOKUP($A368,FIJOS!$B$11:$L$646,11,FALSE))</f>
        <v>0</v>
      </c>
      <c r="DN368" s="148" t="e">
        <f>IF(OR($C368=1,$C368=3),0,IF((VLOOKUP(CAPTURA!D368,HORAS!$B$4:$K$42,10,FALSE)/4)*COUNTIF($H368:$CT368,3)&gt;100,100,(VLOOKUP(CAPTURA!D368,HORAS!$B$4:$K$42,10,FALSE)/4)*COUNTIF($H368:$CT368,3)))</f>
        <v>#N/A</v>
      </c>
      <c r="DO368" s="144" t="e">
        <f>IF(OR($C368=1,$C368=3),0,IF($C368=5,VLOOKUP(D368,HORAS!$B$4:$G$42,6,FALSE),IF(AND($C368=4,$CV368&gt;=(42/24)),VLOOKUP(D368,HORAS!$B$4:$G$42,6,FALSE),IF(COUNTIF($H368:$CL368,"F")&gt;0,0,IF(CV368&gt;$DJ$1,$DJ$1*(VLOOKUP(D368,HORAS!$B$4:$G$42,6,FALSE)/$DJ$1),CV368*(VLOOKUP(D368,HORAS!$B$4:$G$42,6,FALSE)/$DJ$1))))))</f>
        <v>#N/A</v>
      </c>
      <c r="DP368" s="156"/>
      <c r="DQ368" s="148"/>
      <c r="DR368" s="148"/>
      <c r="DS368" s="83" t="e">
        <f t="shared" si="226"/>
        <v>#N/A</v>
      </c>
      <c r="DT368" s="84"/>
      <c r="DU368" s="149" t="e">
        <f t="shared" si="227"/>
        <v>#N/A</v>
      </c>
      <c r="DV368" s="149" t="e">
        <f t="shared" si="228"/>
        <v>#N/A</v>
      </c>
      <c r="DW368" s="144" t="e">
        <f t="shared" si="229"/>
        <v>#N/A</v>
      </c>
      <c r="DX368" s="168"/>
      <c r="DY368" s="29"/>
      <c r="DZ368" s="150"/>
      <c r="EA368" s="134"/>
      <c r="EB368" s="137">
        <f t="shared" si="230"/>
        <v>0</v>
      </c>
      <c r="EC368" s="138">
        <f t="shared" si="231"/>
        <v>0</v>
      </c>
      <c r="ED368" s="137">
        <f t="shared" si="232"/>
        <v>0</v>
      </c>
      <c r="EE368" s="132">
        <f t="shared" si="233"/>
        <v>0</v>
      </c>
      <c r="EF368" s="29"/>
      <c r="EG368" s="134"/>
      <c r="EH368" s="134"/>
      <c r="EI368" s="134"/>
      <c r="EK368" s="29"/>
    </row>
    <row r="369" spans="1:141" ht="15" customHeight="1" x14ac:dyDescent="0.25">
      <c r="A369" s="87"/>
      <c r="B369" s="5"/>
      <c r="C369" s="72"/>
      <c r="D369" s="73"/>
      <c r="E369" s="73"/>
      <c r="F369" s="141"/>
      <c r="G369" s="74"/>
      <c r="H369" s="75"/>
      <c r="I369" s="76"/>
      <c r="J369" s="135"/>
      <c r="K369" s="135"/>
      <c r="L369" s="77">
        <f t="shared" si="202"/>
        <v>0</v>
      </c>
      <c r="M369" s="78"/>
      <c r="N369" s="142"/>
      <c r="O369" s="142"/>
      <c r="P369" s="77">
        <f t="shared" si="203"/>
        <v>0</v>
      </c>
      <c r="Q369" s="78"/>
      <c r="R369" s="143"/>
      <c r="S369" s="143"/>
      <c r="T369" s="77">
        <f t="shared" si="204"/>
        <v>0</v>
      </c>
      <c r="U369" s="75"/>
      <c r="V369" s="76"/>
      <c r="W369" s="135"/>
      <c r="X369" s="135"/>
      <c r="Y369" s="77">
        <f t="shared" si="205"/>
        <v>0</v>
      </c>
      <c r="Z369" s="78"/>
      <c r="AA369" s="142"/>
      <c r="AB369" s="142"/>
      <c r="AC369" s="77">
        <f t="shared" si="206"/>
        <v>0</v>
      </c>
      <c r="AD369" s="78"/>
      <c r="AE369" s="143"/>
      <c r="AF369" s="143"/>
      <c r="AG369" s="79">
        <f t="shared" si="207"/>
        <v>0</v>
      </c>
      <c r="AH369" s="75"/>
      <c r="AI369" s="76"/>
      <c r="AJ369" s="135"/>
      <c r="AK369" s="135"/>
      <c r="AL369" s="77">
        <f t="shared" si="208"/>
        <v>0</v>
      </c>
      <c r="AM369" s="76"/>
      <c r="AN369" s="142"/>
      <c r="AO369" s="142"/>
      <c r="AP369" s="77">
        <f t="shared" si="209"/>
        <v>0</v>
      </c>
      <c r="AQ369" s="78"/>
      <c r="AR369" s="142"/>
      <c r="AS369" s="142"/>
      <c r="AT369" s="79">
        <f t="shared" si="210"/>
        <v>0</v>
      </c>
      <c r="AU369" s="75"/>
      <c r="AV369" s="76"/>
      <c r="AW369" s="135"/>
      <c r="AX369" s="135"/>
      <c r="AY369" s="77">
        <f t="shared" si="211"/>
        <v>0</v>
      </c>
      <c r="AZ369" s="76"/>
      <c r="BA369" s="142"/>
      <c r="BB369" s="142"/>
      <c r="BC369" s="77">
        <f t="shared" si="212"/>
        <v>0</v>
      </c>
      <c r="BD369" s="78"/>
      <c r="BE369" s="142"/>
      <c r="BF369" s="142"/>
      <c r="BG369" s="79">
        <f t="shared" si="213"/>
        <v>0</v>
      </c>
      <c r="BH369" s="75"/>
      <c r="BI369" s="76"/>
      <c r="BJ369" s="135"/>
      <c r="BK369" s="135"/>
      <c r="BL369" s="77">
        <f t="shared" si="214"/>
        <v>0</v>
      </c>
      <c r="BM369" s="78"/>
      <c r="BN369" s="142"/>
      <c r="BO369" s="142"/>
      <c r="BP369" s="77">
        <f t="shared" si="215"/>
        <v>0</v>
      </c>
      <c r="BQ369" s="78"/>
      <c r="BR369" s="142"/>
      <c r="BS369" s="142"/>
      <c r="BT369" s="79">
        <f t="shared" si="216"/>
        <v>0</v>
      </c>
      <c r="BU369" s="75"/>
      <c r="BV369" s="76"/>
      <c r="BW369" s="135"/>
      <c r="BX369" s="135"/>
      <c r="BY369" s="77">
        <f t="shared" si="217"/>
        <v>0</v>
      </c>
      <c r="BZ369" s="78"/>
      <c r="CA369" s="142"/>
      <c r="CB369" s="142"/>
      <c r="CC369" s="77">
        <f t="shared" si="218"/>
        <v>0</v>
      </c>
      <c r="CD369" s="78"/>
      <c r="CE369" s="142"/>
      <c r="CF369" s="142"/>
      <c r="CG369" s="79">
        <f t="shared" si="219"/>
        <v>0</v>
      </c>
      <c r="CH369" s="75"/>
      <c r="CI369" s="76"/>
      <c r="CJ369" s="86"/>
      <c r="CK369" s="86"/>
      <c r="CL369" s="77">
        <f t="shared" si="220"/>
        <v>0</v>
      </c>
      <c r="CM369" s="78"/>
      <c r="CN369" s="85"/>
      <c r="CO369" s="85"/>
      <c r="CP369" s="77">
        <f t="shared" si="221"/>
        <v>0</v>
      </c>
      <c r="CQ369" s="78"/>
      <c r="CR369" s="85"/>
      <c r="CS369" s="85"/>
      <c r="CT369" s="79">
        <f t="shared" si="222"/>
        <v>0</v>
      </c>
      <c r="CU369" s="80">
        <f t="shared" si="223"/>
        <v>0</v>
      </c>
      <c r="CV369" s="81">
        <f t="shared" si="224"/>
        <v>0</v>
      </c>
      <c r="CW369" s="144"/>
      <c r="CX369" s="145">
        <f>IF(ISERROR(VLOOKUP($A369,FIJOS!$B$11:$O$590,14,FALSE)),0,VLOOKUP($A369,FIJOS!$B$11:$O$590,14,FALSE))</f>
        <v>0</v>
      </c>
      <c r="CY369" s="145">
        <f>IF(ISERROR(VLOOKUP(A369,FIJOS!$B$10:$P$590,15,FALSE)),0,VLOOKUP(A369,FIJOS!$B$10:$P$590,15,FALSE))</f>
        <v>0</v>
      </c>
      <c r="CZ369" s="155"/>
      <c r="DA369" s="147"/>
      <c r="DB369" s="147"/>
      <c r="DC369" s="147"/>
      <c r="DD369" s="147"/>
      <c r="DE369" s="147"/>
      <c r="DF369" s="145">
        <f>IF(ISERROR(VLOOKUP($A369,FIJOS!$B$11:$N$590,13,FALSE)),0,VLOOKUP($A369,FIJOS!$B$11:$N$590,13,FALSE))</f>
        <v>0</v>
      </c>
      <c r="DG369" s="145">
        <f>IF(ISERROR(VLOOKUP($A369,FIJOS!$B$11:$P$447,12,FALSE)),0,VLOOKUP($A369,FIJOS!$B$11:$P$447,12,FALSE))</f>
        <v>0</v>
      </c>
      <c r="DH369" s="82">
        <f t="shared" si="225"/>
        <v>0</v>
      </c>
      <c r="DI369" s="83" t="b">
        <f>IF($C369=1,(VLOOKUP($A369,FIJOS!$B$11:$P$545,10,FALSE)/7)*(7-$CU369),IF(AND($C369=2,CV369&lt;$DJ$1),(VLOOKUP($D369,HORAS!$B$4:$C$42,2,FALSE)*24)*$CV369,IF(AND($C369=2,CV369&gt;=$DJ$1),VLOOKUP($D369,HORAS!$B$4:$D$42,3,FALSE),IF(AND($C369=3,$CV369&gt;=$DJ$1),VLOOKUP($A369,FIJOS!$B$11:$P$545,10,FALSE),IF(AND($C369=3,$CV369&lt;$DJ$1),((VLOOKUP($A369,FIJOS!$B$11:$P$545,10,FALSE)/48)*24)*$CV369,IF(AND($C369=4,$CV369&gt;=(42/24)),VLOOKUP($D369,HORAS!$B$4:$D$42,3,FALSE),IF(AND($C369=5,$CV369&gt;=(36/24)),VLOOKUP($D369,HORAS!$B$4:$D$42,3,FALSE))))))))</f>
        <v>0</v>
      </c>
      <c r="DJ369" s="145">
        <f>IF(OR($C369=2),VLOOKUP($D369,HORAS!$B$4:$E$42,4,FALSE)*$EC369,IF(ISERROR(VLOOKUP($A369,FIJOS!$B$11:$P$108,9,FALSE)),0,VLOOKUP($A369,FIJOS!$B$11:$P$231,9,FALSE)*$EC369))</f>
        <v>0</v>
      </c>
      <c r="DK369" s="145">
        <f>IF(OR($C369=2),VLOOKUP($D369,HORAS!$B$4:$F$42,5,FALSE)*$EE369,IF(ISERROR(VLOOKUP($A369,FIJOS!$B$11:$P$108,9,FALSE)),0,VLOOKUP($A369,FIJOS!$B$11:$P$231,9,FALSE)*$EE369))</f>
        <v>0</v>
      </c>
      <c r="DL369" s="144"/>
      <c r="DM369" s="145">
        <f>IF(ISERROR(VLOOKUP($A369,FIJOS!$B$11:$L$646,11,FALSE)),0,VLOOKUP($A369,FIJOS!$B$11:$L$646,11,FALSE))</f>
        <v>0</v>
      </c>
      <c r="DN369" s="148" t="e">
        <f>IF(OR($C369=1,$C369=3),0,IF((VLOOKUP(CAPTURA!D369,HORAS!$B$4:$K$42,10,FALSE)/4)*COUNTIF($H369:$CT369,3)&gt;100,100,(VLOOKUP(CAPTURA!D369,HORAS!$B$4:$K$42,10,FALSE)/4)*COUNTIF($H369:$CT369,3)))</f>
        <v>#N/A</v>
      </c>
      <c r="DO369" s="144" t="e">
        <f>IF(OR($C369=1,$C369=3),0,IF($C369=5,VLOOKUP(D369,HORAS!$B$4:$G$42,6,FALSE),IF(AND($C369=4,$CV369&gt;=(42/24)),VLOOKUP(D369,HORAS!$B$4:$G$42,6,FALSE),IF(COUNTIF($H369:$CL369,"F")&gt;0,0,IF(CV369&gt;$DJ$1,$DJ$1*(VLOOKUP(D369,HORAS!$B$4:$G$42,6,FALSE)/$DJ$1),CV369*(VLOOKUP(D369,HORAS!$B$4:$G$42,6,FALSE)/$DJ$1))))))</f>
        <v>#N/A</v>
      </c>
      <c r="DP369" s="156"/>
      <c r="DQ369" s="148"/>
      <c r="DR369" s="148"/>
      <c r="DS369" s="83" t="e">
        <f t="shared" si="226"/>
        <v>#N/A</v>
      </c>
      <c r="DT369" s="84"/>
      <c r="DU369" s="149" t="e">
        <f t="shared" si="227"/>
        <v>#N/A</v>
      </c>
      <c r="DV369" s="149" t="e">
        <f t="shared" si="228"/>
        <v>#N/A</v>
      </c>
      <c r="DW369" s="144" t="e">
        <f t="shared" si="229"/>
        <v>#N/A</v>
      </c>
      <c r="DX369" s="168"/>
      <c r="DY369" s="29"/>
      <c r="DZ369" s="150"/>
      <c r="EA369" s="134"/>
      <c r="EB369" s="137">
        <f t="shared" si="230"/>
        <v>0</v>
      </c>
      <c r="EC369" s="138">
        <f t="shared" si="231"/>
        <v>0</v>
      </c>
      <c r="ED369" s="137">
        <f t="shared" si="232"/>
        <v>0</v>
      </c>
      <c r="EE369" s="132">
        <f t="shared" si="233"/>
        <v>0</v>
      </c>
      <c r="EF369" s="29"/>
      <c r="EG369" s="134"/>
      <c r="EH369" s="134"/>
      <c r="EI369" s="134"/>
      <c r="EK369" s="29"/>
    </row>
    <row r="370" spans="1:141" ht="15" customHeight="1" x14ac:dyDescent="0.25">
      <c r="A370" s="87"/>
      <c r="B370" s="5"/>
      <c r="C370" s="72"/>
      <c r="D370" s="73"/>
      <c r="E370" s="73"/>
      <c r="F370" s="141"/>
      <c r="G370" s="74"/>
      <c r="H370" s="75"/>
      <c r="I370" s="76"/>
      <c r="J370" s="135"/>
      <c r="K370" s="135"/>
      <c r="L370" s="77">
        <f t="shared" si="202"/>
        <v>0</v>
      </c>
      <c r="M370" s="78"/>
      <c r="N370" s="142"/>
      <c r="O370" s="142"/>
      <c r="P370" s="77">
        <f t="shared" si="203"/>
        <v>0</v>
      </c>
      <c r="Q370" s="78"/>
      <c r="R370" s="143"/>
      <c r="S370" s="143"/>
      <c r="T370" s="77">
        <f t="shared" si="204"/>
        <v>0</v>
      </c>
      <c r="U370" s="75"/>
      <c r="V370" s="76"/>
      <c r="W370" s="135"/>
      <c r="X370" s="135"/>
      <c r="Y370" s="77">
        <f t="shared" si="205"/>
        <v>0</v>
      </c>
      <c r="Z370" s="78"/>
      <c r="AA370" s="142"/>
      <c r="AB370" s="142"/>
      <c r="AC370" s="77">
        <f t="shared" si="206"/>
        <v>0</v>
      </c>
      <c r="AD370" s="78"/>
      <c r="AE370" s="143"/>
      <c r="AF370" s="143"/>
      <c r="AG370" s="79">
        <f t="shared" si="207"/>
        <v>0</v>
      </c>
      <c r="AH370" s="75"/>
      <c r="AI370" s="76"/>
      <c r="AJ370" s="135"/>
      <c r="AK370" s="135"/>
      <c r="AL370" s="77">
        <f t="shared" si="208"/>
        <v>0</v>
      </c>
      <c r="AM370" s="76"/>
      <c r="AN370" s="142"/>
      <c r="AO370" s="142"/>
      <c r="AP370" s="77">
        <f t="shared" si="209"/>
        <v>0</v>
      </c>
      <c r="AQ370" s="78"/>
      <c r="AR370" s="142"/>
      <c r="AS370" s="142"/>
      <c r="AT370" s="79">
        <f t="shared" si="210"/>
        <v>0</v>
      </c>
      <c r="AU370" s="75"/>
      <c r="AV370" s="76"/>
      <c r="AW370" s="135"/>
      <c r="AX370" s="135"/>
      <c r="AY370" s="77">
        <f t="shared" si="211"/>
        <v>0</v>
      </c>
      <c r="AZ370" s="76"/>
      <c r="BA370" s="142"/>
      <c r="BB370" s="142"/>
      <c r="BC370" s="77">
        <f t="shared" si="212"/>
        <v>0</v>
      </c>
      <c r="BD370" s="78"/>
      <c r="BE370" s="142"/>
      <c r="BF370" s="142"/>
      <c r="BG370" s="79">
        <f t="shared" si="213"/>
        <v>0</v>
      </c>
      <c r="BH370" s="75"/>
      <c r="BI370" s="76"/>
      <c r="BJ370" s="135"/>
      <c r="BK370" s="135"/>
      <c r="BL370" s="77">
        <f t="shared" si="214"/>
        <v>0</v>
      </c>
      <c r="BM370" s="78"/>
      <c r="BN370" s="142"/>
      <c r="BO370" s="142"/>
      <c r="BP370" s="77">
        <f t="shared" si="215"/>
        <v>0</v>
      </c>
      <c r="BQ370" s="78"/>
      <c r="BR370" s="142"/>
      <c r="BS370" s="142"/>
      <c r="BT370" s="79">
        <f t="shared" si="216"/>
        <v>0</v>
      </c>
      <c r="BU370" s="75"/>
      <c r="BV370" s="76"/>
      <c r="BW370" s="135"/>
      <c r="BX370" s="135"/>
      <c r="BY370" s="77">
        <f t="shared" si="217"/>
        <v>0</v>
      </c>
      <c r="BZ370" s="78"/>
      <c r="CA370" s="142"/>
      <c r="CB370" s="142"/>
      <c r="CC370" s="77">
        <f t="shared" si="218"/>
        <v>0</v>
      </c>
      <c r="CD370" s="78"/>
      <c r="CE370" s="142"/>
      <c r="CF370" s="142"/>
      <c r="CG370" s="79">
        <f t="shared" si="219"/>
        <v>0</v>
      </c>
      <c r="CH370" s="75"/>
      <c r="CI370" s="76"/>
      <c r="CJ370" s="86"/>
      <c r="CK370" s="86"/>
      <c r="CL370" s="77">
        <f t="shared" si="220"/>
        <v>0</v>
      </c>
      <c r="CM370" s="78"/>
      <c r="CN370" s="85"/>
      <c r="CO370" s="85"/>
      <c r="CP370" s="77">
        <f t="shared" si="221"/>
        <v>0</v>
      </c>
      <c r="CQ370" s="78"/>
      <c r="CR370" s="85"/>
      <c r="CS370" s="85"/>
      <c r="CT370" s="79">
        <f t="shared" si="222"/>
        <v>0</v>
      </c>
      <c r="CU370" s="80">
        <f t="shared" si="223"/>
        <v>0</v>
      </c>
      <c r="CV370" s="81">
        <f t="shared" si="224"/>
        <v>0</v>
      </c>
      <c r="CW370" s="144"/>
      <c r="CX370" s="145">
        <f>IF(ISERROR(VLOOKUP($A370,FIJOS!$B$11:$O$590,14,FALSE)),0,VLOOKUP($A370,FIJOS!$B$11:$O$590,14,FALSE))</f>
        <v>0</v>
      </c>
      <c r="CY370" s="145">
        <f>IF(ISERROR(VLOOKUP(A370,FIJOS!$B$10:$P$590,15,FALSE)),0,VLOOKUP(A370,FIJOS!$B$10:$P$590,15,FALSE))</f>
        <v>0</v>
      </c>
      <c r="CZ370" s="155"/>
      <c r="DA370" s="147"/>
      <c r="DB370" s="147"/>
      <c r="DC370" s="147"/>
      <c r="DD370" s="147"/>
      <c r="DE370" s="147"/>
      <c r="DF370" s="145">
        <f>IF(ISERROR(VLOOKUP($A370,FIJOS!$B$11:$N$590,13,FALSE)),0,VLOOKUP($A370,FIJOS!$B$11:$N$590,13,FALSE))</f>
        <v>0</v>
      </c>
      <c r="DG370" s="145">
        <f>IF(ISERROR(VLOOKUP($A370,FIJOS!$B$11:$P$447,12,FALSE)),0,VLOOKUP($A370,FIJOS!$B$11:$P$447,12,FALSE))</f>
        <v>0</v>
      </c>
      <c r="DH370" s="82">
        <f t="shared" si="225"/>
        <v>0</v>
      </c>
      <c r="DI370" s="83" t="b">
        <f>IF($C370=1,(VLOOKUP($A370,FIJOS!$B$11:$P$545,10,FALSE)/7)*(7-$CU370),IF(AND($C370=2,CV370&lt;$DJ$1),(VLOOKUP($D370,HORAS!$B$4:$C$42,2,FALSE)*24)*$CV370,IF(AND($C370=2,CV370&gt;=$DJ$1),VLOOKUP($D370,HORAS!$B$4:$D$42,3,FALSE),IF(AND($C370=3,$CV370&gt;=$DJ$1),VLOOKUP($A370,FIJOS!$B$11:$P$545,10,FALSE),IF(AND($C370=3,$CV370&lt;$DJ$1),((VLOOKUP($A370,FIJOS!$B$11:$P$545,10,FALSE)/48)*24)*$CV370,IF(AND($C370=4,$CV370&gt;=(42/24)),VLOOKUP($D370,HORAS!$B$4:$D$42,3,FALSE),IF(AND($C370=5,$CV370&gt;=(36/24)),VLOOKUP($D370,HORAS!$B$4:$D$42,3,FALSE))))))))</f>
        <v>0</v>
      </c>
      <c r="DJ370" s="145">
        <f>IF(OR($C370=2),VLOOKUP($D370,HORAS!$B$4:$E$42,4,FALSE)*$EC370,IF(ISERROR(VLOOKUP($A370,FIJOS!$B$11:$P$108,9,FALSE)),0,VLOOKUP($A370,FIJOS!$B$11:$P$231,9,FALSE)*$EC370))</f>
        <v>0</v>
      </c>
      <c r="DK370" s="145">
        <f>IF(OR($C370=2),VLOOKUP($D370,HORAS!$B$4:$F$42,5,FALSE)*$EE370,IF(ISERROR(VLOOKUP($A370,FIJOS!$B$11:$P$108,9,FALSE)),0,VLOOKUP($A370,FIJOS!$B$11:$P$231,9,FALSE)*$EE370))</f>
        <v>0</v>
      </c>
      <c r="DL370" s="144"/>
      <c r="DM370" s="145">
        <f>IF(ISERROR(VLOOKUP($A370,FIJOS!$B$11:$L$646,11,FALSE)),0,VLOOKUP($A370,FIJOS!$B$11:$L$646,11,FALSE))</f>
        <v>0</v>
      </c>
      <c r="DN370" s="148" t="e">
        <f>IF(OR($C370=1,$C370=3),0,IF((VLOOKUP(CAPTURA!D370,HORAS!$B$4:$K$42,10,FALSE)/4)*COUNTIF($H370:$CT370,3)&gt;100,100,(VLOOKUP(CAPTURA!D370,HORAS!$B$4:$K$42,10,FALSE)/4)*COUNTIF($H370:$CT370,3)))</f>
        <v>#N/A</v>
      </c>
      <c r="DO370" s="144" t="e">
        <f>IF(OR($C370=1,$C370=3),0,IF($C370=5,VLOOKUP(D370,HORAS!$B$4:$G$42,6,FALSE),IF(AND($C370=4,$CV370&gt;=(42/24)),VLOOKUP(D370,HORAS!$B$4:$G$42,6,FALSE),IF(COUNTIF($H370:$CL370,"F")&gt;0,0,IF(CV370&gt;$DJ$1,$DJ$1*(VLOOKUP(D370,HORAS!$B$4:$G$42,6,FALSE)/$DJ$1),CV370*(VLOOKUP(D370,HORAS!$B$4:$G$42,6,FALSE)/$DJ$1))))))</f>
        <v>#N/A</v>
      </c>
      <c r="DP370" s="156"/>
      <c r="DQ370" s="148"/>
      <c r="DR370" s="148"/>
      <c r="DS370" s="83" t="e">
        <f t="shared" si="226"/>
        <v>#N/A</v>
      </c>
      <c r="DT370" s="84"/>
      <c r="DU370" s="149" t="e">
        <f t="shared" si="227"/>
        <v>#N/A</v>
      </c>
      <c r="DV370" s="149" t="e">
        <f t="shared" si="228"/>
        <v>#N/A</v>
      </c>
      <c r="DW370" s="144" t="e">
        <f t="shared" si="229"/>
        <v>#N/A</v>
      </c>
      <c r="DX370" s="168"/>
      <c r="DY370" s="29"/>
      <c r="DZ370" s="150"/>
      <c r="EA370" s="134"/>
      <c r="EB370" s="137">
        <f t="shared" si="230"/>
        <v>0</v>
      </c>
      <c r="EC370" s="138">
        <f t="shared" si="231"/>
        <v>0</v>
      </c>
      <c r="ED370" s="137">
        <f t="shared" si="232"/>
        <v>0</v>
      </c>
      <c r="EE370" s="132">
        <f t="shared" si="233"/>
        <v>0</v>
      </c>
      <c r="EF370" s="29"/>
      <c r="EG370" s="134"/>
      <c r="EH370" s="134"/>
      <c r="EI370" s="134"/>
      <c r="EK370" s="29"/>
    </row>
    <row r="371" spans="1:141" ht="15" customHeight="1" x14ac:dyDescent="0.25">
      <c r="A371" s="87"/>
      <c r="B371" s="5"/>
      <c r="C371" s="72"/>
      <c r="D371" s="73"/>
      <c r="E371" s="73"/>
      <c r="F371" s="141"/>
      <c r="G371" s="74"/>
      <c r="H371" s="75"/>
      <c r="I371" s="76"/>
      <c r="J371" s="135"/>
      <c r="K371" s="135"/>
      <c r="L371" s="77">
        <f t="shared" si="202"/>
        <v>0</v>
      </c>
      <c r="M371" s="78"/>
      <c r="N371" s="142"/>
      <c r="O371" s="142"/>
      <c r="P371" s="77">
        <f t="shared" si="203"/>
        <v>0</v>
      </c>
      <c r="Q371" s="78"/>
      <c r="R371" s="143"/>
      <c r="S371" s="143"/>
      <c r="T371" s="77">
        <f t="shared" si="204"/>
        <v>0</v>
      </c>
      <c r="U371" s="75"/>
      <c r="V371" s="76"/>
      <c r="W371" s="135"/>
      <c r="X371" s="135"/>
      <c r="Y371" s="77">
        <f t="shared" si="205"/>
        <v>0</v>
      </c>
      <c r="Z371" s="78"/>
      <c r="AA371" s="142"/>
      <c r="AB371" s="142"/>
      <c r="AC371" s="77">
        <f t="shared" si="206"/>
        <v>0</v>
      </c>
      <c r="AD371" s="78"/>
      <c r="AE371" s="143"/>
      <c r="AF371" s="143"/>
      <c r="AG371" s="79">
        <f t="shared" si="207"/>
        <v>0</v>
      </c>
      <c r="AH371" s="75"/>
      <c r="AI371" s="76"/>
      <c r="AJ371" s="135"/>
      <c r="AK371" s="135"/>
      <c r="AL371" s="77">
        <f t="shared" si="208"/>
        <v>0</v>
      </c>
      <c r="AM371" s="76"/>
      <c r="AN371" s="142"/>
      <c r="AO371" s="142"/>
      <c r="AP371" s="77">
        <f t="shared" si="209"/>
        <v>0</v>
      </c>
      <c r="AQ371" s="78"/>
      <c r="AR371" s="142"/>
      <c r="AS371" s="142"/>
      <c r="AT371" s="79">
        <f t="shared" si="210"/>
        <v>0</v>
      </c>
      <c r="AU371" s="75"/>
      <c r="AV371" s="76"/>
      <c r="AW371" s="135"/>
      <c r="AX371" s="135"/>
      <c r="AY371" s="77">
        <f t="shared" si="211"/>
        <v>0</v>
      </c>
      <c r="AZ371" s="76"/>
      <c r="BA371" s="142"/>
      <c r="BB371" s="142"/>
      <c r="BC371" s="77">
        <f t="shared" si="212"/>
        <v>0</v>
      </c>
      <c r="BD371" s="78"/>
      <c r="BE371" s="142"/>
      <c r="BF371" s="142"/>
      <c r="BG371" s="79">
        <f t="shared" si="213"/>
        <v>0</v>
      </c>
      <c r="BH371" s="75"/>
      <c r="BI371" s="76"/>
      <c r="BJ371" s="135"/>
      <c r="BK371" s="135"/>
      <c r="BL371" s="77">
        <f t="shared" si="214"/>
        <v>0</v>
      </c>
      <c r="BM371" s="78"/>
      <c r="BN371" s="142"/>
      <c r="BO371" s="142"/>
      <c r="BP371" s="77">
        <f t="shared" si="215"/>
        <v>0</v>
      </c>
      <c r="BQ371" s="78"/>
      <c r="BR371" s="142"/>
      <c r="BS371" s="142"/>
      <c r="BT371" s="79">
        <f t="shared" si="216"/>
        <v>0</v>
      </c>
      <c r="BU371" s="75"/>
      <c r="BV371" s="76"/>
      <c r="BW371" s="135"/>
      <c r="BX371" s="135"/>
      <c r="BY371" s="77">
        <f t="shared" si="217"/>
        <v>0</v>
      </c>
      <c r="BZ371" s="78"/>
      <c r="CA371" s="142"/>
      <c r="CB371" s="142"/>
      <c r="CC371" s="77">
        <f t="shared" si="218"/>
        <v>0</v>
      </c>
      <c r="CD371" s="78"/>
      <c r="CE371" s="142"/>
      <c r="CF371" s="142"/>
      <c r="CG371" s="79">
        <f t="shared" si="219"/>
        <v>0</v>
      </c>
      <c r="CH371" s="75"/>
      <c r="CI371" s="76"/>
      <c r="CJ371" s="86"/>
      <c r="CK371" s="86"/>
      <c r="CL371" s="77">
        <f t="shared" si="220"/>
        <v>0</v>
      </c>
      <c r="CM371" s="78"/>
      <c r="CN371" s="85"/>
      <c r="CO371" s="85"/>
      <c r="CP371" s="77">
        <f t="shared" si="221"/>
        <v>0</v>
      </c>
      <c r="CQ371" s="78"/>
      <c r="CR371" s="85"/>
      <c r="CS371" s="85"/>
      <c r="CT371" s="79">
        <f t="shared" si="222"/>
        <v>0</v>
      </c>
      <c r="CU371" s="80">
        <f t="shared" si="223"/>
        <v>0</v>
      </c>
      <c r="CV371" s="81">
        <f t="shared" si="224"/>
        <v>0</v>
      </c>
      <c r="CW371" s="144"/>
      <c r="CX371" s="145">
        <f>IF(ISERROR(VLOOKUP($A371,FIJOS!$B$11:$O$590,14,FALSE)),0,VLOOKUP($A371,FIJOS!$B$11:$O$590,14,FALSE))</f>
        <v>0</v>
      </c>
      <c r="CY371" s="145">
        <f>IF(ISERROR(VLOOKUP(A371,FIJOS!$B$10:$P$590,15,FALSE)),0,VLOOKUP(A371,FIJOS!$B$10:$P$590,15,FALSE))</f>
        <v>0</v>
      </c>
      <c r="CZ371" s="155"/>
      <c r="DA371" s="147"/>
      <c r="DB371" s="147"/>
      <c r="DC371" s="147"/>
      <c r="DD371" s="147"/>
      <c r="DE371" s="147"/>
      <c r="DF371" s="145">
        <f>IF(ISERROR(VLOOKUP($A371,FIJOS!$B$11:$N$590,13,FALSE)),0,VLOOKUP($A371,FIJOS!$B$11:$N$590,13,FALSE))</f>
        <v>0</v>
      </c>
      <c r="DG371" s="145">
        <f>IF(ISERROR(VLOOKUP($A371,FIJOS!$B$11:$P$447,12,FALSE)),0,VLOOKUP($A371,FIJOS!$B$11:$P$447,12,FALSE))</f>
        <v>0</v>
      </c>
      <c r="DH371" s="82">
        <f t="shared" si="225"/>
        <v>0</v>
      </c>
      <c r="DI371" s="83" t="b">
        <f>IF($C371=1,(VLOOKUP($A371,FIJOS!$B$11:$P$545,10,FALSE)/7)*(7-$CU371),IF(AND($C371=2,CV371&lt;$DJ$1),(VLOOKUP($D371,HORAS!$B$4:$C$42,2,FALSE)*24)*$CV371,IF(AND($C371=2,CV371&gt;=$DJ$1),VLOOKUP($D371,HORAS!$B$4:$D$42,3,FALSE),IF(AND($C371=3,$CV371&gt;=$DJ$1),VLOOKUP($A371,FIJOS!$B$11:$P$545,10,FALSE),IF(AND($C371=3,$CV371&lt;$DJ$1),((VLOOKUP($A371,FIJOS!$B$11:$P$545,10,FALSE)/48)*24)*$CV371,IF(AND($C371=4,$CV371&gt;=(42/24)),VLOOKUP($D371,HORAS!$B$4:$D$42,3,FALSE),IF(AND($C371=5,$CV371&gt;=(36/24)),VLOOKUP($D371,HORAS!$B$4:$D$42,3,FALSE))))))))</f>
        <v>0</v>
      </c>
      <c r="DJ371" s="145">
        <f>IF(OR($C371=2),VLOOKUP($D371,HORAS!$B$4:$E$42,4,FALSE)*$EC371,IF(ISERROR(VLOOKUP($A371,FIJOS!$B$11:$P$108,9,FALSE)),0,VLOOKUP($A371,FIJOS!$B$11:$P$231,9,FALSE)*$EC371))</f>
        <v>0</v>
      </c>
      <c r="DK371" s="145">
        <f>IF(OR($C371=2),VLOOKUP($D371,HORAS!$B$4:$F$42,5,FALSE)*$EE371,IF(ISERROR(VLOOKUP($A371,FIJOS!$B$11:$P$108,9,FALSE)),0,VLOOKUP($A371,FIJOS!$B$11:$P$231,9,FALSE)*$EE371))</f>
        <v>0</v>
      </c>
      <c r="DL371" s="144"/>
      <c r="DM371" s="145">
        <f>IF(ISERROR(VLOOKUP($A371,FIJOS!$B$11:$L$646,11,FALSE)),0,VLOOKUP($A371,FIJOS!$B$11:$L$646,11,FALSE))</f>
        <v>0</v>
      </c>
      <c r="DN371" s="148" t="e">
        <f>IF(OR($C371=1,$C371=3),0,IF((VLOOKUP(CAPTURA!D371,HORAS!$B$4:$K$42,10,FALSE)/4)*COUNTIF($H371:$CT371,3)&gt;100,100,(VLOOKUP(CAPTURA!D371,HORAS!$B$4:$K$42,10,FALSE)/4)*COUNTIF($H371:$CT371,3)))</f>
        <v>#N/A</v>
      </c>
      <c r="DO371" s="144" t="e">
        <f>IF(OR($C371=1,$C371=3),0,IF($C371=5,VLOOKUP(D371,HORAS!$B$4:$G$42,6,FALSE),IF(AND($C371=4,$CV371&gt;=(42/24)),VLOOKUP(D371,HORAS!$B$4:$G$42,6,FALSE),IF(COUNTIF($H371:$CL371,"F")&gt;0,0,IF(CV371&gt;$DJ$1,$DJ$1*(VLOOKUP(D371,HORAS!$B$4:$G$42,6,FALSE)/$DJ$1),CV371*(VLOOKUP(D371,HORAS!$B$4:$G$42,6,FALSE)/$DJ$1))))))</f>
        <v>#N/A</v>
      </c>
      <c r="DP371" s="156"/>
      <c r="DQ371" s="148"/>
      <c r="DR371" s="148"/>
      <c r="DS371" s="83" t="e">
        <f t="shared" si="226"/>
        <v>#N/A</v>
      </c>
      <c r="DT371" s="84"/>
      <c r="DU371" s="149" t="e">
        <f t="shared" si="227"/>
        <v>#N/A</v>
      </c>
      <c r="DV371" s="149" t="e">
        <f t="shared" si="228"/>
        <v>#N/A</v>
      </c>
      <c r="DW371" s="144" t="e">
        <f t="shared" si="229"/>
        <v>#N/A</v>
      </c>
      <c r="DX371" s="168"/>
      <c r="DY371" s="29"/>
      <c r="DZ371" s="150"/>
      <c r="EA371" s="134"/>
      <c r="EB371" s="137">
        <f t="shared" si="230"/>
        <v>0</v>
      </c>
      <c r="EC371" s="138">
        <f t="shared" si="231"/>
        <v>0</v>
      </c>
      <c r="ED371" s="137">
        <f t="shared" si="232"/>
        <v>0</v>
      </c>
      <c r="EE371" s="132">
        <f t="shared" si="233"/>
        <v>0</v>
      </c>
      <c r="EF371" s="29"/>
      <c r="EG371" s="134"/>
      <c r="EH371" s="134"/>
      <c r="EI371" s="134"/>
      <c r="EK371" s="29"/>
    </row>
    <row r="372" spans="1:141" ht="15" customHeight="1" x14ac:dyDescent="0.25">
      <c r="A372" s="87"/>
      <c r="B372" s="5"/>
      <c r="C372" s="72"/>
      <c r="D372" s="73"/>
      <c r="E372" s="73"/>
      <c r="F372" s="141"/>
      <c r="G372" s="74"/>
      <c r="H372" s="75"/>
      <c r="I372" s="76"/>
      <c r="J372" s="135"/>
      <c r="K372" s="135"/>
      <c r="L372" s="77">
        <f t="shared" si="202"/>
        <v>0</v>
      </c>
      <c r="M372" s="78"/>
      <c r="N372" s="142"/>
      <c r="O372" s="142"/>
      <c r="P372" s="77">
        <f t="shared" si="203"/>
        <v>0</v>
      </c>
      <c r="Q372" s="78"/>
      <c r="R372" s="143"/>
      <c r="S372" s="143"/>
      <c r="T372" s="77">
        <f t="shared" si="204"/>
        <v>0</v>
      </c>
      <c r="U372" s="75"/>
      <c r="V372" s="76"/>
      <c r="W372" s="135"/>
      <c r="X372" s="135"/>
      <c r="Y372" s="77">
        <f t="shared" si="205"/>
        <v>0</v>
      </c>
      <c r="Z372" s="78"/>
      <c r="AA372" s="142"/>
      <c r="AB372" s="142"/>
      <c r="AC372" s="77">
        <f t="shared" si="206"/>
        <v>0</v>
      </c>
      <c r="AD372" s="78"/>
      <c r="AE372" s="143"/>
      <c r="AF372" s="143"/>
      <c r="AG372" s="79">
        <f t="shared" si="207"/>
        <v>0</v>
      </c>
      <c r="AH372" s="75"/>
      <c r="AI372" s="76"/>
      <c r="AJ372" s="135"/>
      <c r="AK372" s="135"/>
      <c r="AL372" s="77">
        <f t="shared" si="208"/>
        <v>0</v>
      </c>
      <c r="AM372" s="76"/>
      <c r="AN372" s="142"/>
      <c r="AO372" s="142"/>
      <c r="AP372" s="77">
        <f t="shared" si="209"/>
        <v>0</v>
      </c>
      <c r="AQ372" s="78"/>
      <c r="AR372" s="142"/>
      <c r="AS372" s="142"/>
      <c r="AT372" s="79">
        <f t="shared" si="210"/>
        <v>0</v>
      </c>
      <c r="AU372" s="75"/>
      <c r="AV372" s="76"/>
      <c r="AW372" s="135"/>
      <c r="AX372" s="135"/>
      <c r="AY372" s="77">
        <f t="shared" si="211"/>
        <v>0</v>
      </c>
      <c r="AZ372" s="76"/>
      <c r="BA372" s="142"/>
      <c r="BB372" s="142"/>
      <c r="BC372" s="77">
        <f t="shared" si="212"/>
        <v>0</v>
      </c>
      <c r="BD372" s="78"/>
      <c r="BE372" s="142"/>
      <c r="BF372" s="142"/>
      <c r="BG372" s="79">
        <f t="shared" si="213"/>
        <v>0</v>
      </c>
      <c r="BH372" s="75"/>
      <c r="BI372" s="76"/>
      <c r="BJ372" s="135"/>
      <c r="BK372" s="135"/>
      <c r="BL372" s="77">
        <f t="shared" si="214"/>
        <v>0</v>
      </c>
      <c r="BM372" s="78"/>
      <c r="BN372" s="142"/>
      <c r="BO372" s="142"/>
      <c r="BP372" s="77">
        <f t="shared" si="215"/>
        <v>0</v>
      </c>
      <c r="BQ372" s="78"/>
      <c r="BR372" s="142"/>
      <c r="BS372" s="142"/>
      <c r="BT372" s="79">
        <f t="shared" si="216"/>
        <v>0</v>
      </c>
      <c r="BU372" s="75"/>
      <c r="BV372" s="76"/>
      <c r="BW372" s="135"/>
      <c r="BX372" s="135"/>
      <c r="BY372" s="77">
        <f t="shared" si="217"/>
        <v>0</v>
      </c>
      <c r="BZ372" s="78"/>
      <c r="CA372" s="142"/>
      <c r="CB372" s="142"/>
      <c r="CC372" s="77">
        <f t="shared" si="218"/>
        <v>0</v>
      </c>
      <c r="CD372" s="78"/>
      <c r="CE372" s="142"/>
      <c r="CF372" s="142"/>
      <c r="CG372" s="79">
        <f t="shared" si="219"/>
        <v>0</v>
      </c>
      <c r="CH372" s="75"/>
      <c r="CI372" s="76"/>
      <c r="CJ372" s="86"/>
      <c r="CK372" s="86"/>
      <c r="CL372" s="77">
        <f t="shared" si="220"/>
        <v>0</v>
      </c>
      <c r="CM372" s="78"/>
      <c r="CN372" s="85"/>
      <c r="CO372" s="85"/>
      <c r="CP372" s="77">
        <f t="shared" si="221"/>
        <v>0</v>
      </c>
      <c r="CQ372" s="78"/>
      <c r="CR372" s="85"/>
      <c r="CS372" s="85"/>
      <c r="CT372" s="79">
        <f t="shared" si="222"/>
        <v>0</v>
      </c>
      <c r="CU372" s="80">
        <f t="shared" si="223"/>
        <v>0</v>
      </c>
      <c r="CV372" s="81">
        <f t="shared" si="224"/>
        <v>0</v>
      </c>
      <c r="CW372" s="144"/>
      <c r="CX372" s="145">
        <f>IF(ISERROR(VLOOKUP($A372,FIJOS!$B$11:$O$590,14,FALSE)),0,VLOOKUP($A372,FIJOS!$B$11:$O$590,14,FALSE))</f>
        <v>0</v>
      </c>
      <c r="CY372" s="145">
        <f>IF(ISERROR(VLOOKUP(A372,FIJOS!$B$10:$P$590,15,FALSE)),0,VLOOKUP(A372,FIJOS!$B$10:$P$590,15,FALSE))</f>
        <v>0</v>
      </c>
      <c r="CZ372" s="155"/>
      <c r="DA372" s="147"/>
      <c r="DB372" s="147"/>
      <c r="DC372" s="147"/>
      <c r="DD372" s="147"/>
      <c r="DE372" s="147"/>
      <c r="DF372" s="145">
        <f>IF(ISERROR(VLOOKUP($A372,FIJOS!$B$11:$N$590,13,FALSE)),0,VLOOKUP($A372,FIJOS!$B$11:$N$590,13,FALSE))</f>
        <v>0</v>
      </c>
      <c r="DG372" s="145">
        <f>IF(ISERROR(VLOOKUP($A372,FIJOS!$B$11:$P$447,12,FALSE)),0,VLOOKUP($A372,FIJOS!$B$11:$P$447,12,FALSE))</f>
        <v>0</v>
      </c>
      <c r="DH372" s="82">
        <f t="shared" si="225"/>
        <v>0</v>
      </c>
      <c r="DI372" s="83" t="b">
        <f>IF($C372=1,(VLOOKUP($A372,FIJOS!$B$11:$P$545,10,FALSE)/7)*(7-$CU372),IF(AND($C372=2,CV372&lt;$DJ$1),(VLOOKUP($D372,HORAS!$B$4:$C$42,2,FALSE)*24)*$CV372,IF(AND($C372=2,CV372&gt;=$DJ$1),VLOOKUP($D372,HORAS!$B$4:$D$42,3,FALSE),IF(AND($C372=3,$CV372&gt;=$DJ$1),VLOOKUP($A372,FIJOS!$B$11:$P$545,10,FALSE),IF(AND($C372=3,$CV372&lt;$DJ$1),((VLOOKUP($A372,FIJOS!$B$11:$P$545,10,FALSE)/48)*24)*$CV372,IF(AND($C372=4,$CV372&gt;=(42/24)),VLOOKUP($D372,HORAS!$B$4:$D$42,3,FALSE),IF(AND($C372=5,$CV372&gt;=(36/24)),VLOOKUP($D372,HORAS!$B$4:$D$42,3,FALSE))))))))</f>
        <v>0</v>
      </c>
      <c r="DJ372" s="145">
        <f>IF(OR($C372=2),VLOOKUP($D372,HORAS!$B$4:$E$42,4,FALSE)*$EC372,IF(ISERROR(VLOOKUP($A372,FIJOS!$B$11:$P$108,9,FALSE)),0,VLOOKUP($A372,FIJOS!$B$11:$P$231,9,FALSE)*$EC372))</f>
        <v>0</v>
      </c>
      <c r="DK372" s="145">
        <f>IF(OR($C372=2),VLOOKUP($D372,HORAS!$B$4:$F$42,5,FALSE)*$EE372,IF(ISERROR(VLOOKUP($A372,FIJOS!$B$11:$P$108,9,FALSE)),0,VLOOKUP($A372,FIJOS!$B$11:$P$231,9,FALSE)*$EE372))</f>
        <v>0</v>
      </c>
      <c r="DL372" s="144"/>
      <c r="DM372" s="145">
        <f>IF(ISERROR(VLOOKUP($A372,FIJOS!$B$11:$L$646,11,FALSE)),0,VLOOKUP($A372,FIJOS!$B$11:$L$646,11,FALSE))</f>
        <v>0</v>
      </c>
      <c r="DN372" s="148" t="e">
        <f>IF(OR($C372=1,$C372=3),0,IF((VLOOKUP(CAPTURA!D372,HORAS!$B$4:$K$42,10,FALSE)/4)*COUNTIF($H372:$CT372,3)&gt;100,100,(VLOOKUP(CAPTURA!D372,HORAS!$B$4:$K$42,10,FALSE)/4)*COUNTIF($H372:$CT372,3)))</f>
        <v>#N/A</v>
      </c>
      <c r="DO372" s="144" t="e">
        <f>IF(OR($C372=1,$C372=3),0,IF($C372=5,VLOOKUP(D372,HORAS!$B$4:$G$42,6,FALSE),IF(AND($C372=4,$CV372&gt;=(42/24)),VLOOKUP(D372,HORAS!$B$4:$G$42,6,FALSE),IF(COUNTIF($H372:$CL372,"F")&gt;0,0,IF(CV372&gt;$DJ$1,$DJ$1*(VLOOKUP(D372,HORAS!$B$4:$G$42,6,FALSE)/$DJ$1),CV372*(VLOOKUP(D372,HORAS!$B$4:$G$42,6,FALSE)/$DJ$1))))))</f>
        <v>#N/A</v>
      </c>
      <c r="DP372" s="156"/>
      <c r="DQ372" s="148"/>
      <c r="DR372" s="148"/>
      <c r="DS372" s="83" t="e">
        <f t="shared" si="226"/>
        <v>#N/A</v>
      </c>
      <c r="DT372" s="84"/>
      <c r="DU372" s="149" t="e">
        <f t="shared" si="227"/>
        <v>#N/A</v>
      </c>
      <c r="DV372" s="149" t="e">
        <f t="shared" si="228"/>
        <v>#N/A</v>
      </c>
      <c r="DW372" s="144" t="e">
        <f t="shared" si="229"/>
        <v>#N/A</v>
      </c>
      <c r="DX372" s="168"/>
      <c r="DY372" s="29"/>
      <c r="DZ372" s="150"/>
      <c r="EA372" s="134"/>
      <c r="EB372" s="137">
        <f t="shared" si="230"/>
        <v>0</v>
      </c>
      <c r="EC372" s="138">
        <f t="shared" si="231"/>
        <v>0</v>
      </c>
      <c r="ED372" s="137">
        <f t="shared" si="232"/>
        <v>0</v>
      </c>
      <c r="EE372" s="132">
        <f t="shared" si="233"/>
        <v>0</v>
      </c>
      <c r="EF372" s="29"/>
      <c r="EG372" s="134"/>
      <c r="EH372" s="134"/>
      <c r="EI372" s="134"/>
      <c r="EK372" s="29"/>
    </row>
    <row r="373" spans="1:141" ht="15" customHeight="1" x14ac:dyDescent="0.25">
      <c r="A373" s="87"/>
      <c r="B373" s="5"/>
      <c r="C373" s="72"/>
      <c r="D373" s="73"/>
      <c r="E373" s="73"/>
      <c r="F373" s="141"/>
      <c r="G373" s="74"/>
      <c r="H373" s="75"/>
      <c r="I373" s="76"/>
      <c r="J373" s="135"/>
      <c r="K373" s="135"/>
      <c r="L373" s="77">
        <f t="shared" si="138"/>
        <v>0</v>
      </c>
      <c r="M373" s="78"/>
      <c r="N373" s="142"/>
      <c r="O373" s="142"/>
      <c r="P373" s="77">
        <f t="shared" si="139"/>
        <v>0</v>
      </c>
      <c r="Q373" s="78"/>
      <c r="R373" s="143"/>
      <c r="S373" s="143"/>
      <c r="T373" s="77">
        <f t="shared" si="140"/>
        <v>0</v>
      </c>
      <c r="U373" s="75"/>
      <c r="V373" s="76"/>
      <c r="W373" s="135"/>
      <c r="X373" s="135"/>
      <c r="Y373" s="77">
        <f t="shared" si="141"/>
        <v>0</v>
      </c>
      <c r="Z373" s="78"/>
      <c r="AA373" s="142"/>
      <c r="AB373" s="142"/>
      <c r="AC373" s="77">
        <f t="shared" si="142"/>
        <v>0</v>
      </c>
      <c r="AD373" s="78"/>
      <c r="AE373" s="143"/>
      <c r="AF373" s="143"/>
      <c r="AG373" s="79">
        <f t="shared" si="143"/>
        <v>0</v>
      </c>
      <c r="AH373" s="75"/>
      <c r="AI373" s="76"/>
      <c r="AJ373" s="135"/>
      <c r="AK373" s="135"/>
      <c r="AL373" s="77">
        <f t="shared" si="144"/>
        <v>0</v>
      </c>
      <c r="AM373" s="76"/>
      <c r="AN373" s="142"/>
      <c r="AO373" s="142"/>
      <c r="AP373" s="77">
        <f t="shared" si="145"/>
        <v>0</v>
      </c>
      <c r="AQ373" s="78"/>
      <c r="AR373" s="142"/>
      <c r="AS373" s="142"/>
      <c r="AT373" s="79">
        <f t="shared" si="146"/>
        <v>0</v>
      </c>
      <c r="AU373" s="75"/>
      <c r="AV373" s="76"/>
      <c r="AW373" s="135"/>
      <c r="AX373" s="135"/>
      <c r="AY373" s="77">
        <f t="shared" si="147"/>
        <v>0</v>
      </c>
      <c r="AZ373" s="76"/>
      <c r="BA373" s="142"/>
      <c r="BB373" s="142"/>
      <c r="BC373" s="77">
        <f t="shared" si="148"/>
        <v>0</v>
      </c>
      <c r="BD373" s="78"/>
      <c r="BE373" s="142"/>
      <c r="BF373" s="142"/>
      <c r="BG373" s="79">
        <f t="shared" si="149"/>
        <v>0</v>
      </c>
      <c r="BH373" s="75"/>
      <c r="BI373" s="76"/>
      <c r="BJ373" s="135"/>
      <c r="BK373" s="135"/>
      <c r="BL373" s="77">
        <f t="shared" si="150"/>
        <v>0</v>
      </c>
      <c r="BM373" s="78"/>
      <c r="BN373" s="142"/>
      <c r="BO373" s="142"/>
      <c r="BP373" s="77">
        <f t="shared" si="151"/>
        <v>0</v>
      </c>
      <c r="BQ373" s="78"/>
      <c r="BR373" s="142"/>
      <c r="BS373" s="142"/>
      <c r="BT373" s="79">
        <f t="shared" si="152"/>
        <v>0</v>
      </c>
      <c r="BU373" s="75"/>
      <c r="BV373" s="76"/>
      <c r="BW373" s="135"/>
      <c r="BX373" s="135"/>
      <c r="BY373" s="77">
        <f t="shared" si="153"/>
        <v>0</v>
      </c>
      <c r="BZ373" s="78"/>
      <c r="CA373" s="142"/>
      <c r="CB373" s="142"/>
      <c r="CC373" s="77">
        <f t="shared" si="154"/>
        <v>0</v>
      </c>
      <c r="CD373" s="78"/>
      <c r="CE373" s="142"/>
      <c r="CF373" s="142"/>
      <c r="CG373" s="79">
        <f t="shared" si="155"/>
        <v>0</v>
      </c>
      <c r="CH373" s="75"/>
      <c r="CI373" s="76"/>
      <c r="CJ373" s="86"/>
      <c r="CK373" s="86"/>
      <c r="CL373" s="77">
        <f t="shared" si="156"/>
        <v>0</v>
      </c>
      <c r="CM373" s="78"/>
      <c r="CN373" s="85"/>
      <c r="CO373" s="85"/>
      <c r="CP373" s="77">
        <f t="shared" si="157"/>
        <v>0</v>
      </c>
      <c r="CQ373" s="78"/>
      <c r="CR373" s="85"/>
      <c r="CS373" s="85"/>
      <c r="CT373" s="79">
        <f t="shared" si="158"/>
        <v>0</v>
      </c>
      <c r="CU373" s="80">
        <f t="shared" si="168"/>
        <v>0</v>
      </c>
      <c r="CV373" s="81">
        <f t="shared" si="169"/>
        <v>0</v>
      </c>
      <c r="CW373" s="144"/>
      <c r="CX373" s="145">
        <f>IF(ISERROR(VLOOKUP($A373,FIJOS!$B$11:$O$590,14,FALSE)),0,VLOOKUP($A373,FIJOS!$B$11:$O$590,14,FALSE))</f>
        <v>0</v>
      </c>
      <c r="CY373" s="145">
        <f>IF(ISERROR(VLOOKUP(A373,FIJOS!$B$10:$P$590,15,FALSE)),0,VLOOKUP(A373,FIJOS!$B$10:$P$590,15,FALSE))</f>
        <v>0</v>
      </c>
      <c r="CZ373" s="155"/>
      <c r="DA373" s="147"/>
      <c r="DB373" s="147"/>
      <c r="DC373" s="147"/>
      <c r="DD373" s="147"/>
      <c r="DE373" s="147"/>
      <c r="DF373" s="145">
        <f>IF(ISERROR(VLOOKUP($A373,FIJOS!$B$11:$N$590,13,FALSE)),0,VLOOKUP($A373,FIJOS!$B$11:$N$590,13,FALSE))</f>
        <v>0</v>
      </c>
      <c r="DG373" s="145">
        <f>IF(ISERROR(VLOOKUP($A373,FIJOS!$B$11:$P$447,12,FALSE)),0,VLOOKUP($A373,FIJOS!$B$11:$P$447,12,FALSE))</f>
        <v>0</v>
      </c>
      <c r="DH373" s="82">
        <f t="shared" si="159"/>
        <v>0</v>
      </c>
      <c r="DI373" s="83" t="b">
        <f>IF($C373=1,(VLOOKUP($A373,FIJOS!$B$11:$P$545,10,FALSE)/7)*(7-$CU373),IF(AND($C373=2,CV373&lt;$DJ$1),(VLOOKUP($D373,HORAS!$B$4:$C$42,2,FALSE)*24)*$CV373,IF(AND($C373=2,CV373&gt;=$DJ$1),VLOOKUP($D373,HORAS!$B$4:$D$42,3,FALSE),IF(AND($C373=3,$CV373&gt;=$DJ$1),VLOOKUP($A373,FIJOS!$B$11:$P$545,10,FALSE),IF(AND($C373=3,$CV373&lt;$DJ$1),((VLOOKUP($A373,FIJOS!$B$11:$P$545,10,FALSE)/48)*24)*$CV373,IF(AND($C373=4,$CV373&gt;=(42/24)),VLOOKUP($D373,HORAS!$B$4:$D$42,3,FALSE),IF(AND($C373=5,$CV373&gt;=(36/24)),VLOOKUP($D373,HORAS!$B$4:$D$42,3,FALSE))))))))</f>
        <v>0</v>
      </c>
      <c r="DJ373" s="145">
        <f>IF(OR($C373=2),VLOOKUP($D373,HORAS!$B$4:$E$42,4,FALSE)*$EC373,IF(ISERROR(VLOOKUP($A373,FIJOS!$B$11:$P$108,9,FALSE)),0,VLOOKUP($A373,FIJOS!$B$11:$P$231,9,FALSE)*$EC373))</f>
        <v>0</v>
      </c>
      <c r="DK373" s="145">
        <f>IF(OR($C373=2),VLOOKUP($D373,HORAS!$B$4:$F$42,5,FALSE)*$EE373,IF(ISERROR(VLOOKUP($A373,FIJOS!$B$11:$P$108,9,FALSE)),0,VLOOKUP($A373,FIJOS!$B$11:$P$231,9,FALSE)*$EE373))</f>
        <v>0</v>
      </c>
      <c r="DL373" s="144"/>
      <c r="DM373" s="145">
        <f>IF(ISERROR(VLOOKUP($A373,FIJOS!$B$11:$L$646,11,FALSE)),0,VLOOKUP($A373,FIJOS!$B$11:$L$646,11,FALSE))</f>
        <v>0</v>
      </c>
      <c r="DN373" s="148" t="e">
        <f>IF(OR($C373=1,$C373=3),0,IF((VLOOKUP(CAPTURA!D373,HORAS!$B$4:$K$42,10,FALSE)/4)*COUNTIF($H373:$CT373,3)&gt;100,100,(VLOOKUP(CAPTURA!D373,HORAS!$B$4:$K$42,10,FALSE)/4)*COUNTIF($H373:$CT373,3)))</f>
        <v>#N/A</v>
      </c>
      <c r="DO373" s="144" t="e">
        <f>IF(OR($C373=1,$C373=3),0,IF($C373=5,VLOOKUP(D373,HORAS!$B$4:$G$42,6,FALSE),IF(AND($C373=4,$CV373&gt;=(42/24)),VLOOKUP(D373,HORAS!$B$4:$G$42,6,FALSE),IF(COUNTIF($H373:$CL373,"F")&gt;0,0,IF(CV373&gt;$DJ$1,$DJ$1*(VLOOKUP(D373,HORAS!$B$4:$G$42,6,FALSE)/$DJ$1),CV373*(VLOOKUP(D373,HORAS!$B$4:$G$42,6,FALSE)/$DJ$1))))))</f>
        <v>#N/A</v>
      </c>
      <c r="DP373" s="156"/>
      <c r="DQ373" s="148"/>
      <c r="DR373" s="148"/>
      <c r="DS373" s="83" t="e">
        <f t="shared" si="162"/>
        <v>#N/A</v>
      </c>
      <c r="DT373" s="84"/>
      <c r="DU373" s="149" t="e">
        <f t="shared" si="163"/>
        <v>#N/A</v>
      </c>
      <c r="DV373" s="149" t="e">
        <f t="shared" si="164"/>
        <v>#N/A</v>
      </c>
      <c r="DW373" s="144" t="e">
        <f t="shared" si="165"/>
        <v>#N/A</v>
      </c>
      <c r="DX373"/>
      <c r="DY373" s="29"/>
      <c r="DZ373" s="150"/>
      <c r="EA373" s="134"/>
      <c r="EB373" s="137">
        <f t="shared" si="166"/>
        <v>0</v>
      </c>
      <c r="EC373" s="138">
        <f t="shared" si="160"/>
        <v>0</v>
      </c>
      <c r="ED373" s="137">
        <f t="shared" si="167"/>
        <v>0</v>
      </c>
      <c r="EE373" s="132">
        <f t="shared" si="161"/>
        <v>0</v>
      </c>
      <c r="EF373" s="29"/>
      <c r="EG373" s="134"/>
      <c r="EH373" s="134"/>
      <c r="EI373" s="134"/>
      <c r="EK373" s="29"/>
    </row>
    <row r="374" spans="1:141" ht="15" customHeight="1" x14ac:dyDescent="0.25">
      <c r="A374" s="87"/>
      <c r="B374" s="5"/>
      <c r="C374" s="72"/>
      <c r="D374" s="73"/>
      <c r="E374" s="73"/>
      <c r="F374" s="141"/>
      <c r="G374" s="74"/>
      <c r="H374" s="75"/>
      <c r="I374" s="76"/>
      <c r="J374" s="135"/>
      <c r="K374" s="135"/>
      <c r="L374" s="77">
        <f t="shared" si="138"/>
        <v>0</v>
      </c>
      <c r="M374" s="78"/>
      <c r="N374" s="142"/>
      <c r="O374" s="142"/>
      <c r="P374" s="77">
        <f t="shared" si="139"/>
        <v>0</v>
      </c>
      <c r="Q374" s="78"/>
      <c r="R374" s="143"/>
      <c r="S374" s="143"/>
      <c r="T374" s="77">
        <f t="shared" si="140"/>
        <v>0</v>
      </c>
      <c r="U374" s="75"/>
      <c r="V374" s="76"/>
      <c r="W374" s="135"/>
      <c r="X374" s="135"/>
      <c r="Y374" s="77">
        <f t="shared" si="141"/>
        <v>0</v>
      </c>
      <c r="Z374" s="78"/>
      <c r="AA374" s="142"/>
      <c r="AB374" s="142"/>
      <c r="AC374" s="77">
        <f t="shared" si="142"/>
        <v>0</v>
      </c>
      <c r="AD374" s="78"/>
      <c r="AE374" s="143"/>
      <c r="AF374" s="143"/>
      <c r="AG374" s="79">
        <f t="shared" si="143"/>
        <v>0</v>
      </c>
      <c r="AH374" s="75"/>
      <c r="AI374" s="76"/>
      <c r="AJ374" s="135"/>
      <c r="AK374" s="135"/>
      <c r="AL374" s="77">
        <f t="shared" si="144"/>
        <v>0</v>
      </c>
      <c r="AM374" s="76"/>
      <c r="AN374" s="142"/>
      <c r="AO374" s="142"/>
      <c r="AP374" s="77">
        <f t="shared" si="145"/>
        <v>0</v>
      </c>
      <c r="AQ374" s="78"/>
      <c r="AR374" s="142"/>
      <c r="AS374" s="142"/>
      <c r="AT374" s="79">
        <f t="shared" si="146"/>
        <v>0</v>
      </c>
      <c r="AU374" s="75"/>
      <c r="AV374" s="76"/>
      <c r="AW374" s="135"/>
      <c r="AX374" s="135"/>
      <c r="AY374" s="77">
        <f t="shared" si="147"/>
        <v>0</v>
      </c>
      <c r="AZ374" s="76"/>
      <c r="BA374" s="142"/>
      <c r="BB374" s="142"/>
      <c r="BC374" s="77">
        <f t="shared" si="148"/>
        <v>0</v>
      </c>
      <c r="BD374" s="78"/>
      <c r="BE374" s="142"/>
      <c r="BF374" s="142"/>
      <c r="BG374" s="79">
        <f t="shared" si="149"/>
        <v>0</v>
      </c>
      <c r="BH374" s="75"/>
      <c r="BI374" s="76"/>
      <c r="BJ374" s="135"/>
      <c r="BK374" s="135"/>
      <c r="BL374" s="77">
        <f t="shared" si="150"/>
        <v>0</v>
      </c>
      <c r="BM374" s="78"/>
      <c r="BN374" s="142"/>
      <c r="BO374" s="142"/>
      <c r="BP374" s="77">
        <f t="shared" si="151"/>
        <v>0</v>
      </c>
      <c r="BQ374" s="78"/>
      <c r="BR374" s="142"/>
      <c r="BS374" s="142"/>
      <c r="BT374" s="79">
        <f t="shared" si="152"/>
        <v>0</v>
      </c>
      <c r="BU374" s="75"/>
      <c r="BV374" s="76"/>
      <c r="BW374" s="135"/>
      <c r="BX374" s="135"/>
      <c r="BY374" s="77">
        <f t="shared" si="153"/>
        <v>0</v>
      </c>
      <c r="BZ374" s="78"/>
      <c r="CA374" s="142"/>
      <c r="CB374" s="142"/>
      <c r="CC374" s="77">
        <f t="shared" si="154"/>
        <v>0</v>
      </c>
      <c r="CD374" s="78"/>
      <c r="CE374" s="142"/>
      <c r="CF374" s="142"/>
      <c r="CG374" s="79">
        <f t="shared" si="155"/>
        <v>0</v>
      </c>
      <c r="CH374" s="75"/>
      <c r="CI374" s="76"/>
      <c r="CJ374" s="86"/>
      <c r="CK374" s="86"/>
      <c r="CL374" s="77">
        <f t="shared" si="156"/>
        <v>0</v>
      </c>
      <c r="CM374" s="78"/>
      <c r="CN374" s="85"/>
      <c r="CO374" s="85"/>
      <c r="CP374" s="77">
        <f t="shared" si="157"/>
        <v>0</v>
      </c>
      <c r="CQ374" s="78"/>
      <c r="CR374" s="85"/>
      <c r="CS374" s="85"/>
      <c r="CT374" s="79">
        <f t="shared" si="158"/>
        <v>0</v>
      </c>
      <c r="CU374" s="80">
        <f t="shared" si="168"/>
        <v>0</v>
      </c>
      <c r="CV374" s="81">
        <f t="shared" si="169"/>
        <v>0</v>
      </c>
      <c r="CW374" s="144"/>
      <c r="CX374" s="145">
        <f>IF(ISERROR(VLOOKUP($A374,FIJOS!$B$11:$O$590,14,FALSE)),0,VLOOKUP($A374,FIJOS!$B$11:$O$590,14,FALSE))</f>
        <v>0</v>
      </c>
      <c r="CY374" s="145">
        <f>IF(ISERROR(VLOOKUP(A374,FIJOS!$B$10:$P$590,15,FALSE)),0,VLOOKUP(A374,FIJOS!$B$10:$P$590,15,FALSE))</f>
        <v>0</v>
      </c>
      <c r="CZ374" s="155"/>
      <c r="DA374" s="147"/>
      <c r="DB374" s="147"/>
      <c r="DC374" s="147"/>
      <c r="DD374" s="147"/>
      <c r="DE374" s="147"/>
      <c r="DF374" s="145">
        <f>IF(ISERROR(VLOOKUP($A374,FIJOS!$B$11:$N$590,13,FALSE)),0,VLOOKUP($A374,FIJOS!$B$11:$N$590,13,FALSE))</f>
        <v>0</v>
      </c>
      <c r="DG374" s="145">
        <f>IF(ISERROR(VLOOKUP($A374,FIJOS!$B$11:$P$447,12,FALSE)),0,VLOOKUP($A374,FIJOS!$B$11:$P$447,12,FALSE))</f>
        <v>0</v>
      </c>
      <c r="DH374" s="82">
        <f t="shared" ref="DH374:DH420" si="234">SUM(CW374:DG374)</f>
        <v>0</v>
      </c>
      <c r="DI374" s="83" t="b">
        <f>IF($C374=1,(VLOOKUP($A374,FIJOS!$B$11:$P$545,10,FALSE)/7)*(7-$CU374),IF(AND($C374=2,CV374&lt;$DJ$1),(VLOOKUP($D374,HORAS!$B$4:$C$42,2,FALSE)*24)*$CV374,IF(AND($C374=2,CV374&gt;=$DJ$1),VLOOKUP($D374,HORAS!$B$4:$D$42,3,FALSE),IF(AND($C374=3,$CV374&gt;=$DJ$1),VLOOKUP($A374,FIJOS!$B$11:$P$545,10,FALSE),IF(AND($C374=3,$CV374&lt;$DJ$1),((VLOOKUP($A374,FIJOS!$B$11:$P$545,10,FALSE)/48)*24)*$CV374,IF(AND($C374=4,$CV374&gt;=(42/24)),VLOOKUP($D374,HORAS!$B$4:$D$42,3,FALSE),IF(AND($C374=5,$CV374&gt;=(36/24)),VLOOKUP($D374,HORAS!$B$4:$D$42,3,FALSE))))))))</f>
        <v>0</v>
      </c>
      <c r="DJ374" s="145">
        <f>IF(OR($C374=2),VLOOKUP($D374,HORAS!$B$4:$E$42,4,FALSE)*$EC374,IF(ISERROR(VLOOKUP($A374,FIJOS!$B$11:$P$108,9,FALSE)),0,VLOOKUP($A374,FIJOS!$B$11:$P$231,9,FALSE)*$EC374))</f>
        <v>0</v>
      </c>
      <c r="DK374" s="145">
        <f>IF(OR($C374=2),VLOOKUP($D374,HORAS!$B$4:$F$42,5,FALSE)*$EE374,IF(ISERROR(VLOOKUP($A374,FIJOS!$B$11:$P$108,9,FALSE)),0,VLOOKUP($A374,FIJOS!$B$11:$P$231,9,FALSE)*$EE374))</f>
        <v>0</v>
      </c>
      <c r="DL374" s="144"/>
      <c r="DM374" s="145">
        <f>IF(ISERROR(VLOOKUP($A374,FIJOS!$B$11:$L$646,11,FALSE)),0,VLOOKUP($A374,FIJOS!$B$11:$L$646,11,FALSE))</f>
        <v>0</v>
      </c>
      <c r="DN374" s="148" t="e">
        <f>IF(OR($C374=1,$C374=3),0,IF((VLOOKUP(CAPTURA!D374,HORAS!$B$4:$K$42,10,FALSE)/4)*COUNTIF($H374:$CT374,3)&gt;100,100,(VLOOKUP(CAPTURA!D374,HORAS!$B$4:$K$42,10,FALSE)/4)*COUNTIF($H374:$CT374,3)))</f>
        <v>#N/A</v>
      </c>
      <c r="DO374" s="144" t="e">
        <f>IF(OR($C374=1,$C374=3),0,IF($C374=5,VLOOKUP(D374,HORAS!$B$4:$G$42,6,FALSE),IF(AND($C374=4,$CV374&gt;=(42/24)),VLOOKUP(D374,HORAS!$B$4:$G$42,6,FALSE),IF(COUNTIF($H374:$CL374,"F")&gt;0,0,IF(CV374&gt;$DJ$1,$DJ$1*(VLOOKUP(D374,HORAS!$B$4:$G$42,6,FALSE)/$DJ$1),CV374*(VLOOKUP(D374,HORAS!$B$4:$G$42,6,FALSE)/$DJ$1))))))</f>
        <v>#N/A</v>
      </c>
      <c r="DP374" s="156"/>
      <c r="DQ374" s="148"/>
      <c r="DR374" s="148"/>
      <c r="DS374" s="83" t="e">
        <f t="shared" si="162"/>
        <v>#N/A</v>
      </c>
      <c r="DT374" s="84"/>
      <c r="DU374" s="149" t="e">
        <f t="shared" ref="DU374:DU420" si="235">IF(DW374-DV374=0,0,DW374-DV374)</f>
        <v>#N/A</v>
      </c>
      <c r="DV374" s="149" t="e">
        <f t="shared" ref="DV374:DV420" si="236">IF(DS374&gt;DY374,DY374,DS374)-(CZ374+CY374)</f>
        <v>#N/A</v>
      </c>
      <c r="DW374" s="144" t="e">
        <f t="shared" ref="DW374:DW420" si="237">DS374-DH374</f>
        <v>#N/A</v>
      </c>
      <c r="DX374" s="168"/>
      <c r="DY374" s="29"/>
      <c r="DZ374" s="150"/>
      <c r="EA374" s="134"/>
      <c r="EB374" s="137">
        <f t="shared" ref="EB374:EB420" si="238">IF(CV374&lt;=$DJ$1,0,IF((CV374-$DJ$1)&gt;$EB$1,$EB$1,CV374-$DJ$1))</f>
        <v>0</v>
      </c>
      <c r="EC374" s="138">
        <f t="shared" ref="EC374:EC420" si="239">EB374*24</f>
        <v>0</v>
      </c>
      <c r="ED374" s="137">
        <f t="shared" ref="ED374:ED420" si="240">IF(CV374&lt;=($EB$1+$DJ$1),0,CV374-($EB$1+$DJ$1))</f>
        <v>0</v>
      </c>
      <c r="EE374" s="132">
        <f t="shared" ref="EE374:EE420" si="241">ED374*24</f>
        <v>0</v>
      </c>
      <c r="EF374" s="29"/>
      <c r="EG374" s="134"/>
      <c r="EH374" s="134"/>
      <c r="EI374" s="134"/>
      <c r="EK374" s="29"/>
    </row>
    <row r="375" spans="1:141" ht="15" customHeight="1" x14ac:dyDescent="0.25">
      <c r="A375" s="87"/>
      <c r="B375" s="5"/>
      <c r="C375" s="72"/>
      <c r="D375" s="73"/>
      <c r="E375" s="73"/>
      <c r="F375" s="141"/>
      <c r="G375" s="74"/>
      <c r="H375" s="75"/>
      <c r="I375" s="76"/>
      <c r="J375" s="135"/>
      <c r="K375" s="135"/>
      <c r="L375" s="77">
        <f t="shared" si="138"/>
        <v>0</v>
      </c>
      <c r="M375" s="78"/>
      <c r="N375" s="142"/>
      <c r="O375" s="142"/>
      <c r="P375" s="77">
        <f t="shared" si="139"/>
        <v>0</v>
      </c>
      <c r="Q375" s="78"/>
      <c r="R375" s="143"/>
      <c r="S375" s="143"/>
      <c r="T375" s="77">
        <f t="shared" si="140"/>
        <v>0</v>
      </c>
      <c r="U375" s="75"/>
      <c r="V375" s="76"/>
      <c r="W375" s="135"/>
      <c r="X375" s="135"/>
      <c r="Y375" s="77">
        <f t="shared" si="141"/>
        <v>0</v>
      </c>
      <c r="Z375" s="78"/>
      <c r="AA375" s="142"/>
      <c r="AB375" s="142"/>
      <c r="AC375" s="77">
        <f t="shared" si="142"/>
        <v>0</v>
      </c>
      <c r="AD375" s="78"/>
      <c r="AE375" s="143"/>
      <c r="AF375" s="143"/>
      <c r="AG375" s="79">
        <f t="shared" si="143"/>
        <v>0</v>
      </c>
      <c r="AH375" s="75"/>
      <c r="AI375" s="76"/>
      <c r="AJ375" s="135"/>
      <c r="AK375" s="135"/>
      <c r="AL375" s="77">
        <f t="shared" si="144"/>
        <v>0</v>
      </c>
      <c r="AM375" s="76"/>
      <c r="AN375" s="142"/>
      <c r="AO375" s="142"/>
      <c r="AP375" s="77">
        <f t="shared" si="145"/>
        <v>0</v>
      </c>
      <c r="AQ375" s="78"/>
      <c r="AR375" s="142"/>
      <c r="AS375" s="142"/>
      <c r="AT375" s="79">
        <f t="shared" si="146"/>
        <v>0</v>
      </c>
      <c r="AU375" s="75"/>
      <c r="AV375" s="76"/>
      <c r="AW375" s="135"/>
      <c r="AX375" s="135"/>
      <c r="AY375" s="77">
        <f t="shared" si="147"/>
        <v>0</v>
      </c>
      <c r="AZ375" s="76"/>
      <c r="BA375" s="142"/>
      <c r="BB375" s="142"/>
      <c r="BC375" s="77">
        <f t="shared" si="148"/>
        <v>0</v>
      </c>
      <c r="BD375" s="78"/>
      <c r="BE375" s="142"/>
      <c r="BF375" s="142"/>
      <c r="BG375" s="79">
        <f t="shared" si="149"/>
        <v>0</v>
      </c>
      <c r="BH375" s="75"/>
      <c r="BI375" s="76"/>
      <c r="BJ375" s="135"/>
      <c r="BK375" s="135"/>
      <c r="BL375" s="77">
        <f t="shared" si="150"/>
        <v>0</v>
      </c>
      <c r="BM375" s="78"/>
      <c r="BN375" s="142"/>
      <c r="BO375" s="142"/>
      <c r="BP375" s="77">
        <f t="shared" si="151"/>
        <v>0</v>
      </c>
      <c r="BQ375" s="78"/>
      <c r="BR375" s="142"/>
      <c r="BS375" s="142"/>
      <c r="BT375" s="79">
        <f t="shared" si="152"/>
        <v>0</v>
      </c>
      <c r="BU375" s="75"/>
      <c r="BV375" s="76"/>
      <c r="BW375" s="135"/>
      <c r="BX375" s="135"/>
      <c r="BY375" s="77">
        <f t="shared" si="153"/>
        <v>0</v>
      </c>
      <c r="BZ375" s="78"/>
      <c r="CA375" s="142"/>
      <c r="CB375" s="142"/>
      <c r="CC375" s="77">
        <f t="shared" si="154"/>
        <v>0</v>
      </c>
      <c r="CD375" s="78"/>
      <c r="CE375" s="142"/>
      <c r="CF375" s="142"/>
      <c r="CG375" s="79">
        <f t="shared" si="155"/>
        <v>0</v>
      </c>
      <c r="CH375" s="75"/>
      <c r="CI375" s="76"/>
      <c r="CJ375" s="86"/>
      <c r="CK375" s="86"/>
      <c r="CL375" s="77">
        <f t="shared" si="156"/>
        <v>0</v>
      </c>
      <c r="CM375" s="78"/>
      <c r="CN375" s="85"/>
      <c r="CO375" s="85"/>
      <c r="CP375" s="77">
        <f t="shared" si="157"/>
        <v>0</v>
      </c>
      <c r="CQ375" s="78"/>
      <c r="CR375" s="85"/>
      <c r="CS375" s="85"/>
      <c r="CT375" s="79">
        <f t="shared" si="158"/>
        <v>0</v>
      </c>
      <c r="CU375" s="80">
        <f t="shared" si="168"/>
        <v>0</v>
      </c>
      <c r="CV375" s="81">
        <f t="shared" si="169"/>
        <v>0</v>
      </c>
      <c r="CW375" s="144"/>
      <c r="CX375" s="145">
        <f>IF(ISERROR(VLOOKUP($A375,FIJOS!$B$11:$O$590,14,FALSE)),0,VLOOKUP($A375,FIJOS!$B$11:$O$590,14,FALSE))</f>
        <v>0</v>
      </c>
      <c r="CY375" s="145">
        <f>IF(ISERROR(VLOOKUP(A375,FIJOS!$B$10:$P$590,15,FALSE)),0,VLOOKUP(A375,FIJOS!$B$10:$P$590,15,FALSE))</f>
        <v>0</v>
      </c>
      <c r="CZ375" s="155"/>
      <c r="DA375" s="147"/>
      <c r="DB375" s="147"/>
      <c r="DC375" s="147"/>
      <c r="DD375" s="147"/>
      <c r="DE375" s="147"/>
      <c r="DF375" s="145">
        <f>IF(ISERROR(VLOOKUP($A375,FIJOS!$B$11:$N$590,13,FALSE)),0,VLOOKUP($A375,FIJOS!$B$11:$N$590,13,FALSE))</f>
        <v>0</v>
      </c>
      <c r="DG375" s="145">
        <f>IF(ISERROR(VLOOKUP($A375,FIJOS!$B$11:$P$447,12,FALSE)),0,VLOOKUP($A375,FIJOS!$B$11:$P$447,12,FALSE))</f>
        <v>0</v>
      </c>
      <c r="DH375" s="82">
        <f t="shared" si="234"/>
        <v>0</v>
      </c>
      <c r="DI375" s="83" t="b">
        <f>IF($C375=1,(VLOOKUP($A375,FIJOS!$B$11:$P$545,10,FALSE)/7)*(7-$CU375),IF(AND($C375=2,CV375&lt;$DJ$1),(VLOOKUP($D375,HORAS!$B$4:$C$42,2,FALSE)*24)*$CV375,IF(AND($C375=2,CV375&gt;=$DJ$1),VLOOKUP($D375,HORAS!$B$4:$D$42,3,FALSE),IF(AND($C375=3,$CV375&gt;=$DJ$1),VLOOKUP($A375,FIJOS!$B$11:$P$545,10,FALSE),IF(AND($C375=3,$CV375&lt;$DJ$1),((VLOOKUP($A375,FIJOS!$B$11:$P$545,10,FALSE)/48)*24)*$CV375,IF(AND($C375=4,$CV375&gt;=(42/24)),VLOOKUP($D375,HORAS!$B$4:$D$42,3,FALSE),IF(AND($C375=5,$CV375&gt;=(36/24)),VLOOKUP($D375,HORAS!$B$4:$D$42,3,FALSE))))))))</f>
        <v>0</v>
      </c>
      <c r="DJ375" s="145">
        <f>IF(OR($C375=2),VLOOKUP($D375,HORAS!$B$4:$E$42,4,FALSE)*$EC375,IF(ISERROR(VLOOKUP($A375,FIJOS!$B$11:$P$108,9,FALSE)),0,VLOOKUP($A375,FIJOS!$B$11:$P$231,9,FALSE)*$EC375))</f>
        <v>0</v>
      </c>
      <c r="DK375" s="145">
        <f>IF(OR($C375=2),VLOOKUP($D375,HORAS!$B$4:$F$42,5,FALSE)*$EE375,IF(ISERROR(VLOOKUP($A375,FIJOS!$B$11:$P$108,9,FALSE)),0,VLOOKUP($A375,FIJOS!$B$11:$P$231,9,FALSE)*$EE375))</f>
        <v>0</v>
      </c>
      <c r="DL375" s="144"/>
      <c r="DM375" s="145">
        <f>IF(ISERROR(VLOOKUP($A375,FIJOS!$B$11:$L$646,11,FALSE)),0,VLOOKUP($A375,FIJOS!$B$11:$L$646,11,FALSE))</f>
        <v>0</v>
      </c>
      <c r="DN375" s="148" t="e">
        <f>IF(OR($C375=1,$C375=3),0,IF((VLOOKUP(CAPTURA!D375,HORAS!$B$4:$K$42,10,FALSE)/4)*COUNTIF($H375:$CT375,3)&gt;100,100,(VLOOKUP(CAPTURA!D375,HORAS!$B$4:$K$42,10,FALSE)/4)*COUNTIF($H375:$CT375,3)))</f>
        <v>#N/A</v>
      </c>
      <c r="DO375" s="144" t="e">
        <f>IF(OR($C375=1,$C375=3),0,IF($C375=5,VLOOKUP(D375,HORAS!$B$4:$G$42,6,FALSE),IF(AND($C375=4,$CV375&gt;=(42/24)),VLOOKUP(D375,HORAS!$B$4:$G$42,6,FALSE),IF(COUNTIF($H375:$CL375,"F")&gt;0,0,IF(CV375&gt;$DJ$1,$DJ$1*(VLOOKUP(D375,HORAS!$B$4:$G$42,6,FALSE)/$DJ$1),CV375*(VLOOKUP(D375,HORAS!$B$4:$G$42,6,FALSE)/$DJ$1))))))</f>
        <v>#N/A</v>
      </c>
      <c r="DP375" s="156"/>
      <c r="DQ375" s="148"/>
      <c r="DR375" s="148"/>
      <c r="DS375" s="83" t="e">
        <f t="shared" si="162"/>
        <v>#N/A</v>
      </c>
      <c r="DT375" s="84"/>
      <c r="DU375" s="149" t="e">
        <f t="shared" si="235"/>
        <v>#N/A</v>
      </c>
      <c r="DV375" s="149" t="e">
        <f t="shared" si="236"/>
        <v>#N/A</v>
      </c>
      <c r="DW375" s="144" t="e">
        <f t="shared" si="237"/>
        <v>#N/A</v>
      </c>
      <c r="DX375" s="168"/>
      <c r="DY375" s="29"/>
      <c r="DZ375" s="150"/>
      <c r="EA375" s="134"/>
      <c r="EB375" s="137">
        <f t="shared" si="238"/>
        <v>0</v>
      </c>
      <c r="EC375" s="138">
        <f t="shared" si="239"/>
        <v>0</v>
      </c>
      <c r="ED375" s="137">
        <f t="shared" si="240"/>
        <v>0</v>
      </c>
      <c r="EE375" s="132">
        <f t="shared" si="241"/>
        <v>0</v>
      </c>
      <c r="EF375" s="29"/>
      <c r="EG375" s="134"/>
      <c r="EH375" s="134"/>
      <c r="EI375" s="134"/>
      <c r="EK375" s="29"/>
    </row>
    <row r="376" spans="1:141" ht="15" customHeight="1" x14ac:dyDescent="0.25">
      <c r="A376" s="87"/>
      <c r="B376" s="5"/>
      <c r="C376" s="72"/>
      <c r="D376" s="73"/>
      <c r="E376" s="73"/>
      <c r="F376" s="141"/>
      <c r="G376" s="74"/>
      <c r="H376" s="75"/>
      <c r="I376" s="76"/>
      <c r="J376" s="135"/>
      <c r="K376" s="135"/>
      <c r="L376" s="77">
        <f t="shared" si="138"/>
        <v>0</v>
      </c>
      <c r="M376" s="78"/>
      <c r="N376" s="142"/>
      <c r="O376" s="142"/>
      <c r="P376" s="77">
        <f t="shared" si="139"/>
        <v>0</v>
      </c>
      <c r="Q376" s="78"/>
      <c r="R376" s="143"/>
      <c r="S376" s="143"/>
      <c r="T376" s="77">
        <f t="shared" si="140"/>
        <v>0</v>
      </c>
      <c r="U376" s="75"/>
      <c r="V376" s="76"/>
      <c r="W376" s="135"/>
      <c r="X376" s="135"/>
      <c r="Y376" s="77">
        <f t="shared" si="141"/>
        <v>0</v>
      </c>
      <c r="Z376" s="78"/>
      <c r="AA376" s="142"/>
      <c r="AB376" s="142"/>
      <c r="AC376" s="77">
        <f t="shared" si="142"/>
        <v>0</v>
      </c>
      <c r="AD376" s="78"/>
      <c r="AE376" s="143"/>
      <c r="AF376" s="143"/>
      <c r="AG376" s="79">
        <f t="shared" si="143"/>
        <v>0</v>
      </c>
      <c r="AH376" s="75"/>
      <c r="AI376" s="76"/>
      <c r="AJ376" s="135"/>
      <c r="AK376" s="135"/>
      <c r="AL376" s="77">
        <f t="shared" si="144"/>
        <v>0</v>
      </c>
      <c r="AM376" s="76"/>
      <c r="AN376" s="142"/>
      <c r="AO376" s="142"/>
      <c r="AP376" s="77">
        <f t="shared" si="145"/>
        <v>0</v>
      </c>
      <c r="AQ376" s="78"/>
      <c r="AR376" s="142"/>
      <c r="AS376" s="142"/>
      <c r="AT376" s="79">
        <f t="shared" si="146"/>
        <v>0</v>
      </c>
      <c r="AU376" s="75"/>
      <c r="AV376" s="76"/>
      <c r="AW376" s="135"/>
      <c r="AX376" s="135"/>
      <c r="AY376" s="77">
        <f t="shared" si="147"/>
        <v>0</v>
      </c>
      <c r="AZ376" s="76"/>
      <c r="BA376" s="142"/>
      <c r="BB376" s="142"/>
      <c r="BC376" s="77">
        <f t="shared" si="148"/>
        <v>0</v>
      </c>
      <c r="BD376" s="78"/>
      <c r="BE376" s="142"/>
      <c r="BF376" s="142"/>
      <c r="BG376" s="79">
        <f t="shared" si="149"/>
        <v>0</v>
      </c>
      <c r="BH376" s="75"/>
      <c r="BI376" s="76"/>
      <c r="BJ376" s="135"/>
      <c r="BK376" s="135"/>
      <c r="BL376" s="77">
        <f t="shared" si="150"/>
        <v>0</v>
      </c>
      <c r="BM376" s="78"/>
      <c r="BN376" s="142"/>
      <c r="BO376" s="142"/>
      <c r="BP376" s="77">
        <f t="shared" si="151"/>
        <v>0</v>
      </c>
      <c r="BQ376" s="78"/>
      <c r="BR376" s="142"/>
      <c r="BS376" s="142"/>
      <c r="BT376" s="79">
        <f t="shared" si="152"/>
        <v>0</v>
      </c>
      <c r="BU376" s="75"/>
      <c r="BV376" s="76"/>
      <c r="BW376" s="135"/>
      <c r="BX376" s="135"/>
      <c r="BY376" s="77">
        <f t="shared" si="153"/>
        <v>0</v>
      </c>
      <c r="BZ376" s="78"/>
      <c r="CA376" s="142"/>
      <c r="CB376" s="142"/>
      <c r="CC376" s="77">
        <f t="shared" si="154"/>
        <v>0</v>
      </c>
      <c r="CD376" s="78"/>
      <c r="CE376" s="142"/>
      <c r="CF376" s="142"/>
      <c r="CG376" s="79">
        <f t="shared" si="155"/>
        <v>0</v>
      </c>
      <c r="CH376" s="75"/>
      <c r="CI376" s="76"/>
      <c r="CJ376" s="86"/>
      <c r="CK376" s="86"/>
      <c r="CL376" s="77">
        <f t="shared" si="156"/>
        <v>0</v>
      </c>
      <c r="CM376" s="78"/>
      <c r="CN376" s="85"/>
      <c r="CO376" s="85"/>
      <c r="CP376" s="77">
        <f t="shared" si="157"/>
        <v>0</v>
      </c>
      <c r="CQ376" s="78"/>
      <c r="CR376" s="85"/>
      <c r="CS376" s="85"/>
      <c r="CT376" s="79">
        <f t="shared" si="158"/>
        <v>0</v>
      </c>
      <c r="CU376" s="80">
        <f t="shared" si="168"/>
        <v>0</v>
      </c>
      <c r="CV376" s="81">
        <f t="shared" si="169"/>
        <v>0</v>
      </c>
      <c r="CW376" s="144"/>
      <c r="CX376" s="145">
        <f>IF(ISERROR(VLOOKUP($A376,FIJOS!$B$11:$O$590,14,FALSE)),0,VLOOKUP($A376,FIJOS!$B$11:$O$590,14,FALSE))</f>
        <v>0</v>
      </c>
      <c r="CY376" s="145">
        <f>IF(ISERROR(VLOOKUP(A376,FIJOS!$B$10:$P$590,15,FALSE)),0,VLOOKUP(A376,FIJOS!$B$10:$P$590,15,FALSE))</f>
        <v>0</v>
      </c>
      <c r="CZ376" s="155"/>
      <c r="DA376" s="147"/>
      <c r="DB376" s="147"/>
      <c r="DC376" s="147"/>
      <c r="DD376" s="147"/>
      <c r="DE376" s="147"/>
      <c r="DF376" s="145">
        <f>IF(ISERROR(VLOOKUP($A376,FIJOS!$B$11:$N$590,13,FALSE)),0,VLOOKUP($A376,FIJOS!$B$11:$N$590,13,FALSE))</f>
        <v>0</v>
      </c>
      <c r="DG376" s="145">
        <f>IF(ISERROR(VLOOKUP($A376,FIJOS!$B$11:$P$447,12,FALSE)),0,VLOOKUP($A376,FIJOS!$B$11:$P$447,12,FALSE))</f>
        <v>0</v>
      </c>
      <c r="DH376" s="82">
        <f t="shared" si="234"/>
        <v>0</v>
      </c>
      <c r="DI376" s="83" t="b">
        <f>IF($C376=1,(VLOOKUP($A376,FIJOS!$B$11:$P$545,10,FALSE)/7)*(7-$CU376),IF(AND($C376=2,CV376&lt;$DJ$1),(VLOOKUP($D376,HORAS!$B$4:$C$42,2,FALSE)*24)*$CV376,IF(AND($C376=2,CV376&gt;=$DJ$1),VLOOKUP($D376,HORAS!$B$4:$D$42,3,FALSE),IF(AND($C376=3,$CV376&gt;=$DJ$1),VLOOKUP($A376,FIJOS!$B$11:$P$545,10,FALSE),IF(AND($C376=3,$CV376&lt;$DJ$1),((VLOOKUP($A376,FIJOS!$B$11:$P$545,10,FALSE)/48)*24)*$CV376,IF(AND($C376=4,$CV376&gt;=(42/24)),VLOOKUP($D376,HORAS!$B$4:$D$42,3,FALSE),IF(AND($C376=5,$CV376&gt;=(36/24)),VLOOKUP($D376,HORAS!$B$4:$D$42,3,FALSE))))))))</f>
        <v>0</v>
      </c>
      <c r="DJ376" s="145">
        <f>IF(OR($C376=2),VLOOKUP($D376,HORAS!$B$4:$E$42,4,FALSE)*$EC376,IF(ISERROR(VLOOKUP($A376,FIJOS!$B$11:$P$108,9,FALSE)),0,VLOOKUP($A376,FIJOS!$B$11:$P$231,9,FALSE)*$EC376))</f>
        <v>0</v>
      </c>
      <c r="DK376" s="145">
        <f>IF(OR($C376=2),VLOOKUP($D376,HORAS!$B$4:$F$42,5,FALSE)*$EE376,IF(ISERROR(VLOOKUP($A376,FIJOS!$B$11:$P$108,9,FALSE)),0,VLOOKUP($A376,FIJOS!$B$11:$P$231,9,FALSE)*$EE376))</f>
        <v>0</v>
      </c>
      <c r="DL376" s="144"/>
      <c r="DM376" s="145">
        <f>IF(ISERROR(VLOOKUP($A376,FIJOS!$B$11:$L$646,11,FALSE)),0,VLOOKUP($A376,FIJOS!$B$11:$L$646,11,FALSE))</f>
        <v>0</v>
      </c>
      <c r="DN376" s="148" t="e">
        <f>IF(OR($C376=1,$C376=3),0,IF((VLOOKUP(CAPTURA!D376,HORAS!$B$4:$K$42,10,FALSE)/4)*COUNTIF($H376:$CT376,3)&gt;100,100,(VLOOKUP(CAPTURA!D376,HORAS!$B$4:$K$42,10,FALSE)/4)*COUNTIF($H376:$CT376,3)))</f>
        <v>#N/A</v>
      </c>
      <c r="DO376" s="144" t="e">
        <f>IF(OR($C376=1,$C376=3),0,IF($C376=5,VLOOKUP(D376,HORAS!$B$4:$G$42,6,FALSE),IF(AND($C376=4,$CV376&gt;=(42/24)),VLOOKUP(D376,HORAS!$B$4:$G$42,6,FALSE),IF(COUNTIF($H376:$CL376,"F")&gt;0,0,IF(CV376&gt;$DJ$1,$DJ$1*(VLOOKUP(D376,HORAS!$B$4:$G$42,6,FALSE)/$DJ$1),CV376*(VLOOKUP(D376,HORAS!$B$4:$G$42,6,FALSE)/$DJ$1))))))</f>
        <v>#N/A</v>
      </c>
      <c r="DP376" s="156"/>
      <c r="DQ376" s="148"/>
      <c r="DR376" s="148"/>
      <c r="DS376" s="83" t="e">
        <f t="shared" si="162"/>
        <v>#N/A</v>
      </c>
      <c r="DT376" s="84"/>
      <c r="DU376" s="149" t="e">
        <f t="shared" si="235"/>
        <v>#N/A</v>
      </c>
      <c r="DV376" s="149" t="e">
        <f t="shared" si="236"/>
        <v>#N/A</v>
      </c>
      <c r="DW376" s="144" t="e">
        <f t="shared" si="237"/>
        <v>#N/A</v>
      </c>
      <c r="DX376" s="168"/>
      <c r="DY376" s="29"/>
      <c r="DZ376" s="150"/>
      <c r="EA376" s="134"/>
      <c r="EB376" s="137">
        <f t="shared" si="238"/>
        <v>0</v>
      </c>
      <c r="EC376" s="138">
        <f t="shared" si="239"/>
        <v>0</v>
      </c>
      <c r="ED376" s="137">
        <f t="shared" si="240"/>
        <v>0</v>
      </c>
      <c r="EE376" s="132">
        <f t="shared" si="241"/>
        <v>0</v>
      </c>
      <c r="EF376" s="29"/>
      <c r="EG376" s="134"/>
      <c r="EH376" s="134"/>
      <c r="EI376" s="134"/>
      <c r="EK376" s="29"/>
    </row>
    <row r="377" spans="1:141" ht="15" customHeight="1" x14ac:dyDescent="0.25">
      <c r="A377" s="87"/>
      <c r="B377" s="5"/>
      <c r="C377" s="72"/>
      <c r="D377" s="73"/>
      <c r="E377" s="73"/>
      <c r="F377" s="141"/>
      <c r="G377" s="74"/>
      <c r="H377" s="75"/>
      <c r="I377" s="76"/>
      <c r="J377" s="135"/>
      <c r="K377" s="135"/>
      <c r="L377" s="77">
        <f t="shared" si="138"/>
        <v>0</v>
      </c>
      <c r="M377" s="78"/>
      <c r="N377" s="142"/>
      <c r="O377" s="142"/>
      <c r="P377" s="77">
        <f t="shared" si="139"/>
        <v>0</v>
      </c>
      <c r="Q377" s="78"/>
      <c r="R377" s="143"/>
      <c r="S377" s="143"/>
      <c r="T377" s="77">
        <f t="shared" si="140"/>
        <v>0</v>
      </c>
      <c r="U377" s="75"/>
      <c r="V377" s="76"/>
      <c r="W377" s="135"/>
      <c r="X377" s="135"/>
      <c r="Y377" s="77">
        <f t="shared" si="141"/>
        <v>0</v>
      </c>
      <c r="Z377" s="78"/>
      <c r="AA377" s="142"/>
      <c r="AB377" s="142"/>
      <c r="AC377" s="77">
        <f t="shared" si="142"/>
        <v>0</v>
      </c>
      <c r="AD377" s="78"/>
      <c r="AE377" s="143"/>
      <c r="AF377" s="143"/>
      <c r="AG377" s="79">
        <f t="shared" si="143"/>
        <v>0</v>
      </c>
      <c r="AH377" s="75"/>
      <c r="AI377" s="76"/>
      <c r="AJ377" s="135"/>
      <c r="AK377" s="135"/>
      <c r="AL377" s="77">
        <f t="shared" si="144"/>
        <v>0</v>
      </c>
      <c r="AM377" s="76"/>
      <c r="AN377" s="142"/>
      <c r="AO377" s="142"/>
      <c r="AP377" s="77">
        <f t="shared" si="145"/>
        <v>0</v>
      </c>
      <c r="AQ377" s="78"/>
      <c r="AR377" s="142"/>
      <c r="AS377" s="142"/>
      <c r="AT377" s="79">
        <f t="shared" si="146"/>
        <v>0</v>
      </c>
      <c r="AU377" s="75"/>
      <c r="AV377" s="76"/>
      <c r="AW377" s="135"/>
      <c r="AX377" s="135"/>
      <c r="AY377" s="77">
        <f t="shared" si="147"/>
        <v>0</v>
      </c>
      <c r="AZ377" s="76"/>
      <c r="BA377" s="142"/>
      <c r="BB377" s="142"/>
      <c r="BC377" s="77">
        <f t="shared" si="148"/>
        <v>0</v>
      </c>
      <c r="BD377" s="78"/>
      <c r="BE377" s="142"/>
      <c r="BF377" s="142"/>
      <c r="BG377" s="79">
        <f t="shared" si="149"/>
        <v>0</v>
      </c>
      <c r="BH377" s="75"/>
      <c r="BI377" s="76"/>
      <c r="BJ377" s="135"/>
      <c r="BK377" s="135"/>
      <c r="BL377" s="77">
        <f t="shared" si="150"/>
        <v>0</v>
      </c>
      <c r="BM377" s="78"/>
      <c r="BN377" s="142"/>
      <c r="BO377" s="142"/>
      <c r="BP377" s="77">
        <f t="shared" si="151"/>
        <v>0</v>
      </c>
      <c r="BQ377" s="78"/>
      <c r="BR377" s="142"/>
      <c r="BS377" s="142"/>
      <c r="BT377" s="79">
        <f t="shared" si="152"/>
        <v>0</v>
      </c>
      <c r="BU377" s="75"/>
      <c r="BV377" s="76"/>
      <c r="BW377" s="135"/>
      <c r="BX377" s="135"/>
      <c r="BY377" s="77">
        <f t="shared" si="153"/>
        <v>0</v>
      </c>
      <c r="BZ377" s="78"/>
      <c r="CA377" s="142"/>
      <c r="CB377" s="142"/>
      <c r="CC377" s="77">
        <f t="shared" si="154"/>
        <v>0</v>
      </c>
      <c r="CD377" s="78"/>
      <c r="CE377" s="142"/>
      <c r="CF377" s="142"/>
      <c r="CG377" s="79">
        <f t="shared" si="155"/>
        <v>0</v>
      </c>
      <c r="CH377" s="75"/>
      <c r="CI377" s="76"/>
      <c r="CJ377" s="86"/>
      <c r="CK377" s="86"/>
      <c r="CL377" s="77">
        <f t="shared" si="156"/>
        <v>0</v>
      </c>
      <c r="CM377" s="78"/>
      <c r="CN377" s="85"/>
      <c r="CO377" s="85"/>
      <c r="CP377" s="77">
        <f t="shared" si="157"/>
        <v>0</v>
      </c>
      <c r="CQ377" s="78"/>
      <c r="CR377" s="85"/>
      <c r="CS377" s="85"/>
      <c r="CT377" s="79">
        <f t="shared" si="158"/>
        <v>0</v>
      </c>
      <c r="CU377" s="80">
        <f t="shared" si="168"/>
        <v>0</v>
      </c>
      <c r="CV377" s="81">
        <f t="shared" si="169"/>
        <v>0</v>
      </c>
      <c r="CW377" s="144"/>
      <c r="CX377" s="145">
        <f>IF(ISERROR(VLOOKUP($A377,FIJOS!$B$11:$O$590,14,FALSE)),0,VLOOKUP($A377,FIJOS!$B$11:$O$590,14,FALSE))</f>
        <v>0</v>
      </c>
      <c r="CY377" s="145">
        <f>IF(ISERROR(VLOOKUP(A377,FIJOS!$B$10:$P$590,15,FALSE)),0,VLOOKUP(A377,FIJOS!$B$10:$P$590,15,FALSE))</f>
        <v>0</v>
      </c>
      <c r="CZ377" s="155"/>
      <c r="DA377" s="147"/>
      <c r="DB377" s="147"/>
      <c r="DC377" s="147"/>
      <c r="DD377" s="147"/>
      <c r="DE377" s="147"/>
      <c r="DF377" s="145">
        <f>IF(ISERROR(VLOOKUP($A377,FIJOS!$B$11:$N$590,13,FALSE)),0,VLOOKUP($A377,FIJOS!$B$11:$N$590,13,FALSE))</f>
        <v>0</v>
      </c>
      <c r="DG377" s="145">
        <f>IF(ISERROR(VLOOKUP($A377,FIJOS!$B$11:$P$447,12,FALSE)),0,VLOOKUP($A377,FIJOS!$B$11:$P$447,12,FALSE))</f>
        <v>0</v>
      </c>
      <c r="DH377" s="82">
        <f t="shared" si="234"/>
        <v>0</v>
      </c>
      <c r="DI377" s="83" t="b">
        <f>IF($C377=1,(VLOOKUP($A377,FIJOS!$B$11:$P$545,10,FALSE)/7)*(7-$CU377),IF(AND($C377=2,CV377&lt;$DJ$1),(VLOOKUP($D377,HORAS!$B$4:$C$42,2,FALSE)*24)*$CV377,IF(AND($C377=2,CV377&gt;=$DJ$1),VLOOKUP($D377,HORAS!$B$4:$D$42,3,FALSE),IF(AND($C377=3,$CV377&gt;=$DJ$1),VLOOKUP($A377,FIJOS!$B$11:$P$545,10,FALSE),IF(AND($C377=3,$CV377&lt;$DJ$1),((VLOOKUP($A377,FIJOS!$B$11:$P$545,10,FALSE)/48)*24)*$CV377,IF(AND($C377=4,$CV377&gt;=(42/24)),VLOOKUP($D377,HORAS!$B$4:$D$42,3,FALSE),IF(AND($C377=5,$CV377&gt;=(36/24)),VLOOKUP($D377,HORAS!$B$4:$D$42,3,FALSE))))))))</f>
        <v>0</v>
      </c>
      <c r="DJ377" s="145">
        <f>IF(OR($C377=2),VLOOKUP($D377,HORAS!$B$4:$E$42,4,FALSE)*$EC377,IF(ISERROR(VLOOKUP($A377,FIJOS!$B$11:$P$108,9,FALSE)),0,VLOOKUP($A377,FIJOS!$B$11:$P$231,9,FALSE)*$EC377))</f>
        <v>0</v>
      </c>
      <c r="DK377" s="145">
        <f>IF(OR($C377=2),VLOOKUP($D377,HORAS!$B$4:$F$42,5,FALSE)*$EE377,IF(ISERROR(VLOOKUP($A377,FIJOS!$B$11:$P$108,9,FALSE)),0,VLOOKUP($A377,FIJOS!$B$11:$P$231,9,FALSE)*$EE377))</f>
        <v>0</v>
      </c>
      <c r="DL377" s="144"/>
      <c r="DM377" s="145">
        <f>IF(ISERROR(VLOOKUP($A377,FIJOS!$B$11:$L$646,11,FALSE)),0,VLOOKUP($A377,FIJOS!$B$11:$L$646,11,FALSE))</f>
        <v>0</v>
      </c>
      <c r="DN377" s="148" t="e">
        <f>IF(OR($C377=1,$C377=3),0,IF((VLOOKUP(CAPTURA!D377,HORAS!$B$4:$K$42,10,FALSE)/4)*COUNTIF($H377:$CT377,3)&gt;100,100,(VLOOKUP(CAPTURA!D377,HORAS!$B$4:$K$42,10,FALSE)/4)*COUNTIF($H377:$CT377,3)))</f>
        <v>#N/A</v>
      </c>
      <c r="DO377" s="144" t="e">
        <f>IF(OR($C377=1,$C377=3),0,IF($C377=5,VLOOKUP(D377,HORAS!$B$4:$G$42,6,FALSE),IF(AND($C377=4,$CV377&gt;=(42/24)),VLOOKUP(D377,HORAS!$B$4:$G$42,6,FALSE),IF(COUNTIF($H377:$CL377,"F")&gt;0,0,IF(CV377&gt;$DJ$1,$DJ$1*(VLOOKUP(D377,HORAS!$B$4:$G$42,6,FALSE)/$DJ$1),CV377*(VLOOKUP(D377,HORAS!$B$4:$G$42,6,FALSE)/$DJ$1))))))</f>
        <v>#N/A</v>
      </c>
      <c r="DP377" s="156"/>
      <c r="DQ377" s="148"/>
      <c r="DR377" s="148"/>
      <c r="DS377" s="83" t="e">
        <f t="shared" si="162"/>
        <v>#N/A</v>
      </c>
      <c r="DT377" s="84"/>
      <c r="DU377" s="149" t="e">
        <f t="shared" si="235"/>
        <v>#N/A</v>
      </c>
      <c r="DV377" s="149" t="e">
        <f t="shared" si="236"/>
        <v>#N/A</v>
      </c>
      <c r="DW377" s="144" t="e">
        <f t="shared" si="237"/>
        <v>#N/A</v>
      </c>
      <c r="DX377" s="168"/>
      <c r="DY377" s="29"/>
      <c r="DZ377" s="150"/>
      <c r="EA377" s="134"/>
      <c r="EB377" s="137">
        <f t="shared" si="238"/>
        <v>0</v>
      </c>
      <c r="EC377" s="138">
        <f t="shared" si="239"/>
        <v>0</v>
      </c>
      <c r="ED377" s="137">
        <f t="shared" si="240"/>
        <v>0</v>
      </c>
      <c r="EE377" s="132">
        <f t="shared" si="241"/>
        <v>0</v>
      </c>
      <c r="EF377" s="29"/>
      <c r="EG377" s="134"/>
      <c r="EH377" s="134"/>
      <c r="EI377" s="134"/>
      <c r="EK377" s="29"/>
    </row>
    <row r="378" spans="1:141" ht="15" customHeight="1" x14ac:dyDescent="0.25">
      <c r="A378" s="87"/>
      <c r="B378" s="5"/>
      <c r="C378" s="72"/>
      <c r="D378" s="73"/>
      <c r="E378" s="73"/>
      <c r="F378" s="141"/>
      <c r="G378" s="74"/>
      <c r="H378" s="75"/>
      <c r="I378" s="76"/>
      <c r="J378" s="135"/>
      <c r="K378" s="135"/>
      <c r="L378" s="77">
        <f t="shared" si="138"/>
        <v>0</v>
      </c>
      <c r="M378" s="78"/>
      <c r="N378" s="142"/>
      <c r="O378" s="142"/>
      <c r="P378" s="77">
        <f t="shared" si="139"/>
        <v>0</v>
      </c>
      <c r="Q378" s="78"/>
      <c r="R378" s="143"/>
      <c r="S378" s="143"/>
      <c r="T378" s="77">
        <f t="shared" si="140"/>
        <v>0</v>
      </c>
      <c r="U378" s="75"/>
      <c r="V378" s="76"/>
      <c r="W378" s="135"/>
      <c r="X378" s="135"/>
      <c r="Y378" s="77">
        <f t="shared" si="141"/>
        <v>0</v>
      </c>
      <c r="Z378" s="78"/>
      <c r="AA378" s="142"/>
      <c r="AB378" s="142"/>
      <c r="AC378" s="77">
        <f t="shared" si="142"/>
        <v>0</v>
      </c>
      <c r="AD378" s="78"/>
      <c r="AE378" s="143"/>
      <c r="AF378" s="143"/>
      <c r="AG378" s="79">
        <f t="shared" si="143"/>
        <v>0</v>
      </c>
      <c r="AH378" s="75"/>
      <c r="AI378" s="76"/>
      <c r="AJ378" s="135"/>
      <c r="AK378" s="135"/>
      <c r="AL378" s="77">
        <f t="shared" si="144"/>
        <v>0</v>
      </c>
      <c r="AM378" s="76"/>
      <c r="AN378" s="142"/>
      <c r="AO378" s="142"/>
      <c r="AP378" s="77">
        <f t="shared" si="145"/>
        <v>0</v>
      </c>
      <c r="AQ378" s="78"/>
      <c r="AR378" s="142"/>
      <c r="AS378" s="142"/>
      <c r="AT378" s="79">
        <f t="shared" si="146"/>
        <v>0</v>
      </c>
      <c r="AU378" s="75"/>
      <c r="AV378" s="76"/>
      <c r="AW378" s="135"/>
      <c r="AX378" s="135"/>
      <c r="AY378" s="77">
        <f t="shared" si="147"/>
        <v>0</v>
      </c>
      <c r="AZ378" s="76"/>
      <c r="BA378" s="142"/>
      <c r="BB378" s="142"/>
      <c r="BC378" s="77">
        <f t="shared" si="148"/>
        <v>0</v>
      </c>
      <c r="BD378" s="78"/>
      <c r="BE378" s="142"/>
      <c r="BF378" s="142"/>
      <c r="BG378" s="79">
        <f t="shared" si="149"/>
        <v>0</v>
      </c>
      <c r="BH378" s="75"/>
      <c r="BI378" s="76"/>
      <c r="BJ378" s="135"/>
      <c r="BK378" s="135"/>
      <c r="BL378" s="77">
        <f t="shared" si="150"/>
        <v>0</v>
      </c>
      <c r="BM378" s="78"/>
      <c r="BN378" s="142"/>
      <c r="BO378" s="142"/>
      <c r="BP378" s="77">
        <f t="shared" si="151"/>
        <v>0</v>
      </c>
      <c r="BQ378" s="78"/>
      <c r="BR378" s="142"/>
      <c r="BS378" s="142"/>
      <c r="BT378" s="79">
        <f t="shared" si="152"/>
        <v>0</v>
      </c>
      <c r="BU378" s="75"/>
      <c r="BV378" s="76"/>
      <c r="BW378" s="135"/>
      <c r="BX378" s="135"/>
      <c r="BY378" s="77">
        <f t="shared" si="153"/>
        <v>0</v>
      </c>
      <c r="BZ378" s="78"/>
      <c r="CA378" s="142"/>
      <c r="CB378" s="142"/>
      <c r="CC378" s="77">
        <f t="shared" si="154"/>
        <v>0</v>
      </c>
      <c r="CD378" s="78"/>
      <c r="CE378" s="142"/>
      <c r="CF378" s="142"/>
      <c r="CG378" s="79">
        <f t="shared" si="155"/>
        <v>0</v>
      </c>
      <c r="CH378" s="75"/>
      <c r="CI378" s="76"/>
      <c r="CJ378" s="86"/>
      <c r="CK378" s="86"/>
      <c r="CL378" s="77">
        <f t="shared" si="156"/>
        <v>0</v>
      </c>
      <c r="CM378" s="78"/>
      <c r="CN378" s="85"/>
      <c r="CO378" s="85"/>
      <c r="CP378" s="77">
        <f t="shared" si="157"/>
        <v>0</v>
      </c>
      <c r="CQ378" s="78"/>
      <c r="CR378" s="85"/>
      <c r="CS378" s="85"/>
      <c r="CT378" s="79">
        <f t="shared" si="158"/>
        <v>0</v>
      </c>
      <c r="CU378" s="80">
        <f t="shared" si="168"/>
        <v>0</v>
      </c>
      <c r="CV378" s="81">
        <f t="shared" si="169"/>
        <v>0</v>
      </c>
      <c r="CW378" s="144"/>
      <c r="CX378" s="145">
        <f>IF(ISERROR(VLOOKUP($A378,FIJOS!$B$11:$O$590,14,FALSE)),0,VLOOKUP($A378,FIJOS!$B$11:$O$590,14,FALSE))</f>
        <v>0</v>
      </c>
      <c r="CY378" s="145">
        <f>IF(ISERROR(VLOOKUP(A378,FIJOS!$B$10:$P$590,15,FALSE)),0,VLOOKUP(A378,FIJOS!$B$10:$P$590,15,FALSE))</f>
        <v>0</v>
      </c>
      <c r="CZ378" s="155"/>
      <c r="DA378" s="147"/>
      <c r="DB378" s="147"/>
      <c r="DC378" s="147"/>
      <c r="DD378" s="147"/>
      <c r="DE378" s="147"/>
      <c r="DF378" s="145">
        <f>IF(ISERROR(VLOOKUP($A378,FIJOS!$B$11:$N$590,13,FALSE)),0,VLOOKUP($A378,FIJOS!$B$11:$N$590,13,FALSE))</f>
        <v>0</v>
      </c>
      <c r="DG378" s="145">
        <f>IF(ISERROR(VLOOKUP($A378,FIJOS!$B$11:$P$447,12,FALSE)),0,VLOOKUP($A378,FIJOS!$B$11:$P$447,12,FALSE))</f>
        <v>0</v>
      </c>
      <c r="DH378" s="82">
        <f t="shared" si="234"/>
        <v>0</v>
      </c>
      <c r="DI378" s="83" t="b">
        <f>IF($C378=1,(VLOOKUP($A378,FIJOS!$B$11:$P$545,10,FALSE)/7)*(7-$CU378),IF(AND($C378=2,CV378&lt;$DJ$1),(VLOOKUP($D378,HORAS!$B$4:$C$42,2,FALSE)*24)*$CV378,IF(AND($C378=2,CV378&gt;=$DJ$1),VLOOKUP($D378,HORAS!$B$4:$D$42,3,FALSE),IF(AND($C378=3,$CV378&gt;=$DJ$1),VLOOKUP($A378,FIJOS!$B$11:$P$545,10,FALSE),IF(AND($C378=3,$CV378&lt;$DJ$1),((VLOOKUP($A378,FIJOS!$B$11:$P$545,10,FALSE)/48)*24)*$CV378,IF(AND($C378=4,$CV378&gt;=(42/24)),VLOOKUP($D378,HORAS!$B$4:$D$42,3,FALSE),IF(AND($C378=5,$CV378&gt;=(36/24)),VLOOKUP($D378,HORAS!$B$4:$D$42,3,FALSE))))))))</f>
        <v>0</v>
      </c>
      <c r="DJ378" s="145">
        <f>IF(OR($C378=2),VLOOKUP($D378,HORAS!$B$4:$E$42,4,FALSE)*$EC378,IF(ISERROR(VLOOKUP($A378,FIJOS!$B$11:$P$108,9,FALSE)),0,VLOOKUP($A378,FIJOS!$B$11:$P$231,9,FALSE)*$EC378))</f>
        <v>0</v>
      </c>
      <c r="DK378" s="145">
        <f>IF(OR($C378=2),VLOOKUP($D378,HORAS!$B$4:$F$42,5,FALSE)*$EE378,IF(ISERROR(VLOOKUP($A378,FIJOS!$B$11:$P$108,9,FALSE)),0,VLOOKUP($A378,FIJOS!$B$11:$P$231,9,FALSE)*$EE378))</f>
        <v>0</v>
      </c>
      <c r="DL378" s="144"/>
      <c r="DM378" s="145">
        <f>IF(ISERROR(VLOOKUP($A378,FIJOS!$B$11:$L$646,11,FALSE)),0,VLOOKUP($A378,FIJOS!$B$11:$L$646,11,FALSE))</f>
        <v>0</v>
      </c>
      <c r="DN378" s="148" t="e">
        <f>IF(OR($C378=1,$C378=3),0,IF((VLOOKUP(CAPTURA!D378,HORAS!$B$4:$K$42,10,FALSE)/4)*COUNTIF($H378:$CT378,3)&gt;100,100,(VLOOKUP(CAPTURA!D378,HORAS!$B$4:$K$42,10,FALSE)/4)*COUNTIF($H378:$CT378,3)))</f>
        <v>#N/A</v>
      </c>
      <c r="DO378" s="144" t="e">
        <f>IF(OR($C378=1,$C378=3),0,IF($C378=5,VLOOKUP(D378,HORAS!$B$4:$G$42,6,FALSE),IF(AND($C378=4,$CV378&gt;=(42/24)),VLOOKUP(D378,HORAS!$B$4:$G$42,6,FALSE),IF(COUNTIF($H378:$CL378,"F")&gt;0,0,IF(CV378&gt;$DJ$1,$DJ$1*(VLOOKUP(D378,HORAS!$B$4:$G$42,6,FALSE)/$DJ$1),CV378*(VLOOKUP(D378,HORAS!$B$4:$G$42,6,FALSE)/$DJ$1))))))</f>
        <v>#N/A</v>
      </c>
      <c r="DP378" s="156"/>
      <c r="DQ378" s="148"/>
      <c r="DR378" s="148"/>
      <c r="DS378" s="83" t="e">
        <f t="shared" si="162"/>
        <v>#N/A</v>
      </c>
      <c r="DT378" s="84"/>
      <c r="DU378" s="149" t="e">
        <f t="shared" si="235"/>
        <v>#N/A</v>
      </c>
      <c r="DV378" s="149" t="e">
        <f t="shared" si="236"/>
        <v>#N/A</v>
      </c>
      <c r="DW378" s="144" t="e">
        <f t="shared" si="237"/>
        <v>#N/A</v>
      </c>
      <c r="DX378" s="168"/>
      <c r="DY378" s="29"/>
      <c r="DZ378" s="150"/>
      <c r="EA378" s="134"/>
      <c r="EB378" s="137">
        <f t="shared" si="238"/>
        <v>0</v>
      </c>
      <c r="EC378" s="138">
        <f t="shared" si="239"/>
        <v>0</v>
      </c>
      <c r="ED378" s="137">
        <f t="shared" si="240"/>
        <v>0</v>
      </c>
      <c r="EE378" s="132">
        <f t="shared" si="241"/>
        <v>0</v>
      </c>
      <c r="EF378" s="29"/>
      <c r="EG378" s="134"/>
      <c r="EH378" s="134"/>
      <c r="EI378" s="134"/>
      <c r="EK378" s="29"/>
    </row>
    <row r="379" spans="1:141" ht="15" customHeight="1" x14ac:dyDescent="0.25">
      <c r="A379" s="87"/>
      <c r="B379" s="5"/>
      <c r="C379" s="72"/>
      <c r="D379" s="73"/>
      <c r="E379" s="73"/>
      <c r="F379" s="141"/>
      <c r="G379" s="74"/>
      <c r="H379" s="75"/>
      <c r="I379" s="76"/>
      <c r="J379" s="135"/>
      <c r="K379" s="135"/>
      <c r="L379" s="77">
        <f t="shared" si="138"/>
        <v>0</v>
      </c>
      <c r="M379" s="78"/>
      <c r="N379" s="142"/>
      <c r="O379" s="142"/>
      <c r="P379" s="77">
        <f t="shared" si="139"/>
        <v>0</v>
      </c>
      <c r="Q379" s="78"/>
      <c r="R379" s="143"/>
      <c r="S379" s="143"/>
      <c r="T379" s="77">
        <f t="shared" si="140"/>
        <v>0</v>
      </c>
      <c r="U379" s="75"/>
      <c r="V379" s="76"/>
      <c r="W379" s="135"/>
      <c r="X379" s="135"/>
      <c r="Y379" s="77">
        <f t="shared" si="141"/>
        <v>0</v>
      </c>
      <c r="Z379" s="78"/>
      <c r="AA379" s="142"/>
      <c r="AB379" s="142"/>
      <c r="AC379" s="77">
        <f t="shared" si="142"/>
        <v>0</v>
      </c>
      <c r="AD379" s="78"/>
      <c r="AE379" s="143"/>
      <c r="AF379" s="143"/>
      <c r="AG379" s="79">
        <f t="shared" si="143"/>
        <v>0</v>
      </c>
      <c r="AH379" s="75"/>
      <c r="AI379" s="76"/>
      <c r="AJ379" s="135"/>
      <c r="AK379" s="135"/>
      <c r="AL379" s="77">
        <f t="shared" si="144"/>
        <v>0</v>
      </c>
      <c r="AM379" s="76"/>
      <c r="AN379" s="142"/>
      <c r="AO379" s="142"/>
      <c r="AP379" s="77">
        <f t="shared" si="145"/>
        <v>0</v>
      </c>
      <c r="AQ379" s="78"/>
      <c r="AR379" s="142"/>
      <c r="AS379" s="142"/>
      <c r="AT379" s="79">
        <f t="shared" si="146"/>
        <v>0</v>
      </c>
      <c r="AU379" s="75"/>
      <c r="AV379" s="76"/>
      <c r="AW379" s="135"/>
      <c r="AX379" s="135"/>
      <c r="AY379" s="77">
        <f t="shared" si="147"/>
        <v>0</v>
      </c>
      <c r="AZ379" s="76"/>
      <c r="BA379" s="142"/>
      <c r="BB379" s="142"/>
      <c r="BC379" s="77">
        <f t="shared" si="148"/>
        <v>0</v>
      </c>
      <c r="BD379" s="78"/>
      <c r="BE379" s="142"/>
      <c r="BF379" s="142"/>
      <c r="BG379" s="79">
        <f t="shared" si="149"/>
        <v>0</v>
      </c>
      <c r="BH379" s="75"/>
      <c r="BI379" s="76"/>
      <c r="BJ379" s="135"/>
      <c r="BK379" s="135"/>
      <c r="BL379" s="77">
        <f t="shared" si="150"/>
        <v>0</v>
      </c>
      <c r="BM379" s="78"/>
      <c r="BN379" s="142"/>
      <c r="BO379" s="142"/>
      <c r="BP379" s="77">
        <f t="shared" si="151"/>
        <v>0</v>
      </c>
      <c r="BQ379" s="78"/>
      <c r="BR379" s="142"/>
      <c r="BS379" s="142"/>
      <c r="BT379" s="79">
        <f t="shared" si="152"/>
        <v>0</v>
      </c>
      <c r="BU379" s="75"/>
      <c r="BV379" s="76"/>
      <c r="BW379" s="135"/>
      <c r="BX379" s="135"/>
      <c r="BY379" s="77">
        <f t="shared" si="153"/>
        <v>0</v>
      </c>
      <c r="BZ379" s="78"/>
      <c r="CA379" s="142"/>
      <c r="CB379" s="142"/>
      <c r="CC379" s="77">
        <f t="shared" si="154"/>
        <v>0</v>
      </c>
      <c r="CD379" s="78"/>
      <c r="CE379" s="142"/>
      <c r="CF379" s="142"/>
      <c r="CG379" s="79">
        <f t="shared" si="155"/>
        <v>0</v>
      </c>
      <c r="CH379" s="75"/>
      <c r="CI379" s="76"/>
      <c r="CJ379" s="86"/>
      <c r="CK379" s="86"/>
      <c r="CL379" s="77">
        <f t="shared" si="156"/>
        <v>0</v>
      </c>
      <c r="CM379" s="78"/>
      <c r="CN379" s="85"/>
      <c r="CO379" s="85"/>
      <c r="CP379" s="77">
        <f t="shared" si="157"/>
        <v>0</v>
      </c>
      <c r="CQ379" s="78"/>
      <c r="CR379" s="85"/>
      <c r="CS379" s="85"/>
      <c r="CT379" s="79">
        <f t="shared" si="158"/>
        <v>0</v>
      </c>
      <c r="CU379" s="80">
        <f t="shared" si="168"/>
        <v>0</v>
      </c>
      <c r="CV379" s="81">
        <f t="shared" si="169"/>
        <v>0</v>
      </c>
      <c r="CW379" s="144"/>
      <c r="CX379" s="145">
        <f>IF(ISERROR(VLOOKUP($A379,FIJOS!$B$11:$O$590,14,FALSE)),0,VLOOKUP($A379,FIJOS!$B$11:$O$590,14,FALSE))</f>
        <v>0</v>
      </c>
      <c r="CY379" s="145">
        <f>IF(ISERROR(VLOOKUP(A379,FIJOS!$B$10:$P$590,15,FALSE)),0,VLOOKUP(A379,FIJOS!$B$10:$P$590,15,FALSE))</f>
        <v>0</v>
      </c>
      <c r="CZ379" s="155"/>
      <c r="DA379" s="147"/>
      <c r="DB379" s="147"/>
      <c r="DC379" s="147"/>
      <c r="DD379" s="147"/>
      <c r="DE379" s="147"/>
      <c r="DF379" s="145">
        <f>IF(ISERROR(VLOOKUP($A379,FIJOS!$B$11:$N$590,13,FALSE)),0,VLOOKUP($A379,FIJOS!$B$11:$N$590,13,FALSE))</f>
        <v>0</v>
      </c>
      <c r="DG379" s="145">
        <f>IF(ISERROR(VLOOKUP($A379,FIJOS!$B$11:$P$447,12,FALSE)),0,VLOOKUP($A379,FIJOS!$B$11:$P$447,12,FALSE))</f>
        <v>0</v>
      </c>
      <c r="DH379" s="82">
        <f t="shared" si="234"/>
        <v>0</v>
      </c>
      <c r="DI379" s="83" t="b">
        <f>IF($C379=1,(VLOOKUP($A379,FIJOS!$B$11:$P$545,10,FALSE)/7)*(7-$CU379),IF(AND($C379=2,CV379&lt;$DJ$1),(VLOOKUP($D379,HORAS!$B$4:$C$42,2,FALSE)*24)*$CV379,IF(AND($C379=2,CV379&gt;=$DJ$1),VLOOKUP($D379,HORAS!$B$4:$D$42,3,FALSE),IF(AND($C379=3,$CV379&gt;=$DJ$1),VLOOKUP($A379,FIJOS!$B$11:$P$545,10,FALSE),IF(AND($C379=3,$CV379&lt;$DJ$1),((VLOOKUP($A379,FIJOS!$B$11:$P$545,10,FALSE)/48)*24)*$CV379,IF(AND($C379=4,$CV379&gt;=(42/24)),VLOOKUP($D379,HORAS!$B$4:$D$42,3,FALSE),IF(AND($C379=5,$CV379&gt;=(36/24)),VLOOKUP($D379,HORAS!$B$4:$D$42,3,FALSE))))))))</f>
        <v>0</v>
      </c>
      <c r="DJ379" s="145">
        <f>IF(OR($C379=2),VLOOKUP($D379,HORAS!$B$4:$E$42,4,FALSE)*$EC379,IF(ISERROR(VLOOKUP($A379,FIJOS!$B$11:$P$108,9,FALSE)),0,VLOOKUP($A379,FIJOS!$B$11:$P$231,9,FALSE)*$EC379))</f>
        <v>0</v>
      </c>
      <c r="DK379" s="145">
        <f>IF(OR($C379=2),VLOOKUP($D379,HORAS!$B$4:$F$42,5,FALSE)*$EE379,IF(ISERROR(VLOOKUP($A379,FIJOS!$B$11:$P$108,9,FALSE)),0,VLOOKUP($A379,FIJOS!$B$11:$P$231,9,FALSE)*$EE379))</f>
        <v>0</v>
      </c>
      <c r="DL379" s="144"/>
      <c r="DM379" s="145">
        <f>IF(ISERROR(VLOOKUP($A379,FIJOS!$B$11:$L$646,11,FALSE)),0,VLOOKUP($A379,FIJOS!$B$11:$L$646,11,FALSE))</f>
        <v>0</v>
      </c>
      <c r="DN379" s="148" t="e">
        <f>IF(OR($C379=1,$C379=3),0,IF((VLOOKUP(CAPTURA!D379,HORAS!$B$4:$K$42,10,FALSE)/4)*COUNTIF($H379:$CT379,3)&gt;100,100,(VLOOKUP(CAPTURA!D379,HORAS!$B$4:$K$42,10,FALSE)/4)*COUNTIF($H379:$CT379,3)))</f>
        <v>#N/A</v>
      </c>
      <c r="DO379" s="144" t="e">
        <f>IF(OR($C379=1,$C379=3),0,IF($C379=5,VLOOKUP(D379,HORAS!$B$4:$G$42,6,FALSE),IF(AND($C379=4,$CV379&gt;=(42/24)),VLOOKUP(D379,HORAS!$B$4:$G$42,6,FALSE),IF(COUNTIF($H379:$CL379,"F")&gt;0,0,IF(CV379&gt;$DJ$1,$DJ$1*(VLOOKUP(D379,HORAS!$B$4:$G$42,6,FALSE)/$DJ$1),CV379*(VLOOKUP(D379,HORAS!$B$4:$G$42,6,FALSE)/$DJ$1))))))</f>
        <v>#N/A</v>
      </c>
      <c r="DP379" s="156"/>
      <c r="DQ379" s="148"/>
      <c r="DR379" s="148"/>
      <c r="DS379" s="83" t="e">
        <f t="shared" si="162"/>
        <v>#N/A</v>
      </c>
      <c r="DT379" s="84"/>
      <c r="DU379" s="149" t="e">
        <f t="shared" si="235"/>
        <v>#N/A</v>
      </c>
      <c r="DV379" s="149" t="e">
        <f t="shared" si="236"/>
        <v>#N/A</v>
      </c>
      <c r="DW379" s="144" t="e">
        <f t="shared" si="237"/>
        <v>#N/A</v>
      </c>
      <c r="DX379" s="168"/>
      <c r="DY379" s="29"/>
      <c r="DZ379" s="150"/>
      <c r="EA379" s="134"/>
      <c r="EB379" s="137">
        <f t="shared" si="238"/>
        <v>0</v>
      </c>
      <c r="EC379" s="138">
        <f t="shared" si="239"/>
        <v>0</v>
      </c>
      <c r="ED379" s="137">
        <f t="shared" si="240"/>
        <v>0</v>
      </c>
      <c r="EE379" s="132">
        <f t="shared" si="241"/>
        <v>0</v>
      </c>
      <c r="EF379" s="29"/>
      <c r="EG379" s="134"/>
      <c r="EH379" s="134"/>
      <c r="EI379" s="134"/>
      <c r="EK379" s="29"/>
    </row>
    <row r="380" spans="1:141" ht="15" customHeight="1" x14ac:dyDescent="0.25">
      <c r="A380" s="87"/>
      <c r="B380" s="5"/>
      <c r="C380" s="72"/>
      <c r="D380" s="73"/>
      <c r="E380" s="73"/>
      <c r="F380" s="141"/>
      <c r="G380" s="74"/>
      <c r="H380" s="75"/>
      <c r="I380" s="76"/>
      <c r="J380" s="135"/>
      <c r="K380" s="135"/>
      <c r="L380" s="77">
        <f t="shared" si="138"/>
        <v>0</v>
      </c>
      <c r="M380" s="78"/>
      <c r="N380" s="142"/>
      <c r="O380" s="142"/>
      <c r="P380" s="77">
        <f t="shared" si="139"/>
        <v>0</v>
      </c>
      <c r="Q380" s="78"/>
      <c r="R380" s="143"/>
      <c r="S380" s="143"/>
      <c r="T380" s="77">
        <f t="shared" si="140"/>
        <v>0</v>
      </c>
      <c r="U380" s="75"/>
      <c r="V380" s="76"/>
      <c r="W380" s="135"/>
      <c r="X380" s="135"/>
      <c r="Y380" s="77">
        <f t="shared" si="141"/>
        <v>0</v>
      </c>
      <c r="Z380" s="78"/>
      <c r="AA380" s="142"/>
      <c r="AB380" s="142"/>
      <c r="AC380" s="77">
        <f t="shared" si="142"/>
        <v>0</v>
      </c>
      <c r="AD380" s="78"/>
      <c r="AE380" s="143"/>
      <c r="AF380" s="143"/>
      <c r="AG380" s="79">
        <f t="shared" si="143"/>
        <v>0</v>
      </c>
      <c r="AH380" s="75"/>
      <c r="AI380" s="76"/>
      <c r="AJ380" s="135"/>
      <c r="AK380" s="135"/>
      <c r="AL380" s="77">
        <f t="shared" si="144"/>
        <v>0</v>
      </c>
      <c r="AM380" s="76"/>
      <c r="AN380" s="142"/>
      <c r="AO380" s="142"/>
      <c r="AP380" s="77">
        <f t="shared" si="145"/>
        <v>0</v>
      </c>
      <c r="AQ380" s="78"/>
      <c r="AR380" s="142"/>
      <c r="AS380" s="142"/>
      <c r="AT380" s="79">
        <f t="shared" si="146"/>
        <v>0</v>
      </c>
      <c r="AU380" s="75"/>
      <c r="AV380" s="76"/>
      <c r="AW380" s="135"/>
      <c r="AX380" s="135"/>
      <c r="AY380" s="77">
        <f t="shared" si="147"/>
        <v>0</v>
      </c>
      <c r="AZ380" s="76"/>
      <c r="BA380" s="142"/>
      <c r="BB380" s="142"/>
      <c r="BC380" s="77">
        <f t="shared" si="148"/>
        <v>0</v>
      </c>
      <c r="BD380" s="78"/>
      <c r="BE380" s="142"/>
      <c r="BF380" s="142"/>
      <c r="BG380" s="79">
        <f t="shared" si="149"/>
        <v>0</v>
      </c>
      <c r="BH380" s="75"/>
      <c r="BI380" s="76"/>
      <c r="BJ380" s="135"/>
      <c r="BK380" s="135"/>
      <c r="BL380" s="77">
        <f t="shared" si="150"/>
        <v>0</v>
      </c>
      <c r="BM380" s="78"/>
      <c r="BN380" s="142"/>
      <c r="BO380" s="142"/>
      <c r="BP380" s="77">
        <f t="shared" si="151"/>
        <v>0</v>
      </c>
      <c r="BQ380" s="78"/>
      <c r="BR380" s="142"/>
      <c r="BS380" s="142"/>
      <c r="BT380" s="79">
        <f t="shared" si="152"/>
        <v>0</v>
      </c>
      <c r="BU380" s="75"/>
      <c r="BV380" s="76"/>
      <c r="BW380" s="135"/>
      <c r="BX380" s="135"/>
      <c r="BY380" s="77">
        <f t="shared" si="153"/>
        <v>0</v>
      </c>
      <c r="BZ380" s="78"/>
      <c r="CA380" s="142"/>
      <c r="CB380" s="142"/>
      <c r="CC380" s="77">
        <f t="shared" si="154"/>
        <v>0</v>
      </c>
      <c r="CD380" s="78"/>
      <c r="CE380" s="142"/>
      <c r="CF380" s="142"/>
      <c r="CG380" s="79">
        <f t="shared" si="155"/>
        <v>0</v>
      </c>
      <c r="CH380" s="75"/>
      <c r="CI380" s="76"/>
      <c r="CJ380" s="86"/>
      <c r="CK380" s="86"/>
      <c r="CL380" s="77">
        <f t="shared" si="156"/>
        <v>0</v>
      </c>
      <c r="CM380" s="78"/>
      <c r="CN380" s="85"/>
      <c r="CO380" s="85"/>
      <c r="CP380" s="77">
        <f t="shared" si="157"/>
        <v>0</v>
      </c>
      <c r="CQ380" s="78"/>
      <c r="CR380" s="85"/>
      <c r="CS380" s="85"/>
      <c r="CT380" s="79">
        <f t="shared" si="158"/>
        <v>0</v>
      </c>
      <c r="CU380" s="80">
        <f t="shared" si="168"/>
        <v>0</v>
      </c>
      <c r="CV380" s="81">
        <f t="shared" si="169"/>
        <v>0</v>
      </c>
      <c r="CW380" s="144"/>
      <c r="CX380" s="145">
        <f>IF(ISERROR(VLOOKUP($A380,FIJOS!$B$11:$O$590,14,FALSE)),0,VLOOKUP($A380,FIJOS!$B$11:$O$590,14,FALSE))</f>
        <v>0</v>
      </c>
      <c r="CY380" s="145">
        <f>IF(ISERROR(VLOOKUP(A380,FIJOS!$B$10:$P$590,15,FALSE)),0,VLOOKUP(A380,FIJOS!$B$10:$P$590,15,FALSE))</f>
        <v>0</v>
      </c>
      <c r="CZ380" s="155"/>
      <c r="DA380" s="147"/>
      <c r="DB380" s="147"/>
      <c r="DC380" s="147"/>
      <c r="DD380" s="147"/>
      <c r="DE380" s="147"/>
      <c r="DF380" s="145">
        <f>IF(ISERROR(VLOOKUP($A380,FIJOS!$B$11:$N$590,13,FALSE)),0,VLOOKUP($A380,FIJOS!$B$11:$N$590,13,FALSE))</f>
        <v>0</v>
      </c>
      <c r="DG380" s="145">
        <f>IF(ISERROR(VLOOKUP($A380,FIJOS!$B$11:$P$447,12,FALSE)),0,VLOOKUP($A380,FIJOS!$B$11:$P$447,12,FALSE))</f>
        <v>0</v>
      </c>
      <c r="DH380" s="82">
        <f t="shared" si="234"/>
        <v>0</v>
      </c>
      <c r="DI380" s="83" t="b">
        <f>IF($C380=1,(VLOOKUP($A380,FIJOS!$B$11:$P$545,10,FALSE)/7)*(7-$CU380),IF(AND($C380=2,CV380&lt;$DJ$1),(VLOOKUP($D380,HORAS!$B$4:$C$42,2,FALSE)*24)*$CV380,IF(AND($C380=2,CV380&gt;=$DJ$1),VLOOKUP($D380,HORAS!$B$4:$D$42,3,FALSE),IF(AND($C380=3,$CV380&gt;=$DJ$1),VLOOKUP($A380,FIJOS!$B$11:$P$545,10,FALSE),IF(AND($C380=3,$CV380&lt;$DJ$1),((VLOOKUP($A380,FIJOS!$B$11:$P$545,10,FALSE)/48)*24)*$CV380,IF(AND($C380=4,$CV380&gt;=(42/24)),VLOOKUP($D380,HORAS!$B$4:$D$42,3,FALSE),IF(AND($C380=5,$CV380&gt;=(36/24)),VLOOKUP($D380,HORAS!$B$4:$D$42,3,FALSE))))))))</f>
        <v>0</v>
      </c>
      <c r="DJ380" s="145">
        <f>IF(OR($C380=2),VLOOKUP($D380,HORAS!$B$4:$E$42,4,FALSE)*$EC380,IF(ISERROR(VLOOKUP($A380,FIJOS!$B$11:$P$108,9,FALSE)),0,VLOOKUP($A380,FIJOS!$B$11:$P$231,9,FALSE)*$EC380))</f>
        <v>0</v>
      </c>
      <c r="DK380" s="145">
        <f>IF(OR($C380=2),VLOOKUP($D380,HORAS!$B$4:$F$42,5,FALSE)*$EE380,IF(ISERROR(VLOOKUP($A380,FIJOS!$B$11:$P$108,9,FALSE)),0,VLOOKUP($A380,FIJOS!$B$11:$P$231,9,FALSE)*$EE380))</f>
        <v>0</v>
      </c>
      <c r="DL380" s="144"/>
      <c r="DM380" s="145">
        <f>IF(ISERROR(VLOOKUP($A380,FIJOS!$B$11:$L$646,11,FALSE)),0,VLOOKUP($A380,FIJOS!$B$11:$L$646,11,FALSE))</f>
        <v>0</v>
      </c>
      <c r="DN380" s="148" t="e">
        <f>IF(OR($C380=1,$C380=3),0,IF((VLOOKUP(CAPTURA!D380,HORAS!$B$4:$K$42,10,FALSE)/4)*COUNTIF($H380:$CT380,3)&gt;100,100,(VLOOKUP(CAPTURA!D380,HORAS!$B$4:$K$42,10,FALSE)/4)*COUNTIF($H380:$CT380,3)))</f>
        <v>#N/A</v>
      </c>
      <c r="DO380" s="144" t="e">
        <f>IF(OR($C380=1,$C380=3),0,IF($C380=5,VLOOKUP(D380,HORAS!$B$4:$G$42,6,FALSE),IF(AND($C380=4,$CV380&gt;=(42/24)),VLOOKUP(D380,HORAS!$B$4:$G$42,6,FALSE),IF(COUNTIF($H380:$CL380,"F")&gt;0,0,IF(CV380&gt;$DJ$1,$DJ$1*(VLOOKUP(D380,HORAS!$B$4:$G$42,6,FALSE)/$DJ$1),CV380*(VLOOKUP(D380,HORAS!$B$4:$G$42,6,FALSE)/$DJ$1))))))</f>
        <v>#N/A</v>
      </c>
      <c r="DP380" s="156"/>
      <c r="DQ380" s="148"/>
      <c r="DR380" s="148"/>
      <c r="DS380" s="83" t="e">
        <f t="shared" si="162"/>
        <v>#N/A</v>
      </c>
      <c r="DT380" s="84"/>
      <c r="DU380" s="149" t="e">
        <f t="shared" si="235"/>
        <v>#N/A</v>
      </c>
      <c r="DV380" s="149" t="e">
        <f t="shared" si="236"/>
        <v>#N/A</v>
      </c>
      <c r="DW380" s="144" t="e">
        <f t="shared" si="237"/>
        <v>#N/A</v>
      </c>
      <c r="DX380" s="168"/>
      <c r="DY380" s="29"/>
      <c r="DZ380" s="150"/>
      <c r="EA380" s="134"/>
      <c r="EB380" s="137">
        <f t="shared" si="238"/>
        <v>0</v>
      </c>
      <c r="EC380" s="138">
        <f t="shared" si="239"/>
        <v>0</v>
      </c>
      <c r="ED380" s="137">
        <f t="shared" si="240"/>
        <v>0</v>
      </c>
      <c r="EE380" s="132">
        <f t="shared" si="241"/>
        <v>0</v>
      </c>
      <c r="EF380" s="29"/>
      <c r="EG380" s="134"/>
      <c r="EH380" s="134"/>
      <c r="EI380" s="134"/>
      <c r="EK380" s="29"/>
    </row>
    <row r="381" spans="1:141" ht="15" customHeight="1" x14ac:dyDescent="0.25">
      <c r="A381" s="87"/>
      <c r="B381" s="5"/>
      <c r="C381" s="72"/>
      <c r="D381" s="73"/>
      <c r="E381" s="73"/>
      <c r="F381" s="141"/>
      <c r="G381" s="74"/>
      <c r="H381" s="75"/>
      <c r="I381" s="76"/>
      <c r="J381" s="135"/>
      <c r="K381" s="135"/>
      <c r="L381" s="77">
        <f t="shared" si="138"/>
        <v>0</v>
      </c>
      <c r="M381" s="78"/>
      <c r="N381" s="142"/>
      <c r="O381" s="142"/>
      <c r="P381" s="77">
        <f t="shared" si="139"/>
        <v>0</v>
      </c>
      <c r="Q381" s="78"/>
      <c r="R381" s="143"/>
      <c r="S381" s="143"/>
      <c r="T381" s="77">
        <f t="shared" si="140"/>
        <v>0</v>
      </c>
      <c r="U381" s="75"/>
      <c r="V381" s="76"/>
      <c r="W381" s="135"/>
      <c r="X381" s="135"/>
      <c r="Y381" s="77">
        <f t="shared" si="141"/>
        <v>0</v>
      </c>
      <c r="Z381" s="78"/>
      <c r="AA381" s="142"/>
      <c r="AB381" s="142"/>
      <c r="AC381" s="77">
        <f t="shared" si="142"/>
        <v>0</v>
      </c>
      <c r="AD381" s="78"/>
      <c r="AE381" s="143"/>
      <c r="AF381" s="143"/>
      <c r="AG381" s="79">
        <f t="shared" si="143"/>
        <v>0</v>
      </c>
      <c r="AH381" s="75"/>
      <c r="AI381" s="76"/>
      <c r="AJ381" s="135"/>
      <c r="AK381" s="135"/>
      <c r="AL381" s="77">
        <f t="shared" si="144"/>
        <v>0</v>
      </c>
      <c r="AM381" s="76"/>
      <c r="AN381" s="142"/>
      <c r="AO381" s="142"/>
      <c r="AP381" s="77">
        <f t="shared" si="145"/>
        <v>0</v>
      </c>
      <c r="AQ381" s="78"/>
      <c r="AR381" s="142"/>
      <c r="AS381" s="142"/>
      <c r="AT381" s="79">
        <f t="shared" si="146"/>
        <v>0</v>
      </c>
      <c r="AU381" s="75"/>
      <c r="AV381" s="76"/>
      <c r="AW381" s="135"/>
      <c r="AX381" s="135"/>
      <c r="AY381" s="77">
        <f t="shared" si="147"/>
        <v>0</v>
      </c>
      <c r="AZ381" s="76"/>
      <c r="BA381" s="142"/>
      <c r="BB381" s="142"/>
      <c r="BC381" s="77">
        <f t="shared" si="148"/>
        <v>0</v>
      </c>
      <c r="BD381" s="78"/>
      <c r="BE381" s="142"/>
      <c r="BF381" s="142"/>
      <c r="BG381" s="79">
        <f t="shared" si="149"/>
        <v>0</v>
      </c>
      <c r="BH381" s="75"/>
      <c r="BI381" s="76"/>
      <c r="BJ381" s="135"/>
      <c r="BK381" s="135"/>
      <c r="BL381" s="77">
        <f t="shared" si="150"/>
        <v>0</v>
      </c>
      <c r="BM381" s="78"/>
      <c r="BN381" s="142"/>
      <c r="BO381" s="142"/>
      <c r="BP381" s="77">
        <f t="shared" si="151"/>
        <v>0</v>
      </c>
      <c r="BQ381" s="78"/>
      <c r="BR381" s="142"/>
      <c r="BS381" s="142"/>
      <c r="BT381" s="79">
        <f t="shared" si="152"/>
        <v>0</v>
      </c>
      <c r="BU381" s="75"/>
      <c r="BV381" s="76"/>
      <c r="BW381" s="135"/>
      <c r="BX381" s="135"/>
      <c r="BY381" s="77">
        <f t="shared" si="153"/>
        <v>0</v>
      </c>
      <c r="BZ381" s="78"/>
      <c r="CA381" s="142"/>
      <c r="CB381" s="142"/>
      <c r="CC381" s="77">
        <f t="shared" si="154"/>
        <v>0</v>
      </c>
      <c r="CD381" s="78"/>
      <c r="CE381" s="142"/>
      <c r="CF381" s="142"/>
      <c r="CG381" s="79">
        <f t="shared" si="155"/>
        <v>0</v>
      </c>
      <c r="CH381" s="75"/>
      <c r="CI381" s="76"/>
      <c r="CJ381" s="86"/>
      <c r="CK381" s="86"/>
      <c r="CL381" s="77">
        <f t="shared" si="156"/>
        <v>0</v>
      </c>
      <c r="CM381" s="78"/>
      <c r="CN381" s="85"/>
      <c r="CO381" s="85"/>
      <c r="CP381" s="77">
        <f t="shared" si="157"/>
        <v>0</v>
      </c>
      <c r="CQ381" s="78"/>
      <c r="CR381" s="85"/>
      <c r="CS381" s="85"/>
      <c r="CT381" s="79">
        <f t="shared" si="158"/>
        <v>0</v>
      </c>
      <c r="CU381" s="80">
        <f t="shared" si="168"/>
        <v>0</v>
      </c>
      <c r="CV381" s="81">
        <f t="shared" si="169"/>
        <v>0</v>
      </c>
      <c r="CW381" s="144"/>
      <c r="CX381" s="145">
        <f>IF(ISERROR(VLOOKUP($A381,FIJOS!$B$11:$O$590,14,FALSE)),0,VLOOKUP($A381,FIJOS!$B$11:$O$590,14,FALSE))</f>
        <v>0</v>
      </c>
      <c r="CY381" s="145">
        <f>IF(ISERROR(VLOOKUP(A381,FIJOS!$B$10:$P$590,15,FALSE)),0,VLOOKUP(A381,FIJOS!$B$10:$P$590,15,FALSE))</f>
        <v>0</v>
      </c>
      <c r="CZ381" s="155"/>
      <c r="DA381" s="147"/>
      <c r="DB381" s="147"/>
      <c r="DC381" s="147"/>
      <c r="DD381" s="147"/>
      <c r="DE381" s="147"/>
      <c r="DF381" s="145">
        <f>IF(ISERROR(VLOOKUP($A381,FIJOS!$B$11:$N$590,13,FALSE)),0,VLOOKUP($A381,FIJOS!$B$11:$N$590,13,FALSE))</f>
        <v>0</v>
      </c>
      <c r="DG381" s="145">
        <f>IF(ISERROR(VLOOKUP($A381,FIJOS!$B$11:$P$447,12,FALSE)),0,VLOOKUP($A381,FIJOS!$B$11:$P$447,12,FALSE))</f>
        <v>0</v>
      </c>
      <c r="DH381" s="82">
        <f t="shared" si="234"/>
        <v>0</v>
      </c>
      <c r="DI381" s="83" t="b">
        <f>IF($C381=1,(VLOOKUP($A381,FIJOS!$B$11:$P$545,10,FALSE)/7)*(7-$CU381),IF(AND($C381=2,CV381&lt;$DJ$1),(VLOOKUP($D381,HORAS!$B$4:$C$42,2,FALSE)*24)*$CV381,IF(AND($C381=2,CV381&gt;=$DJ$1),VLOOKUP($D381,HORAS!$B$4:$D$42,3,FALSE),IF(AND($C381=3,$CV381&gt;=$DJ$1),VLOOKUP($A381,FIJOS!$B$11:$P$545,10,FALSE),IF(AND($C381=3,$CV381&lt;$DJ$1),((VLOOKUP($A381,FIJOS!$B$11:$P$545,10,FALSE)/48)*24)*$CV381,IF(AND($C381=4,$CV381&gt;=(42/24)),VLOOKUP($D381,HORAS!$B$4:$D$42,3,FALSE),IF(AND($C381=5,$CV381&gt;=(36/24)),VLOOKUP($D381,HORAS!$B$4:$D$42,3,FALSE))))))))</f>
        <v>0</v>
      </c>
      <c r="DJ381" s="145">
        <f>IF(OR($C381=2),VLOOKUP($D381,HORAS!$B$4:$E$42,4,FALSE)*$EC381,IF(ISERROR(VLOOKUP($A381,FIJOS!$B$11:$P$108,9,FALSE)),0,VLOOKUP($A381,FIJOS!$B$11:$P$231,9,FALSE)*$EC381))</f>
        <v>0</v>
      </c>
      <c r="DK381" s="145">
        <f>IF(OR($C381=2),VLOOKUP($D381,HORAS!$B$4:$F$42,5,FALSE)*$EE381,IF(ISERROR(VLOOKUP($A381,FIJOS!$B$11:$P$108,9,FALSE)),0,VLOOKUP($A381,FIJOS!$B$11:$P$231,9,FALSE)*$EE381))</f>
        <v>0</v>
      </c>
      <c r="DL381" s="144"/>
      <c r="DM381" s="145">
        <f>IF(ISERROR(VLOOKUP($A381,FIJOS!$B$11:$L$646,11,FALSE)),0,VLOOKUP($A381,FIJOS!$B$11:$L$646,11,FALSE))</f>
        <v>0</v>
      </c>
      <c r="DN381" s="148" t="e">
        <f>IF(OR($C381=1,$C381=3),0,IF((VLOOKUP(CAPTURA!D381,HORAS!$B$4:$K$42,10,FALSE)/4)*COUNTIF($H381:$CT381,3)&gt;100,100,(VLOOKUP(CAPTURA!D381,HORAS!$B$4:$K$42,10,FALSE)/4)*COUNTIF($H381:$CT381,3)))</f>
        <v>#N/A</v>
      </c>
      <c r="DO381" s="144" t="e">
        <f>IF(OR($C381=1,$C381=3),0,IF($C381=5,VLOOKUP(D381,HORAS!$B$4:$G$42,6,FALSE),IF(AND($C381=4,$CV381&gt;=(42/24)),VLOOKUP(D381,HORAS!$B$4:$G$42,6,FALSE),IF(COUNTIF($H381:$CL381,"F")&gt;0,0,IF(CV381&gt;$DJ$1,$DJ$1*(VLOOKUP(D381,HORAS!$B$4:$G$42,6,FALSE)/$DJ$1),CV381*(VLOOKUP(D381,HORAS!$B$4:$G$42,6,FALSE)/$DJ$1))))))</f>
        <v>#N/A</v>
      </c>
      <c r="DP381" s="156"/>
      <c r="DQ381" s="148"/>
      <c r="DR381" s="148"/>
      <c r="DS381" s="83" t="e">
        <f t="shared" si="162"/>
        <v>#N/A</v>
      </c>
      <c r="DT381" s="84"/>
      <c r="DU381" s="149" t="e">
        <f t="shared" si="235"/>
        <v>#N/A</v>
      </c>
      <c r="DV381" s="149" t="e">
        <f t="shared" si="236"/>
        <v>#N/A</v>
      </c>
      <c r="DW381" s="144" t="e">
        <f t="shared" si="237"/>
        <v>#N/A</v>
      </c>
      <c r="DX381" s="168"/>
      <c r="DY381" s="29"/>
      <c r="DZ381" s="150"/>
      <c r="EA381" s="134"/>
      <c r="EB381" s="137">
        <f t="shared" si="238"/>
        <v>0</v>
      </c>
      <c r="EC381" s="138">
        <f t="shared" si="239"/>
        <v>0</v>
      </c>
      <c r="ED381" s="137">
        <f t="shared" si="240"/>
        <v>0</v>
      </c>
      <c r="EE381" s="132">
        <f t="shared" si="241"/>
        <v>0</v>
      </c>
      <c r="EF381" s="29"/>
      <c r="EG381" s="134"/>
      <c r="EH381" s="134"/>
      <c r="EI381" s="134"/>
      <c r="EK381" s="29"/>
    </row>
    <row r="382" spans="1:141" ht="15" customHeight="1" x14ac:dyDescent="0.25">
      <c r="A382" s="87"/>
      <c r="B382" s="5"/>
      <c r="C382" s="72"/>
      <c r="D382" s="73"/>
      <c r="E382" s="73"/>
      <c r="F382" s="141"/>
      <c r="G382" s="74"/>
      <c r="H382" s="75"/>
      <c r="I382" s="76"/>
      <c r="J382" s="135"/>
      <c r="K382" s="135"/>
      <c r="L382" s="77">
        <f t="shared" si="138"/>
        <v>0</v>
      </c>
      <c r="M382" s="78"/>
      <c r="N382" s="142"/>
      <c r="O382" s="142"/>
      <c r="P382" s="77">
        <f t="shared" si="139"/>
        <v>0</v>
      </c>
      <c r="Q382" s="78"/>
      <c r="R382" s="143"/>
      <c r="S382" s="143"/>
      <c r="T382" s="77">
        <f t="shared" si="140"/>
        <v>0</v>
      </c>
      <c r="U382" s="75"/>
      <c r="V382" s="76"/>
      <c r="W382" s="135"/>
      <c r="X382" s="135"/>
      <c r="Y382" s="77">
        <f t="shared" si="141"/>
        <v>0</v>
      </c>
      <c r="Z382" s="78"/>
      <c r="AA382" s="142"/>
      <c r="AB382" s="142"/>
      <c r="AC382" s="77">
        <f t="shared" si="142"/>
        <v>0</v>
      </c>
      <c r="AD382" s="78"/>
      <c r="AE382" s="143"/>
      <c r="AF382" s="143"/>
      <c r="AG382" s="79">
        <f t="shared" si="143"/>
        <v>0</v>
      </c>
      <c r="AH382" s="75"/>
      <c r="AI382" s="76"/>
      <c r="AJ382" s="135"/>
      <c r="AK382" s="135"/>
      <c r="AL382" s="77">
        <f t="shared" si="144"/>
        <v>0</v>
      </c>
      <c r="AM382" s="76"/>
      <c r="AN382" s="142"/>
      <c r="AO382" s="142"/>
      <c r="AP382" s="77">
        <f t="shared" si="145"/>
        <v>0</v>
      </c>
      <c r="AQ382" s="78"/>
      <c r="AR382" s="142"/>
      <c r="AS382" s="142"/>
      <c r="AT382" s="79">
        <f t="shared" si="146"/>
        <v>0</v>
      </c>
      <c r="AU382" s="75"/>
      <c r="AV382" s="76"/>
      <c r="AW382" s="135"/>
      <c r="AX382" s="135"/>
      <c r="AY382" s="77">
        <f t="shared" si="147"/>
        <v>0</v>
      </c>
      <c r="AZ382" s="76"/>
      <c r="BA382" s="142"/>
      <c r="BB382" s="142"/>
      <c r="BC382" s="77">
        <f t="shared" si="148"/>
        <v>0</v>
      </c>
      <c r="BD382" s="78"/>
      <c r="BE382" s="142"/>
      <c r="BF382" s="142"/>
      <c r="BG382" s="79">
        <f t="shared" si="149"/>
        <v>0</v>
      </c>
      <c r="BH382" s="75"/>
      <c r="BI382" s="76"/>
      <c r="BJ382" s="135"/>
      <c r="BK382" s="135"/>
      <c r="BL382" s="77">
        <f t="shared" si="150"/>
        <v>0</v>
      </c>
      <c r="BM382" s="78"/>
      <c r="BN382" s="142"/>
      <c r="BO382" s="142"/>
      <c r="BP382" s="77">
        <f t="shared" si="151"/>
        <v>0</v>
      </c>
      <c r="BQ382" s="78"/>
      <c r="BR382" s="142"/>
      <c r="BS382" s="142"/>
      <c r="BT382" s="79">
        <f t="shared" si="152"/>
        <v>0</v>
      </c>
      <c r="BU382" s="75"/>
      <c r="BV382" s="76"/>
      <c r="BW382" s="135"/>
      <c r="BX382" s="135"/>
      <c r="BY382" s="77">
        <f t="shared" si="153"/>
        <v>0</v>
      </c>
      <c r="BZ382" s="78"/>
      <c r="CA382" s="142"/>
      <c r="CB382" s="142"/>
      <c r="CC382" s="77">
        <f t="shared" si="154"/>
        <v>0</v>
      </c>
      <c r="CD382" s="78"/>
      <c r="CE382" s="142"/>
      <c r="CF382" s="142"/>
      <c r="CG382" s="79">
        <f t="shared" si="155"/>
        <v>0</v>
      </c>
      <c r="CH382" s="75"/>
      <c r="CI382" s="76"/>
      <c r="CJ382" s="86"/>
      <c r="CK382" s="86"/>
      <c r="CL382" s="77">
        <f t="shared" si="156"/>
        <v>0</v>
      </c>
      <c r="CM382" s="78"/>
      <c r="CN382" s="85"/>
      <c r="CO382" s="85"/>
      <c r="CP382" s="77">
        <f t="shared" si="157"/>
        <v>0</v>
      </c>
      <c r="CQ382" s="78"/>
      <c r="CR382" s="85"/>
      <c r="CS382" s="85"/>
      <c r="CT382" s="79">
        <f t="shared" si="158"/>
        <v>0</v>
      </c>
      <c r="CU382" s="80">
        <f t="shared" si="168"/>
        <v>0</v>
      </c>
      <c r="CV382" s="81">
        <f t="shared" si="169"/>
        <v>0</v>
      </c>
      <c r="CW382" s="144"/>
      <c r="CX382" s="145">
        <f>IF(ISERROR(VLOOKUP($A382,FIJOS!$B$11:$O$590,14,FALSE)),0,VLOOKUP($A382,FIJOS!$B$11:$O$590,14,FALSE))</f>
        <v>0</v>
      </c>
      <c r="CY382" s="145">
        <f>IF(ISERROR(VLOOKUP(A382,FIJOS!$B$10:$P$590,15,FALSE)),0,VLOOKUP(A382,FIJOS!$B$10:$P$590,15,FALSE))</f>
        <v>0</v>
      </c>
      <c r="CZ382" s="155"/>
      <c r="DA382" s="147"/>
      <c r="DB382" s="147"/>
      <c r="DC382" s="147"/>
      <c r="DD382" s="147"/>
      <c r="DE382" s="147"/>
      <c r="DF382" s="145">
        <f>IF(ISERROR(VLOOKUP($A382,FIJOS!$B$11:$N$590,13,FALSE)),0,VLOOKUP($A382,FIJOS!$B$11:$N$590,13,FALSE))</f>
        <v>0</v>
      </c>
      <c r="DG382" s="145">
        <f>IF(ISERROR(VLOOKUP($A382,FIJOS!$B$11:$P$447,12,FALSE)),0,VLOOKUP($A382,FIJOS!$B$11:$P$447,12,FALSE))</f>
        <v>0</v>
      </c>
      <c r="DH382" s="82">
        <f t="shared" si="234"/>
        <v>0</v>
      </c>
      <c r="DI382" s="83" t="b">
        <f>IF($C382=1,(VLOOKUP($A382,FIJOS!$B$11:$P$545,10,FALSE)/7)*(7-$CU382),IF(AND($C382=2,CV382&lt;$DJ$1),(VLOOKUP($D382,HORAS!$B$4:$C$42,2,FALSE)*24)*$CV382,IF(AND($C382=2,CV382&gt;=$DJ$1),VLOOKUP($D382,HORAS!$B$4:$D$42,3,FALSE),IF(AND($C382=3,$CV382&gt;=$DJ$1),VLOOKUP($A382,FIJOS!$B$11:$P$545,10,FALSE),IF(AND($C382=3,$CV382&lt;$DJ$1),((VLOOKUP($A382,FIJOS!$B$11:$P$545,10,FALSE)/48)*24)*$CV382,IF(AND($C382=4,$CV382&gt;=(42/24)),VLOOKUP($D382,HORAS!$B$4:$D$42,3,FALSE),IF(AND($C382=5,$CV382&gt;=(36/24)),VLOOKUP($D382,HORAS!$B$4:$D$42,3,FALSE))))))))</f>
        <v>0</v>
      </c>
      <c r="DJ382" s="145">
        <f>IF(OR($C382=2),VLOOKUP($D382,HORAS!$B$4:$E$42,4,FALSE)*$EC382,IF(ISERROR(VLOOKUP($A382,FIJOS!$B$11:$P$108,9,FALSE)),0,VLOOKUP($A382,FIJOS!$B$11:$P$231,9,FALSE)*$EC382))</f>
        <v>0</v>
      </c>
      <c r="DK382" s="145">
        <f>IF(OR($C382=2),VLOOKUP($D382,HORAS!$B$4:$F$42,5,FALSE)*$EE382,IF(ISERROR(VLOOKUP($A382,FIJOS!$B$11:$P$108,9,FALSE)),0,VLOOKUP($A382,FIJOS!$B$11:$P$231,9,FALSE)*$EE382))</f>
        <v>0</v>
      </c>
      <c r="DL382" s="144"/>
      <c r="DM382" s="145">
        <f>IF(ISERROR(VLOOKUP($A382,FIJOS!$B$11:$L$646,11,FALSE)),0,VLOOKUP($A382,FIJOS!$B$11:$L$646,11,FALSE))</f>
        <v>0</v>
      </c>
      <c r="DN382" s="148" t="e">
        <f>IF(OR($C382=1,$C382=3),0,IF((VLOOKUP(CAPTURA!D382,HORAS!$B$4:$K$42,10,FALSE)/4)*COUNTIF($H382:$CT382,3)&gt;100,100,(VLOOKUP(CAPTURA!D382,HORAS!$B$4:$K$42,10,FALSE)/4)*COUNTIF($H382:$CT382,3)))</f>
        <v>#N/A</v>
      </c>
      <c r="DO382" s="144" t="e">
        <f>IF(OR($C382=1,$C382=3),0,IF($C382=5,VLOOKUP(D382,HORAS!$B$4:$G$42,6,FALSE),IF(AND($C382=4,$CV382&gt;=(42/24)),VLOOKUP(D382,HORAS!$B$4:$G$42,6,FALSE),IF(COUNTIF($H382:$CL382,"F")&gt;0,0,IF(CV382&gt;$DJ$1,$DJ$1*(VLOOKUP(D382,HORAS!$B$4:$G$42,6,FALSE)/$DJ$1),CV382*(VLOOKUP(D382,HORAS!$B$4:$G$42,6,FALSE)/$DJ$1))))))</f>
        <v>#N/A</v>
      </c>
      <c r="DP382" s="156"/>
      <c r="DQ382" s="148"/>
      <c r="DR382" s="148"/>
      <c r="DS382" s="83" t="e">
        <f t="shared" si="162"/>
        <v>#N/A</v>
      </c>
      <c r="DT382" s="84"/>
      <c r="DU382" s="149" t="e">
        <f t="shared" si="235"/>
        <v>#N/A</v>
      </c>
      <c r="DV382" s="149" t="e">
        <f t="shared" si="236"/>
        <v>#N/A</v>
      </c>
      <c r="DW382" s="144" t="e">
        <f t="shared" si="237"/>
        <v>#N/A</v>
      </c>
      <c r="DX382" s="168"/>
      <c r="DY382" s="29"/>
      <c r="DZ382" s="150"/>
      <c r="EA382" s="134"/>
      <c r="EB382" s="137">
        <f t="shared" si="238"/>
        <v>0</v>
      </c>
      <c r="EC382" s="138">
        <f t="shared" si="239"/>
        <v>0</v>
      </c>
      <c r="ED382" s="137">
        <f t="shared" si="240"/>
        <v>0</v>
      </c>
      <c r="EE382" s="132">
        <f t="shared" si="241"/>
        <v>0</v>
      </c>
      <c r="EF382" s="29"/>
      <c r="EG382" s="134"/>
      <c r="EH382" s="134"/>
      <c r="EI382" s="134"/>
      <c r="EK382" s="29"/>
    </row>
    <row r="383" spans="1:141" ht="15" customHeight="1" x14ac:dyDescent="0.25">
      <c r="A383" s="87"/>
      <c r="B383" s="5"/>
      <c r="C383" s="72"/>
      <c r="D383" s="73"/>
      <c r="E383" s="73"/>
      <c r="F383" s="141"/>
      <c r="G383" s="74"/>
      <c r="H383" s="75"/>
      <c r="I383" s="76"/>
      <c r="J383" s="135"/>
      <c r="K383" s="135"/>
      <c r="L383" s="77">
        <f t="shared" si="138"/>
        <v>0</v>
      </c>
      <c r="M383" s="78"/>
      <c r="N383" s="142"/>
      <c r="O383" s="142"/>
      <c r="P383" s="77">
        <f t="shared" si="139"/>
        <v>0</v>
      </c>
      <c r="Q383" s="78"/>
      <c r="R383" s="143"/>
      <c r="S383" s="143"/>
      <c r="T383" s="77">
        <f t="shared" si="140"/>
        <v>0</v>
      </c>
      <c r="U383" s="75"/>
      <c r="V383" s="76"/>
      <c r="W383" s="135"/>
      <c r="X383" s="135"/>
      <c r="Y383" s="77">
        <f t="shared" si="141"/>
        <v>0</v>
      </c>
      <c r="Z383" s="78"/>
      <c r="AA383" s="142"/>
      <c r="AB383" s="142"/>
      <c r="AC383" s="77">
        <f t="shared" si="142"/>
        <v>0</v>
      </c>
      <c r="AD383" s="78"/>
      <c r="AE383" s="143"/>
      <c r="AF383" s="143"/>
      <c r="AG383" s="79">
        <f t="shared" si="143"/>
        <v>0</v>
      </c>
      <c r="AH383" s="75"/>
      <c r="AI383" s="76"/>
      <c r="AJ383" s="135"/>
      <c r="AK383" s="135"/>
      <c r="AL383" s="77">
        <f t="shared" si="144"/>
        <v>0</v>
      </c>
      <c r="AM383" s="76"/>
      <c r="AN383" s="142"/>
      <c r="AO383" s="142"/>
      <c r="AP383" s="77">
        <f t="shared" si="145"/>
        <v>0</v>
      </c>
      <c r="AQ383" s="78"/>
      <c r="AR383" s="142"/>
      <c r="AS383" s="142"/>
      <c r="AT383" s="79">
        <f t="shared" si="146"/>
        <v>0</v>
      </c>
      <c r="AU383" s="75"/>
      <c r="AV383" s="76"/>
      <c r="AW383" s="135"/>
      <c r="AX383" s="135"/>
      <c r="AY383" s="77">
        <f t="shared" si="147"/>
        <v>0</v>
      </c>
      <c r="AZ383" s="76"/>
      <c r="BA383" s="142"/>
      <c r="BB383" s="142"/>
      <c r="BC383" s="77">
        <f t="shared" si="148"/>
        <v>0</v>
      </c>
      <c r="BD383" s="78"/>
      <c r="BE383" s="142"/>
      <c r="BF383" s="142"/>
      <c r="BG383" s="79">
        <f t="shared" si="149"/>
        <v>0</v>
      </c>
      <c r="BH383" s="75"/>
      <c r="BI383" s="76"/>
      <c r="BJ383" s="135"/>
      <c r="BK383" s="135"/>
      <c r="BL383" s="77">
        <f t="shared" si="150"/>
        <v>0</v>
      </c>
      <c r="BM383" s="78"/>
      <c r="BN383" s="142"/>
      <c r="BO383" s="142"/>
      <c r="BP383" s="77">
        <f t="shared" si="151"/>
        <v>0</v>
      </c>
      <c r="BQ383" s="78"/>
      <c r="BR383" s="142"/>
      <c r="BS383" s="142"/>
      <c r="BT383" s="79">
        <f t="shared" si="152"/>
        <v>0</v>
      </c>
      <c r="BU383" s="75"/>
      <c r="BV383" s="76"/>
      <c r="BW383" s="135"/>
      <c r="BX383" s="135"/>
      <c r="BY383" s="77">
        <f t="shared" si="153"/>
        <v>0</v>
      </c>
      <c r="BZ383" s="78"/>
      <c r="CA383" s="142"/>
      <c r="CB383" s="142"/>
      <c r="CC383" s="77">
        <f t="shared" si="154"/>
        <v>0</v>
      </c>
      <c r="CD383" s="78"/>
      <c r="CE383" s="142"/>
      <c r="CF383" s="142"/>
      <c r="CG383" s="79">
        <f t="shared" si="155"/>
        <v>0</v>
      </c>
      <c r="CH383" s="75"/>
      <c r="CI383" s="76"/>
      <c r="CJ383" s="86"/>
      <c r="CK383" s="86"/>
      <c r="CL383" s="77">
        <f t="shared" si="156"/>
        <v>0</v>
      </c>
      <c r="CM383" s="78"/>
      <c r="CN383" s="85"/>
      <c r="CO383" s="85"/>
      <c r="CP383" s="77">
        <f t="shared" si="157"/>
        <v>0</v>
      </c>
      <c r="CQ383" s="78"/>
      <c r="CR383" s="85"/>
      <c r="CS383" s="85"/>
      <c r="CT383" s="79">
        <f t="shared" si="158"/>
        <v>0</v>
      </c>
      <c r="CU383" s="80">
        <f t="shared" si="168"/>
        <v>0</v>
      </c>
      <c r="CV383" s="81">
        <f t="shared" si="169"/>
        <v>0</v>
      </c>
      <c r="CW383" s="144"/>
      <c r="CX383" s="145">
        <f>IF(ISERROR(VLOOKUP($A383,FIJOS!$B$11:$O$590,14,FALSE)),0,VLOOKUP($A383,FIJOS!$B$11:$O$590,14,FALSE))</f>
        <v>0</v>
      </c>
      <c r="CY383" s="145">
        <f>IF(ISERROR(VLOOKUP(A383,FIJOS!$B$10:$P$590,15,FALSE)),0,VLOOKUP(A383,FIJOS!$B$10:$P$590,15,FALSE))</f>
        <v>0</v>
      </c>
      <c r="CZ383" s="155"/>
      <c r="DA383" s="147"/>
      <c r="DB383" s="147"/>
      <c r="DC383" s="147"/>
      <c r="DD383" s="147"/>
      <c r="DE383" s="147"/>
      <c r="DF383" s="145">
        <f>IF(ISERROR(VLOOKUP($A383,FIJOS!$B$11:$N$590,13,FALSE)),0,VLOOKUP($A383,FIJOS!$B$11:$N$590,13,FALSE))</f>
        <v>0</v>
      </c>
      <c r="DG383" s="145">
        <f>IF(ISERROR(VLOOKUP($A383,FIJOS!$B$11:$P$447,12,FALSE)),0,VLOOKUP($A383,FIJOS!$B$11:$P$447,12,FALSE))</f>
        <v>0</v>
      </c>
      <c r="DH383" s="82">
        <f t="shared" si="234"/>
        <v>0</v>
      </c>
      <c r="DI383" s="83" t="b">
        <f>IF($C383=1,(VLOOKUP($A383,FIJOS!$B$11:$P$545,10,FALSE)/7)*(7-$CU383),IF(AND($C383=2,CV383&lt;$DJ$1),(VLOOKUP($D383,HORAS!$B$4:$C$42,2,FALSE)*24)*$CV383,IF(AND($C383=2,CV383&gt;=$DJ$1),VLOOKUP($D383,HORAS!$B$4:$D$42,3,FALSE),IF(AND($C383=3,$CV383&gt;=$DJ$1),VLOOKUP($A383,FIJOS!$B$11:$P$545,10,FALSE),IF(AND($C383=3,$CV383&lt;$DJ$1),((VLOOKUP($A383,FIJOS!$B$11:$P$545,10,FALSE)/48)*24)*$CV383,IF(AND($C383=4,$CV383&gt;=(42/24)),VLOOKUP($D383,HORAS!$B$4:$D$42,3,FALSE),IF(AND($C383=5,$CV383&gt;=(36/24)),VLOOKUP($D383,HORAS!$B$4:$D$42,3,FALSE))))))))</f>
        <v>0</v>
      </c>
      <c r="DJ383" s="145">
        <f>IF(OR($C383=2),VLOOKUP($D383,HORAS!$B$4:$E$42,4,FALSE)*$EC383,IF(ISERROR(VLOOKUP($A383,FIJOS!$B$11:$P$108,9,FALSE)),0,VLOOKUP($A383,FIJOS!$B$11:$P$231,9,FALSE)*$EC383))</f>
        <v>0</v>
      </c>
      <c r="DK383" s="145">
        <f>IF(OR($C383=2),VLOOKUP($D383,HORAS!$B$4:$F$42,5,FALSE)*$EE383,IF(ISERROR(VLOOKUP($A383,FIJOS!$B$11:$P$108,9,FALSE)),0,VLOOKUP($A383,FIJOS!$B$11:$P$231,9,FALSE)*$EE383))</f>
        <v>0</v>
      </c>
      <c r="DL383" s="144"/>
      <c r="DM383" s="145">
        <f>IF(ISERROR(VLOOKUP($A383,FIJOS!$B$11:$L$646,11,FALSE)),0,VLOOKUP($A383,FIJOS!$B$11:$L$646,11,FALSE))</f>
        <v>0</v>
      </c>
      <c r="DN383" s="148" t="e">
        <f>IF(OR($C383=1,$C383=3),0,IF((VLOOKUP(CAPTURA!D383,HORAS!$B$4:$K$42,10,FALSE)/4)*COUNTIF($H383:$CT383,3)&gt;100,100,(VLOOKUP(CAPTURA!D383,HORAS!$B$4:$K$42,10,FALSE)/4)*COUNTIF($H383:$CT383,3)))</f>
        <v>#N/A</v>
      </c>
      <c r="DO383" s="144" t="e">
        <f>IF(OR($C383=1,$C383=3),0,IF($C383=5,VLOOKUP(D383,HORAS!$B$4:$G$42,6,FALSE),IF(AND($C383=4,$CV383&gt;=(42/24)),VLOOKUP(D383,HORAS!$B$4:$G$42,6,FALSE),IF(COUNTIF($H383:$CL383,"F")&gt;0,0,IF(CV383&gt;$DJ$1,$DJ$1*(VLOOKUP(D383,HORAS!$B$4:$G$42,6,FALSE)/$DJ$1),CV383*(VLOOKUP(D383,HORAS!$B$4:$G$42,6,FALSE)/$DJ$1))))))</f>
        <v>#N/A</v>
      </c>
      <c r="DP383" s="156"/>
      <c r="DQ383" s="148"/>
      <c r="DR383" s="148"/>
      <c r="DS383" s="83" t="e">
        <f t="shared" si="162"/>
        <v>#N/A</v>
      </c>
      <c r="DT383" s="84"/>
      <c r="DU383" s="149" t="e">
        <f t="shared" si="235"/>
        <v>#N/A</v>
      </c>
      <c r="DV383" s="149" t="e">
        <f t="shared" si="236"/>
        <v>#N/A</v>
      </c>
      <c r="DW383" s="144" t="e">
        <f t="shared" si="237"/>
        <v>#N/A</v>
      </c>
      <c r="DX383" s="168"/>
      <c r="DY383" s="29"/>
      <c r="DZ383" s="150"/>
      <c r="EA383" s="134"/>
      <c r="EB383" s="137">
        <f t="shared" si="238"/>
        <v>0</v>
      </c>
      <c r="EC383" s="138">
        <f t="shared" si="239"/>
        <v>0</v>
      </c>
      <c r="ED383" s="137">
        <f t="shared" si="240"/>
        <v>0</v>
      </c>
      <c r="EE383" s="132">
        <f t="shared" si="241"/>
        <v>0</v>
      </c>
      <c r="EF383" s="29"/>
      <c r="EG383" s="134"/>
      <c r="EH383" s="134"/>
      <c r="EI383" s="134"/>
      <c r="EK383" s="29"/>
    </row>
    <row r="384" spans="1:141" ht="15" customHeight="1" x14ac:dyDescent="0.25">
      <c r="A384" s="87"/>
      <c r="B384" s="5"/>
      <c r="C384" s="72"/>
      <c r="D384" s="73"/>
      <c r="E384" s="73"/>
      <c r="F384" s="141"/>
      <c r="G384" s="74"/>
      <c r="H384" s="75"/>
      <c r="I384" s="76"/>
      <c r="J384" s="135"/>
      <c r="K384" s="135"/>
      <c r="L384" s="77">
        <f t="shared" si="138"/>
        <v>0</v>
      </c>
      <c r="M384" s="78"/>
      <c r="N384" s="142"/>
      <c r="O384" s="142"/>
      <c r="P384" s="77">
        <f t="shared" si="139"/>
        <v>0</v>
      </c>
      <c r="Q384" s="78"/>
      <c r="R384" s="143"/>
      <c r="S384" s="143"/>
      <c r="T384" s="77">
        <f t="shared" si="140"/>
        <v>0</v>
      </c>
      <c r="U384" s="75"/>
      <c r="V384" s="76"/>
      <c r="W384" s="135"/>
      <c r="X384" s="135"/>
      <c r="Y384" s="77">
        <f t="shared" si="141"/>
        <v>0</v>
      </c>
      <c r="Z384" s="78"/>
      <c r="AA384" s="142"/>
      <c r="AB384" s="142"/>
      <c r="AC384" s="77">
        <f t="shared" si="142"/>
        <v>0</v>
      </c>
      <c r="AD384" s="78"/>
      <c r="AE384" s="143"/>
      <c r="AF384" s="143"/>
      <c r="AG384" s="79">
        <f t="shared" si="143"/>
        <v>0</v>
      </c>
      <c r="AH384" s="75"/>
      <c r="AI384" s="76"/>
      <c r="AJ384" s="135"/>
      <c r="AK384" s="135"/>
      <c r="AL384" s="77">
        <f t="shared" si="144"/>
        <v>0</v>
      </c>
      <c r="AM384" s="76"/>
      <c r="AN384" s="142"/>
      <c r="AO384" s="142"/>
      <c r="AP384" s="77">
        <f t="shared" si="145"/>
        <v>0</v>
      </c>
      <c r="AQ384" s="78"/>
      <c r="AR384" s="142"/>
      <c r="AS384" s="142"/>
      <c r="AT384" s="79">
        <f t="shared" si="146"/>
        <v>0</v>
      </c>
      <c r="AU384" s="75"/>
      <c r="AV384" s="76"/>
      <c r="AW384" s="135"/>
      <c r="AX384" s="135"/>
      <c r="AY384" s="77">
        <f t="shared" si="147"/>
        <v>0</v>
      </c>
      <c r="AZ384" s="76"/>
      <c r="BA384" s="142"/>
      <c r="BB384" s="142"/>
      <c r="BC384" s="77">
        <f t="shared" si="148"/>
        <v>0</v>
      </c>
      <c r="BD384" s="78"/>
      <c r="BE384" s="142"/>
      <c r="BF384" s="142"/>
      <c r="BG384" s="79">
        <f t="shared" si="149"/>
        <v>0</v>
      </c>
      <c r="BH384" s="75"/>
      <c r="BI384" s="76"/>
      <c r="BJ384" s="135"/>
      <c r="BK384" s="135"/>
      <c r="BL384" s="77">
        <f t="shared" si="150"/>
        <v>0</v>
      </c>
      <c r="BM384" s="78"/>
      <c r="BN384" s="142"/>
      <c r="BO384" s="142"/>
      <c r="BP384" s="77">
        <f t="shared" si="151"/>
        <v>0</v>
      </c>
      <c r="BQ384" s="78"/>
      <c r="BR384" s="142"/>
      <c r="BS384" s="142"/>
      <c r="BT384" s="79">
        <f t="shared" si="152"/>
        <v>0</v>
      </c>
      <c r="BU384" s="75"/>
      <c r="BV384" s="76"/>
      <c r="BW384" s="135"/>
      <c r="BX384" s="135"/>
      <c r="BY384" s="77">
        <f t="shared" si="153"/>
        <v>0</v>
      </c>
      <c r="BZ384" s="78"/>
      <c r="CA384" s="142"/>
      <c r="CB384" s="142"/>
      <c r="CC384" s="77">
        <f t="shared" si="154"/>
        <v>0</v>
      </c>
      <c r="CD384" s="78"/>
      <c r="CE384" s="142"/>
      <c r="CF384" s="142"/>
      <c r="CG384" s="79">
        <f t="shared" si="155"/>
        <v>0</v>
      </c>
      <c r="CH384" s="75"/>
      <c r="CI384" s="76"/>
      <c r="CJ384" s="86"/>
      <c r="CK384" s="86"/>
      <c r="CL384" s="77">
        <f t="shared" si="156"/>
        <v>0</v>
      </c>
      <c r="CM384" s="78"/>
      <c r="CN384" s="85"/>
      <c r="CO384" s="85"/>
      <c r="CP384" s="77">
        <f t="shared" si="157"/>
        <v>0</v>
      </c>
      <c r="CQ384" s="78"/>
      <c r="CR384" s="85"/>
      <c r="CS384" s="85"/>
      <c r="CT384" s="79">
        <f t="shared" si="158"/>
        <v>0</v>
      </c>
      <c r="CU384" s="80">
        <f t="shared" si="168"/>
        <v>0</v>
      </c>
      <c r="CV384" s="81">
        <f t="shared" si="169"/>
        <v>0</v>
      </c>
      <c r="CW384" s="144"/>
      <c r="CX384" s="145">
        <f>IF(ISERROR(VLOOKUP($A384,FIJOS!$B$11:$O$590,14,FALSE)),0,VLOOKUP($A384,FIJOS!$B$11:$O$590,14,FALSE))</f>
        <v>0</v>
      </c>
      <c r="CY384" s="145">
        <f>IF(ISERROR(VLOOKUP(A384,FIJOS!$B$10:$P$590,15,FALSE)),0,VLOOKUP(A384,FIJOS!$B$10:$P$590,15,FALSE))</f>
        <v>0</v>
      </c>
      <c r="CZ384" s="155"/>
      <c r="DA384" s="147"/>
      <c r="DB384" s="147"/>
      <c r="DC384" s="147"/>
      <c r="DD384" s="147"/>
      <c r="DE384" s="147"/>
      <c r="DF384" s="145">
        <f>IF(ISERROR(VLOOKUP($A384,FIJOS!$B$11:$N$590,13,FALSE)),0,VLOOKUP($A384,FIJOS!$B$11:$N$590,13,FALSE))</f>
        <v>0</v>
      </c>
      <c r="DG384" s="145">
        <f>IF(ISERROR(VLOOKUP($A384,FIJOS!$B$11:$P$447,12,FALSE)),0,VLOOKUP($A384,FIJOS!$B$11:$P$447,12,FALSE))</f>
        <v>0</v>
      </c>
      <c r="DH384" s="82">
        <f t="shared" si="234"/>
        <v>0</v>
      </c>
      <c r="DI384" s="83" t="b">
        <f>IF($C384=1,(VLOOKUP($A384,FIJOS!$B$11:$P$545,10,FALSE)/7)*(7-$CU384),IF(AND($C384=2,CV384&lt;$DJ$1),(VLOOKUP($D384,HORAS!$B$4:$C$42,2,FALSE)*24)*$CV384,IF(AND($C384=2,CV384&gt;=$DJ$1),VLOOKUP($D384,HORAS!$B$4:$D$42,3,FALSE),IF(AND($C384=3,$CV384&gt;=$DJ$1),VLOOKUP($A384,FIJOS!$B$11:$P$545,10,FALSE),IF(AND($C384=3,$CV384&lt;$DJ$1),((VLOOKUP($A384,FIJOS!$B$11:$P$545,10,FALSE)/48)*24)*$CV384,IF(AND($C384=4,$CV384&gt;=(42/24)),VLOOKUP($D384,HORAS!$B$4:$D$42,3,FALSE),IF(AND($C384=5,$CV384&gt;=(36/24)),VLOOKUP($D384,HORAS!$B$4:$D$42,3,FALSE))))))))</f>
        <v>0</v>
      </c>
      <c r="DJ384" s="145">
        <f>IF(OR($C384=2),VLOOKUP($D384,HORAS!$B$4:$E$42,4,FALSE)*$EC384,IF(ISERROR(VLOOKUP($A384,FIJOS!$B$11:$P$108,9,FALSE)),0,VLOOKUP($A384,FIJOS!$B$11:$P$231,9,FALSE)*$EC384))</f>
        <v>0</v>
      </c>
      <c r="DK384" s="145">
        <f>IF(OR($C384=2),VLOOKUP($D384,HORAS!$B$4:$F$42,5,FALSE)*$EE384,IF(ISERROR(VLOOKUP($A384,FIJOS!$B$11:$P$108,9,FALSE)),0,VLOOKUP($A384,FIJOS!$B$11:$P$231,9,FALSE)*$EE384))</f>
        <v>0</v>
      </c>
      <c r="DL384" s="144"/>
      <c r="DM384" s="145">
        <f>IF(ISERROR(VLOOKUP($A384,FIJOS!$B$11:$L$646,11,FALSE)),0,VLOOKUP($A384,FIJOS!$B$11:$L$646,11,FALSE))</f>
        <v>0</v>
      </c>
      <c r="DN384" s="148" t="e">
        <f>IF(OR($C384=1,$C384=3),0,IF((VLOOKUP(CAPTURA!D384,HORAS!$B$4:$K$42,10,FALSE)/4)*COUNTIF($H384:$CT384,3)&gt;100,100,(VLOOKUP(CAPTURA!D384,HORAS!$B$4:$K$42,10,FALSE)/4)*COUNTIF($H384:$CT384,3)))</f>
        <v>#N/A</v>
      </c>
      <c r="DO384" s="144" t="e">
        <f>IF(OR($C384=1,$C384=3),0,IF($C384=5,VLOOKUP(D384,HORAS!$B$4:$G$42,6,FALSE),IF(AND($C384=4,$CV384&gt;=(42/24)),VLOOKUP(D384,HORAS!$B$4:$G$42,6,FALSE),IF(COUNTIF($H384:$CL384,"F")&gt;0,0,IF(CV384&gt;$DJ$1,$DJ$1*(VLOOKUP(D384,HORAS!$B$4:$G$42,6,FALSE)/$DJ$1),CV384*(VLOOKUP(D384,HORAS!$B$4:$G$42,6,FALSE)/$DJ$1))))))</f>
        <v>#N/A</v>
      </c>
      <c r="DP384" s="156"/>
      <c r="DQ384" s="148"/>
      <c r="DR384" s="148"/>
      <c r="DS384" s="83" t="e">
        <f t="shared" si="162"/>
        <v>#N/A</v>
      </c>
      <c r="DT384" s="84"/>
      <c r="DU384" s="149" t="e">
        <f t="shared" si="235"/>
        <v>#N/A</v>
      </c>
      <c r="DV384" s="149" t="e">
        <f t="shared" si="236"/>
        <v>#N/A</v>
      </c>
      <c r="DW384" s="144" t="e">
        <f t="shared" si="237"/>
        <v>#N/A</v>
      </c>
      <c r="DX384" s="168"/>
      <c r="DY384" s="29"/>
      <c r="DZ384" s="150"/>
      <c r="EA384" s="134"/>
      <c r="EB384" s="137">
        <f t="shared" si="238"/>
        <v>0</v>
      </c>
      <c r="EC384" s="138">
        <f t="shared" si="239"/>
        <v>0</v>
      </c>
      <c r="ED384" s="137">
        <f t="shared" si="240"/>
        <v>0</v>
      </c>
      <c r="EE384" s="132">
        <f t="shared" si="241"/>
        <v>0</v>
      </c>
      <c r="EF384" s="29"/>
      <c r="EG384" s="134"/>
      <c r="EH384" s="134"/>
      <c r="EI384" s="134"/>
      <c r="EK384" s="29"/>
    </row>
    <row r="385" spans="1:141" ht="15" customHeight="1" x14ac:dyDescent="0.25">
      <c r="A385" s="87"/>
      <c r="B385" s="5"/>
      <c r="C385" s="72"/>
      <c r="D385" s="73"/>
      <c r="E385" s="73"/>
      <c r="F385" s="141"/>
      <c r="G385" s="74"/>
      <c r="H385" s="75"/>
      <c r="I385" s="76"/>
      <c r="J385" s="135"/>
      <c r="K385" s="135"/>
      <c r="L385" s="77">
        <f t="shared" si="138"/>
        <v>0</v>
      </c>
      <c r="M385" s="78"/>
      <c r="N385" s="142"/>
      <c r="O385" s="142"/>
      <c r="P385" s="77">
        <f t="shared" si="139"/>
        <v>0</v>
      </c>
      <c r="Q385" s="78"/>
      <c r="R385" s="143"/>
      <c r="S385" s="143"/>
      <c r="T385" s="77">
        <f t="shared" si="140"/>
        <v>0</v>
      </c>
      <c r="U385" s="75"/>
      <c r="V385" s="76"/>
      <c r="W385" s="135"/>
      <c r="X385" s="135"/>
      <c r="Y385" s="77">
        <f t="shared" si="141"/>
        <v>0</v>
      </c>
      <c r="Z385" s="78"/>
      <c r="AA385" s="142"/>
      <c r="AB385" s="142"/>
      <c r="AC385" s="77">
        <f t="shared" si="142"/>
        <v>0</v>
      </c>
      <c r="AD385" s="78"/>
      <c r="AE385" s="143"/>
      <c r="AF385" s="143"/>
      <c r="AG385" s="79">
        <f t="shared" si="143"/>
        <v>0</v>
      </c>
      <c r="AH385" s="75"/>
      <c r="AI385" s="76"/>
      <c r="AJ385" s="135"/>
      <c r="AK385" s="135"/>
      <c r="AL385" s="77">
        <f t="shared" si="144"/>
        <v>0</v>
      </c>
      <c r="AM385" s="76"/>
      <c r="AN385" s="142"/>
      <c r="AO385" s="142"/>
      <c r="AP385" s="77">
        <f t="shared" si="145"/>
        <v>0</v>
      </c>
      <c r="AQ385" s="78"/>
      <c r="AR385" s="142"/>
      <c r="AS385" s="142"/>
      <c r="AT385" s="79">
        <f t="shared" si="146"/>
        <v>0</v>
      </c>
      <c r="AU385" s="75"/>
      <c r="AV385" s="76"/>
      <c r="AW385" s="135"/>
      <c r="AX385" s="135"/>
      <c r="AY385" s="77">
        <f t="shared" si="147"/>
        <v>0</v>
      </c>
      <c r="AZ385" s="76"/>
      <c r="BA385" s="142"/>
      <c r="BB385" s="142"/>
      <c r="BC385" s="77">
        <f t="shared" si="148"/>
        <v>0</v>
      </c>
      <c r="BD385" s="78"/>
      <c r="BE385" s="142"/>
      <c r="BF385" s="142"/>
      <c r="BG385" s="79">
        <f t="shared" si="149"/>
        <v>0</v>
      </c>
      <c r="BH385" s="75"/>
      <c r="BI385" s="76"/>
      <c r="BJ385" s="135"/>
      <c r="BK385" s="135"/>
      <c r="BL385" s="77">
        <f t="shared" si="150"/>
        <v>0</v>
      </c>
      <c r="BM385" s="78"/>
      <c r="BN385" s="142"/>
      <c r="BO385" s="142"/>
      <c r="BP385" s="77">
        <f t="shared" si="151"/>
        <v>0</v>
      </c>
      <c r="BQ385" s="78"/>
      <c r="BR385" s="142"/>
      <c r="BS385" s="142"/>
      <c r="BT385" s="79">
        <f t="shared" si="152"/>
        <v>0</v>
      </c>
      <c r="BU385" s="75"/>
      <c r="BV385" s="76"/>
      <c r="BW385" s="135"/>
      <c r="BX385" s="135"/>
      <c r="BY385" s="77">
        <f t="shared" si="153"/>
        <v>0</v>
      </c>
      <c r="BZ385" s="78"/>
      <c r="CA385" s="142"/>
      <c r="CB385" s="142"/>
      <c r="CC385" s="77">
        <f t="shared" si="154"/>
        <v>0</v>
      </c>
      <c r="CD385" s="78"/>
      <c r="CE385" s="142"/>
      <c r="CF385" s="142"/>
      <c r="CG385" s="79">
        <f t="shared" si="155"/>
        <v>0</v>
      </c>
      <c r="CH385" s="75"/>
      <c r="CI385" s="76"/>
      <c r="CJ385" s="86"/>
      <c r="CK385" s="86"/>
      <c r="CL385" s="77">
        <f t="shared" si="156"/>
        <v>0</v>
      </c>
      <c r="CM385" s="78"/>
      <c r="CN385" s="85"/>
      <c r="CO385" s="85"/>
      <c r="CP385" s="77">
        <f t="shared" si="157"/>
        <v>0</v>
      </c>
      <c r="CQ385" s="78"/>
      <c r="CR385" s="85"/>
      <c r="CS385" s="85"/>
      <c r="CT385" s="79">
        <f t="shared" si="158"/>
        <v>0</v>
      </c>
      <c r="CU385" s="80">
        <f t="shared" si="168"/>
        <v>0</v>
      </c>
      <c r="CV385" s="81">
        <f t="shared" si="169"/>
        <v>0</v>
      </c>
      <c r="CW385" s="144"/>
      <c r="CX385" s="145">
        <f>IF(ISERROR(VLOOKUP($A385,FIJOS!$B$11:$O$590,14,FALSE)),0,VLOOKUP($A385,FIJOS!$B$11:$O$590,14,FALSE))</f>
        <v>0</v>
      </c>
      <c r="CY385" s="145">
        <f>IF(ISERROR(VLOOKUP(A385,FIJOS!$B$10:$P$590,15,FALSE)),0,VLOOKUP(A385,FIJOS!$B$10:$P$590,15,FALSE))</f>
        <v>0</v>
      </c>
      <c r="CZ385" s="155"/>
      <c r="DA385" s="147"/>
      <c r="DB385" s="147"/>
      <c r="DC385" s="147"/>
      <c r="DD385" s="147"/>
      <c r="DE385" s="147"/>
      <c r="DF385" s="145">
        <f>IF(ISERROR(VLOOKUP($A385,FIJOS!$B$11:$N$590,13,FALSE)),0,VLOOKUP($A385,FIJOS!$B$11:$N$590,13,FALSE))</f>
        <v>0</v>
      </c>
      <c r="DG385" s="145">
        <f>IF(ISERROR(VLOOKUP($A385,FIJOS!$B$11:$P$447,12,FALSE)),0,VLOOKUP($A385,FIJOS!$B$11:$P$447,12,FALSE))</f>
        <v>0</v>
      </c>
      <c r="DH385" s="82">
        <f t="shared" si="234"/>
        <v>0</v>
      </c>
      <c r="DI385" s="83" t="b">
        <f>IF($C385=1,(VLOOKUP($A385,FIJOS!$B$11:$P$545,10,FALSE)/7)*(7-$CU385),IF(AND($C385=2,CV385&lt;$DJ$1),(VLOOKUP($D385,HORAS!$B$4:$C$42,2,FALSE)*24)*$CV385,IF(AND($C385=2,CV385&gt;=$DJ$1),VLOOKUP($D385,HORAS!$B$4:$D$42,3,FALSE),IF(AND($C385=3,$CV385&gt;=$DJ$1),VLOOKUP($A385,FIJOS!$B$11:$P$545,10,FALSE),IF(AND($C385=3,$CV385&lt;$DJ$1),((VLOOKUP($A385,FIJOS!$B$11:$P$545,10,FALSE)/48)*24)*$CV385,IF(AND($C385=4,$CV385&gt;=(42/24)),VLOOKUP($D385,HORAS!$B$4:$D$42,3,FALSE),IF(AND($C385=5,$CV385&gt;=(36/24)),VLOOKUP($D385,HORAS!$B$4:$D$42,3,FALSE))))))))</f>
        <v>0</v>
      </c>
      <c r="DJ385" s="145">
        <f>IF(OR($C385=2),VLOOKUP($D385,HORAS!$B$4:$E$42,4,FALSE)*$EC385,IF(ISERROR(VLOOKUP($A385,FIJOS!$B$11:$P$108,9,FALSE)),0,VLOOKUP($A385,FIJOS!$B$11:$P$231,9,FALSE)*$EC385))</f>
        <v>0</v>
      </c>
      <c r="DK385" s="145">
        <f>IF(OR($C385=2),VLOOKUP($D385,HORAS!$B$4:$F$42,5,FALSE)*$EE385,IF(ISERROR(VLOOKUP($A385,FIJOS!$B$11:$P$108,9,FALSE)),0,VLOOKUP($A385,FIJOS!$B$11:$P$231,9,FALSE)*$EE385))</f>
        <v>0</v>
      </c>
      <c r="DL385" s="144"/>
      <c r="DM385" s="145">
        <f>IF(ISERROR(VLOOKUP($A385,FIJOS!$B$11:$L$646,11,FALSE)),0,VLOOKUP($A385,FIJOS!$B$11:$L$646,11,FALSE))</f>
        <v>0</v>
      </c>
      <c r="DN385" s="148" t="e">
        <f>IF(OR($C385=1,$C385=3),0,IF((VLOOKUP(CAPTURA!D385,HORAS!$B$4:$K$42,10,FALSE)/4)*COUNTIF($H385:$CT385,3)&gt;100,100,(VLOOKUP(CAPTURA!D385,HORAS!$B$4:$K$42,10,FALSE)/4)*COUNTIF($H385:$CT385,3)))</f>
        <v>#N/A</v>
      </c>
      <c r="DO385" s="144" t="e">
        <f>IF(OR($C385=1,$C385=3),0,IF($C385=5,VLOOKUP(D385,HORAS!$B$4:$G$42,6,FALSE),IF(AND($C385=4,$CV385&gt;=(42/24)),VLOOKUP(D385,HORAS!$B$4:$G$42,6,FALSE),IF(COUNTIF($H385:$CL385,"F")&gt;0,0,IF(CV385&gt;$DJ$1,$DJ$1*(VLOOKUP(D385,HORAS!$B$4:$G$42,6,FALSE)/$DJ$1),CV385*(VLOOKUP(D385,HORAS!$B$4:$G$42,6,FALSE)/$DJ$1))))))</f>
        <v>#N/A</v>
      </c>
      <c r="DP385" s="156"/>
      <c r="DQ385" s="148"/>
      <c r="DR385" s="148"/>
      <c r="DS385" s="83" t="e">
        <f t="shared" si="162"/>
        <v>#N/A</v>
      </c>
      <c r="DT385" s="84"/>
      <c r="DU385" s="149" t="e">
        <f t="shared" si="235"/>
        <v>#N/A</v>
      </c>
      <c r="DV385" s="149" t="e">
        <f t="shared" si="236"/>
        <v>#N/A</v>
      </c>
      <c r="DW385" s="144" t="e">
        <f t="shared" si="237"/>
        <v>#N/A</v>
      </c>
      <c r="DX385" s="168"/>
      <c r="DY385" s="29"/>
      <c r="DZ385" s="150"/>
      <c r="EA385" s="134"/>
      <c r="EB385" s="137">
        <f t="shared" si="238"/>
        <v>0</v>
      </c>
      <c r="EC385" s="138">
        <f t="shared" si="239"/>
        <v>0</v>
      </c>
      <c r="ED385" s="137">
        <f t="shared" si="240"/>
        <v>0</v>
      </c>
      <c r="EE385" s="132">
        <f t="shared" si="241"/>
        <v>0</v>
      </c>
      <c r="EF385" s="29"/>
      <c r="EG385" s="134"/>
      <c r="EH385" s="134"/>
      <c r="EI385" s="134"/>
      <c r="EK385" s="29"/>
    </row>
    <row r="386" spans="1:141" ht="15" customHeight="1" x14ac:dyDescent="0.25">
      <c r="A386" s="87"/>
      <c r="B386" s="5"/>
      <c r="C386" s="72"/>
      <c r="D386" s="73"/>
      <c r="E386" s="73"/>
      <c r="F386" s="141"/>
      <c r="G386" s="74"/>
      <c r="H386" s="75"/>
      <c r="I386" s="76"/>
      <c r="J386" s="135"/>
      <c r="K386" s="135"/>
      <c r="L386" s="77">
        <f t="shared" si="138"/>
        <v>0</v>
      </c>
      <c r="M386" s="78"/>
      <c r="N386" s="142"/>
      <c r="O386" s="142"/>
      <c r="P386" s="77">
        <f t="shared" si="139"/>
        <v>0</v>
      </c>
      <c r="Q386" s="78"/>
      <c r="R386" s="143"/>
      <c r="S386" s="143"/>
      <c r="T386" s="77">
        <f t="shared" si="140"/>
        <v>0</v>
      </c>
      <c r="U386" s="75"/>
      <c r="V386" s="76"/>
      <c r="W386" s="135"/>
      <c r="X386" s="135"/>
      <c r="Y386" s="77">
        <f t="shared" si="141"/>
        <v>0</v>
      </c>
      <c r="Z386" s="78"/>
      <c r="AA386" s="142"/>
      <c r="AB386" s="142"/>
      <c r="AC386" s="77">
        <f t="shared" si="142"/>
        <v>0</v>
      </c>
      <c r="AD386" s="78"/>
      <c r="AE386" s="143"/>
      <c r="AF386" s="143"/>
      <c r="AG386" s="79">
        <f t="shared" si="143"/>
        <v>0</v>
      </c>
      <c r="AH386" s="75"/>
      <c r="AI386" s="76"/>
      <c r="AJ386" s="135"/>
      <c r="AK386" s="135"/>
      <c r="AL386" s="77">
        <f t="shared" si="144"/>
        <v>0</v>
      </c>
      <c r="AM386" s="76"/>
      <c r="AN386" s="142"/>
      <c r="AO386" s="142"/>
      <c r="AP386" s="77">
        <f t="shared" si="145"/>
        <v>0</v>
      </c>
      <c r="AQ386" s="78"/>
      <c r="AR386" s="142"/>
      <c r="AS386" s="142"/>
      <c r="AT386" s="79">
        <f t="shared" si="146"/>
        <v>0</v>
      </c>
      <c r="AU386" s="75"/>
      <c r="AV386" s="76"/>
      <c r="AW386" s="135"/>
      <c r="AX386" s="135"/>
      <c r="AY386" s="77">
        <f t="shared" si="147"/>
        <v>0</v>
      </c>
      <c r="AZ386" s="76"/>
      <c r="BA386" s="142"/>
      <c r="BB386" s="142"/>
      <c r="BC386" s="77">
        <f t="shared" si="148"/>
        <v>0</v>
      </c>
      <c r="BD386" s="78"/>
      <c r="BE386" s="142"/>
      <c r="BF386" s="142"/>
      <c r="BG386" s="79">
        <f t="shared" si="149"/>
        <v>0</v>
      </c>
      <c r="BH386" s="75"/>
      <c r="BI386" s="76"/>
      <c r="BJ386" s="135"/>
      <c r="BK386" s="135"/>
      <c r="BL386" s="77">
        <f t="shared" si="150"/>
        <v>0</v>
      </c>
      <c r="BM386" s="78"/>
      <c r="BN386" s="142"/>
      <c r="BO386" s="142"/>
      <c r="BP386" s="77">
        <f t="shared" si="151"/>
        <v>0</v>
      </c>
      <c r="BQ386" s="78"/>
      <c r="BR386" s="142"/>
      <c r="BS386" s="142"/>
      <c r="BT386" s="79">
        <f t="shared" si="152"/>
        <v>0</v>
      </c>
      <c r="BU386" s="75"/>
      <c r="BV386" s="76"/>
      <c r="BW386" s="135"/>
      <c r="BX386" s="135"/>
      <c r="BY386" s="77">
        <f t="shared" si="153"/>
        <v>0</v>
      </c>
      <c r="BZ386" s="78"/>
      <c r="CA386" s="142"/>
      <c r="CB386" s="142"/>
      <c r="CC386" s="77">
        <f t="shared" si="154"/>
        <v>0</v>
      </c>
      <c r="CD386" s="78"/>
      <c r="CE386" s="142"/>
      <c r="CF386" s="142"/>
      <c r="CG386" s="79">
        <f t="shared" si="155"/>
        <v>0</v>
      </c>
      <c r="CH386" s="75"/>
      <c r="CI386" s="76"/>
      <c r="CJ386" s="86"/>
      <c r="CK386" s="86"/>
      <c r="CL386" s="77">
        <f t="shared" si="156"/>
        <v>0</v>
      </c>
      <c r="CM386" s="78"/>
      <c r="CN386" s="85"/>
      <c r="CO386" s="85"/>
      <c r="CP386" s="77">
        <f t="shared" si="157"/>
        <v>0</v>
      </c>
      <c r="CQ386" s="78"/>
      <c r="CR386" s="85"/>
      <c r="CS386" s="85"/>
      <c r="CT386" s="79">
        <f t="shared" si="158"/>
        <v>0</v>
      </c>
      <c r="CU386" s="80">
        <f t="shared" si="168"/>
        <v>0</v>
      </c>
      <c r="CV386" s="81">
        <f t="shared" si="169"/>
        <v>0</v>
      </c>
      <c r="CW386" s="144"/>
      <c r="CX386" s="145">
        <f>IF(ISERROR(VLOOKUP($A386,FIJOS!$B$11:$O$590,14,FALSE)),0,VLOOKUP($A386,FIJOS!$B$11:$O$590,14,FALSE))</f>
        <v>0</v>
      </c>
      <c r="CY386" s="145">
        <f>IF(ISERROR(VLOOKUP(A386,FIJOS!$B$10:$P$590,15,FALSE)),0,VLOOKUP(A386,FIJOS!$B$10:$P$590,15,FALSE))</f>
        <v>0</v>
      </c>
      <c r="CZ386" s="155"/>
      <c r="DA386" s="147"/>
      <c r="DB386" s="147"/>
      <c r="DC386" s="147"/>
      <c r="DD386" s="147"/>
      <c r="DE386" s="147"/>
      <c r="DF386" s="145">
        <f>IF(ISERROR(VLOOKUP($A386,FIJOS!$B$11:$N$590,13,FALSE)),0,VLOOKUP($A386,FIJOS!$B$11:$N$590,13,FALSE))</f>
        <v>0</v>
      </c>
      <c r="DG386" s="145">
        <f>IF(ISERROR(VLOOKUP($A386,FIJOS!$B$11:$P$447,12,FALSE)),0,VLOOKUP($A386,FIJOS!$B$11:$P$447,12,FALSE))</f>
        <v>0</v>
      </c>
      <c r="DH386" s="82">
        <f t="shared" si="234"/>
        <v>0</v>
      </c>
      <c r="DI386" s="83" t="b">
        <f>IF($C386=1,(VLOOKUP($A386,FIJOS!$B$11:$P$545,10,FALSE)/7)*(7-$CU386),IF(AND($C386=2,CV386&lt;$DJ$1),(VLOOKUP($D386,HORAS!$B$4:$C$42,2,FALSE)*24)*$CV386,IF(AND($C386=2,CV386&gt;=$DJ$1),VLOOKUP($D386,HORAS!$B$4:$D$42,3,FALSE),IF(AND($C386=3,$CV386&gt;=$DJ$1),VLOOKUP($A386,FIJOS!$B$11:$P$545,10,FALSE),IF(AND($C386=3,$CV386&lt;$DJ$1),((VLOOKUP($A386,FIJOS!$B$11:$P$545,10,FALSE)/48)*24)*$CV386,IF(AND($C386=4,$CV386&gt;=(42/24)),VLOOKUP($D386,HORAS!$B$4:$D$42,3,FALSE),IF(AND($C386=5,$CV386&gt;=(36/24)),VLOOKUP($D386,HORAS!$B$4:$D$42,3,FALSE))))))))</f>
        <v>0</v>
      </c>
      <c r="DJ386" s="145">
        <f>IF(OR($C386=2),VLOOKUP($D386,HORAS!$B$4:$E$42,4,FALSE)*$EC386,IF(ISERROR(VLOOKUP($A386,FIJOS!$B$11:$P$108,9,FALSE)),0,VLOOKUP($A386,FIJOS!$B$11:$P$231,9,FALSE)*$EC386))</f>
        <v>0</v>
      </c>
      <c r="DK386" s="145">
        <f>IF(OR($C386=2),VLOOKUP($D386,HORAS!$B$4:$F$42,5,FALSE)*$EE386,IF(ISERROR(VLOOKUP($A386,FIJOS!$B$11:$P$108,9,FALSE)),0,VLOOKUP($A386,FIJOS!$B$11:$P$231,9,FALSE)*$EE386))</f>
        <v>0</v>
      </c>
      <c r="DL386" s="144"/>
      <c r="DM386" s="145">
        <f>IF(ISERROR(VLOOKUP($A386,FIJOS!$B$11:$L$646,11,FALSE)),0,VLOOKUP($A386,FIJOS!$B$11:$L$646,11,FALSE))</f>
        <v>0</v>
      </c>
      <c r="DN386" s="148" t="e">
        <f>IF(OR($C386=1,$C386=3),0,IF((VLOOKUP(CAPTURA!D386,HORAS!$B$4:$K$42,10,FALSE)/4)*COUNTIF($H386:$CT386,3)&gt;100,100,(VLOOKUP(CAPTURA!D386,HORAS!$B$4:$K$42,10,FALSE)/4)*COUNTIF($H386:$CT386,3)))</f>
        <v>#N/A</v>
      </c>
      <c r="DO386" s="144" t="e">
        <f>IF(OR($C386=1,$C386=3),0,IF($C386=5,VLOOKUP(D386,HORAS!$B$4:$G$42,6,FALSE),IF(AND($C386=4,$CV386&gt;=(42/24)),VLOOKUP(D386,HORAS!$B$4:$G$42,6,FALSE),IF(COUNTIF($H386:$CL386,"F")&gt;0,0,IF(CV386&gt;$DJ$1,$DJ$1*(VLOOKUP(D386,HORAS!$B$4:$G$42,6,FALSE)/$DJ$1),CV386*(VLOOKUP(D386,HORAS!$B$4:$G$42,6,FALSE)/$DJ$1))))))</f>
        <v>#N/A</v>
      </c>
      <c r="DP386" s="156"/>
      <c r="DQ386" s="148"/>
      <c r="DR386" s="148"/>
      <c r="DS386" s="83" t="e">
        <f t="shared" si="162"/>
        <v>#N/A</v>
      </c>
      <c r="DT386" s="84"/>
      <c r="DU386" s="149" t="e">
        <f t="shared" si="235"/>
        <v>#N/A</v>
      </c>
      <c r="DV386" s="149" t="e">
        <f t="shared" si="236"/>
        <v>#N/A</v>
      </c>
      <c r="DW386" s="144" t="e">
        <f t="shared" si="237"/>
        <v>#N/A</v>
      </c>
      <c r="DX386" s="168"/>
      <c r="DY386" s="29"/>
      <c r="DZ386" s="150"/>
      <c r="EA386" s="134"/>
      <c r="EB386" s="137">
        <f t="shared" si="238"/>
        <v>0</v>
      </c>
      <c r="EC386" s="138">
        <f t="shared" si="239"/>
        <v>0</v>
      </c>
      <c r="ED386" s="137">
        <f t="shared" si="240"/>
        <v>0</v>
      </c>
      <c r="EE386" s="132">
        <f t="shared" si="241"/>
        <v>0</v>
      </c>
      <c r="EF386" s="29"/>
      <c r="EG386" s="134"/>
      <c r="EH386" s="134"/>
      <c r="EI386" s="134"/>
      <c r="EK386" s="29"/>
    </row>
    <row r="387" spans="1:141" ht="15" customHeight="1" x14ac:dyDescent="0.25">
      <c r="A387" s="87"/>
      <c r="B387" s="5"/>
      <c r="C387" s="72"/>
      <c r="D387" s="73"/>
      <c r="E387" s="73"/>
      <c r="F387" s="141"/>
      <c r="G387" s="74"/>
      <c r="H387" s="75"/>
      <c r="I387" s="76"/>
      <c r="J387" s="135"/>
      <c r="K387" s="135"/>
      <c r="L387" s="77">
        <f t="shared" si="138"/>
        <v>0</v>
      </c>
      <c r="M387" s="78"/>
      <c r="N387" s="142"/>
      <c r="O387" s="142"/>
      <c r="P387" s="77">
        <f t="shared" si="139"/>
        <v>0</v>
      </c>
      <c r="Q387" s="78"/>
      <c r="R387" s="143"/>
      <c r="S387" s="143"/>
      <c r="T387" s="77">
        <f t="shared" si="140"/>
        <v>0</v>
      </c>
      <c r="U387" s="75"/>
      <c r="V387" s="76"/>
      <c r="W387" s="135"/>
      <c r="X387" s="135"/>
      <c r="Y387" s="77">
        <f t="shared" si="141"/>
        <v>0</v>
      </c>
      <c r="Z387" s="78"/>
      <c r="AA387" s="142"/>
      <c r="AB387" s="142"/>
      <c r="AC387" s="77">
        <f t="shared" si="142"/>
        <v>0</v>
      </c>
      <c r="AD387" s="78"/>
      <c r="AE387" s="143"/>
      <c r="AF387" s="143"/>
      <c r="AG387" s="79">
        <f t="shared" si="143"/>
        <v>0</v>
      </c>
      <c r="AH387" s="75"/>
      <c r="AI387" s="76"/>
      <c r="AJ387" s="135"/>
      <c r="AK387" s="135"/>
      <c r="AL387" s="77">
        <f t="shared" si="144"/>
        <v>0</v>
      </c>
      <c r="AM387" s="76"/>
      <c r="AN387" s="142"/>
      <c r="AO387" s="142"/>
      <c r="AP387" s="77">
        <f t="shared" si="145"/>
        <v>0</v>
      </c>
      <c r="AQ387" s="78"/>
      <c r="AR387" s="142"/>
      <c r="AS387" s="142"/>
      <c r="AT387" s="79">
        <f t="shared" si="146"/>
        <v>0</v>
      </c>
      <c r="AU387" s="75"/>
      <c r="AV387" s="76"/>
      <c r="AW387" s="135"/>
      <c r="AX387" s="135"/>
      <c r="AY387" s="77">
        <f t="shared" si="147"/>
        <v>0</v>
      </c>
      <c r="AZ387" s="76"/>
      <c r="BA387" s="142"/>
      <c r="BB387" s="142"/>
      <c r="BC387" s="77">
        <f t="shared" si="148"/>
        <v>0</v>
      </c>
      <c r="BD387" s="78"/>
      <c r="BE387" s="142"/>
      <c r="BF387" s="142"/>
      <c r="BG387" s="79">
        <f t="shared" si="149"/>
        <v>0</v>
      </c>
      <c r="BH387" s="75"/>
      <c r="BI387" s="76"/>
      <c r="BJ387" s="135"/>
      <c r="BK387" s="135"/>
      <c r="BL387" s="77">
        <f t="shared" si="150"/>
        <v>0</v>
      </c>
      <c r="BM387" s="78"/>
      <c r="BN387" s="142"/>
      <c r="BO387" s="142"/>
      <c r="BP387" s="77">
        <f t="shared" si="151"/>
        <v>0</v>
      </c>
      <c r="BQ387" s="78"/>
      <c r="BR387" s="142"/>
      <c r="BS387" s="142"/>
      <c r="BT387" s="79">
        <f t="shared" si="152"/>
        <v>0</v>
      </c>
      <c r="BU387" s="75"/>
      <c r="BV387" s="76"/>
      <c r="BW387" s="135"/>
      <c r="BX387" s="135"/>
      <c r="BY387" s="77">
        <f t="shared" si="153"/>
        <v>0</v>
      </c>
      <c r="BZ387" s="78"/>
      <c r="CA387" s="142"/>
      <c r="CB387" s="142"/>
      <c r="CC387" s="77">
        <f t="shared" si="154"/>
        <v>0</v>
      </c>
      <c r="CD387" s="78"/>
      <c r="CE387" s="142"/>
      <c r="CF387" s="142"/>
      <c r="CG387" s="79">
        <f t="shared" si="155"/>
        <v>0</v>
      </c>
      <c r="CH387" s="75"/>
      <c r="CI387" s="76"/>
      <c r="CJ387" s="86"/>
      <c r="CK387" s="86"/>
      <c r="CL387" s="77">
        <f t="shared" si="156"/>
        <v>0</v>
      </c>
      <c r="CM387" s="78"/>
      <c r="CN387" s="85"/>
      <c r="CO387" s="85"/>
      <c r="CP387" s="77">
        <f t="shared" si="157"/>
        <v>0</v>
      </c>
      <c r="CQ387" s="78"/>
      <c r="CR387" s="85"/>
      <c r="CS387" s="85"/>
      <c r="CT387" s="79">
        <f t="shared" si="158"/>
        <v>0</v>
      </c>
      <c r="CU387" s="80">
        <f t="shared" si="168"/>
        <v>0</v>
      </c>
      <c r="CV387" s="81">
        <f t="shared" si="169"/>
        <v>0</v>
      </c>
      <c r="CW387" s="144"/>
      <c r="CX387" s="145">
        <f>IF(ISERROR(VLOOKUP($A387,FIJOS!$B$11:$O$590,14,FALSE)),0,VLOOKUP($A387,FIJOS!$B$11:$O$590,14,FALSE))</f>
        <v>0</v>
      </c>
      <c r="CY387" s="145">
        <f>IF(ISERROR(VLOOKUP(A387,FIJOS!$B$10:$P$590,15,FALSE)),0,VLOOKUP(A387,FIJOS!$B$10:$P$590,15,FALSE))</f>
        <v>0</v>
      </c>
      <c r="CZ387" s="155"/>
      <c r="DA387" s="147"/>
      <c r="DB387" s="147"/>
      <c r="DC387" s="147"/>
      <c r="DD387" s="147"/>
      <c r="DE387" s="147"/>
      <c r="DF387" s="145">
        <f>IF(ISERROR(VLOOKUP($A387,FIJOS!$B$11:$N$590,13,FALSE)),0,VLOOKUP($A387,FIJOS!$B$11:$N$590,13,FALSE))</f>
        <v>0</v>
      </c>
      <c r="DG387" s="145">
        <f>IF(ISERROR(VLOOKUP($A387,FIJOS!$B$11:$P$447,12,FALSE)),0,VLOOKUP($A387,FIJOS!$B$11:$P$447,12,FALSE))</f>
        <v>0</v>
      </c>
      <c r="DH387" s="82">
        <f t="shared" si="234"/>
        <v>0</v>
      </c>
      <c r="DI387" s="83" t="b">
        <f>IF($C387=1,(VLOOKUP($A387,FIJOS!$B$11:$P$545,10,FALSE)/7)*(7-$CU387),IF(AND($C387=2,CV387&lt;$DJ$1),(VLOOKUP($D387,HORAS!$B$4:$C$42,2,FALSE)*24)*$CV387,IF(AND($C387=2,CV387&gt;=$DJ$1),VLOOKUP($D387,HORAS!$B$4:$D$42,3,FALSE),IF(AND($C387=3,$CV387&gt;=$DJ$1),VLOOKUP($A387,FIJOS!$B$11:$P$545,10,FALSE),IF(AND($C387=3,$CV387&lt;$DJ$1),((VLOOKUP($A387,FIJOS!$B$11:$P$545,10,FALSE)/48)*24)*$CV387,IF(AND($C387=4,$CV387&gt;=(42/24)),VLOOKUP($D387,HORAS!$B$4:$D$42,3,FALSE),IF(AND($C387=5,$CV387&gt;=(36/24)),VLOOKUP($D387,HORAS!$B$4:$D$42,3,FALSE))))))))</f>
        <v>0</v>
      </c>
      <c r="DJ387" s="145">
        <f>IF(OR($C387=2),VLOOKUP($D387,HORAS!$B$4:$E$42,4,FALSE)*$EC387,IF(ISERROR(VLOOKUP($A387,FIJOS!$B$11:$P$108,9,FALSE)),0,VLOOKUP($A387,FIJOS!$B$11:$P$231,9,FALSE)*$EC387))</f>
        <v>0</v>
      </c>
      <c r="DK387" s="145">
        <f>IF(OR($C387=2),VLOOKUP($D387,HORAS!$B$4:$F$42,5,FALSE)*$EE387,IF(ISERROR(VLOOKUP($A387,FIJOS!$B$11:$P$108,9,FALSE)),0,VLOOKUP($A387,FIJOS!$B$11:$P$231,9,FALSE)*$EE387))</f>
        <v>0</v>
      </c>
      <c r="DL387" s="144"/>
      <c r="DM387" s="145">
        <f>IF(ISERROR(VLOOKUP($A387,FIJOS!$B$11:$L$646,11,FALSE)),0,VLOOKUP($A387,FIJOS!$B$11:$L$646,11,FALSE))</f>
        <v>0</v>
      </c>
      <c r="DN387" s="148" t="e">
        <f>IF(OR($C387=1,$C387=3),0,IF((VLOOKUP(CAPTURA!D387,HORAS!$B$4:$K$42,10,FALSE)/4)*COUNTIF($H387:$CT387,3)&gt;100,100,(VLOOKUP(CAPTURA!D387,HORAS!$B$4:$K$42,10,FALSE)/4)*COUNTIF($H387:$CT387,3)))</f>
        <v>#N/A</v>
      </c>
      <c r="DO387" s="144" t="e">
        <f>IF(OR($C387=1,$C387=3),0,IF($C387=5,VLOOKUP(D387,HORAS!$B$4:$G$42,6,FALSE),IF(AND($C387=4,$CV387&gt;=(42/24)),VLOOKUP(D387,HORAS!$B$4:$G$42,6,FALSE),IF(COUNTIF($H387:$CL387,"F")&gt;0,0,IF(CV387&gt;$DJ$1,$DJ$1*(VLOOKUP(D387,HORAS!$B$4:$G$42,6,FALSE)/$DJ$1),CV387*(VLOOKUP(D387,HORAS!$B$4:$G$42,6,FALSE)/$DJ$1))))))</f>
        <v>#N/A</v>
      </c>
      <c r="DP387" s="156"/>
      <c r="DQ387" s="148"/>
      <c r="DR387" s="148"/>
      <c r="DS387" s="83" t="e">
        <f t="shared" si="162"/>
        <v>#N/A</v>
      </c>
      <c r="DT387" s="84"/>
      <c r="DU387" s="149" t="e">
        <f t="shared" si="235"/>
        <v>#N/A</v>
      </c>
      <c r="DV387" s="149" t="e">
        <f t="shared" si="236"/>
        <v>#N/A</v>
      </c>
      <c r="DW387" s="144" t="e">
        <f t="shared" si="237"/>
        <v>#N/A</v>
      </c>
      <c r="DX387" s="168"/>
      <c r="DY387" s="29"/>
      <c r="DZ387" s="150"/>
      <c r="EA387" s="134"/>
      <c r="EB387" s="137">
        <f t="shared" si="238"/>
        <v>0</v>
      </c>
      <c r="EC387" s="138">
        <f t="shared" si="239"/>
        <v>0</v>
      </c>
      <c r="ED387" s="137">
        <f t="shared" si="240"/>
        <v>0</v>
      </c>
      <c r="EE387" s="132">
        <f t="shared" si="241"/>
        <v>0</v>
      </c>
      <c r="EF387" s="29"/>
      <c r="EG387" s="134"/>
      <c r="EH387" s="134"/>
      <c r="EI387" s="134"/>
      <c r="EK387" s="29"/>
    </row>
    <row r="388" spans="1:141" ht="15" customHeight="1" x14ac:dyDescent="0.25">
      <c r="A388" s="87"/>
      <c r="B388" s="5"/>
      <c r="C388" s="72"/>
      <c r="D388" s="73"/>
      <c r="E388" s="73"/>
      <c r="F388" s="141"/>
      <c r="G388" s="74"/>
      <c r="H388" s="75"/>
      <c r="I388" s="76"/>
      <c r="J388" s="135"/>
      <c r="K388" s="135"/>
      <c r="L388" s="77">
        <f t="shared" si="138"/>
        <v>0</v>
      </c>
      <c r="M388" s="78"/>
      <c r="N388" s="142"/>
      <c r="O388" s="142"/>
      <c r="P388" s="77">
        <f t="shared" si="139"/>
        <v>0</v>
      </c>
      <c r="Q388" s="78"/>
      <c r="R388" s="143"/>
      <c r="S388" s="143"/>
      <c r="T388" s="77">
        <f t="shared" si="140"/>
        <v>0</v>
      </c>
      <c r="U388" s="75"/>
      <c r="V388" s="76"/>
      <c r="W388" s="135"/>
      <c r="X388" s="135"/>
      <c r="Y388" s="77">
        <f t="shared" si="141"/>
        <v>0</v>
      </c>
      <c r="Z388" s="78"/>
      <c r="AA388" s="142"/>
      <c r="AB388" s="142"/>
      <c r="AC388" s="77">
        <f t="shared" si="142"/>
        <v>0</v>
      </c>
      <c r="AD388" s="78"/>
      <c r="AE388" s="143"/>
      <c r="AF388" s="143"/>
      <c r="AG388" s="79">
        <f t="shared" si="143"/>
        <v>0</v>
      </c>
      <c r="AH388" s="75"/>
      <c r="AI388" s="76"/>
      <c r="AJ388" s="135"/>
      <c r="AK388" s="135"/>
      <c r="AL388" s="77">
        <f t="shared" si="144"/>
        <v>0</v>
      </c>
      <c r="AM388" s="76"/>
      <c r="AN388" s="142"/>
      <c r="AO388" s="142"/>
      <c r="AP388" s="77">
        <f t="shared" si="145"/>
        <v>0</v>
      </c>
      <c r="AQ388" s="78"/>
      <c r="AR388" s="142"/>
      <c r="AS388" s="142"/>
      <c r="AT388" s="79">
        <f t="shared" si="146"/>
        <v>0</v>
      </c>
      <c r="AU388" s="75"/>
      <c r="AV388" s="76"/>
      <c r="AW388" s="135"/>
      <c r="AX388" s="135"/>
      <c r="AY388" s="77">
        <f t="shared" si="147"/>
        <v>0</v>
      </c>
      <c r="AZ388" s="76"/>
      <c r="BA388" s="142"/>
      <c r="BB388" s="142"/>
      <c r="BC388" s="77">
        <f t="shared" si="148"/>
        <v>0</v>
      </c>
      <c r="BD388" s="78"/>
      <c r="BE388" s="142"/>
      <c r="BF388" s="142"/>
      <c r="BG388" s="79">
        <f t="shared" si="149"/>
        <v>0</v>
      </c>
      <c r="BH388" s="75"/>
      <c r="BI388" s="76"/>
      <c r="BJ388" s="135"/>
      <c r="BK388" s="135"/>
      <c r="BL388" s="77">
        <f t="shared" si="150"/>
        <v>0</v>
      </c>
      <c r="BM388" s="78"/>
      <c r="BN388" s="142"/>
      <c r="BO388" s="142"/>
      <c r="BP388" s="77">
        <f t="shared" si="151"/>
        <v>0</v>
      </c>
      <c r="BQ388" s="78"/>
      <c r="BR388" s="142"/>
      <c r="BS388" s="142"/>
      <c r="BT388" s="79">
        <f t="shared" si="152"/>
        <v>0</v>
      </c>
      <c r="BU388" s="75"/>
      <c r="BV388" s="76"/>
      <c r="BW388" s="135"/>
      <c r="BX388" s="135"/>
      <c r="BY388" s="77">
        <f t="shared" si="153"/>
        <v>0</v>
      </c>
      <c r="BZ388" s="78"/>
      <c r="CA388" s="142"/>
      <c r="CB388" s="142"/>
      <c r="CC388" s="77">
        <f t="shared" si="154"/>
        <v>0</v>
      </c>
      <c r="CD388" s="78"/>
      <c r="CE388" s="142"/>
      <c r="CF388" s="142"/>
      <c r="CG388" s="79">
        <f t="shared" si="155"/>
        <v>0</v>
      </c>
      <c r="CH388" s="75"/>
      <c r="CI388" s="76"/>
      <c r="CJ388" s="86"/>
      <c r="CK388" s="86"/>
      <c r="CL388" s="77">
        <f t="shared" si="156"/>
        <v>0</v>
      </c>
      <c r="CM388" s="78"/>
      <c r="CN388" s="85"/>
      <c r="CO388" s="85"/>
      <c r="CP388" s="77">
        <f t="shared" si="157"/>
        <v>0</v>
      </c>
      <c r="CQ388" s="78"/>
      <c r="CR388" s="85"/>
      <c r="CS388" s="85"/>
      <c r="CT388" s="79">
        <f t="shared" si="158"/>
        <v>0</v>
      </c>
      <c r="CU388" s="80">
        <f t="shared" si="168"/>
        <v>0</v>
      </c>
      <c r="CV388" s="81">
        <f t="shared" si="169"/>
        <v>0</v>
      </c>
      <c r="CW388" s="144"/>
      <c r="CX388" s="145">
        <f>IF(ISERROR(VLOOKUP($A388,FIJOS!$B$11:$O$590,14,FALSE)),0,VLOOKUP($A388,FIJOS!$B$11:$O$590,14,FALSE))</f>
        <v>0</v>
      </c>
      <c r="CY388" s="145">
        <f>IF(ISERROR(VLOOKUP(A388,FIJOS!$B$10:$P$590,15,FALSE)),0,VLOOKUP(A388,FIJOS!$B$10:$P$590,15,FALSE))</f>
        <v>0</v>
      </c>
      <c r="CZ388" s="155"/>
      <c r="DA388" s="147"/>
      <c r="DB388" s="147"/>
      <c r="DC388" s="147"/>
      <c r="DD388" s="147"/>
      <c r="DE388" s="147"/>
      <c r="DF388" s="145">
        <f>IF(ISERROR(VLOOKUP($A388,FIJOS!$B$11:$N$590,13,FALSE)),0,VLOOKUP($A388,FIJOS!$B$11:$N$590,13,FALSE))</f>
        <v>0</v>
      </c>
      <c r="DG388" s="145">
        <f>IF(ISERROR(VLOOKUP($A388,FIJOS!$B$11:$P$447,12,FALSE)),0,VLOOKUP($A388,FIJOS!$B$11:$P$447,12,FALSE))</f>
        <v>0</v>
      </c>
      <c r="DH388" s="82">
        <f t="shared" si="234"/>
        <v>0</v>
      </c>
      <c r="DI388" s="83" t="b">
        <f>IF($C388=1,(VLOOKUP($A388,FIJOS!$B$11:$P$545,10,FALSE)/7)*(7-$CU388),IF(AND($C388=2,CV388&lt;$DJ$1),(VLOOKUP($D388,HORAS!$B$4:$C$42,2,FALSE)*24)*$CV388,IF(AND($C388=2,CV388&gt;=$DJ$1),VLOOKUP($D388,HORAS!$B$4:$D$42,3,FALSE),IF(AND($C388=3,$CV388&gt;=$DJ$1),VLOOKUP($A388,FIJOS!$B$11:$P$545,10,FALSE),IF(AND($C388=3,$CV388&lt;$DJ$1),((VLOOKUP($A388,FIJOS!$B$11:$P$545,10,FALSE)/48)*24)*$CV388,IF(AND($C388=4,$CV388&gt;=(42/24)),VLOOKUP($D388,HORAS!$B$4:$D$42,3,FALSE),IF(AND($C388=5,$CV388&gt;=(36/24)),VLOOKUP($D388,HORAS!$B$4:$D$42,3,FALSE))))))))</f>
        <v>0</v>
      </c>
      <c r="DJ388" s="145">
        <f>IF(OR($C388=2),VLOOKUP($D388,HORAS!$B$4:$E$42,4,FALSE)*$EC388,IF(ISERROR(VLOOKUP($A388,FIJOS!$B$11:$P$108,9,FALSE)),0,VLOOKUP($A388,FIJOS!$B$11:$P$231,9,FALSE)*$EC388))</f>
        <v>0</v>
      </c>
      <c r="DK388" s="145">
        <f>IF(OR($C388=2),VLOOKUP($D388,HORAS!$B$4:$F$42,5,FALSE)*$EE388,IF(ISERROR(VLOOKUP($A388,FIJOS!$B$11:$P$108,9,FALSE)),0,VLOOKUP($A388,FIJOS!$B$11:$P$231,9,FALSE)*$EE388))</f>
        <v>0</v>
      </c>
      <c r="DL388" s="144"/>
      <c r="DM388" s="145">
        <f>IF(ISERROR(VLOOKUP($A388,FIJOS!$B$11:$L$646,11,FALSE)),0,VLOOKUP($A388,FIJOS!$B$11:$L$646,11,FALSE))</f>
        <v>0</v>
      </c>
      <c r="DN388" s="148" t="e">
        <f>IF(OR($C388=1,$C388=3),0,IF((VLOOKUP(CAPTURA!D388,HORAS!$B$4:$K$42,10,FALSE)/4)*COUNTIF($H388:$CT388,3)&gt;100,100,(VLOOKUP(CAPTURA!D388,HORAS!$B$4:$K$42,10,FALSE)/4)*COUNTIF($H388:$CT388,3)))</f>
        <v>#N/A</v>
      </c>
      <c r="DO388" s="144" t="e">
        <f>IF(OR($C388=1,$C388=3),0,IF($C388=5,VLOOKUP(D388,HORAS!$B$4:$G$42,6,FALSE),IF(AND($C388=4,$CV388&gt;=(42/24)),VLOOKUP(D388,HORAS!$B$4:$G$42,6,FALSE),IF(COUNTIF($H388:$CL388,"F")&gt;0,0,IF(CV388&gt;$DJ$1,$DJ$1*(VLOOKUP(D388,HORAS!$B$4:$G$42,6,FALSE)/$DJ$1),CV388*(VLOOKUP(D388,HORAS!$B$4:$G$42,6,FALSE)/$DJ$1))))))</f>
        <v>#N/A</v>
      </c>
      <c r="DP388" s="156"/>
      <c r="DQ388" s="148"/>
      <c r="DR388" s="148"/>
      <c r="DS388" s="83" t="e">
        <f t="shared" si="162"/>
        <v>#N/A</v>
      </c>
      <c r="DT388" s="84"/>
      <c r="DU388" s="149" t="e">
        <f t="shared" si="235"/>
        <v>#N/A</v>
      </c>
      <c r="DV388" s="149" t="e">
        <f t="shared" si="236"/>
        <v>#N/A</v>
      </c>
      <c r="DW388" s="144" t="e">
        <f t="shared" si="237"/>
        <v>#N/A</v>
      </c>
      <c r="DX388" s="168"/>
      <c r="DY388" s="29"/>
      <c r="DZ388" s="150"/>
      <c r="EA388" s="134"/>
      <c r="EB388" s="137">
        <f t="shared" si="238"/>
        <v>0</v>
      </c>
      <c r="EC388" s="138">
        <f t="shared" si="239"/>
        <v>0</v>
      </c>
      <c r="ED388" s="137">
        <f t="shared" si="240"/>
        <v>0</v>
      </c>
      <c r="EE388" s="132">
        <f t="shared" si="241"/>
        <v>0</v>
      </c>
      <c r="EF388" s="29"/>
      <c r="EG388" s="134"/>
      <c r="EH388" s="134"/>
      <c r="EI388" s="134"/>
      <c r="EK388" s="29"/>
    </row>
    <row r="389" spans="1:141" ht="15" customHeight="1" x14ac:dyDescent="0.25">
      <c r="A389" s="87"/>
      <c r="B389" s="5"/>
      <c r="C389" s="72"/>
      <c r="D389" s="73"/>
      <c r="E389" s="73"/>
      <c r="F389" s="141"/>
      <c r="G389" s="74"/>
      <c r="H389" s="75"/>
      <c r="I389" s="76"/>
      <c r="J389" s="135"/>
      <c r="K389" s="135"/>
      <c r="L389" s="77">
        <f t="shared" si="138"/>
        <v>0</v>
      </c>
      <c r="M389" s="78"/>
      <c r="N389" s="142"/>
      <c r="O389" s="142"/>
      <c r="P389" s="77">
        <f t="shared" si="139"/>
        <v>0</v>
      </c>
      <c r="Q389" s="78"/>
      <c r="R389" s="143"/>
      <c r="S389" s="143"/>
      <c r="T389" s="77">
        <f t="shared" si="140"/>
        <v>0</v>
      </c>
      <c r="U389" s="75"/>
      <c r="V389" s="76"/>
      <c r="W389" s="135"/>
      <c r="X389" s="135"/>
      <c r="Y389" s="77">
        <f t="shared" si="141"/>
        <v>0</v>
      </c>
      <c r="Z389" s="78"/>
      <c r="AA389" s="142"/>
      <c r="AB389" s="142"/>
      <c r="AC389" s="77">
        <f t="shared" si="142"/>
        <v>0</v>
      </c>
      <c r="AD389" s="78"/>
      <c r="AE389" s="143"/>
      <c r="AF389" s="143"/>
      <c r="AG389" s="79">
        <f t="shared" si="143"/>
        <v>0</v>
      </c>
      <c r="AH389" s="75"/>
      <c r="AI389" s="76"/>
      <c r="AJ389" s="135"/>
      <c r="AK389" s="135"/>
      <c r="AL389" s="77">
        <f t="shared" si="144"/>
        <v>0</v>
      </c>
      <c r="AM389" s="76"/>
      <c r="AN389" s="142"/>
      <c r="AO389" s="142"/>
      <c r="AP389" s="77">
        <f t="shared" si="145"/>
        <v>0</v>
      </c>
      <c r="AQ389" s="78"/>
      <c r="AR389" s="142"/>
      <c r="AS389" s="142"/>
      <c r="AT389" s="79">
        <f t="shared" si="146"/>
        <v>0</v>
      </c>
      <c r="AU389" s="75"/>
      <c r="AV389" s="76"/>
      <c r="AW389" s="135"/>
      <c r="AX389" s="135"/>
      <c r="AY389" s="77">
        <f t="shared" si="147"/>
        <v>0</v>
      </c>
      <c r="AZ389" s="76"/>
      <c r="BA389" s="142"/>
      <c r="BB389" s="142"/>
      <c r="BC389" s="77">
        <f t="shared" si="148"/>
        <v>0</v>
      </c>
      <c r="BD389" s="78"/>
      <c r="BE389" s="142"/>
      <c r="BF389" s="142"/>
      <c r="BG389" s="79">
        <f t="shared" si="149"/>
        <v>0</v>
      </c>
      <c r="BH389" s="75"/>
      <c r="BI389" s="76"/>
      <c r="BJ389" s="135"/>
      <c r="BK389" s="135"/>
      <c r="BL389" s="77">
        <f t="shared" si="150"/>
        <v>0</v>
      </c>
      <c r="BM389" s="78"/>
      <c r="BN389" s="142"/>
      <c r="BO389" s="142"/>
      <c r="BP389" s="77">
        <f t="shared" si="151"/>
        <v>0</v>
      </c>
      <c r="BQ389" s="78"/>
      <c r="BR389" s="142"/>
      <c r="BS389" s="142"/>
      <c r="BT389" s="79">
        <f t="shared" si="152"/>
        <v>0</v>
      </c>
      <c r="BU389" s="75"/>
      <c r="BV389" s="76"/>
      <c r="BW389" s="135"/>
      <c r="BX389" s="135"/>
      <c r="BY389" s="77">
        <f t="shared" si="153"/>
        <v>0</v>
      </c>
      <c r="BZ389" s="78"/>
      <c r="CA389" s="142"/>
      <c r="CB389" s="142"/>
      <c r="CC389" s="77">
        <f t="shared" si="154"/>
        <v>0</v>
      </c>
      <c r="CD389" s="78"/>
      <c r="CE389" s="142"/>
      <c r="CF389" s="142"/>
      <c r="CG389" s="79">
        <f t="shared" si="155"/>
        <v>0</v>
      </c>
      <c r="CH389" s="75"/>
      <c r="CI389" s="76"/>
      <c r="CJ389" s="86"/>
      <c r="CK389" s="86"/>
      <c r="CL389" s="77">
        <f t="shared" si="156"/>
        <v>0</v>
      </c>
      <c r="CM389" s="78"/>
      <c r="CN389" s="85"/>
      <c r="CO389" s="85"/>
      <c r="CP389" s="77">
        <f t="shared" si="157"/>
        <v>0</v>
      </c>
      <c r="CQ389" s="78"/>
      <c r="CR389" s="85"/>
      <c r="CS389" s="85"/>
      <c r="CT389" s="79">
        <f t="shared" si="158"/>
        <v>0</v>
      </c>
      <c r="CU389" s="80">
        <f t="shared" si="168"/>
        <v>0</v>
      </c>
      <c r="CV389" s="81">
        <f t="shared" si="169"/>
        <v>0</v>
      </c>
      <c r="CW389" s="144"/>
      <c r="CX389" s="145">
        <f>IF(ISERROR(VLOOKUP($A389,FIJOS!$B$11:$O$590,14,FALSE)),0,VLOOKUP($A389,FIJOS!$B$11:$O$590,14,FALSE))</f>
        <v>0</v>
      </c>
      <c r="CY389" s="145">
        <f>IF(ISERROR(VLOOKUP(A389,FIJOS!$B$10:$P$590,15,FALSE)),0,VLOOKUP(A389,FIJOS!$B$10:$P$590,15,FALSE))</f>
        <v>0</v>
      </c>
      <c r="CZ389" s="155"/>
      <c r="DA389" s="147"/>
      <c r="DB389" s="147"/>
      <c r="DC389" s="147"/>
      <c r="DD389" s="147"/>
      <c r="DE389" s="147"/>
      <c r="DF389" s="145">
        <f>IF(ISERROR(VLOOKUP($A389,FIJOS!$B$11:$N$590,13,FALSE)),0,VLOOKUP($A389,FIJOS!$B$11:$N$590,13,FALSE))</f>
        <v>0</v>
      </c>
      <c r="DG389" s="145">
        <f>IF(ISERROR(VLOOKUP($A389,FIJOS!$B$11:$P$447,12,FALSE)),0,VLOOKUP($A389,FIJOS!$B$11:$P$447,12,FALSE))</f>
        <v>0</v>
      </c>
      <c r="DH389" s="82">
        <f t="shared" si="234"/>
        <v>0</v>
      </c>
      <c r="DI389" s="83" t="b">
        <f>IF($C389=1,(VLOOKUP($A389,FIJOS!$B$11:$P$545,10,FALSE)/7)*(7-$CU389),IF(AND($C389=2,CV389&lt;$DJ$1),(VLOOKUP($D389,HORAS!$B$4:$C$42,2,FALSE)*24)*$CV389,IF(AND($C389=2,CV389&gt;=$DJ$1),VLOOKUP($D389,HORAS!$B$4:$D$42,3,FALSE),IF(AND($C389=3,$CV389&gt;=$DJ$1),VLOOKUP($A389,FIJOS!$B$11:$P$545,10,FALSE),IF(AND($C389=3,$CV389&lt;$DJ$1),((VLOOKUP($A389,FIJOS!$B$11:$P$545,10,FALSE)/48)*24)*$CV389,IF(AND($C389=4,$CV389&gt;=(42/24)),VLOOKUP($D389,HORAS!$B$4:$D$42,3,FALSE),IF(AND($C389=5,$CV389&gt;=(36/24)),VLOOKUP($D389,HORAS!$B$4:$D$42,3,FALSE))))))))</f>
        <v>0</v>
      </c>
      <c r="DJ389" s="145">
        <f>IF(OR($C389=2),VLOOKUP($D389,HORAS!$B$4:$E$42,4,FALSE)*$EC389,IF(ISERROR(VLOOKUP($A389,FIJOS!$B$11:$P$108,9,FALSE)),0,VLOOKUP($A389,FIJOS!$B$11:$P$231,9,FALSE)*$EC389))</f>
        <v>0</v>
      </c>
      <c r="DK389" s="145">
        <f>IF(OR($C389=2),VLOOKUP($D389,HORAS!$B$4:$F$42,5,FALSE)*$EE389,IF(ISERROR(VLOOKUP($A389,FIJOS!$B$11:$P$108,9,FALSE)),0,VLOOKUP($A389,FIJOS!$B$11:$P$231,9,FALSE)*$EE389))</f>
        <v>0</v>
      </c>
      <c r="DL389" s="144"/>
      <c r="DM389" s="145">
        <f>IF(ISERROR(VLOOKUP($A389,FIJOS!$B$11:$L$646,11,FALSE)),0,VLOOKUP($A389,FIJOS!$B$11:$L$646,11,FALSE))</f>
        <v>0</v>
      </c>
      <c r="DN389" s="148" t="e">
        <f>IF(OR($C389=1,$C389=3),0,IF((VLOOKUP(CAPTURA!D389,HORAS!$B$4:$K$42,10,FALSE)/4)*COUNTIF($H389:$CT389,3)&gt;100,100,(VLOOKUP(CAPTURA!D389,HORAS!$B$4:$K$42,10,FALSE)/4)*COUNTIF($H389:$CT389,3)))</f>
        <v>#N/A</v>
      </c>
      <c r="DO389" s="144" t="e">
        <f>IF(OR($C389=1,$C389=3),0,IF($C389=5,VLOOKUP(D389,HORAS!$B$4:$G$42,6,FALSE),IF(AND($C389=4,$CV389&gt;=(42/24)),VLOOKUP(D389,HORAS!$B$4:$G$42,6,FALSE),IF(COUNTIF($H389:$CL389,"F")&gt;0,0,IF(CV389&gt;$DJ$1,$DJ$1*(VLOOKUP(D389,HORAS!$B$4:$G$42,6,FALSE)/$DJ$1),CV389*(VLOOKUP(D389,HORAS!$B$4:$G$42,6,FALSE)/$DJ$1))))))</f>
        <v>#N/A</v>
      </c>
      <c r="DP389" s="156"/>
      <c r="DQ389" s="148"/>
      <c r="DR389" s="148"/>
      <c r="DS389" s="83" t="e">
        <f t="shared" si="162"/>
        <v>#N/A</v>
      </c>
      <c r="DT389" s="84"/>
      <c r="DU389" s="149" t="e">
        <f t="shared" si="235"/>
        <v>#N/A</v>
      </c>
      <c r="DV389" s="149" t="e">
        <f t="shared" si="236"/>
        <v>#N/A</v>
      </c>
      <c r="DW389" s="144" t="e">
        <f t="shared" si="237"/>
        <v>#N/A</v>
      </c>
      <c r="DX389" s="168"/>
      <c r="DY389" s="29"/>
      <c r="DZ389" s="150"/>
      <c r="EA389" s="134"/>
      <c r="EB389" s="137">
        <f t="shared" si="238"/>
        <v>0</v>
      </c>
      <c r="EC389" s="138">
        <f t="shared" si="239"/>
        <v>0</v>
      </c>
      <c r="ED389" s="137">
        <f t="shared" si="240"/>
        <v>0</v>
      </c>
      <c r="EE389" s="132">
        <f t="shared" si="241"/>
        <v>0</v>
      </c>
      <c r="EF389" s="29"/>
      <c r="EG389" s="134"/>
      <c r="EH389" s="134"/>
      <c r="EI389" s="134"/>
      <c r="EK389" s="29"/>
    </row>
    <row r="390" spans="1:141" ht="15" customHeight="1" x14ac:dyDescent="0.25">
      <c r="A390" s="87"/>
      <c r="B390" s="5"/>
      <c r="C390" s="72"/>
      <c r="D390" s="73"/>
      <c r="E390" s="73"/>
      <c r="F390" s="141"/>
      <c r="G390" s="74"/>
      <c r="H390" s="75"/>
      <c r="I390" s="76"/>
      <c r="J390" s="135"/>
      <c r="K390" s="135"/>
      <c r="L390" s="77">
        <f t="shared" si="138"/>
        <v>0</v>
      </c>
      <c r="M390" s="78"/>
      <c r="N390" s="142"/>
      <c r="O390" s="142"/>
      <c r="P390" s="77">
        <f t="shared" si="139"/>
        <v>0</v>
      </c>
      <c r="Q390" s="78"/>
      <c r="R390" s="143"/>
      <c r="S390" s="143"/>
      <c r="T390" s="77">
        <f t="shared" si="140"/>
        <v>0</v>
      </c>
      <c r="U390" s="75"/>
      <c r="V390" s="76"/>
      <c r="W390" s="135"/>
      <c r="X390" s="135"/>
      <c r="Y390" s="77">
        <f t="shared" si="141"/>
        <v>0</v>
      </c>
      <c r="Z390" s="78"/>
      <c r="AA390" s="142"/>
      <c r="AB390" s="142"/>
      <c r="AC390" s="77">
        <f t="shared" si="142"/>
        <v>0</v>
      </c>
      <c r="AD390" s="78"/>
      <c r="AE390" s="143"/>
      <c r="AF390" s="143"/>
      <c r="AG390" s="79">
        <f t="shared" si="143"/>
        <v>0</v>
      </c>
      <c r="AH390" s="75"/>
      <c r="AI390" s="76"/>
      <c r="AJ390" s="135"/>
      <c r="AK390" s="135"/>
      <c r="AL390" s="77">
        <f t="shared" si="144"/>
        <v>0</v>
      </c>
      <c r="AM390" s="76"/>
      <c r="AN390" s="142"/>
      <c r="AO390" s="142"/>
      <c r="AP390" s="77">
        <f t="shared" si="145"/>
        <v>0</v>
      </c>
      <c r="AQ390" s="78"/>
      <c r="AR390" s="142"/>
      <c r="AS390" s="142"/>
      <c r="AT390" s="79">
        <f t="shared" si="146"/>
        <v>0</v>
      </c>
      <c r="AU390" s="75"/>
      <c r="AV390" s="76"/>
      <c r="AW390" s="135"/>
      <c r="AX390" s="135"/>
      <c r="AY390" s="77">
        <f t="shared" si="147"/>
        <v>0</v>
      </c>
      <c r="AZ390" s="76"/>
      <c r="BA390" s="142"/>
      <c r="BB390" s="142"/>
      <c r="BC390" s="77">
        <f t="shared" si="148"/>
        <v>0</v>
      </c>
      <c r="BD390" s="78"/>
      <c r="BE390" s="142"/>
      <c r="BF390" s="142"/>
      <c r="BG390" s="79">
        <f t="shared" si="149"/>
        <v>0</v>
      </c>
      <c r="BH390" s="75"/>
      <c r="BI390" s="76"/>
      <c r="BJ390" s="135"/>
      <c r="BK390" s="135"/>
      <c r="BL390" s="77">
        <f t="shared" si="150"/>
        <v>0</v>
      </c>
      <c r="BM390" s="78"/>
      <c r="BN390" s="142"/>
      <c r="BO390" s="142"/>
      <c r="BP390" s="77">
        <f t="shared" si="151"/>
        <v>0</v>
      </c>
      <c r="BQ390" s="78"/>
      <c r="BR390" s="142"/>
      <c r="BS390" s="142"/>
      <c r="BT390" s="79">
        <f t="shared" si="152"/>
        <v>0</v>
      </c>
      <c r="BU390" s="75"/>
      <c r="BV390" s="76"/>
      <c r="BW390" s="135"/>
      <c r="BX390" s="135"/>
      <c r="BY390" s="77">
        <f t="shared" si="153"/>
        <v>0</v>
      </c>
      <c r="BZ390" s="78"/>
      <c r="CA390" s="142"/>
      <c r="CB390" s="142"/>
      <c r="CC390" s="77">
        <f t="shared" si="154"/>
        <v>0</v>
      </c>
      <c r="CD390" s="78"/>
      <c r="CE390" s="142"/>
      <c r="CF390" s="142"/>
      <c r="CG390" s="79">
        <f t="shared" si="155"/>
        <v>0</v>
      </c>
      <c r="CH390" s="75"/>
      <c r="CI390" s="76"/>
      <c r="CJ390" s="86"/>
      <c r="CK390" s="86"/>
      <c r="CL390" s="77">
        <f t="shared" si="156"/>
        <v>0</v>
      </c>
      <c r="CM390" s="78"/>
      <c r="CN390" s="85"/>
      <c r="CO390" s="85"/>
      <c r="CP390" s="77">
        <f t="shared" si="157"/>
        <v>0</v>
      </c>
      <c r="CQ390" s="78"/>
      <c r="CR390" s="85"/>
      <c r="CS390" s="85"/>
      <c r="CT390" s="79">
        <f t="shared" si="158"/>
        <v>0</v>
      </c>
      <c r="CU390" s="80">
        <f t="shared" si="168"/>
        <v>0</v>
      </c>
      <c r="CV390" s="81">
        <f t="shared" si="169"/>
        <v>0</v>
      </c>
      <c r="CW390" s="144"/>
      <c r="CX390" s="145">
        <f>IF(ISERROR(VLOOKUP($A390,FIJOS!$B$11:$O$590,14,FALSE)),0,VLOOKUP($A390,FIJOS!$B$11:$O$590,14,FALSE))</f>
        <v>0</v>
      </c>
      <c r="CY390" s="145">
        <f>IF(ISERROR(VLOOKUP(A390,FIJOS!$B$10:$P$590,15,FALSE)),0,VLOOKUP(A390,FIJOS!$B$10:$P$590,15,FALSE))</f>
        <v>0</v>
      </c>
      <c r="CZ390" s="155"/>
      <c r="DA390" s="147"/>
      <c r="DB390" s="147"/>
      <c r="DC390" s="147"/>
      <c r="DD390" s="147"/>
      <c r="DE390" s="147"/>
      <c r="DF390" s="145">
        <f>IF(ISERROR(VLOOKUP($A390,FIJOS!$B$11:$N$590,13,FALSE)),0,VLOOKUP($A390,FIJOS!$B$11:$N$590,13,FALSE))</f>
        <v>0</v>
      </c>
      <c r="DG390" s="145">
        <f>IF(ISERROR(VLOOKUP($A390,FIJOS!$B$11:$P$447,12,FALSE)),0,VLOOKUP($A390,FIJOS!$B$11:$P$447,12,FALSE))</f>
        <v>0</v>
      </c>
      <c r="DH390" s="82">
        <f t="shared" si="234"/>
        <v>0</v>
      </c>
      <c r="DI390" s="83" t="b">
        <f>IF($C390=1,(VLOOKUP($A390,FIJOS!$B$11:$P$545,10,FALSE)/7)*(7-$CU390),IF(AND($C390=2,CV390&lt;$DJ$1),(VLOOKUP($D390,HORAS!$B$4:$C$42,2,FALSE)*24)*$CV390,IF(AND($C390=2,CV390&gt;=$DJ$1),VLOOKUP($D390,HORAS!$B$4:$D$42,3,FALSE),IF(AND($C390=3,$CV390&gt;=$DJ$1),VLOOKUP($A390,FIJOS!$B$11:$P$545,10,FALSE),IF(AND($C390=3,$CV390&lt;$DJ$1),((VLOOKUP($A390,FIJOS!$B$11:$P$545,10,FALSE)/48)*24)*$CV390,IF(AND($C390=4,$CV390&gt;=(42/24)),VLOOKUP($D390,HORAS!$B$4:$D$42,3,FALSE),IF(AND($C390=5,$CV390&gt;=(36/24)),VLOOKUP($D390,HORAS!$B$4:$D$42,3,FALSE))))))))</f>
        <v>0</v>
      </c>
      <c r="DJ390" s="145">
        <f>IF(OR($C390=2),VLOOKUP($D390,HORAS!$B$4:$E$42,4,FALSE)*$EC390,IF(ISERROR(VLOOKUP($A390,FIJOS!$B$11:$P$108,9,FALSE)),0,VLOOKUP($A390,FIJOS!$B$11:$P$231,9,FALSE)*$EC390))</f>
        <v>0</v>
      </c>
      <c r="DK390" s="145">
        <f>IF(OR($C390=2),VLOOKUP($D390,HORAS!$B$4:$F$42,5,FALSE)*$EE390,IF(ISERROR(VLOOKUP($A390,FIJOS!$B$11:$P$108,9,FALSE)),0,VLOOKUP($A390,FIJOS!$B$11:$P$231,9,FALSE)*$EE390))</f>
        <v>0</v>
      </c>
      <c r="DL390" s="144"/>
      <c r="DM390" s="145">
        <f>IF(ISERROR(VLOOKUP($A390,FIJOS!$B$11:$L$646,11,FALSE)),0,VLOOKUP($A390,FIJOS!$B$11:$L$646,11,FALSE))</f>
        <v>0</v>
      </c>
      <c r="DN390" s="148" t="e">
        <f>IF(OR($C390=1,$C390=3),0,IF((VLOOKUP(CAPTURA!D390,HORAS!$B$4:$K$42,10,FALSE)/4)*COUNTIF($H390:$CT390,3)&gt;100,100,(VLOOKUP(CAPTURA!D390,HORAS!$B$4:$K$42,10,FALSE)/4)*COUNTIF($H390:$CT390,3)))</f>
        <v>#N/A</v>
      </c>
      <c r="DO390" s="144" t="e">
        <f>IF(OR($C390=1,$C390=3),0,IF($C390=5,VLOOKUP(D390,HORAS!$B$4:$G$42,6,FALSE),IF(AND($C390=4,$CV390&gt;=(42/24)),VLOOKUP(D390,HORAS!$B$4:$G$42,6,FALSE),IF(COUNTIF($H390:$CL390,"F")&gt;0,0,IF(CV390&gt;$DJ$1,$DJ$1*(VLOOKUP(D390,HORAS!$B$4:$G$42,6,FALSE)/$DJ$1),CV390*(VLOOKUP(D390,HORAS!$B$4:$G$42,6,FALSE)/$DJ$1))))))</f>
        <v>#N/A</v>
      </c>
      <c r="DP390" s="156"/>
      <c r="DQ390" s="148"/>
      <c r="DR390" s="148"/>
      <c r="DS390" s="83" t="e">
        <f t="shared" si="162"/>
        <v>#N/A</v>
      </c>
      <c r="DT390" s="84"/>
      <c r="DU390" s="149" t="e">
        <f t="shared" si="235"/>
        <v>#N/A</v>
      </c>
      <c r="DV390" s="149" t="e">
        <f t="shared" si="236"/>
        <v>#N/A</v>
      </c>
      <c r="DW390" s="144" t="e">
        <f t="shared" si="237"/>
        <v>#N/A</v>
      </c>
      <c r="DX390" s="168"/>
      <c r="DY390" s="29"/>
      <c r="DZ390" s="150"/>
      <c r="EA390" s="134"/>
      <c r="EB390" s="137">
        <f t="shared" si="238"/>
        <v>0</v>
      </c>
      <c r="EC390" s="138">
        <f t="shared" si="239"/>
        <v>0</v>
      </c>
      <c r="ED390" s="137">
        <f t="shared" si="240"/>
        <v>0</v>
      </c>
      <c r="EE390" s="132">
        <f t="shared" si="241"/>
        <v>0</v>
      </c>
      <c r="EF390" s="29"/>
      <c r="EG390" s="134"/>
      <c r="EH390" s="134"/>
      <c r="EI390" s="134"/>
      <c r="EK390" s="29"/>
    </row>
    <row r="391" spans="1:141" ht="15" customHeight="1" x14ac:dyDescent="0.25">
      <c r="A391" s="87"/>
      <c r="B391" s="5"/>
      <c r="C391" s="72"/>
      <c r="D391" s="73"/>
      <c r="E391" s="73"/>
      <c r="F391" s="141"/>
      <c r="G391" s="74"/>
      <c r="H391" s="75"/>
      <c r="I391" s="76"/>
      <c r="J391" s="135"/>
      <c r="K391" s="135"/>
      <c r="L391" s="77">
        <f t="shared" si="138"/>
        <v>0</v>
      </c>
      <c r="M391" s="78"/>
      <c r="N391" s="142"/>
      <c r="O391" s="142"/>
      <c r="P391" s="77">
        <f t="shared" si="139"/>
        <v>0</v>
      </c>
      <c r="Q391" s="78"/>
      <c r="R391" s="143"/>
      <c r="S391" s="143"/>
      <c r="T391" s="77">
        <f t="shared" si="140"/>
        <v>0</v>
      </c>
      <c r="U391" s="75"/>
      <c r="V391" s="76"/>
      <c r="W391" s="135"/>
      <c r="X391" s="135"/>
      <c r="Y391" s="77">
        <f t="shared" si="141"/>
        <v>0</v>
      </c>
      <c r="Z391" s="78"/>
      <c r="AA391" s="142"/>
      <c r="AB391" s="142"/>
      <c r="AC391" s="77">
        <f t="shared" si="142"/>
        <v>0</v>
      </c>
      <c r="AD391" s="78"/>
      <c r="AE391" s="143"/>
      <c r="AF391" s="143"/>
      <c r="AG391" s="79">
        <f t="shared" si="143"/>
        <v>0</v>
      </c>
      <c r="AH391" s="75"/>
      <c r="AI391" s="76"/>
      <c r="AJ391" s="135"/>
      <c r="AK391" s="135"/>
      <c r="AL391" s="77">
        <f t="shared" si="144"/>
        <v>0</v>
      </c>
      <c r="AM391" s="76"/>
      <c r="AN391" s="142"/>
      <c r="AO391" s="142"/>
      <c r="AP391" s="77">
        <f t="shared" si="145"/>
        <v>0</v>
      </c>
      <c r="AQ391" s="78"/>
      <c r="AR391" s="142"/>
      <c r="AS391" s="142"/>
      <c r="AT391" s="79">
        <f t="shared" si="146"/>
        <v>0</v>
      </c>
      <c r="AU391" s="75"/>
      <c r="AV391" s="76"/>
      <c r="AW391" s="135"/>
      <c r="AX391" s="135"/>
      <c r="AY391" s="77">
        <f t="shared" si="147"/>
        <v>0</v>
      </c>
      <c r="AZ391" s="76"/>
      <c r="BA391" s="142"/>
      <c r="BB391" s="142"/>
      <c r="BC391" s="77">
        <f t="shared" si="148"/>
        <v>0</v>
      </c>
      <c r="BD391" s="78"/>
      <c r="BE391" s="142"/>
      <c r="BF391" s="142"/>
      <c r="BG391" s="79">
        <f t="shared" si="149"/>
        <v>0</v>
      </c>
      <c r="BH391" s="75"/>
      <c r="BI391" s="76"/>
      <c r="BJ391" s="135"/>
      <c r="BK391" s="135"/>
      <c r="BL391" s="77">
        <f t="shared" si="150"/>
        <v>0</v>
      </c>
      <c r="BM391" s="78"/>
      <c r="BN391" s="142"/>
      <c r="BO391" s="142"/>
      <c r="BP391" s="77">
        <f t="shared" si="151"/>
        <v>0</v>
      </c>
      <c r="BQ391" s="78"/>
      <c r="BR391" s="142"/>
      <c r="BS391" s="142"/>
      <c r="BT391" s="79">
        <f t="shared" si="152"/>
        <v>0</v>
      </c>
      <c r="BU391" s="75"/>
      <c r="BV391" s="76"/>
      <c r="BW391" s="135"/>
      <c r="BX391" s="135"/>
      <c r="BY391" s="77">
        <f t="shared" si="153"/>
        <v>0</v>
      </c>
      <c r="BZ391" s="78"/>
      <c r="CA391" s="142"/>
      <c r="CB391" s="142"/>
      <c r="CC391" s="77">
        <f t="shared" si="154"/>
        <v>0</v>
      </c>
      <c r="CD391" s="78"/>
      <c r="CE391" s="142"/>
      <c r="CF391" s="142"/>
      <c r="CG391" s="79">
        <f t="shared" si="155"/>
        <v>0</v>
      </c>
      <c r="CH391" s="75"/>
      <c r="CI391" s="76"/>
      <c r="CJ391" s="86"/>
      <c r="CK391" s="86"/>
      <c r="CL391" s="77">
        <f t="shared" si="156"/>
        <v>0</v>
      </c>
      <c r="CM391" s="78"/>
      <c r="CN391" s="85"/>
      <c r="CO391" s="85"/>
      <c r="CP391" s="77">
        <f t="shared" si="157"/>
        <v>0</v>
      </c>
      <c r="CQ391" s="78"/>
      <c r="CR391" s="85"/>
      <c r="CS391" s="85"/>
      <c r="CT391" s="79">
        <f t="shared" si="158"/>
        <v>0</v>
      </c>
      <c r="CU391" s="80">
        <f t="shared" si="168"/>
        <v>0</v>
      </c>
      <c r="CV391" s="81">
        <f t="shared" si="169"/>
        <v>0</v>
      </c>
      <c r="CW391" s="144"/>
      <c r="CX391" s="145">
        <f>IF(ISERROR(VLOOKUP($A391,FIJOS!$B$11:$O$590,14,FALSE)),0,VLOOKUP($A391,FIJOS!$B$11:$O$590,14,FALSE))</f>
        <v>0</v>
      </c>
      <c r="CY391" s="145">
        <f>IF(ISERROR(VLOOKUP(A391,FIJOS!$B$10:$P$590,15,FALSE)),0,VLOOKUP(A391,FIJOS!$B$10:$P$590,15,FALSE))</f>
        <v>0</v>
      </c>
      <c r="CZ391" s="155"/>
      <c r="DA391" s="147"/>
      <c r="DB391" s="147"/>
      <c r="DC391" s="147"/>
      <c r="DD391" s="147"/>
      <c r="DE391" s="147"/>
      <c r="DF391" s="145">
        <f>IF(ISERROR(VLOOKUP($A391,FIJOS!$B$11:$N$590,13,FALSE)),0,VLOOKUP($A391,FIJOS!$B$11:$N$590,13,FALSE))</f>
        <v>0</v>
      </c>
      <c r="DG391" s="145">
        <f>IF(ISERROR(VLOOKUP($A391,FIJOS!$B$11:$P$447,12,FALSE)),0,VLOOKUP($A391,FIJOS!$B$11:$P$447,12,FALSE))</f>
        <v>0</v>
      </c>
      <c r="DH391" s="82">
        <f t="shared" si="234"/>
        <v>0</v>
      </c>
      <c r="DI391" s="83" t="b">
        <f>IF($C391=1,(VLOOKUP($A391,FIJOS!$B$11:$P$545,10,FALSE)/7)*(7-$CU391),IF(AND($C391=2,CV391&lt;$DJ$1),(VLOOKUP($D391,HORAS!$B$4:$C$42,2,FALSE)*24)*$CV391,IF(AND($C391=2,CV391&gt;=$DJ$1),VLOOKUP($D391,HORAS!$B$4:$D$42,3,FALSE),IF(AND($C391=3,$CV391&gt;=$DJ$1),VLOOKUP($A391,FIJOS!$B$11:$P$545,10,FALSE),IF(AND($C391=3,$CV391&lt;$DJ$1),((VLOOKUP($A391,FIJOS!$B$11:$P$545,10,FALSE)/48)*24)*$CV391,IF(AND($C391=4,$CV391&gt;=(42/24)),VLOOKUP($D391,HORAS!$B$4:$D$42,3,FALSE),IF(AND($C391=5,$CV391&gt;=(36/24)),VLOOKUP($D391,HORAS!$B$4:$D$42,3,FALSE))))))))</f>
        <v>0</v>
      </c>
      <c r="DJ391" s="145">
        <f>IF(OR($C391=2),VLOOKUP($D391,HORAS!$B$4:$E$42,4,FALSE)*$EC391,IF(ISERROR(VLOOKUP($A391,FIJOS!$B$11:$P$108,9,FALSE)),0,VLOOKUP($A391,FIJOS!$B$11:$P$231,9,FALSE)*$EC391))</f>
        <v>0</v>
      </c>
      <c r="DK391" s="145">
        <f>IF(OR($C391=2),VLOOKUP($D391,HORAS!$B$4:$F$42,5,FALSE)*$EE391,IF(ISERROR(VLOOKUP($A391,FIJOS!$B$11:$P$108,9,FALSE)),0,VLOOKUP($A391,FIJOS!$B$11:$P$231,9,FALSE)*$EE391))</f>
        <v>0</v>
      </c>
      <c r="DL391" s="144"/>
      <c r="DM391" s="145">
        <f>IF(ISERROR(VLOOKUP($A391,FIJOS!$B$11:$L$646,11,FALSE)),0,VLOOKUP($A391,FIJOS!$B$11:$L$646,11,FALSE))</f>
        <v>0</v>
      </c>
      <c r="DN391" s="148" t="e">
        <f>IF(OR($C391=1,$C391=3),0,IF((VLOOKUP(CAPTURA!D391,HORAS!$B$4:$K$42,10,FALSE)/4)*COUNTIF($H391:$CT391,3)&gt;100,100,(VLOOKUP(CAPTURA!D391,HORAS!$B$4:$K$42,10,FALSE)/4)*COUNTIF($H391:$CT391,3)))</f>
        <v>#N/A</v>
      </c>
      <c r="DO391" s="144" t="e">
        <f>IF(OR($C391=1,$C391=3),0,IF($C391=5,VLOOKUP(D391,HORAS!$B$4:$G$42,6,FALSE),IF(AND($C391=4,$CV391&gt;=(42/24)),VLOOKUP(D391,HORAS!$B$4:$G$42,6,FALSE),IF(COUNTIF($H391:$CL391,"F")&gt;0,0,IF(CV391&gt;$DJ$1,$DJ$1*(VLOOKUP(D391,HORAS!$B$4:$G$42,6,FALSE)/$DJ$1),CV391*(VLOOKUP(D391,HORAS!$B$4:$G$42,6,FALSE)/$DJ$1))))))</f>
        <v>#N/A</v>
      </c>
      <c r="DP391" s="156"/>
      <c r="DQ391" s="148"/>
      <c r="DR391" s="148"/>
      <c r="DS391" s="83" t="e">
        <f t="shared" si="162"/>
        <v>#N/A</v>
      </c>
      <c r="DT391" s="84"/>
      <c r="DU391" s="149" t="e">
        <f t="shared" si="235"/>
        <v>#N/A</v>
      </c>
      <c r="DV391" s="149" t="e">
        <f t="shared" si="236"/>
        <v>#N/A</v>
      </c>
      <c r="DW391" s="144" t="e">
        <f t="shared" si="237"/>
        <v>#N/A</v>
      </c>
      <c r="DX391" s="168"/>
      <c r="DY391" s="29"/>
      <c r="DZ391" s="150"/>
      <c r="EA391" s="134"/>
      <c r="EB391" s="137">
        <f t="shared" si="238"/>
        <v>0</v>
      </c>
      <c r="EC391" s="138">
        <f t="shared" si="239"/>
        <v>0</v>
      </c>
      <c r="ED391" s="137">
        <f t="shared" si="240"/>
        <v>0</v>
      </c>
      <c r="EE391" s="132">
        <f t="shared" si="241"/>
        <v>0</v>
      </c>
      <c r="EF391" s="29"/>
      <c r="EG391" s="134"/>
      <c r="EH391" s="134"/>
      <c r="EI391" s="134"/>
      <c r="EK391" s="29"/>
    </row>
    <row r="392" spans="1:141" ht="15" customHeight="1" x14ac:dyDescent="0.25">
      <c r="A392" s="87"/>
      <c r="B392" s="5"/>
      <c r="C392" s="72"/>
      <c r="D392" s="73"/>
      <c r="E392" s="73"/>
      <c r="F392" s="141"/>
      <c r="G392" s="74"/>
      <c r="H392" s="75"/>
      <c r="I392" s="76"/>
      <c r="J392" s="135"/>
      <c r="K392" s="135"/>
      <c r="L392" s="77">
        <f t="shared" si="138"/>
        <v>0</v>
      </c>
      <c r="M392" s="78"/>
      <c r="N392" s="142"/>
      <c r="O392" s="142"/>
      <c r="P392" s="77">
        <f t="shared" si="139"/>
        <v>0</v>
      </c>
      <c r="Q392" s="78"/>
      <c r="R392" s="143"/>
      <c r="S392" s="143"/>
      <c r="T392" s="77">
        <f t="shared" si="140"/>
        <v>0</v>
      </c>
      <c r="U392" s="75"/>
      <c r="V392" s="76"/>
      <c r="W392" s="135"/>
      <c r="X392" s="135"/>
      <c r="Y392" s="77">
        <f t="shared" si="141"/>
        <v>0</v>
      </c>
      <c r="Z392" s="78"/>
      <c r="AA392" s="142"/>
      <c r="AB392" s="142"/>
      <c r="AC392" s="77">
        <f t="shared" si="142"/>
        <v>0</v>
      </c>
      <c r="AD392" s="78"/>
      <c r="AE392" s="143"/>
      <c r="AF392" s="143"/>
      <c r="AG392" s="79">
        <f t="shared" si="143"/>
        <v>0</v>
      </c>
      <c r="AH392" s="75"/>
      <c r="AI392" s="76"/>
      <c r="AJ392" s="135"/>
      <c r="AK392" s="135"/>
      <c r="AL392" s="77">
        <f t="shared" si="144"/>
        <v>0</v>
      </c>
      <c r="AM392" s="76"/>
      <c r="AN392" s="142"/>
      <c r="AO392" s="142"/>
      <c r="AP392" s="77">
        <f t="shared" si="145"/>
        <v>0</v>
      </c>
      <c r="AQ392" s="78"/>
      <c r="AR392" s="142"/>
      <c r="AS392" s="142"/>
      <c r="AT392" s="79">
        <f t="shared" si="146"/>
        <v>0</v>
      </c>
      <c r="AU392" s="75"/>
      <c r="AV392" s="76"/>
      <c r="AW392" s="135"/>
      <c r="AX392" s="135"/>
      <c r="AY392" s="77">
        <f t="shared" si="147"/>
        <v>0</v>
      </c>
      <c r="AZ392" s="76"/>
      <c r="BA392" s="142"/>
      <c r="BB392" s="142"/>
      <c r="BC392" s="77">
        <f t="shared" si="148"/>
        <v>0</v>
      </c>
      <c r="BD392" s="78"/>
      <c r="BE392" s="142"/>
      <c r="BF392" s="142"/>
      <c r="BG392" s="79">
        <f t="shared" si="149"/>
        <v>0</v>
      </c>
      <c r="BH392" s="75"/>
      <c r="BI392" s="76"/>
      <c r="BJ392" s="135"/>
      <c r="BK392" s="135"/>
      <c r="BL392" s="77">
        <f t="shared" si="150"/>
        <v>0</v>
      </c>
      <c r="BM392" s="78"/>
      <c r="BN392" s="142"/>
      <c r="BO392" s="142"/>
      <c r="BP392" s="77">
        <f t="shared" si="151"/>
        <v>0</v>
      </c>
      <c r="BQ392" s="78"/>
      <c r="BR392" s="142"/>
      <c r="BS392" s="142"/>
      <c r="BT392" s="79">
        <f t="shared" si="152"/>
        <v>0</v>
      </c>
      <c r="BU392" s="75"/>
      <c r="BV392" s="76"/>
      <c r="BW392" s="135"/>
      <c r="BX392" s="135"/>
      <c r="BY392" s="77">
        <f t="shared" si="153"/>
        <v>0</v>
      </c>
      <c r="BZ392" s="78"/>
      <c r="CA392" s="142"/>
      <c r="CB392" s="142"/>
      <c r="CC392" s="77">
        <f t="shared" si="154"/>
        <v>0</v>
      </c>
      <c r="CD392" s="78"/>
      <c r="CE392" s="142"/>
      <c r="CF392" s="142"/>
      <c r="CG392" s="79">
        <f t="shared" si="155"/>
        <v>0</v>
      </c>
      <c r="CH392" s="75"/>
      <c r="CI392" s="76"/>
      <c r="CJ392" s="86"/>
      <c r="CK392" s="86"/>
      <c r="CL392" s="77">
        <f t="shared" si="156"/>
        <v>0</v>
      </c>
      <c r="CM392" s="78"/>
      <c r="CN392" s="85"/>
      <c r="CO392" s="85"/>
      <c r="CP392" s="77">
        <f t="shared" si="157"/>
        <v>0</v>
      </c>
      <c r="CQ392" s="78"/>
      <c r="CR392" s="85"/>
      <c r="CS392" s="85"/>
      <c r="CT392" s="79">
        <f t="shared" si="158"/>
        <v>0</v>
      </c>
      <c r="CU392" s="80">
        <f t="shared" si="168"/>
        <v>0</v>
      </c>
      <c r="CV392" s="81">
        <f t="shared" si="169"/>
        <v>0</v>
      </c>
      <c r="CW392" s="144"/>
      <c r="CX392" s="145">
        <f>IF(ISERROR(VLOOKUP($A392,FIJOS!$B$11:$O$590,14,FALSE)),0,VLOOKUP($A392,FIJOS!$B$11:$O$590,14,FALSE))</f>
        <v>0</v>
      </c>
      <c r="CY392" s="145">
        <f>IF(ISERROR(VLOOKUP(A392,FIJOS!$B$10:$P$590,15,FALSE)),0,VLOOKUP(A392,FIJOS!$B$10:$P$590,15,FALSE))</f>
        <v>0</v>
      </c>
      <c r="CZ392" s="155"/>
      <c r="DA392" s="147"/>
      <c r="DB392" s="147"/>
      <c r="DC392" s="147"/>
      <c r="DD392" s="147"/>
      <c r="DE392" s="147"/>
      <c r="DF392" s="145">
        <f>IF(ISERROR(VLOOKUP($A392,FIJOS!$B$11:$N$590,13,FALSE)),0,VLOOKUP($A392,FIJOS!$B$11:$N$590,13,FALSE))</f>
        <v>0</v>
      </c>
      <c r="DG392" s="145">
        <f>IF(ISERROR(VLOOKUP($A392,FIJOS!$B$11:$P$447,12,FALSE)),0,VLOOKUP($A392,FIJOS!$B$11:$P$447,12,FALSE))</f>
        <v>0</v>
      </c>
      <c r="DH392" s="82">
        <f t="shared" si="234"/>
        <v>0</v>
      </c>
      <c r="DI392" s="83" t="b">
        <f>IF($C392=1,(VLOOKUP($A392,FIJOS!$B$11:$P$545,10,FALSE)/7)*(7-$CU392),IF(AND($C392=2,CV392&lt;$DJ$1),(VLOOKUP($D392,HORAS!$B$4:$C$42,2,FALSE)*24)*$CV392,IF(AND($C392=2,CV392&gt;=$DJ$1),VLOOKUP($D392,HORAS!$B$4:$D$42,3,FALSE),IF(AND($C392=3,$CV392&gt;=$DJ$1),VLOOKUP($A392,FIJOS!$B$11:$P$545,10,FALSE),IF(AND($C392=3,$CV392&lt;$DJ$1),((VLOOKUP($A392,FIJOS!$B$11:$P$545,10,FALSE)/48)*24)*$CV392,IF(AND($C392=4,$CV392&gt;=(42/24)),VLOOKUP($D392,HORAS!$B$4:$D$42,3,FALSE),IF(AND($C392=5,$CV392&gt;=(36/24)),VLOOKUP($D392,HORAS!$B$4:$D$42,3,FALSE))))))))</f>
        <v>0</v>
      </c>
      <c r="DJ392" s="145">
        <f>IF(OR($C392=2),VLOOKUP($D392,HORAS!$B$4:$E$42,4,FALSE)*$EC392,IF(ISERROR(VLOOKUP($A392,FIJOS!$B$11:$P$108,9,FALSE)),0,VLOOKUP($A392,FIJOS!$B$11:$P$231,9,FALSE)*$EC392))</f>
        <v>0</v>
      </c>
      <c r="DK392" s="145">
        <f>IF(OR($C392=2),VLOOKUP($D392,HORAS!$B$4:$F$42,5,FALSE)*$EE392,IF(ISERROR(VLOOKUP($A392,FIJOS!$B$11:$P$108,9,FALSE)),0,VLOOKUP($A392,FIJOS!$B$11:$P$231,9,FALSE)*$EE392))</f>
        <v>0</v>
      </c>
      <c r="DL392" s="144"/>
      <c r="DM392" s="145">
        <f>IF(ISERROR(VLOOKUP($A392,FIJOS!$B$11:$L$646,11,FALSE)),0,VLOOKUP($A392,FIJOS!$B$11:$L$646,11,FALSE))</f>
        <v>0</v>
      </c>
      <c r="DN392" s="148" t="e">
        <f>IF(OR($C392=1,$C392=3),0,IF((VLOOKUP(CAPTURA!D392,HORAS!$B$4:$K$42,10,FALSE)/4)*COUNTIF($H392:$CT392,3)&gt;100,100,(VLOOKUP(CAPTURA!D392,HORAS!$B$4:$K$42,10,FALSE)/4)*COUNTIF($H392:$CT392,3)))</f>
        <v>#N/A</v>
      </c>
      <c r="DO392" s="144" t="e">
        <f>IF(OR($C392=1,$C392=3),0,IF($C392=5,VLOOKUP(D392,HORAS!$B$4:$G$42,6,FALSE),IF(AND($C392=4,$CV392&gt;=(42/24)),VLOOKUP(D392,HORAS!$B$4:$G$42,6,FALSE),IF(COUNTIF($H392:$CL392,"F")&gt;0,0,IF(CV392&gt;$DJ$1,$DJ$1*(VLOOKUP(D392,HORAS!$B$4:$G$42,6,FALSE)/$DJ$1),CV392*(VLOOKUP(D392,HORAS!$B$4:$G$42,6,FALSE)/$DJ$1))))))</f>
        <v>#N/A</v>
      </c>
      <c r="DP392" s="156"/>
      <c r="DQ392" s="148"/>
      <c r="DR392" s="148"/>
      <c r="DS392" s="83" t="e">
        <f t="shared" si="162"/>
        <v>#N/A</v>
      </c>
      <c r="DT392" s="84"/>
      <c r="DU392" s="149" t="e">
        <f t="shared" si="235"/>
        <v>#N/A</v>
      </c>
      <c r="DV392" s="149" t="e">
        <f t="shared" si="236"/>
        <v>#N/A</v>
      </c>
      <c r="DW392" s="144" t="e">
        <f t="shared" si="237"/>
        <v>#N/A</v>
      </c>
      <c r="DX392" s="168"/>
      <c r="DY392" s="29"/>
      <c r="DZ392" s="150"/>
      <c r="EA392" s="134"/>
      <c r="EB392" s="137">
        <f t="shared" si="238"/>
        <v>0</v>
      </c>
      <c r="EC392" s="138">
        <f t="shared" si="239"/>
        <v>0</v>
      </c>
      <c r="ED392" s="137">
        <f t="shared" si="240"/>
        <v>0</v>
      </c>
      <c r="EE392" s="132">
        <f t="shared" si="241"/>
        <v>0</v>
      </c>
      <c r="EF392" s="29"/>
      <c r="EG392" s="134"/>
      <c r="EH392" s="134"/>
      <c r="EI392" s="134"/>
      <c r="EK392" s="29"/>
    </row>
    <row r="393" spans="1:141" ht="15" customHeight="1" x14ac:dyDescent="0.25">
      <c r="A393" s="87"/>
      <c r="B393" s="5"/>
      <c r="C393" s="72"/>
      <c r="D393" s="73"/>
      <c r="E393" s="73"/>
      <c r="F393" s="141"/>
      <c r="G393" s="74"/>
      <c r="H393" s="75"/>
      <c r="I393" s="76"/>
      <c r="J393" s="135"/>
      <c r="K393" s="135"/>
      <c r="L393" s="77">
        <f t="shared" si="138"/>
        <v>0</v>
      </c>
      <c r="M393" s="78"/>
      <c r="N393" s="142"/>
      <c r="O393" s="142"/>
      <c r="P393" s="77">
        <f t="shared" si="139"/>
        <v>0</v>
      </c>
      <c r="Q393" s="78"/>
      <c r="R393" s="143"/>
      <c r="S393" s="143"/>
      <c r="T393" s="77">
        <f t="shared" si="140"/>
        <v>0</v>
      </c>
      <c r="U393" s="75"/>
      <c r="V393" s="76"/>
      <c r="W393" s="135"/>
      <c r="X393" s="135"/>
      <c r="Y393" s="77">
        <f t="shared" si="141"/>
        <v>0</v>
      </c>
      <c r="Z393" s="78"/>
      <c r="AA393" s="142"/>
      <c r="AB393" s="142"/>
      <c r="AC393" s="77">
        <f t="shared" si="142"/>
        <v>0</v>
      </c>
      <c r="AD393" s="78"/>
      <c r="AE393" s="143"/>
      <c r="AF393" s="143"/>
      <c r="AG393" s="79">
        <f t="shared" si="143"/>
        <v>0</v>
      </c>
      <c r="AH393" s="75"/>
      <c r="AI393" s="76"/>
      <c r="AJ393" s="135"/>
      <c r="AK393" s="135"/>
      <c r="AL393" s="77">
        <f t="shared" si="144"/>
        <v>0</v>
      </c>
      <c r="AM393" s="76"/>
      <c r="AN393" s="142"/>
      <c r="AO393" s="142"/>
      <c r="AP393" s="77">
        <f t="shared" si="145"/>
        <v>0</v>
      </c>
      <c r="AQ393" s="78"/>
      <c r="AR393" s="142"/>
      <c r="AS393" s="142"/>
      <c r="AT393" s="79">
        <f t="shared" si="146"/>
        <v>0</v>
      </c>
      <c r="AU393" s="75"/>
      <c r="AV393" s="76"/>
      <c r="AW393" s="135"/>
      <c r="AX393" s="135"/>
      <c r="AY393" s="77">
        <f t="shared" si="147"/>
        <v>0</v>
      </c>
      <c r="AZ393" s="76"/>
      <c r="BA393" s="142"/>
      <c r="BB393" s="142"/>
      <c r="BC393" s="77">
        <f t="shared" si="148"/>
        <v>0</v>
      </c>
      <c r="BD393" s="78"/>
      <c r="BE393" s="142"/>
      <c r="BF393" s="142"/>
      <c r="BG393" s="79">
        <f t="shared" si="149"/>
        <v>0</v>
      </c>
      <c r="BH393" s="75"/>
      <c r="BI393" s="76"/>
      <c r="BJ393" s="135"/>
      <c r="BK393" s="135"/>
      <c r="BL393" s="77">
        <f t="shared" si="150"/>
        <v>0</v>
      </c>
      <c r="BM393" s="78"/>
      <c r="BN393" s="142"/>
      <c r="BO393" s="142"/>
      <c r="BP393" s="77">
        <f t="shared" si="151"/>
        <v>0</v>
      </c>
      <c r="BQ393" s="78"/>
      <c r="BR393" s="142"/>
      <c r="BS393" s="142"/>
      <c r="BT393" s="79">
        <f t="shared" si="152"/>
        <v>0</v>
      </c>
      <c r="BU393" s="75"/>
      <c r="BV393" s="76"/>
      <c r="BW393" s="135"/>
      <c r="BX393" s="135"/>
      <c r="BY393" s="77">
        <f t="shared" si="153"/>
        <v>0</v>
      </c>
      <c r="BZ393" s="78"/>
      <c r="CA393" s="142"/>
      <c r="CB393" s="142"/>
      <c r="CC393" s="77">
        <f t="shared" si="154"/>
        <v>0</v>
      </c>
      <c r="CD393" s="78"/>
      <c r="CE393" s="142"/>
      <c r="CF393" s="142"/>
      <c r="CG393" s="79">
        <f t="shared" si="155"/>
        <v>0</v>
      </c>
      <c r="CH393" s="75"/>
      <c r="CI393" s="76"/>
      <c r="CJ393" s="86"/>
      <c r="CK393" s="86"/>
      <c r="CL393" s="77">
        <f t="shared" si="156"/>
        <v>0</v>
      </c>
      <c r="CM393" s="78"/>
      <c r="CN393" s="85"/>
      <c r="CO393" s="85"/>
      <c r="CP393" s="77">
        <f t="shared" si="157"/>
        <v>0</v>
      </c>
      <c r="CQ393" s="78"/>
      <c r="CR393" s="85"/>
      <c r="CS393" s="85"/>
      <c r="CT393" s="79">
        <f t="shared" si="158"/>
        <v>0</v>
      </c>
      <c r="CU393" s="80">
        <f t="shared" si="168"/>
        <v>0</v>
      </c>
      <c r="CV393" s="81">
        <f t="shared" si="169"/>
        <v>0</v>
      </c>
      <c r="CW393" s="144"/>
      <c r="CX393" s="145">
        <f>IF(ISERROR(VLOOKUP($A393,FIJOS!$B$11:$O$590,14,FALSE)),0,VLOOKUP($A393,FIJOS!$B$11:$O$590,14,FALSE))</f>
        <v>0</v>
      </c>
      <c r="CY393" s="145">
        <f>IF(ISERROR(VLOOKUP(A393,FIJOS!$B$10:$P$590,15,FALSE)),0,VLOOKUP(A393,FIJOS!$B$10:$P$590,15,FALSE))</f>
        <v>0</v>
      </c>
      <c r="CZ393" s="155"/>
      <c r="DA393" s="147"/>
      <c r="DB393" s="147"/>
      <c r="DC393" s="147"/>
      <c r="DD393" s="147"/>
      <c r="DE393" s="147"/>
      <c r="DF393" s="145">
        <f>IF(ISERROR(VLOOKUP($A393,FIJOS!$B$11:$N$590,13,FALSE)),0,VLOOKUP($A393,FIJOS!$B$11:$N$590,13,FALSE))</f>
        <v>0</v>
      </c>
      <c r="DG393" s="145">
        <f>IF(ISERROR(VLOOKUP($A393,FIJOS!$B$11:$P$447,12,FALSE)),0,VLOOKUP($A393,FIJOS!$B$11:$P$447,12,FALSE))</f>
        <v>0</v>
      </c>
      <c r="DH393" s="82">
        <f t="shared" si="234"/>
        <v>0</v>
      </c>
      <c r="DI393" s="83" t="b">
        <f>IF($C393=1,(VLOOKUP($A393,FIJOS!$B$11:$P$545,10,FALSE)/7)*(7-$CU393),IF(AND($C393=2,CV393&lt;$DJ$1),(VLOOKUP($D393,HORAS!$B$4:$C$42,2,FALSE)*24)*$CV393,IF(AND($C393=2,CV393&gt;=$DJ$1),VLOOKUP($D393,HORAS!$B$4:$D$42,3,FALSE),IF(AND($C393=3,$CV393&gt;=$DJ$1),VLOOKUP($A393,FIJOS!$B$11:$P$545,10,FALSE),IF(AND($C393=3,$CV393&lt;$DJ$1),((VLOOKUP($A393,FIJOS!$B$11:$P$545,10,FALSE)/48)*24)*$CV393,IF(AND($C393=4,$CV393&gt;=(42/24)),VLOOKUP($D393,HORAS!$B$4:$D$42,3,FALSE),IF(AND($C393=5,$CV393&gt;=(36/24)),VLOOKUP($D393,HORAS!$B$4:$D$42,3,FALSE))))))))</f>
        <v>0</v>
      </c>
      <c r="DJ393" s="145">
        <f>IF(OR($C393=2),VLOOKUP($D393,HORAS!$B$4:$E$42,4,FALSE)*$EC393,IF(ISERROR(VLOOKUP($A393,FIJOS!$B$11:$P$108,9,FALSE)),0,VLOOKUP($A393,FIJOS!$B$11:$P$231,9,FALSE)*$EC393))</f>
        <v>0</v>
      </c>
      <c r="DK393" s="145">
        <f>IF(OR($C393=2),VLOOKUP($D393,HORAS!$B$4:$F$42,5,FALSE)*$EE393,IF(ISERROR(VLOOKUP($A393,FIJOS!$B$11:$P$108,9,FALSE)),0,VLOOKUP($A393,FIJOS!$B$11:$P$231,9,FALSE)*$EE393))</f>
        <v>0</v>
      </c>
      <c r="DL393" s="144"/>
      <c r="DM393" s="145">
        <f>IF(ISERROR(VLOOKUP($A393,FIJOS!$B$11:$L$646,11,FALSE)),0,VLOOKUP($A393,FIJOS!$B$11:$L$646,11,FALSE))</f>
        <v>0</v>
      </c>
      <c r="DN393" s="148" t="e">
        <f>IF(OR($C393=1,$C393=3),0,IF((VLOOKUP(CAPTURA!D393,HORAS!$B$4:$K$42,10,FALSE)/4)*COUNTIF($H393:$CT393,3)&gt;100,100,(VLOOKUP(CAPTURA!D393,HORAS!$B$4:$K$42,10,FALSE)/4)*COUNTIF($H393:$CT393,3)))</f>
        <v>#N/A</v>
      </c>
      <c r="DO393" s="144" t="e">
        <f>IF(OR($C393=1,$C393=3),0,IF($C393=5,VLOOKUP(D393,HORAS!$B$4:$G$42,6,FALSE),IF(AND($C393=4,$CV393&gt;=(42/24)),VLOOKUP(D393,HORAS!$B$4:$G$42,6,FALSE),IF(COUNTIF($H393:$CL393,"F")&gt;0,0,IF(CV393&gt;$DJ$1,$DJ$1*(VLOOKUP(D393,HORAS!$B$4:$G$42,6,FALSE)/$DJ$1),CV393*(VLOOKUP(D393,HORAS!$B$4:$G$42,6,FALSE)/$DJ$1))))))</f>
        <v>#N/A</v>
      </c>
      <c r="DP393" s="156"/>
      <c r="DQ393" s="148"/>
      <c r="DR393" s="148"/>
      <c r="DS393" s="83" t="e">
        <f t="shared" si="162"/>
        <v>#N/A</v>
      </c>
      <c r="DT393" s="84"/>
      <c r="DU393" s="149" t="e">
        <f t="shared" si="235"/>
        <v>#N/A</v>
      </c>
      <c r="DV393" s="149" t="e">
        <f t="shared" si="236"/>
        <v>#N/A</v>
      </c>
      <c r="DW393" s="144" t="e">
        <f t="shared" si="237"/>
        <v>#N/A</v>
      </c>
      <c r="DX393" s="168"/>
      <c r="DY393" s="29"/>
      <c r="DZ393" s="150"/>
      <c r="EA393" s="134"/>
      <c r="EB393" s="137">
        <f t="shared" si="238"/>
        <v>0</v>
      </c>
      <c r="EC393" s="138">
        <f t="shared" si="239"/>
        <v>0</v>
      </c>
      <c r="ED393" s="137">
        <f t="shared" si="240"/>
        <v>0</v>
      </c>
      <c r="EE393" s="132">
        <f t="shared" si="241"/>
        <v>0</v>
      </c>
      <c r="EF393" s="29"/>
      <c r="EG393" s="134"/>
      <c r="EH393" s="134"/>
      <c r="EI393" s="134"/>
      <c r="EK393" s="29"/>
    </row>
    <row r="394" spans="1:141" ht="15" customHeight="1" x14ac:dyDescent="0.25">
      <c r="A394" s="87"/>
      <c r="B394" s="5"/>
      <c r="C394" s="72"/>
      <c r="D394" s="73"/>
      <c r="E394" s="73"/>
      <c r="F394" s="141"/>
      <c r="G394" s="74"/>
      <c r="H394" s="75"/>
      <c r="I394" s="76"/>
      <c r="J394" s="135"/>
      <c r="K394" s="135"/>
      <c r="L394" s="77">
        <f t="shared" si="138"/>
        <v>0</v>
      </c>
      <c r="M394" s="78"/>
      <c r="N394" s="142"/>
      <c r="O394" s="142"/>
      <c r="P394" s="77">
        <f t="shared" si="139"/>
        <v>0</v>
      </c>
      <c r="Q394" s="78"/>
      <c r="R394" s="143"/>
      <c r="S394" s="143"/>
      <c r="T394" s="77">
        <f t="shared" si="140"/>
        <v>0</v>
      </c>
      <c r="U394" s="75"/>
      <c r="V394" s="76"/>
      <c r="W394" s="135"/>
      <c r="X394" s="135"/>
      <c r="Y394" s="77">
        <f t="shared" si="141"/>
        <v>0</v>
      </c>
      <c r="Z394" s="78"/>
      <c r="AA394" s="142"/>
      <c r="AB394" s="142"/>
      <c r="AC394" s="77">
        <f t="shared" si="142"/>
        <v>0</v>
      </c>
      <c r="AD394" s="78"/>
      <c r="AE394" s="143"/>
      <c r="AF394" s="143"/>
      <c r="AG394" s="79">
        <f t="shared" si="143"/>
        <v>0</v>
      </c>
      <c r="AH394" s="75"/>
      <c r="AI394" s="76"/>
      <c r="AJ394" s="135"/>
      <c r="AK394" s="135"/>
      <c r="AL394" s="77">
        <f t="shared" si="144"/>
        <v>0</v>
      </c>
      <c r="AM394" s="76"/>
      <c r="AN394" s="142"/>
      <c r="AO394" s="142"/>
      <c r="AP394" s="77">
        <f t="shared" si="145"/>
        <v>0</v>
      </c>
      <c r="AQ394" s="78"/>
      <c r="AR394" s="142"/>
      <c r="AS394" s="142"/>
      <c r="AT394" s="79">
        <f t="shared" si="146"/>
        <v>0</v>
      </c>
      <c r="AU394" s="75"/>
      <c r="AV394" s="76"/>
      <c r="AW394" s="135"/>
      <c r="AX394" s="135"/>
      <c r="AY394" s="77">
        <f t="shared" si="147"/>
        <v>0</v>
      </c>
      <c r="AZ394" s="76"/>
      <c r="BA394" s="142"/>
      <c r="BB394" s="142"/>
      <c r="BC394" s="77">
        <f t="shared" si="148"/>
        <v>0</v>
      </c>
      <c r="BD394" s="78"/>
      <c r="BE394" s="142"/>
      <c r="BF394" s="142"/>
      <c r="BG394" s="79">
        <f t="shared" si="149"/>
        <v>0</v>
      </c>
      <c r="BH394" s="75"/>
      <c r="BI394" s="76"/>
      <c r="BJ394" s="135"/>
      <c r="BK394" s="135"/>
      <c r="BL394" s="77">
        <f t="shared" si="150"/>
        <v>0</v>
      </c>
      <c r="BM394" s="78"/>
      <c r="BN394" s="142"/>
      <c r="BO394" s="142"/>
      <c r="BP394" s="77">
        <f t="shared" si="151"/>
        <v>0</v>
      </c>
      <c r="BQ394" s="78"/>
      <c r="BR394" s="142"/>
      <c r="BS394" s="142"/>
      <c r="BT394" s="79">
        <f t="shared" si="152"/>
        <v>0</v>
      </c>
      <c r="BU394" s="75"/>
      <c r="BV394" s="76"/>
      <c r="BW394" s="135"/>
      <c r="BX394" s="135"/>
      <c r="BY394" s="77">
        <f t="shared" si="153"/>
        <v>0</v>
      </c>
      <c r="BZ394" s="78"/>
      <c r="CA394" s="142"/>
      <c r="CB394" s="142"/>
      <c r="CC394" s="77">
        <f t="shared" si="154"/>
        <v>0</v>
      </c>
      <c r="CD394" s="78"/>
      <c r="CE394" s="142"/>
      <c r="CF394" s="142"/>
      <c r="CG394" s="79">
        <f t="shared" si="155"/>
        <v>0</v>
      </c>
      <c r="CH394" s="75"/>
      <c r="CI394" s="76"/>
      <c r="CJ394" s="86"/>
      <c r="CK394" s="86"/>
      <c r="CL394" s="77">
        <f t="shared" si="156"/>
        <v>0</v>
      </c>
      <c r="CM394" s="78"/>
      <c r="CN394" s="85"/>
      <c r="CO394" s="85"/>
      <c r="CP394" s="77">
        <f t="shared" si="157"/>
        <v>0</v>
      </c>
      <c r="CQ394" s="78"/>
      <c r="CR394" s="85"/>
      <c r="CS394" s="85"/>
      <c r="CT394" s="79">
        <f t="shared" si="158"/>
        <v>0</v>
      </c>
      <c r="CU394" s="80">
        <f t="shared" si="168"/>
        <v>0</v>
      </c>
      <c r="CV394" s="81">
        <f t="shared" si="169"/>
        <v>0</v>
      </c>
      <c r="CW394" s="144"/>
      <c r="CX394" s="145">
        <f>IF(ISERROR(VLOOKUP($A394,FIJOS!$B$11:$O$590,14,FALSE)),0,VLOOKUP($A394,FIJOS!$B$11:$O$590,14,FALSE))</f>
        <v>0</v>
      </c>
      <c r="CY394" s="145">
        <f>IF(ISERROR(VLOOKUP(A394,FIJOS!$B$10:$P$590,15,FALSE)),0,VLOOKUP(A394,FIJOS!$B$10:$P$590,15,FALSE))</f>
        <v>0</v>
      </c>
      <c r="CZ394" s="155"/>
      <c r="DA394" s="147"/>
      <c r="DB394" s="147"/>
      <c r="DC394" s="147"/>
      <c r="DD394" s="147"/>
      <c r="DE394" s="147"/>
      <c r="DF394" s="145">
        <f>IF(ISERROR(VLOOKUP($A394,FIJOS!$B$11:$N$590,13,FALSE)),0,VLOOKUP($A394,FIJOS!$B$11:$N$590,13,FALSE))</f>
        <v>0</v>
      </c>
      <c r="DG394" s="145">
        <f>IF(ISERROR(VLOOKUP($A394,FIJOS!$B$11:$P$447,12,FALSE)),0,VLOOKUP($A394,FIJOS!$B$11:$P$447,12,FALSE))</f>
        <v>0</v>
      </c>
      <c r="DH394" s="82">
        <f t="shared" si="234"/>
        <v>0</v>
      </c>
      <c r="DI394" s="83" t="b">
        <f>IF($C394=1,(VLOOKUP($A394,FIJOS!$B$11:$P$545,10,FALSE)/7)*(7-$CU394),IF(AND($C394=2,CV394&lt;$DJ$1),(VLOOKUP($D394,HORAS!$B$4:$C$42,2,FALSE)*24)*$CV394,IF(AND($C394=2,CV394&gt;=$DJ$1),VLOOKUP($D394,HORAS!$B$4:$D$42,3,FALSE),IF(AND($C394=3,$CV394&gt;=$DJ$1),VLOOKUP($A394,FIJOS!$B$11:$P$545,10,FALSE),IF(AND($C394=3,$CV394&lt;$DJ$1),((VLOOKUP($A394,FIJOS!$B$11:$P$545,10,FALSE)/48)*24)*$CV394,IF(AND($C394=4,$CV394&gt;=(42/24)),VLOOKUP($D394,HORAS!$B$4:$D$42,3,FALSE),IF(AND($C394=5,$CV394&gt;=(36/24)),VLOOKUP($D394,HORAS!$B$4:$D$42,3,FALSE))))))))</f>
        <v>0</v>
      </c>
      <c r="DJ394" s="145">
        <f>IF(OR($C394=2),VLOOKUP($D394,HORAS!$B$4:$E$42,4,FALSE)*$EC394,IF(ISERROR(VLOOKUP($A394,FIJOS!$B$11:$P$108,9,FALSE)),0,VLOOKUP($A394,FIJOS!$B$11:$P$231,9,FALSE)*$EC394))</f>
        <v>0</v>
      </c>
      <c r="DK394" s="145">
        <f>IF(OR($C394=2),VLOOKUP($D394,HORAS!$B$4:$F$42,5,FALSE)*$EE394,IF(ISERROR(VLOOKUP($A394,FIJOS!$B$11:$P$108,9,FALSE)),0,VLOOKUP($A394,FIJOS!$B$11:$P$231,9,FALSE)*$EE394))</f>
        <v>0</v>
      </c>
      <c r="DL394" s="144"/>
      <c r="DM394" s="145">
        <f>IF(ISERROR(VLOOKUP($A394,FIJOS!$B$11:$L$646,11,FALSE)),0,VLOOKUP($A394,FIJOS!$B$11:$L$646,11,FALSE))</f>
        <v>0</v>
      </c>
      <c r="DN394" s="148" t="e">
        <f>IF(OR($C394=1,$C394=3),0,IF((VLOOKUP(CAPTURA!D394,HORAS!$B$4:$K$42,10,FALSE)/4)*COUNTIF($H394:$CT394,3)&gt;100,100,(VLOOKUP(CAPTURA!D394,HORAS!$B$4:$K$42,10,FALSE)/4)*COUNTIF($H394:$CT394,3)))</f>
        <v>#N/A</v>
      </c>
      <c r="DO394" s="144" t="e">
        <f>IF(OR($C394=1,$C394=3),0,IF($C394=5,VLOOKUP(D394,HORAS!$B$4:$G$42,6,FALSE),IF(AND($C394=4,$CV394&gt;=(42/24)),VLOOKUP(D394,HORAS!$B$4:$G$42,6,FALSE),IF(COUNTIF($H394:$CL394,"F")&gt;0,0,IF(CV394&gt;$DJ$1,$DJ$1*(VLOOKUP(D394,HORAS!$B$4:$G$42,6,FALSE)/$DJ$1),CV394*(VLOOKUP(D394,HORAS!$B$4:$G$42,6,FALSE)/$DJ$1))))))</f>
        <v>#N/A</v>
      </c>
      <c r="DP394" s="156"/>
      <c r="DQ394" s="148"/>
      <c r="DR394" s="148"/>
      <c r="DS394" s="83" t="e">
        <f t="shared" si="162"/>
        <v>#N/A</v>
      </c>
      <c r="DT394" s="84"/>
      <c r="DU394" s="149" t="e">
        <f t="shared" si="235"/>
        <v>#N/A</v>
      </c>
      <c r="DV394" s="149" t="e">
        <f t="shared" si="236"/>
        <v>#N/A</v>
      </c>
      <c r="DW394" s="144" t="e">
        <f t="shared" si="237"/>
        <v>#N/A</v>
      </c>
      <c r="DX394" s="168"/>
      <c r="DY394" s="29"/>
      <c r="DZ394" s="150"/>
      <c r="EA394" s="134"/>
      <c r="EB394" s="137">
        <f t="shared" si="238"/>
        <v>0</v>
      </c>
      <c r="EC394" s="138">
        <f t="shared" si="239"/>
        <v>0</v>
      </c>
      <c r="ED394" s="137">
        <f t="shared" si="240"/>
        <v>0</v>
      </c>
      <c r="EE394" s="132">
        <f t="shared" si="241"/>
        <v>0</v>
      </c>
      <c r="EF394" s="29"/>
      <c r="EG394" s="134"/>
      <c r="EH394" s="134"/>
      <c r="EI394" s="134"/>
      <c r="EK394" s="29"/>
    </row>
    <row r="395" spans="1:141" ht="15" customHeight="1" x14ac:dyDescent="0.25">
      <c r="A395" s="87"/>
      <c r="B395" s="5"/>
      <c r="C395" s="72"/>
      <c r="D395" s="73"/>
      <c r="E395" s="73"/>
      <c r="F395" s="141"/>
      <c r="G395" s="74"/>
      <c r="H395" s="75"/>
      <c r="I395" s="76"/>
      <c r="J395" s="135"/>
      <c r="K395" s="135"/>
      <c r="L395" s="77">
        <f t="shared" si="138"/>
        <v>0</v>
      </c>
      <c r="M395" s="78"/>
      <c r="N395" s="142"/>
      <c r="O395" s="142"/>
      <c r="P395" s="77">
        <f t="shared" si="139"/>
        <v>0</v>
      </c>
      <c r="Q395" s="78"/>
      <c r="R395" s="143"/>
      <c r="S395" s="143"/>
      <c r="T395" s="77">
        <f t="shared" si="140"/>
        <v>0</v>
      </c>
      <c r="U395" s="75"/>
      <c r="V395" s="76"/>
      <c r="W395" s="135"/>
      <c r="X395" s="135"/>
      <c r="Y395" s="77">
        <f t="shared" si="141"/>
        <v>0</v>
      </c>
      <c r="Z395" s="78"/>
      <c r="AA395" s="142"/>
      <c r="AB395" s="142"/>
      <c r="AC395" s="77">
        <f t="shared" si="142"/>
        <v>0</v>
      </c>
      <c r="AD395" s="78"/>
      <c r="AE395" s="143"/>
      <c r="AF395" s="143"/>
      <c r="AG395" s="79">
        <f t="shared" si="143"/>
        <v>0</v>
      </c>
      <c r="AH395" s="75"/>
      <c r="AI395" s="76"/>
      <c r="AJ395" s="135"/>
      <c r="AK395" s="135"/>
      <c r="AL395" s="77">
        <f t="shared" si="144"/>
        <v>0</v>
      </c>
      <c r="AM395" s="76"/>
      <c r="AN395" s="142"/>
      <c r="AO395" s="142"/>
      <c r="AP395" s="77">
        <f t="shared" si="145"/>
        <v>0</v>
      </c>
      <c r="AQ395" s="78"/>
      <c r="AR395" s="142"/>
      <c r="AS395" s="142"/>
      <c r="AT395" s="79">
        <f t="shared" si="146"/>
        <v>0</v>
      </c>
      <c r="AU395" s="75"/>
      <c r="AV395" s="76"/>
      <c r="AW395" s="135"/>
      <c r="AX395" s="135"/>
      <c r="AY395" s="77">
        <f t="shared" si="147"/>
        <v>0</v>
      </c>
      <c r="AZ395" s="76"/>
      <c r="BA395" s="142"/>
      <c r="BB395" s="142"/>
      <c r="BC395" s="77">
        <f t="shared" si="148"/>
        <v>0</v>
      </c>
      <c r="BD395" s="78"/>
      <c r="BE395" s="142"/>
      <c r="BF395" s="142"/>
      <c r="BG395" s="79">
        <f t="shared" si="149"/>
        <v>0</v>
      </c>
      <c r="BH395" s="75"/>
      <c r="BI395" s="76"/>
      <c r="BJ395" s="135"/>
      <c r="BK395" s="135"/>
      <c r="BL395" s="77">
        <f t="shared" si="150"/>
        <v>0</v>
      </c>
      <c r="BM395" s="78"/>
      <c r="BN395" s="142"/>
      <c r="BO395" s="142"/>
      <c r="BP395" s="77">
        <f t="shared" si="151"/>
        <v>0</v>
      </c>
      <c r="BQ395" s="78"/>
      <c r="BR395" s="142"/>
      <c r="BS395" s="142"/>
      <c r="BT395" s="79">
        <f t="shared" si="152"/>
        <v>0</v>
      </c>
      <c r="BU395" s="75"/>
      <c r="BV395" s="76"/>
      <c r="BW395" s="135"/>
      <c r="BX395" s="135"/>
      <c r="BY395" s="77">
        <f t="shared" si="153"/>
        <v>0</v>
      </c>
      <c r="BZ395" s="78"/>
      <c r="CA395" s="142"/>
      <c r="CB395" s="142"/>
      <c r="CC395" s="77">
        <f t="shared" si="154"/>
        <v>0</v>
      </c>
      <c r="CD395" s="78"/>
      <c r="CE395" s="142"/>
      <c r="CF395" s="142"/>
      <c r="CG395" s="79">
        <f t="shared" si="155"/>
        <v>0</v>
      </c>
      <c r="CH395" s="75"/>
      <c r="CI395" s="76"/>
      <c r="CJ395" s="86"/>
      <c r="CK395" s="86"/>
      <c r="CL395" s="77">
        <f t="shared" si="156"/>
        <v>0</v>
      </c>
      <c r="CM395" s="78"/>
      <c r="CN395" s="85"/>
      <c r="CO395" s="85"/>
      <c r="CP395" s="77">
        <f t="shared" si="157"/>
        <v>0</v>
      </c>
      <c r="CQ395" s="78"/>
      <c r="CR395" s="85"/>
      <c r="CS395" s="85"/>
      <c r="CT395" s="79">
        <f t="shared" si="158"/>
        <v>0</v>
      </c>
      <c r="CU395" s="80">
        <f t="shared" si="168"/>
        <v>0</v>
      </c>
      <c r="CV395" s="81">
        <f t="shared" si="169"/>
        <v>0</v>
      </c>
      <c r="CW395" s="144"/>
      <c r="CX395" s="145">
        <f>IF(ISERROR(VLOOKUP($A395,FIJOS!$B$11:$O$590,14,FALSE)),0,VLOOKUP($A395,FIJOS!$B$11:$O$590,14,FALSE))</f>
        <v>0</v>
      </c>
      <c r="CY395" s="145">
        <f>IF(ISERROR(VLOOKUP(A395,FIJOS!$B$10:$P$590,15,FALSE)),0,VLOOKUP(A395,FIJOS!$B$10:$P$590,15,FALSE))</f>
        <v>0</v>
      </c>
      <c r="CZ395" s="155"/>
      <c r="DA395" s="147"/>
      <c r="DB395" s="147"/>
      <c r="DC395" s="147"/>
      <c r="DD395" s="147"/>
      <c r="DE395" s="147"/>
      <c r="DF395" s="145">
        <f>IF(ISERROR(VLOOKUP($A395,FIJOS!$B$11:$N$590,13,FALSE)),0,VLOOKUP($A395,FIJOS!$B$11:$N$590,13,FALSE))</f>
        <v>0</v>
      </c>
      <c r="DG395" s="145">
        <f>IF(ISERROR(VLOOKUP($A395,FIJOS!$B$11:$P$447,12,FALSE)),0,VLOOKUP($A395,FIJOS!$B$11:$P$447,12,FALSE))</f>
        <v>0</v>
      </c>
      <c r="DH395" s="82">
        <f t="shared" si="234"/>
        <v>0</v>
      </c>
      <c r="DI395" s="83" t="b">
        <f>IF($C395=1,(VLOOKUP($A395,FIJOS!$B$11:$P$545,10,FALSE)/7)*(7-$CU395),IF(AND($C395=2,CV395&lt;$DJ$1),(VLOOKUP($D395,HORAS!$B$4:$C$42,2,FALSE)*24)*$CV395,IF(AND($C395=2,CV395&gt;=$DJ$1),VLOOKUP($D395,HORAS!$B$4:$D$42,3,FALSE),IF(AND($C395=3,$CV395&gt;=$DJ$1),VLOOKUP($A395,FIJOS!$B$11:$P$545,10,FALSE),IF(AND($C395=3,$CV395&lt;$DJ$1),((VLOOKUP($A395,FIJOS!$B$11:$P$545,10,FALSE)/48)*24)*$CV395,IF(AND($C395=4,$CV395&gt;=(42/24)),VLOOKUP($D395,HORAS!$B$4:$D$42,3,FALSE),IF(AND($C395=5,$CV395&gt;=(36/24)),VLOOKUP($D395,HORAS!$B$4:$D$42,3,FALSE))))))))</f>
        <v>0</v>
      </c>
      <c r="DJ395" s="145">
        <f>IF(OR($C395=2),VLOOKUP($D395,HORAS!$B$4:$E$42,4,FALSE)*$EC395,IF(ISERROR(VLOOKUP($A395,FIJOS!$B$11:$P$108,9,FALSE)),0,VLOOKUP($A395,FIJOS!$B$11:$P$231,9,FALSE)*$EC395))</f>
        <v>0</v>
      </c>
      <c r="DK395" s="145">
        <f>IF(OR($C395=2),VLOOKUP($D395,HORAS!$B$4:$F$42,5,FALSE)*$EE395,IF(ISERROR(VLOOKUP($A395,FIJOS!$B$11:$P$108,9,FALSE)),0,VLOOKUP($A395,FIJOS!$B$11:$P$231,9,FALSE)*$EE395))</f>
        <v>0</v>
      </c>
      <c r="DL395" s="144"/>
      <c r="DM395" s="145">
        <f>IF(ISERROR(VLOOKUP($A395,FIJOS!$B$11:$L$646,11,FALSE)),0,VLOOKUP($A395,FIJOS!$B$11:$L$646,11,FALSE))</f>
        <v>0</v>
      </c>
      <c r="DN395" s="148" t="e">
        <f>IF(OR($C395=1,$C395=3),0,IF((VLOOKUP(CAPTURA!D395,HORAS!$B$4:$K$42,10,FALSE)/4)*COUNTIF($H395:$CT395,3)&gt;100,100,(VLOOKUP(CAPTURA!D395,HORAS!$B$4:$K$42,10,FALSE)/4)*COUNTIF($H395:$CT395,3)))</f>
        <v>#N/A</v>
      </c>
      <c r="DO395" s="144" t="e">
        <f>IF(OR($C395=1,$C395=3),0,IF($C395=5,VLOOKUP(D395,HORAS!$B$4:$G$42,6,FALSE),IF(AND($C395=4,$CV395&gt;=(42/24)),VLOOKUP(D395,HORAS!$B$4:$G$42,6,FALSE),IF(COUNTIF($H395:$CL395,"F")&gt;0,0,IF(CV395&gt;$DJ$1,$DJ$1*(VLOOKUP(D395,HORAS!$B$4:$G$42,6,FALSE)/$DJ$1),CV395*(VLOOKUP(D395,HORAS!$B$4:$G$42,6,FALSE)/$DJ$1))))))</f>
        <v>#N/A</v>
      </c>
      <c r="DP395" s="156"/>
      <c r="DQ395" s="148"/>
      <c r="DR395" s="148"/>
      <c r="DS395" s="83" t="e">
        <f t="shared" si="162"/>
        <v>#N/A</v>
      </c>
      <c r="DT395" s="84"/>
      <c r="DU395" s="149" t="e">
        <f t="shared" si="235"/>
        <v>#N/A</v>
      </c>
      <c r="DV395" s="149" t="e">
        <f t="shared" si="236"/>
        <v>#N/A</v>
      </c>
      <c r="DW395" s="144" t="e">
        <f t="shared" si="237"/>
        <v>#N/A</v>
      </c>
      <c r="DX395" s="168"/>
      <c r="DY395" s="29"/>
      <c r="DZ395" s="150"/>
      <c r="EA395" s="134"/>
      <c r="EB395" s="137">
        <f t="shared" si="238"/>
        <v>0</v>
      </c>
      <c r="EC395" s="138">
        <f t="shared" si="239"/>
        <v>0</v>
      </c>
      <c r="ED395" s="137">
        <f t="shared" si="240"/>
        <v>0</v>
      </c>
      <c r="EE395" s="132">
        <f t="shared" si="241"/>
        <v>0</v>
      </c>
      <c r="EF395" s="29"/>
      <c r="EG395" s="134"/>
      <c r="EH395" s="134"/>
      <c r="EI395" s="134"/>
      <c r="EK395" s="29"/>
    </row>
    <row r="396" spans="1:141" ht="15" customHeight="1" x14ac:dyDescent="0.25">
      <c r="A396" s="87"/>
      <c r="B396" s="5"/>
      <c r="C396" s="72"/>
      <c r="D396" s="73"/>
      <c r="E396" s="73"/>
      <c r="F396" s="141"/>
      <c r="G396" s="74"/>
      <c r="H396" s="75"/>
      <c r="I396" s="76"/>
      <c r="J396" s="135"/>
      <c r="K396" s="135"/>
      <c r="L396" s="77">
        <f t="shared" si="138"/>
        <v>0</v>
      </c>
      <c r="M396" s="78"/>
      <c r="N396" s="142"/>
      <c r="O396" s="142"/>
      <c r="P396" s="77">
        <f t="shared" si="139"/>
        <v>0</v>
      </c>
      <c r="Q396" s="78"/>
      <c r="R396" s="143"/>
      <c r="S396" s="143"/>
      <c r="T396" s="77">
        <f t="shared" si="140"/>
        <v>0</v>
      </c>
      <c r="U396" s="75"/>
      <c r="V396" s="76"/>
      <c r="W396" s="135"/>
      <c r="X396" s="135"/>
      <c r="Y396" s="77">
        <f t="shared" si="141"/>
        <v>0</v>
      </c>
      <c r="Z396" s="78"/>
      <c r="AA396" s="142"/>
      <c r="AB396" s="142"/>
      <c r="AC396" s="77">
        <f t="shared" si="142"/>
        <v>0</v>
      </c>
      <c r="AD396" s="78"/>
      <c r="AE396" s="143"/>
      <c r="AF396" s="143"/>
      <c r="AG396" s="79">
        <f t="shared" si="143"/>
        <v>0</v>
      </c>
      <c r="AH396" s="75"/>
      <c r="AI396" s="76"/>
      <c r="AJ396" s="135"/>
      <c r="AK396" s="135"/>
      <c r="AL396" s="77">
        <f t="shared" si="144"/>
        <v>0</v>
      </c>
      <c r="AM396" s="76"/>
      <c r="AN396" s="142"/>
      <c r="AO396" s="142"/>
      <c r="AP396" s="77">
        <f t="shared" si="145"/>
        <v>0</v>
      </c>
      <c r="AQ396" s="78"/>
      <c r="AR396" s="142"/>
      <c r="AS396" s="142"/>
      <c r="AT396" s="79">
        <f t="shared" si="146"/>
        <v>0</v>
      </c>
      <c r="AU396" s="75"/>
      <c r="AV396" s="76"/>
      <c r="AW396" s="135"/>
      <c r="AX396" s="135"/>
      <c r="AY396" s="77">
        <f t="shared" si="147"/>
        <v>0</v>
      </c>
      <c r="AZ396" s="76"/>
      <c r="BA396" s="142"/>
      <c r="BB396" s="142"/>
      <c r="BC396" s="77">
        <f t="shared" si="148"/>
        <v>0</v>
      </c>
      <c r="BD396" s="78"/>
      <c r="BE396" s="142"/>
      <c r="BF396" s="142"/>
      <c r="BG396" s="79">
        <f t="shared" si="149"/>
        <v>0</v>
      </c>
      <c r="BH396" s="75"/>
      <c r="BI396" s="76"/>
      <c r="BJ396" s="135"/>
      <c r="BK396" s="135"/>
      <c r="BL396" s="77">
        <f t="shared" si="150"/>
        <v>0</v>
      </c>
      <c r="BM396" s="78"/>
      <c r="BN396" s="142"/>
      <c r="BO396" s="142"/>
      <c r="BP396" s="77">
        <f t="shared" si="151"/>
        <v>0</v>
      </c>
      <c r="BQ396" s="78"/>
      <c r="BR396" s="142"/>
      <c r="BS396" s="142"/>
      <c r="BT396" s="79">
        <f t="shared" si="152"/>
        <v>0</v>
      </c>
      <c r="BU396" s="75"/>
      <c r="BV396" s="76"/>
      <c r="BW396" s="135"/>
      <c r="BX396" s="135"/>
      <c r="BY396" s="77">
        <f t="shared" si="153"/>
        <v>0</v>
      </c>
      <c r="BZ396" s="78"/>
      <c r="CA396" s="142"/>
      <c r="CB396" s="142"/>
      <c r="CC396" s="77">
        <f t="shared" si="154"/>
        <v>0</v>
      </c>
      <c r="CD396" s="78"/>
      <c r="CE396" s="142"/>
      <c r="CF396" s="142"/>
      <c r="CG396" s="79">
        <f t="shared" si="155"/>
        <v>0</v>
      </c>
      <c r="CH396" s="75"/>
      <c r="CI396" s="76"/>
      <c r="CJ396" s="86"/>
      <c r="CK396" s="86"/>
      <c r="CL396" s="77">
        <f t="shared" si="156"/>
        <v>0</v>
      </c>
      <c r="CM396" s="78"/>
      <c r="CN396" s="85"/>
      <c r="CO396" s="85"/>
      <c r="CP396" s="77">
        <f t="shared" si="157"/>
        <v>0</v>
      </c>
      <c r="CQ396" s="78"/>
      <c r="CR396" s="85"/>
      <c r="CS396" s="85"/>
      <c r="CT396" s="79">
        <f t="shared" si="158"/>
        <v>0</v>
      </c>
      <c r="CU396" s="80">
        <f t="shared" si="168"/>
        <v>0</v>
      </c>
      <c r="CV396" s="81">
        <f t="shared" si="169"/>
        <v>0</v>
      </c>
      <c r="CW396" s="144"/>
      <c r="CX396" s="145">
        <f>IF(ISERROR(VLOOKUP($A396,FIJOS!$B$11:$O$590,14,FALSE)),0,VLOOKUP($A396,FIJOS!$B$11:$O$590,14,FALSE))</f>
        <v>0</v>
      </c>
      <c r="CY396" s="145">
        <f>IF(ISERROR(VLOOKUP(A396,FIJOS!$B$10:$P$590,15,FALSE)),0,VLOOKUP(A396,FIJOS!$B$10:$P$590,15,FALSE))</f>
        <v>0</v>
      </c>
      <c r="CZ396" s="155"/>
      <c r="DA396" s="147"/>
      <c r="DB396" s="147"/>
      <c r="DC396" s="147"/>
      <c r="DD396" s="147"/>
      <c r="DE396" s="147"/>
      <c r="DF396" s="145">
        <f>IF(ISERROR(VLOOKUP($A396,FIJOS!$B$11:$N$590,13,FALSE)),0,VLOOKUP($A396,FIJOS!$B$11:$N$590,13,FALSE))</f>
        <v>0</v>
      </c>
      <c r="DG396" s="145">
        <f>IF(ISERROR(VLOOKUP($A396,FIJOS!$B$11:$P$447,12,FALSE)),0,VLOOKUP($A396,FIJOS!$B$11:$P$447,12,FALSE))</f>
        <v>0</v>
      </c>
      <c r="DH396" s="82">
        <f t="shared" si="234"/>
        <v>0</v>
      </c>
      <c r="DI396" s="83" t="b">
        <f>IF($C396=1,(VLOOKUP($A396,FIJOS!$B$11:$P$545,10,FALSE)/7)*(7-$CU396),IF(AND($C396=2,CV396&lt;$DJ$1),(VLOOKUP($D396,HORAS!$B$4:$C$42,2,FALSE)*24)*$CV396,IF(AND($C396=2,CV396&gt;=$DJ$1),VLOOKUP($D396,HORAS!$B$4:$D$42,3,FALSE),IF(AND($C396=3,$CV396&gt;=$DJ$1),VLOOKUP($A396,FIJOS!$B$11:$P$545,10,FALSE),IF(AND($C396=3,$CV396&lt;$DJ$1),((VLOOKUP($A396,FIJOS!$B$11:$P$545,10,FALSE)/48)*24)*$CV396,IF(AND($C396=4,$CV396&gt;=(42/24)),VLOOKUP($D396,HORAS!$B$4:$D$42,3,FALSE),IF(AND($C396=5,$CV396&gt;=(36/24)),VLOOKUP($D396,HORAS!$B$4:$D$42,3,FALSE))))))))</f>
        <v>0</v>
      </c>
      <c r="DJ396" s="145">
        <f>IF(OR($C396=2),VLOOKUP($D396,HORAS!$B$4:$E$42,4,FALSE)*$EC396,IF(ISERROR(VLOOKUP($A396,FIJOS!$B$11:$P$108,9,FALSE)),0,VLOOKUP($A396,FIJOS!$B$11:$P$231,9,FALSE)*$EC396))</f>
        <v>0</v>
      </c>
      <c r="DK396" s="145">
        <f>IF(OR($C396=2),VLOOKUP($D396,HORAS!$B$4:$F$42,5,FALSE)*$EE396,IF(ISERROR(VLOOKUP($A396,FIJOS!$B$11:$P$108,9,FALSE)),0,VLOOKUP($A396,FIJOS!$B$11:$P$231,9,FALSE)*$EE396))</f>
        <v>0</v>
      </c>
      <c r="DL396" s="144"/>
      <c r="DM396" s="145">
        <f>IF(ISERROR(VLOOKUP($A396,FIJOS!$B$11:$L$646,11,FALSE)),0,VLOOKUP($A396,FIJOS!$B$11:$L$646,11,FALSE))</f>
        <v>0</v>
      </c>
      <c r="DN396" s="148" t="e">
        <f>IF(OR($C396=1,$C396=3),0,IF((VLOOKUP(CAPTURA!D396,HORAS!$B$4:$K$42,10,FALSE)/4)*COUNTIF($H396:$CT396,3)&gt;100,100,(VLOOKUP(CAPTURA!D396,HORAS!$B$4:$K$42,10,FALSE)/4)*COUNTIF($H396:$CT396,3)))</f>
        <v>#N/A</v>
      </c>
      <c r="DO396" s="144" t="e">
        <f>IF(OR($C396=1,$C396=3),0,IF($C396=5,VLOOKUP(D396,HORAS!$B$4:$G$42,6,FALSE),IF(AND($C396=4,$CV396&gt;=(42/24)),VLOOKUP(D396,HORAS!$B$4:$G$42,6,FALSE),IF(COUNTIF($H396:$CL396,"F")&gt;0,0,IF(CV396&gt;$DJ$1,$DJ$1*(VLOOKUP(D396,HORAS!$B$4:$G$42,6,FALSE)/$DJ$1),CV396*(VLOOKUP(D396,HORAS!$B$4:$G$42,6,FALSE)/$DJ$1))))))</f>
        <v>#N/A</v>
      </c>
      <c r="DP396" s="156"/>
      <c r="DQ396" s="148"/>
      <c r="DR396" s="148"/>
      <c r="DS396" s="83" t="e">
        <f t="shared" si="162"/>
        <v>#N/A</v>
      </c>
      <c r="DT396" s="84"/>
      <c r="DU396" s="149" t="e">
        <f t="shared" si="235"/>
        <v>#N/A</v>
      </c>
      <c r="DV396" s="149" t="e">
        <f t="shared" si="236"/>
        <v>#N/A</v>
      </c>
      <c r="DW396" s="144" t="e">
        <f t="shared" si="237"/>
        <v>#N/A</v>
      </c>
      <c r="DX396" s="168"/>
      <c r="DY396" s="29"/>
      <c r="DZ396" s="150"/>
      <c r="EA396" s="134"/>
      <c r="EB396" s="137">
        <f t="shared" si="238"/>
        <v>0</v>
      </c>
      <c r="EC396" s="138">
        <f t="shared" si="239"/>
        <v>0</v>
      </c>
      <c r="ED396" s="137">
        <f t="shared" si="240"/>
        <v>0</v>
      </c>
      <c r="EE396" s="132">
        <f t="shared" si="241"/>
        <v>0</v>
      </c>
      <c r="EF396" s="29"/>
      <c r="EG396" s="134"/>
      <c r="EH396" s="134"/>
      <c r="EI396" s="134"/>
      <c r="EK396" s="29"/>
    </row>
    <row r="397" spans="1:141" ht="15" customHeight="1" x14ac:dyDescent="0.25">
      <c r="A397" s="87"/>
      <c r="B397" s="5"/>
      <c r="C397" s="72"/>
      <c r="D397" s="73"/>
      <c r="E397" s="73"/>
      <c r="F397" s="141"/>
      <c r="G397" s="74"/>
      <c r="H397" s="75"/>
      <c r="I397" s="76"/>
      <c r="J397" s="135"/>
      <c r="K397" s="135"/>
      <c r="L397" s="77">
        <f t="shared" si="138"/>
        <v>0</v>
      </c>
      <c r="M397" s="78"/>
      <c r="N397" s="142"/>
      <c r="O397" s="142"/>
      <c r="P397" s="77">
        <f t="shared" si="139"/>
        <v>0</v>
      </c>
      <c r="Q397" s="78"/>
      <c r="R397" s="143"/>
      <c r="S397" s="143"/>
      <c r="T397" s="77">
        <f t="shared" si="140"/>
        <v>0</v>
      </c>
      <c r="U397" s="75"/>
      <c r="V397" s="76"/>
      <c r="W397" s="135"/>
      <c r="X397" s="135"/>
      <c r="Y397" s="77">
        <f t="shared" si="141"/>
        <v>0</v>
      </c>
      <c r="Z397" s="78"/>
      <c r="AA397" s="142"/>
      <c r="AB397" s="142"/>
      <c r="AC397" s="77">
        <f t="shared" si="142"/>
        <v>0</v>
      </c>
      <c r="AD397" s="78"/>
      <c r="AE397" s="143"/>
      <c r="AF397" s="143"/>
      <c r="AG397" s="79">
        <f t="shared" si="143"/>
        <v>0</v>
      </c>
      <c r="AH397" s="75"/>
      <c r="AI397" s="76"/>
      <c r="AJ397" s="135"/>
      <c r="AK397" s="135"/>
      <c r="AL397" s="77">
        <f t="shared" si="144"/>
        <v>0</v>
      </c>
      <c r="AM397" s="76"/>
      <c r="AN397" s="142"/>
      <c r="AO397" s="142"/>
      <c r="AP397" s="77">
        <f t="shared" si="145"/>
        <v>0</v>
      </c>
      <c r="AQ397" s="78"/>
      <c r="AR397" s="142"/>
      <c r="AS397" s="142"/>
      <c r="AT397" s="79">
        <f t="shared" si="146"/>
        <v>0</v>
      </c>
      <c r="AU397" s="75"/>
      <c r="AV397" s="76"/>
      <c r="AW397" s="135"/>
      <c r="AX397" s="135"/>
      <c r="AY397" s="77">
        <f t="shared" si="147"/>
        <v>0</v>
      </c>
      <c r="AZ397" s="76"/>
      <c r="BA397" s="142"/>
      <c r="BB397" s="142"/>
      <c r="BC397" s="77">
        <f t="shared" si="148"/>
        <v>0</v>
      </c>
      <c r="BD397" s="78"/>
      <c r="BE397" s="142"/>
      <c r="BF397" s="142"/>
      <c r="BG397" s="79">
        <f t="shared" si="149"/>
        <v>0</v>
      </c>
      <c r="BH397" s="75"/>
      <c r="BI397" s="76"/>
      <c r="BJ397" s="135"/>
      <c r="BK397" s="135"/>
      <c r="BL397" s="77">
        <f t="shared" si="150"/>
        <v>0</v>
      </c>
      <c r="BM397" s="78"/>
      <c r="BN397" s="142"/>
      <c r="BO397" s="142"/>
      <c r="BP397" s="77">
        <f t="shared" si="151"/>
        <v>0</v>
      </c>
      <c r="BQ397" s="78"/>
      <c r="BR397" s="142"/>
      <c r="BS397" s="142"/>
      <c r="BT397" s="79">
        <f t="shared" si="152"/>
        <v>0</v>
      </c>
      <c r="BU397" s="75"/>
      <c r="BV397" s="76"/>
      <c r="BW397" s="135"/>
      <c r="BX397" s="135"/>
      <c r="BY397" s="77">
        <f t="shared" si="153"/>
        <v>0</v>
      </c>
      <c r="BZ397" s="78"/>
      <c r="CA397" s="142"/>
      <c r="CB397" s="142"/>
      <c r="CC397" s="77">
        <f t="shared" si="154"/>
        <v>0</v>
      </c>
      <c r="CD397" s="78"/>
      <c r="CE397" s="142"/>
      <c r="CF397" s="142"/>
      <c r="CG397" s="79">
        <f t="shared" si="155"/>
        <v>0</v>
      </c>
      <c r="CH397" s="75"/>
      <c r="CI397" s="76"/>
      <c r="CJ397" s="86"/>
      <c r="CK397" s="86"/>
      <c r="CL397" s="77">
        <f t="shared" si="156"/>
        <v>0</v>
      </c>
      <c r="CM397" s="78"/>
      <c r="CN397" s="85"/>
      <c r="CO397" s="85"/>
      <c r="CP397" s="77">
        <f t="shared" si="157"/>
        <v>0</v>
      </c>
      <c r="CQ397" s="78"/>
      <c r="CR397" s="85"/>
      <c r="CS397" s="85"/>
      <c r="CT397" s="79">
        <f t="shared" si="158"/>
        <v>0</v>
      </c>
      <c r="CU397" s="80">
        <f t="shared" si="168"/>
        <v>0</v>
      </c>
      <c r="CV397" s="81">
        <f t="shared" si="169"/>
        <v>0</v>
      </c>
      <c r="CW397" s="144"/>
      <c r="CX397" s="145">
        <f>IF(ISERROR(VLOOKUP($A397,FIJOS!$B$11:$O$590,14,FALSE)),0,VLOOKUP($A397,FIJOS!$B$11:$O$590,14,FALSE))</f>
        <v>0</v>
      </c>
      <c r="CY397" s="145">
        <f>IF(ISERROR(VLOOKUP(A397,FIJOS!$B$10:$P$590,15,FALSE)),0,VLOOKUP(A397,FIJOS!$B$10:$P$590,15,FALSE))</f>
        <v>0</v>
      </c>
      <c r="CZ397" s="155"/>
      <c r="DA397" s="147"/>
      <c r="DB397" s="147"/>
      <c r="DC397" s="147"/>
      <c r="DD397" s="147"/>
      <c r="DE397" s="147"/>
      <c r="DF397" s="145">
        <f>IF(ISERROR(VLOOKUP($A397,FIJOS!$B$11:$N$590,13,FALSE)),0,VLOOKUP($A397,FIJOS!$B$11:$N$590,13,FALSE))</f>
        <v>0</v>
      </c>
      <c r="DG397" s="145">
        <f>IF(ISERROR(VLOOKUP($A397,FIJOS!$B$11:$P$447,12,FALSE)),0,VLOOKUP($A397,FIJOS!$B$11:$P$447,12,FALSE))</f>
        <v>0</v>
      </c>
      <c r="DH397" s="82">
        <f t="shared" si="234"/>
        <v>0</v>
      </c>
      <c r="DI397" s="83" t="b">
        <f>IF($C397=1,(VLOOKUP($A397,FIJOS!$B$11:$P$545,10,FALSE)/7)*(7-$CU397),IF(AND($C397=2,CV397&lt;$DJ$1),(VLOOKUP($D397,HORAS!$B$4:$C$42,2,FALSE)*24)*$CV397,IF(AND($C397=2,CV397&gt;=$DJ$1),VLOOKUP($D397,HORAS!$B$4:$D$42,3,FALSE),IF(AND($C397=3,$CV397&gt;=$DJ$1),VLOOKUP($A397,FIJOS!$B$11:$P$545,10,FALSE),IF(AND($C397=3,$CV397&lt;$DJ$1),((VLOOKUP($A397,FIJOS!$B$11:$P$545,10,FALSE)/48)*24)*$CV397,IF(AND($C397=4,$CV397&gt;=(42/24)),VLOOKUP($D397,HORAS!$B$4:$D$42,3,FALSE),IF(AND($C397=5,$CV397&gt;=(36/24)),VLOOKUP($D397,HORAS!$B$4:$D$42,3,FALSE))))))))</f>
        <v>0</v>
      </c>
      <c r="DJ397" s="145">
        <f>IF(OR($C397=2),VLOOKUP($D397,HORAS!$B$4:$E$42,4,FALSE)*$EC397,IF(ISERROR(VLOOKUP($A397,FIJOS!$B$11:$P$108,9,FALSE)),0,VLOOKUP($A397,FIJOS!$B$11:$P$231,9,FALSE)*$EC397))</f>
        <v>0</v>
      </c>
      <c r="DK397" s="145">
        <f>IF(OR($C397=2),VLOOKUP($D397,HORAS!$B$4:$F$42,5,FALSE)*$EE397,IF(ISERROR(VLOOKUP($A397,FIJOS!$B$11:$P$108,9,FALSE)),0,VLOOKUP($A397,FIJOS!$B$11:$P$231,9,FALSE)*$EE397))</f>
        <v>0</v>
      </c>
      <c r="DL397" s="144"/>
      <c r="DM397" s="145">
        <f>IF(ISERROR(VLOOKUP($A397,FIJOS!$B$11:$L$646,11,FALSE)),0,VLOOKUP($A397,FIJOS!$B$11:$L$646,11,FALSE))</f>
        <v>0</v>
      </c>
      <c r="DN397" s="148" t="e">
        <f>IF(OR($C397=1,$C397=3),0,IF((VLOOKUP(CAPTURA!D397,HORAS!$B$4:$K$42,10,FALSE)/4)*COUNTIF($H397:$CT397,3)&gt;100,100,(VLOOKUP(CAPTURA!D397,HORAS!$B$4:$K$42,10,FALSE)/4)*COUNTIF($H397:$CT397,3)))</f>
        <v>#N/A</v>
      </c>
      <c r="DO397" s="144" t="e">
        <f>IF(OR($C397=1,$C397=3),0,IF($C397=5,VLOOKUP(D397,HORAS!$B$4:$G$42,6,FALSE),IF(AND($C397=4,$CV397&gt;=(42/24)),VLOOKUP(D397,HORAS!$B$4:$G$42,6,FALSE),IF(COUNTIF($H397:$CL397,"F")&gt;0,0,IF(CV397&gt;$DJ$1,$DJ$1*(VLOOKUP(D397,HORAS!$B$4:$G$42,6,FALSE)/$DJ$1),CV397*(VLOOKUP(D397,HORAS!$B$4:$G$42,6,FALSE)/$DJ$1))))))</f>
        <v>#N/A</v>
      </c>
      <c r="DP397" s="156"/>
      <c r="DQ397" s="148"/>
      <c r="DR397" s="148"/>
      <c r="DS397" s="83" t="e">
        <f t="shared" si="162"/>
        <v>#N/A</v>
      </c>
      <c r="DT397" s="84"/>
      <c r="DU397" s="149" t="e">
        <f t="shared" si="235"/>
        <v>#N/A</v>
      </c>
      <c r="DV397" s="149" t="e">
        <f t="shared" si="236"/>
        <v>#N/A</v>
      </c>
      <c r="DW397" s="144" t="e">
        <f t="shared" si="237"/>
        <v>#N/A</v>
      </c>
      <c r="DX397" s="168"/>
      <c r="DY397" s="29"/>
      <c r="DZ397" s="150"/>
      <c r="EA397" s="134"/>
      <c r="EB397" s="137">
        <f t="shared" si="238"/>
        <v>0</v>
      </c>
      <c r="EC397" s="138">
        <f t="shared" si="239"/>
        <v>0</v>
      </c>
      <c r="ED397" s="137">
        <f t="shared" si="240"/>
        <v>0</v>
      </c>
      <c r="EE397" s="132">
        <f t="shared" si="241"/>
        <v>0</v>
      </c>
      <c r="EF397" s="29"/>
      <c r="EG397" s="134"/>
      <c r="EH397" s="134"/>
      <c r="EI397" s="134"/>
      <c r="EK397" s="29"/>
    </row>
    <row r="398" spans="1:141" ht="15" customHeight="1" x14ac:dyDescent="0.25">
      <c r="A398" s="87"/>
      <c r="B398" s="5"/>
      <c r="C398" s="72"/>
      <c r="D398" s="73"/>
      <c r="E398" s="73"/>
      <c r="F398" s="141"/>
      <c r="G398" s="74"/>
      <c r="H398" s="75"/>
      <c r="I398" s="76"/>
      <c r="J398" s="135"/>
      <c r="K398" s="135"/>
      <c r="L398" s="77">
        <f t="shared" si="138"/>
        <v>0</v>
      </c>
      <c r="M398" s="78"/>
      <c r="N398" s="142"/>
      <c r="O398" s="142"/>
      <c r="P398" s="77">
        <f t="shared" si="139"/>
        <v>0</v>
      </c>
      <c r="Q398" s="78"/>
      <c r="R398" s="143"/>
      <c r="S398" s="143"/>
      <c r="T398" s="77">
        <f t="shared" si="140"/>
        <v>0</v>
      </c>
      <c r="U398" s="75"/>
      <c r="V398" s="76"/>
      <c r="W398" s="135"/>
      <c r="X398" s="135"/>
      <c r="Y398" s="77">
        <f t="shared" si="141"/>
        <v>0</v>
      </c>
      <c r="Z398" s="78"/>
      <c r="AA398" s="142"/>
      <c r="AB398" s="142"/>
      <c r="AC398" s="77">
        <f t="shared" si="142"/>
        <v>0</v>
      </c>
      <c r="AD398" s="78"/>
      <c r="AE398" s="143"/>
      <c r="AF398" s="143"/>
      <c r="AG398" s="79">
        <f t="shared" si="143"/>
        <v>0</v>
      </c>
      <c r="AH398" s="75"/>
      <c r="AI398" s="76"/>
      <c r="AJ398" s="135"/>
      <c r="AK398" s="135"/>
      <c r="AL398" s="77">
        <f t="shared" si="144"/>
        <v>0</v>
      </c>
      <c r="AM398" s="76"/>
      <c r="AN398" s="142"/>
      <c r="AO398" s="142"/>
      <c r="AP398" s="77">
        <f t="shared" si="145"/>
        <v>0</v>
      </c>
      <c r="AQ398" s="78"/>
      <c r="AR398" s="142"/>
      <c r="AS398" s="142"/>
      <c r="AT398" s="79">
        <f t="shared" si="146"/>
        <v>0</v>
      </c>
      <c r="AU398" s="75"/>
      <c r="AV398" s="76"/>
      <c r="AW398" s="135"/>
      <c r="AX398" s="135"/>
      <c r="AY398" s="77">
        <f t="shared" si="147"/>
        <v>0</v>
      </c>
      <c r="AZ398" s="76"/>
      <c r="BA398" s="142"/>
      <c r="BB398" s="142"/>
      <c r="BC398" s="77">
        <f t="shared" si="148"/>
        <v>0</v>
      </c>
      <c r="BD398" s="78"/>
      <c r="BE398" s="142"/>
      <c r="BF398" s="142"/>
      <c r="BG398" s="79">
        <f t="shared" si="149"/>
        <v>0</v>
      </c>
      <c r="BH398" s="75"/>
      <c r="BI398" s="76"/>
      <c r="BJ398" s="135"/>
      <c r="BK398" s="135"/>
      <c r="BL398" s="77">
        <f t="shared" si="150"/>
        <v>0</v>
      </c>
      <c r="BM398" s="78"/>
      <c r="BN398" s="142"/>
      <c r="BO398" s="142"/>
      <c r="BP398" s="77">
        <f t="shared" si="151"/>
        <v>0</v>
      </c>
      <c r="BQ398" s="78"/>
      <c r="BR398" s="142"/>
      <c r="BS398" s="142"/>
      <c r="BT398" s="79">
        <f t="shared" si="152"/>
        <v>0</v>
      </c>
      <c r="BU398" s="75"/>
      <c r="BV398" s="76"/>
      <c r="BW398" s="135"/>
      <c r="BX398" s="135"/>
      <c r="BY398" s="77">
        <f t="shared" si="153"/>
        <v>0</v>
      </c>
      <c r="BZ398" s="78"/>
      <c r="CA398" s="142"/>
      <c r="CB398" s="142"/>
      <c r="CC398" s="77">
        <f t="shared" si="154"/>
        <v>0</v>
      </c>
      <c r="CD398" s="78"/>
      <c r="CE398" s="142"/>
      <c r="CF398" s="142"/>
      <c r="CG398" s="79">
        <f t="shared" si="155"/>
        <v>0</v>
      </c>
      <c r="CH398" s="75"/>
      <c r="CI398" s="76"/>
      <c r="CJ398" s="86"/>
      <c r="CK398" s="86"/>
      <c r="CL398" s="77">
        <f t="shared" si="156"/>
        <v>0</v>
      </c>
      <c r="CM398" s="78"/>
      <c r="CN398" s="85"/>
      <c r="CO398" s="85"/>
      <c r="CP398" s="77">
        <f t="shared" si="157"/>
        <v>0</v>
      </c>
      <c r="CQ398" s="78"/>
      <c r="CR398" s="85"/>
      <c r="CS398" s="85"/>
      <c r="CT398" s="79">
        <f t="shared" si="158"/>
        <v>0</v>
      </c>
      <c r="CU398" s="80">
        <f t="shared" si="168"/>
        <v>0</v>
      </c>
      <c r="CV398" s="81">
        <f t="shared" si="169"/>
        <v>0</v>
      </c>
      <c r="CW398" s="144"/>
      <c r="CX398" s="145">
        <f>IF(ISERROR(VLOOKUP($A398,FIJOS!$B$11:$O$590,14,FALSE)),0,VLOOKUP($A398,FIJOS!$B$11:$O$590,14,FALSE))</f>
        <v>0</v>
      </c>
      <c r="CY398" s="145">
        <f>IF(ISERROR(VLOOKUP(A398,FIJOS!$B$10:$P$590,15,FALSE)),0,VLOOKUP(A398,FIJOS!$B$10:$P$590,15,FALSE))</f>
        <v>0</v>
      </c>
      <c r="CZ398" s="155"/>
      <c r="DA398" s="147"/>
      <c r="DB398" s="147"/>
      <c r="DC398" s="147"/>
      <c r="DD398" s="147"/>
      <c r="DE398" s="147"/>
      <c r="DF398" s="145">
        <f>IF(ISERROR(VLOOKUP($A398,FIJOS!$B$11:$N$590,13,FALSE)),0,VLOOKUP($A398,FIJOS!$B$11:$N$590,13,FALSE))</f>
        <v>0</v>
      </c>
      <c r="DG398" s="145">
        <f>IF(ISERROR(VLOOKUP($A398,FIJOS!$B$11:$P$447,12,FALSE)),0,VLOOKUP($A398,FIJOS!$B$11:$P$447,12,FALSE))</f>
        <v>0</v>
      </c>
      <c r="DH398" s="82">
        <f t="shared" si="234"/>
        <v>0</v>
      </c>
      <c r="DI398" s="83" t="b">
        <f>IF($C398=1,(VLOOKUP($A398,FIJOS!$B$11:$P$545,10,FALSE)/7)*(7-$CU398),IF(AND($C398=2,CV398&lt;$DJ$1),(VLOOKUP($D398,HORAS!$B$4:$C$42,2,FALSE)*24)*$CV398,IF(AND($C398=2,CV398&gt;=$DJ$1),VLOOKUP($D398,HORAS!$B$4:$D$42,3,FALSE),IF(AND($C398=3,$CV398&gt;=$DJ$1),VLOOKUP($A398,FIJOS!$B$11:$P$545,10,FALSE),IF(AND($C398=3,$CV398&lt;$DJ$1),((VLOOKUP($A398,FIJOS!$B$11:$P$545,10,FALSE)/48)*24)*$CV398,IF(AND($C398=4,$CV398&gt;=(42/24)),VLOOKUP($D398,HORAS!$B$4:$D$42,3,FALSE),IF(AND($C398=5,$CV398&gt;=(36/24)),VLOOKUP($D398,HORAS!$B$4:$D$42,3,FALSE))))))))</f>
        <v>0</v>
      </c>
      <c r="DJ398" s="145">
        <f>IF(OR($C398=2),VLOOKUP($D398,HORAS!$B$4:$E$42,4,FALSE)*$EC398,IF(ISERROR(VLOOKUP($A398,FIJOS!$B$11:$P$108,9,FALSE)),0,VLOOKUP($A398,FIJOS!$B$11:$P$231,9,FALSE)*$EC398))</f>
        <v>0</v>
      </c>
      <c r="DK398" s="145">
        <f>IF(OR($C398=2),VLOOKUP($D398,HORAS!$B$4:$F$42,5,FALSE)*$EE398,IF(ISERROR(VLOOKUP($A398,FIJOS!$B$11:$P$108,9,FALSE)),0,VLOOKUP($A398,FIJOS!$B$11:$P$231,9,FALSE)*$EE398))</f>
        <v>0</v>
      </c>
      <c r="DL398" s="144"/>
      <c r="DM398" s="145">
        <f>IF(ISERROR(VLOOKUP($A398,FIJOS!$B$11:$L$646,11,FALSE)),0,VLOOKUP($A398,FIJOS!$B$11:$L$646,11,FALSE))</f>
        <v>0</v>
      </c>
      <c r="DN398" s="148" t="e">
        <f>IF(OR($C398=1,$C398=3),0,IF((VLOOKUP(CAPTURA!D398,HORAS!$B$4:$K$42,10,FALSE)/4)*COUNTIF($H398:$CT398,3)&gt;100,100,(VLOOKUP(CAPTURA!D398,HORAS!$B$4:$K$42,10,FALSE)/4)*COUNTIF($H398:$CT398,3)))</f>
        <v>#N/A</v>
      </c>
      <c r="DO398" s="144" t="e">
        <f>IF(OR($C398=1,$C398=3),0,IF($C398=5,VLOOKUP(D398,HORAS!$B$4:$G$42,6,FALSE),IF(AND($C398=4,$CV398&gt;=(42/24)),VLOOKUP(D398,HORAS!$B$4:$G$42,6,FALSE),IF(COUNTIF($H398:$CL398,"F")&gt;0,0,IF(CV398&gt;$DJ$1,$DJ$1*(VLOOKUP(D398,HORAS!$B$4:$G$42,6,FALSE)/$DJ$1),CV398*(VLOOKUP(D398,HORAS!$B$4:$G$42,6,FALSE)/$DJ$1))))))</f>
        <v>#N/A</v>
      </c>
      <c r="DP398" s="156"/>
      <c r="DQ398" s="148"/>
      <c r="DR398" s="148"/>
      <c r="DS398" s="83" t="e">
        <f t="shared" si="162"/>
        <v>#N/A</v>
      </c>
      <c r="DT398" s="84"/>
      <c r="DU398" s="149" t="e">
        <f t="shared" si="235"/>
        <v>#N/A</v>
      </c>
      <c r="DV398" s="149" t="e">
        <f t="shared" si="236"/>
        <v>#N/A</v>
      </c>
      <c r="DW398" s="144" t="e">
        <f t="shared" si="237"/>
        <v>#N/A</v>
      </c>
      <c r="DX398" s="168"/>
      <c r="DY398" s="29"/>
      <c r="DZ398" s="150"/>
      <c r="EA398" s="134"/>
      <c r="EB398" s="137">
        <f t="shared" si="238"/>
        <v>0</v>
      </c>
      <c r="EC398" s="138">
        <f t="shared" si="239"/>
        <v>0</v>
      </c>
      <c r="ED398" s="137">
        <f t="shared" si="240"/>
        <v>0</v>
      </c>
      <c r="EE398" s="132">
        <f t="shared" si="241"/>
        <v>0</v>
      </c>
      <c r="EF398" s="29"/>
      <c r="EG398" s="134"/>
      <c r="EH398" s="134"/>
      <c r="EI398" s="134"/>
      <c r="EK398" s="29"/>
    </row>
    <row r="399" spans="1:141" ht="15" customHeight="1" x14ac:dyDescent="0.25">
      <c r="A399" s="87"/>
      <c r="B399" s="5"/>
      <c r="C399" s="72"/>
      <c r="D399" s="73"/>
      <c r="E399" s="73"/>
      <c r="F399" s="141"/>
      <c r="G399" s="74"/>
      <c r="H399" s="75"/>
      <c r="I399" s="76"/>
      <c r="J399" s="135"/>
      <c r="K399" s="135"/>
      <c r="L399" s="77">
        <f t="shared" si="138"/>
        <v>0</v>
      </c>
      <c r="M399" s="78"/>
      <c r="N399" s="142"/>
      <c r="O399" s="142"/>
      <c r="P399" s="77">
        <f t="shared" si="139"/>
        <v>0</v>
      </c>
      <c r="Q399" s="78"/>
      <c r="R399" s="143"/>
      <c r="S399" s="143"/>
      <c r="T399" s="77">
        <f t="shared" si="140"/>
        <v>0</v>
      </c>
      <c r="U399" s="75"/>
      <c r="V399" s="76"/>
      <c r="W399" s="135"/>
      <c r="X399" s="135"/>
      <c r="Y399" s="77">
        <f t="shared" si="141"/>
        <v>0</v>
      </c>
      <c r="Z399" s="78"/>
      <c r="AA399" s="142"/>
      <c r="AB399" s="142"/>
      <c r="AC399" s="77">
        <f t="shared" si="142"/>
        <v>0</v>
      </c>
      <c r="AD399" s="78"/>
      <c r="AE399" s="143"/>
      <c r="AF399" s="143"/>
      <c r="AG399" s="79">
        <f t="shared" si="143"/>
        <v>0</v>
      </c>
      <c r="AH399" s="75"/>
      <c r="AI399" s="76"/>
      <c r="AJ399" s="135"/>
      <c r="AK399" s="135"/>
      <c r="AL399" s="77">
        <f t="shared" si="144"/>
        <v>0</v>
      </c>
      <c r="AM399" s="76"/>
      <c r="AN399" s="142"/>
      <c r="AO399" s="142"/>
      <c r="AP399" s="77">
        <f t="shared" si="145"/>
        <v>0</v>
      </c>
      <c r="AQ399" s="78"/>
      <c r="AR399" s="142"/>
      <c r="AS399" s="142"/>
      <c r="AT399" s="79">
        <f t="shared" si="146"/>
        <v>0</v>
      </c>
      <c r="AU399" s="75"/>
      <c r="AV399" s="76"/>
      <c r="AW399" s="135"/>
      <c r="AX399" s="135"/>
      <c r="AY399" s="77">
        <f t="shared" si="147"/>
        <v>0</v>
      </c>
      <c r="AZ399" s="76"/>
      <c r="BA399" s="142"/>
      <c r="BB399" s="142"/>
      <c r="BC399" s="77">
        <f t="shared" si="148"/>
        <v>0</v>
      </c>
      <c r="BD399" s="78"/>
      <c r="BE399" s="142"/>
      <c r="BF399" s="142"/>
      <c r="BG399" s="79">
        <f t="shared" si="149"/>
        <v>0</v>
      </c>
      <c r="BH399" s="75"/>
      <c r="BI399" s="76"/>
      <c r="BJ399" s="135"/>
      <c r="BK399" s="135"/>
      <c r="BL399" s="77">
        <f t="shared" si="150"/>
        <v>0</v>
      </c>
      <c r="BM399" s="78"/>
      <c r="BN399" s="142"/>
      <c r="BO399" s="142"/>
      <c r="BP399" s="77">
        <f t="shared" si="151"/>
        <v>0</v>
      </c>
      <c r="BQ399" s="78"/>
      <c r="BR399" s="142"/>
      <c r="BS399" s="142"/>
      <c r="BT399" s="79">
        <f t="shared" si="152"/>
        <v>0</v>
      </c>
      <c r="BU399" s="75"/>
      <c r="BV399" s="76"/>
      <c r="BW399" s="135"/>
      <c r="BX399" s="135"/>
      <c r="BY399" s="77">
        <f t="shared" si="153"/>
        <v>0</v>
      </c>
      <c r="BZ399" s="78"/>
      <c r="CA399" s="142"/>
      <c r="CB399" s="142"/>
      <c r="CC399" s="77">
        <f t="shared" si="154"/>
        <v>0</v>
      </c>
      <c r="CD399" s="78"/>
      <c r="CE399" s="142"/>
      <c r="CF399" s="142"/>
      <c r="CG399" s="79">
        <f t="shared" si="155"/>
        <v>0</v>
      </c>
      <c r="CH399" s="75"/>
      <c r="CI399" s="76"/>
      <c r="CJ399" s="86"/>
      <c r="CK399" s="86"/>
      <c r="CL399" s="77">
        <f t="shared" si="156"/>
        <v>0</v>
      </c>
      <c r="CM399" s="78"/>
      <c r="CN399" s="85"/>
      <c r="CO399" s="85"/>
      <c r="CP399" s="77">
        <f t="shared" si="157"/>
        <v>0</v>
      </c>
      <c r="CQ399" s="78"/>
      <c r="CR399" s="85"/>
      <c r="CS399" s="85"/>
      <c r="CT399" s="79">
        <f t="shared" si="158"/>
        <v>0</v>
      </c>
      <c r="CU399" s="80">
        <f t="shared" si="168"/>
        <v>0</v>
      </c>
      <c r="CV399" s="81">
        <f t="shared" si="169"/>
        <v>0</v>
      </c>
      <c r="CW399" s="144"/>
      <c r="CX399" s="145">
        <f>IF(ISERROR(VLOOKUP($A399,FIJOS!$B$11:$O$590,14,FALSE)),0,VLOOKUP($A399,FIJOS!$B$11:$O$590,14,FALSE))</f>
        <v>0</v>
      </c>
      <c r="CY399" s="145">
        <f>IF(ISERROR(VLOOKUP(A399,FIJOS!$B$10:$P$590,15,FALSE)),0,VLOOKUP(A399,FIJOS!$B$10:$P$590,15,FALSE))</f>
        <v>0</v>
      </c>
      <c r="CZ399" s="155"/>
      <c r="DA399" s="147"/>
      <c r="DB399" s="147"/>
      <c r="DC399" s="147"/>
      <c r="DD399" s="147"/>
      <c r="DE399" s="147"/>
      <c r="DF399" s="145">
        <f>IF(ISERROR(VLOOKUP($A399,FIJOS!$B$11:$N$590,13,FALSE)),0,VLOOKUP($A399,FIJOS!$B$11:$N$590,13,FALSE))</f>
        <v>0</v>
      </c>
      <c r="DG399" s="145">
        <f>IF(ISERROR(VLOOKUP($A399,FIJOS!$B$11:$P$447,12,FALSE)),0,VLOOKUP($A399,FIJOS!$B$11:$P$447,12,FALSE))</f>
        <v>0</v>
      </c>
      <c r="DH399" s="82">
        <f t="shared" si="234"/>
        <v>0</v>
      </c>
      <c r="DI399" s="83" t="b">
        <f>IF($C399=1,(VLOOKUP($A399,FIJOS!$B$11:$P$545,10,FALSE)/7)*(7-$CU399),IF(AND($C399=2,CV399&lt;$DJ$1),(VLOOKUP($D399,HORAS!$B$4:$C$42,2,FALSE)*24)*$CV399,IF(AND($C399=2,CV399&gt;=$DJ$1),VLOOKUP($D399,HORAS!$B$4:$D$42,3,FALSE),IF(AND($C399=3,$CV399&gt;=$DJ$1),VLOOKUP($A399,FIJOS!$B$11:$P$545,10,FALSE),IF(AND($C399=3,$CV399&lt;$DJ$1),((VLOOKUP($A399,FIJOS!$B$11:$P$545,10,FALSE)/48)*24)*$CV399,IF(AND($C399=4,$CV399&gt;=(42/24)),VLOOKUP($D399,HORAS!$B$4:$D$42,3,FALSE),IF(AND($C399=5,$CV399&gt;=(36/24)),VLOOKUP($D399,HORAS!$B$4:$D$42,3,FALSE))))))))</f>
        <v>0</v>
      </c>
      <c r="DJ399" s="145">
        <f>IF(OR($C399=2),VLOOKUP($D399,HORAS!$B$4:$E$42,4,FALSE)*$EC399,IF(ISERROR(VLOOKUP($A399,FIJOS!$B$11:$P$108,9,FALSE)),0,VLOOKUP($A399,FIJOS!$B$11:$P$231,9,FALSE)*$EC399))</f>
        <v>0</v>
      </c>
      <c r="DK399" s="145">
        <f>IF(OR($C399=2),VLOOKUP($D399,HORAS!$B$4:$F$42,5,FALSE)*$EE399,IF(ISERROR(VLOOKUP($A399,FIJOS!$B$11:$P$108,9,FALSE)),0,VLOOKUP($A399,FIJOS!$B$11:$P$231,9,FALSE)*$EE399))</f>
        <v>0</v>
      </c>
      <c r="DL399" s="144"/>
      <c r="DM399" s="145">
        <f>IF(ISERROR(VLOOKUP($A399,FIJOS!$B$11:$L$646,11,FALSE)),0,VLOOKUP($A399,FIJOS!$B$11:$L$646,11,FALSE))</f>
        <v>0</v>
      </c>
      <c r="DN399" s="148" t="e">
        <f>IF(OR($C399=1,$C399=3),0,IF((VLOOKUP(CAPTURA!D399,HORAS!$B$4:$K$42,10,FALSE)/4)*COUNTIF($H399:$CT399,3)&gt;100,100,(VLOOKUP(CAPTURA!D399,HORAS!$B$4:$K$42,10,FALSE)/4)*COUNTIF($H399:$CT399,3)))</f>
        <v>#N/A</v>
      </c>
      <c r="DO399" s="144" t="e">
        <f>IF(OR($C399=1,$C399=3),0,IF($C399=5,VLOOKUP(D399,HORAS!$B$4:$G$42,6,FALSE),IF(AND($C399=4,$CV399&gt;=(42/24)),VLOOKUP(D399,HORAS!$B$4:$G$42,6,FALSE),IF(COUNTIF($H399:$CL399,"F")&gt;0,0,IF(CV399&gt;$DJ$1,$DJ$1*(VLOOKUP(D399,HORAS!$B$4:$G$42,6,FALSE)/$DJ$1),CV399*(VLOOKUP(D399,HORAS!$B$4:$G$42,6,FALSE)/$DJ$1))))))</f>
        <v>#N/A</v>
      </c>
      <c r="DP399" s="156"/>
      <c r="DQ399" s="148"/>
      <c r="DR399" s="148"/>
      <c r="DS399" s="83" t="e">
        <f t="shared" si="162"/>
        <v>#N/A</v>
      </c>
      <c r="DT399" s="84"/>
      <c r="DU399" s="149" t="e">
        <f t="shared" si="235"/>
        <v>#N/A</v>
      </c>
      <c r="DV399" s="149" t="e">
        <f t="shared" si="236"/>
        <v>#N/A</v>
      </c>
      <c r="DW399" s="144" t="e">
        <f t="shared" si="237"/>
        <v>#N/A</v>
      </c>
      <c r="DX399" s="168"/>
      <c r="DY399" s="29"/>
      <c r="DZ399" s="150"/>
      <c r="EA399" s="134"/>
      <c r="EB399" s="137">
        <f t="shared" si="238"/>
        <v>0</v>
      </c>
      <c r="EC399" s="138">
        <f t="shared" si="239"/>
        <v>0</v>
      </c>
      <c r="ED399" s="137">
        <f t="shared" si="240"/>
        <v>0</v>
      </c>
      <c r="EE399" s="132">
        <f t="shared" si="241"/>
        <v>0</v>
      </c>
      <c r="EF399" s="29"/>
      <c r="EG399" s="134"/>
      <c r="EH399" s="134"/>
      <c r="EI399" s="134"/>
      <c r="EK399" s="29"/>
    </row>
    <row r="400" spans="1:141" ht="15" customHeight="1" x14ac:dyDescent="0.25">
      <c r="A400" s="87"/>
      <c r="B400" s="5"/>
      <c r="C400" s="72"/>
      <c r="D400" s="73"/>
      <c r="E400" s="73"/>
      <c r="F400" s="141"/>
      <c r="G400" s="74"/>
      <c r="H400" s="75"/>
      <c r="I400" s="76"/>
      <c r="J400" s="135"/>
      <c r="K400" s="135"/>
      <c r="L400" s="77">
        <f t="shared" si="138"/>
        <v>0</v>
      </c>
      <c r="M400" s="78"/>
      <c r="N400" s="142"/>
      <c r="O400" s="142"/>
      <c r="P400" s="77">
        <f t="shared" si="139"/>
        <v>0</v>
      </c>
      <c r="Q400" s="78"/>
      <c r="R400" s="143"/>
      <c r="S400" s="143"/>
      <c r="T400" s="77">
        <f t="shared" si="140"/>
        <v>0</v>
      </c>
      <c r="U400" s="75"/>
      <c r="V400" s="76"/>
      <c r="W400" s="135"/>
      <c r="X400" s="135"/>
      <c r="Y400" s="77">
        <f t="shared" si="141"/>
        <v>0</v>
      </c>
      <c r="Z400" s="78"/>
      <c r="AA400" s="142"/>
      <c r="AB400" s="142"/>
      <c r="AC400" s="77">
        <f t="shared" si="142"/>
        <v>0</v>
      </c>
      <c r="AD400" s="78"/>
      <c r="AE400" s="143"/>
      <c r="AF400" s="143"/>
      <c r="AG400" s="79">
        <f t="shared" si="143"/>
        <v>0</v>
      </c>
      <c r="AH400" s="75"/>
      <c r="AI400" s="76"/>
      <c r="AJ400" s="135"/>
      <c r="AK400" s="135"/>
      <c r="AL400" s="77">
        <f t="shared" si="144"/>
        <v>0</v>
      </c>
      <c r="AM400" s="76"/>
      <c r="AN400" s="142"/>
      <c r="AO400" s="142"/>
      <c r="AP400" s="77">
        <f t="shared" si="145"/>
        <v>0</v>
      </c>
      <c r="AQ400" s="78"/>
      <c r="AR400" s="142"/>
      <c r="AS400" s="142"/>
      <c r="AT400" s="79">
        <f t="shared" si="146"/>
        <v>0</v>
      </c>
      <c r="AU400" s="75"/>
      <c r="AV400" s="76"/>
      <c r="AW400" s="135"/>
      <c r="AX400" s="135"/>
      <c r="AY400" s="77">
        <f t="shared" si="147"/>
        <v>0</v>
      </c>
      <c r="AZ400" s="76"/>
      <c r="BA400" s="142"/>
      <c r="BB400" s="142"/>
      <c r="BC400" s="77">
        <f t="shared" si="148"/>
        <v>0</v>
      </c>
      <c r="BD400" s="78"/>
      <c r="BE400" s="142"/>
      <c r="BF400" s="142"/>
      <c r="BG400" s="79">
        <f t="shared" si="149"/>
        <v>0</v>
      </c>
      <c r="BH400" s="75"/>
      <c r="BI400" s="76"/>
      <c r="BJ400" s="135"/>
      <c r="BK400" s="135"/>
      <c r="BL400" s="77">
        <f t="shared" si="150"/>
        <v>0</v>
      </c>
      <c r="BM400" s="78"/>
      <c r="BN400" s="142"/>
      <c r="BO400" s="142"/>
      <c r="BP400" s="77">
        <f t="shared" si="151"/>
        <v>0</v>
      </c>
      <c r="BQ400" s="78"/>
      <c r="BR400" s="142"/>
      <c r="BS400" s="142"/>
      <c r="BT400" s="79">
        <f t="shared" si="152"/>
        <v>0</v>
      </c>
      <c r="BU400" s="75"/>
      <c r="BV400" s="76"/>
      <c r="BW400" s="135"/>
      <c r="BX400" s="135"/>
      <c r="BY400" s="77">
        <f t="shared" si="153"/>
        <v>0</v>
      </c>
      <c r="BZ400" s="78"/>
      <c r="CA400" s="142"/>
      <c r="CB400" s="142"/>
      <c r="CC400" s="77">
        <f t="shared" si="154"/>
        <v>0</v>
      </c>
      <c r="CD400" s="78"/>
      <c r="CE400" s="142"/>
      <c r="CF400" s="142"/>
      <c r="CG400" s="79">
        <f t="shared" si="155"/>
        <v>0</v>
      </c>
      <c r="CH400" s="75"/>
      <c r="CI400" s="76"/>
      <c r="CJ400" s="86"/>
      <c r="CK400" s="86"/>
      <c r="CL400" s="77">
        <f t="shared" si="156"/>
        <v>0</v>
      </c>
      <c r="CM400" s="78"/>
      <c r="CN400" s="85"/>
      <c r="CO400" s="85"/>
      <c r="CP400" s="77">
        <f t="shared" si="157"/>
        <v>0</v>
      </c>
      <c r="CQ400" s="78"/>
      <c r="CR400" s="85"/>
      <c r="CS400" s="85"/>
      <c r="CT400" s="79">
        <f t="shared" si="158"/>
        <v>0</v>
      </c>
      <c r="CU400" s="80">
        <f t="shared" si="168"/>
        <v>0</v>
      </c>
      <c r="CV400" s="81">
        <f t="shared" si="169"/>
        <v>0</v>
      </c>
      <c r="CW400" s="144"/>
      <c r="CX400" s="145">
        <f>IF(ISERROR(VLOOKUP($A400,FIJOS!$B$11:$O$590,14,FALSE)),0,VLOOKUP($A400,FIJOS!$B$11:$O$590,14,FALSE))</f>
        <v>0</v>
      </c>
      <c r="CY400" s="145">
        <f>IF(ISERROR(VLOOKUP(A400,FIJOS!$B$10:$P$590,15,FALSE)),0,VLOOKUP(A400,FIJOS!$B$10:$P$590,15,FALSE))</f>
        <v>0</v>
      </c>
      <c r="CZ400" s="155"/>
      <c r="DA400" s="147"/>
      <c r="DB400" s="147"/>
      <c r="DC400" s="147"/>
      <c r="DD400" s="147"/>
      <c r="DE400" s="147"/>
      <c r="DF400" s="145">
        <f>IF(ISERROR(VLOOKUP($A400,FIJOS!$B$11:$N$590,13,FALSE)),0,VLOOKUP($A400,FIJOS!$B$11:$N$590,13,FALSE))</f>
        <v>0</v>
      </c>
      <c r="DG400" s="145">
        <f>IF(ISERROR(VLOOKUP($A400,FIJOS!$B$11:$P$447,12,FALSE)),0,VLOOKUP($A400,FIJOS!$B$11:$P$447,12,FALSE))</f>
        <v>0</v>
      </c>
      <c r="DH400" s="82">
        <f t="shared" si="234"/>
        <v>0</v>
      </c>
      <c r="DI400" s="83" t="b">
        <f>IF($C400=1,(VLOOKUP($A400,FIJOS!$B$11:$P$545,10,FALSE)/7)*(7-$CU400),IF(AND($C400=2,CV400&lt;$DJ$1),(VLOOKUP($D400,HORAS!$B$4:$C$42,2,FALSE)*24)*$CV400,IF(AND($C400=2,CV400&gt;=$DJ$1),VLOOKUP($D400,HORAS!$B$4:$D$42,3,FALSE),IF(AND($C400=3,$CV400&gt;=$DJ$1),VLOOKUP($A400,FIJOS!$B$11:$P$545,10,FALSE),IF(AND($C400=3,$CV400&lt;$DJ$1),((VLOOKUP($A400,FIJOS!$B$11:$P$545,10,FALSE)/48)*24)*$CV400,IF(AND($C400=4,$CV400&gt;=(42/24)),VLOOKUP($D400,HORAS!$B$4:$D$42,3,FALSE),IF(AND($C400=5,$CV400&gt;=(36/24)),VLOOKUP($D400,HORAS!$B$4:$D$42,3,FALSE))))))))</f>
        <v>0</v>
      </c>
      <c r="DJ400" s="145">
        <f>IF(OR($C400=2),VLOOKUP($D400,HORAS!$B$4:$E$42,4,FALSE)*$EC400,IF(ISERROR(VLOOKUP($A400,FIJOS!$B$11:$P$108,9,FALSE)),0,VLOOKUP($A400,FIJOS!$B$11:$P$231,9,FALSE)*$EC400))</f>
        <v>0</v>
      </c>
      <c r="DK400" s="145">
        <f>IF(OR($C400=2),VLOOKUP($D400,HORAS!$B$4:$F$42,5,FALSE)*$EE400,IF(ISERROR(VLOOKUP($A400,FIJOS!$B$11:$P$108,9,FALSE)),0,VLOOKUP($A400,FIJOS!$B$11:$P$231,9,FALSE)*$EE400))</f>
        <v>0</v>
      </c>
      <c r="DL400" s="144"/>
      <c r="DM400" s="145">
        <f>IF(ISERROR(VLOOKUP($A400,FIJOS!$B$11:$L$646,11,FALSE)),0,VLOOKUP($A400,FIJOS!$B$11:$L$646,11,FALSE))</f>
        <v>0</v>
      </c>
      <c r="DN400" s="148" t="e">
        <f>IF(OR($C400=1,$C400=3),0,IF((VLOOKUP(CAPTURA!D400,HORAS!$B$4:$K$42,10,FALSE)/4)*COUNTIF($H400:$CT400,3)&gt;100,100,(VLOOKUP(CAPTURA!D400,HORAS!$B$4:$K$42,10,FALSE)/4)*COUNTIF($H400:$CT400,3)))</f>
        <v>#N/A</v>
      </c>
      <c r="DO400" s="144" t="e">
        <f>IF(OR($C400=1,$C400=3),0,IF($C400=5,VLOOKUP(D400,HORAS!$B$4:$G$42,6,FALSE),IF(AND($C400=4,$CV400&gt;=(42/24)),VLOOKUP(D400,HORAS!$B$4:$G$42,6,FALSE),IF(COUNTIF($H400:$CL400,"F")&gt;0,0,IF(CV400&gt;$DJ$1,$DJ$1*(VLOOKUP(D400,HORAS!$B$4:$G$42,6,FALSE)/$DJ$1),CV400*(VLOOKUP(D400,HORAS!$B$4:$G$42,6,FALSE)/$DJ$1))))))</f>
        <v>#N/A</v>
      </c>
      <c r="DP400" s="156"/>
      <c r="DQ400" s="148"/>
      <c r="DR400" s="148"/>
      <c r="DS400" s="83" t="e">
        <f t="shared" si="162"/>
        <v>#N/A</v>
      </c>
      <c r="DT400" s="84"/>
      <c r="DU400" s="149" t="e">
        <f t="shared" si="235"/>
        <v>#N/A</v>
      </c>
      <c r="DV400" s="149" t="e">
        <f t="shared" si="236"/>
        <v>#N/A</v>
      </c>
      <c r="DW400" s="144" t="e">
        <f t="shared" si="237"/>
        <v>#N/A</v>
      </c>
      <c r="DX400" s="168"/>
      <c r="DY400" s="29"/>
      <c r="DZ400" s="150"/>
      <c r="EA400" s="134"/>
      <c r="EB400" s="137">
        <f t="shared" si="238"/>
        <v>0</v>
      </c>
      <c r="EC400" s="138">
        <f t="shared" si="239"/>
        <v>0</v>
      </c>
      <c r="ED400" s="137">
        <f t="shared" si="240"/>
        <v>0</v>
      </c>
      <c r="EE400" s="132">
        <f t="shared" si="241"/>
        <v>0</v>
      </c>
      <c r="EF400" s="29"/>
      <c r="EG400" s="134"/>
      <c r="EH400" s="134"/>
      <c r="EI400" s="134"/>
      <c r="EK400" s="29"/>
    </row>
    <row r="401" spans="1:141" ht="15" customHeight="1" x14ac:dyDescent="0.25">
      <c r="A401" s="87"/>
      <c r="B401" s="5"/>
      <c r="C401" s="72"/>
      <c r="D401" s="73"/>
      <c r="E401" s="73"/>
      <c r="F401" s="141"/>
      <c r="G401" s="74"/>
      <c r="H401" s="75"/>
      <c r="I401" s="76"/>
      <c r="J401" s="135"/>
      <c r="K401" s="135"/>
      <c r="L401" s="77">
        <f t="shared" si="138"/>
        <v>0</v>
      </c>
      <c r="M401" s="78"/>
      <c r="N401" s="142"/>
      <c r="O401" s="142"/>
      <c r="P401" s="77">
        <f t="shared" si="139"/>
        <v>0</v>
      </c>
      <c r="Q401" s="78"/>
      <c r="R401" s="143"/>
      <c r="S401" s="143"/>
      <c r="T401" s="77">
        <f t="shared" si="140"/>
        <v>0</v>
      </c>
      <c r="U401" s="75"/>
      <c r="V401" s="76"/>
      <c r="W401" s="135"/>
      <c r="X401" s="135"/>
      <c r="Y401" s="77">
        <f t="shared" si="141"/>
        <v>0</v>
      </c>
      <c r="Z401" s="78"/>
      <c r="AA401" s="142"/>
      <c r="AB401" s="142"/>
      <c r="AC401" s="77">
        <f t="shared" si="142"/>
        <v>0</v>
      </c>
      <c r="AD401" s="78"/>
      <c r="AE401" s="143"/>
      <c r="AF401" s="143"/>
      <c r="AG401" s="79">
        <f t="shared" si="143"/>
        <v>0</v>
      </c>
      <c r="AH401" s="75"/>
      <c r="AI401" s="76"/>
      <c r="AJ401" s="135"/>
      <c r="AK401" s="135"/>
      <c r="AL401" s="77">
        <f t="shared" si="144"/>
        <v>0</v>
      </c>
      <c r="AM401" s="76"/>
      <c r="AN401" s="142"/>
      <c r="AO401" s="142"/>
      <c r="AP401" s="77">
        <f t="shared" si="145"/>
        <v>0</v>
      </c>
      <c r="AQ401" s="78"/>
      <c r="AR401" s="142"/>
      <c r="AS401" s="142"/>
      <c r="AT401" s="79">
        <f t="shared" si="146"/>
        <v>0</v>
      </c>
      <c r="AU401" s="75"/>
      <c r="AV401" s="76"/>
      <c r="AW401" s="135"/>
      <c r="AX401" s="135"/>
      <c r="AY401" s="77">
        <f t="shared" si="147"/>
        <v>0</v>
      </c>
      <c r="AZ401" s="76"/>
      <c r="BA401" s="142"/>
      <c r="BB401" s="142"/>
      <c r="BC401" s="77">
        <f t="shared" si="148"/>
        <v>0</v>
      </c>
      <c r="BD401" s="78"/>
      <c r="BE401" s="142"/>
      <c r="BF401" s="142"/>
      <c r="BG401" s="79">
        <f t="shared" si="149"/>
        <v>0</v>
      </c>
      <c r="BH401" s="75"/>
      <c r="BI401" s="76"/>
      <c r="BJ401" s="135"/>
      <c r="BK401" s="135"/>
      <c r="BL401" s="77">
        <f t="shared" si="150"/>
        <v>0</v>
      </c>
      <c r="BM401" s="78"/>
      <c r="BN401" s="142"/>
      <c r="BO401" s="142"/>
      <c r="BP401" s="77">
        <f t="shared" si="151"/>
        <v>0</v>
      </c>
      <c r="BQ401" s="78"/>
      <c r="BR401" s="142"/>
      <c r="BS401" s="142"/>
      <c r="BT401" s="79">
        <f t="shared" si="152"/>
        <v>0</v>
      </c>
      <c r="BU401" s="75"/>
      <c r="BV401" s="76"/>
      <c r="BW401" s="135"/>
      <c r="BX401" s="135"/>
      <c r="BY401" s="77">
        <f t="shared" si="153"/>
        <v>0</v>
      </c>
      <c r="BZ401" s="78"/>
      <c r="CA401" s="142"/>
      <c r="CB401" s="142"/>
      <c r="CC401" s="77">
        <f t="shared" si="154"/>
        <v>0</v>
      </c>
      <c r="CD401" s="78"/>
      <c r="CE401" s="142"/>
      <c r="CF401" s="142"/>
      <c r="CG401" s="79">
        <f t="shared" si="155"/>
        <v>0</v>
      </c>
      <c r="CH401" s="75"/>
      <c r="CI401" s="76"/>
      <c r="CJ401" s="86"/>
      <c r="CK401" s="86"/>
      <c r="CL401" s="77">
        <f t="shared" si="156"/>
        <v>0</v>
      </c>
      <c r="CM401" s="78"/>
      <c r="CN401" s="85"/>
      <c r="CO401" s="85"/>
      <c r="CP401" s="77">
        <f t="shared" si="157"/>
        <v>0</v>
      </c>
      <c r="CQ401" s="78"/>
      <c r="CR401" s="85"/>
      <c r="CS401" s="85"/>
      <c r="CT401" s="79">
        <f t="shared" si="158"/>
        <v>0</v>
      </c>
      <c r="CU401" s="80">
        <f t="shared" si="168"/>
        <v>0</v>
      </c>
      <c r="CV401" s="81">
        <f t="shared" si="169"/>
        <v>0</v>
      </c>
      <c r="CW401" s="144"/>
      <c r="CX401" s="145">
        <f>IF(ISERROR(VLOOKUP($A401,FIJOS!$B$11:$O$590,14,FALSE)),0,VLOOKUP($A401,FIJOS!$B$11:$O$590,14,FALSE))</f>
        <v>0</v>
      </c>
      <c r="CY401" s="145">
        <f>IF(ISERROR(VLOOKUP(A401,FIJOS!$B$10:$P$590,15,FALSE)),0,VLOOKUP(A401,FIJOS!$B$10:$P$590,15,FALSE))</f>
        <v>0</v>
      </c>
      <c r="CZ401" s="155"/>
      <c r="DA401" s="147"/>
      <c r="DB401" s="147"/>
      <c r="DC401" s="147"/>
      <c r="DD401" s="147"/>
      <c r="DE401" s="147"/>
      <c r="DF401" s="145">
        <f>IF(ISERROR(VLOOKUP($A401,FIJOS!$B$11:$N$590,13,FALSE)),0,VLOOKUP($A401,FIJOS!$B$11:$N$590,13,FALSE))</f>
        <v>0</v>
      </c>
      <c r="DG401" s="145">
        <f>IF(ISERROR(VLOOKUP($A401,FIJOS!$B$11:$P$447,12,FALSE)),0,VLOOKUP($A401,FIJOS!$B$11:$P$447,12,FALSE))</f>
        <v>0</v>
      </c>
      <c r="DH401" s="82">
        <f t="shared" si="234"/>
        <v>0</v>
      </c>
      <c r="DI401" s="83" t="b">
        <f>IF($C401=1,(VLOOKUP($A401,FIJOS!$B$11:$P$545,10,FALSE)/7)*(7-$CU401),IF(AND($C401=2,CV401&lt;$DJ$1),(VLOOKUP($D401,HORAS!$B$4:$C$42,2,FALSE)*24)*$CV401,IF(AND($C401=2,CV401&gt;=$DJ$1),VLOOKUP($D401,HORAS!$B$4:$D$42,3,FALSE),IF(AND($C401=3,$CV401&gt;=$DJ$1),VLOOKUP($A401,FIJOS!$B$11:$P$545,10,FALSE),IF(AND($C401=3,$CV401&lt;$DJ$1),((VLOOKUP($A401,FIJOS!$B$11:$P$545,10,FALSE)/48)*24)*$CV401,IF(AND($C401=4,$CV401&gt;=(42/24)),VLOOKUP($D401,HORAS!$B$4:$D$42,3,FALSE),IF(AND($C401=5,$CV401&gt;=(36/24)),VLOOKUP($D401,HORAS!$B$4:$D$42,3,FALSE))))))))</f>
        <v>0</v>
      </c>
      <c r="DJ401" s="145">
        <f>IF(OR($C401=2),VLOOKUP($D401,HORAS!$B$4:$E$42,4,FALSE)*$EC401,IF(ISERROR(VLOOKUP($A401,FIJOS!$B$11:$P$108,9,FALSE)),0,VLOOKUP($A401,FIJOS!$B$11:$P$231,9,FALSE)*$EC401))</f>
        <v>0</v>
      </c>
      <c r="DK401" s="145">
        <f>IF(OR($C401=2),VLOOKUP($D401,HORAS!$B$4:$F$42,5,FALSE)*$EE401,IF(ISERROR(VLOOKUP($A401,FIJOS!$B$11:$P$108,9,FALSE)),0,VLOOKUP($A401,FIJOS!$B$11:$P$231,9,FALSE)*$EE401))</f>
        <v>0</v>
      </c>
      <c r="DL401" s="144"/>
      <c r="DM401" s="145">
        <f>IF(ISERROR(VLOOKUP($A401,FIJOS!$B$11:$L$646,11,FALSE)),0,VLOOKUP($A401,FIJOS!$B$11:$L$646,11,FALSE))</f>
        <v>0</v>
      </c>
      <c r="DN401" s="148" t="e">
        <f>IF(OR($C401=1,$C401=3),0,IF((VLOOKUP(CAPTURA!D401,HORAS!$B$4:$K$42,10,FALSE)/4)*COUNTIF($H401:$CT401,3)&gt;100,100,(VLOOKUP(CAPTURA!D401,HORAS!$B$4:$K$42,10,FALSE)/4)*COUNTIF($H401:$CT401,3)))</f>
        <v>#N/A</v>
      </c>
      <c r="DO401" s="144" t="e">
        <f>IF(OR($C401=1,$C401=3),0,IF($C401=5,VLOOKUP(D401,HORAS!$B$4:$G$42,6,FALSE),IF(AND($C401=4,$CV401&gt;=(42/24)),VLOOKUP(D401,HORAS!$B$4:$G$42,6,FALSE),IF(COUNTIF($H401:$CL401,"F")&gt;0,0,IF(CV401&gt;$DJ$1,$DJ$1*(VLOOKUP(D401,HORAS!$B$4:$G$42,6,FALSE)/$DJ$1),CV401*(VLOOKUP(D401,HORAS!$B$4:$G$42,6,FALSE)/$DJ$1))))))</f>
        <v>#N/A</v>
      </c>
      <c r="DP401" s="156"/>
      <c r="DQ401" s="148"/>
      <c r="DR401" s="148"/>
      <c r="DS401" s="83" t="e">
        <f t="shared" si="162"/>
        <v>#N/A</v>
      </c>
      <c r="DT401" s="84"/>
      <c r="DU401" s="149" t="e">
        <f t="shared" si="235"/>
        <v>#N/A</v>
      </c>
      <c r="DV401" s="149" t="e">
        <f t="shared" si="236"/>
        <v>#N/A</v>
      </c>
      <c r="DW401" s="144" t="e">
        <f t="shared" si="237"/>
        <v>#N/A</v>
      </c>
      <c r="DX401" s="168"/>
      <c r="DY401" s="29"/>
      <c r="DZ401" s="150"/>
      <c r="EA401" s="134"/>
      <c r="EB401" s="137">
        <f t="shared" si="238"/>
        <v>0</v>
      </c>
      <c r="EC401" s="138">
        <f t="shared" si="239"/>
        <v>0</v>
      </c>
      <c r="ED401" s="137">
        <f t="shared" si="240"/>
        <v>0</v>
      </c>
      <c r="EE401" s="132">
        <f t="shared" si="241"/>
        <v>0</v>
      </c>
      <c r="EF401" s="29"/>
      <c r="EG401" s="134"/>
      <c r="EH401" s="134"/>
      <c r="EI401" s="134"/>
      <c r="EK401" s="29"/>
    </row>
    <row r="402" spans="1:141" ht="15" customHeight="1" x14ac:dyDescent="0.25">
      <c r="A402" s="87"/>
      <c r="B402" s="5"/>
      <c r="C402" s="72"/>
      <c r="D402" s="73"/>
      <c r="E402" s="73"/>
      <c r="F402" s="141"/>
      <c r="G402" s="74"/>
      <c r="H402" s="75"/>
      <c r="I402" s="76"/>
      <c r="J402" s="135"/>
      <c r="K402" s="135"/>
      <c r="L402" s="77">
        <f t="shared" si="138"/>
        <v>0</v>
      </c>
      <c r="M402" s="78"/>
      <c r="N402" s="142"/>
      <c r="O402" s="142"/>
      <c r="P402" s="77">
        <f t="shared" si="139"/>
        <v>0</v>
      </c>
      <c r="Q402" s="78"/>
      <c r="R402" s="143"/>
      <c r="S402" s="143"/>
      <c r="T402" s="77">
        <f t="shared" si="140"/>
        <v>0</v>
      </c>
      <c r="U402" s="75"/>
      <c r="V402" s="76"/>
      <c r="W402" s="135"/>
      <c r="X402" s="135"/>
      <c r="Y402" s="77">
        <f t="shared" si="141"/>
        <v>0</v>
      </c>
      <c r="Z402" s="78"/>
      <c r="AA402" s="142"/>
      <c r="AB402" s="142"/>
      <c r="AC402" s="77">
        <f t="shared" si="142"/>
        <v>0</v>
      </c>
      <c r="AD402" s="78"/>
      <c r="AE402" s="143"/>
      <c r="AF402" s="143"/>
      <c r="AG402" s="79">
        <f t="shared" si="143"/>
        <v>0</v>
      </c>
      <c r="AH402" s="75"/>
      <c r="AI402" s="76"/>
      <c r="AJ402" s="135"/>
      <c r="AK402" s="135"/>
      <c r="AL402" s="77">
        <f t="shared" si="144"/>
        <v>0</v>
      </c>
      <c r="AM402" s="76"/>
      <c r="AN402" s="142"/>
      <c r="AO402" s="142"/>
      <c r="AP402" s="77">
        <f t="shared" si="145"/>
        <v>0</v>
      </c>
      <c r="AQ402" s="78"/>
      <c r="AR402" s="142"/>
      <c r="AS402" s="142"/>
      <c r="AT402" s="79">
        <f t="shared" si="146"/>
        <v>0</v>
      </c>
      <c r="AU402" s="75"/>
      <c r="AV402" s="76"/>
      <c r="AW402" s="135"/>
      <c r="AX402" s="135"/>
      <c r="AY402" s="77">
        <f t="shared" si="147"/>
        <v>0</v>
      </c>
      <c r="AZ402" s="76"/>
      <c r="BA402" s="142"/>
      <c r="BB402" s="142"/>
      <c r="BC402" s="77">
        <f t="shared" si="148"/>
        <v>0</v>
      </c>
      <c r="BD402" s="78"/>
      <c r="BE402" s="142"/>
      <c r="BF402" s="142"/>
      <c r="BG402" s="79">
        <f t="shared" si="149"/>
        <v>0</v>
      </c>
      <c r="BH402" s="75"/>
      <c r="BI402" s="76"/>
      <c r="BJ402" s="135"/>
      <c r="BK402" s="135"/>
      <c r="BL402" s="77">
        <f t="shared" si="150"/>
        <v>0</v>
      </c>
      <c r="BM402" s="78"/>
      <c r="BN402" s="142"/>
      <c r="BO402" s="142"/>
      <c r="BP402" s="77">
        <f t="shared" si="151"/>
        <v>0</v>
      </c>
      <c r="BQ402" s="78"/>
      <c r="BR402" s="142"/>
      <c r="BS402" s="142"/>
      <c r="BT402" s="79">
        <f t="shared" si="152"/>
        <v>0</v>
      </c>
      <c r="BU402" s="75"/>
      <c r="BV402" s="76"/>
      <c r="BW402" s="135"/>
      <c r="BX402" s="135"/>
      <c r="BY402" s="77">
        <f t="shared" si="153"/>
        <v>0</v>
      </c>
      <c r="BZ402" s="78"/>
      <c r="CA402" s="142"/>
      <c r="CB402" s="142"/>
      <c r="CC402" s="77">
        <f t="shared" si="154"/>
        <v>0</v>
      </c>
      <c r="CD402" s="78"/>
      <c r="CE402" s="142"/>
      <c r="CF402" s="142"/>
      <c r="CG402" s="79">
        <f t="shared" si="155"/>
        <v>0</v>
      </c>
      <c r="CH402" s="75"/>
      <c r="CI402" s="76"/>
      <c r="CJ402" s="86"/>
      <c r="CK402" s="86"/>
      <c r="CL402" s="77">
        <f t="shared" si="156"/>
        <v>0</v>
      </c>
      <c r="CM402" s="78"/>
      <c r="CN402" s="85"/>
      <c r="CO402" s="85"/>
      <c r="CP402" s="77">
        <f t="shared" si="157"/>
        <v>0</v>
      </c>
      <c r="CQ402" s="78"/>
      <c r="CR402" s="85"/>
      <c r="CS402" s="85"/>
      <c r="CT402" s="79">
        <f t="shared" si="158"/>
        <v>0</v>
      </c>
      <c r="CU402" s="80">
        <f t="shared" si="168"/>
        <v>0</v>
      </c>
      <c r="CV402" s="81">
        <f t="shared" si="169"/>
        <v>0</v>
      </c>
      <c r="CW402" s="144"/>
      <c r="CX402" s="145">
        <f>IF(ISERROR(VLOOKUP($A402,FIJOS!$B$11:$O$590,14,FALSE)),0,VLOOKUP($A402,FIJOS!$B$11:$O$590,14,FALSE))</f>
        <v>0</v>
      </c>
      <c r="CY402" s="145">
        <f>IF(ISERROR(VLOOKUP(A402,FIJOS!$B$10:$P$590,15,FALSE)),0,VLOOKUP(A402,FIJOS!$B$10:$P$590,15,FALSE))</f>
        <v>0</v>
      </c>
      <c r="CZ402" s="155"/>
      <c r="DA402" s="147"/>
      <c r="DB402" s="147"/>
      <c r="DC402" s="147"/>
      <c r="DD402" s="147"/>
      <c r="DE402" s="147"/>
      <c r="DF402" s="145">
        <f>IF(ISERROR(VLOOKUP($A402,FIJOS!$B$11:$N$590,13,FALSE)),0,VLOOKUP($A402,FIJOS!$B$11:$N$590,13,FALSE))</f>
        <v>0</v>
      </c>
      <c r="DG402" s="145">
        <f>IF(ISERROR(VLOOKUP($A402,FIJOS!$B$11:$P$447,12,FALSE)),0,VLOOKUP($A402,FIJOS!$B$11:$P$447,12,FALSE))</f>
        <v>0</v>
      </c>
      <c r="DH402" s="82">
        <f t="shared" si="234"/>
        <v>0</v>
      </c>
      <c r="DI402" s="83" t="b">
        <f>IF($C402=1,(VLOOKUP($A402,FIJOS!$B$11:$P$545,10,FALSE)/7)*(7-$CU402),IF(AND($C402=2,CV402&lt;$DJ$1),(VLOOKUP($D402,HORAS!$B$4:$C$42,2,FALSE)*24)*$CV402,IF(AND($C402=2,CV402&gt;=$DJ$1),VLOOKUP($D402,HORAS!$B$4:$D$42,3,FALSE),IF(AND($C402=3,$CV402&gt;=$DJ$1),VLOOKUP($A402,FIJOS!$B$11:$P$545,10,FALSE),IF(AND($C402=3,$CV402&lt;$DJ$1),((VLOOKUP($A402,FIJOS!$B$11:$P$545,10,FALSE)/48)*24)*$CV402,IF(AND($C402=4,$CV402&gt;=(42/24)),VLOOKUP($D402,HORAS!$B$4:$D$42,3,FALSE),IF(AND($C402=5,$CV402&gt;=(36/24)),VLOOKUP($D402,HORAS!$B$4:$D$42,3,FALSE))))))))</f>
        <v>0</v>
      </c>
      <c r="DJ402" s="145">
        <f>IF(OR($C402=2),VLOOKUP($D402,HORAS!$B$4:$E$42,4,FALSE)*$EC402,IF(ISERROR(VLOOKUP($A402,FIJOS!$B$11:$P$108,9,FALSE)),0,VLOOKUP($A402,FIJOS!$B$11:$P$231,9,FALSE)*$EC402))</f>
        <v>0</v>
      </c>
      <c r="DK402" s="145">
        <f>IF(OR($C402=2),VLOOKUP($D402,HORAS!$B$4:$F$42,5,FALSE)*$EE402,IF(ISERROR(VLOOKUP($A402,FIJOS!$B$11:$P$108,9,FALSE)),0,VLOOKUP($A402,FIJOS!$B$11:$P$231,9,FALSE)*$EE402))</f>
        <v>0</v>
      </c>
      <c r="DL402" s="144"/>
      <c r="DM402" s="145">
        <f>IF(ISERROR(VLOOKUP($A402,FIJOS!$B$11:$L$646,11,FALSE)),0,VLOOKUP($A402,FIJOS!$B$11:$L$646,11,FALSE))</f>
        <v>0</v>
      </c>
      <c r="DN402" s="148" t="e">
        <f>IF(OR($C402=1,$C402=3),0,IF((VLOOKUP(CAPTURA!D402,HORAS!$B$4:$K$42,10,FALSE)/4)*COUNTIF($H402:$CT402,3)&gt;100,100,(VLOOKUP(CAPTURA!D402,HORAS!$B$4:$K$42,10,FALSE)/4)*COUNTIF($H402:$CT402,3)))</f>
        <v>#N/A</v>
      </c>
      <c r="DO402" s="144" t="e">
        <f>IF(OR($C402=1,$C402=3),0,IF($C402=5,VLOOKUP(D402,HORAS!$B$4:$G$42,6,FALSE),IF(AND($C402=4,$CV402&gt;=(42/24)),VLOOKUP(D402,HORAS!$B$4:$G$42,6,FALSE),IF(COUNTIF($H402:$CL402,"F")&gt;0,0,IF(CV402&gt;$DJ$1,$DJ$1*(VLOOKUP(D402,HORAS!$B$4:$G$42,6,FALSE)/$DJ$1),CV402*(VLOOKUP(D402,HORAS!$B$4:$G$42,6,FALSE)/$DJ$1))))))</f>
        <v>#N/A</v>
      </c>
      <c r="DP402" s="156"/>
      <c r="DQ402" s="148"/>
      <c r="DR402" s="148"/>
      <c r="DS402" s="83" t="e">
        <f t="shared" si="162"/>
        <v>#N/A</v>
      </c>
      <c r="DT402" s="84"/>
      <c r="DU402" s="149" t="e">
        <f t="shared" si="235"/>
        <v>#N/A</v>
      </c>
      <c r="DV402" s="149" t="e">
        <f t="shared" si="236"/>
        <v>#N/A</v>
      </c>
      <c r="DW402" s="144" t="e">
        <f t="shared" si="237"/>
        <v>#N/A</v>
      </c>
      <c r="DX402" s="168"/>
      <c r="DY402" s="29"/>
      <c r="DZ402" s="150"/>
      <c r="EA402" s="134"/>
      <c r="EB402" s="137">
        <f t="shared" si="238"/>
        <v>0</v>
      </c>
      <c r="EC402" s="138">
        <f t="shared" si="239"/>
        <v>0</v>
      </c>
      <c r="ED402" s="137">
        <f t="shared" si="240"/>
        <v>0</v>
      </c>
      <c r="EE402" s="132">
        <f t="shared" si="241"/>
        <v>0</v>
      </c>
      <c r="EF402" s="29"/>
      <c r="EG402" s="134"/>
      <c r="EH402" s="134"/>
      <c r="EI402" s="134"/>
      <c r="EK402" s="29"/>
    </row>
    <row r="403" spans="1:141" ht="15" customHeight="1" x14ac:dyDescent="0.25">
      <c r="A403" s="87"/>
      <c r="B403" s="5"/>
      <c r="C403" s="72"/>
      <c r="D403" s="73"/>
      <c r="E403" s="73"/>
      <c r="F403" s="141"/>
      <c r="G403" s="74"/>
      <c r="H403" s="75"/>
      <c r="I403" s="76"/>
      <c r="J403" s="135"/>
      <c r="K403" s="135"/>
      <c r="L403" s="77">
        <f t="shared" si="138"/>
        <v>0</v>
      </c>
      <c r="M403" s="78"/>
      <c r="N403" s="142"/>
      <c r="O403" s="142"/>
      <c r="P403" s="77">
        <f t="shared" si="139"/>
        <v>0</v>
      </c>
      <c r="Q403" s="78"/>
      <c r="R403" s="143"/>
      <c r="S403" s="143"/>
      <c r="T403" s="77">
        <f t="shared" si="140"/>
        <v>0</v>
      </c>
      <c r="U403" s="75"/>
      <c r="V403" s="76"/>
      <c r="W403" s="135"/>
      <c r="X403" s="135"/>
      <c r="Y403" s="77">
        <f t="shared" si="141"/>
        <v>0</v>
      </c>
      <c r="Z403" s="78"/>
      <c r="AA403" s="142"/>
      <c r="AB403" s="142"/>
      <c r="AC403" s="77">
        <f t="shared" si="142"/>
        <v>0</v>
      </c>
      <c r="AD403" s="78"/>
      <c r="AE403" s="143"/>
      <c r="AF403" s="143"/>
      <c r="AG403" s="79">
        <f t="shared" si="143"/>
        <v>0</v>
      </c>
      <c r="AH403" s="75"/>
      <c r="AI403" s="76"/>
      <c r="AJ403" s="135"/>
      <c r="AK403" s="135"/>
      <c r="AL403" s="77">
        <f t="shared" si="144"/>
        <v>0</v>
      </c>
      <c r="AM403" s="76"/>
      <c r="AN403" s="142"/>
      <c r="AO403" s="142"/>
      <c r="AP403" s="77">
        <f t="shared" si="145"/>
        <v>0</v>
      </c>
      <c r="AQ403" s="78"/>
      <c r="AR403" s="142"/>
      <c r="AS403" s="142"/>
      <c r="AT403" s="79">
        <f t="shared" si="146"/>
        <v>0</v>
      </c>
      <c r="AU403" s="75"/>
      <c r="AV403" s="76"/>
      <c r="AW403" s="135"/>
      <c r="AX403" s="135"/>
      <c r="AY403" s="77">
        <f t="shared" si="147"/>
        <v>0</v>
      </c>
      <c r="AZ403" s="76"/>
      <c r="BA403" s="142"/>
      <c r="BB403" s="142"/>
      <c r="BC403" s="77">
        <f t="shared" si="148"/>
        <v>0</v>
      </c>
      <c r="BD403" s="78"/>
      <c r="BE403" s="142"/>
      <c r="BF403" s="142"/>
      <c r="BG403" s="79">
        <f t="shared" si="149"/>
        <v>0</v>
      </c>
      <c r="BH403" s="75"/>
      <c r="BI403" s="76"/>
      <c r="BJ403" s="135"/>
      <c r="BK403" s="135"/>
      <c r="BL403" s="77">
        <f t="shared" si="150"/>
        <v>0</v>
      </c>
      <c r="BM403" s="78"/>
      <c r="BN403" s="142"/>
      <c r="BO403" s="142"/>
      <c r="BP403" s="77">
        <f t="shared" si="151"/>
        <v>0</v>
      </c>
      <c r="BQ403" s="78"/>
      <c r="BR403" s="142"/>
      <c r="BS403" s="142"/>
      <c r="BT403" s="79">
        <f t="shared" si="152"/>
        <v>0</v>
      </c>
      <c r="BU403" s="75"/>
      <c r="BV403" s="76"/>
      <c r="BW403" s="135"/>
      <c r="BX403" s="135"/>
      <c r="BY403" s="77">
        <f t="shared" si="153"/>
        <v>0</v>
      </c>
      <c r="BZ403" s="78"/>
      <c r="CA403" s="142"/>
      <c r="CB403" s="142"/>
      <c r="CC403" s="77">
        <f t="shared" si="154"/>
        <v>0</v>
      </c>
      <c r="CD403" s="78"/>
      <c r="CE403" s="142"/>
      <c r="CF403" s="142"/>
      <c r="CG403" s="79">
        <f t="shared" si="155"/>
        <v>0</v>
      </c>
      <c r="CH403" s="75"/>
      <c r="CI403" s="76"/>
      <c r="CJ403" s="86"/>
      <c r="CK403" s="86"/>
      <c r="CL403" s="77">
        <f t="shared" si="156"/>
        <v>0</v>
      </c>
      <c r="CM403" s="78"/>
      <c r="CN403" s="85"/>
      <c r="CO403" s="85"/>
      <c r="CP403" s="77">
        <f t="shared" si="157"/>
        <v>0</v>
      </c>
      <c r="CQ403" s="78"/>
      <c r="CR403" s="85"/>
      <c r="CS403" s="85"/>
      <c r="CT403" s="79">
        <f t="shared" si="158"/>
        <v>0</v>
      </c>
      <c r="CU403" s="80">
        <f t="shared" si="168"/>
        <v>0</v>
      </c>
      <c r="CV403" s="81">
        <f t="shared" si="169"/>
        <v>0</v>
      </c>
      <c r="CW403" s="144"/>
      <c r="CX403" s="145">
        <f>IF(ISERROR(VLOOKUP($A403,FIJOS!$B$11:$O$590,14,FALSE)),0,VLOOKUP($A403,FIJOS!$B$11:$O$590,14,FALSE))</f>
        <v>0</v>
      </c>
      <c r="CY403" s="145">
        <f>IF(ISERROR(VLOOKUP(A403,FIJOS!$B$10:$P$590,15,FALSE)),0,VLOOKUP(A403,FIJOS!$B$10:$P$590,15,FALSE))</f>
        <v>0</v>
      </c>
      <c r="CZ403" s="155"/>
      <c r="DA403" s="147"/>
      <c r="DB403" s="147"/>
      <c r="DC403" s="147"/>
      <c r="DD403" s="147"/>
      <c r="DE403" s="147"/>
      <c r="DF403" s="145">
        <f>IF(ISERROR(VLOOKUP($A403,FIJOS!$B$11:$N$590,13,FALSE)),0,VLOOKUP($A403,FIJOS!$B$11:$N$590,13,FALSE))</f>
        <v>0</v>
      </c>
      <c r="DG403" s="145">
        <f>IF(ISERROR(VLOOKUP($A403,FIJOS!$B$11:$P$447,12,FALSE)),0,VLOOKUP($A403,FIJOS!$B$11:$P$447,12,FALSE))</f>
        <v>0</v>
      </c>
      <c r="DH403" s="82">
        <f t="shared" si="234"/>
        <v>0</v>
      </c>
      <c r="DI403" s="83" t="b">
        <f>IF($C403=1,(VLOOKUP($A403,FIJOS!$B$11:$P$545,10,FALSE)/7)*(7-$CU403),IF(AND($C403=2,CV403&lt;$DJ$1),(VLOOKUP($D403,HORAS!$B$4:$C$42,2,FALSE)*24)*$CV403,IF(AND($C403=2,CV403&gt;=$DJ$1),VLOOKUP($D403,HORAS!$B$4:$D$42,3,FALSE),IF(AND($C403=3,$CV403&gt;=$DJ$1),VLOOKUP($A403,FIJOS!$B$11:$P$545,10,FALSE),IF(AND($C403=3,$CV403&lt;$DJ$1),((VLOOKUP($A403,FIJOS!$B$11:$P$545,10,FALSE)/48)*24)*$CV403,IF(AND($C403=4,$CV403&gt;=(42/24)),VLOOKUP($D403,HORAS!$B$4:$D$42,3,FALSE),IF(AND($C403=5,$CV403&gt;=(36/24)),VLOOKUP($D403,HORAS!$B$4:$D$42,3,FALSE))))))))</f>
        <v>0</v>
      </c>
      <c r="DJ403" s="145">
        <f>IF(OR($C403=2),VLOOKUP($D403,HORAS!$B$4:$E$42,4,FALSE)*$EC403,IF(ISERROR(VLOOKUP($A403,FIJOS!$B$11:$P$108,9,FALSE)),0,VLOOKUP($A403,FIJOS!$B$11:$P$231,9,FALSE)*$EC403))</f>
        <v>0</v>
      </c>
      <c r="DK403" s="145">
        <f>IF(OR($C403=2),VLOOKUP($D403,HORAS!$B$4:$F$42,5,FALSE)*$EE403,IF(ISERROR(VLOOKUP($A403,FIJOS!$B$11:$P$108,9,FALSE)),0,VLOOKUP($A403,FIJOS!$B$11:$P$231,9,FALSE)*$EE403))</f>
        <v>0</v>
      </c>
      <c r="DL403" s="144"/>
      <c r="DM403" s="145">
        <f>IF(ISERROR(VLOOKUP($A403,FIJOS!$B$11:$L$646,11,FALSE)),0,VLOOKUP($A403,FIJOS!$B$11:$L$646,11,FALSE))</f>
        <v>0</v>
      </c>
      <c r="DN403" s="148" t="e">
        <f>IF(OR($C403=1,$C403=3),0,IF((VLOOKUP(CAPTURA!D403,HORAS!$B$4:$K$42,10,FALSE)/4)*COUNTIF($H403:$CT403,3)&gt;100,100,(VLOOKUP(CAPTURA!D403,HORAS!$B$4:$K$42,10,FALSE)/4)*COUNTIF($H403:$CT403,3)))</f>
        <v>#N/A</v>
      </c>
      <c r="DO403" s="144" t="e">
        <f>IF(OR($C403=1,$C403=3),0,IF($C403=5,VLOOKUP(D403,HORAS!$B$4:$G$42,6,FALSE),IF(AND($C403=4,$CV403&gt;=(42/24)),VLOOKUP(D403,HORAS!$B$4:$G$42,6,FALSE),IF(COUNTIF($H403:$CL403,"F")&gt;0,0,IF(CV403&gt;$DJ$1,$DJ$1*(VLOOKUP(D403,HORAS!$B$4:$G$42,6,FALSE)/$DJ$1),CV403*(VLOOKUP(D403,HORAS!$B$4:$G$42,6,FALSE)/$DJ$1))))))</f>
        <v>#N/A</v>
      </c>
      <c r="DP403" s="156"/>
      <c r="DQ403" s="148"/>
      <c r="DR403" s="148"/>
      <c r="DS403" s="83" t="e">
        <f t="shared" si="162"/>
        <v>#N/A</v>
      </c>
      <c r="DT403" s="84"/>
      <c r="DU403" s="149" t="e">
        <f t="shared" si="235"/>
        <v>#N/A</v>
      </c>
      <c r="DV403" s="149" t="e">
        <f t="shared" si="236"/>
        <v>#N/A</v>
      </c>
      <c r="DW403" s="144" t="e">
        <f t="shared" si="237"/>
        <v>#N/A</v>
      </c>
      <c r="DX403" s="168"/>
      <c r="DY403" s="29"/>
      <c r="DZ403" s="150"/>
      <c r="EA403" s="134"/>
      <c r="EB403" s="137">
        <f t="shared" si="238"/>
        <v>0</v>
      </c>
      <c r="EC403" s="138">
        <f t="shared" si="239"/>
        <v>0</v>
      </c>
      <c r="ED403" s="137">
        <f t="shared" si="240"/>
        <v>0</v>
      </c>
      <c r="EE403" s="132">
        <f t="shared" si="241"/>
        <v>0</v>
      </c>
      <c r="EF403" s="29"/>
      <c r="EG403" s="134"/>
      <c r="EH403" s="134"/>
      <c r="EI403" s="134"/>
      <c r="EK403" s="29"/>
    </row>
    <row r="404" spans="1:141" ht="15" customHeight="1" x14ac:dyDescent="0.25">
      <c r="A404" s="87"/>
      <c r="B404" s="5"/>
      <c r="C404" s="72"/>
      <c r="D404" s="73"/>
      <c r="E404" s="73"/>
      <c r="F404" s="141"/>
      <c r="G404" s="74"/>
      <c r="H404" s="75"/>
      <c r="I404" s="76"/>
      <c r="J404" s="135"/>
      <c r="K404" s="135"/>
      <c r="L404" s="77">
        <f t="shared" si="138"/>
        <v>0</v>
      </c>
      <c r="M404" s="78"/>
      <c r="N404" s="142"/>
      <c r="O404" s="142"/>
      <c r="P404" s="77">
        <f t="shared" si="139"/>
        <v>0</v>
      </c>
      <c r="Q404" s="78"/>
      <c r="R404" s="143"/>
      <c r="S404" s="143"/>
      <c r="T404" s="77">
        <f t="shared" si="140"/>
        <v>0</v>
      </c>
      <c r="U404" s="75"/>
      <c r="V404" s="76"/>
      <c r="W404" s="135"/>
      <c r="X404" s="135"/>
      <c r="Y404" s="77">
        <f t="shared" si="141"/>
        <v>0</v>
      </c>
      <c r="Z404" s="78"/>
      <c r="AA404" s="142"/>
      <c r="AB404" s="142"/>
      <c r="AC404" s="77">
        <f t="shared" si="142"/>
        <v>0</v>
      </c>
      <c r="AD404" s="78"/>
      <c r="AE404" s="143"/>
      <c r="AF404" s="143"/>
      <c r="AG404" s="79">
        <f t="shared" si="143"/>
        <v>0</v>
      </c>
      <c r="AH404" s="75"/>
      <c r="AI404" s="76"/>
      <c r="AJ404" s="135"/>
      <c r="AK404" s="135"/>
      <c r="AL404" s="77">
        <f t="shared" si="144"/>
        <v>0</v>
      </c>
      <c r="AM404" s="76"/>
      <c r="AN404" s="142"/>
      <c r="AO404" s="142"/>
      <c r="AP404" s="77">
        <f t="shared" si="145"/>
        <v>0</v>
      </c>
      <c r="AQ404" s="78"/>
      <c r="AR404" s="142"/>
      <c r="AS404" s="142"/>
      <c r="AT404" s="79">
        <f t="shared" si="146"/>
        <v>0</v>
      </c>
      <c r="AU404" s="75"/>
      <c r="AV404" s="76"/>
      <c r="AW404" s="135"/>
      <c r="AX404" s="135"/>
      <c r="AY404" s="77">
        <f t="shared" si="147"/>
        <v>0</v>
      </c>
      <c r="AZ404" s="76"/>
      <c r="BA404" s="142"/>
      <c r="BB404" s="142"/>
      <c r="BC404" s="77">
        <f t="shared" si="148"/>
        <v>0</v>
      </c>
      <c r="BD404" s="78"/>
      <c r="BE404" s="142"/>
      <c r="BF404" s="142"/>
      <c r="BG404" s="79">
        <f t="shared" si="149"/>
        <v>0</v>
      </c>
      <c r="BH404" s="75"/>
      <c r="BI404" s="76"/>
      <c r="BJ404" s="135"/>
      <c r="BK404" s="135"/>
      <c r="BL404" s="77">
        <f t="shared" si="150"/>
        <v>0</v>
      </c>
      <c r="BM404" s="78"/>
      <c r="BN404" s="142"/>
      <c r="BO404" s="142"/>
      <c r="BP404" s="77">
        <f t="shared" si="151"/>
        <v>0</v>
      </c>
      <c r="BQ404" s="78"/>
      <c r="BR404" s="142"/>
      <c r="BS404" s="142"/>
      <c r="BT404" s="79">
        <f t="shared" si="152"/>
        <v>0</v>
      </c>
      <c r="BU404" s="75"/>
      <c r="BV404" s="76"/>
      <c r="BW404" s="135"/>
      <c r="BX404" s="135"/>
      <c r="BY404" s="77">
        <f t="shared" si="153"/>
        <v>0</v>
      </c>
      <c r="BZ404" s="78"/>
      <c r="CA404" s="142"/>
      <c r="CB404" s="142"/>
      <c r="CC404" s="77">
        <f t="shared" si="154"/>
        <v>0</v>
      </c>
      <c r="CD404" s="78"/>
      <c r="CE404" s="142"/>
      <c r="CF404" s="142"/>
      <c r="CG404" s="79">
        <f t="shared" si="155"/>
        <v>0</v>
      </c>
      <c r="CH404" s="75"/>
      <c r="CI404" s="76"/>
      <c r="CJ404" s="86"/>
      <c r="CK404" s="86"/>
      <c r="CL404" s="77">
        <f t="shared" si="156"/>
        <v>0</v>
      </c>
      <c r="CM404" s="78"/>
      <c r="CN404" s="85"/>
      <c r="CO404" s="85"/>
      <c r="CP404" s="77">
        <f t="shared" si="157"/>
        <v>0</v>
      </c>
      <c r="CQ404" s="78"/>
      <c r="CR404" s="85"/>
      <c r="CS404" s="85"/>
      <c r="CT404" s="79">
        <f t="shared" si="158"/>
        <v>0</v>
      </c>
      <c r="CU404" s="80">
        <f t="shared" si="168"/>
        <v>0</v>
      </c>
      <c r="CV404" s="81">
        <f t="shared" si="169"/>
        <v>0</v>
      </c>
      <c r="CW404" s="144"/>
      <c r="CX404" s="145">
        <f>IF(ISERROR(VLOOKUP($A404,FIJOS!$B$11:$O$590,14,FALSE)),0,VLOOKUP($A404,FIJOS!$B$11:$O$590,14,FALSE))</f>
        <v>0</v>
      </c>
      <c r="CY404" s="145">
        <f>IF(ISERROR(VLOOKUP(A404,FIJOS!$B$10:$P$590,15,FALSE)),0,VLOOKUP(A404,FIJOS!$B$10:$P$590,15,FALSE))</f>
        <v>0</v>
      </c>
      <c r="CZ404" s="155"/>
      <c r="DA404" s="147"/>
      <c r="DB404" s="147"/>
      <c r="DC404" s="147"/>
      <c r="DD404" s="147"/>
      <c r="DE404" s="147"/>
      <c r="DF404" s="145">
        <f>IF(ISERROR(VLOOKUP($A404,FIJOS!$B$11:$N$590,13,FALSE)),0,VLOOKUP($A404,FIJOS!$B$11:$N$590,13,FALSE))</f>
        <v>0</v>
      </c>
      <c r="DG404" s="145">
        <f>IF(ISERROR(VLOOKUP($A404,FIJOS!$B$11:$P$447,12,FALSE)),0,VLOOKUP($A404,FIJOS!$B$11:$P$447,12,FALSE))</f>
        <v>0</v>
      </c>
      <c r="DH404" s="82">
        <f t="shared" si="234"/>
        <v>0</v>
      </c>
      <c r="DI404" s="83" t="b">
        <f>IF($C404=1,(VLOOKUP($A404,FIJOS!$B$11:$P$545,10,FALSE)/7)*(7-$CU404),IF(AND($C404=2,CV404&lt;$DJ$1),(VLOOKUP($D404,HORAS!$B$4:$C$42,2,FALSE)*24)*$CV404,IF(AND($C404=2,CV404&gt;=$DJ$1),VLOOKUP($D404,HORAS!$B$4:$D$42,3,FALSE),IF(AND($C404=3,$CV404&gt;=$DJ$1),VLOOKUP($A404,FIJOS!$B$11:$P$545,10,FALSE),IF(AND($C404=3,$CV404&lt;$DJ$1),((VLOOKUP($A404,FIJOS!$B$11:$P$545,10,FALSE)/48)*24)*$CV404,IF(AND($C404=4,$CV404&gt;=(42/24)),VLOOKUP($D404,HORAS!$B$4:$D$42,3,FALSE),IF(AND($C404=5,$CV404&gt;=(36/24)),VLOOKUP($D404,HORAS!$B$4:$D$42,3,FALSE))))))))</f>
        <v>0</v>
      </c>
      <c r="DJ404" s="145">
        <f>IF(OR($C404=2),VLOOKUP($D404,HORAS!$B$4:$E$42,4,FALSE)*$EC404,IF(ISERROR(VLOOKUP($A404,FIJOS!$B$11:$P$108,9,FALSE)),0,VLOOKUP($A404,FIJOS!$B$11:$P$231,9,FALSE)*$EC404))</f>
        <v>0</v>
      </c>
      <c r="DK404" s="145">
        <f>IF(OR($C404=2),VLOOKUP($D404,HORAS!$B$4:$F$42,5,FALSE)*$EE404,IF(ISERROR(VLOOKUP($A404,FIJOS!$B$11:$P$108,9,FALSE)),0,VLOOKUP($A404,FIJOS!$B$11:$P$231,9,FALSE)*$EE404))</f>
        <v>0</v>
      </c>
      <c r="DL404" s="144"/>
      <c r="DM404" s="145">
        <f>IF(ISERROR(VLOOKUP($A404,FIJOS!$B$11:$L$646,11,FALSE)),0,VLOOKUP($A404,FIJOS!$B$11:$L$646,11,FALSE))</f>
        <v>0</v>
      </c>
      <c r="DN404" s="148" t="e">
        <f>IF(OR($C404=1,$C404=3),0,IF((VLOOKUP(CAPTURA!D404,HORAS!$B$4:$K$42,10,FALSE)/4)*COUNTIF($H404:$CT404,3)&gt;100,100,(VLOOKUP(CAPTURA!D404,HORAS!$B$4:$K$42,10,FALSE)/4)*COUNTIF($H404:$CT404,3)))</f>
        <v>#N/A</v>
      </c>
      <c r="DO404" s="144" t="e">
        <f>IF(OR($C404=1,$C404=3),0,IF($C404=5,VLOOKUP(D404,HORAS!$B$4:$G$42,6,FALSE),IF(AND($C404=4,$CV404&gt;=(42/24)),VLOOKUP(D404,HORAS!$B$4:$G$42,6,FALSE),IF(COUNTIF($H404:$CL404,"F")&gt;0,0,IF(CV404&gt;$DJ$1,$DJ$1*(VLOOKUP(D404,HORAS!$B$4:$G$42,6,FALSE)/$DJ$1),CV404*(VLOOKUP(D404,HORAS!$B$4:$G$42,6,FALSE)/$DJ$1))))))</f>
        <v>#N/A</v>
      </c>
      <c r="DP404" s="156"/>
      <c r="DQ404" s="148"/>
      <c r="DR404" s="148"/>
      <c r="DS404" s="83" t="e">
        <f t="shared" si="162"/>
        <v>#N/A</v>
      </c>
      <c r="DT404" s="84"/>
      <c r="DU404" s="149" t="e">
        <f t="shared" si="235"/>
        <v>#N/A</v>
      </c>
      <c r="DV404" s="149" t="e">
        <f t="shared" si="236"/>
        <v>#N/A</v>
      </c>
      <c r="DW404" s="144" t="e">
        <f t="shared" si="237"/>
        <v>#N/A</v>
      </c>
      <c r="DX404" s="168"/>
      <c r="DY404" s="29"/>
      <c r="DZ404" s="150"/>
      <c r="EA404" s="134"/>
      <c r="EB404" s="137">
        <f t="shared" si="238"/>
        <v>0</v>
      </c>
      <c r="EC404" s="138">
        <f t="shared" si="239"/>
        <v>0</v>
      </c>
      <c r="ED404" s="137">
        <f t="shared" si="240"/>
        <v>0</v>
      </c>
      <c r="EE404" s="132">
        <f t="shared" si="241"/>
        <v>0</v>
      </c>
      <c r="EF404" s="29"/>
      <c r="EG404" s="134"/>
      <c r="EH404" s="134"/>
      <c r="EI404" s="134"/>
      <c r="EK404" s="29"/>
    </row>
    <row r="405" spans="1:141" ht="15" customHeight="1" x14ac:dyDescent="0.25">
      <c r="A405" s="87"/>
      <c r="B405" s="5"/>
      <c r="C405" s="72"/>
      <c r="D405" s="73"/>
      <c r="E405" s="73"/>
      <c r="F405" s="141"/>
      <c r="G405" s="74"/>
      <c r="H405" s="75"/>
      <c r="I405" s="76"/>
      <c r="J405" s="135"/>
      <c r="K405" s="135"/>
      <c r="L405" s="77">
        <f t="shared" si="138"/>
        <v>0</v>
      </c>
      <c r="M405" s="78"/>
      <c r="N405" s="142"/>
      <c r="O405" s="142"/>
      <c r="P405" s="77">
        <f t="shared" si="139"/>
        <v>0</v>
      </c>
      <c r="Q405" s="78"/>
      <c r="R405" s="143"/>
      <c r="S405" s="143"/>
      <c r="T405" s="77">
        <f t="shared" si="140"/>
        <v>0</v>
      </c>
      <c r="U405" s="75"/>
      <c r="V405" s="76"/>
      <c r="W405" s="135"/>
      <c r="X405" s="135"/>
      <c r="Y405" s="77">
        <f t="shared" si="141"/>
        <v>0</v>
      </c>
      <c r="Z405" s="78"/>
      <c r="AA405" s="142"/>
      <c r="AB405" s="142"/>
      <c r="AC405" s="77">
        <f t="shared" si="142"/>
        <v>0</v>
      </c>
      <c r="AD405" s="78"/>
      <c r="AE405" s="143"/>
      <c r="AF405" s="143"/>
      <c r="AG405" s="79">
        <f t="shared" si="143"/>
        <v>0</v>
      </c>
      <c r="AH405" s="75"/>
      <c r="AI405" s="76"/>
      <c r="AJ405" s="135"/>
      <c r="AK405" s="135"/>
      <c r="AL405" s="77">
        <f t="shared" si="144"/>
        <v>0</v>
      </c>
      <c r="AM405" s="76"/>
      <c r="AN405" s="142"/>
      <c r="AO405" s="142"/>
      <c r="AP405" s="77">
        <f t="shared" si="145"/>
        <v>0</v>
      </c>
      <c r="AQ405" s="78"/>
      <c r="AR405" s="142"/>
      <c r="AS405" s="142"/>
      <c r="AT405" s="79">
        <f t="shared" si="146"/>
        <v>0</v>
      </c>
      <c r="AU405" s="75"/>
      <c r="AV405" s="76"/>
      <c r="AW405" s="135"/>
      <c r="AX405" s="135"/>
      <c r="AY405" s="77">
        <f t="shared" si="147"/>
        <v>0</v>
      </c>
      <c r="AZ405" s="76"/>
      <c r="BA405" s="142"/>
      <c r="BB405" s="142"/>
      <c r="BC405" s="77">
        <f t="shared" si="148"/>
        <v>0</v>
      </c>
      <c r="BD405" s="78"/>
      <c r="BE405" s="142"/>
      <c r="BF405" s="142"/>
      <c r="BG405" s="79">
        <f t="shared" si="149"/>
        <v>0</v>
      </c>
      <c r="BH405" s="75"/>
      <c r="BI405" s="76"/>
      <c r="BJ405" s="135"/>
      <c r="BK405" s="135"/>
      <c r="BL405" s="77">
        <f t="shared" si="150"/>
        <v>0</v>
      </c>
      <c r="BM405" s="78"/>
      <c r="BN405" s="142"/>
      <c r="BO405" s="142"/>
      <c r="BP405" s="77">
        <f t="shared" si="151"/>
        <v>0</v>
      </c>
      <c r="BQ405" s="78"/>
      <c r="BR405" s="142"/>
      <c r="BS405" s="142"/>
      <c r="BT405" s="79">
        <f t="shared" si="152"/>
        <v>0</v>
      </c>
      <c r="BU405" s="75"/>
      <c r="BV405" s="76"/>
      <c r="BW405" s="135"/>
      <c r="BX405" s="135"/>
      <c r="BY405" s="77">
        <f t="shared" si="153"/>
        <v>0</v>
      </c>
      <c r="BZ405" s="78"/>
      <c r="CA405" s="142"/>
      <c r="CB405" s="142"/>
      <c r="CC405" s="77">
        <f t="shared" si="154"/>
        <v>0</v>
      </c>
      <c r="CD405" s="78"/>
      <c r="CE405" s="142"/>
      <c r="CF405" s="142"/>
      <c r="CG405" s="79">
        <f t="shared" si="155"/>
        <v>0</v>
      </c>
      <c r="CH405" s="75"/>
      <c r="CI405" s="76"/>
      <c r="CJ405" s="86"/>
      <c r="CK405" s="86"/>
      <c r="CL405" s="77">
        <f t="shared" si="156"/>
        <v>0</v>
      </c>
      <c r="CM405" s="78"/>
      <c r="CN405" s="85"/>
      <c r="CO405" s="85"/>
      <c r="CP405" s="77">
        <f t="shared" si="157"/>
        <v>0</v>
      </c>
      <c r="CQ405" s="78"/>
      <c r="CR405" s="85"/>
      <c r="CS405" s="85"/>
      <c r="CT405" s="79">
        <f t="shared" si="158"/>
        <v>0</v>
      </c>
      <c r="CU405" s="80">
        <f t="shared" si="168"/>
        <v>0</v>
      </c>
      <c r="CV405" s="81">
        <f t="shared" si="169"/>
        <v>0</v>
      </c>
      <c r="CW405" s="144"/>
      <c r="CX405" s="145">
        <f>IF(ISERROR(VLOOKUP($A405,FIJOS!$B$11:$O$590,14,FALSE)),0,VLOOKUP($A405,FIJOS!$B$11:$O$590,14,FALSE))</f>
        <v>0</v>
      </c>
      <c r="CY405" s="145">
        <f>IF(ISERROR(VLOOKUP(A405,FIJOS!$B$10:$P$590,15,FALSE)),0,VLOOKUP(A405,FIJOS!$B$10:$P$590,15,FALSE))</f>
        <v>0</v>
      </c>
      <c r="CZ405" s="155"/>
      <c r="DA405" s="147"/>
      <c r="DB405" s="147"/>
      <c r="DC405" s="147"/>
      <c r="DD405" s="147"/>
      <c r="DE405" s="147"/>
      <c r="DF405" s="145">
        <f>IF(ISERROR(VLOOKUP($A405,FIJOS!$B$11:$N$590,13,FALSE)),0,VLOOKUP($A405,FIJOS!$B$11:$N$590,13,FALSE))</f>
        <v>0</v>
      </c>
      <c r="DG405" s="145">
        <f>IF(ISERROR(VLOOKUP($A405,FIJOS!$B$11:$P$447,12,FALSE)),0,VLOOKUP($A405,FIJOS!$B$11:$P$447,12,FALSE))</f>
        <v>0</v>
      </c>
      <c r="DH405" s="82">
        <f t="shared" si="234"/>
        <v>0</v>
      </c>
      <c r="DI405" s="83" t="b">
        <f>IF($C405=1,(VLOOKUP($A405,FIJOS!$B$11:$P$545,10,FALSE)/7)*(7-$CU405),IF(AND($C405=2,CV405&lt;$DJ$1),(VLOOKUP($D405,HORAS!$B$4:$C$42,2,FALSE)*24)*$CV405,IF(AND($C405=2,CV405&gt;=$DJ$1),VLOOKUP($D405,HORAS!$B$4:$D$42,3,FALSE),IF(AND($C405=3,$CV405&gt;=$DJ$1),VLOOKUP($A405,FIJOS!$B$11:$P$545,10,FALSE),IF(AND($C405=3,$CV405&lt;$DJ$1),((VLOOKUP($A405,FIJOS!$B$11:$P$545,10,FALSE)/48)*24)*$CV405,IF(AND($C405=4,$CV405&gt;=(42/24)),VLOOKUP($D405,HORAS!$B$4:$D$42,3,FALSE),IF(AND($C405=5,$CV405&gt;=(36/24)),VLOOKUP($D405,HORAS!$B$4:$D$42,3,FALSE))))))))</f>
        <v>0</v>
      </c>
      <c r="DJ405" s="145">
        <f>IF(OR($C405=2),VLOOKUP($D405,HORAS!$B$4:$E$42,4,FALSE)*$EC405,IF(ISERROR(VLOOKUP($A405,FIJOS!$B$11:$P$108,9,FALSE)),0,VLOOKUP($A405,FIJOS!$B$11:$P$231,9,FALSE)*$EC405))</f>
        <v>0</v>
      </c>
      <c r="DK405" s="145">
        <f>IF(OR($C405=2),VLOOKUP($D405,HORAS!$B$4:$F$42,5,FALSE)*$EE405,IF(ISERROR(VLOOKUP($A405,FIJOS!$B$11:$P$108,9,FALSE)),0,VLOOKUP($A405,FIJOS!$B$11:$P$231,9,FALSE)*$EE405))</f>
        <v>0</v>
      </c>
      <c r="DL405" s="144"/>
      <c r="DM405" s="145">
        <f>IF(ISERROR(VLOOKUP($A405,FIJOS!$B$11:$L$646,11,FALSE)),0,VLOOKUP($A405,FIJOS!$B$11:$L$646,11,FALSE))</f>
        <v>0</v>
      </c>
      <c r="DN405" s="148" t="e">
        <f>IF(OR($C405=1,$C405=3),0,IF((VLOOKUP(CAPTURA!D405,HORAS!$B$4:$K$42,10,FALSE)/4)*COUNTIF($H405:$CT405,3)&gt;100,100,(VLOOKUP(CAPTURA!D405,HORAS!$B$4:$K$42,10,FALSE)/4)*COUNTIF($H405:$CT405,3)))</f>
        <v>#N/A</v>
      </c>
      <c r="DO405" s="144" t="e">
        <f>IF(OR($C405=1,$C405=3),0,IF($C405=5,VLOOKUP(D405,HORAS!$B$4:$G$42,6,FALSE),IF(AND($C405=4,$CV405&gt;=(42/24)),VLOOKUP(D405,HORAS!$B$4:$G$42,6,FALSE),IF(COUNTIF($H405:$CL405,"F")&gt;0,0,IF(CV405&gt;$DJ$1,$DJ$1*(VLOOKUP(D405,HORAS!$B$4:$G$42,6,FALSE)/$DJ$1),CV405*(VLOOKUP(D405,HORAS!$B$4:$G$42,6,FALSE)/$DJ$1))))))</f>
        <v>#N/A</v>
      </c>
      <c r="DP405" s="156"/>
      <c r="DQ405" s="148"/>
      <c r="DR405" s="148"/>
      <c r="DS405" s="83" t="e">
        <f t="shared" si="162"/>
        <v>#N/A</v>
      </c>
      <c r="DT405" s="84"/>
      <c r="DU405" s="149" t="e">
        <f t="shared" si="235"/>
        <v>#N/A</v>
      </c>
      <c r="DV405" s="149" t="e">
        <f t="shared" si="236"/>
        <v>#N/A</v>
      </c>
      <c r="DW405" s="144" t="e">
        <f t="shared" si="237"/>
        <v>#N/A</v>
      </c>
      <c r="DX405" s="168"/>
      <c r="DY405" s="29"/>
      <c r="DZ405" s="150"/>
      <c r="EA405" s="134"/>
      <c r="EB405" s="137">
        <f t="shared" si="238"/>
        <v>0</v>
      </c>
      <c r="EC405" s="138">
        <f t="shared" si="239"/>
        <v>0</v>
      </c>
      <c r="ED405" s="137">
        <f t="shared" si="240"/>
        <v>0</v>
      </c>
      <c r="EE405" s="132">
        <f t="shared" si="241"/>
        <v>0</v>
      </c>
      <c r="EF405" s="29"/>
      <c r="EG405" s="134"/>
      <c r="EH405" s="134"/>
      <c r="EI405" s="134"/>
      <c r="EK405" s="29"/>
    </row>
    <row r="406" spans="1:141" ht="15" customHeight="1" x14ac:dyDescent="0.25">
      <c r="A406" s="87"/>
      <c r="B406" s="5"/>
      <c r="C406" s="72"/>
      <c r="D406" s="73"/>
      <c r="E406" s="73"/>
      <c r="F406" s="141"/>
      <c r="G406" s="74"/>
      <c r="H406" s="75"/>
      <c r="I406" s="76"/>
      <c r="J406" s="135"/>
      <c r="K406" s="135"/>
      <c r="L406" s="77">
        <f t="shared" si="138"/>
        <v>0</v>
      </c>
      <c r="M406" s="78"/>
      <c r="N406" s="142"/>
      <c r="O406" s="142"/>
      <c r="P406" s="77">
        <f t="shared" si="139"/>
        <v>0</v>
      </c>
      <c r="Q406" s="78"/>
      <c r="R406" s="143"/>
      <c r="S406" s="143"/>
      <c r="T406" s="77">
        <f t="shared" si="140"/>
        <v>0</v>
      </c>
      <c r="U406" s="75"/>
      <c r="V406" s="76"/>
      <c r="W406" s="135"/>
      <c r="X406" s="135"/>
      <c r="Y406" s="77">
        <f t="shared" si="141"/>
        <v>0</v>
      </c>
      <c r="Z406" s="78"/>
      <c r="AA406" s="142"/>
      <c r="AB406" s="142"/>
      <c r="AC406" s="77">
        <f t="shared" si="142"/>
        <v>0</v>
      </c>
      <c r="AD406" s="78"/>
      <c r="AE406" s="143"/>
      <c r="AF406" s="143"/>
      <c r="AG406" s="79">
        <f t="shared" si="143"/>
        <v>0</v>
      </c>
      <c r="AH406" s="75"/>
      <c r="AI406" s="76"/>
      <c r="AJ406" s="135"/>
      <c r="AK406" s="135"/>
      <c r="AL406" s="77">
        <f t="shared" si="144"/>
        <v>0</v>
      </c>
      <c r="AM406" s="76"/>
      <c r="AN406" s="142"/>
      <c r="AO406" s="142"/>
      <c r="AP406" s="77">
        <f t="shared" si="145"/>
        <v>0</v>
      </c>
      <c r="AQ406" s="78"/>
      <c r="AR406" s="142"/>
      <c r="AS406" s="142"/>
      <c r="AT406" s="79">
        <f t="shared" si="146"/>
        <v>0</v>
      </c>
      <c r="AU406" s="75"/>
      <c r="AV406" s="76"/>
      <c r="AW406" s="135"/>
      <c r="AX406" s="135"/>
      <c r="AY406" s="77">
        <f t="shared" si="147"/>
        <v>0</v>
      </c>
      <c r="AZ406" s="76"/>
      <c r="BA406" s="142"/>
      <c r="BB406" s="142"/>
      <c r="BC406" s="77">
        <f t="shared" si="148"/>
        <v>0</v>
      </c>
      <c r="BD406" s="78"/>
      <c r="BE406" s="142"/>
      <c r="BF406" s="142"/>
      <c r="BG406" s="79">
        <f t="shared" si="149"/>
        <v>0</v>
      </c>
      <c r="BH406" s="75"/>
      <c r="BI406" s="76"/>
      <c r="BJ406" s="135"/>
      <c r="BK406" s="135"/>
      <c r="BL406" s="77">
        <f t="shared" si="150"/>
        <v>0</v>
      </c>
      <c r="BM406" s="78"/>
      <c r="BN406" s="142"/>
      <c r="BO406" s="142"/>
      <c r="BP406" s="77">
        <f t="shared" si="151"/>
        <v>0</v>
      </c>
      <c r="BQ406" s="78"/>
      <c r="BR406" s="142"/>
      <c r="BS406" s="142"/>
      <c r="BT406" s="79">
        <f t="shared" si="152"/>
        <v>0</v>
      </c>
      <c r="BU406" s="75"/>
      <c r="BV406" s="76"/>
      <c r="BW406" s="135"/>
      <c r="BX406" s="135"/>
      <c r="BY406" s="77">
        <f t="shared" si="153"/>
        <v>0</v>
      </c>
      <c r="BZ406" s="78"/>
      <c r="CA406" s="142"/>
      <c r="CB406" s="142"/>
      <c r="CC406" s="77">
        <f t="shared" si="154"/>
        <v>0</v>
      </c>
      <c r="CD406" s="78"/>
      <c r="CE406" s="142"/>
      <c r="CF406" s="142"/>
      <c r="CG406" s="79">
        <f t="shared" si="155"/>
        <v>0</v>
      </c>
      <c r="CH406" s="75"/>
      <c r="CI406" s="76"/>
      <c r="CJ406" s="86"/>
      <c r="CK406" s="86"/>
      <c r="CL406" s="77">
        <f t="shared" si="156"/>
        <v>0</v>
      </c>
      <c r="CM406" s="78"/>
      <c r="CN406" s="85"/>
      <c r="CO406" s="85"/>
      <c r="CP406" s="77">
        <f t="shared" si="157"/>
        <v>0</v>
      </c>
      <c r="CQ406" s="78"/>
      <c r="CR406" s="85"/>
      <c r="CS406" s="85"/>
      <c r="CT406" s="79">
        <f t="shared" si="158"/>
        <v>0</v>
      </c>
      <c r="CU406" s="80">
        <f t="shared" si="168"/>
        <v>0</v>
      </c>
      <c r="CV406" s="81">
        <f t="shared" si="169"/>
        <v>0</v>
      </c>
      <c r="CW406" s="144"/>
      <c r="CX406" s="145">
        <f>IF(ISERROR(VLOOKUP($A406,FIJOS!$B$11:$O$590,14,FALSE)),0,VLOOKUP($A406,FIJOS!$B$11:$O$590,14,FALSE))</f>
        <v>0</v>
      </c>
      <c r="CY406" s="145">
        <f>IF(ISERROR(VLOOKUP(A406,FIJOS!$B$10:$P$590,15,FALSE)),0,VLOOKUP(A406,FIJOS!$B$10:$P$590,15,FALSE))</f>
        <v>0</v>
      </c>
      <c r="CZ406" s="155"/>
      <c r="DA406" s="147"/>
      <c r="DB406" s="147"/>
      <c r="DC406" s="147"/>
      <c r="DD406" s="147"/>
      <c r="DE406" s="147"/>
      <c r="DF406" s="145">
        <f>IF(ISERROR(VLOOKUP($A406,FIJOS!$B$11:$N$590,13,FALSE)),0,VLOOKUP($A406,FIJOS!$B$11:$N$590,13,FALSE))</f>
        <v>0</v>
      </c>
      <c r="DG406" s="145">
        <f>IF(ISERROR(VLOOKUP($A406,FIJOS!$B$11:$P$447,12,FALSE)),0,VLOOKUP($A406,FIJOS!$B$11:$P$447,12,FALSE))</f>
        <v>0</v>
      </c>
      <c r="DH406" s="82">
        <f t="shared" si="234"/>
        <v>0</v>
      </c>
      <c r="DI406" s="83" t="b">
        <f>IF($C406=1,(VLOOKUP($A406,FIJOS!$B$11:$P$545,10,FALSE)/7)*(7-$CU406),IF(AND($C406=2,CV406&lt;$DJ$1),(VLOOKUP($D406,HORAS!$B$4:$C$42,2,FALSE)*24)*$CV406,IF(AND($C406=2,CV406&gt;=$DJ$1),VLOOKUP($D406,HORAS!$B$4:$D$42,3,FALSE),IF(AND($C406=3,$CV406&gt;=$DJ$1),VLOOKUP($A406,FIJOS!$B$11:$P$545,10,FALSE),IF(AND($C406=3,$CV406&lt;$DJ$1),((VLOOKUP($A406,FIJOS!$B$11:$P$545,10,FALSE)/48)*24)*$CV406,IF(AND($C406=4,$CV406&gt;=(42/24)),VLOOKUP($D406,HORAS!$B$4:$D$42,3,FALSE),IF(AND($C406=5,$CV406&gt;=(36/24)),VLOOKUP($D406,HORAS!$B$4:$D$42,3,FALSE))))))))</f>
        <v>0</v>
      </c>
      <c r="DJ406" s="145">
        <f>IF(OR($C406=2),VLOOKUP($D406,HORAS!$B$4:$E$42,4,FALSE)*$EC406,IF(ISERROR(VLOOKUP($A406,FIJOS!$B$11:$P$108,9,FALSE)),0,VLOOKUP($A406,FIJOS!$B$11:$P$231,9,FALSE)*$EC406))</f>
        <v>0</v>
      </c>
      <c r="DK406" s="145">
        <f>IF(OR($C406=2),VLOOKUP($D406,HORAS!$B$4:$F$42,5,FALSE)*$EE406,IF(ISERROR(VLOOKUP($A406,FIJOS!$B$11:$P$108,9,FALSE)),0,VLOOKUP($A406,FIJOS!$B$11:$P$231,9,FALSE)*$EE406))</f>
        <v>0</v>
      </c>
      <c r="DL406" s="144"/>
      <c r="DM406" s="145">
        <f>IF(ISERROR(VLOOKUP($A406,FIJOS!$B$11:$L$646,11,FALSE)),0,VLOOKUP($A406,FIJOS!$B$11:$L$646,11,FALSE))</f>
        <v>0</v>
      </c>
      <c r="DN406" s="148" t="e">
        <f>IF(OR($C406=1,$C406=3),0,IF((VLOOKUP(CAPTURA!D406,HORAS!$B$4:$K$42,10,FALSE)/4)*COUNTIF($H406:$CT406,3)&gt;100,100,(VLOOKUP(CAPTURA!D406,HORAS!$B$4:$K$42,10,FALSE)/4)*COUNTIF($H406:$CT406,3)))</f>
        <v>#N/A</v>
      </c>
      <c r="DO406" s="144" t="e">
        <f>IF(OR($C406=1,$C406=3),0,IF($C406=5,VLOOKUP(D406,HORAS!$B$4:$G$42,6,FALSE),IF(AND($C406=4,$CV406&gt;=(42/24)),VLOOKUP(D406,HORAS!$B$4:$G$42,6,FALSE),IF(COUNTIF($H406:$CL406,"F")&gt;0,0,IF(CV406&gt;$DJ$1,$DJ$1*(VLOOKUP(D406,HORAS!$B$4:$G$42,6,FALSE)/$DJ$1),CV406*(VLOOKUP(D406,HORAS!$B$4:$G$42,6,FALSE)/$DJ$1))))))</f>
        <v>#N/A</v>
      </c>
      <c r="DP406" s="156"/>
      <c r="DQ406" s="148"/>
      <c r="DR406" s="148"/>
      <c r="DS406" s="83" t="e">
        <f t="shared" si="162"/>
        <v>#N/A</v>
      </c>
      <c r="DT406" s="84"/>
      <c r="DU406" s="149" t="e">
        <f t="shared" si="235"/>
        <v>#N/A</v>
      </c>
      <c r="DV406" s="149" t="e">
        <f t="shared" si="236"/>
        <v>#N/A</v>
      </c>
      <c r="DW406" s="144" t="e">
        <f t="shared" si="237"/>
        <v>#N/A</v>
      </c>
      <c r="DX406" s="168"/>
      <c r="DY406" s="29"/>
      <c r="DZ406" s="150"/>
      <c r="EA406" s="134"/>
      <c r="EB406" s="137">
        <f t="shared" si="238"/>
        <v>0</v>
      </c>
      <c r="EC406" s="138">
        <f t="shared" si="239"/>
        <v>0</v>
      </c>
      <c r="ED406" s="137">
        <f t="shared" si="240"/>
        <v>0</v>
      </c>
      <c r="EE406" s="132">
        <f t="shared" si="241"/>
        <v>0</v>
      </c>
      <c r="EF406" s="29"/>
      <c r="EG406" s="134"/>
      <c r="EH406" s="134"/>
      <c r="EI406" s="134"/>
      <c r="EK406" s="29"/>
    </row>
    <row r="407" spans="1:141" ht="15" customHeight="1" x14ac:dyDescent="0.25">
      <c r="A407" s="87"/>
      <c r="B407" s="5"/>
      <c r="C407" s="72"/>
      <c r="D407" s="73"/>
      <c r="E407" s="73"/>
      <c r="F407" s="141"/>
      <c r="G407" s="74"/>
      <c r="H407" s="75"/>
      <c r="I407" s="76"/>
      <c r="J407" s="135"/>
      <c r="K407" s="135"/>
      <c r="L407" s="77">
        <f t="shared" si="138"/>
        <v>0</v>
      </c>
      <c r="M407" s="78"/>
      <c r="N407" s="142"/>
      <c r="O407" s="142"/>
      <c r="P407" s="77">
        <f t="shared" si="139"/>
        <v>0</v>
      </c>
      <c r="Q407" s="78"/>
      <c r="R407" s="143"/>
      <c r="S407" s="143"/>
      <c r="T407" s="77">
        <f t="shared" si="140"/>
        <v>0</v>
      </c>
      <c r="U407" s="75"/>
      <c r="V407" s="76"/>
      <c r="W407" s="135"/>
      <c r="X407" s="135"/>
      <c r="Y407" s="77">
        <f t="shared" si="141"/>
        <v>0</v>
      </c>
      <c r="Z407" s="78"/>
      <c r="AA407" s="142"/>
      <c r="AB407" s="142"/>
      <c r="AC407" s="77">
        <f t="shared" si="142"/>
        <v>0</v>
      </c>
      <c r="AD407" s="78"/>
      <c r="AE407" s="143"/>
      <c r="AF407" s="143"/>
      <c r="AG407" s="79">
        <f t="shared" si="143"/>
        <v>0</v>
      </c>
      <c r="AH407" s="75"/>
      <c r="AI407" s="76"/>
      <c r="AJ407" s="135"/>
      <c r="AK407" s="135"/>
      <c r="AL407" s="77">
        <f t="shared" si="144"/>
        <v>0</v>
      </c>
      <c r="AM407" s="76"/>
      <c r="AN407" s="142"/>
      <c r="AO407" s="142"/>
      <c r="AP407" s="77">
        <f t="shared" si="145"/>
        <v>0</v>
      </c>
      <c r="AQ407" s="78"/>
      <c r="AR407" s="142"/>
      <c r="AS407" s="142"/>
      <c r="AT407" s="79">
        <f t="shared" si="146"/>
        <v>0</v>
      </c>
      <c r="AU407" s="75"/>
      <c r="AV407" s="76"/>
      <c r="AW407" s="135"/>
      <c r="AX407" s="135"/>
      <c r="AY407" s="77">
        <f t="shared" si="147"/>
        <v>0</v>
      </c>
      <c r="AZ407" s="76"/>
      <c r="BA407" s="142"/>
      <c r="BB407" s="142"/>
      <c r="BC407" s="77">
        <f t="shared" si="148"/>
        <v>0</v>
      </c>
      <c r="BD407" s="78"/>
      <c r="BE407" s="142"/>
      <c r="BF407" s="142"/>
      <c r="BG407" s="79">
        <f t="shared" si="149"/>
        <v>0</v>
      </c>
      <c r="BH407" s="75"/>
      <c r="BI407" s="76"/>
      <c r="BJ407" s="135"/>
      <c r="BK407" s="135"/>
      <c r="BL407" s="77">
        <f t="shared" si="150"/>
        <v>0</v>
      </c>
      <c r="BM407" s="78"/>
      <c r="BN407" s="142"/>
      <c r="BO407" s="142"/>
      <c r="BP407" s="77">
        <f t="shared" si="151"/>
        <v>0</v>
      </c>
      <c r="BQ407" s="78"/>
      <c r="BR407" s="142"/>
      <c r="BS407" s="142"/>
      <c r="BT407" s="79">
        <f t="shared" si="152"/>
        <v>0</v>
      </c>
      <c r="BU407" s="75"/>
      <c r="BV407" s="76"/>
      <c r="BW407" s="135"/>
      <c r="BX407" s="135"/>
      <c r="BY407" s="77">
        <f t="shared" si="153"/>
        <v>0</v>
      </c>
      <c r="BZ407" s="78"/>
      <c r="CA407" s="142"/>
      <c r="CB407" s="142"/>
      <c r="CC407" s="77">
        <f t="shared" si="154"/>
        <v>0</v>
      </c>
      <c r="CD407" s="78"/>
      <c r="CE407" s="142"/>
      <c r="CF407" s="142"/>
      <c r="CG407" s="79">
        <f t="shared" si="155"/>
        <v>0</v>
      </c>
      <c r="CH407" s="75"/>
      <c r="CI407" s="76"/>
      <c r="CJ407" s="86"/>
      <c r="CK407" s="86"/>
      <c r="CL407" s="77">
        <f t="shared" si="156"/>
        <v>0</v>
      </c>
      <c r="CM407" s="78"/>
      <c r="CN407" s="85"/>
      <c r="CO407" s="85"/>
      <c r="CP407" s="77">
        <f t="shared" si="157"/>
        <v>0</v>
      </c>
      <c r="CQ407" s="78"/>
      <c r="CR407" s="85"/>
      <c r="CS407" s="85"/>
      <c r="CT407" s="79">
        <f t="shared" si="158"/>
        <v>0</v>
      </c>
      <c r="CU407" s="80">
        <f t="shared" si="168"/>
        <v>0</v>
      </c>
      <c r="CV407" s="81">
        <f t="shared" si="169"/>
        <v>0</v>
      </c>
      <c r="CW407" s="144"/>
      <c r="CX407" s="145">
        <f>IF(ISERROR(VLOOKUP($A407,FIJOS!$B$11:$O$590,14,FALSE)),0,VLOOKUP($A407,FIJOS!$B$11:$O$590,14,FALSE))</f>
        <v>0</v>
      </c>
      <c r="CY407" s="145">
        <f>IF(ISERROR(VLOOKUP(A407,FIJOS!$B$10:$P$590,15,FALSE)),0,VLOOKUP(A407,FIJOS!$B$10:$P$590,15,FALSE))</f>
        <v>0</v>
      </c>
      <c r="CZ407" s="155"/>
      <c r="DA407" s="147"/>
      <c r="DB407" s="147"/>
      <c r="DC407" s="147"/>
      <c r="DD407" s="147"/>
      <c r="DE407" s="147"/>
      <c r="DF407" s="145">
        <f>IF(ISERROR(VLOOKUP($A407,FIJOS!$B$11:$N$590,13,FALSE)),0,VLOOKUP($A407,FIJOS!$B$11:$N$590,13,FALSE))</f>
        <v>0</v>
      </c>
      <c r="DG407" s="145">
        <f>IF(ISERROR(VLOOKUP($A407,FIJOS!$B$11:$P$447,12,FALSE)),0,VLOOKUP($A407,FIJOS!$B$11:$P$447,12,FALSE))</f>
        <v>0</v>
      </c>
      <c r="DH407" s="82">
        <f t="shared" si="234"/>
        <v>0</v>
      </c>
      <c r="DI407" s="83" t="b">
        <f>IF($C407=1,(VLOOKUP($A407,FIJOS!$B$11:$P$545,10,FALSE)/7)*(7-$CU407),IF(AND($C407=2,CV407&lt;$DJ$1),(VLOOKUP($D407,HORAS!$B$4:$C$42,2,FALSE)*24)*$CV407,IF(AND($C407=2,CV407&gt;=$DJ$1),VLOOKUP($D407,HORAS!$B$4:$D$42,3,FALSE),IF(AND($C407=3,$CV407&gt;=$DJ$1),VLOOKUP($A407,FIJOS!$B$11:$P$545,10,FALSE),IF(AND($C407=3,$CV407&lt;$DJ$1),((VLOOKUP($A407,FIJOS!$B$11:$P$545,10,FALSE)/48)*24)*$CV407,IF(AND($C407=4,$CV407&gt;=(42/24)),VLOOKUP($D407,HORAS!$B$4:$D$42,3,FALSE),IF(AND($C407=5,$CV407&gt;=(36/24)),VLOOKUP($D407,HORAS!$B$4:$D$42,3,FALSE))))))))</f>
        <v>0</v>
      </c>
      <c r="DJ407" s="145">
        <f>IF(OR($C407=2),VLOOKUP($D407,HORAS!$B$4:$E$42,4,FALSE)*$EC407,IF(ISERROR(VLOOKUP($A407,FIJOS!$B$11:$P$108,9,FALSE)),0,VLOOKUP($A407,FIJOS!$B$11:$P$231,9,FALSE)*$EC407))</f>
        <v>0</v>
      </c>
      <c r="DK407" s="145">
        <f>IF(OR($C407=2),VLOOKUP($D407,HORAS!$B$4:$F$42,5,FALSE)*$EE407,IF(ISERROR(VLOOKUP($A407,FIJOS!$B$11:$P$108,9,FALSE)),0,VLOOKUP($A407,FIJOS!$B$11:$P$231,9,FALSE)*$EE407))</f>
        <v>0</v>
      </c>
      <c r="DL407" s="144"/>
      <c r="DM407" s="145">
        <f>IF(ISERROR(VLOOKUP($A407,FIJOS!$B$11:$L$646,11,FALSE)),0,VLOOKUP($A407,FIJOS!$B$11:$L$646,11,FALSE))</f>
        <v>0</v>
      </c>
      <c r="DN407" s="148" t="e">
        <f>IF(OR($C407=1,$C407=3),0,IF((VLOOKUP(CAPTURA!D407,HORAS!$B$4:$K$42,10,FALSE)/4)*COUNTIF($H407:$CT407,3)&gt;100,100,(VLOOKUP(CAPTURA!D407,HORAS!$B$4:$K$42,10,FALSE)/4)*COUNTIF($H407:$CT407,3)))</f>
        <v>#N/A</v>
      </c>
      <c r="DO407" s="144" t="e">
        <f>IF(OR($C407=1,$C407=3),0,IF($C407=5,VLOOKUP(D407,HORAS!$B$4:$G$42,6,FALSE),IF(AND($C407=4,$CV407&gt;=(42/24)),VLOOKUP(D407,HORAS!$B$4:$G$42,6,FALSE),IF(COUNTIF($H407:$CL407,"F")&gt;0,0,IF(CV407&gt;$DJ$1,$DJ$1*(VLOOKUP(D407,HORAS!$B$4:$G$42,6,FALSE)/$DJ$1),CV407*(VLOOKUP(D407,HORAS!$B$4:$G$42,6,FALSE)/$DJ$1))))))</f>
        <v>#N/A</v>
      </c>
      <c r="DP407" s="156"/>
      <c r="DQ407" s="148"/>
      <c r="DR407" s="148"/>
      <c r="DS407" s="83" t="e">
        <f t="shared" si="162"/>
        <v>#N/A</v>
      </c>
      <c r="DT407" s="84"/>
      <c r="DU407" s="149" t="e">
        <f t="shared" si="235"/>
        <v>#N/A</v>
      </c>
      <c r="DV407" s="149" t="e">
        <f t="shared" si="236"/>
        <v>#N/A</v>
      </c>
      <c r="DW407" s="144" t="e">
        <f t="shared" si="237"/>
        <v>#N/A</v>
      </c>
      <c r="DX407" s="168"/>
      <c r="DY407" s="29"/>
      <c r="DZ407" s="150"/>
      <c r="EA407" s="134"/>
      <c r="EB407" s="137">
        <f t="shared" si="238"/>
        <v>0</v>
      </c>
      <c r="EC407" s="138">
        <f t="shared" si="239"/>
        <v>0</v>
      </c>
      <c r="ED407" s="137">
        <f t="shared" si="240"/>
        <v>0</v>
      </c>
      <c r="EE407" s="132">
        <f t="shared" si="241"/>
        <v>0</v>
      </c>
      <c r="EF407" s="29"/>
      <c r="EG407" s="134"/>
      <c r="EH407" s="134"/>
      <c r="EI407" s="134"/>
      <c r="EK407" s="29"/>
    </row>
    <row r="408" spans="1:141" ht="15" customHeight="1" x14ac:dyDescent="0.25">
      <c r="A408" s="87"/>
      <c r="B408" s="5"/>
      <c r="C408" s="72"/>
      <c r="D408" s="73"/>
      <c r="E408" s="73"/>
      <c r="F408" s="141"/>
      <c r="G408" s="74"/>
      <c r="H408" s="75"/>
      <c r="I408" s="76"/>
      <c r="J408" s="135"/>
      <c r="K408" s="135"/>
      <c r="L408" s="77">
        <f t="shared" si="138"/>
        <v>0</v>
      </c>
      <c r="M408" s="78"/>
      <c r="N408" s="142"/>
      <c r="O408" s="142"/>
      <c r="P408" s="77">
        <f t="shared" si="139"/>
        <v>0</v>
      </c>
      <c r="Q408" s="78"/>
      <c r="R408" s="143"/>
      <c r="S408" s="143"/>
      <c r="T408" s="77">
        <f t="shared" si="140"/>
        <v>0</v>
      </c>
      <c r="U408" s="75"/>
      <c r="V408" s="76"/>
      <c r="W408" s="135"/>
      <c r="X408" s="135"/>
      <c r="Y408" s="77">
        <f t="shared" si="141"/>
        <v>0</v>
      </c>
      <c r="Z408" s="78"/>
      <c r="AA408" s="142"/>
      <c r="AB408" s="142"/>
      <c r="AC408" s="77">
        <f t="shared" si="142"/>
        <v>0</v>
      </c>
      <c r="AD408" s="78"/>
      <c r="AE408" s="143"/>
      <c r="AF408" s="143"/>
      <c r="AG408" s="79">
        <f t="shared" si="143"/>
        <v>0</v>
      </c>
      <c r="AH408" s="75"/>
      <c r="AI408" s="76"/>
      <c r="AJ408" s="135"/>
      <c r="AK408" s="135"/>
      <c r="AL408" s="77">
        <f t="shared" si="144"/>
        <v>0</v>
      </c>
      <c r="AM408" s="76"/>
      <c r="AN408" s="142"/>
      <c r="AO408" s="142"/>
      <c r="AP408" s="77">
        <f t="shared" si="145"/>
        <v>0</v>
      </c>
      <c r="AQ408" s="78"/>
      <c r="AR408" s="142"/>
      <c r="AS408" s="142"/>
      <c r="AT408" s="79">
        <f t="shared" si="146"/>
        <v>0</v>
      </c>
      <c r="AU408" s="75"/>
      <c r="AV408" s="76"/>
      <c r="AW408" s="135"/>
      <c r="AX408" s="135"/>
      <c r="AY408" s="77">
        <f t="shared" si="147"/>
        <v>0</v>
      </c>
      <c r="AZ408" s="76"/>
      <c r="BA408" s="142"/>
      <c r="BB408" s="142"/>
      <c r="BC408" s="77">
        <f t="shared" si="148"/>
        <v>0</v>
      </c>
      <c r="BD408" s="78"/>
      <c r="BE408" s="142"/>
      <c r="BF408" s="142"/>
      <c r="BG408" s="79">
        <f t="shared" si="149"/>
        <v>0</v>
      </c>
      <c r="BH408" s="75"/>
      <c r="BI408" s="76"/>
      <c r="BJ408" s="135"/>
      <c r="BK408" s="135"/>
      <c r="BL408" s="77">
        <f t="shared" si="150"/>
        <v>0</v>
      </c>
      <c r="BM408" s="78"/>
      <c r="BN408" s="142"/>
      <c r="BO408" s="142"/>
      <c r="BP408" s="77">
        <f t="shared" si="151"/>
        <v>0</v>
      </c>
      <c r="BQ408" s="78"/>
      <c r="BR408" s="142"/>
      <c r="BS408" s="142"/>
      <c r="BT408" s="79">
        <f t="shared" si="152"/>
        <v>0</v>
      </c>
      <c r="BU408" s="75"/>
      <c r="BV408" s="76"/>
      <c r="BW408" s="135"/>
      <c r="BX408" s="135"/>
      <c r="BY408" s="77">
        <f t="shared" si="153"/>
        <v>0</v>
      </c>
      <c r="BZ408" s="78"/>
      <c r="CA408" s="142"/>
      <c r="CB408" s="142"/>
      <c r="CC408" s="77">
        <f t="shared" si="154"/>
        <v>0</v>
      </c>
      <c r="CD408" s="78"/>
      <c r="CE408" s="142"/>
      <c r="CF408" s="142"/>
      <c r="CG408" s="79">
        <f t="shared" si="155"/>
        <v>0</v>
      </c>
      <c r="CH408" s="75"/>
      <c r="CI408" s="76"/>
      <c r="CJ408" s="86"/>
      <c r="CK408" s="86"/>
      <c r="CL408" s="77">
        <f t="shared" si="156"/>
        <v>0</v>
      </c>
      <c r="CM408" s="78"/>
      <c r="CN408" s="85"/>
      <c r="CO408" s="85"/>
      <c r="CP408" s="77">
        <f t="shared" si="157"/>
        <v>0</v>
      </c>
      <c r="CQ408" s="78"/>
      <c r="CR408" s="85"/>
      <c r="CS408" s="85"/>
      <c r="CT408" s="79">
        <f t="shared" si="158"/>
        <v>0</v>
      </c>
      <c r="CU408" s="80">
        <f t="shared" si="168"/>
        <v>0</v>
      </c>
      <c r="CV408" s="81">
        <f t="shared" si="169"/>
        <v>0</v>
      </c>
      <c r="CW408" s="144"/>
      <c r="CX408" s="145">
        <f>IF(ISERROR(VLOOKUP($A408,FIJOS!$B$11:$O$590,14,FALSE)),0,VLOOKUP($A408,FIJOS!$B$11:$O$590,14,FALSE))</f>
        <v>0</v>
      </c>
      <c r="CY408" s="145">
        <f>IF(ISERROR(VLOOKUP(A408,FIJOS!$B$10:$P$590,15,FALSE)),0,VLOOKUP(A408,FIJOS!$B$10:$P$590,15,FALSE))</f>
        <v>0</v>
      </c>
      <c r="CZ408" s="155"/>
      <c r="DA408" s="147"/>
      <c r="DB408" s="147"/>
      <c r="DC408" s="147"/>
      <c r="DD408" s="147"/>
      <c r="DE408" s="147"/>
      <c r="DF408" s="145">
        <f>IF(ISERROR(VLOOKUP($A408,FIJOS!$B$11:$N$590,13,FALSE)),0,VLOOKUP($A408,FIJOS!$B$11:$N$590,13,FALSE))</f>
        <v>0</v>
      </c>
      <c r="DG408" s="145">
        <f>IF(ISERROR(VLOOKUP($A408,FIJOS!$B$11:$P$447,12,FALSE)),0,VLOOKUP($A408,FIJOS!$B$11:$P$447,12,FALSE))</f>
        <v>0</v>
      </c>
      <c r="DH408" s="82">
        <f t="shared" si="234"/>
        <v>0</v>
      </c>
      <c r="DI408" s="83" t="b">
        <f>IF($C408=1,(VLOOKUP($A408,FIJOS!$B$11:$P$545,10,FALSE)/7)*(7-$CU408),IF(AND($C408=2,CV408&lt;$DJ$1),(VLOOKUP($D408,HORAS!$B$4:$C$42,2,FALSE)*24)*$CV408,IF(AND($C408=2,CV408&gt;=$DJ$1),VLOOKUP($D408,HORAS!$B$4:$D$42,3,FALSE),IF(AND($C408=3,$CV408&gt;=$DJ$1),VLOOKUP($A408,FIJOS!$B$11:$P$545,10,FALSE),IF(AND($C408=3,$CV408&lt;$DJ$1),((VLOOKUP($A408,FIJOS!$B$11:$P$545,10,FALSE)/48)*24)*$CV408,IF(AND($C408=4,$CV408&gt;=(42/24)),VLOOKUP($D408,HORAS!$B$4:$D$42,3,FALSE),IF(AND($C408=5,$CV408&gt;=(36/24)),VLOOKUP($D408,HORAS!$B$4:$D$42,3,FALSE))))))))</f>
        <v>0</v>
      </c>
      <c r="DJ408" s="145">
        <f>IF(OR($C408=2),VLOOKUP($D408,HORAS!$B$4:$E$42,4,FALSE)*$EC408,IF(ISERROR(VLOOKUP($A408,FIJOS!$B$11:$P$108,9,FALSE)),0,VLOOKUP($A408,FIJOS!$B$11:$P$231,9,FALSE)*$EC408))</f>
        <v>0</v>
      </c>
      <c r="DK408" s="145">
        <f>IF(OR($C408=2),VLOOKUP($D408,HORAS!$B$4:$F$42,5,FALSE)*$EE408,IF(ISERROR(VLOOKUP($A408,FIJOS!$B$11:$P$108,9,FALSE)),0,VLOOKUP($A408,FIJOS!$B$11:$P$231,9,FALSE)*$EE408))</f>
        <v>0</v>
      </c>
      <c r="DL408" s="144"/>
      <c r="DM408" s="145">
        <f>IF(ISERROR(VLOOKUP($A408,FIJOS!$B$11:$L$646,11,FALSE)),0,VLOOKUP($A408,FIJOS!$B$11:$L$646,11,FALSE))</f>
        <v>0</v>
      </c>
      <c r="DN408" s="148" t="e">
        <f>IF(OR($C408=1,$C408=3),0,IF((VLOOKUP(CAPTURA!D408,HORAS!$B$4:$K$42,10,FALSE)/4)*COUNTIF($H408:$CT408,3)&gt;100,100,(VLOOKUP(CAPTURA!D408,HORAS!$B$4:$K$42,10,FALSE)/4)*COUNTIF($H408:$CT408,3)))</f>
        <v>#N/A</v>
      </c>
      <c r="DO408" s="144" t="e">
        <f>IF(OR($C408=1,$C408=3),0,IF($C408=5,VLOOKUP(D408,HORAS!$B$4:$G$42,6,FALSE),IF(AND($C408=4,$CV408&gt;=(42/24)),VLOOKUP(D408,HORAS!$B$4:$G$42,6,FALSE),IF(COUNTIF($H408:$CL408,"F")&gt;0,0,IF(CV408&gt;$DJ$1,$DJ$1*(VLOOKUP(D408,HORAS!$B$4:$G$42,6,FALSE)/$DJ$1),CV408*(VLOOKUP(D408,HORAS!$B$4:$G$42,6,FALSE)/$DJ$1))))))</f>
        <v>#N/A</v>
      </c>
      <c r="DP408" s="156"/>
      <c r="DQ408" s="148"/>
      <c r="DR408" s="148"/>
      <c r="DS408" s="83" t="e">
        <f t="shared" si="162"/>
        <v>#N/A</v>
      </c>
      <c r="DT408" s="84"/>
      <c r="DU408" s="149" t="e">
        <f t="shared" si="235"/>
        <v>#N/A</v>
      </c>
      <c r="DV408" s="149" t="e">
        <f t="shared" si="236"/>
        <v>#N/A</v>
      </c>
      <c r="DW408" s="144" t="e">
        <f t="shared" si="237"/>
        <v>#N/A</v>
      </c>
      <c r="DX408" s="168"/>
      <c r="DY408" s="29"/>
      <c r="DZ408" s="150"/>
      <c r="EA408" s="134"/>
      <c r="EB408" s="137">
        <f t="shared" si="238"/>
        <v>0</v>
      </c>
      <c r="EC408" s="138">
        <f t="shared" si="239"/>
        <v>0</v>
      </c>
      <c r="ED408" s="137">
        <f t="shared" si="240"/>
        <v>0</v>
      </c>
      <c r="EE408" s="132">
        <f t="shared" si="241"/>
        <v>0</v>
      </c>
      <c r="EF408" s="29"/>
      <c r="EG408" s="134"/>
      <c r="EH408" s="134"/>
      <c r="EI408" s="134"/>
      <c r="EK408" s="29"/>
    </row>
    <row r="409" spans="1:141" ht="15" customHeight="1" x14ac:dyDescent="0.25">
      <c r="A409" s="87"/>
      <c r="B409" s="5"/>
      <c r="C409" s="72"/>
      <c r="D409" s="73"/>
      <c r="E409" s="73"/>
      <c r="F409" s="141"/>
      <c r="G409" s="74"/>
      <c r="H409" s="75"/>
      <c r="I409" s="76"/>
      <c r="J409" s="135"/>
      <c r="K409" s="135"/>
      <c r="L409" s="77">
        <f t="shared" si="138"/>
        <v>0</v>
      </c>
      <c r="M409" s="78"/>
      <c r="N409" s="142"/>
      <c r="O409" s="142"/>
      <c r="P409" s="77">
        <f t="shared" si="139"/>
        <v>0</v>
      </c>
      <c r="Q409" s="78"/>
      <c r="R409" s="143"/>
      <c r="S409" s="143"/>
      <c r="T409" s="77">
        <f t="shared" si="140"/>
        <v>0</v>
      </c>
      <c r="U409" s="75"/>
      <c r="V409" s="76"/>
      <c r="W409" s="135"/>
      <c r="X409" s="135"/>
      <c r="Y409" s="77">
        <f t="shared" si="141"/>
        <v>0</v>
      </c>
      <c r="Z409" s="78"/>
      <c r="AA409" s="142"/>
      <c r="AB409" s="142"/>
      <c r="AC409" s="77">
        <f t="shared" si="142"/>
        <v>0</v>
      </c>
      <c r="AD409" s="78"/>
      <c r="AE409" s="143"/>
      <c r="AF409" s="143"/>
      <c r="AG409" s="79">
        <f t="shared" si="143"/>
        <v>0</v>
      </c>
      <c r="AH409" s="75"/>
      <c r="AI409" s="76"/>
      <c r="AJ409" s="135"/>
      <c r="AK409" s="135"/>
      <c r="AL409" s="77">
        <f t="shared" si="144"/>
        <v>0</v>
      </c>
      <c r="AM409" s="76"/>
      <c r="AN409" s="142"/>
      <c r="AO409" s="142"/>
      <c r="AP409" s="77">
        <f t="shared" si="145"/>
        <v>0</v>
      </c>
      <c r="AQ409" s="78"/>
      <c r="AR409" s="142"/>
      <c r="AS409" s="142"/>
      <c r="AT409" s="79">
        <f t="shared" si="146"/>
        <v>0</v>
      </c>
      <c r="AU409" s="75"/>
      <c r="AV409" s="76"/>
      <c r="AW409" s="135"/>
      <c r="AX409" s="135"/>
      <c r="AY409" s="77">
        <f t="shared" si="147"/>
        <v>0</v>
      </c>
      <c r="AZ409" s="76"/>
      <c r="BA409" s="142"/>
      <c r="BB409" s="142"/>
      <c r="BC409" s="77">
        <f t="shared" si="148"/>
        <v>0</v>
      </c>
      <c r="BD409" s="78"/>
      <c r="BE409" s="142"/>
      <c r="BF409" s="142"/>
      <c r="BG409" s="79">
        <f t="shared" si="149"/>
        <v>0</v>
      </c>
      <c r="BH409" s="75"/>
      <c r="BI409" s="76"/>
      <c r="BJ409" s="135"/>
      <c r="BK409" s="135"/>
      <c r="BL409" s="77">
        <f t="shared" si="150"/>
        <v>0</v>
      </c>
      <c r="BM409" s="78"/>
      <c r="BN409" s="142"/>
      <c r="BO409" s="142"/>
      <c r="BP409" s="77">
        <f t="shared" si="151"/>
        <v>0</v>
      </c>
      <c r="BQ409" s="78"/>
      <c r="BR409" s="142"/>
      <c r="BS409" s="142"/>
      <c r="BT409" s="79">
        <f t="shared" si="152"/>
        <v>0</v>
      </c>
      <c r="BU409" s="75"/>
      <c r="BV409" s="76"/>
      <c r="BW409" s="135"/>
      <c r="BX409" s="135"/>
      <c r="BY409" s="77">
        <f t="shared" si="153"/>
        <v>0</v>
      </c>
      <c r="BZ409" s="78"/>
      <c r="CA409" s="142"/>
      <c r="CB409" s="142"/>
      <c r="CC409" s="77">
        <f t="shared" si="154"/>
        <v>0</v>
      </c>
      <c r="CD409" s="78"/>
      <c r="CE409" s="142"/>
      <c r="CF409" s="142"/>
      <c r="CG409" s="79">
        <f t="shared" si="155"/>
        <v>0</v>
      </c>
      <c r="CH409" s="75"/>
      <c r="CI409" s="76"/>
      <c r="CJ409" s="86"/>
      <c r="CK409" s="86"/>
      <c r="CL409" s="77">
        <f t="shared" si="156"/>
        <v>0</v>
      </c>
      <c r="CM409" s="78"/>
      <c r="CN409" s="85"/>
      <c r="CO409" s="85"/>
      <c r="CP409" s="77">
        <f t="shared" si="157"/>
        <v>0</v>
      </c>
      <c r="CQ409" s="78"/>
      <c r="CR409" s="85"/>
      <c r="CS409" s="85"/>
      <c r="CT409" s="79">
        <f t="shared" si="158"/>
        <v>0</v>
      </c>
      <c r="CU409" s="80">
        <f t="shared" si="168"/>
        <v>0</v>
      </c>
      <c r="CV409" s="81">
        <f t="shared" si="169"/>
        <v>0</v>
      </c>
      <c r="CW409" s="144"/>
      <c r="CX409" s="145">
        <f>IF(ISERROR(VLOOKUP($A409,FIJOS!$B$11:$O$590,14,FALSE)),0,VLOOKUP($A409,FIJOS!$B$11:$O$590,14,FALSE))</f>
        <v>0</v>
      </c>
      <c r="CY409" s="145">
        <f>IF(ISERROR(VLOOKUP(A409,FIJOS!$B$10:$P$590,15,FALSE)),0,VLOOKUP(A409,FIJOS!$B$10:$P$590,15,FALSE))</f>
        <v>0</v>
      </c>
      <c r="CZ409" s="155"/>
      <c r="DA409" s="147"/>
      <c r="DB409" s="147"/>
      <c r="DC409" s="147"/>
      <c r="DD409" s="147"/>
      <c r="DE409" s="147"/>
      <c r="DF409" s="145">
        <f>IF(ISERROR(VLOOKUP($A409,FIJOS!$B$11:$N$590,13,FALSE)),0,VLOOKUP($A409,FIJOS!$B$11:$N$590,13,FALSE))</f>
        <v>0</v>
      </c>
      <c r="DG409" s="145">
        <f>IF(ISERROR(VLOOKUP($A409,FIJOS!$B$11:$P$447,12,FALSE)),0,VLOOKUP($A409,FIJOS!$B$11:$P$447,12,FALSE))</f>
        <v>0</v>
      </c>
      <c r="DH409" s="82">
        <f t="shared" si="234"/>
        <v>0</v>
      </c>
      <c r="DI409" s="83" t="b">
        <f>IF($C409=1,(VLOOKUP($A409,FIJOS!$B$11:$P$545,10,FALSE)/7)*(7-$CU409),IF(AND($C409=2,CV409&lt;$DJ$1),(VLOOKUP($D409,HORAS!$B$4:$C$42,2,FALSE)*24)*$CV409,IF(AND($C409=2,CV409&gt;=$DJ$1),VLOOKUP($D409,HORAS!$B$4:$D$42,3,FALSE),IF(AND($C409=3,$CV409&gt;=$DJ$1),VLOOKUP($A409,FIJOS!$B$11:$P$545,10,FALSE),IF(AND($C409=3,$CV409&lt;$DJ$1),((VLOOKUP($A409,FIJOS!$B$11:$P$545,10,FALSE)/48)*24)*$CV409,IF(AND($C409=4,$CV409&gt;=(42/24)),VLOOKUP($D409,HORAS!$B$4:$D$42,3,FALSE),IF(AND($C409=5,$CV409&gt;=(36/24)),VLOOKUP($D409,HORAS!$B$4:$D$42,3,FALSE))))))))</f>
        <v>0</v>
      </c>
      <c r="DJ409" s="145">
        <f>IF(OR($C409=2),VLOOKUP($D409,HORAS!$B$4:$E$42,4,FALSE)*$EC409,IF(ISERROR(VLOOKUP($A409,FIJOS!$B$11:$P$108,9,FALSE)),0,VLOOKUP($A409,FIJOS!$B$11:$P$231,9,FALSE)*$EC409))</f>
        <v>0</v>
      </c>
      <c r="DK409" s="145">
        <f>IF(OR($C409=2),VLOOKUP($D409,HORAS!$B$4:$F$42,5,FALSE)*$EE409,IF(ISERROR(VLOOKUP($A409,FIJOS!$B$11:$P$108,9,FALSE)),0,VLOOKUP($A409,FIJOS!$B$11:$P$231,9,FALSE)*$EE409))</f>
        <v>0</v>
      </c>
      <c r="DL409" s="144"/>
      <c r="DM409" s="145">
        <f>IF(ISERROR(VLOOKUP($A409,FIJOS!$B$11:$L$646,11,FALSE)),0,VLOOKUP($A409,FIJOS!$B$11:$L$646,11,FALSE))</f>
        <v>0</v>
      </c>
      <c r="DN409" s="148" t="e">
        <f>IF(OR($C409=1,$C409=3),0,IF((VLOOKUP(CAPTURA!D409,HORAS!$B$4:$K$42,10,FALSE)/4)*COUNTIF($H409:$CT409,3)&gt;100,100,(VLOOKUP(CAPTURA!D409,HORAS!$B$4:$K$42,10,FALSE)/4)*COUNTIF($H409:$CT409,3)))</f>
        <v>#N/A</v>
      </c>
      <c r="DO409" s="144" t="e">
        <f>IF(OR($C409=1,$C409=3),0,IF($C409=5,VLOOKUP(D409,HORAS!$B$4:$G$42,6,FALSE),IF(AND($C409=4,$CV409&gt;=(42/24)),VLOOKUP(D409,HORAS!$B$4:$G$42,6,FALSE),IF(COUNTIF($H409:$CL409,"F")&gt;0,0,IF(CV409&gt;$DJ$1,$DJ$1*(VLOOKUP(D409,HORAS!$B$4:$G$42,6,FALSE)/$DJ$1),CV409*(VLOOKUP(D409,HORAS!$B$4:$G$42,6,FALSE)/$DJ$1))))))</f>
        <v>#N/A</v>
      </c>
      <c r="DP409" s="156"/>
      <c r="DQ409" s="148"/>
      <c r="DR409" s="148"/>
      <c r="DS409" s="83" t="e">
        <f t="shared" si="162"/>
        <v>#N/A</v>
      </c>
      <c r="DT409" s="84"/>
      <c r="DU409" s="149" t="e">
        <f t="shared" si="235"/>
        <v>#N/A</v>
      </c>
      <c r="DV409" s="149" t="e">
        <f t="shared" si="236"/>
        <v>#N/A</v>
      </c>
      <c r="DW409" s="144" t="e">
        <f t="shared" si="237"/>
        <v>#N/A</v>
      </c>
      <c r="DX409" s="168"/>
      <c r="DY409" s="29"/>
      <c r="DZ409" s="150"/>
      <c r="EA409" s="134"/>
      <c r="EB409" s="137">
        <f t="shared" si="238"/>
        <v>0</v>
      </c>
      <c r="EC409" s="138">
        <f t="shared" si="239"/>
        <v>0</v>
      </c>
      <c r="ED409" s="137">
        <f t="shared" si="240"/>
        <v>0</v>
      </c>
      <c r="EE409" s="132">
        <f t="shared" si="241"/>
        <v>0</v>
      </c>
      <c r="EF409" s="29"/>
      <c r="EG409" s="134"/>
      <c r="EH409" s="134"/>
      <c r="EI409" s="134"/>
      <c r="EK409" s="29"/>
    </row>
    <row r="410" spans="1:141" ht="15" customHeight="1" x14ac:dyDescent="0.25">
      <c r="A410" s="87"/>
      <c r="B410" s="5"/>
      <c r="C410" s="72"/>
      <c r="D410" s="73"/>
      <c r="E410" s="73"/>
      <c r="F410" s="141"/>
      <c r="G410" s="74"/>
      <c r="H410" s="75"/>
      <c r="I410" s="76"/>
      <c r="J410" s="135"/>
      <c r="K410" s="135"/>
      <c r="L410" s="77">
        <f t="shared" si="138"/>
        <v>0</v>
      </c>
      <c r="M410" s="78"/>
      <c r="N410" s="142"/>
      <c r="O410" s="142"/>
      <c r="P410" s="77">
        <f t="shared" si="139"/>
        <v>0</v>
      </c>
      <c r="Q410" s="78"/>
      <c r="R410" s="143"/>
      <c r="S410" s="143"/>
      <c r="T410" s="77">
        <f t="shared" si="140"/>
        <v>0</v>
      </c>
      <c r="U410" s="75"/>
      <c r="V410" s="76"/>
      <c r="W410" s="135"/>
      <c r="X410" s="135"/>
      <c r="Y410" s="77">
        <f t="shared" si="141"/>
        <v>0</v>
      </c>
      <c r="Z410" s="78"/>
      <c r="AA410" s="142"/>
      <c r="AB410" s="142"/>
      <c r="AC410" s="77">
        <f t="shared" si="142"/>
        <v>0</v>
      </c>
      <c r="AD410" s="78"/>
      <c r="AE410" s="143"/>
      <c r="AF410" s="143"/>
      <c r="AG410" s="79">
        <f t="shared" si="143"/>
        <v>0</v>
      </c>
      <c r="AH410" s="75"/>
      <c r="AI410" s="76"/>
      <c r="AJ410" s="135"/>
      <c r="AK410" s="135"/>
      <c r="AL410" s="77">
        <f t="shared" si="144"/>
        <v>0</v>
      </c>
      <c r="AM410" s="76"/>
      <c r="AN410" s="142"/>
      <c r="AO410" s="142"/>
      <c r="AP410" s="77">
        <f t="shared" si="145"/>
        <v>0</v>
      </c>
      <c r="AQ410" s="78"/>
      <c r="AR410" s="142"/>
      <c r="AS410" s="142"/>
      <c r="AT410" s="79">
        <f t="shared" si="146"/>
        <v>0</v>
      </c>
      <c r="AU410" s="75"/>
      <c r="AV410" s="76"/>
      <c r="AW410" s="135"/>
      <c r="AX410" s="135"/>
      <c r="AY410" s="77">
        <f t="shared" si="147"/>
        <v>0</v>
      </c>
      <c r="AZ410" s="76"/>
      <c r="BA410" s="142"/>
      <c r="BB410" s="142"/>
      <c r="BC410" s="77">
        <f t="shared" si="148"/>
        <v>0</v>
      </c>
      <c r="BD410" s="78"/>
      <c r="BE410" s="142"/>
      <c r="BF410" s="142"/>
      <c r="BG410" s="79">
        <f t="shared" si="149"/>
        <v>0</v>
      </c>
      <c r="BH410" s="75"/>
      <c r="BI410" s="76"/>
      <c r="BJ410" s="135"/>
      <c r="BK410" s="135"/>
      <c r="BL410" s="77">
        <f t="shared" si="150"/>
        <v>0</v>
      </c>
      <c r="BM410" s="78"/>
      <c r="BN410" s="142"/>
      <c r="BO410" s="142"/>
      <c r="BP410" s="77">
        <f t="shared" si="151"/>
        <v>0</v>
      </c>
      <c r="BQ410" s="78"/>
      <c r="BR410" s="142"/>
      <c r="BS410" s="142"/>
      <c r="BT410" s="79">
        <f t="shared" si="152"/>
        <v>0</v>
      </c>
      <c r="BU410" s="75"/>
      <c r="BV410" s="76"/>
      <c r="BW410" s="135"/>
      <c r="BX410" s="135"/>
      <c r="BY410" s="77">
        <f t="shared" si="153"/>
        <v>0</v>
      </c>
      <c r="BZ410" s="78"/>
      <c r="CA410" s="142"/>
      <c r="CB410" s="142"/>
      <c r="CC410" s="77">
        <f t="shared" si="154"/>
        <v>0</v>
      </c>
      <c r="CD410" s="78"/>
      <c r="CE410" s="142"/>
      <c r="CF410" s="142"/>
      <c r="CG410" s="79">
        <f t="shared" si="155"/>
        <v>0</v>
      </c>
      <c r="CH410" s="75"/>
      <c r="CI410" s="76"/>
      <c r="CJ410" s="86"/>
      <c r="CK410" s="86"/>
      <c r="CL410" s="77">
        <f t="shared" si="156"/>
        <v>0</v>
      </c>
      <c r="CM410" s="78"/>
      <c r="CN410" s="85"/>
      <c r="CO410" s="85"/>
      <c r="CP410" s="77">
        <f t="shared" si="157"/>
        <v>0</v>
      </c>
      <c r="CQ410" s="78"/>
      <c r="CR410" s="85"/>
      <c r="CS410" s="85"/>
      <c r="CT410" s="79">
        <f t="shared" si="158"/>
        <v>0</v>
      </c>
      <c r="CU410" s="80">
        <f t="shared" si="168"/>
        <v>0</v>
      </c>
      <c r="CV410" s="81">
        <f t="shared" si="169"/>
        <v>0</v>
      </c>
      <c r="CW410" s="144"/>
      <c r="CX410" s="145">
        <f>IF(ISERROR(VLOOKUP($A410,FIJOS!$B$11:$O$590,14,FALSE)),0,VLOOKUP($A410,FIJOS!$B$11:$O$590,14,FALSE))</f>
        <v>0</v>
      </c>
      <c r="CY410" s="145">
        <f>IF(ISERROR(VLOOKUP(A410,FIJOS!$B$10:$P$590,15,FALSE)),0,VLOOKUP(A410,FIJOS!$B$10:$P$590,15,FALSE))</f>
        <v>0</v>
      </c>
      <c r="CZ410" s="155"/>
      <c r="DA410" s="147"/>
      <c r="DB410" s="147"/>
      <c r="DC410" s="147"/>
      <c r="DD410" s="147"/>
      <c r="DE410" s="147"/>
      <c r="DF410" s="145">
        <f>IF(ISERROR(VLOOKUP($A410,FIJOS!$B$11:$N$590,13,FALSE)),0,VLOOKUP($A410,FIJOS!$B$11:$N$590,13,FALSE))</f>
        <v>0</v>
      </c>
      <c r="DG410" s="145">
        <f>IF(ISERROR(VLOOKUP($A410,FIJOS!$B$11:$P$447,12,FALSE)),0,VLOOKUP($A410,FIJOS!$B$11:$P$447,12,FALSE))</f>
        <v>0</v>
      </c>
      <c r="DH410" s="82">
        <f t="shared" si="234"/>
        <v>0</v>
      </c>
      <c r="DI410" s="83" t="b">
        <f>IF($C410=1,(VLOOKUP($A410,FIJOS!$B$11:$P$545,10,FALSE)/7)*(7-$CU410),IF(AND($C410=2,CV410&lt;$DJ$1),(VLOOKUP($D410,HORAS!$B$4:$C$42,2,FALSE)*24)*$CV410,IF(AND($C410=2,CV410&gt;=$DJ$1),VLOOKUP($D410,HORAS!$B$4:$D$42,3,FALSE),IF(AND($C410=3,$CV410&gt;=$DJ$1),VLOOKUP($A410,FIJOS!$B$11:$P$545,10,FALSE),IF(AND($C410=3,$CV410&lt;$DJ$1),((VLOOKUP($A410,FIJOS!$B$11:$P$545,10,FALSE)/48)*24)*$CV410,IF(AND($C410=4,$CV410&gt;=(42/24)),VLOOKUP($D410,HORAS!$B$4:$D$42,3,FALSE),IF(AND($C410=5,$CV410&gt;=(36/24)),VLOOKUP($D410,HORAS!$B$4:$D$42,3,FALSE))))))))</f>
        <v>0</v>
      </c>
      <c r="DJ410" s="145">
        <f>IF(OR($C410=2),VLOOKUP($D410,HORAS!$B$4:$E$42,4,FALSE)*$EC410,IF(ISERROR(VLOOKUP($A410,FIJOS!$B$11:$P$108,9,FALSE)),0,VLOOKUP($A410,FIJOS!$B$11:$P$231,9,FALSE)*$EC410))</f>
        <v>0</v>
      </c>
      <c r="DK410" s="145">
        <f>IF(OR($C410=2),VLOOKUP($D410,HORAS!$B$4:$F$42,5,FALSE)*$EE410,IF(ISERROR(VLOOKUP($A410,FIJOS!$B$11:$P$108,9,FALSE)),0,VLOOKUP($A410,FIJOS!$B$11:$P$231,9,FALSE)*$EE410))</f>
        <v>0</v>
      </c>
      <c r="DL410" s="144"/>
      <c r="DM410" s="145">
        <f>IF(ISERROR(VLOOKUP($A410,FIJOS!$B$11:$L$646,11,FALSE)),0,VLOOKUP($A410,FIJOS!$B$11:$L$646,11,FALSE))</f>
        <v>0</v>
      </c>
      <c r="DN410" s="148" t="e">
        <f>IF(OR($C410=1,$C410=3),0,IF((VLOOKUP(CAPTURA!D410,HORAS!$B$4:$K$42,10,FALSE)/4)*COUNTIF($H410:$CT410,3)&gt;100,100,(VLOOKUP(CAPTURA!D410,HORAS!$B$4:$K$42,10,FALSE)/4)*COUNTIF($H410:$CT410,3)))</f>
        <v>#N/A</v>
      </c>
      <c r="DO410" s="144" t="e">
        <f>IF(OR($C410=1,$C410=3),0,IF($C410=5,VLOOKUP(D410,HORAS!$B$4:$G$42,6,FALSE),IF(AND($C410=4,$CV410&gt;=(42/24)),VLOOKUP(D410,HORAS!$B$4:$G$42,6,FALSE),IF(COUNTIF($H410:$CL410,"F")&gt;0,0,IF(CV410&gt;$DJ$1,$DJ$1*(VLOOKUP(D410,HORAS!$B$4:$G$42,6,FALSE)/$DJ$1),CV410*(VLOOKUP(D410,HORAS!$B$4:$G$42,6,FALSE)/$DJ$1))))))</f>
        <v>#N/A</v>
      </c>
      <c r="DP410" s="156"/>
      <c r="DQ410" s="148"/>
      <c r="DR410" s="148"/>
      <c r="DS410" s="83" t="e">
        <f t="shared" si="162"/>
        <v>#N/A</v>
      </c>
      <c r="DT410" s="84"/>
      <c r="DU410" s="149" t="e">
        <f t="shared" si="235"/>
        <v>#N/A</v>
      </c>
      <c r="DV410" s="149" t="e">
        <f t="shared" si="236"/>
        <v>#N/A</v>
      </c>
      <c r="DW410" s="144" t="e">
        <f t="shared" si="237"/>
        <v>#N/A</v>
      </c>
      <c r="DX410" s="168"/>
      <c r="DY410" s="29"/>
      <c r="DZ410" s="150"/>
      <c r="EA410" s="134"/>
      <c r="EB410" s="137">
        <f t="shared" si="238"/>
        <v>0</v>
      </c>
      <c r="EC410" s="138">
        <f t="shared" si="239"/>
        <v>0</v>
      </c>
      <c r="ED410" s="137">
        <f t="shared" si="240"/>
        <v>0</v>
      </c>
      <c r="EE410" s="132">
        <f t="shared" si="241"/>
        <v>0</v>
      </c>
      <c r="EF410" s="29"/>
      <c r="EG410" s="134"/>
      <c r="EH410" s="134"/>
      <c r="EI410" s="134"/>
      <c r="EK410" s="29"/>
    </row>
    <row r="411" spans="1:141" ht="15" customHeight="1" x14ac:dyDescent="0.25">
      <c r="A411" s="87"/>
      <c r="B411" s="5"/>
      <c r="C411" s="72"/>
      <c r="D411" s="73"/>
      <c r="E411" s="73"/>
      <c r="F411" s="141"/>
      <c r="G411" s="74"/>
      <c r="H411" s="75"/>
      <c r="I411" s="76"/>
      <c r="J411" s="135"/>
      <c r="K411" s="135"/>
      <c r="L411" s="77">
        <f t="shared" si="138"/>
        <v>0</v>
      </c>
      <c r="M411" s="78"/>
      <c r="N411" s="142"/>
      <c r="O411" s="142"/>
      <c r="P411" s="77">
        <f t="shared" si="139"/>
        <v>0</v>
      </c>
      <c r="Q411" s="78"/>
      <c r="R411" s="143"/>
      <c r="S411" s="143"/>
      <c r="T411" s="77">
        <f t="shared" si="140"/>
        <v>0</v>
      </c>
      <c r="U411" s="75"/>
      <c r="V411" s="76"/>
      <c r="W411" s="135"/>
      <c r="X411" s="135"/>
      <c r="Y411" s="77">
        <f t="shared" si="141"/>
        <v>0</v>
      </c>
      <c r="Z411" s="78"/>
      <c r="AA411" s="142"/>
      <c r="AB411" s="142"/>
      <c r="AC411" s="77">
        <f t="shared" si="142"/>
        <v>0</v>
      </c>
      <c r="AD411" s="78"/>
      <c r="AE411" s="143"/>
      <c r="AF411" s="143"/>
      <c r="AG411" s="79">
        <f t="shared" si="143"/>
        <v>0</v>
      </c>
      <c r="AH411" s="75"/>
      <c r="AI411" s="76"/>
      <c r="AJ411" s="135"/>
      <c r="AK411" s="135"/>
      <c r="AL411" s="77">
        <f t="shared" si="144"/>
        <v>0</v>
      </c>
      <c r="AM411" s="76"/>
      <c r="AN411" s="142"/>
      <c r="AO411" s="142"/>
      <c r="AP411" s="77">
        <f t="shared" si="145"/>
        <v>0</v>
      </c>
      <c r="AQ411" s="78"/>
      <c r="AR411" s="142"/>
      <c r="AS411" s="142"/>
      <c r="AT411" s="79">
        <f t="shared" si="146"/>
        <v>0</v>
      </c>
      <c r="AU411" s="75"/>
      <c r="AV411" s="76"/>
      <c r="AW411" s="135"/>
      <c r="AX411" s="135"/>
      <c r="AY411" s="77">
        <f t="shared" si="147"/>
        <v>0</v>
      </c>
      <c r="AZ411" s="76"/>
      <c r="BA411" s="142"/>
      <c r="BB411" s="142"/>
      <c r="BC411" s="77">
        <f t="shared" si="148"/>
        <v>0</v>
      </c>
      <c r="BD411" s="78"/>
      <c r="BE411" s="142"/>
      <c r="BF411" s="142"/>
      <c r="BG411" s="79">
        <f t="shared" si="149"/>
        <v>0</v>
      </c>
      <c r="BH411" s="75"/>
      <c r="BI411" s="76"/>
      <c r="BJ411" s="135"/>
      <c r="BK411" s="135"/>
      <c r="BL411" s="77">
        <f t="shared" si="150"/>
        <v>0</v>
      </c>
      <c r="BM411" s="78"/>
      <c r="BN411" s="142"/>
      <c r="BO411" s="142"/>
      <c r="BP411" s="77">
        <f t="shared" si="151"/>
        <v>0</v>
      </c>
      <c r="BQ411" s="78"/>
      <c r="BR411" s="142"/>
      <c r="BS411" s="142"/>
      <c r="BT411" s="79">
        <f t="shared" si="152"/>
        <v>0</v>
      </c>
      <c r="BU411" s="75"/>
      <c r="BV411" s="76"/>
      <c r="BW411" s="135"/>
      <c r="BX411" s="135"/>
      <c r="BY411" s="77">
        <f t="shared" si="153"/>
        <v>0</v>
      </c>
      <c r="BZ411" s="78"/>
      <c r="CA411" s="142"/>
      <c r="CB411" s="142"/>
      <c r="CC411" s="77">
        <f t="shared" si="154"/>
        <v>0</v>
      </c>
      <c r="CD411" s="78"/>
      <c r="CE411" s="142"/>
      <c r="CF411" s="142"/>
      <c r="CG411" s="79">
        <f t="shared" si="155"/>
        <v>0</v>
      </c>
      <c r="CH411" s="75"/>
      <c r="CI411" s="76"/>
      <c r="CJ411" s="86"/>
      <c r="CK411" s="86"/>
      <c r="CL411" s="77">
        <f t="shared" si="156"/>
        <v>0</v>
      </c>
      <c r="CM411" s="78"/>
      <c r="CN411" s="85"/>
      <c r="CO411" s="85"/>
      <c r="CP411" s="77">
        <f t="shared" si="157"/>
        <v>0</v>
      </c>
      <c r="CQ411" s="78"/>
      <c r="CR411" s="85"/>
      <c r="CS411" s="85"/>
      <c r="CT411" s="79">
        <f t="shared" si="158"/>
        <v>0</v>
      </c>
      <c r="CU411" s="80">
        <f t="shared" si="168"/>
        <v>0</v>
      </c>
      <c r="CV411" s="81">
        <f t="shared" si="169"/>
        <v>0</v>
      </c>
      <c r="CW411" s="144"/>
      <c r="CX411" s="145">
        <f>IF(ISERROR(VLOOKUP($A411,FIJOS!$B$11:$O$590,14,FALSE)),0,VLOOKUP($A411,FIJOS!$B$11:$O$590,14,FALSE))</f>
        <v>0</v>
      </c>
      <c r="CY411" s="145">
        <f>IF(ISERROR(VLOOKUP(A411,FIJOS!$B$10:$P$590,15,FALSE)),0,VLOOKUP(A411,FIJOS!$B$10:$P$590,15,FALSE))</f>
        <v>0</v>
      </c>
      <c r="CZ411" s="155"/>
      <c r="DA411" s="147"/>
      <c r="DB411" s="147"/>
      <c r="DC411" s="147"/>
      <c r="DD411" s="147"/>
      <c r="DE411" s="147"/>
      <c r="DF411" s="145">
        <f>IF(ISERROR(VLOOKUP($A411,FIJOS!$B$11:$N$590,13,FALSE)),0,VLOOKUP($A411,FIJOS!$B$11:$N$590,13,FALSE))</f>
        <v>0</v>
      </c>
      <c r="DG411" s="145">
        <f>IF(ISERROR(VLOOKUP($A411,FIJOS!$B$11:$P$447,12,FALSE)),0,VLOOKUP($A411,FIJOS!$B$11:$P$447,12,FALSE))</f>
        <v>0</v>
      </c>
      <c r="DH411" s="82">
        <f t="shared" si="234"/>
        <v>0</v>
      </c>
      <c r="DI411" s="83" t="b">
        <f>IF($C411=1,(VLOOKUP($A411,FIJOS!$B$11:$P$545,10,FALSE)/7)*(7-$CU411),IF(AND($C411=2,CV411&lt;$DJ$1),(VLOOKUP($D411,HORAS!$B$4:$C$42,2,FALSE)*24)*$CV411,IF(AND($C411=2,CV411&gt;=$DJ$1),VLOOKUP($D411,HORAS!$B$4:$D$42,3,FALSE),IF(AND($C411=3,$CV411&gt;=$DJ$1),VLOOKUP($A411,FIJOS!$B$11:$P$545,10,FALSE),IF(AND($C411=3,$CV411&lt;$DJ$1),((VLOOKUP($A411,FIJOS!$B$11:$P$545,10,FALSE)/48)*24)*$CV411,IF(AND($C411=4,$CV411&gt;=(42/24)),VLOOKUP($D411,HORAS!$B$4:$D$42,3,FALSE),IF(AND($C411=5,$CV411&gt;=(36/24)),VLOOKUP($D411,HORAS!$B$4:$D$42,3,FALSE))))))))</f>
        <v>0</v>
      </c>
      <c r="DJ411" s="145">
        <f>IF(OR($C411=2),VLOOKUP($D411,HORAS!$B$4:$E$42,4,FALSE)*$EC411,IF(ISERROR(VLOOKUP($A411,FIJOS!$B$11:$P$108,9,FALSE)),0,VLOOKUP($A411,FIJOS!$B$11:$P$231,9,FALSE)*$EC411))</f>
        <v>0</v>
      </c>
      <c r="DK411" s="145">
        <f>IF(OR($C411=2),VLOOKUP($D411,HORAS!$B$4:$F$42,5,FALSE)*$EE411,IF(ISERROR(VLOOKUP($A411,FIJOS!$B$11:$P$108,9,FALSE)),0,VLOOKUP($A411,FIJOS!$B$11:$P$231,9,FALSE)*$EE411))</f>
        <v>0</v>
      </c>
      <c r="DL411" s="144"/>
      <c r="DM411" s="145">
        <f>IF(ISERROR(VLOOKUP($A411,FIJOS!$B$11:$L$646,11,FALSE)),0,VLOOKUP($A411,FIJOS!$B$11:$L$646,11,FALSE))</f>
        <v>0</v>
      </c>
      <c r="DN411" s="148" t="e">
        <f>IF(OR($C411=1,$C411=3),0,IF((VLOOKUP(CAPTURA!D411,HORAS!$B$4:$K$42,10,FALSE)/4)*COUNTIF($H411:$CT411,3)&gt;100,100,(VLOOKUP(CAPTURA!D411,HORAS!$B$4:$K$42,10,FALSE)/4)*COUNTIF($H411:$CT411,3)))</f>
        <v>#N/A</v>
      </c>
      <c r="DO411" s="144" t="e">
        <f>IF(OR($C411=1,$C411=3),0,IF($C411=5,VLOOKUP(D411,HORAS!$B$4:$G$42,6,FALSE),IF(AND($C411=4,$CV411&gt;=(42/24)),VLOOKUP(D411,HORAS!$B$4:$G$42,6,FALSE),IF(COUNTIF($H411:$CL411,"F")&gt;0,0,IF(CV411&gt;$DJ$1,$DJ$1*(VLOOKUP(D411,HORAS!$B$4:$G$42,6,FALSE)/$DJ$1),CV411*(VLOOKUP(D411,HORAS!$B$4:$G$42,6,FALSE)/$DJ$1))))))</f>
        <v>#N/A</v>
      </c>
      <c r="DP411" s="156"/>
      <c r="DQ411" s="148"/>
      <c r="DR411" s="148"/>
      <c r="DS411" s="83" t="e">
        <f t="shared" si="162"/>
        <v>#N/A</v>
      </c>
      <c r="DT411" s="84"/>
      <c r="DU411" s="149" t="e">
        <f t="shared" si="235"/>
        <v>#N/A</v>
      </c>
      <c r="DV411" s="149" t="e">
        <f t="shared" si="236"/>
        <v>#N/A</v>
      </c>
      <c r="DW411" s="144" t="e">
        <f t="shared" si="237"/>
        <v>#N/A</v>
      </c>
      <c r="DX411" s="168"/>
      <c r="DY411" s="29"/>
      <c r="DZ411" s="150"/>
      <c r="EA411" s="134"/>
      <c r="EB411" s="137">
        <f t="shared" si="238"/>
        <v>0</v>
      </c>
      <c r="EC411" s="138">
        <f t="shared" si="239"/>
        <v>0</v>
      </c>
      <c r="ED411" s="137">
        <f t="shared" si="240"/>
        <v>0</v>
      </c>
      <c r="EE411" s="132">
        <f t="shared" si="241"/>
        <v>0</v>
      </c>
      <c r="EF411" s="29"/>
      <c r="EG411" s="134"/>
      <c r="EH411" s="134"/>
      <c r="EI411" s="134"/>
      <c r="EK411" s="29"/>
    </row>
    <row r="412" spans="1:141" ht="15" customHeight="1" x14ac:dyDescent="0.25">
      <c r="A412" s="87"/>
      <c r="B412" s="5"/>
      <c r="C412" s="72"/>
      <c r="D412" s="73"/>
      <c r="E412" s="73"/>
      <c r="F412" s="141"/>
      <c r="G412" s="74"/>
      <c r="H412" s="75"/>
      <c r="I412" s="76"/>
      <c r="J412" s="135"/>
      <c r="K412" s="135"/>
      <c r="L412" s="77">
        <f t="shared" si="138"/>
        <v>0</v>
      </c>
      <c r="M412" s="78"/>
      <c r="N412" s="142"/>
      <c r="O412" s="142"/>
      <c r="P412" s="77">
        <f t="shared" si="139"/>
        <v>0</v>
      </c>
      <c r="Q412" s="78"/>
      <c r="R412" s="143"/>
      <c r="S412" s="143"/>
      <c r="T412" s="77">
        <f t="shared" si="140"/>
        <v>0</v>
      </c>
      <c r="U412" s="75"/>
      <c r="V412" s="76"/>
      <c r="W412" s="135"/>
      <c r="X412" s="135"/>
      <c r="Y412" s="77">
        <f t="shared" si="141"/>
        <v>0</v>
      </c>
      <c r="Z412" s="78"/>
      <c r="AA412" s="142"/>
      <c r="AB412" s="142"/>
      <c r="AC412" s="77">
        <f t="shared" si="142"/>
        <v>0</v>
      </c>
      <c r="AD412" s="78"/>
      <c r="AE412" s="143"/>
      <c r="AF412" s="143"/>
      <c r="AG412" s="79">
        <f t="shared" si="143"/>
        <v>0</v>
      </c>
      <c r="AH412" s="75"/>
      <c r="AI412" s="76"/>
      <c r="AJ412" s="135"/>
      <c r="AK412" s="135"/>
      <c r="AL412" s="77">
        <f t="shared" si="144"/>
        <v>0</v>
      </c>
      <c r="AM412" s="76"/>
      <c r="AN412" s="142"/>
      <c r="AO412" s="142"/>
      <c r="AP412" s="77">
        <f t="shared" si="145"/>
        <v>0</v>
      </c>
      <c r="AQ412" s="78"/>
      <c r="AR412" s="142"/>
      <c r="AS412" s="142"/>
      <c r="AT412" s="79">
        <f t="shared" si="146"/>
        <v>0</v>
      </c>
      <c r="AU412" s="75"/>
      <c r="AV412" s="76"/>
      <c r="AW412" s="135"/>
      <c r="AX412" s="135"/>
      <c r="AY412" s="77">
        <f t="shared" si="147"/>
        <v>0</v>
      </c>
      <c r="AZ412" s="76"/>
      <c r="BA412" s="142"/>
      <c r="BB412" s="142"/>
      <c r="BC412" s="77">
        <f t="shared" si="148"/>
        <v>0</v>
      </c>
      <c r="BD412" s="78"/>
      <c r="BE412" s="142"/>
      <c r="BF412" s="142"/>
      <c r="BG412" s="79">
        <f t="shared" si="149"/>
        <v>0</v>
      </c>
      <c r="BH412" s="75"/>
      <c r="BI412" s="76"/>
      <c r="BJ412" s="135"/>
      <c r="BK412" s="135"/>
      <c r="BL412" s="77">
        <f t="shared" si="150"/>
        <v>0</v>
      </c>
      <c r="BM412" s="78"/>
      <c r="BN412" s="142"/>
      <c r="BO412" s="142"/>
      <c r="BP412" s="77">
        <f t="shared" si="151"/>
        <v>0</v>
      </c>
      <c r="BQ412" s="78"/>
      <c r="BR412" s="142"/>
      <c r="BS412" s="142"/>
      <c r="BT412" s="79">
        <f t="shared" si="152"/>
        <v>0</v>
      </c>
      <c r="BU412" s="75"/>
      <c r="BV412" s="76"/>
      <c r="BW412" s="135"/>
      <c r="BX412" s="135"/>
      <c r="BY412" s="77">
        <f t="shared" si="153"/>
        <v>0</v>
      </c>
      <c r="BZ412" s="78"/>
      <c r="CA412" s="142"/>
      <c r="CB412" s="142"/>
      <c r="CC412" s="77">
        <f t="shared" si="154"/>
        <v>0</v>
      </c>
      <c r="CD412" s="78"/>
      <c r="CE412" s="142"/>
      <c r="CF412" s="142"/>
      <c r="CG412" s="79">
        <f t="shared" si="155"/>
        <v>0</v>
      </c>
      <c r="CH412" s="75"/>
      <c r="CI412" s="76"/>
      <c r="CJ412" s="86"/>
      <c r="CK412" s="86"/>
      <c r="CL412" s="77">
        <f t="shared" si="156"/>
        <v>0</v>
      </c>
      <c r="CM412" s="78"/>
      <c r="CN412" s="85"/>
      <c r="CO412" s="85"/>
      <c r="CP412" s="77">
        <f t="shared" si="157"/>
        <v>0</v>
      </c>
      <c r="CQ412" s="78"/>
      <c r="CR412" s="85"/>
      <c r="CS412" s="85"/>
      <c r="CT412" s="79">
        <f t="shared" si="158"/>
        <v>0</v>
      </c>
      <c r="CU412" s="80">
        <f t="shared" si="168"/>
        <v>0</v>
      </c>
      <c r="CV412" s="81">
        <f t="shared" si="169"/>
        <v>0</v>
      </c>
      <c r="CW412" s="144"/>
      <c r="CX412" s="145">
        <f>IF(ISERROR(VLOOKUP($A412,FIJOS!$B$11:$O$590,14,FALSE)),0,VLOOKUP($A412,FIJOS!$B$11:$O$590,14,FALSE))</f>
        <v>0</v>
      </c>
      <c r="CY412" s="145">
        <f>IF(ISERROR(VLOOKUP(A412,FIJOS!$B$10:$P$590,15,FALSE)),0,VLOOKUP(A412,FIJOS!$B$10:$P$590,15,FALSE))</f>
        <v>0</v>
      </c>
      <c r="CZ412" s="155"/>
      <c r="DA412" s="147"/>
      <c r="DB412" s="147"/>
      <c r="DC412" s="147"/>
      <c r="DD412" s="147"/>
      <c r="DE412" s="147"/>
      <c r="DF412" s="145">
        <f>IF(ISERROR(VLOOKUP($A412,FIJOS!$B$11:$N$590,13,FALSE)),0,VLOOKUP($A412,FIJOS!$B$11:$N$590,13,FALSE))</f>
        <v>0</v>
      </c>
      <c r="DG412" s="145">
        <f>IF(ISERROR(VLOOKUP($A412,FIJOS!$B$11:$P$447,12,FALSE)),0,VLOOKUP($A412,FIJOS!$B$11:$P$447,12,FALSE))</f>
        <v>0</v>
      </c>
      <c r="DH412" s="82">
        <f t="shared" si="234"/>
        <v>0</v>
      </c>
      <c r="DI412" s="83" t="b">
        <f>IF($C412=1,(VLOOKUP($A412,FIJOS!$B$11:$P$545,10,FALSE)/7)*(7-$CU412),IF(AND($C412=2,CV412&lt;$DJ$1),(VLOOKUP($D412,HORAS!$B$4:$C$42,2,FALSE)*24)*$CV412,IF(AND($C412=2,CV412&gt;=$DJ$1),VLOOKUP($D412,HORAS!$B$4:$D$42,3,FALSE),IF(AND($C412=3,$CV412&gt;=$DJ$1),VLOOKUP($A412,FIJOS!$B$11:$P$545,10,FALSE),IF(AND($C412=3,$CV412&lt;$DJ$1),((VLOOKUP($A412,FIJOS!$B$11:$P$545,10,FALSE)/48)*24)*$CV412,IF(AND($C412=4,$CV412&gt;=(42/24)),VLOOKUP($D412,HORAS!$B$4:$D$42,3,FALSE),IF(AND($C412=5,$CV412&gt;=(36/24)),VLOOKUP($D412,HORAS!$B$4:$D$42,3,FALSE))))))))</f>
        <v>0</v>
      </c>
      <c r="DJ412" s="145">
        <f>IF(OR($C412=2),VLOOKUP($D412,HORAS!$B$4:$E$42,4,FALSE)*$EC412,IF(ISERROR(VLOOKUP($A412,FIJOS!$B$11:$P$108,9,FALSE)),0,VLOOKUP($A412,FIJOS!$B$11:$P$231,9,FALSE)*$EC412))</f>
        <v>0</v>
      </c>
      <c r="DK412" s="145">
        <f>IF(OR($C412=2),VLOOKUP($D412,HORAS!$B$4:$F$42,5,FALSE)*$EE412,IF(ISERROR(VLOOKUP($A412,FIJOS!$B$11:$P$108,9,FALSE)),0,VLOOKUP($A412,FIJOS!$B$11:$P$231,9,FALSE)*$EE412))</f>
        <v>0</v>
      </c>
      <c r="DL412" s="144"/>
      <c r="DM412" s="145">
        <f>IF(ISERROR(VLOOKUP($A412,FIJOS!$B$11:$L$646,11,FALSE)),0,VLOOKUP($A412,FIJOS!$B$11:$L$646,11,FALSE))</f>
        <v>0</v>
      </c>
      <c r="DN412" s="148" t="e">
        <f>IF(OR($C412=1,$C412=3),0,IF((VLOOKUP(CAPTURA!D412,HORAS!$B$4:$K$42,10,FALSE)/4)*COUNTIF($H412:$CT412,3)&gt;100,100,(VLOOKUP(CAPTURA!D412,HORAS!$B$4:$K$42,10,FALSE)/4)*COUNTIF($H412:$CT412,3)))</f>
        <v>#N/A</v>
      </c>
      <c r="DO412" s="144" t="e">
        <f>IF(OR($C412=1,$C412=3),0,IF($C412=5,VLOOKUP(D412,HORAS!$B$4:$G$42,6,FALSE),IF(AND($C412=4,$CV412&gt;=(42/24)),VLOOKUP(D412,HORAS!$B$4:$G$42,6,FALSE),IF(COUNTIF($H412:$CL412,"F")&gt;0,0,IF(CV412&gt;$DJ$1,$DJ$1*(VLOOKUP(D412,HORAS!$B$4:$G$42,6,FALSE)/$DJ$1),CV412*(VLOOKUP(D412,HORAS!$B$4:$G$42,6,FALSE)/$DJ$1))))))</f>
        <v>#N/A</v>
      </c>
      <c r="DP412" s="156"/>
      <c r="DQ412" s="148"/>
      <c r="DR412" s="148"/>
      <c r="DS412" s="83" t="e">
        <f t="shared" si="162"/>
        <v>#N/A</v>
      </c>
      <c r="DT412" s="84"/>
      <c r="DU412" s="149" t="e">
        <f t="shared" si="235"/>
        <v>#N/A</v>
      </c>
      <c r="DV412" s="149" t="e">
        <f t="shared" si="236"/>
        <v>#N/A</v>
      </c>
      <c r="DW412" s="144" t="e">
        <f t="shared" si="237"/>
        <v>#N/A</v>
      </c>
      <c r="DX412" s="168"/>
      <c r="DY412" s="29"/>
      <c r="DZ412" s="150"/>
      <c r="EA412" s="134"/>
      <c r="EB412" s="137">
        <f t="shared" si="238"/>
        <v>0</v>
      </c>
      <c r="EC412" s="138">
        <f t="shared" si="239"/>
        <v>0</v>
      </c>
      <c r="ED412" s="137">
        <f t="shared" si="240"/>
        <v>0</v>
      </c>
      <c r="EE412" s="132">
        <f t="shared" si="241"/>
        <v>0</v>
      </c>
      <c r="EF412" s="29"/>
      <c r="EG412" s="134"/>
      <c r="EH412" s="134"/>
      <c r="EI412" s="134"/>
      <c r="EK412" s="29"/>
    </row>
    <row r="413" spans="1:141" ht="15" customHeight="1" x14ac:dyDescent="0.25">
      <c r="A413" s="87"/>
      <c r="B413" s="5"/>
      <c r="C413" s="72"/>
      <c r="D413" s="73"/>
      <c r="E413" s="73"/>
      <c r="F413" s="141"/>
      <c r="G413" s="74"/>
      <c r="H413" s="75"/>
      <c r="I413" s="76"/>
      <c r="J413" s="135"/>
      <c r="K413" s="135"/>
      <c r="L413" s="77">
        <f t="shared" si="138"/>
        <v>0</v>
      </c>
      <c r="M413" s="78"/>
      <c r="N413" s="142"/>
      <c r="O413" s="142"/>
      <c r="P413" s="77">
        <f t="shared" si="139"/>
        <v>0</v>
      </c>
      <c r="Q413" s="78"/>
      <c r="R413" s="143"/>
      <c r="S413" s="143"/>
      <c r="T413" s="77">
        <f t="shared" si="140"/>
        <v>0</v>
      </c>
      <c r="U413" s="75"/>
      <c r="V413" s="76"/>
      <c r="W413" s="135"/>
      <c r="X413" s="135"/>
      <c r="Y413" s="77">
        <f t="shared" si="141"/>
        <v>0</v>
      </c>
      <c r="Z413" s="78"/>
      <c r="AA413" s="142"/>
      <c r="AB413" s="142"/>
      <c r="AC413" s="77">
        <f t="shared" si="142"/>
        <v>0</v>
      </c>
      <c r="AD413" s="78"/>
      <c r="AE413" s="143"/>
      <c r="AF413" s="143"/>
      <c r="AG413" s="79">
        <f t="shared" si="143"/>
        <v>0</v>
      </c>
      <c r="AH413" s="75"/>
      <c r="AI413" s="76"/>
      <c r="AJ413" s="135"/>
      <c r="AK413" s="135"/>
      <c r="AL413" s="77">
        <f t="shared" si="144"/>
        <v>0</v>
      </c>
      <c r="AM413" s="76"/>
      <c r="AN413" s="142"/>
      <c r="AO413" s="142"/>
      <c r="AP413" s="77">
        <f t="shared" si="145"/>
        <v>0</v>
      </c>
      <c r="AQ413" s="78"/>
      <c r="AR413" s="142"/>
      <c r="AS413" s="142"/>
      <c r="AT413" s="79">
        <f t="shared" si="146"/>
        <v>0</v>
      </c>
      <c r="AU413" s="75"/>
      <c r="AV413" s="76"/>
      <c r="AW413" s="135"/>
      <c r="AX413" s="135"/>
      <c r="AY413" s="77">
        <f t="shared" si="147"/>
        <v>0</v>
      </c>
      <c r="AZ413" s="76"/>
      <c r="BA413" s="142"/>
      <c r="BB413" s="142"/>
      <c r="BC413" s="77">
        <f t="shared" si="148"/>
        <v>0</v>
      </c>
      <c r="BD413" s="78"/>
      <c r="BE413" s="142"/>
      <c r="BF413" s="142"/>
      <c r="BG413" s="79">
        <f t="shared" si="149"/>
        <v>0</v>
      </c>
      <c r="BH413" s="75"/>
      <c r="BI413" s="76"/>
      <c r="BJ413" s="135"/>
      <c r="BK413" s="135"/>
      <c r="BL413" s="77">
        <f t="shared" si="150"/>
        <v>0</v>
      </c>
      <c r="BM413" s="78"/>
      <c r="BN413" s="142"/>
      <c r="BO413" s="142"/>
      <c r="BP413" s="77">
        <f t="shared" si="151"/>
        <v>0</v>
      </c>
      <c r="BQ413" s="78"/>
      <c r="BR413" s="142"/>
      <c r="BS413" s="142"/>
      <c r="BT413" s="79">
        <f t="shared" si="152"/>
        <v>0</v>
      </c>
      <c r="BU413" s="75"/>
      <c r="BV413" s="76"/>
      <c r="BW413" s="135"/>
      <c r="BX413" s="135"/>
      <c r="BY413" s="77">
        <f t="shared" si="153"/>
        <v>0</v>
      </c>
      <c r="BZ413" s="78"/>
      <c r="CA413" s="142"/>
      <c r="CB413" s="142"/>
      <c r="CC413" s="77">
        <f t="shared" si="154"/>
        <v>0</v>
      </c>
      <c r="CD413" s="78"/>
      <c r="CE413" s="142"/>
      <c r="CF413" s="142"/>
      <c r="CG413" s="79">
        <f t="shared" si="155"/>
        <v>0</v>
      </c>
      <c r="CH413" s="75"/>
      <c r="CI413" s="76"/>
      <c r="CJ413" s="86"/>
      <c r="CK413" s="86"/>
      <c r="CL413" s="77">
        <f t="shared" si="156"/>
        <v>0</v>
      </c>
      <c r="CM413" s="78"/>
      <c r="CN413" s="85"/>
      <c r="CO413" s="85"/>
      <c r="CP413" s="77">
        <f t="shared" si="157"/>
        <v>0</v>
      </c>
      <c r="CQ413" s="78"/>
      <c r="CR413" s="85"/>
      <c r="CS413" s="85"/>
      <c r="CT413" s="79">
        <f t="shared" si="158"/>
        <v>0</v>
      </c>
      <c r="CU413" s="80">
        <f t="shared" si="168"/>
        <v>0</v>
      </c>
      <c r="CV413" s="81">
        <f t="shared" si="169"/>
        <v>0</v>
      </c>
      <c r="CW413" s="144"/>
      <c r="CX413" s="145">
        <f>IF(ISERROR(VLOOKUP($A413,FIJOS!$B$11:$O$590,14,FALSE)),0,VLOOKUP($A413,FIJOS!$B$11:$O$590,14,FALSE))</f>
        <v>0</v>
      </c>
      <c r="CY413" s="145">
        <f>IF(ISERROR(VLOOKUP(A413,FIJOS!$B$10:$P$590,15,FALSE)),0,VLOOKUP(A413,FIJOS!$B$10:$P$590,15,FALSE))</f>
        <v>0</v>
      </c>
      <c r="CZ413" s="155"/>
      <c r="DA413" s="147"/>
      <c r="DB413" s="147"/>
      <c r="DC413" s="147"/>
      <c r="DD413" s="147"/>
      <c r="DE413" s="147"/>
      <c r="DF413" s="145">
        <f>IF(ISERROR(VLOOKUP($A413,FIJOS!$B$11:$N$590,13,FALSE)),0,VLOOKUP($A413,FIJOS!$B$11:$N$590,13,FALSE))</f>
        <v>0</v>
      </c>
      <c r="DG413" s="145">
        <f>IF(ISERROR(VLOOKUP($A413,FIJOS!$B$11:$P$447,12,FALSE)),0,VLOOKUP($A413,FIJOS!$B$11:$P$447,12,FALSE))</f>
        <v>0</v>
      </c>
      <c r="DH413" s="82">
        <f t="shared" si="234"/>
        <v>0</v>
      </c>
      <c r="DI413" s="83" t="b">
        <f>IF($C413=1,(VLOOKUP($A413,FIJOS!$B$11:$P$545,10,FALSE)/7)*(7-$CU413),IF(AND($C413=2,CV413&lt;$DJ$1),(VLOOKUP($D413,HORAS!$B$4:$C$42,2,FALSE)*24)*$CV413,IF(AND($C413=2,CV413&gt;=$DJ$1),VLOOKUP($D413,HORAS!$B$4:$D$42,3,FALSE),IF(AND($C413=3,$CV413&gt;=$DJ$1),VLOOKUP($A413,FIJOS!$B$11:$P$545,10,FALSE),IF(AND($C413=3,$CV413&lt;$DJ$1),((VLOOKUP($A413,FIJOS!$B$11:$P$545,10,FALSE)/48)*24)*$CV413,IF(AND($C413=4,$CV413&gt;=(42/24)),VLOOKUP($D413,HORAS!$B$4:$D$42,3,FALSE),IF(AND($C413=5,$CV413&gt;=(36/24)),VLOOKUP($D413,HORAS!$B$4:$D$42,3,FALSE))))))))</f>
        <v>0</v>
      </c>
      <c r="DJ413" s="145">
        <f>IF(OR($C413=2),VLOOKUP($D413,HORAS!$B$4:$E$42,4,FALSE)*$EC413,IF(ISERROR(VLOOKUP($A413,FIJOS!$B$11:$P$108,9,FALSE)),0,VLOOKUP($A413,FIJOS!$B$11:$P$231,9,FALSE)*$EC413))</f>
        <v>0</v>
      </c>
      <c r="DK413" s="145">
        <f>IF(OR($C413=2),VLOOKUP($D413,HORAS!$B$4:$F$42,5,FALSE)*$EE413,IF(ISERROR(VLOOKUP($A413,FIJOS!$B$11:$P$108,9,FALSE)),0,VLOOKUP($A413,FIJOS!$B$11:$P$231,9,FALSE)*$EE413))</f>
        <v>0</v>
      </c>
      <c r="DL413" s="144"/>
      <c r="DM413" s="145">
        <f>IF(ISERROR(VLOOKUP($A413,FIJOS!$B$11:$L$646,11,FALSE)),0,VLOOKUP($A413,FIJOS!$B$11:$L$646,11,FALSE))</f>
        <v>0</v>
      </c>
      <c r="DN413" s="148" t="e">
        <f>IF(OR($C413=1,$C413=3),0,IF((VLOOKUP(CAPTURA!D413,HORAS!$B$4:$K$42,10,FALSE)/4)*COUNTIF($H413:$CT413,3)&gt;100,100,(VLOOKUP(CAPTURA!D413,HORAS!$B$4:$K$42,10,FALSE)/4)*COUNTIF($H413:$CT413,3)))</f>
        <v>#N/A</v>
      </c>
      <c r="DO413" s="144" t="e">
        <f>IF(OR($C413=1,$C413=3),0,IF($C413=5,VLOOKUP(D413,HORAS!$B$4:$G$42,6,FALSE),IF(AND($C413=4,$CV413&gt;=(42/24)),VLOOKUP(D413,HORAS!$B$4:$G$42,6,FALSE),IF(COUNTIF($H413:$CL413,"F")&gt;0,0,IF(CV413&gt;$DJ$1,$DJ$1*(VLOOKUP(D413,HORAS!$B$4:$G$42,6,FALSE)/$DJ$1),CV413*(VLOOKUP(D413,HORAS!$B$4:$G$42,6,FALSE)/$DJ$1))))))</f>
        <v>#N/A</v>
      </c>
      <c r="DP413" s="156"/>
      <c r="DQ413" s="148"/>
      <c r="DR413" s="148"/>
      <c r="DS413" s="83" t="e">
        <f t="shared" si="162"/>
        <v>#N/A</v>
      </c>
      <c r="DT413" s="84"/>
      <c r="DU413" s="149" t="e">
        <f t="shared" si="235"/>
        <v>#N/A</v>
      </c>
      <c r="DV413" s="149" t="e">
        <f t="shared" si="236"/>
        <v>#N/A</v>
      </c>
      <c r="DW413" s="144" t="e">
        <f t="shared" si="237"/>
        <v>#N/A</v>
      </c>
      <c r="DX413" s="168"/>
      <c r="DY413" s="29"/>
      <c r="DZ413" s="150"/>
      <c r="EA413" s="134"/>
      <c r="EB413" s="137">
        <f t="shared" si="238"/>
        <v>0</v>
      </c>
      <c r="EC413" s="138">
        <f t="shared" si="239"/>
        <v>0</v>
      </c>
      <c r="ED413" s="137">
        <f t="shared" si="240"/>
        <v>0</v>
      </c>
      <c r="EE413" s="132">
        <f t="shared" si="241"/>
        <v>0</v>
      </c>
      <c r="EF413" s="29"/>
      <c r="EG413" s="134"/>
      <c r="EH413" s="134"/>
      <c r="EI413" s="134"/>
      <c r="EK413" s="29"/>
    </row>
    <row r="414" spans="1:141" ht="15" customHeight="1" x14ac:dyDescent="0.25">
      <c r="A414" s="87"/>
      <c r="B414" s="5"/>
      <c r="C414" s="72"/>
      <c r="D414" s="73"/>
      <c r="E414" s="73"/>
      <c r="F414" s="141"/>
      <c r="G414" s="74"/>
      <c r="H414" s="75"/>
      <c r="I414" s="76"/>
      <c r="J414" s="135"/>
      <c r="K414" s="135"/>
      <c r="L414" s="77">
        <f t="shared" si="138"/>
        <v>0</v>
      </c>
      <c r="M414" s="78"/>
      <c r="N414" s="142"/>
      <c r="O414" s="142"/>
      <c r="P414" s="77">
        <f t="shared" si="139"/>
        <v>0</v>
      </c>
      <c r="Q414" s="78"/>
      <c r="R414" s="143"/>
      <c r="S414" s="143"/>
      <c r="T414" s="77">
        <f t="shared" si="140"/>
        <v>0</v>
      </c>
      <c r="U414" s="75"/>
      <c r="V414" s="76"/>
      <c r="W414" s="135"/>
      <c r="X414" s="135"/>
      <c r="Y414" s="77">
        <f t="shared" si="141"/>
        <v>0</v>
      </c>
      <c r="Z414" s="78"/>
      <c r="AA414" s="142"/>
      <c r="AB414" s="142"/>
      <c r="AC414" s="77">
        <f t="shared" si="142"/>
        <v>0</v>
      </c>
      <c r="AD414" s="78"/>
      <c r="AE414" s="143"/>
      <c r="AF414" s="143"/>
      <c r="AG414" s="79">
        <f t="shared" si="143"/>
        <v>0</v>
      </c>
      <c r="AH414" s="75"/>
      <c r="AI414" s="76"/>
      <c r="AJ414" s="135"/>
      <c r="AK414" s="135"/>
      <c r="AL414" s="77">
        <f t="shared" si="144"/>
        <v>0</v>
      </c>
      <c r="AM414" s="76"/>
      <c r="AN414" s="142"/>
      <c r="AO414" s="142"/>
      <c r="AP414" s="77">
        <f t="shared" si="145"/>
        <v>0</v>
      </c>
      <c r="AQ414" s="78"/>
      <c r="AR414" s="142"/>
      <c r="AS414" s="142"/>
      <c r="AT414" s="79">
        <f t="shared" si="146"/>
        <v>0</v>
      </c>
      <c r="AU414" s="75"/>
      <c r="AV414" s="76"/>
      <c r="AW414" s="135"/>
      <c r="AX414" s="135"/>
      <c r="AY414" s="77">
        <f t="shared" si="147"/>
        <v>0</v>
      </c>
      <c r="AZ414" s="76"/>
      <c r="BA414" s="142"/>
      <c r="BB414" s="142"/>
      <c r="BC414" s="77">
        <f t="shared" si="148"/>
        <v>0</v>
      </c>
      <c r="BD414" s="78"/>
      <c r="BE414" s="142"/>
      <c r="BF414" s="142"/>
      <c r="BG414" s="79">
        <f t="shared" si="149"/>
        <v>0</v>
      </c>
      <c r="BH414" s="75"/>
      <c r="BI414" s="76"/>
      <c r="BJ414" s="135"/>
      <c r="BK414" s="135"/>
      <c r="BL414" s="77">
        <f t="shared" si="150"/>
        <v>0</v>
      </c>
      <c r="BM414" s="78"/>
      <c r="BN414" s="142"/>
      <c r="BO414" s="142"/>
      <c r="BP414" s="77">
        <f t="shared" si="151"/>
        <v>0</v>
      </c>
      <c r="BQ414" s="78"/>
      <c r="BR414" s="142"/>
      <c r="BS414" s="142"/>
      <c r="BT414" s="79">
        <f t="shared" si="152"/>
        <v>0</v>
      </c>
      <c r="BU414" s="75"/>
      <c r="BV414" s="76"/>
      <c r="BW414" s="135"/>
      <c r="BX414" s="135"/>
      <c r="BY414" s="77">
        <f t="shared" si="153"/>
        <v>0</v>
      </c>
      <c r="BZ414" s="78"/>
      <c r="CA414" s="142"/>
      <c r="CB414" s="142"/>
      <c r="CC414" s="77">
        <f t="shared" si="154"/>
        <v>0</v>
      </c>
      <c r="CD414" s="78"/>
      <c r="CE414" s="142"/>
      <c r="CF414" s="142"/>
      <c r="CG414" s="79">
        <f t="shared" si="155"/>
        <v>0</v>
      </c>
      <c r="CH414" s="75"/>
      <c r="CI414" s="76"/>
      <c r="CJ414" s="86"/>
      <c r="CK414" s="86"/>
      <c r="CL414" s="77">
        <f t="shared" si="156"/>
        <v>0</v>
      </c>
      <c r="CM414" s="78"/>
      <c r="CN414" s="85"/>
      <c r="CO414" s="85"/>
      <c r="CP414" s="77">
        <f t="shared" si="157"/>
        <v>0</v>
      </c>
      <c r="CQ414" s="78"/>
      <c r="CR414" s="85"/>
      <c r="CS414" s="85"/>
      <c r="CT414" s="79">
        <f t="shared" si="158"/>
        <v>0</v>
      </c>
      <c r="CU414" s="80">
        <f t="shared" si="168"/>
        <v>0</v>
      </c>
      <c r="CV414" s="81">
        <f t="shared" si="169"/>
        <v>0</v>
      </c>
      <c r="CW414" s="144"/>
      <c r="CX414" s="145">
        <f>IF(ISERROR(VLOOKUP($A414,FIJOS!$B$11:$O$590,14,FALSE)),0,VLOOKUP($A414,FIJOS!$B$11:$O$590,14,FALSE))</f>
        <v>0</v>
      </c>
      <c r="CY414" s="145">
        <f>IF(ISERROR(VLOOKUP(A414,FIJOS!$B$10:$P$590,15,FALSE)),0,VLOOKUP(A414,FIJOS!$B$10:$P$590,15,FALSE))</f>
        <v>0</v>
      </c>
      <c r="CZ414" s="155"/>
      <c r="DA414" s="147"/>
      <c r="DB414" s="147"/>
      <c r="DC414" s="147"/>
      <c r="DD414" s="147"/>
      <c r="DE414" s="147"/>
      <c r="DF414" s="145">
        <f>IF(ISERROR(VLOOKUP($A414,FIJOS!$B$11:$N$590,13,FALSE)),0,VLOOKUP($A414,FIJOS!$B$11:$N$590,13,FALSE))</f>
        <v>0</v>
      </c>
      <c r="DG414" s="145">
        <f>IF(ISERROR(VLOOKUP($A414,FIJOS!$B$11:$P$447,12,FALSE)),0,VLOOKUP($A414,FIJOS!$B$11:$P$447,12,FALSE))</f>
        <v>0</v>
      </c>
      <c r="DH414" s="82">
        <f t="shared" si="234"/>
        <v>0</v>
      </c>
      <c r="DI414" s="83" t="b">
        <f>IF($C414=1,(VLOOKUP($A414,FIJOS!$B$11:$P$545,10,FALSE)/7)*(7-$CU414),IF(AND($C414=2,CV414&lt;$DJ$1),(VLOOKUP($D414,HORAS!$B$4:$C$42,2,FALSE)*24)*$CV414,IF(AND($C414=2,CV414&gt;=$DJ$1),VLOOKUP($D414,HORAS!$B$4:$D$42,3,FALSE),IF(AND($C414=3,$CV414&gt;=$DJ$1),VLOOKUP($A414,FIJOS!$B$11:$P$545,10,FALSE),IF(AND($C414=3,$CV414&lt;$DJ$1),((VLOOKUP($A414,FIJOS!$B$11:$P$545,10,FALSE)/48)*24)*$CV414,IF(AND($C414=4,$CV414&gt;=(42/24)),VLOOKUP($D414,HORAS!$B$4:$D$42,3,FALSE),IF(AND($C414=5,$CV414&gt;=(36/24)),VLOOKUP($D414,HORAS!$B$4:$D$42,3,FALSE))))))))</f>
        <v>0</v>
      </c>
      <c r="DJ414" s="145">
        <f>IF(OR($C414=2),VLOOKUP($D414,HORAS!$B$4:$E$42,4,FALSE)*$EC414,IF(ISERROR(VLOOKUP($A414,FIJOS!$B$11:$P$108,9,FALSE)),0,VLOOKUP($A414,FIJOS!$B$11:$P$231,9,FALSE)*$EC414))</f>
        <v>0</v>
      </c>
      <c r="DK414" s="145">
        <f>IF(OR($C414=2),VLOOKUP($D414,HORAS!$B$4:$F$42,5,FALSE)*$EE414,IF(ISERROR(VLOOKUP($A414,FIJOS!$B$11:$P$108,9,FALSE)),0,VLOOKUP($A414,FIJOS!$B$11:$P$231,9,FALSE)*$EE414))</f>
        <v>0</v>
      </c>
      <c r="DL414" s="144"/>
      <c r="DM414" s="145">
        <f>IF(ISERROR(VLOOKUP($A414,FIJOS!$B$11:$L$646,11,FALSE)),0,VLOOKUP($A414,FIJOS!$B$11:$L$646,11,FALSE))</f>
        <v>0</v>
      </c>
      <c r="DN414" s="148" t="e">
        <f>IF(OR($C414=1,$C414=3),0,IF((VLOOKUP(CAPTURA!D414,HORAS!$B$4:$K$42,10,FALSE)/4)*COUNTIF($H414:$CT414,3)&gt;100,100,(VLOOKUP(CAPTURA!D414,HORAS!$B$4:$K$42,10,FALSE)/4)*COUNTIF($H414:$CT414,3)))</f>
        <v>#N/A</v>
      </c>
      <c r="DO414" s="144" t="e">
        <f>IF(OR($C414=1,$C414=3),0,IF($C414=5,VLOOKUP(D414,HORAS!$B$4:$G$42,6,FALSE),IF(AND($C414=4,$CV414&gt;=(42/24)),VLOOKUP(D414,HORAS!$B$4:$G$42,6,FALSE),IF(COUNTIF($H414:$CL414,"F")&gt;0,0,IF(CV414&gt;$DJ$1,$DJ$1*(VLOOKUP(D414,HORAS!$B$4:$G$42,6,FALSE)/$DJ$1),CV414*(VLOOKUP(D414,HORAS!$B$4:$G$42,6,FALSE)/$DJ$1))))))</f>
        <v>#N/A</v>
      </c>
      <c r="DP414" s="156"/>
      <c r="DQ414" s="148"/>
      <c r="DR414" s="148"/>
      <c r="DS414" s="83" t="e">
        <f t="shared" si="162"/>
        <v>#N/A</v>
      </c>
      <c r="DT414" s="84"/>
      <c r="DU414" s="149" t="e">
        <f t="shared" si="235"/>
        <v>#N/A</v>
      </c>
      <c r="DV414" s="149" t="e">
        <f t="shared" si="236"/>
        <v>#N/A</v>
      </c>
      <c r="DW414" s="144" t="e">
        <f t="shared" si="237"/>
        <v>#N/A</v>
      </c>
      <c r="DX414" s="168"/>
      <c r="DY414" s="29"/>
      <c r="DZ414" s="150"/>
      <c r="EA414" s="134"/>
      <c r="EB414" s="137">
        <f t="shared" si="238"/>
        <v>0</v>
      </c>
      <c r="EC414" s="138">
        <f t="shared" si="239"/>
        <v>0</v>
      </c>
      <c r="ED414" s="137">
        <f t="shared" si="240"/>
        <v>0</v>
      </c>
      <c r="EE414" s="132">
        <f t="shared" si="241"/>
        <v>0</v>
      </c>
      <c r="EF414" s="29"/>
      <c r="EG414" s="134"/>
      <c r="EH414" s="134"/>
      <c r="EI414" s="134"/>
      <c r="EK414" s="29"/>
    </row>
    <row r="415" spans="1:141" ht="15" customHeight="1" x14ac:dyDescent="0.25">
      <c r="A415" s="87"/>
      <c r="B415" s="5"/>
      <c r="C415" s="72"/>
      <c r="D415" s="73"/>
      <c r="E415" s="73"/>
      <c r="F415" s="141"/>
      <c r="G415" s="74"/>
      <c r="H415" s="75"/>
      <c r="I415" s="76"/>
      <c r="J415" s="135"/>
      <c r="K415" s="135"/>
      <c r="L415" s="77">
        <f t="shared" si="138"/>
        <v>0</v>
      </c>
      <c r="M415" s="78"/>
      <c r="N415" s="142"/>
      <c r="O415" s="142"/>
      <c r="P415" s="77">
        <f t="shared" si="139"/>
        <v>0</v>
      </c>
      <c r="Q415" s="78"/>
      <c r="R415" s="143"/>
      <c r="S415" s="143"/>
      <c r="T415" s="77">
        <f t="shared" si="140"/>
        <v>0</v>
      </c>
      <c r="U415" s="75"/>
      <c r="V415" s="76"/>
      <c r="W415" s="135"/>
      <c r="X415" s="135"/>
      <c r="Y415" s="77">
        <f t="shared" si="141"/>
        <v>0</v>
      </c>
      <c r="Z415" s="78"/>
      <c r="AA415" s="142"/>
      <c r="AB415" s="142"/>
      <c r="AC415" s="77">
        <f t="shared" si="142"/>
        <v>0</v>
      </c>
      <c r="AD415" s="78"/>
      <c r="AE415" s="143"/>
      <c r="AF415" s="143"/>
      <c r="AG415" s="79">
        <f t="shared" si="143"/>
        <v>0</v>
      </c>
      <c r="AH415" s="75"/>
      <c r="AI415" s="76"/>
      <c r="AJ415" s="135"/>
      <c r="AK415" s="135"/>
      <c r="AL415" s="77">
        <f t="shared" si="144"/>
        <v>0</v>
      </c>
      <c r="AM415" s="76"/>
      <c r="AN415" s="142"/>
      <c r="AO415" s="142"/>
      <c r="AP415" s="77">
        <f t="shared" si="145"/>
        <v>0</v>
      </c>
      <c r="AQ415" s="78"/>
      <c r="AR415" s="142"/>
      <c r="AS415" s="142"/>
      <c r="AT415" s="79">
        <f t="shared" si="146"/>
        <v>0</v>
      </c>
      <c r="AU415" s="75"/>
      <c r="AV415" s="76"/>
      <c r="AW415" s="135"/>
      <c r="AX415" s="135"/>
      <c r="AY415" s="77">
        <f t="shared" si="147"/>
        <v>0</v>
      </c>
      <c r="AZ415" s="76"/>
      <c r="BA415" s="142"/>
      <c r="BB415" s="142"/>
      <c r="BC415" s="77">
        <f t="shared" si="148"/>
        <v>0</v>
      </c>
      <c r="BD415" s="78"/>
      <c r="BE415" s="142"/>
      <c r="BF415" s="142"/>
      <c r="BG415" s="79">
        <f t="shared" si="149"/>
        <v>0</v>
      </c>
      <c r="BH415" s="75"/>
      <c r="BI415" s="76"/>
      <c r="BJ415" s="135"/>
      <c r="BK415" s="135"/>
      <c r="BL415" s="77">
        <f t="shared" si="150"/>
        <v>0</v>
      </c>
      <c r="BM415" s="78"/>
      <c r="BN415" s="142"/>
      <c r="BO415" s="142"/>
      <c r="BP415" s="77">
        <f t="shared" si="151"/>
        <v>0</v>
      </c>
      <c r="BQ415" s="78"/>
      <c r="BR415" s="142"/>
      <c r="BS415" s="142"/>
      <c r="BT415" s="79">
        <f t="shared" si="152"/>
        <v>0</v>
      </c>
      <c r="BU415" s="75"/>
      <c r="BV415" s="76"/>
      <c r="BW415" s="135"/>
      <c r="BX415" s="135"/>
      <c r="BY415" s="77">
        <f t="shared" si="153"/>
        <v>0</v>
      </c>
      <c r="BZ415" s="78"/>
      <c r="CA415" s="142"/>
      <c r="CB415" s="142"/>
      <c r="CC415" s="77">
        <f t="shared" si="154"/>
        <v>0</v>
      </c>
      <c r="CD415" s="78"/>
      <c r="CE415" s="142"/>
      <c r="CF415" s="142"/>
      <c r="CG415" s="79">
        <f t="shared" si="155"/>
        <v>0</v>
      </c>
      <c r="CH415" s="75"/>
      <c r="CI415" s="76"/>
      <c r="CJ415" s="86"/>
      <c r="CK415" s="86"/>
      <c r="CL415" s="77">
        <f t="shared" si="156"/>
        <v>0</v>
      </c>
      <c r="CM415" s="78"/>
      <c r="CN415" s="85"/>
      <c r="CO415" s="85"/>
      <c r="CP415" s="77">
        <f t="shared" si="157"/>
        <v>0</v>
      </c>
      <c r="CQ415" s="78"/>
      <c r="CR415" s="85"/>
      <c r="CS415" s="85"/>
      <c r="CT415" s="79">
        <f t="shared" si="158"/>
        <v>0</v>
      </c>
      <c r="CU415" s="80">
        <f t="shared" si="168"/>
        <v>0</v>
      </c>
      <c r="CV415" s="81">
        <f t="shared" si="169"/>
        <v>0</v>
      </c>
      <c r="CW415" s="144"/>
      <c r="CX415" s="145">
        <f>IF(ISERROR(VLOOKUP($A415,FIJOS!$B$11:$O$590,14,FALSE)),0,VLOOKUP($A415,FIJOS!$B$11:$O$590,14,FALSE))</f>
        <v>0</v>
      </c>
      <c r="CY415" s="145">
        <f>IF(ISERROR(VLOOKUP(A415,FIJOS!$B$10:$P$590,15,FALSE)),0,VLOOKUP(A415,FIJOS!$B$10:$P$590,15,FALSE))</f>
        <v>0</v>
      </c>
      <c r="CZ415" s="155"/>
      <c r="DA415" s="147"/>
      <c r="DB415" s="147"/>
      <c r="DC415" s="147"/>
      <c r="DD415" s="147"/>
      <c r="DE415" s="147"/>
      <c r="DF415" s="145">
        <f>IF(ISERROR(VLOOKUP($A415,FIJOS!$B$11:$N$590,13,FALSE)),0,VLOOKUP($A415,FIJOS!$B$11:$N$590,13,FALSE))</f>
        <v>0</v>
      </c>
      <c r="DG415" s="145">
        <f>IF(ISERROR(VLOOKUP($A415,FIJOS!$B$11:$P$447,12,FALSE)),0,VLOOKUP($A415,FIJOS!$B$11:$P$447,12,FALSE))</f>
        <v>0</v>
      </c>
      <c r="DH415" s="82">
        <f t="shared" si="234"/>
        <v>0</v>
      </c>
      <c r="DI415" s="83" t="b">
        <f>IF($C415=1,(VLOOKUP($A415,FIJOS!$B$11:$P$545,10,FALSE)/7)*(7-$CU415),IF(AND($C415=2,CV415&lt;$DJ$1),(VLOOKUP($D415,HORAS!$B$4:$C$42,2,FALSE)*24)*$CV415,IF(AND($C415=2,CV415&gt;=$DJ$1),VLOOKUP($D415,HORAS!$B$4:$D$42,3,FALSE),IF(AND($C415=3,$CV415&gt;=$DJ$1),VLOOKUP($A415,FIJOS!$B$11:$P$545,10,FALSE),IF(AND($C415=3,$CV415&lt;$DJ$1),((VLOOKUP($A415,FIJOS!$B$11:$P$545,10,FALSE)/48)*24)*$CV415,IF(AND($C415=4,$CV415&gt;=(42/24)),VLOOKUP($D415,HORAS!$B$4:$D$42,3,FALSE),IF(AND($C415=5,$CV415&gt;=(36/24)),VLOOKUP($D415,HORAS!$B$4:$D$42,3,FALSE))))))))</f>
        <v>0</v>
      </c>
      <c r="DJ415" s="145">
        <f>IF(OR($C415=2),VLOOKUP($D415,HORAS!$B$4:$E$42,4,FALSE)*$EC415,IF(ISERROR(VLOOKUP($A415,FIJOS!$B$11:$P$108,9,FALSE)),0,VLOOKUP($A415,FIJOS!$B$11:$P$231,9,FALSE)*$EC415))</f>
        <v>0</v>
      </c>
      <c r="DK415" s="145">
        <f>IF(OR($C415=2),VLOOKUP($D415,HORAS!$B$4:$F$42,5,FALSE)*$EE415,IF(ISERROR(VLOOKUP($A415,FIJOS!$B$11:$P$108,9,FALSE)),0,VLOOKUP($A415,FIJOS!$B$11:$P$231,9,FALSE)*$EE415))</f>
        <v>0</v>
      </c>
      <c r="DL415" s="144"/>
      <c r="DM415" s="145">
        <f>IF(ISERROR(VLOOKUP($A415,FIJOS!$B$11:$L$646,11,FALSE)),0,VLOOKUP($A415,FIJOS!$B$11:$L$646,11,FALSE))</f>
        <v>0</v>
      </c>
      <c r="DN415" s="148" t="e">
        <f>IF(OR($C415=1,$C415=3),0,IF((VLOOKUP(CAPTURA!D415,HORAS!$B$4:$K$42,10,FALSE)/4)*COUNTIF($H415:$CT415,3)&gt;100,100,(VLOOKUP(CAPTURA!D415,HORAS!$B$4:$K$42,10,FALSE)/4)*COUNTIF($H415:$CT415,3)))</f>
        <v>#N/A</v>
      </c>
      <c r="DO415" s="144" t="e">
        <f>IF(OR($C415=1,$C415=3),0,IF($C415=5,VLOOKUP(D415,HORAS!$B$4:$G$42,6,FALSE),IF(AND($C415=4,$CV415&gt;=(42/24)),VLOOKUP(D415,HORAS!$B$4:$G$42,6,FALSE),IF(COUNTIF($H415:$CL415,"F")&gt;0,0,IF(CV415&gt;$DJ$1,$DJ$1*(VLOOKUP(D415,HORAS!$B$4:$G$42,6,FALSE)/$DJ$1),CV415*(VLOOKUP(D415,HORAS!$B$4:$G$42,6,FALSE)/$DJ$1))))))</f>
        <v>#N/A</v>
      </c>
      <c r="DP415" s="156"/>
      <c r="DQ415" s="148"/>
      <c r="DR415" s="148"/>
      <c r="DS415" s="83" t="e">
        <f t="shared" si="162"/>
        <v>#N/A</v>
      </c>
      <c r="DT415" s="84"/>
      <c r="DU415" s="149" t="e">
        <f t="shared" si="235"/>
        <v>#N/A</v>
      </c>
      <c r="DV415" s="149" t="e">
        <f t="shared" si="236"/>
        <v>#N/A</v>
      </c>
      <c r="DW415" s="144" t="e">
        <f t="shared" si="237"/>
        <v>#N/A</v>
      </c>
      <c r="DX415" s="168"/>
      <c r="DY415" s="29"/>
      <c r="DZ415" s="150"/>
      <c r="EA415" s="134"/>
      <c r="EB415" s="137">
        <f t="shared" si="238"/>
        <v>0</v>
      </c>
      <c r="EC415" s="138">
        <f t="shared" si="239"/>
        <v>0</v>
      </c>
      <c r="ED415" s="137">
        <f t="shared" si="240"/>
        <v>0</v>
      </c>
      <c r="EE415" s="132">
        <f t="shared" si="241"/>
        <v>0</v>
      </c>
      <c r="EF415" s="29"/>
      <c r="EG415" s="134"/>
      <c r="EH415" s="134"/>
      <c r="EI415" s="134"/>
      <c r="EK415" s="29"/>
    </row>
    <row r="416" spans="1:141" ht="15" customHeight="1" x14ac:dyDescent="0.25">
      <c r="A416" s="87"/>
      <c r="B416" s="5"/>
      <c r="C416" s="72"/>
      <c r="D416" s="73"/>
      <c r="E416" s="73"/>
      <c r="F416" s="141"/>
      <c r="G416" s="74"/>
      <c r="H416" s="75"/>
      <c r="I416" s="76"/>
      <c r="J416" s="135"/>
      <c r="K416" s="135"/>
      <c r="L416" s="77">
        <f t="shared" si="138"/>
        <v>0</v>
      </c>
      <c r="M416" s="78"/>
      <c r="N416" s="142"/>
      <c r="O416" s="142"/>
      <c r="P416" s="77">
        <f t="shared" si="139"/>
        <v>0</v>
      </c>
      <c r="Q416" s="78"/>
      <c r="R416" s="143"/>
      <c r="S416" s="143"/>
      <c r="T416" s="77">
        <f t="shared" si="140"/>
        <v>0</v>
      </c>
      <c r="U416" s="75"/>
      <c r="V416" s="76"/>
      <c r="W416" s="135"/>
      <c r="X416" s="135"/>
      <c r="Y416" s="77">
        <f t="shared" si="141"/>
        <v>0</v>
      </c>
      <c r="Z416" s="78"/>
      <c r="AA416" s="142"/>
      <c r="AB416" s="142"/>
      <c r="AC416" s="77">
        <f t="shared" si="142"/>
        <v>0</v>
      </c>
      <c r="AD416" s="78"/>
      <c r="AE416" s="143"/>
      <c r="AF416" s="143"/>
      <c r="AG416" s="79">
        <f t="shared" si="143"/>
        <v>0</v>
      </c>
      <c r="AH416" s="75"/>
      <c r="AI416" s="76"/>
      <c r="AJ416" s="135"/>
      <c r="AK416" s="135"/>
      <c r="AL416" s="77">
        <f t="shared" si="144"/>
        <v>0</v>
      </c>
      <c r="AM416" s="76"/>
      <c r="AN416" s="142"/>
      <c r="AO416" s="142"/>
      <c r="AP416" s="77">
        <f t="shared" si="145"/>
        <v>0</v>
      </c>
      <c r="AQ416" s="78"/>
      <c r="AR416" s="142"/>
      <c r="AS416" s="142"/>
      <c r="AT416" s="79">
        <f t="shared" si="146"/>
        <v>0</v>
      </c>
      <c r="AU416" s="75"/>
      <c r="AV416" s="76"/>
      <c r="AW416" s="135"/>
      <c r="AX416" s="135"/>
      <c r="AY416" s="77">
        <f t="shared" si="147"/>
        <v>0</v>
      </c>
      <c r="AZ416" s="76"/>
      <c r="BA416" s="142"/>
      <c r="BB416" s="142"/>
      <c r="BC416" s="77">
        <f t="shared" si="148"/>
        <v>0</v>
      </c>
      <c r="BD416" s="78"/>
      <c r="BE416" s="142"/>
      <c r="BF416" s="142"/>
      <c r="BG416" s="79">
        <f t="shared" si="149"/>
        <v>0</v>
      </c>
      <c r="BH416" s="75"/>
      <c r="BI416" s="76"/>
      <c r="BJ416" s="135"/>
      <c r="BK416" s="135"/>
      <c r="BL416" s="77">
        <f t="shared" si="150"/>
        <v>0</v>
      </c>
      <c r="BM416" s="78"/>
      <c r="BN416" s="142"/>
      <c r="BO416" s="142"/>
      <c r="BP416" s="77">
        <f t="shared" si="151"/>
        <v>0</v>
      </c>
      <c r="BQ416" s="78"/>
      <c r="BR416" s="142"/>
      <c r="BS416" s="142"/>
      <c r="BT416" s="79">
        <f t="shared" si="152"/>
        <v>0</v>
      </c>
      <c r="BU416" s="75"/>
      <c r="BV416" s="76"/>
      <c r="BW416" s="135"/>
      <c r="BX416" s="135"/>
      <c r="BY416" s="77">
        <f t="shared" si="153"/>
        <v>0</v>
      </c>
      <c r="BZ416" s="78"/>
      <c r="CA416" s="142"/>
      <c r="CB416" s="142"/>
      <c r="CC416" s="77">
        <f t="shared" si="154"/>
        <v>0</v>
      </c>
      <c r="CD416" s="78"/>
      <c r="CE416" s="142"/>
      <c r="CF416" s="142"/>
      <c r="CG416" s="79">
        <f t="shared" si="155"/>
        <v>0</v>
      </c>
      <c r="CH416" s="75"/>
      <c r="CI416" s="76"/>
      <c r="CJ416" s="86"/>
      <c r="CK416" s="86"/>
      <c r="CL416" s="77">
        <f t="shared" si="156"/>
        <v>0</v>
      </c>
      <c r="CM416" s="78"/>
      <c r="CN416" s="85"/>
      <c r="CO416" s="85"/>
      <c r="CP416" s="77">
        <f t="shared" si="157"/>
        <v>0</v>
      </c>
      <c r="CQ416" s="78"/>
      <c r="CR416" s="85"/>
      <c r="CS416" s="85"/>
      <c r="CT416" s="79">
        <f t="shared" si="158"/>
        <v>0</v>
      </c>
      <c r="CU416" s="80">
        <f t="shared" si="168"/>
        <v>0</v>
      </c>
      <c r="CV416" s="81">
        <f t="shared" si="169"/>
        <v>0</v>
      </c>
      <c r="CW416" s="144"/>
      <c r="CX416" s="145">
        <f>IF(ISERROR(VLOOKUP($A416,FIJOS!$B$11:$O$590,14,FALSE)),0,VLOOKUP($A416,FIJOS!$B$11:$O$590,14,FALSE))</f>
        <v>0</v>
      </c>
      <c r="CY416" s="145">
        <f>IF(ISERROR(VLOOKUP(A416,FIJOS!$B$10:$P$590,15,FALSE)),0,VLOOKUP(A416,FIJOS!$B$10:$P$590,15,FALSE))</f>
        <v>0</v>
      </c>
      <c r="CZ416" s="155"/>
      <c r="DA416" s="147"/>
      <c r="DB416" s="147"/>
      <c r="DC416" s="147"/>
      <c r="DD416" s="147"/>
      <c r="DE416" s="147"/>
      <c r="DF416" s="145">
        <f>IF(ISERROR(VLOOKUP($A416,FIJOS!$B$11:$N$590,13,FALSE)),0,VLOOKUP($A416,FIJOS!$B$11:$N$590,13,FALSE))</f>
        <v>0</v>
      </c>
      <c r="DG416" s="145">
        <f>IF(ISERROR(VLOOKUP($A416,FIJOS!$B$11:$P$447,12,FALSE)),0,VLOOKUP($A416,FIJOS!$B$11:$P$447,12,FALSE))</f>
        <v>0</v>
      </c>
      <c r="DH416" s="82">
        <f t="shared" si="234"/>
        <v>0</v>
      </c>
      <c r="DI416" s="83" t="b">
        <f>IF($C416=1,(VLOOKUP($A416,FIJOS!$B$11:$P$545,10,FALSE)/7)*(7-$CU416),IF(AND($C416=2,CV416&lt;$DJ$1),(VLOOKUP($D416,HORAS!$B$4:$C$42,2,FALSE)*24)*$CV416,IF(AND($C416=2,CV416&gt;=$DJ$1),VLOOKUP($D416,HORAS!$B$4:$D$42,3,FALSE),IF(AND($C416=3,$CV416&gt;=$DJ$1),VLOOKUP($A416,FIJOS!$B$11:$P$545,10,FALSE),IF(AND($C416=3,$CV416&lt;$DJ$1),((VLOOKUP($A416,FIJOS!$B$11:$P$545,10,FALSE)/48)*24)*$CV416,IF(AND($C416=4,$CV416&gt;=(42/24)),VLOOKUP($D416,HORAS!$B$4:$D$42,3,FALSE),IF(AND($C416=5,$CV416&gt;=(36/24)),VLOOKUP($D416,HORAS!$B$4:$D$42,3,FALSE))))))))</f>
        <v>0</v>
      </c>
      <c r="DJ416" s="145">
        <f>IF(OR($C416=2),VLOOKUP($D416,HORAS!$B$4:$E$42,4,FALSE)*$EC416,IF(ISERROR(VLOOKUP($A416,FIJOS!$B$11:$P$108,9,FALSE)),0,VLOOKUP($A416,FIJOS!$B$11:$P$231,9,FALSE)*$EC416))</f>
        <v>0</v>
      </c>
      <c r="DK416" s="145">
        <f>IF(OR($C416=2),VLOOKUP($D416,HORAS!$B$4:$F$42,5,FALSE)*$EE416,IF(ISERROR(VLOOKUP($A416,FIJOS!$B$11:$P$108,9,FALSE)),0,VLOOKUP($A416,FIJOS!$B$11:$P$231,9,FALSE)*$EE416))</f>
        <v>0</v>
      </c>
      <c r="DL416" s="144"/>
      <c r="DM416" s="145">
        <f>IF(ISERROR(VLOOKUP($A416,FIJOS!$B$11:$L$646,11,FALSE)),0,VLOOKUP($A416,FIJOS!$B$11:$L$646,11,FALSE))</f>
        <v>0</v>
      </c>
      <c r="DN416" s="148" t="e">
        <f>IF(OR($C416=1,$C416=3),0,IF((VLOOKUP(CAPTURA!D416,HORAS!$B$4:$K$42,10,FALSE)/4)*COUNTIF($H416:$CT416,3)&gt;100,100,(VLOOKUP(CAPTURA!D416,HORAS!$B$4:$K$42,10,FALSE)/4)*COUNTIF($H416:$CT416,3)))</f>
        <v>#N/A</v>
      </c>
      <c r="DO416" s="144" t="e">
        <f>IF(OR($C416=1,$C416=3),0,IF($C416=5,VLOOKUP(D416,HORAS!$B$4:$G$42,6,FALSE),IF(AND($C416=4,$CV416&gt;=(42/24)),VLOOKUP(D416,HORAS!$B$4:$G$42,6,FALSE),IF(COUNTIF($H416:$CL416,"F")&gt;0,0,IF(CV416&gt;$DJ$1,$DJ$1*(VLOOKUP(D416,HORAS!$B$4:$G$42,6,FALSE)/$DJ$1),CV416*(VLOOKUP(D416,HORAS!$B$4:$G$42,6,FALSE)/$DJ$1))))))</f>
        <v>#N/A</v>
      </c>
      <c r="DP416" s="156"/>
      <c r="DQ416" s="148"/>
      <c r="DR416" s="148"/>
      <c r="DS416" s="83" t="e">
        <f t="shared" si="162"/>
        <v>#N/A</v>
      </c>
      <c r="DT416" s="84"/>
      <c r="DU416" s="149" t="e">
        <f t="shared" si="235"/>
        <v>#N/A</v>
      </c>
      <c r="DV416" s="149" t="e">
        <f t="shared" si="236"/>
        <v>#N/A</v>
      </c>
      <c r="DW416" s="144" t="e">
        <f t="shared" si="237"/>
        <v>#N/A</v>
      </c>
      <c r="DX416" s="168"/>
      <c r="DY416" s="29"/>
      <c r="DZ416" s="150"/>
      <c r="EA416" s="134"/>
      <c r="EB416" s="137">
        <f t="shared" si="238"/>
        <v>0</v>
      </c>
      <c r="EC416" s="138">
        <f t="shared" si="239"/>
        <v>0</v>
      </c>
      <c r="ED416" s="137">
        <f t="shared" si="240"/>
        <v>0</v>
      </c>
      <c r="EE416" s="132">
        <f t="shared" si="241"/>
        <v>0</v>
      </c>
      <c r="EF416" s="29"/>
      <c r="EG416" s="134"/>
      <c r="EH416" s="134"/>
      <c r="EI416" s="134"/>
      <c r="EK416" s="29"/>
    </row>
    <row r="417" spans="1:141" ht="15" customHeight="1" x14ac:dyDescent="0.25">
      <c r="A417" s="87"/>
      <c r="B417" s="5"/>
      <c r="C417" s="72"/>
      <c r="D417" s="73"/>
      <c r="E417" s="73"/>
      <c r="F417" s="141"/>
      <c r="G417" s="74"/>
      <c r="H417" s="75"/>
      <c r="I417" s="76"/>
      <c r="J417" s="135"/>
      <c r="K417" s="135"/>
      <c r="L417" s="77">
        <f t="shared" si="138"/>
        <v>0</v>
      </c>
      <c r="M417" s="78"/>
      <c r="N417" s="142"/>
      <c r="O417" s="142"/>
      <c r="P417" s="77">
        <f t="shared" si="139"/>
        <v>0</v>
      </c>
      <c r="Q417" s="78"/>
      <c r="R417" s="143"/>
      <c r="S417" s="143"/>
      <c r="T417" s="77">
        <f t="shared" si="140"/>
        <v>0</v>
      </c>
      <c r="U417" s="75"/>
      <c r="V417" s="76"/>
      <c r="W417" s="135"/>
      <c r="X417" s="135"/>
      <c r="Y417" s="77">
        <f t="shared" si="141"/>
        <v>0</v>
      </c>
      <c r="Z417" s="78"/>
      <c r="AA417" s="142"/>
      <c r="AB417" s="142"/>
      <c r="AC417" s="77">
        <f t="shared" si="142"/>
        <v>0</v>
      </c>
      <c r="AD417" s="78"/>
      <c r="AE417" s="143"/>
      <c r="AF417" s="143"/>
      <c r="AG417" s="79">
        <f t="shared" si="143"/>
        <v>0</v>
      </c>
      <c r="AH417" s="75"/>
      <c r="AI417" s="76"/>
      <c r="AJ417" s="135"/>
      <c r="AK417" s="135"/>
      <c r="AL417" s="77">
        <f t="shared" si="144"/>
        <v>0</v>
      </c>
      <c r="AM417" s="76"/>
      <c r="AN417" s="142"/>
      <c r="AO417" s="142"/>
      <c r="AP417" s="77">
        <f t="shared" si="145"/>
        <v>0</v>
      </c>
      <c r="AQ417" s="78"/>
      <c r="AR417" s="142"/>
      <c r="AS417" s="142"/>
      <c r="AT417" s="79">
        <f t="shared" si="146"/>
        <v>0</v>
      </c>
      <c r="AU417" s="75"/>
      <c r="AV417" s="76"/>
      <c r="AW417" s="135"/>
      <c r="AX417" s="135"/>
      <c r="AY417" s="77">
        <f t="shared" si="147"/>
        <v>0</v>
      </c>
      <c r="AZ417" s="76"/>
      <c r="BA417" s="142"/>
      <c r="BB417" s="142"/>
      <c r="BC417" s="77">
        <f t="shared" si="148"/>
        <v>0</v>
      </c>
      <c r="BD417" s="78"/>
      <c r="BE417" s="142"/>
      <c r="BF417" s="142"/>
      <c r="BG417" s="79">
        <f t="shared" si="149"/>
        <v>0</v>
      </c>
      <c r="BH417" s="75"/>
      <c r="BI417" s="76"/>
      <c r="BJ417" s="135"/>
      <c r="BK417" s="135"/>
      <c r="BL417" s="77">
        <f t="shared" si="150"/>
        <v>0</v>
      </c>
      <c r="BM417" s="78"/>
      <c r="BN417" s="142"/>
      <c r="BO417" s="142"/>
      <c r="BP417" s="77">
        <f t="shared" si="151"/>
        <v>0</v>
      </c>
      <c r="BQ417" s="78"/>
      <c r="BR417" s="142"/>
      <c r="BS417" s="142"/>
      <c r="BT417" s="79">
        <f t="shared" si="152"/>
        <v>0</v>
      </c>
      <c r="BU417" s="75"/>
      <c r="BV417" s="76"/>
      <c r="BW417" s="135"/>
      <c r="BX417" s="135"/>
      <c r="BY417" s="77">
        <f t="shared" si="153"/>
        <v>0</v>
      </c>
      <c r="BZ417" s="78"/>
      <c r="CA417" s="142"/>
      <c r="CB417" s="142"/>
      <c r="CC417" s="77">
        <f t="shared" si="154"/>
        <v>0</v>
      </c>
      <c r="CD417" s="78"/>
      <c r="CE417" s="142"/>
      <c r="CF417" s="142"/>
      <c r="CG417" s="79">
        <f t="shared" si="155"/>
        <v>0</v>
      </c>
      <c r="CH417" s="75"/>
      <c r="CI417" s="76"/>
      <c r="CJ417" s="86"/>
      <c r="CK417" s="86"/>
      <c r="CL417" s="77">
        <f t="shared" si="156"/>
        <v>0</v>
      </c>
      <c r="CM417" s="78"/>
      <c r="CN417" s="85"/>
      <c r="CO417" s="85"/>
      <c r="CP417" s="77">
        <f t="shared" si="157"/>
        <v>0</v>
      </c>
      <c r="CQ417" s="78"/>
      <c r="CR417" s="85"/>
      <c r="CS417" s="85"/>
      <c r="CT417" s="79">
        <f t="shared" si="158"/>
        <v>0</v>
      </c>
      <c r="CU417" s="80">
        <f t="shared" si="168"/>
        <v>0</v>
      </c>
      <c r="CV417" s="81">
        <f t="shared" si="169"/>
        <v>0</v>
      </c>
      <c r="CW417" s="144"/>
      <c r="CX417" s="145">
        <f>IF(ISERROR(VLOOKUP($A417,FIJOS!$B$11:$O$590,14,FALSE)),0,VLOOKUP($A417,FIJOS!$B$11:$O$590,14,FALSE))</f>
        <v>0</v>
      </c>
      <c r="CY417" s="145">
        <f>IF(ISERROR(VLOOKUP(A417,FIJOS!$B$10:$P$590,15,FALSE)),0,VLOOKUP(A417,FIJOS!$B$10:$P$590,15,FALSE))</f>
        <v>0</v>
      </c>
      <c r="CZ417" s="155"/>
      <c r="DA417" s="147"/>
      <c r="DB417" s="147"/>
      <c r="DC417" s="147"/>
      <c r="DD417" s="147"/>
      <c r="DE417" s="147"/>
      <c r="DF417" s="145">
        <f>IF(ISERROR(VLOOKUP($A417,FIJOS!$B$11:$N$590,13,FALSE)),0,VLOOKUP($A417,FIJOS!$B$11:$N$590,13,FALSE))</f>
        <v>0</v>
      </c>
      <c r="DG417" s="145">
        <f>IF(ISERROR(VLOOKUP($A417,FIJOS!$B$11:$P$447,12,FALSE)),0,VLOOKUP($A417,FIJOS!$B$11:$P$447,12,FALSE))</f>
        <v>0</v>
      </c>
      <c r="DH417" s="82">
        <f t="shared" si="234"/>
        <v>0</v>
      </c>
      <c r="DI417" s="83" t="b">
        <f>IF($C417=1,(VLOOKUP($A417,FIJOS!$B$11:$P$545,10,FALSE)/7)*(7-$CU417),IF(AND($C417=2,CV417&lt;$DJ$1),(VLOOKUP($D417,HORAS!$B$4:$C$42,2,FALSE)*24)*$CV417,IF(AND($C417=2,CV417&gt;=$DJ$1),VLOOKUP($D417,HORAS!$B$4:$D$42,3,FALSE),IF(AND($C417=3,$CV417&gt;=$DJ$1),VLOOKUP($A417,FIJOS!$B$11:$P$545,10,FALSE),IF(AND($C417=3,$CV417&lt;$DJ$1),((VLOOKUP($A417,FIJOS!$B$11:$P$545,10,FALSE)/48)*24)*$CV417,IF(AND($C417=4,$CV417&gt;=(42/24)),VLOOKUP($D417,HORAS!$B$4:$D$42,3,FALSE),IF(AND($C417=5,$CV417&gt;=(36/24)),VLOOKUP($D417,HORAS!$B$4:$D$42,3,FALSE))))))))</f>
        <v>0</v>
      </c>
      <c r="DJ417" s="145">
        <f>IF(OR($C417=2),VLOOKUP($D417,HORAS!$B$4:$E$42,4,FALSE)*$EC417,IF(ISERROR(VLOOKUP($A417,FIJOS!$B$11:$P$108,9,FALSE)),0,VLOOKUP($A417,FIJOS!$B$11:$P$231,9,FALSE)*$EC417))</f>
        <v>0</v>
      </c>
      <c r="DK417" s="145">
        <f>IF(OR($C417=2),VLOOKUP($D417,HORAS!$B$4:$F$42,5,FALSE)*$EE417,IF(ISERROR(VLOOKUP($A417,FIJOS!$B$11:$P$108,9,FALSE)),0,VLOOKUP($A417,FIJOS!$B$11:$P$231,9,FALSE)*$EE417))</f>
        <v>0</v>
      </c>
      <c r="DL417" s="144"/>
      <c r="DM417" s="145">
        <f>IF(ISERROR(VLOOKUP($A417,FIJOS!$B$11:$L$646,11,FALSE)),0,VLOOKUP($A417,FIJOS!$B$11:$L$646,11,FALSE))</f>
        <v>0</v>
      </c>
      <c r="DN417" s="148" t="e">
        <f>IF(OR($C417=1,$C417=3),0,IF((VLOOKUP(CAPTURA!D417,HORAS!$B$4:$K$42,10,FALSE)/4)*COUNTIF($H417:$CT417,3)&gt;100,100,(VLOOKUP(CAPTURA!D417,HORAS!$B$4:$K$42,10,FALSE)/4)*COUNTIF($H417:$CT417,3)))</f>
        <v>#N/A</v>
      </c>
      <c r="DO417" s="144" t="e">
        <f>IF(OR($C417=1,$C417=3),0,IF($C417=5,VLOOKUP(D417,HORAS!$B$4:$G$42,6,FALSE),IF(AND($C417=4,$CV417&gt;=(42/24)),VLOOKUP(D417,HORAS!$B$4:$G$42,6,FALSE),IF(COUNTIF($H417:$CL417,"F")&gt;0,0,IF(CV417&gt;$DJ$1,$DJ$1*(VLOOKUP(D417,HORAS!$B$4:$G$42,6,FALSE)/$DJ$1),CV417*(VLOOKUP(D417,HORAS!$B$4:$G$42,6,FALSE)/$DJ$1))))))</f>
        <v>#N/A</v>
      </c>
      <c r="DP417" s="156"/>
      <c r="DQ417" s="148"/>
      <c r="DR417" s="148"/>
      <c r="DS417" s="83" t="e">
        <f t="shared" si="162"/>
        <v>#N/A</v>
      </c>
      <c r="DT417" s="84"/>
      <c r="DU417" s="149" t="e">
        <f t="shared" si="235"/>
        <v>#N/A</v>
      </c>
      <c r="DV417" s="149" t="e">
        <f t="shared" si="236"/>
        <v>#N/A</v>
      </c>
      <c r="DW417" s="144" t="e">
        <f t="shared" si="237"/>
        <v>#N/A</v>
      </c>
      <c r="DX417" s="168"/>
      <c r="DY417" s="29"/>
      <c r="DZ417" s="150"/>
      <c r="EA417" s="134"/>
      <c r="EB417" s="137">
        <f t="shared" si="238"/>
        <v>0</v>
      </c>
      <c r="EC417" s="138">
        <f t="shared" si="239"/>
        <v>0</v>
      </c>
      <c r="ED417" s="137">
        <f t="shared" si="240"/>
        <v>0</v>
      </c>
      <c r="EE417" s="132">
        <f t="shared" si="241"/>
        <v>0</v>
      </c>
      <c r="EF417" s="29"/>
      <c r="EG417" s="134"/>
      <c r="EH417" s="134"/>
      <c r="EI417" s="134"/>
      <c r="EK417" s="29"/>
    </row>
    <row r="418" spans="1:141" ht="15" customHeight="1" x14ac:dyDescent="0.25">
      <c r="A418" s="87"/>
      <c r="B418" s="5"/>
      <c r="C418" s="72"/>
      <c r="D418" s="73"/>
      <c r="E418" s="73"/>
      <c r="F418" s="141"/>
      <c r="G418" s="74"/>
      <c r="H418" s="75"/>
      <c r="I418" s="76"/>
      <c r="J418" s="135"/>
      <c r="K418" s="135"/>
      <c r="L418" s="77">
        <f t="shared" si="138"/>
        <v>0</v>
      </c>
      <c r="M418" s="78"/>
      <c r="N418" s="142"/>
      <c r="O418" s="142"/>
      <c r="P418" s="77">
        <f t="shared" si="139"/>
        <v>0</v>
      </c>
      <c r="Q418" s="78"/>
      <c r="R418" s="143"/>
      <c r="S418" s="143"/>
      <c r="T418" s="77">
        <f t="shared" si="140"/>
        <v>0</v>
      </c>
      <c r="U418" s="75"/>
      <c r="V418" s="76"/>
      <c r="W418" s="135"/>
      <c r="X418" s="135"/>
      <c r="Y418" s="77">
        <f t="shared" si="141"/>
        <v>0</v>
      </c>
      <c r="Z418" s="78"/>
      <c r="AA418" s="142"/>
      <c r="AB418" s="142"/>
      <c r="AC418" s="77">
        <f t="shared" si="142"/>
        <v>0</v>
      </c>
      <c r="AD418" s="78"/>
      <c r="AE418" s="143"/>
      <c r="AF418" s="143"/>
      <c r="AG418" s="79">
        <f t="shared" si="143"/>
        <v>0</v>
      </c>
      <c r="AH418" s="75"/>
      <c r="AI418" s="76"/>
      <c r="AJ418" s="135"/>
      <c r="AK418" s="135"/>
      <c r="AL418" s="77">
        <f t="shared" si="144"/>
        <v>0</v>
      </c>
      <c r="AM418" s="76"/>
      <c r="AN418" s="142"/>
      <c r="AO418" s="142"/>
      <c r="AP418" s="77">
        <f t="shared" si="145"/>
        <v>0</v>
      </c>
      <c r="AQ418" s="78"/>
      <c r="AR418" s="142"/>
      <c r="AS418" s="142"/>
      <c r="AT418" s="79">
        <f t="shared" si="146"/>
        <v>0</v>
      </c>
      <c r="AU418" s="75"/>
      <c r="AV418" s="76"/>
      <c r="AW418" s="135"/>
      <c r="AX418" s="135"/>
      <c r="AY418" s="77">
        <f t="shared" si="147"/>
        <v>0</v>
      </c>
      <c r="AZ418" s="76"/>
      <c r="BA418" s="142"/>
      <c r="BB418" s="142"/>
      <c r="BC418" s="77">
        <f t="shared" si="148"/>
        <v>0</v>
      </c>
      <c r="BD418" s="78"/>
      <c r="BE418" s="142"/>
      <c r="BF418" s="142"/>
      <c r="BG418" s="79">
        <f t="shared" si="149"/>
        <v>0</v>
      </c>
      <c r="BH418" s="75"/>
      <c r="BI418" s="76"/>
      <c r="BJ418" s="135"/>
      <c r="BK418" s="135"/>
      <c r="BL418" s="77">
        <f t="shared" si="150"/>
        <v>0</v>
      </c>
      <c r="BM418" s="78"/>
      <c r="BN418" s="142"/>
      <c r="BO418" s="142"/>
      <c r="BP418" s="77">
        <f t="shared" si="151"/>
        <v>0</v>
      </c>
      <c r="BQ418" s="78"/>
      <c r="BR418" s="142"/>
      <c r="BS418" s="142"/>
      <c r="BT418" s="79">
        <f t="shared" si="152"/>
        <v>0</v>
      </c>
      <c r="BU418" s="75"/>
      <c r="BV418" s="76"/>
      <c r="BW418" s="135"/>
      <c r="BX418" s="135"/>
      <c r="BY418" s="77">
        <f t="shared" si="153"/>
        <v>0</v>
      </c>
      <c r="BZ418" s="78"/>
      <c r="CA418" s="142"/>
      <c r="CB418" s="142"/>
      <c r="CC418" s="77">
        <f t="shared" si="154"/>
        <v>0</v>
      </c>
      <c r="CD418" s="78"/>
      <c r="CE418" s="142"/>
      <c r="CF418" s="142"/>
      <c r="CG418" s="79">
        <f t="shared" si="155"/>
        <v>0</v>
      </c>
      <c r="CH418" s="75"/>
      <c r="CI418" s="76"/>
      <c r="CJ418" s="86"/>
      <c r="CK418" s="86"/>
      <c r="CL418" s="77">
        <f t="shared" si="156"/>
        <v>0</v>
      </c>
      <c r="CM418" s="78"/>
      <c r="CN418" s="85"/>
      <c r="CO418" s="85"/>
      <c r="CP418" s="77">
        <f t="shared" si="157"/>
        <v>0</v>
      </c>
      <c r="CQ418" s="78"/>
      <c r="CR418" s="85"/>
      <c r="CS418" s="85"/>
      <c r="CT418" s="79">
        <f t="shared" si="158"/>
        <v>0</v>
      </c>
      <c r="CU418" s="80">
        <f t="shared" si="168"/>
        <v>0</v>
      </c>
      <c r="CV418" s="81">
        <f t="shared" si="169"/>
        <v>0</v>
      </c>
      <c r="CW418" s="144"/>
      <c r="CX418" s="145">
        <f>IF(ISERROR(VLOOKUP($A418,FIJOS!$B$11:$O$590,14,FALSE)),0,VLOOKUP($A418,FIJOS!$B$11:$O$590,14,FALSE))</f>
        <v>0</v>
      </c>
      <c r="CY418" s="145">
        <f>IF(ISERROR(VLOOKUP(A418,FIJOS!$B$10:$P$590,15,FALSE)),0,VLOOKUP(A418,FIJOS!$B$10:$P$590,15,FALSE))</f>
        <v>0</v>
      </c>
      <c r="CZ418" s="155"/>
      <c r="DA418" s="147"/>
      <c r="DB418" s="147"/>
      <c r="DC418" s="147"/>
      <c r="DD418" s="147"/>
      <c r="DE418" s="147"/>
      <c r="DF418" s="145">
        <f>IF(ISERROR(VLOOKUP($A418,FIJOS!$B$11:$N$590,13,FALSE)),0,VLOOKUP($A418,FIJOS!$B$11:$N$590,13,FALSE))</f>
        <v>0</v>
      </c>
      <c r="DG418" s="145">
        <f>IF(ISERROR(VLOOKUP($A418,FIJOS!$B$11:$P$447,12,FALSE)),0,VLOOKUP($A418,FIJOS!$B$11:$P$447,12,FALSE))</f>
        <v>0</v>
      </c>
      <c r="DH418" s="82">
        <f t="shared" si="234"/>
        <v>0</v>
      </c>
      <c r="DI418" s="83" t="b">
        <f>IF($C418=1,(VLOOKUP($A418,FIJOS!$B$11:$P$545,10,FALSE)/7)*(7-$CU418),IF(AND($C418=2,CV418&lt;$DJ$1),(VLOOKUP($D418,HORAS!$B$4:$C$42,2,FALSE)*24)*$CV418,IF(AND($C418=2,CV418&gt;=$DJ$1),VLOOKUP($D418,HORAS!$B$4:$D$42,3,FALSE),IF(AND($C418=3,$CV418&gt;=$DJ$1),VLOOKUP($A418,FIJOS!$B$11:$P$545,10,FALSE),IF(AND($C418=3,$CV418&lt;$DJ$1),((VLOOKUP($A418,FIJOS!$B$11:$P$545,10,FALSE)/48)*24)*$CV418,IF(AND($C418=4,$CV418&gt;=(42/24)),VLOOKUP($D418,HORAS!$B$4:$D$42,3,FALSE),IF(AND($C418=5,$CV418&gt;=(36/24)),VLOOKUP($D418,HORAS!$B$4:$D$42,3,FALSE))))))))</f>
        <v>0</v>
      </c>
      <c r="DJ418" s="145">
        <f>IF(OR($C418=2),VLOOKUP($D418,HORAS!$B$4:$E$42,4,FALSE)*$EC418,IF(ISERROR(VLOOKUP($A418,FIJOS!$B$11:$P$108,9,FALSE)),0,VLOOKUP($A418,FIJOS!$B$11:$P$231,9,FALSE)*$EC418))</f>
        <v>0</v>
      </c>
      <c r="DK418" s="145">
        <f>IF(OR($C418=2),VLOOKUP($D418,HORAS!$B$4:$F$42,5,FALSE)*$EE418,IF(ISERROR(VLOOKUP($A418,FIJOS!$B$11:$P$108,9,FALSE)),0,VLOOKUP($A418,FIJOS!$B$11:$P$231,9,FALSE)*$EE418))</f>
        <v>0</v>
      </c>
      <c r="DL418" s="144"/>
      <c r="DM418" s="145">
        <f>IF(ISERROR(VLOOKUP($A418,FIJOS!$B$11:$L$646,11,FALSE)),0,VLOOKUP($A418,FIJOS!$B$11:$L$646,11,FALSE))</f>
        <v>0</v>
      </c>
      <c r="DN418" s="148" t="e">
        <f>IF(OR($C418=1,$C418=3),0,IF((VLOOKUP(CAPTURA!D418,HORAS!$B$4:$K$42,10,FALSE)/4)*COUNTIF($H418:$CT418,3)&gt;100,100,(VLOOKUP(CAPTURA!D418,HORAS!$B$4:$K$42,10,FALSE)/4)*COUNTIF($H418:$CT418,3)))</f>
        <v>#N/A</v>
      </c>
      <c r="DO418" s="144" t="e">
        <f>IF(OR($C418=1,$C418=3),0,IF($C418=5,VLOOKUP(D418,HORAS!$B$4:$G$42,6,FALSE),IF(AND($C418=4,$CV418&gt;=(42/24)),VLOOKUP(D418,HORAS!$B$4:$G$42,6,FALSE),IF(COUNTIF($H418:$CL418,"F")&gt;0,0,IF(CV418&gt;$DJ$1,$DJ$1*(VLOOKUP(D418,HORAS!$B$4:$G$42,6,FALSE)/$DJ$1),CV418*(VLOOKUP(D418,HORAS!$B$4:$G$42,6,FALSE)/$DJ$1))))))</f>
        <v>#N/A</v>
      </c>
      <c r="DP418" s="156"/>
      <c r="DQ418" s="148"/>
      <c r="DR418" s="148"/>
      <c r="DS418" s="83" t="e">
        <f t="shared" si="162"/>
        <v>#N/A</v>
      </c>
      <c r="DT418" s="84"/>
      <c r="DU418" s="149" t="e">
        <f t="shared" si="235"/>
        <v>#N/A</v>
      </c>
      <c r="DV418" s="149" t="e">
        <f t="shared" si="236"/>
        <v>#N/A</v>
      </c>
      <c r="DW418" s="144" t="e">
        <f t="shared" si="237"/>
        <v>#N/A</v>
      </c>
      <c r="DX418" s="168"/>
      <c r="DY418" s="29"/>
      <c r="DZ418" s="150"/>
      <c r="EA418" s="134"/>
      <c r="EB418" s="137">
        <f t="shared" si="238"/>
        <v>0</v>
      </c>
      <c r="EC418" s="138">
        <f t="shared" si="239"/>
        <v>0</v>
      </c>
      <c r="ED418" s="137">
        <f t="shared" si="240"/>
        <v>0</v>
      </c>
      <c r="EE418" s="132">
        <f t="shared" si="241"/>
        <v>0</v>
      </c>
      <c r="EF418" s="29"/>
      <c r="EG418" s="134"/>
      <c r="EH418" s="134"/>
      <c r="EI418" s="134"/>
      <c r="EK418" s="29"/>
    </row>
    <row r="419" spans="1:141" ht="15" customHeight="1" x14ac:dyDescent="0.25">
      <c r="A419" s="87"/>
      <c r="B419" s="5"/>
      <c r="C419" s="72"/>
      <c r="D419" s="73"/>
      <c r="E419" s="73"/>
      <c r="F419" s="141"/>
      <c r="G419" s="74"/>
      <c r="H419" s="75"/>
      <c r="I419" s="76"/>
      <c r="J419" s="135"/>
      <c r="K419" s="135"/>
      <c r="L419" s="77">
        <f t="shared" si="138"/>
        <v>0</v>
      </c>
      <c r="M419" s="78"/>
      <c r="N419" s="142"/>
      <c r="O419" s="142"/>
      <c r="P419" s="77">
        <f t="shared" si="139"/>
        <v>0</v>
      </c>
      <c r="Q419" s="78"/>
      <c r="R419" s="143"/>
      <c r="S419" s="143"/>
      <c r="T419" s="77">
        <f t="shared" si="140"/>
        <v>0</v>
      </c>
      <c r="U419" s="75"/>
      <c r="V419" s="76"/>
      <c r="W419" s="135"/>
      <c r="X419" s="135"/>
      <c r="Y419" s="77">
        <f t="shared" si="141"/>
        <v>0</v>
      </c>
      <c r="Z419" s="78"/>
      <c r="AA419" s="142"/>
      <c r="AB419" s="142"/>
      <c r="AC419" s="77">
        <f t="shared" si="142"/>
        <v>0</v>
      </c>
      <c r="AD419" s="78"/>
      <c r="AE419" s="143"/>
      <c r="AF419" s="143"/>
      <c r="AG419" s="79">
        <f t="shared" si="143"/>
        <v>0</v>
      </c>
      <c r="AH419" s="75"/>
      <c r="AI419" s="76"/>
      <c r="AJ419" s="135"/>
      <c r="AK419" s="135"/>
      <c r="AL419" s="77">
        <f t="shared" si="144"/>
        <v>0</v>
      </c>
      <c r="AM419" s="76"/>
      <c r="AN419" s="142"/>
      <c r="AO419" s="142"/>
      <c r="AP419" s="77">
        <f t="shared" si="145"/>
        <v>0</v>
      </c>
      <c r="AQ419" s="78"/>
      <c r="AR419" s="142"/>
      <c r="AS419" s="142"/>
      <c r="AT419" s="79">
        <f t="shared" si="146"/>
        <v>0</v>
      </c>
      <c r="AU419" s="75"/>
      <c r="AV419" s="76"/>
      <c r="AW419" s="135"/>
      <c r="AX419" s="135"/>
      <c r="AY419" s="77">
        <f t="shared" si="147"/>
        <v>0</v>
      </c>
      <c r="AZ419" s="76"/>
      <c r="BA419" s="142"/>
      <c r="BB419" s="142"/>
      <c r="BC419" s="77">
        <f t="shared" si="148"/>
        <v>0</v>
      </c>
      <c r="BD419" s="78"/>
      <c r="BE419" s="142"/>
      <c r="BF419" s="142"/>
      <c r="BG419" s="79">
        <f t="shared" si="149"/>
        <v>0</v>
      </c>
      <c r="BH419" s="75"/>
      <c r="BI419" s="76"/>
      <c r="BJ419" s="135"/>
      <c r="BK419" s="135"/>
      <c r="BL419" s="77">
        <f t="shared" si="150"/>
        <v>0</v>
      </c>
      <c r="BM419" s="78"/>
      <c r="BN419" s="142"/>
      <c r="BO419" s="142"/>
      <c r="BP419" s="77">
        <f t="shared" si="151"/>
        <v>0</v>
      </c>
      <c r="BQ419" s="78"/>
      <c r="BR419" s="142"/>
      <c r="BS419" s="142"/>
      <c r="BT419" s="79">
        <f t="shared" si="152"/>
        <v>0</v>
      </c>
      <c r="BU419" s="75"/>
      <c r="BV419" s="76"/>
      <c r="BW419" s="135"/>
      <c r="BX419" s="135"/>
      <c r="BY419" s="77">
        <f t="shared" si="153"/>
        <v>0</v>
      </c>
      <c r="BZ419" s="78"/>
      <c r="CA419" s="142"/>
      <c r="CB419" s="142"/>
      <c r="CC419" s="77">
        <f t="shared" si="154"/>
        <v>0</v>
      </c>
      <c r="CD419" s="78"/>
      <c r="CE419" s="142"/>
      <c r="CF419" s="142"/>
      <c r="CG419" s="79">
        <f t="shared" si="155"/>
        <v>0</v>
      </c>
      <c r="CH419" s="75"/>
      <c r="CI419" s="76"/>
      <c r="CJ419" s="86"/>
      <c r="CK419" s="86"/>
      <c r="CL419" s="77">
        <f t="shared" si="156"/>
        <v>0</v>
      </c>
      <c r="CM419" s="78"/>
      <c r="CN419" s="85"/>
      <c r="CO419" s="85"/>
      <c r="CP419" s="77">
        <f t="shared" si="157"/>
        <v>0</v>
      </c>
      <c r="CQ419" s="78"/>
      <c r="CR419" s="85"/>
      <c r="CS419" s="85"/>
      <c r="CT419" s="79">
        <f t="shared" si="158"/>
        <v>0</v>
      </c>
      <c r="CU419" s="80">
        <f t="shared" si="168"/>
        <v>0</v>
      </c>
      <c r="CV419" s="81">
        <f t="shared" si="169"/>
        <v>0</v>
      </c>
      <c r="CW419" s="144"/>
      <c r="CX419" s="145">
        <f>IF(ISERROR(VLOOKUP($A419,FIJOS!$B$11:$O$590,14,FALSE)),0,VLOOKUP($A419,FIJOS!$B$11:$O$590,14,FALSE))</f>
        <v>0</v>
      </c>
      <c r="CY419" s="145">
        <f>IF(ISERROR(VLOOKUP(A419,FIJOS!$B$10:$P$590,15,FALSE)),0,VLOOKUP(A419,FIJOS!$B$10:$P$590,15,FALSE))</f>
        <v>0</v>
      </c>
      <c r="CZ419" s="155"/>
      <c r="DA419" s="147"/>
      <c r="DB419" s="147"/>
      <c r="DC419" s="147"/>
      <c r="DD419" s="147"/>
      <c r="DE419" s="147"/>
      <c r="DF419" s="145">
        <f>IF(ISERROR(VLOOKUP($A419,FIJOS!$B$11:$N$590,13,FALSE)),0,VLOOKUP($A419,FIJOS!$B$11:$N$590,13,FALSE))</f>
        <v>0</v>
      </c>
      <c r="DG419" s="145">
        <f>IF(ISERROR(VLOOKUP($A419,FIJOS!$B$11:$P$447,12,FALSE)),0,VLOOKUP($A419,FIJOS!$B$11:$P$447,12,FALSE))</f>
        <v>0</v>
      </c>
      <c r="DH419" s="82">
        <f t="shared" si="234"/>
        <v>0</v>
      </c>
      <c r="DI419" s="83" t="b">
        <f>IF($C419=1,(VLOOKUP($A419,FIJOS!$B$11:$P$545,10,FALSE)/7)*(7-$CU419),IF(AND($C419=2,CV419&lt;$DJ$1),(VLOOKUP($D419,HORAS!$B$4:$C$42,2,FALSE)*24)*$CV419,IF(AND($C419=2,CV419&gt;=$DJ$1),VLOOKUP($D419,HORAS!$B$4:$D$42,3,FALSE),IF(AND($C419=3,$CV419&gt;=$DJ$1),VLOOKUP($A419,FIJOS!$B$11:$P$545,10,FALSE),IF(AND($C419=3,$CV419&lt;$DJ$1),((VLOOKUP($A419,FIJOS!$B$11:$P$545,10,FALSE)/48)*24)*$CV419,IF(AND($C419=4,$CV419&gt;=(42/24)),VLOOKUP($D419,HORAS!$B$4:$D$42,3,FALSE),IF(AND($C419=5,$CV419&gt;=(36/24)),VLOOKUP($D419,HORAS!$B$4:$D$42,3,FALSE))))))))</f>
        <v>0</v>
      </c>
      <c r="DJ419" s="145">
        <f>IF(OR($C419=2),VLOOKUP($D419,HORAS!$B$4:$E$42,4,FALSE)*$EC419,IF(ISERROR(VLOOKUP($A419,FIJOS!$B$11:$P$108,9,FALSE)),0,VLOOKUP($A419,FIJOS!$B$11:$P$231,9,FALSE)*$EC419))</f>
        <v>0</v>
      </c>
      <c r="DK419" s="145">
        <f>IF(OR($C419=2),VLOOKUP($D419,HORAS!$B$4:$F$42,5,FALSE)*$EE419,IF(ISERROR(VLOOKUP($A419,FIJOS!$B$11:$P$108,9,FALSE)),0,VLOOKUP($A419,FIJOS!$B$11:$P$231,9,FALSE)*$EE419))</f>
        <v>0</v>
      </c>
      <c r="DL419" s="144"/>
      <c r="DM419" s="145">
        <f>IF(ISERROR(VLOOKUP($A419,FIJOS!$B$11:$L$646,11,FALSE)),0,VLOOKUP($A419,FIJOS!$B$11:$L$646,11,FALSE))</f>
        <v>0</v>
      </c>
      <c r="DN419" s="148" t="e">
        <f>IF(OR($C419=1,$C419=3),0,IF((VLOOKUP(CAPTURA!D419,HORAS!$B$4:$K$42,10,FALSE)/4)*COUNTIF($H419:$CT419,3)&gt;100,100,(VLOOKUP(CAPTURA!D419,HORAS!$B$4:$K$42,10,FALSE)/4)*COUNTIF($H419:$CT419,3)))</f>
        <v>#N/A</v>
      </c>
      <c r="DO419" s="144" t="e">
        <f>IF(OR($C419=1,$C419=3),0,IF($C419=5,VLOOKUP(D419,HORAS!$B$4:$G$42,6,FALSE),IF(AND($C419=4,$CV419&gt;=(42/24)),VLOOKUP(D419,HORAS!$B$4:$G$42,6,FALSE),IF(COUNTIF($H419:$CL419,"F")&gt;0,0,IF(CV419&gt;$DJ$1,$DJ$1*(VLOOKUP(D419,HORAS!$B$4:$G$42,6,FALSE)/$DJ$1),CV419*(VLOOKUP(D419,HORAS!$B$4:$G$42,6,FALSE)/$DJ$1))))))</f>
        <v>#N/A</v>
      </c>
      <c r="DP419" s="156"/>
      <c r="DQ419" s="148"/>
      <c r="DR419" s="148"/>
      <c r="DS419" s="83" t="e">
        <f t="shared" si="162"/>
        <v>#N/A</v>
      </c>
      <c r="DT419" s="84"/>
      <c r="DU419" s="149" t="e">
        <f t="shared" si="235"/>
        <v>#N/A</v>
      </c>
      <c r="DV419" s="149" t="e">
        <f t="shared" si="236"/>
        <v>#N/A</v>
      </c>
      <c r="DW419" s="144" t="e">
        <f t="shared" si="237"/>
        <v>#N/A</v>
      </c>
      <c r="DX419" s="168"/>
      <c r="DY419" s="29"/>
      <c r="DZ419" s="150"/>
      <c r="EA419" s="134"/>
      <c r="EB419" s="137">
        <f t="shared" si="238"/>
        <v>0</v>
      </c>
      <c r="EC419" s="138">
        <f t="shared" si="239"/>
        <v>0</v>
      </c>
      <c r="ED419" s="137">
        <f t="shared" si="240"/>
        <v>0</v>
      </c>
      <c r="EE419" s="132">
        <f t="shared" si="241"/>
        <v>0</v>
      </c>
      <c r="EF419" s="29"/>
      <c r="EG419" s="134"/>
      <c r="EH419" s="134"/>
      <c r="EI419" s="134"/>
      <c r="EK419" s="29"/>
    </row>
    <row r="420" spans="1:141" ht="15" customHeight="1" x14ac:dyDescent="0.25">
      <c r="A420" s="87"/>
      <c r="B420" s="5"/>
      <c r="C420" s="72"/>
      <c r="D420" s="73"/>
      <c r="E420" s="73"/>
      <c r="F420" s="141"/>
      <c r="G420" s="74"/>
      <c r="H420" s="75"/>
      <c r="I420" s="76"/>
      <c r="J420" s="135"/>
      <c r="K420" s="135"/>
      <c r="L420" s="77">
        <f t="shared" si="138"/>
        <v>0</v>
      </c>
      <c r="M420" s="78"/>
      <c r="N420" s="142"/>
      <c r="O420" s="142"/>
      <c r="P420" s="77">
        <f t="shared" si="139"/>
        <v>0</v>
      </c>
      <c r="Q420" s="78"/>
      <c r="R420" s="143"/>
      <c r="S420" s="143"/>
      <c r="T420" s="77">
        <f t="shared" si="140"/>
        <v>0</v>
      </c>
      <c r="U420" s="75"/>
      <c r="V420" s="76"/>
      <c r="W420" s="135"/>
      <c r="X420" s="135"/>
      <c r="Y420" s="77">
        <f t="shared" si="141"/>
        <v>0</v>
      </c>
      <c r="Z420" s="78"/>
      <c r="AA420" s="142"/>
      <c r="AB420" s="142"/>
      <c r="AC420" s="77">
        <f t="shared" si="142"/>
        <v>0</v>
      </c>
      <c r="AD420" s="78"/>
      <c r="AE420" s="143"/>
      <c r="AF420" s="143"/>
      <c r="AG420" s="79">
        <f t="shared" si="143"/>
        <v>0</v>
      </c>
      <c r="AH420" s="75"/>
      <c r="AI420" s="76"/>
      <c r="AJ420" s="135"/>
      <c r="AK420" s="135"/>
      <c r="AL420" s="77">
        <f t="shared" si="144"/>
        <v>0</v>
      </c>
      <c r="AM420" s="76"/>
      <c r="AN420" s="142"/>
      <c r="AO420" s="142"/>
      <c r="AP420" s="77">
        <f t="shared" si="145"/>
        <v>0</v>
      </c>
      <c r="AQ420" s="78"/>
      <c r="AR420" s="142"/>
      <c r="AS420" s="142"/>
      <c r="AT420" s="79">
        <f t="shared" si="146"/>
        <v>0</v>
      </c>
      <c r="AU420" s="75"/>
      <c r="AV420" s="76"/>
      <c r="AW420" s="135"/>
      <c r="AX420" s="135"/>
      <c r="AY420" s="77">
        <f t="shared" si="147"/>
        <v>0</v>
      </c>
      <c r="AZ420" s="76"/>
      <c r="BA420" s="142"/>
      <c r="BB420" s="142"/>
      <c r="BC420" s="77">
        <f t="shared" si="148"/>
        <v>0</v>
      </c>
      <c r="BD420" s="78"/>
      <c r="BE420" s="142"/>
      <c r="BF420" s="142"/>
      <c r="BG420" s="79">
        <f t="shared" si="149"/>
        <v>0</v>
      </c>
      <c r="BH420" s="75"/>
      <c r="BI420" s="76"/>
      <c r="BJ420" s="135"/>
      <c r="BK420" s="135"/>
      <c r="BL420" s="77">
        <f t="shared" si="150"/>
        <v>0</v>
      </c>
      <c r="BM420" s="78"/>
      <c r="BN420" s="142"/>
      <c r="BO420" s="142"/>
      <c r="BP420" s="77">
        <f t="shared" si="151"/>
        <v>0</v>
      </c>
      <c r="BQ420" s="78"/>
      <c r="BR420" s="142"/>
      <c r="BS420" s="142"/>
      <c r="BT420" s="79">
        <f t="shared" si="152"/>
        <v>0</v>
      </c>
      <c r="BU420" s="75"/>
      <c r="BV420" s="76"/>
      <c r="BW420" s="135"/>
      <c r="BX420" s="135"/>
      <c r="BY420" s="77">
        <f t="shared" si="153"/>
        <v>0</v>
      </c>
      <c r="BZ420" s="78"/>
      <c r="CA420" s="142"/>
      <c r="CB420" s="142"/>
      <c r="CC420" s="77">
        <f t="shared" si="154"/>
        <v>0</v>
      </c>
      <c r="CD420" s="78"/>
      <c r="CE420" s="142"/>
      <c r="CF420" s="142"/>
      <c r="CG420" s="79">
        <f t="shared" si="155"/>
        <v>0</v>
      </c>
      <c r="CH420" s="75"/>
      <c r="CI420" s="76"/>
      <c r="CJ420" s="86"/>
      <c r="CK420" s="86"/>
      <c r="CL420" s="77">
        <f t="shared" si="156"/>
        <v>0</v>
      </c>
      <c r="CM420" s="78"/>
      <c r="CN420" s="85"/>
      <c r="CO420" s="85"/>
      <c r="CP420" s="77">
        <f t="shared" si="157"/>
        <v>0</v>
      </c>
      <c r="CQ420" s="78"/>
      <c r="CR420" s="85"/>
      <c r="CS420" s="85"/>
      <c r="CT420" s="79">
        <f t="shared" si="158"/>
        <v>0</v>
      </c>
      <c r="CU420" s="80">
        <f t="shared" si="168"/>
        <v>0</v>
      </c>
      <c r="CV420" s="81">
        <f t="shared" si="169"/>
        <v>0</v>
      </c>
      <c r="CW420" s="144"/>
      <c r="CX420" s="145">
        <f>IF(ISERROR(VLOOKUP($A420,FIJOS!$B$11:$O$590,14,FALSE)),0,VLOOKUP($A420,FIJOS!$B$11:$O$590,14,FALSE))</f>
        <v>0</v>
      </c>
      <c r="CY420" s="145">
        <f>IF(ISERROR(VLOOKUP(A420,FIJOS!$B$10:$P$590,15,FALSE)),0,VLOOKUP(A420,FIJOS!$B$10:$P$590,15,FALSE))</f>
        <v>0</v>
      </c>
      <c r="CZ420" s="155"/>
      <c r="DA420" s="147"/>
      <c r="DB420" s="147"/>
      <c r="DC420" s="147"/>
      <c r="DD420" s="147"/>
      <c r="DE420" s="147"/>
      <c r="DF420" s="145">
        <f>IF(ISERROR(VLOOKUP($A420,FIJOS!$B$11:$N$590,13,FALSE)),0,VLOOKUP($A420,FIJOS!$B$11:$N$590,13,FALSE))</f>
        <v>0</v>
      </c>
      <c r="DG420" s="145">
        <f>IF(ISERROR(VLOOKUP($A420,FIJOS!$B$11:$P$447,12,FALSE)),0,VLOOKUP($A420,FIJOS!$B$11:$P$447,12,FALSE))</f>
        <v>0</v>
      </c>
      <c r="DH420" s="82">
        <f t="shared" si="234"/>
        <v>0</v>
      </c>
      <c r="DI420" s="83" t="b">
        <f>IF($C420=1,(VLOOKUP($A420,FIJOS!$B$11:$P$545,10,FALSE)/7)*(7-$CU420),IF(AND($C420=2,CV420&lt;$DJ$1),(VLOOKUP($D420,HORAS!$B$4:$C$42,2,FALSE)*24)*$CV420,IF(AND($C420=2,CV420&gt;=$DJ$1),VLOOKUP($D420,HORAS!$B$4:$D$42,3,FALSE),IF(AND($C420=3,$CV420&gt;=$DJ$1),VLOOKUP($A420,FIJOS!$B$11:$P$545,10,FALSE),IF(AND($C420=3,$CV420&lt;$DJ$1),((VLOOKUP($A420,FIJOS!$B$11:$P$545,10,FALSE)/48)*24)*$CV420,IF(AND($C420=4,$CV420&gt;=(42/24)),VLOOKUP($D420,HORAS!$B$4:$D$42,3,FALSE),IF(AND($C420=5,$CV420&gt;=(36/24)),VLOOKUP($D420,HORAS!$B$4:$D$42,3,FALSE))))))))</f>
        <v>0</v>
      </c>
      <c r="DJ420" s="145">
        <f>IF(OR($C420=2),VLOOKUP($D420,HORAS!$B$4:$E$42,4,FALSE)*$EC420,IF(ISERROR(VLOOKUP($A420,FIJOS!$B$11:$P$108,9,FALSE)),0,VLOOKUP($A420,FIJOS!$B$11:$P$231,9,FALSE)*$EC420))</f>
        <v>0</v>
      </c>
      <c r="DK420" s="145">
        <f>IF(OR($C420=2),VLOOKUP($D420,HORAS!$B$4:$F$42,5,FALSE)*$EE420,IF(ISERROR(VLOOKUP($A420,FIJOS!$B$11:$P$108,9,FALSE)),0,VLOOKUP($A420,FIJOS!$B$11:$P$231,9,FALSE)*$EE420))</f>
        <v>0</v>
      </c>
      <c r="DL420" s="144"/>
      <c r="DM420" s="145">
        <f>IF(ISERROR(VLOOKUP($A420,FIJOS!$B$11:$L$646,11,FALSE)),0,VLOOKUP($A420,FIJOS!$B$11:$L$646,11,FALSE))</f>
        <v>0</v>
      </c>
      <c r="DN420" s="148" t="e">
        <f>IF(OR($C420=1,$C420=3),0,IF((VLOOKUP(CAPTURA!D420,HORAS!$B$4:$K$42,10,FALSE)/4)*COUNTIF($H420:$CT420,3)&gt;100,100,(VLOOKUP(CAPTURA!D420,HORAS!$B$4:$K$42,10,FALSE)/4)*COUNTIF($H420:$CT420,3)))</f>
        <v>#N/A</v>
      </c>
      <c r="DO420" s="144" t="e">
        <f>IF(OR($C420=1,$C420=3),0,IF($C420=5,VLOOKUP(D420,HORAS!$B$4:$G$42,6,FALSE),IF(AND($C420=4,$CV420&gt;=(42/24)),VLOOKUP(D420,HORAS!$B$4:$G$42,6,FALSE),IF(COUNTIF($H420:$CL420,"F")&gt;0,0,IF(CV420&gt;$DJ$1,$DJ$1*(VLOOKUP(D420,HORAS!$B$4:$G$42,6,FALSE)/$DJ$1),CV420*(VLOOKUP(D420,HORAS!$B$4:$G$42,6,FALSE)/$DJ$1))))))</f>
        <v>#N/A</v>
      </c>
      <c r="DP420" s="156"/>
      <c r="DQ420" s="148"/>
      <c r="DR420" s="148"/>
      <c r="DS420" s="83" t="e">
        <f t="shared" si="162"/>
        <v>#N/A</v>
      </c>
      <c r="DT420" s="84"/>
      <c r="DU420" s="149" t="e">
        <f t="shared" si="235"/>
        <v>#N/A</v>
      </c>
      <c r="DV420" s="149" t="e">
        <f t="shared" si="236"/>
        <v>#N/A</v>
      </c>
      <c r="DW420" s="144" t="e">
        <f t="shared" si="237"/>
        <v>#N/A</v>
      </c>
      <c r="DX420" s="168"/>
      <c r="DY420" s="29"/>
      <c r="DZ420" s="150"/>
      <c r="EA420" s="134"/>
      <c r="EB420" s="137">
        <f t="shared" si="238"/>
        <v>0</v>
      </c>
      <c r="EC420" s="138">
        <f t="shared" si="239"/>
        <v>0</v>
      </c>
      <c r="ED420" s="137">
        <f t="shared" si="240"/>
        <v>0</v>
      </c>
      <c r="EE420" s="132">
        <f t="shared" si="241"/>
        <v>0</v>
      </c>
      <c r="EF420" s="29"/>
      <c r="EG420" s="134"/>
      <c r="EH420" s="134"/>
      <c r="EI420" s="134"/>
      <c r="EK420" s="29"/>
    </row>
    <row r="421" spans="1:141" ht="15" customHeight="1" x14ac:dyDescent="0.25">
      <c r="A421" s="87"/>
      <c r="B421" s="5"/>
      <c r="C421" s="72"/>
      <c r="D421" s="73"/>
      <c r="E421" s="73"/>
      <c r="F421" s="141"/>
      <c r="G421" s="74"/>
      <c r="H421" s="75"/>
      <c r="I421" s="76"/>
      <c r="J421" s="135"/>
      <c r="K421" s="135"/>
      <c r="L421" s="77">
        <f t="shared" si="138"/>
        <v>0</v>
      </c>
      <c r="M421" s="78"/>
      <c r="N421" s="142"/>
      <c r="O421" s="142"/>
      <c r="P421" s="77">
        <f t="shared" si="139"/>
        <v>0</v>
      </c>
      <c r="Q421" s="78"/>
      <c r="R421" s="143"/>
      <c r="S421" s="143"/>
      <c r="T421" s="77">
        <f t="shared" si="140"/>
        <v>0</v>
      </c>
      <c r="U421" s="75"/>
      <c r="V421" s="76"/>
      <c r="W421" s="135"/>
      <c r="X421" s="135"/>
      <c r="Y421" s="77">
        <f t="shared" si="141"/>
        <v>0</v>
      </c>
      <c r="Z421" s="78"/>
      <c r="AA421" s="142"/>
      <c r="AB421" s="142"/>
      <c r="AC421" s="77">
        <f t="shared" si="142"/>
        <v>0</v>
      </c>
      <c r="AD421" s="78"/>
      <c r="AE421" s="143"/>
      <c r="AF421" s="143"/>
      <c r="AG421" s="79">
        <f t="shared" si="143"/>
        <v>0</v>
      </c>
      <c r="AH421" s="75"/>
      <c r="AI421" s="76"/>
      <c r="AJ421" s="135"/>
      <c r="AK421" s="135"/>
      <c r="AL421" s="77">
        <f t="shared" si="144"/>
        <v>0</v>
      </c>
      <c r="AM421" s="76"/>
      <c r="AN421" s="142"/>
      <c r="AO421" s="142"/>
      <c r="AP421" s="77">
        <f t="shared" si="145"/>
        <v>0</v>
      </c>
      <c r="AQ421" s="78"/>
      <c r="AR421" s="142"/>
      <c r="AS421" s="142"/>
      <c r="AT421" s="79">
        <f t="shared" si="146"/>
        <v>0</v>
      </c>
      <c r="AU421" s="75"/>
      <c r="AV421" s="76"/>
      <c r="AW421" s="135"/>
      <c r="AX421" s="135"/>
      <c r="AY421" s="77">
        <f t="shared" si="147"/>
        <v>0</v>
      </c>
      <c r="AZ421" s="76"/>
      <c r="BA421" s="142"/>
      <c r="BB421" s="142"/>
      <c r="BC421" s="77">
        <f t="shared" si="148"/>
        <v>0</v>
      </c>
      <c r="BD421" s="78"/>
      <c r="BE421" s="142"/>
      <c r="BF421" s="142"/>
      <c r="BG421" s="79">
        <f t="shared" si="149"/>
        <v>0</v>
      </c>
      <c r="BH421" s="75"/>
      <c r="BI421" s="76"/>
      <c r="BJ421" s="135"/>
      <c r="BK421" s="135"/>
      <c r="BL421" s="77">
        <f t="shared" si="150"/>
        <v>0</v>
      </c>
      <c r="BM421" s="78"/>
      <c r="BN421" s="142"/>
      <c r="BO421" s="142"/>
      <c r="BP421" s="77">
        <f t="shared" si="151"/>
        <v>0</v>
      </c>
      <c r="BQ421" s="78"/>
      <c r="BR421" s="142"/>
      <c r="BS421" s="142"/>
      <c r="BT421" s="79">
        <f t="shared" si="152"/>
        <v>0</v>
      </c>
      <c r="BU421" s="75"/>
      <c r="BV421" s="76"/>
      <c r="BW421" s="135"/>
      <c r="BX421" s="135"/>
      <c r="BY421" s="77">
        <f t="shared" si="153"/>
        <v>0</v>
      </c>
      <c r="BZ421" s="78"/>
      <c r="CA421" s="142"/>
      <c r="CB421" s="142"/>
      <c r="CC421" s="77">
        <f t="shared" si="154"/>
        <v>0</v>
      </c>
      <c r="CD421" s="78"/>
      <c r="CE421" s="142"/>
      <c r="CF421" s="142"/>
      <c r="CG421" s="79">
        <f t="shared" si="155"/>
        <v>0</v>
      </c>
      <c r="CH421" s="75"/>
      <c r="CI421" s="76"/>
      <c r="CJ421" s="86"/>
      <c r="CK421" s="86"/>
      <c r="CL421" s="77">
        <f t="shared" si="156"/>
        <v>0</v>
      </c>
      <c r="CM421" s="78"/>
      <c r="CN421" s="85"/>
      <c r="CO421" s="85"/>
      <c r="CP421" s="77">
        <f t="shared" si="157"/>
        <v>0</v>
      </c>
      <c r="CQ421" s="78"/>
      <c r="CR421" s="85"/>
      <c r="CS421" s="85"/>
      <c r="CT421" s="79">
        <f t="shared" si="158"/>
        <v>0</v>
      </c>
      <c r="CU421" s="80">
        <f t="shared" si="168"/>
        <v>0</v>
      </c>
      <c r="CV421" s="81">
        <f t="shared" si="169"/>
        <v>0</v>
      </c>
      <c r="CW421" s="144"/>
      <c r="CX421" s="145">
        <f>IF(ISERROR(VLOOKUP($A421,FIJOS!$B$11:$O$590,14,FALSE)),0,VLOOKUP($A421,FIJOS!$B$11:$O$590,14,FALSE))</f>
        <v>0</v>
      </c>
      <c r="CY421" s="145">
        <f>IF(ISERROR(VLOOKUP(A421,FIJOS!$B$10:$P$590,15,FALSE)),0,VLOOKUP(A421,FIJOS!$B$10:$P$590,15,FALSE))</f>
        <v>0</v>
      </c>
      <c r="CZ421" s="155"/>
      <c r="DA421" s="147"/>
      <c r="DB421" s="147"/>
      <c r="DC421" s="147"/>
      <c r="DD421" s="147"/>
      <c r="DE421" s="147"/>
      <c r="DF421" s="145">
        <f>IF(ISERROR(VLOOKUP($A421,FIJOS!$B$11:$N$590,13,FALSE)),0,VLOOKUP($A421,FIJOS!$B$11:$N$590,13,FALSE))</f>
        <v>0</v>
      </c>
      <c r="DG421" s="145">
        <f>IF(ISERROR(VLOOKUP($A421,FIJOS!$B$11:$P$447,12,FALSE)),0,VLOOKUP($A421,FIJOS!$B$11:$P$447,12,FALSE))</f>
        <v>0</v>
      </c>
      <c r="DH421" s="82">
        <f t="shared" ref="DH421:DH484" si="242">SUM(CW421:DG421)</f>
        <v>0</v>
      </c>
      <c r="DI421" s="83" t="b">
        <f>IF($C421=1,(VLOOKUP($A421,FIJOS!$B$11:$P$545,10,FALSE)/7)*(7-$CU421),IF(AND($C421=2,CV421&lt;$DJ$1),(VLOOKUP($D421,HORAS!$B$4:$C$42,2,FALSE)*24)*$CV421,IF(AND($C421=2,CV421&gt;=$DJ$1),VLOOKUP($D421,HORAS!$B$4:$D$42,3,FALSE),IF(AND($C421=3,$CV421&gt;=$DJ$1),VLOOKUP($A421,FIJOS!$B$11:$P$545,10,FALSE),IF(AND($C421=3,$CV421&lt;$DJ$1),((VLOOKUP($A421,FIJOS!$B$11:$P$545,10,FALSE)/48)*24)*$CV421,IF(AND($C421=4,$CV421&gt;=(42/24)),VLOOKUP($D421,HORAS!$B$4:$D$42,3,FALSE),IF(AND($C421=5,$CV421&gt;=(36/24)),VLOOKUP($D421,HORAS!$B$4:$D$42,3,FALSE))))))))</f>
        <v>0</v>
      </c>
      <c r="DJ421" s="145">
        <f>IF(OR($C421=2),VLOOKUP($D421,HORAS!$B$4:$E$42,4,FALSE)*$EC421,IF(ISERROR(VLOOKUP($A421,FIJOS!$B$11:$P$108,9,FALSE)),0,VLOOKUP($A421,FIJOS!$B$11:$P$231,9,FALSE)*$EC421))</f>
        <v>0</v>
      </c>
      <c r="DK421" s="145">
        <f>IF(OR($C421=2),VLOOKUP($D421,HORAS!$B$4:$F$42,5,FALSE)*$EE421,IF(ISERROR(VLOOKUP($A421,FIJOS!$B$11:$P$108,9,FALSE)),0,VLOOKUP($A421,FIJOS!$B$11:$P$231,9,FALSE)*$EE421))</f>
        <v>0</v>
      </c>
      <c r="DL421" s="144"/>
      <c r="DM421" s="145">
        <f>IF(ISERROR(VLOOKUP($A421,FIJOS!$B$11:$L$646,11,FALSE)),0,VLOOKUP($A421,FIJOS!$B$11:$L$646,11,FALSE))</f>
        <v>0</v>
      </c>
      <c r="DN421" s="148" t="e">
        <f>IF(OR($C421=1,$C421=3),0,IF((VLOOKUP(CAPTURA!D421,HORAS!$B$4:$K$42,10,FALSE)/4)*COUNTIF($H421:$CT421,3)&gt;100,100,(VLOOKUP(CAPTURA!D421,HORAS!$B$4:$K$42,10,FALSE)/4)*COUNTIF($H421:$CT421,3)))</f>
        <v>#N/A</v>
      </c>
      <c r="DO421" s="144" t="e">
        <f>IF(OR($C421=1,$C421=3),0,IF($C421=5,VLOOKUP(D421,HORAS!$B$4:$G$42,6,FALSE),IF(AND($C421=4,$CV421&gt;=(42/24)),VLOOKUP(D421,HORAS!$B$4:$G$42,6,FALSE),IF(COUNTIF($H421:$CL421,"F")&gt;0,0,IF(CV421&gt;$DJ$1,$DJ$1*(VLOOKUP(D421,HORAS!$B$4:$G$42,6,FALSE)/$DJ$1),CV421*(VLOOKUP(D421,HORAS!$B$4:$G$42,6,FALSE)/$DJ$1))))))</f>
        <v>#N/A</v>
      </c>
      <c r="DP421" s="156"/>
      <c r="DQ421" s="148"/>
      <c r="DR421" s="148"/>
      <c r="DS421" s="83" t="e">
        <f t="shared" si="162"/>
        <v>#N/A</v>
      </c>
      <c r="DT421" s="84"/>
      <c r="DU421" s="149" t="e">
        <f t="shared" ref="DU421:DU484" si="243">IF(DW421-DV421=0,0,DW421-DV421)</f>
        <v>#N/A</v>
      </c>
      <c r="DV421" s="149" t="e">
        <f t="shared" ref="DV421:DV484" si="244">IF(DS421&gt;DY421,DY421,DS421)-(CZ421+CY421)</f>
        <v>#N/A</v>
      </c>
      <c r="DW421" s="144" t="e">
        <f t="shared" ref="DW421:DW484" si="245">DS421-DH421</f>
        <v>#N/A</v>
      </c>
      <c r="DX421" s="168"/>
      <c r="DY421" s="29"/>
      <c r="DZ421" s="150"/>
      <c r="EA421" s="134"/>
      <c r="EB421" s="137">
        <f t="shared" ref="EB421:EB484" si="246">IF(CV421&lt;=$DJ$1,0,IF((CV421-$DJ$1)&gt;$EB$1,$EB$1,CV421-$DJ$1))</f>
        <v>0</v>
      </c>
      <c r="EC421" s="138">
        <f t="shared" ref="EC421:EC484" si="247">EB421*24</f>
        <v>0</v>
      </c>
      <c r="ED421" s="137">
        <f t="shared" ref="ED421:ED484" si="248">IF(CV421&lt;=($EB$1+$DJ$1),0,CV421-($EB$1+$DJ$1))</f>
        <v>0</v>
      </c>
      <c r="EE421" s="132">
        <f t="shared" ref="EE421:EE484" si="249">ED421*24</f>
        <v>0</v>
      </c>
      <c r="EF421" s="29"/>
      <c r="EG421" s="134"/>
      <c r="EH421" s="134"/>
      <c r="EI421" s="134"/>
      <c r="EK421" s="29"/>
    </row>
    <row r="422" spans="1:141" ht="15" customHeight="1" x14ac:dyDescent="0.25">
      <c r="A422" s="87"/>
      <c r="B422" s="5"/>
      <c r="C422" s="72"/>
      <c r="D422" s="73"/>
      <c r="E422" s="73"/>
      <c r="F422" s="141"/>
      <c r="G422" s="74"/>
      <c r="H422" s="75"/>
      <c r="I422" s="76"/>
      <c r="J422" s="135"/>
      <c r="K422" s="135"/>
      <c r="L422" s="77">
        <f t="shared" si="138"/>
        <v>0</v>
      </c>
      <c r="M422" s="78"/>
      <c r="N422" s="142"/>
      <c r="O422" s="142"/>
      <c r="P422" s="77">
        <f t="shared" si="139"/>
        <v>0</v>
      </c>
      <c r="Q422" s="78"/>
      <c r="R422" s="143"/>
      <c r="S422" s="143"/>
      <c r="T422" s="77">
        <f t="shared" si="140"/>
        <v>0</v>
      </c>
      <c r="U422" s="75"/>
      <c r="V422" s="76"/>
      <c r="W422" s="135"/>
      <c r="X422" s="135"/>
      <c r="Y422" s="77">
        <f t="shared" si="141"/>
        <v>0</v>
      </c>
      <c r="Z422" s="78"/>
      <c r="AA422" s="142"/>
      <c r="AB422" s="142"/>
      <c r="AC422" s="77">
        <f t="shared" si="142"/>
        <v>0</v>
      </c>
      <c r="AD422" s="78"/>
      <c r="AE422" s="143"/>
      <c r="AF422" s="143"/>
      <c r="AG422" s="79">
        <f t="shared" si="143"/>
        <v>0</v>
      </c>
      <c r="AH422" s="75"/>
      <c r="AI422" s="76"/>
      <c r="AJ422" s="135"/>
      <c r="AK422" s="135"/>
      <c r="AL422" s="77">
        <f t="shared" si="144"/>
        <v>0</v>
      </c>
      <c r="AM422" s="76"/>
      <c r="AN422" s="142"/>
      <c r="AO422" s="142"/>
      <c r="AP422" s="77">
        <f t="shared" si="145"/>
        <v>0</v>
      </c>
      <c r="AQ422" s="78"/>
      <c r="AR422" s="142"/>
      <c r="AS422" s="142"/>
      <c r="AT422" s="79">
        <f t="shared" si="146"/>
        <v>0</v>
      </c>
      <c r="AU422" s="75"/>
      <c r="AV422" s="76"/>
      <c r="AW422" s="135"/>
      <c r="AX422" s="135"/>
      <c r="AY422" s="77">
        <f t="shared" si="147"/>
        <v>0</v>
      </c>
      <c r="AZ422" s="76"/>
      <c r="BA422" s="142"/>
      <c r="BB422" s="142"/>
      <c r="BC422" s="77">
        <f t="shared" si="148"/>
        <v>0</v>
      </c>
      <c r="BD422" s="78"/>
      <c r="BE422" s="142"/>
      <c r="BF422" s="142"/>
      <c r="BG422" s="79">
        <f t="shared" si="149"/>
        <v>0</v>
      </c>
      <c r="BH422" s="75"/>
      <c r="BI422" s="76"/>
      <c r="BJ422" s="135"/>
      <c r="BK422" s="135"/>
      <c r="BL422" s="77">
        <f t="shared" si="150"/>
        <v>0</v>
      </c>
      <c r="BM422" s="78"/>
      <c r="BN422" s="142"/>
      <c r="BO422" s="142"/>
      <c r="BP422" s="77">
        <f t="shared" si="151"/>
        <v>0</v>
      </c>
      <c r="BQ422" s="78"/>
      <c r="BR422" s="142"/>
      <c r="BS422" s="142"/>
      <c r="BT422" s="79">
        <f t="shared" si="152"/>
        <v>0</v>
      </c>
      <c r="BU422" s="75"/>
      <c r="BV422" s="76"/>
      <c r="BW422" s="135"/>
      <c r="BX422" s="135"/>
      <c r="BY422" s="77">
        <f t="shared" si="153"/>
        <v>0</v>
      </c>
      <c r="BZ422" s="78"/>
      <c r="CA422" s="142"/>
      <c r="CB422" s="142"/>
      <c r="CC422" s="77">
        <f t="shared" si="154"/>
        <v>0</v>
      </c>
      <c r="CD422" s="78"/>
      <c r="CE422" s="142"/>
      <c r="CF422" s="142"/>
      <c r="CG422" s="79">
        <f t="shared" si="155"/>
        <v>0</v>
      </c>
      <c r="CH422" s="75"/>
      <c r="CI422" s="76"/>
      <c r="CJ422" s="86"/>
      <c r="CK422" s="86"/>
      <c r="CL422" s="77">
        <f t="shared" si="156"/>
        <v>0</v>
      </c>
      <c r="CM422" s="78"/>
      <c r="CN422" s="85"/>
      <c r="CO422" s="85"/>
      <c r="CP422" s="77">
        <f t="shared" si="157"/>
        <v>0</v>
      </c>
      <c r="CQ422" s="78"/>
      <c r="CR422" s="85"/>
      <c r="CS422" s="85"/>
      <c r="CT422" s="79">
        <f t="shared" si="158"/>
        <v>0</v>
      </c>
      <c r="CU422" s="80">
        <f t="shared" si="168"/>
        <v>0</v>
      </c>
      <c r="CV422" s="81">
        <f t="shared" si="169"/>
        <v>0</v>
      </c>
      <c r="CW422" s="144"/>
      <c r="CX422" s="145">
        <f>IF(ISERROR(VLOOKUP($A422,FIJOS!$B$11:$O$590,14,FALSE)),0,VLOOKUP($A422,FIJOS!$B$11:$O$590,14,FALSE))</f>
        <v>0</v>
      </c>
      <c r="CY422" s="145">
        <f>IF(ISERROR(VLOOKUP(A422,FIJOS!$B$10:$P$590,15,FALSE)),0,VLOOKUP(A422,FIJOS!$B$10:$P$590,15,FALSE))</f>
        <v>0</v>
      </c>
      <c r="CZ422" s="155"/>
      <c r="DA422" s="147"/>
      <c r="DB422" s="147"/>
      <c r="DC422" s="147"/>
      <c r="DD422" s="147"/>
      <c r="DE422" s="147"/>
      <c r="DF422" s="145">
        <f>IF(ISERROR(VLOOKUP($A422,FIJOS!$B$11:$N$590,13,FALSE)),0,VLOOKUP($A422,FIJOS!$B$11:$N$590,13,FALSE))</f>
        <v>0</v>
      </c>
      <c r="DG422" s="145">
        <f>IF(ISERROR(VLOOKUP($A422,FIJOS!$B$11:$P$447,12,FALSE)),0,VLOOKUP($A422,FIJOS!$B$11:$P$447,12,FALSE))</f>
        <v>0</v>
      </c>
      <c r="DH422" s="82">
        <f t="shared" si="242"/>
        <v>0</v>
      </c>
      <c r="DI422" s="83" t="b">
        <f>IF($C422=1,(VLOOKUP($A422,FIJOS!$B$11:$P$545,10,FALSE)/7)*(7-$CU422),IF(AND($C422=2,CV422&lt;$DJ$1),(VLOOKUP($D422,HORAS!$B$4:$C$42,2,FALSE)*24)*$CV422,IF(AND($C422=2,CV422&gt;=$DJ$1),VLOOKUP($D422,HORAS!$B$4:$D$42,3,FALSE),IF(AND($C422=3,$CV422&gt;=$DJ$1),VLOOKUP($A422,FIJOS!$B$11:$P$545,10,FALSE),IF(AND($C422=3,$CV422&lt;$DJ$1),((VLOOKUP($A422,FIJOS!$B$11:$P$545,10,FALSE)/48)*24)*$CV422,IF(AND($C422=4,$CV422&gt;=(42/24)),VLOOKUP($D422,HORAS!$B$4:$D$42,3,FALSE),IF(AND($C422=5,$CV422&gt;=(36/24)),VLOOKUP($D422,HORAS!$B$4:$D$42,3,FALSE))))))))</f>
        <v>0</v>
      </c>
      <c r="DJ422" s="145">
        <f>IF(OR($C422=2),VLOOKUP($D422,HORAS!$B$4:$E$42,4,FALSE)*$EC422,IF(ISERROR(VLOOKUP($A422,FIJOS!$B$11:$P$108,9,FALSE)),0,VLOOKUP($A422,FIJOS!$B$11:$P$231,9,FALSE)*$EC422))</f>
        <v>0</v>
      </c>
      <c r="DK422" s="145">
        <f>IF(OR($C422=2),VLOOKUP($D422,HORAS!$B$4:$F$42,5,FALSE)*$EE422,IF(ISERROR(VLOOKUP($A422,FIJOS!$B$11:$P$108,9,FALSE)),0,VLOOKUP($A422,FIJOS!$B$11:$P$231,9,FALSE)*$EE422))</f>
        <v>0</v>
      </c>
      <c r="DL422" s="144"/>
      <c r="DM422" s="145">
        <f>IF(ISERROR(VLOOKUP($A422,FIJOS!$B$11:$L$646,11,FALSE)),0,VLOOKUP($A422,FIJOS!$B$11:$L$646,11,FALSE))</f>
        <v>0</v>
      </c>
      <c r="DN422" s="148" t="e">
        <f>IF(OR($C422=1,$C422=3),0,IF((VLOOKUP(CAPTURA!D422,HORAS!$B$4:$K$42,10,FALSE)/4)*COUNTIF($H422:$CT422,3)&gt;100,100,(VLOOKUP(CAPTURA!D422,HORAS!$B$4:$K$42,10,FALSE)/4)*COUNTIF($H422:$CT422,3)))</f>
        <v>#N/A</v>
      </c>
      <c r="DO422" s="144" t="e">
        <f>IF(OR($C422=1,$C422=3),0,IF($C422=5,VLOOKUP(D422,HORAS!$B$4:$G$42,6,FALSE),IF(AND($C422=4,$CV422&gt;=(42/24)),VLOOKUP(D422,HORAS!$B$4:$G$42,6,FALSE),IF(COUNTIF($H422:$CL422,"F")&gt;0,0,IF(CV422&gt;$DJ$1,$DJ$1*(VLOOKUP(D422,HORAS!$B$4:$G$42,6,FALSE)/$DJ$1),CV422*(VLOOKUP(D422,HORAS!$B$4:$G$42,6,FALSE)/$DJ$1))))))</f>
        <v>#N/A</v>
      </c>
      <c r="DP422" s="156"/>
      <c r="DQ422" s="148"/>
      <c r="DR422" s="148"/>
      <c r="DS422" s="83" t="e">
        <f t="shared" si="162"/>
        <v>#N/A</v>
      </c>
      <c r="DT422" s="84"/>
      <c r="DU422" s="149" t="e">
        <f t="shared" si="243"/>
        <v>#N/A</v>
      </c>
      <c r="DV422" s="149" t="e">
        <f t="shared" si="244"/>
        <v>#N/A</v>
      </c>
      <c r="DW422" s="144" t="e">
        <f t="shared" si="245"/>
        <v>#N/A</v>
      </c>
      <c r="DX422" s="168"/>
      <c r="DY422" s="29"/>
      <c r="DZ422" s="150"/>
      <c r="EA422" s="134"/>
      <c r="EB422" s="137">
        <f t="shared" si="246"/>
        <v>0</v>
      </c>
      <c r="EC422" s="138">
        <f t="shared" si="247"/>
        <v>0</v>
      </c>
      <c r="ED422" s="137">
        <f t="shared" si="248"/>
        <v>0</v>
      </c>
      <c r="EE422" s="132">
        <f t="shared" si="249"/>
        <v>0</v>
      </c>
      <c r="EF422" s="29"/>
      <c r="EG422" s="134"/>
      <c r="EH422" s="134"/>
      <c r="EI422" s="134"/>
      <c r="EK422" s="29"/>
    </row>
    <row r="423" spans="1:141" ht="15" customHeight="1" x14ac:dyDescent="0.25">
      <c r="A423" s="87"/>
      <c r="B423" s="5"/>
      <c r="C423" s="72"/>
      <c r="D423" s="73"/>
      <c r="E423" s="73"/>
      <c r="F423" s="141"/>
      <c r="G423" s="74"/>
      <c r="H423" s="75"/>
      <c r="I423" s="76"/>
      <c r="J423" s="135"/>
      <c r="K423" s="135"/>
      <c r="L423" s="77">
        <f t="shared" si="138"/>
        <v>0</v>
      </c>
      <c r="M423" s="78"/>
      <c r="N423" s="142"/>
      <c r="O423" s="142"/>
      <c r="P423" s="77">
        <f t="shared" si="139"/>
        <v>0</v>
      </c>
      <c r="Q423" s="78"/>
      <c r="R423" s="143"/>
      <c r="S423" s="143"/>
      <c r="T423" s="77">
        <f t="shared" si="140"/>
        <v>0</v>
      </c>
      <c r="U423" s="75"/>
      <c r="V423" s="76"/>
      <c r="W423" s="135"/>
      <c r="X423" s="135"/>
      <c r="Y423" s="77">
        <f t="shared" si="141"/>
        <v>0</v>
      </c>
      <c r="Z423" s="78"/>
      <c r="AA423" s="142"/>
      <c r="AB423" s="142"/>
      <c r="AC423" s="77">
        <f t="shared" si="142"/>
        <v>0</v>
      </c>
      <c r="AD423" s="78"/>
      <c r="AE423" s="143"/>
      <c r="AF423" s="143"/>
      <c r="AG423" s="79">
        <f t="shared" si="143"/>
        <v>0</v>
      </c>
      <c r="AH423" s="75"/>
      <c r="AI423" s="76"/>
      <c r="AJ423" s="135"/>
      <c r="AK423" s="135"/>
      <c r="AL423" s="77">
        <f t="shared" si="144"/>
        <v>0</v>
      </c>
      <c r="AM423" s="76"/>
      <c r="AN423" s="142"/>
      <c r="AO423" s="142"/>
      <c r="AP423" s="77">
        <f t="shared" si="145"/>
        <v>0</v>
      </c>
      <c r="AQ423" s="78"/>
      <c r="AR423" s="142"/>
      <c r="AS423" s="142"/>
      <c r="AT423" s="79">
        <f t="shared" si="146"/>
        <v>0</v>
      </c>
      <c r="AU423" s="75"/>
      <c r="AV423" s="76"/>
      <c r="AW423" s="135"/>
      <c r="AX423" s="135"/>
      <c r="AY423" s="77">
        <f t="shared" si="147"/>
        <v>0</v>
      </c>
      <c r="AZ423" s="76"/>
      <c r="BA423" s="142"/>
      <c r="BB423" s="142"/>
      <c r="BC423" s="77">
        <f t="shared" si="148"/>
        <v>0</v>
      </c>
      <c r="BD423" s="78"/>
      <c r="BE423" s="142"/>
      <c r="BF423" s="142"/>
      <c r="BG423" s="79">
        <f t="shared" si="149"/>
        <v>0</v>
      </c>
      <c r="BH423" s="75"/>
      <c r="BI423" s="76"/>
      <c r="BJ423" s="135"/>
      <c r="BK423" s="135"/>
      <c r="BL423" s="77">
        <f t="shared" si="150"/>
        <v>0</v>
      </c>
      <c r="BM423" s="78"/>
      <c r="BN423" s="142"/>
      <c r="BO423" s="142"/>
      <c r="BP423" s="77">
        <f t="shared" si="151"/>
        <v>0</v>
      </c>
      <c r="BQ423" s="78"/>
      <c r="BR423" s="142"/>
      <c r="BS423" s="142"/>
      <c r="BT423" s="79">
        <f t="shared" si="152"/>
        <v>0</v>
      </c>
      <c r="BU423" s="75"/>
      <c r="BV423" s="76"/>
      <c r="BW423" s="135"/>
      <c r="BX423" s="135"/>
      <c r="BY423" s="77">
        <f t="shared" si="153"/>
        <v>0</v>
      </c>
      <c r="BZ423" s="78"/>
      <c r="CA423" s="142"/>
      <c r="CB423" s="142"/>
      <c r="CC423" s="77">
        <f t="shared" si="154"/>
        <v>0</v>
      </c>
      <c r="CD423" s="78"/>
      <c r="CE423" s="142"/>
      <c r="CF423" s="142"/>
      <c r="CG423" s="79">
        <f t="shared" si="155"/>
        <v>0</v>
      </c>
      <c r="CH423" s="75"/>
      <c r="CI423" s="76"/>
      <c r="CJ423" s="86"/>
      <c r="CK423" s="86"/>
      <c r="CL423" s="77">
        <f t="shared" si="156"/>
        <v>0</v>
      </c>
      <c r="CM423" s="78"/>
      <c r="CN423" s="85"/>
      <c r="CO423" s="85"/>
      <c r="CP423" s="77">
        <f t="shared" si="157"/>
        <v>0</v>
      </c>
      <c r="CQ423" s="78"/>
      <c r="CR423" s="85"/>
      <c r="CS423" s="85"/>
      <c r="CT423" s="79">
        <f t="shared" si="158"/>
        <v>0</v>
      </c>
      <c r="CU423" s="80">
        <f t="shared" si="168"/>
        <v>0</v>
      </c>
      <c r="CV423" s="81">
        <f t="shared" si="169"/>
        <v>0</v>
      </c>
      <c r="CW423" s="144"/>
      <c r="CX423" s="145">
        <f>IF(ISERROR(VLOOKUP($A423,FIJOS!$B$11:$O$590,14,FALSE)),0,VLOOKUP($A423,FIJOS!$B$11:$O$590,14,FALSE))</f>
        <v>0</v>
      </c>
      <c r="CY423" s="145">
        <f>IF(ISERROR(VLOOKUP(A423,FIJOS!$B$10:$P$590,15,FALSE)),0,VLOOKUP(A423,FIJOS!$B$10:$P$590,15,FALSE))</f>
        <v>0</v>
      </c>
      <c r="CZ423" s="155"/>
      <c r="DA423" s="147"/>
      <c r="DB423" s="147"/>
      <c r="DC423" s="147"/>
      <c r="DD423" s="147"/>
      <c r="DE423" s="147"/>
      <c r="DF423" s="145">
        <f>IF(ISERROR(VLOOKUP($A423,FIJOS!$B$11:$N$590,13,FALSE)),0,VLOOKUP($A423,FIJOS!$B$11:$N$590,13,FALSE))</f>
        <v>0</v>
      </c>
      <c r="DG423" s="145">
        <f>IF(ISERROR(VLOOKUP($A423,FIJOS!$B$11:$P$447,12,FALSE)),0,VLOOKUP($A423,FIJOS!$B$11:$P$447,12,FALSE))</f>
        <v>0</v>
      </c>
      <c r="DH423" s="82">
        <f t="shared" si="242"/>
        <v>0</v>
      </c>
      <c r="DI423" s="83" t="b">
        <f>IF($C423=1,(VLOOKUP($A423,FIJOS!$B$11:$P$545,10,FALSE)/7)*(7-$CU423),IF(AND($C423=2,CV423&lt;$DJ$1),(VLOOKUP($D423,HORAS!$B$4:$C$42,2,FALSE)*24)*$CV423,IF(AND($C423=2,CV423&gt;=$DJ$1),VLOOKUP($D423,HORAS!$B$4:$D$42,3,FALSE),IF(AND($C423=3,$CV423&gt;=$DJ$1),VLOOKUP($A423,FIJOS!$B$11:$P$545,10,FALSE),IF(AND($C423=3,$CV423&lt;$DJ$1),((VLOOKUP($A423,FIJOS!$B$11:$P$545,10,FALSE)/48)*24)*$CV423,IF(AND($C423=4,$CV423&gt;=(42/24)),VLOOKUP($D423,HORAS!$B$4:$D$42,3,FALSE),IF(AND($C423=5,$CV423&gt;=(36/24)),VLOOKUP($D423,HORAS!$B$4:$D$42,3,FALSE))))))))</f>
        <v>0</v>
      </c>
      <c r="DJ423" s="145">
        <f>IF(OR($C423=2),VLOOKUP($D423,HORAS!$B$4:$E$42,4,FALSE)*$EC423,IF(ISERROR(VLOOKUP($A423,FIJOS!$B$11:$P$108,9,FALSE)),0,VLOOKUP($A423,FIJOS!$B$11:$P$231,9,FALSE)*$EC423))</f>
        <v>0</v>
      </c>
      <c r="DK423" s="145">
        <f>IF(OR($C423=2),VLOOKUP($D423,HORAS!$B$4:$F$42,5,FALSE)*$EE423,IF(ISERROR(VLOOKUP($A423,FIJOS!$B$11:$P$108,9,FALSE)),0,VLOOKUP($A423,FIJOS!$B$11:$P$231,9,FALSE)*$EE423))</f>
        <v>0</v>
      </c>
      <c r="DL423" s="144"/>
      <c r="DM423" s="145">
        <f>IF(ISERROR(VLOOKUP($A423,FIJOS!$B$11:$L$646,11,FALSE)),0,VLOOKUP($A423,FIJOS!$B$11:$L$646,11,FALSE))</f>
        <v>0</v>
      </c>
      <c r="DN423" s="148" t="e">
        <f>IF(OR($C423=1,$C423=3),0,IF((VLOOKUP(CAPTURA!D423,HORAS!$B$4:$K$42,10,FALSE)/4)*COUNTIF($H423:$CT423,3)&gt;100,100,(VLOOKUP(CAPTURA!D423,HORAS!$B$4:$K$42,10,FALSE)/4)*COUNTIF($H423:$CT423,3)))</f>
        <v>#N/A</v>
      </c>
      <c r="DO423" s="144" t="e">
        <f>IF(OR($C423=1,$C423=3),0,IF($C423=5,VLOOKUP(D423,HORAS!$B$4:$G$42,6,FALSE),IF(AND($C423=4,$CV423&gt;=(42/24)),VLOOKUP(D423,HORAS!$B$4:$G$42,6,FALSE),IF(COUNTIF($H423:$CL423,"F")&gt;0,0,IF(CV423&gt;$DJ$1,$DJ$1*(VLOOKUP(D423,HORAS!$B$4:$G$42,6,FALSE)/$DJ$1),CV423*(VLOOKUP(D423,HORAS!$B$4:$G$42,6,FALSE)/$DJ$1))))))</f>
        <v>#N/A</v>
      </c>
      <c r="DP423" s="156"/>
      <c r="DQ423" s="148"/>
      <c r="DR423" s="148"/>
      <c r="DS423" s="83" t="e">
        <f t="shared" si="162"/>
        <v>#N/A</v>
      </c>
      <c r="DT423" s="84"/>
      <c r="DU423" s="149" t="e">
        <f t="shared" si="243"/>
        <v>#N/A</v>
      </c>
      <c r="DV423" s="149" t="e">
        <f t="shared" si="244"/>
        <v>#N/A</v>
      </c>
      <c r="DW423" s="144" t="e">
        <f t="shared" si="245"/>
        <v>#N/A</v>
      </c>
      <c r="DX423" s="168"/>
      <c r="DY423" s="29"/>
      <c r="DZ423" s="150"/>
      <c r="EA423" s="134"/>
      <c r="EB423" s="137">
        <f t="shared" si="246"/>
        <v>0</v>
      </c>
      <c r="EC423" s="138">
        <f t="shared" si="247"/>
        <v>0</v>
      </c>
      <c r="ED423" s="137">
        <f t="shared" si="248"/>
        <v>0</v>
      </c>
      <c r="EE423" s="132">
        <f t="shared" si="249"/>
        <v>0</v>
      </c>
      <c r="EF423" s="29"/>
      <c r="EG423" s="134"/>
      <c r="EH423" s="134"/>
      <c r="EI423" s="134"/>
      <c r="EK423" s="29"/>
    </row>
    <row r="424" spans="1:141" ht="15" customHeight="1" x14ac:dyDescent="0.25">
      <c r="A424" s="87"/>
      <c r="B424" s="5"/>
      <c r="C424" s="72"/>
      <c r="D424" s="73"/>
      <c r="E424" s="73"/>
      <c r="F424" s="141"/>
      <c r="G424" s="74"/>
      <c r="H424" s="75"/>
      <c r="I424" s="76"/>
      <c r="J424" s="135"/>
      <c r="K424" s="135"/>
      <c r="L424" s="77">
        <f t="shared" si="138"/>
        <v>0</v>
      </c>
      <c r="M424" s="78"/>
      <c r="N424" s="142"/>
      <c r="O424" s="142"/>
      <c r="P424" s="77">
        <f t="shared" si="139"/>
        <v>0</v>
      </c>
      <c r="Q424" s="78"/>
      <c r="R424" s="143"/>
      <c r="S424" s="143"/>
      <c r="T424" s="77">
        <f t="shared" si="140"/>
        <v>0</v>
      </c>
      <c r="U424" s="75"/>
      <c r="V424" s="76"/>
      <c r="W424" s="135"/>
      <c r="X424" s="135"/>
      <c r="Y424" s="77">
        <f t="shared" si="141"/>
        <v>0</v>
      </c>
      <c r="Z424" s="78"/>
      <c r="AA424" s="142"/>
      <c r="AB424" s="142"/>
      <c r="AC424" s="77">
        <f t="shared" si="142"/>
        <v>0</v>
      </c>
      <c r="AD424" s="78"/>
      <c r="AE424" s="143"/>
      <c r="AF424" s="143"/>
      <c r="AG424" s="79">
        <f t="shared" si="143"/>
        <v>0</v>
      </c>
      <c r="AH424" s="75"/>
      <c r="AI424" s="76"/>
      <c r="AJ424" s="135"/>
      <c r="AK424" s="135"/>
      <c r="AL424" s="77">
        <f t="shared" si="144"/>
        <v>0</v>
      </c>
      <c r="AM424" s="76"/>
      <c r="AN424" s="142"/>
      <c r="AO424" s="142"/>
      <c r="AP424" s="77">
        <f t="shared" si="145"/>
        <v>0</v>
      </c>
      <c r="AQ424" s="78"/>
      <c r="AR424" s="142"/>
      <c r="AS424" s="142"/>
      <c r="AT424" s="79">
        <f t="shared" si="146"/>
        <v>0</v>
      </c>
      <c r="AU424" s="75"/>
      <c r="AV424" s="76"/>
      <c r="AW424" s="135"/>
      <c r="AX424" s="135"/>
      <c r="AY424" s="77">
        <f t="shared" si="147"/>
        <v>0</v>
      </c>
      <c r="AZ424" s="76"/>
      <c r="BA424" s="142"/>
      <c r="BB424" s="142"/>
      <c r="BC424" s="77">
        <f t="shared" si="148"/>
        <v>0</v>
      </c>
      <c r="BD424" s="78"/>
      <c r="BE424" s="142"/>
      <c r="BF424" s="142"/>
      <c r="BG424" s="79">
        <f t="shared" si="149"/>
        <v>0</v>
      </c>
      <c r="BH424" s="75"/>
      <c r="BI424" s="76"/>
      <c r="BJ424" s="135"/>
      <c r="BK424" s="135"/>
      <c r="BL424" s="77">
        <f t="shared" si="150"/>
        <v>0</v>
      </c>
      <c r="BM424" s="78"/>
      <c r="BN424" s="142"/>
      <c r="BO424" s="142"/>
      <c r="BP424" s="77">
        <f t="shared" si="151"/>
        <v>0</v>
      </c>
      <c r="BQ424" s="78"/>
      <c r="BR424" s="142"/>
      <c r="BS424" s="142"/>
      <c r="BT424" s="79">
        <f t="shared" si="152"/>
        <v>0</v>
      </c>
      <c r="BU424" s="75"/>
      <c r="BV424" s="76"/>
      <c r="BW424" s="135"/>
      <c r="BX424" s="135"/>
      <c r="BY424" s="77">
        <f t="shared" si="153"/>
        <v>0</v>
      </c>
      <c r="BZ424" s="78"/>
      <c r="CA424" s="142"/>
      <c r="CB424" s="142"/>
      <c r="CC424" s="77">
        <f t="shared" si="154"/>
        <v>0</v>
      </c>
      <c r="CD424" s="78"/>
      <c r="CE424" s="142"/>
      <c r="CF424" s="142"/>
      <c r="CG424" s="79">
        <f t="shared" si="155"/>
        <v>0</v>
      </c>
      <c r="CH424" s="75"/>
      <c r="CI424" s="76"/>
      <c r="CJ424" s="86"/>
      <c r="CK424" s="86"/>
      <c r="CL424" s="77">
        <f t="shared" si="156"/>
        <v>0</v>
      </c>
      <c r="CM424" s="78"/>
      <c r="CN424" s="85"/>
      <c r="CO424" s="85"/>
      <c r="CP424" s="77">
        <f t="shared" si="157"/>
        <v>0</v>
      </c>
      <c r="CQ424" s="78"/>
      <c r="CR424" s="85"/>
      <c r="CS424" s="85"/>
      <c r="CT424" s="79">
        <f t="shared" si="158"/>
        <v>0</v>
      </c>
      <c r="CU424" s="80">
        <f t="shared" si="168"/>
        <v>0</v>
      </c>
      <c r="CV424" s="81">
        <f t="shared" si="169"/>
        <v>0</v>
      </c>
      <c r="CW424" s="144"/>
      <c r="CX424" s="145">
        <f>IF(ISERROR(VLOOKUP($A424,FIJOS!$B$11:$O$590,14,FALSE)),0,VLOOKUP($A424,FIJOS!$B$11:$O$590,14,FALSE))</f>
        <v>0</v>
      </c>
      <c r="CY424" s="145">
        <f>IF(ISERROR(VLOOKUP(A424,FIJOS!$B$10:$P$590,15,FALSE)),0,VLOOKUP(A424,FIJOS!$B$10:$P$590,15,FALSE))</f>
        <v>0</v>
      </c>
      <c r="CZ424" s="155"/>
      <c r="DA424" s="147"/>
      <c r="DB424" s="147"/>
      <c r="DC424" s="147"/>
      <c r="DD424" s="147"/>
      <c r="DE424" s="147"/>
      <c r="DF424" s="145">
        <f>IF(ISERROR(VLOOKUP($A424,FIJOS!$B$11:$N$590,13,FALSE)),0,VLOOKUP($A424,FIJOS!$B$11:$N$590,13,FALSE))</f>
        <v>0</v>
      </c>
      <c r="DG424" s="145">
        <f>IF(ISERROR(VLOOKUP($A424,FIJOS!$B$11:$P$447,12,FALSE)),0,VLOOKUP($A424,FIJOS!$B$11:$P$447,12,FALSE))</f>
        <v>0</v>
      </c>
      <c r="DH424" s="82">
        <f t="shared" si="242"/>
        <v>0</v>
      </c>
      <c r="DI424" s="83" t="b">
        <f>IF($C424=1,(VLOOKUP($A424,FIJOS!$B$11:$P$545,10,FALSE)/7)*(7-$CU424),IF(AND($C424=2,CV424&lt;$DJ$1),(VLOOKUP($D424,HORAS!$B$4:$C$42,2,FALSE)*24)*$CV424,IF(AND($C424=2,CV424&gt;=$DJ$1),VLOOKUP($D424,HORAS!$B$4:$D$42,3,FALSE),IF(AND($C424=3,$CV424&gt;=$DJ$1),VLOOKUP($A424,FIJOS!$B$11:$P$545,10,FALSE),IF(AND($C424=3,$CV424&lt;$DJ$1),((VLOOKUP($A424,FIJOS!$B$11:$P$545,10,FALSE)/48)*24)*$CV424,IF(AND($C424=4,$CV424&gt;=(42/24)),VLOOKUP($D424,HORAS!$B$4:$D$42,3,FALSE),IF(AND($C424=5,$CV424&gt;=(36/24)),VLOOKUP($D424,HORAS!$B$4:$D$42,3,FALSE))))))))</f>
        <v>0</v>
      </c>
      <c r="DJ424" s="145">
        <f>IF(OR($C424=2),VLOOKUP($D424,HORAS!$B$4:$E$42,4,FALSE)*$EC424,IF(ISERROR(VLOOKUP($A424,FIJOS!$B$11:$P$108,9,FALSE)),0,VLOOKUP($A424,FIJOS!$B$11:$P$231,9,FALSE)*$EC424))</f>
        <v>0</v>
      </c>
      <c r="DK424" s="145">
        <f>IF(OR($C424=2),VLOOKUP($D424,HORAS!$B$4:$F$42,5,FALSE)*$EE424,IF(ISERROR(VLOOKUP($A424,FIJOS!$B$11:$P$108,9,FALSE)),0,VLOOKUP($A424,FIJOS!$B$11:$P$231,9,FALSE)*$EE424))</f>
        <v>0</v>
      </c>
      <c r="DL424" s="144"/>
      <c r="DM424" s="145">
        <f>IF(ISERROR(VLOOKUP($A424,FIJOS!$B$11:$L$646,11,FALSE)),0,VLOOKUP($A424,FIJOS!$B$11:$L$646,11,FALSE))</f>
        <v>0</v>
      </c>
      <c r="DN424" s="148" t="e">
        <f>IF(OR($C424=1,$C424=3),0,IF((VLOOKUP(CAPTURA!D424,HORAS!$B$4:$K$42,10,FALSE)/4)*COUNTIF($H424:$CT424,3)&gt;100,100,(VLOOKUP(CAPTURA!D424,HORAS!$B$4:$K$42,10,FALSE)/4)*COUNTIF($H424:$CT424,3)))</f>
        <v>#N/A</v>
      </c>
      <c r="DO424" s="144" t="e">
        <f>IF(OR($C424=1,$C424=3),0,IF($C424=5,VLOOKUP(D424,HORAS!$B$4:$G$42,6,FALSE),IF(AND($C424=4,$CV424&gt;=(42/24)),VLOOKUP(D424,HORAS!$B$4:$G$42,6,FALSE),IF(COUNTIF($H424:$CL424,"F")&gt;0,0,IF(CV424&gt;$DJ$1,$DJ$1*(VLOOKUP(D424,HORAS!$B$4:$G$42,6,FALSE)/$DJ$1),CV424*(VLOOKUP(D424,HORAS!$B$4:$G$42,6,FALSE)/$DJ$1))))))</f>
        <v>#N/A</v>
      </c>
      <c r="DP424" s="156"/>
      <c r="DQ424" s="148"/>
      <c r="DR424" s="148"/>
      <c r="DS424" s="83" t="e">
        <f t="shared" si="162"/>
        <v>#N/A</v>
      </c>
      <c r="DT424" s="84"/>
      <c r="DU424" s="149" t="e">
        <f t="shared" si="243"/>
        <v>#N/A</v>
      </c>
      <c r="DV424" s="149" t="e">
        <f t="shared" si="244"/>
        <v>#N/A</v>
      </c>
      <c r="DW424" s="144" t="e">
        <f t="shared" si="245"/>
        <v>#N/A</v>
      </c>
      <c r="DX424" s="168"/>
      <c r="DY424" s="29"/>
      <c r="DZ424" s="150"/>
      <c r="EA424" s="134"/>
      <c r="EB424" s="137">
        <f t="shared" si="246"/>
        <v>0</v>
      </c>
      <c r="EC424" s="138">
        <f t="shared" si="247"/>
        <v>0</v>
      </c>
      <c r="ED424" s="137">
        <f t="shared" si="248"/>
        <v>0</v>
      </c>
      <c r="EE424" s="132">
        <f t="shared" si="249"/>
        <v>0</v>
      </c>
      <c r="EF424" s="29"/>
      <c r="EG424" s="134"/>
      <c r="EH424" s="134"/>
      <c r="EI424" s="134"/>
      <c r="EK424" s="29"/>
    </row>
    <row r="425" spans="1:141" ht="15" customHeight="1" x14ac:dyDescent="0.25">
      <c r="A425" s="87"/>
      <c r="B425" s="5"/>
      <c r="C425" s="72"/>
      <c r="D425" s="73"/>
      <c r="E425" s="73"/>
      <c r="F425" s="141"/>
      <c r="G425" s="74"/>
      <c r="H425" s="75"/>
      <c r="I425" s="76"/>
      <c r="J425" s="135"/>
      <c r="K425" s="135"/>
      <c r="L425" s="77">
        <f t="shared" si="138"/>
        <v>0</v>
      </c>
      <c r="M425" s="78"/>
      <c r="N425" s="142"/>
      <c r="O425" s="142"/>
      <c r="P425" s="77">
        <f t="shared" si="139"/>
        <v>0</v>
      </c>
      <c r="Q425" s="78"/>
      <c r="R425" s="143"/>
      <c r="S425" s="143"/>
      <c r="T425" s="77">
        <f t="shared" si="140"/>
        <v>0</v>
      </c>
      <c r="U425" s="75"/>
      <c r="V425" s="76"/>
      <c r="W425" s="135"/>
      <c r="X425" s="135"/>
      <c r="Y425" s="77">
        <f t="shared" si="141"/>
        <v>0</v>
      </c>
      <c r="Z425" s="78"/>
      <c r="AA425" s="142"/>
      <c r="AB425" s="142"/>
      <c r="AC425" s="77">
        <f t="shared" si="142"/>
        <v>0</v>
      </c>
      <c r="AD425" s="78"/>
      <c r="AE425" s="143"/>
      <c r="AF425" s="143"/>
      <c r="AG425" s="79">
        <f t="shared" si="143"/>
        <v>0</v>
      </c>
      <c r="AH425" s="75"/>
      <c r="AI425" s="76"/>
      <c r="AJ425" s="135"/>
      <c r="AK425" s="135"/>
      <c r="AL425" s="77">
        <f t="shared" si="144"/>
        <v>0</v>
      </c>
      <c r="AM425" s="76"/>
      <c r="AN425" s="142"/>
      <c r="AO425" s="142"/>
      <c r="AP425" s="77">
        <f t="shared" si="145"/>
        <v>0</v>
      </c>
      <c r="AQ425" s="78"/>
      <c r="AR425" s="142"/>
      <c r="AS425" s="142"/>
      <c r="AT425" s="79">
        <f t="shared" si="146"/>
        <v>0</v>
      </c>
      <c r="AU425" s="75"/>
      <c r="AV425" s="76"/>
      <c r="AW425" s="135"/>
      <c r="AX425" s="135"/>
      <c r="AY425" s="77">
        <f t="shared" si="147"/>
        <v>0</v>
      </c>
      <c r="AZ425" s="76"/>
      <c r="BA425" s="142"/>
      <c r="BB425" s="142"/>
      <c r="BC425" s="77">
        <f t="shared" si="148"/>
        <v>0</v>
      </c>
      <c r="BD425" s="78"/>
      <c r="BE425" s="142"/>
      <c r="BF425" s="142"/>
      <c r="BG425" s="79">
        <f t="shared" si="149"/>
        <v>0</v>
      </c>
      <c r="BH425" s="75"/>
      <c r="BI425" s="76"/>
      <c r="BJ425" s="135"/>
      <c r="BK425" s="135"/>
      <c r="BL425" s="77">
        <f t="shared" si="150"/>
        <v>0</v>
      </c>
      <c r="BM425" s="78"/>
      <c r="BN425" s="142"/>
      <c r="BO425" s="142"/>
      <c r="BP425" s="77">
        <f t="shared" si="151"/>
        <v>0</v>
      </c>
      <c r="BQ425" s="78"/>
      <c r="BR425" s="142"/>
      <c r="BS425" s="142"/>
      <c r="BT425" s="79">
        <f t="shared" si="152"/>
        <v>0</v>
      </c>
      <c r="BU425" s="75"/>
      <c r="BV425" s="76"/>
      <c r="BW425" s="135"/>
      <c r="BX425" s="135"/>
      <c r="BY425" s="77">
        <f t="shared" si="153"/>
        <v>0</v>
      </c>
      <c r="BZ425" s="78"/>
      <c r="CA425" s="142"/>
      <c r="CB425" s="142"/>
      <c r="CC425" s="77">
        <f t="shared" si="154"/>
        <v>0</v>
      </c>
      <c r="CD425" s="78"/>
      <c r="CE425" s="142"/>
      <c r="CF425" s="142"/>
      <c r="CG425" s="79">
        <f t="shared" si="155"/>
        <v>0</v>
      </c>
      <c r="CH425" s="75"/>
      <c r="CI425" s="76"/>
      <c r="CJ425" s="86"/>
      <c r="CK425" s="86"/>
      <c r="CL425" s="77">
        <f t="shared" si="156"/>
        <v>0</v>
      </c>
      <c r="CM425" s="78"/>
      <c r="CN425" s="85"/>
      <c r="CO425" s="85"/>
      <c r="CP425" s="77">
        <f t="shared" si="157"/>
        <v>0</v>
      </c>
      <c r="CQ425" s="78"/>
      <c r="CR425" s="85"/>
      <c r="CS425" s="85"/>
      <c r="CT425" s="79">
        <f t="shared" si="158"/>
        <v>0</v>
      </c>
      <c r="CU425" s="80">
        <f t="shared" si="168"/>
        <v>0</v>
      </c>
      <c r="CV425" s="81">
        <f t="shared" si="169"/>
        <v>0</v>
      </c>
      <c r="CW425" s="144"/>
      <c r="CX425" s="145">
        <f>IF(ISERROR(VLOOKUP($A425,FIJOS!$B$11:$O$590,14,FALSE)),0,VLOOKUP($A425,FIJOS!$B$11:$O$590,14,FALSE))</f>
        <v>0</v>
      </c>
      <c r="CY425" s="145">
        <f>IF(ISERROR(VLOOKUP(A425,FIJOS!$B$10:$P$590,15,FALSE)),0,VLOOKUP(A425,FIJOS!$B$10:$P$590,15,FALSE))</f>
        <v>0</v>
      </c>
      <c r="CZ425" s="155"/>
      <c r="DA425" s="147"/>
      <c r="DB425" s="147"/>
      <c r="DC425" s="147"/>
      <c r="DD425" s="147"/>
      <c r="DE425" s="147"/>
      <c r="DF425" s="145">
        <f>IF(ISERROR(VLOOKUP($A425,FIJOS!$B$11:$N$590,13,FALSE)),0,VLOOKUP($A425,FIJOS!$B$11:$N$590,13,FALSE))</f>
        <v>0</v>
      </c>
      <c r="DG425" s="145">
        <f>IF(ISERROR(VLOOKUP($A425,FIJOS!$B$11:$P$447,12,FALSE)),0,VLOOKUP($A425,FIJOS!$B$11:$P$447,12,FALSE))</f>
        <v>0</v>
      </c>
      <c r="DH425" s="82">
        <f t="shared" si="242"/>
        <v>0</v>
      </c>
      <c r="DI425" s="83" t="b">
        <f>IF($C425=1,(VLOOKUP($A425,FIJOS!$B$11:$P$545,10,FALSE)/7)*(7-$CU425),IF(AND($C425=2,CV425&lt;$DJ$1),(VLOOKUP($D425,HORAS!$B$4:$C$42,2,FALSE)*24)*$CV425,IF(AND($C425=2,CV425&gt;=$DJ$1),VLOOKUP($D425,HORAS!$B$4:$D$42,3,FALSE),IF(AND($C425=3,$CV425&gt;=$DJ$1),VLOOKUP($A425,FIJOS!$B$11:$P$545,10,FALSE),IF(AND($C425=3,$CV425&lt;$DJ$1),((VLOOKUP($A425,FIJOS!$B$11:$P$545,10,FALSE)/48)*24)*$CV425,IF(AND($C425=4,$CV425&gt;=(42/24)),VLOOKUP($D425,HORAS!$B$4:$D$42,3,FALSE),IF(AND($C425=5,$CV425&gt;=(36/24)),VLOOKUP($D425,HORAS!$B$4:$D$42,3,FALSE))))))))</f>
        <v>0</v>
      </c>
      <c r="DJ425" s="145">
        <f>IF(OR($C425=2),VLOOKUP($D425,HORAS!$B$4:$E$42,4,FALSE)*$EC425,IF(ISERROR(VLOOKUP($A425,FIJOS!$B$11:$P$108,9,FALSE)),0,VLOOKUP($A425,FIJOS!$B$11:$P$231,9,FALSE)*$EC425))</f>
        <v>0</v>
      </c>
      <c r="DK425" s="145">
        <f>IF(OR($C425=2),VLOOKUP($D425,HORAS!$B$4:$F$42,5,FALSE)*$EE425,IF(ISERROR(VLOOKUP($A425,FIJOS!$B$11:$P$108,9,FALSE)),0,VLOOKUP($A425,FIJOS!$B$11:$P$231,9,FALSE)*$EE425))</f>
        <v>0</v>
      </c>
      <c r="DL425" s="144"/>
      <c r="DM425" s="145">
        <f>IF(ISERROR(VLOOKUP($A425,FIJOS!$B$11:$L$646,11,FALSE)),0,VLOOKUP($A425,FIJOS!$B$11:$L$646,11,FALSE))</f>
        <v>0</v>
      </c>
      <c r="DN425" s="148" t="e">
        <f>IF(OR($C425=1,$C425=3),0,IF((VLOOKUP(CAPTURA!D425,HORAS!$B$4:$K$42,10,FALSE)/4)*COUNTIF($H425:$CT425,3)&gt;100,100,(VLOOKUP(CAPTURA!D425,HORAS!$B$4:$K$42,10,FALSE)/4)*COUNTIF($H425:$CT425,3)))</f>
        <v>#N/A</v>
      </c>
      <c r="DO425" s="144" t="e">
        <f>IF(OR($C425=1,$C425=3),0,IF($C425=5,VLOOKUP(D425,HORAS!$B$4:$G$42,6,FALSE),IF(AND($C425=4,$CV425&gt;=(42/24)),VLOOKUP(D425,HORAS!$B$4:$G$42,6,FALSE),IF(COUNTIF($H425:$CL425,"F")&gt;0,0,IF(CV425&gt;$DJ$1,$DJ$1*(VLOOKUP(D425,HORAS!$B$4:$G$42,6,FALSE)/$DJ$1),CV425*(VLOOKUP(D425,HORAS!$B$4:$G$42,6,FALSE)/$DJ$1))))))</f>
        <v>#N/A</v>
      </c>
      <c r="DP425" s="156"/>
      <c r="DQ425" s="148"/>
      <c r="DR425" s="148"/>
      <c r="DS425" s="83" t="e">
        <f t="shared" si="162"/>
        <v>#N/A</v>
      </c>
      <c r="DT425" s="84"/>
      <c r="DU425" s="149" t="e">
        <f t="shared" si="243"/>
        <v>#N/A</v>
      </c>
      <c r="DV425" s="149" t="e">
        <f t="shared" si="244"/>
        <v>#N/A</v>
      </c>
      <c r="DW425" s="144" t="e">
        <f t="shared" si="245"/>
        <v>#N/A</v>
      </c>
      <c r="DX425" s="168"/>
      <c r="DY425" s="29"/>
      <c r="DZ425" s="150"/>
      <c r="EA425" s="134"/>
      <c r="EB425" s="137">
        <f t="shared" si="246"/>
        <v>0</v>
      </c>
      <c r="EC425" s="138">
        <f t="shared" si="247"/>
        <v>0</v>
      </c>
      <c r="ED425" s="137">
        <f t="shared" si="248"/>
        <v>0</v>
      </c>
      <c r="EE425" s="132">
        <f t="shared" si="249"/>
        <v>0</v>
      </c>
      <c r="EF425" s="29"/>
      <c r="EG425" s="134"/>
      <c r="EH425" s="134"/>
      <c r="EI425" s="134"/>
      <c r="EK425" s="29"/>
    </row>
    <row r="426" spans="1:141" ht="15" customHeight="1" x14ac:dyDescent="0.25">
      <c r="A426" s="87"/>
      <c r="B426" s="5"/>
      <c r="C426" s="72"/>
      <c r="D426" s="73"/>
      <c r="E426" s="73"/>
      <c r="F426" s="141"/>
      <c r="G426" s="74"/>
      <c r="H426" s="75"/>
      <c r="I426" s="76"/>
      <c r="J426" s="135"/>
      <c r="K426" s="135"/>
      <c r="L426" s="77">
        <f t="shared" si="138"/>
        <v>0</v>
      </c>
      <c r="M426" s="78"/>
      <c r="N426" s="142"/>
      <c r="O426" s="142"/>
      <c r="P426" s="77">
        <f t="shared" si="139"/>
        <v>0</v>
      </c>
      <c r="Q426" s="78"/>
      <c r="R426" s="143"/>
      <c r="S426" s="143"/>
      <c r="T426" s="77">
        <f t="shared" si="140"/>
        <v>0</v>
      </c>
      <c r="U426" s="75"/>
      <c r="V426" s="76"/>
      <c r="W426" s="135"/>
      <c r="X426" s="135"/>
      <c r="Y426" s="77">
        <f t="shared" si="141"/>
        <v>0</v>
      </c>
      <c r="Z426" s="78"/>
      <c r="AA426" s="142"/>
      <c r="AB426" s="142"/>
      <c r="AC426" s="77">
        <f t="shared" si="142"/>
        <v>0</v>
      </c>
      <c r="AD426" s="78"/>
      <c r="AE426" s="143"/>
      <c r="AF426" s="143"/>
      <c r="AG426" s="79">
        <f t="shared" si="143"/>
        <v>0</v>
      </c>
      <c r="AH426" s="75"/>
      <c r="AI426" s="76"/>
      <c r="AJ426" s="135"/>
      <c r="AK426" s="135"/>
      <c r="AL426" s="77">
        <f t="shared" si="144"/>
        <v>0</v>
      </c>
      <c r="AM426" s="76"/>
      <c r="AN426" s="142"/>
      <c r="AO426" s="142"/>
      <c r="AP426" s="77">
        <f t="shared" si="145"/>
        <v>0</v>
      </c>
      <c r="AQ426" s="78"/>
      <c r="AR426" s="142"/>
      <c r="AS426" s="142"/>
      <c r="AT426" s="79">
        <f t="shared" si="146"/>
        <v>0</v>
      </c>
      <c r="AU426" s="75"/>
      <c r="AV426" s="76"/>
      <c r="AW426" s="135"/>
      <c r="AX426" s="135"/>
      <c r="AY426" s="77">
        <f t="shared" si="147"/>
        <v>0</v>
      </c>
      <c r="AZ426" s="76"/>
      <c r="BA426" s="142"/>
      <c r="BB426" s="142"/>
      <c r="BC426" s="77">
        <f t="shared" si="148"/>
        <v>0</v>
      </c>
      <c r="BD426" s="78"/>
      <c r="BE426" s="142"/>
      <c r="BF426" s="142"/>
      <c r="BG426" s="79">
        <f t="shared" si="149"/>
        <v>0</v>
      </c>
      <c r="BH426" s="75"/>
      <c r="BI426" s="76"/>
      <c r="BJ426" s="135"/>
      <c r="BK426" s="135"/>
      <c r="BL426" s="77">
        <f t="shared" si="150"/>
        <v>0</v>
      </c>
      <c r="BM426" s="78"/>
      <c r="BN426" s="142"/>
      <c r="BO426" s="142"/>
      <c r="BP426" s="77">
        <f t="shared" si="151"/>
        <v>0</v>
      </c>
      <c r="BQ426" s="78"/>
      <c r="BR426" s="142"/>
      <c r="BS426" s="142"/>
      <c r="BT426" s="79">
        <f t="shared" si="152"/>
        <v>0</v>
      </c>
      <c r="BU426" s="75"/>
      <c r="BV426" s="76"/>
      <c r="BW426" s="135"/>
      <c r="BX426" s="135"/>
      <c r="BY426" s="77">
        <f t="shared" si="153"/>
        <v>0</v>
      </c>
      <c r="BZ426" s="78"/>
      <c r="CA426" s="142"/>
      <c r="CB426" s="142"/>
      <c r="CC426" s="77">
        <f t="shared" si="154"/>
        <v>0</v>
      </c>
      <c r="CD426" s="78"/>
      <c r="CE426" s="142"/>
      <c r="CF426" s="142"/>
      <c r="CG426" s="79">
        <f t="shared" si="155"/>
        <v>0</v>
      </c>
      <c r="CH426" s="75"/>
      <c r="CI426" s="76"/>
      <c r="CJ426" s="86"/>
      <c r="CK426" s="86"/>
      <c r="CL426" s="77">
        <f t="shared" si="156"/>
        <v>0</v>
      </c>
      <c r="CM426" s="78"/>
      <c r="CN426" s="85"/>
      <c r="CO426" s="85"/>
      <c r="CP426" s="77">
        <f t="shared" si="157"/>
        <v>0</v>
      </c>
      <c r="CQ426" s="78"/>
      <c r="CR426" s="85"/>
      <c r="CS426" s="85"/>
      <c r="CT426" s="79">
        <f t="shared" si="158"/>
        <v>0</v>
      </c>
      <c r="CU426" s="80">
        <f t="shared" si="168"/>
        <v>0</v>
      </c>
      <c r="CV426" s="81">
        <f t="shared" si="169"/>
        <v>0</v>
      </c>
      <c r="CW426" s="144"/>
      <c r="CX426" s="145">
        <f>IF(ISERROR(VLOOKUP($A426,FIJOS!$B$11:$O$590,14,FALSE)),0,VLOOKUP($A426,FIJOS!$B$11:$O$590,14,FALSE))</f>
        <v>0</v>
      </c>
      <c r="CY426" s="145">
        <f>IF(ISERROR(VLOOKUP(A426,FIJOS!$B$10:$P$590,15,FALSE)),0,VLOOKUP(A426,FIJOS!$B$10:$P$590,15,FALSE))</f>
        <v>0</v>
      </c>
      <c r="CZ426" s="155"/>
      <c r="DA426" s="147"/>
      <c r="DB426" s="147"/>
      <c r="DC426" s="147"/>
      <c r="DD426" s="147"/>
      <c r="DE426" s="147"/>
      <c r="DF426" s="145">
        <f>IF(ISERROR(VLOOKUP($A426,FIJOS!$B$11:$N$590,13,FALSE)),0,VLOOKUP($A426,FIJOS!$B$11:$N$590,13,FALSE))</f>
        <v>0</v>
      </c>
      <c r="DG426" s="145">
        <f>IF(ISERROR(VLOOKUP($A426,FIJOS!$B$11:$P$447,12,FALSE)),0,VLOOKUP($A426,FIJOS!$B$11:$P$447,12,FALSE))</f>
        <v>0</v>
      </c>
      <c r="DH426" s="82">
        <f t="shared" si="242"/>
        <v>0</v>
      </c>
      <c r="DI426" s="83" t="b">
        <f>IF($C426=1,(VLOOKUP($A426,FIJOS!$B$11:$P$545,10,FALSE)/7)*(7-$CU426),IF(AND($C426=2,CV426&lt;$DJ$1),(VLOOKUP($D426,HORAS!$B$4:$C$42,2,FALSE)*24)*$CV426,IF(AND($C426=2,CV426&gt;=$DJ$1),VLOOKUP($D426,HORAS!$B$4:$D$42,3,FALSE),IF(AND($C426=3,$CV426&gt;=$DJ$1),VLOOKUP($A426,FIJOS!$B$11:$P$545,10,FALSE),IF(AND($C426=3,$CV426&lt;$DJ$1),((VLOOKUP($A426,FIJOS!$B$11:$P$545,10,FALSE)/48)*24)*$CV426,IF(AND($C426=4,$CV426&gt;=(42/24)),VLOOKUP($D426,HORAS!$B$4:$D$42,3,FALSE),IF(AND($C426=5,$CV426&gt;=(36/24)),VLOOKUP($D426,HORAS!$B$4:$D$42,3,FALSE))))))))</f>
        <v>0</v>
      </c>
      <c r="DJ426" s="145">
        <f>IF(OR($C426=2),VLOOKUP($D426,HORAS!$B$4:$E$42,4,FALSE)*$EC426,IF(ISERROR(VLOOKUP($A426,FIJOS!$B$11:$P$108,9,FALSE)),0,VLOOKUP($A426,FIJOS!$B$11:$P$231,9,FALSE)*$EC426))</f>
        <v>0</v>
      </c>
      <c r="DK426" s="145">
        <f>IF(OR($C426=2),VLOOKUP($D426,HORAS!$B$4:$F$42,5,FALSE)*$EE426,IF(ISERROR(VLOOKUP($A426,FIJOS!$B$11:$P$108,9,FALSE)),0,VLOOKUP($A426,FIJOS!$B$11:$P$231,9,FALSE)*$EE426))</f>
        <v>0</v>
      </c>
      <c r="DL426" s="144"/>
      <c r="DM426" s="145">
        <f>IF(ISERROR(VLOOKUP($A426,FIJOS!$B$11:$L$646,11,FALSE)),0,VLOOKUP($A426,FIJOS!$B$11:$L$646,11,FALSE))</f>
        <v>0</v>
      </c>
      <c r="DN426" s="148" t="e">
        <f>IF(OR($C426=1,$C426=3),0,IF((VLOOKUP(CAPTURA!D426,HORAS!$B$4:$K$42,10,FALSE)/4)*COUNTIF($H426:$CT426,3)&gt;100,100,(VLOOKUP(CAPTURA!D426,HORAS!$B$4:$K$42,10,FALSE)/4)*COUNTIF($H426:$CT426,3)))</f>
        <v>#N/A</v>
      </c>
      <c r="DO426" s="144" t="e">
        <f>IF(OR($C426=1,$C426=3),0,IF($C426=5,VLOOKUP(D426,HORAS!$B$4:$G$42,6,FALSE),IF(AND($C426=4,$CV426&gt;=(42/24)),VLOOKUP(D426,HORAS!$B$4:$G$42,6,FALSE),IF(COUNTIF($H426:$CL426,"F")&gt;0,0,IF(CV426&gt;$DJ$1,$DJ$1*(VLOOKUP(D426,HORAS!$B$4:$G$42,6,FALSE)/$DJ$1),CV426*(VLOOKUP(D426,HORAS!$B$4:$G$42,6,FALSE)/$DJ$1))))))</f>
        <v>#N/A</v>
      </c>
      <c r="DP426" s="156"/>
      <c r="DQ426" s="148"/>
      <c r="DR426" s="148"/>
      <c r="DS426" s="83" t="e">
        <f t="shared" si="162"/>
        <v>#N/A</v>
      </c>
      <c r="DT426" s="84"/>
      <c r="DU426" s="149" t="e">
        <f t="shared" si="243"/>
        <v>#N/A</v>
      </c>
      <c r="DV426" s="149" t="e">
        <f t="shared" si="244"/>
        <v>#N/A</v>
      </c>
      <c r="DW426" s="144" t="e">
        <f t="shared" si="245"/>
        <v>#N/A</v>
      </c>
      <c r="DX426" s="168"/>
      <c r="DY426" s="29"/>
      <c r="DZ426" s="150"/>
      <c r="EA426" s="134"/>
      <c r="EB426" s="137">
        <f t="shared" si="246"/>
        <v>0</v>
      </c>
      <c r="EC426" s="138">
        <f t="shared" si="247"/>
        <v>0</v>
      </c>
      <c r="ED426" s="137">
        <f t="shared" si="248"/>
        <v>0</v>
      </c>
      <c r="EE426" s="132">
        <f t="shared" si="249"/>
        <v>0</v>
      </c>
      <c r="EF426" s="29"/>
      <c r="EG426" s="134"/>
      <c r="EH426" s="134"/>
      <c r="EI426" s="134"/>
      <c r="EK426" s="29"/>
    </row>
    <row r="427" spans="1:141" ht="15" customHeight="1" x14ac:dyDescent="0.25">
      <c r="A427" s="87"/>
      <c r="B427" s="5"/>
      <c r="C427" s="72"/>
      <c r="D427" s="73"/>
      <c r="E427" s="73"/>
      <c r="F427" s="141"/>
      <c r="G427" s="74"/>
      <c r="H427" s="75"/>
      <c r="I427" s="76"/>
      <c r="J427" s="135"/>
      <c r="K427" s="135"/>
      <c r="L427" s="77">
        <f t="shared" si="138"/>
        <v>0</v>
      </c>
      <c r="M427" s="78"/>
      <c r="N427" s="142"/>
      <c r="O427" s="142"/>
      <c r="P427" s="77">
        <f t="shared" si="139"/>
        <v>0</v>
      </c>
      <c r="Q427" s="78"/>
      <c r="R427" s="143"/>
      <c r="S427" s="143"/>
      <c r="T427" s="77">
        <f t="shared" si="140"/>
        <v>0</v>
      </c>
      <c r="U427" s="75"/>
      <c r="V427" s="76"/>
      <c r="W427" s="135"/>
      <c r="X427" s="135"/>
      <c r="Y427" s="77">
        <f t="shared" si="141"/>
        <v>0</v>
      </c>
      <c r="Z427" s="78"/>
      <c r="AA427" s="142"/>
      <c r="AB427" s="142"/>
      <c r="AC427" s="77">
        <f t="shared" si="142"/>
        <v>0</v>
      </c>
      <c r="AD427" s="78"/>
      <c r="AE427" s="143"/>
      <c r="AF427" s="143"/>
      <c r="AG427" s="79">
        <f t="shared" si="143"/>
        <v>0</v>
      </c>
      <c r="AH427" s="75"/>
      <c r="AI427" s="76"/>
      <c r="AJ427" s="135"/>
      <c r="AK427" s="135"/>
      <c r="AL427" s="77">
        <f t="shared" si="144"/>
        <v>0</v>
      </c>
      <c r="AM427" s="76"/>
      <c r="AN427" s="142"/>
      <c r="AO427" s="142"/>
      <c r="AP427" s="77">
        <f t="shared" si="145"/>
        <v>0</v>
      </c>
      <c r="AQ427" s="78"/>
      <c r="AR427" s="142"/>
      <c r="AS427" s="142"/>
      <c r="AT427" s="79">
        <f t="shared" si="146"/>
        <v>0</v>
      </c>
      <c r="AU427" s="75"/>
      <c r="AV427" s="76"/>
      <c r="AW427" s="135"/>
      <c r="AX427" s="135"/>
      <c r="AY427" s="77">
        <f t="shared" si="147"/>
        <v>0</v>
      </c>
      <c r="AZ427" s="76"/>
      <c r="BA427" s="142"/>
      <c r="BB427" s="142"/>
      <c r="BC427" s="77">
        <f t="shared" si="148"/>
        <v>0</v>
      </c>
      <c r="BD427" s="78"/>
      <c r="BE427" s="142"/>
      <c r="BF427" s="142"/>
      <c r="BG427" s="79">
        <f t="shared" si="149"/>
        <v>0</v>
      </c>
      <c r="BH427" s="75"/>
      <c r="BI427" s="76"/>
      <c r="BJ427" s="135"/>
      <c r="BK427" s="135"/>
      <c r="BL427" s="77">
        <f t="shared" si="150"/>
        <v>0</v>
      </c>
      <c r="BM427" s="78"/>
      <c r="BN427" s="142"/>
      <c r="BO427" s="142"/>
      <c r="BP427" s="77">
        <f t="shared" si="151"/>
        <v>0</v>
      </c>
      <c r="BQ427" s="78"/>
      <c r="BR427" s="142"/>
      <c r="BS427" s="142"/>
      <c r="BT427" s="79">
        <f t="shared" si="152"/>
        <v>0</v>
      </c>
      <c r="BU427" s="75"/>
      <c r="BV427" s="76"/>
      <c r="BW427" s="135"/>
      <c r="BX427" s="135"/>
      <c r="BY427" s="77">
        <f t="shared" si="153"/>
        <v>0</v>
      </c>
      <c r="BZ427" s="78"/>
      <c r="CA427" s="142"/>
      <c r="CB427" s="142"/>
      <c r="CC427" s="77">
        <f t="shared" si="154"/>
        <v>0</v>
      </c>
      <c r="CD427" s="78"/>
      <c r="CE427" s="142"/>
      <c r="CF427" s="142"/>
      <c r="CG427" s="79">
        <f t="shared" si="155"/>
        <v>0</v>
      </c>
      <c r="CH427" s="75"/>
      <c r="CI427" s="76"/>
      <c r="CJ427" s="86"/>
      <c r="CK427" s="86"/>
      <c r="CL427" s="77">
        <f t="shared" si="156"/>
        <v>0</v>
      </c>
      <c r="CM427" s="78"/>
      <c r="CN427" s="85"/>
      <c r="CO427" s="85"/>
      <c r="CP427" s="77">
        <f t="shared" si="157"/>
        <v>0</v>
      </c>
      <c r="CQ427" s="78"/>
      <c r="CR427" s="85"/>
      <c r="CS427" s="85"/>
      <c r="CT427" s="79">
        <f t="shared" si="158"/>
        <v>0</v>
      </c>
      <c r="CU427" s="80">
        <f t="shared" si="168"/>
        <v>0</v>
      </c>
      <c r="CV427" s="81">
        <f t="shared" si="169"/>
        <v>0</v>
      </c>
      <c r="CW427" s="144"/>
      <c r="CX427" s="145">
        <f>IF(ISERROR(VLOOKUP($A427,FIJOS!$B$11:$O$590,14,FALSE)),0,VLOOKUP($A427,FIJOS!$B$11:$O$590,14,FALSE))</f>
        <v>0</v>
      </c>
      <c r="CY427" s="145">
        <f>IF(ISERROR(VLOOKUP(A427,FIJOS!$B$10:$P$590,15,FALSE)),0,VLOOKUP(A427,FIJOS!$B$10:$P$590,15,FALSE))</f>
        <v>0</v>
      </c>
      <c r="CZ427" s="155"/>
      <c r="DA427" s="147"/>
      <c r="DB427" s="147"/>
      <c r="DC427" s="147"/>
      <c r="DD427" s="147"/>
      <c r="DE427" s="147"/>
      <c r="DF427" s="145">
        <f>IF(ISERROR(VLOOKUP($A427,FIJOS!$B$11:$N$590,13,FALSE)),0,VLOOKUP($A427,FIJOS!$B$11:$N$590,13,FALSE))</f>
        <v>0</v>
      </c>
      <c r="DG427" s="145">
        <f>IF(ISERROR(VLOOKUP($A427,FIJOS!$B$11:$P$447,12,FALSE)),0,VLOOKUP($A427,FIJOS!$B$11:$P$447,12,FALSE))</f>
        <v>0</v>
      </c>
      <c r="DH427" s="82">
        <f t="shared" si="242"/>
        <v>0</v>
      </c>
      <c r="DI427" s="83" t="b">
        <f>IF($C427=1,(VLOOKUP($A427,FIJOS!$B$11:$P$545,10,FALSE)/7)*(7-$CU427),IF(AND($C427=2,CV427&lt;$DJ$1),(VLOOKUP($D427,HORAS!$B$4:$C$42,2,FALSE)*24)*$CV427,IF(AND($C427=2,CV427&gt;=$DJ$1),VLOOKUP($D427,HORAS!$B$4:$D$42,3,FALSE),IF(AND($C427=3,$CV427&gt;=$DJ$1),VLOOKUP($A427,FIJOS!$B$11:$P$545,10,FALSE),IF(AND($C427=3,$CV427&lt;$DJ$1),((VLOOKUP($A427,FIJOS!$B$11:$P$545,10,FALSE)/48)*24)*$CV427,IF(AND($C427=4,$CV427&gt;=(42/24)),VLOOKUP($D427,HORAS!$B$4:$D$42,3,FALSE),IF(AND($C427=5,$CV427&gt;=(36/24)),VLOOKUP($D427,HORAS!$B$4:$D$42,3,FALSE))))))))</f>
        <v>0</v>
      </c>
      <c r="DJ427" s="145">
        <f>IF(OR($C427=2),VLOOKUP($D427,HORAS!$B$4:$E$42,4,FALSE)*$EC427,IF(ISERROR(VLOOKUP($A427,FIJOS!$B$11:$P$108,9,FALSE)),0,VLOOKUP($A427,FIJOS!$B$11:$P$231,9,FALSE)*$EC427))</f>
        <v>0</v>
      </c>
      <c r="DK427" s="145">
        <f>IF(OR($C427=2),VLOOKUP($D427,HORAS!$B$4:$F$42,5,FALSE)*$EE427,IF(ISERROR(VLOOKUP($A427,FIJOS!$B$11:$P$108,9,FALSE)),0,VLOOKUP($A427,FIJOS!$B$11:$P$231,9,FALSE)*$EE427))</f>
        <v>0</v>
      </c>
      <c r="DL427" s="144"/>
      <c r="DM427" s="145">
        <f>IF(ISERROR(VLOOKUP($A427,FIJOS!$B$11:$L$646,11,FALSE)),0,VLOOKUP($A427,FIJOS!$B$11:$L$646,11,FALSE))</f>
        <v>0</v>
      </c>
      <c r="DN427" s="148" t="e">
        <f>IF(OR($C427=1,$C427=3),0,IF((VLOOKUP(CAPTURA!D427,HORAS!$B$4:$K$42,10,FALSE)/4)*COUNTIF($H427:$CT427,3)&gt;100,100,(VLOOKUP(CAPTURA!D427,HORAS!$B$4:$K$42,10,FALSE)/4)*COUNTIF($H427:$CT427,3)))</f>
        <v>#N/A</v>
      </c>
      <c r="DO427" s="144" t="e">
        <f>IF(OR($C427=1,$C427=3),0,IF($C427=5,VLOOKUP(D427,HORAS!$B$4:$G$42,6,FALSE),IF(AND($C427=4,$CV427&gt;=(42/24)),VLOOKUP(D427,HORAS!$B$4:$G$42,6,FALSE),IF(COUNTIF($H427:$CL427,"F")&gt;0,0,IF(CV427&gt;$DJ$1,$DJ$1*(VLOOKUP(D427,HORAS!$B$4:$G$42,6,FALSE)/$DJ$1),CV427*(VLOOKUP(D427,HORAS!$B$4:$G$42,6,FALSE)/$DJ$1))))))</f>
        <v>#N/A</v>
      </c>
      <c r="DP427" s="156"/>
      <c r="DQ427" s="148"/>
      <c r="DR427" s="148"/>
      <c r="DS427" s="83" t="e">
        <f t="shared" si="162"/>
        <v>#N/A</v>
      </c>
      <c r="DT427" s="84"/>
      <c r="DU427" s="149" t="e">
        <f t="shared" si="243"/>
        <v>#N/A</v>
      </c>
      <c r="DV427" s="149" t="e">
        <f t="shared" si="244"/>
        <v>#N/A</v>
      </c>
      <c r="DW427" s="144" t="e">
        <f t="shared" si="245"/>
        <v>#N/A</v>
      </c>
      <c r="DX427" s="168"/>
      <c r="DY427" s="29"/>
      <c r="DZ427" s="150"/>
      <c r="EA427" s="134"/>
      <c r="EB427" s="137">
        <f t="shared" si="246"/>
        <v>0</v>
      </c>
      <c r="EC427" s="138">
        <f t="shared" si="247"/>
        <v>0</v>
      </c>
      <c r="ED427" s="137">
        <f t="shared" si="248"/>
        <v>0</v>
      </c>
      <c r="EE427" s="132">
        <f t="shared" si="249"/>
        <v>0</v>
      </c>
      <c r="EF427" s="29"/>
      <c r="EG427" s="134"/>
      <c r="EH427" s="134"/>
      <c r="EI427" s="134"/>
      <c r="EK427" s="29"/>
    </row>
    <row r="428" spans="1:141" ht="15" customHeight="1" x14ac:dyDescent="0.25">
      <c r="A428" s="87"/>
      <c r="B428" s="5"/>
      <c r="C428" s="72"/>
      <c r="D428" s="73"/>
      <c r="E428" s="73"/>
      <c r="F428" s="141"/>
      <c r="G428" s="74"/>
      <c r="H428" s="75"/>
      <c r="I428" s="76"/>
      <c r="J428" s="135"/>
      <c r="K428" s="135"/>
      <c r="L428" s="77">
        <f t="shared" si="138"/>
        <v>0</v>
      </c>
      <c r="M428" s="78"/>
      <c r="N428" s="142"/>
      <c r="O428" s="142"/>
      <c r="P428" s="77">
        <f t="shared" si="139"/>
        <v>0</v>
      </c>
      <c r="Q428" s="78"/>
      <c r="R428" s="143"/>
      <c r="S428" s="143"/>
      <c r="T428" s="77">
        <f t="shared" si="140"/>
        <v>0</v>
      </c>
      <c r="U428" s="75"/>
      <c r="V428" s="76"/>
      <c r="W428" s="135"/>
      <c r="X428" s="135"/>
      <c r="Y428" s="77">
        <f t="shared" si="141"/>
        <v>0</v>
      </c>
      <c r="Z428" s="78"/>
      <c r="AA428" s="142"/>
      <c r="AB428" s="142"/>
      <c r="AC428" s="77">
        <f t="shared" si="142"/>
        <v>0</v>
      </c>
      <c r="AD428" s="78"/>
      <c r="AE428" s="143"/>
      <c r="AF428" s="143"/>
      <c r="AG428" s="79">
        <f t="shared" si="143"/>
        <v>0</v>
      </c>
      <c r="AH428" s="75"/>
      <c r="AI428" s="76"/>
      <c r="AJ428" s="135"/>
      <c r="AK428" s="135"/>
      <c r="AL428" s="77">
        <f t="shared" si="144"/>
        <v>0</v>
      </c>
      <c r="AM428" s="76"/>
      <c r="AN428" s="142"/>
      <c r="AO428" s="142"/>
      <c r="AP428" s="77">
        <f t="shared" si="145"/>
        <v>0</v>
      </c>
      <c r="AQ428" s="78"/>
      <c r="AR428" s="142"/>
      <c r="AS428" s="142"/>
      <c r="AT428" s="79">
        <f t="shared" si="146"/>
        <v>0</v>
      </c>
      <c r="AU428" s="75"/>
      <c r="AV428" s="76"/>
      <c r="AW428" s="135"/>
      <c r="AX428" s="135"/>
      <c r="AY428" s="77">
        <f t="shared" si="147"/>
        <v>0</v>
      </c>
      <c r="AZ428" s="76"/>
      <c r="BA428" s="142"/>
      <c r="BB428" s="142"/>
      <c r="BC428" s="77">
        <f t="shared" si="148"/>
        <v>0</v>
      </c>
      <c r="BD428" s="78"/>
      <c r="BE428" s="142"/>
      <c r="BF428" s="142"/>
      <c r="BG428" s="79">
        <f t="shared" si="149"/>
        <v>0</v>
      </c>
      <c r="BH428" s="75"/>
      <c r="BI428" s="76"/>
      <c r="BJ428" s="135"/>
      <c r="BK428" s="135"/>
      <c r="BL428" s="77">
        <f t="shared" si="150"/>
        <v>0</v>
      </c>
      <c r="BM428" s="78"/>
      <c r="BN428" s="142"/>
      <c r="BO428" s="142"/>
      <c r="BP428" s="77">
        <f t="shared" si="151"/>
        <v>0</v>
      </c>
      <c r="BQ428" s="78"/>
      <c r="BR428" s="142"/>
      <c r="BS428" s="142"/>
      <c r="BT428" s="79">
        <f t="shared" si="152"/>
        <v>0</v>
      </c>
      <c r="BU428" s="75"/>
      <c r="BV428" s="76"/>
      <c r="BW428" s="135"/>
      <c r="BX428" s="135"/>
      <c r="BY428" s="77">
        <f t="shared" si="153"/>
        <v>0</v>
      </c>
      <c r="BZ428" s="78"/>
      <c r="CA428" s="142"/>
      <c r="CB428" s="142"/>
      <c r="CC428" s="77">
        <f t="shared" si="154"/>
        <v>0</v>
      </c>
      <c r="CD428" s="78"/>
      <c r="CE428" s="142"/>
      <c r="CF428" s="142"/>
      <c r="CG428" s="79">
        <f t="shared" si="155"/>
        <v>0</v>
      </c>
      <c r="CH428" s="75"/>
      <c r="CI428" s="76"/>
      <c r="CJ428" s="86"/>
      <c r="CK428" s="86"/>
      <c r="CL428" s="77">
        <f t="shared" si="156"/>
        <v>0</v>
      </c>
      <c r="CM428" s="78"/>
      <c r="CN428" s="85"/>
      <c r="CO428" s="85"/>
      <c r="CP428" s="77">
        <f t="shared" si="157"/>
        <v>0</v>
      </c>
      <c r="CQ428" s="78"/>
      <c r="CR428" s="85"/>
      <c r="CS428" s="85"/>
      <c r="CT428" s="79">
        <f t="shared" si="158"/>
        <v>0</v>
      </c>
      <c r="CU428" s="80">
        <f t="shared" si="168"/>
        <v>0</v>
      </c>
      <c r="CV428" s="81">
        <f t="shared" si="169"/>
        <v>0</v>
      </c>
      <c r="CW428" s="144"/>
      <c r="CX428" s="145">
        <f>IF(ISERROR(VLOOKUP($A428,FIJOS!$B$11:$O$590,14,FALSE)),0,VLOOKUP($A428,FIJOS!$B$11:$O$590,14,FALSE))</f>
        <v>0</v>
      </c>
      <c r="CY428" s="145">
        <f>IF(ISERROR(VLOOKUP(A428,FIJOS!$B$10:$P$590,15,FALSE)),0,VLOOKUP(A428,FIJOS!$B$10:$P$590,15,FALSE))</f>
        <v>0</v>
      </c>
      <c r="CZ428" s="155"/>
      <c r="DA428" s="147"/>
      <c r="DB428" s="147"/>
      <c r="DC428" s="147"/>
      <c r="DD428" s="147"/>
      <c r="DE428" s="147"/>
      <c r="DF428" s="145">
        <f>IF(ISERROR(VLOOKUP($A428,FIJOS!$B$11:$N$590,13,FALSE)),0,VLOOKUP($A428,FIJOS!$B$11:$N$590,13,FALSE))</f>
        <v>0</v>
      </c>
      <c r="DG428" s="145">
        <f>IF(ISERROR(VLOOKUP($A428,FIJOS!$B$11:$P$447,12,FALSE)),0,VLOOKUP($A428,FIJOS!$B$11:$P$447,12,FALSE))</f>
        <v>0</v>
      </c>
      <c r="DH428" s="82">
        <f t="shared" si="242"/>
        <v>0</v>
      </c>
      <c r="DI428" s="83" t="b">
        <f>IF($C428=1,(VLOOKUP($A428,FIJOS!$B$11:$P$545,10,FALSE)/7)*(7-$CU428),IF(AND($C428=2,CV428&lt;$DJ$1),(VLOOKUP($D428,HORAS!$B$4:$C$42,2,FALSE)*24)*$CV428,IF(AND($C428=2,CV428&gt;=$DJ$1),VLOOKUP($D428,HORAS!$B$4:$D$42,3,FALSE),IF(AND($C428=3,$CV428&gt;=$DJ$1),VLOOKUP($A428,FIJOS!$B$11:$P$545,10,FALSE),IF(AND($C428=3,$CV428&lt;$DJ$1),((VLOOKUP($A428,FIJOS!$B$11:$P$545,10,FALSE)/48)*24)*$CV428,IF(AND($C428=4,$CV428&gt;=(42/24)),VLOOKUP($D428,HORAS!$B$4:$D$42,3,FALSE),IF(AND($C428=5,$CV428&gt;=(36/24)),VLOOKUP($D428,HORAS!$B$4:$D$42,3,FALSE))))))))</f>
        <v>0</v>
      </c>
      <c r="DJ428" s="145">
        <f>IF(OR($C428=2),VLOOKUP($D428,HORAS!$B$4:$E$42,4,FALSE)*$EC428,IF(ISERROR(VLOOKUP($A428,FIJOS!$B$11:$P$108,9,FALSE)),0,VLOOKUP($A428,FIJOS!$B$11:$P$231,9,FALSE)*$EC428))</f>
        <v>0</v>
      </c>
      <c r="DK428" s="145">
        <f>IF(OR($C428=2),VLOOKUP($D428,HORAS!$B$4:$F$42,5,FALSE)*$EE428,IF(ISERROR(VLOOKUP($A428,FIJOS!$B$11:$P$108,9,FALSE)),0,VLOOKUP($A428,FIJOS!$B$11:$P$231,9,FALSE)*$EE428))</f>
        <v>0</v>
      </c>
      <c r="DL428" s="144"/>
      <c r="DM428" s="145">
        <f>IF(ISERROR(VLOOKUP($A428,FIJOS!$B$11:$L$646,11,FALSE)),0,VLOOKUP($A428,FIJOS!$B$11:$L$646,11,FALSE))</f>
        <v>0</v>
      </c>
      <c r="DN428" s="148" t="e">
        <f>IF(OR($C428=1,$C428=3),0,IF((VLOOKUP(CAPTURA!D428,HORAS!$B$4:$K$42,10,FALSE)/4)*COUNTIF($H428:$CT428,3)&gt;100,100,(VLOOKUP(CAPTURA!D428,HORAS!$B$4:$K$42,10,FALSE)/4)*COUNTIF($H428:$CT428,3)))</f>
        <v>#N/A</v>
      </c>
      <c r="DO428" s="144" t="e">
        <f>IF(OR($C428=1,$C428=3),0,IF($C428=5,VLOOKUP(D428,HORAS!$B$4:$G$42,6,FALSE),IF(AND($C428=4,$CV428&gt;=(42/24)),VLOOKUP(D428,HORAS!$B$4:$G$42,6,FALSE),IF(COUNTIF($H428:$CL428,"F")&gt;0,0,IF(CV428&gt;$DJ$1,$DJ$1*(VLOOKUP(D428,HORAS!$B$4:$G$42,6,FALSE)/$DJ$1),CV428*(VLOOKUP(D428,HORAS!$B$4:$G$42,6,FALSE)/$DJ$1))))))</f>
        <v>#N/A</v>
      </c>
      <c r="DP428" s="156"/>
      <c r="DQ428" s="148"/>
      <c r="DR428" s="148"/>
      <c r="DS428" s="83" t="e">
        <f t="shared" si="162"/>
        <v>#N/A</v>
      </c>
      <c r="DT428" s="84"/>
      <c r="DU428" s="149" t="e">
        <f t="shared" si="243"/>
        <v>#N/A</v>
      </c>
      <c r="DV428" s="149" t="e">
        <f t="shared" si="244"/>
        <v>#N/A</v>
      </c>
      <c r="DW428" s="144" t="e">
        <f t="shared" si="245"/>
        <v>#N/A</v>
      </c>
      <c r="DX428" s="168"/>
      <c r="DY428" s="29"/>
      <c r="DZ428" s="150"/>
      <c r="EA428" s="134"/>
      <c r="EB428" s="137">
        <f t="shared" si="246"/>
        <v>0</v>
      </c>
      <c r="EC428" s="138">
        <f t="shared" si="247"/>
        <v>0</v>
      </c>
      <c r="ED428" s="137">
        <f t="shared" si="248"/>
        <v>0</v>
      </c>
      <c r="EE428" s="132">
        <f t="shared" si="249"/>
        <v>0</v>
      </c>
      <c r="EF428" s="29"/>
      <c r="EG428" s="134"/>
      <c r="EH428" s="134"/>
      <c r="EI428" s="134"/>
      <c r="EK428" s="29"/>
    </row>
    <row r="429" spans="1:141" ht="15" customHeight="1" x14ac:dyDescent="0.25">
      <c r="A429" s="87"/>
      <c r="B429" s="5"/>
      <c r="C429" s="72"/>
      <c r="D429" s="73"/>
      <c r="E429" s="73"/>
      <c r="F429" s="141"/>
      <c r="G429" s="74"/>
      <c r="H429" s="75"/>
      <c r="I429" s="76"/>
      <c r="J429" s="135"/>
      <c r="K429" s="135"/>
      <c r="L429" s="77">
        <f t="shared" si="138"/>
        <v>0</v>
      </c>
      <c r="M429" s="78"/>
      <c r="N429" s="142"/>
      <c r="O429" s="142"/>
      <c r="P429" s="77">
        <f t="shared" si="139"/>
        <v>0</v>
      </c>
      <c r="Q429" s="78"/>
      <c r="R429" s="143"/>
      <c r="S429" s="143"/>
      <c r="T429" s="77">
        <f t="shared" si="140"/>
        <v>0</v>
      </c>
      <c r="U429" s="75"/>
      <c r="V429" s="76"/>
      <c r="W429" s="135"/>
      <c r="X429" s="135"/>
      <c r="Y429" s="77">
        <f t="shared" si="141"/>
        <v>0</v>
      </c>
      <c r="Z429" s="78"/>
      <c r="AA429" s="142"/>
      <c r="AB429" s="142"/>
      <c r="AC429" s="77">
        <f t="shared" si="142"/>
        <v>0</v>
      </c>
      <c r="AD429" s="78"/>
      <c r="AE429" s="143"/>
      <c r="AF429" s="143"/>
      <c r="AG429" s="79">
        <f t="shared" si="143"/>
        <v>0</v>
      </c>
      <c r="AH429" s="75"/>
      <c r="AI429" s="76"/>
      <c r="AJ429" s="135"/>
      <c r="AK429" s="135"/>
      <c r="AL429" s="77">
        <f t="shared" si="144"/>
        <v>0</v>
      </c>
      <c r="AM429" s="76"/>
      <c r="AN429" s="142"/>
      <c r="AO429" s="142"/>
      <c r="AP429" s="77">
        <f t="shared" si="145"/>
        <v>0</v>
      </c>
      <c r="AQ429" s="78"/>
      <c r="AR429" s="142"/>
      <c r="AS429" s="142"/>
      <c r="AT429" s="79">
        <f t="shared" si="146"/>
        <v>0</v>
      </c>
      <c r="AU429" s="75"/>
      <c r="AV429" s="76"/>
      <c r="AW429" s="135"/>
      <c r="AX429" s="135"/>
      <c r="AY429" s="77">
        <f t="shared" si="147"/>
        <v>0</v>
      </c>
      <c r="AZ429" s="76"/>
      <c r="BA429" s="142"/>
      <c r="BB429" s="142"/>
      <c r="BC429" s="77">
        <f t="shared" si="148"/>
        <v>0</v>
      </c>
      <c r="BD429" s="78"/>
      <c r="BE429" s="142"/>
      <c r="BF429" s="142"/>
      <c r="BG429" s="79">
        <f t="shared" si="149"/>
        <v>0</v>
      </c>
      <c r="BH429" s="75"/>
      <c r="BI429" s="76"/>
      <c r="BJ429" s="135"/>
      <c r="BK429" s="135"/>
      <c r="BL429" s="77">
        <f t="shared" si="150"/>
        <v>0</v>
      </c>
      <c r="BM429" s="78"/>
      <c r="BN429" s="142"/>
      <c r="BO429" s="142"/>
      <c r="BP429" s="77">
        <f t="shared" si="151"/>
        <v>0</v>
      </c>
      <c r="BQ429" s="78"/>
      <c r="BR429" s="142"/>
      <c r="BS429" s="142"/>
      <c r="BT429" s="79">
        <f t="shared" si="152"/>
        <v>0</v>
      </c>
      <c r="BU429" s="75"/>
      <c r="BV429" s="76"/>
      <c r="BW429" s="135"/>
      <c r="BX429" s="135"/>
      <c r="BY429" s="77">
        <f t="shared" si="153"/>
        <v>0</v>
      </c>
      <c r="BZ429" s="78"/>
      <c r="CA429" s="142"/>
      <c r="CB429" s="142"/>
      <c r="CC429" s="77">
        <f t="shared" si="154"/>
        <v>0</v>
      </c>
      <c r="CD429" s="78"/>
      <c r="CE429" s="142"/>
      <c r="CF429" s="142"/>
      <c r="CG429" s="79">
        <f t="shared" si="155"/>
        <v>0</v>
      </c>
      <c r="CH429" s="75"/>
      <c r="CI429" s="76"/>
      <c r="CJ429" s="86"/>
      <c r="CK429" s="86"/>
      <c r="CL429" s="77">
        <f t="shared" si="156"/>
        <v>0</v>
      </c>
      <c r="CM429" s="78"/>
      <c r="CN429" s="85"/>
      <c r="CO429" s="85"/>
      <c r="CP429" s="77">
        <f t="shared" si="157"/>
        <v>0</v>
      </c>
      <c r="CQ429" s="78"/>
      <c r="CR429" s="85"/>
      <c r="CS429" s="85"/>
      <c r="CT429" s="79">
        <f t="shared" si="158"/>
        <v>0</v>
      </c>
      <c r="CU429" s="80">
        <f t="shared" si="168"/>
        <v>0</v>
      </c>
      <c r="CV429" s="81">
        <f t="shared" si="169"/>
        <v>0</v>
      </c>
      <c r="CW429" s="144"/>
      <c r="CX429" s="145">
        <f>IF(ISERROR(VLOOKUP($A429,FIJOS!$B$11:$O$590,14,FALSE)),0,VLOOKUP($A429,FIJOS!$B$11:$O$590,14,FALSE))</f>
        <v>0</v>
      </c>
      <c r="CY429" s="145">
        <f>IF(ISERROR(VLOOKUP(A429,FIJOS!$B$10:$P$590,15,FALSE)),0,VLOOKUP(A429,FIJOS!$B$10:$P$590,15,FALSE))</f>
        <v>0</v>
      </c>
      <c r="CZ429" s="155"/>
      <c r="DA429" s="147"/>
      <c r="DB429" s="147"/>
      <c r="DC429" s="147"/>
      <c r="DD429" s="147"/>
      <c r="DE429" s="147"/>
      <c r="DF429" s="145">
        <f>IF(ISERROR(VLOOKUP($A429,FIJOS!$B$11:$N$590,13,FALSE)),0,VLOOKUP($A429,FIJOS!$B$11:$N$590,13,FALSE))</f>
        <v>0</v>
      </c>
      <c r="DG429" s="145">
        <f>IF(ISERROR(VLOOKUP($A429,FIJOS!$B$11:$P$447,12,FALSE)),0,VLOOKUP($A429,FIJOS!$B$11:$P$447,12,FALSE))</f>
        <v>0</v>
      </c>
      <c r="DH429" s="82">
        <f t="shared" si="242"/>
        <v>0</v>
      </c>
      <c r="DI429" s="83" t="b">
        <f>IF($C429=1,(VLOOKUP($A429,FIJOS!$B$11:$P$545,10,FALSE)/7)*(7-$CU429),IF(AND($C429=2,CV429&lt;$DJ$1),(VLOOKUP($D429,HORAS!$B$4:$C$42,2,FALSE)*24)*$CV429,IF(AND($C429=2,CV429&gt;=$DJ$1),VLOOKUP($D429,HORAS!$B$4:$D$42,3,FALSE),IF(AND($C429=3,$CV429&gt;=$DJ$1),VLOOKUP($A429,FIJOS!$B$11:$P$545,10,FALSE),IF(AND($C429=3,$CV429&lt;$DJ$1),((VLOOKUP($A429,FIJOS!$B$11:$P$545,10,FALSE)/48)*24)*$CV429,IF(AND($C429=4,$CV429&gt;=(42/24)),VLOOKUP($D429,HORAS!$B$4:$D$42,3,FALSE),IF(AND($C429=5,$CV429&gt;=(36/24)),VLOOKUP($D429,HORAS!$B$4:$D$42,3,FALSE))))))))</f>
        <v>0</v>
      </c>
      <c r="DJ429" s="145">
        <f>IF(OR($C429=2),VLOOKUP($D429,HORAS!$B$4:$E$42,4,FALSE)*$EC429,IF(ISERROR(VLOOKUP($A429,FIJOS!$B$11:$P$108,9,FALSE)),0,VLOOKUP($A429,FIJOS!$B$11:$P$231,9,FALSE)*$EC429))</f>
        <v>0</v>
      </c>
      <c r="DK429" s="145">
        <f>IF(OR($C429=2),VLOOKUP($D429,HORAS!$B$4:$F$42,5,FALSE)*$EE429,IF(ISERROR(VLOOKUP($A429,FIJOS!$B$11:$P$108,9,FALSE)),0,VLOOKUP($A429,FIJOS!$B$11:$P$231,9,FALSE)*$EE429))</f>
        <v>0</v>
      </c>
      <c r="DL429" s="144"/>
      <c r="DM429" s="145">
        <f>IF(ISERROR(VLOOKUP($A429,FIJOS!$B$11:$L$646,11,FALSE)),0,VLOOKUP($A429,FIJOS!$B$11:$L$646,11,FALSE))</f>
        <v>0</v>
      </c>
      <c r="DN429" s="148" t="e">
        <f>IF(OR($C429=1,$C429=3),0,IF((VLOOKUP(CAPTURA!D429,HORAS!$B$4:$K$42,10,FALSE)/4)*COUNTIF($H429:$CT429,3)&gt;100,100,(VLOOKUP(CAPTURA!D429,HORAS!$B$4:$K$42,10,FALSE)/4)*COUNTIF($H429:$CT429,3)))</f>
        <v>#N/A</v>
      </c>
      <c r="DO429" s="144" t="e">
        <f>IF(OR($C429=1,$C429=3),0,IF($C429=5,VLOOKUP(D429,HORAS!$B$4:$G$42,6,FALSE),IF(AND($C429=4,$CV429&gt;=(42/24)),VLOOKUP(D429,HORAS!$B$4:$G$42,6,FALSE),IF(COUNTIF($H429:$CL429,"F")&gt;0,0,IF(CV429&gt;$DJ$1,$DJ$1*(VLOOKUP(D429,HORAS!$B$4:$G$42,6,FALSE)/$DJ$1),CV429*(VLOOKUP(D429,HORAS!$B$4:$G$42,6,FALSE)/$DJ$1))))))</f>
        <v>#N/A</v>
      </c>
      <c r="DP429" s="156"/>
      <c r="DQ429" s="148"/>
      <c r="DR429" s="148"/>
      <c r="DS429" s="83" t="e">
        <f t="shared" si="162"/>
        <v>#N/A</v>
      </c>
      <c r="DT429" s="84"/>
      <c r="DU429" s="149" t="e">
        <f t="shared" si="243"/>
        <v>#N/A</v>
      </c>
      <c r="DV429" s="149" t="e">
        <f t="shared" si="244"/>
        <v>#N/A</v>
      </c>
      <c r="DW429" s="144" t="e">
        <f t="shared" si="245"/>
        <v>#N/A</v>
      </c>
      <c r="DX429" s="168"/>
      <c r="DY429" s="29"/>
      <c r="DZ429" s="150"/>
      <c r="EA429" s="134"/>
      <c r="EB429" s="137">
        <f t="shared" si="246"/>
        <v>0</v>
      </c>
      <c r="EC429" s="138">
        <f t="shared" si="247"/>
        <v>0</v>
      </c>
      <c r="ED429" s="137">
        <f t="shared" si="248"/>
        <v>0</v>
      </c>
      <c r="EE429" s="132">
        <f t="shared" si="249"/>
        <v>0</v>
      </c>
      <c r="EF429" s="29"/>
      <c r="EG429" s="134"/>
      <c r="EH429" s="134"/>
      <c r="EI429" s="134"/>
      <c r="EK429" s="29"/>
    </row>
    <row r="430" spans="1:141" ht="15" customHeight="1" x14ac:dyDescent="0.25">
      <c r="A430" s="87"/>
      <c r="B430" s="5"/>
      <c r="C430" s="72"/>
      <c r="D430" s="73"/>
      <c r="E430" s="73"/>
      <c r="F430" s="141"/>
      <c r="G430" s="74"/>
      <c r="H430" s="75"/>
      <c r="I430" s="76"/>
      <c r="J430" s="135"/>
      <c r="K430" s="135"/>
      <c r="L430" s="77">
        <f t="shared" si="138"/>
        <v>0</v>
      </c>
      <c r="M430" s="78"/>
      <c r="N430" s="142"/>
      <c r="O430" s="142"/>
      <c r="P430" s="77">
        <f t="shared" si="139"/>
        <v>0</v>
      </c>
      <c r="Q430" s="78"/>
      <c r="R430" s="143"/>
      <c r="S430" s="143"/>
      <c r="T430" s="77">
        <f t="shared" si="140"/>
        <v>0</v>
      </c>
      <c r="U430" s="75"/>
      <c r="V430" s="76"/>
      <c r="W430" s="135"/>
      <c r="X430" s="135"/>
      <c r="Y430" s="77">
        <f t="shared" si="141"/>
        <v>0</v>
      </c>
      <c r="Z430" s="78"/>
      <c r="AA430" s="142"/>
      <c r="AB430" s="142"/>
      <c r="AC430" s="77">
        <f t="shared" si="142"/>
        <v>0</v>
      </c>
      <c r="AD430" s="78"/>
      <c r="AE430" s="143"/>
      <c r="AF430" s="143"/>
      <c r="AG430" s="79">
        <f t="shared" si="143"/>
        <v>0</v>
      </c>
      <c r="AH430" s="75"/>
      <c r="AI430" s="76"/>
      <c r="AJ430" s="135"/>
      <c r="AK430" s="135"/>
      <c r="AL430" s="77">
        <f t="shared" si="144"/>
        <v>0</v>
      </c>
      <c r="AM430" s="76"/>
      <c r="AN430" s="142"/>
      <c r="AO430" s="142"/>
      <c r="AP430" s="77">
        <f t="shared" si="145"/>
        <v>0</v>
      </c>
      <c r="AQ430" s="78"/>
      <c r="AR430" s="142"/>
      <c r="AS430" s="142"/>
      <c r="AT430" s="79">
        <f t="shared" si="146"/>
        <v>0</v>
      </c>
      <c r="AU430" s="75"/>
      <c r="AV430" s="76"/>
      <c r="AW430" s="135"/>
      <c r="AX430" s="135"/>
      <c r="AY430" s="77">
        <f t="shared" si="147"/>
        <v>0</v>
      </c>
      <c r="AZ430" s="76"/>
      <c r="BA430" s="142"/>
      <c r="BB430" s="142"/>
      <c r="BC430" s="77">
        <f t="shared" si="148"/>
        <v>0</v>
      </c>
      <c r="BD430" s="78"/>
      <c r="BE430" s="142"/>
      <c r="BF430" s="142"/>
      <c r="BG430" s="79">
        <f t="shared" si="149"/>
        <v>0</v>
      </c>
      <c r="BH430" s="75"/>
      <c r="BI430" s="76"/>
      <c r="BJ430" s="135"/>
      <c r="BK430" s="135"/>
      <c r="BL430" s="77">
        <f t="shared" si="150"/>
        <v>0</v>
      </c>
      <c r="BM430" s="78"/>
      <c r="BN430" s="142"/>
      <c r="BO430" s="142"/>
      <c r="BP430" s="77">
        <f t="shared" si="151"/>
        <v>0</v>
      </c>
      <c r="BQ430" s="78"/>
      <c r="BR430" s="142"/>
      <c r="BS430" s="142"/>
      <c r="BT430" s="79">
        <f t="shared" si="152"/>
        <v>0</v>
      </c>
      <c r="BU430" s="75"/>
      <c r="BV430" s="76"/>
      <c r="BW430" s="135"/>
      <c r="BX430" s="135"/>
      <c r="BY430" s="77">
        <f t="shared" si="153"/>
        <v>0</v>
      </c>
      <c r="BZ430" s="78"/>
      <c r="CA430" s="142"/>
      <c r="CB430" s="142"/>
      <c r="CC430" s="77">
        <f t="shared" si="154"/>
        <v>0</v>
      </c>
      <c r="CD430" s="78"/>
      <c r="CE430" s="142"/>
      <c r="CF430" s="142"/>
      <c r="CG430" s="79">
        <f t="shared" si="155"/>
        <v>0</v>
      </c>
      <c r="CH430" s="75"/>
      <c r="CI430" s="76"/>
      <c r="CJ430" s="86"/>
      <c r="CK430" s="86"/>
      <c r="CL430" s="77">
        <f t="shared" si="156"/>
        <v>0</v>
      </c>
      <c r="CM430" s="78"/>
      <c r="CN430" s="85"/>
      <c r="CO430" s="85"/>
      <c r="CP430" s="77">
        <f t="shared" si="157"/>
        <v>0</v>
      </c>
      <c r="CQ430" s="78"/>
      <c r="CR430" s="85"/>
      <c r="CS430" s="85"/>
      <c r="CT430" s="79">
        <f t="shared" si="158"/>
        <v>0</v>
      </c>
      <c r="CU430" s="80">
        <f t="shared" si="168"/>
        <v>0</v>
      </c>
      <c r="CV430" s="81">
        <f t="shared" si="169"/>
        <v>0</v>
      </c>
      <c r="CW430" s="144"/>
      <c r="CX430" s="145">
        <f>IF(ISERROR(VLOOKUP($A430,FIJOS!$B$11:$O$590,14,FALSE)),0,VLOOKUP($A430,FIJOS!$B$11:$O$590,14,FALSE))</f>
        <v>0</v>
      </c>
      <c r="CY430" s="145">
        <f>IF(ISERROR(VLOOKUP(A430,FIJOS!$B$10:$P$590,15,FALSE)),0,VLOOKUP(A430,FIJOS!$B$10:$P$590,15,FALSE))</f>
        <v>0</v>
      </c>
      <c r="CZ430" s="155"/>
      <c r="DA430" s="147"/>
      <c r="DB430" s="147"/>
      <c r="DC430" s="147"/>
      <c r="DD430" s="147"/>
      <c r="DE430" s="147"/>
      <c r="DF430" s="145">
        <f>IF(ISERROR(VLOOKUP($A430,FIJOS!$B$11:$N$590,13,FALSE)),0,VLOOKUP($A430,FIJOS!$B$11:$N$590,13,FALSE))</f>
        <v>0</v>
      </c>
      <c r="DG430" s="145">
        <f>IF(ISERROR(VLOOKUP($A430,FIJOS!$B$11:$P$447,12,FALSE)),0,VLOOKUP($A430,FIJOS!$B$11:$P$447,12,FALSE))</f>
        <v>0</v>
      </c>
      <c r="DH430" s="82">
        <f t="shared" si="242"/>
        <v>0</v>
      </c>
      <c r="DI430" s="83" t="b">
        <f>IF($C430=1,(VLOOKUP($A430,FIJOS!$B$11:$P$545,10,FALSE)/7)*(7-$CU430),IF(AND($C430=2,CV430&lt;$DJ$1),(VLOOKUP($D430,HORAS!$B$4:$C$42,2,FALSE)*24)*$CV430,IF(AND($C430=2,CV430&gt;=$DJ$1),VLOOKUP($D430,HORAS!$B$4:$D$42,3,FALSE),IF(AND($C430=3,$CV430&gt;=$DJ$1),VLOOKUP($A430,FIJOS!$B$11:$P$545,10,FALSE),IF(AND($C430=3,$CV430&lt;$DJ$1),((VLOOKUP($A430,FIJOS!$B$11:$P$545,10,FALSE)/48)*24)*$CV430,IF(AND($C430=4,$CV430&gt;=(42/24)),VLOOKUP($D430,HORAS!$B$4:$D$42,3,FALSE),IF(AND($C430=5,$CV430&gt;=(36/24)),VLOOKUP($D430,HORAS!$B$4:$D$42,3,FALSE))))))))</f>
        <v>0</v>
      </c>
      <c r="DJ430" s="145">
        <f>IF(OR($C430=2),VLOOKUP($D430,HORAS!$B$4:$E$42,4,FALSE)*$EC430,IF(ISERROR(VLOOKUP($A430,FIJOS!$B$11:$P$108,9,FALSE)),0,VLOOKUP($A430,FIJOS!$B$11:$P$231,9,FALSE)*$EC430))</f>
        <v>0</v>
      </c>
      <c r="DK430" s="145">
        <f>IF(OR($C430=2),VLOOKUP($D430,HORAS!$B$4:$F$42,5,FALSE)*$EE430,IF(ISERROR(VLOOKUP($A430,FIJOS!$B$11:$P$108,9,FALSE)),0,VLOOKUP($A430,FIJOS!$B$11:$P$231,9,FALSE)*$EE430))</f>
        <v>0</v>
      </c>
      <c r="DL430" s="144"/>
      <c r="DM430" s="145">
        <f>IF(ISERROR(VLOOKUP($A430,FIJOS!$B$11:$L$646,11,FALSE)),0,VLOOKUP($A430,FIJOS!$B$11:$L$646,11,FALSE))</f>
        <v>0</v>
      </c>
      <c r="DN430" s="148" t="e">
        <f>IF(OR($C430=1,$C430=3),0,IF((VLOOKUP(CAPTURA!D430,HORAS!$B$4:$K$42,10,FALSE)/4)*COUNTIF($H430:$CT430,3)&gt;100,100,(VLOOKUP(CAPTURA!D430,HORAS!$B$4:$K$42,10,FALSE)/4)*COUNTIF($H430:$CT430,3)))</f>
        <v>#N/A</v>
      </c>
      <c r="DO430" s="144" t="e">
        <f>IF(OR($C430=1,$C430=3),0,IF($C430=5,VLOOKUP(D430,HORAS!$B$4:$G$42,6,FALSE),IF(AND($C430=4,$CV430&gt;=(42/24)),VLOOKUP(D430,HORAS!$B$4:$G$42,6,FALSE),IF(COUNTIF($H430:$CL430,"F")&gt;0,0,IF(CV430&gt;$DJ$1,$DJ$1*(VLOOKUP(D430,HORAS!$B$4:$G$42,6,FALSE)/$DJ$1),CV430*(VLOOKUP(D430,HORAS!$B$4:$G$42,6,FALSE)/$DJ$1))))))</f>
        <v>#N/A</v>
      </c>
      <c r="DP430" s="156"/>
      <c r="DQ430" s="148"/>
      <c r="DR430" s="148"/>
      <c r="DS430" s="83" t="e">
        <f t="shared" si="162"/>
        <v>#N/A</v>
      </c>
      <c r="DT430" s="84"/>
      <c r="DU430" s="149" t="e">
        <f t="shared" si="243"/>
        <v>#N/A</v>
      </c>
      <c r="DV430" s="149" t="e">
        <f t="shared" si="244"/>
        <v>#N/A</v>
      </c>
      <c r="DW430" s="144" t="e">
        <f t="shared" si="245"/>
        <v>#N/A</v>
      </c>
      <c r="DX430" s="168"/>
      <c r="DY430" s="29"/>
      <c r="DZ430" s="150"/>
      <c r="EA430" s="134"/>
      <c r="EB430" s="137">
        <f t="shared" si="246"/>
        <v>0</v>
      </c>
      <c r="EC430" s="138">
        <f t="shared" si="247"/>
        <v>0</v>
      </c>
      <c r="ED430" s="137">
        <f t="shared" si="248"/>
        <v>0</v>
      </c>
      <c r="EE430" s="132">
        <f t="shared" si="249"/>
        <v>0</v>
      </c>
      <c r="EF430" s="29"/>
      <c r="EG430" s="134"/>
      <c r="EH430" s="134"/>
      <c r="EI430" s="134"/>
      <c r="EK430" s="29"/>
    </row>
    <row r="431" spans="1:141" ht="15" customHeight="1" x14ac:dyDescent="0.25">
      <c r="A431" s="87"/>
      <c r="B431" s="5"/>
      <c r="C431" s="72"/>
      <c r="D431" s="73"/>
      <c r="E431" s="73"/>
      <c r="F431" s="141"/>
      <c r="G431" s="74"/>
      <c r="H431" s="75"/>
      <c r="I431" s="76"/>
      <c r="J431" s="135"/>
      <c r="K431" s="135"/>
      <c r="L431" s="77">
        <f t="shared" si="138"/>
        <v>0</v>
      </c>
      <c r="M431" s="78"/>
      <c r="N431" s="142"/>
      <c r="O431" s="142"/>
      <c r="P431" s="77">
        <f t="shared" si="139"/>
        <v>0</v>
      </c>
      <c r="Q431" s="78"/>
      <c r="R431" s="143"/>
      <c r="S431" s="143"/>
      <c r="T431" s="77">
        <f t="shared" si="140"/>
        <v>0</v>
      </c>
      <c r="U431" s="75"/>
      <c r="V431" s="76"/>
      <c r="W431" s="135"/>
      <c r="X431" s="135"/>
      <c r="Y431" s="77">
        <f t="shared" si="141"/>
        <v>0</v>
      </c>
      <c r="Z431" s="78"/>
      <c r="AA431" s="142"/>
      <c r="AB431" s="142"/>
      <c r="AC431" s="77">
        <f t="shared" si="142"/>
        <v>0</v>
      </c>
      <c r="AD431" s="78"/>
      <c r="AE431" s="143"/>
      <c r="AF431" s="143"/>
      <c r="AG431" s="79">
        <f t="shared" si="143"/>
        <v>0</v>
      </c>
      <c r="AH431" s="75"/>
      <c r="AI431" s="76"/>
      <c r="AJ431" s="135"/>
      <c r="AK431" s="135"/>
      <c r="AL431" s="77">
        <f t="shared" si="144"/>
        <v>0</v>
      </c>
      <c r="AM431" s="76"/>
      <c r="AN431" s="142"/>
      <c r="AO431" s="142"/>
      <c r="AP431" s="77">
        <f t="shared" si="145"/>
        <v>0</v>
      </c>
      <c r="AQ431" s="78"/>
      <c r="AR431" s="142"/>
      <c r="AS431" s="142"/>
      <c r="AT431" s="79">
        <f t="shared" si="146"/>
        <v>0</v>
      </c>
      <c r="AU431" s="75"/>
      <c r="AV431" s="76"/>
      <c r="AW431" s="135"/>
      <c r="AX431" s="135"/>
      <c r="AY431" s="77">
        <f t="shared" si="147"/>
        <v>0</v>
      </c>
      <c r="AZ431" s="76"/>
      <c r="BA431" s="142"/>
      <c r="BB431" s="142"/>
      <c r="BC431" s="77">
        <f t="shared" si="148"/>
        <v>0</v>
      </c>
      <c r="BD431" s="78"/>
      <c r="BE431" s="142"/>
      <c r="BF431" s="142"/>
      <c r="BG431" s="79">
        <f t="shared" si="149"/>
        <v>0</v>
      </c>
      <c r="BH431" s="75"/>
      <c r="BI431" s="76"/>
      <c r="BJ431" s="135"/>
      <c r="BK431" s="135"/>
      <c r="BL431" s="77">
        <f t="shared" si="150"/>
        <v>0</v>
      </c>
      <c r="BM431" s="78"/>
      <c r="BN431" s="142"/>
      <c r="BO431" s="142"/>
      <c r="BP431" s="77">
        <f t="shared" si="151"/>
        <v>0</v>
      </c>
      <c r="BQ431" s="78"/>
      <c r="BR431" s="142"/>
      <c r="BS431" s="142"/>
      <c r="BT431" s="79">
        <f t="shared" si="152"/>
        <v>0</v>
      </c>
      <c r="BU431" s="75"/>
      <c r="BV431" s="76"/>
      <c r="BW431" s="135"/>
      <c r="BX431" s="135"/>
      <c r="BY431" s="77">
        <f t="shared" si="153"/>
        <v>0</v>
      </c>
      <c r="BZ431" s="78"/>
      <c r="CA431" s="142"/>
      <c r="CB431" s="142"/>
      <c r="CC431" s="77">
        <f t="shared" si="154"/>
        <v>0</v>
      </c>
      <c r="CD431" s="78"/>
      <c r="CE431" s="142"/>
      <c r="CF431" s="142"/>
      <c r="CG431" s="79">
        <f t="shared" si="155"/>
        <v>0</v>
      </c>
      <c r="CH431" s="75"/>
      <c r="CI431" s="76"/>
      <c r="CJ431" s="86"/>
      <c r="CK431" s="86"/>
      <c r="CL431" s="77">
        <f t="shared" si="156"/>
        <v>0</v>
      </c>
      <c r="CM431" s="78"/>
      <c r="CN431" s="85"/>
      <c r="CO431" s="85"/>
      <c r="CP431" s="77">
        <f t="shared" si="157"/>
        <v>0</v>
      </c>
      <c r="CQ431" s="78"/>
      <c r="CR431" s="85"/>
      <c r="CS431" s="85"/>
      <c r="CT431" s="79">
        <f t="shared" si="158"/>
        <v>0</v>
      </c>
      <c r="CU431" s="80">
        <f t="shared" si="168"/>
        <v>0</v>
      </c>
      <c r="CV431" s="81">
        <f t="shared" si="169"/>
        <v>0</v>
      </c>
      <c r="CW431" s="144"/>
      <c r="CX431" s="145">
        <f>IF(ISERROR(VLOOKUP($A431,FIJOS!$B$11:$O$590,14,FALSE)),0,VLOOKUP($A431,FIJOS!$B$11:$O$590,14,FALSE))</f>
        <v>0</v>
      </c>
      <c r="CY431" s="145">
        <f>IF(ISERROR(VLOOKUP(A431,FIJOS!$B$10:$P$590,15,FALSE)),0,VLOOKUP(A431,FIJOS!$B$10:$P$590,15,FALSE))</f>
        <v>0</v>
      </c>
      <c r="CZ431" s="155"/>
      <c r="DA431" s="147"/>
      <c r="DB431" s="147"/>
      <c r="DC431" s="147"/>
      <c r="DD431" s="147"/>
      <c r="DE431" s="147"/>
      <c r="DF431" s="145">
        <f>IF(ISERROR(VLOOKUP($A431,FIJOS!$B$11:$N$590,13,FALSE)),0,VLOOKUP($A431,FIJOS!$B$11:$N$590,13,FALSE))</f>
        <v>0</v>
      </c>
      <c r="DG431" s="145">
        <f>IF(ISERROR(VLOOKUP($A431,FIJOS!$B$11:$P$447,12,FALSE)),0,VLOOKUP($A431,FIJOS!$B$11:$P$447,12,FALSE))</f>
        <v>0</v>
      </c>
      <c r="DH431" s="82">
        <f t="shared" si="242"/>
        <v>0</v>
      </c>
      <c r="DI431" s="83" t="b">
        <f>IF($C431=1,(VLOOKUP($A431,FIJOS!$B$11:$P$545,10,FALSE)/7)*(7-$CU431),IF(AND($C431=2,CV431&lt;$DJ$1),(VLOOKUP($D431,HORAS!$B$4:$C$42,2,FALSE)*24)*$CV431,IF(AND($C431=2,CV431&gt;=$DJ$1),VLOOKUP($D431,HORAS!$B$4:$D$42,3,FALSE),IF(AND($C431=3,$CV431&gt;=$DJ$1),VLOOKUP($A431,FIJOS!$B$11:$P$545,10,FALSE),IF(AND($C431=3,$CV431&lt;$DJ$1),((VLOOKUP($A431,FIJOS!$B$11:$P$545,10,FALSE)/48)*24)*$CV431,IF(AND($C431=4,$CV431&gt;=(42/24)),VLOOKUP($D431,HORAS!$B$4:$D$42,3,FALSE),IF(AND($C431=5,$CV431&gt;=(36/24)),VLOOKUP($D431,HORAS!$B$4:$D$42,3,FALSE))))))))</f>
        <v>0</v>
      </c>
      <c r="DJ431" s="145">
        <f>IF(OR($C431=2),VLOOKUP($D431,HORAS!$B$4:$E$42,4,FALSE)*$EC431,IF(ISERROR(VLOOKUP($A431,FIJOS!$B$11:$P$108,9,FALSE)),0,VLOOKUP($A431,FIJOS!$B$11:$P$231,9,FALSE)*$EC431))</f>
        <v>0</v>
      </c>
      <c r="DK431" s="145">
        <f>IF(OR($C431=2),VLOOKUP($D431,HORAS!$B$4:$F$42,5,FALSE)*$EE431,IF(ISERROR(VLOOKUP($A431,FIJOS!$B$11:$P$108,9,FALSE)),0,VLOOKUP($A431,FIJOS!$B$11:$P$231,9,FALSE)*$EE431))</f>
        <v>0</v>
      </c>
      <c r="DL431" s="144"/>
      <c r="DM431" s="145">
        <f>IF(ISERROR(VLOOKUP($A431,FIJOS!$B$11:$L$646,11,FALSE)),0,VLOOKUP($A431,FIJOS!$B$11:$L$646,11,FALSE))</f>
        <v>0</v>
      </c>
      <c r="DN431" s="148" t="e">
        <f>IF(OR($C431=1,$C431=3),0,IF((VLOOKUP(CAPTURA!D431,HORAS!$B$4:$K$42,10,FALSE)/4)*COUNTIF($H431:$CT431,3)&gt;100,100,(VLOOKUP(CAPTURA!D431,HORAS!$B$4:$K$42,10,FALSE)/4)*COUNTIF($H431:$CT431,3)))</f>
        <v>#N/A</v>
      </c>
      <c r="DO431" s="144" t="e">
        <f>IF(OR($C431=1,$C431=3),0,IF($C431=5,VLOOKUP(D431,HORAS!$B$4:$G$42,6,FALSE),IF(AND($C431=4,$CV431&gt;=(42/24)),VLOOKUP(D431,HORAS!$B$4:$G$42,6,FALSE),IF(COUNTIF($H431:$CL431,"F")&gt;0,0,IF(CV431&gt;$DJ$1,$DJ$1*(VLOOKUP(D431,HORAS!$B$4:$G$42,6,FALSE)/$DJ$1),CV431*(VLOOKUP(D431,HORAS!$B$4:$G$42,6,FALSE)/$DJ$1))))))</f>
        <v>#N/A</v>
      </c>
      <c r="DP431" s="156"/>
      <c r="DQ431" s="148"/>
      <c r="DR431" s="148"/>
      <c r="DS431" s="83" t="e">
        <f t="shared" si="162"/>
        <v>#N/A</v>
      </c>
      <c r="DT431" s="84"/>
      <c r="DU431" s="149" t="e">
        <f t="shared" si="243"/>
        <v>#N/A</v>
      </c>
      <c r="DV431" s="149" t="e">
        <f t="shared" si="244"/>
        <v>#N/A</v>
      </c>
      <c r="DW431" s="144" t="e">
        <f t="shared" si="245"/>
        <v>#N/A</v>
      </c>
      <c r="DX431" s="168"/>
      <c r="DY431" s="29"/>
      <c r="DZ431" s="150"/>
      <c r="EA431" s="134"/>
      <c r="EB431" s="137">
        <f t="shared" si="246"/>
        <v>0</v>
      </c>
      <c r="EC431" s="138">
        <f t="shared" si="247"/>
        <v>0</v>
      </c>
      <c r="ED431" s="137">
        <f t="shared" si="248"/>
        <v>0</v>
      </c>
      <c r="EE431" s="132">
        <f t="shared" si="249"/>
        <v>0</v>
      </c>
      <c r="EF431" s="29"/>
      <c r="EG431" s="134"/>
      <c r="EH431" s="134"/>
      <c r="EI431" s="134"/>
      <c r="EK431" s="29"/>
    </row>
    <row r="432" spans="1:141" ht="15" customHeight="1" x14ac:dyDescent="0.25">
      <c r="A432" s="87"/>
      <c r="B432" s="5"/>
      <c r="C432" s="72"/>
      <c r="D432" s="73"/>
      <c r="E432" s="73"/>
      <c r="F432" s="141"/>
      <c r="G432" s="74"/>
      <c r="H432" s="75"/>
      <c r="I432" s="76"/>
      <c r="J432" s="135"/>
      <c r="K432" s="135"/>
      <c r="L432" s="77">
        <f t="shared" si="138"/>
        <v>0</v>
      </c>
      <c r="M432" s="78"/>
      <c r="N432" s="142"/>
      <c r="O432" s="142"/>
      <c r="P432" s="77">
        <f t="shared" si="139"/>
        <v>0</v>
      </c>
      <c r="Q432" s="78"/>
      <c r="R432" s="143"/>
      <c r="S432" s="143"/>
      <c r="T432" s="77">
        <f t="shared" si="140"/>
        <v>0</v>
      </c>
      <c r="U432" s="75"/>
      <c r="V432" s="76"/>
      <c r="W432" s="135"/>
      <c r="X432" s="135"/>
      <c r="Y432" s="77">
        <f t="shared" si="141"/>
        <v>0</v>
      </c>
      <c r="Z432" s="78"/>
      <c r="AA432" s="142"/>
      <c r="AB432" s="142"/>
      <c r="AC432" s="77">
        <f t="shared" si="142"/>
        <v>0</v>
      </c>
      <c r="AD432" s="78"/>
      <c r="AE432" s="143"/>
      <c r="AF432" s="143"/>
      <c r="AG432" s="79">
        <f t="shared" si="143"/>
        <v>0</v>
      </c>
      <c r="AH432" s="75"/>
      <c r="AI432" s="76"/>
      <c r="AJ432" s="135"/>
      <c r="AK432" s="135"/>
      <c r="AL432" s="77">
        <f t="shared" si="144"/>
        <v>0</v>
      </c>
      <c r="AM432" s="76"/>
      <c r="AN432" s="142"/>
      <c r="AO432" s="142"/>
      <c r="AP432" s="77">
        <f t="shared" si="145"/>
        <v>0</v>
      </c>
      <c r="AQ432" s="78"/>
      <c r="AR432" s="142"/>
      <c r="AS432" s="142"/>
      <c r="AT432" s="79">
        <f t="shared" si="146"/>
        <v>0</v>
      </c>
      <c r="AU432" s="75"/>
      <c r="AV432" s="76"/>
      <c r="AW432" s="135"/>
      <c r="AX432" s="135"/>
      <c r="AY432" s="77">
        <f t="shared" si="147"/>
        <v>0</v>
      </c>
      <c r="AZ432" s="76"/>
      <c r="BA432" s="142"/>
      <c r="BB432" s="142"/>
      <c r="BC432" s="77">
        <f t="shared" si="148"/>
        <v>0</v>
      </c>
      <c r="BD432" s="78"/>
      <c r="BE432" s="142"/>
      <c r="BF432" s="142"/>
      <c r="BG432" s="79">
        <f t="shared" si="149"/>
        <v>0</v>
      </c>
      <c r="BH432" s="75"/>
      <c r="BI432" s="76"/>
      <c r="BJ432" s="135"/>
      <c r="BK432" s="135"/>
      <c r="BL432" s="77">
        <f t="shared" si="150"/>
        <v>0</v>
      </c>
      <c r="BM432" s="78"/>
      <c r="BN432" s="142"/>
      <c r="BO432" s="142"/>
      <c r="BP432" s="77">
        <f t="shared" si="151"/>
        <v>0</v>
      </c>
      <c r="BQ432" s="78"/>
      <c r="BR432" s="142"/>
      <c r="BS432" s="142"/>
      <c r="BT432" s="79">
        <f t="shared" si="152"/>
        <v>0</v>
      </c>
      <c r="BU432" s="75"/>
      <c r="BV432" s="76"/>
      <c r="BW432" s="135"/>
      <c r="BX432" s="135"/>
      <c r="BY432" s="77">
        <f t="shared" si="153"/>
        <v>0</v>
      </c>
      <c r="BZ432" s="78"/>
      <c r="CA432" s="142"/>
      <c r="CB432" s="142"/>
      <c r="CC432" s="77">
        <f t="shared" si="154"/>
        <v>0</v>
      </c>
      <c r="CD432" s="78"/>
      <c r="CE432" s="142"/>
      <c r="CF432" s="142"/>
      <c r="CG432" s="79">
        <f t="shared" si="155"/>
        <v>0</v>
      </c>
      <c r="CH432" s="75"/>
      <c r="CI432" s="76"/>
      <c r="CJ432" s="86"/>
      <c r="CK432" s="86"/>
      <c r="CL432" s="77">
        <f t="shared" si="156"/>
        <v>0</v>
      </c>
      <c r="CM432" s="78"/>
      <c r="CN432" s="85"/>
      <c r="CO432" s="85"/>
      <c r="CP432" s="77">
        <f t="shared" si="157"/>
        <v>0</v>
      </c>
      <c r="CQ432" s="78"/>
      <c r="CR432" s="85"/>
      <c r="CS432" s="85"/>
      <c r="CT432" s="79">
        <f t="shared" si="158"/>
        <v>0</v>
      </c>
      <c r="CU432" s="80">
        <f t="shared" si="168"/>
        <v>0</v>
      </c>
      <c r="CV432" s="81">
        <f t="shared" si="169"/>
        <v>0</v>
      </c>
      <c r="CW432" s="144"/>
      <c r="CX432" s="145">
        <f>IF(ISERROR(VLOOKUP($A432,FIJOS!$B$11:$O$590,14,FALSE)),0,VLOOKUP($A432,FIJOS!$B$11:$O$590,14,FALSE))</f>
        <v>0</v>
      </c>
      <c r="CY432" s="145">
        <f>IF(ISERROR(VLOOKUP(A432,FIJOS!$B$10:$P$590,15,FALSE)),0,VLOOKUP(A432,FIJOS!$B$10:$P$590,15,FALSE))</f>
        <v>0</v>
      </c>
      <c r="CZ432" s="155"/>
      <c r="DA432" s="147"/>
      <c r="DB432" s="147"/>
      <c r="DC432" s="147"/>
      <c r="DD432" s="147"/>
      <c r="DE432" s="147"/>
      <c r="DF432" s="145">
        <f>IF(ISERROR(VLOOKUP($A432,FIJOS!$B$11:$N$590,13,FALSE)),0,VLOOKUP($A432,FIJOS!$B$11:$N$590,13,FALSE))</f>
        <v>0</v>
      </c>
      <c r="DG432" s="145">
        <f>IF(ISERROR(VLOOKUP($A432,FIJOS!$B$11:$P$447,12,FALSE)),0,VLOOKUP($A432,FIJOS!$B$11:$P$447,12,FALSE))</f>
        <v>0</v>
      </c>
      <c r="DH432" s="82">
        <f t="shared" si="242"/>
        <v>0</v>
      </c>
      <c r="DI432" s="83" t="b">
        <f>IF($C432=1,(VLOOKUP($A432,FIJOS!$B$11:$P$545,10,FALSE)/7)*(7-$CU432),IF(AND($C432=2,CV432&lt;$DJ$1),(VLOOKUP($D432,HORAS!$B$4:$C$42,2,FALSE)*24)*$CV432,IF(AND($C432=2,CV432&gt;=$DJ$1),VLOOKUP($D432,HORAS!$B$4:$D$42,3,FALSE),IF(AND($C432=3,$CV432&gt;=$DJ$1),VLOOKUP($A432,FIJOS!$B$11:$P$545,10,FALSE),IF(AND($C432=3,$CV432&lt;$DJ$1),((VLOOKUP($A432,FIJOS!$B$11:$P$545,10,FALSE)/48)*24)*$CV432,IF(AND($C432=4,$CV432&gt;=(42/24)),VLOOKUP($D432,HORAS!$B$4:$D$42,3,FALSE),IF(AND($C432=5,$CV432&gt;=(36/24)),VLOOKUP($D432,HORAS!$B$4:$D$42,3,FALSE))))))))</f>
        <v>0</v>
      </c>
      <c r="DJ432" s="145">
        <f>IF(OR($C432=2),VLOOKUP($D432,HORAS!$B$4:$E$42,4,FALSE)*$EC432,IF(ISERROR(VLOOKUP($A432,FIJOS!$B$11:$P$108,9,FALSE)),0,VLOOKUP($A432,FIJOS!$B$11:$P$231,9,FALSE)*$EC432))</f>
        <v>0</v>
      </c>
      <c r="DK432" s="145">
        <f>IF(OR($C432=2),VLOOKUP($D432,HORAS!$B$4:$F$42,5,FALSE)*$EE432,IF(ISERROR(VLOOKUP($A432,FIJOS!$B$11:$P$108,9,FALSE)),0,VLOOKUP($A432,FIJOS!$B$11:$P$231,9,FALSE)*$EE432))</f>
        <v>0</v>
      </c>
      <c r="DL432" s="144"/>
      <c r="DM432" s="145">
        <f>IF(ISERROR(VLOOKUP($A432,FIJOS!$B$11:$L$646,11,FALSE)),0,VLOOKUP($A432,FIJOS!$B$11:$L$646,11,FALSE))</f>
        <v>0</v>
      </c>
      <c r="DN432" s="148" t="e">
        <f>IF(OR($C432=1,$C432=3),0,IF((VLOOKUP(CAPTURA!D432,HORAS!$B$4:$K$42,10,FALSE)/4)*COUNTIF($H432:$CT432,3)&gt;100,100,(VLOOKUP(CAPTURA!D432,HORAS!$B$4:$K$42,10,FALSE)/4)*COUNTIF($H432:$CT432,3)))</f>
        <v>#N/A</v>
      </c>
      <c r="DO432" s="144" t="e">
        <f>IF(OR($C432=1,$C432=3),0,IF($C432=5,VLOOKUP(D432,HORAS!$B$4:$G$42,6,FALSE),IF(AND($C432=4,$CV432&gt;=(42/24)),VLOOKUP(D432,HORAS!$B$4:$G$42,6,FALSE),IF(COUNTIF($H432:$CL432,"F")&gt;0,0,IF(CV432&gt;$DJ$1,$DJ$1*(VLOOKUP(D432,HORAS!$B$4:$G$42,6,FALSE)/$DJ$1),CV432*(VLOOKUP(D432,HORAS!$B$4:$G$42,6,FALSE)/$DJ$1))))))</f>
        <v>#N/A</v>
      </c>
      <c r="DP432" s="156"/>
      <c r="DQ432" s="148"/>
      <c r="DR432" s="148"/>
      <c r="DS432" s="83" t="e">
        <f t="shared" si="162"/>
        <v>#N/A</v>
      </c>
      <c r="DT432" s="84"/>
      <c r="DU432" s="149" t="e">
        <f t="shared" si="243"/>
        <v>#N/A</v>
      </c>
      <c r="DV432" s="149" t="e">
        <f t="shared" si="244"/>
        <v>#N/A</v>
      </c>
      <c r="DW432" s="144" t="e">
        <f t="shared" si="245"/>
        <v>#N/A</v>
      </c>
      <c r="DX432" s="168"/>
      <c r="DY432" s="29"/>
      <c r="DZ432" s="150"/>
      <c r="EA432" s="134"/>
      <c r="EB432" s="137">
        <f t="shared" si="246"/>
        <v>0</v>
      </c>
      <c r="EC432" s="138">
        <f t="shared" si="247"/>
        <v>0</v>
      </c>
      <c r="ED432" s="137">
        <f t="shared" si="248"/>
        <v>0</v>
      </c>
      <c r="EE432" s="132">
        <f t="shared" si="249"/>
        <v>0</v>
      </c>
      <c r="EF432" s="29"/>
      <c r="EG432" s="134"/>
      <c r="EH432" s="134"/>
      <c r="EI432" s="134"/>
      <c r="EK432" s="29"/>
    </row>
    <row r="433" spans="1:141" ht="15" customHeight="1" x14ac:dyDescent="0.25">
      <c r="A433" s="87"/>
      <c r="B433" s="5"/>
      <c r="C433" s="72"/>
      <c r="D433" s="73"/>
      <c r="E433" s="73"/>
      <c r="F433" s="141"/>
      <c r="G433" s="74"/>
      <c r="H433" s="75"/>
      <c r="I433" s="76"/>
      <c r="J433" s="135"/>
      <c r="K433" s="135"/>
      <c r="L433" s="77">
        <f t="shared" si="138"/>
        <v>0</v>
      </c>
      <c r="M433" s="78"/>
      <c r="N433" s="142"/>
      <c r="O433" s="142"/>
      <c r="P433" s="77">
        <f t="shared" si="139"/>
        <v>0</v>
      </c>
      <c r="Q433" s="78"/>
      <c r="R433" s="143"/>
      <c r="S433" s="143"/>
      <c r="T433" s="77">
        <f t="shared" si="140"/>
        <v>0</v>
      </c>
      <c r="U433" s="75"/>
      <c r="V433" s="76"/>
      <c r="W433" s="135"/>
      <c r="X433" s="135"/>
      <c r="Y433" s="77">
        <f t="shared" si="141"/>
        <v>0</v>
      </c>
      <c r="Z433" s="78"/>
      <c r="AA433" s="142"/>
      <c r="AB433" s="142"/>
      <c r="AC433" s="77">
        <f t="shared" si="142"/>
        <v>0</v>
      </c>
      <c r="AD433" s="78"/>
      <c r="AE433" s="143"/>
      <c r="AF433" s="143"/>
      <c r="AG433" s="79">
        <f t="shared" si="143"/>
        <v>0</v>
      </c>
      <c r="AH433" s="75"/>
      <c r="AI433" s="76"/>
      <c r="AJ433" s="135"/>
      <c r="AK433" s="135"/>
      <c r="AL433" s="77">
        <f t="shared" si="144"/>
        <v>0</v>
      </c>
      <c r="AM433" s="76"/>
      <c r="AN433" s="142"/>
      <c r="AO433" s="142"/>
      <c r="AP433" s="77">
        <f t="shared" si="145"/>
        <v>0</v>
      </c>
      <c r="AQ433" s="78"/>
      <c r="AR433" s="142"/>
      <c r="AS433" s="142"/>
      <c r="AT433" s="79">
        <f t="shared" si="146"/>
        <v>0</v>
      </c>
      <c r="AU433" s="75"/>
      <c r="AV433" s="76"/>
      <c r="AW433" s="135"/>
      <c r="AX433" s="135"/>
      <c r="AY433" s="77">
        <f t="shared" si="147"/>
        <v>0</v>
      </c>
      <c r="AZ433" s="76"/>
      <c r="BA433" s="142"/>
      <c r="BB433" s="142"/>
      <c r="BC433" s="77">
        <f t="shared" si="148"/>
        <v>0</v>
      </c>
      <c r="BD433" s="78"/>
      <c r="BE433" s="142"/>
      <c r="BF433" s="142"/>
      <c r="BG433" s="79">
        <f t="shared" si="149"/>
        <v>0</v>
      </c>
      <c r="BH433" s="75"/>
      <c r="BI433" s="76"/>
      <c r="BJ433" s="135"/>
      <c r="BK433" s="135"/>
      <c r="BL433" s="77">
        <f t="shared" si="150"/>
        <v>0</v>
      </c>
      <c r="BM433" s="78"/>
      <c r="BN433" s="142"/>
      <c r="BO433" s="142"/>
      <c r="BP433" s="77">
        <f t="shared" si="151"/>
        <v>0</v>
      </c>
      <c r="BQ433" s="78"/>
      <c r="BR433" s="142"/>
      <c r="BS433" s="142"/>
      <c r="BT433" s="79">
        <f t="shared" si="152"/>
        <v>0</v>
      </c>
      <c r="BU433" s="75"/>
      <c r="BV433" s="76"/>
      <c r="BW433" s="135"/>
      <c r="BX433" s="135"/>
      <c r="BY433" s="77">
        <f t="shared" si="153"/>
        <v>0</v>
      </c>
      <c r="BZ433" s="78"/>
      <c r="CA433" s="142"/>
      <c r="CB433" s="142"/>
      <c r="CC433" s="77">
        <f t="shared" si="154"/>
        <v>0</v>
      </c>
      <c r="CD433" s="78"/>
      <c r="CE433" s="142"/>
      <c r="CF433" s="142"/>
      <c r="CG433" s="79">
        <f t="shared" si="155"/>
        <v>0</v>
      </c>
      <c r="CH433" s="75"/>
      <c r="CI433" s="76"/>
      <c r="CJ433" s="86"/>
      <c r="CK433" s="86"/>
      <c r="CL433" s="77">
        <f t="shared" si="156"/>
        <v>0</v>
      </c>
      <c r="CM433" s="78"/>
      <c r="CN433" s="85"/>
      <c r="CO433" s="85"/>
      <c r="CP433" s="77">
        <f t="shared" si="157"/>
        <v>0</v>
      </c>
      <c r="CQ433" s="78"/>
      <c r="CR433" s="85"/>
      <c r="CS433" s="85"/>
      <c r="CT433" s="79">
        <f t="shared" si="158"/>
        <v>0</v>
      </c>
      <c r="CU433" s="80">
        <f t="shared" si="168"/>
        <v>0</v>
      </c>
      <c r="CV433" s="81">
        <f t="shared" si="169"/>
        <v>0</v>
      </c>
      <c r="CW433" s="144"/>
      <c r="CX433" s="145">
        <f>IF(ISERROR(VLOOKUP($A433,FIJOS!$B$11:$O$590,14,FALSE)),0,VLOOKUP($A433,FIJOS!$B$11:$O$590,14,FALSE))</f>
        <v>0</v>
      </c>
      <c r="CY433" s="145">
        <f>IF(ISERROR(VLOOKUP(A433,FIJOS!$B$10:$P$590,15,FALSE)),0,VLOOKUP(A433,FIJOS!$B$10:$P$590,15,FALSE))</f>
        <v>0</v>
      </c>
      <c r="CZ433" s="155"/>
      <c r="DA433" s="147"/>
      <c r="DB433" s="147"/>
      <c r="DC433" s="147"/>
      <c r="DD433" s="147"/>
      <c r="DE433" s="147"/>
      <c r="DF433" s="145">
        <f>IF(ISERROR(VLOOKUP($A433,FIJOS!$B$11:$N$590,13,FALSE)),0,VLOOKUP($A433,FIJOS!$B$11:$N$590,13,FALSE))</f>
        <v>0</v>
      </c>
      <c r="DG433" s="145">
        <f>IF(ISERROR(VLOOKUP($A433,FIJOS!$B$11:$P$447,12,FALSE)),0,VLOOKUP($A433,FIJOS!$B$11:$P$447,12,FALSE))</f>
        <v>0</v>
      </c>
      <c r="DH433" s="82">
        <f t="shared" si="242"/>
        <v>0</v>
      </c>
      <c r="DI433" s="83" t="b">
        <f>IF($C433=1,(VLOOKUP($A433,FIJOS!$B$11:$P$545,10,FALSE)/7)*(7-$CU433),IF(AND($C433=2,CV433&lt;$DJ$1),(VLOOKUP($D433,HORAS!$B$4:$C$42,2,FALSE)*24)*$CV433,IF(AND($C433=2,CV433&gt;=$DJ$1),VLOOKUP($D433,HORAS!$B$4:$D$42,3,FALSE),IF(AND($C433=3,$CV433&gt;=$DJ$1),VLOOKUP($A433,FIJOS!$B$11:$P$545,10,FALSE),IF(AND($C433=3,$CV433&lt;$DJ$1),((VLOOKUP($A433,FIJOS!$B$11:$P$545,10,FALSE)/48)*24)*$CV433,IF(AND($C433=4,$CV433&gt;=(42/24)),VLOOKUP($D433,HORAS!$B$4:$D$42,3,FALSE),IF(AND($C433=5,$CV433&gt;=(36/24)),VLOOKUP($D433,HORAS!$B$4:$D$42,3,FALSE))))))))</f>
        <v>0</v>
      </c>
      <c r="DJ433" s="145">
        <f>IF(OR($C433=2),VLOOKUP($D433,HORAS!$B$4:$E$42,4,FALSE)*$EC433,IF(ISERROR(VLOOKUP($A433,FIJOS!$B$11:$P$108,9,FALSE)),0,VLOOKUP($A433,FIJOS!$B$11:$P$231,9,FALSE)*$EC433))</f>
        <v>0</v>
      </c>
      <c r="DK433" s="145">
        <f>IF(OR($C433=2),VLOOKUP($D433,HORAS!$B$4:$F$42,5,FALSE)*$EE433,IF(ISERROR(VLOOKUP($A433,FIJOS!$B$11:$P$108,9,FALSE)),0,VLOOKUP($A433,FIJOS!$B$11:$P$231,9,FALSE)*$EE433))</f>
        <v>0</v>
      </c>
      <c r="DL433" s="144"/>
      <c r="DM433" s="145">
        <f>IF(ISERROR(VLOOKUP($A433,FIJOS!$B$11:$L$646,11,FALSE)),0,VLOOKUP($A433,FIJOS!$B$11:$L$646,11,FALSE))</f>
        <v>0</v>
      </c>
      <c r="DN433" s="148" t="e">
        <f>IF(OR($C433=1,$C433=3),0,IF((VLOOKUP(CAPTURA!D433,HORAS!$B$4:$K$42,10,FALSE)/4)*COUNTIF($H433:$CT433,3)&gt;100,100,(VLOOKUP(CAPTURA!D433,HORAS!$B$4:$K$42,10,FALSE)/4)*COUNTIF($H433:$CT433,3)))</f>
        <v>#N/A</v>
      </c>
      <c r="DO433" s="144" t="e">
        <f>IF(OR($C433=1,$C433=3),0,IF($C433=5,VLOOKUP(D433,HORAS!$B$4:$G$42,6,FALSE),IF(AND($C433=4,$CV433&gt;=(42/24)),VLOOKUP(D433,HORAS!$B$4:$G$42,6,FALSE),IF(COUNTIF($H433:$CL433,"F")&gt;0,0,IF(CV433&gt;$DJ$1,$DJ$1*(VLOOKUP(D433,HORAS!$B$4:$G$42,6,FALSE)/$DJ$1),CV433*(VLOOKUP(D433,HORAS!$B$4:$G$42,6,FALSE)/$DJ$1))))))</f>
        <v>#N/A</v>
      </c>
      <c r="DP433" s="156"/>
      <c r="DQ433" s="148"/>
      <c r="DR433" s="148"/>
      <c r="DS433" s="83" t="e">
        <f t="shared" si="162"/>
        <v>#N/A</v>
      </c>
      <c r="DT433" s="84"/>
      <c r="DU433" s="149" t="e">
        <f t="shared" si="243"/>
        <v>#N/A</v>
      </c>
      <c r="DV433" s="149" t="e">
        <f t="shared" si="244"/>
        <v>#N/A</v>
      </c>
      <c r="DW433" s="144" t="e">
        <f t="shared" si="245"/>
        <v>#N/A</v>
      </c>
      <c r="DX433" s="168"/>
      <c r="DY433" s="29"/>
      <c r="DZ433" s="150"/>
      <c r="EA433" s="134"/>
      <c r="EB433" s="137">
        <f t="shared" si="246"/>
        <v>0</v>
      </c>
      <c r="EC433" s="138">
        <f t="shared" si="247"/>
        <v>0</v>
      </c>
      <c r="ED433" s="137">
        <f t="shared" si="248"/>
        <v>0</v>
      </c>
      <c r="EE433" s="132">
        <f t="shared" si="249"/>
        <v>0</v>
      </c>
      <c r="EF433" s="29"/>
      <c r="EG433" s="134"/>
      <c r="EH433" s="134"/>
      <c r="EI433" s="134"/>
      <c r="EK433" s="29"/>
    </row>
    <row r="434" spans="1:141" ht="15" customHeight="1" x14ac:dyDescent="0.25">
      <c r="A434" s="87"/>
      <c r="B434" s="5"/>
      <c r="C434" s="72"/>
      <c r="D434" s="73"/>
      <c r="E434" s="73"/>
      <c r="F434" s="141"/>
      <c r="G434" s="74"/>
      <c r="H434" s="75"/>
      <c r="I434" s="76"/>
      <c r="J434" s="135"/>
      <c r="K434" s="135"/>
      <c r="L434" s="77">
        <f t="shared" si="138"/>
        <v>0</v>
      </c>
      <c r="M434" s="78"/>
      <c r="N434" s="142"/>
      <c r="O434" s="142"/>
      <c r="P434" s="77">
        <f t="shared" si="139"/>
        <v>0</v>
      </c>
      <c r="Q434" s="78"/>
      <c r="R434" s="143"/>
      <c r="S434" s="143"/>
      <c r="T434" s="77">
        <f t="shared" si="140"/>
        <v>0</v>
      </c>
      <c r="U434" s="75"/>
      <c r="V434" s="76"/>
      <c r="W434" s="135"/>
      <c r="X434" s="135"/>
      <c r="Y434" s="77">
        <f t="shared" si="141"/>
        <v>0</v>
      </c>
      <c r="Z434" s="78"/>
      <c r="AA434" s="142"/>
      <c r="AB434" s="142"/>
      <c r="AC434" s="77">
        <f t="shared" si="142"/>
        <v>0</v>
      </c>
      <c r="AD434" s="78"/>
      <c r="AE434" s="143"/>
      <c r="AF434" s="143"/>
      <c r="AG434" s="79">
        <f t="shared" si="143"/>
        <v>0</v>
      </c>
      <c r="AH434" s="75"/>
      <c r="AI434" s="76"/>
      <c r="AJ434" s="135"/>
      <c r="AK434" s="135"/>
      <c r="AL434" s="77">
        <f t="shared" si="144"/>
        <v>0</v>
      </c>
      <c r="AM434" s="76"/>
      <c r="AN434" s="142"/>
      <c r="AO434" s="142"/>
      <c r="AP434" s="77">
        <f t="shared" si="145"/>
        <v>0</v>
      </c>
      <c r="AQ434" s="78"/>
      <c r="AR434" s="142"/>
      <c r="AS434" s="142"/>
      <c r="AT434" s="79">
        <f t="shared" si="146"/>
        <v>0</v>
      </c>
      <c r="AU434" s="75"/>
      <c r="AV434" s="76"/>
      <c r="AW434" s="135"/>
      <c r="AX434" s="135"/>
      <c r="AY434" s="77">
        <f t="shared" si="147"/>
        <v>0</v>
      </c>
      <c r="AZ434" s="76"/>
      <c r="BA434" s="142"/>
      <c r="BB434" s="142"/>
      <c r="BC434" s="77">
        <f t="shared" si="148"/>
        <v>0</v>
      </c>
      <c r="BD434" s="78"/>
      <c r="BE434" s="142"/>
      <c r="BF434" s="142"/>
      <c r="BG434" s="79">
        <f t="shared" si="149"/>
        <v>0</v>
      </c>
      <c r="BH434" s="75"/>
      <c r="BI434" s="76"/>
      <c r="BJ434" s="135"/>
      <c r="BK434" s="135"/>
      <c r="BL434" s="77">
        <f t="shared" si="150"/>
        <v>0</v>
      </c>
      <c r="BM434" s="78"/>
      <c r="BN434" s="142"/>
      <c r="BO434" s="142"/>
      <c r="BP434" s="77">
        <f t="shared" si="151"/>
        <v>0</v>
      </c>
      <c r="BQ434" s="78"/>
      <c r="BR434" s="142"/>
      <c r="BS434" s="142"/>
      <c r="BT434" s="79">
        <f t="shared" si="152"/>
        <v>0</v>
      </c>
      <c r="BU434" s="75"/>
      <c r="BV434" s="76"/>
      <c r="BW434" s="135"/>
      <c r="BX434" s="135"/>
      <c r="BY434" s="77">
        <f t="shared" si="153"/>
        <v>0</v>
      </c>
      <c r="BZ434" s="78"/>
      <c r="CA434" s="142"/>
      <c r="CB434" s="142"/>
      <c r="CC434" s="77">
        <f t="shared" si="154"/>
        <v>0</v>
      </c>
      <c r="CD434" s="78"/>
      <c r="CE434" s="142"/>
      <c r="CF434" s="142"/>
      <c r="CG434" s="79">
        <f t="shared" si="155"/>
        <v>0</v>
      </c>
      <c r="CH434" s="75"/>
      <c r="CI434" s="76"/>
      <c r="CJ434" s="86"/>
      <c r="CK434" s="86"/>
      <c r="CL434" s="77">
        <f t="shared" si="156"/>
        <v>0</v>
      </c>
      <c r="CM434" s="78"/>
      <c r="CN434" s="85"/>
      <c r="CO434" s="85"/>
      <c r="CP434" s="77">
        <f t="shared" si="157"/>
        <v>0</v>
      </c>
      <c r="CQ434" s="78"/>
      <c r="CR434" s="85"/>
      <c r="CS434" s="85"/>
      <c r="CT434" s="79">
        <f t="shared" si="158"/>
        <v>0</v>
      </c>
      <c r="CU434" s="80">
        <f t="shared" si="168"/>
        <v>0</v>
      </c>
      <c r="CV434" s="81">
        <f t="shared" si="169"/>
        <v>0</v>
      </c>
      <c r="CW434" s="144"/>
      <c r="CX434" s="145">
        <f>IF(ISERROR(VLOOKUP($A434,FIJOS!$B$11:$O$590,14,FALSE)),0,VLOOKUP($A434,FIJOS!$B$11:$O$590,14,FALSE))</f>
        <v>0</v>
      </c>
      <c r="CY434" s="145">
        <f>IF(ISERROR(VLOOKUP(A434,FIJOS!$B$10:$P$590,15,FALSE)),0,VLOOKUP(A434,FIJOS!$B$10:$P$590,15,FALSE))</f>
        <v>0</v>
      </c>
      <c r="CZ434" s="155"/>
      <c r="DA434" s="147"/>
      <c r="DB434" s="147"/>
      <c r="DC434" s="147"/>
      <c r="DD434" s="147"/>
      <c r="DE434" s="147"/>
      <c r="DF434" s="145">
        <f>IF(ISERROR(VLOOKUP($A434,FIJOS!$B$11:$N$590,13,FALSE)),0,VLOOKUP($A434,FIJOS!$B$11:$N$590,13,FALSE))</f>
        <v>0</v>
      </c>
      <c r="DG434" s="145">
        <f>IF(ISERROR(VLOOKUP($A434,FIJOS!$B$11:$P$447,12,FALSE)),0,VLOOKUP($A434,FIJOS!$B$11:$P$447,12,FALSE))</f>
        <v>0</v>
      </c>
      <c r="DH434" s="82">
        <f t="shared" si="242"/>
        <v>0</v>
      </c>
      <c r="DI434" s="83" t="b">
        <f>IF($C434=1,(VLOOKUP($A434,FIJOS!$B$11:$P$545,10,FALSE)/7)*(7-$CU434),IF(AND($C434=2,CV434&lt;$DJ$1),(VLOOKUP($D434,HORAS!$B$4:$C$42,2,FALSE)*24)*$CV434,IF(AND($C434=2,CV434&gt;=$DJ$1),VLOOKUP($D434,HORAS!$B$4:$D$42,3,FALSE),IF(AND($C434=3,$CV434&gt;=$DJ$1),VLOOKUP($A434,FIJOS!$B$11:$P$545,10,FALSE),IF(AND($C434=3,$CV434&lt;$DJ$1),((VLOOKUP($A434,FIJOS!$B$11:$P$545,10,FALSE)/48)*24)*$CV434,IF(AND($C434=4,$CV434&gt;=(42/24)),VLOOKUP($D434,HORAS!$B$4:$D$42,3,FALSE),IF(AND($C434=5,$CV434&gt;=(36/24)),VLOOKUP($D434,HORAS!$B$4:$D$42,3,FALSE))))))))</f>
        <v>0</v>
      </c>
      <c r="DJ434" s="145">
        <f>IF(OR($C434=2),VLOOKUP($D434,HORAS!$B$4:$E$42,4,FALSE)*$EC434,IF(ISERROR(VLOOKUP($A434,FIJOS!$B$11:$P$108,9,FALSE)),0,VLOOKUP($A434,FIJOS!$B$11:$P$231,9,FALSE)*$EC434))</f>
        <v>0</v>
      </c>
      <c r="DK434" s="145">
        <f>IF(OR($C434=2),VLOOKUP($D434,HORAS!$B$4:$F$42,5,FALSE)*$EE434,IF(ISERROR(VLOOKUP($A434,FIJOS!$B$11:$P$108,9,FALSE)),0,VLOOKUP($A434,FIJOS!$B$11:$P$231,9,FALSE)*$EE434))</f>
        <v>0</v>
      </c>
      <c r="DL434" s="144"/>
      <c r="DM434" s="145">
        <f>IF(ISERROR(VLOOKUP($A434,FIJOS!$B$11:$L$646,11,FALSE)),0,VLOOKUP($A434,FIJOS!$B$11:$L$646,11,FALSE))</f>
        <v>0</v>
      </c>
      <c r="DN434" s="148" t="e">
        <f>IF(OR($C434=1,$C434=3),0,IF((VLOOKUP(CAPTURA!D434,HORAS!$B$4:$K$42,10,FALSE)/4)*COUNTIF($H434:$CT434,3)&gt;100,100,(VLOOKUP(CAPTURA!D434,HORAS!$B$4:$K$42,10,FALSE)/4)*COUNTIF($H434:$CT434,3)))</f>
        <v>#N/A</v>
      </c>
      <c r="DO434" s="144" t="e">
        <f>IF(OR($C434=1,$C434=3),0,IF($C434=5,VLOOKUP(D434,HORAS!$B$4:$G$42,6,FALSE),IF(AND($C434=4,$CV434&gt;=(42/24)),VLOOKUP(D434,HORAS!$B$4:$G$42,6,FALSE),IF(COUNTIF($H434:$CL434,"F")&gt;0,0,IF(CV434&gt;$DJ$1,$DJ$1*(VLOOKUP(D434,HORAS!$B$4:$G$42,6,FALSE)/$DJ$1),CV434*(VLOOKUP(D434,HORAS!$B$4:$G$42,6,FALSE)/$DJ$1))))))</f>
        <v>#N/A</v>
      </c>
      <c r="DP434" s="156"/>
      <c r="DQ434" s="148"/>
      <c r="DR434" s="148"/>
      <c r="DS434" s="83" t="e">
        <f t="shared" si="162"/>
        <v>#N/A</v>
      </c>
      <c r="DT434" s="84"/>
      <c r="DU434" s="149" t="e">
        <f t="shared" si="243"/>
        <v>#N/A</v>
      </c>
      <c r="DV434" s="149" t="e">
        <f t="shared" si="244"/>
        <v>#N/A</v>
      </c>
      <c r="DW434" s="144" t="e">
        <f t="shared" si="245"/>
        <v>#N/A</v>
      </c>
      <c r="DX434" s="168"/>
      <c r="DY434" s="29"/>
      <c r="DZ434" s="150"/>
      <c r="EA434" s="134"/>
      <c r="EB434" s="137">
        <f t="shared" si="246"/>
        <v>0</v>
      </c>
      <c r="EC434" s="138">
        <f t="shared" si="247"/>
        <v>0</v>
      </c>
      <c r="ED434" s="137">
        <f t="shared" si="248"/>
        <v>0</v>
      </c>
      <c r="EE434" s="132">
        <f t="shared" si="249"/>
        <v>0</v>
      </c>
      <c r="EF434" s="29"/>
      <c r="EG434" s="134"/>
      <c r="EH434" s="134"/>
      <c r="EI434" s="134"/>
      <c r="EK434" s="29"/>
    </row>
    <row r="435" spans="1:141" ht="15" customHeight="1" x14ac:dyDescent="0.25">
      <c r="A435" s="87"/>
      <c r="B435" s="5"/>
      <c r="C435" s="72"/>
      <c r="D435" s="73"/>
      <c r="E435" s="73"/>
      <c r="F435" s="141"/>
      <c r="G435" s="74"/>
      <c r="H435" s="75"/>
      <c r="I435" s="76"/>
      <c r="J435" s="135"/>
      <c r="K435" s="135"/>
      <c r="L435" s="77">
        <f t="shared" si="138"/>
        <v>0</v>
      </c>
      <c r="M435" s="78"/>
      <c r="N435" s="142"/>
      <c r="O435" s="142"/>
      <c r="P435" s="77">
        <f t="shared" si="139"/>
        <v>0</v>
      </c>
      <c r="Q435" s="78"/>
      <c r="R435" s="143"/>
      <c r="S435" s="143"/>
      <c r="T435" s="77">
        <f t="shared" si="140"/>
        <v>0</v>
      </c>
      <c r="U435" s="75"/>
      <c r="V435" s="76"/>
      <c r="W435" s="135"/>
      <c r="X435" s="135"/>
      <c r="Y435" s="77">
        <f t="shared" si="141"/>
        <v>0</v>
      </c>
      <c r="Z435" s="78"/>
      <c r="AA435" s="142"/>
      <c r="AB435" s="142"/>
      <c r="AC435" s="77">
        <f t="shared" si="142"/>
        <v>0</v>
      </c>
      <c r="AD435" s="78"/>
      <c r="AE435" s="143"/>
      <c r="AF435" s="143"/>
      <c r="AG435" s="79">
        <f t="shared" si="143"/>
        <v>0</v>
      </c>
      <c r="AH435" s="75"/>
      <c r="AI435" s="76"/>
      <c r="AJ435" s="135"/>
      <c r="AK435" s="135"/>
      <c r="AL435" s="77">
        <f t="shared" si="144"/>
        <v>0</v>
      </c>
      <c r="AM435" s="76"/>
      <c r="AN435" s="142"/>
      <c r="AO435" s="142"/>
      <c r="AP435" s="77">
        <f t="shared" si="145"/>
        <v>0</v>
      </c>
      <c r="AQ435" s="78"/>
      <c r="AR435" s="142"/>
      <c r="AS435" s="142"/>
      <c r="AT435" s="79">
        <f t="shared" si="146"/>
        <v>0</v>
      </c>
      <c r="AU435" s="75"/>
      <c r="AV435" s="76"/>
      <c r="AW435" s="135"/>
      <c r="AX435" s="135"/>
      <c r="AY435" s="77">
        <f t="shared" si="147"/>
        <v>0</v>
      </c>
      <c r="AZ435" s="76"/>
      <c r="BA435" s="142"/>
      <c r="BB435" s="142"/>
      <c r="BC435" s="77">
        <f t="shared" si="148"/>
        <v>0</v>
      </c>
      <c r="BD435" s="78"/>
      <c r="BE435" s="142"/>
      <c r="BF435" s="142"/>
      <c r="BG435" s="79">
        <f t="shared" si="149"/>
        <v>0</v>
      </c>
      <c r="BH435" s="75"/>
      <c r="BI435" s="76"/>
      <c r="BJ435" s="135"/>
      <c r="BK435" s="135"/>
      <c r="BL435" s="77">
        <f t="shared" si="150"/>
        <v>0</v>
      </c>
      <c r="BM435" s="78"/>
      <c r="BN435" s="142"/>
      <c r="BO435" s="142"/>
      <c r="BP435" s="77">
        <f t="shared" si="151"/>
        <v>0</v>
      </c>
      <c r="BQ435" s="78"/>
      <c r="BR435" s="142"/>
      <c r="BS435" s="142"/>
      <c r="BT435" s="79">
        <f t="shared" si="152"/>
        <v>0</v>
      </c>
      <c r="BU435" s="75"/>
      <c r="BV435" s="76"/>
      <c r="BW435" s="135"/>
      <c r="BX435" s="135"/>
      <c r="BY435" s="77">
        <f t="shared" si="153"/>
        <v>0</v>
      </c>
      <c r="BZ435" s="78"/>
      <c r="CA435" s="142"/>
      <c r="CB435" s="142"/>
      <c r="CC435" s="77">
        <f t="shared" si="154"/>
        <v>0</v>
      </c>
      <c r="CD435" s="78"/>
      <c r="CE435" s="142"/>
      <c r="CF435" s="142"/>
      <c r="CG435" s="79">
        <f t="shared" si="155"/>
        <v>0</v>
      </c>
      <c r="CH435" s="75"/>
      <c r="CI435" s="76"/>
      <c r="CJ435" s="86"/>
      <c r="CK435" s="86"/>
      <c r="CL435" s="77">
        <f t="shared" si="156"/>
        <v>0</v>
      </c>
      <c r="CM435" s="78"/>
      <c r="CN435" s="85"/>
      <c r="CO435" s="85"/>
      <c r="CP435" s="77">
        <f t="shared" si="157"/>
        <v>0</v>
      </c>
      <c r="CQ435" s="78"/>
      <c r="CR435" s="85"/>
      <c r="CS435" s="85"/>
      <c r="CT435" s="79">
        <f t="shared" si="158"/>
        <v>0</v>
      </c>
      <c r="CU435" s="80">
        <f t="shared" si="168"/>
        <v>0</v>
      </c>
      <c r="CV435" s="81">
        <f t="shared" si="169"/>
        <v>0</v>
      </c>
      <c r="CW435" s="144"/>
      <c r="CX435" s="145">
        <f>IF(ISERROR(VLOOKUP($A435,FIJOS!$B$11:$O$590,14,FALSE)),0,VLOOKUP($A435,FIJOS!$B$11:$O$590,14,FALSE))</f>
        <v>0</v>
      </c>
      <c r="CY435" s="145">
        <f>IF(ISERROR(VLOOKUP(A435,FIJOS!$B$10:$P$590,15,FALSE)),0,VLOOKUP(A435,FIJOS!$B$10:$P$590,15,FALSE))</f>
        <v>0</v>
      </c>
      <c r="CZ435" s="155"/>
      <c r="DA435" s="147"/>
      <c r="DB435" s="147"/>
      <c r="DC435" s="147"/>
      <c r="DD435" s="147"/>
      <c r="DE435" s="147"/>
      <c r="DF435" s="145">
        <f>IF(ISERROR(VLOOKUP($A435,FIJOS!$B$11:$N$590,13,FALSE)),0,VLOOKUP($A435,FIJOS!$B$11:$N$590,13,FALSE))</f>
        <v>0</v>
      </c>
      <c r="DG435" s="145">
        <f>IF(ISERROR(VLOOKUP($A435,FIJOS!$B$11:$P$447,12,FALSE)),0,VLOOKUP($A435,FIJOS!$B$11:$P$447,12,FALSE))</f>
        <v>0</v>
      </c>
      <c r="DH435" s="82">
        <f t="shared" si="242"/>
        <v>0</v>
      </c>
      <c r="DI435" s="83" t="b">
        <f>IF($C435=1,(VLOOKUP($A435,FIJOS!$B$11:$P$545,10,FALSE)/7)*(7-$CU435),IF(AND($C435=2,CV435&lt;$DJ$1),(VLOOKUP($D435,HORAS!$B$4:$C$42,2,FALSE)*24)*$CV435,IF(AND($C435=2,CV435&gt;=$DJ$1),VLOOKUP($D435,HORAS!$B$4:$D$42,3,FALSE),IF(AND($C435=3,$CV435&gt;=$DJ$1),VLOOKUP($A435,FIJOS!$B$11:$P$545,10,FALSE),IF(AND($C435=3,$CV435&lt;$DJ$1),((VLOOKUP($A435,FIJOS!$B$11:$P$545,10,FALSE)/48)*24)*$CV435,IF(AND($C435=4,$CV435&gt;=(42/24)),VLOOKUP($D435,HORAS!$B$4:$D$42,3,FALSE),IF(AND($C435=5,$CV435&gt;=(36/24)),VLOOKUP($D435,HORAS!$B$4:$D$42,3,FALSE))))))))</f>
        <v>0</v>
      </c>
      <c r="DJ435" s="145">
        <f>IF(OR($C435=2),VLOOKUP($D435,HORAS!$B$4:$E$42,4,FALSE)*$EC435,IF(ISERROR(VLOOKUP($A435,FIJOS!$B$11:$P$108,9,FALSE)),0,VLOOKUP($A435,FIJOS!$B$11:$P$231,9,FALSE)*$EC435))</f>
        <v>0</v>
      </c>
      <c r="DK435" s="145">
        <f>IF(OR($C435=2),VLOOKUP($D435,HORAS!$B$4:$F$42,5,FALSE)*$EE435,IF(ISERROR(VLOOKUP($A435,FIJOS!$B$11:$P$108,9,FALSE)),0,VLOOKUP($A435,FIJOS!$B$11:$P$231,9,FALSE)*$EE435))</f>
        <v>0</v>
      </c>
      <c r="DL435" s="144"/>
      <c r="DM435" s="145">
        <f>IF(ISERROR(VLOOKUP($A435,FIJOS!$B$11:$L$646,11,FALSE)),0,VLOOKUP($A435,FIJOS!$B$11:$L$646,11,FALSE))</f>
        <v>0</v>
      </c>
      <c r="DN435" s="148" t="e">
        <f>IF(OR($C435=1,$C435=3),0,IF((VLOOKUP(CAPTURA!D435,HORAS!$B$4:$K$42,10,FALSE)/4)*COUNTIF($H435:$CT435,3)&gt;100,100,(VLOOKUP(CAPTURA!D435,HORAS!$B$4:$K$42,10,FALSE)/4)*COUNTIF($H435:$CT435,3)))</f>
        <v>#N/A</v>
      </c>
      <c r="DO435" s="144" t="e">
        <f>IF(OR($C435=1,$C435=3),0,IF($C435=5,VLOOKUP(D435,HORAS!$B$4:$G$42,6,FALSE),IF(AND($C435=4,$CV435&gt;=(42/24)),VLOOKUP(D435,HORAS!$B$4:$G$42,6,FALSE),IF(COUNTIF($H435:$CL435,"F")&gt;0,0,IF(CV435&gt;$DJ$1,$DJ$1*(VLOOKUP(D435,HORAS!$B$4:$G$42,6,FALSE)/$DJ$1),CV435*(VLOOKUP(D435,HORAS!$B$4:$G$42,6,FALSE)/$DJ$1))))))</f>
        <v>#N/A</v>
      </c>
      <c r="DP435" s="156"/>
      <c r="DQ435" s="148"/>
      <c r="DR435" s="148"/>
      <c r="DS435" s="83" t="e">
        <f t="shared" si="162"/>
        <v>#N/A</v>
      </c>
      <c r="DT435" s="84"/>
      <c r="DU435" s="149" t="e">
        <f t="shared" si="243"/>
        <v>#N/A</v>
      </c>
      <c r="DV435" s="149" t="e">
        <f t="shared" si="244"/>
        <v>#N/A</v>
      </c>
      <c r="DW435" s="144" t="e">
        <f t="shared" si="245"/>
        <v>#N/A</v>
      </c>
      <c r="DX435" s="168"/>
      <c r="DY435" s="29"/>
      <c r="DZ435" s="150"/>
      <c r="EA435" s="134"/>
      <c r="EB435" s="137">
        <f t="shared" si="246"/>
        <v>0</v>
      </c>
      <c r="EC435" s="138">
        <f t="shared" si="247"/>
        <v>0</v>
      </c>
      <c r="ED435" s="137">
        <f t="shared" si="248"/>
        <v>0</v>
      </c>
      <c r="EE435" s="132">
        <f t="shared" si="249"/>
        <v>0</v>
      </c>
      <c r="EF435" s="29"/>
      <c r="EG435" s="134"/>
      <c r="EH435" s="134"/>
      <c r="EI435" s="134"/>
      <c r="EK435" s="29"/>
    </row>
    <row r="436" spans="1:141" ht="15" customHeight="1" x14ac:dyDescent="0.25">
      <c r="A436" s="87"/>
      <c r="B436" s="5"/>
      <c r="C436" s="72"/>
      <c r="D436" s="73"/>
      <c r="E436" s="73"/>
      <c r="F436" s="141"/>
      <c r="G436" s="74"/>
      <c r="H436" s="75"/>
      <c r="I436" s="76"/>
      <c r="J436" s="135"/>
      <c r="K436" s="135"/>
      <c r="L436" s="77">
        <f t="shared" si="138"/>
        <v>0</v>
      </c>
      <c r="M436" s="78"/>
      <c r="N436" s="142"/>
      <c r="O436" s="142"/>
      <c r="P436" s="77">
        <f t="shared" si="139"/>
        <v>0</v>
      </c>
      <c r="Q436" s="78"/>
      <c r="R436" s="143"/>
      <c r="S436" s="143"/>
      <c r="T436" s="77">
        <f t="shared" si="140"/>
        <v>0</v>
      </c>
      <c r="U436" s="75"/>
      <c r="V436" s="76"/>
      <c r="W436" s="135"/>
      <c r="X436" s="135"/>
      <c r="Y436" s="77">
        <f t="shared" si="141"/>
        <v>0</v>
      </c>
      <c r="Z436" s="78"/>
      <c r="AA436" s="142"/>
      <c r="AB436" s="142"/>
      <c r="AC436" s="77">
        <f t="shared" si="142"/>
        <v>0</v>
      </c>
      <c r="AD436" s="78"/>
      <c r="AE436" s="143"/>
      <c r="AF436" s="143"/>
      <c r="AG436" s="79">
        <f t="shared" si="143"/>
        <v>0</v>
      </c>
      <c r="AH436" s="75"/>
      <c r="AI436" s="76"/>
      <c r="AJ436" s="135"/>
      <c r="AK436" s="135"/>
      <c r="AL436" s="77">
        <f t="shared" si="144"/>
        <v>0</v>
      </c>
      <c r="AM436" s="76"/>
      <c r="AN436" s="142"/>
      <c r="AO436" s="142"/>
      <c r="AP436" s="77">
        <f t="shared" si="145"/>
        <v>0</v>
      </c>
      <c r="AQ436" s="78"/>
      <c r="AR436" s="142"/>
      <c r="AS436" s="142"/>
      <c r="AT436" s="79">
        <f t="shared" si="146"/>
        <v>0</v>
      </c>
      <c r="AU436" s="75"/>
      <c r="AV436" s="76"/>
      <c r="AW436" s="135"/>
      <c r="AX436" s="135"/>
      <c r="AY436" s="77">
        <f t="shared" si="147"/>
        <v>0</v>
      </c>
      <c r="AZ436" s="76"/>
      <c r="BA436" s="142"/>
      <c r="BB436" s="142"/>
      <c r="BC436" s="77">
        <f t="shared" si="148"/>
        <v>0</v>
      </c>
      <c r="BD436" s="78"/>
      <c r="BE436" s="142"/>
      <c r="BF436" s="142"/>
      <c r="BG436" s="79">
        <f t="shared" si="149"/>
        <v>0</v>
      </c>
      <c r="BH436" s="75"/>
      <c r="BI436" s="76"/>
      <c r="BJ436" s="135"/>
      <c r="BK436" s="135"/>
      <c r="BL436" s="77">
        <f t="shared" si="150"/>
        <v>0</v>
      </c>
      <c r="BM436" s="78"/>
      <c r="BN436" s="142"/>
      <c r="BO436" s="142"/>
      <c r="BP436" s="77">
        <f t="shared" si="151"/>
        <v>0</v>
      </c>
      <c r="BQ436" s="78"/>
      <c r="BR436" s="142"/>
      <c r="BS436" s="142"/>
      <c r="BT436" s="79">
        <f t="shared" si="152"/>
        <v>0</v>
      </c>
      <c r="BU436" s="75"/>
      <c r="BV436" s="76"/>
      <c r="BW436" s="135"/>
      <c r="BX436" s="135"/>
      <c r="BY436" s="77">
        <f t="shared" si="153"/>
        <v>0</v>
      </c>
      <c r="BZ436" s="78"/>
      <c r="CA436" s="142"/>
      <c r="CB436" s="142"/>
      <c r="CC436" s="77">
        <f t="shared" si="154"/>
        <v>0</v>
      </c>
      <c r="CD436" s="78"/>
      <c r="CE436" s="142"/>
      <c r="CF436" s="142"/>
      <c r="CG436" s="79">
        <f t="shared" si="155"/>
        <v>0</v>
      </c>
      <c r="CH436" s="75"/>
      <c r="CI436" s="76"/>
      <c r="CJ436" s="86"/>
      <c r="CK436" s="86"/>
      <c r="CL436" s="77">
        <f t="shared" si="156"/>
        <v>0</v>
      </c>
      <c r="CM436" s="78"/>
      <c r="CN436" s="85"/>
      <c r="CO436" s="85"/>
      <c r="CP436" s="77">
        <f t="shared" si="157"/>
        <v>0</v>
      </c>
      <c r="CQ436" s="78"/>
      <c r="CR436" s="85"/>
      <c r="CS436" s="85"/>
      <c r="CT436" s="79">
        <f t="shared" si="158"/>
        <v>0</v>
      </c>
      <c r="CU436" s="80">
        <f t="shared" si="168"/>
        <v>0</v>
      </c>
      <c r="CV436" s="81">
        <f t="shared" si="169"/>
        <v>0</v>
      </c>
      <c r="CW436" s="144"/>
      <c r="CX436" s="145">
        <f>IF(ISERROR(VLOOKUP($A436,FIJOS!$B$11:$O$590,14,FALSE)),0,VLOOKUP($A436,FIJOS!$B$11:$O$590,14,FALSE))</f>
        <v>0</v>
      </c>
      <c r="CY436" s="145">
        <f>IF(ISERROR(VLOOKUP(A436,FIJOS!$B$10:$P$590,15,FALSE)),0,VLOOKUP(A436,FIJOS!$B$10:$P$590,15,FALSE))</f>
        <v>0</v>
      </c>
      <c r="CZ436" s="155"/>
      <c r="DA436" s="147"/>
      <c r="DB436" s="147"/>
      <c r="DC436" s="147"/>
      <c r="DD436" s="147"/>
      <c r="DE436" s="147"/>
      <c r="DF436" s="145">
        <f>IF(ISERROR(VLOOKUP($A436,FIJOS!$B$11:$N$590,13,FALSE)),0,VLOOKUP($A436,FIJOS!$B$11:$N$590,13,FALSE))</f>
        <v>0</v>
      </c>
      <c r="DG436" s="145">
        <f>IF(ISERROR(VLOOKUP($A436,FIJOS!$B$11:$P$447,12,FALSE)),0,VLOOKUP($A436,FIJOS!$B$11:$P$447,12,FALSE))</f>
        <v>0</v>
      </c>
      <c r="DH436" s="82">
        <f t="shared" si="242"/>
        <v>0</v>
      </c>
      <c r="DI436" s="83" t="b">
        <f>IF($C436=1,(VLOOKUP($A436,FIJOS!$B$11:$P$545,10,FALSE)/7)*(7-$CU436),IF(AND($C436=2,CV436&lt;$DJ$1),(VLOOKUP($D436,HORAS!$B$4:$C$42,2,FALSE)*24)*$CV436,IF(AND($C436=2,CV436&gt;=$DJ$1),VLOOKUP($D436,HORAS!$B$4:$D$42,3,FALSE),IF(AND($C436=3,$CV436&gt;=$DJ$1),VLOOKUP($A436,FIJOS!$B$11:$P$545,10,FALSE),IF(AND($C436=3,$CV436&lt;$DJ$1),((VLOOKUP($A436,FIJOS!$B$11:$P$545,10,FALSE)/48)*24)*$CV436,IF(AND($C436=4,$CV436&gt;=(42/24)),VLOOKUP($D436,HORAS!$B$4:$D$42,3,FALSE),IF(AND($C436=5,$CV436&gt;=(36/24)),VLOOKUP($D436,HORAS!$B$4:$D$42,3,FALSE))))))))</f>
        <v>0</v>
      </c>
      <c r="DJ436" s="145">
        <f>IF(OR($C436=2),VLOOKUP($D436,HORAS!$B$4:$E$42,4,FALSE)*$EC436,IF(ISERROR(VLOOKUP($A436,FIJOS!$B$11:$P$108,9,FALSE)),0,VLOOKUP($A436,FIJOS!$B$11:$P$231,9,FALSE)*$EC436))</f>
        <v>0</v>
      </c>
      <c r="DK436" s="145">
        <f>IF(OR($C436=2),VLOOKUP($D436,HORAS!$B$4:$F$42,5,FALSE)*$EE436,IF(ISERROR(VLOOKUP($A436,FIJOS!$B$11:$P$108,9,FALSE)),0,VLOOKUP($A436,FIJOS!$B$11:$P$231,9,FALSE)*$EE436))</f>
        <v>0</v>
      </c>
      <c r="DL436" s="144"/>
      <c r="DM436" s="145">
        <f>IF(ISERROR(VLOOKUP($A436,FIJOS!$B$11:$L$646,11,FALSE)),0,VLOOKUP($A436,FIJOS!$B$11:$L$646,11,FALSE))</f>
        <v>0</v>
      </c>
      <c r="DN436" s="148" t="e">
        <f>IF(OR($C436=1,$C436=3),0,IF((VLOOKUP(CAPTURA!D436,HORAS!$B$4:$K$42,10,FALSE)/4)*COUNTIF($H436:$CT436,3)&gt;100,100,(VLOOKUP(CAPTURA!D436,HORAS!$B$4:$K$42,10,FALSE)/4)*COUNTIF($H436:$CT436,3)))</f>
        <v>#N/A</v>
      </c>
      <c r="DO436" s="144" t="e">
        <f>IF(OR($C436=1,$C436=3),0,IF($C436=5,VLOOKUP(D436,HORAS!$B$4:$G$42,6,FALSE),IF(AND($C436=4,$CV436&gt;=(42/24)),VLOOKUP(D436,HORAS!$B$4:$G$42,6,FALSE),IF(COUNTIF($H436:$CL436,"F")&gt;0,0,IF(CV436&gt;$DJ$1,$DJ$1*(VLOOKUP(D436,HORAS!$B$4:$G$42,6,FALSE)/$DJ$1),CV436*(VLOOKUP(D436,HORAS!$B$4:$G$42,6,FALSE)/$DJ$1))))))</f>
        <v>#N/A</v>
      </c>
      <c r="DP436" s="156"/>
      <c r="DQ436" s="148"/>
      <c r="DR436" s="148"/>
      <c r="DS436" s="83" t="e">
        <f t="shared" si="162"/>
        <v>#N/A</v>
      </c>
      <c r="DT436" s="84"/>
      <c r="DU436" s="149" t="e">
        <f t="shared" si="243"/>
        <v>#N/A</v>
      </c>
      <c r="DV436" s="149" t="e">
        <f t="shared" si="244"/>
        <v>#N/A</v>
      </c>
      <c r="DW436" s="144" t="e">
        <f t="shared" si="245"/>
        <v>#N/A</v>
      </c>
      <c r="DX436" s="168"/>
      <c r="DY436" s="29"/>
      <c r="DZ436" s="150"/>
      <c r="EA436" s="134"/>
      <c r="EB436" s="137">
        <f t="shared" si="246"/>
        <v>0</v>
      </c>
      <c r="EC436" s="138">
        <f t="shared" si="247"/>
        <v>0</v>
      </c>
      <c r="ED436" s="137">
        <f t="shared" si="248"/>
        <v>0</v>
      </c>
      <c r="EE436" s="132">
        <f t="shared" si="249"/>
        <v>0</v>
      </c>
      <c r="EF436" s="29"/>
      <c r="EG436" s="134"/>
      <c r="EH436" s="134"/>
      <c r="EI436" s="134"/>
      <c r="EK436" s="29"/>
    </row>
    <row r="437" spans="1:141" ht="15" customHeight="1" x14ac:dyDescent="0.25">
      <c r="A437" s="87"/>
      <c r="B437" s="5"/>
      <c r="C437" s="72"/>
      <c r="D437" s="73"/>
      <c r="E437" s="73"/>
      <c r="F437" s="141"/>
      <c r="G437" s="74"/>
      <c r="H437" s="75"/>
      <c r="I437" s="76"/>
      <c r="J437" s="135"/>
      <c r="K437" s="135"/>
      <c r="L437" s="77">
        <f t="shared" si="138"/>
        <v>0</v>
      </c>
      <c r="M437" s="78"/>
      <c r="N437" s="142"/>
      <c r="O437" s="142"/>
      <c r="P437" s="77">
        <f t="shared" si="139"/>
        <v>0</v>
      </c>
      <c r="Q437" s="78"/>
      <c r="R437" s="143"/>
      <c r="S437" s="143"/>
      <c r="T437" s="77">
        <f t="shared" si="140"/>
        <v>0</v>
      </c>
      <c r="U437" s="75"/>
      <c r="V437" s="76"/>
      <c r="W437" s="135"/>
      <c r="X437" s="135"/>
      <c r="Y437" s="77">
        <f t="shared" si="141"/>
        <v>0</v>
      </c>
      <c r="Z437" s="78"/>
      <c r="AA437" s="142"/>
      <c r="AB437" s="142"/>
      <c r="AC437" s="77">
        <f t="shared" si="142"/>
        <v>0</v>
      </c>
      <c r="AD437" s="78"/>
      <c r="AE437" s="143"/>
      <c r="AF437" s="143"/>
      <c r="AG437" s="79">
        <f t="shared" si="143"/>
        <v>0</v>
      </c>
      <c r="AH437" s="75"/>
      <c r="AI437" s="76"/>
      <c r="AJ437" s="135"/>
      <c r="AK437" s="135"/>
      <c r="AL437" s="77">
        <f t="shared" si="144"/>
        <v>0</v>
      </c>
      <c r="AM437" s="76"/>
      <c r="AN437" s="142"/>
      <c r="AO437" s="142"/>
      <c r="AP437" s="77">
        <f t="shared" si="145"/>
        <v>0</v>
      </c>
      <c r="AQ437" s="78"/>
      <c r="AR437" s="142"/>
      <c r="AS437" s="142"/>
      <c r="AT437" s="79">
        <f t="shared" si="146"/>
        <v>0</v>
      </c>
      <c r="AU437" s="75"/>
      <c r="AV437" s="76"/>
      <c r="AW437" s="135"/>
      <c r="AX437" s="135"/>
      <c r="AY437" s="77">
        <f t="shared" si="147"/>
        <v>0</v>
      </c>
      <c r="AZ437" s="76"/>
      <c r="BA437" s="142"/>
      <c r="BB437" s="142"/>
      <c r="BC437" s="77">
        <f t="shared" si="148"/>
        <v>0</v>
      </c>
      <c r="BD437" s="78"/>
      <c r="BE437" s="142"/>
      <c r="BF437" s="142"/>
      <c r="BG437" s="79">
        <f t="shared" si="149"/>
        <v>0</v>
      </c>
      <c r="BH437" s="75"/>
      <c r="BI437" s="76"/>
      <c r="BJ437" s="135"/>
      <c r="BK437" s="135"/>
      <c r="BL437" s="77">
        <f t="shared" si="150"/>
        <v>0</v>
      </c>
      <c r="BM437" s="78"/>
      <c r="BN437" s="142"/>
      <c r="BO437" s="142"/>
      <c r="BP437" s="77">
        <f t="shared" si="151"/>
        <v>0</v>
      </c>
      <c r="BQ437" s="78"/>
      <c r="BR437" s="142"/>
      <c r="BS437" s="142"/>
      <c r="BT437" s="79">
        <f t="shared" si="152"/>
        <v>0</v>
      </c>
      <c r="BU437" s="75"/>
      <c r="BV437" s="76"/>
      <c r="BW437" s="135"/>
      <c r="BX437" s="135"/>
      <c r="BY437" s="77">
        <f t="shared" si="153"/>
        <v>0</v>
      </c>
      <c r="BZ437" s="78"/>
      <c r="CA437" s="142"/>
      <c r="CB437" s="142"/>
      <c r="CC437" s="77">
        <f t="shared" si="154"/>
        <v>0</v>
      </c>
      <c r="CD437" s="78"/>
      <c r="CE437" s="142"/>
      <c r="CF437" s="142"/>
      <c r="CG437" s="79">
        <f t="shared" si="155"/>
        <v>0</v>
      </c>
      <c r="CH437" s="75"/>
      <c r="CI437" s="76"/>
      <c r="CJ437" s="86"/>
      <c r="CK437" s="86"/>
      <c r="CL437" s="77">
        <f t="shared" si="156"/>
        <v>0</v>
      </c>
      <c r="CM437" s="78"/>
      <c r="CN437" s="85"/>
      <c r="CO437" s="85"/>
      <c r="CP437" s="77">
        <f t="shared" si="157"/>
        <v>0</v>
      </c>
      <c r="CQ437" s="78"/>
      <c r="CR437" s="85"/>
      <c r="CS437" s="85"/>
      <c r="CT437" s="79">
        <f t="shared" si="158"/>
        <v>0</v>
      </c>
      <c r="CU437" s="80">
        <f t="shared" si="168"/>
        <v>0</v>
      </c>
      <c r="CV437" s="81">
        <f t="shared" si="169"/>
        <v>0</v>
      </c>
      <c r="CW437" s="144"/>
      <c r="CX437" s="145">
        <f>IF(ISERROR(VLOOKUP($A437,FIJOS!$B$11:$O$590,14,FALSE)),0,VLOOKUP($A437,FIJOS!$B$11:$O$590,14,FALSE))</f>
        <v>0</v>
      </c>
      <c r="CY437" s="145">
        <f>IF(ISERROR(VLOOKUP(A437,FIJOS!$B$10:$P$590,15,FALSE)),0,VLOOKUP(A437,FIJOS!$B$10:$P$590,15,FALSE))</f>
        <v>0</v>
      </c>
      <c r="CZ437" s="155"/>
      <c r="DA437" s="147"/>
      <c r="DB437" s="147"/>
      <c r="DC437" s="147"/>
      <c r="DD437" s="147"/>
      <c r="DE437" s="147"/>
      <c r="DF437" s="145">
        <f>IF(ISERROR(VLOOKUP($A437,FIJOS!$B$11:$N$590,13,FALSE)),0,VLOOKUP($A437,FIJOS!$B$11:$N$590,13,FALSE))</f>
        <v>0</v>
      </c>
      <c r="DG437" s="145">
        <f>IF(ISERROR(VLOOKUP($A437,FIJOS!$B$11:$P$447,12,FALSE)),0,VLOOKUP($A437,FIJOS!$B$11:$P$447,12,FALSE))</f>
        <v>0</v>
      </c>
      <c r="DH437" s="82">
        <f t="shared" si="242"/>
        <v>0</v>
      </c>
      <c r="DI437" s="83" t="b">
        <f>IF($C437=1,(VLOOKUP($A437,FIJOS!$B$11:$P$545,10,FALSE)/7)*(7-$CU437),IF(AND($C437=2,CV437&lt;$DJ$1),(VLOOKUP($D437,HORAS!$B$4:$C$42,2,FALSE)*24)*$CV437,IF(AND($C437=2,CV437&gt;=$DJ$1),VLOOKUP($D437,HORAS!$B$4:$D$42,3,FALSE),IF(AND($C437=3,$CV437&gt;=$DJ$1),VLOOKUP($A437,FIJOS!$B$11:$P$545,10,FALSE),IF(AND($C437=3,$CV437&lt;$DJ$1),((VLOOKUP($A437,FIJOS!$B$11:$P$545,10,FALSE)/48)*24)*$CV437,IF(AND($C437=4,$CV437&gt;=(42/24)),VLOOKUP($D437,HORAS!$B$4:$D$42,3,FALSE),IF(AND($C437=5,$CV437&gt;=(36/24)),VLOOKUP($D437,HORAS!$B$4:$D$42,3,FALSE))))))))</f>
        <v>0</v>
      </c>
      <c r="DJ437" s="145">
        <f>IF(OR($C437=2),VLOOKUP($D437,HORAS!$B$4:$E$42,4,FALSE)*$EC437,IF(ISERROR(VLOOKUP($A437,FIJOS!$B$11:$P$108,9,FALSE)),0,VLOOKUP($A437,FIJOS!$B$11:$P$231,9,FALSE)*$EC437))</f>
        <v>0</v>
      </c>
      <c r="DK437" s="145">
        <f>IF(OR($C437=2),VLOOKUP($D437,HORAS!$B$4:$F$42,5,FALSE)*$EE437,IF(ISERROR(VLOOKUP($A437,FIJOS!$B$11:$P$108,9,FALSE)),0,VLOOKUP($A437,FIJOS!$B$11:$P$231,9,FALSE)*$EE437))</f>
        <v>0</v>
      </c>
      <c r="DL437" s="144"/>
      <c r="DM437" s="145">
        <f>IF(ISERROR(VLOOKUP($A437,FIJOS!$B$11:$L$646,11,FALSE)),0,VLOOKUP($A437,FIJOS!$B$11:$L$646,11,FALSE))</f>
        <v>0</v>
      </c>
      <c r="DN437" s="148" t="e">
        <f>IF(OR($C437=1,$C437=3),0,IF((VLOOKUP(CAPTURA!D437,HORAS!$B$4:$K$42,10,FALSE)/4)*COUNTIF($H437:$CT437,3)&gt;100,100,(VLOOKUP(CAPTURA!D437,HORAS!$B$4:$K$42,10,FALSE)/4)*COUNTIF($H437:$CT437,3)))</f>
        <v>#N/A</v>
      </c>
      <c r="DO437" s="144" t="e">
        <f>IF(OR($C437=1,$C437=3),0,IF($C437=5,VLOOKUP(D437,HORAS!$B$4:$G$42,6,FALSE),IF(AND($C437=4,$CV437&gt;=(42/24)),VLOOKUP(D437,HORAS!$B$4:$G$42,6,FALSE),IF(COUNTIF($H437:$CL437,"F")&gt;0,0,IF(CV437&gt;$DJ$1,$DJ$1*(VLOOKUP(D437,HORAS!$B$4:$G$42,6,FALSE)/$DJ$1),CV437*(VLOOKUP(D437,HORAS!$B$4:$G$42,6,FALSE)/$DJ$1))))))</f>
        <v>#N/A</v>
      </c>
      <c r="DP437" s="156"/>
      <c r="DQ437" s="148"/>
      <c r="DR437" s="148"/>
      <c r="DS437" s="83" t="e">
        <f t="shared" si="162"/>
        <v>#N/A</v>
      </c>
      <c r="DT437" s="84"/>
      <c r="DU437" s="149" t="e">
        <f t="shared" si="243"/>
        <v>#N/A</v>
      </c>
      <c r="DV437" s="149" t="e">
        <f t="shared" si="244"/>
        <v>#N/A</v>
      </c>
      <c r="DW437" s="144" t="e">
        <f t="shared" si="245"/>
        <v>#N/A</v>
      </c>
      <c r="DX437" s="168"/>
      <c r="DY437" s="29"/>
      <c r="DZ437" s="150"/>
      <c r="EA437" s="134"/>
      <c r="EB437" s="137">
        <f t="shared" si="246"/>
        <v>0</v>
      </c>
      <c r="EC437" s="138">
        <f t="shared" si="247"/>
        <v>0</v>
      </c>
      <c r="ED437" s="137">
        <f t="shared" si="248"/>
        <v>0</v>
      </c>
      <c r="EE437" s="132">
        <f t="shared" si="249"/>
        <v>0</v>
      </c>
      <c r="EF437" s="29"/>
      <c r="EG437" s="134"/>
      <c r="EH437" s="134"/>
      <c r="EI437" s="134"/>
      <c r="EK437" s="29"/>
    </row>
    <row r="438" spans="1:141" ht="15" customHeight="1" x14ac:dyDescent="0.25">
      <c r="A438" s="87"/>
      <c r="B438" s="5"/>
      <c r="C438" s="72"/>
      <c r="D438" s="73"/>
      <c r="E438" s="73"/>
      <c r="F438" s="141"/>
      <c r="G438" s="74"/>
      <c r="H438" s="75"/>
      <c r="I438" s="76"/>
      <c r="J438" s="135"/>
      <c r="K438" s="135"/>
      <c r="L438" s="77">
        <f t="shared" si="138"/>
        <v>0</v>
      </c>
      <c r="M438" s="78"/>
      <c r="N438" s="142"/>
      <c r="O438" s="142"/>
      <c r="P438" s="77">
        <f t="shared" si="139"/>
        <v>0</v>
      </c>
      <c r="Q438" s="78"/>
      <c r="R438" s="143"/>
      <c r="S438" s="143"/>
      <c r="T438" s="77">
        <f t="shared" si="140"/>
        <v>0</v>
      </c>
      <c r="U438" s="75"/>
      <c r="V438" s="76"/>
      <c r="W438" s="135"/>
      <c r="X438" s="135"/>
      <c r="Y438" s="77">
        <f t="shared" si="141"/>
        <v>0</v>
      </c>
      <c r="Z438" s="78"/>
      <c r="AA438" s="142"/>
      <c r="AB438" s="142"/>
      <c r="AC438" s="77">
        <f t="shared" si="142"/>
        <v>0</v>
      </c>
      <c r="AD438" s="78"/>
      <c r="AE438" s="143"/>
      <c r="AF438" s="143"/>
      <c r="AG438" s="79">
        <f t="shared" si="143"/>
        <v>0</v>
      </c>
      <c r="AH438" s="75"/>
      <c r="AI438" s="76"/>
      <c r="AJ438" s="135"/>
      <c r="AK438" s="135"/>
      <c r="AL438" s="77">
        <f t="shared" si="144"/>
        <v>0</v>
      </c>
      <c r="AM438" s="76"/>
      <c r="AN438" s="142"/>
      <c r="AO438" s="142"/>
      <c r="AP438" s="77">
        <f t="shared" si="145"/>
        <v>0</v>
      </c>
      <c r="AQ438" s="78"/>
      <c r="AR438" s="142"/>
      <c r="AS438" s="142"/>
      <c r="AT438" s="79">
        <f t="shared" si="146"/>
        <v>0</v>
      </c>
      <c r="AU438" s="75"/>
      <c r="AV438" s="76"/>
      <c r="AW438" s="135"/>
      <c r="AX438" s="135"/>
      <c r="AY438" s="77">
        <f t="shared" si="147"/>
        <v>0</v>
      </c>
      <c r="AZ438" s="76"/>
      <c r="BA438" s="142"/>
      <c r="BB438" s="142"/>
      <c r="BC438" s="77">
        <f t="shared" si="148"/>
        <v>0</v>
      </c>
      <c r="BD438" s="78"/>
      <c r="BE438" s="142"/>
      <c r="BF438" s="142"/>
      <c r="BG438" s="79">
        <f t="shared" si="149"/>
        <v>0</v>
      </c>
      <c r="BH438" s="75"/>
      <c r="BI438" s="76"/>
      <c r="BJ438" s="135"/>
      <c r="BK438" s="135"/>
      <c r="BL438" s="77">
        <f t="shared" si="150"/>
        <v>0</v>
      </c>
      <c r="BM438" s="78"/>
      <c r="BN438" s="142"/>
      <c r="BO438" s="142"/>
      <c r="BP438" s="77">
        <f t="shared" si="151"/>
        <v>0</v>
      </c>
      <c r="BQ438" s="78"/>
      <c r="BR438" s="142"/>
      <c r="BS438" s="142"/>
      <c r="BT438" s="79">
        <f t="shared" si="152"/>
        <v>0</v>
      </c>
      <c r="BU438" s="75"/>
      <c r="BV438" s="76"/>
      <c r="BW438" s="135"/>
      <c r="BX438" s="135"/>
      <c r="BY438" s="77">
        <f t="shared" si="153"/>
        <v>0</v>
      </c>
      <c r="BZ438" s="78"/>
      <c r="CA438" s="142"/>
      <c r="CB438" s="142"/>
      <c r="CC438" s="77">
        <f t="shared" si="154"/>
        <v>0</v>
      </c>
      <c r="CD438" s="78"/>
      <c r="CE438" s="142"/>
      <c r="CF438" s="142"/>
      <c r="CG438" s="79">
        <f t="shared" si="155"/>
        <v>0</v>
      </c>
      <c r="CH438" s="75"/>
      <c r="CI438" s="76"/>
      <c r="CJ438" s="86"/>
      <c r="CK438" s="86"/>
      <c r="CL438" s="77">
        <f t="shared" si="156"/>
        <v>0</v>
      </c>
      <c r="CM438" s="78"/>
      <c r="CN438" s="85"/>
      <c r="CO438" s="85"/>
      <c r="CP438" s="77">
        <f t="shared" si="157"/>
        <v>0</v>
      </c>
      <c r="CQ438" s="78"/>
      <c r="CR438" s="85"/>
      <c r="CS438" s="85"/>
      <c r="CT438" s="79">
        <f t="shared" si="158"/>
        <v>0</v>
      </c>
      <c r="CU438" s="80">
        <f t="shared" si="168"/>
        <v>0</v>
      </c>
      <c r="CV438" s="81">
        <f t="shared" si="169"/>
        <v>0</v>
      </c>
      <c r="CW438" s="144"/>
      <c r="CX438" s="145">
        <f>IF(ISERROR(VLOOKUP($A438,FIJOS!$B$11:$O$590,14,FALSE)),0,VLOOKUP($A438,FIJOS!$B$11:$O$590,14,FALSE))</f>
        <v>0</v>
      </c>
      <c r="CY438" s="145">
        <f>IF(ISERROR(VLOOKUP(A438,FIJOS!$B$10:$P$590,15,FALSE)),0,VLOOKUP(A438,FIJOS!$B$10:$P$590,15,FALSE))</f>
        <v>0</v>
      </c>
      <c r="CZ438" s="155"/>
      <c r="DA438" s="147"/>
      <c r="DB438" s="147"/>
      <c r="DC438" s="147"/>
      <c r="DD438" s="147"/>
      <c r="DE438" s="147"/>
      <c r="DF438" s="145">
        <f>IF(ISERROR(VLOOKUP($A438,FIJOS!$B$11:$N$590,13,FALSE)),0,VLOOKUP($A438,FIJOS!$B$11:$N$590,13,FALSE))</f>
        <v>0</v>
      </c>
      <c r="DG438" s="145">
        <f>IF(ISERROR(VLOOKUP($A438,FIJOS!$B$11:$P$447,12,FALSE)),0,VLOOKUP($A438,FIJOS!$B$11:$P$447,12,FALSE))</f>
        <v>0</v>
      </c>
      <c r="DH438" s="82">
        <f t="shared" si="242"/>
        <v>0</v>
      </c>
      <c r="DI438" s="83" t="b">
        <f>IF($C438=1,(VLOOKUP($A438,FIJOS!$B$11:$P$545,10,FALSE)/7)*(7-$CU438),IF(AND($C438=2,CV438&lt;$DJ$1),(VLOOKUP($D438,HORAS!$B$4:$C$42,2,FALSE)*24)*$CV438,IF(AND($C438=2,CV438&gt;=$DJ$1),VLOOKUP($D438,HORAS!$B$4:$D$42,3,FALSE),IF(AND($C438=3,$CV438&gt;=$DJ$1),VLOOKUP($A438,FIJOS!$B$11:$P$545,10,FALSE),IF(AND($C438=3,$CV438&lt;$DJ$1),((VLOOKUP($A438,FIJOS!$B$11:$P$545,10,FALSE)/48)*24)*$CV438,IF(AND($C438=4,$CV438&gt;=(42/24)),VLOOKUP($D438,HORAS!$B$4:$D$42,3,FALSE),IF(AND($C438=5,$CV438&gt;=(36/24)),VLOOKUP($D438,HORAS!$B$4:$D$42,3,FALSE))))))))</f>
        <v>0</v>
      </c>
      <c r="DJ438" s="145">
        <f>IF(OR($C438=2),VLOOKUP($D438,HORAS!$B$4:$E$42,4,FALSE)*$EC438,IF(ISERROR(VLOOKUP($A438,FIJOS!$B$11:$P$108,9,FALSE)),0,VLOOKUP($A438,FIJOS!$B$11:$P$231,9,FALSE)*$EC438))</f>
        <v>0</v>
      </c>
      <c r="DK438" s="145">
        <f>IF(OR($C438=2),VLOOKUP($D438,HORAS!$B$4:$F$42,5,FALSE)*$EE438,IF(ISERROR(VLOOKUP($A438,FIJOS!$B$11:$P$108,9,FALSE)),0,VLOOKUP($A438,FIJOS!$B$11:$P$231,9,FALSE)*$EE438))</f>
        <v>0</v>
      </c>
      <c r="DL438" s="144"/>
      <c r="DM438" s="145">
        <f>IF(ISERROR(VLOOKUP($A438,FIJOS!$B$11:$L$646,11,FALSE)),0,VLOOKUP($A438,FIJOS!$B$11:$L$646,11,FALSE))</f>
        <v>0</v>
      </c>
      <c r="DN438" s="148" t="e">
        <f>IF(OR($C438=1,$C438=3),0,IF((VLOOKUP(CAPTURA!D438,HORAS!$B$4:$K$42,10,FALSE)/4)*COUNTIF($H438:$CT438,3)&gt;100,100,(VLOOKUP(CAPTURA!D438,HORAS!$B$4:$K$42,10,FALSE)/4)*COUNTIF($H438:$CT438,3)))</f>
        <v>#N/A</v>
      </c>
      <c r="DO438" s="144" t="e">
        <f>IF(OR($C438=1,$C438=3),0,IF($C438=5,VLOOKUP(D438,HORAS!$B$4:$G$42,6,FALSE),IF(AND($C438=4,$CV438&gt;=(42/24)),VLOOKUP(D438,HORAS!$B$4:$G$42,6,FALSE),IF(COUNTIF($H438:$CL438,"F")&gt;0,0,IF(CV438&gt;$DJ$1,$DJ$1*(VLOOKUP(D438,HORAS!$B$4:$G$42,6,FALSE)/$DJ$1),CV438*(VLOOKUP(D438,HORAS!$B$4:$G$42,6,FALSE)/$DJ$1))))))</f>
        <v>#N/A</v>
      </c>
      <c r="DP438" s="156"/>
      <c r="DQ438" s="148"/>
      <c r="DR438" s="148"/>
      <c r="DS438" s="83" t="e">
        <f t="shared" si="162"/>
        <v>#N/A</v>
      </c>
      <c r="DT438" s="84"/>
      <c r="DU438" s="149" t="e">
        <f t="shared" si="243"/>
        <v>#N/A</v>
      </c>
      <c r="DV438" s="149" t="e">
        <f t="shared" si="244"/>
        <v>#N/A</v>
      </c>
      <c r="DW438" s="144" t="e">
        <f t="shared" si="245"/>
        <v>#N/A</v>
      </c>
      <c r="DX438" s="168"/>
      <c r="DY438" s="29"/>
      <c r="DZ438" s="150"/>
      <c r="EA438" s="134"/>
      <c r="EB438" s="137">
        <f t="shared" si="246"/>
        <v>0</v>
      </c>
      <c r="EC438" s="138">
        <f t="shared" si="247"/>
        <v>0</v>
      </c>
      <c r="ED438" s="137">
        <f t="shared" si="248"/>
        <v>0</v>
      </c>
      <c r="EE438" s="132">
        <f t="shared" si="249"/>
        <v>0</v>
      </c>
      <c r="EF438" s="29"/>
      <c r="EG438" s="134"/>
      <c r="EH438" s="134"/>
      <c r="EI438" s="134"/>
      <c r="EK438" s="29"/>
    </row>
    <row r="439" spans="1:141" ht="15" customHeight="1" x14ac:dyDescent="0.25">
      <c r="A439" s="87"/>
      <c r="B439" s="5"/>
      <c r="C439" s="72"/>
      <c r="D439" s="73"/>
      <c r="E439" s="73"/>
      <c r="F439" s="141"/>
      <c r="G439" s="74"/>
      <c r="H439" s="75"/>
      <c r="I439" s="76"/>
      <c r="J439" s="135"/>
      <c r="K439" s="135"/>
      <c r="L439" s="77">
        <f t="shared" si="138"/>
        <v>0</v>
      </c>
      <c r="M439" s="78"/>
      <c r="N439" s="142"/>
      <c r="O439" s="142"/>
      <c r="P439" s="77">
        <f t="shared" si="139"/>
        <v>0</v>
      </c>
      <c r="Q439" s="78"/>
      <c r="R439" s="143"/>
      <c r="S439" s="143"/>
      <c r="T439" s="77">
        <f t="shared" si="140"/>
        <v>0</v>
      </c>
      <c r="U439" s="75"/>
      <c r="V439" s="76"/>
      <c r="W439" s="135"/>
      <c r="X439" s="135"/>
      <c r="Y439" s="77">
        <f t="shared" si="141"/>
        <v>0</v>
      </c>
      <c r="Z439" s="78"/>
      <c r="AA439" s="142"/>
      <c r="AB439" s="142"/>
      <c r="AC439" s="77">
        <f t="shared" si="142"/>
        <v>0</v>
      </c>
      <c r="AD439" s="78"/>
      <c r="AE439" s="143"/>
      <c r="AF439" s="143"/>
      <c r="AG439" s="79">
        <f t="shared" si="143"/>
        <v>0</v>
      </c>
      <c r="AH439" s="75"/>
      <c r="AI439" s="76"/>
      <c r="AJ439" s="135"/>
      <c r="AK439" s="135"/>
      <c r="AL439" s="77">
        <f t="shared" si="144"/>
        <v>0</v>
      </c>
      <c r="AM439" s="76"/>
      <c r="AN439" s="142"/>
      <c r="AO439" s="142"/>
      <c r="AP439" s="77">
        <f t="shared" si="145"/>
        <v>0</v>
      </c>
      <c r="AQ439" s="78"/>
      <c r="AR439" s="142"/>
      <c r="AS439" s="142"/>
      <c r="AT439" s="79">
        <f t="shared" si="146"/>
        <v>0</v>
      </c>
      <c r="AU439" s="75"/>
      <c r="AV439" s="76"/>
      <c r="AW439" s="135"/>
      <c r="AX439" s="135"/>
      <c r="AY439" s="77">
        <f t="shared" si="147"/>
        <v>0</v>
      </c>
      <c r="AZ439" s="76"/>
      <c r="BA439" s="142"/>
      <c r="BB439" s="142"/>
      <c r="BC439" s="77">
        <f t="shared" si="148"/>
        <v>0</v>
      </c>
      <c r="BD439" s="78"/>
      <c r="BE439" s="142"/>
      <c r="BF439" s="142"/>
      <c r="BG439" s="79">
        <f t="shared" si="149"/>
        <v>0</v>
      </c>
      <c r="BH439" s="75"/>
      <c r="BI439" s="76"/>
      <c r="BJ439" s="135"/>
      <c r="BK439" s="135"/>
      <c r="BL439" s="77">
        <f t="shared" si="150"/>
        <v>0</v>
      </c>
      <c r="BM439" s="78"/>
      <c r="BN439" s="142"/>
      <c r="BO439" s="142"/>
      <c r="BP439" s="77">
        <f t="shared" si="151"/>
        <v>0</v>
      </c>
      <c r="BQ439" s="78"/>
      <c r="BR439" s="142"/>
      <c r="BS439" s="142"/>
      <c r="BT439" s="79">
        <f t="shared" si="152"/>
        <v>0</v>
      </c>
      <c r="BU439" s="75"/>
      <c r="BV439" s="76"/>
      <c r="BW439" s="135"/>
      <c r="BX439" s="135"/>
      <c r="BY439" s="77">
        <f t="shared" si="153"/>
        <v>0</v>
      </c>
      <c r="BZ439" s="78"/>
      <c r="CA439" s="142"/>
      <c r="CB439" s="142"/>
      <c r="CC439" s="77">
        <f t="shared" si="154"/>
        <v>0</v>
      </c>
      <c r="CD439" s="78"/>
      <c r="CE439" s="142"/>
      <c r="CF439" s="142"/>
      <c r="CG439" s="79">
        <f t="shared" si="155"/>
        <v>0</v>
      </c>
      <c r="CH439" s="75"/>
      <c r="CI439" s="76"/>
      <c r="CJ439" s="86"/>
      <c r="CK439" s="86"/>
      <c r="CL439" s="77">
        <f t="shared" si="156"/>
        <v>0</v>
      </c>
      <c r="CM439" s="78"/>
      <c r="CN439" s="85"/>
      <c r="CO439" s="85"/>
      <c r="CP439" s="77">
        <f t="shared" si="157"/>
        <v>0</v>
      </c>
      <c r="CQ439" s="78"/>
      <c r="CR439" s="85"/>
      <c r="CS439" s="85"/>
      <c r="CT439" s="79">
        <f t="shared" si="158"/>
        <v>0</v>
      </c>
      <c r="CU439" s="80">
        <f t="shared" si="168"/>
        <v>0</v>
      </c>
      <c r="CV439" s="81">
        <f t="shared" si="169"/>
        <v>0</v>
      </c>
      <c r="CW439" s="144"/>
      <c r="CX439" s="145">
        <f>IF(ISERROR(VLOOKUP($A439,FIJOS!$B$11:$O$590,14,FALSE)),0,VLOOKUP($A439,FIJOS!$B$11:$O$590,14,FALSE))</f>
        <v>0</v>
      </c>
      <c r="CY439" s="145">
        <f>IF(ISERROR(VLOOKUP(A439,FIJOS!$B$10:$P$590,15,FALSE)),0,VLOOKUP(A439,FIJOS!$B$10:$P$590,15,FALSE))</f>
        <v>0</v>
      </c>
      <c r="CZ439" s="155"/>
      <c r="DA439" s="147"/>
      <c r="DB439" s="147"/>
      <c r="DC439" s="147"/>
      <c r="DD439" s="147"/>
      <c r="DE439" s="147"/>
      <c r="DF439" s="145">
        <f>IF(ISERROR(VLOOKUP($A439,FIJOS!$B$11:$N$590,13,FALSE)),0,VLOOKUP($A439,FIJOS!$B$11:$N$590,13,FALSE))</f>
        <v>0</v>
      </c>
      <c r="DG439" s="145">
        <f>IF(ISERROR(VLOOKUP($A439,FIJOS!$B$11:$P$447,12,FALSE)),0,VLOOKUP($A439,FIJOS!$B$11:$P$447,12,FALSE))</f>
        <v>0</v>
      </c>
      <c r="DH439" s="82">
        <f t="shared" si="242"/>
        <v>0</v>
      </c>
      <c r="DI439" s="83" t="b">
        <f>IF($C439=1,(VLOOKUP($A439,FIJOS!$B$11:$P$545,10,FALSE)/7)*(7-$CU439),IF(AND($C439=2,CV439&lt;$DJ$1),(VLOOKUP($D439,HORAS!$B$4:$C$42,2,FALSE)*24)*$CV439,IF(AND($C439=2,CV439&gt;=$DJ$1),VLOOKUP($D439,HORAS!$B$4:$D$42,3,FALSE),IF(AND($C439=3,$CV439&gt;=$DJ$1),VLOOKUP($A439,FIJOS!$B$11:$P$545,10,FALSE),IF(AND($C439=3,$CV439&lt;$DJ$1),((VLOOKUP($A439,FIJOS!$B$11:$P$545,10,FALSE)/48)*24)*$CV439,IF(AND($C439=4,$CV439&gt;=(42/24)),VLOOKUP($D439,HORAS!$B$4:$D$42,3,FALSE),IF(AND($C439=5,$CV439&gt;=(36/24)),VLOOKUP($D439,HORAS!$B$4:$D$42,3,FALSE))))))))</f>
        <v>0</v>
      </c>
      <c r="DJ439" s="145">
        <f>IF(OR($C439=2),VLOOKUP($D439,HORAS!$B$4:$E$42,4,FALSE)*$EC439,IF(ISERROR(VLOOKUP($A439,FIJOS!$B$11:$P$108,9,FALSE)),0,VLOOKUP($A439,FIJOS!$B$11:$P$231,9,FALSE)*$EC439))</f>
        <v>0</v>
      </c>
      <c r="DK439" s="145">
        <f>IF(OR($C439=2),VLOOKUP($D439,HORAS!$B$4:$F$42,5,FALSE)*$EE439,IF(ISERROR(VLOOKUP($A439,FIJOS!$B$11:$P$108,9,FALSE)),0,VLOOKUP($A439,FIJOS!$B$11:$P$231,9,FALSE)*$EE439))</f>
        <v>0</v>
      </c>
      <c r="DL439" s="144"/>
      <c r="DM439" s="145">
        <f>IF(ISERROR(VLOOKUP($A439,FIJOS!$B$11:$L$646,11,FALSE)),0,VLOOKUP($A439,FIJOS!$B$11:$L$646,11,FALSE))</f>
        <v>0</v>
      </c>
      <c r="DN439" s="148" t="e">
        <f>IF(OR($C439=1,$C439=3),0,IF((VLOOKUP(CAPTURA!D439,HORAS!$B$4:$K$42,10,FALSE)/4)*COUNTIF($H439:$CT439,3)&gt;100,100,(VLOOKUP(CAPTURA!D439,HORAS!$B$4:$K$42,10,FALSE)/4)*COUNTIF($H439:$CT439,3)))</f>
        <v>#N/A</v>
      </c>
      <c r="DO439" s="144" t="e">
        <f>IF(OR($C439=1,$C439=3),0,IF($C439=5,VLOOKUP(D439,HORAS!$B$4:$G$42,6,FALSE),IF(AND($C439=4,$CV439&gt;=(42/24)),VLOOKUP(D439,HORAS!$B$4:$G$42,6,FALSE),IF(COUNTIF($H439:$CL439,"F")&gt;0,0,IF(CV439&gt;$DJ$1,$DJ$1*(VLOOKUP(D439,HORAS!$B$4:$G$42,6,FALSE)/$DJ$1),CV439*(VLOOKUP(D439,HORAS!$B$4:$G$42,6,FALSE)/$DJ$1))))))</f>
        <v>#N/A</v>
      </c>
      <c r="DP439" s="156"/>
      <c r="DQ439" s="148"/>
      <c r="DR439" s="148"/>
      <c r="DS439" s="83" t="e">
        <f t="shared" si="162"/>
        <v>#N/A</v>
      </c>
      <c r="DT439" s="84"/>
      <c r="DU439" s="149" t="e">
        <f t="shared" si="243"/>
        <v>#N/A</v>
      </c>
      <c r="DV439" s="149" t="e">
        <f t="shared" si="244"/>
        <v>#N/A</v>
      </c>
      <c r="DW439" s="144" t="e">
        <f t="shared" si="245"/>
        <v>#N/A</v>
      </c>
      <c r="DX439" s="168"/>
      <c r="DY439" s="29"/>
      <c r="DZ439" s="150"/>
      <c r="EA439" s="134"/>
      <c r="EB439" s="137">
        <f t="shared" si="246"/>
        <v>0</v>
      </c>
      <c r="EC439" s="138">
        <f t="shared" si="247"/>
        <v>0</v>
      </c>
      <c r="ED439" s="137">
        <f t="shared" si="248"/>
        <v>0</v>
      </c>
      <c r="EE439" s="132">
        <f t="shared" si="249"/>
        <v>0</v>
      </c>
      <c r="EF439" s="29"/>
      <c r="EG439" s="134"/>
      <c r="EH439" s="134"/>
      <c r="EI439" s="134"/>
      <c r="EK439" s="29"/>
    </row>
    <row r="440" spans="1:141" ht="15" customHeight="1" x14ac:dyDescent="0.25">
      <c r="A440" s="87"/>
      <c r="B440" s="5"/>
      <c r="C440" s="72"/>
      <c r="D440" s="73"/>
      <c r="E440" s="73"/>
      <c r="F440" s="141"/>
      <c r="G440" s="74"/>
      <c r="H440" s="75"/>
      <c r="I440" s="76"/>
      <c r="J440" s="135"/>
      <c r="K440" s="135"/>
      <c r="L440" s="77">
        <f t="shared" si="138"/>
        <v>0</v>
      </c>
      <c r="M440" s="78"/>
      <c r="N440" s="142"/>
      <c r="O440" s="142"/>
      <c r="P440" s="77">
        <f t="shared" si="139"/>
        <v>0</v>
      </c>
      <c r="Q440" s="78"/>
      <c r="R440" s="143"/>
      <c r="S440" s="143"/>
      <c r="T440" s="77">
        <f t="shared" si="140"/>
        <v>0</v>
      </c>
      <c r="U440" s="75"/>
      <c r="V440" s="76"/>
      <c r="W440" s="135"/>
      <c r="X440" s="135"/>
      <c r="Y440" s="77">
        <f t="shared" si="141"/>
        <v>0</v>
      </c>
      <c r="Z440" s="78"/>
      <c r="AA440" s="142"/>
      <c r="AB440" s="142"/>
      <c r="AC440" s="77">
        <f t="shared" si="142"/>
        <v>0</v>
      </c>
      <c r="AD440" s="78"/>
      <c r="AE440" s="143"/>
      <c r="AF440" s="143"/>
      <c r="AG440" s="79">
        <f t="shared" si="143"/>
        <v>0</v>
      </c>
      <c r="AH440" s="75"/>
      <c r="AI440" s="76"/>
      <c r="AJ440" s="135"/>
      <c r="AK440" s="135"/>
      <c r="AL440" s="77">
        <f t="shared" si="144"/>
        <v>0</v>
      </c>
      <c r="AM440" s="76"/>
      <c r="AN440" s="142"/>
      <c r="AO440" s="142"/>
      <c r="AP440" s="77">
        <f t="shared" si="145"/>
        <v>0</v>
      </c>
      <c r="AQ440" s="78"/>
      <c r="AR440" s="142"/>
      <c r="AS440" s="142"/>
      <c r="AT440" s="79">
        <f t="shared" si="146"/>
        <v>0</v>
      </c>
      <c r="AU440" s="75"/>
      <c r="AV440" s="76"/>
      <c r="AW440" s="135"/>
      <c r="AX440" s="135"/>
      <c r="AY440" s="77">
        <f t="shared" si="147"/>
        <v>0</v>
      </c>
      <c r="AZ440" s="76"/>
      <c r="BA440" s="142"/>
      <c r="BB440" s="142"/>
      <c r="BC440" s="77">
        <f t="shared" si="148"/>
        <v>0</v>
      </c>
      <c r="BD440" s="78"/>
      <c r="BE440" s="142"/>
      <c r="BF440" s="142"/>
      <c r="BG440" s="79">
        <f t="shared" si="149"/>
        <v>0</v>
      </c>
      <c r="BH440" s="75"/>
      <c r="BI440" s="76"/>
      <c r="BJ440" s="135"/>
      <c r="BK440" s="135"/>
      <c r="BL440" s="77">
        <f t="shared" si="150"/>
        <v>0</v>
      </c>
      <c r="BM440" s="78"/>
      <c r="BN440" s="142"/>
      <c r="BO440" s="142"/>
      <c r="BP440" s="77">
        <f t="shared" si="151"/>
        <v>0</v>
      </c>
      <c r="BQ440" s="78"/>
      <c r="BR440" s="142"/>
      <c r="BS440" s="142"/>
      <c r="BT440" s="79">
        <f t="shared" si="152"/>
        <v>0</v>
      </c>
      <c r="BU440" s="75"/>
      <c r="BV440" s="76"/>
      <c r="BW440" s="135"/>
      <c r="BX440" s="135"/>
      <c r="BY440" s="77">
        <f t="shared" si="153"/>
        <v>0</v>
      </c>
      <c r="BZ440" s="78"/>
      <c r="CA440" s="142"/>
      <c r="CB440" s="142"/>
      <c r="CC440" s="77">
        <f t="shared" si="154"/>
        <v>0</v>
      </c>
      <c r="CD440" s="78"/>
      <c r="CE440" s="142"/>
      <c r="CF440" s="142"/>
      <c r="CG440" s="79">
        <f t="shared" si="155"/>
        <v>0</v>
      </c>
      <c r="CH440" s="75"/>
      <c r="CI440" s="76"/>
      <c r="CJ440" s="86"/>
      <c r="CK440" s="86"/>
      <c r="CL440" s="77">
        <f t="shared" si="156"/>
        <v>0</v>
      </c>
      <c r="CM440" s="78"/>
      <c r="CN440" s="85"/>
      <c r="CO440" s="85"/>
      <c r="CP440" s="77">
        <f t="shared" si="157"/>
        <v>0</v>
      </c>
      <c r="CQ440" s="78"/>
      <c r="CR440" s="85"/>
      <c r="CS440" s="85"/>
      <c r="CT440" s="79">
        <f t="shared" si="158"/>
        <v>0</v>
      </c>
      <c r="CU440" s="80">
        <f t="shared" si="168"/>
        <v>0</v>
      </c>
      <c r="CV440" s="81">
        <f t="shared" si="169"/>
        <v>0</v>
      </c>
      <c r="CW440" s="144"/>
      <c r="CX440" s="145">
        <f>IF(ISERROR(VLOOKUP($A440,FIJOS!$B$11:$O$590,14,FALSE)),0,VLOOKUP($A440,FIJOS!$B$11:$O$590,14,FALSE))</f>
        <v>0</v>
      </c>
      <c r="CY440" s="145">
        <f>IF(ISERROR(VLOOKUP(A440,FIJOS!$B$10:$P$590,15,FALSE)),0,VLOOKUP(A440,FIJOS!$B$10:$P$590,15,FALSE))</f>
        <v>0</v>
      </c>
      <c r="CZ440" s="155"/>
      <c r="DA440" s="147"/>
      <c r="DB440" s="147"/>
      <c r="DC440" s="147"/>
      <c r="DD440" s="147"/>
      <c r="DE440" s="147"/>
      <c r="DF440" s="145">
        <f>IF(ISERROR(VLOOKUP($A440,FIJOS!$B$11:$N$590,13,FALSE)),0,VLOOKUP($A440,FIJOS!$B$11:$N$590,13,FALSE))</f>
        <v>0</v>
      </c>
      <c r="DG440" s="145">
        <f>IF(ISERROR(VLOOKUP($A440,FIJOS!$B$11:$P$447,12,FALSE)),0,VLOOKUP($A440,FIJOS!$B$11:$P$447,12,FALSE))</f>
        <v>0</v>
      </c>
      <c r="DH440" s="82">
        <f t="shared" si="242"/>
        <v>0</v>
      </c>
      <c r="DI440" s="83" t="b">
        <f>IF($C440=1,(VLOOKUP($A440,FIJOS!$B$11:$P$545,10,FALSE)/7)*(7-$CU440),IF(AND($C440=2,CV440&lt;$DJ$1),(VLOOKUP($D440,HORAS!$B$4:$C$42,2,FALSE)*24)*$CV440,IF(AND($C440=2,CV440&gt;=$DJ$1),VLOOKUP($D440,HORAS!$B$4:$D$42,3,FALSE),IF(AND($C440=3,$CV440&gt;=$DJ$1),VLOOKUP($A440,FIJOS!$B$11:$P$545,10,FALSE),IF(AND($C440=3,$CV440&lt;$DJ$1),((VLOOKUP($A440,FIJOS!$B$11:$P$545,10,FALSE)/48)*24)*$CV440,IF(AND($C440=4,$CV440&gt;=(42/24)),VLOOKUP($D440,HORAS!$B$4:$D$42,3,FALSE),IF(AND($C440=5,$CV440&gt;=(36/24)),VLOOKUP($D440,HORAS!$B$4:$D$42,3,FALSE))))))))</f>
        <v>0</v>
      </c>
      <c r="DJ440" s="145">
        <f>IF(OR($C440=2),VLOOKUP($D440,HORAS!$B$4:$E$42,4,FALSE)*$EC440,IF(ISERROR(VLOOKUP($A440,FIJOS!$B$11:$P$108,9,FALSE)),0,VLOOKUP($A440,FIJOS!$B$11:$P$231,9,FALSE)*$EC440))</f>
        <v>0</v>
      </c>
      <c r="DK440" s="145">
        <f>IF(OR($C440=2),VLOOKUP($D440,HORAS!$B$4:$F$42,5,FALSE)*$EE440,IF(ISERROR(VLOOKUP($A440,FIJOS!$B$11:$P$108,9,FALSE)),0,VLOOKUP($A440,FIJOS!$B$11:$P$231,9,FALSE)*$EE440))</f>
        <v>0</v>
      </c>
      <c r="DL440" s="144"/>
      <c r="DM440" s="145">
        <f>IF(ISERROR(VLOOKUP($A440,FIJOS!$B$11:$L$646,11,FALSE)),0,VLOOKUP($A440,FIJOS!$B$11:$L$646,11,FALSE))</f>
        <v>0</v>
      </c>
      <c r="DN440" s="148" t="e">
        <f>IF(OR($C440=1,$C440=3),0,IF((VLOOKUP(CAPTURA!D440,HORAS!$B$4:$K$42,10,FALSE)/4)*COUNTIF($H440:$CT440,3)&gt;100,100,(VLOOKUP(CAPTURA!D440,HORAS!$B$4:$K$42,10,FALSE)/4)*COUNTIF($H440:$CT440,3)))</f>
        <v>#N/A</v>
      </c>
      <c r="DO440" s="144" t="e">
        <f>IF(OR($C440=1,$C440=3),0,IF($C440=5,VLOOKUP(D440,HORAS!$B$4:$G$42,6,FALSE),IF(AND($C440=4,$CV440&gt;=(42/24)),VLOOKUP(D440,HORAS!$B$4:$G$42,6,FALSE),IF(COUNTIF($H440:$CL440,"F")&gt;0,0,IF(CV440&gt;$DJ$1,$DJ$1*(VLOOKUP(D440,HORAS!$B$4:$G$42,6,FALSE)/$DJ$1),CV440*(VLOOKUP(D440,HORAS!$B$4:$G$42,6,FALSE)/$DJ$1))))))</f>
        <v>#N/A</v>
      </c>
      <c r="DP440" s="156"/>
      <c r="DQ440" s="148"/>
      <c r="DR440" s="148"/>
      <c r="DS440" s="83" t="e">
        <f t="shared" si="162"/>
        <v>#N/A</v>
      </c>
      <c r="DT440" s="84"/>
      <c r="DU440" s="149" t="e">
        <f t="shared" si="243"/>
        <v>#N/A</v>
      </c>
      <c r="DV440" s="149" t="e">
        <f t="shared" si="244"/>
        <v>#N/A</v>
      </c>
      <c r="DW440" s="144" t="e">
        <f t="shared" si="245"/>
        <v>#N/A</v>
      </c>
      <c r="DX440" s="168"/>
      <c r="DY440" s="29"/>
      <c r="DZ440" s="150"/>
      <c r="EA440" s="134"/>
      <c r="EB440" s="137">
        <f t="shared" si="246"/>
        <v>0</v>
      </c>
      <c r="EC440" s="138">
        <f t="shared" si="247"/>
        <v>0</v>
      </c>
      <c r="ED440" s="137">
        <f t="shared" si="248"/>
        <v>0</v>
      </c>
      <c r="EE440" s="132">
        <f t="shared" si="249"/>
        <v>0</v>
      </c>
      <c r="EF440" s="29"/>
      <c r="EG440" s="134"/>
      <c r="EH440" s="134"/>
      <c r="EI440" s="134"/>
      <c r="EK440" s="29"/>
    </row>
    <row r="441" spans="1:141" ht="15" customHeight="1" x14ac:dyDescent="0.25">
      <c r="A441" s="87"/>
      <c r="B441" s="5"/>
      <c r="C441" s="72"/>
      <c r="D441" s="73"/>
      <c r="E441" s="73"/>
      <c r="F441" s="141"/>
      <c r="G441" s="74"/>
      <c r="H441" s="75"/>
      <c r="I441" s="76"/>
      <c r="J441" s="135"/>
      <c r="K441" s="135"/>
      <c r="L441" s="77">
        <f t="shared" si="138"/>
        <v>0</v>
      </c>
      <c r="M441" s="78"/>
      <c r="N441" s="142"/>
      <c r="O441" s="142"/>
      <c r="P441" s="77">
        <f t="shared" si="139"/>
        <v>0</v>
      </c>
      <c r="Q441" s="78"/>
      <c r="R441" s="143"/>
      <c r="S441" s="143"/>
      <c r="T441" s="77">
        <f t="shared" si="140"/>
        <v>0</v>
      </c>
      <c r="U441" s="75"/>
      <c r="V441" s="76"/>
      <c r="W441" s="135"/>
      <c r="X441" s="135"/>
      <c r="Y441" s="77">
        <f t="shared" si="141"/>
        <v>0</v>
      </c>
      <c r="Z441" s="78"/>
      <c r="AA441" s="142"/>
      <c r="AB441" s="142"/>
      <c r="AC441" s="77">
        <f t="shared" si="142"/>
        <v>0</v>
      </c>
      <c r="AD441" s="78"/>
      <c r="AE441" s="143"/>
      <c r="AF441" s="143"/>
      <c r="AG441" s="79">
        <f t="shared" si="143"/>
        <v>0</v>
      </c>
      <c r="AH441" s="75"/>
      <c r="AI441" s="76"/>
      <c r="AJ441" s="135"/>
      <c r="AK441" s="135"/>
      <c r="AL441" s="77">
        <f t="shared" si="144"/>
        <v>0</v>
      </c>
      <c r="AM441" s="76"/>
      <c r="AN441" s="142"/>
      <c r="AO441" s="142"/>
      <c r="AP441" s="77">
        <f t="shared" si="145"/>
        <v>0</v>
      </c>
      <c r="AQ441" s="78"/>
      <c r="AR441" s="142"/>
      <c r="AS441" s="142"/>
      <c r="AT441" s="79">
        <f t="shared" si="146"/>
        <v>0</v>
      </c>
      <c r="AU441" s="75"/>
      <c r="AV441" s="76"/>
      <c r="AW441" s="135"/>
      <c r="AX441" s="135"/>
      <c r="AY441" s="77">
        <f t="shared" si="147"/>
        <v>0</v>
      </c>
      <c r="AZ441" s="76"/>
      <c r="BA441" s="142"/>
      <c r="BB441" s="142"/>
      <c r="BC441" s="77">
        <f t="shared" si="148"/>
        <v>0</v>
      </c>
      <c r="BD441" s="78"/>
      <c r="BE441" s="142"/>
      <c r="BF441" s="142"/>
      <c r="BG441" s="79">
        <f t="shared" si="149"/>
        <v>0</v>
      </c>
      <c r="BH441" s="75"/>
      <c r="BI441" s="76"/>
      <c r="BJ441" s="135"/>
      <c r="BK441" s="135"/>
      <c r="BL441" s="77">
        <f t="shared" si="150"/>
        <v>0</v>
      </c>
      <c r="BM441" s="78"/>
      <c r="BN441" s="142"/>
      <c r="BO441" s="142"/>
      <c r="BP441" s="77">
        <f t="shared" si="151"/>
        <v>0</v>
      </c>
      <c r="BQ441" s="78"/>
      <c r="BR441" s="142"/>
      <c r="BS441" s="142"/>
      <c r="BT441" s="79">
        <f t="shared" si="152"/>
        <v>0</v>
      </c>
      <c r="BU441" s="75"/>
      <c r="BV441" s="76"/>
      <c r="BW441" s="135"/>
      <c r="BX441" s="135"/>
      <c r="BY441" s="77">
        <f t="shared" si="153"/>
        <v>0</v>
      </c>
      <c r="BZ441" s="78"/>
      <c r="CA441" s="142"/>
      <c r="CB441" s="142"/>
      <c r="CC441" s="77">
        <f t="shared" si="154"/>
        <v>0</v>
      </c>
      <c r="CD441" s="78"/>
      <c r="CE441" s="142"/>
      <c r="CF441" s="142"/>
      <c r="CG441" s="79">
        <f t="shared" si="155"/>
        <v>0</v>
      </c>
      <c r="CH441" s="75"/>
      <c r="CI441" s="76"/>
      <c r="CJ441" s="86"/>
      <c r="CK441" s="86"/>
      <c r="CL441" s="77">
        <f t="shared" si="156"/>
        <v>0</v>
      </c>
      <c r="CM441" s="78"/>
      <c r="CN441" s="85"/>
      <c r="CO441" s="85"/>
      <c r="CP441" s="77">
        <f t="shared" si="157"/>
        <v>0</v>
      </c>
      <c r="CQ441" s="78"/>
      <c r="CR441" s="85"/>
      <c r="CS441" s="85"/>
      <c r="CT441" s="79">
        <f t="shared" si="158"/>
        <v>0</v>
      </c>
      <c r="CU441" s="80">
        <f t="shared" si="168"/>
        <v>0</v>
      </c>
      <c r="CV441" s="81">
        <f t="shared" si="169"/>
        <v>0</v>
      </c>
      <c r="CW441" s="144"/>
      <c r="CX441" s="145">
        <f>IF(ISERROR(VLOOKUP($A441,FIJOS!$B$11:$O$590,14,FALSE)),0,VLOOKUP($A441,FIJOS!$B$11:$O$590,14,FALSE))</f>
        <v>0</v>
      </c>
      <c r="CY441" s="145">
        <f>IF(ISERROR(VLOOKUP(A441,FIJOS!$B$10:$P$590,15,FALSE)),0,VLOOKUP(A441,FIJOS!$B$10:$P$590,15,FALSE))</f>
        <v>0</v>
      </c>
      <c r="CZ441" s="155"/>
      <c r="DA441" s="147"/>
      <c r="DB441" s="147"/>
      <c r="DC441" s="147"/>
      <c r="DD441" s="147"/>
      <c r="DE441" s="147"/>
      <c r="DF441" s="145">
        <f>IF(ISERROR(VLOOKUP($A441,FIJOS!$B$11:$N$590,13,FALSE)),0,VLOOKUP($A441,FIJOS!$B$11:$N$590,13,FALSE))</f>
        <v>0</v>
      </c>
      <c r="DG441" s="145">
        <f>IF(ISERROR(VLOOKUP($A441,FIJOS!$B$11:$P$447,12,FALSE)),0,VLOOKUP($A441,FIJOS!$B$11:$P$447,12,FALSE))</f>
        <v>0</v>
      </c>
      <c r="DH441" s="82">
        <f t="shared" si="242"/>
        <v>0</v>
      </c>
      <c r="DI441" s="83" t="b">
        <f>IF($C441=1,(VLOOKUP($A441,FIJOS!$B$11:$P$545,10,FALSE)/7)*(7-$CU441),IF(AND($C441=2,CV441&lt;$DJ$1),(VLOOKUP($D441,HORAS!$B$4:$C$42,2,FALSE)*24)*$CV441,IF(AND($C441=2,CV441&gt;=$DJ$1),VLOOKUP($D441,HORAS!$B$4:$D$42,3,FALSE),IF(AND($C441=3,$CV441&gt;=$DJ$1),VLOOKUP($A441,FIJOS!$B$11:$P$545,10,FALSE),IF(AND($C441=3,$CV441&lt;$DJ$1),((VLOOKUP($A441,FIJOS!$B$11:$P$545,10,FALSE)/48)*24)*$CV441,IF(AND($C441=4,$CV441&gt;=(42/24)),VLOOKUP($D441,HORAS!$B$4:$D$42,3,FALSE),IF(AND($C441=5,$CV441&gt;=(36/24)),VLOOKUP($D441,HORAS!$B$4:$D$42,3,FALSE))))))))</f>
        <v>0</v>
      </c>
      <c r="DJ441" s="145">
        <f>IF(OR($C441=2),VLOOKUP($D441,HORAS!$B$4:$E$42,4,FALSE)*$EC441,IF(ISERROR(VLOOKUP($A441,FIJOS!$B$11:$P$108,9,FALSE)),0,VLOOKUP($A441,FIJOS!$B$11:$P$231,9,FALSE)*$EC441))</f>
        <v>0</v>
      </c>
      <c r="DK441" s="145">
        <f>IF(OR($C441=2),VLOOKUP($D441,HORAS!$B$4:$F$42,5,FALSE)*$EE441,IF(ISERROR(VLOOKUP($A441,FIJOS!$B$11:$P$108,9,FALSE)),0,VLOOKUP($A441,FIJOS!$B$11:$P$231,9,FALSE)*$EE441))</f>
        <v>0</v>
      </c>
      <c r="DL441" s="144"/>
      <c r="DM441" s="145">
        <f>IF(ISERROR(VLOOKUP($A441,FIJOS!$B$11:$L$646,11,FALSE)),0,VLOOKUP($A441,FIJOS!$B$11:$L$646,11,FALSE))</f>
        <v>0</v>
      </c>
      <c r="DN441" s="148" t="e">
        <f>IF(OR($C441=1,$C441=3),0,IF((VLOOKUP(CAPTURA!D441,HORAS!$B$4:$K$42,10,FALSE)/4)*COUNTIF($H441:$CT441,3)&gt;100,100,(VLOOKUP(CAPTURA!D441,HORAS!$B$4:$K$42,10,FALSE)/4)*COUNTIF($H441:$CT441,3)))</f>
        <v>#N/A</v>
      </c>
      <c r="DO441" s="144" t="e">
        <f>IF(OR($C441=1,$C441=3),0,IF($C441=5,VLOOKUP(D441,HORAS!$B$4:$G$42,6,FALSE),IF(AND($C441=4,$CV441&gt;=(42/24)),VLOOKUP(D441,HORAS!$B$4:$G$42,6,FALSE),IF(COUNTIF($H441:$CL441,"F")&gt;0,0,IF(CV441&gt;$DJ$1,$DJ$1*(VLOOKUP(D441,HORAS!$B$4:$G$42,6,FALSE)/$DJ$1),CV441*(VLOOKUP(D441,HORAS!$B$4:$G$42,6,FALSE)/$DJ$1))))))</f>
        <v>#N/A</v>
      </c>
      <c r="DP441" s="156"/>
      <c r="DQ441" s="148"/>
      <c r="DR441" s="148"/>
      <c r="DS441" s="83" t="e">
        <f t="shared" si="162"/>
        <v>#N/A</v>
      </c>
      <c r="DT441" s="84"/>
      <c r="DU441" s="149" t="e">
        <f t="shared" si="243"/>
        <v>#N/A</v>
      </c>
      <c r="DV441" s="149" t="e">
        <f t="shared" si="244"/>
        <v>#N/A</v>
      </c>
      <c r="DW441" s="144" t="e">
        <f t="shared" si="245"/>
        <v>#N/A</v>
      </c>
      <c r="DX441" s="168"/>
      <c r="DY441" s="29"/>
      <c r="DZ441" s="150"/>
      <c r="EA441" s="134"/>
      <c r="EB441" s="137">
        <f t="shared" si="246"/>
        <v>0</v>
      </c>
      <c r="EC441" s="138">
        <f t="shared" si="247"/>
        <v>0</v>
      </c>
      <c r="ED441" s="137">
        <f t="shared" si="248"/>
        <v>0</v>
      </c>
      <c r="EE441" s="132">
        <f t="shared" si="249"/>
        <v>0</v>
      </c>
      <c r="EF441" s="29"/>
      <c r="EG441" s="134"/>
      <c r="EH441" s="134"/>
      <c r="EI441" s="134"/>
      <c r="EK441" s="29"/>
    </row>
    <row r="442" spans="1:141" ht="15" customHeight="1" x14ac:dyDescent="0.25">
      <c r="A442" s="87"/>
      <c r="B442" s="5"/>
      <c r="C442" s="72"/>
      <c r="D442" s="73"/>
      <c r="E442" s="73"/>
      <c r="F442" s="141"/>
      <c r="G442" s="74"/>
      <c r="H442" s="75"/>
      <c r="I442" s="76"/>
      <c r="J442" s="135"/>
      <c r="K442" s="135"/>
      <c r="L442" s="77">
        <f t="shared" si="138"/>
        <v>0</v>
      </c>
      <c r="M442" s="78"/>
      <c r="N442" s="142"/>
      <c r="O442" s="142"/>
      <c r="P442" s="77">
        <f t="shared" si="139"/>
        <v>0</v>
      </c>
      <c r="Q442" s="78"/>
      <c r="R442" s="143"/>
      <c r="S442" s="143"/>
      <c r="T442" s="77">
        <f t="shared" si="140"/>
        <v>0</v>
      </c>
      <c r="U442" s="75"/>
      <c r="V442" s="76"/>
      <c r="W442" s="135"/>
      <c r="X442" s="135"/>
      <c r="Y442" s="77">
        <f t="shared" si="141"/>
        <v>0</v>
      </c>
      <c r="Z442" s="78"/>
      <c r="AA442" s="142"/>
      <c r="AB442" s="142"/>
      <c r="AC442" s="77">
        <f t="shared" si="142"/>
        <v>0</v>
      </c>
      <c r="AD442" s="78"/>
      <c r="AE442" s="143"/>
      <c r="AF442" s="143"/>
      <c r="AG442" s="79">
        <f t="shared" si="143"/>
        <v>0</v>
      </c>
      <c r="AH442" s="75"/>
      <c r="AI442" s="76"/>
      <c r="AJ442" s="135"/>
      <c r="AK442" s="135"/>
      <c r="AL442" s="77">
        <f t="shared" si="144"/>
        <v>0</v>
      </c>
      <c r="AM442" s="76"/>
      <c r="AN442" s="142"/>
      <c r="AO442" s="142"/>
      <c r="AP442" s="77">
        <f t="shared" si="145"/>
        <v>0</v>
      </c>
      <c r="AQ442" s="78"/>
      <c r="AR442" s="142"/>
      <c r="AS442" s="142"/>
      <c r="AT442" s="79">
        <f t="shared" si="146"/>
        <v>0</v>
      </c>
      <c r="AU442" s="75"/>
      <c r="AV442" s="76"/>
      <c r="AW442" s="135"/>
      <c r="AX442" s="135"/>
      <c r="AY442" s="77">
        <f t="shared" si="147"/>
        <v>0</v>
      </c>
      <c r="AZ442" s="76"/>
      <c r="BA442" s="142"/>
      <c r="BB442" s="142"/>
      <c r="BC442" s="77">
        <f t="shared" si="148"/>
        <v>0</v>
      </c>
      <c r="BD442" s="78"/>
      <c r="BE442" s="142"/>
      <c r="BF442" s="142"/>
      <c r="BG442" s="79">
        <f t="shared" si="149"/>
        <v>0</v>
      </c>
      <c r="BH442" s="75"/>
      <c r="BI442" s="76"/>
      <c r="BJ442" s="135"/>
      <c r="BK442" s="135"/>
      <c r="BL442" s="77">
        <f t="shared" si="150"/>
        <v>0</v>
      </c>
      <c r="BM442" s="78"/>
      <c r="BN442" s="142"/>
      <c r="BO442" s="142"/>
      <c r="BP442" s="77">
        <f t="shared" si="151"/>
        <v>0</v>
      </c>
      <c r="BQ442" s="78"/>
      <c r="BR442" s="142"/>
      <c r="BS442" s="142"/>
      <c r="BT442" s="79">
        <f t="shared" si="152"/>
        <v>0</v>
      </c>
      <c r="BU442" s="75"/>
      <c r="BV442" s="76"/>
      <c r="BW442" s="135"/>
      <c r="BX442" s="135"/>
      <c r="BY442" s="77">
        <f t="shared" si="153"/>
        <v>0</v>
      </c>
      <c r="BZ442" s="78"/>
      <c r="CA442" s="142"/>
      <c r="CB442" s="142"/>
      <c r="CC442" s="77">
        <f t="shared" si="154"/>
        <v>0</v>
      </c>
      <c r="CD442" s="78"/>
      <c r="CE442" s="142"/>
      <c r="CF442" s="142"/>
      <c r="CG442" s="79">
        <f t="shared" si="155"/>
        <v>0</v>
      </c>
      <c r="CH442" s="75"/>
      <c r="CI442" s="76"/>
      <c r="CJ442" s="86"/>
      <c r="CK442" s="86"/>
      <c r="CL442" s="77">
        <f t="shared" si="156"/>
        <v>0</v>
      </c>
      <c r="CM442" s="78"/>
      <c r="CN442" s="85"/>
      <c r="CO442" s="85"/>
      <c r="CP442" s="77">
        <f t="shared" si="157"/>
        <v>0</v>
      </c>
      <c r="CQ442" s="78"/>
      <c r="CR442" s="85"/>
      <c r="CS442" s="85"/>
      <c r="CT442" s="79">
        <f t="shared" si="158"/>
        <v>0</v>
      </c>
      <c r="CU442" s="80">
        <f t="shared" si="168"/>
        <v>0</v>
      </c>
      <c r="CV442" s="81">
        <f t="shared" si="169"/>
        <v>0</v>
      </c>
      <c r="CW442" s="144"/>
      <c r="CX442" s="145">
        <f>IF(ISERROR(VLOOKUP($A442,FIJOS!$B$11:$O$590,14,FALSE)),0,VLOOKUP($A442,FIJOS!$B$11:$O$590,14,FALSE))</f>
        <v>0</v>
      </c>
      <c r="CY442" s="145">
        <f>IF(ISERROR(VLOOKUP(A442,FIJOS!$B$10:$P$590,15,FALSE)),0,VLOOKUP(A442,FIJOS!$B$10:$P$590,15,FALSE))</f>
        <v>0</v>
      </c>
      <c r="CZ442" s="155"/>
      <c r="DA442" s="147"/>
      <c r="DB442" s="147"/>
      <c r="DC442" s="147"/>
      <c r="DD442" s="147"/>
      <c r="DE442" s="147"/>
      <c r="DF442" s="145">
        <f>IF(ISERROR(VLOOKUP($A442,FIJOS!$B$11:$N$590,13,FALSE)),0,VLOOKUP($A442,FIJOS!$B$11:$N$590,13,FALSE))</f>
        <v>0</v>
      </c>
      <c r="DG442" s="145">
        <f>IF(ISERROR(VLOOKUP($A442,FIJOS!$B$11:$P$447,12,FALSE)),0,VLOOKUP($A442,FIJOS!$B$11:$P$447,12,FALSE))</f>
        <v>0</v>
      </c>
      <c r="DH442" s="82">
        <f t="shared" si="242"/>
        <v>0</v>
      </c>
      <c r="DI442" s="83" t="b">
        <f>IF($C442=1,(VLOOKUP($A442,FIJOS!$B$11:$P$545,10,FALSE)/7)*(7-$CU442),IF(AND($C442=2,CV442&lt;$DJ$1),(VLOOKUP($D442,HORAS!$B$4:$C$42,2,FALSE)*24)*$CV442,IF(AND($C442=2,CV442&gt;=$DJ$1),VLOOKUP($D442,HORAS!$B$4:$D$42,3,FALSE),IF(AND($C442=3,$CV442&gt;=$DJ$1),VLOOKUP($A442,FIJOS!$B$11:$P$545,10,FALSE),IF(AND($C442=3,$CV442&lt;$DJ$1),((VLOOKUP($A442,FIJOS!$B$11:$P$545,10,FALSE)/48)*24)*$CV442,IF(AND($C442=4,$CV442&gt;=(42/24)),VLOOKUP($D442,HORAS!$B$4:$D$42,3,FALSE),IF(AND($C442=5,$CV442&gt;=(36/24)),VLOOKUP($D442,HORAS!$B$4:$D$42,3,FALSE))))))))</f>
        <v>0</v>
      </c>
      <c r="DJ442" s="145">
        <f>IF(OR($C442=2),VLOOKUP($D442,HORAS!$B$4:$E$42,4,FALSE)*$EC442,IF(ISERROR(VLOOKUP($A442,FIJOS!$B$11:$P$108,9,FALSE)),0,VLOOKUP($A442,FIJOS!$B$11:$P$231,9,FALSE)*$EC442))</f>
        <v>0</v>
      </c>
      <c r="DK442" s="145">
        <f>IF(OR($C442=2),VLOOKUP($D442,HORAS!$B$4:$F$42,5,FALSE)*$EE442,IF(ISERROR(VLOOKUP($A442,FIJOS!$B$11:$P$108,9,FALSE)),0,VLOOKUP($A442,FIJOS!$B$11:$P$231,9,FALSE)*$EE442))</f>
        <v>0</v>
      </c>
      <c r="DL442" s="144"/>
      <c r="DM442" s="145">
        <f>IF(ISERROR(VLOOKUP($A442,FIJOS!$B$11:$L$646,11,FALSE)),0,VLOOKUP($A442,FIJOS!$B$11:$L$646,11,FALSE))</f>
        <v>0</v>
      </c>
      <c r="DN442" s="148" t="e">
        <f>IF(OR($C442=1,$C442=3),0,IF((VLOOKUP(CAPTURA!D442,HORAS!$B$4:$K$42,10,FALSE)/4)*COUNTIF($H442:$CT442,3)&gt;100,100,(VLOOKUP(CAPTURA!D442,HORAS!$B$4:$K$42,10,FALSE)/4)*COUNTIF($H442:$CT442,3)))</f>
        <v>#N/A</v>
      </c>
      <c r="DO442" s="144" t="e">
        <f>IF(OR($C442=1,$C442=3),0,IF($C442=5,VLOOKUP(D442,HORAS!$B$4:$G$42,6,FALSE),IF(AND($C442=4,$CV442&gt;=(42/24)),VLOOKUP(D442,HORAS!$B$4:$G$42,6,FALSE),IF(COUNTIF($H442:$CL442,"F")&gt;0,0,IF(CV442&gt;$DJ$1,$DJ$1*(VLOOKUP(D442,HORAS!$B$4:$G$42,6,FALSE)/$DJ$1),CV442*(VLOOKUP(D442,HORAS!$B$4:$G$42,6,FALSE)/$DJ$1))))))</f>
        <v>#N/A</v>
      </c>
      <c r="DP442" s="156"/>
      <c r="DQ442" s="148"/>
      <c r="DR442" s="148"/>
      <c r="DS442" s="83" t="e">
        <f t="shared" si="162"/>
        <v>#N/A</v>
      </c>
      <c r="DT442" s="84"/>
      <c r="DU442" s="149" t="e">
        <f t="shared" si="243"/>
        <v>#N/A</v>
      </c>
      <c r="DV442" s="149" t="e">
        <f t="shared" si="244"/>
        <v>#N/A</v>
      </c>
      <c r="DW442" s="144" t="e">
        <f t="shared" si="245"/>
        <v>#N/A</v>
      </c>
      <c r="DX442" s="168"/>
      <c r="DY442" s="29"/>
      <c r="DZ442" s="150"/>
      <c r="EA442" s="134"/>
      <c r="EB442" s="137">
        <f t="shared" si="246"/>
        <v>0</v>
      </c>
      <c r="EC442" s="138">
        <f t="shared" si="247"/>
        <v>0</v>
      </c>
      <c r="ED442" s="137">
        <f t="shared" si="248"/>
        <v>0</v>
      </c>
      <c r="EE442" s="132">
        <f t="shared" si="249"/>
        <v>0</v>
      </c>
      <c r="EF442" s="29"/>
      <c r="EG442" s="134"/>
      <c r="EH442" s="134"/>
      <c r="EI442" s="134"/>
      <c r="EK442" s="29"/>
    </row>
    <row r="443" spans="1:141" ht="15" customHeight="1" x14ac:dyDescent="0.25">
      <c r="A443" s="87"/>
      <c r="B443" s="5"/>
      <c r="C443" s="72"/>
      <c r="D443" s="73"/>
      <c r="E443" s="73"/>
      <c r="F443" s="141"/>
      <c r="G443" s="74"/>
      <c r="H443" s="75"/>
      <c r="I443" s="76"/>
      <c r="J443" s="135"/>
      <c r="K443" s="135"/>
      <c r="L443" s="77">
        <f t="shared" si="138"/>
        <v>0</v>
      </c>
      <c r="M443" s="78"/>
      <c r="N443" s="142"/>
      <c r="O443" s="142"/>
      <c r="P443" s="77">
        <f t="shared" si="139"/>
        <v>0</v>
      </c>
      <c r="Q443" s="78"/>
      <c r="R443" s="143"/>
      <c r="S443" s="143"/>
      <c r="T443" s="77">
        <f t="shared" si="140"/>
        <v>0</v>
      </c>
      <c r="U443" s="75"/>
      <c r="V443" s="76"/>
      <c r="W443" s="135"/>
      <c r="X443" s="135"/>
      <c r="Y443" s="77">
        <f t="shared" si="141"/>
        <v>0</v>
      </c>
      <c r="Z443" s="78"/>
      <c r="AA443" s="142"/>
      <c r="AB443" s="142"/>
      <c r="AC443" s="77">
        <f t="shared" si="142"/>
        <v>0</v>
      </c>
      <c r="AD443" s="78"/>
      <c r="AE443" s="143"/>
      <c r="AF443" s="143"/>
      <c r="AG443" s="79">
        <f t="shared" si="143"/>
        <v>0</v>
      </c>
      <c r="AH443" s="75"/>
      <c r="AI443" s="76"/>
      <c r="AJ443" s="135"/>
      <c r="AK443" s="135"/>
      <c r="AL443" s="77">
        <f t="shared" si="144"/>
        <v>0</v>
      </c>
      <c r="AM443" s="76"/>
      <c r="AN443" s="142"/>
      <c r="AO443" s="142"/>
      <c r="AP443" s="77">
        <f t="shared" si="145"/>
        <v>0</v>
      </c>
      <c r="AQ443" s="78"/>
      <c r="AR443" s="142"/>
      <c r="AS443" s="142"/>
      <c r="AT443" s="79">
        <f t="shared" si="146"/>
        <v>0</v>
      </c>
      <c r="AU443" s="75"/>
      <c r="AV443" s="76"/>
      <c r="AW443" s="135"/>
      <c r="AX443" s="135"/>
      <c r="AY443" s="77">
        <f t="shared" si="147"/>
        <v>0</v>
      </c>
      <c r="AZ443" s="76"/>
      <c r="BA443" s="142"/>
      <c r="BB443" s="142"/>
      <c r="BC443" s="77">
        <f t="shared" si="148"/>
        <v>0</v>
      </c>
      <c r="BD443" s="78"/>
      <c r="BE443" s="142"/>
      <c r="BF443" s="142"/>
      <c r="BG443" s="79">
        <f t="shared" si="149"/>
        <v>0</v>
      </c>
      <c r="BH443" s="75"/>
      <c r="BI443" s="76"/>
      <c r="BJ443" s="135"/>
      <c r="BK443" s="135"/>
      <c r="BL443" s="77">
        <f t="shared" si="150"/>
        <v>0</v>
      </c>
      <c r="BM443" s="78"/>
      <c r="BN443" s="142"/>
      <c r="BO443" s="142"/>
      <c r="BP443" s="77">
        <f t="shared" si="151"/>
        <v>0</v>
      </c>
      <c r="BQ443" s="78"/>
      <c r="BR443" s="142"/>
      <c r="BS443" s="142"/>
      <c r="BT443" s="79">
        <f t="shared" si="152"/>
        <v>0</v>
      </c>
      <c r="BU443" s="75"/>
      <c r="BV443" s="76"/>
      <c r="BW443" s="135"/>
      <c r="BX443" s="135"/>
      <c r="BY443" s="77">
        <f t="shared" si="153"/>
        <v>0</v>
      </c>
      <c r="BZ443" s="78"/>
      <c r="CA443" s="142"/>
      <c r="CB443" s="142"/>
      <c r="CC443" s="77">
        <f t="shared" si="154"/>
        <v>0</v>
      </c>
      <c r="CD443" s="78"/>
      <c r="CE443" s="142"/>
      <c r="CF443" s="142"/>
      <c r="CG443" s="79">
        <f t="shared" si="155"/>
        <v>0</v>
      </c>
      <c r="CH443" s="75"/>
      <c r="CI443" s="76"/>
      <c r="CJ443" s="86"/>
      <c r="CK443" s="86"/>
      <c r="CL443" s="77">
        <f t="shared" si="156"/>
        <v>0</v>
      </c>
      <c r="CM443" s="78"/>
      <c r="CN443" s="85"/>
      <c r="CO443" s="85"/>
      <c r="CP443" s="77">
        <f t="shared" si="157"/>
        <v>0</v>
      </c>
      <c r="CQ443" s="78"/>
      <c r="CR443" s="85"/>
      <c r="CS443" s="85"/>
      <c r="CT443" s="79">
        <f t="shared" si="158"/>
        <v>0</v>
      </c>
      <c r="CU443" s="80">
        <f t="shared" si="168"/>
        <v>0</v>
      </c>
      <c r="CV443" s="81">
        <f t="shared" si="169"/>
        <v>0</v>
      </c>
      <c r="CW443" s="144"/>
      <c r="CX443" s="145">
        <f>IF(ISERROR(VLOOKUP($A443,FIJOS!$B$11:$O$590,14,FALSE)),0,VLOOKUP($A443,FIJOS!$B$11:$O$590,14,FALSE))</f>
        <v>0</v>
      </c>
      <c r="CY443" s="145">
        <f>IF(ISERROR(VLOOKUP(A443,FIJOS!$B$10:$P$590,15,FALSE)),0,VLOOKUP(A443,FIJOS!$B$10:$P$590,15,FALSE))</f>
        <v>0</v>
      </c>
      <c r="CZ443" s="155"/>
      <c r="DA443" s="147"/>
      <c r="DB443" s="147"/>
      <c r="DC443" s="147"/>
      <c r="DD443" s="147"/>
      <c r="DE443" s="147"/>
      <c r="DF443" s="145">
        <f>IF(ISERROR(VLOOKUP($A443,FIJOS!$B$11:$N$590,13,FALSE)),0,VLOOKUP($A443,FIJOS!$B$11:$N$590,13,FALSE))</f>
        <v>0</v>
      </c>
      <c r="DG443" s="145">
        <f>IF(ISERROR(VLOOKUP($A443,FIJOS!$B$11:$P$447,12,FALSE)),0,VLOOKUP($A443,FIJOS!$B$11:$P$447,12,FALSE))</f>
        <v>0</v>
      </c>
      <c r="DH443" s="82">
        <f t="shared" si="242"/>
        <v>0</v>
      </c>
      <c r="DI443" s="83" t="b">
        <f>IF($C443=1,(VLOOKUP($A443,FIJOS!$B$11:$P$545,10,FALSE)/7)*(7-$CU443),IF(AND($C443=2,CV443&lt;$DJ$1),(VLOOKUP($D443,HORAS!$B$4:$C$42,2,FALSE)*24)*$CV443,IF(AND($C443=2,CV443&gt;=$DJ$1),VLOOKUP($D443,HORAS!$B$4:$D$42,3,FALSE),IF(AND($C443=3,$CV443&gt;=$DJ$1),VLOOKUP($A443,FIJOS!$B$11:$P$545,10,FALSE),IF(AND($C443=3,$CV443&lt;$DJ$1),((VLOOKUP($A443,FIJOS!$B$11:$P$545,10,FALSE)/48)*24)*$CV443,IF(AND($C443=4,$CV443&gt;=(42/24)),VLOOKUP($D443,HORAS!$B$4:$D$42,3,FALSE),IF(AND($C443=5,$CV443&gt;=(36/24)),VLOOKUP($D443,HORAS!$B$4:$D$42,3,FALSE))))))))</f>
        <v>0</v>
      </c>
      <c r="DJ443" s="145">
        <f>IF(OR($C443=2),VLOOKUP($D443,HORAS!$B$4:$E$42,4,FALSE)*$EC443,IF(ISERROR(VLOOKUP($A443,FIJOS!$B$11:$P$108,9,FALSE)),0,VLOOKUP($A443,FIJOS!$B$11:$P$231,9,FALSE)*$EC443))</f>
        <v>0</v>
      </c>
      <c r="DK443" s="145">
        <f>IF(OR($C443=2),VLOOKUP($D443,HORAS!$B$4:$F$42,5,FALSE)*$EE443,IF(ISERROR(VLOOKUP($A443,FIJOS!$B$11:$P$108,9,FALSE)),0,VLOOKUP($A443,FIJOS!$B$11:$P$231,9,FALSE)*$EE443))</f>
        <v>0</v>
      </c>
      <c r="DL443" s="144"/>
      <c r="DM443" s="145">
        <f>IF(ISERROR(VLOOKUP($A443,FIJOS!$B$11:$L$646,11,FALSE)),0,VLOOKUP($A443,FIJOS!$B$11:$L$646,11,FALSE))</f>
        <v>0</v>
      </c>
      <c r="DN443" s="148" t="e">
        <f>IF(OR($C443=1,$C443=3),0,IF((VLOOKUP(CAPTURA!D443,HORAS!$B$4:$K$42,10,FALSE)/4)*COUNTIF($H443:$CT443,3)&gt;100,100,(VLOOKUP(CAPTURA!D443,HORAS!$B$4:$K$42,10,FALSE)/4)*COUNTIF($H443:$CT443,3)))</f>
        <v>#N/A</v>
      </c>
      <c r="DO443" s="144" t="e">
        <f>IF(OR($C443=1,$C443=3),0,IF($C443=5,VLOOKUP(D443,HORAS!$B$4:$G$42,6,FALSE),IF(AND($C443=4,$CV443&gt;=(42/24)),VLOOKUP(D443,HORAS!$B$4:$G$42,6,FALSE),IF(COUNTIF($H443:$CL443,"F")&gt;0,0,IF(CV443&gt;$DJ$1,$DJ$1*(VLOOKUP(D443,HORAS!$B$4:$G$42,6,FALSE)/$DJ$1),CV443*(VLOOKUP(D443,HORAS!$B$4:$G$42,6,FALSE)/$DJ$1))))))</f>
        <v>#N/A</v>
      </c>
      <c r="DP443" s="156"/>
      <c r="DQ443" s="148"/>
      <c r="DR443" s="148"/>
      <c r="DS443" s="83" t="e">
        <f t="shared" si="162"/>
        <v>#N/A</v>
      </c>
      <c r="DT443" s="84"/>
      <c r="DU443" s="149" t="e">
        <f t="shared" si="243"/>
        <v>#N/A</v>
      </c>
      <c r="DV443" s="149" t="e">
        <f t="shared" si="244"/>
        <v>#N/A</v>
      </c>
      <c r="DW443" s="144" t="e">
        <f t="shared" si="245"/>
        <v>#N/A</v>
      </c>
      <c r="DX443" s="168"/>
      <c r="DY443" s="29"/>
      <c r="DZ443" s="150"/>
      <c r="EA443" s="134"/>
      <c r="EB443" s="137">
        <f t="shared" si="246"/>
        <v>0</v>
      </c>
      <c r="EC443" s="138">
        <f t="shared" si="247"/>
        <v>0</v>
      </c>
      <c r="ED443" s="137">
        <f t="shared" si="248"/>
        <v>0</v>
      </c>
      <c r="EE443" s="132">
        <f t="shared" si="249"/>
        <v>0</v>
      </c>
      <c r="EF443" s="29"/>
      <c r="EG443" s="134"/>
      <c r="EH443" s="134"/>
      <c r="EI443" s="134"/>
      <c r="EK443" s="29"/>
    </row>
    <row r="444" spans="1:141" ht="15" customHeight="1" x14ac:dyDescent="0.25">
      <c r="A444" s="87"/>
      <c r="B444" s="5"/>
      <c r="C444" s="72"/>
      <c r="D444" s="73"/>
      <c r="E444" s="73"/>
      <c r="F444" s="141"/>
      <c r="G444" s="74"/>
      <c r="H444" s="75"/>
      <c r="I444" s="76"/>
      <c r="J444" s="135"/>
      <c r="K444" s="135"/>
      <c r="L444" s="77">
        <f t="shared" si="138"/>
        <v>0</v>
      </c>
      <c r="M444" s="78"/>
      <c r="N444" s="142"/>
      <c r="O444" s="142"/>
      <c r="P444" s="77">
        <f t="shared" si="139"/>
        <v>0</v>
      </c>
      <c r="Q444" s="78"/>
      <c r="R444" s="143"/>
      <c r="S444" s="143"/>
      <c r="T444" s="77">
        <f t="shared" si="140"/>
        <v>0</v>
      </c>
      <c r="U444" s="75"/>
      <c r="V444" s="76"/>
      <c r="W444" s="135"/>
      <c r="X444" s="135"/>
      <c r="Y444" s="77">
        <f t="shared" si="141"/>
        <v>0</v>
      </c>
      <c r="Z444" s="78"/>
      <c r="AA444" s="142"/>
      <c r="AB444" s="142"/>
      <c r="AC444" s="77">
        <f t="shared" si="142"/>
        <v>0</v>
      </c>
      <c r="AD444" s="78"/>
      <c r="AE444" s="143"/>
      <c r="AF444" s="143"/>
      <c r="AG444" s="79">
        <f t="shared" si="143"/>
        <v>0</v>
      </c>
      <c r="AH444" s="75"/>
      <c r="AI444" s="76"/>
      <c r="AJ444" s="135"/>
      <c r="AK444" s="135"/>
      <c r="AL444" s="77">
        <f t="shared" si="144"/>
        <v>0</v>
      </c>
      <c r="AM444" s="76"/>
      <c r="AN444" s="142"/>
      <c r="AO444" s="142"/>
      <c r="AP444" s="77">
        <f t="shared" si="145"/>
        <v>0</v>
      </c>
      <c r="AQ444" s="78"/>
      <c r="AR444" s="142"/>
      <c r="AS444" s="142"/>
      <c r="AT444" s="79">
        <f t="shared" si="146"/>
        <v>0</v>
      </c>
      <c r="AU444" s="75"/>
      <c r="AV444" s="76"/>
      <c r="AW444" s="135"/>
      <c r="AX444" s="135"/>
      <c r="AY444" s="77">
        <f t="shared" si="147"/>
        <v>0</v>
      </c>
      <c r="AZ444" s="76"/>
      <c r="BA444" s="142"/>
      <c r="BB444" s="142"/>
      <c r="BC444" s="77">
        <f t="shared" si="148"/>
        <v>0</v>
      </c>
      <c r="BD444" s="78"/>
      <c r="BE444" s="142"/>
      <c r="BF444" s="142"/>
      <c r="BG444" s="79">
        <f t="shared" si="149"/>
        <v>0</v>
      </c>
      <c r="BH444" s="75"/>
      <c r="BI444" s="76"/>
      <c r="BJ444" s="135"/>
      <c r="BK444" s="135"/>
      <c r="BL444" s="77">
        <f t="shared" si="150"/>
        <v>0</v>
      </c>
      <c r="BM444" s="78"/>
      <c r="BN444" s="142"/>
      <c r="BO444" s="142"/>
      <c r="BP444" s="77">
        <f t="shared" si="151"/>
        <v>0</v>
      </c>
      <c r="BQ444" s="78"/>
      <c r="BR444" s="142"/>
      <c r="BS444" s="142"/>
      <c r="BT444" s="79">
        <f t="shared" si="152"/>
        <v>0</v>
      </c>
      <c r="BU444" s="75"/>
      <c r="BV444" s="76"/>
      <c r="BW444" s="135"/>
      <c r="BX444" s="135"/>
      <c r="BY444" s="77">
        <f t="shared" si="153"/>
        <v>0</v>
      </c>
      <c r="BZ444" s="78"/>
      <c r="CA444" s="142"/>
      <c r="CB444" s="142"/>
      <c r="CC444" s="77">
        <f t="shared" si="154"/>
        <v>0</v>
      </c>
      <c r="CD444" s="78"/>
      <c r="CE444" s="142"/>
      <c r="CF444" s="142"/>
      <c r="CG444" s="79">
        <f t="shared" si="155"/>
        <v>0</v>
      </c>
      <c r="CH444" s="75"/>
      <c r="CI444" s="76"/>
      <c r="CJ444" s="86"/>
      <c r="CK444" s="86"/>
      <c r="CL444" s="77">
        <f t="shared" si="156"/>
        <v>0</v>
      </c>
      <c r="CM444" s="78"/>
      <c r="CN444" s="85"/>
      <c r="CO444" s="85"/>
      <c r="CP444" s="77">
        <f t="shared" si="157"/>
        <v>0</v>
      </c>
      <c r="CQ444" s="78"/>
      <c r="CR444" s="85"/>
      <c r="CS444" s="85"/>
      <c r="CT444" s="79">
        <f t="shared" si="158"/>
        <v>0</v>
      </c>
      <c r="CU444" s="80">
        <f t="shared" si="168"/>
        <v>0</v>
      </c>
      <c r="CV444" s="81">
        <f t="shared" si="169"/>
        <v>0</v>
      </c>
      <c r="CW444" s="144"/>
      <c r="CX444" s="145">
        <f>IF(ISERROR(VLOOKUP($A444,FIJOS!$B$11:$O$590,14,FALSE)),0,VLOOKUP($A444,FIJOS!$B$11:$O$590,14,FALSE))</f>
        <v>0</v>
      </c>
      <c r="CY444" s="145">
        <f>IF(ISERROR(VLOOKUP(A444,FIJOS!$B$10:$P$590,15,FALSE)),0,VLOOKUP(A444,FIJOS!$B$10:$P$590,15,FALSE))</f>
        <v>0</v>
      </c>
      <c r="CZ444" s="155"/>
      <c r="DA444" s="147"/>
      <c r="DB444" s="147"/>
      <c r="DC444" s="147"/>
      <c r="DD444" s="147"/>
      <c r="DE444" s="147"/>
      <c r="DF444" s="145">
        <f>IF(ISERROR(VLOOKUP($A444,FIJOS!$B$11:$N$590,13,FALSE)),0,VLOOKUP($A444,FIJOS!$B$11:$N$590,13,FALSE))</f>
        <v>0</v>
      </c>
      <c r="DG444" s="145">
        <f>IF(ISERROR(VLOOKUP($A444,FIJOS!$B$11:$P$447,12,FALSE)),0,VLOOKUP($A444,FIJOS!$B$11:$P$447,12,FALSE))</f>
        <v>0</v>
      </c>
      <c r="DH444" s="82">
        <f t="shared" si="242"/>
        <v>0</v>
      </c>
      <c r="DI444" s="83" t="b">
        <f>IF($C444=1,(VLOOKUP($A444,FIJOS!$B$11:$P$545,10,FALSE)/7)*(7-$CU444),IF(AND($C444=2,CV444&lt;$DJ$1),(VLOOKUP($D444,HORAS!$B$4:$C$42,2,FALSE)*24)*$CV444,IF(AND($C444=2,CV444&gt;=$DJ$1),VLOOKUP($D444,HORAS!$B$4:$D$42,3,FALSE),IF(AND($C444=3,$CV444&gt;=$DJ$1),VLOOKUP($A444,FIJOS!$B$11:$P$545,10,FALSE),IF(AND($C444=3,$CV444&lt;$DJ$1),((VLOOKUP($A444,FIJOS!$B$11:$P$545,10,FALSE)/48)*24)*$CV444,IF(AND($C444=4,$CV444&gt;=(42/24)),VLOOKUP($D444,HORAS!$B$4:$D$42,3,FALSE),IF(AND($C444=5,$CV444&gt;=(36/24)),VLOOKUP($D444,HORAS!$B$4:$D$42,3,FALSE))))))))</f>
        <v>0</v>
      </c>
      <c r="DJ444" s="145">
        <f>IF(OR($C444=2),VLOOKUP($D444,HORAS!$B$4:$E$42,4,FALSE)*$EC444,IF(ISERROR(VLOOKUP($A444,FIJOS!$B$11:$P$108,9,FALSE)),0,VLOOKUP($A444,FIJOS!$B$11:$P$231,9,FALSE)*$EC444))</f>
        <v>0</v>
      </c>
      <c r="DK444" s="145">
        <f>IF(OR($C444=2),VLOOKUP($D444,HORAS!$B$4:$F$42,5,FALSE)*$EE444,IF(ISERROR(VLOOKUP($A444,FIJOS!$B$11:$P$108,9,FALSE)),0,VLOOKUP($A444,FIJOS!$B$11:$P$231,9,FALSE)*$EE444))</f>
        <v>0</v>
      </c>
      <c r="DL444" s="144"/>
      <c r="DM444" s="145">
        <f>IF(ISERROR(VLOOKUP($A444,FIJOS!$B$11:$L$646,11,FALSE)),0,VLOOKUP($A444,FIJOS!$B$11:$L$646,11,FALSE))</f>
        <v>0</v>
      </c>
      <c r="DN444" s="148" t="e">
        <f>IF(OR($C444=1,$C444=3),0,IF((VLOOKUP(CAPTURA!D444,HORAS!$B$4:$K$42,10,FALSE)/4)*COUNTIF($H444:$CT444,3)&gt;100,100,(VLOOKUP(CAPTURA!D444,HORAS!$B$4:$K$42,10,FALSE)/4)*COUNTIF($H444:$CT444,3)))</f>
        <v>#N/A</v>
      </c>
      <c r="DO444" s="144" t="e">
        <f>IF(OR($C444=1,$C444=3),0,IF($C444=5,VLOOKUP(D444,HORAS!$B$4:$G$42,6,FALSE),IF(AND($C444=4,$CV444&gt;=(42/24)),VLOOKUP(D444,HORAS!$B$4:$G$42,6,FALSE),IF(COUNTIF($H444:$CL444,"F")&gt;0,0,IF(CV444&gt;$DJ$1,$DJ$1*(VLOOKUP(D444,HORAS!$B$4:$G$42,6,FALSE)/$DJ$1),CV444*(VLOOKUP(D444,HORAS!$B$4:$G$42,6,FALSE)/$DJ$1))))))</f>
        <v>#N/A</v>
      </c>
      <c r="DP444" s="156"/>
      <c r="DQ444" s="148"/>
      <c r="DR444" s="148"/>
      <c r="DS444" s="83" t="e">
        <f t="shared" si="162"/>
        <v>#N/A</v>
      </c>
      <c r="DT444" s="84"/>
      <c r="DU444" s="149" t="e">
        <f t="shared" si="243"/>
        <v>#N/A</v>
      </c>
      <c r="DV444" s="149" t="e">
        <f t="shared" si="244"/>
        <v>#N/A</v>
      </c>
      <c r="DW444" s="144" t="e">
        <f t="shared" si="245"/>
        <v>#N/A</v>
      </c>
      <c r="DX444" s="168"/>
      <c r="DY444" s="29"/>
      <c r="DZ444" s="150"/>
      <c r="EA444" s="134"/>
      <c r="EB444" s="137">
        <f t="shared" si="246"/>
        <v>0</v>
      </c>
      <c r="EC444" s="138">
        <f t="shared" si="247"/>
        <v>0</v>
      </c>
      <c r="ED444" s="137">
        <f t="shared" si="248"/>
        <v>0</v>
      </c>
      <c r="EE444" s="132">
        <f t="shared" si="249"/>
        <v>0</v>
      </c>
      <c r="EF444" s="29"/>
      <c r="EG444" s="134"/>
      <c r="EH444" s="134"/>
      <c r="EI444" s="134"/>
      <c r="EK444" s="29"/>
    </row>
    <row r="445" spans="1:141" ht="15" customHeight="1" x14ac:dyDescent="0.25">
      <c r="A445" s="87"/>
      <c r="B445" s="5"/>
      <c r="C445" s="72"/>
      <c r="D445" s="73"/>
      <c r="E445" s="73"/>
      <c r="F445" s="141"/>
      <c r="G445" s="74"/>
      <c r="H445" s="75"/>
      <c r="I445" s="76"/>
      <c r="J445" s="135"/>
      <c r="K445" s="135"/>
      <c r="L445" s="77">
        <f t="shared" si="138"/>
        <v>0</v>
      </c>
      <c r="M445" s="78"/>
      <c r="N445" s="142"/>
      <c r="O445" s="142"/>
      <c r="P445" s="77">
        <f t="shared" si="139"/>
        <v>0</v>
      </c>
      <c r="Q445" s="78"/>
      <c r="R445" s="143"/>
      <c r="S445" s="143"/>
      <c r="T445" s="77">
        <f t="shared" si="140"/>
        <v>0</v>
      </c>
      <c r="U445" s="75"/>
      <c r="V445" s="76"/>
      <c r="W445" s="135"/>
      <c r="X445" s="135"/>
      <c r="Y445" s="77">
        <f t="shared" si="141"/>
        <v>0</v>
      </c>
      <c r="Z445" s="78"/>
      <c r="AA445" s="142"/>
      <c r="AB445" s="142"/>
      <c r="AC445" s="77">
        <f t="shared" si="142"/>
        <v>0</v>
      </c>
      <c r="AD445" s="78"/>
      <c r="AE445" s="143"/>
      <c r="AF445" s="143"/>
      <c r="AG445" s="79">
        <f t="shared" si="143"/>
        <v>0</v>
      </c>
      <c r="AH445" s="75"/>
      <c r="AI445" s="76"/>
      <c r="AJ445" s="135"/>
      <c r="AK445" s="135"/>
      <c r="AL445" s="77">
        <f t="shared" si="144"/>
        <v>0</v>
      </c>
      <c r="AM445" s="76"/>
      <c r="AN445" s="142"/>
      <c r="AO445" s="142"/>
      <c r="AP445" s="77">
        <f t="shared" si="145"/>
        <v>0</v>
      </c>
      <c r="AQ445" s="78"/>
      <c r="AR445" s="142"/>
      <c r="AS445" s="142"/>
      <c r="AT445" s="79">
        <f t="shared" si="146"/>
        <v>0</v>
      </c>
      <c r="AU445" s="75"/>
      <c r="AV445" s="76"/>
      <c r="AW445" s="135"/>
      <c r="AX445" s="135"/>
      <c r="AY445" s="77">
        <f t="shared" si="147"/>
        <v>0</v>
      </c>
      <c r="AZ445" s="76"/>
      <c r="BA445" s="142"/>
      <c r="BB445" s="142"/>
      <c r="BC445" s="77">
        <f t="shared" si="148"/>
        <v>0</v>
      </c>
      <c r="BD445" s="78"/>
      <c r="BE445" s="142"/>
      <c r="BF445" s="142"/>
      <c r="BG445" s="79">
        <f t="shared" si="149"/>
        <v>0</v>
      </c>
      <c r="BH445" s="75"/>
      <c r="BI445" s="76"/>
      <c r="BJ445" s="135"/>
      <c r="BK445" s="135"/>
      <c r="BL445" s="77">
        <f t="shared" si="150"/>
        <v>0</v>
      </c>
      <c r="BM445" s="78"/>
      <c r="BN445" s="142"/>
      <c r="BO445" s="142"/>
      <c r="BP445" s="77">
        <f t="shared" si="151"/>
        <v>0</v>
      </c>
      <c r="BQ445" s="78"/>
      <c r="BR445" s="142"/>
      <c r="BS445" s="142"/>
      <c r="BT445" s="79">
        <f t="shared" si="152"/>
        <v>0</v>
      </c>
      <c r="BU445" s="75"/>
      <c r="BV445" s="76"/>
      <c r="BW445" s="135"/>
      <c r="BX445" s="135"/>
      <c r="BY445" s="77">
        <f t="shared" si="153"/>
        <v>0</v>
      </c>
      <c r="BZ445" s="78"/>
      <c r="CA445" s="142"/>
      <c r="CB445" s="142"/>
      <c r="CC445" s="77">
        <f t="shared" si="154"/>
        <v>0</v>
      </c>
      <c r="CD445" s="78"/>
      <c r="CE445" s="142"/>
      <c r="CF445" s="142"/>
      <c r="CG445" s="79">
        <f t="shared" si="155"/>
        <v>0</v>
      </c>
      <c r="CH445" s="75"/>
      <c r="CI445" s="76"/>
      <c r="CJ445" s="86"/>
      <c r="CK445" s="86"/>
      <c r="CL445" s="77">
        <f t="shared" si="156"/>
        <v>0</v>
      </c>
      <c r="CM445" s="78"/>
      <c r="CN445" s="85"/>
      <c r="CO445" s="85"/>
      <c r="CP445" s="77">
        <f t="shared" si="157"/>
        <v>0</v>
      </c>
      <c r="CQ445" s="78"/>
      <c r="CR445" s="85"/>
      <c r="CS445" s="85"/>
      <c r="CT445" s="79">
        <f t="shared" si="158"/>
        <v>0</v>
      </c>
      <c r="CU445" s="80">
        <f t="shared" si="168"/>
        <v>0</v>
      </c>
      <c r="CV445" s="81">
        <f t="shared" si="169"/>
        <v>0</v>
      </c>
      <c r="CW445" s="144"/>
      <c r="CX445" s="145">
        <f>IF(ISERROR(VLOOKUP($A445,FIJOS!$B$11:$O$590,14,FALSE)),0,VLOOKUP($A445,FIJOS!$B$11:$O$590,14,FALSE))</f>
        <v>0</v>
      </c>
      <c r="CY445" s="145">
        <f>IF(ISERROR(VLOOKUP(A445,FIJOS!$B$10:$P$590,15,FALSE)),0,VLOOKUP(A445,FIJOS!$B$10:$P$590,15,FALSE))</f>
        <v>0</v>
      </c>
      <c r="CZ445" s="155"/>
      <c r="DA445" s="147"/>
      <c r="DB445" s="147"/>
      <c r="DC445" s="147"/>
      <c r="DD445" s="147"/>
      <c r="DE445" s="147"/>
      <c r="DF445" s="145">
        <f>IF(ISERROR(VLOOKUP($A445,FIJOS!$B$11:$N$590,13,FALSE)),0,VLOOKUP($A445,FIJOS!$B$11:$N$590,13,FALSE))</f>
        <v>0</v>
      </c>
      <c r="DG445" s="145">
        <f>IF(ISERROR(VLOOKUP($A445,FIJOS!$B$11:$P$447,12,FALSE)),0,VLOOKUP($A445,FIJOS!$B$11:$P$447,12,FALSE))</f>
        <v>0</v>
      </c>
      <c r="DH445" s="82">
        <f t="shared" si="242"/>
        <v>0</v>
      </c>
      <c r="DI445" s="83" t="b">
        <f>IF($C445=1,(VLOOKUP($A445,FIJOS!$B$11:$P$545,10,FALSE)/7)*(7-$CU445),IF(AND($C445=2,CV445&lt;$DJ$1),(VLOOKUP($D445,HORAS!$B$4:$C$42,2,FALSE)*24)*$CV445,IF(AND($C445=2,CV445&gt;=$DJ$1),VLOOKUP($D445,HORAS!$B$4:$D$42,3,FALSE),IF(AND($C445=3,$CV445&gt;=$DJ$1),VLOOKUP($A445,FIJOS!$B$11:$P$545,10,FALSE),IF(AND($C445=3,$CV445&lt;$DJ$1),((VLOOKUP($A445,FIJOS!$B$11:$P$545,10,FALSE)/48)*24)*$CV445,IF(AND($C445=4,$CV445&gt;=(42/24)),VLOOKUP($D445,HORAS!$B$4:$D$42,3,FALSE),IF(AND($C445=5,$CV445&gt;=(36/24)),VLOOKUP($D445,HORAS!$B$4:$D$42,3,FALSE))))))))</f>
        <v>0</v>
      </c>
      <c r="DJ445" s="145">
        <f>IF(OR($C445=2),VLOOKUP($D445,HORAS!$B$4:$E$42,4,FALSE)*$EC445,IF(ISERROR(VLOOKUP($A445,FIJOS!$B$11:$P$108,9,FALSE)),0,VLOOKUP($A445,FIJOS!$B$11:$P$231,9,FALSE)*$EC445))</f>
        <v>0</v>
      </c>
      <c r="DK445" s="145">
        <f>IF(OR($C445=2),VLOOKUP($D445,HORAS!$B$4:$F$42,5,FALSE)*$EE445,IF(ISERROR(VLOOKUP($A445,FIJOS!$B$11:$P$108,9,FALSE)),0,VLOOKUP($A445,FIJOS!$B$11:$P$231,9,FALSE)*$EE445))</f>
        <v>0</v>
      </c>
      <c r="DL445" s="144"/>
      <c r="DM445" s="145">
        <f>IF(ISERROR(VLOOKUP($A445,FIJOS!$B$11:$L$646,11,FALSE)),0,VLOOKUP($A445,FIJOS!$B$11:$L$646,11,FALSE))</f>
        <v>0</v>
      </c>
      <c r="DN445" s="148" t="e">
        <f>IF(OR($C445=1,$C445=3),0,IF((VLOOKUP(CAPTURA!D445,HORAS!$B$4:$K$42,10,FALSE)/4)*COUNTIF($H445:$CT445,3)&gt;100,100,(VLOOKUP(CAPTURA!D445,HORAS!$B$4:$K$42,10,FALSE)/4)*COUNTIF($H445:$CT445,3)))</f>
        <v>#N/A</v>
      </c>
      <c r="DO445" s="144" t="e">
        <f>IF(OR($C445=1,$C445=3),0,IF($C445=5,VLOOKUP(D445,HORAS!$B$4:$G$42,6,FALSE),IF(AND($C445=4,$CV445&gt;=(42/24)),VLOOKUP(D445,HORAS!$B$4:$G$42,6,FALSE),IF(COUNTIF($H445:$CL445,"F")&gt;0,0,IF(CV445&gt;$DJ$1,$DJ$1*(VLOOKUP(D445,HORAS!$B$4:$G$42,6,FALSE)/$DJ$1),CV445*(VLOOKUP(D445,HORAS!$B$4:$G$42,6,FALSE)/$DJ$1))))))</f>
        <v>#N/A</v>
      </c>
      <c r="DP445" s="156"/>
      <c r="DQ445" s="148"/>
      <c r="DR445" s="148"/>
      <c r="DS445" s="83" t="e">
        <f t="shared" si="162"/>
        <v>#N/A</v>
      </c>
      <c r="DT445" s="84"/>
      <c r="DU445" s="149" t="e">
        <f t="shared" si="243"/>
        <v>#N/A</v>
      </c>
      <c r="DV445" s="149" t="e">
        <f t="shared" si="244"/>
        <v>#N/A</v>
      </c>
      <c r="DW445" s="144" t="e">
        <f t="shared" si="245"/>
        <v>#N/A</v>
      </c>
      <c r="DX445" s="168"/>
      <c r="DY445" s="29"/>
      <c r="DZ445" s="150"/>
      <c r="EA445" s="134"/>
      <c r="EB445" s="137">
        <f t="shared" si="246"/>
        <v>0</v>
      </c>
      <c r="EC445" s="138">
        <f t="shared" si="247"/>
        <v>0</v>
      </c>
      <c r="ED445" s="137">
        <f t="shared" si="248"/>
        <v>0</v>
      </c>
      <c r="EE445" s="132">
        <f t="shared" si="249"/>
        <v>0</v>
      </c>
      <c r="EF445" s="29"/>
      <c r="EG445" s="134"/>
      <c r="EH445" s="134"/>
      <c r="EI445" s="134"/>
      <c r="EK445" s="29"/>
    </row>
    <row r="446" spans="1:141" ht="15" customHeight="1" x14ac:dyDescent="0.25">
      <c r="A446" s="87"/>
      <c r="B446" s="5"/>
      <c r="C446" s="72"/>
      <c r="D446" s="73"/>
      <c r="E446" s="73"/>
      <c r="F446" s="141"/>
      <c r="G446" s="74"/>
      <c r="H446" s="75"/>
      <c r="I446" s="76"/>
      <c r="J446" s="135"/>
      <c r="K446" s="135"/>
      <c r="L446" s="77">
        <f t="shared" si="138"/>
        <v>0</v>
      </c>
      <c r="M446" s="78"/>
      <c r="N446" s="142"/>
      <c r="O446" s="142"/>
      <c r="P446" s="77">
        <f t="shared" si="139"/>
        <v>0</v>
      </c>
      <c r="Q446" s="78"/>
      <c r="R446" s="143"/>
      <c r="S446" s="143"/>
      <c r="T446" s="77">
        <f t="shared" si="140"/>
        <v>0</v>
      </c>
      <c r="U446" s="75"/>
      <c r="V446" s="76"/>
      <c r="W446" s="135"/>
      <c r="X446" s="135"/>
      <c r="Y446" s="77">
        <f t="shared" si="141"/>
        <v>0</v>
      </c>
      <c r="Z446" s="78"/>
      <c r="AA446" s="142"/>
      <c r="AB446" s="142"/>
      <c r="AC446" s="77">
        <f t="shared" si="142"/>
        <v>0</v>
      </c>
      <c r="AD446" s="78"/>
      <c r="AE446" s="143"/>
      <c r="AF446" s="143"/>
      <c r="AG446" s="79">
        <f t="shared" si="143"/>
        <v>0</v>
      </c>
      <c r="AH446" s="75"/>
      <c r="AI446" s="76"/>
      <c r="AJ446" s="135"/>
      <c r="AK446" s="135"/>
      <c r="AL446" s="77">
        <f t="shared" si="144"/>
        <v>0</v>
      </c>
      <c r="AM446" s="76"/>
      <c r="AN446" s="142"/>
      <c r="AO446" s="142"/>
      <c r="AP446" s="77">
        <f t="shared" si="145"/>
        <v>0</v>
      </c>
      <c r="AQ446" s="78"/>
      <c r="AR446" s="142"/>
      <c r="AS446" s="142"/>
      <c r="AT446" s="79">
        <f t="shared" si="146"/>
        <v>0</v>
      </c>
      <c r="AU446" s="75"/>
      <c r="AV446" s="76"/>
      <c r="AW446" s="135"/>
      <c r="AX446" s="135"/>
      <c r="AY446" s="77">
        <f t="shared" si="147"/>
        <v>0</v>
      </c>
      <c r="AZ446" s="76"/>
      <c r="BA446" s="142"/>
      <c r="BB446" s="142"/>
      <c r="BC446" s="77">
        <f t="shared" si="148"/>
        <v>0</v>
      </c>
      <c r="BD446" s="78"/>
      <c r="BE446" s="142"/>
      <c r="BF446" s="142"/>
      <c r="BG446" s="79">
        <f t="shared" si="149"/>
        <v>0</v>
      </c>
      <c r="BH446" s="75"/>
      <c r="BI446" s="76"/>
      <c r="BJ446" s="135"/>
      <c r="BK446" s="135"/>
      <c r="BL446" s="77">
        <f t="shared" si="150"/>
        <v>0</v>
      </c>
      <c r="BM446" s="78"/>
      <c r="BN446" s="142"/>
      <c r="BO446" s="142"/>
      <c r="BP446" s="77">
        <f t="shared" si="151"/>
        <v>0</v>
      </c>
      <c r="BQ446" s="78"/>
      <c r="BR446" s="142"/>
      <c r="BS446" s="142"/>
      <c r="BT446" s="79">
        <f t="shared" si="152"/>
        <v>0</v>
      </c>
      <c r="BU446" s="75"/>
      <c r="BV446" s="76"/>
      <c r="BW446" s="135"/>
      <c r="BX446" s="135"/>
      <c r="BY446" s="77">
        <f t="shared" si="153"/>
        <v>0</v>
      </c>
      <c r="BZ446" s="78"/>
      <c r="CA446" s="142"/>
      <c r="CB446" s="142"/>
      <c r="CC446" s="77">
        <f t="shared" si="154"/>
        <v>0</v>
      </c>
      <c r="CD446" s="78"/>
      <c r="CE446" s="142"/>
      <c r="CF446" s="142"/>
      <c r="CG446" s="79">
        <f t="shared" si="155"/>
        <v>0</v>
      </c>
      <c r="CH446" s="75"/>
      <c r="CI446" s="76"/>
      <c r="CJ446" s="86"/>
      <c r="CK446" s="86"/>
      <c r="CL446" s="77">
        <f t="shared" si="156"/>
        <v>0</v>
      </c>
      <c r="CM446" s="78"/>
      <c r="CN446" s="85"/>
      <c r="CO446" s="85"/>
      <c r="CP446" s="77">
        <f t="shared" si="157"/>
        <v>0</v>
      </c>
      <c r="CQ446" s="78"/>
      <c r="CR446" s="85"/>
      <c r="CS446" s="85"/>
      <c r="CT446" s="79">
        <f t="shared" si="158"/>
        <v>0</v>
      </c>
      <c r="CU446" s="80">
        <f t="shared" si="168"/>
        <v>0</v>
      </c>
      <c r="CV446" s="81">
        <f t="shared" si="169"/>
        <v>0</v>
      </c>
      <c r="CW446" s="144"/>
      <c r="CX446" s="145">
        <f>IF(ISERROR(VLOOKUP($A446,FIJOS!$B$11:$O$590,14,FALSE)),0,VLOOKUP($A446,FIJOS!$B$11:$O$590,14,FALSE))</f>
        <v>0</v>
      </c>
      <c r="CY446" s="145">
        <f>IF(ISERROR(VLOOKUP(A446,FIJOS!$B$10:$P$590,15,FALSE)),0,VLOOKUP(A446,FIJOS!$B$10:$P$590,15,FALSE))</f>
        <v>0</v>
      </c>
      <c r="CZ446" s="155"/>
      <c r="DA446" s="147"/>
      <c r="DB446" s="147"/>
      <c r="DC446" s="147"/>
      <c r="DD446" s="147"/>
      <c r="DE446" s="147"/>
      <c r="DF446" s="145">
        <f>IF(ISERROR(VLOOKUP($A446,FIJOS!$B$11:$N$590,13,FALSE)),0,VLOOKUP($A446,FIJOS!$B$11:$N$590,13,FALSE))</f>
        <v>0</v>
      </c>
      <c r="DG446" s="145">
        <f>IF(ISERROR(VLOOKUP($A446,FIJOS!$B$11:$P$447,12,FALSE)),0,VLOOKUP($A446,FIJOS!$B$11:$P$447,12,FALSE))</f>
        <v>0</v>
      </c>
      <c r="DH446" s="82">
        <f t="shared" si="242"/>
        <v>0</v>
      </c>
      <c r="DI446" s="83" t="b">
        <f>IF($C446=1,(VLOOKUP($A446,FIJOS!$B$11:$P$545,10,FALSE)/7)*(7-$CU446),IF(AND($C446=2,CV446&lt;$DJ$1),(VLOOKUP($D446,HORAS!$B$4:$C$42,2,FALSE)*24)*$CV446,IF(AND($C446=2,CV446&gt;=$DJ$1),VLOOKUP($D446,HORAS!$B$4:$D$42,3,FALSE),IF(AND($C446=3,$CV446&gt;=$DJ$1),VLOOKUP($A446,FIJOS!$B$11:$P$545,10,FALSE),IF(AND($C446=3,$CV446&lt;$DJ$1),((VLOOKUP($A446,FIJOS!$B$11:$P$545,10,FALSE)/48)*24)*$CV446,IF(AND($C446=4,$CV446&gt;=(42/24)),VLOOKUP($D446,HORAS!$B$4:$D$42,3,FALSE),IF(AND($C446=5,$CV446&gt;=(36/24)),VLOOKUP($D446,HORAS!$B$4:$D$42,3,FALSE))))))))</f>
        <v>0</v>
      </c>
      <c r="DJ446" s="145">
        <f>IF(OR($C446=2),VLOOKUP($D446,HORAS!$B$4:$E$42,4,FALSE)*$EC446,IF(ISERROR(VLOOKUP($A446,FIJOS!$B$11:$P$108,9,FALSE)),0,VLOOKUP($A446,FIJOS!$B$11:$P$231,9,FALSE)*$EC446))</f>
        <v>0</v>
      </c>
      <c r="DK446" s="145">
        <f>IF(OR($C446=2),VLOOKUP($D446,HORAS!$B$4:$F$42,5,FALSE)*$EE446,IF(ISERROR(VLOOKUP($A446,FIJOS!$B$11:$P$108,9,FALSE)),0,VLOOKUP($A446,FIJOS!$B$11:$P$231,9,FALSE)*$EE446))</f>
        <v>0</v>
      </c>
      <c r="DL446" s="144"/>
      <c r="DM446" s="145">
        <f>IF(ISERROR(VLOOKUP($A446,FIJOS!$B$11:$L$646,11,FALSE)),0,VLOOKUP($A446,FIJOS!$B$11:$L$646,11,FALSE))</f>
        <v>0</v>
      </c>
      <c r="DN446" s="148" t="e">
        <f>IF(OR($C446=1,$C446=3),0,IF((VLOOKUP(CAPTURA!D446,HORAS!$B$4:$K$42,10,FALSE)/4)*COUNTIF($H446:$CT446,3)&gt;100,100,(VLOOKUP(CAPTURA!D446,HORAS!$B$4:$K$42,10,FALSE)/4)*COUNTIF($H446:$CT446,3)))</f>
        <v>#N/A</v>
      </c>
      <c r="DO446" s="144" t="e">
        <f>IF(OR($C446=1,$C446=3),0,IF($C446=5,VLOOKUP(D446,HORAS!$B$4:$G$42,6,FALSE),IF(AND($C446=4,$CV446&gt;=(42/24)),VLOOKUP(D446,HORAS!$B$4:$G$42,6,FALSE),IF(COUNTIF($H446:$CL446,"F")&gt;0,0,IF(CV446&gt;$DJ$1,$DJ$1*(VLOOKUP(D446,HORAS!$B$4:$G$42,6,FALSE)/$DJ$1),CV446*(VLOOKUP(D446,HORAS!$B$4:$G$42,6,FALSE)/$DJ$1))))))</f>
        <v>#N/A</v>
      </c>
      <c r="DP446" s="156"/>
      <c r="DQ446" s="148"/>
      <c r="DR446" s="148"/>
      <c r="DS446" s="83" t="e">
        <f t="shared" si="162"/>
        <v>#N/A</v>
      </c>
      <c r="DT446" s="84"/>
      <c r="DU446" s="149" t="e">
        <f t="shared" si="243"/>
        <v>#N/A</v>
      </c>
      <c r="DV446" s="149" t="e">
        <f t="shared" si="244"/>
        <v>#N/A</v>
      </c>
      <c r="DW446" s="144" t="e">
        <f t="shared" si="245"/>
        <v>#N/A</v>
      </c>
      <c r="DX446" s="168"/>
      <c r="DY446" s="29"/>
      <c r="DZ446" s="150"/>
      <c r="EA446" s="134"/>
      <c r="EB446" s="137">
        <f t="shared" si="246"/>
        <v>0</v>
      </c>
      <c r="EC446" s="138">
        <f t="shared" si="247"/>
        <v>0</v>
      </c>
      <c r="ED446" s="137">
        <f t="shared" si="248"/>
        <v>0</v>
      </c>
      <c r="EE446" s="132">
        <f t="shared" si="249"/>
        <v>0</v>
      </c>
      <c r="EF446" s="29"/>
      <c r="EG446" s="134"/>
      <c r="EH446" s="134"/>
      <c r="EI446" s="134"/>
      <c r="EK446" s="29"/>
    </row>
    <row r="447" spans="1:141" ht="15" customHeight="1" x14ac:dyDescent="0.25">
      <c r="A447" s="87"/>
      <c r="B447" s="5"/>
      <c r="C447" s="72"/>
      <c r="D447" s="73"/>
      <c r="E447" s="73"/>
      <c r="F447" s="141"/>
      <c r="G447" s="74"/>
      <c r="H447" s="75"/>
      <c r="I447" s="76"/>
      <c r="J447" s="135"/>
      <c r="K447" s="135"/>
      <c r="L447" s="77">
        <f t="shared" si="138"/>
        <v>0</v>
      </c>
      <c r="M447" s="78"/>
      <c r="N447" s="142"/>
      <c r="O447" s="142"/>
      <c r="P447" s="77">
        <f t="shared" si="139"/>
        <v>0</v>
      </c>
      <c r="Q447" s="78"/>
      <c r="R447" s="143"/>
      <c r="S447" s="143"/>
      <c r="T447" s="77">
        <f t="shared" si="140"/>
        <v>0</v>
      </c>
      <c r="U447" s="75"/>
      <c r="V447" s="76"/>
      <c r="W447" s="135"/>
      <c r="X447" s="135"/>
      <c r="Y447" s="77">
        <f t="shared" si="141"/>
        <v>0</v>
      </c>
      <c r="Z447" s="78"/>
      <c r="AA447" s="142"/>
      <c r="AB447" s="142"/>
      <c r="AC447" s="77">
        <f t="shared" si="142"/>
        <v>0</v>
      </c>
      <c r="AD447" s="78"/>
      <c r="AE447" s="143"/>
      <c r="AF447" s="143"/>
      <c r="AG447" s="79">
        <f t="shared" si="143"/>
        <v>0</v>
      </c>
      <c r="AH447" s="75"/>
      <c r="AI447" s="76"/>
      <c r="AJ447" s="135"/>
      <c r="AK447" s="135"/>
      <c r="AL447" s="77">
        <f t="shared" si="144"/>
        <v>0</v>
      </c>
      <c r="AM447" s="76"/>
      <c r="AN447" s="142"/>
      <c r="AO447" s="142"/>
      <c r="AP447" s="77">
        <f t="shared" si="145"/>
        <v>0</v>
      </c>
      <c r="AQ447" s="78"/>
      <c r="AR447" s="142"/>
      <c r="AS447" s="142"/>
      <c r="AT447" s="79">
        <f t="shared" si="146"/>
        <v>0</v>
      </c>
      <c r="AU447" s="75"/>
      <c r="AV447" s="76"/>
      <c r="AW447" s="135"/>
      <c r="AX447" s="135"/>
      <c r="AY447" s="77">
        <f t="shared" si="147"/>
        <v>0</v>
      </c>
      <c r="AZ447" s="76"/>
      <c r="BA447" s="142"/>
      <c r="BB447" s="142"/>
      <c r="BC447" s="77">
        <f t="shared" si="148"/>
        <v>0</v>
      </c>
      <c r="BD447" s="78"/>
      <c r="BE447" s="142"/>
      <c r="BF447" s="142"/>
      <c r="BG447" s="79">
        <f t="shared" si="149"/>
        <v>0</v>
      </c>
      <c r="BH447" s="75"/>
      <c r="BI447" s="76"/>
      <c r="BJ447" s="135"/>
      <c r="BK447" s="135"/>
      <c r="BL447" s="77">
        <f t="shared" si="150"/>
        <v>0</v>
      </c>
      <c r="BM447" s="78"/>
      <c r="BN447" s="142"/>
      <c r="BO447" s="142"/>
      <c r="BP447" s="77">
        <f t="shared" si="151"/>
        <v>0</v>
      </c>
      <c r="BQ447" s="78"/>
      <c r="BR447" s="142"/>
      <c r="BS447" s="142"/>
      <c r="BT447" s="79">
        <f t="shared" si="152"/>
        <v>0</v>
      </c>
      <c r="BU447" s="75"/>
      <c r="BV447" s="76"/>
      <c r="BW447" s="135"/>
      <c r="BX447" s="135"/>
      <c r="BY447" s="77">
        <f t="shared" si="153"/>
        <v>0</v>
      </c>
      <c r="BZ447" s="78"/>
      <c r="CA447" s="142"/>
      <c r="CB447" s="142"/>
      <c r="CC447" s="77">
        <f t="shared" si="154"/>
        <v>0</v>
      </c>
      <c r="CD447" s="78"/>
      <c r="CE447" s="142"/>
      <c r="CF447" s="142"/>
      <c r="CG447" s="79">
        <f t="shared" si="155"/>
        <v>0</v>
      </c>
      <c r="CH447" s="75"/>
      <c r="CI447" s="76"/>
      <c r="CJ447" s="86"/>
      <c r="CK447" s="86"/>
      <c r="CL447" s="77">
        <f t="shared" si="156"/>
        <v>0</v>
      </c>
      <c r="CM447" s="78"/>
      <c r="CN447" s="85"/>
      <c r="CO447" s="85"/>
      <c r="CP447" s="77">
        <f t="shared" si="157"/>
        <v>0</v>
      </c>
      <c r="CQ447" s="78"/>
      <c r="CR447" s="85"/>
      <c r="CS447" s="85"/>
      <c r="CT447" s="79">
        <f t="shared" si="158"/>
        <v>0</v>
      </c>
      <c r="CU447" s="80">
        <f t="shared" si="168"/>
        <v>0</v>
      </c>
      <c r="CV447" s="81">
        <f t="shared" si="169"/>
        <v>0</v>
      </c>
      <c r="CW447" s="144"/>
      <c r="CX447" s="145">
        <f>IF(ISERROR(VLOOKUP($A447,FIJOS!$B$11:$O$590,14,FALSE)),0,VLOOKUP($A447,FIJOS!$B$11:$O$590,14,FALSE))</f>
        <v>0</v>
      </c>
      <c r="CY447" s="145">
        <f>IF(ISERROR(VLOOKUP(A447,FIJOS!$B$10:$P$590,15,FALSE)),0,VLOOKUP(A447,FIJOS!$B$10:$P$590,15,FALSE))</f>
        <v>0</v>
      </c>
      <c r="CZ447" s="155"/>
      <c r="DA447" s="147"/>
      <c r="DB447" s="147"/>
      <c r="DC447" s="147"/>
      <c r="DD447" s="147"/>
      <c r="DE447" s="147"/>
      <c r="DF447" s="145">
        <f>IF(ISERROR(VLOOKUP($A447,FIJOS!$B$11:$N$590,13,FALSE)),0,VLOOKUP($A447,FIJOS!$B$11:$N$590,13,FALSE))</f>
        <v>0</v>
      </c>
      <c r="DG447" s="145">
        <f>IF(ISERROR(VLOOKUP($A447,FIJOS!$B$11:$P$447,12,FALSE)),0,VLOOKUP($A447,FIJOS!$B$11:$P$447,12,FALSE))</f>
        <v>0</v>
      </c>
      <c r="DH447" s="82">
        <f t="shared" si="242"/>
        <v>0</v>
      </c>
      <c r="DI447" s="83" t="b">
        <f>IF($C447=1,(VLOOKUP($A447,FIJOS!$B$11:$P$545,10,FALSE)/7)*(7-$CU447),IF(AND($C447=2,CV447&lt;$DJ$1),(VLOOKUP($D447,HORAS!$B$4:$C$42,2,FALSE)*24)*$CV447,IF(AND($C447=2,CV447&gt;=$DJ$1),VLOOKUP($D447,HORAS!$B$4:$D$42,3,FALSE),IF(AND($C447=3,$CV447&gt;=$DJ$1),VLOOKUP($A447,FIJOS!$B$11:$P$545,10,FALSE),IF(AND($C447=3,$CV447&lt;$DJ$1),((VLOOKUP($A447,FIJOS!$B$11:$P$545,10,FALSE)/48)*24)*$CV447,IF(AND($C447=4,$CV447&gt;=(42/24)),VLOOKUP($D447,HORAS!$B$4:$D$42,3,FALSE),IF(AND($C447=5,$CV447&gt;=(36/24)),VLOOKUP($D447,HORAS!$B$4:$D$42,3,FALSE))))))))</f>
        <v>0</v>
      </c>
      <c r="DJ447" s="145">
        <f>IF(OR($C447=2),VLOOKUP($D447,HORAS!$B$4:$E$42,4,FALSE)*$EC447,IF(ISERROR(VLOOKUP($A447,FIJOS!$B$11:$P$108,9,FALSE)),0,VLOOKUP($A447,FIJOS!$B$11:$P$231,9,FALSE)*$EC447))</f>
        <v>0</v>
      </c>
      <c r="DK447" s="145">
        <f>IF(OR($C447=2),VLOOKUP($D447,HORAS!$B$4:$F$42,5,FALSE)*$EE447,IF(ISERROR(VLOOKUP($A447,FIJOS!$B$11:$P$108,9,FALSE)),0,VLOOKUP($A447,FIJOS!$B$11:$P$231,9,FALSE)*$EE447))</f>
        <v>0</v>
      </c>
      <c r="DL447" s="144"/>
      <c r="DM447" s="145">
        <f>IF(ISERROR(VLOOKUP($A447,FIJOS!$B$11:$L$646,11,FALSE)),0,VLOOKUP($A447,FIJOS!$B$11:$L$646,11,FALSE))</f>
        <v>0</v>
      </c>
      <c r="DN447" s="148" t="e">
        <f>IF(OR($C447=1,$C447=3),0,IF((VLOOKUP(CAPTURA!D447,HORAS!$B$4:$K$42,10,FALSE)/4)*COUNTIF($H447:$CT447,3)&gt;100,100,(VLOOKUP(CAPTURA!D447,HORAS!$B$4:$K$42,10,FALSE)/4)*COUNTIF($H447:$CT447,3)))</f>
        <v>#N/A</v>
      </c>
      <c r="DO447" s="144" t="e">
        <f>IF(OR($C447=1,$C447=3),0,IF($C447=5,VLOOKUP(D447,HORAS!$B$4:$G$42,6,FALSE),IF(AND($C447=4,$CV447&gt;=(42/24)),VLOOKUP(D447,HORAS!$B$4:$G$42,6,FALSE),IF(COUNTIF($H447:$CL447,"F")&gt;0,0,IF(CV447&gt;$DJ$1,$DJ$1*(VLOOKUP(D447,HORAS!$B$4:$G$42,6,FALSE)/$DJ$1),CV447*(VLOOKUP(D447,HORAS!$B$4:$G$42,6,FALSE)/$DJ$1))))))</f>
        <v>#N/A</v>
      </c>
      <c r="DP447" s="156"/>
      <c r="DQ447" s="148"/>
      <c r="DR447" s="148"/>
      <c r="DS447" s="83" t="e">
        <f t="shared" si="162"/>
        <v>#N/A</v>
      </c>
      <c r="DT447" s="84"/>
      <c r="DU447" s="149" t="e">
        <f t="shared" si="243"/>
        <v>#N/A</v>
      </c>
      <c r="DV447" s="149" t="e">
        <f t="shared" si="244"/>
        <v>#N/A</v>
      </c>
      <c r="DW447" s="144" t="e">
        <f t="shared" si="245"/>
        <v>#N/A</v>
      </c>
      <c r="DX447" s="168"/>
      <c r="DY447" s="29"/>
      <c r="DZ447" s="150"/>
      <c r="EA447" s="134"/>
      <c r="EB447" s="137">
        <f t="shared" si="246"/>
        <v>0</v>
      </c>
      <c r="EC447" s="138">
        <f t="shared" si="247"/>
        <v>0</v>
      </c>
      <c r="ED447" s="137">
        <f t="shared" si="248"/>
        <v>0</v>
      </c>
      <c r="EE447" s="132">
        <f t="shared" si="249"/>
        <v>0</v>
      </c>
      <c r="EF447" s="29"/>
      <c r="EG447" s="134"/>
      <c r="EH447" s="134"/>
      <c r="EI447" s="134"/>
      <c r="EK447" s="29"/>
    </row>
    <row r="448" spans="1:141" ht="15" customHeight="1" x14ac:dyDescent="0.25">
      <c r="A448" s="87"/>
      <c r="B448" s="5"/>
      <c r="C448" s="72"/>
      <c r="D448" s="73"/>
      <c r="E448" s="73"/>
      <c r="F448" s="141"/>
      <c r="G448" s="74"/>
      <c r="H448" s="75"/>
      <c r="I448" s="76"/>
      <c r="J448" s="135"/>
      <c r="K448" s="135"/>
      <c r="L448" s="77">
        <f t="shared" si="138"/>
        <v>0</v>
      </c>
      <c r="M448" s="78"/>
      <c r="N448" s="142"/>
      <c r="O448" s="142"/>
      <c r="P448" s="77">
        <f t="shared" si="139"/>
        <v>0</v>
      </c>
      <c r="Q448" s="78"/>
      <c r="R448" s="143"/>
      <c r="S448" s="143"/>
      <c r="T448" s="77">
        <f t="shared" si="140"/>
        <v>0</v>
      </c>
      <c r="U448" s="75"/>
      <c r="V448" s="76"/>
      <c r="W448" s="135"/>
      <c r="X448" s="135"/>
      <c r="Y448" s="77">
        <f t="shared" si="141"/>
        <v>0</v>
      </c>
      <c r="Z448" s="78"/>
      <c r="AA448" s="142"/>
      <c r="AB448" s="142"/>
      <c r="AC448" s="77">
        <f t="shared" si="142"/>
        <v>0</v>
      </c>
      <c r="AD448" s="78"/>
      <c r="AE448" s="143"/>
      <c r="AF448" s="143"/>
      <c r="AG448" s="79">
        <f t="shared" si="143"/>
        <v>0</v>
      </c>
      <c r="AH448" s="75"/>
      <c r="AI448" s="76"/>
      <c r="AJ448" s="135"/>
      <c r="AK448" s="135"/>
      <c r="AL448" s="77">
        <f t="shared" si="144"/>
        <v>0</v>
      </c>
      <c r="AM448" s="76"/>
      <c r="AN448" s="142"/>
      <c r="AO448" s="142"/>
      <c r="AP448" s="77">
        <f t="shared" si="145"/>
        <v>0</v>
      </c>
      <c r="AQ448" s="78"/>
      <c r="AR448" s="142"/>
      <c r="AS448" s="142"/>
      <c r="AT448" s="79">
        <f t="shared" si="146"/>
        <v>0</v>
      </c>
      <c r="AU448" s="75"/>
      <c r="AV448" s="76"/>
      <c r="AW448" s="135"/>
      <c r="AX448" s="135"/>
      <c r="AY448" s="77">
        <f t="shared" si="147"/>
        <v>0</v>
      </c>
      <c r="AZ448" s="76"/>
      <c r="BA448" s="142"/>
      <c r="BB448" s="142"/>
      <c r="BC448" s="77">
        <f t="shared" si="148"/>
        <v>0</v>
      </c>
      <c r="BD448" s="78"/>
      <c r="BE448" s="142"/>
      <c r="BF448" s="142"/>
      <c r="BG448" s="79">
        <f t="shared" si="149"/>
        <v>0</v>
      </c>
      <c r="BH448" s="75"/>
      <c r="BI448" s="76"/>
      <c r="BJ448" s="135"/>
      <c r="BK448" s="135"/>
      <c r="BL448" s="77">
        <f t="shared" si="150"/>
        <v>0</v>
      </c>
      <c r="BM448" s="78"/>
      <c r="BN448" s="142"/>
      <c r="BO448" s="142"/>
      <c r="BP448" s="77">
        <f t="shared" si="151"/>
        <v>0</v>
      </c>
      <c r="BQ448" s="78"/>
      <c r="BR448" s="142"/>
      <c r="BS448" s="142"/>
      <c r="BT448" s="79">
        <f t="shared" si="152"/>
        <v>0</v>
      </c>
      <c r="BU448" s="75"/>
      <c r="BV448" s="76"/>
      <c r="BW448" s="135"/>
      <c r="BX448" s="135"/>
      <c r="BY448" s="77">
        <f t="shared" si="153"/>
        <v>0</v>
      </c>
      <c r="BZ448" s="78"/>
      <c r="CA448" s="142"/>
      <c r="CB448" s="142"/>
      <c r="CC448" s="77">
        <f t="shared" si="154"/>
        <v>0</v>
      </c>
      <c r="CD448" s="78"/>
      <c r="CE448" s="142"/>
      <c r="CF448" s="142"/>
      <c r="CG448" s="79">
        <f t="shared" si="155"/>
        <v>0</v>
      </c>
      <c r="CH448" s="75"/>
      <c r="CI448" s="76"/>
      <c r="CJ448" s="86"/>
      <c r="CK448" s="86"/>
      <c r="CL448" s="77">
        <f t="shared" si="156"/>
        <v>0</v>
      </c>
      <c r="CM448" s="78"/>
      <c r="CN448" s="85"/>
      <c r="CO448" s="85"/>
      <c r="CP448" s="77">
        <f t="shared" si="157"/>
        <v>0</v>
      </c>
      <c r="CQ448" s="78"/>
      <c r="CR448" s="85"/>
      <c r="CS448" s="85"/>
      <c r="CT448" s="79">
        <f t="shared" si="158"/>
        <v>0</v>
      </c>
      <c r="CU448" s="80">
        <f t="shared" si="168"/>
        <v>0</v>
      </c>
      <c r="CV448" s="81">
        <f t="shared" si="169"/>
        <v>0</v>
      </c>
      <c r="CW448" s="144"/>
      <c r="CX448" s="145">
        <f>IF(ISERROR(VLOOKUP($A448,FIJOS!$B$11:$O$590,14,FALSE)),0,VLOOKUP($A448,FIJOS!$B$11:$O$590,14,FALSE))</f>
        <v>0</v>
      </c>
      <c r="CY448" s="145">
        <f>IF(ISERROR(VLOOKUP(A448,FIJOS!$B$10:$P$590,15,FALSE)),0,VLOOKUP(A448,FIJOS!$B$10:$P$590,15,FALSE))</f>
        <v>0</v>
      </c>
      <c r="CZ448" s="155"/>
      <c r="DA448" s="147"/>
      <c r="DB448" s="147"/>
      <c r="DC448" s="147"/>
      <c r="DD448" s="147"/>
      <c r="DE448" s="147"/>
      <c r="DF448" s="145">
        <f>IF(ISERROR(VLOOKUP($A448,FIJOS!$B$11:$N$590,13,FALSE)),0,VLOOKUP($A448,FIJOS!$B$11:$N$590,13,FALSE))</f>
        <v>0</v>
      </c>
      <c r="DG448" s="145">
        <f>IF(ISERROR(VLOOKUP($A448,FIJOS!$B$11:$P$447,12,FALSE)),0,VLOOKUP($A448,FIJOS!$B$11:$P$447,12,FALSE))</f>
        <v>0</v>
      </c>
      <c r="DH448" s="82">
        <f t="shared" si="242"/>
        <v>0</v>
      </c>
      <c r="DI448" s="83" t="b">
        <f>IF($C448=1,(VLOOKUP($A448,FIJOS!$B$11:$P$545,10,FALSE)/7)*(7-$CU448),IF(AND($C448=2,CV448&lt;$DJ$1),(VLOOKUP($D448,HORAS!$B$4:$C$42,2,FALSE)*24)*$CV448,IF(AND($C448=2,CV448&gt;=$DJ$1),VLOOKUP($D448,HORAS!$B$4:$D$42,3,FALSE),IF(AND($C448=3,$CV448&gt;=$DJ$1),VLOOKUP($A448,FIJOS!$B$11:$P$545,10,FALSE),IF(AND($C448=3,$CV448&lt;$DJ$1),((VLOOKUP($A448,FIJOS!$B$11:$P$545,10,FALSE)/48)*24)*$CV448,IF(AND($C448=4,$CV448&gt;=(42/24)),VLOOKUP($D448,HORAS!$B$4:$D$42,3,FALSE),IF(AND($C448=5,$CV448&gt;=(36/24)),VLOOKUP($D448,HORAS!$B$4:$D$42,3,FALSE))))))))</f>
        <v>0</v>
      </c>
      <c r="DJ448" s="145">
        <f>IF(OR($C448=2),VLOOKUP($D448,HORAS!$B$4:$E$42,4,FALSE)*$EC448,IF(ISERROR(VLOOKUP($A448,FIJOS!$B$11:$P$108,9,FALSE)),0,VLOOKUP($A448,FIJOS!$B$11:$P$231,9,FALSE)*$EC448))</f>
        <v>0</v>
      </c>
      <c r="DK448" s="145">
        <f>IF(OR($C448=2),VLOOKUP($D448,HORAS!$B$4:$F$42,5,FALSE)*$EE448,IF(ISERROR(VLOOKUP($A448,FIJOS!$B$11:$P$108,9,FALSE)),0,VLOOKUP($A448,FIJOS!$B$11:$P$231,9,FALSE)*$EE448))</f>
        <v>0</v>
      </c>
      <c r="DL448" s="144"/>
      <c r="DM448" s="145">
        <f>IF(ISERROR(VLOOKUP($A448,FIJOS!$B$11:$L$646,11,FALSE)),0,VLOOKUP($A448,FIJOS!$B$11:$L$646,11,FALSE))</f>
        <v>0</v>
      </c>
      <c r="DN448" s="148" t="e">
        <f>IF(OR($C448=1,$C448=3),0,IF((VLOOKUP(CAPTURA!D448,HORAS!$B$4:$K$42,10,FALSE)/4)*COUNTIF($H448:$CT448,3)&gt;100,100,(VLOOKUP(CAPTURA!D448,HORAS!$B$4:$K$42,10,FALSE)/4)*COUNTIF($H448:$CT448,3)))</f>
        <v>#N/A</v>
      </c>
      <c r="DO448" s="144" t="e">
        <f>IF(OR($C448=1,$C448=3),0,IF($C448=5,VLOOKUP(D448,HORAS!$B$4:$G$42,6,FALSE),IF(AND($C448=4,$CV448&gt;=(42/24)),VLOOKUP(D448,HORAS!$B$4:$G$42,6,FALSE),IF(COUNTIF($H448:$CL448,"F")&gt;0,0,IF(CV448&gt;$DJ$1,$DJ$1*(VLOOKUP(D448,HORAS!$B$4:$G$42,6,FALSE)/$DJ$1),CV448*(VLOOKUP(D448,HORAS!$B$4:$G$42,6,FALSE)/$DJ$1))))))</f>
        <v>#N/A</v>
      </c>
      <c r="DP448" s="156"/>
      <c r="DQ448" s="148"/>
      <c r="DR448" s="148"/>
      <c r="DS448" s="83" t="e">
        <f t="shared" si="162"/>
        <v>#N/A</v>
      </c>
      <c r="DT448" s="84"/>
      <c r="DU448" s="149" t="e">
        <f t="shared" si="243"/>
        <v>#N/A</v>
      </c>
      <c r="DV448" s="149" t="e">
        <f t="shared" si="244"/>
        <v>#N/A</v>
      </c>
      <c r="DW448" s="144" t="e">
        <f t="shared" si="245"/>
        <v>#N/A</v>
      </c>
      <c r="DX448" s="168"/>
      <c r="DY448" s="29"/>
      <c r="DZ448" s="150"/>
      <c r="EA448" s="134"/>
      <c r="EB448" s="137">
        <f t="shared" si="246"/>
        <v>0</v>
      </c>
      <c r="EC448" s="138">
        <f t="shared" si="247"/>
        <v>0</v>
      </c>
      <c r="ED448" s="137">
        <f t="shared" si="248"/>
        <v>0</v>
      </c>
      <c r="EE448" s="132">
        <f t="shared" si="249"/>
        <v>0</v>
      </c>
      <c r="EF448" s="29"/>
      <c r="EG448" s="134"/>
      <c r="EH448" s="134"/>
      <c r="EI448" s="134"/>
      <c r="EK448" s="29"/>
    </row>
    <row r="449" spans="1:141" ht="15" customHeight="1" x14ac:dyDescent="0.25">
      <c r="A449" s="87"/>
      <c r="B449" s="5"/>
      <c r="C449" s="72"/>
      <c r="D449" s="73"/>
      <c r="E449" s="73"/>
      <c r="F449" s="141"/>
      <c r="G449" s="74"/>
      <c r="H449" s="75"/>
      <c r="I449" s="76"/>
      <c r="J449" s="135"/>
      <c r="K449" s="135"/>
      <c r="L449" s="77">
        <f t="shared" si="138"/>
        <v>0</v>
      </c>
      <c r="M449" s="78"/>
      <c r="N449" s="142"/>
      <c r="O449" s="142"/>
      <c r="P449" s="77">
        <f t="shared" si="139"/>
        <v>0</v>
      </c>
      <c r="Q449" s="78"/>
      <c r="R449" s="143"/>
      <c r="S449" s="143"/>
      <c r="T449" s="77">
        <f t="shared" si="140"/>
        <v>0</v>
      </c>
      <c r="U449" s="75"/>
      <c r="V449" s="76"/>
      <c r="W449" s="135"/>
      <c r="X449" s="135"/>
      <c r="Y449" s="77">
        <f t="shared" si="141"/>
        <v>0</v>
      </c>
      <c r="Z449" s="78"/>
      <c r="AA449" s="142"/>
      <c r="AB449" s="142"/>
      <c r="AC449" s="77">
        <f t="shared" si="142"/>
        <v>0</v>
      </c>
      <c r="AD449" s="78"/>
      <c r="AE449" s="143"/>
      <c r="AF449" s="143"/>
      <c r="AG449" s="79">
        <f t="shared" si="143"/>
        <v>0</v>
      </c>
      <c r="AH449" s="75"/>
      <c r="AI449" s="76"/>
      <c r="AJ449" s="135"/>
      <c r="AK449" s="135"/>
      <c r="AL449" s="77">
        <f t="shared" si="144"/>
        <v>0</v>
      </c>
      <c r="AM449" s="76"/>
      <c r="AN449" s="142"/>
      <c r="AO449" s="142"/>
      <c r="AP449" s="77">
        <f t="shared" si="145"/>
        <v>0</v>
      </c>
      <c r="AQ449" s="78"/>
      <c r="AR449" s="142"/>
      <c r="AS449" s="142"/>
      <c r="AT449" s="79">
        <f t="shared" si="146"/>
        <v>0</v>
      </c>
      <c r="AU449" s="75"/>
      <c r="AV449" s="76"/>
      <c r="AW449" s="135"/>
      <c r="AX449" s="135"/>
      <c r="AY449" s="77">
        <f t="shared" si="147"/>
        <v>0</v>
      </c>
      <c r="AZ449" s="76"/>
      <c r="BA449" s="142"/>
      <c r="BB449" s="142"/>
      <c r="BC449" s="77">
        <f t="shared" si="148"/>
        <v>0</v>
      </c>
      <c r="BD449" s="78"/>
      <c r="BE449" s="142"/>
      <c r="BF449" s="142"/>
      <c r="BG449" s="79">
        <f t="shared" si="149"/>
        <v>0</v>
      </c>
      <c r="BH449" s="75"/>
      <c r="BI449" s="76"/>
      <c r="BJ449" s="135"/>
      <c r="BK449" s="135"/>
      <c r="BL449" s="77">
        <f t="shared" si="150"/>
        <v>0</v>
      </c>
      <c r="BM449" s="78"/>
      <c r="BN449" s="142"/>
      <c r="BO449" s="142"/>
      <c r="BP449" s="77">
        <f t="shared" si="151"/>
        <v>0</v>
      </c>
      <c r="BQ449" s="78"/>
      <c r="BR449" s="142"/>
      <c r="BS449" s="142"/>
      <c r="BT449" s="79">
        <f t="shared" si="152"/>
        <v>0</v>
      </c>
      <c r="BU449" s="75"/>
      <c r="BV449" s="76"/>
      <c r="BW449" s="135"/>
      <c r="BX449" s="135"/>
      <c r="BY449" s="77">
        <f t="shared" si="153"/>
        <v>0</v>
      </c>
      <c r="BZ449" s="78"/>
      <c r="CA449" s="142"/>
      <c r="CB449" s="142"/>
      <c r="CC449" s="77">
        <f t="shared" si="154"/>
        <v>0</v>
      </c>
      <c r="CD449" s="78"/>
      <c r="CE449" s="142"/>
      <c r="CF449" s="142"/>
      <c r="CG449" s="79">
        <f t="shared" si="155"/>
        <v>0</v>
      </c>
      <c r="CH449" s="75"/>
      <c r="CI449" s="76"/>
      <c r="CJ449" s="86"/>
      <c r="CK449" s="86"/>
      <c r="CL449" s="77">
        <f t="shared" si="156"/>
        <v>0</v>
      </c>
      <c r="CM449" s="78"/>
      <c r="CN449" s="85"/>
      <c r="CO449" s="85"/>
      <c r="CP449" s="77">
        <f t="shared" si="157"/>
        <v>0</v>
      </c>
      <c r="CQ449" s="78"/>
      <c r="CR449" s="85"/>
      <c r="CS449" s="85"/>
      <c r="CT449" s="79">
        <f t="shared" si="158"/>
        <v>0</v>
      </c>
      <c r="CU449" s="80">
        <f t="shared" si="168"/>
        <v>0</v>
      </c>
      <c r="CV449" s="81">
        <f t="shared" si="169"/>
        <v>0</v>
      </c>
      <c r="CW449" s="144"/>
      <c r="CX449" s="145">
        <f>IF(ISERROR(VLOOKUP($A449,FIJOS!$B$11:$O$590,14,FALSE)),0,VLOOKUP($A449,FIJOS!$B$11:$O$590,14,FALSE))</f>
        <v>0</v>
      </c>
      <c r="CY449" s="145">
        <f>IF(ISERROR(VLOOKUP(A449,FIJOS!$B$10:$P$590,15,FALSE)),0,VLOOKUP(A449,FIJOS!$B$10:$P$590,15,FALSE))</f>
        <v>0</v>
      </c>
      <c r="CZ449" s="155"/>
      <c r="DA449" s="147"/>
      <c r="DB449" s="147"/>
      <c r="DC449" s="147"/>
      <c r="DD449" s="147"/>
      <c r="DE449" s="147"/>
      <c r="DF449" s="145">
        <f>IF(ISERROR(VLOOKUP($A449,FIJOS!$B$11:$N$590,13,FALSE)),0,VLOOKUP($A449,FIJOS!$B$11:$N$590,13,FALSE))</f>
        <v>0</v>
      </c>
      <c r="DG449" s="145">
        <f>IF(ISERROR(VLOOKUP($A449,FIJOS!$B$11:$P$447,12,FALSE)),0,VLOOKUP($A449,FIJOS!$B$11:$P$447,12,FALSE))</f>
        <v>0</v>
      </c>
      <c r="DH449" s="82">
        <f t="shared" si="242"/>
        <v>0</v>
      </c>
      <c r="DI449" s="83" t="b">
        <f>IF($C449=1,(VLOOKUP($A449,FIJOS!$B$11:$P$545,10,FALSE)/7)*(7-$CU449),IF(AND($C449=2,CV449&lt;$DJ$1),(VLOOKUP($D449,HORAS!$B$4:$C$42,2,FALSE)*24)*$CV449,IF(AND($C449=2,CV449&gt;=$DJ$1),VLOOKUP($D449,HORAS!$B$4:$D$42,3,FALSE),IF(AND($C449=3,$CV449&gt;=$DJ$1),VLOOKUP($A449,FIJOS!$B$11:$P$545,10,FALSE),IF(AND($C449=3,$CV449&lt;$DJ$1),((VLOOKUP($A449,FIJOS!$B$11:$P$545,10,FALSE)/48)*24)*$CV449,IF(AND($C449=4,$CV449&gt;=(42/24)),VLOOKUP($D449,HORAS!$B$4:$D$42,3,FALSE),IF(AND($C449=5,$CV449&gt;=(36/24)),VLOOKUP($D449,HORAS!$B$4:$D$42,3,FALSE))))))))</f>
        <v>0</v>
      </c>
      <c r="DJ449" s="145">
        <f>IF(OR($C449=2),VLOOKUP($D449,HORAS!$B$4:$E$42,4,FALSE)*$EC449,IF(ISERROR(VLOOKUP($A449,FIJOS!$B$11:$P$108,9,FALSE)),0,VLOOKUP($A449,FIJOS!$B$11:$P$231,9,FALSE)*$EC449))</f>
        <v>0</v>
      </c>
      <c r="DK449" s="145">
        <f>IF(OR($C449=2),VLOOKUP($D449,HORAS!$B$4:$F$42,5,FALSE)*$EE449,IF(ISERROR(VLOOKUP($A449,FIJOS!$B$11:$P$108,9,FALSE)),0,VLOOKUP($A449,FIJOS!$B$11:$P$231,9,FALSE)*$EE449))</f>
        <v>0</v>
      </c>
      <c r="DL449" s="144"/>
      <c r="DM449" s="145">
        <f>IF(ISERROR(VLOOKUP($A449,FIJOS!$B$11:$L$646,11,FALSE)),0,VLOOKUP($A449,FIJOS!$B$11:$L$646,11,FALSE))</f>
        <v>0</v>
      </c>
      <c r="DN449" s="148" t="e">
        <f>IF(OR($C449=1,$C449=3),0,IF((VLOOKUP(CAPTURA!D449,HORAS!$B$4:$K$42,10,FALSE)/4)*COUNTIF($H449:$CT449,3)&gt;100,100,(VLOOKUP(CAPTURA!D449,HORAS!$B$4:$K$42,10,FALSE)/4)*COUNTIF($H449:$CT449,3)))</f>
        <v>#N/A</v>
      </c>
      <c r="DO449" s="144" t="e">
        <f>IF(OR($C449=1,$C449=3),0,IF($C449=5,VLOOKUP(D449,HORAS!$B$4:$G$42,6,FALSE),IF(AND($C449=4,$CV449&gt;=(42/24)),VLOOKUP(D449,HORAS!$B$4:$G$42,6,FALSE),IF(COUNTIF($H449:$CL449,"F")&gt;0,0,IF(CV449&gt;$DJ$1,$DJ$1*(VLOOKUP(D449,HORAS!$B$4:$G$42,6,FALSE)/$DJ$1),CV449*(VLOOKUP(D449,HORAS!$B$4:$G$42,6,FALSE)/$DJ$1))))))</f>
        <v>#N/A</v>
      </c>
      <c r="DP449" s="156"/>
      <c r="DQ449" s="148"/>
      <c r="DR449" s="148"/>
      <c r="DS449" s="83" t="e">
        <f t="shared" si="162"/>
        <v>#N/A</v>
      </c>
      <c r="DT449" s="84"/>
      <c r="DU449" s="149" t="e">
        <f t="shared" si="243"/>
        <v>#N/A</v>
      </c>
      <c r="DV449" s="149" t="e">
        <f t="shared" si="244"/>
        <v>#N/A</v>
      </c>
      <c r="DW449" s="144" t="e">
        <f t="shared" si="245"/>
        <v>#N/A</v>
      </c>
      <c r="DX449" s="168"/>
      <c r="DY449" s="29"/>
      <c r="DZ449" s="150"/>
      <c r="EA449" s="134"/>
      <c r="EB449" s="137">
        <f t="shared" si="246"/>
        <v>0</v>
      </c>
      <c r="EC449" s="138">
        <f t="shared" si="247"/>
        <v>0</v>
      </c>
      <c r="ED449" s="137">
        <f t="shared" si="248"/>
        <v>0</v>
      </c>
      <c r="EE449" s="132">
        <f t="shared" si="249"/>
        <v>0</v>
      </c>
      <c r="EF449" s="29"/>
      <c r="EG449" s="134"/>
      <c r="EH449" s="134"/>
      <c r="EI449" s="134"/>
      <c r="EK449" s="29"/>
    </row>
    <row r="450" spans="1:141" ht="15" customHeight="1" x14ac:dyDescent="0.25">
      <c r="A450" s="87"/>
      <c r="B450" s="5"/>
      <c r="C450" s="72"/>
      <c r="D450" s="73"/>
      <c r="E450" s="73"/>
      <c r="F450" s="141"/>
      <c r="G450" s="74"/>
      <c r="H450" s="75"/>
      <c r="I450" s="76"/>
      <c r="J450" s="135"/>
      <c r="K450" s="135"/>
      <c r="L450" s="77">
        <f t="shared" si="138"/>
        <v>0</v>
      </c>
      <c r="M450" s="78"/>
      <c r="N450" s="142"/>
      <c r="O450" s="142"/>
      <c r="P450" s="77">
        <f t="shared" si="139"/>
        <v>0</v>
      </c>
      <c r="Q450" s="78"/>
      <c r="R450" s="143"/>
      <c r="S450" s="143"/>
      <c r="T450" s="77">
        <f t="shared" si="140"/>
        <v>0</v>
      </c>
      <c r="U450" s="75"/>
      <c r="V450" s="76"/>
      <c r="W450" s="135"/>
      <c r="X450" s="135"/>
      <c r="Y450" s="77">
        <f t="shared" si="141"/>
        <v>0</v>
      </c>
      <c r="Z450" s="78"/>
      <c r="AA450" s="142"/>
      <c r="AB450" s="142"/>
      <c r="AC450" s="77">
        <f t="shared" si="142"/>
        <v>0</v>
      </c>
      <c r="AD450" s="78"/>
      <c r="AE450" s="143"/>
      <c r="AF450" s="143"/>
      <c r="AG450" s="79">
        <f t="shared" si="143"/>
        <v>0</v>
      </c>
      <c r="AH450" s="75"/>
      <c r="AI450" s="76"/>
      <c r="AJ450" s="135"/>
      <c r="AK450" s="135"/>
      <c r="AL450" s="77">
        <f t="shared" si="144"/>
        <v>0</v>
      </c>
      <c r="AM450" s="76"/>
      <c r="AN450" s="142"/>
      <c r="AO450" s="142"/>
      <c r="AP450" s="77">
        <f t="shared" si="145"/>
        <v>0</v>
      </c>
      <c r="AQ450" s="78"/>
      <c r="AR450" s="142"/>
      <c r="AS450" s="142"/>
      <c r="AT450" s="79">
        <f t="shared" si="146"/>
        <v>0</v>
      </c>
      <c r="AU450" s="75"/>
      <c r="AV450" s="76"/>
      <c r="AW450" s="135"/>
      <c r="AX450" s="135"/>
      <c r="AY450" s="77">
        <f t="shared" si="147"/>
        <v>0</v>
      </c>
      <c r="AZ450" s="76"/>
      <c r="BA450" s="142"/>
      <c r="BB450" s="142"/>
      <c r="BC450" s="77">
        <f t="shared" si="148"/>
        <v>0</v>
      </c>
      <c r="BD450" s="78"/>
      <c r="BE450" s="142"/>
      <c r="BF450" s="142"/>
      <c r="BG450" s="79">
        <f t="shared" si="149"/>
        <v>0</v>
      </c>
      <c r="BH450" s="75"/>
      <c r="BI450" s="76"/>
      <c r="BJ450" s="135"/>
      <c r="BK450" s="135"/>
      <c r="BL450" s="77">
        <f t="shared" si="150"/>
        <v>0</v>
      </c>
      <c r="BM450" s="78"/>
      <c r="BN450" s="142"/>
      <c r="BO450" s="142"/>
      <c r="BP450" s="77">
        <f t="shared" si="151"/>
        <v>0</v>
      </c>
      <c r="BQ450" s="78"/>
      <c r="BR450" s="142"/>
      <c r="BS450" s="142"/>
      <c r="BT450" s="79">
        <f t="shared" si="152"/>
        <v>0</v>
      </c>
      <c r="BU450" s="75"/>
      <c r="BV450" s="76"/>
      <c r="BW450" s="135"/>
      <c r="BX450" s="135"/>
      <c r="BY450" s="77">
        <f t="shared" si="153"/>
        <v>0</v>
      </c>
      <c r="BZ450" s="78"/>
      <c r="CA450" s="142"/>
      <c r="CB450" s="142"/>
      <c r="CC450" s="77">
        <f t="shared" si="154"/>
        <v>0</v>
      </c>
      <c r="CD450" s="78"/>
      <c r="CE450" s="142"/>
      <c r="CF450" s="142"/>
      <c r="CG450" s="79">
        <f t="shared" si="155"/>
        <v>0</v>
      </c>
      <c r="CH450" s="75"/>
      <c r="CI450" s="76"/>
      <c r="CJ450" s="86"/>
      <c r="CK450" s="86"/>
      <c r="CL450" s="77">
        <f t="shared" si="156"/>
        <v>0</v>
      </c>
      <c r="CM450" s="78"/>
      <c r="CN450" s="85"/>
      <c r="CO450" s="85"/>
      <c r="CP450" s="77">
        <f t="shared" si="157"/>
        <v>0</v>
      </c>
      <c r="CQ450" s="78"/>
      <c r="CR450" s="85"/>
      <c r="CS450" s="85"/>
      <c r="CT450" s="79">
        <f t="shared" si="158"/>
        <v>0</v>
      </c>
      <c r="CU450" s="80">
        <f t="shared" si="168"/>
        <v>0</v>
      </c>
      <c r="CV450" s="81">
        <f t="shared" si="169"/>
        <v>0</v>
      </c>
      <c r="CW450" s="144"/>
      <c r="CX450" s="145">
        <f>IF(ISERROR(VLOOKUP($A450,FIJOS!$B$11:$O$590,14,FALSE)),0,VLOOKUP($A450,FIJOS!$B$11:$O$590,14,FALSE))</f>
        <v>0</v>
      </c>
      <c r="CY450" s="145">
        <f>IF(ISERROR(VLOOKUP(A450,FIJOS!$B$10:$P$590,15,FALSE)),0,VLOOKUP(A450,FIJOS!$B$10:$P$590,15,FALSE))</f>
        <v>0</v>
      </c>
      <c r="CZ450" s="155"/>
      <c r="DA450" s="147"/>
      <c r="DB450" s="147"/>
      <c r="DC450" s="147"/>
      <c r="DD450" s="147"/>
      <c r="DE450" s="147"/>
      <c r="DF450" s="145">
        <f>IF(ISERROR(VLOOKUP($A450,FIJOS!$B$11:$N$590,13,FALSE)),0,VLOOKUP($A450,FIJOS!$B$11:$N$590,13,FALSE))</f>
        <v>0</v>
      </c>
      <c r="DG450" s="145">
        <f>IF(ISERROR(VLOOKUP($A450,FIJOS!$B$11:$P$447,12,FALSE)),0,VLOOKUP($A450,FIJOS!$B$11:$P$447,12,FALSE))</f>
        <v>0</v>
      </c>
      <c r="DH450" s="82">
        <f t="shared" si="242"/>
        <v>0</v>
      </c>
      <c r="DI450" s="83" t="b">
        <f>IF($C450=1,(VLOOKUP($A450,FIJOS!$B$11:$P$545,10,FALSE)/7)*(7-$CU450),IF(AND($C450=2,CV450&lt;$DJ$1),(VLOOKUP($D450,HORAS!$B$4:$C$42,2,FALSE)*24)*$CV450,IF(AND($C450=2,CV450&gt;=$DJ$1),VLOOKUP($D450,HORAS!$B$4:$D$42,3,FALSE),IF(AND($C450=3,$CV450&gt;=$DJ$1),VLOOKUP($A450,FIJOS!$B$11:$P$545,10,FALSE),IF(AND($C450=3,$CV450&lt;$DJ$1),((VLOOKUP($A450,FIJOS!$B$11:$P$545,10,FALSE)/48)*24)*$CV450,IF(AND($C450=4,$CV450&gt;=(42/24)),VLOOKUP($D450,HORAS!$B$4:$D$42,3,FALSE),IF(AND($C450=5,$CV450&gt;=(36/24)),VLOOKUP($D450,HORAS!$B$4:$D$42,3,FALSE))))))))</f>
        <v>0</v>
      </c>
      <c r="DJ450" s="145">
        <f>IF(OR($C450=2),VLOOKUP($D450,HORAS!$B$4:$E$42,4,FALSE)*$EC450,IF(ISERROR(VLOOKUP($A450,FIJOS!$B$11:$P$108,9,FALSE)),0,VLOOKUP($A450,FIJOS!$B$11:$P$231,9,FALSE)*$EC450))</f>
        <v>0</v>
      </c>
      <c r="DK450" s="145">
        <f>IF(OR($C450=2),VLOOKUP($D450,HORAS!$B$4:$F$42,5,FALSE)*$EE450,IF(ISERROR(VLOOKUP($A450,FIJOS!$B$11:$P$108,9,FALSE)),0,VLOOKUP($A450,FIJOS!$B$11:$P$231,9,FALSE)*$EE450))</f>
        <v>0</v>
      </c>
      <c r="DL450" s="144"/>
      <c r="DM450" s="145">
        <f>IF(ISERROR(VLOOKUP($A450,FIJOS!$B$11:$L$646,11,FALSE)),0,VLOOKUP($A450,FIJOS!$B$11:$L$646,11,FALSE))</f>
        <v>0</v>
      </c>
      <c r="DN450" s="148" t="e">
        <f>IF(OR($C450=1,$C450=3),0,IF((VLOOKUP(CAPTURA!D450,HORAS!$B$4:$K$42,10,FALSE)/4)*COUNTIF($H450:$CT450,3)&gt;100,100,(VLOOKUP(CAPTURA!D450,HORAS!$B$4:$K$42,10,FALSE)/4)*COUNTIF($H450:$CT450,3)))</f>
        <v>#N/A</v>
      </c>
      <c r="DO450" s="144" t="e">
        <f>IF(OR($C450=1,$C450=3),0,IF($C450=5,VLOOKUP(D450,HORAS!$B$4:$G$42,6,FALSE),IF(AND($C450=4,$CV450&gt;=(42/24)),VLOOKUP(D450,HORAS!$B$4:$G$42,6,FALSE),IF(COUNTIF($H450:$CL450,"F")&gt;0,0,IF(CV450&gt;$DJ$1,$DJ$1*(VLOOKUP(D450,HORAS!$B$4:$G$42,6,FALSE)/$DJ$1),CV450*(VLOOKUP(D450,HORAS!$B$4:$G$42,6,FALSE)/$DJ$1))))))</f>
        <v>#N/A</v>
      </c>
      <c r="DP450" s="156"/>
      <c r="DQ450" s="148"/>
      <c r="DR450" s="148"/>
      <c r="DS450" s="83" t="e">
        <f t="shared" si="162"/>
        <v>#N/A</v>
      </c>
      <c r="DT450" s="84"/>
      <c r="DU450" s="149" t="e">
        <f t="shared" si="243"/>
        <v>#N/A</v>
      </c>
      <c r="DV450" s="149" t="e">
        <f t="shared" si="244"/>
        <v>#N/A</v>
      </c>
      <c r="DW450" s="144" t="e">
        <f t="shared" si="245"/>
        <v>#N/A</v>
      </c>
      <c r="DX450" s="168"/>
      <c r="DY450" s="29"/>
      <c r="DZ450" s="150"/>
      <c r="EA450" s="134"/>
      <c r="EB450" s="137">
        <f t="shared" si="246"/>
        <v>0</v>
      </c>
      <c r="EC450" s="138">
        <f t="shared" si="247"/>
        <v>0</v>
      </c>
      <c r="ED450" s="137">
        <f t="shared" si="248"/>
        <v>0</v>
      </c>
      <c r="EE450" s="132">
        <f t="shared" si="249"/>
        <v>0</v>
      </c>
      <c r="EF450" s="29"/>
      <c r="EG450" s="134"/>
      <c r="EH450" s="134"/>
      <c r="EI450" s="134"/>
      <c r="EK450" s="29"/>
    </row>
    <row r="451" spans="1:141" ht="15" customHeight="1" x14ac:dyDescent="0.25">
      <c r="A451" s="87"/>
      <c r="B451" s="5"/>
      <c r="C451" s="72"/>
      <c r="D451" s="73"/>
      <c r="E451" s="73"/>
      <c r="F451" s="141"/>
      <c r="G451" s="74"/>
      <c r="H451" s="75"/>
      <c r="I451" s="76"/>
      <c r="J451" s="135"/>
      <c r="K451" s="135"/>
      <c r="L451" s="77">
        <f t="shared" si="138"/>
        <v>0</v>
      </c>
      <c r="M451" s="78"/>
      <c r="N451" s="142"/>
      <c r="O451" s="142"/>
      <c r="P451" s="77">
        <f t="shared" si="139"/>
        <v>0</v>
      </c>
      <c r="Q451" s="78"/>
      <c r="R451" s="143"/>
      <c r="S451" s="143"/>
      <c r="T451" s="77">
        <f t="shared" si="140"/>
        <v>0</v>
      </c>
      <c r="U451" s="75"/>
      <c r="V451" s="76"/>
      <c r="W451" s="135"/>
      <c r="X451" s="135"/>
      <c r="Y451" s="77">
        <f t="shared" si="141"/>
        <v>0</v>
      </c>
      <c r="Z451" s="78"/>
      <c r="AA451" s="142"/>
      <c r="AB451" s="142"/>
      <c r="AC451" s="77">
        <f t="shared" si="142"/>
        <v>0</v>
      </c>
      <c r="AD451" s="78"/>
      <c r="AE451" s="143"/>
      <c r="AF451" s="143"/>
      <c r="AG451" s="79">
        <f t="shared" si="143"/>
        <v>0</v>
      </c>
      <c r="AH451" s="75"/>
      <c r="AI451" s="76"/>
      <c r="AJ451" s="135"/>
      <c r="AK451" s="135"/>
      <c r="AL451" s="77">
        <f t="shared" si="144"/>
        <v>0</v>
      </c>
      <c r="AM451" s="76"/>
      <c r="AN451" s="142"/>
      <c r="AO451" s="142"/>
      <c r="AP451" s="77">
        <f t="shared" si="145"/>
        <v>0</v>
      </c>
      <c r="AQ451" s="78"/>
      <c r="AR451" s="142"/>
      <c r="AS451" s="142"/>
      <c r="AT451" s="79">
        <f t="shared" si="146"/>
        <v>0</v>
      </c>
      <c r="AU451" s="75"/>
      <c r="AV451" s="76"/>
      <c r="AW451" s="135"/>
      <c r="AX451" s="135"/>
      <c r="AY451" s="77">
        <f t="shared" si="147"/>
        <v>0</v>
      </c>
      <c r="AZ451" s="76"/>
      <c r="BA451" s="142"/>
      <c r="BB451" s="142"/>
      <c r="BC451" s="77">
        <f t="shared" si="148"/>
        <v>0</v>
      </c>
      <c r="BD451" s="78"/>
      <c r="BE451" s="142"/>
      <c r="BF451" s="142"/>
      <c r="BG451" s="79">
        <f t="shared" si="149"/>
        <v>0</v>
      </c>
      <c r="BH451" s="75"/>
      <c r="BI451" s="76"/>
      <c r="BJ451" s="135"/>
      <c r="BK451" s="135"/>
      <c r="BL451" s="77">
        <f t="shared" si="150"/>
        <v>0</v>
      </c>
      <c r="BM451" s="78"/>
      <c r="BN451" s="142"/>
      <c r="BO451" s="142"/>
      <c r="BP451" s="77">
        <f t="shared" si="151"/>
        <v>0</v>
      </c>
      <c r="BQ451" s="78"/>
      <c r="BR451" s="142"/>
      <c r="BS451" s="142"/>
      <c r="BT451" s="79">
        <f t="shared" si="152"/>
        <v>0</v>
      </c>
      <c r="BU451" s="75"/>
      <c r="BV451" s="76"/>
      <c r="BW451" s="135"/>
      <c r="BX451" s="135"/>
      <c r="BY451" s="77">
        <f t="shared" si="153"/>
        <v>0</v>
      </c>
      <c r="BZ451" s="78"/>
      <c r="CA451" s="142"/>
      <c r="CB451" s="142"/>
      <c r="CC451" s="77">
        <f t="shared" si="154"/>
        <v>0</v>
      </c>
      <c r="CD451" s="78"/>
      <c r="CE451" s="142"/>
      <c r="CF451" s="142"/>
      <c r="CG451" s="79">
        <f t="shared" si="155"/>
        <v>0</v>
      </c>
      <c r="CH451" s="75"/>
      <c r="CI451" s="76"/>
      <c r="CJ451" s="86"/>
      <c r="CK451" s="86"/>
      <c r="CL451" s="77">
        <f t="shared" si="156"/>
        <v>0</v>
      </c>
      <c r="CM451" s="78"/>
      <c r="CN451" s="85"/>
      <c r="CO451" s="85"/>
      <c r="CP451" s="77">
        <f t="shared" si="157"/>
        <v>0</v>
      </c>
      <c r="CQ451" s="78"/>
      <c r="CR451" s="85"/>
      <c r="CS451" s="85"/>
      <c r="CT451" s="79">
        <f t="shared" si="158"/>
        <v>0</v>
      </c>
      <c r="CU451" s="80">
        <f t="shared" si="168"/>
        <v>0</v>
      </c>
      <c r="CV451" s="81">
        <f t="shared" si="169"/>
        <v>0</v>
      </c>
      <c r="CW451" s="144"/>
      <c r="CX451" s="145">
        <f>IF(ISERROR(VLOOKUP($A451,FIJOS!$B$11:$O$590,14,FALSE)),0,VLOOKUP($A451,FIJOS!$B$11:$O$590,14,FALSE))</f>
        <v>0</v>
      </c>
      <c r="CY451" s="145">
        <f>IF(ISERROR(VLOOKUP(A451,FIJOS!$B$10:$P$590,15,FALSE)),0,VLOOKUP(A451,FIJOS!$B$10:$P$590,15,FALSE))</f>
        <v>0</v>
      </c>
      <c r="CZ451" s="155"/>
      <c r="DA451" s="147"/>
      <c r="DB451" s="147"/>
      <c r="DC451" s="147"/>
      <c r="DD451" s="147"/>
      <c r="DE451" s="147"/>
      <c r="DF451" s="145">
        <f>IF(ISERROR(VLOOKUP($A451,FIJOS!$B$11:$N$590,13,FALSE)),0,VLOOKUP($A451,FIJOS!$B$11:$N$590,13,FALSE))</f>
        <v>0</v>
      </c>
      <c r="DG451" s="145">
        <f>IF(ISERROR(VLOOKUP($A451,FIJOS!$B$11:$P$447,12,FALSE)),0,VLOOKUP($A451,FIJOS!$B$11:$P$447,12,FALSE))</f>
        <v>0</v>
      </c>
      <c r="DH451" s="82">
        <f t="shared" si="242"/>
        <v>0</v>
      </c>
      <c r="DI451" s="83" t="b">
        <f>IF($C451=1,(VLOOKUP($A451,FIJOS!$B$11:$P$545,10,FALSE)/7)*(7-$CU451),IF(AND($C451=2,CV451&lt;$DJ$1),(VLOOKUP($D451,HORAS!$B$4:$C$42,2,FALSE)*24)*$CV451,IF(AND($C451=2,CV451&gt;=$DJ$1),VLOOKUP($D451,HORAS!$B$4:$D$42,3,FALSE),IF(AND($C451=3,$CV451&gt;=$DJ$1),VLOOKUP($A451,FIJOS!$B$11:$P$545,10,FALSE),IF(AND($C451=3,$CV451&lt;$DJ$1),((VLOOKUP($A451,FIJOS!$B$11:$P$545,10,FALSE)/48)*24)*$CV451,IF(AND($C451=4,$CV451&gt;=(42/24)),VLOOKUP($D451,HORAS!$B$4:$D$42,3,FALSE),IF(AND($C451=5,$CV451&gt;=(36/24)),VLOOKUP($D451,HORAS!$B$4:$D$42,3,FALSE))))))))</f>
        <v>0</v>
      </c>
      <c r="DJ451" s="145">
        <f>IF(OR($C451=2),VLOOKUP($D451,HORAS!$B$4:$E$42,4,FALSE)*$EC451,IF(ISERROR(VLOOKUP($A451,FIJOS!$B$11:$P$108,9,FALSE)),0,VLOOKUP($A451,FIJOS!$B$11:$P$231,9,FALSE)*$EC451))</f>
        <v>0</v>
      </c>
      <c r="DK451" s="145">
        <f>IF(OR($C451=2),VLOOKUP($D451,HORAS!$B$4:$F$42,5,FALSE)*$EE451,IF(ISERROR(VLOOKUP($A451,FIJOS!$B$11:$P$108,9,FALSE)),0,VLOOKUP($A451,FIJOS!$B$11:$P$231,9,FALSE)*$EE451))</f>
        <v>0</v>
      </c>
      <c r="DL451" s="144"/>
      <c r="DM451" s="145">
        <f>IF(ISERROR(VLOOKUP($A451,FIJOS!$B$11:$L$646,11,FALSE)),0,VLOOKUP($A451,FIJOS!$B$11:$L$646,11,FALSE))</f>
        <v>0</v>
      </c>
      <c r="DN451" s="148" t="e">
        <f>IF(OR($C451=1,$C451=3),0,IF((VLOOKUP(CAPTURA!D451,HORAS!$B$4:$K$42,10,FALSE)/4)*COUNTIF($H451:$CT451,3)&gt;100,100,(VLOOKUP(CAPTURA!D451,HORAS!$B$4:$K$42,10,FALSE)/4)*COUNTIF($H451:$CT451,3)))</f>
        <v>#N/A</v>
      </c>
      <c r="DO451" s="144" t="e">
        <f>IF(OR($C451=1,$C451=3),0,IF($C451=5,VLOOKUP(D451,HORAS!$B$4:$G$42,6,FALSE),IF(AND($C451=4,$CV451&gt;=(42/24)),VLOOKUP(D451,HORAS!$B$4:$G$42,6,FALSE),IF(COUNTIF($H451:$CL451,"F")&gt;0,0,IF(CV451&gt;$DJ$1,$DJ$1*(VLOOKUP(D451,HORAS!$B$4:$G$42,6,FALSE)/$DJ$1),CV451*(VLOOKUP(D451,HORAS!$B$4:$G$42,6,FALSE)/$DJ$1))))))</f>
        <v>#N/A</v>
      </c>
      <c r="DP451" s="156"/>
      <c r="DQ451" s="148"/>
      <c r="DR451" s="148"/>
      <c r="DS451" s="83" t="e">
        <f t="shared" si="162"/>
        <v>#N/A</v>
      </c>
      <c r="DT451" s="84"/>
      <c r="DU451" s="149" t="e">
        <f t="shared" si="243"/>
        <v>#N/A</v>
      </c>
      <c r="DV451" s="149" t="e">
        <f t="shared" si="244"/>
        <v>#N/A</v>
      </c>
      <c r="DW451" s="144" t="e">
        <f t="shared" si="245"/>
        <v>#N/A</v>
      </c>
      <c r="DX451" s="168"/>
      <c r="DY451" s="29"/>
      <c r="DZ451" s="150"/>
      <c r="EA451" s="134"/>
      <c r="EB451" s="137">
        <f t="shared" si="246"/>
        <v>0</v>
      </c>
      <c r="EC451" s="138">
        <f t="shared" si="247"/>
        <v>0</v>
      </c>
      <c r="ED451" s="137">
        <f t="shared" si="248"/>
        <v>0</v>
      </c>
      <c r="EE451" s="132">
        <f t="shared" si="249"/>
        <v>0</v>
      </c>
      <c r="EF451" s="29"/>
      <c r="EG451" s="134"/>
      <c r="EH451" s="134"/>
      <c r="EI451" s="134"/>
      <c r="EK451" s="29"/>
    </row>
    <row r="452" spans="1:141" ht="15" customHeight="1" x14ac:dyDescent="0.25">
      <c r="A452" s="87"/>
      <c r="B452" s="5"/>
      <c r="C452" s="72"/>
      <c r="D452" s="73"/>
      <c r="E452" s="73"/>
      <c r="F452" s="141"/>
      <c r="G452" s="74"/>
      <c r="H452" s="75"/>
      <c r="I452" s="76"/>
      <c r="J452" s="135"/>
      <c r="K452" s="135"/>
      <c r="L452" s="77">
        <f t="shared" si="138"/>
        <v>0</v>
      </c>
      <c r="M452" s="78"/>
      <c r="N452" s="142"/>
      <c r="O452" s="142"/>
      <c r="P452" s="77">
        <f t="shared" si="139"/>
        <v>0</v>
      </c>
      <c r="Q452" s="78"/>
      <c r="R452" s="143"/>
      <c r="S452" s="143"/>
      <c r="T452" s="77">
        <f t="shared" si="140"/>
        <v>0</v>
      </c>
      <c r="U452" s="75"/>
      <c r="V452" s="76"/>
      <c r="W452" s="135"/>
      <c r="X452" s="135"/>
      <c r="Y452" s="77">
        <f t="shared" si="141"/>
        <v>0</v>
      </c>
      <c r="Z452" s="78"/>
      <c r="AA452" s="142"/>
      <c r="AB452" s="142"/>
      <c r="AC452" s="77">
        <f t="shared" si="142"/>
        <v>0</v>
      </c>
      <c r="AD452" s="78"/>
      <c r="AE452" s="143"/>
      <c r="AF452" s="143"/>
      <c r="AG452" s="79">
        <f t="shared" si="143"/>
        <v>0</v>
      </c>
      <c r="AH452" s="75"/>
      <c r="AI452" s="76"/>
      <c r="AJ452" s="135"/>
      <c r="AK452" s="135"/>
      <c r="AL452" s="77">
        <f t="shared" si="144"/>
        <v>0</v>
      </c>
      <c r="AM452" s="76"/>
      <c r="AN452" s="142"/>
      <c r="AO452" s="142"/>
      <c r="AP452" s="77">
        <f t="shared" si="145"/>
        <v>0</v>
      </c>
      <c r="AQ452" s="78"/>
      <c r="AR452" s="142"/>
      <c r="AS452" s="142"/>
      <c r="AT452" s="79">
        <f t="shared" si="146"/>
        <v>0</v>
      </c>
      <c r="AU452" s="75"/>
      <c r="AV452" s="76"/>
      <c r="AW452" s="135"/>
      <c r="AX452" s="135"/>
      <c r="AY452" s="77">
        <f t="shared" si="147"/>
        <v>0</v>
      </c>
      <c r="AZ452" s="76"/>
      <c r="BA452" s="142"/>
      <c r="BB452" s="142"/>
      <c r="BC452" s="77">
        <f t="shared" si="148"/>
        <v>0</v>
      </c>
      <c r="BD452" s="78"/>
      <c r="BE452" s="142"/>
      <c r="BF452" s="142"/>
      <c r="BG452" s="79">
        <f t="shared" si="149"/>
        <v>0</v>
      </c>
      <c r="BH452" s="75"/>
      <c r="BI452" s="76"/>
      <c r="BJ452" s="135"/>
      <c r="BK452" s="135"/>
      <c r="BL452" s="77">
        <f t="shared" si="150"/>
        <v>0</v>
      </c>
      <c r="BM452" s="78"/>
      <c r="BN452" s="142"/>
      <c r="BO452" s="142"/>
      <c r="BP452" s="77">
        <f t="shared" si="151"/>
        <v>0</v>
      </c>
      <c r="BQ452" s="78"/>
      <c r="BR452" s="142"/>
      <c r="BS452" s="142"/>
      <c r="BT452" s="79">
        <f t="shared" si="152"/>
        <v>0</v>
      </c>
      <c r="BU452" s="75"/>
      <c r="BV452" s="76"/>
      <c r="BW452" s="135"/>
      <c r="BX452" s="135"/>
      <c r="BY452" s="77">
        <f t="shared" si="153"/>
        <v>0</v>
      </c>
      <c r="BZ452" s="78"/>
      <c r="CA452" s="142"/>
      <c r="CB452" s="142"/>
      <c r="CC452" s="77">
        <f t="shared" si="154"/>
        <v>0</v>
      </c>
      <c r="CD452" s="78"/>
      <c r="CE452" s="142"/>
      <c r="CF452" s="142"/>
      <c r="CG452" s="79">
        <f t="shared" si="155"/>
        <v>0</v>
      </c>
      <c r="CH452" s="75"/>
      <c r="CI452" s="76"/>
      <c r="CJ452" s="86"/>
      <c r="CK452" s="86"/>
      <c r="CL452" s="77">
        <f t="shared" si="156"/>
        <v>0</v>
      </c>
      <c r="CM452" s="78"/>
      <c r="CN452" s="85"/>
      <c r="CO452" s="85"/>
      <c r="CP452" s="77">
        <f t="shared" si="157"/>
        <v>0</v>
      </c>
      <c r="CQ452" s="78"/>
      <c r="CR452" s="85"/>
      <c r="CS452" s="85"/>
      <c r="CT452" s="79">
        <f t="shared" si="158"/>
        <v>0</v>
      </c>
      <c r="CU452" s="80">
        <f t="shared" si="168"/>
        <v>0</v>
      </c>
      <c r="CV452" s="81">
        <f t="shared" si="169"/>
        <v>0</v>
      </c>
      <c r="CW452" s="144"/>
      <c r="CX452" s="145">
        <f>IF(ISERROR(VLOOKUP($A452,FIJOS!$B$11:$O$590,14,FALSE)),0,VLOOKUP($A452,FIJOS!$B$11:$O$590,14,FALSE))</f>
        <v>0</v>
      </c>
      <c r="CY452" s="145">
        <f>IF(ISERROR(VLOOKUP(A452,FIJOS!$B$10:$P$590,15,FALSE)),0,VLOOKUP(A452,FIJOS!$B$10:$P$590,15,FALSE))</f>
        <v>0</v>
      </c>
      <c r="CZ452" s="155"/>
      <c r="DA452" s="147"/>
      <c r="DB452" s="147"/>
      <c r="DC452" s="147"/>
      <c r="DD452" s="147"/>
      <c r="DE452" s="147"/>
      <c r="DF452" s="145">
        <f>IF(ISERROR(VLOOKUP($A452,FIJOS!$B$11:$N$590,13,FALSE)),0,VLOOKUP($A452,FIJOS!$B$11:$N$590,13,FALSE))</f>
        <v>0</v>
      </c>
      <c r="DG452" s="145">
        <f>IF(ISERROR(VLOOKUP($A452,FIJOS!$B$11:$P$447,12,FALSE)),0,VLOOKUP($A452,FIJOS!$B$11:$P$447,12,FALSE))</f>
        <v>0</v>
      </c>
      <c r="DH452" s="82">
        <f t="shared" si="242"/>
        <v>0</v>
      </c>
      <c r="DI452" s="83" t="b">
        <f>IF($C452=1,(VLOOKUP($A452,FIJOS!$B$11:$P$545,10,FALSE)/7)*(7-$CU452),IF(AND($C452=2,CV452&lt;$DJ$1),(VLOOKUP($D452,HORAS!$B$4:$C$42,2,FALSE)*24)*$CV452,IF(AND($C452=2,CV452&gt;=$DJ$1),VLOOKUP($D452,HORAS!$B$4:$D$42,3,FALSE),IF(AND($C452=3,$CV452&gt;=$DJ$1),VLOOKUP($A452,FIJOS!$B$11:$P$545,10,FALSE),IF(AND($C452=3,$CV452&lt;$DJ$1),((VLOOKUP($A452,FIJOS!$B$11:$P$545,10,FALSE)/48)*24)*$CV452,IF(AND($C452=4,$CV452&gt;=(42/24)),VLOOKUP($D452,HORAS!$B$4:$D$42,3,FALSE),IF(AND($C452=5,$CV452&gt;=(36/24)),VLOOKUP($D452,HORAS!$B$4:$D$42,3,FALSE))))))))</f>
        <v>0</v>
      </c>
      <c r="DJ452" s="145">
        <f>IF(OR($C452=2),VLOOKUP($D452,HORAS!$B$4:$E$42,4,FALSE)*$EC452,IF(ISERROR(VLOOKUP($A452,FIJOS!$B$11:$P$108,9,FALSE)),0,VLOOKUP($A452,FIJOS!$B$11:$P$231,9,FALSE)*$EC452))</f>
        <v>0</v>
      </c>
      <c r="DK452" s="145">
        <f>IF(OR($C452=2),VLOOKUP($D452,HORAS!$B$4:$F$42,5,FALSE)*$EE452,IF(ISERROR(VLOOKUP($A452,FIJOS!$B$11:$P$108,9,FALSE)),0,VLOOKUP($A452,FIJOS!$B$11:$P$231,9,FALSE)*$EE452))</f>
        <v>0</v>
      </c>
      <c r="DL452" s="144"/>
      <c r="DM452" s="145">
        <f>IF(ISERROR(VLOOKUP($A452,FIJOS!$B$11:$L$646,11,FALSE)),0,VLOOKUP($A452,FIJOS!$B$11:$L$646,11,FALSE))</f>
        <v>0</v>
      </c>
      <c r="DN452" s="148" t="e">
        <f>IF(OR($C452=1,$C452=3),0,IF((VLOOKUP(CAPTURA!D452,HORAS!$B$4:$K$42,10,FALSE)/4)*COUNTIF($H452:$CT452,3)&gt;100,100,(VLOOKUP(CAPTURA!D452,HORAS!$B$4:$K$42,10,FALSE)/4)*COUNTIF($H452:$CT452,3)))</f>
        <v>#N/A</v>
      </c>
      <c r="DO452" s="144" t="e">
        <f>IF(OR($C452=1,$C452=3),0,IF($C452=5,VLOOKUP(D452,HORAS!$B$4:$G$42,6,FALSE),IF(AND($C452=4,$CV452&gt;=(42/24)),VLOOKUP(D452,HORAS!$B$4:$G$42,6,FALSE),IF(COUNTIF($H452:$CL452,"F")&gt;0,0,IF(CV452&gt;$DJ$1,$DJ$1*(VLOOKUP(D452,HORAS!$B$4:$G$42,6,FALSE)/$DJ$1),CV452*(VLOOKUP(D452,HORAS!$B$4:$G$42,6,FALSE)/$DJ$1))))))</f>
        <v>#N/A</v>
      </c>
      <c r="DP452" s="156"/>
      <c r="DQ452" s="148"/>
      <c r="DR452" s="148"/>
      <c r="DS452" s="83" t="e">
        <f t="shared" si="162"/>
        <v>#N/A</v>
      </c>
      <c r="DT452" s="84"/>
      <c r="DU452" s="149" t="e">
        <f t="shared" si="243"/>
        <v>#N/A</v>
      </c>
      <c r="DV452" s="149" t="e">
        <f t="shared" si="244"/>
        <v>#N/A</v>
      </c>
      <c r="DW452" s="144" t="e">
        <f t="shared" si="245"/>
        <v>#N/A</v>
      </c>
      <c r="DX452" s="168"/>
      <c r="DY452" s="29"/>
      <c r="DZ452" s="150"/>
      <c r="EA452" s="134"/>
      <c r="EB452" s="137">
        <f t="shared" si="246"/>
        <v>0</v>
      </c>
      <c r="EC452" s="138">
        <f t="shared" si="247"/>
        <v>0</v>
      </c>
      <c r="ED452" s="137">
        <f t="shared" si="248"/>
        <v>0</v>
      </c>
      <c r="EE452" s="132">
        <f t="shared" si="249"/>
        <v>0</v>
      </c>
      <c r="EF452" s="29"/>
      <c r="EG452" s="134"/>
      <c r="EH452" s="134"/>
      <c r="EI452" s="134"/>
      <c r="EK452" s="29"/>
    </row>
    <row r="453" spans="1:141" ht="15" customHeight="1" x14ac:dyDescent="0.25">
      <c r="A453" s="87"/>
      <c r="B453" s="5"/>
      <c r="C453" s="72"/>
      <c r="D453" s="73"/>
      <c r="E453" s="73"/>
      <c r="F453" s="141"/>
      <c r="G453" s="74"/>
      <c r="H453" s="75"/>
      <c r="I453" s="76"/>
      <c r="J453" s="135"/>
      <c r="K453" s="135"/>
      <c r="L453" s="77">
        <f t="shared" si="138"/>
        <v>0</v>
      </c>
      <c r="M453" s="78"/>
      <c r="N453" s="142"/>
      <c r="O453" s="142"/>
      <c r="P453" s="77">
        <f t="shared" si="139"/>
        <v>0</v>
      </c>
      <c r="Q453" s="78"/>
      <c r="R453" s="143"/>
      <c r="S453" s="143"/>
      <c r="T453" s="77">
        <f t="shared" si="140"/>
        <v>0</v>
      </c>
      <c r="U453" s="75"/>
      <c r="V453" s="76"/>
      <c r="W453" s="135"/>
      <c r="X453" s="135"/>
      <c r="Y453" s="77">
        <f t="shared" si="141"/>
        <v>0</v>
      </c>
      <c r="Z453" s="78"/>
      <c r="AA453" s="142"/>
      <c r="AB453" s="142"/>
      <c r="AC453" s="77">
        <f t="shared" si="142"/>
        <v>0</v>
      </c>
      <c r="AD453" s="78"/>
      <c r="AE453" s="143"/>
      <c r="AF453" s="143"/>
      <c r="AG453" s="79">
        <f t="shared" si="143"/>
        <v>0</v>
      </c>
      <c r="AH453" s="75"/>
      <c r="AI453" s="76"/>
      <c r="AJ453" s="135"/>
      <c r="AK453" s="135"/>
      <c r="AL453" s="77">
        <f t="shared" si="144"/>
        <v>0</v>
      </c>
      <c r="AM453" s="76"/>
      <c r="AN453" s="142"/>
      <c r="AO453" s="142"/>
      <c r="AP453" s="77">
        <f t="shared" si="145"/>
        <v>0</v>
      </c>
      <c r="AQ453" s="78"/>
      <c r="AR453" s="142"/>
      <c r="AS453" s="142"/>
      <c r="AT453" s="79">
        <f t="shared" si="146"/>
        <v>0</v>
      </c>
      <c r="AU453" s="75"/>
      <c r="AV453" s="76"/>
      <c r="AW453" s="135"/>
      <c r="AX453" s="135"/>
      <c r="AY453" s="77">
        <f t="shared" si="147"/>
        <v>0</v>
      </c>
      <c r="AZ453" s="76"/>
      <c r="BA453" s="142"/>
      <c r="BB453" s="142"/>
      <c r="BC453" s="77">
        <f t="shared" si="148"/>
        <v>0</v>
      </c>
      <c r="BD453" s="78"/>
      <c r="BE453" s="142"/>
      <c r="BF453" s="142"/>
      <c r="BG453" s="79">
        <f t="shared" si="149"/>
        <v>0</v>
      </c>
      <c r="BH453" s="75"/>
      <c r="BI453" s="76"/>
      <c r="BJ453" s="135"/>
      <c r="BK453" s="135"/>
      <c r="BL453" s="77">
        <f t="shared" si="150"/>
        <v>0</v>
      </c>
      <c r="BM453" s="78"/>
      <c r="BN453" s="142"/>
      <c r="BO453" s="142"/>
      <c r="BP453" s="77">
        <f t="shared" si="151"/>
        <v>0</v>
      </c>
      <c r="BQ453" s="78"/>
      <c r="BR453" s="142"/>
      <c r="BS453" s="142"/>
      <c r="BT453" s="79">
        <f t="shared" si="152"/>
        <v>0</v>
      </c>
      <c r="BU453" s="75"/>
      <c r="BV453" s="76"/>
      <c r="BW453" s="135"/>
      <c r="BX453" s="135"/>
      <c r="BY453" s="77">
        <f t="shared" si="153"/>
        <v>0</v>
      </c>
      <c r="BZ453" s="78"/>
      <c r="CA453" s="142"/>
      <c r="CB453" s="142"/>
      <c r="CC453" s="77">
        <f t="shared" si="154"/>
        <v>0</v>
      </c>
      <c r="CD453" s="78"/>
      <c r="CE453" s="142"/>
      <c r="CF453" s="142"/>
      <c r="CG453" s="79">
        <f t="shared" si="155"/>
        <v>0</v>
      </c>
      <c r="CH453" s="75"/>
      <c r="CI453" s="76"/>
      <c r="CJ453" s="86"/>
      <c r="CK453" s="86"/>
      <c r="CL453" s="77">
        <f t="shared" si="156"/>
        <v>0</v>
      </c>
      <c r="CM453" s="78"/>
      <c r="CN453" s="85"/>
      <c r="CO453" s="85"/>
      <c r="CP453" s="77">
        <f t="shared" si="157"/>
        <v>0</v>
      </c>
      <c r="CQ453" s="78"/>
      <c r="CR453" s="85"/>
      <c r="CS453" s="85"/>
      <c r="CT453" s="79">
        <f t="shared" si="158"/>
        <v>0</v>
      </c>
      <c r="CU453" s="80">
        <f t="shared" si="168"/>
        <v>0</v>
      </c>
      <c r="CV453" s="81">
        <f t="shared" si="169"/>
        <v>0</v>
      </c>
      <c r="CW453" s="144"/>
      <c r="CX453" s="145">
        <f>IF(ISERROR(VLOOKUP($A453,FIJOS!$B$11:$O$590,14,FALSE)),0,VLOOKUP($A453,FIJOS!$B$11:$O$590,14,FALSE))</f>
        <v>0</v>
      </c>
      <c r="CY453" s="145">
        <f>IF(ISERROR(VLOOKUP(A453,FIJOS!$B$10:$P$590,15,FALSE)),0,VLOOKUP(A453,FIJOS!$B$10:$P$590,15,FALSE))</f>
        <v>0</v>
      </c>
      <c r="CZ453" s="155"/>
      <c r="DA453" s="147"/>
      <c r="DB453" s="147"/>
      <c r="DC453" s="147"/>
      <c r="DD453" s="147"/>
      <c r="DE453" s="147"/>
      <c r="DF453" s="145">
        <f>IF(ISERROR(VLOOKUP($A453,FIJOS!$B$11:$N$590,13,FALSE)),0,VLOOKUP($A453,FIJOS!$B$11:$N$590,13,FALSE))</f>
        <v>0</v>
      </c>
      <c r="DG453" s="145">
        <f>IF(ISERROR(VLOOKUP($A453,FIJOS!$B$11:$P$447,12,FALSE)),0,VLOOKUP($A453,FIJOS!$B$11:$P$447,12,FALSE))</f>
        <v>0</v>
      </c>
      <c r="DH453" s="82">
        <f t="shared" si="242"/>
        <v>0</v>
      </c>
      <c r="DI453" s="83" t="b">
        <f>IF($C453=1,(VLOOKUP($A453,FIJOS!$B$11:$P$545,10,FALSE)/7)*(7-$CU453),IF(AND($C453=2,CV453&lt;$DJ$1),(VLOOKUP($D453,HORAS!$B$4:$C$42,2,FALSE)*24)*$CV453,IF(AND($C453=2,CV453&gt;=$DJ$1),VLOOKUP($D453,HORAS!$B$4:$D$42,3,FALSE),IF(AND($C453=3,$CV453&gt;=$DJ$1),VLOOKUP($A453,FIJOS!$B$11:$P$545,10,FALSE),IF(AND($C453=3,$CV453&lt;$DJ$1),((VLOOKUP($A453,FIJOS!$B$11:$P$545,10,FALSE)/48)*24)*$CV453,IF(AND($C453=4,$CV453&gt;=(42/24)),VLOOKUP($D453,HORAS!$B$4:$D$42,3,FALSE),IF(AND($C453=5,$CV453&gt;=(36/24)),VLOOKUP($D453,HORAS!$B$4:$D$42,3,FALSE))))))))</f>
        <v>0</v>
      </c>
      <c r="DJ453" s="145">
        <f>IF(OR($C453=2),VLOOKUP($D453,HORAS!$B$4:$E$42,4,FALSE)*$EC453,IF(ISERROR(VLOOKUP($A453,FIJOS!$B$11:$P$108,9,FALSE)),0,VLOOKUP($A453,FIJOS!$B$11:$P$231,9,FALSE)*$EC453))</f>
        <v>0</v>
      </c>
      <c r="DK453" s="145">
        <f>IF(OR($C453=2),VLOOKUP($D453,HORAS!$B$4:$F$42,5,FALSE)*$EE453,IF(ISERROR(VLOOKUP($A453,FIJOS!$B$11:$P$108,9,FALSE)),0,VLOOKUP($A453,FIJOS!$B$11:$P$231,9,FALSE)*$EE453))</f>
        <v>0</v>
      </c>
      <c r="DL453" s="144"/>
      <c r="DM453" s="145">
        <f>IF(ISERROR(VLOOKUP($A453,FIJOS!$B$11:$L$646,11,FALSE)),0,VLOOKUP($A453,FIJOS!$B$11:$L$646,11,FALSE))</f>
        <v>0</v>
      </c>
      <c r="DN453" s="148" t="e">
        <f>IF(OR($C453=1,$C453=3),0,IF((VLOOKUP(CAPTURA!D453,HORAS!$B$4:$K$42,10,FALSE)/4)*COUNTIF($H453:$CT453,3)&gt;100,100,(VLOOKUP(CAPTURA!D453,HORAS!$B$4:$K$42,10,FALSE)/4)*COUNTIF($H453:$CT453,3)))</f>
        <v>#N/A</v>
      </c>
      <c r="DO453" s="144" t="e">
        <f>IF(OR($C453=1,$C453=3),0,IF($C453=5,VLOOKUP(D453,HORAS!$B$4:$G$42,6,FALSE),IF(AND($C453=4,$CV453&gt;=(42/24)),VLOOKUP(D453,HORAS!$B$4:$G$42,6,FALSE),IF(COUNTIF($H453:$CL453,"F")&gt;0,0,IF(CV453&gt;$DJ$1,$DJ$1*(VLOOKUP(D453,HORAS!$B$4:$G$42,6,FALSE)/$DJ$1),CV453*(VLOOKUP(D453,HORAS!$B$4:$G$42,6,FALSE)/$DJ$1))))))</f>
        <v>#N/A</v>
      </c>
      <c r="DP453" s="156"/>
      <c r="DQ453" s="148"/>
      <c r="DR453" s="148"/>
      <c r="DS453" s="83" t="e">
        <f t="shared" si="162"/>
        <v>#N/A</v>
      </c>
      <c r="DT453" s="84"/>
      <c r="DU453" s="149" t="e">
        <f t="shared" si="243"/>
        <v>#N/A</v>
      </c>
      <c r="DV453" s="149" t="e">
        <f t="shared" si="244"/>
        <v>#N/A</v>
      </c>
      <c r="DW453" s="144" t="e">
        <f t="shared" si="245"/>
        <v>#N/A</v>
      </c>
      <c r="DX453" s="168"/>
      <c r="DY453" s="29"/>
      <c r="DZ453" s="150"/>
      <c r="EA453" s="134"/>
      <c r="EB453" s="137">
        <f t="shared" si="246"/>
        <v>0</v>
      </c>
      <c r="EC453" s="138">
        <f t="shared" si="247"/>
        <v>0</v>
      </c>
      <c r="ED453" s="137">
        <f t="shared" si="248"/>
        <v>0</v>
      </c>
      <c r="EE453" s="132">
        <f t="shared" si="249"/>
        <v>0</v>
      </c>
      <c r="EF453" s="29"/>
      <c r="EG453" s="134"/>
      <c r="EH453" s="134"/>
      <c r="EI453" s="134"/>
      <c r="EK453" s="29"/>
    </row>
    <row r="454" spans="1:141" ht="15" customHeight="1" x14ac:dyDescent="0.25">
      <c r="A454" s="87"/>
      <c r="B454" s="5"/>
      <c r="C454" s="72"/>
      <c r="D454" s="73"/>
      <c r="E454" s="73"/>
      <c r="F454" s="141"/>
      <c r="G454" s="74"/>
      <c r="H454" s="75"/>
      <c r="I454" s="76"/>
      <c r="J454" s="135"/>
      <c r="K454" s="135"/>
      <c r="L454" s="77">
        <f t="shared" si="138"/>
        <v>0</v>
      </c>
      <c r="M454" s="78"/>
      <c r="N454" s="142"/>
      <c r="O454" s="142"/>
      <c r="P454" s="77">
        <f t="shared" si="139"/>
        <v>0</v>
      </c>
      <c r="Q454" s="78"/>
      <c r="R454" s="143"/>
      <c r="S454" s="143"/>
      <c r="T454" s="77">
        <f t="shared" si="140"/>
        <v>0</v>
      </c>
      <c r="U454" s="75"/>
      <c r="V454" s="76"/>
      <c r="W454" s="135"/>
      <c r="X454" s="135"/>
      <c r="Y454" s="77">
        <f t="shared" si="141"/>
        <v>0</v>
      </c>
      <c r="Z454" s="78"/>
      <c r="AA454" s="142"/>
      <c r="AB454" s="142"/>
      <c r="AC454" s="77">
        <f t="shared" si="142"/>
        <v>0</v>
      </c>
      <c r="AD454" s="78"/>
      <c r="AE454" s="143"/>
      <c r="AF454" s="143"/>
      <c r="AG454" s="79">
        <f t="shared" si="143"/>
        <v>0</v>
      </c>
      <c r="AH454" s="75"/>
      <c r="AI454" s="76"/>
      <c r="AJ454" s="135"/>
      <c r="AK454" s="135"/>
      <c r="AL454" s="77">
        <f t="shared" si="144"/>
        <v>0</v>
      </c>
      <c r="AM454" s="76"/>
      <c r="AN454" s="142"/>
      <c r="AO454" s="142"/>
      <c r="AP454" s="77">
        <f t="shared" si="145"/>
        <v>0</v>
      </c>
      <c r="AQ454" s="78"/>
      <c r="AR454" s="142"/>
      <c r="AS454" s="142"/>
      <c r="AT454" s="79">
        <f t="shared" si="146"/>
        <v>0</v>
      </c>
      <c r="AU454" s="75"/>
      <c r="AV454" s="76"/>
      <c r="AW454" s="135"/>
      <c r="AX454" s="135"/>
      <c r="AY454" s="77">
        <f t="shared" si="147"/>
        <v>0</v>
      </c>
      <c r="AZ454" s="76"/>
      <c r="BA454" s="142"/>
      <c r="BB454" s="142"/>
      <c r="BC454" s="77">
        <f t="shared" si="148"/>
        <v>0</v>
      </c>
      <c r="BD454" s="78"/>
      <c r="BE454" s="142"/>
      <c r="BF454" s="142"/>
      <c r="BG454" s="79">
        <f t="shared" si="149"/>
        <v>0</v>
      </c>
      <c r="BH454" s="75"/>
      <c r="BI454" s="76"/>
      <c r="BJ454" s="135"/>
      <c r="BK454" s="135"/>
      <c r="BL454" s="77">
        <f t="shared" si="150"/>
        <v>0</v>
      </c>
      <c r="BM454" s="78"/>
      <c r="BN454" s="142"/>
      <c r="BO454" s="142"/>
      <c r="BP454" s="77">
        <f t="shared" si="151"/>
        <v>0</v>
      </c>
      <c r="BQ454" s="78"/>
      <c r="BR454" s="142"/>
      <c r="BS454" s="142"/>
      <c r="BT454" s="79">
        <f t="shared" si="152"/>
        <v>0</v>
      </c>
      <c r="BU454" s="75"/>
      <c r="BV454" s="76"/>
      <c r="BW454" s="135"/>
      <c r="BX454" s="135"/>
      <c r="BY454" s="77">
        <f t="shared" si="153"/>
        <v>0</v>
      </c>
      <c r="BZ454" s="78"/>
      <c r="CA454" s="142"/>
      <c r="CB454" s="142"/>
      <c r="CC454" s="77">
        <f t="shared" si="154"/>
        <v>0</v>
      </c>
      <c r="CD454" s="78"/>
      <c r="CE454" s="142"/>
      <c r="CF454" s="142"/>
      <c r="CG454" s="79">
        <f t="shared" si="155"/>
        <v>0</v>
      </c>
      <c r="CH454" s="75"/>
      <c r="CI454" s="76"/>
      <c r="CJ454" s="86"/>
      <c r="CK454" s="86"/>
      <c r="CL454" s="77">
        <f t="shared" si="156"/>
        <v>0</v>
      </c>
      <c r="CM454" s="78"/>
      <c r="CN454" s="85"/>
      <c r="CO454" s="85"/>
      <c r="CP454" s="77">
        <f t="shared" si="157"/>
        <v>0</v>
      </c>
      <c r="CQ454" s="78"/>
      <c r="CR454" s="85"/>
      <c r="CS454" s="85"/>
      <c r="CT454" s="79">
        <f t="shared" si="158"/>
        <v>0</v>
      </c>
      <c r="CU454" s="80">
        <f t="shared" si="168"/>
        <v>0</v>
      </c>
      <c r="CV454" s="81">
        <f t="shared" si="169"/>
        <v>0</v>
      </c>
      <c r="CW454" s="144"/>
      <c r="CX454" s="145">
        <f>IF(ISERROR(VLOOKUP($A454,FIJOS!$B$11:$O$590,14,FALSE)),0,VLOOKUP($A454,FIJOS!$B$11:$O$590,14,FALSE))</f>
        <v>0</v>
      </c>
      <c r="CY454" s="145">
        <f>IF(ISERROR(VLOOKUP(A454,FIJOS!$B$10:$P$590,15,FALSE)),0,VLOOKUP(A454,FIJOS!$B$10:$P$590,15,FALSE))</f>
        <v>0</v>
      </c>
      <c r="CZ454" s="155"/>
      <c r="DA454" s="147"/>
      <c r="DB454" s="147"/>
      <c r="DC454" s="147"/>
      <c r="DD454" s="147"/>
      <c r="DE454" s="147"/>
      <c r="DF454" s="145">
        <f>IF(ISERROR(VLOOKUP($A454,FIJOS!$B$11:$N$590,13,FALSE)),0,VLOOKUP($A454,FIJOS!$B$11:$N$590,13,FALSE))</f>
        <v>0</v>
      </c>
      <c r="DG454" s="145">
        <f>IF(ISERROR(VLOOKUP($A454,FIJOS!$B$11:$P$447,12,FALSE)),0,VLOOKUP($A454,FIJOS!$B$11:$P$447,12,FALSE))</f>
        <v>0</v>
      </c>
      <c r="DH454" s="82">
        <f t="shared" si="242"/>
        <v>0</v>
      </c>
      <c r="DI454" s="83" t="b">
        <f>IF($C454=1,(VLOOKUP($A454,FIJOS!$B$11:$P$545,10,FALSE)/7)*(7-$CU454),IF(AND($C454=2,CV454&lt;$DJ$1),(VLOOKUP($D454,HORAS!$B$4:$C$42,2,FALSE)*24)*$CV454,IF(AND($C454=2,CV454&gt;=$DJ$1),VLOOKUP($D454,HORAS!$B$4:$D$42,3,FALSE),IF(AND($C454=3,$CV454&gt;=$DJ$1),VLOOKUP($A454,FIJOS!$B$11:$P$545,10,FALSE),IF(AND($C454=3,$CV454&lt;$DJ$1),((VLOOKUP($A454,FIJOS!$B$11:$P$545,10,FALSE)/48)*24)*$CV454,IF(AND($C454=4,$CV454&gt;=(42/24)),VLOOKUP($D454,HORAS!$B$4:$D$42,3,FALSE),IF(AND($C454=5,$CV454&gt;=(36/24)),VLOOKUP($D454,HORAS!$B$4:$D$42,3,FALSE))))))))</f>
        <v>0</v>
      </c>
      <c r="DJ454" s="145">
        <f>IF(OR($C454=2),VLOOKUP($D454,HORAS!$B$4:$E$42,4,FALSE)*$EC454,IF(ISERROR(VLOOKUP($A454,FIJOS!$B$11:$P$108,9,FALSE)),0,VLOOKUP($A454,FIJOS!$B$11:$P$231,9,FALSE)*$EC454))</f>
        <v>0</v>
      </c>
      <c r="DK454" s="145">
        <f>IF(OR($C454=2),VLOOKUP($D454,HORAS!$B$4:$F$42,5,FALSE)*$EE454,IF(ISERROR(VLOOKUP($A454,FIJOS!$B$11:$P$108,9,FALSE)),0,VLOOKUP($A454,FIJOS!$B$11:$P$231,9,FALSE)*$EE454))</f>
        <v>0</v>
      </c>
      <c r="DL454" s="144"/>
      <c r="DM454" s="145">
        <f>IF(ISERROR(VLOOKUP($A454,FIJOS!$B$11:$L$646,11,FALSE)),0,VLOOKUP($A454,FIJOS!$B$11:$L$646,11,FALSE))</f>
        <v>0</v>
      </c>
      <c r="DN454" s="148" t="e">
        <f>IF(OR($C454=1,$C454=3),0,IF((VLOOKUP(CAPTURA!D454,HORAS!$B$4:$K$42,10,FALSE)/4)*COUNTIF($H454:$CT454,3)&gt;100,100,(VLOOKUP(CAPTURA!D454,HORAS!$B$4:$K$42,10,FALSE)/4)*COUNTIF($H454:$CT454,3)))</f>
        <v>#N/A</v>
      </c>
      <c r="DO454" s="144" t="e">
        <f>IF(OR($C454=1,$C454=3),0,IF($C454=5,VLOOKUP(D454,HORAS!$B$4:$G$42,6,FALSE),IF(AND($C454=4,$CV454&gt;=(42/24)),VLOOKUP(D454,HORAS!$B$4:$G$42,6,FALSE),IF(COUNTIF($H454:$CL454,"F")&gt;0,0,IF(CV454&gt;$DJ$1,$DJ$1*(VLOOKUP(D454,HORAS!$B$4:$G$42,6,FALSE)/$DJ$1),CV454*(VLOOKUP(D454,HORAS!$B$4:$G$42,6,FALSE)/$DJ$1))))))</f>
        <v>#N/A</v>
      </c>
      <c r="DP454" s="156"/>
      <c r="DQ454" s="148"/>
      <c r="DR454" s="148"/>
      <c r="DS454" s="83" t="e">
        <f t="shared" si="162"/>
        <v>#N/A</v>
      </c>
      <c r="DT454" s="84"/>
      <c r="DU454" s="149" t="e">
        <f t="shared" si="243"/>
        <v>#N/A</v>
      </c>
      <c r="DV454" s="149" t="e">
        <f t="shared" si="244"/>
        <v>#N/A</v>
      </c>
      <c r="DW454" s="144" t="e">
        <f t="shared" si="245"/>
        <v>#N/A</v>
      </c>
      <c r="DX454" s="168"/>
      <c r="DY454" s="29"/>
      <c r="DZ454" s="150"/>
      <c r="EA454" s="134"/>
      <c r="EB454" s="137">
        <f t="shared" si="246"/>
        <v>0</v>
      </c>
      <c r="EC454" s="138">
        <f t="shared" si="247"/>
        <v>0</v>
      </c>
      <c r="ED454" s="137">
        <f t="shared" si="248"/>
        <v>0</v>
      </c>
      <c r="EE454" s="132">
        <f t="shared" si="249"/>
        <v>0</v>
      </c>
      <c r="EF454" s="29"/>
      <c r="EG454" s="134"/>
      <c r="EH454" s="134"/>
      <c r="EI454" s="134"/>
      <c r="EK454" s="29"/>
    </row>
    <row r="455" spans="1:141" ht="15" customHeight="1" x14ac:dyDescent="0.25">
      <c r="A455" s="87"/>
      <c r="B455" s="5"/>
      <c r="C455" s="72"/>
      <c r="D455" s="73"/>
      <c r="E455" s="73"/>
      <c r="F455" s="141"/>
      <c r="G455" s="74"/>
      <c r="H455" s="75"/>
      <c r="I455" s="76"/>
      <c r="J455" s="135"/>
      <c r="K455" s="135"/>
      <c r="L455" s="77">
        <f t="shared" si="138"/>
        <v>0</v>
      </c>
      <c r="M455" s="78"/>
      <c r="N455" s="142"/>
      <c r="O455" s="142"/>
      <c r="P455" s="77">
        <f t="shared" si="139"/>
        <v>0</v>
      </c>
      <c r="Q455" s="78"/>
      <c r="R455" s="143"/>
      <c r="S455" s="143"/>
      <c r="T455" s="77">
        <f t="shared" si="140"/>
        <v>0</v>
      </c>
      <c r="U455" s="75"/>
      <c r="V455" s="76"/>
      <c r="W455" s="135"/>
      <c r="X455" s="135"/>
      <c r="Y455" s="77">
        <f t="shared" si="141"/>
        <v>0</v>
      </c>
      <c r="Z455" s="78"/>
      <c r="AA455" s="142"/>
      <c r="AB455" s="142"/>
      <c r="AC455" s="77">
        <f t="shared" si="142"/>
        <v>0</v>
      </c>
      <c r="AD455" s="78"/>
      <c r="AE455" s="143"/>
      <c r="AF455" s="143"/>
      <c r="AG455" s="79">
        <f t="shared" si="143"/>
        <v>0</v>
      </c>
      <c r="AH455" s="75"/>
      <c r="AI455" s="76"/>
      <c r="AJ455" s="135"/>
      <c r="AK455" s="135"/>
      <c r="AL455" s="77">
        <f t="shared" si="144"/>
        <v>0</v>
      </c>
      <c r="AM455" s="76"/>
      <c r="AN455" s="142"/>
      <c r="AO455" s="142"/>
      <c r="AP455" s="77">
        <f t="shared" si="145"/>
        <v>0</v>
      </c>
      <c r="AQ455" s="78"/>
      <c r="AR455" s="142"/>
      <c r="AS455" s="142"/>
      <c r="AT455" s="79">
        <f t="shared" si="146"/>
        <v>0</v>
      </c>
      <c r="AU455" s="75"/>
      <c r="AV455" s="76"/>
      <c r="AW455" s="135"/>
      <c r="AX455" s="135"/>
      <c r="AY455" s="77">
        <f t="shared" si="147"/>
        <v>0</v>
      </c>
      <c r="AZ455" s="76"/>
      <c r="BA455" s="142"/>
      <c r="BB455" s="142"/>
      <c r="BC455" s="77">
        <f t="shared" si="148"/>
        <v>0</v>
      </c>
      <c r="BD455" s="78"/>
      <c r="BE455" s="142"/>
      <c r="BF455" s="142"/>
      <c r="BG455" s="79">
        <f t="shared" si="149"/>
        <v>0</v>
      </c>
      <c r="BH455" s="75"/>
      <c r="BI455" s="76"/>
      <c r="BJ455" s="135"/>
      <c r="BK455" s="135"/>
      <c r="BL455" s="77">
        <f t="shared" si="150"/>
        <v>0</v>
      </c>
      <c r="BM455" s="78"/>
      <c r="BN455" s="142"/>
      <c r="BO455" s="142"/>
      <c r="BP455" s="77">
        <f t="shared" si="151"/>
        <v>0</v>
      </c>
      <c r="BQ455" s="78"/>
      <c r="BR455" s="142"/>
      <c r="BS455" s="142"/>
      <c r="BT455" s="79">
        <f t="shared" si="152"/>
        <v>0</v>
      </c>
      <c r="BU455" s="75"/>
      <c r="BV455" s="76"/>
      <c r="BW455" s="135"/>
      <c r="BX455" s="135"/>
      <c r="BY455" s="77">
        <f t="shared" si="153"/>
        <v>0</v>
      </c>
      <c r="BZ455" s="78"/>
      <c r="CA455" s="142"/>
      <c r="CB455" s="142"/>
      <c r="CC455" s="77">
        <f t="shared" si="154"/>
        <v>0</v>
      </c>
      <c r="CD455" s="78"/>
      <c r="CE455" s="142"/>
      <c r="CF455" s="142"/>
      <c r="CG455" s="79">
        <f t="shared" si="155"/>
        <v>0</v>
      </c>
      <c r="CH455" s="75"/>
      <c r="CI455" s="76"/>
      <c r="CJ455" s="86"/>
      <c r="CK455" s="86"/>
      <c r="CL455" s="77">
        <f t="shared" si="156"/>
        <v>0</v>
      </c>
      <c r="CM455" s="78"/>
      <c r="CN455" s="85"/>
      <c r="CO455" s="85"/>
      <c r="CP455" s="77">
        <f t="shared" si="157"/>
        <v>0</v>
      </c>
      <c r="CQ455" s="78"/>
      <c r="CR455" s="85"/>
      <c r="CS455" s="85"/>
      <c r="CT455" s="79">
        <f t="shared" si="158"/>
        <v>0</v>
      </c>
      <c r="CU455" s="80">
        <f t="shared" si="168"/>
        <v>0</v>
      </c>
      <c r="CV455" s="81">
        <f t="shared" si="169"/>
        <v>0</v>
      </c>
      <c r="CW455" s="144"/>
      <c r="CX455" s="145">
        <f>IF(ISERROR(VLOOKUP($A455,FIJOS!$B$11:$O$590,14,FALSE)),0,VLOOKUP($A455,FIJOS!$B$11:$O$590,14,FALSE))</f>
        <v>0</v>
      </c>
      <c r="CY455" s="145">
        <f>IF(ISERROR(VLOOKUP(A455,FIJOS!$B$10:$P$590,15,FALSE)),0,VLOOKUP(A455,FIJOS!$B$10:$P$590,15,FALSE))</f>
        <v>0</v>
      </c>
      <c r="CZ455" s="155"/>
      <c r="DA455" s="147"/>
      <c r="DB455" s="147"/>
      <c r="DC455" s="147"/>
      <c r="DD455" s="147"/>
      <c r="DE455" s="147"/>
      <c r="DF455" s="145">
        <f>IF(ISERROR(VLOOKUP($A455,FIJOS!$B$11:$N$590,13,FALSE)),0,VLOOKUP($A455,FIJOS!$B$11:$N$590,13,FALSE))</f>
        <v>0</v>
      </c>
      <c r="DG455" s="145">
        <f>IF(ISERROR(VLOOKUP($A455,FIJOS!$B$11:$P$447,12,FALSE)),0,VLOOKUP($A455,FIJOS!$B$11:$P$447,12,FALSE))</f>
        <v>0</v>
      </c>
      <c r="DH455" s="82">
        <f t="shared" si="242"/>
        <v>0</v>
      </c>
      <c r="DI455" s="83" t="b">
        <f>IF($C455=1,(VLOOKUP($A455,FIJOS!$B$11:$P$545,10,FALSE)/7)*(7-$CU455),IF(AND($C455=2,CV455&lt;$DJ$1),(VLOOKUP($D455,HORAS!$B$4:$C$42,2,FALSE)*24)*$CV455,IF(AND($C455=2,CV455&gt;=$DJ$1),VLOOKUP($D455,HORAS!$B$4:$D$42,3,FALSE),IF(AND($C455=3,$CV455&gt;=$DJ$1),VLOOKUP($A455,FIJOS!$B$11:$P$545,10,FALSE),IF(AND($C455=3,$CV455&lt;$DJ$1),((VLOOKUP($A455,FIJOS!$B$11:$P$545,10,FALSE)/48)*24)*$CV455,IF(AND($C455=4,$CV455&gt;=(42/24)),VLOOKUP($D455,HORAS!$B$4:$D$42,3,FALSE),IF(AND($C455=5,$CV455&gt;=(36/24)),VLOOKUP($D455,HORAS!$B$4:$D$42,3,FALSE))))))))</f>
        <v>0</v>
      </c>
      <c r="DJ455" s="145">
        <f>IF(OR($C455=2),VLOOKUP($D455,HORAS!$B$4:$E$42,4,FALSE)*$EC455,IF(ISERROR(VLOOKUP($A455,FIJOS!$B$11:$P$108,9,FALSE)),0,VLOOKUP($A455,FIJOS!$B$11:$P$231,9,FALSE)*$EC455))</f>
        <v>0</v>
      </c>
      <c r="DK455" s="145">
        <f>IF(OR($C455=2),VLOOKUP($D455,HORAS!$B$4:$F$42,5,FALSE)*$EE455,IF(ISERROR(VLOOKUP($A455,FIJOS!$B$11:$P$108,9,FALSE)),0,VLOOKUP($A455,FIJOS!$B$11:$P$231,9,FALSE)*$EE455))</f>
        <v>0</v>
      </c>
      <c r="DL455" s="144"/>
      <c r="DM455" s="145">
        <f>IF(ISERROR(VLOOKUP($A455,FIJOS!$B$11:$L$646,11,FALSE)),0,VLOOKUP($A455,FIJOS!$B$11:$L$646,11,FALSE))</f>
        <v>0</v>
      </c>
      <c r="DN455" s="148" t="e">
        <f>IF(OR($C455=1,$C455=3),0,IF((VLOOKUP(CAPTURA!D455,HORAS!$B$4:$K$42,10,FALSE)/4)*COUNTIF($H455:$CT455,3)&gt;100,100,(VLOOKUP(CAPTURA!D455,HORAS!$B$4:$K$42,10,FALSE)/4)*COUNTIF($H455:$CT455,3)))</f>
        <v>#N/A</v>
      </c>
      <c r="DO455" s="144" t="e">
        <f>IF(OR($C455=1,$C455=3),0,IF($C455=5,VLOOKUP(D455,HORAS!$B$4:$G$42,6,FALSE),IF(AND($C455=4,$CV455&gt;=(42/24)),VLOOKUP(D455,HORAS!$B$4:$G$42,6,FALSE),IF(COUNTIF($H455:$CL455,"F")&gt;0,0,IF(CV455&gt;$DJ$1,$DJ$1*(VLOOKUP(D455,HORAS!$B$4:$G$42,6,FALSE)/$DJ$1),CV455*(VLOOKUP(D455,HORAS!$B$4:$G$42,6,FALSE)/$DJ$1))))))</f>
        <v>#N/A</v>
      </c>
      <c r="DP455" s="156"/>
      <c r="DQ455" s="148"/>
      <c r="DR455" s="148"/>
      <c r="DS455" s="83" t="e">
        <f t="shared" si="162"/>
        <v>#N/A</v>
      </c>
      <c r="DT455" s="84"/>
      <c r="DU455" s="149" t="e">
        <f t="shared" si="243"/>
        <v>#N/A</v>
      </c>
      <c r="DV455" s="149" t="e">
        <f t="shared" si="244"/>
        <v>#N/A</v>
      </c>
      <c r="DW455" s="144" t="e">
        <f t="shared" si="245"/>
        <v>#N/A</v>
      </c>
      <c r="DX455" s="168"/>
      <c r="DY455" s="29"/>
      <c r="DZ455" s="150"/>
      <c r="EA455" s="134"/>
      <c r="EB455" s="137">
        <f t="shared" si="246"/>
        <v>0</v>
      </c>
      <c r="EC455" s="138">
        <f t="shared" si="247"/>
        <v>0</v>
      </c>
      <c r="ED455" s="137">
        <f t="shared" si="248"/>
        <v>0</v>
      </c>
      <c r="EE455" s="132">
        <f t="shared" si="249"/>
        <v>0</v>
      </c>
      <c r="EF455" s="29"/>
      <c r="EG455" s="134"/>
      <c r="EH455" s="134"/>
      <c r="EI455" s="134"/>
      <c r="EK455" s="29"/>
    </row>
    <row r="456" spans="1:141" ht="15" customHeight="1" x14ac:dyDescent="0.25">
      <c r="A456" s="87"/>
      <c r="B456" s="5"/>
      <c r="C456" s="72"/>
      <c r="D456" s="73"/>
      <c r="E456" s="73"/>
      <c r="F456" s="141"/>
      <c r="G456" s="74"/>
      <c r="H456" s="75"/>
      <c r="I456" s="76"/>
      <c r="J456" s="135"/>
      <c r="K456" s="135"/>
      <c r="L456" s="77">
        <f t="shared" si="138"/>
        <v>0</v>
      </c>
      <c r="M456" s="78"/>
      <c r="N456" s="142"/>
      <c r="O456" s="142"/>
      <c r="P456" s="77">
        <f t="shared" si="139"/>
        <v>0</v>
      </c>
      <c r="Q456" s="78"/>
      <c r="R456" s="143"/>
      <c r="S456" s="143"/>
      <c r="T456" s="77">
        <f t="shared" si="140"/>
        <v>0</v>
      </c>
      <c r="U456" s="75"/>
      <c r="V456" s="76"/>
      <c r="W456" s="135"/>
      <c r="X456" s="135"/>
      <c r="Y456" s="77">
        <f t="shared" si="141"/>
        <v>0</v>
      </c>
      <c r="Z456" s="78"/>
      <c r="AA456" s="142"/>
      <c r="AB456" s="142"/>
      <c r="AC456" s="77">
        <f t="shared" si="142"/>
        <v>0</v>
      </c>
      <c r="AD456" s="78"/>
      <c r="AE456" s="143"/>
      <c r="AF456" s="143"/>
      <c r="AG456" s="79">
        <f t="shared" si="143"/>
        <v>0</v>
      </c>
      <c r="AH456" s="75"/>
      <c r="AI456" s="76"/>
      <c r="AJ456" s="135"/>
      <c r="AK456" s="135"/>
      <c r="AL456" s="77">
        <f t="shared" si="144"/>
        <v>0</v>
      </c>
      <c r="AM456" s="76"/>
      <c r="AN456" s="142"/>
      <c r="AO456" s="142"/>
      <c r="AP456" s="77">
        <f t="shared" si="145"/>
        <v>0</v>
      </c>
      <c r="AQ456" s="78"/>
      <c r="AR456" s="142"/>
      <c r="AS456" s="142"/>
      <c r="AT456" s="79">
        <f t="shared" si="146"/>
        <v>0</v>
      </c>
      <c r="AU456" s="75"/>
      <c r="AV456" s="76"/>
      <c r="AW456" s="135"/>
      <c r="AX456" s="135"/>
      <c r="AY456" s="77">
        <f t="shared" si="147"/>
        <v>0</v>
      </c>
      <c r="AZ456" s="76"/>
      <c r="BA456" s="142"/>
      <c r="BB456" s="142"/>
      <c r="BC456" s="77">
        <f t="shared" si="148"/>
        <v>0</v>
      </c>
      <c r="BD456" s="78"/>
      <c r="BE456" s="142"/>
      <c r="BF456" s="142"/>
      <c r="BG456" s="79">
        <f t="shared" si="149"/>
        <v>0</v>
      </c>
      <c r="BH456" s="75"/>
      <c r="BI456" s="76"/>
      <c r="BJ456" s="135"/>
      <c r="BK456" s="135"/>
      <c r="BL456" s="77">
        <f t="shared" si="150"/>
        <v>0</v>
      </c>
      <c r="BM456" s="78"/>
      <c r="BN456" s="142"/>
      <c r="BO456" s="142"/>
      <c r="BP456" s="77">
        <f t="shared" si="151"/>
        <v>0</v>
      </c>
      <c r="BQ456" s="78"/>
      <c r="BR456" s="142"/>
      <c r="BS456" s="142"/>
      <c r="BT456" s="79">
        <f t="shared" si="152"/>
        <v>0</v>
      </c>
      <c r="BU456" s="75"/>
      <c r="BV456" s="76"/>
      <c r="BW456" s="135"/>
      <c r="BX456" s="135"/>
      <c r="BY456" s="77">
        <f t="shared" si="153"/>
        <v>0</v>
      </c>
      <c r="BZ456" s="78"/>
      <c r="CA456" s="142"/>
      <c r="CB456" s="142"/>
      <c r="CC456" s="77">
        <f t="shared" si="154"/>
        <v>0</v>
      </c>
      <c r="CD456" s="78"/>
      <c r="CE456" s="142"/>
      <c r="CF456" s="142"/>
      <c r="CG456" s="79">
        <f t="shared" si="155"/>
        <v>0</v>
      </c>
      <c r="CH456" s="75"/>
      <c r="CI456" s="76"/>
      <c r="CJ456" s="86"/>
      <c r="CK456" s="86"/>
      <c r="CL456" s="77">
        <f t="shared" si="156"/>
        <v>0</v>
      </c>
      <c r="CM456" s="78"/>
      <c r="CN456" s="85"/>
      <c r="CO456" s="85"/>
      <c r="CP456" s="77">
        <f t="shared" si="157"/>
        <v>0</v>
      </c>
      <c r="CQ456" s="78"/>
      <c r="CR456" s="85"/>
      <c r="CS456" s="85"/>
      <c r="CT456" s="79">
        <f t="shared" si="158"/>
        <v>0</v>
      </c>
      <c r="CU456" s="80">
        <f t="shared" si="168"/>
        <v>0</v>
      </c>
      <c r="CV456" s="81">
        <f t="shared" si="169"/>
        <v>0</v>
      </c>
      <c r="CW456" s="144"/>
      <c r="CX456" s="145">
        <f>IF(ISERROR(VLOOKUP($A456,FIJOS!$B$11:$O$590,14,FALSE)),0,VLOOKUP($A456,FIJOS!$B$11:$O$590,14,FALSE))</f>
        <v>0</v>
      </c>
      <c r="CY456" s="145">
        <f>IF(ISERROR(VLOOKUP(A456,FIJOS!$B$10:$P$590,15,FALSE)),0,VLOOKUP(A456,FIJOS!$B$10:$P$590,15,FALSE))</f>
        <v>0</v>
      </c>
      <c r="CZ456" s="155"/>
      <c r="DA456" s="147"/>
      <c r="DB456" s="147"/>
      <c r="DC456" s="147"/>
      <c r="DD456" s="147"/>
      <c r="DE456" s="147"/>
      <c r="DF456" s="145">
        <f>IF(ISERROR(VLOOKUP($A456,FIJOS!$B$11:$N$590,13,FALSE)),0,VLOOKUP($A456,FIJOS!$B$11:$N$590,13,FALSE))</f>
        <v>0</v>
      </c>
      <c r="DG456" s="145">
        <f>IF(ISERROR(VLOOKUP($A456,FIJOS!$B$11:$P$447,12,FALSE)),0,VLOOKUP($A456,FIJOS!$B$11:$P$447,12,FALSE))</f>
        <v>0</v>
      </c>
      <c r="DH456" s="82">
        <f t="shared" si="242"/>
        <v>0</v>
      </c>
      <c r="DI456" s="83" t="b">
        <f>IF($C456=1,(VLOOKUP($A456,FIJOS!$B$11:$P$545,10,FALSE)/7)*(7-$CU456),IF(AND($C456=2,CV456&lt;$DJ$1),(VLOOKUP($D456,HORAS!$B$4:$C$42,2,FALSE)*24)*$CV456,IF(AND($C456=2,CV456&gt;=$DJ$1),VLOOKUP($D456,HORAS!$B$4:$D$42,3,FALSE),IF(AND($C456=3,$CV456&gt;=$DJ$1),VLOOKUP($A456,FIJOS!$B$11:$P$545,10,FALSE),IF(AND($C456=3,$CV456&lt;$DJ$1),((VLOOKUP($A456,FIJOS!$B$11:$P$545,10,FALSE)/48)*24)*$CV456,IF(AND($C456=4,$CV456&gt;=(42/24)),VLOOKUP($D456,HORAS!$B$4:$D$42,3,FALSE),IF(AND($C456=5,$CV456&gt;=(36/24)),VLOOKUP($D456,HORAS!$B$4:$D$42,3,FALSE))))))))</f>
        <v>0</v>
      </c>
      <c r="DJ456" s="145">
        <f>IF(OR($C456=2),VLOOKUP($D456,HORAS!$B$4:$E$42,4,FALSE)*$EC456,IF(ISERROR(VLOOKUP($A456,FIJOS!$B$11:$P$108,9,FALSE)),0,VLOOKUP($A456,FIJOS!$B$11:$P$231,9,FALSE)*$EC456))</f>
        <v>0</v>
      </c>
      <c r="DK456" s="145">
        <f>IF(OR($C456=2),VLOOKUP($D456,HORAS!$B$4:$F$42,5,FALSE)*$EE456,IF(ISERROR(VLOOKUP($A456,FIJOS!$B$11:$P$108,9,FALSE)),0,VLOOKUP($A456,FIJOS!$B$11:$P$231,9,FALSE)*$EE456))</f>
        <v>0</v>
      </c>
      <c r="DL456" s="144"/>
      <c r="DM456" s="145">
        <f>IF(ISERROR(VLOOKUP($A456,FIJOS!$B$11:$L$646,11,FALSE)),0,VLOOKUP($A456,FIJOS!$B$11:$L$646,11,FALSE))</f>
        <v>0</v>
      </c>
      <c r="DN456" s="148" t="e">
        <f>IF(OR($C456=1,$C456=3),0,IF((VLOOKUP(CAPTURA!D456,HORAS!$B$4:$K$42,10,FALSE)/4)*COUNTIF($H456:$CT456,3)&gt;100,100,(VLOOKUP(CAPTURA!D456,HORAS!$B$4:$K$42,10,FALSE)/4)*COUNTIF($H456:$CT456,3)))</f>
        <v>#N/A</v>
      </c>
      <c r="DO456" s="144" t="e">
        <f>IF(OR($C456=1,$C456=3),0,IF($C456=5,VLOOKUP(D456,HORAS!$B$4:$G$42,6,FALSE),IF(AND($C456=4,$CV456&gt;=(42/24)),VLOOKUP(D456,HORAS!$B$4:$G$42,6,FALSE),IF(COUNTIF($H456:$CL456,"F")&gt;0,0,IF(CV456&gt;$DJ$1,$DJ$1*(VLOOKUP(D456,HORAS!$B$4:$G$42,6,FALSE)/$DJ$1),CV456*(VLOOKUP(D456,HORAS!$B$4:$G$42,6,FALSE)/$DJ$1))))))</f>
        <v>#N/A</v>
      </c>
      <c r="DP456" s="156"/>
      <c r="DQ456" s="148"/>
      <c r="DR456" s="148"/>
      <c r="DS456" s="83" t="e">
        <f t="shared" si="162"/>
        <v>#N/A</v>
      </c>
      <c r="DT456" s="84"/>
      <c r="DU456" s="149" t="e">
        <f t="shared" si="243"/>
        <v>#N/A</v>
      </c>
      <c r="DV456" s="149" t="e">
        <f t="shared" si="244"/>
        <v>#N/A</v>
      </c>
      <c r="DW456" s="144" t="e">
        <f t="shared" si="245"/>
        <v>#N/A</v>
      </c>
      <c r="DX456" s="168"/>
      <c r="DY456" s="29"/>
      <c r="DZ456" s="150"/>
      <c r="EA456" s="134"/>
      <c r="EB456" s="137">
        <f t="shared" si="246"/>
        <v>0</v>
      </c>
      <c r="EC456" s="138">
        <f t="shared" si="247"/>
        <v>0</v>
      </c>
      <c r="ED456" s="137">
        <f t="shared" si="248"/>
        <v>0</v>
      </c>
      <c r="EE456" s="132">
        <f t="shared" si="249"/>
        <v>0</v>
      </c>
      <c r="EF456" s="29"/>
      <c r="EG456" s="134"/>
      <c r="EH456" s="134"/>
      <c r="EI456" s="134"/>
      <c r="EK456" s="29"/>
    </row>
    <row r="457" spans="1:141" ht="15" customHeight="1" x14ac:dyDescent="0.25">
      <c r="A457" s="87"/>
      <c r="B457" s="5"/>
      <c r="C457" s="72"/>
      <c r="D457" s="73"/>
      <c r="E457" s="73"/>
      <c r="F457" s="141"/>
      <c r="G457" s="74"/>
      <c r="H457" s="75"/>
      <c r="I457" s="76"/>
      <c r="J457" s="135"/>
      <c r="K457" s="135"/>
      <c r="L457" s="77">
        <f t="shared" si="138"/>
        <v>0</v>
      </c>
      <c r="M457" s="78"/>
      <c r="N457" s="142"/>
      <c r="O457" s="142"/>
      <c r="P457" s="77">
        <f t="shared" si="139"/>
        <v>0</v>
      </c>
      <c r="Q457" s="78"/>
      <c r="R457" s="143"/>
      <c r="S457" s="143"/>
      <c r="T457" s="77">
        <f t="shared" si="140"/>
        <v>0</v>
      </c>
      <c r="U457" s="75"/>
      <c r="V457" s="76"/>
      <c r="W457" s="135"/>
      <c r="X457" s="135"/>
      <c r="Y457" s="77">
        <f t="shared" si="141"/>
        <v>0</v>
      </c>
      <c r="Z457" s="78"/>
      <c r="AA457" s="142"/>
      <c r="AB457" s="142"/>
      <c r="AC457" s="77">
        <f t="shared" si="142"/>
        <v>0</v>
      </c>
      <c r="AD457" s="78"/>
      <c r="AE457" s="143"/>
      <c r="AF457" s="143"/>
      <c r="AG457" s="79">
        <f t="shared" si="143"/>
        <v>0</v>
      </c>
      <c r="AH457" s="75"/>
      <c r="AI457" s="76"/>
      <c r="AJ457" s="135"/>
      <c r="AK457" s="135"/>
      <c r="AL457" s="77">
        <f t="shared" si="144"/>
        <v>0</v>
      </c>
      <c r="AM457" s="76"/>
      <c r="AN457" s="142"/>
      <c r="AO457" s="142"/>
      <c r="AP457" s="77">
        <f t="shared" si="145"/>
        <v>0</v>
      </c>
      <c r="AQ457" s="78"/>
      <c r="AR457" s="142"/>
      <c r="AS457" s="142"/>
      <c r="AT457" s="79">
        <f t="shared" si="146"/>
        <v>0</v>
      </c>
      <c r="AU457" s="75"/>
      <c r="AV457" s="76"/>
      <c r="AW457" s="135"/>
      <c r="AX457" s="135"/>
      <c r="AY457" s="77">
        <f t="shared" si="147"/>
        <v>0</v>
      </c>
      <c r="AZ457" s="76"/>
      <c r="BA457" s="142"/>
      <c r="BB457" s="142"/>
      <c r="BC457" s="77">
        <f t="shared" si="148"/>
        <v>0</v>
      </c>
      <c r="BD457" s="78"/>
      <c r="BE457" s="142"/>
      <c r="BF457" s="142"/>
      <c r="BG457" s="79">
        <f t="shared" si="149"/>
        <v>0</v>
      </c>
      <c r="BH457" s="75"/>
      <c r="BI457" s="76"/>
      <c r="BJ457" s="135"/>
      <c r="BK457" s="135"/>
      <c r="BL457" s="77">
        <f t="shared" si="150"/>
        <v>0</v>
      </c>
      <c r="BM457" s="78"/>
      <c r="BN457" s="142"/>
      <c r="BO457" s="142"/>
      <c r="BP457" s="77">
        <f t="shared" si="151"/>
        <v>0</v>
      </c>
      <c r="BQ457" s="78"/>
      <c r="BR457" s="142"/>
      <c r="BS457" s="142"/>
      <c r="BT457" s="79">
        <f t="shared" si="152"/>
        <v>0</v>
      </c>
      <c r="BU457" s="75"/>
      <c r="BV457" s="76"/>
      <c r="BW457" s="135"/>
      <c r="BX457" s="135"/>
      <c r="BY457" s="77">
        <f t="shared" si="153"/>
        <v>0</v>
      </c>
      <c r="BZ457" s="78"/>
      <c r="CA457" s="142"/>
      <c r="CB457" s="142"/>
      <c r="CC457" s="77">
        <f t="shared" si="154"/>
        <v>0</v>
      </c>
      <c r="CD457" s="78"/>
      <c r="CE457" s="142"/>
      <c r="CF457" s="142"/>
      <c r="CG457" s="79">
        <f t="shared" si="155"/>
        <v>0</v>
      </c>
      <c r="CH457" s="75"/>
      <c r="CI457" s="76"/>
      <c r="CJ457" s="86"/>
      <c r="CK457" s="86"/>
      <c r="CL457" s="77">
        <f t="shared" si="156"/>
        <v>0</v>
      </c>
      <c r="CM457" s="78"/>
      <c r="CN457" s="85"/>
      <c r="CO457" s="85"/>
      <c r="CP457" s="77">
        <f t="shared" si="157"/>
        <v>0</v>
      </c>
      <c r="CQ457" s="78"/>
      <c r="CR457" s="85"/>
      <c r="CS457" s="85"/>
      <c r="CT457" s="79">
        <f t="shared" si="158"/>
        <v>0</v>
      </c>
      <c r="CU457" s="80">
        <f t="shared" si="168"/>
        <v>0</v>
      </c>
      <c r="CV457" s="81">
        <f t="shared" si="169"/>
        <v>0</v>
      </c>
      <c r="CW457" s="144"/>
      <c r="CX457" s="145">
        <f>IF(ISERROR(VLOOKUP($A457,FIJOS!$B$11:$O$590,14,FALSE)),0,VLOOKUP($A457,FIJOS!$B$11:$O$590,14,FALSE))</f>
        <v>0</v>
      </c>
      <c r="CY457" s="145">
        <f>IF(ISERROR(VLOOKUP(A457,FIJOS!$B$10:$P$590,15,FALSE)),0,VLOOKUP(A457,FIJOS!$B$10:$P$590,15,FALSE))</f>
        <v>0</v>
      </c>
      <c r="CZ457" s="155"/>
      <c r="DA457" s="147"/>
      <c r="DB457" s="147"/>
      <c r="DC457" s="147"/>
      <c r="DD457" s="147"/>
      <c r="DE457" s="147"/>
      <c r="DF457" s="145">
        <f>IF(ISERROR(VLOOKUP($A457,FIJOS!$B$11:$N$590,13,FALSE)),0,VLOOKUP($A457,FIJOS!$B$11:$N$590,13,FALSE))</f>
        <v>0</v>
      </c>
      <c r="DG457" s="145">
        <f>IF(ISERROR(VLOOKUP($A457,FIJOS!$B$11:$P$447,12,FALSE)),0,VLOOKUP($A457,FIJOS!$B$11:$P$447,12,FALSE))</f>
        <v>0</v>
      </c>
      <c r="DH457" s="82">
        <f t="shared" si="242"/>
        <v>0</v>
      </c>
      <c r="DI457" s="83" t="b">
        <f>IF($C457=1,(VLOOKUP($A457,FIJOS!$B$11:$P$545,10,FALSE)/7)*(7-$CU457),IF(AND($C457=2,CV457&lt;$DJ$1),(VLOOKUP($D457,HORAS!$B$4:$C$42,2,FALSE)*24)*$CV457,IF(AND($C457=2,CV457&gt;=$DJ$1),VLOOKUP($D457,HORAS!$B$4:$D$42,3,FALSE),IF(AND($C457=3,$CV457&gt;=$DJ$1),VLOOKUP($A457,FIJOS!$B$11:$P$545,10,FALSE),IF(AND($C457=3,$CV457&lt;$DJ$1),((VLOOKUP($A457,FIJOS!$B$11:$P$545,10,FALSE)/48)*24)*$CV457,IF(AND($C457=4,$CV457&gt;=(42/24)),VLOOKUP($D457,HORAS!$B$4:$D$42,3,FALSE),IF(AND($C457=5,$CV457&gt;=(36/24)),VLOOKUP($D457,HORAS!$B$4:$D$42,3,FALSE))))))))</f>
        <v>0</v>
      </c>
      <c r="DJ457" s="145">
        <f>IF(OR($C457=2),VLOOKUP($D457,HORAS!$B$4:$E$42,4,FALSE)*$EC457,IF(ISERROR(VLOOKUP($A457,FIJOS!$B$11:$P$108,9,FALSE)),0,VLOOKUP($A457,FIJOS!$B$11:$P$231,9,FALSE)*$EC457))</f>
        <v>0</v>
      </c>
      <c r="DK457" s="145">
        <f>IF(OR($C457=2),VLOOKUP($D457,HORAS!$B$4:$F$42,5,FALSE)*$EE457,IF(ISERROR(VLOOKUP($A457,FIJOS!$B$11:$P$108,9,FALSE)),0,VLOOKUP($A457,FIJOS!$B$11:$P$231,9,FALSE)*$EE457))</f>
        <v>0</v>
      </c>
      <c r="DL457" s="144"/>
      <c r="DM457" s="145">
        <f>IF(ISERROR(VLOOKUP($A457,FIJOS!$B$11:$L$646,11,FALSE)),0,VLOOKUP($A457,FIJOS!$B$11:$L$646,11,FALSE))</f>
        <v>0</v>
      </c>
      <c r="DN457" s="148" t="e">
        <f>IF(OR($C457=1,$C457=3),0,IF((VLOOKUP(CAPTURA!D457,HORAS!$B$4:$K$42,10,FALSE)/4)*COUNTIF($H457:$CT457,3)&gt;100,100,(VLOOKUP(CAPTURA!D457,HORAS!$B$4:$K$42,10,FALSE)/4)*COUNTIF($H457:$CT457,3)))</f>
        <v>#N/A</v>
      </c>
      <c r="DO457" s="144" t="e">
        <f>IF(OR($C457=1,$C457=3),0,IF($C457=5,VLOOKUP(D457,HORAS!$B$4:$G$42,6,FALSE),IF(AND($C457=4,$CV457&gt;=(42/24)),VLOOKUP(D457,HORAS!$B$4:$G$42,6,FALSE),IF(COUNTIF($H457:$CL457,"F")&gt;0,0,IF(CV457&gt;$DJ$1,$DJ$1*(VLOOKUP(D457,HORAS!$B$4:$G$42,6,FALSE)/$DJ$1),CV457*(VLOOKUP(D457,HORAS!$B$4:$G$42,6,FALSE)/$DJ$1))))))</f>
        <v>#N/A</v>
      </c>
      <c r="DP457" s="156"/>
      <c r="DQ457" s="148"/>
      <c r="DR457" s="148"/>
      <c r="DS457" s="83" t="e">
        <f t="shared" si="162"/>
        <v>#N/A</v>
      </c>
      <c r="DT457" s="84"/>
      <c r="DU457" s="149" t="e">
        <f t="shared" si="243"/>
        <v>#N/A</v>
      </c>
      <c r="DV457" s="149" t="e">
        <f t="shared" si="244"/>
        <v>#N/A</v>
      </c>
      <c r="DW457" s="144" t="e">
        <f t="shared" si="245"/>
        <v>#N/A</v>
      </c>
      <c r="DX457" s="168"/>
      <c r="DY457" s="29"/>
      <c r="DZ457" s="150"/>
      <c r="EA457" s="134"/>
      <c r="EB457" s="137">
        <f t="shared" si="246"/>
        <v>0</v>
      </c>
      <c r="EC457" s="138">
        <f t="shared" si="247"/>
        <v>0</v>
      </c>
      <c r="ED457" s="137">
        <f t="shared" si="248"/>
        <v>0</v>
      </c>
      <c r="EE457" s="132">
        <f t="shared" si="249"/>
        <v>0</v>
      </c>
      <c r="EF457" s="29"/>
      <c r="EG457" s="134"/>
      <c r="EH457" s="134"/>
      <c r="EI457" s="134"/>
      <c r="EK457" s="29"/>
    </row>
    <row r="458" spans="1:141" ht="15" customHeight="1" x14ac:dyDescent="0.25">
      <c r="A458" s="87"/>
      <c r="B458" s="5"/>
      <c r="C458" s="72"/>
      <c r="D458" s="73"/>
      <c r="E458" s="73"/>
      <c r="F458" s="141"/>
      <c r="G458" s="74"/>
      <c r="H458" s="75"/>
      <c r="I458" s="76"/>
      <c r="J458" s="135"/>
      <c r="K458" s="135"/>
      <c r="L458" s="77">
        <f t="shared" si="138"/>
        <v>0</v>
      </c>
      <c r="M458" s="78"/>
      <c r="N458" s="142"/>
      <c r="O458" s="142"/>
      <c r="P458" s="77">
        <f t="shared" si="139"/>
        <v>0</v>
      </c>
      <c r="Q458" s="78"/>
      <c r="R458" s="143"/>
      <c r="S458" s="143"/>
      <c r="T458" s="77">
        <f t="shared" si="140"/>
        <v>0</v>
      </c>
      <c r="U458" s="75"/>
      <c r="V458" s="76"/>
      <c r="W458" s="135"/>
      <c r="X458" s="135"/>
      <c r="Y458" s="77">
        <f t="shared" si="141"/>
        <v>0</v>
      </c>
      <c r="Z458" s="78"/>
      <c r="AA458" s="142"/>
      <c r="AB458" s="142"/>
      <c r="AC458" s="77">
        <f t="shared" si="142"/>
        <v>0</v>
      </c>
      <c r="AD458" s="78"/>
      <c r="AE458" s="143"/>
      <c r="AF458" s="143"/>
      <c r="AG458" s="79">
        <f t="shared" si="143"/>
        <v>0</v>
      </c>
      <c r="AH458" s="75"/>
      <c r="AI458" s="76"/>
      <c r="AJ458" s="135"/>
      <c r="AK458" s="135"/>
      <c r="AL458" s="77">
        <f t="shared" si="144"/>
        <v>0</v>
      </c>
      <c r="AM458" s="76"/>
      <c r="AN458" s="142"/>
      <c r="AO458" s="142"/>
      <c r="AP458" s="77">
        <f t="shared" si="145"/>
        <v>0</v>
      </c>
      <c r="AQ458" s="78"/>
      <c r="AR458" s="142"/>
      <c r="AS458" s="142"/>
      <c r="AT458" s="79">
        <f t="shared" si="146"/>
        <v>0</v>
      </c>
      <c r="AU458" s="75"/>
      <c r="AV458" s="76"/>
      <c r="AW458" s="135"/>
      <c r="AX458" s="135"/>
      <c r="AY458" s="77">
        <f t="shared" si="147"/>
        <v>0</v>
      </c>
      <c r="AZ458" s="76"/>
      <c r="BA458" s="142"/>
      <c r="BB458" s="142"/>
      <c r="BC458" s="77">
        <f t="shared" si="148"/>
        <v>0</v>
      </c>
      <c r="BD458" s="78"/>
      <c r="BE458" s="142"/>
      <c r="BF458" s="142"/>
      <c r="BG458" s="79">
        <f t="shared" si="149"/>
        <v>0</v>
      </c>
      <c r="BH458" s="75"/>
      <c r="BI458" s="76"/>
      <c r="BJ458" s="135"/>
      <c r="BK458" s="135"/>
      <c r="BL458" s="77">
        <f t="shared" si="150"/>
        <v>0</v>
      </c>
      <c r="BM458" s="78"/>
      <c r="BN458" s="142"/>
      <c r="BO458" s="142"/>
      <c r="BP458" s="77">
        <f t="shared" si="151"/>
        <v>0</v>
      </c>
      <c r="BQ458" s="78"/>
      <c r="BR458" s="142"/>
      <c r="BS458" s="142"/>
      <c r="BT458" s="79">
        <f t="shared" si="152"/>
        <v>0</v>
      </c>
      <c r="BU458" s="75"/>
      <c r="BV458" s="76"/>
      <c r="BW458" s="135"/>
      <c r="BX458" s="135"/>
      <c r="BY458" s="77">
        <f t="shared" si="153"/>
        <v>0</v>
      </c>
      <c r="BZ458" s="78"/>
      <c r="CA458" s="142"/>
      <c r="CB458" s="142"/>
      <c r="CC458" s="77">
        <f t="shared" si="154"/>
        <v>0</v>
      </c>
      <c r="CD458" s="78"/>
      <c r="CE458" s="142"/>
      <c r="CF458" s="142"/>
      <c r="CG458" s="79">
        <f t="shared" si="155"/>
        <v>0</v>
      </c>
      <c r="CH458" s="75"/>
      <c r="CI458" s="76"/>
      <c r="CJ458" s="86"/>
      <c r="CK458" s="86"/>
      <c r="CL458" s="77">
        <f t="shared" si="156"/>
        <v>0</v>
      </c>
      <c r="CM458" s="78"/>
      <c r="CN458" s="85"/>
      <c r="CO458" s="85"/>
      <c r="CP458" s="77">
        <f t="shared" si="157"/>
        <v>0</v>
      </c>
      <c r="CQ458" s="78"/>
      <c r="CR458" s="85"/>
      <c r="CS458" s="85"/>
      <c r="CT458" s="79">
        <f t="shared" si="158"/>
        <v>0</v>
      </c>
      <c r="CU458" s="80">
        <f t="shared" si="168"/>
        <v>0</v>
      </c>
      <c r="CV458" s="81">
        <f t="shared" si="169"/>
        <v>0</v>
      </c>
      <c r="CW458" s="144"/>
      <c r="CX458" s="145">
        <f>IF(ISERROR(VLOOKUP($A458,FIJOS!$B$11:$O$590,14,FALSE)),0,VLOOKUP($A458,FIJOS!$B$11:$O$590,14,FALSE))</f>
        <v>0</v>
      </c>
      <c r="CY458" s="145">
        <f>IF(ISERROR(VLOOKUP(A458,FIJOS!$B$10:$P$590,15,FALSE)),0,VLOOKUP(A458,FIJOS!$B$10:$P$590,15,FALSE))</f>
        <v>0</v>
      </c>
      <c r="CZ458" s="155"/>
      <c r="DA458" s="147"/>
      <c r="DB458" s="147"/>
      <c r="DC458" s="147"/>
      <c r="DD458" s="147"/>
      <c r="DE458" s="147"/>
      <c r="DF458" s="145">
        <f>IF(ISERROR(VLOOKUP($A458,FIJOS!$B$11:$N$590,13,FALSE)),0,VLOOKUP($A458,FIJOS!$B$11:$N$590,13,FALSE))</f>
        <v>0</v>
      </c>
      <c r="DG458" s="145">
        <f>IF(ISERROR(VLOOKUP($A458,FIJOS!$B$11:$P$447,12,FALSE)),0,VLOOKUP($A458,FIJOS!$B$11:$P$447,12,FALSE))</f>
        <v>0</v>
      </c>
      <c r="DH458" s="82">
        <f t="shared" si="242"/>
        <v>0</v>
      </c>
      <c r="DI458" s="83" t="b">
        <f>IF($C458=1,(VLOOKUP($A458,FIJOS!$B$11:$P$545,10,FALSE)/7)*(7-$CU458),IF(AND($C458=2,CV458&lt;$DJ$1),(VLOOKUP($D458,HORAS!$B$4:$C$42,2,FALSE)*24)*$CV458,IF(AND($C458=2,CV458&gt;=$DJ$1),VLOOKUP($D458,HORAS!$B$4:$D$42,3,FALSE),IF(AND($C458=3,$CV458&gt;=$DJ$1),VLOOKUP($A458,FIJOS!$B$11:$P$545,10,FALSE),IF(AND($C458=3,$CV458&lt;$DJ$1),((VLOOKUP($A458,FIJOS!$B$11:$P$545,10,FALSE)/48)*24)*$CV458,IF(AND($C458=4,$CV458&gt;=(42/24)),VLOOKUP($D458,HORAS!$B$4:$D$42,3,FALSE),IF(AND($C458=5,$CV458&gt;=(36/24)),VLOOKUP($D458,HORAS!$B$4:$D$42,3,FALSE))))))))</f>
        <v>0</v>
      </c>
      <c r="DJ458" s="145">
        <f>IF(OR($C458=2),VLOOKUP($D458,HORAS!$B$4:$E$42,4,FALSE)*$EC458,IF(ISERROR(VLOOKUP($A458,FIJOS!$B$11:$P$108,9,FALSE)),0,VLOOKUP($A458,FIJOS!$B$11:$P$231,9,FALSE)*$EC458))</f>
        <v>0</v>
      </c>
      <c r="DK458" s="145">
        <f>IF(OR($C458=2),VLOOKUP($D458,HORAS!$B$4:$F$42,5,FALSE)*$EE458,IF(ISERROR(VLOOKUP($A458,FIJOS!$B$11:$P$108,9,FALSE)),0,VLOOKUP($A458,FIJOS!$B$11:$P$231,9,FALSE)*$EE458))</f>
        <v>0</v>
      </c>
      <c r="DL458" s="144"/>
      <c r="DM458" s="145">
        <f>IF(ISERROR(VLOOKUP($A458,FIJOS!$B$11:$L$646,11,FALSE)),0,VLOOKUP($A458,FIJOS!$B$11:$L$646,11,FALSE))</f>
        <v>0</v>
      </c>
      <c r="DN458" s="148" t="e">
        <f>IF(OR($C458=1,$C458=3),0,IF((VLOOKUP(CAPTURA!D458,HORAS!$B$4:$K$42,10,FALSE)/4)*COUNTIF($H458:$CT458,3)&gt;100,100,(VLOOKUP(CAPTURA!D458,HORAS!$B$4:$K$42,10,FALSE)/4)*COUNTIF($H458:$CT458,3)))</f>
        <v>#N/A</v>
      </c>
      <c r="DO458" s="144" t="e">
        <f>IF(OR($C458=1,$C458=3),0,IF($C458=5,VLOOKUP(D458,HORAS!$B$4:$G$42,6,FALSE),IF(AND($C458=4,$CV458&gt;=(42/24)),VLOOKUP(D458,HORAS!$B$4:$G$42,6,FALSE),IF(COUNTIF($H458:$CL458,"F")&gt;0,0,IF(CV458&gt;$DJ$1,$DJ$1*(VLOOKUP(D458,HORAS!$B$4:$G$42,6,FALSE)/$DJ$1),CV458*(VLOOKUP(D458,HORAS!$B$4:$G$42,6,FALSE)/$DJ$1))))))</f>
        <v>#N/A</v>
      </c>
      <c r="DP458" s="156"/>
      <c r="DQ458" s="148"/>
      <c r="DR458" s="148"/>
      <c r="DS458" s="83" t="e">
        <f t="shared" si="162"/>
        <v>#N/A</v>
      </c>
      <c r="DT458" s="84"/>
      <c r="DU458" s="149" t="e">
        <f t="shared" si="243"/>
        <v>#N/A</v>
      </c>
      <c r="DV458" s="149" t="e">
        <f t="shared" si="244"/>
        <v>#N/A</v>
      </c>
      <c r="DW458" s="144" t="e">
        <f t="shared" si="245"/>
        <v>#N/A</v>
      </c>
      <c r="DX458" s="168"/>
      <c r="DY458" s="29"/>
      <c r="DZ458" s="150"/>
      <c r="EA458" s="134"/>
      <c r="EB458" s="137">
        <f t="shared" si="246"/>
        <v>0</v>
      </c>
      <c r="EC458" s="138">
        <f t="shared" si="247"/>
        <v>0</v>
      </c>
      <c r="ED458" s="137">
        <f t="shared" si="248"/>
        <v>0</v>
      </c>
      <c r="EE458" s="132">
        <f t="shared" si="249"/>
        <v>0</v>
      </c>
      <c r="EF458" s="29"/>
      <c r="EG458" s="134"/>
      <c r="EH458" s="134"/>
      <c r="EI458" s="134"/>
      <c r="EK458" s="29"/>
    </row>
    <row r="459" spans="1:141" ht="15" customHeight="1" x14ac:dyDescent="0.25">
      <c r="A459" s="87"/>
      <c r="B459" s="5"/>
      <c r="C459" s="72"/>
      <c r="D459" s="73"/>
      <c r="E459" s="73"/>
      <c r="F459" s="141"/>
      <c r="G459" s="74"/>
      <c r="H459" s="75"/>
      <c r="I459" s="76"/>
      <c r="J459" s="135"/>
      <c r="K459" s="135"/>
      <c r="L459" s="77">
        <f t="shared" si="138"/>
        <v>0</v>
      </c>
      <c r="M459" s="78"/>
      <c r="N459" s="142"/>
      <c r="O459" s="142"/>
      <c r="P459" s="77">
        <f t="shared" si="139"/>
        <v>0</v>
      </c>
      <c r="Q459" s="78"/>
      <c r="R459" s="143"/>
      <c r="S459" s="143"/>
      <c r="T459" s="77">
        <f t="shared" si="140"/>
        <v>0</v>
      </c>
      <c r="U459" s="75"/>
      <c r="V459" s="76"/>
      <c r="W459" s="135"/>
      <c r="X459" s="135"/>
      <c r="Y459" s="77">
        <f t="shared" si="141"/>
        <v>0</v>
      </c>
      <c r="Z459" s="78"/>
      <c r="AA459" s="142"/>
      <c r="AB459" s="142"/>
      <c r="AC459" s="77">
        <f t="shared" si="142"/>
        <v>0</v>
      </c>
      <c r="AD459" s="78"/>
      <c r="AE459" s="143"/>
      <c r="AF459" s="143"/>
      <c r="AG459" s="79">
        <f t="shared" si="143"/>
        <v>0</v>
      </c>
      <c r="AH459" s="75"/>
      <c r="AI459" s="76"/>
      <c r="AJ459" s="135"/>
      <c r="AK459" s="135"/>
      <c r="AL459" s="77">
        <f t="shared" si="144"/>
        <v>0</v>
      </c>
      <c r="AM459" s="76"/>
      <c r="AN459" s="142"/>
      <c r="AO459" s="142"/>
      <c r="AP459" s="77">
        <f t="shared" si="145"/>
        <v>0</v>
      </c>
      <c r="AQ459" s="78"/>
      <c r="AR459" s="142"/>
      <c r="AS459" s="142"/>
      <c r="AT459" s="79">
        <f t="shared" si="146"/>
        <v>0</v>
      </c>
      <c r="AU459" s="75"/>
      <c r="AV459" s="76"/>
      <c r="AW459" s="135"/>
      <c r="AX459" s="135"/>
      <c r="AY459" s="77">
        <f t="shared" si="147"/>
        <v>0</v>
      </c>
      <c r="AZ459" s="76"/>
      <c r="BA459" s="142"/>
      <c r="BB459" s="142"/>
      <c r="BC459" s="77">
        <f t="shared" si="148"/>
        <v>0</v>
      </c>
      <c r="BD459" s="78"/>
      <c r="BE459" s="142"/>
      <c r="BF459" s="142"/>
      <c r="BG459" s="79">
        <f t="shared" si="149"/>
        <v>0</v>
      </c>
      <c r="BH459" s="75"/>
      <c r="BI459" s="76"/>
      <c r="BJ459" s="135"/>
      <c r="BK459" s="135"/>
      <c r="BL459" s="77">
        <f t="shared" si="150"/>
        <v>0</v>
      </c>
      <c r="BM459" s="78"/>
      <c r="BN459" s="142"/>
      <c r="BO459" s="142"/>
      <c r="BP459" s="77">
        <f t="shared" si="151"/>
        <v>0</v>
      </c>
      <c r="BQ459" s="78"/>
      <c r="BR459" s="142"/>
      <c r="BS459" s="142"/>
      <c r="BT459" s="79">
        <f t="shared" si="152"/>
        <v>0</v>
      </c>
      <c r="BU459" s="75"/>
      <c r="BV459" s="76"/>
      <c r="BW459" s="135"/>
      <c r="BX459" s="135"/>
      <c r="BY459" s="77">
        <f t="shared" si="153"/>
        <v>0</v>
      </c>
      <c r="BZ459" s="78"/>
      <c r="CA459" s="142"/>
      <c r="CB459" s="142"/>
      <c r="CC459" s="77">
        <f t="shared" si="154"/>
        <v>0</v>
      </c>
      <c r="CD459" s="78"/>
      <c r="CE459" s="142"/>
      <c r="CF459" s="142"/>
      <c r="CG459" s="79">
        <f t="shared" si="155"/>
        <v>0</v>
      </c>
      <c r="CH459" s="75"/>
      <c r="CI459" s="76"/>
      <c r="CJ459" s="86"/>
      <c r="CK459" s="86"/>
      <c r="CL459" s="77">
        <f t="shared" si="156"/>
        <v>0</v>
      </c>
      <c r="CM459" s="78"/>
      <c r="CN459" s="85"/>
      <c r="CO459" s="85"/>
      <c r="CP459" s="77">
        <f t="shared" si="157"/>
        <v>0</v>
      </c>
      <c r="CQ459" s="78"/>
      <c r="CR459" s="85"/>
      <c r="CS459" s="85"/>
      <c r="CT459" s="79">
        <f t="shared" si="158"/>
        <v>0</v>
      </c>
      <c r="CU459" s="80">
        <f t="shared" si="168"/>
        <v>0</v>
      </c>
      <c r="CV459" s="81">
        <f t="shared" si="169"/>
        <v>0</v>
      </c>
      <c r="CW459" s="144"/>
      <c r="CX459" s="145">
        <f>IF(ISERROR(VLOOKUP($A459,FIJOS!$B$11:$O$590,14,FALSE)),0,VLOOKUP($A459,FIJOS!$B$11:$O$590,14,FALSE))</f>
        <v>0</v>
      </c>
      <c r="CY459" s="145">
        <f>IF(ISERROR(VLOOKUP(A459,FIJOS!$B$10:$P$590,15,FALSE)),0,VLOOKUP(A459,FIJOS!$B$10:$P$590,15,FALSE))</f>
        <v>0</v>
      </c>
      <c r="CZ459" s="155"/>
      <c r="DA459" s="147"/>
      <c r="DB459" s="147"/>
      <c r="DC459" s="147"/>
      <c r="DD459" s="147"/>
      <c r="DE459" s="147"/>
      <c r="DF459" s="145">
        <f>IF(ISERROR(VLOOKUP($A459,FIJOS!$B$11:$N$590,13,FALSE)),0,VLOOKUP($A459,FIJOS!$B$11:$N$590,13,FALSE))</f>
        <v>0</v>
      </c>
      <c r="DG459" s="145">
        <f>IF(ISERROR(VLOOKUP($A459,FIJOS!$B$11:$P$447,12,FALSE)),0,VLOOKUP($A459,FIJOS!$B$11:$P$447,12,FALSE))</f>
        <v>0</v>
      </c>
      <c r="DH459" s="82">
        <f t="shared" si="242"/>
        <v>0</v>
      </c>
      <c r="DI459" s="83" t="b">
        <f>IF($C459=1,(VLOOKUP($A459,FIJOS!$B$11:$P$545,10,FALSE)/7)*(7-$CU459),IF(AND($C459=2,CV459&lt;$DJ$1),(VLOOKUP($D459,HORAS!$B$4:$C$42,2,FALSE)*24)*$CV459,IF(AND($C459=2,CV459&gt;=$DJ$1),VLOOKUP($D459,HORAS!$B$4:$D$42,3,FALSE),IF(AND($C459=3,$CV459&gt;=$DJ$1),VLOOKUP($A459,FIJOS!$B$11:$P$545,10,FALSE),IF(AND($C459=3,$CV459&lt;$DJ$1),((VLOOKUP($A459,FIJOS!$B$11:$P$545,10,FALSE)/48)*24)*$CV459,IF(AND($C459=4,$CV459&gt;=(42/24)),VLOOKUP($D459,HORAS!$B$4:$D$42,3,FALSE),IF(AND($C459=5,$CV459&gt;=(36/24)),VLOOKUP($D459,HORAS!$B$4:$D$42,3,FALSE))))))))</f>
        <v>0</v>
      </c>
      <c r="DJ459" s="145">
        <f>IF(OR($C459=2),VLOOKUP($D459,HORAS!$B$4:$E$42,4,FALSE)*$EC459,IF(ISERROR(VLOOKUP($A459,FIJOS!$B$11:$P$108,9,FALSE)),0,VLOOKUP($A459,FIJOS!$B$11:$P$231,9,FALSE)*$EC459))</f>
        <v>0</v>
      </c>
      <c r="DK459" s="145">
        <f>IF(OR($C459=2),VLOOKUP($D459,HORAS!$B$4:$F$42,5,FALSE)*$EE459,IF(ISERROR(VLOOKUP($A459,FIJOS!$B$11:$P$108,9,FALSE)),0,VLOOKUP($A459,FIJOS!$B$11:$P$231,9,FALSE)*$EE459))</f>
        <v>0</v>
      </c>
      <c r="DL459" s="144"/>
      <c r="DM459" s="145">
        <f>IF(ISERROR(VLOOKUP($A459,FIJOS!$B$11:$L$646,11,FALSE)),0,VLOOKUP($A459,FIJOS!$B$11:$L$646,11,FALSE))</f>
        <v>0</v>
      </c>
      <c r="DN459" s="148" t="e">
        <f>IF(OR($C459=1,$C459=3),0,IF((VLOOKUP(CAPTURA!D459,HORAS!$B$4:$K$42,10,FALSE)/4)*COUNTIF($H459:$CT459,3)&gt;100,100,(VLOOKUP(CAPTURA!D459,HORAS!$B$4:$K$42,10,FALSE)/4)*COUNTIF($H459:$CT459,3)))</f>
        <v>#N/A</v>
      </c>
      <c r="DO459" s="144" t="e">
        <f>IF(OR($C459=1,$C459=3),0,IF($C459=5,VLOOKUP(D459,HORAS!$B$4:$G$42,6,FALSE),IF(AND($C459=4,$CV459&gt;=(42/24)),VLOOKUP(D459,HORAS!$B$4:$G$42,6,FALSE),IF(COUNTIF($H459:$CL459,"F")&gt;0,0,IF(CV459&gt;$DJ$1,$DJ$1*(VLOOKUP(D459,HORAS!$B$4:$G$42,6,FALSE)/$DJ$1),CV459*(VLOOKUP(D459,HORAS!$B$4:$G$42,6,FALSE)/$DJ$1))))))</f>
        <v>#N/A</v>
      </c>
      <c r="DP459" s="156"/>
      <c r="DQ459" s="148"/>
      <c r="DR459" s="148"/>
      <c r="DS459" s="83" t="e">
        <f t="shared" si="162"/>
        <v>#N/A</v>
      </c>
      <c r="DT459" s="84"/>
      <c r="DU459" s="149" t="e">
        <f t="shared" si="243"/>
        <v>#N/A</v>
      </c>
      <c r="DV459" s="149" t="e">
        <f t="shared" si="244"/>
        <v>#N/A</v>
      </c>
      <c r="DW459" s="144" t="e">
        <f t="shared" si="245"/>
        <v>#N/A</v>
      </c>
      <c r="DX459" s="168"/>
      <c r="DY459" s="29"/>
      <c r="DZ459" s="150"/>
      <c r="EA459" s="134"/>
      <c r="EB459" s="137">
        <f t="shared" si="246"/>
        <v>0</v>
      </c>
      <c r="EC459" s="138">
        <f t="shared" si="247"/>
        <v>0</v>
      </c>
      <c r="ED459" s="137">
        <f t="shared" si="248"/>
        <v>0</v>
      </c>
      <c r="EE459" s="132">
        <f t="shared" si="249"/>
        <v>0</v>
      </c>
      <c r="EF459" s="29"/>
      <c r="EG459" s="134"/>
      <c r="EH459" s="134"/>
      <c r="EI459" s="134"/>
      <c r="EK459" s="29"/>
    </row>
    <row r="460" spans="1:141" ht="15" customHeight="1" x14ac:dyDescent="0.25">
      <c r="A460" s="87"/>
      <c r="B460" s="5"/>
      <c r="C460" s="72"/>
      <c r="D460" s="73"/>
      <c r="E460" s="73"/>
      <c r="F460" s="141"/>
      <c r="G460" s="74"/>
      <c r="H460" s="75"/>
      <c r="I460" s="76"/>
      <c r="J460" s="135"/>
      <c r="K460" s="135"/>
      <c r="L460" s="77">
        <f t="shared" si="138"/>
        <v>0</v>
      </c>
      <c r="M460" s="78"/>
      <c r="N460" s="142"/>
      <c r="O460" s="142"/>
      <c r="P460" s="77">
        <f t="shared" si="139"/>
        <v>0</v>
      </c>
      <c r="Q460" s="78"/>
      <c r="R460" s="143"/>
      <c r="S460" s="143"/>
      <c r="T460" s="77">
        <f t="shared" si="140"/>
        <v>0</v>
      </c>
      <c r="U460" s="75"/>
      <c r="V460" s="76"/>
      <c r="W460" s="135"/>
      <c r="X460" s="135"/>
      <c r="Y460" s="77">
        <f t="shared" si="141"/>
        <v>0</v>
      </c>
      <c r="Z460" s="78"/>
      <c r="AA460" s="142"/>
      <c r="AB460" s="142"/>
      <c r="AC460" s="77">
        <f t="shared" si="142"/>
        <v>0</v>
      </c>
      <c r="AD460" s="78"/>
      <c r="AE460" s="143"/>
      <c r="AF460" s="143"/>
      <c r="AG460" s="79">
        <f t="shared" si="143"/>
        <v>0</v>
      </c>
      <c r="AH460" s="75"/>
      <c r="AI460" s="76"/>
      <c r="AJ460" s="135"/>
      <c r="AK460" s="135"/>
      <c r="AL460" s="77">
        <f t="shared" si="144"/>
        <v>0</v>
      </c>
      <c r="AM460" s="76"/>
      <c r="AN460" s="142"/>
      <c r="AO460" s="142"/>
      <c r="AP460" s="77">
        <f t="shared" si="145"/>
        <v>0</v>
      </c>
      <c r="AQ460" s="78"/>
      <c r="AR460" s="142"/>
      <c r="AS460" s="142"/>
      <c r="AT460" s="79">
        <f t="shared" si="146"/>
        <v>0</v>
      </c>
      <c r="AU460" s="75"/>
      <c r="AV460" s="76"/>
      <c r="AW460" s="135"/>
      <c r="AX460" s="135"/>
      <c r="AY460" s="77">
        <f t="shared" si="147"/>
        <v>0</v>
      </c>
      <c r="AZ460" s="76"/>
      <c r="BA460" s="142"/>
      <c r="BB460" s="142"/>
      <c r="BC460" s="77">
        <f t="shared" si="148"/>
        <v>0</v>
      </c>
      <c r="BD460" s="78"/>
      <c r="BE460" s="142"/>
      <c r="BF460" s="142"/>
      <c r="BG460" s="79">
        <f t="shared" si="149"/>
        <v>0</v>
      </c>
      <c r="BH460" s="75"/>
      <c r="BI460" s="76"/>
      <c r="BJ460" s="135"/>
      <c r="BK460" s="135"/>
      <c r="BL460" s="77">
        <f t="shared" si="150"/>
        <v>0</v>
      </c>
      <c r="BM460" s="78"/>
      <c r="BN460" s="142"/>
      <c r="BO460" s="142"/>
      <c r="BP460" s="77">
        <f t="shared" si="151"/>
        <v>0</v>
      </c>
      <c r="BQ460" s="78"/>
      <c r="BR460" s="142"/>
      <c r="BS460" s="142"/>
      <c r="BT460" s="79">
        <f t="shared" si="152"/>
        <v>0</v>
      </c>
      <c r="BU460" s="75"/>
      <c r="BV460" s="76"/>
      <c r="BW460" s="135"/>
      <c r="BX460" s="135"/>
      <c r="BY460" s="77">
        <f t="shared" si="153"/>
        <v>0</v>
      </c>
      <c r="BZ460" s="78"/>
      <c r="CA460" s="142"/>
      <c r="CB460" s="142"/>
      <c r="CC460" s="77">
        <f t="shared" si="154"/>
        <v>0</v>
      </c>
      <c r="CD460" s="78"/>
      <c r="CE460" s="142"/>
      <c r="CF460" s="142"/>
      <c r="CG460" s="79">
        <f t="shared" si="155"/>
        <v>0</v>
      </c>
      <c r="CH460" s="75"/>
      <c r="CI460" s="76"/>
      <c r="CJ460" s="86"/>
      <c r="CK460" s="86"/>
      <c r="CL460" s="77">
        <f t="shared" si="156"/>
        <v>0</v>
      </c>
      <c r="CM460" s="78"/>
      <c r="CN460" s="85"/>
      <c r="CO460" s="85"/>
      <c r="CP460" s="77">
        <f t="shared" si="157"/>
        <v>0</v>
      </c>
      <c r="CQ460" s="78"/>
      <c r="CR460" s="85"/>
      <c r="CS460" s="85"/>
      <c r="CT460" s="79">
        <f t="shared" si="158"/>
        <v>0</v>
      </c>
      <c r="CU460" s="80">
        <f t="shared" si="168"/>
        <v>0</v>
      </c>
      <c r="CV460" s="81">
        <f t="shared" si="169"/>
        <v>0</v>
      </c>
      <c r="CW460" s="144"/>
      <c r="CX460" s="145">
        <f>IF(ISERROR(VLOOKUP($A460,FIJOS!$B$11:$O$590,14,FALSE)),0,VLOOKUP($A460,FIJOS!$B$11:$O$590,14,FALSE))</f>
        <v>0</v>
      </c>
      <c r="CY460" s="145">
        <f>IF(ISERROR(VLOOKUP(A460,FIJOS!$B$10:$P$590,15,FALSE)),0,VLOOKUP(A460,FIJOS!$B$10:$P$590,15,FALSE))</f>
        <v>0</v>
      </c>
      <c r="CZ460" s="155"/>
      <c r="DA460" s="147"/>
      <c r="DB460" s="147"/>
      <c r="DC460" s="147"/>
      <c r="DD460" s="147"/>
      <c r="DE460" s="147"/>
      <c r="DF460" s="145">
        <f>IF(ISERROR(VLOOKUP($A460,FIJOS!$B$11:$N$590,13,FALSE)),0,VLOOKUP($A460,FIJOS!$B$11:$N$590,13,FALSE))</f>
        <v>0</v>
      </c>
      <c r="DG460" s="145">
        <f>IF(ISERROR(VLOOKUP($A460,FIJOS!$B$11:$P$447,12,FALSE)),0,VLOOKUP($A460,FIJOS!$B$11:$P$447,12,FALSE))</f>
        <v>0</v>
      </c>
      <c r="DH460" s="82">
        <f t="shared" si="242"/>
        <v>0</v>
      </c>
      <c r="DI460" s="83" t="b">
        <f>IF($C460=1,(VLOOKUP($A460,FIJOS!$B$11:$P$545,10,FALSE)/7)*(7-$CU460),IF(AND($C460=2,CV460&lt;$DJ$1),(VLOOKUP($D460,HORAS!$B$4:$C$42,2,FALSE)*24)*$CV460,IF(AND($C460=2,CV460&gt;=$DJ$1),VLOOKUP($D460,HORAS!$B$4:$D$42,3,FALSE),IF(AND($C460=3,$CV460&gt;=$DJ$1),VLOOKUP($A460,FIJOS!$B$11:$P$545,10,FALSE),IF(AND($C460=3,$CV460&lt;$DJ$1),((VLOOKUP($A460,FIJOS!$B$11:$P$545,10,FALSE)/48)*24)*$CV460,IF(AND($C460=4,$CV460&gt;=(42/24)),VLOOKUP($D460,HORAS!$B$4:$D$42,3,FALSE),IF(AND($C460=5,$CV460&gt;=(36/24)),VLOOKUP($D460,HORAS!$B$4:$D$42,3,FALSE))))))))</f>
        <v>0</v>
      </c>
      <c r="DJ460" s="145">
        <f>IF(OR($C460=2),VLOOKUP($D460,HORAS!$B$4:$E$42,4,FALSE)*$EC460,IF(ISERROR(VLOOKUP($A460,FIJOS!$B$11:$P$108,9,FALSE)),0,VLOOKUP($A460,FIJOS!$B$11:$P$231,9,FALSE)*$EC460))</f>
        <v>0</v>
      </c>
      <c r="DK460" s="145">
        <f>IF(OR($C460=2),VLOOKUP($D460,HORAS!$B$4:$F$42,5,FALSE)*$EE460,IF(ISERROR(VLOOKUP($A460,FIJOS!$B$11:$P$108,9,FALSE)),0,VLOOKUP($A460,FIJOS!$B$11:$P$231,9,FALSE)*$EE460))</f>
        <v>0</v>
      </c>
      <c r="DL460" s="144"/>
      <c r="DM460" s="145">
        <f>IF(ISERROR(VLOOKUP($A460,FIJOS!$B$11:$L$646,11,FALSE)),0,VLOOKUP($A460,FIJOS!$B$11:$L$646,11,FALSE))</f>
        <v>0</v>
      </c>
      <c r="DN460" s="148" t="e">
        <f>IF(OR($C460=1,$C460=3),0,IF((VLOOKUP(CAPTURA!D460,HORAS!$B$4:$K$42,10,FALSE)/4)*COUNTIF($H460:$CT460,3)&gt;100,100,(VLOOKUP(CAPTURA!D460,HORAS!$B$4:$K$42,10,FALSE)/4)*COUNTIF($H460:$CT460,3)))</f>
        <v>#N/A</v>
      </c>
      <c r="DO460" s="144" t="e">
        <f>IF(OR($C460=1,$C460=3),0,IF($C460=5,VLOOKUP(D460,HORAS!$B$4:$G$42,6,FALSE),IF(AND($C460=4,$CV460&gt;=(42/24)),VLOOKUP(D460,HORAS!$B$4:$G$42,6,FALSE),IF(COUNTIF($H460:$CL460,"F")&gt;0,0,IF(CV460&gt;$DJ$1,$DJ$1*(VLOOKUP(D460,HORAS!$B$4:$G$42,6,FALSE)/$DJ$1),CV460*(VLOOKUP(D460,HORAS!$B$4:$G$42,6,FALSE)/$DJ$1))))))</f>
        <v>#N/A</v>
      </c>
      <c r="DP460" s="156"/>
      <c r="DQ460" s="148"/>
      <c r="DR460" s="148"/>
      <c r="DS460" s="83" t="e">
        <f t="shared" si="162"/>
        <v>#N/A</v>
      </c>
      <c r="DT460" s="84"/>
      <c r="DU460" s="149" t="e">
        <f t="shared" si="243"/>
        <v>#N/A</v>
      </c>
      <c r="DV460" s="149" t="e">
        <f t="shared" si="244"/>
        <v>#N/A</v>
      </c>
      <c r="DW460" s="144" t="e">
        <f t="shared" si="245"/>
        <v>#N/A</v>
      </c>
      <c r="DX460" s="168"/>
      <c r="DY460" s="29"/>
      <c r="DZ460" s="150"/>
      <c r="EA460" s="134"/>
      <c r="EB460" s="137">
        <f t="shared" si="246"/>
        <v>0</v>
      </c>
      <c r="EC460" s="138">
        <f t="shared" si="247"/>
        <v>0</v>
      </c>
      <c r="ED460" s="137">
        <f t="shared" si="248"/>
        <v>0</v>
      </c>
      <c r="EE460" s="132">
        <f t="shared" si="249"/>
        <v>0</v>
      </c>
      <c r="EF460" s="29"/>
      <c r="EG460" s="134"/>
      <c r="EH460" s="134"/>
      <c r="EI460" s="134"/>
      <c r="EK460" s="29"/>
    </row>
    <row r="461" spans="1:141" ht="15" customHeight="1" x14ac:dyDescent="0.25">
      <c r="A461" s="87"/>
      <c r="B461" s="5"/>
      <c r="C461" s="72"/>
      <c r="D461" s="73"/>
      <c r="E461" s="73"/>
      <c r="F461" s="141"/>
      <c r="G461" s="74"/>
      <c r="H461" s="75"/>
      <c r="I461" s="76"/>
      <c r="J461" s="135"/>
      <c r="K461" s="135"/>
      <c r="L461" s="77">
        <f t="shared" si="138"/>
        <v>0</v>
      </c>
      <c r="M461" s="78"/>
      <c r="N461" s="142"/>
      <c r="O461" s="142"/>
      <c r="P461" s="77">
        <f t="shared" si="139"/>
        <v>0</v>
      </c>
      <c r="Q461" s="78"/>
      <c r="R461" s="143"/>
      <c r="S461" s="143"/>
      <c r="T461" s="77">
        <f t="shared" si="140"/>
        <v>0</v>
      </c>
      <c r="U461" s="75"/>
      <c r="V461" s="76"/>
      <c r="W461" s="135"/>
      <c r="X461" s="135"/>
      <c r="Y461" s="77">
        <f t="shared" si="141"/>
        <v>0</v>
      </c>
      <c r="Z461" s="78"/>
      <c r="AA461" s="142"/>
      <c r="AB461" s="142"/>
      <c r="AC461" s="77">
        <f t="shared" si="142"/>
        <v>0</v>
      </c>
      <c r="AD461" s="78"/>
      <c r="AE461" s="143"/>
      <c r="AF461" s="143"/>
      <c r="AG461" s="79">
        <f t="shared" si="143"/>
        <v>0</v>
      </c>
      <c r="AH461" s="75"/>
      <c r="AI461" s="76"/>
      <c r="AJ461" s="135"/>
      <c r="AK461" s="135"/>
      <c r="AL461" s="77">
        <f t="shared" si="144"/>
        <v>0</v>
      </c>
      <c r="AM461" s="76"/>
      <c r="AN461" s="142"/>
      <c r="AO461" s="142"/>
      <c r="AP461" s="77">
        <f t="shared" si="145"/>
        <v>0</v>
      </c>
      <c r="AQ461" s="78"/>
      <c r="AR461" s="142"/>
      <c r="AS461" s="142"/>
      <c r="AT461" s="79">
        <f t="shared" si="146"/>
        <v>0</v>
      </c>
      <c r="AU461" s="75"/>
      <c r="AV461" s="76"/>
      <c r="AW461" s="135"/>
      <c r="AX461" s="135"/>
      <c r="AY461" s="77">
        <f t="shared" si="147"/>
        <v>0</v>
      </c>
      <c r="AZ461" s="76"/>
      <c r="BA461" s="142"/>
      <c r="BB461" s="142"/>
      <c r="BC461" s="77">
        <f t="shared" si="148"/>
        <v>0</v>
      </c>
      <c r="BD461" s="78"/>
      <c r="BE461" s="142"/>
      <c r="BF461" s="142"/>
      <c r="BG461" s="79">
        <f t="shared" si="149"/>
        <v>0</v>
      </c>
      <c r="BH461" s="75"/>
      <c r="BI461" s="76"/>
      <c r="BJ461" s="135"/>
      <c r="BK461" s="135"/>
      <c r="BL461" s="77">
        <f t="shared" si="150"/>
        <v>0</v>
      </c>
      <c r="BM461" s="78"/>
      <c r="BN461" s="142"/>
      <c r="BO461" s="142"/>
      <c r="BP461" s="77">
        <f t="shared" si="151"/>
        <v>0</v>
      </c>
      <c r="BQ461" s="78"/>
      <c r="BR461" s="142"/>
      <c r="BS461" s="142"/>
      <c r="BT461" s="79">
        <f t="shared" si="152"/>
        <v>0</v>
      </c>
      <c r="BU461" s="75"/>
      <c r="BV461" s="76"/>
      <c r="BW461" s="135"/>
      <c r="BX461" s="135"/>
      <c r="BY461" s="77">
        <f t="shared" si="153"/>
        <v>0</v>
      </c>
      <c r="BZ461" s="78"/>
      <c r="CA461" s="142"/>
      <c r="CB461" s="142"/>
      <c r="CC461" s="77">
        <f t="shared" si="154"/>
        <v>0</v>
      </c>
      <c r="CD461" s="78"/>
      <c r="CE461" s="142"/>
      <c r="CF461" s="142"/>
      <c r="CG461" s="79">
        <f t="shared" si="155"/>
        <v>0</v>
      </c>
      <c r="CH461" s="75"/>
      <c r="CI461" s="76"/>
      <c r="CJ461" s="86"/>
      <c r="CK461" s="86"/>
      <c r="CL461" s="77">
        <f t="shared" si="156"/>
        <v>0</v>
      </c>
      <c r="CM461" s="78"/>
      <c r="CN461" s="85"/>
      <c r="CO461" s="85"/>
      <c r="CP461" s="77">
        <f t="shared" si="157"/>
        <v>0</v>
      </c>
      <c r="CQ461" s="78"/>
      <c r="CR461" s="85"/>
      <c r="CS461" s="85"/>
      <c r="CT461" s="79">
        <f t="shared" si="158"/>
        <v>0</v>
      </c>
      <c r="CU461" s="80">
        <f t="shared" si="168"/>
        <v>0</v>
      </c>
      <c r="CV461" s="81">
        <f t="shared" si="169"/>
        <v>0</v>
      </c>
      <c r="CW461" s="144"/>
      <c r="CX461" s="145">
        <f>IF(ISERROR(VLOOKUP($A461,FIJOS!$B$11:$O$590,14,FALSE)),0,VLOOKUP($A461,FIJOS!$B$11:$O$590,14,FALSE))</f>
        <v>0</v>
      </c>
      <c r="CY461" s="145">
        <f>IF(ISERROR(VLOOKUP(A461,FIJOS!$B$10:$P$590,15,FALSE)),0,VLOOKUP(A461,FIJOS!$B$10:$P$590,15,FALSE))</f>
        <v>0</v>
      </c>
      <c r="CZ461" s="155"/>
      <c r="DA461" s="147"/>
      <c r="DB461" s="147"/>
      <c r="DC461" s="147"/>
      <c r="DD461" s="147"/>
      <c r="DE461" s="147"/>
      <c r="DF461" s="145">
        <f>IF(ISERROR(VLOOKUP($A461,FIJOS!$B$11:$N$590,13,FALSE)),0,VLOOKUP($A461,FIJOS!$B$11:$N$590,13,FALSE))</f>
        <v>0</v>
      </c>
      <c r="DG461" s="145">
        <f>IF(ISERROR(VLOOKUP($A461,FIJOS!$B$11:$P$447,12,FALSE)),0,VLOOKUP($A461,FIJOS!$B$11:$P$447,12,FALSE))</f>
        <v>0</v>
      </c>
      <c r="DH461" s="82">
        <f t="shared" si="242"/>
        <v>0</v>
      </c>
      <c r="DI461" s="83" t="b">
        <f>IF($C461=1,(VLOOKUP($A461,FIJOS!$B$11:$P$545,10,FALSE)/7)*(7-$CU461),IF(AND($C461=2,CV461&lt;$DJ$1),(VLOOKUP($D461,HORAS!$B$4:$C$42,2,FALSE)*24)*$CV461,IF(AND($C461=2,CV461&gt;=$DJ$1),VLOOKUP($D461,HORAS!$B$4:$D$42,3,FALSE),IF(AND($C461=3,$CV461&gt;=$DJ$1),VLOOKUP($A461,FIJOS!$B$11:$P$545,10,FALSE),IF(AND($C461=3,$CV461&lt;$DJ$1),((VLOOKUP($A461,FIJOS!$B$11:$P$545,10,FALSE)/48)*24)*$CV461,IF(AND($C461=4,$CV461&gt;=(42/24)),VLOOKUP($D461,HORAS!$B$4:$D$42,3,FALSE),IF(AND($C461=5,$CV461&gt;=(36/24)),VLOOKUP($D461,HORAS!$B$4:$D$42,3,FALSE))))))))</f>
        <v>0</v>
      </c>
      <c r="DJ461" s="145">
        <f>IF(OR($C461=2),VLOOKUP($D461,HORAS!$B$4:$E$42,4,FALSE)*$EC461,IF(ISERROR(VLOOKUP($A461,FIJOS!$B$11:$P$108,9,FALSE)),0,VLOOKUP($A461,FIJOS!$B$11:$P$231,9,FALSE)*$EC461))</f>
        <v>0</v>
      </c>
      <c r="DK461" s="145">
        <f>IF(OR($C461=2),VLOOKUP($D461,HORAS!$B$4:$F$42,5,FALSE)*$EE461,IF(ISERROR(VLOOKUP($A461,FIJOS!$B$11:$P$108,9,FALSE)),0,VLOOKUP($A461,FIJOS!$B$11:$P$231,9,FALSE)*$EE461))</f>
        <v>0</v>
      </c>
      <c r="DL461" s="144"/>
      <c r="DM461" s="145">
        <f>IF(ISERROR(VLOOKUP($A461,FIJOS!$B$11:$L$646,11,FALSE)),0,VLOOKUP($A461,FIJOS!$B$11:$L$646,11,FALSE))</f>
        <v>0</v>
      </c>
      <c r="DN461" s="148" t="e">
        <f>IF(OR($C461=1,$C461=3),0,IF((VLOOKUP(CAPTURA!D461,HORAS!$B$4:$K$42,10,FALSE)/4)*COUNTIF($H461:$CT461,3)&gt;100,100,(VLOOKUP(CAPTURA!D461,HORAS!$B$4:$K$42,10,FALSE)/4)*COUNTIF($H461:$CT461,3)))</f>
        <v>#N/A</v>
      </c>
      <c r="DO461" s="144" t="e">
        <f>IF(OR($C461=1,$C461=3),0,IF($C461=5,VLOOKUP(D461,HORAS!$B$4:$G$42,6,FALSE),IF(AND($C461=4,$CV461&gt;=(42/24)),VLOOKUP(D461,HORAS!$B$4:$G$42,6,FALSE),IF(COUNTIF($H461:$CL461,"F")&gt;0,0,IF(CV461&gt;$DJ$1,$DJ$1*(VLOOKUP(D461,HORAS!$B$4:$G$42,6,FALSE)/$DJ$1),CV461*(VLOOKUP(D461,HORAS!$B$4:$G$42,6,FALSE)/$DJ$1))))))</f>
        <v>#N/A</v>
      </c>
      <c r="DP461" s="156"/>
      <c r="DQ461" s="148"/>
      <c r="DR461" s="148"/>
      <c r="DS461" s="83" t="e">
        <f t="shared" si="162"/>
        <v>#N/A</v>
      </c>
      <c r="DT461" s="84"/>
      <c r="DU461" s="149" t="e">
        <f t="shared" si="243"/>
        <v>#N/A</v>
      </c>
      <c r="DV461" s="149" t="e">
        <f t="shared" si="244"/>
        <v>#N/A</v>
      </c>
      <c r="DW461" s="144" t="e">
        <f t="shared" si="245"/>
        <v>#N/A</v>
      </c>
      <c r="DX461" s="168"/>
      <c r="DY461" s="29"/>
      <c r="DZ461" s="150"/>
      <c r="EA461" s="134"/>
      <c r="EB461" s="137">
        <f t="shared" si="246"/>
        <v>0</v>
      </c>
      <c r="EC461" s="138">
        <f t="shared" si="247"/>
        <v>0</v>
      </c>
      <c r="ED461" s="137">
        <f t="shared" si="248"/>
        <v>0</v>
      </c>
      <c r="EE461" s="132">
        <f t="shared" si="249"/>
        <v>0</v>
      </c>
      <c r="EF461" s="29"/>
      <c r="EG461" s="134"/>
      <c r="EH461" s="134"/>
      <c r="EI461" s="134"/>
      <c r="EK461" s="29"/>
    </row>
    <row r="462" spans="1:141" ht="15" customHeight="1" x14ac:dyDescent="0.25">
      <c r="A462" s="87"/>
      <c r="B462" s="5"/>
      <c r="C462" s="72"/>
      <c r="D462" s="73"/>
      <c r="E462" s="73"/>
      <c r="F462" s="141"/>
      <c r="G462" s="74"/>
      <c r="H462" s="75"/>
      <c r="I462" s="76"/>
      <c r="J462" s="135"/>
      <c r="K462" s="135"/>
      <c r="L462" s="77">
        <f t="shared" si="138"/>
        <v>0</v>
      </c>
      <c r="M462" s="78"/>
      <c r="N462" s="142"/>
      <c r="O462" s="142"/>
      <c r="P462" s="77">
        <f t="shared" si="139"/>
        <v>0</v>
      </c>
      <c r="Q462" s="78"/>
      <c r="R462" s="143"/>
      <c r="S462" s="143"/>
      <c r="T462" s="77">
        <f t="shared" si="140"/>
        <v>0</v>
      </c>
      <c r="U462" s="75"/>
      <c r="V462" s="76"/>
      <c r="W462" s="135"/>
      <c r="X462" s="135"/>
      <c r="Y462" s="77">
        <f t="shared" si="141"/>
        <v>0</v>
      </c>
      <c r="Z462" s="78"/>
      <c r="AA462" s="142"/>
      <c r="AB462" s="142"/>
      <c r="AC462" s="77">
        <f t="shared" si="142"/>
        <v>0</v>
      </c>
      <c r="AD462" s="78"/>
      <c r="AE462" s="143"/>
      <c r="AF462" s="143"/>
      <c r="AG462" s="79">
        <f t="shared" si="143"/>
        <v>0</v>
      </c>
      <c r="AH462" s="75"/>
      <c r="AI462" s="76"/>
      <c r="AJ462" s="135"/>
      <c r="AK462" s="135"/>
      <c r="AL462" s="77">
        <f t="shared" si="144"/>
        <v>0</v>
      </c>
      <c r="AM462" s="76"/>
      <c r="AN462" s="142"/>
      <c r="AO462" s="142"/>
      <c r="AP462" s="77">
        <f t="shared" si="145"/>
        <v>0</v>
      </c>
      <c r="AQ462" s="78"/>
      <c r="AR462" s="142"/>
      <c r="AS462" s="142"/>
      <c r="AT462" s="79">
        <f t="shared" si="146"/>
        <v>0</v>
      </c>
      <c r="AU462" s="75"/>
      <c r="AV462" s="76"/>
      <c r="AW462" s="135"/>
      <c r="AX462" s="135"/>
      <c r="AY462" s="77">
        <f t="shared" si="147"/>
        <v>0</v>
      </c>
      <c r="AZ462" s="76"/>
      <c r="BA462" s="142"/>
      <c r="BB462" s="142"/>
      <c r="BC462" s="77">
        <f t="shared" si="148"/>
        <v>0</v>
      </c>
      <c r="BD462" s="78"/>
      <c r="BE462" s="142"/>
      <c r="BF462" s="142"/>
      <c r="BG462" s="79">
        <f t="shared" si="149"/>
        <v>0</v>
      </c>
      <c r="BH462" s="75"/>
      <c r="BI462" s="76"/>
      <c r="BJ462" s="135"/>
      <c r="BK462" s="135"/>
      <c r="BL462" s="77">
        <f t="shared" si="150"/>
        <v>0</v>
      </c>
      <c r="BM462" s="78"/>
      <c r="BN462" s="142"/>
      <c r="BO462" s="142"/>
      <c r="BP462" s="77">
        <f t="shared" si="151"/>
        <v>0</v>
      </c>
      <c r="BQ462" s="78"/>
      <c r="BR462" s="142"/>
      <c r="BS462" s="142"/>
      <c r="BT462" s="79">
        <f t="shared" si="152"/>
        <v>0</v>
      </c>
      <c r="BU462" s="75"/>
      <c r="BV462" s="76"/>
      <c r="BW462" s="135"/>
      <c r="BX462" s="135"/>
      <c r="BY462" s="77">
        <f t="shared" si="153"/>
        <v>0</v>
      </c>
      <c r="BZ462" s="78"/>
      <c r="CA462" s="142"/>
      <c r="CB462" s="142"/>
      <c r="CC462" s="77">
        <f t="shared" si="154"/>
        <v>0</v>
      </c>
      <c r="CD462" s="78"/>
      <c r="CE462" s="142"/>
      <c r="CF462" s="142"/>
      <c r="CG462" s="79">
        <f t="shared" si="155"/>
        <v>0</v>
      </c>
      <c r="CH462" s="75"/>
      <c r="CI462" s="76"/>
      <c r="CJ462" s="86"/>
      <c r="CK462" s="86"/>
      <c r="CL462" s="77">
        <f t="shared" si="156"/>
        <v>0</v>
      </c>
      <c r="CM462" s="78"/>
      <c r="CN462" s="85"/>
      <c r="CO462" s="85"/>
      <c r="CP462" s="77">
        <f t="shared" si="157"/>
        <v>0</v>
      </c>
      <c r="CQ462" s="78"/>
      <c r="CR462" s="85"/>
      <c r="CS462" s="85"/>
      <c r="CT462" s="79">
        <f t="shared" si="158"/>
        <v>0</v>
      </c>
      <c r="CU462" s="80">
        <f t="shared" si="168"/>
        <v>0</v>
      </c>
      <c r="CV462" s="81">
        <f t="shared" si="169"/>
        <v>0</v>
      </c>
      <c r="CW462" s="144"/>
      <c r="CX462" s="145">
        <f>IF(ISERROR(VLOOKUP($A462,FIJOS!$B$11:$O$590,14,FALSE)),0,VLOOKUP($A462,FIJOS!$B$11:$O$590,14,FALSE))</f>
        <v>0</v>
      </c>
      <c r="CY462" s="145">
        <f>IF(ISERROR(VLOOKUP(A462,FIJOS!$B$10:$P$590,15,FALSE)),0,VLOOKUP(A462,FIJOS!$B$10:$P$590,15,FALSE))</f>
        <v>0</v>
      </c>
      <c r="CZ462" s="155"/>
      <c r="DA462" s="147"/>
      <c r="DB462" s="147"/>
      <c r="DC462" s="147"/>
      <c r="DD462" s="147"/>
      <c r="DE462" s="147"/>
      <c r="DF462" s="145">
        <f>IF(ISERROR(VLOOKUP($A462,FIJOS!$B$11:$N$590,13,FALSE)),0,VLOOKUP($A462,FIJOS!$B$11:$N$590,13,FALSE))</f>
        <v>0</v>
      </c>
      <c r="DG462" s="145">
        <f>IF(ISERROR(VLOOKUP($A462,FIJOS!$B$11:$P$447,12,FALSE)),0,VLOOKUP($A462,FIJOS!$B$11:$P$447,12,FALSE))</f>
        <v>0</v>
      </c>
      <c r="DH462" s="82">
        <f t="shared" si="242"/>
        <v>0</v>
      </c>
      <c r="DI462" s="83" t="b">
        <f>IF($C462=1,(VLOOKUP($A462,FIJOS!$B$11:$P$545,10,FALSE)/7)*(7-$CU462),IF(AND($C462=2,CV462&lt;$DJ$1),(VLOOKUP($D462,HORAS!$B$4:$C$42,2,FALSE)*24)*$CV462,IF(AND($C462=2,CV462&gt;=$DJ$1),VLOOKUP($D462,HORAS!$B$4:$D$42,3,FALSE),IF(AND($C462=3,$CV462&gt;=$DJ$1),VLOOKUP($A462,FIJOS!$B$11:$P$545,10,FALSE),IF(AND($C462=3,$CV462&lt;$DJ$1),((VLOOKUP($A462,FIJOS!$B$11:$P$545,10,FALSE)/48)*24)*$CV462,IF(AND($C462=4,$CV462&gt;=(42/24)),VLOOKUP($D462,HORAS!$B$4:$D$42,3,FALSE),IF(AND($C462=5,$CV462&gt;=(36/24)),VLOOKUP($D462,HORAS!$B$4:$D$42,3,FALSE))))))))</f>
        <v>0</v>
      </c>
      <c r="DJ462" s="145">
        <f>IF(OR($C462=2),VLOOKUP($D462,HORAS!$B$4:$E$42,4,FALSE)*$EC462,IF(ISERROR(VLOOKUP($A462,FIJOS!$B$11:$P$108,9,FALSE)),0,VLOOKUP($A462,FIJOS!$B$11:$P$231,9,FALSE)*$EC462))</f>
        <v>0</v>
      </c>
      <c r="DK462" s="145">
        <f>IF(OR($C462=2),VLOOKUP($D462,HORAS!$B$4:$F$42,5,FALSE)*$EE462,IF(ISERROR(VLOOKUP($A462,FIJOS!$B$11:$P$108,9,FALSE)),0,VLOOKUP($A462,FIJOS!$B$11:$P$231,9,FALSE)*$EE462))</f>
        <v>0</v>
      </c>
      <c r="DL462" s="144"/>
      <c r="DM462" s="145">
        <f>IF(ISERROR(VLOOKUP($A462,FIJOS!$B$11:$L$646,11,FALSE)),0,VLOOKUP($A462,FIJOS!$B$11:$L$646,11,FALSE))</f>
        <v>0</v>
      </c>
      <c r="DN462" s="148" t="e">
        <f>IF(OR($C462=1,$C462=3),0,IF((VLOOKUP(CAPTURA!D462,HORAS!$B$4:$K$42,10,FALSE)/4)*COUNTIF($H462:$CT462,3)&gt;100,100,(VLOOKUP(CAPTURA!D462,HORAS!$B$4:$K$42,10,FALSE)/4)*COUNTIF($H462:$CT462,3)))</f>
        <v>#N/A</v>
      </c>
      <c r="DO462" s="144" t="e">
        <f>IF(OR($C462=1,$C462=3),0,IF($C462=5,VLOOKUP(D462,HORAS!$B$4:$G$42,6,FALSE),IF(AND($C462=4,$CV462&gt;=(42/24)),VLOOKUP(D462,HORAS!$B$4:$G$42,6,FALSE),IF(COUNTIF($H462:$CL462,"F")&gt;0,0,IF(CV462&gt;$DJ$1,$DJ$1*(VLOOKUP(D462,HORAS!$B$4:$G$42,6,FALSE)/$DJ$1),CV462*(VLOOKUP(D462,HORAS!$B$4:$G$42,6,FALSE)/$DJ$1))))))</f>
        <v>#N/A</v>
      </c>
      <c r="DP462" s="156"/>
      <c r="DQ462" s="148"/>
      <c r="DR462" s="148"/>
      <c r="DS462" s="83" t="e">
        <f t="shared" si="162"/>
        <v>#N/A</v>
      </c>
      <c r="DT462" s="84"/>
      <c r="DU462" s="149" t="e">
        <f t="shared" si="243"/>
        <v>#N/A</v>
      </c>
      <c r="DV462" s="149" t="e">
        <f t="shared" si="244"/>
        <v>#N/A</v>
      </c>
      <c r="DW462" s="144" t="e">
        <f t="shared" si="245"/>
        <v>#N/A</v>
      </c>
      <c r="DX462" s="168"/>
      <c r="DY462" s="29"/>
      <c r="DZ462" s="150"/>
      <c r="EA462" s="134"/>
      <c r="EB462" s="137">
        <f t="shared" si="246"/>
        <v>0</v>
      </c>
      <c r="EC462" s="138">
        <f t="shared" si="247"/>
        <v>0</v>
      </c>
      <c r="ED462" s="137">
        <f t="shared" si="248"/>
        <v>0</v>
      </c>
      <c r="EE462" s="132">
        <f t="shared" si="249"/>
        <v>0</v>
      </c>
      <c r="EF462" s="29"/>
      <c r="EG462" s="134"/>
      <c r="EH462" s="134"/>
      <c r="EI462" s="134"/>
      <c r="EK462" s="29"/>
    </row>
    <row r="463" spans="1:141" ht="15" customHeight="1" x14ac:dyDescent="0.25">
      <c r="A463" s="87"/>
      <c r="B463" s="5"/>
      <c r="C463" s="72"/>
      <c r="D463" s="73"/>
      <c r="E463" s="73"/>
      <c r="F463" s="141"/>
      <c r="G463" s="74"/>
      <c r="H463" s="75"/>
      <c r="I463" s="76"/>
      <c r="J463" s="135"/>
      <c r="K463" s="135"/>
      <c r="L463" s="77">
        <f t="shared" si="138"/>
        <v>0</v>
      </c>
      <c r="M463" s="78"/>
      <c r="N463" s="142"/>
      <c r="O463" s="142"/>
      <c r="P463" s="77">
        <f t="shared" si="139"/>
        <v>0</v>
      </c>
      <c r="Q463" s="78"/>
      <c r="R463" s="143"/>
      <c r="S463" s="143"/>
      <c r="T463" s="77">
        <f t="shared" si="140"/>
        <v>0</v>
      </c>
      <c r="U463" s="75"/>
      <c r="V463" s="76"/>
      <c r="W463" s="135"/>
      <c r="X463" s="135"/>
      <c r="Y463" s="77">
        <f t="shared" si="141"/>
        <v>0</v>
      </c>
      <c r="Z463" s="78"/>
      <c r="AA463" s="142"/>
      <c r="AB463" s="142"/>
      <c r="AC463" s="77">
        <f t="shared" si="142"/>
        <v>0</v>
      </c>
      <c r="AD463" s="78"/>
      <c r="AE463" s="143"/>
      <c r="AF463" s="143"/>
      <c r="AG463" s="79">
        <f t="shared" si="143"/>
        <v>0</v>
      </c>
      <c r="AH463" s="75"/>
      <c r="AI463" s="76"/>
      <c r="AJ463" s="135"/>
      <c r="AK463" s="135"/>
      <c r="AL463" s="77">
        <f t="shared" si="144"/>
        <v>0</v>
      </c>
      <c r="AM463" s="76"/>
      <c r="AN463" s="142"/>
      <c r="AO463" s="142"/>
      <c r="AP463" s="77">
        <f t="shared" si="145"/>
        <v>0</v>
      </c>
      <c r="AQ463" s="78"/>
      <c r="AR463" s="142"/>
      <c r="AS463" s="142"/>
      <c r="AT463" s="79">
        <f t="shared" si="146"/>
        <v>0</v>
      </c>
      <c r="AU463" s="75"/>
      <c r="AV463" s="76"/>
      <c r="AW463" s="135"/>
      <c r="AX463" s="135"/>
      <c r="AY463" s="77">
        <f t="shared" si="147"/>
        <v>0</v>
      </c>
      <c r="AZ463" s="76"/>
      <c r="BA463" s="142"/>
      <c r="BB463" s="142"/>
      <c r="BC463" s="77">
        <f t="shared" si="148"/>
        <v>0</v>
      </c>
      <c r="BD463" s="78"/>
      <c r="BE463" s="142"/>
      <c r="BF463" s="142"/>
      <c r="BG463" s="79">
        <f t="shared" si="149"/>
        <v>0</v>
      </c>
      <c r="BH463" s="75"/>
      <c r="BI463" s="76"/>
      <c r="BJ463" s="135"/>
      <c r="BK463" s="135"/>
      <c r="BL463" s="77">
        <f t="shared" si="150"/>
        <v>0</v>
      </c>
      <c r="BM463" s="78"/>
      <c r="BN463" s="142"/>
      <c r="BO463" s="142"/>
      <c r="BP463" s="77">
        <f t="shared" si="151"/>
        <v>0</v>
      </c>
      <c r="BQ463" s="78"/>
      <c r="BR463" s="142"/>
      <c r="BS463" s="142"/>
      <c r="BT463" s="79">
        <f t="shared" si="152"/>
        <v>0</v>
      </c>
      <c r="BU463" s="75"/>
      <c r="BV463" s="76"/>
      <c r="BW463" s="135"/>
      <c r="BX463" s="135"/>
      <c r="BY463" s="77">
        <f t="shared" si="153"/>
        <v>0</v>
      </c>
      <c r="BZ463" s="78"/>
      <c r="CA463" s="142"/>
      <c r="CB463" s="142"/>
      <c r="CC463" s="77">
        <f t="shared" si="154"/>
        <v>0</v>
      </c>
      <c r="CD463" s="78"/>
      <c r="CE463" s="142"/>
      <c r="CF463" s="142"/>
      <c r="CG463" s="79">
        <f t="shared" si="155"/>
        <v>0</v>
      </c>
      <c r="CH463" s="75"/>
      <c r="CI463" s="76"/>
      <c r="CJ463" s="86"/>
      <c r="CK463" s="86"/>
      <c r="CL463" s="77">
        <f t="shared" si="156"/>
        <v>0</v>
      </c>
      <c r="CM463" s="78"/>
      <c r="CN463" s="85"/>
      <c r="CO463" s="85"/>
      <c r="CP463" s="77">
        <f t="shared" si="157"/>
        <v>0</v>
      </c>
      <c r="CQ463" s="78"/>
      <c r="CR463" s="85"/>
      <c r="CS463" s="85"/>
      <c r="CT463" s="79">
        <f t="shared" si="158"/>
        <v>0</v>
      </c>
      <c r="CU463" s="80">
        <f t="shared" si="168"/>
        <v>0</v>
      </c>
      <c r="CV463" s="81">
        <f t="shared" si="169"/>
        <v>0</v>
      </c>
      <c r="CW463" s="144"/>
      <c r="CX463" s="145">
        <f>IF(ISERROR(VLOOKUP($A463,FIJOS!$B$11:$O$590,14,FALSE)),0,VLOOKUP($A463,FIJOS!$B$11:$O$590,14,FALSE))</f>
        <v>0</v>
      </c>
      <c r="CY463" s="145">
        <f>IF(ISERROR(VLOOKUP(A463,FIJOS!$B$10:$P$590,15,FALSE)),0,VLOOKUP(A463,FIJOS!$B$10:$P$590,15,FALSE))</f>
        <v>0</v>
      </c>
      <c r="CZ463" s="155"/>
      <c r="DA463" s="147"/>
      <c r="DB463" s="147"/>
      <c r="DC463" s="147"/>
      <c r="DD463" s="147"/>
      <c r="DE463" s="147"/>
      <c r="DF463" s="145">
        <f>IF(ISERROR(VLOOKUP($A463,FIJOS!$B$11:$N$590,13,FALSE)),0,VLOOKUP($A463,FIJOS!$B$11:$N$590,13,FALSE))</f>
        <v>0</v>
      </c>
      <c r="DG463" s="145">
        <f>IF(ISERROR(VLOOKUP($A463,FIJOS!$B$11:$P$447,12,FALSE)),0,VLOOKUP($A463,FIJOS!$B$11:$P$447,12,FALSE))</f>
        <v>0</v>
      </c>
      <c r="DH463" s="82">
        <f t="shared" si="242"/>
        <v>0</v>
      </c>
      <c r="DI463" s="83" t="b">
        <f>IF($C463=1,(VLOOKUP($A463,FIJOS!$B$11:$P$545,10,FALSE)/7)*(7-$CU463),IF(AND($C463=2,CV463&lt;$DJ$1),(VLOOKUP($D463,HORAS!$B$4:$C$42,2,FALSE)*24)*$CV463,IF(AND($C463=2,CV463&gt;=$DJ$1),VLOOKUP($D463,HORAS!$B$4:$D$42,3,FALSE),IF(AND($C463=3,$CV463&gt;=$DJ$1),VLOOKUP($A463,FIJOS!$B$11:$P$545,10,FALSE),IF(AND($C463=3,$CV463&lt;$DJ$1),((VLOOKUP($A463,FIJOS!$B$11:$P$545,10,FALSE)/48)*24)*$CV463,IF(AND($C463=4,$CV463&gt;=(42/24)),VLOOKUP($D463,HORAS!$B$4:$D$42,3,FALSE),IF(AND($C463=5,$CV463&gt;=(36/24)),VLOOKUP($D463,HORAS!$B$4:$D$42,3,FALSE))))))))</f>
        <v>0</v>
      </c>
      <c r="DJ463" s="145">
        <f>IF(OR($C463=2),VLOOKUP($D463,HORAS!$B$4:$E$42,4,FALSE)*$EC463,IF(ISERROR(VLOOKUP($A463,FIJOS!$B$11:$P$108,9,FALSE)),0,VLOOKUP($A463,FIJOS!$B$11:$P$231,9,FALSE)*$EC463))</f>
        <v>0</v>
      </c>
      <c r="DK463" s="145">
        <f>IF(OR($C463=2),VLOOKUP($D463,HORAS!$B$4:$F$42,5,FALSE)*$EE463,IF(ISERROR(VLOOKUP($A463,FIJOS!$B$11:$P$108,9,FALSE)),0,VLOOKUP($A463,FIJOS!$B$11:$P$231,9,FALSE)*$EE463))</f>
        <v>0</v>
      </c>
      <c r="DL463" s="144"/>
      <c r="DM463" s="145">
        <f>IF(ISERROR(VLOOKUP($A463,FIJOS!$B$11:$L$646,11,FALSE)),0,VLOOKUP($A463,FIJOS!$B$11:$L$646,11,FALSE))</f>
        <v>0</v>
      </c>
      <c r="DN463" s="148" t="e">
        <f>IF(OR($C463=1,$C463=3),0,IF((VLOOKUP(CAPTURA!D463,HORAS!$B$4:$K$42,10,FALSE)/4)*COUNTIF($H463:$CT463,3)&gt;100,100,(VLOOKUP(CAPTURA!D463,HORAS!$B$4:$K$42,10,FALSE)/4)*COUNTIF($H463:$CT463,3)))</f>
        <v>#N/A</v>
      </c>
      <c r="DO463" s="144" t="e">
        <f>IF(OR($C463=1,$C463=3),0,IF($C463=5,VLOOKUP(D463,HORAS!$B$4:$G$42,6,FALSE),IF(AND($C463=4,$CV463&gt;=(42/24)),VLOOKUP(D463,HORAS!$B$4:$G$42,6,FALSE),IF(COUNTIF($H463:$CL463,"F")&gt;0,0,IF(CV463&gt;$DJ$1,$DJ$1*(VLOOKUP(D463,HORAS!$B$4:$G$42,6,FALSE)/$DJ$1),CV463*(VLOOKUP(D463,HORAS!$B$4:$G$42,6,FALSE)/$DJ$1))))))</f>
        <v>#N/A</v>
      </c>
      <c r="DP463" s="156"/>
      <c r="DQ463" s="148"/>
      <c r="DR463" s="148"/>
      <c r="DS463" s="83" t="e">
        <f t="shared" si="162"/>
        <v>#N/A</v>
      </c>
      <c r="DT463" s="84"/>
      <c r="DU463" s="149" t="e">
        <f t="shared" si="243"/>
        <v>#N/A</v>
      </c>
      <c r="DV463" s="149" t="e">
        <f t="shared" si="244"/>
        <v>#N/A</v>
      </c>
      <c r="DW463" s="144" t="e">
        <f t="shared" si="245"/>
        <v>#N/A</v>
      </c>
      <c r="DX463" s="168"/>
      <c r="DY463" s="29"/>
      <c r="DZ463" s="150"/>
      <c r="EA463" s="134"/>
      <c r="EB463" s="137">
        <f t="shared" si="246"/>
        <v>0</v>
      </c>
      <c r="EC463" s="138">
        <f t="shared" si="247"/>
        <v>0</v>
      </c>
      <c r="ED463" s="137">
        <f t="shared" si="248"/>
        <v>0</v>
      </c>
      <c r="EE463" s="132">
        <f t="shared" si="249"/>
        <v>0</v>
      </c>
      <c r="EF463" s="29"/>
      <c r="EG463" s="134"/>
      <c r="EH463" s="134"/>
      <c r="EI463" s="134"/>
      <c r="EK463" s="29"/>
    </row>
    <row r="464" spans="1:141" ht="15" customHeight="1" x14ac:dyDescent="0.25">
      <c r="A464" s="87"/>
      <c r="B464" s="5"/>
      <c r="C464" s="72"/>
      <c r="D464" s="73"/>
      <c r="E464" s="73"/>
      <c r="F464" s="141"/>
      <c r="G464" s="74"/>
      <c r="H464" s="75"/>
      <c r="I464" s="76"/>
      <c r="J464" s="135"/>
      <c r="K464" s="135"/>
      <c r="L464" s="77">
        <f t="shared" si="138"/>
        <v>0</v>
      </c>
      <c r="M464" s="78"/>
      <c r="N464" s="142"/>
      <c r="O464" s="142"/>
      <c r="P464" s="77">
        <f t="shared" si="139"/>
        <v>0</v>
      </c>
      <c r="Q464" s="78"/>
      <c r="R464" s="143"/>
      <c r="S464" s="143"/>
      <c r="T464" s="77">
        <f t="shared" si="140"/>
        <v>0</v>
      </c>
      <c r="U464" s="75"/>
      <c r="V464" s="76"/>
      <c r="W464" s="135"/>
      <c r="X464" s="135"/>
      <c r="Y464" s="77">
        <f t="shared" si="141"/>
        <v>0</v>
      </c>
      <c r="Z464" s="78"/>
      <c r="AA464" s="142"/>
      <c r="AB464" s="142"/>
      <c r="AC464" s="77">
        <f t="shared" si="142"/>
        <v>0</v>
      </c>
      <c r="AD464" s="78"/>
      <c r="AE464" s="143"/>
      <c r="AF464" s="143"/>
      <c r="AG464" s="79">
        <f t="shared" si="143"/>
        <v>0</v>
      </c>
      <c r="AH464" s="75"/>
      <c r="AI464" s="76"/>
      <c r="AJ464" s="135"/>
      <c r="AK464" s="135"/>
      <c r="AL464" s="77">
        <f t="shared" si="144"/>
        <v>0</v>
      </c>
      <c r="AM464" s="76"/>
      <c r="AN464" s="142"/>
      <c r="AO464" s="142"/>
      <c r="AP464" s="77">
        <f t="shared" si="145"/>
        <v>0</v>
      </c>
      <c r="AQ464" s="78"/>
      <c r="AR464" s="142"/>
      <c r="AS464" s="142"/>
      <c r="AT464" s="79">
        <f t="shared" si="146"/>
        <v>0</v>
      </c>
      <c r="AU464" s="75"/>
      <c r="AV464" s="76"/>
      <c r="AW464" s="135"/>
      <c r="AX464" s="135"/>
      <c r="AY464" s="77">
        <f t="shared" si="147"/>
        <v>0</v>
      </c>
      <c r="AZ464" s="76"/>
      <c r="BA464" s="142"/>
      <c r="BB464" s="142"/>
      <c r="BC464" s="77">
        <f t="shared" si="148"/>
        <v>0</v>
      </c>
      <c r="BD464" s="78"/>
      <c r="BE464" s="142"/>
      <c r="BF464" s="142"/>
      <c r="BG464" s="79">
        <f t="shared" si="149"/>
        <v>0</v>
      </c>
      <c r="BH464" s="75"/>
      <c r="BI464" s="76"/>
      <c r="BJ464" s="135"/>
      <c r="BK464" s="135"/>
      <c r="BL464" s="77">
        <f t="shared" si="150"/>
        <v>0</v>
      </c>
      <c r="BM464" s="78"/>
      <c r="BN464" s="142"/>
      <c r="BO464" s="142"/>
      <c r="BP464" s="77">
        <f t="shared" si="151"/>
        <v>0</v>
      </c>
      <c r="BQ464" s="78"/>
      <c r="BR464" s="142"/>
      <c r="BS464" s="142"/>
      <c r="BT464" s="79">
        <f t="shared" si="152"/>
        <v>0</v>
      </c>
      <c r="BU464" s="75"/>
      <c r="BV464" s="76"/>
      <c r="BW464" s="135"/>
      <c r="BX464" s="135"/>
      <c r="BY464" s="77">
        <f t="shared" si="153"/>
        <v>0</v>
      </c>
      <c r="BZ464" s="78"/>
      <c r="CA464" s="142"/>
      <c r="CB464" s="142"/>
      <c r="CC464" s="77">
        <f t="shared" si="154"/>
        <v>0</v>
      </c>
      <c r="CD464" s="78"/>
      <c r="CE464" s="142"/>
      <c r="CF464" s="142"/>
      <c r="CG464" s="79">
        <f t="shared" si="155"/>
        <v>0</v>
      </c>
      <c r="CH464" s="75"/>
      <c r="CI464" s="76"/>
      <c r="CJ464" s="86"/>
      <c r="CK464" s="86"/>
      <c r="CL464" s="77">
        <f t="shared" si="156"/>
        <v>0</v>
      </c>
      <c r="CM464" s="78"/>
      <c r="CN464" s="85"/>
      <c r="CO464" s="85"/>
      <c r="CP464" s="77">
        <f t="shared" si="157"/>
        <v>0</v>
      </c>
      <c r="CQ464" s="78"/>
      <c r="CR464" s="85"/>
      <c r="CS464" s="85"/>
      <c r="CT464" s="79">
        <f t="shared" si="158"/>
        <v>0</v>
      </c>
      <c r="CU464" s="80">
        <f t="shared" si="168"/>
        <v>0</v>
      </c>
      <c r="CV464" s="81">
        <f t="shared" si="169"/>
        <v>0</v>
      </c>
      <c r="CW464" s="144"/>
      <c r="CX464" s="145">
        <f>IF(ISERROR(VLOOKUP($A464,FIJOS!$B$11:$O$590,14,FALSE)),0,VLOOKUP($A464,FIJOS!$B$11:$O$590,14,FALSE))</f>
        <v>0</v>
      </c>
      <c r="CY464" s="145">
        <f>IF(ISERROR(VLOOKUP(A464,FIJOS!$B$10:$P$590,15,FALSE)),0,VLOOKUP(A464,FIJOS!$B$10:$P$590,15,FALSE))</f>
        <v>0</v>
      </c>
      <c r="CZ464" s="155"/>
      <c r="DA464" s="147"/>
      <c r="DB464" s="147"/>
      <c r="DC464" s="147"/>
      <c r="DD464" s="147"/>
      <c r="DE464" s="147"/>
      <c r="DF464" s="145">
        <f>IF(ISERROR(VLOOKUP($A464,FIJOS!$B$11:$N$590,13,FALSE)),0,VLOOKUP($A464,FIJOS!$B$11:$N$590,13,FALSE))</f>
        <v>0</v>
      </c>
      <c r="DG464" s="145">
        <f>IF(ISERROR(VLOOKUP($A464,FIJOS!$B$11:$P$447,12,FALSE)),0,VLOOKUP($A464,FIJOS!$B$11:$P$447,12,FALSE))</f>
        <v>0</v>
      </c>
      <c r="DH464" s="82">
        <f t="shared" si="242"/>
        <v>0</v>
      </c>
      <c r="DI464" s="83" t="b">
        <f>IF($C464=1,(VLOOKUP($A464,FIJOS!$B$11:$P$545,10,FALSE)/7)*(7-$CU464),IF(AND($C464=2,CV464&lt;$DJ$1),(VLOOKUP($D464,HORAS!$B$4:$C$42,2,FALSE)*24)*$CV464,IF(AND($C464=2,CV464&gt;=$DJ$1),VLOOKUP($D464,HORAS!$B$4:$D$42,3,FALSE),IF(AND($C464=3,$CV464&gt;=$DJ$1),VLOOKUP($A464,FIJOS!$B$11:$P$545,10,FALSE),IF(AND($C464=3,$CV464&lt;$DJ$1),((VLOOKUP($A464,FIJOS!$B$11:$P$545,10,FALSE)/48)*24)*$CV464,IF(AND($C464=4,$CV464&gt;=(42/24)),VLOOKUP($D464,HORAS!$B$4:$D$42,3,FALSE),IF(AND($C464=5,$CV464&gt;=(36/24)),VLOOKUP($D464,HORAS!$B$4:$D$42,3,FALSE))))))))</f>
        <v>0</v>
      </c>
      <c r="DJ464" s="145">
        <f>IF(OR($C464=2),VLOOKUP($D464,HORAS!$B$4:$E$42,4,FALSE)*$EC464,IF(ISERROR(VLOOKUP($A464,FIJOS!$B$11:$P$108,9,FALSE)),0,VLOOKUP($A464,FIJOS!$B$11:$P$231,9,FALSE)*$EC464))</f>
        <v>0</v>
      </c>
      <c r="DK464" s="145">
        <f>IF(OR($C464=2),VLOOKUP($D464,HORAS!$B$4:$F$42,5,FALSE)*$EE464,IF(ISERROR(VLOOKUP($A464,FIJOS!$B$11:$P$108,9,FALSE)),0,VLOOKUP($A464,FIJOS!$B$11:$P$231,9,FALSE)*$EE464))</f>
        <v>0</v>
      </c>
      <c r="DL464" s="144"/>
      <c r="DM464" s="145">
        <f>IF(ISERROR(VLOOKUP($A464,FIJOS!$B$11:$L$646,11,FALSE)),0,VLOOKUP($A464,FIJOS!$B$11:$L$646,11,FALSE))</f>
        <v>0</v>
      </c>
      <c r="DN464" s="148" t="e">
        <f>IF(OR($C464=1,$C464=3),0,IF((VLOOKUP(CAPTURA!D464,HORAS!$B$4:$K$42,10,FALSE)/4)*COUNTIF($H464:$CT464,3)&gt;100,100,(VLOOKUP(CAPTURA!D464,HORAS!$B$4:$K$42,10,FALSE)/4)*COUNTIF($H464:$CT464,3)))</f>
        <v>#N/A</v>
      </c>
      <c r="DO464" s="144" t="e">
        <f>IF(OR($C464=1,$C464=3),0,IF($C464=5,VLOOKUP(D464,HORAS!$B$4:$G$42,6,FALSE),IF(AND($C464=4,$CV464&gt;=(42/24)),VLOOKUP(D464,HORAS!$B$4:$G$42,6,FALSE),IF(COUNTIF($H464:$CL464,"F")&gt;0,0,IF(CV464&gt;$DJ$1,$DJ$1*(VLOOKUP(D464,HORAS!$B$4:$G$42,6,FALSE)/$DJ$1),CV464*(VLOOKUP(D464,HORAS!$B$4:$G$42,6,FALSE)/$DJ$1))))))</f>
        <v>#N/A</v>
      </c>
      <c r="DP464" s="156"/>
      <c r="DQ464" s="148"/>
      <c r="DR464" s="148"/>
      <c r="DS464" s="83" t="e">
        <f t="shared" si="162"/>
        <v>#N/A</v>
      </c>
      <c r="DT464" s="84"/>
      <c r="DU464" s="149" t="e">
        <f t="shared" si="243"/>
        <v>#N/A</v>
      </c>
      <c r="DV464" s="149" t="e">
        <f t="shared" si="244"/>
        <v>#N/A</v>
      </c>
      <c r="DW464" s="144" t="e">
        <f t="shared" si="245"/>
        <v>#N/A</v>
      </c>
      <c r="DX464" s="168"/>
      <c r="DY464" s="29"/>
      <c r="DZ464" s="150"/>
      <c r="EA464" s="134"/>
      <c r="EB464" s="137">
        <f t="shared" si="246"/>
        <v>0</v>
      </c>
      <c r="EC464" s="138">
        <f t="shared" si="247"/>
        <v>0</v>
      </c>
      <c r="ED464" s="137">
        <f t="shared" si="248"/>
        <v>0</v>
      </c>
      <c r="EE464" s="132">
        <f t="shared" si="249"/>
        <v>0</v>
      </c>
      <c r="EF464" s="29"/>
      <c r="EG464" s="134"/>
      <c r="EH464" s="134"/>
      <c r="EI464" s="134"/>
      <c r="EK464" s="29"/>
    </row>
    <row r="465" spans="1:141" ht="15" customHeight="1" x14ac:dyDescent="0.25">
      <c r="A465" s="87"/>
      <c r="B465" s="5"/>
      <c r="C465" s="72"/>
      <c r="D465" s="73"/>
      <c r="E465" s="73"/>
      <c r="F465" s="141"/>
      <c r="G465" s="74"/>
      <c r="H465" s="75"/>
      <c r="I465" s="76"/>
      <c r="J465" s="135"/>
      <c r="K465" s="135"/>
      <c r="L465" s="77">
        <f t="shared" si="138"/>
        <v>0</v>
      </c>
      <c r="M465" s="78"/>
      <c r="N465" s="142"/>
      <c r="O465" s="142"/>
      <c r="P465" s="77">
        <f t="shared" si="139"/>
        <v>0</v>
      </c>
      <c r="Q465" s="78"/>
      <c r="R465" s="143"/>
      <c r="S465" s="143"/>
      <c r="T465" s="77">
        <f t="shared" si="140"/>
        <v>0</v>
      </c>
      <c r="U465" s="75"/>
      <c r="V465" s="76"/>
      <c r="W465" s="135"/>
      <c r="X465" s="135"/>
      <c r="Y465" s="77">
        <f t="shared" si="141"/>
        <v>0</v>
      </c>
      <c r="Z465" s="78"/>
      <c r="AA465" s="142"/>
      <c r="AB465" s="142"/>
      <c r="AC465" s="77">
        <f t="shared" si="142"/>
        <v>0</v>
      </c>
      <c r="AD465" s="78"/>
      <c r="AE465" s="143"/>
      <c r="AF465" s="143"/>
      <c r="AG465" s="79">
        <f t="shared" si="143"/>
        <v>0</v>
      </c>
      <c r="AH465" s="75"/>
      <c r="AI465" s="76"/>
      <c r="AJ465" s="135"/>
      <c r="AK465" s="135"/>
      <c r="AL465" s="77">
        <f t="shared" si="144"/>
        <v>0</v>
      </c>
      <c r="AM465" s="76"/>
      <c r="AN465" s="142"/>
      <c r="AO465" s="142"/>
      <c r="AP465" s="77">
        <f t="shared" si="145"/>
        <v>0</v>
      </c>
      <c r="AQ465" s="78"/>
      <c r="AR465" s="142"/>
      <c r="AS465" s="142"/>
      <c r="AT465" s="79">
        <f t="shared" si="146"/>
        <v>0</v>
      </c>
      <c r="AU465" s="75"/>
      <c r="AV465" s="76"/>
      <c r="AW465" s="135"/>
      <c r="AX465" s="135"/>
      <c r="AY465" s="77">
        <f t="shared" si="147"/>
        <v>0</v>
      </c>
      <c r="AZ465" s="76"/>
      <c r="BA465" s="142"/>
      <c r="BB465" s="142"/>
      <c r="BC465" s="77">
        <f t="shared" si="148"/>
        <v>0</v>
      </c>
      <c r="BD465" s="78"/>
      <c r="BE465" s="142"/>
      <c r="BF465" s="142"/>
      <c r="BG465" s="79">
        <f t="shared" si="149"/>
        <v>0</v>
      </c>
      <c r="BH465" s="75"/>
      <c r="BI465" s="76"/>
      <c r="BJ465" s="135"/>
      <c r="BK465" s="135"/>
      <c r="BL465" s="77">
        <f t="shared" si="150"/>
        <v>0</v>
      </c>
      <c r="BM465" s="78"/>
      <c r="BN465" s="142"/>
      <c r="BO465" s="142"/>
      <c r="BP465" s="77">
        <f t="shared" si="151"/>
        <v>0</v>
      </c>
      <c r="BQ465" s="78"/>
      <c r="BR465" s="142"/>
      <c r="BS465" s="142"/>
      <c r="BT465" s="79">
        <f t="shared" si="152"/>
        <v>0</v>
      </c>
      <c r="BU465" s="75"/>
      <c r="BV465" s="76"/>
      <c r="BW465" s="135"/>
      <c r="BX465" s="135"/>
      <c r="BY465" s="77">
        <f t="shared" si="153"/>
        <v>0</v>
      </c>
      <c r="BZ465" s="78"/>
      <c r="CA465" s="142"/>
      <c r="CB465" s="142"/>
      <c r="CC465" s="77">
        <f t="shared" si="154"/>
        <v>0</v>
      </c>
      <c r="CD465" s="78"/>
      <c r="CE465" s="142"/>
      <c r="CF465" s="142"/>
      <c r="CG465" s="79">
        <f t="shared" si="155"/>
        <v>0</v>
      </c>
      <c r="CH465" s="75"/>
      <c r="CI465" s="76"/>
      <c r="CJ465" s="86"/>
      <c r="CK465" s="86"/>
      <c r="CL465" s="77">
        <f t="shared" si="156"/>
        <v>0</v>
      </c>
      <c r="CM465" s="78"/>
      <c r="CN465" s="85"/>
      <c r="CO465" s="85"/>
      <c r="CP465" s="77">
        <f t="shared" si="157"/>
        <v>0</v>
      </c>
      <c r="CQ465" s="78"/>
      <c r="CR465" s="85"/>
      <c r="CS465" s="85"/>
      <c r="CT465" s="79">
        <f t="shared" si="158"/>
        <v>0</v>
      </c>
      <c r="CU465" s="80">
        <f t="shared" si="168"/>
        <v>0</v>
      </c>
      <c r="CV465" s="81">
        <f t="shared" si="169"/>
        <v>0</v>
      </c>
      <c r="CW465" s="144"/>
      <c r="CX465" s="145">
        <f>IF(ISERROR(VLOOKUP($A465,FIJOS!$B$11:$O$590,14,FALSE)),0,VLOOKUP($A465,FIJOS!$B$11:$O$590,14,FALSE))</f>
        <v>0</v>
      </c>
      <c r="CY465" s="145">
        <f>IF(ISERROR(VLOOKUP(A465,FIJOS!$B$10:$P$590,15,FALSE)),0,VLOOKUP(A465,FIJOS!$B$10:$P$590,15,FALSE))</f>
        <v>0</v>
      </c>
      <c r="CZ465" s="155"/>
      <c r="DA465" s="147"/>
      <c r="DB465" s="147"/>
      <c r="DC465" s="147"/>
      <c r="DD465" s="147"/>
      <c r="DE465" s="147"/>
      <c r="DF465" s="145">
        <f>IF(ISERROR(VLOOKUP($A465,FIJOS!$B$11:$N$590,13,FALSE)),0,VLOOKUP($A465,FIJOS!$B$11:$N$590,13,FALSE))</f>
        <v>0</v>
      </c>
      <c r="DG465" s="145">
        <f>IF(ISERROR(VLOOKUP($A465,FIJOS!$B$11:$P$447,12,FALSE)),0,VLOOKUP($A465,FIJOS!$B$11:$P$447,12,FALSE))</f>
        <v>0</v>
      </c>
      <c r="DH465" s="82">
        <f t="shared" si="242"/>
        <v>0</v>
      </c>
      <c r="DI465" s="83" t="b">
        <f>IF($C465=1,(VLOOKUP($A465,FIJOS!$B$11:$P$545,10,FALSE)/7)*(7-$CU465),IF(AND($C465=2,CV465&lt;$DJ$1),(VLOOKUP($D465,HORAS!$B$4:$C$42,2,FALSE)*24)*$CV465,IF(AND($C465=2,CV465&gt;=$DJ$1),VLOOKUP($D465,HORAS!$B$4:$D$42,3,FALSE),IF(AND($C465=3,$CV465&gt;=$DJ$1),VLOOKUP($A465,FIJOS!$B$11:$P$545,10,FALSE),IF(AND($C465=3,$CV465&lt;$DJ$1),((VLOOKUP($A465,FIJOS!$B$11:$P$545,10,FALSE)/48)*24)*$CV465,IF(AND($C465=4,$CV465&gt;=(42/24)),VLOOKUP($D465,HORAS!$B$4:$D$42,3,FALSE),IF(AND($C465=5,$CV465&gt;=(36/24)),VLOOKUP($D465,HORAS!$B$4:$D$42,3,FALSE))))))))</f>
        <v>0</v>
      </c>
      <c r="DJ465" s="145">
        <f>IF(OR($C465=2),VLOOKUP($D465,HORAS!$B$4:$E$42,4,FALSE)*$EC465,IF(ISERROR(VLOOKUP($A465,FIJOS!$B$11:$P$108,9,FALSE)),0,VLOOKUP($A465,FIJOS!$B$11:$P$231,9,FALSE)*$EC465))</f>
        <v>0</v>
      </c>
      <c r="DK465" s="145">
        <f>IF(OR($C465=2),VLOOKUP($D465,HORAS!$B$4:$F$42,5,FALSE)*$EE465,IF(ISERROR(VLOOKUP($A465,FIJOS!$B$11:$P$108,9,FALSE)),0,VLOOKUP($A465,FIJOS!$B$11:$P$231,9,FALSE)*$EE465))</f>
        <v>0</v>
      </c>
      <c r="DL465" s="144"/>
      <c r="DM465" s="145">
        <f>IF(ISERROR(VLOOKUP($A465,FIJOS!$B$11:$L$646,11,FALSE)),0,VLOOKUP($A465,FIJOS!$B$11:$L$646,11,FALSE))</f>
        <v>0</v>
      </c>
      <c r="DN465" s="148" t="e">
        <f>IF(OR($C465=1,$C465=3),0,IF((VLOOKUP(CAPTURA!D465,HORAS!$B$4:$K$42,10,FALSE)/4)*COUNTIF($H465:$CT465,3)&gt;100,100,(VLOOKUP(CAPTURA!D465,HORAS!$B$4:$K$42,10,FALSE)/4)*COUNTIF($H465:$CT465,3)))</f>
        <v>#N/A</v>
      </c>
      <c r="DO465" s="144" t="e">
        <f>IF(OR($C465=1,$C465=3),0,IF($C465=5,VLOOKUP(D465,HORAS!$B$4:$G$42,6,FALSE),IF(AND($C465=4,$CV465&gt;=(42/24)),VLOOKUP(D465,HORAS!$B$4:$G$42,6,FALSE),IF(COUNTIF($H465:$CL465,"F")&gt;0,0,IF(CV465&gt;$DJ$1,$DJ$1*(VLOOKUP(D465,HORAS!$B$4:$G$42,6,FALSE)/$DJ$1),CV465*(VLOOKUP(D465,HORAS!$B$4:$G$42,6,FALSE)/$DJ$1))))))</f>
        <v>#N/A</v>
      </c>
      <c r="DP465" s="156"/>
      <c r="DQ465" s="148"/>
      <c r="DR465" s="148"/>
      <c r="DS465" s="83" t="e">
        <f t="shared" si="162"/>
        <v>#N/A</v>
      </c>
      <c r="DT465" s="84"/>
      <c r="DU465" s="149" t="e">
        <f t="shared" si="243"/>
        <v>#N/A</v>
      </c>
      <c r="DV465" s="149" t="e">
        <f t="shared" si="244"/>
        <v>#N/A</v>
      </c>
      <c r="DW465" s="144" t="e">
        <f t="shared" si="245"/>
        <v>#N/A</v>
      </c>
      <c r="DX465" s="168"/>
      <c r="DY465" s="29"/>
      <c r="DZ465" s="150"/>
      <c r="EA465" s="134"/>
      <c r="EB465" s="137">
        <f t="shared" si="246"/>
        <v>0</v>
      </c>
      <c r="EC465" s="138">
        <f t="shared" si="247"/>
        <v>0</v>
      </c>
      <c r="ED465" s="137">
        <f t="shared" si="248"/>
        <v>0</v>
      </c>
      <c r="EE465" s="132">
        <f t="shared" si="249"/>
        <v>0</v>
      </c>
      <c r="EF465" s="29"/>
      <c r="EG465" s="134"/>
      <c r="EH465" s="134"/>
      <c r="EI465" s="134"/>
      <c r="EK465" s="29"/>
    </row>
    <row r="466" spans="1:141" ht="15" customHeight="1" x14ac:dyDescent="0.25">
      <c r="A466" s="87"/>
      <c r="B466" s="5"/>
      <c r="C466" s="72"/>
      <c r="D466" s="73"/>
      <c r="E466" s="73"/>
      <c r="F466" s="141"/>
      <c r="G466" s="74"/>
      <c r="H466" s="75"/>
      <c r="I466" s="76"/>
      <c r="J466" s="135"/>
      <c r="K466" s="135"/>
      <c r="L466" s="77">
        <f t="shared" si="138"/>
        <v>0</v>
      </c>
      <c r="M466" s="78"/>
      <c r="N466" s="142"/>
      <c r="O466" s="142"/>
      <c r="P466" s="77">
        <f t="shared" si="139"/>
        <v>0</v>
      </c>
      <c r="Q466" s="78"/>
      <c r="R466" s="143"/>
      <c r="S466" s="143"/>
      <c r="T466" s="77">
        <f t="shared" si="140"/>
        <v>0</v>
      </c>
      <c r="U466" s="75"/>
      <c r="V466" s="76"/>
      <c r="W466" s="135"/>
      <c r="X466" s="135"/>
      <c r="Y466" s="77">
        <f t="shared" si="141"/>
        <v>0</v>
      </c>
      <c r="Z466" s="78"/>
      <c r="AA466" s="142"/>
      <c r="AB466" s="142"/>
      <c r="AC466" s="77">
        <f t="shared" si="142"/>
        <v>0</v>
      </c>
      <c r="AD466" s="78"/>
      <c r="AE466" s="143"/>
      <c r="AF466" s="143"/>
      <c r="AG466" s="79">
        <f t="shared" si="143"/>
        <v>0</v>
      </c>
      <c r="AH466" s="75"/>
      <c r="AI466" s="76"/>
      <c r="AJ466" s="135"/>
      <c r="AK466" s="135"/>
      <c r="AL466" s="77">
        <f t="shared" si="144"/>
        <v>0</v>
      </c>
      <c r="AM466" s="76"/>
      <c r="AN466" s="142"/>
      <c r="AO466" s="142"/>
      <c r="AP466" s="77">
        <f t="shared" si="145"/>
        <v>0</v>
      </c>
      <c r="AQ466" s="78"/>
      <c r="AR466" s="142"/>
      <c r="AS466" s="142"/>
      <c r="AT466" s="79">
        <f t="shared" si="146"/>
        <v>0</v>
      </c>
      <c r="AU466" s="75"/>
      <c r="AV466" s="76"/>
      <c r="AW466" s="135"/>
      <c r="AX466" s="135"/>
      <c r="AY466" s="77">
        <f t="shared" si="147"/>
        <v>0</v>
      </c>
      <c r="AZ466" s="76"/>
      <c r="BA466" s="142"/>
      <c r="BB466" s="142"/>
      <c r="BC466" s="77">
        <f t="shared" si="148"/>
        <v>0</v>
      </c>
      <c r="BD466" s="78"/>
      <c r="BE466" s="142"/>
      <c r="BF466" s="142"/>
      <c r="BG466" s="79">
        <f t="shared" si="149"/>
        <v>0</v>
      </c>
      <c r="BH466" s="75"/>
      <c r="BI466" s="76"/>
      <c r="BJ466" s="135"/>
      <c r="BK466" s="135"/>
      <c r="BL466" s="77">
        <f t="shared" si="150"/>
        <v>0</v>
      </c>
      <c r="BM466" s="78"/>
      <c r="BN466" s="142"/>
      <c r="BO466" s="142"/>
      <c r="BP466" s="77">
        <f t="shared" si="151"/>
        <v>0</v>
      </c>
      <c r="BQ466" s="78"/>
      <c r="BR466" s="142"/>
      <c r="BS466" s="142"/>
      <c r="BT466" s="79">
        <f t="shared" si="152"/>
        <v>0</v>
      </c>
      <c r="BU466" s="75"/>
      <c r="BV466" s="76"/>
      <c r="BW466" s="135"/>
      <c r="BX466" s="135"/>
      <c r="BY466" s="77">
        <f t="shared" si="153"/>
        <v>0</v>
      </c>
      <c r="BZ466" s="78"/>
      <c r="CA466" s="142"/>
      <c r="CB466" s="142"/>
      <c r="CC466" s="77">
        <f t="shared" si="154"/>
        <v>0</v>
      </c>
      <c r="CD466" s="78"/>
      <c r="CE466" s="142"/>
      <c r="CF466" s="142"/>
      <c r="CG466" s="79">
        <f t="shared" si="155"/>
        <v>0</v>
      </c>
      <c r="CH466" s="75"/>
      <c r="CI466" s="76"/>
      <c r="CJ466" s="86"/>
      <c r="CK466" s="86"/>
      <c r="CL466" s="77">
        <f t="shared" si="156"/>
        <v>0</v>
      </c>
      <c r="CM466" s="78"/>
      <c r="CN466" s="85"/>
      <c r="CO466" s="85"/>
      <c r="CP466" s="77">
        <f t="shared" si="157"/>
        <v>0</v>
      </c>
      <c r="CQ466" s="78"/>
      <c r="CR466" s="85"/>
      <c r="CS466" s="85"/>
      <c r="CT466" s="79">
        <f t="shared" si="158"/>
        <v>0</v>
      </c>
      <c r="CU466" s="80">
        <f t="shared" si="168"/>
        <v>0</v>
      </c>
      <c r="CV466" s="81">
        <f t="shared" si="169"/>
        <v>0</v>
      </c>
      <c r="CW466" s="144"/>
      <c r="CX466" s="145">
        <f>IF(ISERROR(VLOOKUP($A466,FIJOS!$B$11:$O$590,14,FALSE)),0,VLOOKUP($A466,FIJOS!$B$11:$O$590,14,FALSE))</f>
        <v>0</v>
      </c>
      <c r="CY466" s="145">
        <f>IF(ISERROR(VLOOKUP(A466,FIJOS!$B$10:$P$590,15,FALSE)),0,VLOOKUP(A466,FIJOS!$B$10:$P$590,15,FALSE))</f>
        <v>0</v>
      </c>
      <c r="CZ466" s="155"/>
      <c r="DA466" s="147"/>
      <c r="DB466" s="147"/>
      <c r="DC466" s="147"/>
      <c r="DD466" s="147"/>
      <c r="DE466" s="147"/>
      <c r="DF466" s="145">
        <f>IF(ISERROR(VLOOKUP($A466,FIJOS!$B$11:$N$590,13,FALSE)),0,VLOOKUP($A466,FIJOS!$B$11:$N$590,13,FALSE))</f>
        <v>0</v>
      </c>
      <c r="DG466" s="145">
        <f>IF(ISERROR(VLOOKUP($A466,FIJOS!$B$11:$P$447,12,FALSE)),0,VLOOKUP($A466,FIJOS!$B$11:$P$447,12,FALSE))</f>
        <v>0</v>
      </c>
      <c r="DH466" s="82">
        <f t="shared" si="242"/>
        <v>0</v>
      </c>
      <c r="DI466" s="83" t="b">
        <f>IF($C466=1,(VLOOKUP($A466,FIJOS!$B$11:$P$545,10,FALSE)/7)*(7-$CU466),IF(AND($C466=2,CV466&lt;$DJ$1),(VLOOKUP($D466,HORAS!$B$4:$C$42,2,FALSE)*24)*$CV466,IF(AND($C466=2,CV466&gt;=$DJ$1),VLOOKUP($D466,HORAS!$B$4:$D$42,3,FALSE),IF(AND($C466=3,$CV466&gt;=$DJ$1),VLOOKUP($A466,FIJOS!$B$11:$P$545,10,FALSE),IF(AND($C466=3,$CV466&lt;$DJ$1),((VLOOKUP($A466,FIJOS!$B$11:$P$545,10,FALSE)/48)*24)*$CV466,IF(AND($C466=4,$CV466&gt;=(42/24)),VLOOKUP($D466,HORAS!$B$4:$D$42,3,FALSE),IF(AND($C466=5,$CV466&gt;=(36/24)),VLOOKUP($D466,HORAS!$B$4:$D$42,3,FALSE))))))))</f>
        <v>0</v>
      </c>
      <c r="DJ466" s="145">
        <f>IF(OR($C466=2),VLOOKUP($D466,HORAS!$B$4:$E$42,4,FALSE)*$EC466,IF(ISERROR(VLOOKUP($A466,FIJOS!$B$11:$P$108,9,FALSE)),0,VLOOKUP($A466,FIJOS!$B$11:$P$231,9,FALSE)*$EC466))</f>
        <v>0</v>
      </c>
      <c r="DK466" s="145">
        <f>IF(OR($C466=2),VLOOKUP($D466,HORAS!$B$4:$F$42,5,FALSE)*$EE466,IF(ISERROR(VLOOKUP($A466,FIJOS!$B$11:$P$108,9,FALSE)),0,VLOOKUP($A466,FIJOS!$B$11:$P$231,9,FALSE)*$EE466))</f>
        <v>0</v>
      </c>
      <c r="DL466" s="144"/>
      <c r="DM466" s="145">
        <f>IF(ISERROR(VLOOKUP($A466,FIJOS!$B$11:$L$646,11,FALSE)),0,VLOOKUP($A466,FIJOS!$B$11:$L$646,11,FALSE))</f>
        <v>0</v>
      </c>
      <c r="DN466" s="148" t="e">
        <f>IF(OR($C466=1,$C466=3),0,IF((VLOOKUP(CAPTURA!D466,HORAS!$B$4:$K$42,10,FALSE)/4)*COUNTIF($H466:$CT466,3)&gt;100,100,(VLOOKUP(CAPTURA!D466,HORAS!$B$4:$K$42,10,FALSE)/4)*COUNTIF($H466:$CT466,3)))</f>
        <v>#N/A</v>
      </c>
      <c r="DO466" s="144" t="e">
        <f>IF(OR($C466=1,$C466=3),0,IF($C466=5,VLOOKUP(D466,HORAS!$B$4:$G$42,6,FALSE),IF(AND($C466=4,$CV466&gt;=(42/24)),VLOOKUP(D466,HORAS!$B$4:$G$42,6,FALSE),IF(COUNTIF($H466:$CL466,"F")&gt;0,0,IF(CV466&gt;$DJ$1,$DJ$1*(VLOOKUP(D466,HORAS!$B$4:$G$42,6,FALSE)/$DJ$1),CV466*(VLOOKUP(D466,HORAS!$B$4:$G$42,6,FALSE)/$DJ$1))))))</f>
        <v>#N/A</v>
      </c>
      <c r="DP466" s="156"/>
      <c r="DQ466" s="148"/>
      <c r="DR466" s="148"/>
      <c r="DS466" s="83" t="e">
        <f t="shared" si="162"/>
        <v>#N/A</v>
      </c>
      <c r="DT466" s="84"/>
      <c r="DU466" s="149" t="e">
        <f t="shared" si="243"/>
        <v>#N/A</v>
      </c>
      <c r="DV466" s="149" t="e">
        <f t="shared" si="244"/>
        <v>#N/A</v>
      </c>
      <c r="DW466" s="144" t="e">
        <f t="shared" si="245"/>
        <v>#N/A</v>
      </c>
      <c r="DX466" s="168"/>
      <c r="DY466" s="29"/>
      <c r="DZ466" s="150"/>
      <c r="EA466" s="134"/>
      <c r="EB466" s="137">
        <f t="shared" si="246"/>
        <v>0</v>
      </c>
      <c r="EC466" s="138">
        <f t="shared" si="247"/>
        <v>0</v>
      </c>
      <c r="ED466" s="137">
        <f t="shared" si="248"/>
        <v>0</v>
      </c>
      <c r="EE466" s="132">
        <f t="shared" si="249"/>
        <v>0</v>
      </c>
      <c r="EF466" s="29"/>
      <c r="EG466" s="134"/>
      <c r="EH466" s="134"/>
      <c r="EI466" s="134"/>
      <c r="EK466" s="29"/>
    </row>
    <row r="467" spans="1:141" ht="15" customHeight="1" x14ac:dyDescent="0.25">
      <c r="A467" s="87"/>
      <c r="B467" s="5"/>
      <c r="C467" s="72"/>
      <c r="D467" s="73"/>
      <c r="E467" s="73"/>
      <c r="F467" s="141"/>
      <c r="G467" s="74"/>
      <c r="H467" s="75"/>
      <c r="I467" s="76"/>
      <c r="J467" s="135"/>
      <c r="K467" s="135"/>
      <c r="L467" s="77">
        <f t="shared" si="138"/>
        <v>0</v>
      </c>
      <c r="M467" s="78"/>
      <c r="N467" s="142"/>
      <c r="O467" s="142"/>
      <c r="P467" s="77">
        <f t="shared" si="139"/>
        <v>0</v>
      </c>
      <c r="Q467" s="78"/>
      <c r="R467" s="143"/>
      <c r="S467" s="143"/>
      <c r="T467" s="77">
        <f t="shared" si="140"/>
        <v>0</v>
      </c>
      <c r="U467" s="75"/>
      <c r="V467" s="76"/>
      <c r="W467" s="135"/>
      <c r="X467" s="135"/>
      <c r="Y467" s="77">
        <f t="shared" si="141"/>
        <v>0</v>
      </c>
      <c r="Z467" s="78"/>
      <c r="AA467" s="142"/>
      <c r="AB467" s="142"/>
      <c r="AC467" s="77">
        <f t="shared" si="142"/>
        <v>0</v>
      </c>
      <c r="AD467" s="78"/>
      <c r="AE467" s="143"/>
      <c r="AF467" s="143"/>
      <c r="AG467" s="79">
        <f t="shared" si="143"/>
        <v>0</v>
      </c>
      <c r="AH467" s="75"/>
      <c r="AI467" s="76"/>
      <c r="AJ467" s="135"/>
      <c r="AK467" s="135"/>
      <c r="AL467" s="77">
        <f t="shared" si="144"/>
        <v>0</v>
      </c>
      <c r="AM467" s="76"/>
      <c r="AN467" s="142"/>
      <c r="AO467" s="142"/>
      <c r="AP467" s="77">
        <f t="shared" si="145"/>
        <v>0</v>
      </c>
      <c r="AQ467" s="78"/>
      <c r="AR467" s="142"/>
      <c r="AS467" s="142"/>
      <c r="AT467" s="79">
        <f t="shared" si="146"/>
        <v>0</v>
      </c>
      <c r="AU467" s="75"/>
      <c r="AV467" s="76"/>
      <c r="AW467" s="135"/>
      <c r="AX467" s="135"/>
      <c r="AY467" s="77">
        <f t="shared" si="147"/>
        <v>0</v>
      </c>
      <c r="AZ467" s="76"/>
      <c r="BA467" s="142"/>
      <c r="BB467" s="142"/>
      <c r="BC467" s="77">
        <f t="shared" si="148"/>
        <v>0</v>
      </c>
      <c r="BD467" s="78"/>
      <c r="BE467" s="142"/>
      <c r="BF467" s="142"/>
      <c r="BG467" s="79">
        <f t="shared" si="149"/>
        <v>0</v>
      </c>
      <c r="BH467" s="75"/>
      <c r="BI467" s="76"/>
      <c r="BJ467" s="135"/>
      <c r="BK467" s="135"/>
      <c r="BL467" s="77">
        <f t="shared" si="150"/>
        <v>0</v>
      </c>
      <c r="BM467" s="78"/>
      <c r="BN467" s="142"/>
      <c r="BO467" s="142"/>
      <c r="BP467" s="77">
        <f t="shared" si="151"/>
        <v>0</v>
      </c>
      <c r="BQ467" s="78"/>
      <c r="BR467" s="142"/>
      <c r="BS467" s="142"/>
      <c r="BT467" s="79">
        <f t="shared" si="152"/>
        <v>0</v>
      </c>
      <c r="BU467" s="75"/>
      <c r="BV467" s="76"/>
      <c r="BW467" s="135"/>
      <c r="BX467" s="135"/>
      <c r="BY467" s="77">
        <f t="shared" si="153"/>
        <v>0</v>
      </c>
      <c r="BZ467" s="78"/>
      <c r="CA467" s="142"/>
      <c r="CB467" s="142"/>
      <c r="CC467" s="77">
        <f t="shared" si="154"/>
        <v>0</v>
      </c>
      <c r="CD467" s="78"/>
      <c r="CE467" s="142"/>
      <c r="CF467" s="142"/>
      <c r="CG467" s="79">
        <f t="shared" si="155"/>
        <v>0</v>
      </c>
      <c r="CH467" s="75"/>
      <c r="CI467" s="76"/>
      <c r="CJ467" s="86"/>
      <c r="CK467" s="86"/>
      <c r="CL467" s="77">
        <f t="shared" si="156"/>
        <v>0</v>
      </c>
      <c r="CM467" s="78"/>
      <c r="CN467" s="85"/>
      <c r="CO467" s="85"/>
      <c r="CP467" s="77">
        <f t="shared" si="157"/>
        <v>0</v>
      </c>
      <c r="CQ467" s="78"/>
      <c r="CR467" s="85"/>
      <c r="CS467" s="85"/>
      <c r="CT467" s="79">
        <f t="shared" si="158"/>
        <v>0</v>
      </c>
      <c r="CU467" s="80">
        <f t="shared" si="168"/>
        <v>0</v>
      </c>
      <c r="CV467" s="81">
        <f t="shared" si="169"/>
        <v>0</v>
      </c>
      <c r="CW467" s="144"/>
      <c r="CX467" s="145">
        <f>IF(ISERROR(VLOOKUP($A467,FIJOS!$B$11:$O$590,14,FALSE)),0,VLOOKUP($A467,FIJOS!$B$11:$O$590,14,FALSE))</f>
        <v>0</v>
      </c>
      <c r="CY467" s="145">
        <f>IF(ISERROR(VLOOKUP(A467,FIJOS!$B$10:$P$590,15,FALSE)),0,VLOOKUP(A467,FIJOS!$B$10:$P$590,15,FALSE))</f>
        <v>0</v>
      </c>
      <c r="CZ467" s="155"/>
      <c r="DA467" s="147"/>
      <c r="DB467" s="147"/>
      <c r="DC467" s="147"/>
      <c r="DD467" s="147"/>
      <c r="DE467" s="147"/>
      <c r="DF467" s="145">
        <f>IF(ISERROR(VLOOKUP($A467,FIJOS!$B$11:$N$590,13,FALSE)),0,VLOOKUP($A467,FIJOS!$B$11:$N$590,13,FALSE))</f>
        <v>0</v>
      </c>
      <c r="DG467" s="145">
        <f>IF(ISERROR(VLOOKUP($A467,FIJOS!$B$11:$P$447,12,FALSE)),0,VLOOKUP($A467,FIJOS!$B$11:$P$447,12,FALSE))</f>
        <v>0</v>
      </c>
      <c r="DH467" s="82">
        <f t="shared" si="242"/>
        <v>0</v>
      </c>
      <c r="DI467" s="83" t="b">
        <f>IF($C467=1,(VLOOKUP($A467,FIJOS!$B$11:$P$545,10,FALSE)/7)*(7-$CU467),IF(AND($C467=2,CV467&lt;$DJ$1),(VLOOKUP($D467,HORAS!$B$4:$C$42,2,FALSE)*24)*$CV467,IF(AND($C467=2,CV467&gt;=$DJ$1),VLOOKUP($D467,HORAS!$B$4:$D$42,3,FALSE),IF(AND($C467=3,$CV467&gt;=$DJ$1),VLOOKUP($A467,FIJOS!$B$11:$P$545,10,FALSE),IF(AND($C467=3,$CV467&lt;$DJ$1),((VLOOKUP($A467,FIJOS!$B$11:$P$545,10,FALSE)/48)*24)*$CV467,IF(AND($C467=4,$CV467&gt;=(42/24)),VLOOKUP($D467,HORAS!$B$4:$D$42,3,FALSE),IF(AND($C467=5,$CV467&gt;=(36/24)),VLOOKUP($D467,HORAS!$B$4:$D$42,3,FALSE))))))))</f>
        <v>0</v>
      </c>
      <c r="DJ467" s="145">
        <f>IF(OR($C467=2),VLOOKUP($D467,HORAS!$B$4:$E$42,4,FALSE)*$EC467,IF(ISERROR(VLOOKUP($A467,FIJOS!$B$11:$P$108,9,FALSE)),0,VLOOKUP($A467,FIJOS!$B$11:$P$231,9,FALSE)*$EC467))</f>
        <v>0</v>
      </c>
      <c r="DK467" s="145">
        <f>IF(OR($C467=2),VLOOKUP($D467,HORAS!$B$4:$F$42,5,FALSE)*$EE467,IF(ISERROR(VLOOKUP($A467,FIJOS!$B$11:$P$108,9,FALSE)),0,VLOOKUP($A467,FIJOS!$B$11:$P$231,9,FALSE)*$EE467))</f>
        <v>0</v>
      </c>
      <c r="DL467" s="144"/>
      <c r="DM467" s="145">
        <f>IF(ISERROR(VLOOKUP($A467,FIJOS!$B$11:$L$646,11,FALSE)),0,VLOOKUP($A467,FIJOS!$B$11:$L$646,11,FALSE))</f>
        <v>0</v>
      </c>
      <c r="DN467" s="148" t="e">
        <f>IF(OR($C467=1,$C467=3),0,IF((VLOOKUP(CAPTURA!D467,HORAS!$B$4:$K$42,10,FALSE)/4)*COUNTIF($H467:$CT467,3)&gt;100,100,(VLOOKUP(CAPTURA!D467,HORAS!$B$4:$K$42,10,FALSE)/4)*COUNTIF($H467:$CT467,3)))</f>
        <v>#N/A</v>
      </c>
      <c r="DO467" s="144" t="e">
        <f>IF(OR($C467=1,$C467=3),0,IF($C467=5,VLOOKUP(D467,HORAS!$B$4:$G$42,6,FALSE),IF(AND($C467=4,$CV467&gt;=(42/24)),VLOOKUP(D467,HORAS!$B$4:$G$42,6,FALSE),IF(COUNTIF($H467:$CL467,"F")&gt;0,0,IF(CV467&gt;$DJ$1,$DJ$1*(VLOOKUP(D467,HORAS!$B$4:$G$42,6,FALSE)/$DJ$1),CV467*(VLOOKUP(D467,HORAS!$B$4:$G$42,6,FALSE)/$DJ$1))))))</f>
        <v>#N/A</v>
      </c>
      <c r="DP467" s="156"/>
      <c r="DQ467" s="148"/>
      <c r="DR467" s="148"/>
      <c r="DS467" s="83" t="e">
        <f t="shared" si="162"/>
        <v>#N/A</v>
      </c>
      <c r="DT467" s="84"/>
      <c r="DU467" s="149" t="e">
        <f t="shared" si="243"/>
        <v>#N/A</v>
      </c>
      <c r="DV467" s="149" t="e">
        <f t="shared" si="244"/>
        <v>#N/A</v>
      </c>
      <c r="DW467" s="144" t="e">
        <f t="shared" si="245"/>
        <v>#N/A</v>
      </c>
      <c r="DX467" s="168"/>
      <c r="DY467" s="29"/>
      <c r="DZ467" s="150"/>
      <c r="EA467" s="134"/>
      <c r="EB467" s="137">
        <f t="shared" si="246"/>
        <v>0</v>
      </c>
      <c r="EC467" s="138">
        <f t="shared" si="247"/>
        <v>0</v>
      </c>
      <c r="ED467" s="137">
        <f t="shared" si="248"/>
        <v>0</v>
      </c>
      <c r="EE467" s="132">
        <f t="shared" si="249"/>
        <v>0</v>
      </c>
      <c r="EF467" s="29"/>
      <c r="EG467" s="134"/>
      <c r="EH467" s="134"/>
      <c r="EI467" s="134"/>
      <c r="EK467" s="29"/>
    </row>
    <row r="468" spans="1:141" ht="15" customHeight="1" x14ac:dyDescent="0.25">
      <c r="A468" s="87"/>
      <c r="B468" s="5"/>
      <c r="C468" s="72"/>
      <c r="D468" s="73"/>
      <c r="E468" s="73"/>
      <c r="F468" s="141"/>
      <c r="G468" s="74"/>
      <c r="H468" s="75"/>
      <c r="I468" s="76"/>
      <c r="J468" s="135"/>
      <c r="K468" s="135"/>
      <c r="L468" s="77">
        <f t="shared" si="138"/>
        <v>0</v>
      </c>
      <c r="M468" s="78"/>
      <c r="N468" s="142"/>
      <c r="O468" s="142"/>
      <c r="P468" s="77">
        <f t="shared" si="139"/>
        <v>0</v>
      </c>
      <c r="Q468" s="78"/>
      <c r="R468" s="143"/>
      <c r="S468" s="143"/>
      <c r="T468" s="77">
        <f t="shared" si="140"/>
        <v>0</v>
      </c>
      <c r="U468" s="75"/>
      <c r="V468" s="76"/>
      <c r="W468" s="135"/>
      <c r="X468" s="135"/>
      <c r="Y468" s="77">
        <f t="shared" si="141"/>
        <v>0</v>
      </c>
      <c r="Z468" s="78"/>
      <c r="AA468" s="142"/>
      <c r="AB468" s="142"/>
      <c r="AC468" s="77">
        <f t="shared" si="142"/>
        <v>0</v>
      </c>
      <c r="AD468" s="78"/>
      <c r="AE468" s="143"/>
      <c r="AF468" s="143"/>
      <c r="AG468" s="79">
        <f t="shared" si="143"/>
        <v>0</v>
      </c>
      <c r="AH468" s="75"/>
      <c r="AI468" s="76"/>
      <c r="AJ468" s="135"/>
      <c r="AK468" s="135"/>
      <c r="AL468" s="77">
        <f t="shared" si="144"/>
        <v>0</v>
      </c>
      <c r="AM468" s="76"/>
      <c r="AN468" s="142"/>
      <c r="AO468" s="142"/>
      <c r="AP468" s="77">
        <f t="shared" si="145"/>
        <v>0</v>
      </c>
      <c r="AQ468" s="78"/>
      <c r="AR468" s="142"/>
      <c r="AS468" s="142"/>
      <c r="AT468" s="79">
        <f t="shared" si="146"/>
        <v>0</v>
      </c>
      <c r="AU468" s="75"/>
      <c r="AV468" s="76"/>
      <c r="AW468" s="135"/>
      <c r="AX468" s="135"/>
      <c r="AY468" s="77">
        <f t="shared" si="147"/>
        <v>0</v>
      </c>
      <c r="AZ468" s="76"/>
      <c r="BA468" s="142"/>
      <c r="BB468" s="142"/>
      <c r="BC468" s="77">
        <f t="shared" si="148"/>
        <v>0</v>
      </c>
      <c r="BD468" s="78"/>
      <c r="BE468" s="142"/>
      <c r="BF468" s="142"/>
      <c r="BG468" s="79">
        <f t="shared" si="149"/>
        <v>0</v>
      </c>
      <c r="BH468" s="75"/>
      <c r="BI468" s="76"/>
      <c r="BJ468" s="135"/>
      <c r="BK468" s="135"/>
      <c r="BL468" s="77">
        <f t="shared" si="150"/>
        <v>0</v>
      </c>
      <c r="BM468" s="78"/>
      <c r="BN468" s="142"/>
      <c r="BO468" s="142"/>
      <c r="BP468" s="77">
        <f t="shared" si="151"/>
        <v>0</v>
      </c>
      <c r="BQ468" s="78"/>
      <c r="BR468" s="142"/>
      <c r="BS468" s="142"/>
      <c r="BT468" s="79">
        <f t="shared" si="152"/>
        <v>0</v>
      </c>
      <c r="BU468" s="75"/>
      <c r="BV468" s="76"/>
      <c r="BW468" s="135"/>
      <c r="BX468" s="135"/>
      <c r="BY468" s="77">
        <f t="shared" si="153"/>
        <v>0</v>
      </c>
      <c r="BZ468" s="78"/>
      <c r="CA468" s="142"/>
      <c r="CB468" s="142"/>
      <c r="CC468" s="77">
        <f t="shared" si="154"/>
        <v>0</v>
      </c>
      <c r="CD468" s="78"/>
      <c r="CE468" s="142"/>
      <c r="CF468" s="142"/>
      <c r="CG468" s="79">
        <f t="shared" si="155"/>
        <v>0</v>
      </c>
      <c r="CH468" s="75"/>
      <c r="CI468" s="76"/>
      <c r="CJ468" s="86"/>
      <c r="CK468" s="86"/>
      <c r="CL468" s="77">
        <f t="shared" si="156"/>
        <v>0</v>
      </c>
      <c r="CM468" s="78"/>
      <c r="CN468" s="85"/>
      <c r="CO468" s="85"/>
      <c r="CP468" s="77">
        <f t="shared" si="157"/>
        <v>0</v>
      </c>
      <c r="CQ468" s="78"/>
      <c r="CR468" s="85"/>
      <c r="CS468" s="85"/>
      <c r="CT468" s="79">
        <f t="shared" si="158"/>
        <v>0</v>
      </c>
      <c r="CU468" s="80">
        <f t="shared" si="168"/>
        <v>0</v>
      </c>
      <c r="CV468" s="81">
        <f t="shared" si="169"/>
        <v>0</v>
      </c>
      <c r="CW468" s="144"/>
      <c r="CX468" s="145">
        <f>IF(ISERROR(VLOOKUP($A468,FIJOS!$B$11:$O$590,14,FALSE)),0,VLOOKUP($A468,FIJOS!$B$11:$O$590,14,FALSE))</f>
        <v>0</v>
      </c>
      <c r="CY468" s="145">
        <f>IF(ISERROR(VLOOKUP(A468,FIJOS!$B$10:$P$590,15,FALSE)),0,VLOOKUP(A468,FIJOS!$B$10:$P$590,15,FALSE))</f>
        <v>0</v>
      </c>
      <c r="CZ468" s="155"/>
      <c r="DA468" s="147"/>
      <c r="DB468" s="147"/>
      <c r="DC468" s="147"/>
      <c r="DD468" s="147"/>
      <c r="DE468" s="147"/>
      <c r="DF468" s="145">
        <f>IF(ISERROR(VLOOKUP($A468,FIJOS!$B$11:$N$590,13,FALSE)),0,VLOOKUP($A468,FIJOS!$B$11:$N$590,13,FALSE))</f>
        <v>0</v>
      </c>
      <c r="DG468" s="145">
        <f>IF(ISERROR(VLOOKUP($A468,FIJOS!$B$11:$P$447,12,FALSE)),0,VLOOKUP($A468,FIJOS!$B$11:$P$447,12,FALSE))</f>
        <v>0</v>
      </c>
      <c r="DH468" s="82">
        <f t="shared" si="242"/>
        <v>0</v>
      </c>
      <c r="DI468" s="83" t="b">
        <f>IF($C468=1,(VLOOKUP($A468,FIJOS!$B$11:$P$545,10,FALSE)/7)*(7-$CU468),IF(AND($C468=2,CV468&lt;$DJ$1),(VLOOKUP($D468,HORAS!$B$4:$C$42,2,FALSE)*24)*$CV468,IF(AND($C468=2,CV468&gt;=$DJ$1),VLOOKUP($D468,HORAS!$B$4:$D$42,3,FALSE),IF(AND($C468=3,$CV468&gt;=$DJ$1),VLOOKUP($A468,FIJOS!$B$11:$P$545,10,FALSE),IF(AND($C468=3,$CV468&lt;$DJ$1),((VLOOKUP($A468,FIJOS!$B$11:$P$545,10,FALSE)/48)*24)*$CV468,IF(AND($C468=4,$CV468&gt;=(42/24)),VLOOKUP($D468,HORAS!$B$4:$D$42,3,FALSE),IF(AND($C468=5,$CV468&gt;=(36/24)),VLOOKUP($D468,HORAS!$B$4:$D$42,3,FALSE))))))))</f>
        <v>0</v>
      </c>
      <c r="DJ468" s="145">
        <f>IF(OR($C468=2),VLOOKUP($D468,HORAS!$B$4:$E$42,4,FALSE)*$EC468,IF(ISERROR(VLOOKUP($A468,FIJOS!$B$11:$P$108,9,FALSE)),0,VLOOKUP($A468,FIJOS!$B$11:$P$231,9,FALSE)*$EC468))</f>
        <v>0</v>
      </c>
      <c r="DK468" s="145">
        <f>IF(OR($C468=2),VLOOKUP($D468,HORAS!$B$4:$F$42,5,FALSE)*$EE468,IF(ISERROR(VLOOKUP($A468,FIJOS!$B$11:$P$108,9,FALSE)),0,VLOOKUP($A468,FIJOS!$B$11:$P$231,9,FALSE)*$EE468))</f>
        <v>0</v>
      </c>
      <c r="DL468" s="144"/>
      <c r="DM468" s="145">
        <f>IF(ISERROR(VLOOKUP($A468,FIJOS!$B$11:$L$646,11,FALSE)),0,VLOOKUP($A468,FIJOS!$B$11:$L$646,11,FALSE))</f>
        <v>0</v>
      </c>
      <c r="DN468" s="148" t="e">
        <f>IF(OR($C468=1,$C468=3),0,IF((VLOOKUP(CAPTURA!D468,HORAS!$B$4:$K$42,10,FALSE)/4)*COUNTIF($H468:$CT468,3)&gt;100,100,(VLOOKUP(CAPTURA!D468,HORAS!$B$4:$K$42,10,FALSE)/4)*COUNTIF($H468:$CT468,3)))</f>
        <v>#N/A</v>
      </c>
      <c r="DO468" s="144" t="e">
        <f>IF(OR($C468=1,$C468=3),0,IF($C468=5,VLOOKUP(D468,HORAS!$B$4:$G$42,6,FALSE),IF(AND($C468=4,$CV468&gt;=(42/24)),VLOOKUP(D468,HORAS!$B$4:$G$42,6,FALSE),IF(COUNTIF($H468:$CL468,"F")&gt;0,0,IF(CV468&gt;$DJ$1,$DJ$1*(VLOOKUP(D468,HORAS!$B$4:$G$42,6,FALSE)/$DJ$1),CV468*(VLOOKUP(D468,HORAS!$B$4:$G$42,6,FALSE)/$DJ$1))))))</f>
        <v>#N/A</v>
      </c>
      <c r="DP468" s="156"/>
      <c r="DQ468" s="148"/>
      <c r="DR468" s="148"/>
      <c r="DS468" s="83" t="e">
        <f t="shared" si="162"/>
        <v>#N/A</v>
      </c>
      <c r="DT468" s="84"/>
      <c r="DU468" s="149" t="e">
        <f t="shared" si="243"/>
        <v>#N/A</v>
      </c>
      <c r="DV468" s="149" t="e">
        <f t="shared" si="244"/>
        <v>#N/A</v>
      </c>
      <c r="DW468" s="144" t="e">
        <f t="shared" si="245"/>
        <v>#N/A</v>
      </c>
      <c r="DX468" s="168"/>
      <c r="DY468" s="29"/>
      <c r="DZ468" s="150"/>
      <c r="EA468" s="134"/>
      <c r="EB468" s="137">
        <f t="shared" si="246"/>
        <v>0</v>
      </c>
      <c r="EC468" s="138">
        <f t="shared" si="247"/>
        <v>0</v>
      </c>
      <c r="ED468" s="137">
        <f t="shared" si="248"/>
        <v>0</v>
      </c>
      <c r="EE468" s="132">
        <f t="shared" si="249"/>
        <v>0</v>
      </c>
      <c r="EF468" s="29"/>
      <c r="EG468" s="134"/>
      <c r="EH468" s="134"/>
      <c r="EI468" s="134"/>
      <c r="EK468" s="29"/>
    </row>
    <row r="469" spans="1:141" ht="15" customHeight="1" x14ac:dyDescent="0.25">
      <c r="A469" s="87"/>
      <c r="B469" s="5"/>
      <c r="C469" s="72"/>
      <c r="D469" s="73"/>
      <c r="E469" s="73"/>
      <c r="F469" s="141"/>
      <c r="G469" s="74"/>
      <c r="H469" s="75"/>
      <c r="I469" s="76"/>
      <c r="J469" s="135"/>
      <c r="K469" s="135"/>
      <c r="L469" s="77">
        <f t="shared" si="138"/>
        <v>0</v>
      </c>
      <c r="M469" s="78"/>
      <c r="N469" s="142"/>
      <c r="O469" s="142"/>
      <c r="P469" s="77">
        <f t="shared" si="139"/>
        <v>0</v>
      </c>
      <c r="Q469" s="78"/>
      <c r="R469" s="143"/>
      <c r="S469" s="143"/>
      <c r="T469" s="77">
        <f t="shared" si="140"/>
        <v>0</v>
      </c>
      <c r="U469" s="75"/>
      <c r="V469" s="76"/>
      <c r="W469" s="135"/>
      <c r="X469" s="135"/>
      <c r="Y469" s="77">
        <f t="shared" si="141"/>
        <v>0</v>
      </c>
      <c r="Z469" s="78"/>
      <c r="AA469" s="142"/>
      <c r="AB469" s="142"/>
      <c r="AC469" s="77">
        <f t="shared" si="142"/>
        <v>0</v>
      </c>
      <c r="AD469" s="78"/>
      <c r="AE469" s="143"/>
      <c r="AF469" s="143"/>
      <c r="AG469" s="79">
        <f t="shared" si="143"/>
        <v>0</v>
      </c>
      <c r="AH469" s="75"/>
      <c r="AI469" s="76"/>
      <c r="AJ469" s="135"/>
      <c r="AK469" s="135"/>
      <c r="AL469" s="77">
        <f t="shared" si="144"/>
        <v>0</v>
      </c>
      <c r="AM469" s="76"/>
      <c r="AN469" s="142"/>
      <c r="AO469" s="142"/>
      <c r="AP469" s="77">
        <f t="shared" si="145"/>
        <v>0</v>
      </c>
      <c r="AQ469" s="78"/>
      <c r="AR469" s="142"/>
      <c r="AS469" s="142"/>
      <c r="AT469" s="79">
        <f t="shared" si="146"/>
        <v>0</v>
      </c>
      <c r="AU469" s="75"/>
      <c r="AV469" s="76"/>
      <c r="AW469" s="135"/>
      <c r="AX469" s="135"/>
      <c r="AY469" s="77">
        <f t="shared" si="147"/>
        <v>0</v>
      </c>
      <c r="AZ469" s="76"/>
      <c r="BA469" s="142"/>
      <c r="BB469" s="142"/>
      <c r="BC469" s="77">
        <f t="shared" si="148"/>
        <v>0</v>
      </c>
      <c r="BD469" s="78"/>
      <c r="BE469" s="142"/>
      <c r="BF469" s="142"/>
      <c r="BG469" s="79">
        <f t="shared" si="149"/>
        <v>0</v>
      </c>
      <c r="BH469" s="75"/>
      <c r="BI469" s="76"/>
      <c r="BJ469" s="135"/>
      <c r="BK469" s="135"/>
      <c r="BL469" s="77">
        <f t="shared" si="150"/>
        <v>0</v>
      </c>
      <c r="BM469" s="78"/>
      <c r="BN469" s="142"/>
      <c r="BO469" s="142"/>
      <c r="BP469" s="77">
        <f t="shared" si="151"/>
        <v>0</v>
      </c>
      <c r="BQ469" s="78"/>
      <c r="BR469" s="142"/>
      <c r="BS469" s="142"/>
      <c r="BT469" s="79">
        <f t="shared" si="152"/>
        <v>0</v>
      </c>
      <c r="BU469" s="75"/>
      <c r="BV469" s="76"/>
      <c r="BW469" s="135"/>
      <c r="BX469" s="135"/>
      <c r="BY469" s="77">
        <f t="shared" si="153"/>
        <v>0</v>
      </c>
      <c r="BZ469" s="78"/>
      <c r="CA469" s="142"/>
      <c r="CB469" s="142"/>
      <c r="CC469" s="77">
        <f t="shared" si="154"/>
        <v>0</v>
      </c>
      <c r="CD469" s="78"/>
      <c r="CE469" s="142"/>
      <c r="CF469" s="142"/>
      <c r="CG469" s="79">
        <f t="shared" si="155"/>
        <v>0</v>
      </c>
      <c r="CH469" s="75"/>
      <c r="CI469" s="76"/>
      <c r="CJ469" s="86"/>
      <c r="CK469" s="86"/>
      <c r="CL469" s="77">
        <f t="shared" si="156"/>
        <v>0</v>
      </c>
      <c r="CM469" s="78"/>
      <c r="CN469" s="85"/>
      <c r="CO469" s="85"/>
      <c r="CP469" s="77">
        <f t="shared" si="157"/>
        <v>0</v>
      </c>
      <c r="CQ469" s="78"/>
      <c r="CR469" s="85"/>
      <c r="CS469" s="85"/>
      <c r="CT469" s="79">
        <f t="shared" si="158"/>
        <v>0</v>
      </c>
      <c r="CU469" s="80">
        <f t="shared" si="168"/>
        <v>0</v>
      </c>
      <c r="CV469" s="81">
        <f t="shared" si="169"/>
        <v>0</v>
      </c>
      <c r="CW469" s="144"/>
      <c r="CX469" s="145">
        <f>IF(ISERROR(VLOOKUP($A469,FIJOS!$B$11:$O$590,14,FALSE)),0,VLOOKUP($A469,FIJOS!$B$11:$O$590,14,FALSE))</f>
        <v>0</v>
      </c>
      <c r="CY469" s="145">
        <f>IF(ISERROR(VLOOKUP(A469,FIJOS!$B$10:$P$590,15,FALSE)),0,VLOOKUP(A469,FIJOS!$B$10:$P$590,15,FALSE))</f>
        <v>0</v>
      </c>
      <c r="CZ469" s="155"/>
      <c r="DA469" s="147"/>
      <c r="DB469" s="147"/>
      <c r="DC469" s="147"/>
      <c r="DD469" s="147"/>
      <c r="DE469" s="147"/>
      <c r="DF469" s="145">
        <f>IF(ISERROR(VLOOKUP($A469,FIJOS!$B$11:$N$590,13,FALSE)),0,VLOOKUP($A469,FIJOS!$B$11:$N$590,13,FALSE))</f>
        <v>0</v>
      </c>
      <c r="DG469" s="145">
        <f>IF(ISERROR(VLOOKUP($A469,FIJOS!$B$11:$P$447,12,FALSE)),0,VLOOKUP($A469,FIJOS!$B$11:$P$447,12,FALSE))</f>
        <v>0</v>
      </c>
      <c r="DH469" s="82">
        <f t="shared" si="242"/>
        <v>0</v>
      </c>
      <c r="DI469" s="83" t="b">
        <f>IF($C469=1,(VLOOKUP($A469,FIJOS!$B$11:$P$545,10,FALSE)/7)*(7-$CU469),IF(AND($C469=2,CV469&lt;$DJ$1),(VLOOKUP($D469,HORAS!$B$4:$C$42,2,FALSE)*24)*$CV469,IF(AND($C469=2,CV469&gt;=$DJ$1),VLOOKUP($D469,HORAS!$B$4:$D$42,3,FALSE),IF(AND($C469=3,$CV469&gt;=$DJ$1),VLOOKUP($A469,FIJOS!$B$11:$P$545,10,FALSE),IF(AND($C469=3,$CV469&lt;$DJ$1),((VLOOKUP($A469,FIJOS!$B$11:$P$545,10,FALSE)/48)*24)*$CV469,IF(AND($C469=4,$CV469&gt;=(42/24)),VLOOKUP($D469,HORAS!$B$4:$D$42,3,FALSE),IF(AND($C469=5,$CV469&gt;=(36/24)),VLOOKUP($D469,HORAS!$B$4:$D$42,3,FALSE))))))))</f>
        <v>0</v>
      </c>
      <c r="DJ469" s="145">
        <f>IF(OR($C469=2),VLOOKUP($D469,HORAS!$B$4:$E$42,4,FALSE)*$EC469,IF(ISERROR(VLOOKUP($A469,FIJOS!$B$11:$P$108,9,FALSE)),0,VLOOKUP($A469,FIJOS!$B$11:$P$231,9,FALSE)*$EC469))</f>
        <v>0</v>
      </c>
      <c r="DK469" s="145">
        <f>IF(OR($C469=2),VLOOKUP($D469,HORAS!$B$4:$F$42,5,FALSE)*$EE469,IF(ISERROR(VLOOKUP($A469,FIJOS!$B$11:$P$108,9,FALSE)),0,VLOOKUP($A469,FIJOS!$B$11:$P$231,9,FALSE)*$EE469))</f>
        <v>0</v>
      </c>
      <c r="DL469" s="144"/>
      <c r="DM469" s="145">
        <f>IF(ISERROR(VLOOKUP($A469,FIJOS!$B$11:$L$646,11,FALSE)),0,VLOOKUP($A469,FIJOS!$B$11:$L$646,11,FALSE))</f>
        <v>0</v>
      </c>
      <c r="DN469" s="148" t="e">
        <f>IF(OR($C469=1,$C469=3),0,IF((VLOOKUP(CAPTURA!D469,HORAS!$B$4:$K$42,10,FALSE)/4)*COUNTIF($H469:$CT469,3)&gt;100,100,(VLOOKUP(CAPTURA!D469,HORAS!$B$4:$K$42,10,FALSE)/4)*COUNTIF($H469:$CT469,3)))</f>
        <v>#N/A</v>
      </c>
      <c r="DO469" s="144" t="e">
        <f>IF(OR($C469=1,$C469=3),0,IF($C469=5,VLOOKUP(D469,HORAS!$B$4:$G$42,6,FALSE),IF(AND($C469=4,$CV469&gt;=(42/24)),VLOOKUP(D469,HORAS!$B$4:$G$42,6,FALSE),IF(COUNTIF($H469:$CL469,"F")&gt;0,0,IF(CV469&gt;$DJ$1,$DJ$1*(VLOOKUP(D469,HORAS!$B$4:$G$42,6,FALSE)/$DJ$1),CV469*(VLOOKUP(D469,HORAS!$B$4:$G$42,6,FALSE)/$DJ$1))))))</f>
        <v>#N/A</v>
      </c>
      <c r="DP469" s="156"/>
      <c r="DQ469" s="148"/>
      <c r="DR469" s="148"/>
      <c r="DS469" s="83" t="e">
        <f t="shared" si="162"/>
        <v>#N/A</v>
      </c>
      <c r="DT469" s="84"/>
      <c r="DU469" s="149" t="e">
        <f t="shared" si="243"/>
        <v>#N/A</v>
      </c>
      <c r="DV469" s="149" t="e">
        <f t="shared" si="244"/>
        <v>#N/A</v>
      </c>
      <c r="DW469" s="144" t="e">
        <f t="shared" si="245"/>
        <v>#N/A</v>
      </c>
      <c r="DX469" s="168"/>
      <c r="DY469" s="29"/>
      <c r="DZ469" s="150"/>
      <c r="EA469" s="134"/>
      <c r="EB469" s="137">
        <f t="shared" si="246"/>
        <v>0</v>
      </c>
      <c r="EC469" s="138">
        <f t="shared" si="247"/>
        <v>0</v>
      </c>
      <c r="ED469" s="137">
        <f t="shared" si="248"/>
        <v>0</v>
      </c>
      <c r="EE469" s="132">
        <f t="shared" si="249"/>
        <v>0</v>
      </c>
      <c r="EF469" s="29"/>
      <c r="EG469" s="134"/>
      <c r="EH469" s="134"/>
      <c r="EI469" s="134"/>
      <c r="EK469" s="29"/>
    </row>
    <row r="470" spans="1:141" ht="15" customHeight="1" x14ac:dyDescent="0.25">
      <c r="A470" s="87"/>
      <c r="B470" s="5"/>
      <c r="C470" s="72"/>
      <c r="D470" s="73"/>
      <c r="E470" s="73"/>
      <c r="F470" s="141"/>
      <c r="G470" s="74"/>
      <c r="H470" s="75"/>
      <c r="I470" s="76"/>
      <c r="J470" s="135"/>
      <c r="K470" s="135"/>
      <c r="L470" s="77">
        <f t="shared" si="138"/>
        <v>0</v>
      </c>
      <c r="M470" s="78"/>
      <c r="N470" s="142"/>
      <c r="O470" s="142"/>
      <c r="P470" s="77">
        <f t="shared" si="139"/>
        <v>0</v>
      </c>
      <c r="Q470" s="78"/>
      <c r="R470" s="143"/>
      <c r="S470" s="143"/>
      <c r="T470" s="77">
        <f t="shared" si="140"/>
        <v>0</v>
      </c>
      <c r="U470" s="75"/>
      <c r="V470" s="76"/>
      <c r="W470" s="135"/>
      <c r="X470" s="135"/>
      <c r="Y470" s="77">
        <f t="shared" si="141"/>
        <v>0</v>
      </c>
      <c r="Z470" s="78"/>
      <c r="AA470" s="142"/>
      <c r="AB470" s="142"/>
      <c r="AC470" s="77">
        <f t="shared" si="142"/>
        <v>0</v>
      </c>
      <c r="AD470" s="78"/>
      <c r="AE470" s="143"/>
      <c r="AF470" s="143"/>
      <c r="AG470" s="79">
        <f t="shared" si="143"/>
        <v>0</v>
      </c>
      <c r="AH470" s="75"/>
      <c r="AI470" s="76"/>
      <c r="AJ470" s="135"/>
      <c r="AK470" s="135"/>
      <c r="AL470" s="77">
        <f t="shared" si="144"/>
        <v>0</v>
      </c>
      <c r="AM470" s="76"/>
      <c r="AN470" s="142"/>
      <c r="AO470" s="142"/>
      <c r="AP470" s="77">
        <f t="shared" si="145"/>
        <v>0</v>
      </c>
      <c r="AQ470" s="78"/>
      <c r="AR470" s="142"/>
      <c r="AS470" s="142"/>
      <c r="AT470" s="79">
        <f t="shared" si="146"/>
        <v>0</v>
      </c>
      <c r="AU470" s="75"/>
      <c r="AV470" s="76"/>
      <c r="AW470" s="135"/>
      <c r="AX470" s="135"/>
      <c r="AY470" s="77">
        <f t="shared" si="147"/>
        <v>0</v>
      </c>
      <c r="AZ470" s="76"/>
      <c r="BA470" s="142"/>
      <c r="BB470" s="142"/>
      <c r="BC470" s="77">
        <f t="shared" si="148"/>
        <v>0</v>
      </c>
      <c r="BD470" s="78"/>
      <c r="BE470" s="142"/>
      <c r="BF470" s="142"/>
      <c r="BG470" s="79">
        <f t="shared" si="149"/>
        <v>0</v>
      </c>
      <c r="BH470" s="75"/>
      <c r="BI470" s="76"/>
      <c r="BJ470" s="135"/>
      <c r="BK470" s="135"/>
      <c r="BL470" s="77">
        <f t="shared" si="150"/>
        <v>0</v>
      </c>
      <c r="BM470" s="78"/>
      <c r="BN470" s="142"/>
      <c r="BO470" s="142"/>
      <c r="BP470" s="77">
        <f t="shared" si="151"/>
        <v>0</v>
      </c>
      <c r="BQ470" s="78"/>
      <c r="BR470" s="142"/>
      <c r="BS470" s="142"/>
      <c r="BT470" s="79">
        <f t="shared" si="152"/>
        <v>0</v>
      </c>
      <c r="BU470" s="75"/>
      <c r="BV470" s="76"/>
      <c r="BW470" s="135"/>
      <c r="BX470" s="135"/>
      <c r="BY470" s="77">
        <f t="shared" si="153"/>
        <v>0</v>
      </c>
      <c r="BZ470" s="78"/>
      <c r="CA470" s="142"/>
      <c r="CB470" s="142"/>
      <c r="CC470" s="77">
        <f t="shared" si="154"/>
        <v>0</v>
      </c>
      <c r="CD470" s="78"/>
      <c r="CE470" s="142"/>
      <c r="CF470" s="142"/>
      <c r="CG470" s="79">
        <f t="shared" si="155"/>
        <v>0</v>
      </c>
      <c r="CH470" s="75"/>
      <c r="CI470" s="76"/>
      <c r="CJ470" s="86"/>
      <c r="CK470" s="86"/>
      <c r="CL470" s="77">
        <f t="shared" si="156"/>
        <v>0</v>
      </c>
      <c r="CM470" s="78"/>
      <c r="CN470" s="85"/>
      <c r="CO470" s="85"/>
      <c r="CP470" s="77">
        <f t="shared" si="157"/>
        <v>0</v>
      </c>
      <c r="CQ470" s="78"/>
      <c r="CR470" s="85"/>
      <c r="CS470" s="85"/>
      <c r="CT470" s="79">
        <f t="shared" si="158"/>
        <v>0</v>
      </c>
      <c r="CU470" s="80">
        <f t="shared" si="168"/>
        <v>0</v>
      </c>
      <c r="CV470" s="81">
        <f t="shared" si="169"/>
        <v>0</v>
      </c>
      <c r="CW470" s="144"/>
      <c r="CX470" s="145">
        <f>IF(ISERROR(VLOOKUP($A470,FIJOS!$B$11:$O$590,14,FALSE)),0,VLOOKUP($A470,FIJOS!$B$11:$O$590,14,FALSE))</f>
        <v>0</v>
      </c>
      <c r="CY470" s="145">
        <f>IF(ISERROR(VLOOKUP(A470,FIJOS!$B$10:$P$590,15,FALSE)),0,VLOOKUP(A470,FIJOS!$B$10:$P$590,15,FALSE))</f>
        <v>0</v>
      </c>
      <c r="CZ470" s="155"/>
      <c r="DA470" s="147"/>
      <c r="DB470" s="147"/>
      <c r="DC470" s="147"/>
      <c r="DD470" s="147"/>
      <c r="DE470" s="147"/>
      <c r="DF470" s="145">
        <f>IF(ISERROR(VLOOKUP($A470,FIJOS!$B$11:$N$590,13,FALSE)),0,VLOOKUP($A470,FIJOS!$B$11:$N$590,13,FALSE))</f>
        <v>0</v>
      </c>
      <c r="DG470" s="145">
        <f>IF(ISERROR(VLOOKUP($A470,FIJOS!$B$11:$P$447,12,FALSE)),0,VLOOKUP($A470,FIJOS!$B$11:$P$447,12,FALSE))</f>
        <v>0</v>
      </c>
      <c r="DH470" s="82">
        <f t="shared" si="242"/>
        <v>0</v>
      </c>
      <c r="DI470" s="83" t="b">
        <f>IF($C470=1,(VLOOKUP($A470,FIJOS!$B$11:$P$545,10,FALSE)/7)*(7-$CU470),IF(AND($C470=2,CV470&lt;$DJ$1),(VLOOKUP($D470,HORAS!$B$4:$C$42,2,FALSE)*24)*$CV470,IF(AND($C470=2,CV470&gt;=$DJ$1),VLOOKUP($D470,HORAS!$B$4:$D$42,3,FALSE),IF(AND($C470=3,$CV470&gt;=$DJ$1),VLOOKUP($A470,FIJOS!$B$11:$P$545,10,FALSE),IF(AND($C470=3,$CV470&lt;$DJ$1),((VLOOKUP($A470,FIJOS!$B$11:$P$545,10,FALSE)/48)*24)*$CV470,IF(AND($C470=4,$CV470&gt;=(42/24)),VLOOKUP($D470,HORAS!$B$4:$D$42,3,FALSE),IF(AND($C470=5,$CV470&gt;=(36/24)),VLOOKUP($D470,HORAS!$B$4:$D$42,3,FALSE))))))))</f>
        <v>0</v>
      </c>
      <c r="DJ470" s="145">
        <f>IF(OR($C470=2),VLOOKUP($D470,HORAS!$B$4:$E$42,4,FALSE)*$EC470,IF(ISERROR(VLOOKUP($A470,FIJOS!$B$11:$P$108,9,FALSE)),0,VLOOKUP($A470,FIJOS!$B$11:$P$231,9,FALSE)*$EC470))</f>
        <v>0</v>
      </c>
      <c r="DK470" s="145">
        <f>IF(OR($C470=2),VLOOKUP($D470,HORAS!$B$4:$F$42,5,FALSE)*$EE470,IF(ISERROR(VLOOKUP($A470,FIJOS!$B$11:$P$108,9,FALSE)),0,VLOOKUP($A470,FIJOS!$B$11:$P$231,9,FALSE)*$EE470))</f>
        <v>0</v>
      </c>
      <c r="DL470" s="144"/>
      <c r="DM470" s="145">
        <f>IF(ISERROR(VLOOKUP($A470,FIJOS!$B$11:$L$646,11,FALSE)),0,VLOOKUP($A470,FIJOS!$B$11:$L$646,11,FALSE))</f>
        <v>0</v>
      </c>
      <c r="DN470" s="148" t="e">
        <f>IF(OR($C470=1,$C470=3),0,IF((VLOOKUP(CAPTURA!D470,HORAS!$B$4:$K$42,10,FALSE)/4)*COUNTIF($H470:$CT470,3)&gt;100,100,(VLOOKUP(CAPTURA!D470,HORAS!$B$4:$K$42,10,FALSE)/4)*COUNTIF($H470:$CT470,3)))</f>
        <v>#N/A</v>
      </c>
      <c r="DO470" s="144" t="e">
        <f>IF(OR($C470=1,$C470=3),0,IF($C470=5,VLOOKUP(D470,HORAS!$B$4:$G$42,6,FALSE),IF(AND($C470=4,$CV470&gt;=(42/24)),VLOOKUP(D470,HORAS!$B$4:$G$42,6,FALSE),IF(COUNTIF($H470:$CL470,"F")&gt;0,0,IF(CV470&gt;$DJ$1,$DJ$1*(VLOOKUP(D470,HORAS!$B$4:$G$42,6,FALSE)/$DJ$1),CV470*(VLOOKUP(D470,HORAS!$B$4:$G$42,6,FALSE)/$DJ$1))))))</f>
        <v>#N/A</v>
      </c>
      <c r="DP470" s="156"/>
      <c r="DQ470" s="148"/>
      <c r="DR470" s="148"/>
      <c r="DS470" s="83" t="e">
        <f t="shared" si="162"/>
        <v>#N/A</v>
      </c>
      <c r="DT470" s="84"/>
      <c r="DU470" s="149" t="e">
        <f t="shared" si="243"/>
        <v>#N/A</v>
      </c>
      <c r="DV470" s="149" t="e">
        <f t="shared" si="244"/>
        <v>#N/A</v>
      </c>
      <c r="DW470" s="144" t="e">
        <f t="shared" si="245"/>
        <v>#N/A</v>
      </c>
      <c r="DX470" s="168"/>
      <c r="DY470" s="29"/>
      <c r="DZ470" s="150"/>
      <c r="EA470" s="134"/>
      <c r="EB470" s="137">
        <f t="shared" si="246"/>
        <v>0</v>
      </c>
      <c r="EC470" s="138">
        <f t="shared" si="247"/>
        <v>0</v>
      </c>
      <c r="ED470" s="137">
        <f t="shared" si="248"/>
        <v>0</v>
      </c>
      <c r="EE470" s="132">
        <f t="shared" si="249"/>
        <v>0</v>
      </c>
      <c r="EF470" s="29"/>
      <c r="EG470" s="134"/>
      <c r="EH470" s="134"/>
      <c r="EI470" s="134"/>
      <c r="EK470" s="29"/>
    </row>
    <row r="471" spans="1:141" ht="15" customHeight="1" x14ac:dyDescent="0.25">
      <c r="A471" s="87"/>
      <c r="B471" s="5"/>
      <c r="C471" s="72"/>
      <c r="D471" s="73"/>
      <c r="E471" s="73"/>
      <c r="F471" s="141"/>
      <c r="G471" s="74"/>
      <c r="H471" s="75"/>
      <c r="I471" s="76"/>
      <c r="J471" s="135"/>
      <c r="K471" s="135"/>
      <c r="L471" s="77">
        <f t="shared" si="138"/>
        <v>0</v>
      </c>
      <c r="M471" s="78"/>
      <c r="N471" s="142"/>
      <c r="O471" s="142"/>
      <c r="P471" s="77">
        <f t="shared" si="139"/>
        <v>0</v>
      </c>
      <c r="Q471" s="78"/>
      <c r="R471" s="143"/>
      <c r="S471" s="143"/>
      <c r="T471" s="77">
        <f t="shared" si="140"/>
        <v>0</v>
      </c>
      <c r="U471" s="75"/>
      <c r="V471" s="76"/>
      <c r="W471" s="135"/>
      <c r="X471" s="135"/>
      <c r="Y471" s="77">
        <f t="shared" si="141"/>
        <v>0</v>
      </c>
      <c r="Z471" s="78"/>
      <c r="AA471" s="142"/>
      <c r="AB471" s="142"/>
      <c r="AC471" s="77">
        <f t="shared" si="142"/>
        <v>0</v>
      </c>
      <c r="AD471" s="78"/>
      <c r="AE471" s="143"/>
      <c r="AF471" s="143"/>
      <c r="AG471" s="79">
        <f t="shared" si="143"/>
        <v>0</v>
      </c>
      <c r="AH471" s="75"/>
      <c r="AI471" s="76"/>
      <c r="AJ471" s="135"/>
      <c r="AK471" s="135"/>
      <c r="AL471" s="77">
        <f t="shared" si="144"/>
        <v>0</v>
      </c>
      <c r="AM471" s="76"/>
      <c r="AN471" s="142"/>
      <c r="AO471" s="142"/>
      <c r="AP471" s="77">
        <f t="shared" si="145"/>
        <v>0</v>
      </c>
      <c r="AQ471" s="78"/>
      <c r="AR471" s="142"/>
      <c r="AS471" s="142"/>
      <c r="AT471" s="79">
        <f t="shared" si="146"/>
        <v>0</v>
      </c>
      <c r="AU471" s="75"/>
      <c r="AV471" s="76"/>
      <c r="AW471" s="135"/>
      <c r="AX471" s="135"/>
      <c r="AY471" s="77">
        <f t="shared" si="147"/>
        <v>0</v>
      </c>
      <c r="AZ471" s="76"/>
      <c r="BA471" s="142"/>
      <c r="BB471" s="142"/>
      <c r="BC471" s="77">
        <f t="shared" si="148"/>
        <v>0</v>
      </c>
      <c r="BD471" s="78"/>
      <c r="BE471" s="142"/>
      <c r="BF471" s="142"/>
      <c r="BG471" s="79">
        <f t="shared" si="149"/>
        <v>0</v>
      </c>
      <c r="BH471" s="75"/>
      <c r="BI471" s="76"/>
      <c r="BJ471" s="135"/>
      <c r="BK471" s="135"/>
      <c r="BL471" s="77">
        <f t="shared" si="150"/>
        <v>0</v>
      </c>
      <c r="BM471" s="78"/>
      <c r="BN471" s="142"/>
      <c r="BO471" s="142"/>
      <c r="BP471" s="77">
        <f t="shared" si="151"/>
        <v>0</v>
      </c>
      <c r="BQ471" s="78"/>
      <c r="BR471" s="142"/>
      <c r="BS471" s="142"/>
      <c r="BT471" s="79">
        <f t="shared" si="152"/>
        <v>0</v>
      </c>
      <c r="BU471" s="75"/>
      <c r="BV471" s="76"/>
      <c r="BW471" s="135"/>
      <c r="BX471" s="135"/>
      <c r="BY471" s="77">
        <f t="shared" si="153"/>
        <v>0</v>
      </c>
      <c r="BZ471" s="78"/>
      <c r="CA471" s="142"/>
      <c r="CB471" s="142"/>
      <c r="CC471" s="77">
        <f t="shared" si="154"/>
        <v>0</v>
      </c>
      <c r="CD471" s="78"/>
      <c r="CE471" s="142"/>
      <c r="CF471" s="142"/>
      <c r="CG471" s="79">
        <f t="shared" si="155"/>
        <v>0</v>
      </c>
      <c r="CH471" s="75"/>
      <c r="CI471" s="76"/>
      <c r="CJ471" s="86"/>
      <c r="CK471" s="86"/>
      <c r="CL471" s="77">
        <f t="shared" si="156"/>
        <v>0</v>
      </c>
      <c r="CM471" s="78"/>
      <c r="CN471" s="85"/>
      <c r="CO471" s="85"/>
      <c r="CP471" s="77">
        <f t="shared" si="157"/>
        <v>0</v>
      </c>
      <c r="CQ471" s="78"/>
      <c r="CR471" s="85"/>
      <c r="CS471" s="85"/>
      <c r="CT471" s="79">
        <f t="shared" si="158"/>
        <v>0</v>
      </c>
      <c r="CU471" s="80">
        <f t="shared" si="168"/>
        <v>0</v>
      </c>
      <c r="CV471" s="81">
        <f t="shared" si="169"/>
        <v>0</v>
      </c>
      <c r="CW471" s="144"/>
      <c r="CX471" s="145">
        <f>IF(ISERROR(VLOOKUP($A471,FIJOS!$B$11:$O$590,14,FALSE)),0,VLOOKUP($A471,FIJOS!$B$11:$O$590,14,FALSE))</f>
        <v>0</v>
      </c>
      <c r="CY471" s="145">
        <f>IF(ISERROR(VLOOKUP(A471,FIJOS!$B$10:$P$590,15,FALSE)),0,VLOOKUP(A471,FIJOS!$B$10:$P$590,15,FALSE))</f>
        <v>0</v>
      </c>
      <c r="CZ471" s="155"/>
      <c r="DA471" s="147"/>
      <c r="DB471" s="147"/>
      <c r="DC471" s="147"/>
      <c r="DD471" s="147"/>
      <c r="DE471" s="147"/>
      <c r="DF471" s="145">
        <f>IF(ISERROR(VLOOKUP($A471,FIJOS!$B$11:$N$590,13,FALSE)),0,VLOOKUP($A471,FIJOS!$B$11:$N$590,13,FALSE))</f>
        <v>0</v>
      </c>
      <c r="DG471" s="145">
        <f>IF(ISERROR(VLOOKUP($A471,FIJOS!$B$11:$P$447,12,FALSE)),0,VLOOKUP($A471,FIJOS!$B$11:$P$447,12,FALSE))</f>
        <v>0</v>
      </c>
      <c r="DH471" s="82">
        <f t="shared" si="242"/>
        <v>0</v>
      </c>
      <c r="DI471" s="83" t="b">
        <f>IF($C471=1,(VLOOKUP($A471,FIJOS!$B$11:$P$545,10,FALSE)/7)*(7-$CU471),IF(AND($C471=2,CV471&lt;$DJ$1),(VLOOKUP($D471,HORAS!$B$4:$C$42,2,FALSE)*24)*$CV471,IF(AND($C471=2,CV471&gt;=$DJ$1),VLOOKUP($D471,HORAS!$B$4:$D$42,3,FALSE),IF(AND($C471=3,$CV471&gt;=$DJ$1),VLOOKUP($A471,FIJOS!$B$11:$P$545,10,FALSE),IF(AND($C471=3,$CV471&lt;$DJ$1),((VLOOKUP($A471,FIJOS!$B$11:$P$545,10,FALSE)/48)*24)*$CV471,IF(AND($C471=4,$CV471&gt;=(42/24)),VLOOKUP($D471,HORAS!$B$4:$D$42,3,FALSE),IF(AND($C471=5,$CV471&gt;=(36/24)),VLOOKUP($D471,HORAS!$B$4:$D$42,3,FALSE))))))))</f>
        <v>0</v>
      </c>
      <c r="DJ471" s="145">
        <f>IF(OR($C471=2),VLOOKUP($D471,HORAS!$B$4:$E$42,4,FALSE)*$EC471,IF(ISERROR(VLOOKUP($A471,FIJOS!$B$11:$P$108,9,FALSE)),0,VLOOKUP($A471,FIJOS!$B$11:$P$231,9,FALSE)*$EC471))</f>
        <v>0</v>
      </c>
      <c r="DK471" s="145">
        <f>IF(OR($C471=2),VLOOKUP($D471,HORAS!$B$4:$F$42,5,FALSE)*$EE471,IF(ISERROR(VLOOKUP($A471,FIJOS!$B$11:$P$108,9,FALSE)),0,VLOOKUP($A471,FIJOS!$B$11:$P$231,9,FALSE)*$EE471))</f>
        <v>0</v>
      </c>
      <c r="DL471" s="144"/>
      <c r="DM471" s="145">
        <f>IF(ISERROR(VLOOKUP($A471,FIJOS!$B$11:$L$646,11,FALSE)),0,VLOOKUP($A471,FIJOS!$B$11:$L$646,11,FALSE))</f>
        <v>0</v>
      </c>
      <c r="DN471" s="148" t="e">
        <f>IF(OR($C471=1,$C471=3),0,IF((VLOOKUP(CAPTURA!D471,HORAS!$B$4:$K$42,10,FALSE)/4)*COUNTIF($H471:$CT471,3)&gt;100,100,(VLOOKUP(CAPTURA!D471,HORAS!$B$4:$K$42,10,FALSE)/4)*COUNTIF($H471:$CT471,3)))</f>
        <v>#N/A</v>
      </c>
      <c r="DO471" s="144" t="e">
        <f>IF(OR($C471=1,$C471=3),0,IF($C471=5,VLOOKUP(D471,HORAS!$B$4:$G$42,6,FALSE),IF(AND($C471=4,$CV471&gt;=(42/24)),VLOOKUP(D471,HORAS!$B$4:$G$42,6,FALSE),IF(COUNTIF($H471:$CL471,"F")&gt;0,0,IF(CV471&gt;$DJ$1,$DJ$1*(VLOOKUP(D471,HORAS!$B$4:$G$42,6,FALSE)/$DJ$1),CV471*(VLOOKUP(D471,HORAS!$B$4:$G$42,6,FALSE)/$DJ$1))))))</f>
        <v>#N/A</v>
      </c>
      <c r="DP471" s="156"/>
      <c r="DQ471" s="148"/>
      <c r="DR471" s="148"/>
      <c r="DS471" s="83" t="e">
        <f t="shared" si="162"/>
        <v>#N/A</v>
      </c>
      <c r="DT471" s="84"/>
      <c r="DU471" s="149" t="e">
        <f t="shared" si="243"/>
        <v>#N/A</v>
      </c>
      <c r="DV471" s="149" t="e">
        <f t="shared" si="244"/>
        <v>#N/A</v>
      </c>
      <c r="DW471" s="144" t="e">
        <f t="shared" si="245"/>
        <v>#N/A</v>
      </c>
      <c r="DX471" s="168"/>
      <c r="DY471" s="29"/>
      <c r="DZ471" s="150"/>
      <c r="EA471" s="134"/>
      <c r="EB471" s="137">
        <f t="shared" si="246"/>
        <v>0</v>
      </c>
      <c r="EC471" s="138">
        <f t="shared" si="247"/>
        <v>0</v>
      </c>
      <c r="ED471" s="137">
        <f t="shared" si="248"/>
        <v>0</v>
      </c>
      <c r="EE471" s="132">
        <f t="shared" si="249"/>
        <v>0</v>
      </c>
      <c r="EF471" s="29"/>
      <c r="EG471" s="134"/>
      <c r="EH471" s="134"/>
      <c r="EI471" s="134"/>
      <c r="EK471" s="29"/>
    </row>
    <row r="472" spans="1:141" ht="15" customHeight="1" x14ac:dyDescent="0.25">
      <c r="A472" s="87"/>
      <c r="B472" s="5"/>
      <c r="C472" s="72"/>
      <c r="D472" s="73"/>
      <c r="E472" s="73"/>
      <c r="F472" s="141"/>
      <c r="G472" s="74"/>
      <c r="H472" s="75"/>
      <c r="I472" s="76"/>
      <c r="J472" s="135"/>
      <c r="K472" s="135"/>
      <c r="L472" s="77">
        <f t="shared" si="138"/>
        <v>0</v>
      </c>
      <c r="M472" s="78"/>
      <c r="N472" s="142"/>
      <c r="O472" s="142"/>
      <c r="P472" s="77">
        <f t="shared" si="139"/>
        <v>0</v>
      </c>
      <c r="Q472" s="78"/>
      <c r="R472" s="143"/>
      <c r="S472" s="143"/>
      <c r="T472" s="77">
        <f t="shared" si="140"/>
        <v>0</v>
      </c>
      <c r="U472" s="75"/>
      <c r="V472" s="76"/>
      <c r="W472" s="135"/>
      <c r="X472" s="135"/>
      <c r="Y472" s="77">
        <f t="shared" si="141"/>
        <v>0</v>
      </c>
      <c r="Z472" s="78"/>
      <c r="AA472" s="142"/>
      <c r="AB472" s="142"/>
      <c r="AC472" s="77">
        <f t="shared" si="142"/>
        <v>0</v>
      </c>
      <c r="AD472" s="78"/>
      <c r="AE472" s="143"/>
      <c r="AF472" s="143"/>
      <c r="AG472" s="79">
        <f t="shared" si="143"/>
        <v>0</v>
      </c>
      <c r="AH472" s="75"/>
      <c r="AI472" s="76"/>
      <c r="AJ472" s="135"/>
      <c r="AK472" s="135"/>
      <c r="AL472" s="77">
        <f t="shared" si="144"/>
        <v>0</v>
      </c>
      <c r="AM472" s="76"/>
      <c r="AN472" s="142"/>
      <c r="AO472" s="142"/>
      <c r="AP472" s="77">
        <f t="shared" si="145"/>
        <v>0</v>
      </c>
      <c r="AQ472" s="78"/>
      <c r="AR472" s="142"/>
      <c r="AS472" s="142"/>
      <c r="AT472" s="79">
        <f t="shared" si="146"/>
        <v>0</v>
      </c>
      <c r="AU472" s="75"/>
      <c r="AV472" s="76"/>
      <c r="AW472" s="135"/>
      <c r="AX472" s="135"/>
      <c r="AY472" s="77">
        <f t="shared" si="147"/>
        <v>0</v>
      </c>
      <c r="AZ472" s="76"/>
      <c r="BA472" s="142"/>
      <c r="BB472" s="142"/>
      <c r="BC472" s="77">
        <f t="shared" si="148"/>
        <v>0</v>
      </c>
      <c r="BD472" s="78"/>
      <c r="BE472" s="142"/>
      <c r="BF472" s="142"/>
      <c r="BG472" s="79">
        <f t="shared" si="149"/>
        <v>0</v>
      </c>
      <c r="BH472" s="75"/>
      <c r="BI472" s="76"/>
      <c r="BJ472" s="135"/>
      <c r="BK472" s="135"/>
      <c r="BL472" s="77">
        <f t="shared" si="150"/>
        <v>0</v>
      </c>
      <c r="BM472" s="78"/>
      <c r="BN472" s="142"/>
      <c r="BO472" s="142"/>
      <c r="BP472" s="77">
        <f t="shared" si="151"/>
        <v>0</v>
      </c>
      <c r="BQ472" s="78"/>
      <c r="BR472" s="142"/>
      <c r="BS472" s="142"/>
      <c r="BT472" s="79">
        <f t="shared" si="152"/>
        <v>0</v>
      </c>
      <c r="BU472" s="75"/>
      <c r="BV472" s="76"/>
      <c r="BW472" s="135"/>
      <c r="BX472" s="135"/>
      <c r="BY472" s="77">
        <f t="shared" si="153"/>
        <v>0</v>
      </c>
      <c r="BZ472" s="78"/>
      <c r="CA472" s="142"/>
      <c r="CB472" s="142"/>
      <c r="CC472" s="77">
        <f t="shared" si="154"/>
        <v>0</v>
      </c>
      <c r="CD472" s="78"/>
      <c r="CE472" s="142"/>
      <c r="CF472" s="142"/>
      <c r="CG472" s="79">
        <f t="shared" si="155"/>
        <v>0</v>
      </c>
      <c r="CH472" s="75"/>
      <c r="CI472" s="76"/>
      <c r="CJ472" s="86"/>
      <c r="CK472" s="86"/>
      <c r="CL472" s="77">
        <f t="shared" si="156"/>
        <v>0</v>
      </c>
      <c r="CM472" s="78"/>
      <c r="CN472" s="85"/>
      <c r="CO472" s="85"/>
      <c r="CP472" s="77">
        <f t="shared" si="157"/>
        <v>0</v>
      </c>
      <c r="CQ472" s="78"/>
      <c r="CR472" s="85"/>
      <c r="CS472" s="85"/>
      <c r="CT472" s="79">
        <f t="shared" si="158"/>
        <v>0</v>
      </c>
      <c r="CU472" s="80">
        <f t="shared" si="168"/>
        <v>0</v>
      </c>
      <c r="CV472" s="81">
        <f t="shared" si="169"/>
        <v>0</v>
      </c>
      <c r="CW472" s="144"/>
      <c r="CX472" s="145">
        <f>IF(ISERROR(VLOOKUP($A472,FIJOS!$B$11:$O$590,14,FALSE)),0,VLOOKUP($A472,FIJOS!$B$11:$O$590,14,FALSE))</f>
        <v>0</v>
      </c>
      <c r="CY472" s="145">
        <f>IF(ISERROR(VLOOKUP(A472,FIJOS!$B$10:$P$590,15,FALSE)),0,VLOOKUP(A472,FIJOS!$B$10:$P$590,15,FALSE))</f>
        <v>0</v>
      </c>
      <c r="CZ472" s="155"/>
      <c r="DA472" s="147"/>
      <c r="DB472" s="147"/>
      <c r="DC472" s="147"/>
      <c r="DD472" s="147"/>
      <c r="DE472" s="147"/>
      <c r="DF472" s="145">
        <f>IF(ISERROR(VLOOKUP($A472,FIJOS!$B$11:$N$590,13,FALSE)),0,VLOOKUP($A472,FIJOS!$B$11:$N$590,13,FALSE))</f>
        <v>0</v>
      </c>
      <c r="DG472" s="145">
        <f>IF(ISERROR(VLOOKUP($A472,FIJOS!$B$11:$P$447,12,FALSE)),0,VLOOKUP($A472,FIJOS!$B$11:$P$447,12,FALSE))</f>
        <v>0</v>
      </c>
      <c r="DH472" s="82">
        <f t="shared" si="242"/>
        <v>0</v>
      </c>
      <c r="DI472" s="83" t="b">
        <f>IF($C472=1,(VLOOKUP($A472,FIJOS!$B$11:$P$545,10,FALSE)/7)*(7-$CU472),IF(AND($C472=2,CV472&lt;$DJ$1),(VLOOKUP($D472,HORAS!$B$4:$C$42,2,FALSE)*24)*$CV472,IF(AND($C472=2,CV472&gt;=$DJ$1),VLOOKUP($D472,HORAS!$B$4:$D$42,3,FALSE),IF(AND($C472=3,$CV472&gt;=$DJ$1),VLOOKUP($A472,FIJOS!$B$11:$P$545,10,FALSE),IF(AND($C472=3,$CV472&lt;$DJ$1),((VLOOKUP($A472,FIJOS!$B$11:$P$545,10,FALSE)/48)*24)*$CV472,IF(AND($C472=4,$CV472&gt;=(42/24)),VLOOKUP($D472,HORAS!$B$4:$D$42,3,FALSE),IF(AND($C472=5,$CV472&gt;=(36/24)),VLOOKUP($D472,HORAS!$B$4:$D$42,3,FALSE))))))))</f>
        <v>0</v>
      </c>
      <c r="DJ472" s="145">
        <f>IF(OR($C472=2),VLOOKUP($D472,HORAS!$B$4:$E$42,4,FALSE)*$EC472,IF(ISERROR(VLOOKUP($A472,FIJOS!$B$11:$P$108,9,FALSE)),0,VLOOKUP($A472,FIJOS!$B$11:$P$231,9,FALSE)*$EC472))</f>
        <v>0</v>
      </c>
      <c r="DK472" s="145">
        <f>IF(OR($C472=2),VLOOKUP($D472,HORAS!$B$4:$F$42,5,FALSE)*$EE472,IF(ISERROR(VLOOKUP($A472,FIJOS!$B$11:$P$108,9,FALSE)),0,VLOOKUP($A472,FIJOS!$B$11:$P$231,9,FALSE)*$EE472))</f>
        <v>0</v>
      </c>
      <c r="DL472" s="144"/>
      <c r="DM472" s="145">
        <f>IF(ISERROR(VLOOKUP($A472,FIJOS!$B$11:$L$646,11,FALSE)),0,VLOOKUP($A472,FIJOS!$B$11:$L$646,11,FALSE))</f>
        <v>0</v>
      </c>
      <c r="DN472" s="148" t="e">
        <f>IF(OR($C472=1,$C472=3),0,IF((VLOOKUP(CAPTURA!D472,HORAS!$B$4:$K$42,10,FALSE)/4)*COUNTIF($H472:$CT472,3)&gt;100,100,(VLOOKUP(CAPTURA!D472,HORAS!$B$4:$K$42,10,FALSE)/4)*COUNTIF($H472:$CT472,3)))</f>
        <v>#N/A</v>
      </c>
      <c r="DO472" s="144" t="e">
        <f>IF(OR($C472=1,$C472=3),0,IF($C472=5,VLOOKUP(D472,HORAS!$B$4:$G$42,6,FALSE),IF(AND($C472=4,$CV472&gt;=(42/24)),VLOOKUP(D472,HORAS!$B$4:$G$42,6,FALSE),IF(COUNTIF($H472:$CL472,"F")&gt;0,0,IF(CV472&gt;$DJ$1,$DJ$1*(VLOOKUP(D472,HORAS!$B$4:$G$42,6,FALSE)/$DJ$1),CV472*(VLOOKUP(D472,HORAS!$B$4:$G$42,6,FALSE)/$DJ$1))))))</f>
        <v>#N/A</v>
      </c>
      <c r="DP472" s="156"/>
      <c r="DQ472" s="148"/>
      <c r="DR472" s="148"/>
      <c r="DS472" s="83" t="e">
        <f t="shared" si="162"/>
        <v>#N/A</v>
      </c>
      <c r="DT472" s="84"/>
      <c r="DU472" s="149" t="e">
        <f t="shared" si="243"/>
        <v>#N/A</v>
      </c>
      <c r="DV472" s="149" t="e">
        <f t="shared" si="244"/>
        <v>#N/A</v>
      </c>
      <c r="DW472" s="144" t="e">
        <f t="shared" si="245"/>
        <v>#N/A</v>
      </c>
      <c r="DX472" s="168"/>
      <c r="DY472" s="29"/>
      <c r="DZ472" s="150"/>
      <c r="EA472" s="134"/>
      <c r="EB472" s="137">
        <f t="shared" si="246"/>
        <v>0</v>
      </c>
      <c r="EC472" s="138">
        <f t="shared" si="247"/>
        <v>0</v>
      </c>
      <c r="ED472" s="137">
        <f t="shared" si="248"/>
        <v>0</v>
      </c>
      <c r="EE472" s="132">
        <f t="shared" si="249"/>
        <v>0</v>
      </c>
      <c r="EF472" s="29"/>
      <c r="EG472" s="134"/>
      <c r="EH472" s="134"/>
      <c r="EI472" s="134"/>
      <c r="EK472" s="29"/>
    </row>
    <row r="473" spans="1:141" ht="15" customHeight="1" x14ac:dyDescent="0.25">
      <c r="A473" s="87"/>
      <c r="B473" s="5"/>
      <c r="C473" s="72"/>
      <c r="D473" s="73"/>
      <c r="E473" s="73"/>
      <c r="F473" s="141"/>
      <c r="G473" s="74"/>
      <c r="H473" s="75"/>
      <c r="I473" s="76"/>
      <c r="J473" s="135"/>
      <c r="K473" s="135"/>
      <c r="L473" s="77">
        <f t="shared" si="138"/>
        <v>0</v>
      </c>
      <c r="M473" s="78"/>
      <c r="N473" s="142"/>
      <c r="O473" s="142"/>
      <c r="P473" s="77">
        <f t="shared" si="139"/>
        <v>0</v>
      </c>
      <c r="Q473" s="78"/>
      <c r="R473" s="143"/>
      <c r="S473" s="143"/>
      <c r="T473" s="77">
        <f t="shared" si="140"/>
        <v>0</v>
      </c>
      <c r="U473" s="75"/>
      <c r="V473" s="76"/>
      <c r="W473" s="135"/>
      <c r="X473" s="135"/>
      <c r="Y473" s="77">
        <f t="shared" si="141"/>
        <v>0</v>
      </c>
      <c r="Z473" s="78"/>
      <c r="AA473" s="142"/>
      <c r="AB473" s="142"/>
      <c r="AC473" s="77">
        <f t="shared" si="142"/>
        <v>0</v>
      </c>
      <c r="AD473" s="78"/>
      <c r="AE473" s="143"/>
      <c r="AF473" s="143"/>
      <c r="AG473" s="79">
        <f t="shared" si="143"/>
        <v>0</v>
      </c>
      <c r="AH473" s="75"/>
      <c r="AI473" s="76"/>
      <c r="AJ473" s="135"/>
      <c r="AK473" s="135"/>
      <c r="AL473" s="77">
        <f t="shared" si="144"/>
        <v>0</v>
      </c>
      <c r="AM473" s="76"/>
      <c r="AN473" s="142"/>
      <c r="AO473" s="142"/>
      <c r="AP473" s="77">
        <f t="shared" si="145"/>
        <v>0</v>
      </c>
      <c r="AQ473" s="78"/>
      <c r="AR473" s="142"/>
      <c r="AS473" s="142"/>
      <c r="AT473" s="79">
        <f t="shared" si="146"/>
        <v>0</v>
      </c>
      <c r="AU473" s="75"/>
      <c r="AV473" s="76"/>
      <c r="AW473" s="135"/>
      <c r="AX473" s="135"/>
      <c r="AY473" s="77">
        <f t="shared" si="147"/>
        <v>0</v>
      </c>
      <c r="AZ473" s="76"/>
      <c r="BA473" s="142"/>
      <c r="BB473" s="142"/>
      <c r="BC473" s="77">
        <f t="shared" si="148"/>
        <v>0</v>
      </c>
      <c r="BD473" s="78"/>
      <c r="BE473" s="142"/>
      <c r="BF473" s="142"/>
      <c r="BG473" s="79">
        <f t="shared" si="149"/>
        <v>0</v>
      </c>
      <c r="BH473" s="75"/>
      <c r="BI473" s="76"/>
      <c r="BJ473" s="135"/>
      <c r="BK473" s="135"/>
      <c r="BL473" s="77">
        <f t="shared" si="150"/>
        <v>0</v>
      </c>
      <c r="BM473" s="78"/>
      <c r="BN473" s="142"/>
      <c r="BO473" s="142"/>
      <c r="BP473" s="77">
        <f t="shared" si="151"/>
        <v>0</v>
      </c>
      <c r="BQ473" s="78"/>
      <c r="BR473" s="142"/>
      <c r="BS473" s="142"/>
      <c r="BT473" s="79">
        <f t="shared" si="152"/>
        <v>0</v>
      </c>
      <c r="BU473" s="75"/>
      <c r="BV473" s="76"/>
      <c r="BW473" s="135"/>
      <c r="BX473" s="135"/>
      <c r="BY473" s="77">
        <f t="shared" si="153"/>
        <v>0</v>
      </c>
      <c r="BZ473" s="78"/>
      <c r="CA473" s="142"/>
      <c r="CB473" s="142"/>
      <c r="CC473" s="77">
        <f t="shared" si="154"/>
        <v>0</v>
      </c>
      <c r="CD473" s="78"/>
      <c r="CE473" s="142"/>
      <c r="CF473" s="142"/>
      <c r="CG473" s="79">
        <f t="shared" si="155"/>
        <v>0</v>
      </c>
      <c r="CH473" s="75"/>
      <c r="CI473" s="76"/>
      <c r="CJ473" s="86"/>
      <c r="CK473" s="86"/>
      <c r="CL473" s="77">
        <f t="shared" si="156"/>
        <v>0</v>
      </c>
      <c r="CM473" s="78"/>
      <c r="CN473" s="85"/>
      <c r="CO473" s="85"/>
      <c r="CP473" s="77">
        <f t="shared" si="157"/>
        <v>0</v>
      </c>
      <c r="CQ473" s="78"/>
      <c r="CR473" s="85"/>
      <c r="CS473" s="85"/>
      <c r="CT473" s="79">
        <f t="shared" si="158"/>
        <v>0</v>
      </c>
      <c r="CU473" s="80">
        <f t="shared" si="168"/>
        <v>0</v>
      </c>
      <c r="CV473" s="81">
        <f t="shared" si="169"/>
        <v>0</v>
      </c>
      <c r="CW473" s="144"/>
      <c r="CX473" s="145">
        <f>IF(ISERROR(VLOOKUP($A473,FIJOS!$B$11:$O$590,14,FALSE)),0,VLOOKUP($A473,FIJOS!$B$11:$O$590,14,FALSE))</f>
        <v>0</v>
      </c>
      <c r="CY473" s="145">
        <f>IF(ISERROR(VLOOKUP(A473,FIJOS!$B$10:$P$590,15,FALSE)),0,VLOOKUP(A473,FIJOS!$B$10:$P$590,15,FALSE))</f>
        <v>0</v>
      </c>
      <c r="CZ473" s="155"/>
      <c r="DA473" s="147"/>
      <c r="DB473" s="147"/>
      <c r="DC473" s="147"/>
      <c r="DD473" s="147"/>
      <c r="DE473" s="147"/>
      <c r="DF473" s="145">
        <f>IF(ISERROR(VLOOKUP($A473,FIJOS!$B$11:$N$590,13,FALSE)),0,VLOOKUP($A473,FIJOS!$B$11:$N$590,13,FALSE))</f>
        <v>0</v>
      </c>
      <c r="DG473" s="145">
        <f>IF(ISERROR(VLOOKUP($A473,FIJOS!$B$11:$P$447,12,FALSE)),0,VLOOKUP($A473,FIJOS!$B$11:$P$447,12,FALSE))</f>
        <v>0</v>
      </c>
      <c r="DH473" s="82">
        <f t="shared" si="242"/>
        <v>0</v>
      </c>
      <c r="DI473" s="83" t="b">
        <f>IF($C473=1,(VLOOKUP($A473,FIJOS!$B$11:$P$545,10,FALSE)/7)*(7-$CU473),IF(AND($C473=2,CV473&lt;$DJ$1),(VLOOKUP($D473,HORAS!$B$4:$C$42,2,FALSE)*24)*$CV473,IF(AND($C473=2,CV473&gt;=$DJ$1),VLOOKUP($D473,HORAS!$B$4:$D$42,3,FALSE),IF(AND($C473=3,$CV473&gt;=$DJ$1),VLOOKUP($A473,FIJOS!$B$11:$P$545,10,FALSE),IF(AND($C473=3,$CV473&lt;$DJ$1),((VLOOKUP($A473,FIJOS!$B$11:$P$545,10,FALSE)/48)*24)*$CV473,IF(AND($C473=4,$CV473&gt;=(42/24)),VLOOKUP($D473,HORAS!$B$4:$D$42,3,FALSE),IF(AND($C473=5,$CV473&gt;=(36/24)),VLOOKUP($D473,HORAS!$B$4:$D$42,3,FALSE))))))))</f>
        <v>0</v>
      </c>
      <c r="DJ473" s="145">
        <f>IF(OR($C473=2),VLOOKUP($D473,HORAS!$B$4:$E$42,4,FALSE)*$EC473,IF(ISERROR(VLOOKUP($A473,FIJOS!$B$11:$P$108,9,FALSE)),0,VLOOKUP($A473,FIJOS!$B$11:$P$231,9,FALSE)*$EC473))</f>
        <v>0</v>
      </c>
      <c r="DK473" s="145">
        <f>IF(OR($C473=2),VLOOKUP($D473,HORAS!$B$4:$F$42,5,FALSE)*$EE473,IF(ISERROR(VLOOKUP($A473,FIJOS!$B$11:$P$108,9,FALSE)),0,VLOOKUP($A473,FIJOS!$B$11:$P$231,9,FALSE)*$EE473))</f>
        <v>0</v>
      </c>
      <c r="DL473" s="144"/>
      <c r="DM473" s="145">
        <f>IF(ISERROR(VLOOKUP($A473,FIJOS!$B$11:$L$646,11,FALSE)),0,VLOOKUP($A473,FIJOS!$B$11:$L$646,11,FALSE))</f>
        <v>0</v>
      </c>
      <c r="DN473" s="148" t="e">
        <f>IF(OR($C473=1,$C473=3),0,IF((VLOOKUP(CAPTURA!D473,HORAS!$B$4:$K$42,10,FALSE)/4)*COUNTIF($H473:$CT473,3)&gt;100,100,(VLOOKUP(CAPTURA!D473,HORAS!$B$4:$K$42,10,FALSE)/4)*COUNTIF($H473:$CT473,3)))</f>
        <v>#N/A</v>
      </c>
      <c r="DO473" s="144" t="e">
        <f>IF(OR($C473=1,$C473=3),0,IF($C473=5,VLOOKUP(D473,HORAS!$B$4:$G$42,6,FALSE),IF(AND($C473=4,$CV473&gt;=(42/24)),VLOOKUP(D473,HORAS!$B$4:$G$42,6,FALSE),IF(COUNTIF($H473:$CL473,"F")&gt;0,0,IF(CV473&gt;$DJ$1,$DJ$1*(VLOOKUP(D473,HORAS!$B$4:$G$42,6,FALSE)/$DJ$1),CV473*(VLOOKUP(D473,HORAS!$B$4:$G$42,6,FALSE)/$DJ$1))))))</f>
        <v>#N/A</v>
      </c>
      <c r="DP473" s="156"/>
      <c r="DQ473" s="148"/>
      <c r="DR473" s="148"/>
      <c r="DS473" s="83" t="e">
        <f t="shared" si="162"/>
        <v>#N/A</v>
      </c>
      <c r="DT473" s="84"/>
      <c r="DU473" s="149" t="e">
        <f t="shared" si="243"/>
        <v>#N/A</v>
      </c>
      <c r="DV473" s="149" t="e">
        <f t="shared" si="244"/>
        <v>#N/A</v>
      </c>
      <c r="DW473" s="144" t="e">
        <f t="shared" si="245"/>
        <v>#N/A</v>
      </c>
      <c r="DX473" s="168"/>
      <c r="DY473" s="29"/>
      <c r="DZ473" s="150"/>
      <c r="EA473" s="134"/>
      <c r="EB473" s="137">
        <f t="shared" si="246"/>
        <v>0</v>
      </c>
      <c r="EC473" s="138">
        <f t="shared" si="247"/>
        <v>0</v>
      </c>
      <c r="ED473" s="137">
        <f t="shared" si="248"/>
        <v>0</v>
      </c>
      <c r="EE473" s="132">
        <f t="shared" si="249"/>
        <v>0</v>
      </c>
      <c r="EF473" s="29"/>
      <c r="EG473" s="134"/>
      <c r="EH473" s="134"/>
      <c r="EI473" s="134"/>
      <c r="EK473" s="29"/>
    </row>
    <row r="474" spans="1:141" ht="15" customHeight="1" x14ac:dyDescent="0.25">
      <c r="A474" s="87"/>
      <c r="B474" s="5"/>
      <c r="C474" s="72"/>
      <c r="D474" s="73"/>
      <c r="E474" s="73"/>
      <c r="F474" s="141"/>
      <c r="G474" s="74"/>
      <c r="H474" s="75"/>
      <c r="I474" s="76"/>
      <c r="J474" s="135"/>
      <c r="K474" s="135"/>
      <c r="L474" s="77">
        <f t="shared" si="138"/>
        <v>0</v>
      </c>
      <c r="M474" s="78"/>
      <c r="N474" s="142"/>
      <c r="O474" s="142"/>
      <c r="P474" s="77">
        <f t="shared" si="139"/>
        <v>0</v>
      </c>
      <c r="Q474" s="78"/>
      <c r="R474" s="143"/>
      <c r="S474" s="143"/>
      <c r="T474" s="77">
        <f t="shared" si="140"/>
        <v>0</v>
      </c>
      <c r="U474" s="75"/>
      <c r="V474" s="76"/>
      <c r="W474" s="135"/>
      <c r="X474" s="135"/>
      <c r="Y474" s="77">
        <f t="shared" si="141"/>
        <v>0</v>
      </c>
      <c r="Z474" s="78"/>
      <c r="AA474" s="142"/>
      <c r="AB474" s="142"/>
      <c r="AC474" s="77">
        <f t="shared" si="142"/>
        <v>0</v>
      </c>
      <c r="AD474" s="78"/>
      <c r="AE474" s="143"/>
      <c r="AF474" s="143"/>
      <c r="AG474" s="79">
        <f t="shared" si="143"/>
        <v>0</v>
      </c>
      <c r="AH474" s="75"/>
      <c r="AI474" s="76"/>
      <c r="AJ474" s="135"/>
      <c r="AK474" s="135"/>
      <c r="AL474" s="77">
        <f t="shared" si="144"/>
        <v>0</v>
      </c>
      <c r="AM474" s="76"/>
      <c r="AN474" s="142"/>
      <c r="AO474" s="142"/>
      <c r="AP474" s="77">
        <f t="shared" si="145"/>
        <v>0</v>
      </c>
      <c r="AQ474" s="78"/>
      <c r="AR474" s="142"/>
      <c r="AS474" s="142"/>
      <c r="AT474" s="79">
        <f t="shared" si="146"/>
        <v>0</v>
      </c>
      <c r="AU474" s="75"/>
      <c r="AV474" s="76"/>
      <c r="AW474" s="135"/>
      <c r="AX474" s="135"/>
      <c r="AY474" s="77">
        <f t="shared" si="147"/>
        <v>0</v>
      </c>
      <c r="AZ474" s="76"/>
      <c r="BA474" s="142"/>
      <c r="BB474" s="142"/>
      <c r="BC474" s="77">
        <f t="shared" si="148"/>
        <v>0</v>
      </c>
      <c r="BD474" s="78"/>
      <c r="BE474" s="142"/>
      <c r="BF474" s="142"/>
      <c r="BG474" s="79">
        <f t="shared" si="149"/>
        <v>0</v>
      </c>
      <c r="BH474" s="75"/>
      <c r="BI474" s="76"/>
      <c r="BJ474" s="135"/>
      <c r="BK474" s="135"/>
      <c r="BL474" s="77">
        <f t="shared" si="150"/>
        <v>0</v>
      </c>
      <c r="BM474" s="78"/>
      <c r="BN474" s="142"/>
      <c r="BO474" s="142"/>
      <c r="BP474" s="77">
        <f t="shared" si="151"/>
        <v>0</v>
      </c>
      <c r="BQ474" s="78"/>
      <c r="BR474" s="142"/>
      <c r="BS474" s="142"/>
      <c r="BT474" s="79">
        <f t="shared" si="152"/>
        <v>0</v>
      </c>
      <c r="BU474" s="75"/>
      <c r="BV474" s="76"/>
      <c r="BW474" s="135"/>
      <c r="BX474" s="135"/>
      <c r="BY474" s="77">
        <f t="shared" si="153"/>
        <v>0</v>
      </c>
      <c r="BZ474" s="78"/>
      <c r="CA474" s="142"/>
      <c r="CB474" s="142"/>
      <c r="CC474" s="77">
        <f t="shared" si="154"/>
        <v>0</v>
      </c>
      <c r="CD474" s="78"/>
      <c r="CE474" s="142"/>
      <c r="CF474" s="142"/>
      <c r="CG474" s="79">
        <f t="shared" si="155"/>
        <v>0</v>
      </c>
      <c r="CH474" s="75"/>
      <c r="CI474" s="76"/>
      <c r="CJ474" s="86"/>
      <c r="CK474" s="86"/>
      <c r="CL474" s="77">
        <f t="shared" si="156"/>
        <v>0</v>
      </c>
      <c r="CM474" s="78"/>
      <c r="CN474" s="85"/>
      <c r="CO474" s="85"/>
      <c r="CP474" s="77">
        <f t="shared" si="157"/>
        <v>0</v>
      </c>
      <c r="CQ474" s="78"/>
      <c r="CR474" s="85"/>
      <c r="CS474" s="85"/>
      <c r="CT474" s="79">
        <f t="shared" si="158"/>
        <v>0</v>
      </c>
      <c r="CU474" s="80">
        <f t="shared" si="168"/>
        <v>0</v>
      </c>
      <c r="CV474" s="81">
        <f t="shared" si="169"/>
        <v>0</v>
      </c>
      <c r="CW474" s="144"/>
      <c r="CX474" s="145">
        <f>IF(ISERROR(VLOOKUP($A474,FIJOS!$B$11:$O$590,14,FALSE)),0,VLOOKUP($A474,FIJOS!$B$11:$O$590,14,FALSE))</f>
        <v>0</v>
      </c>
      <c r="CY474" s="145">
        <f>IF(ISERROR(VLOOKUP(A474,FIJOS!$B$10:$P$590,15,FALSE)),0,VLOOKUP(A474,FIJOS!$B$10:$P$590,15,FALSE))</f>
        <v>0</v>
      </c>
      <c r="CZ474" s="155"/>
      <c r="DA474" s="147"/>
      <c r="DB474" s="147"/>
      <c r="DC474" s="147"/>
      <c r="DD474" s="147"/>
      <c r="DE474" s="147"/>
      <c r="DF474" s="145">
        <f>IF(ISERROR(VLOOKUP($A474,FIJOS!$B$11:$N$590,13,FALSE)),0,VLOOKUP($A474,FIJOS!$B$11:$N$590,13,FALSE))</f>
        <v>0</v>
      </c>
      <c r="DG474" s="145">
        <f>IF(ISERROR(VLOOKUP($A474,FIJOS!$B$11:$P$447,12,FALSE)),0,VLOOKUP($A474,FIJOS!$B$11:$P$447,12,FALSE))</f>
        <v>0</v>
      </c>
      <c r="DH474" s="82">
        <f t="shared" si="242"/>
        <v>0</v>
      </c>
      <c r="DI474" s="83" t="b">
        <f>IF($C474=1,(VLOOKUP($A474,FIJOS!$B$11:$P$545,10,FALSE)/7)*(7-$CU474),IF(AND($C474=2,CV474&lt;$DJ$1),(VLOOKUP($D474,HORAS!$B$4:$C$42,2,FALSE)*24)*$CV474,IF(AND($C474=2,CV474&gt;=$DJ$1),VLOOKUP($D474,HORAS!$B$4:$D$42,3,FALSE),IF(AND($C474=3,$CV474&gt;=$DJ$1),VLOOKUP($A474,FIJOS!$B$11:$P$545,10,FALSE),IF(AND($C474=3,$CV474&lt;$DJ$1),((VLOOKUP($A474,FIJOS!$B$11:$P$545,10,FALSE)/48)*24)*$CV474,IF(AND($C474=4,$CV474&gt;=(42/24)),VLOOKUP($D474,HORAS!$B$4:$D$42,3,FALSE),IF(AND($C474=5,$CV474&gt;=(36/24)),VLOOKUP($D474,HORAS!$B$4:$D$42,3,FALSE))))))))</f>
        <v>0</v>
      </c>
      <c r="DJ474" s="145">
        <f>IF(OR($C474=2),VLOOKUP($D474,HORAS!$B$4:$E$42,4,FALSE)*$EC474,IF(ISERROR(VLOOKUP($A474,FIJOS!$B$11:$P$108,9,FALSE)),0,VLOOKUP($A474,FIJOS!$B$11:$P$231,9,FALSE)*$EC474))</f>
        <v>0</v>
      </c>
      <c r="DK474" s="145">
        <f>IF(OR($C474=2),VLOOKUP($D474,HORAS!$B$4:$F$42,5,FALSE)*$EE474,IF(ISERROR(VLOOKUP($A474,FIJOS!$B$11:$P$108,9,FALSE)),0,VLOOKUP($A474,FIJOS!$B$11:$P$231,9,FALSE)*$EE474))</f>
        <v>0</v>
      </c>
      <c r="DL474" s="144"/>
      <c r="DM474" s="145">
        <f>IF(ISERROR(VLOOKUP($A474,FIJOS!$B$11:$L$646,11,FALSE)),0,VLOOKUP($A474,FIJOS!$B$11:$L$646,11,FALSE))</f>
        <v>0</v>
      </c>
      <c r="DN474" s="148" t="e">
        <f>IF(OR($C474=1,$C474=3),0,IF((VLOOKUP(CAPTURA!D474,HORAS!$B$4:$K$42,10,FALSE)/4)*COUNTIF($H474:$CT474,3)&gt;100,100,(VLOOKUP(CAPTURA!D474,HORAS!$B$4:$K$42,10,FALSE)/4)*COUNTIF($H474:$CT474,3)))</f>
        <v>#N/A</v>
      </c>
      <c r="DO474" s="144" t="e">
        <f>IF(OR($C474=1,$C474=3),0,IF($C474=5,VLOOKUP(D474,HORAS!$B$4:$G$42,6,FALSE),IF(AND($C474=4,$CV474&gt;=(42/24)),VLOOKUP(D474,HORAS!$B$4:$G$42,6,FALSE),IF(COUNTIF($H474:$CL474,"F")&gt;0,0,IF(CV474&gt;$DJ$1,$DJ$1*(VLOOKUP(D474,HORAS!$B$4:$G$42,6,FALSE)/$DJ$1),CV474*(VLOOKUP(D474,HORAS!$B$4:$G$42,6,FALSE)/$DJ$1))))))</f>
        <v>#N/A</v>
      </c>
      <c r="DP474" s="156"/>
      <c r="DQ474" s="148"/>
      <c r="DR474" s="148"/>
      <c r="DS474" s="83" t="e">
        <f t="shared" si="162"/>
        <v>#N/A</v>
      </c>
      <c r="DT474" s="84"/>
      <c r="DU474" s="149" t="e">
        <f t="shared" si="243"/>
        <v>#N/A</v>
      </c>
      <c r="DV474" s="149" t="e">
        <f t="shared" si="244"/>
        <v>#N/A</v>
      </c>
      <c r="DW474" s="144" t="e">
        <f t="shared" si="245"/>
        <v>#N/A</v>
      </c>
      <c r="DX474" s="168"/>
      <c r="DY474" s="29"/>
      <c r="DZ474" s="150"/>
      <c r="EA474" s="134"/>
      <c r="EB474" s="137">
        <f t="shared" si="246"/>
        <v>0</v>
      </c>
      <c r="EC474" s="138">
        <f t="shared" si="247"/>
        <v>0</v>
      </c>
      <c r="ED474" s="137">
        <f t="shared" si="248"/>
        <v>0</v>
      </c>
      <c r="EE474" s="132">
        <f t="shared" si="249"/>
        <v>0</v>
      </c>
      <c r="EF474" s="29"/>
      <c r="EG474" s="134"/>
      <c r="EH474" s="134"/>
      <c r="EI474" s="134"/>
      <c r="EK474" s="29"/>
    </row>
    <row r="475" spans="1:141" ht="15" customHeight="1" x14ac:dyDescent="0.25">
      <c r="A475" s="87"/>
      <c r="B475" s="5"/>
      <c r="C475" s="72"/>
      <c r="D475" s="73"/>
      <c r="E475" s="73"/>
      <c r="F475" s="141"/>
      <c r="G475" s="74"/>
      <c r="H475" s="75"/>
      <c r="I475" s="76"/>
      <c r="J475" s="135"/>
      <c r="K475" s="135"/>
      <c r="L475" s="77">
        <f t="shared" si="138"/>
        <v>0</v>
      </c>
      <c r="M475" s="78"/>
      <c r="N475" s="142"/>
      <c r="O475" s="142"/>
      <c r="P475" s="77">
        <f t="shared" si="139"/>
        <v>0</v>
      </c>
      <c r="Q475" s="78"/>
      <c r="R475" s="143"/>
      <c r="S475" s="143"/>
      <c r="T475" s="77">
        <f t="shared" si="140"/>
        <v>0</v>
      </c>
      <c r="U475" s="75"/>
      <c r="V475" s="76"/>
      <c r="W475" s="135"/>
      <c r="X475" s="135"/>
      <c r="Y475" s="77">
        <f t="shared" si="141"/>
        <v>0</v>
      </c>
      <c r="Z475" s="78"/>
      <c r="AA475" s="142"/>
      <c r="AB475" s="142"/>
      <c r="AC475" s="77">
        <f t="shared" si="142"/>
        <v>0</v>
      </c>
      <c r="AD475" s="78"/>
      <c r="AE475" s="143"/>
      <c r="AF475" s="143"/>
      <c r="AG475" s="79">
        <f t="shared" si="143"/>
        <v>0</v>
      </c>
      <c r="AH475" s="75"/>
      <c r="AI475" s="76"/>
      <c r="AJ475" s="135"/>
      <c r="AK475" s="135"/>
      <c r="AL475" s="77">
        <f t="shared" si="144"/>
        <v>0</v>
      </c>
      <c r="AM475" s="76"/>
      <c r="AN475" s="142"/>
      <c r="AO475" s="142"/>
      <c r="AP475" s="77">
        <f t="shared" si="145"/>
        <v>0</v>
      </c>
      <c r="AQ475" s="78"/>
      <c r="AR475" s="142"/>
      <c r="AS475" s="142"/>
      <c r="AT475" s="79">
        <f t="shared" si="146"/>
        <v>0</v>
      </c>
      <c r="AU475" s="75"/>
      <c r="AV475" s="76"/>
      <c r="AW475" s="135"/>
      <c r="AX475" s="135"/>
      <c r="AY475" s="77">
        <f t="shared" si="147"/>
        <v>0</v>
      </c>
      <c r="AZ475" s="76"/>
      <c r="BA475" s="142"/>
      <c r="BB475" s="142"/>
      <c r="BC475" s="77">
        <f t="shared" si="148"/>
        <v>0</v>
      </c>
      <c r="BD475" s="78"/>
      <c r="BE475" s="142"/>
      <c r="BF475" s="142"/>
      <c r="BG475" s="79">
        <f t="shared" si="149"/>
        <v>0</v>
      </c>
      <c r="BH475" s="75"/>
      <c r="BI475" s="76"/>
      <c r="BJ475" s="135"/>
      <c r="BK475" s="135"/>
      <c r="BL475" s="77">
        <f t="shared" si="150"/>
        <v>0</v>
      </c>
      <c r="BM475" s="78"/>
      <c r="BN475" s="142"/>
      <c r="BO475" s="142"/>
      <c r="BP475" s="77">
        <f t="shared" si="151"/>
        <v>0</v>
      </c>
      <c r="BQ475" s="78"/>
      <c r="BR475" s="142"/>
      <c r="BS475" s="142"/>
      <c r="BT475" s="79">
        <f t="shared" si="152"/>
        <v>0</v>
      </c>
      <c r="BU475" s="75"/>
      <c r="BV475" s="76"/>
      <c r="BW475" s="135"/>
      <c r="BX475" s="135"/>
      <c r="BY475" s="77">
        <f t="shared" si="153"/>
        <v>0</v>
      </c>
      <c r="BZ475" s="78"/>
      <c r="CA475" s="142"/>
      <c r="CB475" s="142"/>
      <c r="CC475" s="77">
        <f t="shared" si="154"/>
        <v>0</v>
      </c>
      <c r="CD475" s="78"/>
      <c r="CE475" s="142"/>
      <c r="CF475" s="142"/>
      <c r="CG475" s="79">
        <f t="shared" si="155"/>
        <v>0</v>
      </c>
      <c r="CH475" s="75"/>
      <c r="CI475" s="76"/>
      <c r="CJ475" s="86"/>
      <c r="CK475" s="86"/>
      <c r="CL475" s="77">
        <f t="shared" si="156"/>
        <v>0</v>
      </c>
      <c r="CM475" s="78"/>
      <c r="CN475" s="85"/>
      <c r="CO475" s="85"/>
      <c r="CP475" s="77">
        <f t="shared" si="157"/>
        <v>0</v>
      </c>
      <c r="CQ475" s="78"/>
      <c r="CR475" s="85"/>
      <c r="CS475" s="85"/>
      <c r="CT475" s="79">
        <f t="shared" si="158"/>
        <v>0</v>
      </c>
      <c r="CU475" s="80">
        <f t="shared" si="168"/>
        <v>0</v>
      </c>
      <c r="CV475" s="81">
        <f t="shared" si="169"/>
        <v>0</v>
      </c>
      <c r="CW475" s="144"/>
      <c r="CX475" s="145">
        <f>IF(ISERROR(VLOOKUP($A475,FIJOS!$B$11:$O$590,14,FALSE)),0,VLOOKUP($A475,FIJOS!$B$11:$O$590,14,FALSE))</f>
        <v>0</v>
      </c>
      <c r="CY475" s="145">
        <f>IF(ISERROR(VLOOKUP(A475,FIJOS!$B$10:$P$590,15,FALSE)),0,VLOOKUP(A475,FIJOS!$B$10:$P$590,15,FALSE))</f>
        <v>0</v>
      </c>
      <c r="CZ475" s="155"/>
      <c r="DA475" s="147"/>
      <c r="DB475" s="147"/>
      <c r="DC475" s="147"/>
      <c r="DD475" s="147"/>
      <c r="DE475" s="147"/>
      <c r="DF475" s="145">
        <f>IF(ISERROR(VLOOKUP($A475,FIJOS!$B$11:$N$590,13,FALSE)),0,VLOOKUP($A475,FIJOS!$B$11:$N$590,13,FALSE))</f>
        <v>0</v>
      </c>
      <c r="DG475" s="145">
        <f>IF(ISERROR(VLOOKUP($A475,FIJOS!$B$11:$P$447,12,FALSE)),0,VLOOKUP($A475,FIJOS!$B$11:$P$447,12,FALSE))</f>
        <v>0</v>
      </c>
      <c r="DH475" s="82">
        <f t="shared" si="242"/>
        <v>0</v>
      </c>
      <c r="DI475" s="83" t="b">
        <f>IF($C475=1,(VLOOKUP($A475,FIJOS!$B$11:$P$545,10,FALSE)/7)*(7-$CU475),IF(AND($C475=2,CV475&lt;$DJ$1),(VLOOKUP($D475,HORAS!$B$4:$C$42,2,FALSE)*24)*$CV475,IF(AND($C475=2,CV475&gt;=$DJ$1),VLOOKUP($D475,HORAS!$B$4:$D$42,3,FALSE),IF(AND($C475=3,$CV475&gt;=$DJ$1),VLOOKUP($A475,FIJOS!$B$11:$P$545,10,FALSE),IF(AND($C475=3,$CV475&lt;$DJ$1),((VLOOKUP($A475,FIJOS!$B$11:$P$545,10,FALSE)/48)*24)*$CV475,IF(AND($C475=4,$CV475&gt;=(42/24)),VLOOKUP($D475,HORAS!$B$4:$D$42,3,FALSE),IF(AND($C475=5,$CV475&gt;=(36/24)),VLOOKUP($D475,HORAS!$B$4:$D$42,3,FALSE))))))))</f>
        <v>0</v>
      </c>
      <c r="DJ475" s="145">
        <f>IF(OR($C475=2),VLOOKUP($D475,HORAS!$B$4:$E$42,4,FALSE)*$EC475,IF(ISERROR(VLOOKUP($A475,FIJOS!$B$11:$P$108,9,FALSE)),0,VLOOKUP($A475,FIJOS!$B$11:$P$231,9,FALSE)*$EC475))</f>
        <v>0</v>
      </c>
      <c r="DK475" s="145">
        <f>IF(OR($C475=2),VLOOKUP($D475,HORAS!$B$4:$F$42,5,FALSE)*$EE475,IF(ISERROR(VLOOKUP($A475,FIJOS!$B$11:$P$108,9,FALSE)),0,VLOOKUP($A475,FIJOS!$B$11:$P$231,9,FALSE)*$EE475))</f>
        <v>0</v>
      </c>
      <c r="DL475" s="144"/>
      <c r="DM475" s="145">
        <f>IF(ISERROR(VLOOKUP($A475,FIJOS!$B$11:$L$646,11,FALSE)),0,VLOOKUP($A475,FIJOS!$B$11:$L$646,11,FALSE))</f>
        <v>0</v>
      </c>
      <c r="DN475" s="148" t="e">
        <f>IF(OR($C475=1,$C475=3),0,IF((VLOOKUP(CAPTURA!D475,HORAS!$B$4:$K$42,10,FALSE)/4)*COUNTIF($H475:$CT475,3)&gt;100,100,(VLOOKUP(CAPTURA!D475,HORAS!$B$4:$K$42,10,FALSE)/4)*COUNTIF($H475:$CT475,3)))</f>
        <v>#N/A</v>
      </c>
      <c r="DO475" s="144" t="e">
        <f>IF(OR($C475=1,$C475=3),0,IF($C475=5,VLOOKUP(D475,HORAS!$B$4:$G$42,6,FALSE),IF(AND($C475=4,$CV475&gt;=(42/24)),VLOOKUP(D475,HORAS!$B$4:$G$42,6,FALSE),IF(COUNTIF($H475:$CL475,"F")&gt;0,0,IF(CV475&gt;$DJ$1,$DJ$1*(VLOOKUP(D475,HORAS!$B$4:$G$42,6,FALSE)/$DJ$1),CV475*(VLOOKUP(D475,HORAS!$B$4:$G$42,6,FALSE)/$DJ$1))))))</f>
        <v>#N/A</v>
      </c>
      <c r="DP475" s="156"/>
      <c r="DQ475" s="148"/>
      <c r="DR475" s="148"/>
      <c r="DS475" s="83" t="e">
        <f t="shared" si="162"/>
        <v>#N/A</v>
      </c>
      <c r="DT475" s="84"/>
      <c r="DU475" s="149" t="e">
        <f t="shared" si="243"/>
        <v>#N/A</v>
      </c>
      <c r="DV475" s="149" t="e">
        <f t="shared" si="244"/>
        <v>#N/A</v>
      </c>
      <c r="DW475" s="144" t="e">
        <f t="shared" si="245"/>
        <v>#N/A</v>
      </c>
      <c r="DX475" s="168"/>
      <c r="DY475" s="29"/>
      <c r="DZ475" s="150"/>
      <c r="EA475" s="134"/>
      <c r="EB475" s="137">
        <f t="shared" si="246"/>
        <v>0</v>
      </c>
      <c r="EC475" s="138">
        <f t="shared" si="247"/>
        <v>0</v>
      </c>
      <c r="ED475" s="137">
        <f t="shared" si="248"/>
        <v>0</v>
      </c>
      <c r="EE475" s="132">
        <f t="shared" si="249"/>
        <v>0</v>
      </c>
      <c r="EF475" s="29"/>
      <c r="EG475" s="134"/>
      <c r="EH475" s="134"/>
      <c r="EI475" s="134"/>
      <c r="EK475" s="29"/>
    </row>
    <row r="476" spans="1:141" ht="15" customHeight="1" x14ac:dyDescent="0.25">
      <c r="A476" s="87"/>
      <c r="B476" s="5"/>
      <c r="C476" s="72"/>
      <c r="D476" s="73"/>
      <c r="E476" s="73"/>
      <c r="F476" s="141"/>
      <c r="G476" s="74"/>
      <c r="H476" s="75"/>
      <c r="I476" s="76"/>
      <c r="J476" s="135"/>
      <c r="K476" s="135"/>
      <c r="L476" s="77">
        <f t="shared" si="138"/>
        <v>0</v>
      </c>
      <c r="M476" s="78"/>
      <c r="N476" s="142"/>
      <c r="O476" s="142"/>
      <c r="P476" s="77">
        <f t="shared" si="139"/>
        <v>0</v>
      </c>
      <c r="Q476" s="78"/>
      <c r="R476" s="143"/>
      <c r="S476" s="143"/>
      <c r="T476" s="77">
        <f t="shared" si="140"/>
        <v>0</v>
      </c>
      <c r="U476" s="75"/>
      <c r="V476" s="76"/>
      <c r="W476" s="135"/>
      <c r="X476" s="135"/>
      <c r="Y476" s="77">
        <f t="shared" si="141"/>
        <v>0</v>
      </c>
      <c r="Z476" s="78"/>
      <c r="AA476" s="142"/>
      <c r="AB476" s="142"/>
      <c r="AC476" s="77">
        <f t="shared" si="142"/>
        <v>0</v>
      </c>
      <c r="AD476" s="78"/>
      <c r="AE476" s="143"/>
      <c r="AF476" s="143"/>
      <c r="AG476" s="79">
        <f t="shared" si="143"/>
        <v>0</v>
      </c>
      <c r="AH476" s="75"/>
      <c r="AI476" s="76"/>
      <c r="AJ476" s="135"/>
      <c r="AK476" s="135"/>
      <c r="AL476" s="77">
        <f t="shared" si="144"/>
        <v>0</v>
      </c>
      <c r="AM476" s="76"/>
      <c r="AN476" s="142"/>
      <c r="AO476" s="142"/>
      <c r="AP476" s="77">
        <f t="shared" si="145"/>
        <v>0</v>
      </c>
      <c r="AQ476" s="78"/>
      <c r="AR476" s="142"/>
      <c r="AS476" s="142"/>
      <c r="AT476" s="79">
        <f t="shared" si="146"/>
        <v>0</v>
      </c>
      <c r="AU476" s="75"/>
      <c r="AV476" s="76"/>
      <c r="AW476" s="135"/>
      <c r="AX476" s="135"/>
      <c r="AY476" s="77">
        <f t="shared" si="147"/>
        <v>0</v>
      </c>
      <c r="AZ476" s="76"/>
      <c r="BA476" s="142"/>
      <c r="BB476" s="142"/>
      <c r="BC476" s="77">
        <f t="shared" si="148"/>
        <v>0</v>
      </c>
      <c r="BD476" s="78"/>
      <c r="BE476" s="142"/>
      <c r="BF476" s="142"/>
      <c r="BG476" s="79">
        <f t="shared" si="149"/>
        <v>0</v>
      </c>
      <c r="BH476" s="75"/>
      <c r="BI476" s="76"/>
      <c r="BJ476" s="135"/>
      <c r="BK476" s="135"/>
      <c r="BL476" s="77">
        <f t="shared" si="150"/>
        <v>0</v>
      </c>
      <c r="BM476" s="78"/>
      <c r="BN476" s="142"/>
      <c r="BO476" s="142"/>
      <c r="BP476" s="77">
        <f t="shared" si="151"/>
        <v>0</v>
      </c>
      <c r="BQ476" s="78"/>
      <c r="BR476" s="142"/>
      <c r="BS476" s="142"/>
      <c r="BT476" s="79">
        <f t="shared" si="152"/>
        <v>0</v>
      </c>
      <c r="BU476" s="75"/>
      <c r="BV476" s="76"/>
      <c r="BW476" s="135"/>
      <c r="BX476" s="135"/>
      <c r="BY476" s="77">
        <f t="shared" si="153"/>
        <v>0</v>
      </c>
      <c r="BZ476" s="78"/>
      <c r="CA476" s="142"/>
      <c r="CB476" s="142"/>
      <c r="CC476" s="77">
        <f t="shared" si="154"/>
        <v>0</v>
      </c>
      <c r="CD476" s="78"/>
      <c r="CE476" s="142"/>
      <c r="CF476" s="142"/>
      <c r="CG476" s="79">
        <f t="shared" si="155"/>
        <v>0</v>
      </c>
      <c r="CH476" s="75"/>
      <c r="CI476" s="76"/>
      <c r="CJ476" s="86"/>
      <c r="CK476" s="86"/>
      <c r="CL476" s="77">
        <f t="shared" si="156"/>
        <v>0</v>
      </c>
      <c r="CM476" s="78"/>
      <c r="CN476" s="85"/>
      <c r="CO476" s="85"/>
      <c r="CP476" s="77">
        <f t="shared" si="157"/>
        <v>0</v>
      </c>
      <c r="CQ476" s="78"/>
      <c r="CR476" s="85"/>
      <c r="CS476" s="85"/>
      <c r="CT476" s="79">
        <f t="shared" si="158"/>
        <v>0</v>
      </c>
      <c r="CU476" s="80">
        <f t="shared" si="168"/>
        <v>0</v>
      </c>
      <c r="CV476" s="81">
        <f t="shared" si="169"/>
        <v>0</v>
      </c>
      <c r="CW476" s="144"/>
      <c r="CX476" s="145">
        <f>IF(ISERROR(VLOOKUP($A476,FIJOS!$B$11:$O$590,14,FALSE)),0,VLOOKUP($A476,FIJOS!$B$11:$O$590,14,FALSE))</f>
        <v>0</v>
      </c>
      <c r="CY476" s="145">
        <f>IF(ISERROR(VLOOKUP(A476,FIJOS!$B$10:$P$590,15,FALSE)),0,VLOOKUP(A476,FIJOS!$B$10:$P$590,15,FALSE))</f>
        <v>0</v>
      </c>
      <c r="CZ476" s="155"/>
      <c r="DA476" s="147"/>
      <c r="DB476" s="147"/>
      <c r="DC476" s="147"/>
      <c r="DD476" s="147"/>
      <c r="DE476" s="147"/>
      <c r="DF476" s="145">
        <f>IF(ISERROR(VLOOKUP($A476,FIJOS!$B$11:$N$590,13,FALSE)),0,VLOOKUP($A476,FIJOS!$B$11:$N$590,13,FALSE))</f>
        <v>0</v>
      </c>
      <c r="DG476" s="145">
        <f>IF(ISERROR(VLOOKUP($A476,FIJOS!$B$11:$P$447,12,FALSE)),0,VLOOKUP($A476,FIJOS!$B$11:$P$447,12,FALSE))</f>
        <v>0</v>
      </c>
      <c r="DH476" s="82">
        <f t="shared" si="242"/>
        <v>0</v>
      </c>
      <c r="DI476" s="83" t="b">
        <f>IF($C476=1,(VLOOKUP($A476,FIJOS!$B$11:$P$545,10,FALSE)/7)*(7-$CU476),IF(AND($C476=2,CV476&lt;$DJ$1),(VLOOKUP($D476,HORAS!$B$4:$C$42,2,FALSE)*24)*$CV476,IF(AND($C476=2,CV476&gt;=$DJ$1),VLOOKUP($D476,HORAS!$B$4:$D$42,3,FALSE),IF(AND($C476=3,$CV476&gt;=$DJ$1),VLOOKUP($A476,FIJOS!$B$11:$P$545,10,FALSE),IF(AND($C476=3,$CV476&lt;$DJ$1),((VLOOKUP($A476,FIJOS!$B$11:$P$545,10,FALSE)/48)*24)*$CV476,IF(AND($C476=4,$CV476&gt;=(42/24)),VLOOKUP($D476,HORAS!$B$4:$D$42,3,FALSE),IF(AND($C476=5,$CV476&gt;=(36/24)),VLOOKUP($D476,HORAS!$B$4:$D$42,3,FALSE))))))))</f>
        <v>0</v>
      </c>
      <c r="DJ476" s="145">
        <f>IF(OR($C476=2),VLOOKUP($D476,HORAS!$B$4:$E$42,4,FALSE)*$EC476,IF(ISERROR(VLOOKUP($A476,FIJOS!$B$11:$P$108,9,FALSE)),0,VLOOKUP($A476,FIJOS!$B$11:$P$231,9,FALSE)*$EC476))</f>
        <v>0</v>
      </c>
      <c r="DK476" s="145">
        <f>IF(OR($C476=2),VLOOKUP($D476,HORAS!$B$4:$F$42,5,FALSE)*$EE476,IF(ISERROR(VLOOKUP($A476,FIJOS!$B$11:$P$108,9,FALSE)),0,VLOOKUP($A476,FIJOS!$B$11:$P$231,9,FALSE)*$EE476))</f>
        <v>0</v>
      </c>
      <c r="DL476" s="144"/>
      <c r="DM476" s="145">
        <f>IF(ISERROR(VLOOKUP($A476,FIJOS!$B$11:$L$646,11,FALSE)),0,VLOOKUP($A476,FIJOS!$B$11:$L$646,11,FALSE))</f>
        <v>0</v>
      </c>
      <c r="DN476" s="148" t="e">
        <f>IF(OR($C476=1,$C476=3),0,IF((VLOOKUP(CAPTURA!D476,HORAS!$B$4:$K$42,10,FALSE)/4)*COUNTIF($H476:$CT476,3)&gt;100,100,(VLOOKUP(CAPTURA!D476,HORAS!$B$4:$K$42,10,FALSE)/4)*COUNTIF($H476:$CT476,3)))</f>
        <v>#N/A</v>
      </c>
      <c r="DO476" s="144" t="e">
        <f>IF(OR($C476=1,$C476=3),0,IF($C476=5,VLOOKUP(D476,HORAS!$B$4:$G$42,6,FALSE),IF(AND($C476=4,$CV476&gt;=(42/24)),VLOOKUP(D476,HORAS!$B$4:$G$42,6,FALSE),IF(COUNTIF($H476:$CL476,"F")&gt;0,0,IF(CV476&gt;$DJ$1,$DJ$1*(VLOOKUP(D476,HORAS!$B$4:$G$42,6,FALSE)/$DJ$1),CV476*(VLOOKUP(D476,HORAS!$B$4:$G$42,6,FALSE)/$DJ$1))))))</f>
        <v>#N/A</v>
      </c>
      <c r="DP476" s="156"/>
      <c r="DQ476" s="148"/>
      <c r="DR476" s="148"/>
      <c r="DS476" s="83" t="e">
        <f t="shared" si="162"/>
        <v>#N/A</v>
      </c>
      <c r="DT476" s="84"/>
      <c r="DU476" s="149" t="e">
        <f t="shared" si="243"/>
        <v>#N/A</v>
      </c>
      <c r="DV476" s="149" t="e">
        <f t="shared" si="244"/>
        <v>#N/A</v>
      </c>
      <c r="DW476" s="144" t="e">
        <f t="shared" si="245"/>
        <v>#N/A</v>
      </c>
      <c r="DX476" s="168"/>
      <c r="DY476" s="29"/>
      <c r="DZ476" s="150"/>
      <c r="EA476" s="134"/>
      <c r="EB476" s="137">
        <f t="shared" si="246"/>
        <v>0</v>
      </c>
      <c r="EC476" s="138">
        <f t="shared" si="247"/>
        <v>0</v>
      </c>
      <c r="ED476" s="137">
        <f t="shared" si="248"/>
        <v>0</v>
      </c>
      <c r="EE476" s="132">
        <f t="shared" si="249"/>
        <v>0</v>
      </c>
      <c r="EF476" s="29"/>
      <c r="EG476" s="134"/>
      <c r="EH476" s="134"/>
      <c r="EI476" s="134"/>
      <c r="EK476" s="29"/>
    </row>
    <row r="477" spans="1:141" ht="15" customHeight="1" x14ac:dyDescent="0.25">
      <c r="A477" s="87"/>
      <c r="B477" s="5"/>
      <c r="C477" s="72"/>
      <c r="D477" s="73"/>
      <c r="E477" s="73"/>
      <c r="F477" s="141"/>
      <c r="G477" s="74"/>
      <c r="H477" s="75"/>
      <c r="I477" s="76"/>
      <c r="J477" s="135"/>
      <c r="K477" s="135"/>
      <c r="L477" s="77">
        <f t="shared" si="138"/>
        <v>0</v>
      </c>
      <c r="M477" s="78"/>
      <c r="N477" s="142"/>
      <c r="O477" s="142"/>
      <c r="P477" s="77">
        <f t="shared" si="139"/>
        <v>0</v>
      </c>
      <c r="Q477" s="78"/>
      <c r="R477" s="143"/>
      <c r="S477" s="143"/>
      <c r="T477" s="77">
        <f t="shared" si="140"/>
        <v>0</v>
      </c>
      <c r="U477" s="75"/>
      <c r="V477" s="76"/>
      <c r="W477" s="135"/>
      <c r="X477" s="135"/>
      <c r="Y477" s="77">
        <f t="shared" si="141"/>
        <v>0</v>
      </c>
      <c r="Z477" s="78"/>
      <c r="AA477" s="142"/>
      <c r="AB477" s="142"/>
      <c r="AC477" s="77">
        <f t="shared" si="142"/>
        <v>0</v>
      </c>
      <c r="AD477" s="78"/>
      <c r="AE477" s="143"/>
      <c r="AF477" s="143"/>
      <c r="AG477" s="79">
        <f t="shared" si="143"/>
        <v>0</v>
      </c>
      <c r="AH477" s="75"/>
      <c r="AI477" s="76"/>
      <c r="AJ477" s="135"/>
      <c r="AK477" s="135"/>
      <c r="AL477" s="77">
        <f t="shared" si="144"/>
        <v>0</v>
      </c>
      <c r="AM477" s="76"/>
      <c r="AN477" s="142"/>
      <c r="AO477" s="142"/>
      <c r="AP477" s="77">
        <f t="shared" si="145"/>
        <v>0</v>
      </c>
      <c r="AQ477" s="78"/>
      <c r="AR477" s="142"/>
      <c r="AS477" s="142"/>
      <c r="AT477" s="79">
        <f t="shared" si="146"/>
        <v>0</v>
      </c>
      <c r="AU477" s="75"/>
      <c r="AV477" s="76"/>
      <c r="AW477" s="135"/>
      <c r="AX477" s="135"/>
      <c r="AY477" s="77">
        <f t="shared" si="147"/>
        <v>0</v>
      </c>
      <c r="AZ477" s="76"/>
      <c r="BA477" s="142"/>
      <c r="BB477" s="142"/>
      <c r="BC477" s="77">
        <f t="shared" si="148"/>
        <v>0</v>
      </c>
      <c r="BD477" s="78"/>
      <c r="BE477" s="142"/>
      <c r="BF477" s="142"/>
      <c r="BG477" s="79">
        <f t="shared" si="149"/>
        <v>0</v>
      </c>
      <c r="BH477" s="75"/>
      <c r="BI477" s="76"/>
      <c r="BJ477" s="135"/>
      <c r="BK477" s="135"/>
      <c r="BL477" s="77">
        <f t="shared" si="150"/>
        <v>0</v>
      </c>
      <c r="BM477" s="78"/>
      <c r="BN477" s="142"/>
      <c r="BO477" s="142"/>
      <c r="BP477" s="77">
        <f t="shared" si="151"/>
        <v>0</v>
      </c>
      <c r="BQ477" s="78"/>
      <c r="BR477" s="142"/>
      <c r="BS477" s="142"/>
      <c r="BT477" s="79">
        <f t="shared" si="152"/>
        <v>0</v>
      </c>
      <c r="BU477" s="75"/>
      <c r="BV477" s="76"/>
      <c r="BW477" s="135"/>
      <c r="BX477" s="135"/>
      <c r="BY477" s="77">
        <f t="shared" si="153"/>
        <v>0</v>
      </c>
      <c r="BZ477" s="78"/>
      <c r="CA477" s="142"/>
      <c r="CB477" s="142"/>
      <c r="CC477" s="77">
        <f t="shared" si="154"/>
        <v>0</v>
      </c>
      <c r="CD477" s="78"/>
      <c r="CE477" s="142"/>
      <c r="CF477" s="142"/>
      <c r="CG477" s="79">
        <f t="shared" si="155"/>
        <v>0</v>
      </c>
      <c r="CH477" s="75"/>
      <c r="CI477" s="76"/>
      <c r="CJ477" s="86"/>
      <c r="CK477" s="86"/>
      <c r="CL477" s="77">
        <f t="shared" si="156"/>
        <v>0</v>
      </c>
      <c r="CM477" s="78"/>
      <c r="CN477" s="85"/>
      <c r="CO477" s="85"/>
      <c r="CP477" s="77">
        <f t="shared" si="157"/>
        <v>0</v>
      </c>
      <c r="CQ477" s="78"/>
      <c r="CR477" s="85"/>
      <c r="CS477" s="85"/>
      <c r="CT477" s="79">
        <f t="shared" si="158"/>
        <v>0</v>
      </c>
      <c r="CU477" s="80">
        <f t="shared" si="168"/>
        <v>0</v>
      </c>
      <c r="CV477" s="81">
        <f t="shared" si="169"/>
        <v>0</v>
      </c>
      <c r="CW477" s="144"/>
      <c r="CX477" s="145">
        <f>IF(ISERROR(VLOOKUP($A477,FIJOS!$B$11:$O$590,14,FALSE)),0,VLOOKUP($A477,FIJOS!$B$11:$O$590,14,FALSE))</f>
        <v>0</v>
      </c>
      <c r="CY477" s="145">
        <f>IF(ISERROR(VLOOKUP(A477,FIJOS!$B$10:$P$590,15,FALSE)),0,VLOOKUP(A477,FIJOS!$B$10:$P$590,15,FALSE))</f>
        <v>0</v>
      </c>
      <c r="CZ477" s="155"/>
      <c r="DA477" s="147"/>
      <c r="DB477" s="147"/>
      <c r="DC477" s="147"/>
      <c r="DD477" s="147"/>
      <c r="DE477" s="147"/>
      <c r="DF477" s="145">
        <f>IF(ISERROR(VLOOKUP($A477,FIJOS!$B$11:$N$590,13,FALSE)),0,VLOOKUP($A477,FIJOS!$B$11:$N$590,13,FALSE))</f>
        <v>0</v>
      </c>
      <c r="DG477" s="145">
        <f>IF(ISERROR(VLOOKUP($A477,FIJOS!$B$11:$P$447,12,FALSE)),0,VLOOKUP($A477,FIJOS!$B$11:$P$447,12,FALSE))</f>
        <v>0</v>
      </c>
      <c r="DH477" s="82">
        <f t="shared" si="242"/>
        <v>0</v>
      </c>
      <c r="DI477" s="83" t="b">
        <f>IF($C477=1,(VLOOKUP($A477,FIJOS!$B$11:$P$545,10,FALSE)/7)*(7-$CU477),IF(AND($C477=2,CV477&lt;$DJ$1),(VLOOKUP($D477,HORAS!$B$4:$C$42,2,FALSE)*24)*$CV477,IF(AND($C477=2,CV477&gt;=$DJ$1),VLOOKUP($D477,HORAS!$B$4:$D$42,3,FALSE),IF(AND($C477=3,$CV477&gt;=$DJ$1),VLOOKUP($A477,FIJOS!$B$11:$P$545,10,FALSE),IF(AND($C477=3,$CV477&lt;$DJ$1),((VLOOKUP($A477,FIJOS!$B$11:$P$545,10,FALSE)/48)*24)*$CV477,IF(AND($C477=4,$CV477&gt;=(42/24)),VLOOKUP($D477,HORAS!$B$4:$D$42,3,FALSE),IF(AND($C477=5,$CV477&gt;=(36/24)),VLOOKUP($D477,HORAS!$B$4:$D$42,3,FALSE))))))))</f>
        <v>0</v>
      </c>
      <c r="DJ477" s="145">
        <f>IF(OR($C477=2),VLOOKUP($D477,HORAS!$B$4:$E$42,4,FALSE)*$EC477,IF(ISERROR(VLOOKUP($A477,FIJOS!$B$11:$P$108,9,FALSE)),0,VLOOKUP($A477,FIJOS!$B$11:$P$231,9,FALSE)*$EC477))</f>
        <v>0</v>
      </c>
      <c r="DK477" s="145">
        <f>IF(OR($C477=2),VLOOKUP($D477,HORAS!$B$4:$F$42,5,FALSE)*$EE477,IF(ISERROR(VLOOKUP($A477,FIJOS!$B$11:$P$108,9,FALSE)),0,VLOOKUP($A477,FIJOS!$B$11:$P$231,9,FALSE)*$EE477))</f>
        <v>0</v>
      </c>
      <c r="DL477" s="144"/>
      <c r="DM477" s="145">
        <f>IF(ISERROR(VLOOKUP($A477,FIJOS!$B$11:$L$646,11,FALSE)),0,VLOOKUP($A477,FIJOS!$B$11:$L$646,11,FALSE))</f>
        <v>0</v>
      </c>
      <c r="DN477" s="148" t="e">
        <f>IF(OR($C477=1,$C477=3),0,IF((VLOOKUP(CAPTURA!D477,HORAS!$B$4:$K$42,10,FALSE)/4)*COUNTIF($H477:$CT477,3)&gt;100,100,(VLOOKUP(CAPTURA!D477,HORAS!$B$4:$K$42,10,FALSE)/4)*COUNTIF($H477:$CT477,3)))</f>
        <v>#N/A</v>
      </c>
      <c r="DO477" s="144" t="e">
        <f>IF(OR($C477=1,$C477=3),0,IF($C477=5,VLOOKUP(D477,HORAS!$B$4:$G$42,6,FALSE),IF(AND($C477=4,$CV477&gt;=(42/24)),VLOOKUP(D477,HORAS!$B$4:$G$42,6,FALSE),IF(COUNTIF($H477:$CL477,"F")&gt;0,0,IF(CV477&gt;$DJ$1,$DJ$1*(VLOOKUP(D477,HORAS!$B$4:$G$42,6,FALSE)/$DJ$1),CV477*(VLOOKUP(D477,HORAS!$B$4:$G$42,6,FALSE)/$DJ$1))))))</f>
        <v>#N/A</v>
      </c>
      <c r="DP477" s="156"/>
      <c r="DQ477" s="148"/>
      <c r="DR477" s="148"/>
      <c r="DS477" s="83" t="e">
        <f t="shared" si="162"/>
        <v>#N/A</v>
      </c>
      <c r="DT477" s="84"/>
      <c r="DU477" s="149" t="e">
        <f t="shared" si="243"/>
        <v>#N/A</v>
      </c>
      <c r="DV477" s="149" t="e">
        <f t="shared" si="244"/>
        <v>#N/A</v>
      </c>
      <c r="DW477" s="144" t="e">
        <f t="shared" si="245"/>
        <v>#N/A</v>
      </c>
      <c r="DX477" s="168"/>
      <c r="DY477" s="29"/>
      <c r="DZ477" s="150"/>
      <c r="EA477" s="134"/>
      <c r="EB477" s="137">
        <f t="shared" si="246"/>
        <v>0</v>
      </c>
      <c r="EC477" s="138">
        <f t="shared" si="247"/>
        <v>0</v>
      </c>
      <c r="ED477" s="137">
        <f t="shared" si="248"/>
        <v>0</v>
      </c>
      <c r="EE477" s="132">
        <f t="shared" si="249"/>
        <v>0</v>
      </c>
      <c r="EF477" s="29"/>
      <c r="EG477" s="134"/>
      <c r="EH477" s="134"/>
      <c r="EI477" s="134"/>
      <c r="EK477" s="29"/>
    </row>
    <row r="478" spans="1:141" ht="15" customHeight="1" x14ac:dyDescent="0.25">
      <c r="A478" s="87"/>
      <c r="B478" s="5"/>
      <c r="C478" s="72"/>
      <c r="D478" s="73"/>
      <c r="E478" s="73"/>
      <c r="F478" s="141"/>
      <c r="G478" s="74"/>
      <c r="H478" s="75"/>
      <c r="I478" s="76"/>
      <c r="J478" s="135"/>
      <c r="K478" s="135"/>
      <c r="L478" s="77">
        <f t="shared" si="138"/>
        <v>0</v>
      </c>
      <c r="M478" s="78"/>
      <c r="N478" s="142"/>
      <c r="O478" s="142"/>
      <c r="P478" s="77">
        <f t="shared" si="139"/>
        <v>0</v>
      </c>
      <c r="Q478" s="78"/>
      <c r="R478" s="143"/>
      <c r="S478" s="143"/>
      <c r="T478" s="77">
        <f t="shared" si="140"/>
        <v>0</v>
      </c>
      <c r="U478" s="75"/>
      <c r="V478" s="76"/>
      <c r="W478" s="135"/>
      <c r="X478" s="135"/>
      <c r="Y478" s="77">
        <f t="shared" si="141"/>
        <v>0</v>
      </c>
      <c r="Z478" s="78"/>
      <c r="AA478" s="142"/>
      <c r="AB478" s="142"/>
      <c r="AC478" s="77">
        <f t="shared" si="142"/>
        <v>0</v>
      </c>
      <c r="AD478" s="78"/>
      <c r="AE478" s="143"/>
      <c r="AF478" s="143"/>
      <c r="AG478" s="79">
        <f t="shared" si="143"/>
        <v>0</v>
      </c>
      <c r="AH478" s="75"/>
      <c r="AI478" s="76"/>
      <c r="AJ478" s="135"/>
      <c r="AK478" s="135"/>
      <c r="AL478" s="77">
        <f t="shared" si="144"/>
        <v>0</v>
      </c>
      <c r="AM478" s="76"/>
      <c r="AN478" s="142"/>
      <c r="AO478" s="142"/>
      <c r="AP478" s="77">
        <f t="shared" si="145"/>
        <v>0</v>
      </c>
      <c r="AQ478" s="78"/>
      <c r="AR478" s="142"/>
      <c r="AS478" s="142"/>
      <c r="AT478" s="79">
        <f t="shared" si="146"/>
        <v>0</v>
      </c>
      <c r="AU478" s="75"/>
      <c r="AV478" s="76"/>
      <c r="AW478" s="135"/>
      <c r="AX478" s="135"/>
      <c r="AY478" s="77">
        <f t="shared" si="147"/>
        <v>0</v>
      </c>
      <c r="AZ478" s="76"/>
      <c r="BA478" s="142"/>
      <c r="BB478" s="142"/>
      <c r="BC478" s="77">
        <f t="shared" si="148"/>
        <v>0</v>
      </c>
      <c r="BD478" s="78"/>
      <c r="BE478" s="142"/>
      <c r="BF478" s="142"/>
      <c r="BG478" s="79">
        <f t="shared" si="149"/>
        <v>0</v>
      </c>
      <c r="BH478" s="75"/>
      <c r="BI478" s="76"/>
      <c r="BJ478" s="135"/>
      <c r="BK478" s="135"/>
      <c r="BL478" s="77">
        <f t="shared" si="150"/>
        <v>0</v>
      </c>
      <c r="BM478" s="78"/>
      <c r="BN478" s="142"/>
      <c r="BO478" s="142"/>
      <c r="BP478" s="77">
        <f t="shared" si="151"/>
        <v>0</v>
      </c>
      <c r="BQ478" s="78"/>
      <c r="BR478" s="142"/>
      <c r="BS478" s="142"/>
      <c r="BT478" s="79">
        <f t="shared" si="152"/>
        <v>0</v>
      </c>
      <c r="BU478" s="75"/>
      <c r="BV478" s="76"/>
      <c r="BW478" s="135"/>
      <c r="BX478" s="135"/>
      <c r="BY478" s="77">
        <f t="shared" si="153"/>
        <v>0</v>
      </c>
      <c r="BZ478" s="78"/>
      <c r="CA478" s="142"/>
      <c r="CB478" s="142"/>
      <c r="CC478" s="77">
        <f t="shared" si="154"/>
        <v>0</v>
      </c>
      <c r="CD478" s="78"/>
      <c r="CE478" s="142"/>
      <c r="CF478" s="142"/>
      <c r="CG478" s="79">
        <f t="shared" si="155"/>
        <v>0</v>
      </c>
      <c r="CH478" s="75"/>
      <c r="CI478" s="76"/>
      <c r="CJ478" s="86"/>
      <c r="CK478" s="86"/>
      <c r="CL478" s="77">
        <f t="shared" si="156"/>
        <v>0</v>
      </c>
      <c r="CM478" s="78"/>
      <c r="CN478" s="85"/>
      <c r="CO478" s="85"/>
      <c r="CP478" s="77">
        <f t="shared" si="157"/>
        <v>0</v>
      </c>
      <c r="CQ478" s="78"/>
      <c r="CR478" s="85"/>
      <c r="CS478" s="85"/>
      <c r="CT478" s="79">
        <f t="shared" si="158"/>
        <v>0</v>
      </c>
      <c r="CU478" s="80">
        <f t="shared" si="168"/>
        <v>0</v>
      </c>
      <c r="CV478" s="81">
        <f t="shared" si="169"/>
        <v>0</v>
      </c>
      <c r="CW478" s="144"/>
      <c r="CX478" s="145">
        <f>IF(ISERROR(VLOOKUP($A478,FIJOS!$B$11:$O$590,14,FALSE)),0,VLOOKUP($A478,FIJOS!$B$11:$O$590,14,FALSE))</f>
        <v>0</v>
      </c>
      <c r="CY478" s="145">
        <f>IF(ISERROR(VLOOKUP(A478,FIJOS!$B$10:$P$590,15,FALSE)),0,VLOOKUP(A478,FIJOS!$B$10:$P$590,15,FALSE))</f>
        <v>0</v>
      </c>
      <c r="CZ478" s="155"/>
      <c r="DA478" s="147"/>
      <c r="DB478" s="147"/>
      <c r="DC478" s="147"/>
      <c r="DD478" s="147"/>
      <c r="DE478" s="147"/>
      <c r="DF478" s="145">
        <f>IF(ISERROR(VLOOKUP($A478,FIJOS!$B$11:$N$590,13,FALSE)),0,VLOOKUP($A478,FIJOS!$B$11:$N$590,13,FALSE))</f>
        <v>0</v>
      </c>
      <c r="DG478" s="145">
        <f>IF(ISERROR(VLOOKUP($A478,FIJOS!$B$11:$P$447,12,FALSE)),0,VLOOKUP($A478,FIJOS!$B$11:$P$447,12,FALSE))</f>
        <v>0</v>
      </c>
      <c r="DH478" s="82">
        <f t="shared" si="242"/>
        <v>0</v>
      </c>
      <c r="DI478" s="83" t="b">
        <f>IF($C478=1,(VLOOKUP($A478,FIJOS!$B$11:$P$545,10,FALSE)/7)*(7-$CU478),IF(AND($C478=2,CV478&lt;$DJ$1),(VLOOKUP($D478,HORAS!$B$4:$C$42,2,FALSE)*24)*$CV478,IF(AND($C478=2,CV478&gt;=$DJ$1),VLOOKUP($D478,HORAS!$B$4:$D$42,3,FALSE),IF(AND($C478=3,$CV478&gt;=$DJ$1),VLOOKUP($A478,FIJOS!$B$11:$P$545,10,FALSE),IF(AND($C478=3,$CV478&lt;$DJ$1),((VLOOKUP($A478,FIJOS!$B$11:$P$545,10,FALSE)/48)*24)*$CV478,IF(AND($C478=4,$CV478&gt;=(42/24)),VLOOKUP($D478,HORAS!$B$4:$D$42,3,FALSE),IF(AND($C478=5,$CV478&gt;=(36/24)),VLOOKUP($D478,HORAS!$B$4:$D$42,3,FALSE))))))))</f>
        <v>0</v>
      </c>
      <c r="DJ478" s="145">
        <f>IF(OR($C478=2),VLOOKUP($D478,HORAS!$B$4:$E$42,4,FALSE)*$EC478,IF(ISERROR(VLOOKUP($A478,FIJOS!$B$11:$P$108,9,FALSE)),0,VLOOKUP($A478,FIJOS!$B$11:$P$231,9,FALSE)*$EC478))</f>
        <v>0</v>
      </c>
      <c r="DK478" s="145">
        <f>IF(OR($C478=2),VLOOKUP($D478,HORAS!$B$4:$F$42,5,FALSE)*$EE478,IF(ISERROR(VLOOKUP($A478,FIJOS!$B$11:$P$108,9,FALSE)),0,VLOOKUP($A478,FIJOS!$B$11:$P$231,9,FALSE)*$EE478))</f>
        <v>0</v>
      </c>
      <c r="DL478" s="144"/>
      <c r="DM478" s="145">
        <f>IF(ISERROR(VLOOKUP($A478,FIJOS!$B$11:$L$646,11,FALSE)),0,VLOOKUP($A478,FIJOS!$B$11:$L$646,11,FALSE))</f>
        <v>0</v>
      </c>
      <c r="DN478" s="148" t="e">
        <f>IF(OR($C478=1,$C478=3),0,IF((VLOOKUP(CAPTURA!D478,HORAS!$B$4:$K$42,10,FALSE)/4)*COUNTIF($H478:$CT478,3)&gt;100,100,(VLOOKUP(CAPTURA!D478,HORAS!$B$4:$K$42,10,FALSE)/4)*COUNTIF($H478:$CT478,3)))</f>
        <v>#N/A</v>
      </c>
      <c r="DO478" s="144" t="e">
        <f>IF(OR($C478=1,$C478=3),0,IF($C478=5,VLOOKUP(D478,HORAS!$B$4:$G$42,6,FALSE),IF(AND($C478=4,$CV478&gt;=(42/24)),VLOOKUP(D478,HORAS!$B$4:$G$42,6,FALSE),IF(COUNTIF($H478:$CL478,"F")&gt;0,0,IF(CV478&gt;$DJ$1,$DJ$1*(VLOOKUP(D478,HORAS!$B$4:$G$42,6,FALSE)/$DJ$1),CV478*(VLOOKUP(D478,HORAS!$B$4:$G$42,6,FALSE)/$DJ$1))))))</f>
        <v>#N/A</v>
      </c>
      <c r="DP478" s="156"/>
      <c r="DQ478" s="148"/>
      <c r="DR478" s="148"/>
      <c r="DS478" s="83" t="e">
        <f t="shared" si="162"/>
        <v>#N/A</v>
      </c>
      <c r="DT478" s="84"/>
      <c r="DU478" s="149" t="e">
        <f t="shared" si="243"/>
        <v>#N/A</v>
      </c>
      <c r="DV478" s="149" t="e">
        <f t="shared" si="244"/>
        <v>#N/A</v>
      </c>
      <c r="DW478" s="144" t="e">
        <f t="shared" si="245"/>
        <v>#N/A</v>
      </c>
      <c r="DX478" s="168"/>
      <c r="DY478" s="29"/>
      <c r="DZ478" s="150"/>
      <c r="EA478" s="134"/>
      <c r="EB478" s="137">
        <f t="shared" si="246"/>
        <v>0</v>
      </c>
      <c r="EC478" s="138">
        <f t="shared" si="247"/>
        <v>0</v>
      </c>
      <c r="ED478" s="137">
        <f t="shared" si="248"/>
        <v>0</v>
      </c>
      <c r="EE478" s="132">
        <f t="shared" si="249"/>
        <v>0</v>
      </c>
      <c r="EF478" s="29"/>
      <c r="EG478" s="134"/>
      <c r="EH478" s="134"/>
      <c r="EI478" s="134"/>
      <c r="EK478" s="29"/>
    </row>
    <row r="479" spans="1:141" ht="15" customHeight="1" x14ac:dyDescent="0.25">
      <c r="A479" s="87"/>
      <c r="B479" s="5"/>
      <c r="C479" s="72"/>
      <c r="D479" s="73"/>
      <c r="E479" s="73"/>
      <c r="F479" s="141"/>
      <c r="G479" s="74"/>
      <c r="H479" s="75"/>
      <c r="I479" s="76"/>
      <c r="J479" s="135"/>
      <c r="K479" s="135"/>
      <c r="L479" s="77">
        <f t="shared" si="138"/>
        <v>0</v>
      </c>
      <c r="M479" s="78"/>
      <c r="N479" s="142"/>
      <c r="O479" s="142"/>
      <c r="P479" s="77">
        <f t="shared" si="139"/>
        <v>0</v>
      </c>
      <c r="Q479" s="78"/>
      <c r="R479" s="143"/>
      <c r="S479" s="143"/>
      <c r="T479" s="77">
        <f t="shared" si="140"/>
        <v>0</v>
      </c>
      <c r="U479" s="75"/>
      <c r="V479" s="76"/>
      <c r="W479" s="135"/>
      <c r="X479" s="135"/>
      <c r="Y479" s="77">
        <f t="shared" si="141"/>
        <v>0</v>
      </c>
      <c r="Z479" s="78"/>
      <c r="AA479" s="142"/>
      <c r="AB479" s="142"/>
      <c r="AC479" s="77">
        <f t="shared" si="142"/>
        <v>0</v>
      </c>
      <c r="AD479" s="78"/>
      <c r="AE479" s="143"/>
      <c r="AF479" s="143"/>
      <c r="AG479" s="79">
        <f t="shared" si="143"/>
        <v>0</v>
      </c>
      <c r="AH479" s="75"/>
      <c r="AI479" s="76"/>
      <c r="AJ479" s="135"/>
      <c r="AK479" s="135"/>
      <c r="AL479" s="77">
        <f t="shared" si="144"/>
        <v>0</v>
      </c>
      <c r="AM479" s="76"/>
      <c r="AN479" s="142"/>
      <c r="AO479" s="142"/>
      <c r="AP479" s="77">
        <f t="shared" si="145"/>
        <v>0</v>
      </c>
      <c r="AQ479" s="78"/>
      <c r="AR479" s="142"/>
      <c r="AS479" s="142"/>
      <c r="AT479" s="79">
        <f t="shared" si="146"/>
        <v>0</v>
      </c>
      <c r="AU479" s="75"/>
      <c r="AV479" s="76"/>
      <c r="AW479" s="135"/>
      <c r="AX479" s="135"/>
      <c r="AY479" s="77">
        <f t="shared" si="147"/>
        <v>0</v>
      </c>
      <c r="AZ479" s="76"/>
      <c r="BA479" s="142"/>
      <c r="BB479" s="142"/>
      <c r="BC479" s="77">
        <f t="shared" si="148"/>
        <v>0</v>
      </c>
      <c r="BD479" s="78"/>
      <c r="BE479" s="142"/>
      <c r="BF479" s="142"/>
      <c r="BG479" s="79">
        <f t="shared" si="149"/>
        <v>0</v>
      </c>
      <c r="BH479" s="75"/>
      <c r="BI479" s="76"/>
      <c r="BJ479" s="135"/>
      <c r="BK479" s="135"/>
      <c r="BL479" s="77">
        <f t="shared" si="150"/>
        <v>0</v>
      </c>
      <c r="BM479" s="78"/>
      <c r="BN479" s="142"/>
      <c r="BO479" s="142"/>
      <c r="BP479" s="77">
        <f t="shared" si="151"/>
        <v>0</v>
      </c>
      <c r="BQ479" s="78"/>
      <c r="BR479" s="142"/>
      <c r="BS479" s="142"/>
      <c r="BT479" s="79">
        <f t="shared" si="152"/>
        <v>0</v>
      </c>
      <c r="BU479" s="75"/>
      <c r="BV479" s="76"/>
      <c r="BW479" s="135"/>
      <c r="BX479" s="135"/>
      <c r="BY479" s="77">
        <f t="shared" si="153"/>
        <v>0</v>
      </c>
      <c r="BZ479" s="78"/>
      <c r="CA479" s="142"/>
      <c r="CB479" s="142"/>
      <c r="CC479" s="77">
        <f t="shared" si="154"/>
        <v>0</v>
      </c>
      <c r="CD479" s="78"/>
      <c r="CE479" s="142"/>
      <c r="CF479" s="142"/>
      <c r="CG479" s="79">
        <f t="shared" si="155"/>
        <v>0</v>
      </c>
      <c r="CH479" s="75"/>
      <c r="CI479" s="76"/>
      <c r="CJ479" s="86"/>
      <c r="CK479" s="86"/>
      <c r="CL479" s="77">
        <f t="shared" si="156"/>
        <v>0</v>
      </c>
      <c r="CM479" s="78"/>
      <c r="CN479" s="85"/>
      <c r="CO479" s="85"/>
      <c r="CP479" s="77">
        <f t="shared" si="157"/>
        <v>0</v>
      </c>
      <c r="CQ479" s="78"/>
      <c r="CR479" s="85"/>
      <c r="CS479" s="85"/>
      <c r="CT479" s="79">
        <f t="shared" si="158"/>
        <v>0</v>
      </c>
      <c r="CU479" s="80">
        <f t="shared" si="168"/>
        <v>0</v>
      </c>
      <c r="CV479" s="81">
        <f t="shared" si="169"/>
        <v>0</v>
      </c>
      <c r="CW479" s="144"/>
      <c r="CX479" s="145">
        <f>IF(ISERROR(VLOOKUP($A479,FIJOS!$B$11:$O$590,14,FALSE)),0,VLOOKUP($A479,FIJOS!$B$11:$O$590,14,FALSE))</f>
        <v>0</v>
      </c>
      <c r="CY479" s="145">
        <f>IF(ISERROR(VLOOKUP(A479,FIJOS!$B$10:$P$590,15,FALSE)),0,VLOOKUP(A479,FIJOS!$B$10:$P$590,15,FALSE))</f>
        <v>0</v>
      </c>
      <c r="CZ479" s="155"/>
      <c r="DA479" s="147"/>
      <c r="DB479" s="147"/>
      <c r="DC479" s="147"/>
      <c r="DD479" s="147"/>
      <c r="DE479" s="147"/>
      <c r="DF479" s="145">
        <f>IF(ISERROR(VLOOKUP($A479,FIJOS!$B$11:$N$590,13,FALSE)),0,VLOOKUP($A479,FIJOS!$B$11:$N$590,13,FALSE))</f>
        <v>0</v>
      </c>
      <c r="DG479" s="145">
        <f>IF(ISERROR(VLOOKUP($A479,FIJOS!$B$11:$P$447,12,FALSE)),0,VLOOKUP($A479,FIJOS!$B$11:$P$447,12,FALSE))</f>
        <v>0</v>
      </c>
      <c r="DH479" s="82">
        <f t="shared" si="242"/>
        <v>0</v>
      </c>
      <c r="DI479" s="83" t="b">
        <f>IF($C479=1,(VLOOKUP($A479,FIJOS!$B$11:$P$545,10,FALSE)/7)*(7-$CU479),IF(AND($C479=2,CV479&lt;$DJ$1),(VLOOKUP($D479,HORAS!$B$4:$C$42,2,FALSE)*24)*$CV479,IF(AND($C479=2,CV479&gt;=$DJ$1),VLOOKUP($D479,HORAS!$B$4:$D$42,3,FALSE),IF(AND($C479=3,$CV479&gt;=$DJ$1),VLOOKUP($A479,FIJOS!$B$11:$P$545,10,FALSE),IF(AND($C479=3,$CV479&lt;$DJ$1),((VLOOKUP($A479,FIJOS!$B$11:$P$545,10,FALSE)/48)*24)*$CV479,IF(AND($C479=4,$CV479&gt;=(42/24)),VLOOKUP($D479,HORAS!$B$4:$D$42,3,FALSE),IF(AND($C479=5,$CV479&gt;=(36/24)),VLOOKUP($D479,HORAS!$B$4:$D$42,3,FALSE))))))))</f>
        <v>0</v>
      </c>
      <c r="DJ479" s="145">
        <f>IF(OR($C479=2),VLOOKUP($D479,HORAS!$B$4:$E$42,4,FALSE)*$EC479,IF(ISERROR(VLOOKUP($A479,FIJOS!$B$11:$P$108,9,FALSE)),0,VLOOKUP($A479,FIJOS!$B$11:$P$231,9,FALSE)*$EC479))</f>
        <v>0</v>
      </c>
      <c r="DK479" s="145">
        <f>IF(OR($C479=2),VLOOKUP($D479,HORAS!$B$4:$F$42,5,FALSE)*$EE479,IF(ISERROR(VLOOKUP($A479,FIJOS!$B$11:$P$108,9,FALSE)),0,VLOOKUP($A479,FIJOS!$B$11:$P$231,9,FALSE)*$EE479))</f>
        <v>0</v>
      </c>
      <c r="DL479" s="144"/>
      <c r="DM479" s="145">
        <f>IF(ISERROR(VLOOKUP($A479,FIJOS!$B$11:$L$646,11,FALSE)),0,VLOOKUP($A479,FIJOS!$B$11:$L$646,11,FALSE))</f>
        <v>0</v>
      </c>
      <c r="DN479" s="148" t="e">
        <f>IF(OR($C479=1,$C479=3),0,IF((VLOOKUP(CAPTURA!D479,HORAS!$B$4:$K$42,10,FALSE)/4)*COUNTIF($H479:$CT479,3)&gt;100,100,(VLOOKUP(CAPTURA!D479,HORAS!$B$4:$K$42,10,FALSE)/4)*COUNTIF($H479:$CT479,3)))</f>
        <v>#N/A</v>
      </c>
      <c r="DO479" s="144" t="e">
        <f>IF(OR($C479=1,$C479=3),0,IF($C479=5,VLOOKUP(D479,HORAS!$B$4:$G$42,6,FALSE),IF(AND($C479=4,$CV479&gt;=(42/24)),VLOOKUP(D479,HORAS!$B$4:$G$42,6,FALSE),IF(COUNTIF($H479:$CL479,"F")&gt;0,0,IF(CV479&gt;$DJ$1,$DJ$1*(VLOOKUP(D479,HORAS!$B$4:$G$42,6,FALSE)/$DJ$1),CV479*(VLOOKUP(D479,HORAS!$B$4:$G$42,6,FALSE)/$DJ$1))))))</f>
        <v>#N/A</v>
      </c>
      <c r="DP479" s="156"/>
      <c r="DQ479" s="148"/>
      <c r="DR479" s="148"/>
      <c r="DS479" s="83" t="e">
        <f t="shared" si="162"/>
        <v>#N/A</v>
      </c>
      <c r="DT479" s="84"/>
      <c r="DU479" s="149" t="e">
        <f t="shared" si="243"/>
        <v>#N/A</v>
      </c>
      <c r="DV479" s="149" t="e">
        <f t="shared" si="244"/>
        <v>#N/A</v>
      </c>
      <c r="DW479" s="144" t="e">
        <f t="shared" si="245"/>
        <v>#N/A</v>
      </c>
      <c r="DX479" s="168"/>
      <c r="DY479" s="29"/>
      <c r="DZ479" s="150"/>
      <c r="EA479" s="134"/>
      <c r="EB479" s="137">
        <f t="shared" si="246"/>
        <v>0</v>
      </c>
      <c r="EC479" s="138">
        <f t="shared" si="247"/>
        <v>0</v>
      </c>
      <c r="ED479" s="137">
        <f t="shared" si="248"/>
        <v>0</v>
      </c>
      <c r="EE479" s="132">
        <f t="shared" si="249"/>
        <v>0</v>
      </c>
      <c r="EF479" s="29"/>
      <c r="EG479" s="134"/>
      <c r="EH479" s="134"/>
      <c r="EI479" s="134"/>
      <c r="EK479" s="29"/>
    </row>
    <row r="480" spans="1:141" ht="15" customHeight="1" x14ac:dyDescent="0.25">
      <c r="A480" s="87"/>
      <c r="B480" s="5"/>
      <c r="C480" s="72"/>
      <c r="D480" s="73"/>
      <c r="E480" s="73"/>
      <c r="F480" s="141"/>
      <c r="G480" s="74"/>
      <c r="H480" s="75"/>
      <c r="I480" s="76"/>
      <c r="J480" s="135"/>
      <c r="K480" s="135"/>
      <c r="L480" s="77">
        <f t="shared" si="138"/>
        <v>0</v>
      </c>
      <c r="M480" s="78"/>
      <c r="N480" s="142"/>
      <c r="O480" s="142"/>
      <c r="P480" s="77">
        <f t="shared" si="139"/>
        <v>0</v>
      </c>
      <c r="Q480" s="78"/>
      <c r="R480" s="143"/>
      <c r="S480" s="143"/>
      <c r="T480" s="77">
        <f t="shared" si="140"/>
        <v>0</v>
      </c>
      <c r="U480" s="75"/>
      <c r="V480" s="76"/>
      <c r="W480" s="135"/>
      <c r="X480" s="135"/>
      <c r="Y480" s="77">
        <f t="shared" si="141"/>
        <v>0</v>
      </c>
      <c r="Z480" s="78"/>
      <c r="AA480" s="142"/>
      <c r="AB480" s="142"/>
      <c r="AC480" s="77">
        <f t="shared" si="142"/>
        <v>0</v>
      </c>
      <c r="AD480" s="78"/>
      <c r="AE480" s="143"/>
      <c r="AF480" s="143"/>
      <c r="AG480" s="79">
        <f t="shared" si="143"/>
        <v>0</v>
      </c>
      <c r="AH480" s="75"/>
      <c r="AI480" s="76"/>
      <c r="AJ480" s="135"/>
      <c r="AK480" s="135"/>
      <c r="AL480" s="77">
        <f t="shared" si="144"/>
        <v>0</v>
      </c>
      <c r="AM480" s="76"/>
      <c r="AN480" s="142"/>
      <c r="AO480" s="142"/>
      <c r="AP480" s="77">
        <f t="shared" si="145"/>
        <v>0</v>
      </c>
      <c r="AQ480" s="78"/>
      <c r="AR480" s="142"/>
      <c r="AS480" s="142"/>
      <c r="AT480" s="79">
        <f t="shared" si="146"/>
        <v>0</v>
      </c>
      <c r="AU480" s="75"/>
      <c r="AV480" s="76"/>
      <c r="AW480" s="135"/>
      <c r="AX480" s="135"/>
      <c r="AY480" s="77">
        <f t="shared" si="147"/>
        <v>0</v>
      </c>
      <c r="AZ480" s="76"/>
      <c r="BA480" s="142"/>
      <c r="BB480" s="142"/>
      <c r="BC480" s="77">
        <f t="shared" si="148"/>
        <v>0</v>
      </c>
      <c r="BD480" s="78"/>
      <c r="BE480" s="142"/>
      <c r="BF480" s="142"/>
      <c r="BG480" s="79">
        <f t="shared" si="149"/>
        <v>0</v>
      </c>
      <c r="BH480" s="75"/>
      <c r="BI480" s="76"/>
      <c r="BJ480" s="135"/>
      <c r="BK480" s="135"/>
      <c r="BL480" s="77">
        <f t="shared" si="150"/>
        <v>0</v>
      </c>
      <c r="BM480" s="78"/>
      <c r="BN480" s="142"/>
      <c r="BO480" s="142"/>
      <c r="BP480" s="77">
        <f t="shared" si="151"/>
        <v>0</v>
      </c>
      <c r="BQ480" s="78"/>
      <c r="BR480" s="142"/>
      <c r="BS480" s="142"/>
      <c r="BT480" s="79">
        <f t="shared" si="152"/>
        <v>0</v>
      </c>
      <c r="BU480" s="75"/>
      <c r="BV480" s="76"/>
      <c r="BW480" s="135"/>
      <c r="BX480" s="135"/>
      <c r="BY480" s="77">
        <f t="shared" si="153"/>
        <v>0</v>
      </c>
      <c r="BZ480" s="78"/>
      <c r="CA480" s="142"/>
      <c r="CB480" s="142"/>
      <c r="CC480" s="77">
        <f t="shared" si="154"/>
        <v>0</v>
      </c>
      <c r="CD480" s="78"/>
      <c r="CE480" s="142"/>
      <c r="CF480" s="142"/>
      <c r="CG480" s="79">
        <f t="shared" si="155"/>
        <v>0</v>
      </c>
      <c r="CH480" s="75"/>
      <c r="CI480" s="76"/>
      <c r="CJ480" s="86"/>
      <c r="CK480" s="86"/>
      <c r="CL480" s="77">
        <f t="shared" si="156"/>
        <v>0</v>
      </c>
      <c r="CM480" s="78"/>
      <c r="CN480" s="85"/>
      <c r="CO480" s="85"/>
      <c r="CP480" s="77">
        <f t="shared" si="157"/>
        <v>0</v>
      </c>
      <c r="CQ480" s="78"/>
      <c r="CR480" s="85"/>
      <c r="CS480" s="85"/>
      <c r="CT480" s="79">
        <f t="shared" si="158"/>
        <v>0</v>
      </c>
      <c r="CU480" s="80">
        <f t="shared" si="168"/>
        <v>0</v>
      </c>
      <c r="CV480" s="81">
        <f t="shared" si="169"/>
        <v>0</v>
      </c>
      <c r="CW480" s="144"/>
      <c r="CX480" s="145">
        <f>IF(ISERROR(VLOOKUP($A480,FIJOS!$B$11:$O$590,14,FALSE)),0,VLOOKUP($A480,FIJOS!$B$11:$O$590,14,FALSE))</f>
        <v>0</v>
      </c>
      <c r="CY480" s="145">
        <f>IF(ISERROR(VLOOKUP(A480,FIJOS!$B$10:$P$590,15,FALSE)),0,VLOOKUP(A480,FIJOS!$B$10:$P$590,15,FALSE))</f>
        <v>0</v>
      </c>
      <c r="CZ480" s="155"/>
      <c r="DA480" s="147"/>
      <c r="DB480" s="147"/>
      <c r="DC480" s="147"/>
      <c r="DD480" s="147"/>
      <c r="DE480" s="147"/>
      <c r="DF480" s="145">
        <f>IF(ISERROR(VLOOKUP($A480,FIJOS!$B$11:$N$590,13,FALSE)),0,VLOOKUP($A480,FIJOS!$B$11:$N$590,13,FALSE))</f>
        <v>0</v>
      </c>
      <c r="DG480" s="145">
        <f>IF(ISERROR(VLOOKUP($A480,FIJOS!$B$11:$P$447,12,FALSE)),0,VLOOKUP($A480,FIJOS!$B$11:$P$447,12,FALSE))</f>
        <v>0</v>
      </c>
      <c r="DH480" s="82">
        <f t="shared" si="242"/>
        <v>0</v>
      </c>
      <c r="DI480" s="83" t="b">
        <f>IF($C480=1,(VLOOKUP($A480,FIJOS!$B$11:$P$545,10,FALSE)/7)*(7-$CU480),IF(AND($C480=2,CV480&lt;$DJ$1),(VLOOKUP($D480,HORAS!$B$4:$C$42,2,FALSE)*24)*$CV480,IF(AND($C480=2,CV480&gt;=$DJ$1),VLOOKUP($D480,HORAS!$B$4:$D$42,3,FALSE),IF(AND($C480=3,$CV480&gt;=$DJ$1),VLOOKUP($A480,FIJOS!$B$11:$P$545,10,FALSE),IF(AND($C480=3,$CV480&lt;$DJ$1),((VLOOKUP($A480,FIJOS!$B$11:$P$545,10,FALSE)/48)*24)*$CV480,IF(AND($C480=4,$CV480&gt;=(42/24)),VLOOKUP($D480,HORAS!$B$4:$D$42,3,FALSE),IF(AND($C480=5,$CV480&gt;=(36/24)),VLOOKUP($D480,HORAS!$B$4:$D$42,3,FALSE))))))))</f>
        <v>0</v>
      </c>
      <c r="DJ480" s="145">
        <f>IF(OR($C480=2),VLOOKUP($D480,HORAS!$B$4:$E$42,4,FALSE)*$EC480,IF(ISERROR(VLOOKUP($A480,FIJOS!$B$11:$P$108,9,FALSE)),0,VLOOKUP($A480,FIJOS!$B$11:$P$231,9,FALSE)*$EC480))</f>
        <v>0</v>
      </c>
      <c r="DK480" s="145">
        <f>IF(OR($C480=2),VLOOKUP($D480,HORAS!$B$4:$F$42,5,FALSE)*$EE480,IF(ISERROR(VLOOKUP($A480,FIJOS!$B$11:$P$108,9,FALSE)),0,VLOOKUP($A480,FIJOS!$B$11:$P$231,9,FALSE)*$EE480))</f>
        <v>0</v>
      </c>
      <c r="DL480" s="144"/>
      <c r="DM480" s="145">
        <f>IF(ISERROR(VLOOKUP($A480,FIJOS!$B$11:$L$646,11,FALSE)),0,VLOOKUP($A480,FIJOS!$B$11:$L$646,11,FALSE))</f>
        <v>0</v>
      </c>
      <c r="DN480" s="148" t="e">
        <f>IF(OR($C480=1,$C480=3),0,IF((VLOOKUP(CAPTURA!D480,HORAS!$B$4:$K$42,10,FALSE)/4)*COUNTIF($H480:$CT480,3)&gt;100,100,(VLOOKUP(CAPTURA!D480,HORAS!$B$4:$K$42,10,FALSE)/4)*COUNTIF($H480:$CT480,3)))</f>
        <v>#N/A</v>
      </c>
      <c r="DO480" s="144" t="e">
        <f>IF(OR($C480=1,$C480=3),0,IF($C480=5,VLOOKUP(D480,HORAS!$B$4:$G$42,6,FALSE),IF(AND($C480=4,$CV480&gt;=(42/24)),VLOOKUP(D480,HORAS!$B$4:$G$42,6,FALSE),IF(COUNTIF($H480:$CL480,"F")&gt;0,0,IF(CV480&gt;$DJ$1,$DJ$1*(VLOOKUP(D480,HORAS!$B$4:$G$42,6,FALSE)/$DJ$1),CV480*(VLOOKUP(D480,HORAS!$B$4:$G$42,6,FALSE)/$DJ$1))))))</f>
        <v>#N/A</v>
      </c>
      <c r="DP480" s="156"/>
      <c r="DQ480" s="148"/>
      <c r="DR480" s="148"/>
      <c r="DS480" s="83" t="e">
        <f t="shared" si="162"/>
        <v>#N/A</v>
      </c>
      <c r="DT480" s="84"/>
      <c r="DU480" s="149" t="e">
        <f t="shared" si="243"/>
        <v>#N/A</v>
      </c>
      <c r="DV480" s="149" t="e">
        <f t="shared" si="244"/>
        <v>#N/A</v>
      </c>
      <c r="DW480" s="144" t="e">
        <f t="shared" si="245"/>
        <v>#N/A</v>
      </c>
      <c r="DX480" s="168"/>
      <c r="DY480" s="29"/>
      <c r="DZ480" s="150"/>
      <c r="EA480" s="134"/>
      <c r="EB480" s="137">
        <f t="shared" si="246"/>
        <v>0</v>
      </c>
      <c r="EC480" s="138">
        <f t="shared" si="247"/>
        <v>0</v>
      </c>
      <c r="ED480" s="137">
        <f t="shared" si="248"/>
        <v>0</v>
      </c>
      <c r="EE480" s="132">
        <f t="shared" si="249"/>
        <v>0</v>
      </c>
      <c r="EF480" s="29"/>
      <c r="EG480" s="134"/>
      <c r="EH480" s="134"/>
      <c r="EI480" s="134"/>
      <c r="EK480" s="29"/>
    </row>
    <row r="481" spans="1:141" ht="15" customHeight="1" x14ac:dyDescent="0.25">
      <c r="A481" s="87"/>
      <c r="B481" s="5"/>
      <c r="C481" s="72"/>
      <c r="D481" s="73"/>
      <c r="E481" s="73"/>
      <c r="F481" s="141"/>
      <c r="G481" s="74"/>
      <c r="H481" s="75"/>
      <c r="I481" s="76"/>
      <c r="J481" s="135"/>
      <c r="K481" s="135"/>
      <c r="L481" s="77">
        <f t="shared" si="138"/>
        <v>0</v>
      </c>
      <c r="M481" s="78"/>
      <c r="N481" s="142"/>
      <c r="O481" s="142"/>
      <c r="P481" s="77">
        <f t="shared" si="139"/>
        <v>0</v>
      </c>
      <c r="Q481" s="78"/>
      <c r="R481" s="143"/>
      <c r="S481" s="143"/>
      <c r="T481" s="77">
        <f t="shared" si="140"/>
        <v>0</v>
      </c>
      <c r="U481" s="75"/>
      <c r="V481" s="76"/>
      <c r="W481" s="135"/>
      <c r="X481" s="135"/>
      <c r="Y481" s="77">
        <f t="shared" si="141"/>
        <v>0</v>
      </c>
      <c r="Z481" s="78"/>
      <c r="AA481" s="142"/>
      <c r="AB481" s="142"/>
      <c r="AC481" s="77">
        <f t="shared" si="142"/>
        <v>0</v>
      </c>
      <c r="AD481" s="78"/>
      <c r="AE481" s="143"/>
      <c r="AF481" s="143"/>
      <c r="AG481" s="79">
        <f t="shared" si="143"/>
        <v>0</v>
      </c>
      <c r="AH481" s="75"/>
      <c r="AI481" s="76"/>
      <c r="AJ481" s="135"/>
      <c r="AK481" s="135"/>
      <c r="AL481" s="77">
        <f t="shared" si="144"/>
        <v>0</v>
      </c>
      <c r="AM481" s="76"/>
      <c r="AN481" s="142"/>
      <c r="AO481" s="142"/>
      <c r="AP481" s="77">
        <f t="shared" si="145"/>
        <v>0</v>
      </c>
      <c r="AQ481" s="78"/>
      <c r="AR481" s="142"/>
      <c r="AS481" s="142"/>
      <c r="AT481" s="79">
        <f t="shared" si="146"/>
        <v>0</v>
      </c>
      <c r="AU481" s="75"/>
      <c r="AV481" s="76"/>
      <c r="AW481" s="135"/>
      <c r="AX481" s="135"/>
      <c r="AY481" s="77">
        <f t="shared" si="147"/>
        <v>0</v>
      </c>
      <c r="AZ481" s="76"/>
      <c r="BA481" s="142"/>
      <c r="BB481" s="142"/>
      <c r="BC481" s="77">
        <f t="shared" si="148"/>
        <v>0</v>
      </c>
      <c r="BD481" s="78"/>
      <c r="BE481" s="142"/>
      <c r="BF481" s="142"/>
      <c r="BG481" s="79">
        <f t="shared" si="149"/>
        <v>0</v>
      </c>
      <c r="BH481" s="75"/>
      <c r="BI481" s="76"/>
      <c r="BJ481" s="135"/>
      <c r="BK481" s="135"/>
      <c r="BL481" s="77">
        <f t="shared" si="150"/>
        <v>0</v>
      </c>
      <c r="BM481" s="78"/>
      <c r="BN481" s="142"/>
      <c r="BO481" s="142"/>
      <c r="BP481" s="77">
        <f t="shared" si="151"/>
        <v>0</v>
      </c>
      <c r="BQ481" s="78"/>
      <c r="BR481" s="142"/>
      <c r="BS481" s="142"/>
      <c r="BT481" s="79">
        <f t="shared" si="152"/>
        <v>0</v>
      </c>
      <c r="BU481" s="75"/>
      <c r="BV481" s="76"/>
      <c r="BW481" s="135"/>
      <c r="BX481" s="135"/>
      <c r="BY481" s="77">
        <f t="shared" si="153"/>
        <v>0</v>
      </c>
      <c r="BZ481" s="78"/>
      <c r="CA481" s="142"/>
      <c r="CB481" s="142"/>
      <c r="CC481" s="77">
        <f t="shared" si="154"/>
        <v>0</v>
      </c>
      <c r="CD481" s="78"/>
      <c r="CE481" s="142"/>
      <c r="CF481" s="142"/>
      <c r="CG481" s="79">
        <f t="shared" si="155"/>
        <v>0</v>
      </c>
      <c r="CH481" s="75"/>
      <c r="CI481" s="76"/>
      <c r="CJ481" s="86"/>
      <c r="CK481" s="86"/>
      <c r="CL481" s="77">
        <f t="shared" si="156"/>
        <v>0</v>
      </c>
      <c r="CM481" s="78"/>
      <c r="CN481" s="85"/>
      <c r="CO481" s="85"/>
      <c r="CP481" s="77">
        <f t="shared" si="157"/>
        <v>0</v>
      </c>
      <c r="CQ481" s="78"/>
      <c r="CR481" s="85"/>
      <c r="CS481" s="85"/>
      <c r="CT481" s="79">
        <f t="shared" si="158"/>
        <v>0</v>
      </c>
      <c r="CU481" s="80">
        <f t="shared" si="168"/>
        <v>0</v>
      </c>
      <c r="CV481" s="81">
        <f t="shared" si="169"/>
        <v>0</v>
      </c>
      <c r="CW481" s="144"/>
      <c r="CX481" s="145">
        <f>IF(ISERROR(VLOOKUP($A481,FIJOS!$B$11:$O$590,14,FALSE)),0,VLOOKUP($A481,FIJOS!$B$11:$O$590,14,FALSE))</f>
        <v>0</v>
      </c>
      <c r="CY481" s="145">
        <f>IF(ISERROR(VLOOKUP(A481,FIJOS!$B$10:$P$590,15,FALSE)),0,VLOOKUP(A481,FIJOS!$B$10:$P$590,15,FALSE))</f>
        <v>0</v>
      </c>
      <c r="CZ481" s="155"/>
      <c r="DA481" s="147"/>
      <c r="DB481" s="147"/>
      <c r="DC481" s="147"/>
      <c r="DD481" s="147"/>
      <c r="DE481" s="147"/>
      <c r="DF481" s="145">
        <f>IF(ISERROR(VLOOKUP($A481,FIJOS!$B$11:$N$590,13,FALSE)),0,VLOOKUP($A481,FIJOS!$B$11:$N$590,13,FALSE))</f>
        <v>0</v>
      </c>
      <c r="DG481" s="145">
        <f>IF(ISERROR(VLOOKUP($A481,FIJOS!$B$11:$P$447,12,FALSE)),0,VLOOKUP($A481,FIJOS!$B$11:$P$447,12,FALSE))</f>
        <v>0</v>
      </c>
      <c r="DH481" s="82">
        <f t="shared" si="242"/>
        <v>0</v>
      </c>
      <c r="DI481" s="83" t="b">
        <f>IF($C481=1,(VLOOKUP($A481,FIJOS!$B$11:$P$545,10,FALSE)/7)*(7-$CU481),IF(AND($C481=2,CV481&lt;$DJ$1),(VLOOKUP($D481,HORAS!$B$4:$C$42,2,FALSE)*24)*$CV481,IF(AND($C481=2,CV481&gt;=$DJ$1),VLOOKUP($D481,HORAS!$B$4:$D$42,3,FALSE),IF(AND($C481=3,$CV481&gt;=$DJ$1),VLOOKUP($A481,FIJOS!$B$11:$P$545,10,FALSE),IF(AND($C481=3,$CV481&lt;$DJ$1),((VLOOKUP($A481,FIJOS!$B$11:$P$545,10,FALSE)/48)*24)*$CV481,IF(AND($C481=4,$CV481&gt;=(42/24)),VLOOKUP($D481,HORAS!$B$4:$D$42,3,FALSE),IF(AND($C481=5,$CV481&gt;=(36/24)),VLOOKUP($D481,HORAS!$B$4:$D$42,3,FALSE))))))))</f>
        <v>0</v>
      </c>
      <c r="DJ481" s="145">
        <f>IF(OR($C481=2),VLOOKUP($D481,HORAS!$B$4:$E$42,4,FALSE)*$EC481,IF(ISERROR(VLOOKUP($A481,FIJOS!$B$11:$P$108,9,FALSE)),0,VLOOKUP($A481,FIJOS!$B$11:$P$231,9,FALSE)*$EC481))</f>
        <v>0</v>
      </c>
      <c r="DK481" s="145">
        <f>IF(OR($C481=2),VLOOKUP($D481,HORAS!$B$4:$F$42,5,FALSE)*$EE481,IF(ISERROR(VLOOKUP($A481,FIJOS!$B$11:$P$108,9,FALSE)),0,VLOOKUP($A481,FIJOS!$B$11:$P$231,9,FALSE)*$EE481))</f>
        <v>0</v>
      </c>
      <c r="DL481" s="144"/>
      <c r="DM481" s="145">
        <f>IF(ISERROR(VLOOKUP($A481,FIJOS!$B$11:$L$646,11,FALSE)),0,VLOOKUP($A481,FIJOS!$B$11:$L$646,11,FALSE))</f>
        <v>0</v>
      </c>
      <c r="DN481" s="148" t="e">
        <f>IF(OR($C481=1,$C481=3),0,IF((VLOOKUP(CAPTURA!D481,HORAS!$B$4:$K$42,10,FALSE)/4)*COUNTIF($H481:$CT481,3)&gt;100,100,(VLOOKUP(CAPTURA!D481,HORAS!$B$4:$K$42,10,FALSE)/4)*COUNTIF($H481:$CT481,3)))</f>
        <v>#N/A</v>
      </c>
      <c r="DO481" s="144" t="e">
        <f>IF(OR($C481=1,$C481=3),0,IF($C481=5,VLOOKUP(D481,HORAS!$B$4:$G$42,6,FALSE),IF(AND($C481=4,$CV481&gt;=(42/24)),VLOOKUP(D481,HORAS!$B$4:$G$42,6,FALSE),IF(COUNTIF($H481:$CL481,"F")&gt;0,0,IF(CV481&gt;$DJ$1,$DJ$1*(VLOOKUP(D481,HORAS!$B$4:$G$42,6,FALSE)/$DJ$1),CV481*(VLOOKUP(D481,HORAS!$B$4:$G$42,6,FALSE)/$DJ$1))))))</f>
        <v>#N/A</v>
      </c>
      <c r="DP481" s="156"/>
      <c r="DQ481" s="148"/>
      <c r="DR481" s="148"/>
      <c r="DS481" s="83" t="e">
        <f t="shared" si="162"/>
        <v>#N/A</v>
      </c>
      <c r="DT481" s="84"/>
      <c r="DU481" s="149" t="e">
        <f t="shared" si="243"/>
        <v>#N/A</v>
      </c>
      <c r="DV481" s="149" t="e">
        <f t="shared" si="244"/>
        <v>#N/A</v>
      </c>
      <c r="DW481" s="144" t="e">
        <f t="shared" si="245"/>
        <v>#N/A</v>
      </c>
      <c r="DX481" s="168"/>
      <c r="DY481" s="29"/>
      <c r="DZ481" s="150"/>
      <c r="EA481" s="134"/>
      <c r="EB481" s="137">
        <f t="shared" si="246"/>
        <v>0</v>
      </c>
      <c r="EC481" s="138">
        <f t="shared" si="247"/>
        <v>0</v>
      </c>
      <c r="ED481" s="137">
        <f t="shared" si="248"/>
        <v>0</v>
      </c>
      <c r="EE481" s="132">
        <f t="shared" si="249"/>
        <v>0</v>
      </c>
      <c r="EF481" s="29"/>
      <c r="EG481" s="134"/>
      <c r="EH481" s="134"/>
      <c r="EI481" s="134"/>
      <c r="EK481" s="29"/>
    </row>
    <row r="482" spans="1:141" ht="15" customHeight="1" x14ac:dyDescent="0.25">
      <c r="A482" s="87"/>
      <c r="B482" s="5"/>
      <c r="C482" s="72"/>
      <c r="D482" s="73"/>
      <c r="E482" s="73"/>
      <c r="F482" s="141"/>
      <c r="G482" s="74"/>
      <c r="H482" s="75"/>
      <c r="I482" s="76"/>
      <c r="J482" s="135"/>
      <c r="K482" s="135"/>
      <c r="L482" s="77">
        <f t="shared" si="138"/>
        <v>0</v>
      </c>
      <c r="M482" s="78"/>
      <c r="N482" s="142"/>
      <c r="O482" s="142"/>
      <c r="P482" s="77">
        <f t="shared" si="139"/>
        <v>0</v>
      </c>
      <c r="Q482" s="78"/>
      <c r="R482" s="143"/>
      <c r="S482" s="143"/>
      <c r="T482" s="77">
        <f t="shared" si="140"/>
        <v>0</v>
      </c>
      <c r="U482" s="75"/>
      <c r="V482" s="76"/>
      <c r="W482" s="135"/>
      <c r="X482" s="135"/>
      <c r="Y482" s="77">
        <f t="shared" si="141"/>
        <v>0</v>
      </c>
      <c r="Z482" s="78"/>
      <c r="AA482" s="142"/>
      <c r="AB482" s="142"/>
      <c r="AC482" s="77">
        <f t="shared" si="142"/>
        <v>0</v>
      </c>
      <c r="AD482" s="78"/>
      <c r="AE482" s="143"/>
      <c r="AF482" s="143"/>
      <c r="AG482" s="79">
        <f t="shared" si="143"/>
        <v>0</v>
      </c>
      <c r="AH482" s="75"/>
      <c r="AI482" s="76"/>
      <c r="AJ482" s="135"/>
      <c r="AK482" s="135"/>
      <c r="AL482" s="77">
        <f t="shared" si="144"/>
        <v>0</v>
      </c>
      <c r="AM482" s="76"/>
      <c r="AN482" s="142"/>
      <c r="AO482" s="142"/>
      <c r="AP482" s="77">
        <f t="shared" si="145"/>
        <v>0</v>
      </c>
      <c r="AQ482" s="78"/>
      <c r="AR482" s="142"/>
      <c r="AS482" s="142"/>
      <c r="AT482" s="79">
        <f t="shared" si="146"/>
        <v>0</v>
      </c>
      <c r="AU482" s="75"/>
      <c r="AV482" s="76"/>
      <c r="AW482" s="135"/>
      <c r="AX482" s="135"/>
      <c r="AY482" s="77">
        <f t="shared" si="147"/>
        <v>0</v>
      </c>
      <c r="AZ482" s="76"/>
      <c r="BA482" s="142"/>
      <c r="BB482" s="142"/>
      <c r="BC482" s="77">
        <f t="shared" si="148"/>
        <v>0</v>
      </c>
      <c r="BD482" s="78"/>
      <c r="BE482" s="142"/>
      <c r="BF482" s="142"/>
      <c r="BG482" s="79">
        <f t="shared" si="149"/>
        <v>0</v>
      </c>
      <c r="BH482" s="75"/>
      <c r="BI482" s="76"/>
      <c r="BJ482" s="135"/>
      <c r="BK482" s="135"/>
      <c r="BL482" s="77">
        <f t="shared" si="150"/>
        <v>0</v>
      </c>
      <c r="BM482" s="78"/>
      <c r="BN482" s="142"/>
      <c r="BO482" s="142"/>
      <c r="BP482" s="77">
        <f t="shared" si="151"/>
        <v>0</v>
      </c>
      <c r="BQ482" s="78"/>
      <c r="BR482" s="142"/>
      <c r="BS482" s="142"/>
      <c r="BT482" s="79">
        <f t="shared" si="152"/>
        <v>0</v>
      </c>
      <c r="BU482" s="75"/>
      <c r="BV482" s="76"/>
      <c r="BW482" s="135"/>
      <c r="BX482" s="135"/>
      <c r="BY482" s="77">
        <f t="shared" si="153"/>
        <v>0</v>
      </c>
      <c r="BZ482" s="78"/>
      <c r="CA482" s="142"/>
      <c r="CB482" s="142"/>
      <c r="CC482" s="77">
        <f t="shared" si="154"/>
        <v>0</v>
      </c>
      <c r="CD482" s="78"/>
      <c r="CE482" s="142"/>
      <c r="CF482" s="142"/>
      <c r="CG482" s="79">
        <f t="shared" si="155"/>
        <v>0</v>
      </c>
      <c r="CH482" s="75"/>
      <c r="CI482" s="76"/>
      <c r="CJ482" s="86"/>
      <c r="CK482" s="86"/>
      <c r="CL482" s="77">
        <f t="shared" si="156"/>
        <v>0</v>
      </c>
      <c r="CM482" s="78"/>
      <c r="CN482" s="85"/>
      <c r="CO482" s="85"/>
      <c r="CP482" s="77">
        <f t="shared" si="157"/>
        <v>0</v>
      </c>
      <c r="CQ482" s="78"/>
      <c r="CR482" s="85"/>
      <c r="CS482" s="85"/>
      <c r="CT482" s="79">
        <f t="shared" si="158"/>
        <v>0</v>
      </c>
      <c r="CU482" s="80">
        <f t="shared" si="168"/>
        <v>0</v>
      </c>
      <c r="CV482" s="81">
        <f t="shared" si="169"/>
        <v>0</v>
      </c>
      <c r="CW482" s="144"/>
      <c r="CX482" s="145">
        <f>IF(ISERROR(VLOOKUP($A482,FIJOS!$B$11:$O$590,14,FALSE)),0,VLOOKUP($A482,FIJOS!$B$11:$O$590,14,FALSE))</f>
        <v>0</v>
      </c>
      <c r="CY482" s="145">
        <f>IF(ISERROR(VLOOKUP(A482,FIJOS!$B$10:$P$590,15,FALSE)),0,VLOOKUP(A482,FIJOS!$B$10:$P$590,15,FALSE))</f>
        <v>0</v>
      </c>
      <c r="CZ482" s="155"/>
      <c r="DA482" s="147"/>
      <c r="DB482" s="147"/>
      <c r="DC482" s="147"/>
      <c r="DD482" s="147"/>
      <c r="DE482" s="147"/>
      <c r="DF482" s="145">
        <f>IF(ISERROR(VLOOKUP($A482,FIJOS!$B$11:$N$590,13,FALSE)),0,VLOOKUP($A482,FIJOS!$B$11:$N$590,13,FALSE))</f>
        <v>0</v>
      </c>
      <c r="DG482" s="145">
        <f>IF(ISERROR(VLOOKUP($A482,FIJOS!$B$11:$P$447,12,FALSE)),0,VLOOKUP($A482,FIJOS!$B$11:$P$447,12,FALSE))</f>
        <v>0</v>
      </c>
      <c r="DH482" s="82">
        <f t="shared" si="242"/>
        <v>0</v>
      </c>
      <c r="DI482" s="83" t="b">
        <f>IF($C482=1,(VLOOKUP($A482,FIJOS!$B$11:$P$545,10,FALSE)/7)*(7-$CU482),IF(AND($C482=2,CV482&lt;$DJ$1),(VLOOKUP($D482,HORAS!$B$4:$C$42,2,FALSE)*24)*$CV482,IF(AND($C482=2,CV482&gt;=$DJ$1),VLOOKUP($D482,HORAS!$B$4:$D$42,3,FALSE),IF(AND($C482=3,$CV482&gt;=$DJ$1),VLOOKUP($A482,FIJOS!$B$11:$P$545,10,FALSE),IF(AND($C482=3,$CV482&lt;$DJ$1),((VLOOKUP($A482,FIJOS!$B$11:$P$545,10,FALSE)/48)*24)*$CV482,IF(AND($C482=4,$CV482&gt;=(42/24)),VLOOKUP($D482,HORAS!$B$4:$D$42,3,FALSE),IF(AND($C482=5,$CV482&gt;=(36/24)),VLOOKUP($D482,HORAS!$B$4:$D$42,3,FALSE))))))))</f>
        <v>0</v>
      </c>
      <c r="DJ482" s="145">
        <f>IF(OR($C482=2),VLOOKUP($D482,HORAS!$B$4:$E$42,4,FALSE)*$EC482,IF(ISERROR(VLOOKUP($A482,FIJOS!$B$11:$P$108,9,FALSE)),0,VLOOKUP($A482,FIJOS!$B$11:$P$231,9,FALSE)*$EC482))</f>
        <v>0</v>
      </c>
      <c r="DK482" s="145">
        <f>IF(OR($C482=2),VLOOKUP($D482,HORAS!$B$4:$F$42,5,FALSE)*$EE482,IF(ISERROR(VLOOKUP($A482,FIJOS!$B$11:$P$108,9,FALSE)),0,VLOOKUP($A482,FIJOS!$B$11:$P$231,9,FALSE)*$EE482))</f>
        <v>0</v>
      </c>
      <c r="DL482" s="144"/>
      <c r="DM482" s="145">
        <f>IF(ISERROR(VLOOKUP($A482,FIJOS!$B$11:$L$646,11,FALSE)),0,VLOOKUP($A482,FIJOS!$B$11:$L$646,11,FALSE))</f>
        <v>0</v>
      </c>
      <c r="DN482" s="148" t="e">
        <f>IF(OR($C482=1,$C482=3),0,IF((VLOOKUP(CAPTURA!D482,HORAS!$B$4:$K$42,10,FALSE)/4)*COUNTIF($H482:$CT482,3)&gt;100,100,(VLOOKUP(CAPTURA!D482,HORAS!$B$4:$K$42,10,FALSE)/4)*COUNTIF($H482:$CT482,3)))</f>
        <v>#N/A</v>
      </c>
      <c r="DO482" s="144" t="e">
        <f>IF(OR($C482=1,$C482=3),0,IF($C482=5,VLOOKUP(D482,HORAS!$B$4:$G$42,6,FALSE),IF(AND($C482=4,$CV482&gt;=(42/24)),VLOOKUP(D482,HORAS!$B$4:$G$42,6,FALSE),IF(COUNTIF($H482:$CL482,"F")&gt;0,0,IF(CV482&gt;$DJ$1,$DJ$1*(VLOOKUP(D482,HORAS!$B$4:$G$42,6,FALSE)/$DJ$1),CV482*(VLOOKUP(D482,HORAS!$B$4:$G$42,6,FALSE)/$DJ$1))))))</f>
        <v>#N/A</v>
      </c>
      <c r="DP482" s="156"/>
      <c r="DQ482" s="148"/>
      <c r="DR482" s="148"/>
      <c r="DS482" s="83" t="e">
        <f t="shared" si="162"/>
        <v>#N/A</v>
      </c>
      <c r="DT482" s="84"/>
      <c r="DU482" s="149" t="e">
        <f t="shared" si="243"/>
        <v>#N/A</v>
      </c>
      <c r="DV482" s="149" t="e">
        <f t="shared" si="244"/>
        <v>#N/A</v>
      </c>
      <c r="DW482" s="144" t="e">
        <f t="shared" si="245"/>
        <v>#N/A</v>
      </c>
      <c r="DX482" s="168"/>
      <c r="DY482" s="29"/>
      <c r="DZ482" s="150"/>
      <c r="EA482" s="134"/>
      <c r="EB482" s="137">
        <f t="shared" si="246"/>
        <v>0</v>
      </c>
      <c r="EC482" s="138">
        <f t="shared" si="247"/>
        <v>0</v>
      </c>
      <c r="ED482" s="137">
        <f t="shared" si="248"/>
        <v>0</v>
      </c>
      <c r="EE482" s="132">
        <f t="shared" si="249"/>
        <v>0</v>
      </c>
      <c r="EF482" s="29"/>
      <c r="EG482" s="134"/>
      <c r="EH482" s="134"/>
      <c r="EI482" s="134"/>
      <c r="EK482" s="29"/>
    </row>
    <row r="483" spans="1:141" ht="15" customHeight="1" x14ac:dyDescent="0.25">
      <c r="A483" s="87"/>
      <c r="B483" s="5"/>
      <c r="C483" s="72"/>
      <c r="D483" s="73"/>
      <c r="E483" s="73"/>
      <c r="F483" s="141"/>
      <c r="G483" s="74"/>
      <c r="H483" s="75"/>
      <c r="I483" s="76"/>
      <c r="J483" s="135"/>
      <c r="K483" s="135"/>
      <c r="L483" s="77">
        <f t="shared" si="138"/>
        <v>0</v>
      </c>
      <c r="M483" s="78"/>
      <c r="N483" s="142"/>
      <c r="O483" s="142"/>
      <c r="P483" s="77">
        <f t="shared" si="139"/>
        <v>0</v>
      </c>
      <c r="Q483" s="78"/>
      <c r="R483" s="143"/>
      <c r="S483" s="143"/>
      <c r="T483" s="77">
        <f t="shared" si="140"/>
        <v>0</v>
      </c>
      <c r="U483" s="75"/>
      <c r="V483" s="76"/>
      <c r="W483" s="135"/>
      <c r="X483" s="135"/>
      <c r="Y483" s="77">
        <f t="shared" si="141"/>
        <v>0</v>
      </c>
      <c r="Z483" s="78"/>
      <c r="AA483" s="142"/>
      <c r="AB483" s="142"/>
      <c r="AC483" s="77">
        <f t="shared" si="142"/>
        <v>0</v>
      </c>
      <c r="AD483" s="78"/>
      <c r="AE483" s="143"/>
      <c r="AF483" s="143"/>
      <c r="AG483" s="79">
        <f t="shared" si="143"/>
        <v>0</v>
      </c>
      <c r="AH483" s="75"/>
      <c r="AI483" s="76"/>
      <c r="AJ483" s="135"/>
      <c r="AK483" s="135"/>
      <c r="AL483" s="77">
        <f t="shared" si="144"/>
        <v>0</v>
      </c>
      <c r="AM483" s="76"/>
      <c r="AN483" s="142"/>
      <c r="AO483" s="142"/>
      <c r="AP483" s="77">
        <f t="shared" si="145"/>
        <v>0</v>
      </c>
      <c r="AQ483" s="78"/>
      <c r="AR483" s="142"/>
      <c r="AS483" s="142"/>
      <c r="AT483" s="79">
        <f t="shared" si="146"/>
        <v>0</v>
      </c>
      <c r="AU483" s="75"/>
      <c r="AV483" s="76"/>
      <c r="AW483" s="135"/>
      <c r="AX483" s="135"/>
      <c r="AY483" s="77">
        <f t="shared" si="147"/>
        <v>0</v>
      </c>
      <c r="AZ483" s="76"/>
      <c r="BA483" s="142"/>
      <c r="BB483" s="142"/>
      <c r="BC483" s="77">
        <f t="shared" si="148"/>
        <v>0</v>
      </c>
      <c r="BD483" s="78"/>
      <c r="BE483" s="142"/>
      <c r="BF483" s="142"/>
      <c r="BG483" s="79">
        <f t="shared" si="149"/>
        <v>0</v>
      </c>
      <c r="BH483" s="75"/>
      <c r="BI483" s="76"/>
      <c r="BJ483" s="135"/>
      <c r="BK483" s="135"/>
      <c r="BL483" s="77">
        <f t="shared" si="150"/>
        <v>0</v>
      </c>
      <c r="BM483" s="78"/>
      <c r="BN483" s="142"/>
      <c r="BO483" s="142"/>
      <c r="BP483" s="77">
        <f t="shared" si="151"/>
        <v>0</v>
      </c>
      <c r="BQ483" s="78"/>
      <c r="BR483" s="142"/>
      <c r="BS483" s="142"/>
      <c r="BT483" s="79">
        <f t="shared" si="152"/>
        <v>0</v>
      </c>
      <c r="BU483" s="75"/>
      <c r="BV483" s="76"/>
      <c r="BW483" s="135"/>
      <c r="BX483" s="135"/>
      <c r="BY483" s="77">
        <f t="shared" si="153"/>
        <v>0</v>
      </c>
      <c r="BZ483" s="78"/>
      <c r="CA483" s="142"/>
      <c r="CB483" s="142"/>
      <c r="CC483" s="77">
        <f t="shared" si="154"/>
        <v>0</v>
      </c>
      <c r="CD483" s="78"/>
      <c r="CE483" s="142"/>
      <c r="CF483" s="142"/>
      <c r="CG483" s="79">
        <f t="shared" si="155"/>
        <v>0</v>
      </c>
      <c r="CH483" s="75"/>
      <c r="CI483" s="76"/>
      <c r="CJ483" s="86"/>
      <c r="CK483" s="86"/>
      <c r="CL483" s="77">
        <f t="shared" si="156"/>
        <v>0</v>
      </c>
      <c r="CM483" s="78"/>
      <c r="CN483" s="85"/>
      <c r="CO483" s="85"/>
      <c r="CP483" s="77">
        <f t="shared" si="157"/>
        <v>0</v>
      </c>
      <c r="CQ483" s="78"/>
      <c r="CR483" s="85"/>
      <c r="CS483" s="85"/>
      <c r="CT483" s="79">
        <f t="shared" si="158"/>
        <v>0</v>
      </c>
      <c r="CU483" s="80">
        <f t="shared" si="168"/>
        <v>0</v>
      </c>
      <c r="CV483" s="81">
        <f t="shared" si="169"/>
        <v>0</v>
      </c>
      <c r="CW483" s="144"/>
      <c r="CX483" s="145">
        <f>IF(ISERROR(VLOOKUP($A483,FIJOS!$B$11:$O$590,14,FALSE)),0,VLOOKUP($A483,FIJOS!$B$11:$O$590,14,FALSE))</f>
        <v>0</v>
      </c>
      <c r="CY483" s="145">
        <f>IF(ISERROR(VLOOKUP(A483,FIJOS!$B$10:$P$590,15,FALSE)),0,VLOOKUP(A483,FIJOS!$B$10:$P$590,15,FALSE))</f>
        <v>0</v>
      </c>
      <c r="CZ483" s="155"/>
      <c r="DA483" s="147"/>
      <c r="DB483" s="147"/>
      <c r="DC483" s="147"/>
      <c r="DD483" s="147"/>
      <c r="DE483" s="147"/>
      <c r="DF483" s="145">
        <f>IF(ISERROR(VLOOKUP($A483,FIJOS!$B$11:$N$590,13,FALSE)),0,VLOOKUP($A483,FIJOS!$B$11:$N$590,13,FALSE))</f>
        <v>0</v>
      </c>
      <c r="DG483" s="145">
        <f>IF(ISERROR(VLOOKUP($A483,FIJOS!$B$11:$P$447,12,FALSE)),0,VLOOKUP($A483,FIJOS!$B$11:$P$447,12,FALSE))</f>
        <v>0</v>
      </c>
      <c r="DH483" s="82">
        <f t="shared" si="242"/>
        <v>0</v>
      </c>
      <c r="DI483" s="83" t="b">
        <f>IF($C483=1,(VLOOKUP($A483,FIJOS!$B$11:$P$545,10,FALSE)/7)*(7-$CU483),IF(AND($C483=2,CV483&lt;$DJ$1),(VLOOKUP($D483,HORAS!$B$4:$C$42,2,FALSE)*24)*$CV483,IF(AND($C483=2,CV483&gt;=$DJ$1),VLOOKUP($D483,HORAS!$B$4:$D$42,3,FALSE),IF(AND($C483=3,$CV483&gt;=$DJ$1),VLOOKUP($A483,FIJOS!$B$11:$P$545,10,FALSE),IF(AND($C483=3,$CV483&lt;$DJ$1),((VLOOKUP($A483,FIJOS!$B$11:$P$545,10,FALSE)/48)*24)*$CV483,IF(AND($C483=4,$CV483&gt;=(42/24)),VLOOKUP($D483,HORAS!$B$4:$D$42,3,FALSE),IF(AND($C483=5,$CV483&gt;=(36/24)),VLOOKUP($D483,HORAS!$B$4:$D$42,3,FALSE))))))))</f>
        <v>0</v>
      </c>
      <c r="DJ483" s="145">
        <f>IF(OR($C483=2),VLOOKUP($D483,HORAS!$B$4:$E$42,4,FALSE)*$EC483,IF(ISERROR(VLOOKUP($A483,FIJOS!$B$11:$P$108,9,FALSE)),0,VLOOKUP($A483,FIJOS!$B$11:$P$231,9,FALSE)*$EC483))</f>
        <v>0</v>
      </c>
      <c r="DK483" s="145">
        <f>IF(OR($C483=2),VLOOKUP($D483,HORAS!$B$4:$F$42,5,FALSE)*$EE483,IF(ISERROR(VLOOKUP($A483,FIJOS!$B$11:$P$108,9,FALSE)),0,VLOOKUP($A483,FIJOS!$B$11:$P$231,9,FALSE)*$EE483))</f>
        <v>0</v>
      </c>
      <c r="DL483" s="144"/>
      <c r="DM483" s="145">
        <f>IF(ISERROR(VLOOKUP($A483,FIJOS!$B$11:$L$646,11,FALSE)),0,VLOOKUP($A483,FIJOS!$B$11:$L$646,11,FALSE))</f>
        <v>0</v>
      </c>
      <c r="DN483" s="148" t="e">
        <f>IF(OR($C483=1,$C483=3),0,IF((VLOOKUP(CAPTURA!D483,HORAS!$B$4:$K$42,10,FALSE)/4)*COUNTIF($H483:$CT483,3)&gt;100,100,(VLOOKUP(CAPTURA!D483,HORAS!$B$4:$K$42,10,FALSE)/4)*COUNTIF($H483:$CT483,3)))</f>
        <v>#N/A</v>
      </c>
      <c r="DO483" s="144" t="e">
        <f>IF(OR($C483=1,$C483=3),0,IF($C483=5,VLOOKUP(D483,HORAS!$B$4:$G$42,6,FALSE),IF(AND($C483=4,$CV483&gt;=(42/24)),VLOOKUP(D483,HORAS!$B$4:$G$42,6,FALSE),IF(COUNTIF($H483:$CL483,"F")&gt;0,0,IF(CV483&gt;$DJ$1,$DJ$1*(VLOOKUP(D483,HORAS!$B$4:$G$42,6,FALSE)/$DJ$1),CV483*(VLOOKUP(D483,HORAS!$B$4:$G$42,6,FALSE)/$DJ$1))))))</f>
        <v>#N/A</v>
      </c>
      <c r="DP483" s="156"/>
      <c r="DQ483" s="148"/>
      <c r="DR483" s="148"/>
      <c r="DS483" s="83" t="e">
        <f t="shared" si="162"/>
        <v>#N/A</v>
      </c>
      <c r="DT483" s="84"/>
      <c r="DU483" s="149" t="e">
        <f t="shared" si="243"/>
        <v>#N/A</v>
      </c>
      <c r="DV483" s="149" t="e">
        <f t="shared" si="244"/>
        <v>#N/A</v>
      </c>
      <c r="DW483" s="144" t="e">
        <f t="shared" si="245"/>
        <v>#N/A</v>
      </c>
      <c r="DX483" s="168"/>
      <c r="DY483" s="29"/>
      <c r="DZ483" s="150"/>
      <c r="EA483" s="134"/>
      <c r="EB483" s="137">
        <f t="shared" si="246"/>
        <v>0</v>
      </c>
      <c r="EC483" s="138">
        <f t="shared" si="247"/>
        <v>0</v>
      </c>
      <c r="ED483" s="137">
        <f t="shared" si="248"/>
        <v>0</v>
      </c>
      <c r="EE483" s="132">
        <f t="shared" si="249"/>
        <v>0</v>
      </c>
      <c r="EF483" s="29"/>
      <c r="EG483" s="134"/>
      <c r="EH483" s="134"/>
      <c r="EI483" s="134"/>
      <c r="EK483" s="29"/>
    </row>
    <row r="484" spans="1:141" ht="15" customHeight="1" x14ac:dyDescent="0.25">
      <c r="A484" s="87"/>
      <c r="B484" s="5"/>
      <c r="C484" s="72"/>
      <c r="D484" s="73"/>
      <c r="E484" s="73"/>
      <c r="F484" s="141"/>
      <c r="G484" s="74"/>
      <c r="H484" s="75"/>
      <c r="I484" s="76"/>
      <c r="J484" s="135"/>
      <c r="K484" s="135"/>
      <c r="L484" s="77">
        <f t="shared" si="138"/>
        <v>0</v>
      </c>
      <c r="M484" s="78"/>
      <c r="N484" s="142"/>
      <c r="O484" s="142"/>
      <c r="P484" s="77">
        <f t="shared" si="139"/>
        <v>0</v>
      </c>
      <c r="Q484" s="78"/>
      <c r="R484" s="143"/>
      <c r="S484" s="143"/>
      <c r="T484" s="77">
        <f t="shared" si="140"/>
        <v>0</v>
      </c>
      <c r="U484" s="75"/>
      <c r="V484" s="76"/>
      <c r="W484" s="135"/>
      <c r="X484" s="135"/>
      <c r="Y484" s="77">
        <f t="shared" si="141"/>
        <v>0</v>
      </c>
      <c r="Z484" s="78"/>
      <c r="AA484" s="142"/>
      <c r="AB484" s="142"/>
      <c r="AC484" s="77">
        <f t="shared" si="142"/>
        <v>0</v>
      </c>
      <c r="AD484" s="78"/>
      <c r="AE484" s="143"/>
      <c r="AF484" s="143"/>
      <c r="AG484" s="79">
        <f t="shared" si="143"/>
        <v>0</v>
      </c>
      <c r="AH484" s="75"/>
      <c r="AI484" s="76"/>
      <c r="AJ484" s="135"/>
      <c r="AK484" s="135"/>
      <c r="AL484" s="77">
        <f t="shared" si="144"/>
        <v>0</v>
      </c>
      <c r="AM484" s="76"/>
      <c r="AN484" s="142"/>
      <c r="AO484" s="142"/>
      <c r="AP484" s="77">
        <f t="shared" si="145"/>
        <v>0</v>
      </c>
      <c r="AQ484" s="78"/>
      <c r="AR484" s="142"/>
      <c r="AS484" s="142"/>
      <c r="AT484" s="79">
        <f t="shared" si="146"/>
        <v>0</v>
      </c>
      <c r="AU484" s="75"/>
      <c r="AV484" s="76"/>
      <c r="AW484" s="135"/>
      <c r="AX484" s="135"/>
      <c r="AY484" s="77">
        <f t="shared" si="147"/>
        <v>0</v>
      </c>
      <c r="AZ484" s="76"/>
      <c r="BA484" s="142"/>
      <c r="BB484" s="142"/>
      <c r="BC484" s="77">
        <f t="shared" si="148"/>
        <v>0</v>
      </c>
      <c r="BD484" s="78"/>
      <c r="BE484" s="142"/>
      <c r="BF484" s="142"/>
      <c r="BG484" s="79">
        <f t="shared" si="149"/>
        <v>0</v>
      </c>
      <c r="BH484" s="75"/>
      <c r="BI484" s="76"/>
      <c r="BJ484" s="135"/>
      <c r="BK484" s="135"/>
      <c r="BL484" s="77">
        <f t="shared" si="150"/>
        <v>0</v>
      </c>
      <c r="BM484" s="78"/>
      <c r="BN484" s="142"/>
      <c r="BO484" s="142"/>
      <c r="BP484" s="77">
        <f t="shared" si="151"/>
        <v>0</v>
      </c>
      <c r="BQ484" s="78"/>
      <c r="BR484" s="142"/>
      <c r="BS484" s="142"/>
      <c r="BT484" s="79">
        <f t="shared" si="152"/>
        <v>0</v>
      </c>
      <c r="BU484" s="75"/>
      <c r="BV484" s="76"/>
      <c r="BW484" s="135"/>
      <c r="BX484" s="135"/>
      <c r="BY484" s="77">
        <f t="shared" si="153"/>
        <v>0</v>
      </c>
      <c r="BZ484" s="78"/>
      <c r="CA484" s="142"/>
      <c r="CB484" s="142"/>
      <c r="CC484" s="77">
        <f t="shared" si="154"/>
        <v>0</v>
      </c>
      <c r="CD484" s="78"/>
      <c r="CE484" s="142"/>
      <c r="CF484" s="142"/>
      <c r="CG484" s="79">
        <f t="shared" si="155"/>
        <v>0</v>
      </c>
      <c r="CH484" s="75"/>
      <c r="CI484" s="76"/>
      <c r="CJ484" s="86"/>
      <c r="CK484" s="86"/>
      <c r="CL484" s="77">
        <f t="shared" si="156"/>
        <v>0</v>
      </c>
      <c r="CM484" s="78"/>
      <c r="CN484" s="85"/>
      <c r="CO484" s="85"/>
      <c r="CP484" s="77">
        <f t="shared" si="157"/>
        <v>0</v>
      </c>
      <c r="CQ484" s="78"/>
      <c r="CR484" s="85"/>
      <c r="CS484" s="85"/>
      <c r="CT484" s="79">
        <f t="shared" si="158"/>
        <v>0</v>
      </c>
      <c r="CU484" s="80">
        <f t="shared" si="168"/>
        <v>0</v>
      </c>
      <c r="CV484" s="81">
        <f t="shared" si="169"/>
        <v>0</v>
      </c>
      <c r="CW484" s="144"/>
      <c r="CX484" s="145">
        <f>IF(ISERROR(VLOOKUP($A484,FIJOS!$B$11:$O$590,14,FALSE)),0,VLOOKUP($A484,FIJOS!$B$11:$O$590,14,FALSE))</f>
        <v>0</v>
      </c>
      <c r="CY484" s="145">
        <f>IF(ISERROR(VLOOKUP(A484,FIJOS!$B$10:$P$590,15,FALSE)),0,VLOOKUP(A484,FIJOS!$B$10:$P$590,15,FALSE))</f>
        <v>0</v>
      </c>
      <c r="CZ484" s="155"/>
      <c r="DA484" s="147"/>
      <c r="DB484" s="147"/>
      <c r="DC484" s="147"/>
      <c r="DD484" s="147"/>
      <c r="DE484" s="147"/>
      <c r="DF484" s="145">
        <f>IF(ISERROR(VLOOKUP($A484,FIJOS!$B$11:$N$590,13,FALSE)),0,VLOOKUP($A484,FIJOS!$B$11:$N$590,13,FALSE))</f>
        <v>0</v>
      </c>
      <c r="DG484" s="145">
        <f>IF(ISERROR(VLOOKUP($A484,FIJOS!$B$11:$P$447,12,FALSE)),0,VLOOKUP($A484,FIJOS!$B$11:$P$447,12,FALSE))</f>
        <v>0</v>
      </c>
      <c r="DH484" s="82">
        <f t="shared" si="242"/>
        <v>0</v>
      </c>
      <c r="DI484" s="83" t="b">
        <f>IF($C484=1,(VLOOKUP($A484,FIJOS!$B$11:$P$545,10,FALSE)/7)*(7-$CU484),IF(AND($C484=2,CV484&lt;$DJ$1),(VLOOKUP($D484,HORAS!$B$4:$C$42,2,FALSE)*24)*$CV484,IF(AND($C484=2,CV484&gt;=$DJ$1),VLOOKUP($D484,HORAS!$B$4:$D$42,3,FALSE),IF(AND($C484=3,$CV484&gt;=$DJ$1),VLOOKUP($A484,FIJOS!$B$11:$P$545,10,FALSE),IF(AND($C484=3,$CV484&lt;$DJ$1),((VLOOKUP($A484,FIJOS!$B$11:$P$545,10,FALSE)/48)*24)*$CV484,IF(AND($C484=4,$CV484&gt;=(42/24)),VLOOKUP($D484,HORAS!$B$4:$D$42,3,FALSE),IF(AND($C484=5,$CV484&gt;=(36/24)),VLOOKUP($D484,HORAS!$B$4:$D$42,3,FALSE))))))))</f>
        <v>0</v>
      </c>
      <c r="DJ484" s="145">
        <f>IF(OR($C484=2),VLOOKUP($D484,HORAS!$B$4:$E$42,4,FALSE)*$EC484,IF(ISERROR(VLOOKUP($A484,FIJOS!$B$11:$P$108,9,FALSE)),0,VLOOKUP($A484,FIJOS!$B$11:$P$231,9,FALSE)*$EC484))</f>
        <v>0</v>
      </c>
      <c r="DK484" s="145">
        <f>IF(OR($C484=2),VLOOKUP($D484,HORAS!$B$4:$F$42,5,FALSE)*$EE484,IF(ISERROR(VLOOKUP($A484,FIJOS!$B$11:$P$108,9,FALSE)),0,VLOOKUP($A484,FIJOS!$B$11:$P$231,9,FALSE)*$EE484))</f>
        <v>0</v>
      </c>
      <c r="DL484" s="144"/>
      <c r="DM484" s="145">
        <f>IF(ISERROR(VLOOKUP($A484,FIJOS!$B$11:$L$646,11,FALSE)),0,VLOOKUP($A484,FIJOS!$B$11:$L$646,11,FALSE))</f>
        <v>0</v>
      </c>
      <c r="DN484" s="148" t="e">
        <f>IF(OR($C484=1,$C484=3),0,IF((VLOOKUP(CAPTURA!D484,HORAS!$B$4:$K$42,10,FALSE)/4)*COUNTIF($H484:$CT484,3)&gt;100,100,(VLOOKUP(CAPTURA!D484,HORAS!$B$4:$K$42,10,FALSE)/4)*COUNTIF($H484:$CT484,3)))</f>
        <v>#N/A</v>
      </c>
      <c r="DO484" s="144" t="e">
        <f>IF(OR($C484=1,$C484=3),0,IF($C484=5,VLOOKUP(D484,HORAS!$B$4:$G$42,6,FALSE),IF(AND($C484=4,$CV484&gt;=(42/24)),VLOOKUP(D484,HORAS!$B$4:$G$42,6,FALSE),IF(COUNTIF($H484:$CL484,"F")&gt;0,0,IF(CV484&gt;$DJ$1,$DJ$1*(VLOOKUP(D484,HORAS!$B$4:$G$42,6,FALSE)/$DJ$1),CV484*(VLOOKUP(D484,HORAS!$B$4:$G$42,6,FALSE)/$DJ$1))))))</f>
        <v>#N/A</v>
      </c>
      <c r="DP484" s="156"/>
      <c r="DQ484" s="148"/>
      <c r="DR484" s="148"/>
      <c r="DS484" s="83" t="e">
        <f t="shared" si="162"/>
        <v>#N/A</v>
      </c>
      <c r="DT484" s="84"/>
      <c r="DU484" s="149" t="e">
        <f t="shared" si="243"/>
        <v>#N/A</v>
      </c>
      <c r="DV484" s="149" t="e">
        <f t="shared" si="244"/>
        <v>#N/A</v>
      </c>
      <c r="DW484" s="144" t="e">
        <f t="shared" si="245"/>
        <v>#N/A</v>
      </c>
      <c r="DX484" s="168"/>
      <c r="DY484" s="29"/>
      <c r="DZ484" s="150"/>
      <c r="EA484" s="134"/>
      <c r="EB484" s="137">
        <f t="shared" si="246"/>
        <v>0</v>
      </c>
      <c r="EC484" s="138">
        <f t="shared" si="247"/>
        <v>0</v>
      </c>
      <c r="ED484" s="137">
        <f t="shared" si="248"/>
        <v>0</v>
      </c>
      <c r="EE484" s="132">
        <f t="shared" si="249"/>
        <v>0</v>
      </c>
      <c r="EF484" s="29"/>
      <c r="EG484" s="134"/>
      <c r="EH484" s="134"/>
      <c r="EI484" s="134"/>
      <c r="EK484" s="29"/>
    </row>
    <row r="485" spans="1:141" ht="15" customHeight="1" x14ac:dyDescent="0.25">
      <c r="A485" s="87"/>
      <c r="B485" s="5"/>
      <c r="C485" s="72"/>
      <c r="D485" s="73"/>
      <c r="E485" s="73"/>
      <c r="F485" s="141"/>
      <c r="G485" s="74"/>
      <c r="H485" s="75"/>
      <c r="I485" s="76"/>
      <c r="J485" s="135"/>
      <c r="K485" s="135"/>
      <c r="L485" s="77">
        <f t="shared" si="138"/>
        <v>0</v>
      </c>
      <c r="M485" s="78"/>
      <c r="N485" s="142"/>
      <c r="O485" s="142"/>
      <c r="P485" s="77">
        <f t="shared" si="139"/>
        <v>0</v>
      </c>
      <c r="Q485" s="78"/>
      <c r="R485" s="143"/>
      <c r="S485" s="143"/>
      <c r="T485" s="77">
        <f t="shared" si="140"/>
        <v>0</v>
      </c>
      <c r="U485" s="75"/>
      <c r="V485" s="76"/>
      <c r="W485" s="135"/>
      <c r="X485" s="135"/>
      <c r="Y485" s="77">
        <f t="shared" si="141"/>
        <v>0</v>
      </c>
      <c r="Z485" s="78"/>
      <c r="AA485" s="142"/>
      <c r="AB485" s="142"/>
      <c r="AC485" s="77">
        <f t="shared" si="142"/>
        <v>0</v>
      </c>
      <c r="AD485" s="78"/>
      <c r="AE485" s="143"/>
      <c r="AF485" s="143"/>
      <c r="AG485" s="79">
        <f t="shared" si="143"/>
        <v>0</v>
      </c>
      <c r="AH485" s="75"/>
      <c r="AI485" s="76"/>
      <c r="AJ485" s="135"/>
      <c r="AK485" s="135"/>
      <c r="AL485" s="77">
        <f t="shared" si="144"/>
        <v>0</v>
      </c>
      <c r="AM485" s="76"/>
      <c r="AN485" s="142"/>
      <c r="AO485" s="142"/>
      <c r="AP485" s="77">
        <f t="shared" si="145"/>
        <v>0</v>
      </c>
      <c r="AQ485" s="78"/>
      <c r="AR485" s="142"/>
      <c r="AS485" s="142"/>
      <c r="AT485" s="79">
        <f t="shared" si="146"/>
        <v>0</v>
      </c>
      <c r="AU485" s="75"/>
      <c r="AV485" s="76"/>
      <c r="AW485" s="135"/>
      <c r="AX485" s="135"/>
      <c r="AY485" s="77">
        <f t="shared" si="147"/>
        <v>0</v>
      </c>
      <c r="AZ485" s="76"/>
      <c r="BA485" s="142"/>
      <c r="BB485" s="142"/>
      <c r="BC485" s="77">
        <f t="shared" si="148"/>
        <v>0</v>
      </c>
      <c r="BD485" s="78"/>
      <c r="BE485" s="142"/>
      <c r="BF485" s="142"/>
      <c r="BG485" s="79">
        <f t="shared" si="149"/>
        <v>0</v>
      </c>
      <c r="BH485" s="75"/>
      <c r="BI485" s="76"/>
      <c r="BJ485" s="135"/>
      <c r="BK485" s="135"/>
      <c r="BL485" s="77">
        <f t="shared" si="150"/>
        <v>0</v>
      </c>
      <c r="BM485" s="78"/>
      <c r="BN485" s="142"/>
      <c r="BO485" s="142"/>
      <c r="BP485" s="77">
        <f t="shared" si="151"/>
        <v>0</v>
      </c>
      <c r="BQ485" s="78"/>
      <c r="BR485" s="142"/>
      <c r="BS485" s="142"/>
      <c r="BT485" s="79">
        <f t="shared" si="152"/>
        <v>0</v>
      </c>
      <c r="BU485" s="75"/>
      <c r="BV485" s="76"/>
      <c r="BW485" s="135"/>
      <c r="BX485" s="135"/>
      <c r="BY485" s="77">
        <f t="shared" si="153"/>
        <v>0</v>
      </c>
      <c r="BZ485" s="78"/>
      <c r="CA485" s="142"/>
      <c r="CB485" s="142"/>
      <c r="CC485" s="77">
        <f t="shared" si="154"/>
        <v>0</v>
      </c>
      <c r="CD485" s="78"/>
      <c r="CE485" s="142"/>
      <c r="CF485" s="142"/>
      <c r="CG485" s="79">
        <f t="shared" si="155"/>
        <v>0</v>
      </c>
      <c r="CH485" s="75"/>
      <c r="CI485" s="76"/>
      <c r="CJ485" s="86"/>
      <c r="CK485" s="86"/>
      <c r="CL485" s="77">
        <f t="shared" si="156"/>
        <v>0</v>
      </c>
      <c r="CM485" s="78"/>
      <c r="CN485" s="85"/>
      <c r="CO485" s="85"/>
      <c r="CP485" s="77">
        <f t="shared" si="157"/>
        <v>0</v>
      </c>
      <c r="CQ485" s="78"/>
      <c r="CR485" s="85"/>
      <c r="CS485" s="85"/>
      <c r="CT485" s="79">
        <f t="shared" si="158"/>
        <v>0</v>
      </c>
      <c r="CU485" s="80">
        <f t="shared" si="168"/>
        <v>0</v>
      </c>
      <c r="CV485" s="81">
        <f t="shared" si="169"/>
        <v>0</v>
      </c>
      <c r="CW485" s="144"/>
      <c r="CX485" s="145">
        <f>IF(ISERROR(VLOOKUP($A485,FIJOS!$B$11:$O$590,14,FALSE)),0,VLOOKUP($A485,FIJOS!$B$11:$O$590,14,FALSE))</f>
        <v>0</v>
      </c>
      <c r="CY485" s="145">
        <f>IF(ISERROR(VLOOKUP(A485,FIJOS!$B$10:$P$590,15,FALSE)),0,VLOOKUP(A485,FIJOS!$B$10:$P$590,15,FALSE))</f>
        <v>0</v>
      </c>
      <c r="CZ485" s="155"/>
      <c r="DA485" s="147"/>
      <c r="DB485" s="147"/>
      <c r="DC485" s="147"/>
      <c r="DD485" s="147"/>
      <c r="DE485" s="147"/>
      <c r="DF485" s="145">
        <f>IF(ISERROR(VLOOKUP($A485,FIJOS!$B$11:$N$590,13,FALSE)),0,VLOOKUP($A485,FIJOS!$B$11:$N$590,13,FALSE))</f>
        <v>0</v>
      </c>
      <c r="DG485" s="145">
        <f>IF(ISERROR(VLOOKUP($A485,FIJOS!$B$11:$P$447,12,FALSE)),0,VLOOKUP($A485,FIJOS!$B$11:$P$447,12,FALSE))</f>
        <v>0</v>
      </c>
      <c r="DH485" s="82">
        <f t="shared" ref="DH485:DH548" si="250">SUM(CW485:DG485)</f>
        <v>0</v>
      </c>
      <c r="DI485" s="83" t="b">
        <f>IF($C485=1,(VLOOKUP($A485,FIJOS!$B$11:$P$545,10,FALSE)/7)*(7-$CU485),IF(AND($C485=2,CV485&lt;$DJ$1),(VLOOKUP($D485,HORAS!$B$4:$C$42,2,FALSE)*24)*$CV485,IF(AND($C485=2,CV485&gt;=$DJ$1),VLOOKUP($D485,HORAS!$B$4:$D$42,3,FALSE),IF(AND($C485=3,$CV485&gt;=$DJ$1),VLOOKUP($A485,FIJOS!$B$11:$P$545,10,FALSE),IF(AND($C485=3,$CV485&lt;$DJ$1),((VLOOKUP($A485,FIJOS!$B$11:$P$545,10,FALSE)/48)*24)*$CV485,IF(AND($C485=4,$CV485&gt;=(42/24)),VLOOKUP($D485,HORAS!$B$4:$D$42,3,FALSE),IF(AND($C485=5,$CV485&gt;=(36/24)),VLOOKUP($D485,HORAS!$B$4:$D$42,3,FALSE))))))))</f>
        <v>0</v>
      </c>
      <c r="DJ485" s="145">
        <f>IF(OR($C485=2),VLOOKUP($D485,HORAS!$B$4:$E$42,4,FALSE)*$EC485,IF(ISERROR(VLOOKUP($A485,FIJOS!$B$11:$P$108,9,FALSE)),0,VLOOKUP($A485,FIJOS!$B$11:$P$231,9,FALSE)*$EC485))</f>
        <v>0</v>
      </c>
      <c r="DK485" s="145">
        <f>IF(OR($C485=2),VLOOKUP($D485,HORAS!$B$4:$F$42,5,FALSE)*$EE485,IF(ISERROR(VLOOKUP($A485,FIJOS!$B$11:$P$108,9,FALSE)),0,VLOOKUP($A485,FIJOS!$B$11:$P$231,9,FALSE)*$EE485))</f>
        <v>0</v>
      </c>
      <c r="DL485" s="144"/>
      <c r="DM485" s="145">
        <f>IF(ISERROR(VLOOKUP($A485,FIJOS!$B$11:$L$646,11,FALSE)),0,VLOOKUP($A485,FIJOS!$B$11:$L$646,11,FALSE))</f>
        <v>0</v>
      </c>
      <c r="DN485" s="148" t="e">
        <f>IF(OR($C485=1,$C485=3),0,IF((VLOOKUP(CAPTURA!D485,HORAS!$B$4:$K$42,10,FALSE)/4)*COUNTIF($H485:$CT485,3)&gt;100,100,(VLOOKUP(CAPTURA!D485,HORAS!$B$4:$K$42,10,FALSE)/4)*COUNTIF($H485:$CT485,3)))</f>
        <v>#N/A</v>
      </c>
      <c r="DO485" s="144" t="e">
        <f>IF(OR($C485=1,$C485=3),0,IF($C485=5,VLOOKUP(D485,HORAS!$B$4:$G$42,6,FALSE),IF(AND($C485=4,$CV485&gt;=(42/24)),VLOOKUP(D485,HORAS!$B$4:$G$42,6,FALSE),IF(COUNTIF($H485:$CL485,"F")&gt;0,0,IF(CV485&gt;$DJ$1,$DJ$1*(VLOOKUP(D485,HORAS!$B$4:$G$42,6,FALSE)/$DJ$1),CV485*(VLOOKUP(D485,HORAS!$B$4:$G$42,6,FALSE)/$DJ$1))))))</f>
        <v>#N/A</v>
      </c>
      <c r="DP485" s="156"/>
      <c r="DQ485" s="148"/>
      <c r="DR485" s="148"/>
      <c r="DS485" s="83" t="e">
        <f t="shared" si="162"/>
        <v>#N/A</v>
      </c>
      <c r="DT485" s="84"/>
      <c r="DU485" s="149" t="e">
        <f t="shared" ref="DU485:DU548" si="251">IF(DW485-DV485=0,0,DW485-DV485)</f>
        <v>#N/A</v>
      </c>
      <c r="DV485" s="149" t="e">
        <f t="shared" ref="DV485:DV548" si="252">IF(DS485&gt;DY485,DY485,DS485)-(CZ485+CY485)</f>
        <v>#N/A</v>
      </c>
      <c r="DW485" s="144" t="e">
        <f t="shared" ref="DW485:DW548" si="253">DS485-DH485</f>
        <v>#N/A</v>
      </c>
      <c r="DX485" s="168"/>
      <c r="DY485" s="29"/>
      <c r="DZ485" s="150"/>
      <c r="EA485" s="134"/>
      <c r="EB485" s="137">
        <f t="shared" ref="EB485:EB548" si="254">IF(CV485&lt;=$DJ$1,0,IF((CV485-$DJ$1)&gt;$EB$1,$EB$1,CV485-$DJ$1))</f>
        <v>0</v>
      </c>
      <c r="EC485" s="138">
        <f t="shared" ref="EC485:EC548" si="255">EB485*24</f>
        <v>0</v>
      </c>
      <c r="ED485" s="137">
        <f t="shared" ref="ED485:ED548" si="256">IF(CV485&lt;=($EB$1+$DJ$1),0,CV485-($EB$1+$DJ$1))</f>
        <v>0</v>
      </c>
      <c r="EE485" s="132">
        <f t="shared" ref="EE485:EE548" si="257">ED485*24</f>
        <v>0</v>
      </c>
      <c r="EF485" s="29"/>
      <c r="EG485" s="134"/>
      <c r="EH485" s="134"/>
      <c r="EI485" s="134"/>
      <c r="EK485" s="29"/>
    </row>
    <row r="486" spans="1:141" ht="15" customHeight="1" x14ac:dyDescent="0.25">
      <c r="A486" s="87"/>
      <c r="B486" s="5"/>
      <c r="C486" s="72"/>
      <c r="D486" s="73"/>
      <c r="E486" s="73"/>
      <c r="F486" s="141"/>
      <c r="G486" s="74"/>
      <c r="H486" s="75"/>
      <c r="I486" s="76"/>
      <c r="J486" s="135"/>
      <c r="K486" s="135"/>
      <c r="L486" s="77">
        <f t="shared" si="138"/>
        <v>0</v>
      </c>
      <c r="M486" s="78"/>
      <c r="N486" s="142"/>
      <c r="O486" s="142"/>
      <c r="P486" s="77">
        <f t="shared" si="139"/>
        <v>0</v>
      </c>
      <c r="Q486" s="78"/>
      <c r="R486" s="143"/>
      <c r="S486" s="143"/>
      <c r="T486" s="77">
        <f t="shared" si="140"/>
        <v>0</v>
      </c>
      <c r="U486" s="75"/>
      <c r="V486" s="76"/>
      <c r="W486" s="135"/>
      <c r="X486" s="135"/>
      <c r="Y486" s="77">
        <f t="shared" si="141"/>
        <v>0</v>
      </c>
      <c r="Z486" s="78"/>
      <c r="AA486" s="142"/>
      <c r="AB486" s="142"/>
      <c r="AC486" s="77">
        <f t="shared" si="142"/>
        <v>0</v>
      </c>
      <c r="AD486" s="78"/>
      <c r="AE486" s="143"/>
      <c r="AF486" s="143"/>
      <c r="AG486" s="79">
        <f t="shared" si="143"/>
        <v>0</v>
      </c>
      <c r="AH486" s="75"/>
      <c r="AI486" s="76"/>
      <c r="AJ486" s="135"/>
      <c r="AK486" s="135"/>
      <c r="AL486" s="77">
        <f t="shared" si="144"/>
        <v>0</v>
      </c>
      <c r="AM486" s="76"/>
      <c r="AN486" s="142"/>
      <c r="AO486" s="142"/>
      <c r="AP486" s="77">
        <f t="shared" si="145"/>
        <v>0</v>
      </c>
      <c r="AQ486" s="78"/>
      <c r="AR486" s="142"/>
      <c r="AS486" s="142"/>
      <c r="AT486" s="79">
        <f t="shared" si="146"/>
        <v>0</v>
      </c>
      <c r="AU486" s="75"/>
      <c r="AV486" s="76"/>
      <c r="AW486" s="135"/>
      <c r="AX486" s="135"/>
      <c r="AY486" s="77">
        <f t="shared" si="147"/>
        <v>0</v>
      </c>
      <c r="AZ486" s="76"/>
      <c r="BA486" s="142"/>
      <c r="BB486" s="142"/>
      <c r="BC486" s="77">
        <f t="shared" si="148"/>
        <v>0</v>
      </c>
      <c r="BD486" s="78"/>
      <c r="BE486" s="142"/>
      <c r="BF486" s="142"/>
      <c r="BG486" s="79">
        <f t="shared" si="149"/>
        <v>0</v>
      </c>
      <c r="BH486" s="75"/>
      <c r="BI486" s="76"/>
      <c r="BJ486" s="135"/>
      <c r="BK486" s="135"/>
      <c r="BL486" s="77">
        <f t="shared" si="150"/>
        <v>0</v>
      </c>
      <c r="BM486" s="78"/>
      <c r="BN486" s="142"/>
      <c r="BO486" s="142"/>
      <c r="BP486" s="77">
        <f t="shared" si="151"/>
        <v>0</v>
      </c>
      <c r="BQ486" s="78"/>
      <c r="BR486" s="142"/>
      <c r="BS486" s="142"/>
      <c r="BT486" s="79">
        <f t="shared" si="152"/>
        <v>0</v>
      </c>
      <c r="BU486" s="75"/>
      <c r="BV486" s="76"/>
      <c r="BW486" s="135"/>
      <c r="BX486" s="135"/>
      <c r="BY486" s="77">
        <f t="shared" si="153"/>
        <v>0</v>
      </c>
      <c r="BZ486" s="78"/>
      <c r="CA486" s="142"/>
      <c r="CB486" s="142"/>
      <c r="CC486" s="77">
        <f t="shared" si="154"/>
        <v>0</v>
      </c>
      <c r="CD486" s="78"/>
      <c r="CE486" s="142"/>
      <c r="CF486" s="142"/>
      <c r="CG486" s="79">
        <f t="shared" si="155"/>
        <v>0</v>
      </c>
      <c r="CH486" s="75"/>
      <c r="CI486" s="76"/>
      <c r="CJ486" s="86"/>
      <c r="CK486" s="86"/>
      <c r="CL486" s="77">
        <f t="shared" si="156"/>
        <v>0</v>
      </c>
      <c r="CM486" s="78"/>
      <c r="CN486" s="85"/>
      <c r="CO486" s="85"/>
      <c r="CP486" s="77">
        <f t="shared" si="157"/>
        <v>0</v>
      </c>
      <c r="CQ486" s="78"/>
      <c r="CR486" s="85"/>
      <c r="CS486" s="85"/>
      <c r="CT486" s="79">
        <f t="shared" si="158"/>
        <v>0</v>
      </c>
      <c r="CU486" s="80">
        <f t="shared" si="168"/>
        <v>0</v>
      </c>
      <c r="CV486" s="81">
        <f t="shared" si="169"/>
        <v>0</v>
      </c>
      <c r="CW486" s="144"/>
      <c r="CX486" s="145">
        <f>IF(ISERROR(VLOOKUP($A486,FIJOS!$B$11:$O$590,14,FALSE)),0,VLOOKUP($A486,FIJOS!$B$11:$O$590,14,FALSE))</f>
        <v>0</v>
      </c>
      <c r="CY486" s="145">
        <f>IF(ISERROR(VLOOKUP(A486,FIJOS!$B$10:$P$590,15,FALSE)),0,VLOOKUP(A486,FIJOS!$B$10:$P$590,15,FALSE))</f>
        <v>0</v>
      </c>
      <c r="CZ486" s="155"/>
      <c r="DA486" s="147"/>
      <c r="DB486" s="147"/>
      <c r="DC486" s="147"/>
      <c r="DD486" s="147"/>
      <c r="DE486" s="147"/>
      <c r="DF486" s="145">
        <f>IF(ISERROR(VLOOKUP($A486,FIJOS!$B$11:$N$590,13,FALSE)),0,VLOOKUP($A486,FIJOS!$B$11:$N$590,13,FALSE))</f>
        <v>0</v>
      </c>
      <c r="DG486" s="145">
        <f>IF(ISERROR(VLOOKUP($A486,FIJOS!$B$11:$P$447,12,FALSE)),0,VLOOKUP($A486,FIJOS!$B$11:$P$447,12,FALSE))</f>
        <v>0</v>
      </c>
      <c r="DH486" s="82">
        <f t="shared" si="250"/>
        <v>0</v>
      </c>
      <c r="DI486" s="83" t="b">
        <f>IF($C486=1,(VLOOKUP($A486,FIJOS!$B$11:$P$545,10,FALSE)/7)*(7-$CU486),IF(AND($C486=2,CV486&lt;$DJ$1),(VLOOKUP($D486,HORAS!$B$4:$C$42,2,FALSE)*24)*$CV486,IF(AND($C486=2,CV486&gt;=$DJ$1),VLOOKUP($D486,HORAS!$B$4:$D$42,3,FALSE),IF(AND($C486=3,$CV486&gt;=$DJ$1),VLOOKUP($A486,FIJOS!$B$11:$P$545,10,FALSE),IF(AND($C486=3,$CV486&lt;$DJ$1),((VLOOKUP($A486,FIJOS!$B$11:$P$545,10,FALSE)/48)*24)*$CV486,IF(AND($C486=4,$CV486&gt;=(42/24)),VLOOKUP($D486,HORAS!$B$4:$D$42,3,FALSE),IF(AND($C486=5,$CV486&gt;=(36/24)),VLOOKUP($D486,HORAS!$B$4:$D$42,3,FALSE))))))))</f>
        <v>0</v>
      </c>
      <c r="DJ486" s="145">
        <f>IF(OR($C486=2),VLOOKUP($D486,HORAS!$B$4:$E$42,4,FALSE)*$EC486,IF(ISERROR(VLOOKUP($A486,FIJOS!$B$11:$P$108,9,FALSE)),0,VLOOKUP($A486,FIJOS!$B$11:$P$231,9,FALSE)*$EC486))</f>
        <v>0</v>
      </c>
      <c r="DK486" s="145">
        <f>IF(OR($C486=2),VLOOKUP($D486,HORAS!$B$4:$F$42,5,FALSE)*$EE486,IF(ISERROR(VLOOKUP($A486,FIJOS!$B$11:$P$108,9,FALSE)),0,VLOOKUP($A486,FIJOS!$B$11:$P$231,9,FALSE)*$EE486))</f>
        <v>0</v>
      </c>
      <c r="DL486" s="144"/>
      <c r="DM486" s="145">
        <f>IF(ISERROR(VLOOKUP($A486,FIJOS!$B$11:$L$646,11,FALSE)),0,VLOOKUP($A486,FIJOS!$B$11:$L$646,11,FALSE))</f>
        <v>0</v>
      </c>
      <c r="DN486" s="148" t="e">
        <f>IF(OR($C486=1,$C486=3),0,IF((VLOOKUP(CAPTURA!D486,HORAS!$B$4:$K$42,10,FALSE)/4)*COUNTIF($H486:$CT486,3)&gt;100,100,(VLOOKUP(CAPTURA!D486,HORAS!$B$4:$K$42,10,FALSE)/4)*COUNTIF($H486:$CT486,3)))</f>
        <v>#N/A</v>
      </c>
      <c r="DO486" s="144" t="e">
        <f>IF(OR($C486=1,$C486=3),0,IF($C486=5,VLOOKUP(D486,HORAS!$B$4:$G$42,6,FALSE),IF(AND($C486=4,$CV486&gt;=(42/24)),VLOOKUP(D486,HORAS!$B$4:$G$42,6,FALSE),IF(COUNTIF($H486:$CL486,"F")&gt;0,0,IF(CV486&gt;$DJ$1,$DJ$1*(VLOOKUP(D486,HORAS!$B$4:$G$42,6,FALSE)/$DJ$1),CV486*(VLOOKUP(D486,HORAS!$B$4:$G$42,6,FALSE)/$DJ$1))))))</f>
        <v>#N/A</v>
      </c>
      <c r="DP486" s="156"/>
      <c r="DQ486" s="148"/>
      <c r="DR486" s="148"/>
      <c r="DS486" s="83" t="e">
        <f t="shared" si="162"/>
        <v>#N/A</v>
      </c>
      <c r="DT486" s="84"/>
      <c r="DU486" s="149" t="e">
        <f t="shared" si="251"/>
        <v>#N/A</v>
      </c>
      <c r="DV486" s="149" t="e">
        <f t="shared" si="252"/>
        <v>#N/A</v>
      </c>
      <c r="DW486" s="144" t="e">
        <f t="shared" si="253"/>
        <v>#N/A</v>
      </c>
      <c r="DX486" s="168"/>
      <c r="DY486" s="29"/>
      <c r="DZ486" s="150"/>
      <c r="EA486" s="134"/>
      <c r="EB486" s="137">
        <f t="shared" si="254"/>
        <v>0</v>
      </c>
      <c r="EC486" s="138">
        <f t="shared" si="255"/>
        <v>0</v>
      </c>
      <c r="ED486" s="137">
        <f t="shared" si="256"/>
        <v>0</v>
      </c>
      <c r="EE486" s="132">
        <f t="shared" si="257"/>
        <v>0</v>
      </c>
      <c r="EF486" s="29"/>
      <c r="EG486" s="134"/>
      <c r="EH486" s="134"/>
      <c r="EI486" s="134"/>
      <c r="EK486" s="29"/>
    </row>
    <row r="487" spans="1:141" ht="15" customHeight="1" x14ac:dyDescent="0.25">
      <c r="A487" s="87"/>
      <c r="B487" s="5"/>
      <c r="C487" s="72"/>
      <c r="D487" s="73"/>
      <c r="E487" s="73"/>
      <c r="F487" s="141"/>
      <c r="G487" s="74"/>
      <c r="H487" s="75"/>
      <c r="I487" s="76"/>
      <c r="J487" s="135"/>
      <c r="K487" s="135"/>
      <c r="L487" s="77">
        <f t="shared" si="138"/>
        <v>0</v>
      </c>
      <c r="M487" s="78"/>
      <c r="N487" s="142"/>
      <c r="O487" s="142"/>
      <c r="P487" s="77">
        <f t="shared" si="139"/>
        <v>0</v>
      </c>
      <c r="Q487" s="78"/>
      <c r="R487" s="143"/>
      <c r="S487" s="143"/>
      <c r="T487" s="77">
        <f t="shared" si="140"/>
        <v>0</v>
      </c>
      <c r="U487" s="75"/>
      <c r="V487" s="76"/>
      <c r="W487" s="135"/>
      <c r="X487" s="135"/>
      <c r="Y487" s="77">
        <f t="shared" si="141"/>
        <v>0</v>
      </c>
      <c r="Z487" s="78"/>
      <c r="AA487" s="142"/>
      <c r="AB487" s="142"/>
      <c r="AC487" s="77">
        <f t="shared" si="142"/>
        <v>0</v>
      </c>
      <c r="AD487" s="78"/>
      <c r="AE487" s="143"/>
      <c r="AF487" s="143"/>
      <c r="AG487" s="79">
        <f t="shared" si="143"/>
        <v>0</v>
      </c>
      <c r="AH487" s="75"/>
      <c r="AI487" s="76"/>
      <c r="AJ487" s="135"/>
      <c r="AK487" s="135"/>
      <c r="AL487" s="77">
        <f t="shared" si="144"/>
        <v>0</v>
      </c>
      <c r="AM487" s="76"/>
      <c r="AN487" s="142"/>
      <c r="AO487" s="142"/>
      <c r="AP487" s="77">
        <f t="shared" si="145"/>
        <v>0</v>
      </c>
      <c r="AQ487" s="78"/>
      <c r="AR487" s="142"/>
      <c r="AS487" s="142"/>
      <c r="AT487" s="79">
        <f t="shared" si="146"/>
        <v>0</v>
      </c>
      <c r="AU487" s="75"/>
      <c r="AV487" s="76"/>
      <c r="AW487" s="135"/>
      <c r="AX487" s="135"/>
      <c r="AY487" s="77">
        <f t="shared" si="147"/>
        <v>0</v>
      </c>
      <c r="AZ487" s="76"/>
      <c r="BA487" s="142"/>
      <c r="BB487" s="142"/>
      <c r="BC487" s="77">
        <f t="shared" si="148"/>
        <v>0</v>
      </c>
      <c r="BD487" s="78"/>
      <c r="BE487" s="142"/>
      <c r="BF487" s="142"/>
      <c r="BG487" s="79">
        <f t="shared" si="149"/>
        <v>0</v>
      </c>
      <c r="BH487" s="75"/>
      <c r="BI487" s="76"/>
      <c r="BJ487" s="135"/>
      <c r="BK487" s="135"/>
      <c r="BL487" s="77">
        <f t="shared" si="150"/>
        <v>0</v>
      </c>
      <c r="BM487" s="78"/>
      <c r="BN487" s="142"/>
      <c r="BO487" s="142"/>
      <c r="BP487" s="77">
        <f t="shared" si="151"/>
        <v>0</v>
      </c>
      <c r="BQ487" s="78"/>
      <c r="BR487" s="142"/>
      <c r="BS487" s="142"/>
      <c r="BT487" s="79">
        <f t="shared" si="152"/>
        <v>0</v>
      </c>
      <c r="BU487" s="75"/>
      <c r="BV487" s="76"/>
      <c r="BW487" s="135"/>
      <c r="BX487" s="135"/>
      <c r="BY487" s="77">
        <f t="shared" si="153"/>
        <v>0</v>
      </c>
      <c r="BZ487" s="78"/>
      <c r="CA487" s="142"/>
      <c r="CB487" s="142"/>
      <c r="CC487" s="77">
        <f t="shared" si="154"/>
        <v>0</v>
      </c>
      <c r="CD487" s="78"/>
      <c r="CE487" s="142"/>
      <c r="CF487" s="142"/>
      <c r="CG487" s="79">
        <f t="shared" si="155"/>
        <v>0</v>
      </c>
      <c r="CH487" s="75"/>
      <c r="CI487" s="76"/>
      <c r="CJ487" s="86"/>
      <c r="CK487" s="86"/>
      <c r="CL487" s="77">
        <f t="shared" si="156"/>
        <v>0</v>
      </c>
      <c r="CM487" s="78"/>
      <c r="CN487" s="85"/>
      <c r="CO487" s="85"/>
      <c r="CP487" s="77">
        <f t="shared" si="157"/>
        <v>0</v>
      </c>
      <c r="CQ487" s="78"/>
      <c r="CR487" s="85"/>
      <c r="CS487" s="85"/>
      <c r="CT487" s="79">
        <f t="shared" si="158"/>
        <v>0</v>
      </c>
      <c r="CU487" s="80">
        <f t="shared" si="168"/>
        <v>0</v>
      </c>
      <c r="CV487" s="81">
        <f t="shared" si="169"/>
        <v>0</v>
      </c>
      <c r="CW487" s="144"/>
      <c r="CX487" s="145">
        <f>IF(ISERROR(VLOOKUP($A487,FIJOS!$B$11:$O$590,14,FALSE)),0,VLOOKUP($A487,FIJOS!$B$11:$O$590,14,FALSE))</f>
        <v>0</v>
      </c>
      <c r="CY487" s="145">
        <f>IF(ISERROR(VLOOKUP(A487,FIJOS!$B$10:$P$590,15,FALSE)),0,VLOOKUP(A487,FIJOS!$B$10:$P$590,15,FALSE))</f>
        <v>0</v>
      </c>
      <c r="CZ487" s="155"/>
      <c r="DA487" s="147"/>
      <c r="DB487" s="147"/>
      <c r="DC487" s="147"/>
      <c r="DD487" s="147"/>
      <c r="DE487" s="147"/>
      <c r="DF487" s="145">
        <f>IF(ISERROR(VLOOKUP($A487,FIJOS!$B$11:$N$590,13,FALSE)),0,VLOOKUP($A487,FIJOS!$B$11:$N$590,13,FALSE))</f>
        <v>0</v>
      </c>
      <c r="DG487" s="145">
        <f>IF(ISERROR(VLOOKUP($A487,FIJOS!$B$11:$P$447,12,FALSE)),0,VLOOKUP($A487,FIJOS!$B$11:$P$447,12,FALSE))</f>
        <v>0</v>
      </c>
      <c r="DH487" s="82">
        <f t="shared" si="250"/>
        <v>0</v>
      </c>
      <c r="DI487" s="83" t="b">
        <f>IF($C487=1,(VLOOKUP($A487,FIJOS!$B$11:$P$545,10,FALSE)/7)*(7-$CU487),IF(AND($C487=2,CV487&lt;$DJ$1),(VLOOKUP($D487,HORAS!$B$4:$C$42,2,FALSE)*24)*$CV487,IF(AND($C487=2,CV487&gt;=$DJ$1),VLOOKUP($D487,HORAS!$B$4:$D$42,3,FALSE),IF(AND($C487=3,$CV487&gt;=$DJ$1),VLOOKUP($A487,FIJOS!$B$11:$P$545,10,FALSE),IF(AND($C487=3,$CV487&lt;$DJ$1),((VLOOKUP($A487,FIJOS!$B$11:$P$545,10,FALSE)/48)*24)*$CV487,IF(AND($C487=4,$CV487&gt;=(42/24)),VLOOKUP($D487,HORAS!$B$4:$D$42,3,FALSE),IF(AND($C487=5,$CV487&gt;=(36/24)),VLOOKUP($D487,HORAS!$B$4:$D$42,3,FALSE))))))))</f>
        <v>0</v>
      </c>
      <c r="DJ487" s="145">
        <f>IF(OR($C487=2),VLOOKUP($D487,HORAS!$B$4:$E$42,4,FALSE)*$EC487,IF(ISERROR(VLOOKUP($A487,FIJOS!$B$11:$P$108,9,FALSE)),0,VLOOKUP($A487,FIJOS!$B$11:$P$231,9,FALSE)*$EC487))</f>
        <v>0</v>
      </c>
      <c r="DK487" s="145">
        <f>IF(OR($C487=2),VLOOKUP($D487,HORAS!$B$4:$F$42,5,FALSE)*$EE487,IF(ISERROR(VLOOKUP($A487,FIJOS!$B$11:$P$108,9,FALSE)),0,VLOOKUP($A487,FIJOS!$B$11:$P$231,9,FALSE)*$EE487))</f>
        <v>0</v>
      </c>
      <c r="DL487" s="144"/>
      <c r="DM487" s="145">
        <f>IF(ISERROR(VLOOKUP($A487,FIJOS!$B$11:$L$646,11,FALSE)),0,VLOOKUP($A487,FIJOS!$B$11:$L$646,11,FALSE))</f>
        <v>0</v>
      </c>
      <c r="DN487" s="148" t="e">
        <f>IF(OR($C487=1,$C487=3),0,IF((VLOOKUP(CAPTURA!D487,HORAS!$B$4:$K$42,10,FALSE)/4)*COUNTIF($H487:$CT487,3)&gt;100,100,(VLOOKUP(CAPTURA!D487,HORAS!$B$4:$K$42,10,FALSE)/4)*COUNTIF($H487:$CT487,3)))</f>
        <v>#N/A</v>
      </c>
      <c r="DO487" s="144" t="e">
        <f>IF(OR($C487=1,$C487=3),0,IF($C487=5,VLOOKUP(D487,HORAS!$B$4:$G$42,6,FALSE),IF(AND($C487=4,$CV487&gt;=(42/24)),VLOOKUP(D487,HORAS!$B$4:$G$42,6,FALSE),IF(COUNTIF($H487:$CL487,"F")&gt;0,0,IF(CV487&gt;$DJ$1,$DJ$1*(VLOOKUP(D487,HORAS!$B$4:$G$42,6,FALSE)/$DJ$1),CV487*(VLOOKUP(D487,HORAS!$B$4:$G$42,6,FALSE)/$DJ$1))))))</f>
        <v>#N/A</v>
      </c>
      <c r="DP487" s="156"/>
      <c r="DQ487" s="148"/>
      <c r="DR487" s="148"/>
      <c r="DS487" s="83" t="e">
        <f t="shared" si="162"/>
        <v>#N/A</v>
      </c>
      <c r="DT487" s="84"/>
      <c r="DU487" s="149" t="e">
        <f t="shared" si="251"/>
        <v>#N/A</v>
      </c>
      <c r="DV487" s="149" t="e">
        <f t="shared" si="252"/>
        <v>#N/A</v>
      </c>
      <c r="DW487" s="144" t="e">
        <f t="shared" si="253"/>
        <v>#N/A</v>
      </c>
      <c r="DX487" s="168"/>
      <c r="DY487" s="29"/>
      <c r="DZ487" s="150"/>
      <c r="EA487" s="134"/>
      <c r="EB487" s="137">
        <f t="shared" si="254"/>
        <v>0</v>
      </c>
      <c r="EC487" s="138">
        <f t="shared" si="255"/>
        <v>0</v>
      </c>
      <c r="ED487" s="137">
        <f t="shared" si="256"/>
        <v>0</v>
      </c>
      <c r="EE487" s="132">
        <f t="shared" si="257"/>
        <v>0</v>
      </c>
      <c r="EF487" s="29"/>
      <c r="EG487" s="134"/>
      <c r="EH487" s="134"/>
      <c r="EI487" s="134"/>
      <c r="EK487" s="29"/>
    </row>
    <row r="488" spans="1:141" ht="15" customHeight="1" x14ac:dyDescent="0.25">
      <c r="A488" s="87"/>
      <c r="B488" s="5"/>
      <c r="C488" s="72"/>
      <c r="D488" s="73"/>
      <c r="E488" s="73"/>
      <c r="F488" s="141"/>
      <c r="G488" s="74"/>
      <c r="H488" s="75"/>
      <c r="I488" s="76"/>
      <c r="J488" s="135"/>
      <c r="K488" s="135"/>
      <c r="L488" s="77">
        <f t="shared" si="138"/>
        <v>0</v>
      </c>
      <c r="M488" s="78"/>
      <c r="N488" s="142"/>
      <c r="O488" s="142"/>
      <c r="P488" s="77">
        <f t="shared" si="139"/>
        <v>0</v>
      </c>
      <c r="Q488" s="78"/>
      <c r="R488" s="143"/>
      <c r="S488" s="143"/>
      <c r="T488" s="77">
        <f t="shared" si="140"/>
        <v>0</v>
      </c>
      <c r="U488" s="75"/>
      <c r="V488" s="76"/>
      <c r="W488" s="135"/>
      <c r="X488" s="135"/>
      <c r="Y488" s="77">
        <f t="shared" si="141"/>
        <v>0</v>
      </c>
      <c r="Z488" s="78"/>
      <c r="AA488" s="142"/>
      <c r="AB488" s="142"/>
      <c r="AC488" s="77">
        <f t="shared" si="142"/>
        <v>0</v>
      </c>
      <c r="AD488" s="78"/>
      <c r="AE488" s="143"/>
      <c r="AF488" s="143"/>
      <c r="AG488" s="79">
        <f t="shared" si="143"/>
        <v>0</v>
      </c>
      <c r="AH488" s="75"/>
      <c r="AI488" s="76"/>
      <c r="AJ488" s="135"/>
      <c r="AK488" s="135"/>
      <c r="AL488" s="77">
        <f t="shared" si="144"/>
        <v>0</v>
      </c>
      <c r="AM488" s="76"/>
      <c r="AN488" s="142"/>
      <c r="AO488" s="142"/>
      <c r="AP488" s="77">
        <f t="shared" si="145"/>
        <v>0</v>
      </c>
      <c r="AQ488" s="78"/>
      <c r="AR488" s="142"/>
      <c r="AS488" s="142"/>
      <c r="AT488" s="79">
        <f t="shared" si="146"/>
        <v>0</v>
      </c>
      <c r="AU488" s="75"/>
      <c r="AV488" s="76"/>
      <c r="AW488" s="135"/>
      <c r="AX488" s="135"/>
      <c r="AY488" s="77">
        <f t="shared" si="147"/>
        <v>0</v>
      </c>
      <c r="AZ488" s="76"/>
      <c r="BA488" s="142"/>
      <c r="BB488" s="142"/>
      <c r="BC488" s="77">
        <f t="shared" si="148"/>
        <v>0</v>
      </c>
      <c r="BD488" s="78"/>
      <c r="BE488" s="142"/>
      <c r="BF488" s="142"/>
      <c r="BG488" s="79">
        <f t="shared" si="149"/>
        <v>0</v>
      </c>
      <c r="BH488" s="75"/>
      <c r="BI488" s="76"/>
      <c r="BJ488" s="135"/>
      <c r="BK488" s="135"/>
      <c r="BL488" s="77">
        <f t="shared" si="150"/>
        <v>0</v>
      </c>
      <c r="BM488" s="78"/>
      <c r="BN488" s="142"/>
      <c r="BO488" s="142"/>
      <c r="BP488" s="77">
        <f t="shared" si="151"/>
        <v>0</v>
      </c>
      <c r="BQ488" s="78"/>
      <c r="BR488" s="142"/>
      <c r="BS488" s="142"/>
      <c r="BT488" s="79">
        <f t="shared" si="152"/>
        <v>0</v>
      </c>
      <c r="BU488" s="75"/>
      <c r="BV488" s="76"/>
      <c r="BW488" s="135"/>
      <c r="BX488" s="135"/>
      <c r="BY488" s="77">
        <f t="shared" si="153"/>
        <v>0</v>
      </c>
      <c r="BZ488" s="78"/>
      <c r="CA488" s="142"/>
      <c r="CB488" s="142"/>
      <c r="CC488" s="77">
        <f t="shared" si="154"/>
        <v>0</v>
      </c>
      <c r="CD488" s="78"/>
      <c r="CE488" s="142"/>
      <c r="CF488" s="142"/>
      <c r="CG488" s="79">
        <f t="shared" si="155"/>
        <v>0</v>
      </c>
      <c r="CH488" s="75"/>
      <c r="CI488" s="76"/>
      <c r="CJ488" s="86"/>
      <c r="CK488" s="86"/>
      <c r="CL488" s="77">
        <f t="shared" si="156"/>
        <v>0</v>
      </c>
      <c r="CM488" s="78"/>
      <c r="CN488" s="85"/>
      <c r="CO488" s="85"/>
      <c r="CP488" s="77">
        <f t="shared" si="157"/>
        <v>0</v>
      </c>
      <c r="CQ488" s="78"/>
      <c r="CR488" s="85"/>
      <c r="CS488" s="85"/>
      <c r="CT488" s="79">
        <f t="shared" si="158"/>
        <v>0</v>
      </c>
      <c r="CU488" s="80">
        <f t="shared" si="168"/>
        <v>0</v>
      </c>
      <c r="CV488" s="81">
        <f t="shared" si="169"/>
        <v>0</v>
      </c>
      <c r="CW488" s="144"/>
      <c r="CX488" s="145">
        <f>IF(ISERROR(VLOOKUP($A488,FIJOS!$B$11:$O$590,14,FALSE)),0,VLOOKUP($A488,FIJOS!$B$11:$O$590,14,FALSE))</f>
        <v>0</v>
      </c>
      <c r="CY488" s="145">
        <f>IF(ISERROR(VLOOKUP(A488,FIJOS!$B$10:$P$590,15,FALSE)),0,VLOOKUP(A488,FIJOS!$B$10:$P$590,15,FALSE))</f>
        <v>0</v>
      </c>
      <c r="CZ488" s="155"/>
      <c r="DA488" s="147"/>
      <c r="DB488" s="147"/>
      <c r="DC488" s="147"/>
      <c r="DD488" s="147"/>
      <c r="DE488" s="147"/>
      <c r="DF488" s="145">
        <f>IF(ISERROR(VLOOKUP($A488,FIJOS!$B$11:$N$590,13,FALSE)),0,VLOOKUP($A488,FIJOS!$B$11:$N$590,13,FALSE))</f>
        <v>0</v>
      </c>
      <c r="DG488" s="145">
        <f>IF(ISERROR(VLOOKUP($A488,FIJOS!$B$11:$P$447,12,FALSE)),0,VLOOKUP($A488,FIJOS!$B$11:$P$447,12,FALSE))</f>
        <v>0</v>
      </c>
      <c r="DH488" s="82">
        <f t="shared" si="250"/>
        <v>0</v>
      </c>
      <c r="DI488" s="83" t="b">
        <f>IF($C488=1,(VLOOKUP($A488,FIJOS!$B$11:$P$545,10,FALSE)/7)*(7-$CU488),IF(AND($C488=2,CV488&lt;$DJ$1),(VLOOKUP($D488,HORAS!$B$4:$C$42,2,FALSE)*24)*$CV488,IF(AND($C488=2,CV488&gt;=$DJ$1),VLOOKUP($D488,HORAS!$B$4:$D$42,3,FALSE),IF(AND($C488=3,$CV488&gt;=$DJ$1),VLOOKUP($A488,FIJOS!$B$11:$P$545,10,FALSE),IF(AND($C488=3,$CV488&lt;$DJ$1),((VLOOKUP($A488,FIJOS!$B$11:$P$545,10,FALSE)/48)*24)*$CV488,IF(AND($C488=4,$CV488&gt;=(42/24)),VLOOKUP($D488,HORAS!$B$4:$D$42,3,FALSE),IF(AND($C488=5,$CV488&gt;=(36/24)),VLOOKUP($D488,HORAS!$B$4:$D$42,3,FALSE))))))))</f>
        <v>0</v>
      </c>
      <c r="DJ488" s="145">
        <f>IF(OR($C488=2),VLOOKUP($D488,HORAS!$B$4:$E$42,4,FALSE)*$EC488,IF(ISERROR(VLOOKUP($A488,FIJOS!$B$11:$P$108,9,FALSE)),0,VLOOKUP($A488,FIJOS!$B$11:$P$231,9,FALSE)*$EC488))</f>
        <v>0</v>
      </c>
      <c r="DK488" s="145">
        <f>IF(OR($C488=2),VLOOKUP($D488,HORAS!$B$4:$F$42,5,FALSE)*$EE488,IF(ISERROR(VLOOKUP($A488,FIJOS!$B$11:$P$108,9,FALSE)),0,VLOOKUP($A488,FIJOS!$B$11:$P$231,9,FALSE)*$EE488))</f>
        <v>0</v>
      </c>
      <c r="DL488" s="144"/>
      <c r="DM488" s="145">
        <f>IF(ISERROR(VLOOKUP($A488,FIJOS!$B$11:$L$646,11,FALSE)),0,VLOOKUP($A488,FIJOS!$B$11:$L$646,11,FALSE))</f>
        <v>0</v>
      </c>
      <c r="DN488" s="148" t="e">
        <f>IF(OR($C488=1,$C488=3),0,IF((VLOOKUP(CAPTURA!D488,HORAS!$B$4:$K$42,10,FALSE)/4)*COUNTIF($H488:$CT488,3)&gt;100,100,(VLOOKUP(CAPTURA!D488,HORAS!$B$4:$K$42,10,FALSE)/4)*COUNTIF($H488:$CT488,3)))</f>
        <v>#N/A</v>
      </c>
      <c r="DO488" s="144" t="e">
        <f>IF(OR($C488=1,$C488=3),0,IF($C488=5,VLOOKUP(D488,HORAS!$B$4:$G$42,6,FALSE),IF(AND($C488=4,$CV488&gt;=(42/24)),VLOOKUP(D488,HORAS!$B$4:$G$42,6,FALSE),IF(COUNTIF($H488:$CL488,"F")&gt;0,0,IF(CV488&gt;$DJ$1,$DJ$1*(VLOOKUP(D488,HORAS!$B$4:$G$42,6,FALSE)/$DJ$1),CV488*(VLOOKUP(D488,HORAS!$B$4:$G$42,6,FALSE)/$DJ$1))))))</f>
        <v>#N/A</v>
      </c>
      <c r="DP488" s="156"/>
      <c r="DQ488" s="148"/>
      <c r="DR488" s="148"/>
      <c r="DS488" s="83" t="e">
        <f t="shared" si="162"/>
        <v>#N/A</v>
      </c>
      <c r="DT488" s="84"/>
      <c r="DU488" s="149" t="e">
        <f t="shared" si="251"/>
        <v>#N/A</v>
      </c>
      <c r="DV488" s="149" t="e">
        <f t="shared" si="252"/>
        <v>#N/A</v>
      </c>
      <c r="DW488" s="144" t="e">
        <f t="shared" si="253"/>
        <v>#N/A</v>
      </c>
      <c r="DX488" s="168"/>
      <c r="DY488" s="29"/>
      <c r="DZ488" s="150"/>
      <c r="EA488" s="134"/>
      <c r="EB488" s="137">
        <f t="shared" si="254"/>
        <v>0</v>
      </c>
      <c r="EC488" s="138">
        <f t="shared" si="255"/>
        <v>0</v>
      </c>
      <c r="ED488" s="137">
        <f t="shared" si="256"/>
        <v>0</v>
      </c>
      <c r="EE488" s="132">
        <f t="shared" si="257"/>
        <v>0</v>
      </c>
      <c r="EF488" s="29"/>
      <c r="EG488" s="134"/>
      <c r="EH488" s="134"/>
      <c r="EI488" s="134"/>
      <c r="EK488" s="29"/>
    </row>
    <row r="489" spans="1:141" ht="15" customHeight="1" x14ac:dyDescent="0.25">
      <c r="A489" s="87"/>
      <c r="B489" s="5"/>
      <c r="C489" s="72"/>
      <c r="D489" s="73"/>
      <c r="E489" s="73"/>
      <c r="F489" s="141"/>
      <c r="G489" s="74"/>
      <c r="H489" s="75"/>
      <c r="I489" s="76"/>
      <c r="J489" s="135"/>
      <c r="K489" s="135"/>
      <c r="L489" s="77">
        <f t="shared" si="138"/>
        <v>0</v>
      </c>
      <c r="M489" s="78"/>
      <c r="N489" s="142"/>
      <c r="O489" s="142"/>
      <c r="P489" s="77">
        <f t="shared" si="139"/>
        <v>0</v>
      </c>
      <c r="Q489" s="78"/>
      <c r="R489" s="143"/>
      <c r="S489" s="143"/>
      <c r="T489" s="77">
        <f t="shared" si="140"/>
        <v>0</v>
      </c>
      <c r="U489" s="75"/>
      <c r="V489" s="76"/>
      <c r="W489" s="135"/>
      <c r="X489" s="135"/>
      <c r="Y489" s="77">
        <f t="shared" si="141"/>
        <v>0</v>
      </c>
      <c r="Z489" s="78"/>
      <c r="AA489" s="142"/>
      <c r="AB489" s="142"/>
      <c r="AC489" s="77">
        <f t="shared" si="142"/>
        <v>0</v>
      </c>
      <c r="AD489" s="78"/>
      <c r="AE489" s="143"/>
      <c r="AF489" s="143"/>
      <c r="AG489" s="79">
        <f t="shared" si="143"/>
        <v>0</v>
      </c>
      <c r="AH489" s="75"/>
      <c r="AI489" s="76"/>
      <c r="AJ489" s="135"/>
      <c r="AK489" s="135"/>
      <c r="AL489" s="77">
        <f t="shared" si="144"/>
        <v>0</v>
      </c>
      <c r="AM489" s="76"/>
      <c r="AN489" s="142"/>
      <c r="AO489" s="142"/>
      <c r="AP489" s="77">
        <f t="shared" si="145"/>
        <v>0</v>
      </c>
      <c r="AQ489" s="78"/>
      <c r="AR489" s="142"/>
      <c r="AS489" s="142"/>
      <c r="AT489" s="79">
        <f t="shared" si="146"/>
        <v>0</v>
      </c>
      <c r="AU489" s="75"/>
      <c r="AV489" s="76"/>
      <c r="AW489" s="135"/>
      <c r="AX489" s="135"/>
      <c r="AY489" s="77">
        <f t="shared" si="147"/>
        <v>0</v>
      </c>
      <c r="AZ489" s="76"/>
      <c r="BA489" s="142"/>
      <c r="BB489" s="142"/>
      <c r="BC489" s="77">
        <f t="shared" si="148"/>
        <v>0</v>
      </c>
      <c r="BD489" s="78"/>
      <c r="BE489" s="142"/>
      <c r="BF489" s="142"/>
      <c r="BG489" s="79">
        <f t="shared" si="149"/>
        <v>0</v>
      </c>
      <c r="BH489" s="75"/>
      <c r="BI489" s="76"/>
      <c r="BJ489" s="135"/>
      <c r="BK489" s="135"/>
      <c r="BL489" s="77">
        <f t="shared" si="150"/>
        <v>0</v>
      </c>
      <c r="BM489" s="78"/>
      <c r="BN489" s="142"/>
      <c r="BO489" s="142"/>
      <c r="BP489" s="77">
        <f t="shared" si="151"/>
        <v>0</v>
      </c>
      <c r="BQ489" s="78"/>
      <c r="BR489" s="142"/>
      <c r="BS489" s="142"/>
      <c r="BT489" s="79">
        <f t="shared" si="152"/>
        <v>0</v>
      </c>
      <c r="BU489" s="75"/>
      <c r="BV489" s="76"/>
      <c r="BW489" s="135"/>
      <c r="BX489" s="135"/>
      <c r="BY489" s="77">
        <f t="shared" si="153"/>
        <v>0</v>
      </c>
      <c r="BZ489" s="78"/>
      <c r="CA489" s="142"/>
      <c r="CB489" s="142"/>
      <c r="CC489" s="77">
        <f t="shared" si="154"/>
        <v>0</v>
      </c>
      <c r="CD489" s="78"/>
      <c r="CE489" s="142"/>
      <c r="CF489" s="142"/>
      <c r="CG489" s="79">
        <f t="shared" si="155"/>
        <v>0</v>
      </c>
      <c r="CH489" s="75"/>
      <c r="CI489" s="76"/>
      <c r="CJ489" s="86"/>
      <c r="CK489" s="86"/>
      <c r="CL489" s="77">
        <f t="shared" si="156"/>
        <v>0</v>
      </c>
      <c r="CM489" s="78"/>
      <c r="CN489" s="85"/>
      <c r="CO489" s="85"/>
      <c r="CP489" s="77">
        <f t="shared" si="157"/>
        <v>0</v>
      </c>
      <c r="CQ489" s="78"/>
      <c r="CR489" s="85"/>
      <c r="CS489" s="85"/>
      <c r="CT489" s="79">
        <f t="shared" si="158"/>
        <v>0</v>
      </c>
      <c r="CU489" s="80">
        <f t="shared" si="168"/>
        <v>0</v>
      </c>
      <c r="CV489" s="81">
        <f t="shared" si="169"/>
        <v>0</v>
      </c>
      <c r="CW489" s="144"/>
      <c r="CX489" s="145">
        <f>IF(ISERROR(VLOOKUP($A489,FIJOS!$B$11:$O$590,14,FALSE)),0,VLOOKUP($A489,FIJOS!$B$11:$O$590,14,FALSE))</f>
        <v>0</v>
      </c>
      <c r="CY489" s="145">
        <f>IF(ISERROR(VLOOKUP(A489,FIJOS!$B$10:$P$590,15,FALSE)),0,VLOOKUP(A489,FIJOS!$B$10:$P$590,15,FALSE))</f>
        <v>0</v>
      </c>
      <c r="CZ489" s="155"/>
      <c r="DA489" s="147"/>
      <c r="DB489" s="147"/>
      <c r="DC489" s="147"/>
      <c r="DD489" s="147"/>
      <c r="DE489" s="147"/>
      <c r="DF489" s="145">
        <f>IF(ISERROR(VLOOKUP($A489,FIJOS!$B$11:$N$590,13,FALSE)),0,VLOOKUP($A489,FIJOS!$B$11:$N$590,13,FALSE))</f>
        <v>0</v>
      </c>
      <c r="DG489" s="145">
        <f>IF(ISERROR(VLOOKUP($A489,FIJOS!$B$11:$P$447,12,FALSE)),0,VLOOKUP($A489,FIJOS!$B$11:$P$447,12,FALSE))</f>
        <v>0</v>
      </c>
      <c r="DH489" s="82">
        <f t="shared" si="250"/>
        <v>0</v>
      </c>
      <c r="DI489" s="83" t="b">
        <f>IF($C489=1,(VLOOKUP($A489,FIJOS!$B$11:$P$545,10,FALSE)/7)*(7-$CU489),IF(AND($C489=2,CV489&lt;$DJ$1),(VLOOKUP($D489,HORAS!$B$4:$C$42,2,FALSE)*24)*$CV489,IF(AND($C489=2,CV489&gt;=$DJ$1),VLOOKUP($D489,HORAS!$B$4:$D$42,3,FALSE),IF(AND($C489=3,$CV489&gt;=$DJ$1),VLOOKUP($A489,FIJOS!$B$11:$P$545,10,FALSE),IF(AND($C489=3,$CV489&lt;$DJ$1),((VLOOKUP($A489,FIJOS!$B$11:$P$545,10,FALSE)/48)*24)*$CV489,IF(AND($C489=4,$CV489&gt;=(42/24)),VLOOKUP($D489,HORAS!$B$4:$D$42,3,FALSE),IF(AND($C489=5,$CV489&gt;=(36/24)),VLOOKUP($D489,HORAS!$B$4:$D$42,3,FALSE))))))))</f>
        <v>0</v>
      </c>
      <c r="DJ489" s="145">
        <f>IF(OR($C489=2),VLOOKUP($D489,HORAS!$B$4:$E$42,4,FALSE)*$EC489,IF(ISERROR(VLOOKUP($A489,FIJOS!$B$11:$P$108,9,FALSE)),0,VLOOKUP($A489,FIJOS!$B$11:$P$231,9,FALSE)*$EC489))</f>
        <v>0</v>
      </c>
      <c r="DK489" s="145">
        <f>IF(OR($C489=2),VLOOKUP($D489,HORAS!$B$4:$F$42,5,FALSE)*$EE489,IF(ISERROR(VLOOKUP($A489,FIJOS!$B$11:$P$108,9,FALSE)),0,VLOOKUP($A489,FIJOS!$B$11:$P$231,9,FALSE)*$EE489))</f>
        <v>0</v>
      </c>
      <c r="DL489" s="144"/>
      <c r="DM489" s="145">
        <f>IF(ISERROR(VLOOKUP($A489,FIJOS!$B$11:$L$646,11,FALSE)),0,VLOOKUP($A489,FIJOS!$B$11:$L$646,11,FALSE))</f>
        <v>0</v>
      </c>
      <c r="DN489" s="148" t="e">
        <f>IF(OR($C489=1,$C489=3),0,IF((VLOOKUP(CAPTURA!D489,HORAS!$B$4:$K$42,10,FALSE)/4)*COUNTIF($H489:$CT489,3)&gt;100,100,(VLOOKUP(CAPTURA!D489,HORAS!$B$4:$K$42,10,FALSE)/4)*COUNTIF($H489:$CT489,3)))</f>
        <v>#N/A</v>
      </c>
      <c r="DO489" s="144" t="e">
        <f>IF(OR($C489=1,$C489=3),0,IF($C489=5,VLOOKUP(D489,HORAS!$B$4:$G$42,6,FALSE),IF(AND($C489=4,$CV489&gt;=(42/24)),VLOOKUP(D489,HORAS!$B$4:$G$42,6,FALSE),IF(COUNTIF($H489:$CL489,"F")&gt;0,0,IF(CV489&gt;$DJ$1,$DJ$1*(VLOOKUP(D489,HORAS!$B$4:$G$42,6,FALSE)/$DJ$1),CV489*(VLOOKUP(D489,HORAS!$B$4:$G$42,6,FALSE)/$DJ$1))))))</f>
        <v>#N/A</v>
      </c>
      <c r="DP489" s="156"/>
      <c r="DQ489" s="148"/>
      <c r="DR489" s="148"/>
      <c r="DS489" s="83" t="e">
        <f t="shared" si="162"/>
        <v>#N/A</v>
      </c>
      <c r="DT489" s="84"/>
      <c r="DU489" s="149" t="e">
        <f t="shared" si="251"/>
        <v>#N/A</v>
      </c>
      <c r="DV489" s="149" t="e">
        <f t="shared" si="252"/>
        <v>#N/A</v>
      </c>
      <c r="DW489" s="144" t="e">
        <f t="shared" si="253"/>
        <v>#N/A</v>
      </c>
      <c r="DX489" s="168"/>
      <c r="DY489" s="29"/>
      <c r="DZ489" s="150"/>
      <c r="EA489" s="134"/>
      <c r="EB489" s="137">
        <f t="shared" si="254"/>
        <v>0</v>
      </c>
      <c r="EC489" s="138">
        <f t="shared" si="255"/>
        <v>0</v>
      </c>
      <c r="ED489" s="137">
        <f t="shared" si="256"/>
        <v>0</v>
      </c>
      <c r="EE489" s="132">
        <f t="shared" si="257"/>
        <v>0</v>
      </c>
      <c r="EF489" s="29"/>
      <c r="EG489" s="134"/>
      <c r="EH489" s="134"/>
      <c r="EI489" s="134"/>
      <c r="EK489" s="29"/>
    </row>
    <row r="490" spans="1:141" ht="15" customHeight="1" x14ac:dyDescent="0.25">
      <c r="A490" s="87"/>
      <c r="B490" s="5"/>
      <c r="C490" s="72"/>
      <c r="D490" s="73"/>
      <c r="E490" s="73"/>
      <c r="F490" s="141"/>
      <c r="G490" s="74"/>
      <c r="H490" s="75"/>
      <c r="I490" s="76"/>
      <c r="J490" s="135"/>
      <c r="K490" s="135"/>
      <c r="L490" s="77">
        <f t="shared" si="138"/>
        <v>0</v>
      </c>
      <c r="M490" s="78"/>
      <c r="N490" s="142"/>
      <c r="O490" s="142"/>
      <c r="P490" s="77">
        <f t="shared" si="139"/>
        <v>0</v>
      </c>
      <c r="Q490" s="78"/>
      <c r="R490" s="143"/>
      <c r="S490" s="143"/>
      <c r="T490" s="77">
        <f t="shared" si="140"/>
        <v>0</v>
      </c>
      <c r="U490" s="75"/>
      <c r="V490" s="76"/>
      <c r="W490" s="135"/>
      <c r="X490" s="135"/>
      <c r="Y490" s="77">
        <f t="shared" si="141"/>
        <v>0</v>
      </c>
      <c r="Z490" s="78"/>
      <c r="AA490" s="142"/>
      <c r="AB490" s="142"/>
      <c r="AC490" s="77">
        <f t="shared" si="142"/>
        <v>0</v>
      </c>
      <c r="AD490" s="78"/>
      <c r="AE490" s="143"/>
      <c r="AF490" s="143"/>
      <c r="AG490" s="79">
        <f t="shared" si="143"/>
        <v>0</v>
      </c>
      <c r="AH490" s="75"/>
      <c r="AI490" s="76"/>
      <c r="AJ490" s="135"/>
      <c r="AK490" s="135"/>
      <c r="AL490" s="77">
        <f t="shared" si="144"/>
        <v>0</v>
      </c>
      <c r="AM490" s="76"/>
      <c r="AN490" s="142"/>
      <c r="AO490" s="142"/>
      <c r="AP490" s="77">
        <f t="shared" si="145"/>
        <v>0</v>
      </c>
      <c r="AQ490" s="78"/>
      <c r="AR490" s="142"/>
      <c r="AS490" s="142"/>
      <c r="AT490" s="79">
        <f t="shared" si="146"/>
        <v>0</v>
      </c>
      <c r="AU490" s="75"/>
      <c r="AV490" s="76"/>
      <c r="AW490" s="135"/>
      <c r="AX490" s="135"/>
      <c r="AY490" s="77">
        <f t="shared" si="147"/>
        <v>0</v>
      </c>
      <c r="AZ490" s="76"/>
      <c r="BA490" s="142"/>
      <c r="BB490" s="142"/>
      <c r="BC490" s="77">
        <f t="shared" si="148"/>
        <v>0</v>
      </c>
      <c r="BD490" s="78"/>
      <c r="BE490" s="142"/>
      <c r="BF490" s="142"/>
      <c r="BG490" s="79">
        <f t="shared" si="149"/>
        <v>0</v>
      </c>
      <c r="BH490" s="75"/>
      <c r="BI490" s="76"/>
      <c r="BJ490" s="135"/>
      <c r="BK490" s="135"/>
      <c r="BL490" s="77">
        <f t="shared" si="150"/>
        <v>0</v>
      </c>
      <c r="BM490" s="78"/>
      <c r="BN490" s="142"/>
      <c r="BO490" s="142"/>
      <c r="BP490" s="77">
        <f t="shared" si="151"/>
        <v>0</v>
      </c>
      <c r="BQ490" s="78"/>
      <c r="BR490" s="142"/>
      <c r="BS490" s="142"/>
      <c r="BT490" s="79">
        <f t="shared" si="152"/>
        <v>0</v>
      </c>
      <c r="BU490" s="75"/>
      <c r="BV490" s="76"/>
      <c r="BW490" s="135"/>
      <c r="BX490" s="135"/>
      <c r="BY490" s="77">
        <f t="shared" si="153"/>
        <v>0</v>
      </c>
      <c r="BZ490" s="78"/>
      <c r="CA490" s="142"/>
      <c r="CB490" s="142"/>
      <c r="CC490" s="77">
        <f t="shared" si="154"/>
        <v>0</v>
      </c>
      <c r="CD490" s="78"/>
      <c r="CE490" s="142"/>
      <c r="CF490" s="142"/>
      <c r="CG490" s="79">
        <f t="shared" si="155"/>
        <v>0</v>
      </c>
      <c r="CH490" s="75"/>
      <c r="CI490" s="76"/>
      <c r="CJ490" s="86"/>
      <c r="CK490" s="86"/>
      <c r="CL490" s="77">
        <f t="shared" si="156"/>
        <v>0</v>
      </c>
      <c r="CM490" s="78"/>
      <c r="CN490" s="85"/>
      <c r="CO490" s="85"/>
      <c r="CP490" s="77">
        <f t="shared" si="157"/>
        <v>0</v>
      </c>
      <c r="CQ490" s="78"/>
      <c r="CR490" s="85"/>
      <c r="CS490" s="85"/>
      <c r="CT490" s="79">
        <f t="shared" si="158"/>
        <v>0</v>
      </c>
      <c r="CU490" s="80">
        <f t="shared" si="168"/>
        <v>0</v>
      </c>
      <c r="CV490" s="81">
        <f t="shared" si="169"/>
        <v>0</v>
      </c>
      <c r="CW490" s="144"/>
      <c r="CX490" s="145">
        <f>IF(ISERROR(VLOOKUP($A490,FIJOS!$B$11:$O$590,14,FALSE)),0,VLOOKUP($A490,FIJOS!$B$11:$O$590,14,FALSE))</f>
        <v>0</v>
      </c>
      <c r="CY490" s="145">
        <f>IF(ISERROR(VLOOKUP(A490,FIJOS!$B$10:$P$590,15,FALSE)),0,VLOOKUP(A490,FIJOS!$B$10:$P$590,15,FALSE))</f>
        <v>0</v>
      </c>
      <c r="CZ490" s="155"/>
      <c r="DA490" s="147"/>
      <c r="DB490" s="147"/>
      <c r="DC490" s="147"/>
      <c r="DD490" s="147"/>
      <c r="DE490" s="147"/>
      <c r="DF490" s="145">
        <f>IF(ISERROR(VLOOKUP($A490,FIJOS!$B$11:$N$590,13,FALSE)),0,VLOOKUP($A490,FIJOS!$B$11:$N$590,13,FALSE))</f>
        <v>0</v>
      </c>
      <c r="DG490" s="145">
        <f>IF(ISERROR(VLOOKUP($A490,FIJOS!$B$11:$P$447,12,FALSE)),0,VLOOKUP($A490,FIJOS!$B$11:$P$447,12,FALSE))</f>
        <v>0</v>
      </c>
      <c r="DH490" s="82">
        <f t="shared" si="250"/>
        <v>0</v>
      </c>
      <c r="DI490" s="83" t="b">
        <f>IF($C490=1,(VLOOKUP($A490,FIJOS!$B$11:$P$545,10,FALSE)/7)*(7-$CU490),IF(AND($C490=2,CV490&lt;$DJ$1),(VLOOKUP($D490,HORAS!$B$4:$C$42,2,FALSE)*24)*$CV490,IF(AND($C490=2,CV490&gt;=$DJ$1),VLOOKUP($D490,HORAS!$B$4:$D$42,3,FALSE),IF(AND($C490=3,$CV490&gt;=$DJ$1),VLOOKUP($A490,FIJOS!$B$11:$P$545,10,FALSE),IF(AND($C490=3,$CV490&lt;$DJ$1),((VLOOKUP($A490,FIJOS!$B$11:$P$545,10,FALSE)/48)*24)*$CV490,IF(AND($C490=4,$CV490&gt;=(42/24)),VLOOKUP($D490,HORAS!$B$4:$D$42,3,FALSE),IF(AND($C490=5,$CV490&gt;=(36/24)),VLOOKUP($D490,HORAS!$B$4:$D$42,3,FALSE))))))))</f>
        <v>0</v>
      </c>
      <c r="DJ490" s="145">
        <f>IF(OR($C490=2),VLOOKUP($D490,HORAS!$B$4:$E$42,4,FALSE)*$EC490,IF(ISERROR(VLOOKUP($A490,FIJOS!$B$11:$P$108,9,FALSE)),0,VLOOKUP($A490,FIJOS!$B$11:$P$231,9,FALSE)*$EC490))</f>
        <v>0</v>
      </c>
      <c r="DK490" s="145">
        <f>IF(OR($C490=2),VLOOKUP($D490,HORAS!$B$4:$F$42,5,FALSE)*$EE490,IF(ISERROR(VLOOKUP($A490,FIJOS!$B$11:$P$108,9,FALSE)),0,VLOOKUP($A490,FIJOS!$B$11:$P$231,9,FALSE)*$EE490))</f>
        <v>0</v>
      </c>
      <c r="DL490" s="144"/>
      <c r="DM490" s="145">
        <f>IF(ISERROR(VLOOKUP($A490,FIJOS!$B$11:$L$646,11,FALSE)),0,VLOOKUP($A490,FIJOS!$B$11:$L$646,11,FALSE))</f>
        <v>0</v>
      </c>
      <c r="DN490" s="148" t="e">
        <f>IF(OR($C490=1,$C490=3),0,IF((VLOOKUP(CAPTURA!D490,HORAS!$B$4:$K$42,10,FALSE)/4)*COUNTIF($H490:$CT490,3)&gt;100,100,(VLOOKUP(CAPTURA!D490,HORAS!$B$4:$K$42,10,FALSE)/4)*COUNTIF($H490:$CT490,3)))</f>
        <v>#N/A</v>
      </c>
      <c r="DO490" s="144" t="e">
        <f>IF(OR($C490=1,$C490=3),0,IF($C490=5,VLOOKUP(D490,HORAS!$B$4:$G$42,6,FALSE),IF(AND($C490=4,$CV490&gt;=(42/24)),VLOOKUP(D490,HORAS!$B$4:$G$42,6,FALSE),IF(COUNTIF($H490:$CL490,"F")&gt;0,0,IF(CV490&gt;$DJ$1,$DJ$1*(VLOOKUP(D490,HORAS!$B$4:$G$42,6,FALSE)/$DJ$1),CV490*(VLOOKUP(D490,HORAS!$B$4:$G$42,6,FALSE)/$DJ$1))))))</f>
        <v>#N/A</v>
      </c>
      <c r="DP490" s="156"/>
      <c r="DQ490" s="148"/>
      <c r="DR490" s="148"/>
      <c r="DS490" s="83" t="e">
        <f t="shared" si="162"/>
        <v>#N/A</v>
      </c>
      <c r="DT490" s="84"/>
      <c r="DU490" s="149" t="e">
        <f t="shared" si="251"/>
        <v>#N/A</v>
      </c>
      <c r="DV490" s="149" t="e">
        <f t="shared" si="252"/>
        <v>#N/A</v>
      </c>
      <c r="DW490" s="144" t="e">
        <f t="shared" si="253"/>
        <v>#N/A</v>
      </c>
      <c r="DX490" s="168"/>
      <c r="DY490" s="29"/>
      <c r="DZ490" s="150"/>
      <c r="EA490" s="134"/>
      <c r="EB490" s="137">
        <f t="shared" si="254"/>
        <v>0</v>
      </c>
      <c r="EC490" s="138">
        <f t="shared" si="255"/>
        <v>0</v>
      </c>
      <c r="ED490" s="137">
        <f t="shared" si="256"/>
        <v>0</v>
      </c>
      <c r="EE490" s="132">
        <f t="shared" si="257"/>
        <v>0</v>
      </c>
      <c r="EF490" s="29"/>
      <c r="EG490" s="134"/>
      <c r="EH490" s="134"/>
      <c r="EI490" s="134"/>
      <c r="EK490" s="29"/>
    </row>
    <row r="491" spans="1:141" ht="15" customHeight="1" x14ac:dyDescent="0.25">
      <c r="A491" s="87"/>
      <c r="B491" s="5"/>
      <c r="C491" s="72"/>
      <c r="D491" s="73"/>
      <c r="E491" s="73"/>
      <c r="F491" s="141"/>
      <c r="G491" s="74"/>
      <c r="H491" s="75"/>
      <c r="I491" s="76"/>
      <c r="J491" s="135"/>
      <c r="K491" s="135"/>
      <c r="L491" s="77">
        <f t="shared" si="138"/>
        <v>0</v>
      </c>
      <c r="M491" s="78"/>
      <c r="N491" s="142"/>
      <c r="O491" s="142"/>
      <c r="P491" s="77">
        <f t="shared" si="139"/>
        <v>0</v>
      </c>
      <c r="Q491" s="78"/>
      <c r="R491" s="143"/>
      <c r="S491" s="143"/>
      <c r="T491" s="77">
        <f t="shared" si="140"/>
        <v>0</v>
      </c>
      <c r="U491" s="75"/>
      <c r="V491" s="76"/>
      <c r="W491" s="135"/>
      <c r="X491" s="135"/>
      <c r="Y491" s="77">
        <f t="shared" si="141"/>
        <v>0</v>
      </c>
      <c r="Z491" s="78"/>
      <c r="AA491" s="142"/>
      <c r="AB491" s="142"/>
      <c r="AC491" s="77">
        <f t="shared" si="142"/>
        <v>0</v>
      </c>
      <c r="AD491" s="78"/>
      <c r="AE491" s="143"/>
      <c r="AF491" s="143"/>
      <c r="AG491" s="79">
        <f t="shared" si="143"/>
        <v>0</v>
      </c>
      <c r="AH491" s="75"/>
      <c r="AI491" s="76"/>
      <c r="AJ491" s="135"/>
      <c r="AK491" s="135"/>
      <c r="AL491" s="77">
        <f t="shared" si="144"/>
        <v>0</v>
      </c>
      <c r="AM491" s="76"/>
      <c r="AN491" s="142"/>
      <c r="AO491" s="142"/>
      <c r="AP491" s="77">
        <f t="shared" si="145"/>
        <v>0</v>
      </c>
      <c r="AQ491" s="78"/>
      <c r="AR491" s="142"/>
      <c r="AS491" s="142"/>
      <c r="AT491" s="79">
        <f t="shared" si="146"/>
        <v>0</v>
      </c>
      <c r="AU491" s="75"/>
      <c r="AV491" s="76"/>
      <c r="AW491" s="135"/>
      <c r="AX491" s="135"/>
      <c r="AY491" s="77">
        <f t="shared" si="147"/>
        <v>0</v>
      </c>
      <c r="AZ491" s="76"/>
      <c r="BA491" s="142"/>
      <c r="BB491" s="142"/>
      <c r="BC491" s="77">
        <f t="shared" si="148"/>
        <v>0</v>
      </c>
      <c r="BD491" s="78"/>
      <c r="BE491" s="142"/>
      <c r="BF491" s="142"/>
      <c r="BG491" s="79">
        <f t="shared" si="149"/>
        <v>0</v>
      </c>
      <c r="BH491" s="75"/>
      <c r="BI491" s="76"/>
      <c r="BJ491" s="135"/>
      <c r="BK491" s="135"/>
      <c r="BL491" s="77">
        <f t="shared" si="150"/>
        <v>0</v>
      </c>
      <c r="BM491" s="78"/>
      <c r="BN491" s="142"/>
      <c r="BO491" s="142"/>
      <c r="BP491" s="77">
        <f t="shared" si="151"/>
        <v>0</v>
      </c>
      <c r="BQ491" s="78"/>
      <c r="BR491" s="142"/>
      <c r="BS491" s="142"/>
      <c r="BT491" s="79">
        <f t="shared" si="152"/>
        <v>0</v>
      </c>
      <c r="BU491" s="75"/>
      <c r="BV491" s="76"/>
      <c r="BW491" s="135"/>
      <c r="BX491" s="135"/>
      <c r="BY491" s="77">
        <f t="shared" si="153"/>
        <v>0</v>
      </c>
      <c r="BZ491" s="78"/>
      <c r="CA491" s="142"/>
      <c r="CB491" s="142"/>
      <c r="CC491" s="77">
        <f t="shared" si="154"/>
        <v>0</v>
      </c>
      <c r="CD491" s="78"/>
      <c r="CE491" s="142"/>
      <c r="CF491" s="142"/>
      <c r="CG491" s="79">
        <f t="shared" si="155"/>
        <v>0</v>
      </c>
      <c r="CH491" s="75"/>
      <c r="CI491" s="76"/>
      <c r="CJ491" s="86"/>
      <c r="CK491" s="86"/>
      <c r="CL491" s="77">
        <f t="shared" si="156"/>
        <v>0</v>
      </c>
      <c r="CM491" s="78"/>
      <c r="CN491" s="85"/>
      <c r="CO491" s="85"/>
      <c r="CP491" s="77">
        <f t="shared" si="157"/>
        <v>0</v>
      </c>
      <c r="CQ491" s="78"/>
      <c r="CR491" s="85"/>
      <c r="CS491" s="85"/>
      <c r="CT491" s="79">
        <f t="shared" si="158"/>
        <v>0</v>
      </c>
      <c r="CU491" s="80">
        <f t="shared" si="168"/>
        <v>0</v>
      </c>
      <c r="CV491" s="81">
        <f t="shared" si="169"/>
        <v>0</v>
      </c>
      <c r="CW491" s="144"/>
      <c r="CX491" s="145">
        <f>IF(ISERROR(VLOOKUP($A491,FIJOS!$B$11:$O$590,14,FALSE)),0,VLOOKUP($A491,FIJOS!$B$11:$O$590,14,FALSE))</f>
        <v>0</v>
      </c>
      <c r="CY491" s="145">
        <f>IF(ISERROR(VLOOKUP(A491,FIJOS!$B$10:$P$590,15,FALSE)),0,VLOOKUP(A491,FIJOS!$B$10:$P$590,15,FALSE))</f>
        <v>0</v>
      </c>
      <c r="CZ491" s="155"/>
      <c r="DA491" s="147"/>
      <c r="DB491" s="147"/>
      <c r="DC491" s="147"/>
      <c r="DD491" s="147"/>
      <c r="DE491" s="147"/>
      <c r="DF491" s="145">
        <f>IF(ISERROR(VLOOKUP($A491,FIJOS!$B$11:$N$590,13,FALSE)),0,VLOOKUP($A491,FIJOS!$B$11:$N$590,13,FALSE))</f>
        <v>0</v>
      </c>
      <c r="DG491" s="145">
        <f>IF(ISERROR(VLOOKUP($A491,FIJOS!$B$11:$P$447,12,FALSE)),0,VLOOKUP($A491,FIJOS!$B$11:$P$447,12,FALSE))</f>
        <v>0</v>
      </c>
      <c r="DH491" s="82">
        <f t="shared" si="250"/>
        <v>0</v>
      </c>
      <c r="DI491" s="83" t="b">
        <f>IF($C491=1,(VLOOKUP($A491,FIJOS!$B$11:$P$545,10,FALSE)/7)*(7-$CU491),IF(AND($C491=2,CV491&lt;$DJ$1),(VLOOKUP($D491,HORAS!$B$4:$C$42,2,FALSE)*24)*$CV491,IF(AND($C491=2,CV491&gt;=$DJ$1),VLOOKUP($D491,HORAS!$B$4:$D$42,3,FALSE),IF(AND($C491=3,$CV491&gt;=$DJ$1),VLOOKUP($A491,FIJOS!$B$11:$P$545,10,FALSE),IF(AND($C491=3,$CV491&lt;$DJ$1),((VLOOKUP($A491,FIJOS!$B$11:$P$545,10,FALSE)/48)*24)*$CV491,IF(AND($C491=4,$CV491&gt;=(42/24)),VLOOKUP($D491,HORAS!$B$4:$D$42,3,FALSE),IF(AND($C491=5,$CV491&gt;=(36/24)),VLOOKUP($D491,HORAS!$B$4:$D$42,3,FALSE))))))))</f>
        <v>0</v>
      </c>
      <c r="DJ491" s="145">
        <f>IF(OR($C491=2),VLOOKUP($D491,HORAS!$B$4:$E$42,4,FALSE)*$EC491,IF(ISERROR(VLOOKUP($A491,FIJOS!$B$11:$P$108,9,FALSE)),0,VLOOKUP($A491,FIJOS!$B$11:$P$231,9,FALSE)*$EC491))</f>
        <v>0</v>
      </c>
      <c r="DK491" s="145">
        <f>IF(OR($C491=2),VLOOKUP($D491,HORAS!$B$4:$F$42,5,FALSE)*$EE491,IF(ISERROR(VLOOKUP($A491,FIJOS!$B$11:$P$108,9,FALSE)),0,VLOOKUP($A491,FIJOS!$B$11:$P$231,9,FALSE)*$EE491))</f>
        <v>0</v>
      </c>
      <c r="DL491" s="144"/>
      <c r="DM491" s="145">
        <f>IF(ISERROR(VLOOKUP($A491,FIJOS!$B$11:$L$646,11,FALSE)),0,VLOOKUP($A491,FIJOS!$B$11:$L$646,11,FALSE))</f>
        <v>0</v>
      </c>
      <c r="DN491" s="148" t="e">
        <f>IF(OR($C491=1,$C491=3),0,IF((VLOOKUP(CAPTURA!D491,HORAS!$B$4:$K$42,10,FALSE)/4)*COUNTIF($H491:$CT491,3)&gt;100,100,(VLOOKUP(CAPTURA!D491,HORAS!$B$4:$K$42,10,FALSE)/4)*COUNTIF($H491:$CT491,3)))</f>
        <v>#N/A</v>
      </c>
      <c r="DO491" s="144" t="e">
        <f>IF(OR($C491=1,$C491=3),0,IF($C491=5,VLOOKUP(D491,HORAS!$B$4:$G$42,6,FALSE),IF(AND($C491=4,$CV491&gt;=(42/24)),VLOOKUP(D491,HORAS!$B$4:$G$42,6,FALSE),IF(COUNTIF($H491:$CL491,"F")&gt;0,0,IF(CV491&gt;$DJ$1,$DJ$1*(VLOOKUP(D491,HORAS!$B$4:$G$42,6,FALSE)/$DJ$1),CV491*(VLOOKUP(D491,HORAS!$B$4:$G$42,6,FALSE)/$DJ$1))))))</f>
        <v>#N/A</v>
      </c>
      <c r="DP491" s="156"/>
      <c r="DQ491" s="148"/>
      <c r="DR491" s="148"/>
      <c r="DS491" s="83" t="e">
        <f t="shared" si="162"/>
        <v>#N/A</v>
      </c>
      <c r="DT491" s="84"/>
      <c r="DU491" s="149" t="e">
        <f t="shared" si="251"/>
        <v>#N/A</v>
      </c>
      <c r="DV491" s="149" t="e">
        <f t="shared" si="252"/>
        <v>#N/A</v>
      </c>
      <c r="DW491" s="144" t="e">
        <f t="shared" si="253"/>
        <v>#N/A</v>
      </c>
      <c r="DX491" s="168"/>
      <c r="DY491" s="29"/>
      <c r="DZ491" s="150"/>
      <c r="EA491" s="134"/>
      <c r="EB491" s="137">
        <f t="shared" si="254"/>
        <v>0</v>
      </c>
      <c r="EC491" s="138">
        <f t="shared" si="255"/>
        <v>0</v>
      </c>
      <c r="ED491" s="137">
        <f t="shared" si="256"/>
        <v>0</v>
      </c>
      <c r="EE491" s="132">
        <f t="shared" si="257"/>
        <v>0</v>
      </c>
      <c r="EF491" s="29"/>
      <c r="EG491" s="134"/>
      <c r="EH491" s="134"/>
      <c r="EI491" s="134"/>
      <c r="EK491" s="29"/>
    </row>
    <row r="492" spans="1:141" ht="15" customHeight="1" x14ac:dyDescent="0.25">
      <c r="A492" s="87"/>
      <c r="B492" s="5"/>
      <c r="C492" s="72"/>
      <c r="D492" s="73"/>
      <c r="E492" s="73"/>
      <c r="F492" s="141"/>
      <c r="G492" s="74"/>
      <c r="H492" s="75"/>
      <c r="I492" s="76"/>
      <c r="J492" s="135"/>
      <c r="K492" s="135"/>
      <c r="L492" s="77">
        <f t="shared" si="138"/>
        <v>0</v>
      </c>
      <c r="M492" s="78"/>
      <c r="N492" s="142"/>
      <c r="O492" s="142"/>
      <c r="P492" s="77">
        <f t="shared" si="139"/>
        <v>0</v>
      </c>
      <c r="Q492" s="78"/>
      <c r="R492" s="143"/>
      <c r="S492" s="143"/>
      <c r="T492" s="77">
        <f t="shared" si="140"/>
        <v>0</v>
      </c>
      <c r="U492" s="75"/>
      <c r="V492" s="76"/>
      <c r="W492" s="135"/>
      <c r="X492" s="135"/>
      <c r="Y492" s="77">
        <f t="shared" si="141"/>
        <v>0</v>
      </c>
      <c r="Z492" s="78"/>
      <c r="AA492" s="142"/>
      <c r="AB492" s="142"/>
      <c r="AC492" s="77">
        <f t="shared" si="142"/>
        <v>0</v>
      </c>
      <c r="AD492" s="78"/>
      <c r="AE492" s="143"/>
      <c r="AF492" s="143"/>
      <c r="AG492" s="79">
        <f t="shared" si="143"/>
        <v>0</v>
      </c>
      <c r="AH492" s="75"/>
      <c r="AI492" s="76"/>
      <c r="AJ492" s="135"/>
      <c r="AK492" s="135"/>
      <c r="AL492" s="77">
        <f t="shared" si="144"/>
        <v>0</v>
      </c>
      <c r="AM492" s="76"/>
      <c r="AN492" s="142"/>
      <c r="AO492" s="142"/>
      <c r="AP492" s="77">
        <f t="shared" si="145"/>
        <v>0</v>
      </c>
      <c r="AQ492" s="78"/>
      <c r="AR492" s="142"/>
      <c r="AS492" s="142"/>
      <c r="AT492" s="79">
        <f t="shared" si="146"/>
        <v>0</v>
      </c>
      <c r="AU492" s="75"/>
      <c r="AV492" s="76"/>
      <c r="AW492" s="135"/>
      <c r="AX492" s="135"/>
      <c r="AY492" s="77">
        <f t="shared" si="147"/>
        <v>0</v>
      </c>
      <c r="AZ492" s="76"/>
      <c r="BA492" s="142"/>
      <c r="BB492" s="142"/>
      <c r="BC492" s="77">
        <f t="shared" si="148"/>
        <v>0</v>
      </c>
      <c r="BD492" s="78"/>
      <c r="BE492" s="142"/>
      <c r="BF492" s="142"/>
      <c r="BG492" s="79">
        <f t="shared" si="149"/>
        <v>0</v>
      </c>
      <c r="BH492" s="75"/>
      <c r="BI492" s="76"/>
      <c r="BJ492" s="135"/>
      <c r="BK492" s="135"/>
      <c r="BL492" s="77">
        <f t="shared" si="150"/>
        <v>0</v>
      </c>
      <c r="BM492" s="78"/>
      <c r="BN492" s="142"/>
      <c r="BO492" s="142"/>
      <c r="BP492" s="77">
        <f t="shared" si="151"/>
        <v>0</v>
      </c>
      <c r="BQ492" s="78"/>
      <c r="BR492" s="142"/>
      <c r="BS492" s="142"/>
      <c r="BT492" s="79">
        <f t="shared" si="152"/>
        <v>0</v>
      </c>
      <c r="BU492" s="75"/>
      <c r="BV492" s="76"/>
      <c r="BW492" s="135"/>
      <c r="BX492" s="135"/>
      <c r="BY492" s="77">
        <f t="shared" si="153"/>
        <v>0</v>
      </c>
      <c r="BZ492" s="78"/>
      <c r="CA492" s="142"/>
      <c r="CB492" s="142"/>
      <c r="CC492" s="77">
        <f t="shared" si="154"/>
        <v>0</v>
      </c>
      <c r="CD492" s="78"/>
      <c r="CE492" s="142"/>
      <c r="CF492" s="142"/>
      <c r="CG492" s="79">
        <f t="shared" si="155"/>
        <v>0</v>
      </c>
      <c r="CH492" s="75"/>
      <c r="CI492" s="76"/>
      <c r="CJ492" s="86"/>
      <c r="CK492" s="86"/>
      <c r="CL492" s="77">
        <f t="shared" si="156"/>
        <v>0</v>
      </c>
      <c r="CM492" s="78"/>
      <c r="CN492" s="85"/>
      <c r="CO492" s="85"/>
      <c r="CP492" s="77">
        <f t="shared" si="157"/>
        <v>0</v>
      </c>
      <c r="CQ492" s="78"/>
      <c r="CR492" s="85"/>
      <c r="CS492" s="85"/>
      <c r="CT492" s="79">
        <f t="shared" si="158"/>
        <v>0</v>
      </c>
      <c r="CU492" s="80">
        <f t="shared" si="168"/>
        <v>0</v>
      </c>
      <c r="CV492" s="81">
        <f t="shared" si="169"/>
        <v>0</v>
      </c>
      <c r="CW492" s="144"/>
      <c r="CX492" s="145">
        <f>IF(ISERROR(VLOOKUP($A492,FIJOS!$B$11:$O$590,14,FALSE)),0,VLOOKUP($A492,FIJOS!$B$11:$O$590,14,FALSE))</f>
        <v>0</v>
      </c>
      <c r="CY492" s="145">
        <f>IF(ISERROR(VLOOKUP(A492,FIJOS!$B$10:$P$590,15,FALSE)),0,VLOOKUP(A492,FIJOS!$B$10:$P$590,15,FALSE))</f>
        <v>0</v>
      </c>
      <c r="CZ492" s="155"/>
      <c r="DA492" s="147"/>
      <c r="DB492" s="147"/>
      <c r="DC492" s="147"/>
      <c r="DD492" s="147"/>
      <c r="DE492" s="147"/>
      <c r="DF492" s="145">
        <f>IF(ISERROR(VLOOKUP($A492,FIJOS!$B$11:$N$590,13,FALSE)),0,VLOOKUP($A492,FIJOS!$B$11:$N$590,13,FALSE))</f>
        <v>0</v>
      </c>
      <c r="DG492" s="145">
        <f>IF(ISERROR(VLOOKUP($A492,FIJOS!$B$11:$P$447,12,FALSE)),0,VLOOKUP($A492,FIJOS!$B$11:$P$447,12,FALSE))</f>
        <v>0</v>
      </c>
      <c r="DH492" s="82">
        <f t="shared" si="250"/>
        <v>0</v>
      </c>
      <c r="DI492" s="83" t="b">
        <f>IF($C492=1,(VLOOKUP($A492,FIJOS!$B$11:$P$545,10,FALSE)/7)*(7-$CU492),IF(AND($C492=2,CV492&lt;$DJ$1),(VLOOKUP($D492,HORAS!$B$4:$C$42,2,FALSE)*24)*$CV492,IF(AND($C492=2,CV492&gt;=$DJ$1),VLOOKUP($D492,HORAS!$B$4:$D$42,3,FALSE),IF(AND($C492=3,$CV492&gt;=$DJ$1),VLOOKUP($A492,FIJOS!$B$11:$P$545,10,FALSE),IF(AND($C492=3,$CV492&lt;$DJ$1),((VLOOKUP($A492,FIJOS!$B$11:$P$545,10,FALSE)/48)*24)*$CV492,IF(AND($C492=4,$CV492&gt;=(42/24)),VLOOKUP($D492,HORAS!$B$4:$D$42,3,FALSE),IF(AND($C492=5,$CV492&gt;=(36/24)),VLOOKUP($D492,HORAS!$B$4:$D$42,3,FALSE))))))))</f>
        <v>0</v>
      </c>
      <c r="DJ492" s="145">
        <f>IF(OR($C492=2),VLOOKUP($D492,HORAS!$B$4:$E$42,4,FALSE)*$EC492,IF(ISERROR(VLOOKUP($A492,FIJOS!$B$11:$P$108,9,FALSE)),0,VLOOKUP($A492,FIJOS!$B$11:$P$231,9,FALSE)*$EC492))</f>
        <v>0</v>
      </c>
      <c r="DK492" s="145">
        <f>IF(OR($C492=2),VLOOKUP($D492,HORAS!$B$4:$F$42,5,FALSE)*$EE492,IF(ISERROR(VLOOKUP($A492,FIJOS!$B$11:$P$108,9,FALSE)),0,VLOOKUP($A492,FIJOS!$B$11:$P$231,9,FALSE)*$EE492))</f>
        <v>0</v>
      </c>
      <c r="DL492" s="144"/>
      <c r="DM492" s="145">
        <f>IF(ISERROR(VLOOKUP($A492,FIJOS!$B$11:$L$646,11,FALSE)),0,VLOOKUP($A492,FIJOS!$B$11:$L$646,11,FALSE))</f>
        <v>0</v>
      </c>
      <c r="DN492" s="148" t="e">
        <f>IF(OR($C492=1,$C492=3),0,IF((VLOOKUP(CAPTURA!D492,HORAS!$B$4:$K$42,10,FALSE)/4)*COUNTIF($H492:$CT492,3)&gt;100,100,(VLOOKUP(CAPTURA!D492,HORAS!$B$4:$K$42,10,FALSE)/4)*COUNTIF($H492:$CT492,3)))</f>
        <v>#N/A</v>
      </c>
      <c r="DO492" s="144" t="e">
        <f>IF(OR($C492=1,$C492=3),0,IF($C492=5,VLOOKUP(D492,HORAS!$B$4:$G$42,6,FALSE),IF(AND($C492=4,$CV492&gt;=(42/24)),VLOOKUP(D492,HORAS!$B$4:$G$42,6,FALSE),IF(COUNTIF($H492:$CL492,"F")&gt;0,0,IF(CV492&gt;$DJ$1,$DJ$1*(VLOOKUP(D492,HORAS!$B$4:$G$42,6,FALSE)/$DJ$1),CV492*(VLOOKUP(D492,HORAS!$B$4:$G$42,6,FALSE)/$DJ$1))))))</f>
        <v>#N/A</v>
      </c>
      <c r="DP492" s="156"/>
      <c r="DQ492" s="148"/>
      <c r="DR492" s="148"/>
      <c r="DS492" s="83" t="e">
        <f t="shared" si="162"/>
        <v>#N/A</v>
      </c>
      <c r="DT492" s="84"/>
      <c r="DU492" s="149" t="e">
        <f t="shared" si="251"/>
        <v>#N/A</v>
      </c>
      <c r="DV492" s="149" t="e">
        <f t="shared" si="252"/>
        <v>#N/A</v>
      </c>
      <c r="DW492" s="144" t="e">
        <f t="shared" si="253"/>
        <v>#N/A</v>
      </c>
      <c r="DX492" s="168"/>
      <c r="DY492" s="29"/>
      <c r="DZ492" s="150"/>
      <c r="EA492" s="134"/>
      <c r="EB492" s="137">
        <f t="shared" si="254"/>
        <v>0</v>
      </c>
      <c r="EC492" s="138">
        <f t="shared" si="255"/>
        <v>0</v>
      </c>
      <c r="ED492" s="137">
        <f t="shared" si="256"/>
        <v>0</v>
      </c>
      <c r="EE492" s="132">
        <f t="shared" si="257"/>
        <v>0</v>
      </c>
      <c r="EF492" s="29"/>
      <c r="EG492" s="134"/>
      <c r="EH492" s="134"/>
      <c r="EI492" s="134"/>
      <c r="EK492" s="29"/>
    </row>
    <row r="493" spans="1:141" ht="15" customHeight="1" x14ac:dyDescent="0.25">
      <c r="A493" s="87"/>
      <c r="B493" s="5"/>
      <c r="C493" s="72"/>
      <c r="D493" s="73"/>
      <c r="E493" s="73"/>
      <c r="F493" s="141"/>
      <c r="G493" s="74"/>
      <c r="H493" s="75"/>
      <c r="I493" s="76"/>
      <c r="J493" s="135"/>
      <c r="K493" s="135"/>
      <c r="L493" s="77">
        <f t="shared" si="138"/>
        <v>0</v>
      </c>
      <c r="M493" s="78"/>
      <c r="N493" s="142"/>
      <c r="O493" s="142"/>
      <c r="P493" s="77">
        <f t="shared" si="139"/>
        <v>0</v>
      </c>
      <c r="Q493" s="78"/>
      <c r="R493" s="143"/>
      <c r="S493" s="143"/>
      <c r="T493" s="77">
        <f t="shared" si="140"/>
        <v>0</v>
      </c>
      <c r="U493" s="75"/>
      <c r="V493" s="76"/>
      <c r="W493" s="135"/>
      <c r="X493" s="135"/>
      <c r="Y493" s="77">
        <f t="shared" si="141"/>
        <v>0</v>
      </c>
      <c r="Z493" s="78"/>
      <c r="AA493" s="142"/>
      <c r="AB493" s="142"/>
      <c r="AC493" s="77">
        <f t="shared" si="142"/>
        <v>0</v>
      </c>
      <c r="AD493" s="78"/>
      <c r="AE493" s="143"/>
      <c r="AF493" s="143"/>
      <c r="AG493" s="79">
        <f t="shared" si="143"/>
        <v>0</v>
      </c>
      <c r="AH493" s="75"/>
      <c r="AI493" s="76"/>
      <c r="AJ493" s="135"/>
      <c r="AK493" s="135"/>
      <c r="AL493" s="77">
        <f t="shared" si="144"/>
        <v>0</v>
      </c>
      <c r="AM493" s="76"/>
      <c r="AN493" s="142"/>
      <c r="AO493" s="142"/>
      <c r="AP493" s="77">
        <f t="shared" si="145"/>
        <v>0</v>
      </c>
      <c r="AQ493" s="78"/>
      <c r="AR493" s="142"/>
      <c r="AS493" s="142"/>
      <c r="AT493" s="79">
        <f t="shared" si="146"/>
        <v>0</v>
      </c>
      <c r="AU493" s="75"/>
      <c r="AV493" s="76"/>
      <c r="AW493" s="135"/>
      <c r="AX493" s="135"/>
      <c r="AY493" s="77">
        <f t="shared" si="147"/>
        <v>0</v>
      </c>
      <c r="AZ493" s="76"/>
      <c r="BA493" s="142"/>
      <c r="BB493" s="142"/>
      <c r="BC493" s="77">
        <f t="shared" si="148"/>
        <v>0</v>
      </c>
      <c r="BD493" s="78"/>
      <c r="BE493" s="142"/>
      <c r="BF493" s="142"/>
      <c r="BG493" s="79">
        <f t="shared" si="149"/>
        <v>0</v>
      </c>
      <c r="BH493" s="75"/>
      <c r="BI493" s="76"/>
      <c r="BJ493" s="135"/>
      <c r="BK493" s="135"/>
      <c r="BL493" s="77">
        <f t="shared" si="150"/>
        <v>0</v>
      </c>
      <c r="BM493" s="78"/>
      <c r="BN493" s="142"/>
      <c r="BO493" s="142"/>
      <c r="BP493" s="77">
        <f t="shared" si="151"/>
        <v>0</v>
      </c>
      <c r="BQ493" s="78"/>
      <c r="BR493" s="142"/>
      <c r="BS493" s="142"/>
      <c r="BT493" s="79">
        <f t="shared" si="152"/>
        <v>0</v>
      </c>
      <c r="BU493" s="75"/>
      <c r="BV493" s="76"/>
      <c r="BW493" s="135"/>
      <c r="BX493" s="135"/>
      <c r="BY493" s="77">
        <f t="shared" si="153"/>
        <v>0</v>
      </c>
      <c r="BZ493" s="78"/>
      <c r="CA493" s="142"/>
      <c r="CB493" s="142"/>
      <c r="CC493" s="77">
        <f t="shared" si="154"/>
        <v>0</v>
      </c>
      <c r="CD493" s="78"/>
      <c r="CE493" s="142"/>
      <c r="CF493" s="142"/>
      <c r="CG493" s="79">
        <f t="shared" si="155"/>
        <v>0</v>
      </c>
      <c r="CH493" s="75"/>
      <c r="CI493" s="76"/>
      <c r="CJ493" s="86"/>
      <c r="CK493" s="86"/>
      <c r="CL493" s="77">
        <f t="shared" si="156"/>
        <v>0</v>
      </c>
      <c r="CM493" s="78"/>
      <c r="CN493" s="85"/>
      <c r="CO493" s="85"/>
      <c r="CP493" s="77">
        <f t="shared" si="157"/>
        <v>0</v>
      </c>
      <c r="CQ493" s="78"/>
      <c r="CR493" s="85"/>
      <c r="CS493" s="85"/>
      <c r="CT493" s="79">
        <f t="shared" si="158"/>
        <v>0</v>
      </c>
      <c r="CU493" s="80">
        <f t="shared" si="168"/>
        <v>0</v>
      </c>
      <c r="CV493" s="81">
        <f t="shared" si="169"/>
        <v>0</v>
      </c>
      <c r="CW493" s="144"/>
      <c r="CX493" s="145">
        <f>IF(ISERROR(VLOOKUP($A493,FIJOS!$B$11:$O$590,14,FALSE)),0,VLOOKUP($A493,FIJOS!$B$11:$O$590,14,FALSE))</f>
        <v>0</v>
      </c>
      <c r="CY493" s="145">
        <f>IF(ISERROR(VLOOKUP(A493,FIJOS!$B$10:$P$590,15,FALSE)),0,VLOOKUP(A493,FIJOS!$B$10:$P$590,15,FALSE))</f>
        <v>0</v>
      </c>
      <c r="CZ493" s="155"/>
      <c r="DA493" s="147"/>
      <c r="DB493" s="147"/>
      <c r="DC493" s="147"/>
      <c r="DD493" s="147"/>
      <c r="DE493" s="147"/>
      <c r="DF493" s="145">
        <f>IF(ISERROR(VLOOKUP($A493,FIJOS!$B$11:$N$590,13,FALSE)),0,VLOOKUP($A493,FIJOS!$B$11:$N$590,13,FALSE))</f>
        <v>0</v>
      </c>
      <c r="DG493" s="145">
        <f>IF(ISERROR(VLOOKUP($A493,FIJOS!$B$11:$P$447,12,FALSE)),0,VLOOKUP($A493,FIJOS!$B$11:$P$447,12,FALSE))</f>
        <v>0</v>
      </c>
      <c r="DH493" s="82">
        <f t="shared" si="250"/>
        <v>0</v>
      </c>
      <c r="DI493" s="83" t="b">
        <f>IF($C493=1,(VLOOKUP($A493,FIJOS!$B$11:$P$545,10,FALSE)/7)*(7-$CU493),IF(AND($C493=2,CV493&lt;$DJ$1),(VLOOKUP($D493,HORAS!$B$4:$C$42,2,FALSE)*24)*$CV493,IF(AND($C493=2,CV493&gt;=$DJ$1),VLOOKUP($D493,HORAS!$B$4:$D$42,3,FALSE),IF(AND($C493=3,$CV493&gt;=$DJ$1),VLOOKUP($A493,FIJOS!$B$11:$P$545,10,FALSE),IF(AND($C493=3,$CV493&lt;$DJ$1),((VLOOKUP($A493,FIJOS!$B$11:$P$545,10,FALSE)/48)*24)*$CV493,IF(AND($C493=4,$CV493&gt;=(42/24)),VLOOKUP($D493,HORAS!$B$4:$D$42,3,FALSE),IF(AND($C493=5,$CV493&gt;=(36/24)),VLOOKUP($D493,HORAS!$B$4:$D$42,3,FALSE))))))))</f>
        <v>0</v>
      </c>
      <c r="DJ493" s="145">
        <f>IF(OR($C493=2),VLOOKUP($D493,HORAS!$B$4:$E$42,4,FALSE)*$EC493,IF(ISERROR(VLOOKUP($A493,FIJOS!$B$11:$P$108,9,FALSE)),0,VLOOKUP($A493,FIJOS!$B$11:$P$231,9,FALSE)*$EC493))</f>
        <v>0</v>
      </c>
      <c r="DK493" s="145">
        <f>IF(OR($C493=2),VLOOKUP($D493,HORAS!$B$4:$F$42,5,FALSE)*$EE493,IF(ISERROR(VLOOKUP($A493,FIJOS!$B$11:$P$108,9,FALSE)),0,VLOOKUP($A493,FIJOS!$B$11:$P$231,9,FALSE)*$EE493))</f>
        <v>0</v>
      </c>
      <c r="DL493" s="144"/>
      <c r="DM493" s="145">
        <f>IF(ISERROR(VLOOKUP($A493,FIJOS!$B$11:$L$646,11,FALSE)),0,VLOOKUP($A493,FIJOS!$B$11:$L$646,11,FALSE))</f>
        <v>0</v>
      </c>
      <c r="DN493" s="148" t="e">
        <f>IF(OR($C493=1,$C493=3),0,IF((VLOOKUP(CAPTURA!D493,HORAS!$B$4:$K$42,10,FALSE)/4)*COUNTIF($H493:$CT493,3)&gt;100,100,(VLOOKUP(CAPTURA!D493,HORAS!$B$4:$K$42,10,FALSE)/4)*COUNTIF($H493:$CT493,3)))</f>
        <v>#N/A</v>
      </c>
      <c r="DO493" s="144" t="e">
        <f>IF(OR($C493=1,$C493=3),0,IF($C493=5,VLOOKUP(D493,HORAS!$B$4:$G$42,6,FALSE),IF(AND($C493=4,$CV493&gt;=(42/24)),VLOOKUP(D493,HORAS!$B$4:$G$42,6,FALSE),IF(COUNTIF($H493:$CL493,"F")&gt;0,0,IF(CV493&gt;$DJ$1,$DJ$1*(VLOOKUP(D493,HORAS!$B$4:$G$42,6,FALSE)/$DJ$1),CV493*(VLOOKUP(D493,HORAS!$B$4:$G$42,6,FALSE)/$DJ$1))))))</f>
        <v>#N/A</v>
      </c>
      <c r="DP493" s="156"/>
      <c r="DQ493" s="148"/>
      <c r="DR493" s="148"/>
      <c r="DS493" s="83" t="e">
        <f t="shared" si="162"/>
        <v>#N/A</v>
      </c>
      <c r="DT493" s="84"/>
      <c r="DU493" s="149" t="e">
        <f t="shared" si="251"/>
        <v>#N/A</v>
      </c>
      <c r="DV493" s="149" t="e">
        <f t="shared" si="252"/>
        <v>#N/A</v>
      </c>
      <c r="DW493" s="144" t="e">
        <f t="shared" si="253"/>
        <v>#N/A</v>
      </c>
      <c r="DX493" s="168"/>
      <c r="DY493" s="29"/>
      <c r="DZ493" s="150"/>
      <c r="EA493" s="134"/>
      <c r="EB493" s="137">
        <f t="shared" si="254"/>
        <v>0</v>
      </c>
      <c r="EC493" s="138">
        <f t="shared" si="255"/>
        <v>0</v>
      </c>
      <c r="ED493" s="137">
        <f t="shared" si="256"/>
        <v>0</v>
      </c>
      <c r="EE493" s="132">
        <f t="shared" si="257"/>
        <v>0</v>
      </c>
      <c r="EF493" s="29"/>
      <c r="EG493" s="134"/>
      <c r="EH493" s="134"/>
      <c r="EI493" s="134"/>
      <c r="EK493" s="29"/>
    </row>
    <row r="494" spans="1:141" ht="15" customHeight="1" x14ac:dyDescent="0.25">
      <c r="A494" s="87"/>
      <c r="B494" s="5"/>
      <c r="C494" s="72"/>
      <c r="D494" s="73"/>
      <c r="E494" s="73"/>
      <c r="F494" s="141"/>
      <c r="G494" s="74"/>
      <c r="H494" s="75"/>
      <c r="I494" s="76"/>
      <c r="J494" s="135"/>
      <c r="K494" s="135"/>
      <c r="L494" s="77">
        <f t="shared" si="138"/>
        <v>0</v>
      </c>
      <c r="M494" s="78"/>
      <c r="N494" s="142"/>
      <c r="O494" s="142"/>
      <c r="P494" s="77">
        <f t="shared" si="139"/>
        <v>0</v>
      </c>
      <c r="Q494" s="78"/>
      <c r="R494" s="143"/>
      <c r="S494" s="143"/>
      <c r="T494" s="77">
        <f t="shared" si="140"/>
        <v>0</v>
      </c>
      <c r="U494" s="75"/>
      <c r="V494" s="76"/>
      <c r="W494" s="135"/>
      <c r="X494" s="135"/>
      <c r="Y494" s="77">
        <f t="shared" si="141"/>
        <v>0</v>
      </c>
      <c r="Z494" s="78"/>
      <c r="AA494" s="142"/>
      <c r="AB494" s="142"/>
      <c r="AC494" s="77">
        <f t="shared" si="142"/>
        <v>0</v>
      </c>
      <c r="AD494" s="78"/>
      <c r="AE494" s="143"/>
      <c r="AF494" s="143"/>
      <c r="AG494" s="79">
        <f t="shared" si="143"/>
        <v>0</v>
      </c>
      <c r="AH494" s="75"/>
      <c r="AI494" s="76"/>
      <c r="AJ494" s="135"/>
      <c r="AK494" s="135"/>
      <c r="AL494" s="77">
        <f t="shared" si="144"/>
        <v>0</v>
      </c>
      <c r="AM494" s="76"/>
      <c r="AN494" s="142"/>
      <c r="AO494" s="142"/>
      <c r="AP494" s="77">
        <f t="shared" si="145"/>
        <v>0</v>
      </c>
      <c r="AQ494" s="78"/>
      <c r="AR494" s="142"/>
      <c r="AS494" s="142"/>
      <c r="AT494" s="79">
        <f t="shared" si="146"/>
        <v>0</v>
      </c>
      <c r="AU494" s="75"/>
      <c r="AV494" s="76"/>
      <c r="AW494" s="135"/>
      <c r="AX494" s="135"/>
      <c r="AY494" s="77">
        <f t="shared" si="147"/>
        <v>0</v>
      </c>
      <c r="AZ494" s="76"/>
      <c r="BA494" s="142"/>
      <c r="BB494" s="142"/>
      <c r="BC494" s="77">
        <f t="shared" si="148"/>
        <v>0</v>
      </c>
      <c r="BD494" s="78"/>
      <c r="BE494" s="142"/>
      <c r="BF494" s="142"/>
      <c r="BG494" s="79">
        <f t="shared" si="149"/>
        <v>0</v>
      </c>
      <c r="BH494" s="75"/>
      <c r="BI494" s="76"/>
      <c r="BJ494" s="135"/>
      <c r="BK494" s="135"/>
      <c r="BL494" s="77">
        <f t="shared" si="150"/>
        <v>0</v>
      </c>
      <c r="BM494" s="78"/>
      <c r="BN494" s="142"/>
      <c r="BO494" s="142"/>
      <c r="BP494" s="77">
        <f t="shared" si="151"/>
        <v>0</v>
      </c>
      <c r="BQ494" s="78"/>
      <c r="BR494" s="142"/>
      <c r="BS494" s="142"/>
      <c r="BT494" s="79">
        <f t="shared" si="152"/>
        <v>0</v>
      </c>
      <c r="BU494" s="75"/>
      <c r="BV494" s="76"/>
      <c r="BW494" s="135"/>
      <c r="BX494" s="135"/>
      <c r="BY494" s="77">
        <f t="shared" si="153"/>
        <v>0</v>
      </c>
      <c r="BZ494" s="78"/>
      <c r="CA494" s="142"/>
      <c r="CB494" s="142"/>
      <c r="CC494" s="77">
        <f t="shared" si="154"/>
        <v>0</v>
      </c>
      <c r="CD494" s="78"/>
      <c r="CE494" s="142"/>
      <c r="CF494" s="142"/>
      <c r="CG494" s="79">
        <f t="shared" si="155"/>
        <v>0</v>
      </c>
      <c r="CH494" s="75"/>
      <c r="CI494" s="76"/>
      <c r="CJ494" s="86"/>
      <c r="CK494" s="86"/>
      <c r="CL494" s="77">
        <f t="shared" si="156"/>
        <v>0</v>
      </c>
      <c r="CM494" s="78"/>
      <c r="CN494" s="85"/>
      <c r="CO494" s="85"/>
      <c r="CP494" s="77">
        <f t="shared" si="157"/>
        <v>0</v>
      </c>
      <c r="CQ494" s="78"/>
      <c r="CR494" s="85"/>
      <c r="CS494" s="85"/>
      <c r="CT494" s="79">
        <f t="shared" si="158"/>
        <v>0</v>
      </c>
      <c r="CU494" s="80">
        <f t="shared" si="168"/>
        <v>0</v>
      </c>
      <c r="CV494" s="81">
        <f t="shared" si="169"/>
        <v>0</v>
      </c>
      <c r="CW494" s="144"/>
      <c r="CX494" s="145">
        <f>IF(ISERROR(VLOOKUP($A494,FIJOS!$B$11:$O$590,14,FALSE)),0,VLOOKUP($A494,FIJOS!$B$11:$O$590,14,FALSE))</f>
        <v>0</v>
      </c>
      <c r="CY494" s="145">
        <f>IF(ISERROR(VLOOKUP(A494,FIJOS!$B$10:$P$590,15,FALSE)),0,VLOOKUP(A494,FIJOS!$B$10:$P$590,15,FALSE))</f>
        <v>0</v>
      </c>
      <c r="CZ494" s="155"/>
      <c r="DA494" s="147"/>
      <c r="DB494" s="147"/>
      <c r="DC494" s="147"/>
      <c r="DD494" s="147"/>
      <c r="DE494" s="147"/>
      <c r="DF494" s="145">
        <f>IF(ISERROR(VLOOKUP($A494,FIJOS!$B$11:$N$590,13,FALSE)),0,VLOOKUP($A494,FIJOS!$B$11:$N$590,13,FALSE))</f>
        <v>0</v>
      </c>
      <c r="DG494" s="145">
        <f>IF(ISERROR(VLOOKUP($A494,FIJOS!$B$11:$P$447,12,FALSE)),0,VLOOKUP($A494,FIJOS!$B$11:$P$447,12,FALSE))</f>
        <v>0</v>
      </c>
      <c r="DH494" s="82">
        <f t="shared" si="250"/>
        <v>0</v>
      </c>
      <c r="DI494" s="83" t="b">
        <f>IF($C494=1,(VLOOKUP($A494,FIJOS!$B$11:$P$545,10,FALSE)/7)*(7-$CU494),IF(AND($C494=2,CV494&lt;$DJ$1),(VLOOKUP($D494,HORAS!$B$4:$C$42,2,FALSE)*24)*$CV494,IF(AND($C494=2,CV494&gt;=$DJ$1),VLOOKUP($D494,HORAS!$B$4:$D$42,3,FALSE),IF(AND($C494=3,$CV494&gt;=$DJ$1),VLOOKUP($A494,FIJOS!$B$11:$P$545,10,FALSE),IF(AND($C494=3,$CV494&lt;$DJ$1),((VLOOKUP($A494,FIJOS!$B$11:$P$545,10,FALSE)/48)*24)*$CV494,IF(AND($C494=4,$CV494&gt;=(42/24)),VLOOKUP($D494,HORAS!$B$4:$D$42,3,FALSE),IF(AND($C494=5,$CV494&gt;=(36/24)),VLOOKUP($D494,HORAS!$B$4:$D$42,3,FALSE))))))))</f>
        <v>0</v>
      </c>
      <c r="DJ494" s="145">
        <f>IF(OR($C494=2),VLOOKUP($D494,HORAS!$B$4:$E$42,4,FALSE)*$EC494,IF(ISERROR(VLOOKUP($A494,FIJOS!$B$11:$P$108,9,FALSE)),0,VLOOKUP($A494,FIJOS!$B$11:$P$231,9,FALSE)*$EC494))</f>
        <v>0</v>
      </c>
      <c r="DK494" s="145">
        <f>IF(OR($C494=2),VLOOKUP($D494,HORAS!$B$4:$F$42,5,FALSE)*$EE494,IF(ISERROR(VLOOKUP($A494,FIJOS!$B$11:$P$108,9,FALSE)),0,VLOOKUP($A494,FIJOS!$B$11:$P$231,9,FALSE)*$EE494))</f>
        <v>0</v>
      </c>
      <c r="DL494" s="144"/>
      <c r="DM494" s="145">
        <f>IF(ISERROR(VLOOKUP($A494,FIJOS!$B$11:$L$646,11,FALSE)),0,VLOOKUP($A494,FIJOS!$B$11:$L$646,11,FALSE))</f>
        <v>0</v>
      </c>
      <c r="DN494" s="148" t="e">
        <f>IF(OR($C494=1,$C494=3),0,IF((VLOOKUP(CAPTURA!D494,HORAS!$B$4:$K$42,10,FALSE)/4)*COUNTIF($H494:$CT494,3)&gt;100,100,(VLOOKUP(CAPTURA!D494,HORAS!$B$4:$K$42,10,FALSE)/4)*COUNTIF($H494:$CT494,3)))</f>
        <v>#N/A</v>
      </c>
      <c r="DO494" s="144" t="e">
        <f>IF(OR($C494=1,$C494=3),0,IF($C494=5,VLOOKUP(D494,HORAS!$B$4:$G$42,6,FALSE),IF(AND($C494=4,$CV494&gt;=(42/24)),VLOOKUP(D494,HORAS!$B$4:$G$42,6,FALSE),IF(COUNTIF($H494:$CL494,"F")&gt;0,0,IF(CV494&gt;$DJ$1,$DJ$1*(VLOOKUP(D494,HORAS!$B$4:$G$42,6,FALSE)/$DJ$1),CV494*(VLOOKUP(D494,HORAS!$B$4:$G$42,6,FALSE)/$DJ$1))))))</f>
        <v>#N/A</v>
      </c>
      <c r="DP494" s="156"/>
      <c r="DQ494" s="148"/>
      <c r="DR494" s="148"/>
      <c r="DS494" s="83" t="e">
        <f t="shared" si="162"/>
        <v>#N/A</v>
      </c>
      <c r="DT494" s="84"/>
      <c r="DU494" s="149" t="e">
        <f t="shared" si="251"/>
        <v>#N/A</v>
      </c>
      <c r="DV494" s="149" t="e">
        <f t="shared" si="252"/>
        <v>#N/A</v>
      </c>
      <c r="DW494" s="144" t="e">
        <f t="shared" si="253"/>
        <v>#N/A</v>
      </c>
      <c r="DX494" s="168"/>
      <c r="DY494" s="29"/>
      <c r="DZ494" s="150"/>
      <c r="EA494" s="134"/>
      <c r="EB494" s="137">
        <f t="shared" si="254"/>
        <v>0</v>
      </c>
      <c r="EC494" s="138">
        <f t="shared" si="255"/>
        <v>0</v>
      </c>
      <c r="ED494" s="137">
        <f t="shared" si="256"/>
        <v>0</v>
      </c>
      <c r="EE494" s="132">
        <f t="shared" si="257"/>
        <v>0</v>
      </c>
      <c r="EF494" s="29"/>
      <c r="EG494" s="134"/>
      <c r="EH494" s="134"/>
      <c r="EI494" s="134"/>
      <c r="EK494" s="29"/>
    </row>
    <row r="495" spans="1:141" ht="15" customHeight="1" x14ac:dyDescent="0.25">
      <c r="A495" s="87"/>
      <c r="B495" s="5"/>
      <c r="C495" s="72"/>
      <c r="D495" s="73"/>
      <c r="E495" s="73"/>
      <c r="F495" s="141"/>
      <c r="G495" s="74"/>
      <c r="H495" s="75"/>
      <c r="I495" s="76"/>
      <c r="J495" s="135"/>
      <c r="K495" s="135"/>
      <c r="L495" s="77">
        <f t="shared" si="138"/>
        <v>0</v>
      </c>
      <c r="M495" s="78"/>
      <c r="N495" s="142"/>
      <c r="O495" s="142"/>
      <c r="P495" s="77">
        <f t="shared" si="139"/>
        <v>0</v>
      </c>
      <c r="Q495" s="78"/>
      <c r="R495" s="143"/>
      <c r="S495" s="143"/>
      <c r="T495" s="77">
        <f t="shared" si="140"/>
        <v>0</v>
      </c>
      <c r="U495" s="75"/>
      <c r="V495" s="76"/>
      <c r="W495" s="135"/>
      <c r="X495" s="135"/>
      <c r="Y495" s="77">
        <f t="shared" si="141"/>
        <v>0</v>
      </c>
      <c r="Z495" s="78"/>
      <c r="AA495" s="142"/>
      <c r="AB495" s="142"/>
      <c r="AC495" s="77">
        <f t="shared" si="142"/>
        <v>0</v>
      </c>
      <c r="AD495" s="78"/>
      <c r="AE495" s="143"/>
      <c r="AF495" s="143"/>
      <c r="AG495" s="79">
        <f t="shared" si="143"/>
        <v>0</v>
      </c>
      <c r="AH495" s="75"/>
      <c r="AI495" s="76"/>
      <c r="AJ495" s="135"/>
      <c r="AK495" s="135"/>
      <c r="AL495" s="77">
        <f t="shared" si="144"/>
        <v>0</v>
      </c>
      <c r="AM495" s="76"/>
      <c r="AN495" s="142"/>
      <c r="AO495" s="142"/>
      <c r="AP495" s="77">
        <f t="shared" si="145"/>
        <v>0</v>
      </c>
      <c r="AQ495" s="78"/>
      <c r="AR495" s="142"/>
      <c r="AS495" s="142"/>
      <c r="AT495" s="79">
        <f t="shared" si="146"/>
        <v>0</v>
      </c>
      <c r="AU495" s="75"/>
      <c r="AV495" s="76"/>
      <c r="AW495" s="135"/>
      <c r="AX495" s="135"/>
      <c r="AY495" s="77">
        <f t="shared" si="147"/>
        <v>0</v>
      </c>
      <c r="AZ495" s="76"/>
      <c r="BA495" s="142"/>
      <c r="BB495" s="142"/>
      <c r="BC495" s="77">
        <f t="shared" si="148"/>
        <v>0</v>
      </c>
      <c r="BD495" s="78"/>
      <c r="BE495" s="142"/>
      <c r="BF495" s="142"/>
      <c r="BG495" s="79">
        <f t="shared" si="149"/>
        <v>0</v>
      </c>
      <c r="BH495" s="75"/>
      <c r="BI495" s="76"/>
      <c r="BJ495" s="135"/>
      <c r="BK495" s="135"/>
      <c r="BL495" s="77">
        <f t="shared" si="150"/>
        <v>0</v>
      </c>
      <c r="BM495" s="78"/>
      <c r="BN495" s="142"/>
      <c r="BO495" s="142"/>
      <c r="BP495" s="77">
        <f t="shared" si="151"/>
        <v>0</v>
      </c>
      <c r="BQ495" s="78"/>
      <c r="BR495" s="142"/>
      <c r="BS495" s="142"/>
      <c r="BT495" s="79">
        <f t="shared" si="152"/>
        <v>0</v>
      </c>
      <c r="BU495" s="75"/>
      <c r="BV495" s="76"/>
      <c r="BW495" s="135"/>
      <c r="BX495" s="135"/>
      <c r="BY495" s="77">
        <f t="shared" si="153"/>
        <v>0</v>
      </c>
      <c r="BZ495" s="78"/>
      <c r="CA495" s="142"/>
      <c r="CB495" s="142"/>
      <c r="CC495" s="77">
        <f t="shared" si="154"/>
        <v>0</v>
      </c>
      <c r="CD495" s="78"/>
      <c r="CE495" s="142"/>
      <c r="CF495" s="142"/>
      <c r="CG495" s="79">
        <f t="shared" si="155"/>
        <v>0</v>
      </c>
      <c r="CH495" s="75"/>
      <c r="CI495" s="76"/>
      <c r="CJ495" s="86"/>
      <c r="CK495" s="86"/>
      <c r="CL495" s="77">
        <f t="shared" si="156"/>
        <v>0</v>
      </c>
      <c r="CM495" s="78"/>
      <c r="CN495" s="85"/>
      <c r="CO495" s="85"/>
      <c r="CP495" s="77">
        <f t="shared" si="157"/>
        <v>0</v>
      </c>
      <c r="CQ495" s="78"/>
      <c r="CR495" s="85"/>
      <c r="CS495" s="85"/>
      <c r="CT495" s="79">
        <f t="shared" si="158"/>
        <v>0</v>
      </c>
      <c r="CU495" s="80">
        <f t="shared" si="168"/>
        <v>0</v>
      </c>
      <c r="CV495" s="81">
        <f t="shared" si="169"/>
        <v>0</v>
      </c>
      <c r="CW495" s="144"/>
      <c r="CX495" s="145">
        <f>IF(ISERROR(VLOOKUP($A495,FIJOS!$B$11:$O$590,14,FALSE)),0,VLOOKUP($A495,FIJOS!$B$11:$O$590,14,FALSE))</f>
        <v>0</v>
      </c>
      <c r="CY495" s="145">
        <f>IF(ISERROR(VLOOKUP(A495,FIJOS!$B$10:$P$590,15,FALSE)),0,VLOOKUP(A495,FIJOS!$B$10:$P$590,15,FALSE))</f>
        <v>0</v>
      </c>
      <c r="CZ495" s="155"/>
      <c r="DA495" s="147"/>
      <c r="DB495" s="147"/>
      <c r="DC495" s="147"/>
      <c r="DD495" s="147"/>
      <c r="DE495" s="147"/>
      <c r="DF495" s="145">
        <f>IF(ISERROR(VLOOKUP($A495,FIJOS!$B$11:$N$590,13,FALSE)),0,VLOOKUP($A495,FIJOS!$B$11:$N$590,13,FALSE))</f>
        <v>0</v>
      </c>
      <c r="DG495" s="145">
        <f>IF(ISERROR(VLOOKUP($A495,FIJOS!$B$11:$P$447,12,FALSE)),0,VLOOKUP($A495,FIJOS!$B$11:$P$447,12,FALSE))</f>
        <v>0</v>
      </c>
      <c r="DH495" s="82">
        <f t="shared" si="250"/>
        <v>0</v>
      </c>
      <c r="DI495" s="83" t="b">
        <f>IF($C495=1,(VLOOKUP($A495,FIJOS!$B$11:$P$545,10,FALSE)/7)*(7-$CU495),IF(AND($C495=2,CV495&lt;$DJ$1),(VLOOKUP($D495,HORAS!$B$4:$C$42,2,FALSE)*24)*$CV495,IF(AND($C495=2,CV495&gt;=$DJ$1),VLOOKUP($D495,HORAS!$B$4:$D$42,3,FALSE),IF(AND($C495=3,$CV495&gt;=$DJ$1),VLOOKUP($A495,FIJOS!$B$11:$P$545,10,FALSE),IF(AND($C495=3,$CV495&lt;$DJ$1),((VLOOKUP($A495,FIJOS!$B$11:$P$545,10,FALSE)/48)*24)*$CV495,IF(AND($C495=4,$CV495&gt;=(42/24)),VLOOKUP($D495,HORAS!$B$4:$D$42,3,FALSE),IF(AND($C495=5,$CV495&gt;=(36/24)),VLOOKUP($D495,HORAS!$B$4:$D$42,3,FALSE))))))))</f>
        <v>0</v>
      </c>
      <c r="DJ495" s="145">
        <f>IF(OR($C495=2),VLOOKUP($D495,HORAS!$B$4:$E$42,4,FALSE)*$EC495,IF(ISERROR(VLOOKUP($A495,FIJOS!$B$11:$P$108,9,FALSE)),0,VLOOKUP($A495,FIJOS!$B$11:$P$231,9,FALSE)*$EC495))</f>
        <v>0</v>
      </c>
      <c r="DK495" s="145">
        <f>IF(OR($C495=2),VLOOKUP($D495,HORAS!$B$4:$F$42,5,FALSE)*$EE495,IF(ISERROR(VLOOKUP($A495,FIJOS!$B$11:$P$108,9,FALSE)),0,VLOOKUP($A495,FIJOS!$B$11:$P$231,9,FALSE)*$EE495))</f>
        <v>0</v>
      </c>
      <c r="DL495" s="144"/>
      <c r="DM495" s="145">
        <f>IF(ISERROR(VLOOKUP($A495,FIJOS!$B$11:$L$646,11,FALSE)),0,VLOOKUP($A495,FIJOS!$B$11:$L$646,11,FALSE))</f>
        <v>0</v>
      </c>
      <c r="DN495" s="148" t="e">
        <f>IF(OR($C495=1,$C495=3),0,IF((VLOOKUP(CAPTURA!D495,HORAS!$B$4:$K$42,10,FALSE)/4)*COUNTIF($H495:$CT495,3)&gt;100,100,(VLOOKUP(CAPTURA!D495,HORAS!$B$4:$K$42,10,FALSE)/4)*COUNTIF($H495:$CT495,3)))</f>
        <v>#N/A</v>
      </c>
      <c r="DO495" s="144" t="e">
        <f>IF(OR($C495=1,$C495=3),0,IF($C495=5,VLOOKUP(D495,HORAS!$B$4:$G$42,6,FALSE),IF(AND($C495=4,$CV495&gt;=(42/24)),VLOOKUP(D495,HORAS!$B$4:$G$42,6,FALSE),IF(COUNTIF($H495:$CL495,"F")&gt;0,0,IF(CV495&gt;$DJ$1,$DJ$1*(VLOOKUP(D495,HORAS!$B$4:$G$42,6,FALSE)/$DJ$1),CV495*(VLOOKUP(D495,HORAS!$B$4:$G$42,6,FALSE)/$DJ$1))))))</f>
        <v>#N/A</v>
      </c>
      <c r="DP495" s="156"/>
      <c r="DQ495" s="148"/>
      <c r="DR495" s="148"/>
      <c r="DS495" s="83" t="e">
        <f t="shared" si="162"/>
        <v>#N/A</v>
      </c>
      <c r="DT495" s="84"/>
      <c r="DU495" s="149" t="e">
        <f t="shared" si="251"/>
        <v>#N/A</v>
      </c>
      <c r="DV495" s="149" t="e">
        <f t="shared" si="252"/>
        <v>#N/A</v>
      </c>
      <c r="DW495" s="144" t="e">
        <f t="shared" si="253"/>
        <v>#N/A</v>
      </c>
      <c r="DX495" s="168"/>
      <c r="DY495" s="29"/>
      <c r="DZ495" s="150"/>
      <c r="EA495" s="134"/>
      <c r="EB495" s="137">
        <f t="shared" si="254"/>
        <v>0</v>
      </c>
      <c r="EC495" s="138">
        <f t="shared" si="255"/>
        <v>0</v>
      </c>
      <c r="ED495" s="137">
        <f t="shared" si="256"/>
        <v>0</v>
      </c>
      <c r="EE495" s="132">
        <f t="shared" si="257"/>
        <v>0</v>
      </c>
      <c r="EF495" s="29"/>
      <c r="EG495" s="134"/>
      <c r="EH495" s="134"/>
      <c r="EI495" s="134"/>
      <c r="EK495" s="29"/>
    </row>
    <row r="496" spans="1:141" ht="15" customHeight="1" x14ac:dyDescent="0.25">
      <c r="A496" s="87"/>
      <c r="B496" s="5"/>
      <c r="C496" s="72"/>
      <c r="D496" s="73"/>
      <c r="E496" s="73"/>
      <c r="F496" s="141"/>
      <c r="G496" s="74"/>
      <c r="H496" s="75"/>
      <c r="I496" s="76"/>
      <c r="J496" s="135"/>
      <c r="K496" s="135"/>
      <c r="L496" s="77">
        <f t="shared" si="138"/>
        <v>0</v>
      </c>
      <c r="M496" s="78"/>
      <c r="N496" s="142"/>
      <c r="O496" s="142"/>
      <c r="P496" s="77">
        <f t="shared" si="139"/>
        <v>0</v>
      </c>
      <c r="Q496" s="78"/>
      <c r="R496" s="143"/>
      <c r="S496" s="143"/>
      <c r="T496" s="77">
        <f t="shared" si="140"/>
        <v>0</v>
      </c>
      <c r="U496" s="75"/>
      <c r="V496" s="76"/>
      <c r="W496" s="135"/>
      <c r="X496" s="135"/>
      <c r="Y496" s="77">
        <f t="shared" si="141"/>
        <v>0</v>
      </c>
      <c r="Z496" s="78"/>
      <c r="AA496" s="142"/>
      <c r="AB496" s="142"/>
      <c r="AC496" s="77">
        <f t="shared" si="142"/>
        <v>0</v>
      </c>
      <c r="AD496" s="78"/>
      <c r="AE496" s="143"/>
      <c r="AF496" s="143"/>
      <c r="AG496" s="79">
        <f t="shared" si="143"/>
        <v>0</v>
      </c>
      <c r="AH496" s="75"/>
      <c r="AI496" s="76"/>
      <c r="AJ496" s="135"/>
      <c r="AK496" s="135"/>
      <c r="AL496" s="77">
        <f t="shared" si="144"/>
        <v>0</v>
      </c>
      <c r="AM496" s="76"/>
      <c r="AN496" s="142"/>
      <c r="AO496" s="142"/>
      <c r="AP496" s="77">
        <f t="shared" si="145"/>
        <v>0</v>
      </c>
      <c r="AQ496" s="78"/>
      <c r="AR496" s="142"/>
      <c r="AS496" s="142"/>
      <c r="AT496" s="79">
        <f t="shared" si="146"/>
        <v>0</v>
      </c>
      <c r="AU496" s="75"/>
      <c r="AV496" s="76"/>
      <c r="AW496" s="135"/>
      <c r="AX496" s="135"/>
      <c r="AY496" s="77">
        <f t="shared" si="147"/>
        <v>0</v>
      </c>
      <c r="AZ496" s="76"/>
      <c r="BA496" s="142"/>
      <c r="BB496" s="142"/>
      <c r="BC496" s="77">
        <f t="shared" si="148"/>
        <v>0</v>
      </c>
      <c r="BD496" s="78"/>
      <c r="BE496" s="142"/>
      <c r="BF496" s="142"/>
      <c r="BG496" s="79">
        <f t="shared" si="149"/>
        <v>0</v>
      </c>
      <c r="BH496" s="75"/>
      <c r="BI496" s="76"/>
      <c r="BJ496" s="135"/>
      <c r="BK496" s="135"/>
      <c r="BL496" s="77">
        <f t="shared" si="150"/>
        <v>0</v>
      </c>
      <c r="BM496" s="78"/>
      <c r="BN496" s="142"/>
      <c r="BO496" s="142"/>
      <c r="BP496" s="77">
        <f t="shared" si="151"/>
        <v>0</v>
      </c>
      <c r="BQ496" s="78"/>
      <c r="BR496" s="142"/>
      <c r="BS496" s="142"/>
      <c r="BT496" s="79">
        <f t="shared" si="152"/>
        <v>0</v>
      </c>
      <c r="BU496" s="75"/>
      <c r="BV496" s="76"/>
      <c r="BW496" s="135"/>
      <c r="BX496" s="135"/>
      <c r="BY496" s="77">
        <f t="shared" si="153"/>
        <v>0</v>
      </c>
      <c r="BZ496" s="78"/>
      <c r="CA496" s="142"/>
      <c r="CB496" s="142"/>
      <c r="CC496" s="77">
        <f t="shared" si="154"/>
        <v>0</v>
      </c>
      <c r="CD496" s="78"/>
      <c r="CE496" s="142"/>
      <c r="CF496" s="142"/>
      <c r="CG496" s="79">
        <f t="shared" si="155"/>
        <v>0</v>
      </c>
      <c r="CH496" s="75"/>
      <c r="CI496" s="76"/>
      <c r="CJ496" s="86"/>
      <c r="CK496" s="86"/>
      <c r="CL496" s="77">
        <f t="shared" si="156"/>
        <v>0</v>
      </c>
      <c r="CM496" s="78"/>
      <c r="CN496" s="85"/>
      <c r="CO496" s="85"/>
      <c r="CP496" s="77">
        <f t="shared" si="157"/>
        <v>0</v>
      </c>
      <c r="CQ496" s="78"/>
      <c r="CR496" s="85"/>
      <c r="CS496" s="85"/>
      <c r="CT496" s="79">
        <f t="shared" si="158"/>
        <v>0</v>
      </c>
      <c r="CU496" s="80">
        <f t="shared" si="168"/>
        <v>0</v>
      </c>
      <c r="CV496" s="81">
        <f t="shared" si="169"/>
        <v>0</v>
      </c>
      <c r="CW496" s="144"/>
      <c r="CX496" s="145">
        <f>IF(ISERROR(VLOOKUP($A496,FIJOS!$B$11:$O$590,14,FALSE)),0,VLOOKUP($A496,FIJOS!$B$11:$O$590,14,FALSE))</f>
        <v>0</v>
      </c>
      <c r="CY496" s="145">
        <f>IF(ISERROR(VLOOKUP(A496,FIJOS!$B$10:$P$590,15,FALSE)),0,VLOOKUP(A496,FIJOS!$B$10:$P$590,15,FALSE))</f>
        <v>0</v>
      </c>
      <c r="CZ496" s="155"/>
      <c r="DA496" s="147"/>
      <c r="DB496" s="147"/>
      <c r="DC496" s="147"/>
      <c r="DD496" s="147"/>
      <c r="DE496" s="147"/>
      <c r="DF496" s="145">
        <f>IF(ISERROR(VLOOKUP($A496,FIJOS!$B$11:$N$590,13,FALSE)),0,VLOOKUP($A496,FIJOS!$B$11:$N$590,13,FALSE))</f>
        <v>0</v>
      </c>
      <c r="DG496" s="145">
        <f>IF(ISERROR(VLOOKUP($A496,FIJOS!$B$11:$P$447,12,FALSE)),0,VLOOKUP($A496,FIJOS!$B$11:$P$447,12,FALSE))</f>
        <v>0</v>
      </c>
      <c r="DH496" s="82">
        <f t="shared" si="250"/>
        <v>0</v>
      </c>
      <c r="DI496" s="83" t="b">
        <f>IF($C496=1,(VLOOKUP($A496,FIJOS!$B$11:$P$545,10,FALSE)/7)*(7-$CU496),IF(AND($C496=2,CV496&lt;$DJ$1),(VLOOKUP($D496,HORAS!$B$4:$C$42,2,FALSE)*24)*$CV496,IF(AND($C496=2,CV496&gt;=$DJ$1),VLOOKUP($D496,HORAS!$B$4:$D$42,3,FALSE),IF(AND($C496=3,$CV496&gt;=$DJ$1),VLOOKUP($A496,FIJOS!$B$11:$P$545,10,FALSE),IF(AND($C496=3,$CV496&lt;$DJ$1),((VLOOKUP($A496,FIJOS!$B$11:$P$545,10,FALSE)/48)*24)*$CV496,IF(AND($C496=4,$CV496&gt;=(42/24)),VLOOKUP($D496,HORAS!$B$4:$D$42,3,FALSE),IF(AND($C496=5,$CV496&gt;=(36/24)),VLOOKUP($D496,HORAS!$B$4:$D$42,3,FALSE))))))))</f>
        <v>0</v>
      </c>
      <c r="DJ496" s="145">
        <f>IF(OR($C496=2),VLOOKUP($D496,HORAS!$B$4:$E$42,4,FALSE)*$EC496,IF(ISERROR(VLOOKUP($A496,FIJOS!$B$11:$P$108,9,FALSE)),0,VLOOKUP($A496,FIJOS!$B$11:$P$231,9,FALSE)*$EC496))</f>
        <v>0</v>
      </c>
      <c r="DK496" s="145">
        <f>IF(OR($C496=2),VLOOKUP($D496,HORAS!$B$4:$F$42,5,FALSE)*$EE496,IF(ISERROR(VLOOKUP($A496,FIJOS!$B$11:$P$108,9,FALSE)),0,VLOOKUP($A496,FIJOS!$B$11:$P$231,9,FALSE)*$EE496))</f>
        <v>0</v>
      </c>
      <c r="DL496" s="144"/>
      <c r="DM496" s="145">
        <f>IF(ISERROR(VLOOKUP($A496,FIJOS!$B$11:$L$646,11,FALSE)),0,VLOOKUP($A496,FIJOS!$B$11:$L$646,11,FALSE))</f>
        <v>0</v>
      </c>
      <c r="DN496" s="148" t="e">
        <f>IF(OR($C496=1,$C496=3),0,IF((VLOOKUP(CAPTURA!D496,HORAS!$B$4:$K$42,10,FALSE)/4)*COUNTIF($H496:$CT496,3)&gt;100,100,(VLOOKUP(CAPTURA!D496,HORAS!$B$4:$K$42,10,FALSE)/4)*COUNTIF($H496:$CT496,3)))</f>
        <v>#N/A</v>
      </c>
      <c r="DO496" s="144" t="e">
        <f>IF(OR($C496=1,$C496=3),0,IF($C496=5,VLOOKUP(D496,HORAS!$B$4:$G$42,6,FALSE),IF(AND($C496=4,$CV496&gt;=(42/24)),VLOOKUP(D496,HORAS!$B$4:$G$42,6,FALSE),IF(COUNTIF($H496:$CL496,"F")&gt;0,0,IF(CV496&gt;$DJ$1,$DJ$1*(VLOOKUP(D496,HORAS!$B$4:$G$42,6,FALSE)/$DJ$1),CV496*(VLOOKUP(D496,HORAS!$B$4:$G$42,6,FALSE)/$DJ$1))))))</f>
        <v>#N/A</v>
      </c>
      <c r="DP496" s="156"/>
      <c r="DQ496" s="148"/>
      <c r="DR496" s="148"/>
      <c r="DS496" s="83" t="e">
        <f t="shared" si="162"/>
        <v>#N/A</v>
      </c>
      <c r="DT496" s="84"/>
      <c r="DU496" s="149" t="e">
        <f t="shared" si="251"/>
        <v>#N/A</v>
      </c>
      <c r="DV496" s="149" t="e">
        <f t="shared" si="252"/>
        <v>#N/A</v>
      </c>
      <c r="DW496" s="144" t="e">
        <f t="shared" si="253"/>
        <v>#N/A</v>
      </c>
      <c r="DX496" s="168"/>
      <c r="DY496" s="29"/>
      <c r="DZ496" s="150"/>
      <c r="EA496" s="134"/>
      <c r="EB496" s="137">
        <f t="shared" si="254"/>
        <v>0</v>
      </c>
      <c r="EC496" s="138">
        <f t="shared" si="255"/>
        <v>0</v>
      </c>
      <c r="ED496" s="137">
        <f t="shared" si="256"/>
        <v>0</v>
      </c>
      <c r="EE496" s="132">
        <f t="shared" si="257"/>
        <v>0</v>
      </c>
      <c r="EF496" s="29"/>
      <c r="EG496" s="134"/>
      <c r="EH496" s="134"/>
      <c r="EI496" s="134"/>
      <c r="EK496" s="29"/>
    </row>
    <row r="497" spans="1:141" ht="15" customHeight="1" x14ac:dyDescent="0.25">
      <c r="A497" s="87"/>
      <c r="B497" s="5"/>
      <c r="C497" s="72"/>
      <c r="D497" s="73"/>
      <c r="E497" s="73"/>
      <c r="F497" s="141"/>
      <c r="G497" s="74"/>
      <c r="H497" s="75"/>
      <c r="I497" s="76"/>
      <c r="J497" s="135"/>
      <c r="K497" s="135"/>
      <c r="L497" s="77">
        <f t="shared" si="138"/>
        <v>0</v>
      </c>
      <c r="M497" s="78"/>
      <c r="N497" s="142"/>
      <c r="O497" s="142"/>
      <c r="P497" s="77">
        <f t="shared" si="139"/>
        <v>0</v>
      </c>
      <c r="Q497" s="78"/>
      <c r="R497" s="143"/>
      <c r="S497" s="143"/>
      <c r="T497" s="77">
        <f t="shared" si="140"/>
        <v>0</v>
      </c>
      <c r="U497" s="75"/>
      <c r="V497" s="76"/>
      <c r="W497" s="135"/>
      <c r="X497" s="135"/>
      <c r="Y497" s="77">
        <f t="shared" si="141"/>
        <v>0</v>
      </c>
      <c r="Z497" s="78"/>
      <c r="AA497" s="142"/>
      <c r="AB497" s="142"/>
      <c r="AC497" s="77">
        <f t="shared" si="142"/>
        <v>0</v>
      </c>
      <c r="AD497" s="78"/>
      <c r="AE497" s="143"/>
      <c r="AF497" s="143"/>
      <c r="AG497" s="79">
        <f t="shared" si="143"/>
        <v>0</v>
      </c>
      <c r="AH497" s="75"/>
      <c r="AI497" s="76"/>
      <c r="AJ497" s="135"/>
      <c r="AK497" s="135"/>
      <c r="AL497" s="77">
        <f t="shared" si="144"/>
        <v>0</v>
      </c>
      <c r="AM497" s="76"/>
      <c r="AN497" s="142"/>
      <c r="AO497" s="142"/>
      <c r="AP497" s="77">
        <f t="shared" si="145"/>
        <v>0</v>
      </c>
      <c r="AQ497" s="78"/>
      <c r="AR497" s="142"/>
      <c r="AS497" s="142"/>
      <c r="AT497" s="79">
        <f t="shared" si="146"/>
        <v>0</v>
      </c>
      <c r="AU497" s="75"/>
      <c r="AV497" s="76"/>
      <c r="AW497" s="135"/>
      <c r="AX497" s="135"/>
      <c r="AY497" s="77">
        <f t="shared" si="147"/>
        <v>0</v>
      </c>
      <c r="AZ497" s="76"/>
      <c r="BA497" s="142"/>
      <c r="BB497" s="142"/>
      <c r="BC497" s="77">
        <f t="shared" si="148"/>
        <v>0</v>
      </c>
      <c r="BD497" s="78"/>
      <c r="BE497" s="142"/>
      <c r="BF497" s="142"/>
      <c r="BG497" s="79">
        <f t="shared" si="149"/>
        <v>0</v>
      </c>
      <c r="BH497" s="75"/>
      <c r="BI497" s="76"/>
      <c r="BJ497" s="135"/>
      <c r="BK497" s="135"/>
      <c r="BL497" s="77">
        <f t="shared" si="150"/>
        <v>0</v>
      </c>
      <c r="BM497" s="78"/>
      <c r="BN497" s="142"/>
      <c r="BO497" s="142"/>
      <c r="BP497" s="77">
        <f t="shared" si="151"/>
        <v>0</v>
      </c>
      <c r="BQ497" s="78"/>
      <c r="BR497" s="142"/>
      <c r="BS497" s="142"/>
      <c r="BT497" s="79">
        <f t="shared" si="152"/>
        <v>0</v>
      </c>
      <c r="BU497" s="75"/>
      <c r="BV497" s="76"/>
      <c r="BW497" s="135"/>
      <c r="BX497" s="135"/>
      <c r="BY497" s="77">
        <f t="shared" si="153"/>
        <v>0</v>
      </c>
      <c r="BZ497" s="78"/>
      <c r="CA497" s="142"/>
      <c r="CB497" s="142"/>
      <c r="CC497" s="77">
        <f t="shared" si="154"/>
        <v>0</v>
      </c>
      <c r="CD497" s="78"/>
      <c r="CE497" s="142"/>
      <c r="CF497" s="142"/>
      <c r="CG497" s="79">
        <f t="shared" si="155"/>
        <v>0</v>
      </c>
      <c r="CH497" s="75"/>
      <c r="CI497" s="76"/>
      <c r="CJ497" s="86"/>
      <c r="CK497" s="86"/>
      <c r="CL497" s="77">
        <f t="shared" si="156"/>
        <v>0</v>
      </c>
      <c r="CM497" s="78"/>
      <c r="CN497" s="85"/>
      <c r="CO497" s="85"/>
      <c r="CP497" s="77">
        <f t="shared" si="157"/>
        <v>0</v>
      </c>
      <c r="CQ497" s="78"/>
      <c r="CR497" s="85"/>
      <c r="CS497" s="85"/>
      <c r="CT497" s="79">
        <f t="shared" si="158"/>
        <v>0</v>
      </c>
      <c r="CU497" s="80">
        <f t="shared" si="168"/>
        <v>0</v>
      </c>
      <c r="CV497" s="81">
        <f t="shared" si="169"/>
        <v>0</v>
      </c>
      <c r="CW497" s="144"/>
      <c r="CX497" s="145">
        <f>IF(ISERROR(VLOOKUP($A497,FIJOS!$B$11:$O$590,14,FALSE)),0,VLOOKUP($A497,FIJOS!$B$11:$O$590,14,FALSE))</f>
        <v>0</v>
      </c>
      <c r="CY497" s="145">
        <f>IF(ISERROR(VLOOKUP(A497,FIJOS!$B$10:$P$590,15,FALSE)),0,VLOOKUP(A497,FIJOS!$B$10:$P$590,15,FALSE))</f>
        <v>0</v>
      </c>
      <c r="CZ497" s="155"/>
      <c r="DA497" s="147"/>
      <c r="DB497" s="147"/>
      <c r="DC497" s="147"/>
      <c r="DD497" s="147"/>
      <c r="DE497" s="147"/>
      <c r="DF497" s="145">
        <f>IF(ISERROR(VLOOKUP($A497,FIJOS!$B$11:$N$590,13,FALSE)),0,VLOOKUP($A497,FIJOS!$B$11:$N$590,13,FALSE))</f>
        <v>0</v>
      </c>
      <c r="DG497" s="145">
        <f>IF(ISERROR(VLOOKUP($A497,FIJOS!$B$11:$P$447,12,FALSE)),0,VLOOKUP($A497,FIJOS!$B$11:$P$447,12,FALSE))</f>
        <v>0</v>
      </c>
      <c r="DH497" s="82">
        <f t="shared" si="250"/>
        <v>0</v>
      </c>
      <c r="DI497" s="83" t="b">
        <f>IF($C497=1,(VLOOKUP($A497,FIJOS!$B$11:$P$545,10,FALSE)/7)*(7-$CU497),IF(AND($C497=2,CV497&lt;$DJ$1),(VLOOKUP($D497,HORAS!$B$4:$C$42,2,FALSE)*24)*$CV497,IF(AND($C497=2,CV497&gt;=$DJ$1),VLOOKUP($D497,HORAS!$B$4:$D$42,3,FALSE),IF(AND($C497=3,$CV497&gt;=$DJ$1),VLOOKUP($A497,FIJOS!$B$11:$P$545,10,FALSE),IF(AND($C497=3,$CV497&lt;$DJ$1),((VLOOKUP($A497,FIJOS!$B$11:$P$545,10,FALSE)/48)*24)*$CV497,IF(AND($C497=4,$CV497&gt;=(42/24)),VLOOKUP($D497,HORAS!$B$4:$D$42,3,FALSE),IF(AND($C497=5,$CV497&gt;=(36/24)),VLOOKUP($D497,HORAS!$B$4:$D$42,3,FALSE))))))))</f>
        <v>0</v>
      </c>
      <c r="DJ497" s="145">
        <f>IF(OR($C497=2),VLOOKUP($D497,HORAS!$B$4:$E$42,4,FALSE)*$EC497,IF(ISERROR(VLOOKUP($A497,FIJOS!$B$11:$P$108,9,FALSE)),0,VLOOKUP($A497,FIJOS!$B$11:$P$231,9,FALSE)*$EC497))</f>
        <v>0</v>
      </c>
      <c r="DK497" s="145">
        <f>IF(OR($C497=2),VLOOKUP($D497,HORAS!$B$4:$F$42,5,FALSE)*$EE497,IF(ISERROR(VLOOKUP($A497,FIJOS!$B$11:$P$108,9,FALSE)),0,VLOOKUP($A497,FIJOS!$B$11:$P$231,9,FALSE)*$EE497))</f>
        <v>0</v>
      </c>
      <c r="DL497" s="144"/>
      <c r="DM497" s="145">
        <f>IF(ISERROR(VLOOKUP($A497,FIJOS!$B$11:$L$646,11,FALSE)),0,VLOOKUP($A497,FIJOS!$B$11:$L$646,11,FALSE))</f>
        <v>0</v>
      </c>
      <c r="DN497" s="148" t="e">
        <f>IF(OR($C497=1,$C497=3),0,IF((VLOOKUP(CAPTURA!D497,HORAS!$B$4:$K$42,10,FALSE)/4)*COUNTIF($H497:$CT497,3)&gt;100,100,(VLOOKUP(CAPTURA!D497,HORAS!$B$4:$K$42,10,FALSE)/4)*COUNTIF($H497:$CT497,3)))</f>
        <v>#N/A</v>
      </c>
      <c r="DO497" s="144" t="e">
        <f>IF(OR($C497=1,$C497=3),0,IF($C497=5,VLOOKUP(D497,HORAS!$B$4:$G$42,6,FALSE),IF(AND($C497=4,$CV497&gt;=(42/24)),VLOOKUP(D497,HORAS!$B$4:$G$42,6,FALSE),IF(COUNTIF($H497:$CL497,"F")&gt;0,0,IF(CV497&gt;$DJ$1,$DJ$1*(VLOOKUP(D497,HORAS!$B$4:$G$42,6,FALSE)/$DJ$1),CV497*(VLOOKUP(D497,HORAS!$B$4:$G$42,6,FALSE)/$DJ$1))))))</f>
        <v>#N/A</v>
      </c>
      <c r="DP497" s="156"/>
      <c r="DQ497" s="148"/>
      <c r="DR497" s="148"/>
      <c r="DS497" s="83" t="e">
        <f t="shared" si="162"/>
        <v>#N/A</v>
      </c>
      <c r="DT497" s="84"/>
      <c r="DU497" s="149" t="e">
        <f t="shared" si="251"/>
        <v>#N/A</v>
      </c>
      <c r="DV497" s="149" t="e">
        <f t="shared" si="252"/>
        <v>#N/A</v>
      </c>
      <c r="DW497" s="144" t="e">
        <f t="shared" si="253"/>
        <v>#N/A</v>
      </c>
      <c r="DX497" s="168"/>
      <c r="DY497" s="29"/>
      <c r="DZ497" s="150"/>
      <c r="EA497" s="134"/>
      <c r="EB497" s="137">
        <f t="shared" si="254"/>
        <v>0</v>
      </c>
      <c r="EC497" s="138">
        <f t="shared" si="255"/>
        <v>0</v>
      </c>
      <c r="ED497" s="137">
        <f t="shared" si="256"/>
        <v>0</v>
      </c>
      <c r="EE497" s="132">
        <f t="shared" si="257"/>
        <v>0</v>
      </c>
      <c r="EF497" s="29"/>
      <c r="EG497" s="134"/>
      <c r="EH497" s="134"/>
      <c r="EI497" s="134"/>
      <c r="EK497" s="29"/>
    </row>
    <row r="498" spans="1:141" ht="15" customHeight="1" x14ac:dyDescent="0.25">
      <c r="A498" s="87"/>
      <c r="B498" s="5"/>
      <c r="C498" s="72"/>
      <c r="D498" s="73"/>
      <c r="E498" s="73"/>
      <c r="F498" s="141"/>
      <c r="G498" s="74"/>
      <c r="H498" s="75"/>
      <c r="I498" s="76"/>
      <c r="J498" s="135"/>
      <c r="K498" s="135"/>
      <c r="L498" s="77">
        <f t="shared" si="138"/>
        <v>0</v>
      </c>
      <c r="M498" s="78"/>
      <c r="N498" s="142"/>
      <c r="O498" s="142"/>
      <c r="P498" s="77">
        <f t="shared" si="139"/>
        <v>0</v>
      </c>
      <c r="Q498" s="78"/>
      <c r="R498" s="143"/>
      <c r="S498" s="143"/>
      <c r="T498" s="77">
        <f t="shared" si="140"/>
        <v>0</v>
      </c>
      <c r="U498" s="75"/>
      <c r="V498" s="76"/>
      <c r="W498" s="135"/>
      <c r="X498" s="135"/>
      <c r="Y498" s="77">
        <f t="shared" si="141"/>
        <v>0</v>
      </c>
      <c r="Z498" s="78"/>
      <c r="AA498" s="142"/>
      <c r="AB498" s="142"/>
      <c r="AC498" s="77">
        <f t="shared" si="142"/>
        <v>0</v>
      </c>
      <c r="AD498" s="78"/>
      <c r="AE498" s="143"/>
      <c r="AF498" s="143"/>
      <c r="AG498" s="79">
        <f t="shared" si="143"/>
        <v>0</v>
      </c>
      <c r="AH498" s="75"/>
      <c r="AI498" s="76"/>
      <c r="AJ498" s="135"/>
      <c r="AK498" s="135"/>
      <c r="AL498" s="77">
        <f t="shared" si="144"/>
        <v>0</v>
      </c>
      <c r="AM498" s="76"/>
      <c r="AN498" s="142"/>
      <c r="AO498" s="142"/>
      <c r="AP498" s="77">
        <f t="shared" si="145"/>
        <v>0</v>
      </c>
      <c r="AQ498" s="78"/>
      <c r="AR498" s="142"/>
      <c r="AS498" s="142"/>
      <c r="AT498" s="79">
        <f t="shared" si="146"/>
        <v>0</v>
      </c>
      <c r="AU498" s="75"/>
      <c r="AV498" s="76"/>
      <c r="AW498" s="135"/>
      <c r="AX498" s="135"/>
      <c r="AY498" s="77">
        <f t="shared" si="147"/>
        <v>0</v>
      </c>
      <c r="AZ498" s="76"/>
      <c r="BA498" s="142"/>
      <c r="BB498" s="142"/>
      <c r="BC498" s="77">
        <f t="shared" si="148"/>
        <v>0</v>
      </c>
      <c r="BD498" s="78"/>
      <c r="BE498" s="142"/>
      <c r="BF498" s="142"/>
      <c r="BG498" s="79">
        <f t="shared" si="149"/>
        <v>0</v>
      </c>
      <c r="BH498" s="75"/>
      <c r="BI498" s="76"/>
      <c r="BJ498" s="135"/>
      <c r="BK498" s="135"/>
      <c r="BL498" s="77">
        <f t="shared" si="150"/>
        <v>0</v>
      </c>
      <c r="BM498" s="78"/>
      <c r="BN498" s="142"/>
      <c r="BO498" s="142"/>
      <c r="BP498" s="77">
        <f t="shared" si="151"/>
        <v>0</v>
      </c>
      <c r="BQ498" s="78"/>
      <c r="BR498" s="142"/>
      <c r="BS498" s="142"/>
      <c r="BT498" s="79">
        <f t="shared" si="152"/>
        <v>0</v>
      </c>
      <c r="BU498" s="75"/>
      <c r="BV498" s="76"/>
      <c r="BW498" s="135"/>
      <c r="BX498" s="135"/>
      <c r="BY498" s="77">
        <f t="shared" si="153"/>
        <v>0</v>
      </c>
      <c r="BZ498" s="78"/>
      <c r="CA498" s="142"/>
      <c r="CB498" s="142"/>
      <c r="CC498" s="77">
        <f t="shared" si="154"/>
        <v>0</v>
      </c>
      <c r="CD498" s="78"/>
      <c r="CE498" s="142"/>
      <c r="CF498" s="142"/>
      <c r="CG498" s="79">
        <f t="shared" si="155"/>
        <v>0</v>
      </c>
      <c r="CH498" s="75"/>
      <c r="CI498" s="76"/>
      <c r="CJ498" s="86"/>
      <c r="CK498" s="86"/>
      <c r="CL498" s="77">
        <f t="shared" si="156"/>
        <v>0</v>
      </c>
      <c r="CM498" s="78"/>
      <c r="CN498" s="85"/>
      <c r="CO498" s="85"/>
      <c r="CP498" s="77">
        <f t="shared" si="157"/>
        <v>0</v>
      </c>
      <c r="CQ498" s="78"/>
      <c r="CR498" s="85"/>
      <c r="CS498" s="85"/>
      <c r="CT498" s="79">
        <f t="shared" si="158"/>
        <v>0</v>
      </c>
      <c r="CU498" s="80">
        <f t="shared" si="168"/>
        <v>0</v>
      </c>
      <c r="CV498" s="81">
        <f t="shared" si="169"/>
        <v>0</v>
      </c>
      <c r="CW498" s="144"/>
      <c r="CX498" s="145">
        <f>IF(ISERROR(VLOOKUP($A498,FIJOS!$B$11:$O$590,14,FALSE)),0,VLOOKUP($A498,FIJOS!$B$11:$O$590,14,FALSE))</f>
        <v>0</v>
      </c>
      <c r="CY498" s="145">
        <f>IF(ISERROR(VLOOKUP(A498,FIJOS!$B$10:$P$590,15,FALSE)),0,VLOOKUP(A498,FIJOS!$B$10:$P$590,15,FALSE))</f>
        <v>0</v>
      </c>
      <c r="CZ498" s="155"/>
      <c r="DA498" s="147"/>
      <c r="DB498" s="147"/>
      <c r="DC498" s="147"/>
      <c r="DD498" s="147"/>
      <c r="DE498" s="147"/>
      <c r="DF498" s="145">
        <f>IF(ISERROR(VLOOKUP($A498,FIJOS!$B$11:$N$590,13,FALSE)),0,VLOOKUP($A498,FIJOS!$B$11:$N$590,13,FALSE))</f>
        <v>0</v>
      </c>
      <c r="DG498" s="145">
        <f>IF(ISERROR(VLOOKUP($A498,FIJOS!$B$11:$P$447,12,FALSE)),0,VLOOKUP($A498,FIJOS!$B$11:$P$447,12,FALSE))</f>
        <v>0</v>
      </c>
      <c r="DH498" s="82">
        <f t="shared" si="250"/>
        <v>0</v>
      </c>
      <c r="DI498" s="83" t="b">
        <f>IF($C498=1,(VLOOKUP($A498,FIJOS!$B$11:$P$545,10,FALSE)/7)*(7-$CU498),IF(AND($C498=2,CV498&lt;$DJ$1),(VLOOKUP($D498,HORAS!$B$4:$C$42,2,FALSE)*24)*$CV498,IF(AND($C498=2,CV498&gt;=$DJ$1),VLOOKUP($D498,HORAS!$B$4:$D$42,3,FALSE),IF(AND($C498=3,$CV498&gt;=$DJ$1),VLOOKUP($A498,FIJOS!$B$11:$P$545,10,FALSE),IF(AND($C498=3,$CV498&lt;$DJ$1),((VLOOKUP($A498,FIJOS!$B$11:$P$545,10,FALSE)/48)*24)*$CV498,IF(AND($C498=4,$CV498&gt;=(42/24)),VLOOKUP($D498,HORAS!$B$4:$D$42,3,FALSE),IF(AND($C498=5,$CV498&gt;=(36/24)),VLOOKUP($D498,HORAS!$B$4:$D$42,3,FALSE))))))))</f>
        <v>0</v>
      </c>
      <c r="DJ498" s="145">
        <f>IF(OR($C498=2),VLOOKUP($D498,HORAS!$B$4:$E$42,4,FALSE)*$EC498,IF(ISERROR(VLOOKUP($A498,FIJOS!$B$11:$P$108,9,FALSE)),0,VLOOKUP($A498,FIJOS!$B$11:$P$231,9,FALSE)*$EC498))</f>
        <v>0</v>
      </c>
      <c r="DK498" s="145">
        <f>IF(OR($C498=2),VLOOKUP($D498,HORAS!$B$4:$F$42,5,FALSE)*$EE498,IF(ISERROR(VLOOKUP($A498,FIJOS!$B$11:$P$108,9,FALSE)),0,VLOOKUP($A498,FIJOS!$B$11:$P$231,9,FALSE)*$EE498))</f>
        <v>0</v>
      </c>
      <c r="DL498" s="144"/>
      <c r="DM498" s="145">
        <f>IF(ISERROR(VLOOKUP($A498,FIJOS!$B$11:$L$646,11,FALSE)),0,VLOOKUP($A498,FIJOS!$B$11:$L$646,11,FALSE))</f>
        <v>0</v>
      </c>
      <c r="DN498" s="148" t="e">
        <f>IF(OR($C498=1,$C498=3),0,IF((VLOOKUP(CAPTURA!D498,HORAS!$B$4:$K$42,10,FALSE)/4)*COUNTIF($H498:$CT498,3)&gt;100,100,(VLOOKUP(CAPTURA!D498,HORAS!$B$4:$K$42,10,FALSE)/4)*COUNTIF($H498:$CT498,3)))</f>
        <v>#N/A</v>
      </c>
      <c r="DO498" s="144" t="e">
        <f>IF(OR($C498=1,$C498=3),0,IF($C498=5,VLOOKUP(D498,HORAS!$B$4:$G$42,6,FALSE),IF(AND($C498=4,$CV498&gt;=(42/24)),VLOOKUP(D498,HORAS!$B$4:$G$42,6,FALSE),IF(COUNTIF($H498:$CL498,"F")&gt;0,0,IF(CV498&gt;$DJ$1,$DJ$1*(VLOOKUP(D498,HORAS!$B$4:$G$42,6,FALSE)/$DJ$1),CV498*(VLOOKUP(D498,HORAS!$B$4:$G$42,6,FALSE)/$DJ$1))))))</f>
        <v>#N/A</v>
      </c>
      <c r="DP498" s="156"/>
      <c r="DQ498" s="148"/>
      <c r="DR498" s="148"/>
      <c r="DS498" s="83" t="e">
        <f t="shared" si="162"/>
        <v>#N/A</v>
      </c>
      <c r="DT498" s="84"/>
      <c r="DU498" s="149" t="e">
        <f t="shared" si="251"/>
        <v>#N/A</v>
      </c>
      <c r="DV498" s="149" t="e">
        <f t="shared" si="252"/>
        <v>#N/A</v>
      </c>
      <c r="DW498" s="144" t="e">
        <f t="shared" si="253"/>
        <v>#N/A</v>
      </c>
      <c r="DX498" s="168"/>
      <c r="DY498" s="29"/>
      <c r="DZ498" s="150"/>
      <c r="EA498" s="134"/>
      <c r="EB498" s="137">
        <f t="shared" si="254"/>
        <v>0</v>
      </c>
      <c r="EC498" s="138">
        <f t="shared" si="255"/>
        <v>0</v>
      </c>
      <c r="ED498" s="137">
        <f t="shared" si="256"/>
        <v>0</v>
      </c>
      <c r="EE498" s="132">
        <f t="shared" si="257"/>
        <v>0</v>
      </c>
      <c r="EF498" s="29"/>
      <c r="EG498" s="134"/>
      <c r="EH498" s="134"/>
      <c r="EI498" s="134"/>
      <c r="EK498" s="29"/>
    </row>
    <row r="499" spans="1:141" ht="15" customHeight="1" x14ac:dyDescent="0.25">
      <c r="A499" s="87"/>
      <c r="B499" s="5"/>
      <c r="C499" s="72"/>
      <c r="D499" s="73"/>
      <c r="E499" s="73"/>
      <c r="F499" s="141"/>
      <c r="G499" s="74"/>
      <c r="H499" s="75"/>
      <c r="I499" s="76"/>
      <c r="J499" s="135"/>
      <c r="K499" s="135"/>
      <c r="L499" s="77">
        <f t="shared" si="138"/>
        <v>0</v>
      </c>
      <c r="M499" s="78"/>
      <c r="N499" s="142"/>
      <c r="O499" s="142"/>
      <c r="P499" s="77">
        <f t="shared" si="139"/>
        <v>0</v>
      </c>
      <c r="Q499" s="78"/>
      <c r="R499" s="143"/>
      <c r="S499" s="143"/>
      <c r="T499" s="77">
        <f t="shared" si="140"/>
        <v>0</v>
      </c>
      <c r="U499" s="75"/>
      <c r="V499" s="76"/>
      <c r="W499" s="135"/>
      <c r="X499" s="135"/>
      <c r="Y499" s="77">
        <f t="shared" si="141"/>
        <v>0</v>
      </c>
      <c r="Z499" s="78"/>
      <c r="AA499" s="142"/>
      <c r="AB499" s="142"/>
      <c r="AC499" s="77">
        <f t="shared" si="142"/>
        <v>0</v>
      </c>
      <c r="AD499" s="78"/>
      <c r="AE499" s="143"/>
      <c r="AF499" s="143"/>
      <c r="AG499" s="79">
        <f t="shared" si="143"/>
        <v>0</v>
      </c>
      <c r="AH499" s="75"/>
      <c r="AI499" s="76"/>
      <c r="AJ499" s="135"/>
      <c r="AK499" s="135"/>
      <c r="AL499" s="77">
        <f t="shared" si="144"/>
        <v>0</v>
      </c>
      <c r="AM499" s="76"/>
      <c r="AN499" s="142"/>
      <c r="AO499" s="142"/>
      <c r="AP499" s="77">
        <f t="shared" si="145"/>
        <v>0</v>
      </c>
      <c r="AQ499" s="78"/>
      <c r="AR499" s="142"/>
      <c r="AS499" s="142"/>
      <c r="AT499" s="79">
        <f t="shared" si="146"/>
        <v>0</v>
      </c>
      <c r="AU499" s="75"/>
      <c r="AV499" s="76"/>
      <c r="AW499" s="135"/>
      <c r="AX499" s="135"/>
      <c r="AY499" s="77">
        <f t="shared" si="147"/>
        <v>0</v>
      </c>
      <c r="AZ499" s="76"/>
      <c r="BA499" s="142"/>
      <c r="BB499" s="142"/>
      <c r="BC499" s="77">
        <f t="shared" si="148"/>
        <v>0</v>
      </c>
      <c r="BD499" s="78"/>
      <c r="BE499" s="142"/>
      <c r="BF499" s="142"/>
      <c r="BG499" s="79">
        <f t="shared" si="149"/>
        <v>0</v>
      </c>
      <c r="BH499" s="75"/>
      <c r="BI499" s="76"/>
      <c r="BJ499" s="135"/>
      <c r="BK499" s="135"/>
      <c r="BL499" s="77">
        <f t="shared" si="150"/>
        <v>0</v>
      </c>
      <c r="BM499" s="78"/>
      <c r="BN499" s="142"/>
      <c r="BO499" s="142"/>
      <c r="BP499" s="77">
        <f t="shared" si="151"/>
        <v>0</v>
      </c>
      <c r="BQ499" s="78"/>
      <c r="BR499" s="142"/>
      <c r="BS499" s="142"/>
      <c r="BT499" s="79">
        <f t="shared" si="152"/>
        <v>0</v>
      </c>
      <c r="BU499" s="75"/>
      <c r="BV499" s="76"/>
      <c r="BW499" s="135"/>
      <c r="BX499" s="135"/>
      <c r="BY499" s="77">
        <f t="shared" si="153"/>
        <v>0</v>
      </c>
      <c r="BZ499" s="78"/>
      <c r="CA499" s="142"/>
      <c r="CB499" s="142"/>
      <c r="CC499" s="77">
        <f t="shared" si="154"/>
        <v>0</v>
      </c>
      <c r="CD499" s="78"/>
      <c r="CE499" s="142"/>
      <c r="CF499" s="142"/>
      <c r="CG499" s="79">
        <f t="shared" si="155"/>
        <v>0</v>
      </c>
      <c r="CH499" s="75"/>
      <c r="CI499" s="76"/>
      <c r="CJ499" s="86"/>
      <c r="CK499" s="86"/>
      <c r="CL499" s="77">
        <f t="shared" si="156"/>
        <v>0</v>
      </c>
      <c r="CM499" s="78"/>
      <c r="CN499" s="85"/>
      <c r="CO499" s="85"/>
      <c r="CP499" s="77">
        <f t="shared" si="157"/>
        <v>0</v>
      </c>
      <c r="CQ499" s="78"/>
      <c r="CR499" s="85"/>
      <c r="CS499" s="85"/>
      <c r="CT499" s="79">
        <f t="shared" si="158"/>
        <v>0</v>
      </c>
      <c r="CU499" s="80">
        <f t="shared" si="168"/>
        <v>0</v>
      </c>
      <c r="CV499" s="81">
        <f t="shared" si="169"/>
        <v>0</v>
      </c>
      <c r="CW499" s="144"/>
      <c r="CX499" s="145">
        <f>IF(ISERROR(VLOOKUP($A499,FIJOS!$B$11:$O$590,14,FALSE)),0,VLOOKUP($A499,FIJOS!$B$11:$O$590,14,FALSE))</f>
        <v>0</v>
      </c>
      <c r="CY499" s="145">
        <f>IF(ISERROR(VLOOKUP(A499,FIJOS!$B$10:$P$590,15,FALSE)),0,VLOOKUP(A499,FIJOS!$B$10:$P$590,15,FALSE))</f>
        <v>0</v>
      </c>
      <c r="CZ499" s="155"/>
      <c r="DA499" s="147"/>
      <c r="DB499" s="147"/>
      <c r="DC499" s="147"/>
      <c r="DD499" s="147"/>
      <c r="DE499" s="147"/>
      <c r="DF499" s="145">
        <f>IF(ISERROR(VLOOKUP($A499,FIJOS!$B$11:$N$590,13,FALSE)),0,VLOOKUP($A499,FIJOS!$B$11:$N$590,13,FALSE))</f>
        <v>0</v>
      </c>
      <c r="DG499" s="145">
        <f>IF(ISERROR(VLOOKUP($A499,FIJOS!$B$11:$P$447,12,FALSE)),0,VLOOKUP($A499,FIJOS!$B$11:$P$447,12,FALSE))</f>
        <v>0</v>
      </c>
      <c r="DH499" s="82">
        <f t="shared" si="250"/>
        <v>0</v>
      </c>
      <c r="DI499" s="83" t="b">
        <f>IF($C499=1,(VLOOKUP($A499,FIJOS!$B$11:$P$545,10,FALSE)/7)*(7-$CU499),IF(AND($C499=2,CV499&lt;$DJ$1),(VLOOKUP($D499,HORAS!$B$4:$C$42,2,FALSE)*24)*$CV499,IF(AND($C499=2,CV499&gt;=$DJ$1),VLOOKUP($D499,HORAS!$B$4:$D$42,3,FALSE),IF(AND($C499=3,$CV499&gt;=$DJ$1),VLOOKUP($A499,FIJOS!$B$11:$P$545,10,FALSE),IF(AND($C499=3,$CV499&lt;$DJ$1),((VLOOKUP($A499,FIJOS!$B$11:$P$545,10,FALSE)/48)*24)*$CV499,IF(AND($C499=4,$CV499&gt;=(42/24)),VLOOKUP($D499,HORAS!$B$4:$D$42,3,FALSE),IF(AND($C499=5,$CV499&gt;=(36/24)),VLOOKUP($D499,HORAS!$B$4:$D$42,3,FALSE))))))))</f>
        <v>0</v>
      </c>
      <c r="DJ499" s="145">
        <f>IF(OR($C499=2),VLOOKUP($D499,HORAS!$B$4:$E$42,4,FALSE)*$EC499,IF(ISERROR(VLOOKUP($A499,FIJOS!$B$11:$P$108,9,FALSE)),0,VLOOKUP($A499,FIJOS!$B$11:$P$231,9,FALSE)*$EC499))</f>
        <v>0</v>
      </c>
      <c r="DK499" s="145">
        <f>IF(OR($C499=2),VLOOKUP($D499,HORAS!$B$4:$F$42,5,FALSE)*$EE499,IF(ISERROR(VLOOKUP($A499,FIJOS!$B$11:$P$108,9,FALSE)),0,VLOOKUP($A499,FIJOS!$B$11:$P$231,9,FALSE)*$EE499))</f>
        <v>0</v>
      </c>
      <c r="DL499" s="144"/>
      <c r="DM499" s="145">
        <f>IF(ISERROR(VLOOKUP($A499,FIJOS!$B$11:$L$646,11,FALSE)),0,VLOOKUP($A499,FIJOS!$B$11:$L$646,11,FALSE))</f>
        <v>0</v>
      </c>
      <c r="DN499" s="148" t="e">
        <f>IF(OR($C499=1,$C499=3),0,IF((VLOOKUP(CAPTURA!D499,HORAS!$B$4:$K$42,10,FALSE)/4)*COUNTIF($H499:$CT499,3)&gt;100,100,(VLOOKUP(CAPTURA!D499,HORAS!$B$4:$K$42,10,FALSE)/4)*COUNTIF($H499:$CT499,3)))</f>
        <v>#N/A</v>
      </c>
      <c r="DO499" s="144" t="e">
        <f>IF(OR($C499=1,$C499=3),0,IF($C499=5,VLOOKUP(D499,HORAS!$B$4:$G$42,6,FALSE),IF(AND($C499=4,$CV499&gt;=(42/24)),VLOOKUP(D499,HORAS!$B$4:$G$42,6,FALSE),IF(COUNTIF($H499:$CL499,"F")&gt;0,0,IF(CV499&gt;$DJ$1,$DJ$1*(VLOOKUP(D499,HORAS!$B$4:$G$42,6,FALSE)/$DJ$1),CV499*(VLOOKUP(D499,HORAS!$B$4:$G$42,6,FALSE)/$DJ$1))))))</f>
        <v>#N/A</v>
      </c>
      <c r="DP499" s="156"/>
      <c r="DQ499" s="148"/>
      <c r="DR499" s="148"/>
      <c r="DS499" s="83" t="e">
        <f t="shared" si="162"/>
        <v>#N/A</v>
      </c>
      <c r="DT499" s="84"/>
      <c r="DU499" s="149" t="e">
        <f t="shared" si="251"/>
        <v>#N/A</v>
      </c>
      <c r="DV499" s="149" t="e">
        <f t="shared" si="252"/>
        <v>#N/A</v>
      </c>
      <c r="DW499" s="144" t="e">
        <f t="shared" si="253"/>
        <v>#N/A</v>
      </c>
      <c r="DX499" s="168"/>
      <c r="DY499" s="29"/>
      <c r="DZ499" s="150"/>
      <c r="EA499" s="134"/>
      <c r="EB499" s="137">
        <f t="shared" si="254"/>
        <v>0</v>
      </c>
      <c r="EC499" s="138">
        <f t="shared" si="255"/>
        <v>0</v>
      </c>
      <c r="ED499" s="137">
        <f t="shared" si="256"/>
        <v>0</v>
      </c>
      <c r="EE499" s="132">
        <f t="shared" si="257"/>
        <v>0</v>
      </c>
      <c r="EF499" s="29"/>
      <c r="EG499" s="134"/>
      <c r="EH499" s="134"/>
      <c r="EI499" s="134"/>
      <c r="EK499" s="29"/>
    </row>
    <row r="500" spans="1:141" ht="15" customHeight="1" x14ac:dyDescent="0.25">
      <c r="A500" s="87"/>
      <c r="B500" s="5"/>
      <c r="C500" s="72"/>
      <c r="D500" s="73"/>
      <c r="E500" s="73"/>
      <c r="F500" s="141"/>
      <c r="G500" s="74"/>
      <c r="H500" s="75"/>
      <c r="I500" s="76"/>
      <c r="J500" s="135"/>
      <c r="K500" s="135"/>
      <c r="L500" s="77">
        <f t="shared" si="138"/>
        <v>0</v>
      </c>
      <c r="M500" s="78"/>
      <c r="N500" s="142"/>
      <c r="O500" s="142"/>
      <c r="P500" s="77">
        <f t="shared" si="139"/>
        <v>0</v>
      </c>
      <c r="Q500" s="78"/>
      <c r="R500" s="143"/>
      <c r="S500" s="143"/>
      <c r="T500" s="77">
        <f t="shared" si="140"/>
        <v>0</v>
      </c>
      <c r="U500" s="75"/>
      <c r="V500" s="76"/>
      <c r="W500" s="135"/>
      <c r="X500" s="135"/>
      <c r="Y500" s="77">
        <f t="shared" si="141"/>
        <v>0</v>
      </c>
      <c r="Z500" s="78"/>
      <c r="AA500" s="142"/>
      <c r="AB500" s="142"/>
      <c r="AC500" s="77">
        <f t="shared" si="142"/>
        <v>0</v>
      </c>
      <c r="AD500" s="78"/>
      <c r="AE500" s="143"/>
      <c r="AF500" s="143"/>
      <c r="AG500" s="79">
        <f t="shared" si="143"/>
        <v>0</v>
      </c>
      <c r="AH500" s="75"/>
      <c r="AI500" s="76"/>
      <c r="AJ500" s="135"/>
      <c r="AK500" s="135"/>
      <c r="AL500" s="77">
        <f t="shared" si="144"/>
        <v>0</v>
      </c>
      <c r="AM500" s="76"/>
      <c r="AN500" s="142"/>
      <c r="AO500" s="142"/>
      <c r="AP500" s="77">
        <f t="shared" si="145"/>
        <v>0</v>
      </c>
      <c r="AQ500" s="78"/>
      <c r="AR500" s="142"/>
      <c r="AS500" s="142"/>
      <c r="AT500" s="79">
        <f t="shared" si="146"/>
        <v>0</v>
      </c>
      <c r="AU500" s="75"/>
      <c r="AV500" s="76"/>
      <c r="AW500" s="135"/>
      <c r="AX500" s="135"/>
      <c r="AY500" s="77">
        <f t="shared" si="147"/>
        <v>0</v>
      </c>
      <c r="AZ500" s="76"/>
      <c r="BA500" s="142"/>
      <c r="BB500" s="142"/>
      <c r="BC500" s="77">
        <f t="shared" si="148"/>
        <v>0</v>
      </c>
      <c r="BD500" s="78"/>
      <c r="BE500" s="142"/>
      <c r="BF500" s="142"/>
      <c r="BG500" s="79">
        <f t="shared" si="149"/>
        <v>0</v>
      </c>
      <c r="BH500" s="75"/>
      <c r="BI500" s="76"/>
      <c r="BJ500" s="135"/>
      <c r="BK500" s="135"/>
      <c r="BL500" s="77">
        <f t="shared" si="150"/>
        <v>0</v>
      </c>
      <c r="BM500" s="78"/>
      <c r="BN500" s="142"/>
      <c r="BO500" s="142"/>
      <c r="BP500" s="77">
        <f t="shared" si="151"/>
        <v>0</v>
      </c>
      <c r="BQ500" s="78"/>
      <c r="BR500" s="142"/>
      <c r="BS500" s="142"/>
      <c r="BT500" s="79">
        <f t="shared" si="152"/>
        <v>0</v>
      </c>
      <c r="BU500" s="75"/>
      <c r="BV500" s="76"/>
      <c r="BW500" s="135"/>
      <c r="BX500" s="135"/>
      <c r="BY500" s="77">
        <f t="shared" si="153"/>
        <v>0</v>
      </c>
      <c r="BZ500" s="78"/>
      <c r="CA500" s="142"/>
      <c r="CB500" s="142"/>
      <c r="CC500" s="77">
        <f t="shared" si="154"/>
        <v>0</v>
      </c>
      <c r="CD500" s="78"/>
      <c r="CE500" s="142"/>
      <c r="CF500" s="142"/>
      <c r="CG500" s="79">
        <f t="shared" si="155"/>
        <v>0</v>
      </c>
      <c r="CH500" s="75"/>
      <c r="CI500" s="76"/>
      <c r="CJ500" s="86"/>
      <c r="CK500" s="86"/>
      <c r="CL500" s="77">
        <f t="shared" si="156"/>
        <v>0</v>
      </c>
      <c r="CM500" s="78"/>
      <c r="CN500" s="85"/>
      <c r="CO500" s="85"/>
      <c r="CP500" s="77">
        <f t="shared" si="157"/>
        <v>0</v>
      </c>
      <c r="CQ500" s="78"/>
      <c r="CR500" s="85"/>
      <c r="CS500" s="85"/>
      <c r="CT500" s="79">
        <f t="shared" si="158"/>
        <v>0</v>
      </c>
      <c r="CU500" s="80">
        <f t="shared" si="168"/>
        <v>0</v>
      </c>
      <c r="CV500" s="81">
        <f t="shared" si="169"/>
        <v>0</v>
      </c>
      <c r="CW500" s="144"/>
      <c r="CX500" s="145">
        <f>IF(ISERROR(VLOOKUP($A500,FIJOS!$B$11:$O$590,14,FALSE)),0,VLOOKUP($A500,FIJOS!$B$11:$O$590,14,FALSE))</f>
        <v>0</v>
      </c>
      <c r="CY500" s="145">
        <f>IF(ISERROR(VLOOKUP(A500,FIJOS!$B$10:$P$590,15,FALSE)),0,VLOOKUP(A500,FIJOS!$B$10:$P$590,15,FALSE))</f>
        <v>0</v>
      </c>
      <c r="CZ500" s="155"/>
      <c r="DA500" s="147"/>
      <c r="DB500" s="147"/>
      <c r="DC500" s="147"/>
      <c r="DD500" s="147"/>
      <c r="DE500" s="147"/>
      <c r="DF500" s="145">
        <f>IF(ISERROR(VLOOKUP($A500,FIJOS!$B$11:$N$590,13,FALSE)),0,VLOOKUP($A500,FIJOS!$B$11:$N$590,13,FALSE))</f>
        <v>0</v>
      </c>
      <c r="DG500" s="145">
        <f>IF(ISERROR(VLOOKUP($A500,FIJOS!$B$11:$P$447,12,FALSE)),0,VLOOKUP($A500,FIJOS!$B$11:$P$447,12,FALSE))</f>
        <v>0</v>
      </c>
      <c r="DH500" s="82">
        <f t="shared" si="250"/>
        <v>0</v>
      </c>
      <c r="DI500" s="83" t="b">
        <f>IF($C500=1,(VLOOKUP($A500,FIJOS!$B$11:$P$545,10,FALSE)/7)*(7-$CU500),IF(AND($C500=2,CV500&lt;$DJ$1),(VLOOKUP($D500,HORAS!$B$4:$C$42,2,FALSE)*24)*$CV500,IF(AND($C500=2,CV500&gt;=$DJ$1),VLOOKUP($D500,HORAS!$B$4:$D$42,3,FALSE),IF(AND($C500=3,$CV500&gt;=$DJ$1),VLOOKUP($A500,FIJOS!$B$11:$P$545,10,FALSE),IF(AND($C500=3,$CV500&lt;$DJ$1),((VLOOKUP($A500,FIJOS!$B$11:$P$545,10,FALSE)/48)*24)*$CV500,IF(AND($C500=4,$CV500&gt;=(42/24)),VLOOKUP($D500,HORAS!$B$4:$D$42,3,FALSE),IF(AND($C500=5,$CV500&gt;=(36/24)),VLOOKUP($D500,HORAS!$B$4:$D$42,3,FALSE))))))))</f>
        <v>0</v>
      </c>
      <c r="DJ500" s="145">
        <f>IF(OR($C500=2),VLOOKUP($D500,HORAS!$B$4:$E$42,4,FALSE)*$EC500,IF(ISERROR(VLOOKUP($A500,FIJOS!$B$11:$P$108,9,FALSE)),0,VLOOKUP($A500,FIJOS!$B$11:$P$231,9,FALSE)*$EC500))</f>
        <v>0</v>
      </c>
      <c r="DK500" s="145">
        <f>IF(OR($C500=2),VLOOKUP($D500,HORAS!$B$4:$F$42,5,FALSE)*$EE500,IF(ISERROR(VLOOKUP($A500,FIJOS!$B$11:$P$108,9,FALSE)),0,VLOOKUP($A500,FIJOS!$B$11:$P$231,9,FALSE)*$EE500))</f>
        <v>0</v>
      </c>
      <c r="DL500" s="144"/>
      <c r="DM500" s="145">
        <f>IF(ISERROR(VLOOKUP($A500,FIJOS!$B$11:$L$646,11,FALSE)),0,VLOOKUP($A500,FIJOS!$B$11:$L$646,11,FALSE))</f>
        <v>0</v>
      </c>
      <c r="DN500" s="148" t="e">
        <f>IF(OR($C500=1,$C500=3),0,IF((VLOOKUP(CAPTURA!D500,HORAS!$B$4:$K$42,10,FALSE)/4)*COUNTIF($H500:$CT500,3)&gt;100,100,(VLOOKUP(CAPTURA!D500,HORAS!$B$4:$K$42,10,FALSE)/4)*COUNTIF($H500:$CT500,3)))</f>
        <v>#N/A</v>
      </c>
      <c r="DO500" s="144" t="e">
        <f>IF(OR($C500=1,$C500=3),0,IF($C500=5,VLOOKUP(D500,HORAS!$B$4:$G$42,6,FALSE),IF(AND($C500=4,$CV500&gt;=(42/24)),VLOOKUP(D500,HORAS!$B$4:$G$42,6,FALSE),IF(COUNTIF($H500:$CL500,"F")&gt;0,0,IF(CV500&gt;$DJ$1,$DJ$1*(VLOOKUP(D500,HORAS!$B$4:$G$42,6,FALSE)/$DJ$1),CV500*(VLOOKUP(D500,HORAS!$B$4:$G$42,6,FALSE)/$DJ$1))))))</f>
        <v>#N/A</v>
      </c>
      <c r="DP500" s="156"/>
      <c r="DQ500" s="148"/>
      <c r="DR500" s="148"/>
      <c r="DS500" s="83" t="e">
        <f t="shared" si="162"/>
        <v>#N/A</v>
      </c>
      <c r="DT500" s="84"/>
      <c r="DU500" s="149" t="e">
        <f t="shared" si="251"/>
        <v>#N/A</v>
      </c>
      <c r="DV500" s="149" t="e">
        <f t="shared" si="252"/>
        <v>#N/A</v>
      </c>
      <c r="DW500" s="144" t="e">
        <f t="shared" si="253"/>
        <v>#N/A</v>
      </c>
      <c r="DX500" s="168"/>
      <c r="DY500" s="29"/>
      <c r="DZ500" s="150"/>
      <c r="EA500" s="134"/>
      <c r="EB500" s="137">
        <f t="shared" si="254"/>
        <v>0</v>
      </c>
      <c r="EC500" s="138">
        <f t="shared" si="255"/>
        <v>0</v>
      </c>
      <c r="ED500" s="137">
        <f t="shared" si="256"/>
        <v>0</v>
      </c>
      <c r="EE500" s="132">
        <f t="shared" si="257"/>
        <v>0</v>
      </c>
      <c r="EF500" s="29"/>
      <c r="EG500" s="134"/>
      <c r="EH500" s="134"/>
      <c r="EI500" s="134"/>
      <c r="EK500" s="29"/>
    </row>
    <row r="501" spans="1:141" ht="15" customHeight="1" x14ac:dyDescent="0.25">
      <c r="A501" s="87"/>
      <c r="B501" s="5"/>
      <c r="C501" s="72"/>
      <c r="D501" s="73"/>
      <c r="E501" s="73"/>
      <c r="F501" s="141"/>
      <c r="G501" s="74"/>
      <c r="H501" s="75"/>
      <c r="I501" s="76"/>
      <c r="J501" s="135"/>
      <c r="K501" s="135"/>
      <c r="L501" s="77">
        <f t="shared" si="138"/>
        <v>0</v>
      </c>
      <c r="M501" s="78"/>
      <c r="N501" s="142"/>
      <c r="O501" s="142"/>
      <c r="P501" s="77">
        <f t="shared" si="139"/>
        <v>0</v>
      </c>
      <c r="Q501" s="78"/>
      <c r="R501" s="143"/>
      <c r="S501" s="143"/>
      <c r="T501" s="77">
        <f t="shared" si="140"/>
        <v>0</v>
      </c>
      <c r="U501" s="75"/>
      <c r="V501" s="76"/>
      <c r="W501" s="135"/>
      <c r="X501" s="135"/>
      <c r="Y501" s="77">
        <f t="shared" si="141"/>
        <v>0</v>
      </c>
      <c r="Z501" s="78"/>
      <c r="AA501" s="142"/>
      <c r="AB501" s="142"/>
      <c r="AC501" s="77">
        <f t="shared" si="142"/>
        <v>0</v>
      </c>
      <c r="AD501" s="78"/>
      <c r="AE501" s="143"/>
      <c r="AF501" s="143"/>
      <c r="AG501" s="79">
        <f t="shared" si="143"/>
        <v>0</v>
      </c>
      <c r="AH501" s="75"/>
      <c r="AI501" s="76"/>
      <c r="AJ501" s="135"/>
      <c r="AK501" s="135"/>
      <c r="AL501" s="77">
        <f t="shared" si="144"/>
        <v>0</v>
      </c>
      <c r="AM501" s="76"/>
      <c r="AN501" s="142"/>
      <c r="AO501" s="142"/>
      <c r="AP501" s="77">
        <f t="shared" si="145"/>
        <v>0</v>
      </c>
      <c r="AQ501" s="78"/>
      <c r="AR501" s="142"/>
      <c r="AS501" s="142"/>
      <c r="AT501" s="79">
        <f t="shared" si="146"/>
        <v>0</v>
      </c>
      <c r="AU501" s="75"/>
      <c r="AV501" s="76"/>
      <c r="AW501" s="135"/>
      <c r="AX501" s="135"/>
      <c r="AY501" s="77">
        <f t="shared" si="147"/>
        <v>0</v>
      </c>
      <c r="AZ501" s="76"/>
      <c r="BA501" s="142"/>
      <c r="BB501" s="142"/>
      <c r="BC501" s="77">
        <f t="shared" si="148"/>
        <v>0</v>
      </c>
      <c r="BD501" s="78"/>
      <c r="BE501" s="142"/>
      <c r="BF501" s="142"/>
      <c r="BG501" s="79">
        <f t="shared" si="149"/>
        <v>0</v>
      </c>
      <c r="BH501" s="75"/>
      <c r="BI501" s="76"/>
      <c r="BJ501" s="135"/>
      <c r="BK501" s="135"/>
      <c r="BL501" s="77">
        <f t="shared" si="150"/>
        <v>0</v>
      </c>
      <c r="BM501" s="78"/>
      <c r="BN501" s="142"/>
      <c r="BO501" s="142"/>
      <c r="BP501" s="77">
        <f t="shared" si="151"/>
        <v>0</v>
      </c>
      <c r="BQ501" s="78"/>
      <c r="BR501" s="142"/>
      <c r="BS501" s="142"/>
      <c r="BT501" s="79">
        <f t="shared" si="152"/>
        <v>0</v>
      </c>
      <c r="BU501" s="75"/>
      <c r="BV501" s="76"/>
      <c r="BW501" s="135"/>
      <c r="BX501" s="135"/>
      <c r="BY501" s="77">
        <f t="shared" si="153"/>
        <v>0</v>
      </c>
      <c r="BZ501" s="78"/>
      <c r="CA501" s="142"/>
      <c r="CB501" s="142"/>
      <c r="CC501" s="77">
        <f t="shared" si="154"/>
        <v>0</v>
      </c>
      <c r="CD501" s="78"/>
      <c r="CE501" s="142"/>
      <c r="CF501" s="142"/>
      <c r="CG501" s="79">
        <f t="shared" si="155"/>
        <v>0</v>
      </c>
      <c r="CH501" s="75"/>
      <c r="CI501" s="76"/>
      <c r="CJ501" s="86"/>
      <c r="CK501" s="86"/>
      <c r="CL501" s="77">
        <f t="shared" si="156"/>
        <v>0</v>
      </c>
      <c r="CM501" s="78"/>
      <c r="CN501" s="85"/>
      <c r="CO501" s="85"/>
      <c r="CP501" s="77">
        <f t="shared" si="157"/>
        <v>0</v>
      </c>
      <c r="CQ501" s="78"/>
      <c r="CR501" s="85"/>
      <c r="CS501" s="85"/>
      <c r="CT501" s="79">
        <f t="shared" si="158"/>
        <v>0</v>
      </c>
      <c r="CU501" s="80">
        <f t="shared" si="168"/>
        <v>0</v>
      </c>
      <c r="CV501" s="81">
        <f t="shared" si="169"/>
        <v>0</v>
      </c>
      <c r="CW501" s="144"/>
      <c r="CX501" s="145">
        <f>IF(ISERROR(VLOOKUP($A501,FIJOS!$B$11:$O$590,14,FALSE)),0,VLOOKUP($A501,FIJOS!$B$11:$O$590,14,FALSE))</f>
        <v>0</v>
      </c>
      <c r="CY501" s="145">
        <f>IF(ISERROR(VLOOKUP(A501,FIJOS!$B$10:$P$590,15,FALSE)),0,VLOOKUP(A501,FIJOS!$B$10:$P$590,15,FALSE))</f>
        <v>0</v>
      </c>
      <c r="CZ501" s="155"/>
      <c r="DA501" s="147"/>
      <c r="DB501" s="147"/>
      <c r="DC501" s="147"/>
      <c r="DD501" s="147"/>
      <c r="DE501" s="147"/>
      <c r="DF501" s="145">
        <f>IF(ISERROR(VLOOKUP($A501,FIJOS!$B$11:$N$590,13,FALSE)),0,VLOOKUP($A501,FIJOS!$B$11:$N$590,13,FALSE))</f>
        <v>0</v>
      </c>
      <c r="DG501" s="145">
        <f>IF(ISERROR(VLOOKUP($A501,FIJOS!$B$11:$P$447,12,FALSE)),0,VLOOKUP($A501,FIJOS!$B$11:$P$447,12,FALSE))</f>
        <v>0</v>
      </c>
      <c r="DH501" s="82">
        <f t="shared" si="250"/>
        <v>0</v>
      </c>
      <c r="DI501" s="83" t="b">
        <f>IF($C501=1,(VLOOKUP($A501,FIJOS!$B$11:$P$545,10,FALSE)/7)*(7-$CU501),IF(AND($C501=2,CV501&lt;$DJ$1),(VLOOKUP($D501,HORAS!$B$4:$C$42,2,FALSE)*24)*$CV501,IF(AND($C501=2,CV501&gt;=$DJ$1),VLOOKUP($D501,HORAS!$B$4:$D$42,3,FALSE),IF(AND($C501=3,$CV501&gt;=$DJ$1),VLOOKUP($A501,FIJOS!$B$11:$P$545,10,FALSE),IF(AND($C501=3,$CV501&lt;$DJ$1),((VLOOKUP($A501,FIJOS!$B$11:$P$545,10,FALSE)/48)*24)*$CV501,IF(AND($C501=4,$CV501&gt;=(42/24)),VLOOKUP($D501,HORAS!$B$4:$D$42,3,FALSE),IF(AND($C501=5,$CV501&gt;=(36/24)),VLOOKUP($D501,HORAS!$B$4:$D$42,3,FALSE))))))))</f>
        <v>0</v>
      </c>
      <c r="DJ501" s="145">
        <f>IF(OR($C501=2),VLOOKUP($D501,HORAS!$B$4:$E$42,4,FALSE)*$EC501,IF(ISERROR(VLOOKUP($A501,FIJOS!$B$11:$P$108,9,FALSE)),0,VLOOKUP($A501,FIJOS!$B$11:$P$231,9,FALSE)*$EC501))</f>
        <v>0</v>
      </c>
      <c r="DK501" s="145">
        <f>IF(OR($C501=2),VLOOKUP($D501,HORAS!$B$4:$F$42,5,FALSE)*$EE501,IF(ISERROR(VLOOKUP($A501,FIJOS!$B$11:$P$108,9,FALSE)),0,VLOOKUP($A501,FIJOS!$B$11:$P$231,9,FALSE)*$EE501))</f>
        <v>0</v>
      </c>
      <c r="DL501" s="144"/>
      <c r="DM501" s="145">
        <f>IF(ISERROR(VLOOKUP($A501,FIJOS!$B$11:$L$646,11,FALSE)),0,VLOOKUP($A501,FIJOS!$B$11:$L$646,11,FALSE))</f>
        <v>0</v>
      </c>
      <c r="DN501" s="148" t="e">
        <f>IF(OR($C501=1,$C501=3),0,IF((VLOOKUP(CAPTURA!D501,HORAS!$B$4:$K$42,10,FALSE)/4)*COUNTIF($H501:$CT501,3)&gt;100,100,(VLOOKUP(CAPTURA!D501,HORAS!$B$4:$K$42,10,FALSE)/4)*COUNTIF($H501:$CT501,3)))</f>
        <v>#N/A</v>
      </c>
      <c r="DO501" s="144" t="e">
        <f>IF(OR($C501=1,$C501=3),0,IF($C501=5,VLOOKUP(D501,HORAS!$B$4:$G$42,6,FALSE),IF(AND($C501=4,$CV501&gt;=(42/24)),VLOOKUP(D501,HORAS!$B$4:$G$42,6,FALSE),IF(COUNTIF($H501:$CL501,"F")&gt;0,0,IF(CV501&gt;$DJ$1,$DJ$1*(VLOOKUP(D501,HORAS!$B$4:$G$42,6,FALSE)/$DJ$1),CV501*(VLOOKUP(D501,HORAS!$B$4:$G$42,6,FALSE)/$DJ$1))))))</f>
        <v>#N/A</v>
      </c>
      <c r="DP501" s="156"/>
      <c r="DQ501" s="148"/>
      <c r="DR501" s="148"/>
      <c r="DS501" s="83" t="e">
        <f t="shared" si="162"/>
        <v>#N/A</v>
      </c>
      <c r="DT501" s="84"/>
      <c r="DU501" s="149" t="e">
        <f t="shared" si="251"/>
        <v>#N/A</v>
      </c>
      <c r="DV501" s="149" t="e">
        <f t="shared" si="252"/>
        <v>#N/A</v>
      </c>
      <c r="DW501" s="144" t="e">
        <f t="shared" si="253"/>
        <v>#N/A</v>
      </c>
      <c r="DX501" s="168"/>
      <c r="DY501" s="29"/>
      <c r="DZ501" s="150"/>
      <c r="EA501" s="134"/>
      <c r="EB501" s="137">
        <f t="shared" si="254"/>
        <v>0</v>
      </c>
      <c r="EC501" s="138">
        <f t="shared" si="255"/>
        <v>0</v>
      </c>
      <c r="ED501" s="137">
        <f t="shared" si="256"/>
        <v>0</v>
      </c>
      <c r="EE501" s="132">
        <f t="shared" si="257"/>
        <v>0</v>
      </c>
      <c r="EF501" s="29"/>
      <c r="EG501" s="134"/>
      <c r="EH501" s="134"/>
      <c r="EI501" s="134"/>
      <c r="EK501" s="29"/>
    </row>
    <row r="502" spans="1:141" ht="15" customHeight="1" x14ac:dyDescent="0.25">
      <c r="A502" s="87"/>
      <c r="B502" s="5"/>
      <c r="C502" s="72"/>
      <c r="D502" s="73"/>
      <c r="E502" s="73"/>
      <c r="F502" s="141"/>
      <c r="G502" s="74"/>
      <c r="H502" s="75"/>
      <c r="I502" s="76"/>
      <c r="J502" s="135"/>
      <c r="K502" s="135"/>
      <c r="L502" s="77">
        <f t="shared" si="138"/>
        <v>0</v>
      </c>
      <c r="M502" s="78"/>
      <c r="N502" s="142"/>
      <c r="O502" s="142"/>
      <c r="P502" s="77">
        <f t="shared" si="139"/>
        <v>0</v>
      </c>
      <c r="Q502" s="78"/>
      <c r="R502" s="143"/>
      <c r="S502" s="143"/>
      <c r="T502" s="77">
        <f t="shared" si="140"/>
        <v>0</v>
      </c>
      <c r="U502" s="75"/>
      <c r="V502" s="76"/>
      <c r="W502" s="135"/>
      <c r="X502" s="135"/>
      <c r="Y502" s="77">
        <f t="shared" si="141"/>
        <v>0</v>
      </c>
      <c r="Z502" s="78"/>
      <c r="AA502" s="142"/>
      <c r="AB502" s="142"/>
      <c r="AC502" s="77">
        <f t="shared" si="142"/>
        <v>0</v>
      </c>
      <c r="AD502" s="78"/>
      <c r="AE502" s="143"/>
      <c r="AF502" s="143"/>
      <c r="AG502" s="79">
        <f t="shared" si="143"/>
        <v>0</v>
      </c>
      <c r="AH502" s="75"/>
      <c r="AI502" s="76"/>
      <c r="AJ502" s="135"/>
      <c r="AK502" s="135"/>
      <c r="AL502" s="77">
        <f t="shared" si="144"/>
        <v>0</v>
      </c>
      <c r="AM502" s="76"/>
      <c r="AN502" s="142"/>
      <c r="AO502" s="142"/>
      <c r="AP502" s="77">
        <f t="shared" si="145"/>
        <v>0</v>
      </c>
      <c r="AQ502" s="78"/>
      <c r="AR502" s="142"/>
      <c r="AS502" s="142"/>
      <c r="AT502" s="79">
        <f t="shared" si="146"/>
        <v>0</v>
      </c>
      <c r="AU502" s="75"/>
      <c r="AV502" s="76"/>
      <c r="AW502" s="135"/>
      <c r="AX502" s="135"/>
      <c r="AY502" s="77">
        <f t="shared" si="147"/>
        <v>0</v>
      </c>
      <c r="AZ502" s="76"/>
      <c r="BA502" s="142"/>
      <c r="BB502" s="142"/>
      <c r="BC502" s="77">
        <f t="shared" si="148"/>
        <v>0</v>
      </c>
      <c r="BD502" s="78"/>
      <c r="BE502" s="142"/>
      <c r="BF502" s="142"/>
      <c r="BG502" s="79">
        <f t="shared" si="149"/>
        <v>0</v>
      </c>
      <c r="BH502" s="75"/>
      <c r="BI502" s="76"/>
      <c r="BJ502" s="135"/>
      <c r="BK502" s="135"/>
      <c r="BL502" s="77">
        <f t="shared" si="150"/>
        <v>0</v>
      </c>
      <c r="BM502" s="78"/>
      <c r="BN502" s="142"/>
      <c r="BO502" s="142"/>
      <c r="BP502" s="77">
        <f t="shared" si="151"/>
        <v>0</v>
      </c>
      <c r="BQ502" s="78"/>
      <c r="BR502" s="142"/>
      <c r="BS502" s="142"/>
      <c r="BT502" s="79">
        <f t="shared" si="152"/>
        <v>0</v>
      </c>
      <c r="BU502" s="75"/>
      <c r="BV502" s="76"/>
      <c r="BW502" s="135"/>
      <c r="BX502" s="135"/>
      <c r="BY502" s="77">
        <f t="shared" si="153"/>
        <v>0</v>
      </c>
      <c r="BZ502" s="78"/>
      <c r="CA502" s="142"/>
      <c r="CB502" s="142"/>
      <c r="CC502" s="77">
        <f t="shared" si="154"/>
        <v>0</v>
      </c>
      <c r="CD502" s="78"/>
      <c r="CE502" s="142"/>
      <c r="CF502" s="142"/>
      <c r="CG502" s="79">
        <f t="shared" si="155"/>
        <v>0</v>
      </c>
      <c r="CH502" s="75"/>
      <c r="CI502" s="76"/>
      <c r="CJ502" s="86"/>
      <c r="CK502" s="86"/>
      <c r="CL502" s="77">
        <f t="shared" si="156"/>
        <v>0</v>
      </c>
      <c r="CM502" s="78"/>
      <c r="CN502" s="85"/>
      <c r="CO502" s="85"/>
      <c r="CP502" s="77">
        <f t="shared" si="157"/>
        <v>0</v>
      </c>
      <c r="CQ502" s="78"/>
      <c r="CR502" s="85"/>
      <c r="CS502" s="85"/>
      <c r="CT502" s="79">
        <f t="shared" si="158"/>
        <v>0</v>
      </c>
      <c r="CU502" s="80">
        <f t="shared" si="168"/>
        <v>0</v>
      </c>
      <c r="CV502" s="81">
        <f t="shared" si="169"/>
        <v>0</v>
      </c>
      <c r="CW502" s="144"/>
      <c r="CX502" s="145">
        <f>IF(ISERROR(VLOOKUP($A502,FIJOS!$B$11:$O$590,14,FALSE)),0,VLOOKUP($A502,FIJOS!$B$11:$O$590,14,FALSE))</f>
        <v>0</v>
      </c>
      <c r="CY502" s="145">
        <f>IF(ISERROR(VLOOKUP(A502,FIJOS!$B$10:$P$590,15,FALSE)),0,VLOOKUP(A502,FIJOS!$B$10:$P$590,15,FALSE))</f>
        <v>0</v>
      </c>
      <c r="CZ502" s="155"/>
      <c r="DA502" s="147"/>
      <c r="DB502" s="147"/>
      <c r="DC502" s="147"/>
      <c r="DD502" s="147"/>
      <c r="DE502" s="147"/>
      <c r="DF502" s="145">
        <f>IF(ISERROR(VLOOKUP($A502,FIJOS!$B$11:$N$590,13,FALSE)),0,VLOOKUP($A502,FIJOS!$B$11:$N$590,13,FALSE))</f>
        <v>0</v>
      </c>
      <c r="DG502" s="145">
        <f>IF(ISERROR(VLOOKUP($A502,FIJOS!$B$11:$P$447,12,FALSE)),0,VLOOKUP($A502,FIJOS!$B$11:$P$447,12,FALSE))</f>
        <v>0</v>
      </c>
      <c r="DH502" s="82">
        <f t="shared" si="250"/>
        <v>0</v>
      </c>
      <c r="DI502" s="83" t="b">
        <f>IF($C502=1,(VLOOKUP($A502,FIJOS!$B$11:$P$545,10,FALSE)/7)*(7-$CU502),IF(AND($C502=2,CV502&lt;$DJ$1),(VLOOKUP($D502,HORAS!$B$4:$C$42,2,FALSE)*24)*$CV502,IF(AND($C502=2,CV502&gt;=$DJ$1),VLOOKUP($D502,HORAS!$B$4:$D$42,3,FALSE),IF(AND($C502=3,$CV502&gt;=$DJ$1),VLOOKUP($A502,FIJOS!$B$11:$P$545,10,FALSE),IF(AND($C502=3,$CV502&lt;$DJ$1),((VLOOKUP($A502,FIJOS!$B$11:$P$545,10,FALSE)/48)*24)*$CV502,IF(AND($C502=4,$CV502&gt;=(42/24)),VLOOKUP($D502,HORAS!$B$4:$D$42,3,FALSE),IF(AND($C502=5,$CV502&gt;=(36/24)),VLOOKUP($D502,HORAS!$B$4:$D$42,3,FALSE))))))))</f>
        <v>0</v>
      </c>
      <c r="DJ502" s="145">
        <f>IF(OR($C502=2),VLOOKUP($D502,HORAS!$B$4:$E$42,4,FALSE)*$EC502,IF(ISERROR(VLOOKUP($A502,FIJOS!$B$11:$P$108,9,FALSE)),0,VLOOKUP($A502,FIJOS!$B$11:$P$231,9,FALSE)*$EC502))</f>
        <v>0</v>
      </c>
      <c r="DK502" s="145">
        <f>IF(OR($C502=2),VLOOKUP($D502,HORAS!$B$4:$F$42,5,FALSE)*$EE502,IF(ISERROR(VLOOKUP($A502,FIJOS!$B$11:$P$108,9,FALSE)),0,VLOOKUP($A502,FIJOS!$B$11:$P$231,9,FALSE)*$EE502))</f>
        <v>0</v>
      </c>
      <c r="DL502" s="144"/>
      <c r="DM502" s="145">
        <f>IF(ISERROR(VLOOKUP($A502,FIJOS!$B$11:$L$646,11,FALSE)),0,VLOOKUP($A502,FIJOS!$B$11:$L$646,11,FALSE))</f>
        <v>0</v>
      </c>
      <c r="DN502" s="148" t="e">
        <f>IF(OR($C502=1,$C502=3),0,IF((VLOOKUP(CAPTURA!D502,HORAS!$B$4:$K$42,10,FALSE)/4)*COUNTIF($H502:$CT502,3)&gt;100,100,(VLOOKUP(CAPTURA!D502,HORAS!$B$4:$K$42,10,FALSE)/4)*COUNTIF($H502:$CT502,3)))</f>
        <v>#N/A</v>
      </c>
      <c r="DO502" s="144" t="e">
        <f>IF(OR($C502=1,$C502=3),0,IF($C502=5,VLOOKUP(D502,HORAS!$B$4:$G$42,6,FALSE),IF(AND($C502=4,$CV502&gt;=(42/24)),VLOOKUP(D502,HORAS!$B$4:$G$42,6,FALSE),IF(COUNTIF($H502:$CL502,"F")&gt;0,0,IF(CV502&gt;$DJ$1,$DJ$1*(VLOOKUP(D502,HORAS!$B$4:$G$42,6,FALSE)/$DJ$1),CV502*(VLOOKUP(D502,HORAS!$B$4:$G$42,6,FALSE)/$DJ$1))))))</f>
        <v>#N/A</v>
      </c>
      <c r="DP502" s="156"/>
      <c r="DQ502" s="148"/>
      <c r="DR502" s="148"/>
      <c r="DS502" s="83" t="e">
        <f t="shared" si="162"/>
        <v>#N/A</v>
      </c>
      <c r="DT502" s="84"/>
      <c r="DU502" s="149" t="e">
        <f t="shared" si="251"/>
        <v>#N/A</v>
      </c>
      <c r="DV502" s="149" t="e">
        <f t="shared" si="252"/>
        <v>#N/A</v>
      </c>
      <c r="DW502" s="144" t="e">
        <f t="shared" si="253"/>
        <v>#N/A</v>
      </c>
      <c r="DX502" s="168"/>
      <c r="DY502" s="29"/>
      <c r="DZ502" s="150"/>
      <c r="EA502" s="134"/>
      <c r="EB502" s="137">
        <f t="shared" si="254"/>
        <v>0</v>
      </c>
      <c r="EC502" s="138">
        <f t="shared" si="255"/>
        <v>0</v>
      </c>
      <c r="ED502" s="137">
        <f t="shared" si="256"/>
        <v>0</v>
      </c>
      <c r="EE502" s="132">
        <f t="shared" si="257"/>
        <v>0</v>
      </c>
      <c r="EF502" s="29"/>
      <c r="EG502" s="134"/>
      <c r="EH502" s="134"/>
      <c r="EI502" s="134"/>
      <c r="EK502" s="29"/>
    </row>
    <row r="503" spans="1:141" ht="15" customHeight="1" x14ac:dyDescent="0.25">
      <c r="A503" s="87"/>
      <c r="B503" s="5"/>
      <c r="C503" s="72"/>
      <c r="D503" s="73"/>
      <c r="E503" s="73"/>
      <c r="F503" s="141"/>
      <c r="G503" s="74"/>
      <c r="H503" s="75"/>
      <c r="I503" s="76"/>
      <c r="J503" s="135"/>
      <c r="K503" s="135"/>
      <c r="L503" s="77">
        <f t="shared" si="138"/>
        <v>0</v>
      </c>
      <c r="M503" s="78"/>
      <c r="N503" s="142"/>
      <c r="O503" s="142"/>
      <c r="P503" s="77">
        <f t="shared" si="139"/>
        <v>0</v>
      </c>
      <c r="Q503" s="78"/>
      <c r="R503" s="143"/>
      <c r="S503" s="143"/>
      <c r="T503" s="77">
        <f t="shared" si="140"/>
        <v>0</v>
      </c>
      <c r="U503" s="75"/>
      <c r="V503" s="76"/>
      <c r="W503" s="135"/>
      <c r="X503" s="135"/>
      <c r="Y503" s="77">
        <f t="shared" si="141"/>
        <v>0</v>
      </c>
      <c r="Z503" s="78"/>
      <c r="AA503" s="142"/>
      <c r="AB503" s="142"/>
      <c r="AC503" s="77">
        <f t="shared" si="142"/>
        <v>0</v>
      </c>
      <c r="AD503" s="78"/>
      <c r="AE503" s="143"/>
      <c r="AF503" s="143"/>
      <c r="AG503" s="79">
        <f t="shared" si="143"/>
        <v>0</v>
      </c>
      <c r="AH503" s="75"/>
      <c r="AI503" s="76"/>
      <c r="AJ503" s="135"/>
      <c r="AK503" s="135"/>
      <c r="AL503" s="77">
        <f t="shared" si="144"/>
        <v>0</v>
      </c>
      <c r="AM503" s="76"/>
      <c r="AN503" s="142"/>
      <c r="AO503" s="142"/>
      <c r="AP503" s="77">
        <f t="shared" si="145"/>
        <v>0</v>
      </c>
      <c r="AQ503" s="78"/>
      <c r="AR503" s="142"/>
      <c r="AS503" s="142"/>
      <c r="AT503" s="79">
        <f t="shared" si="146"/>
        <v>0</v>
      </c>
      <c r="AU503" s="75"/>
      <c r="AV503" s="76"/>
      <c r="AW503" s="135"/>
      <c r="AX503" s="135"/>
      <c r="AY503" s="77">
        <f t="shared" si="147"/>
        <v>0</v>
      </c>
      <c r="AZ503" s="76"/>
      <c r="BA503" s="142"/>
      <c r="BB503" s="142"/>
      <c r="BC503" s="77">
        <f t="shared" si="148"/>
        <v>0</v>
      </c>
      <c r="BD503" s="78"/>
      <c r="BE503" s="142"/>
      <c r="BF503" s="142"/>
      <c r="BG503" s="79">
        <f t="shared" si="149"/>
        <v>0</v>
      </c>
      <c r="BH503" s="75"/>
      <c r="BI503" s="76"/>
      <c r="BJ503" s="135"/>
      <c r="BK503" s="135"/>
      <c r="BL503" s="77">
        <f t="shared" si="150"/>
        <v>0</v>
      </c>
      <c r="BM503" s="78"/>
      <c r="BN503" s="142"/>
      <c r="BO503" s="142"/>
      <c r="BP503" s="77">
        <f t="shared" si="151"/>
        <v>0</v>
      </c>
      <c r="BQ503" s="78"/>
      <c r="BR503" s="142"/>
      <c r="BS503" s="142"/>
      <c r="BT503" s="79">
        <f t="shared" si="152"/>
        <v>0</v>
      </c>
      <c r="BU503" s="75"/>
      <c r="BV503" s="76"/>
      <c r="BW503" s="135"/>
      <c r="BX503" s="135"/>
      <c r="BY503" s="77">
        <f t="shared" si="153"/>
        <v>0</v>
      </c>
      <c r="BZ503" s="78"/>
      <c r="CA503" s="142"/>
      <c r="CB503" s="142"/>
      <c r="CC503" s="77">
        <f t="shared" si="154"/>
        <v>0</v>
      </c>
      <c r="CD503" s="78"/>
      <c r="CE503" s="142"/>
      <c r="CF503" s="142"/>
      <c r="CG503" s="79">
        <f t="shared" si="155"/>
        <v>0</v>
      </c>
      <c r="CH503" s="75"/>
      <c r="CI503" s="76"/>
      <c r="CJ503" s="86"/>
      <c r="CK503" s="86"/>
      <c r="CL503" s="77">
        <f t="shared" si="156"/>
        <v>0</v>
      </c>
      <c r="CM503" s="78"/>
      <c r="CN503" s="85"/>
      <c r="CO503" s="85"/>
      <c r="CP503" s="77">
        <f t="shared" si="157"/>
        <v>0</v>
      </c>
      <c r="CQ503" s="78"/>
      <c r="CR503" s="85"/>
      <c r="CS503" s="85"/>
      <c r="CT503" s="79">
        <f t="shared" si="158"/>
        <v>0</v>
      </c>
      <c r="CU503" s="80">
        <f t="shared" si="168"/>
        <v>0</v>
      </c>
      <c r="CV503" s="81">
        <f t="shared" si="169"/>
        <v>0</v>
      </c>
      <c r="CW503" s="144"/>
      <c r="CX503" s="145">
        <f>IF(ISERROR(VLOOKUP($A503,FIJOS!$B$11:$O$590,14,FALSE)),0,VLOOKUP($A503,FIJOS!$B$11:$O$590,14,FALSE))</f>
        <v>0</v>
      </c>
      <c r="CY503" s="145">
        <f>IF(ISERROR(VLOOKUP(A503,FIJOS!$B$10:$P$590,15,FALSE)),0,VLOOKUP(A503,FIJOS!$B$10:$P$590,15,FALSE))</f>
        <v>0</v>
      </c>
      <c r="CZ503" s="155"/>
      <c r="DA503" s="147"/>
      <c r="DB503" s="147"/>
      <c r="DC503" s="147"/>
      <c r="DD503" s="147"/>
      <c r="DE503" s="147"/>
      <c r="DF503" s="145">
        <f>IF(ISERROR(VLOOKUP($A503,FIJOS!$B$11:$N$590,13,FALSE)),0,VLOOKUP($A503,FIJOS!$B$11:$N$590,13,FALSE))</f>
        <v>0</v>
      </c>
      <c r="DG503" s="145">
        <f>IF(ISERROR(VLOOKUP($A503,FIJOS!$B$11:$P$447,12,FALSE)),0,VLOOKUP($A503,FIJOS!$B$11:$P$447,12,FALSE))</f>
        <v>0</v>
      </c>
      <c r="DH503" s="82">
        <f t="shared" si="250"/>
        <v>0</v>
      </c>
      <c r="DI503" s="83" t="b">
        <f>IF($C503=1,(VLOOKUP($A503,FIJOS!$B$11:$P$545,10,FALSE)/7)*(7-$CU503),IF(AND($C503=2,CV503&lt;$DJ$1),(VLOOKUP($D503,HORAS!$B$4:$C$42,2,FALSE)*24)*$CV503,IF(AND($C503=2,CV503&gt;=$DJ$1),VLOOKUP($D503,HORAS!$B$4:$D$42,3,FALSE),IF(AND($C503=3,$CV503&gt;=$DJ$1),VLOOKUP($A503,FIJOS!$B$11:$P$545,10,FALSE),IF(AND($C503=3,$CV503&lt;$DJ$1),((VLOOKUP($A503,FIJOS!$B$11:$P$545,10,FALSE)/48)*24)*$CV503,IF(AND($C503=4,$CV503&gt;=(42/24)),VLOOKUP($D503,HORAS!$B$4:$D$42,3,FALSE),IF(AND($C503=5,$CV503&gt;=(36/24)),VLOOKUP($D503,HORAS!$B$4:$D$42,3,FALSE))))))))</f>
        <v>0</v>
      </c>
      <c r="DJ503" s="145">
        <f>IF(OR($C503=2),VLOOKUP($D503,HORAS!$B$4:$E$42,4,FALSE)*$EC503,IF(ISERROR(VLOOKUP($A503,FIJOS!$B$11:$P$108,9,FALSE)),0,VLOOKUP($A503,FIJOS!$B$11:$P$231,9,FALSE)*$EC503))</f>
        <v>0</v>
      </c>
      <c r="DK503" s="145">
        <f>IF(OR($C503=2),VLOOKUP($D503,HORAS!$B$4:$F$42,5,FALSE)*$EE503,IF(ISERROR(VLOOKUP($A503,FIJOS!$B$11:$P$108,9,FALSE)),0,VLOOKUP($A503,FIJOS!$B$11:$P$231,9,FALSE)*$EE503))</f>
        <v>0</v>
      </c>
      <c r="DL503" s="144"/>
      <c r="DM503" s="145">
        <f>IF(ISERROR(VLOOKUP($A503,FIJOS!$B$11:$L$646,11,FALSE)),0,VLOOKUP($A503,FIJOS!$B$11:$L$646,11,FALSE))</f>
        <v>0</v>
      </c>
      <c r="DN503" s="148" t="e">
        <f>IF(OR($C503=1,$C503=3),0,IF((VLOOKUP(CAPTURA!D503,HORAS!$B$4:$K$42,10,FALSE)/4)*COUNTIF($H503:$CT503,3)&gt;100,100,(VLOOKUP(CAPTURA!D503,HORAS!$B$4:$K$42,10,FALSE)/4)*COUNTIF($H503:$CT503,3)))</f>
        <v>#N/A</v>
      </c>
      <c r="DO503" s="144" t="e">
        <f>IF(OR($C503=1,$C503=3),0,IF($C503=5,VLOOKUP(D503,HORAS!$B$4:$G$42,6,FALSE),IF(AND($C503=4,$CV503&gt;=(42/24)),VLOOKUP(D503,HORAS!$B$4:$G$42,6,FALSE),IF(COUNTIF($H503:$CL503,"F")&gt;0,0,IF(CV503&gt;$DJ$1,$DJ$1*(VLOOKUP(D503,HORAS!$B$4:$G$42,6,FALSE)/$DJ$1),CV503*(VLOOKUP(D503,HORAS!$B$4:$G$42,6,FALSE)/$DJ$1))))))</f>
        <v>#N/A</v>
      </c>
      <c r="DP503" s="156"/>
      <c r="DQ503" s="148"/>
      <c r="DR503" s="148"/>
      <c r="DS503" s="83" t="e">
        <f t="shared" si="162"/>
        <v>#N/A</v>
      </c>
      <c r="DT503" s="84"/>
      <c r="DU503" s="149" t="e">
        <f t="shared" si="251"/>
        <v>#N/A</v>
      </c>
      <c r="DV503" s="149" t="e">
        <f t="shared" si="252"/>
        <v>#N/A</v>
      </c>
      <c r="DW503" s="144" t="e">
        <f t="shared" si="253"/>
        <v>#N/A</v>
      </c>
      <c r="DX503" s="168"/>
      <c r="DY503" s="29"/>
      <c r="DZ503" s="150"/>
      <c r="EA503" s="134"/>
      <c r="EB503" s="137">
        <f t="shared" si="254"/>
        <v>0</v>
      </c>
      <c r="EC503" s="138">
        <f t="shared" si="255"/>
        <v>0</v>
      </c>
      <c r="ED503" s="137">
        <f t="shared" si="256"/>
        <v>0</v>
      </c>
      <c r="EE503" s="132">
        <f t="shared" si="257"/>
        <v>0</v>
      </c>
      <c r="EF503" s="29"/>
      <c r="EG503" s="134"/>
      <c r="EH503" s="134"/>
      <c r="EI503" s="134"/>
      <c r="EK503" s="29"/>
    </row>
    <row r="504" spans="1:141" ht="15" customHeight="1" x14ac:dyDescent="0.25">
      <c r="A504" s="87"/>
      <c r="B504" s="5"/>
      <c r="C504" s="72"/>
      <c r="D504" s="73"/>
      <c r="E504" s="73"/>
      <c r="F504" s="141"/>
      <c r="G504" s="74"/>
      <c r="H504" s="75"/>
      <c r="I504" s="76"/>
      <c r="J504" s="135"/>
      <c r="K504" s="135"/>
      <c r="L504" s="77">
        <f t="shared" si="138"/>
        <v>0</v>
      </c>
      <c r="M504" s="78"/>
      <c r="N504" s="142"/>
      <c r="O504" s="142"/>
      <c r="P504" s="77">
        <f t="shared" si="139"/>
        <v>0</v>
      </c>
      <c r="Q504" s="78"/>
      <c r="R504" s="143"/>
      <c r="S504" s="143"/>
      <c r="T504" s="77">
        <f t="shared" si="140"/>
        <v>0</v>
      </c>
      <c r="U504" s="75"/>
      <c r="V504" s="76"/>
      <c r="W504" s="135"/>
      <c r="X504" s="135"/>
      <c r="Y504" s="77">
        <f t="shared" si="141"/>
        <v>0</v>
      </c>
      <c r="Z504" s="78"/>
      <c r="AA504" s="142"/>
      <c r="AB504" s="142"/>
      <c r="AC504" s="77">
        <f t="shared" si="142"/>
        <v>0</v>
      </c>
      <c r="AD504" s="78"/>
      <c r="AE504" s="143"/>
      <c r="AF504" s="143"/>
      <c r="AG504" s="79">
        <f t="shared" si="143"/>
        <v>0</v>
      </c>
      <c r="AH504" s="75"/>
      <c r="AI504" s="76"/>
      <c r="AJ504" s="135"/>
      <c r="AK504" s="135"/>
      <c r="AL504" s="77">
        <f t="shared" si="144"/>
        <v>0</v>
      </c>
      <c r="AM504" s="76"/>
      <c r="AN504" s="142"/>
      <c r="AO504" s="142"/>
      <c r="AP504" s="77">
        <f t="shared" si="145"/>
        <v>0</v>
      </c>
      <c r="AQ504" s="78"/>
      <c r="AR504" s="142"/>
      <c r="AS504" s="142"/>
      <c r="AT504" s="79">
        <f t="shared" si="146"/>
        <v>0</v>
      </c>
      <c r="AU504" s="75"/>
      <c r="AV504" s="76"/>
      <c r="AW504" s="135"/>
      <c r="AX504" s="135"/>
      <c r="AY504" s="77">
        <f t="shared" si="147"/>
        <v>0</v>
      </c>
      <c r="AZ504" s="76"/>
      <c r="BA504" s="142"/>
      <c r="BB504" s="142"/>
      <c r="BC504" s="77">
        <f t="shared" si="148"/>
        <v>0</v>
      </c>
      <c r="BD504" s="78"/>
      <c r="BE504" s="142"/>
      <c r="BF504" s="142"/>
      <c r="BG504" s="79">
        <f t="shared" si="149"/>
        <v>0</v>
      </c>
      <c r="BH504" s="75"/>
      <c r="BI504" s="76"/>
      <c r="BJ504" s="135"/>
      <c r="BK504" s="135"/>
      <c r="BL504" s="77">
        <f t="shared" si="150"/>
        <v>0</v>
      </c>
      <c r="BM504" s="78"/>
      <c r="BN504" s="142"/>
      <c r="BO504" s="142"/>
      <c r="BP504" s="77">
        <f t="shared" si="151"/>
        <v>0</v>
      </c>
      <c r="BQ504" s="78"/>
      <c r="BR504" s="142"/>
      <c r="BS504" s="142"/>
      <c r="BT504" s="79">
        <f t="shared" si="152"/>
        <v>0</v>
      </c>
      <c r="BU504" s="75"/>
      <c r="BV504" s="76"/>
      <c r="BW504" s="135"/>
      <c r="BX504" s="135"/>
      <c r="BY504" s="77">
        <f t="shared" si="153"/>
        <v>0</v>
      </c>
      <c r="BZ504" s="78"/>
      <c r="CA504" s="142"/>
      <c r="CB504" s="142"/>
      <c r="CC504" s="77">
        <f t="shared" si="154"/>
        <v>0</v>
      </c>
      <c r="CD504" s="78"/>
      <c r="CE504" s="142"/>
      <c r="CF504" s="142"/>
      <c r="CG504" s="79">
        <f t="shared" si="155"/>
        <v>0</v>
      </c>
      <c r="CH504" s="75"/>
      <c r="CI504" s="76"/>
      <c r="CJ504" s="86"/>
      <c r="CK504" s="86"/>
      <c r="CL504" s="77">
        <f t="shared" si="156"/>
        <v>0</v>
      </c>
      <c r="CM504" s="78"/>
      <c r="CN504" s="85"/>
      <c r="CO504" s="85"/>
      <c r="CP504" s="77">
        <f t="shared" si="157"/>
        <v>0</v>
      </c>
      <c r="CQ504" s="78"/>
      <c r="CR504" s="85"/>
      <c r="CS504" s="85"/>
      <c r="CT504" s="79">
        <f t="shared" si="158"/>
        <v>0</v>
      </c>
      <c r="CU504" s="80">
        <f t="shared" si="168"/>
        <v>0</v>
      </c>
      <c r="CV504" s="81">
        <f t="shared" si="169"/>
        <v>0</v>
      </c>
      <c r="CW504" s="144"/>
      <c r="CX504" s="145">
        <f>IF(ISERROR(VLOOKUP($A504,FIJOS!$B$11:$O$590,14,FALSE)),0,VLOOKUP($A504,FIJOS!$B$11:$O$590,14,FALSE))</f>
        <v>0</v>
      </c>
      <c r="CY504" s="145">
        <f>IF(ISERROR(VLOOKUP(A504,FIJOS!$B$10:$P$590,15,FALSE)),0,VLOOKUP(A504,FIJOS!$B$10:$P$590,15,FALSE))</f>
        <v>0</v>
      </c>
      <c r="CZ504" s="155"/>
      <c r="DA504" s="147"/>
      <c r="DB504" s="147"/>
      <c r="DC504" s="147"/>
      <c r="DD504" s="147"/>
      <c r="DE504" s="147"/>
      <c r="DF504" s="145">
        <f>IF(ISERROR(VLOOKUP($A504,FIJOS!$B$11:$N$590,13,FALSE)),0,VLOOKUP($A504,FIJOS!$B$11:$N$590,13,FALSE))</f>
        <v>0</v>
      </c>
      <c r="DG504" s="145">
        <f>IF(ISERROR(VLOOKUP($A504,FIJOS!$B$11:$P$447,12,FALSE)),0,VLOOKUP($A504,FIJOS!$B$11:$P$447,12,FALSE))</f>
        <v>0</v>
      </c>
      <c r="DH504" s="82">
        <f t="shared" si="250"/>
        <v>0</v>
      </c>
      <c r="DI504" s="83" t="b">
        <f>IF($C504=1,(VLOOKUP($A504,FIJOS!$B$11:$P$545,10,FALSE)/7)*(7-$CU504),IF(AND($C504=2,CV504&lt;$DJ$1),(VLOOKUP($D504,HORAS!$B$4:$C$42,2,FALSE)*24)*$CV504,IF(AND($C504=2,CV504&gt;=$DJ$1),VLOOKUP($D504,HORAS!$B$4:$D$42,3,FALSE),IF(AND($C504=3,$CV504&gt;=$DJ$1),VLOOKUP($A504,FIJOS!$B$11:$P$545,10,FALSE),IF(AND($C504=3,$CV504&lt;$DJ$1),((VLOOKUP($A504,FIJOS!$B$11:$P$545,10,FALSE)/48)*24)*$CV504,IF(AND($C504=4,$CV504&gt;=(42/24)),VLOOKUP($D504,HORAS!$B$4:$D$42,3,FALSE),IF(AND($C504=5,$CV504&gt;=(36/24)),VLOOKUP($D504,HORAS!$B$4:$D$42,3,FALSE))))))))</f>
        <v>0</v>
      </c>
      <c r="DJ504" s="145">
        <f>IF(OR($C504=2),VLOOKUP($D504,HORAS!$B$4:$E$42,4,FALSE)*$EC504,IF(ISERROR(VLOOKUP($A504,FIJOS!$B$11:$P$108,9,FALSE)),0,VLOOKUP($A504,FIJOS!$B$11:$P$231,9,FALSE)*$EC504))</f>
        <v>0</v>
      </c>
      <c r="DK504" s="145">
        <f>IF(OR($C504=2),VLOOKUP($D504,HORAS!$B$4:$F$42,5,FALSE)*$EE504,IF(ISERROR(VLOOKUP($A504,FIJOS!$B$11:$P$108,9,FALSE)),0,VLOOKUP($A504,FIJOS!$B$11:$P$231,9,FALSE)*$EE504))</f>
        <v>0</v>
      </c>
      <c r="DL504" s="144"/>
      <c r="DM504" s="145">
        <f>IF(ISERROR(VLOOKUP($A504,FIJOS!$B$11:$L$646,11,FALSE)),0,VLOOKUP($A504,FIJOS!$B$11:$L$646,11,FALSE))</f>
        <v>0</v>
      </c>
      <c r="DN504" s="148" t="e">
        <f>IF(OR($C504=1,$C504=3),0,IF((VLOOKUP(CAPTURA!D504,HORAS!$B$4:$K$42,10,FALSE)/4)*COUNTIF($H504:$CT504,3)&gt;100,100,(VLOOKUP(CAPTURA!D504,HORAS!$B$4:$K$42,10,FALSE)/4)*COUNTIF($H504:$CT504,3)))</f>
        <v>#N/A</v>
      </c>
      <c r="DO504" s="144" t="e">
        <f>IF(OR($C504=1,$C504=3),0,IF($C504=5,VLOOKUP(D504,HORAS!$B$4:$G$42,6,FALSE),IF(AND($C504=4,$CV504&gt;=(42/24)),VLOOKUP(D504,HORAS!$B$4:$G$42,6,FALSE),IF(COUNTIF($H504:$CL504,"F")&gt;0,0,IF(CV504&gt;$DJ$1,$DJ$1*(VLOOKUP(D504,HORAS!$B$4:$G$42,6,FALSE)/$DJ$1),CV504*(VLOOKUP(D504,HORAS!$B$4:$G$42,6,FALSE)/$DJ$1))))))</f>
        <v>#N/A</v>
      </c>
      <c r="DP504" s="156"/>
      <c r="DQ504" s="148"/>
      <c r="DR504" s="148"/>
      <c r="DS504" s="83" t="e">
        <f t="shared" si="162"/>
        <v>#N/A</v>
      </c>
      <c r="DT504" s="84"/>
      <c r="DU504" s="149" t="e">
        <f t="shared" si="251"/>
        <v>#N/A</v>
      </c>
      <c r="DV504" s="149" t="e">
        <f t="shared" si="252"/>
        <v>#N/A</v>
      </c>
      <c r="DW504" s="144" t="e">
        <f t="shared" si="253"/>
        <v>#N/A</v>
      </c>
      <c r="DX504" s="168"/>
      <c r="DY504" s="29"/>
      <c r="DZ504" s="150"/>
      <c r="EA504" s="134"/>
      <c r="EB504" s="137">
        <f t="shared" si="254"/>
        <v>0</v>
      </c>
      <c r="EC504" s="138">
        <f t="shared" si="255"/>
        <v>0</v>
      </c>
      <c r="ED504" s="137">
        <f t="shared" si="256"/>
        <v>0</v>
      </c>
      <c r="EE504" s="132">
        <f t="shared" si="257"/>
        <v>0</v>
      </c>
      <c r="EF504" s="29"/>
      <c r="EG504" s="134"/>
      <c r="EH504" s="134"/>
      <c r="EI504" s="134"/>
      <c r="EK504" s="29"/>
    </row>
    <row r="505" spans="1:141" ht="15" customHeight="1" x14ac:dyDescent="0.25">
      <c r="A505" s="87"/>
      <c r="B505" s="5"/>
      <c r="C505" s="72"/>
      <c r="D505" s="73"/>
      <c r="E505" s="73"/>
      <c r="F505" s="141"/>
      <c r="G505" s="74"/>
      <c r="H505" s="75"/>
      <c r="I505" s="76"/>
      <c r="J505" s="135"/>
      <c r="K505" s="135"/>
      <c r="L505" s="77">
        <f t="shared" si="138"/>
        <v>0</v>
      </c>
      <c r="M505" s="78"/>
      <c r="N505" s="142"/>
      <c r="O505" s="142"/>
      <c r="P505" s="77">
        <f t="shared" si="139"/>
        <v>0</v>
      </c>
      <c r="Q505" s="78"/>
      <c r="R505" s="143"/>
      <c r="S505" s="143"/>
      <c r="T505" s="77">
        <f t="shared" si="140"/>
        <v>0</v>
      </c>
      <c r="U505" s="75"/>
      <c r="V505" s="76"/>
      <c r="W505" s="135"/>
      <c r="X505" s="135"/>
      <c r="Y505" s="77">
        <f t="shared" si="141"/>
        <v>0</v>
      </c>
      <c r="Z505" s="78"/>
      <c r="AA505" s="142"/>
      <c r="AB505" s="142"/>
      <c r="AC505" s="77">
        <f t="shared" si="142"/>
        <v>0</v>
      </c>
      <c r="AD505" s="78"/>
      <c r="AE505" s="143"/>
      <c r="AF505" s="143"/>
      <c r="AG505" s="79">
        <f t="shared" si="143"/>
        <v>0</v>
      </c>
      <c r="AH505" s="75"/>
      <c r="AI505" s="76"/>
      <c r="AJ505" s="135"/>
      <c r="AK505" s="135"/>
      <c r="AL505" s="77">
        <f t="shared" si="144"/>
        <v>0</v>
      </c>
      <c r="AM505" s="76"/>
      <c r="AN505" s="142"/>
      <c r="AO505" s="142"/>
      <c r="AP505" s="77">
        <f t="shared" si="145"/>
        <v>0</v>
      </c>
      <c r="AQ505" s="78"/>
      <c r="AR505" s="142"/>
      <c r="AS505" s="142"/>
      <c r="AT505" s="79">
        <f t="shared" si="146"/>
        <v>0</v>
      </c>
      <c r="AU505" s="75"/>
      <c r="AV505" s="76"/>
      <c r="AW505" s="135"/>
      <c r="AX505" s="135"/>
      <c r="AY505" s="77">
        <f t="shared" si="147"/>
        <v>0</v>
      </c>
      <c r="AZ505" s="76"/>
      <c r="BA505" s="142"/>
      <c r="BB505" s="142"/>
      <c r="BC505" s="77">
        <f t="shared" si="148"/>
        <v>0</v>
      </c>
      <c r="BD505" s="78"/>
      <c r="BE505" s="142"/>
      <c r="BF505" s="142"/>
      <c r="BG505" s="79">
        <f t="shared" si="149"/>
        <v>0</v>
      </c>
      <c r="BH505" s="75"/>
      <c r="BI505" s="76"/>
      <c r="BJ505" s="135"/>
      <c r="BK505" s="135"/>
      <c r="BL505" s="77">
        <f t="shared" si="150"/>
        <v>0</v>
      </c>
      <c r="BM505" s="78"/>
      <c r="BN505" s="142"/>
      <c r="BO505" s="142"/>
      <c r="BP505" s="77">
        <f t="shared" si="151"/>
        <v>0</v>
      </c>
      <c r="BQ505" s="78"/>
      <c r="BR505" s="142"/>
      <c r="BS505" s="142"/>
      <c r="BT505" s="79">
        <f t="shared" si="152"/>
        <v>0</v>
      </c>
      <c r="BU505" s="75"/>
      <c r="BV505" s="76"/>
      <c r="BW505" s="135"/>
      <c r="BX505" s="135"/>
      <c r="BY505" s="77">
        <f t="shared" si="153"/>
        <v>0</v>
      </c>
      <c r="BZ505" s="78"/>
      <c r="CA505" s="142"/>
      <c r="CB505" s="142"/>
      <c r="CC505" s="77">
        <f t="shared" si="154"/>
        <v>0</v>
      </c>
      <c r="CD505" s="78"/>
      <c r="CE505" s="142"/>
      <c r="CF505" s="142"/>
      <c r="CG505" s="79">
        <f t="shared" si="155"/>
        <v>0</v>
      </c>
      <c r="CH505" s="75"/>
      <c r="CI505" s="76"/>
      <c r="CJ505" s="86"/>
      <c r="CK505" s="86"/>
      <c r="CL505" s="77">
        <f t="shared" si="156"/>
        <v>0</v>
      </c>
      <c r="CM505" s="78"/>
      <c r="CN505" s="85"/>
      <c r="CO505" s="85"/>
      <c r="CP505" s="77">
        <f t="shared" si="157"/>
        <v>0</v>
      </c>
      <c r="CQ505" s="78"/>
      <c r="CR505" s="85"/>
      <c r="CS505" s="85"/>
      <c r="CT505" s="79">
        <f t="shared" si="158"/>
        <v>0</v>
      </c>
      <c r="CU505" s="80">
        <f t="shared" si="168"/>
        <v>0</v>
      </c>
      <c r="CV505" s="81">
        <f t="shared" si="169"/>
        <v>0</v>
      </c>
      <c r="CW505" s="144"/>
      <c r="CX505" s="145">
        <f>IF(ISERROR(VLOOKUP($A505,FIJOS!$B$11:$O$590,14,FALSE)),0,VLOOKUP($A505,FIJOS!$B$11:$O$590,14,FALSE))</f>
        <v>0</v>
      </c>
      <c r="CY505" s="145">
        <f>IF(ISERROR(VLOOKUP(A505,FIJOS!$B$10:$P$590,15,FALSE)),0,VLOOKUP(A505,FIJOS!$B$10:$P$590,15,FALSE))</f>
        <v>0</v>
      </c>
      <c r="CZ505" s="155"/>
      <c r="DA505" s="147"/>
      <c r="DB505" s="147"/>
      <c r="DC505" s="147"/>
      <c r="DD505" s="147"/>
      <c r="DE505" s="147"/>
      <c r="DF505" s="145">
        <f>IF(ISERROR(VLOOKUP($A505,FIJOS!$B$11:$N$590,13,FALSE)),0,VLOOKUP($A505,FIJOS!$B$11:$N$590,13,FALSE))</f>
        <v>0</v>
      </c>
      <c r="DG505" s="145">
        <f>IF(ISERROR(VLOOKUP($A505,FIJOS!$B$11:$P$447,12,FALSE)),0,VLOOKUP($A505,FIJOS!$B$11:$P$447,12,FALSE))</f>
        <v>0</v>
      </c>
      <c r="DH505" s="82">
        <f t="shared" si="250"/>
        <v>0</v>
      </c>
      <c r="DI505" s="83" t="b">
        <f>IF($C505=1,(VLOOKUP($A505,FIJOS!$B$11:$P$545,10,FALSE)/7)*(7-$CU505),IF(AND($C505=2,CV505&lt;$DJ$1),(VLOOKUP($D505,HORAS!$B$4:$C$42,2,FALSE)*24)*$CV505,IF(AND($C505=2,CV505&gt;=$DJ$1),VLOOKUP($D505,HORAS!$B$4:$D$42,3,FALSE),IF(AND($C505=3,$CV505&gt;=$DJ$1),VLOOKUP($A505,FIJOS!$B$11:$P$545,10,FALSE),IF(AND($C505=3,$CV505&lt;$DJ$1),((VLOOKUP($A505,FIJOS!$B$11:$P$545,10,FALSE)/48)*24)*$CV505,IF(AND($C505=4,$CV505&gt;=(42/24)),VLOOKUP($D505,HORAS!$B$4:$D$42,3,FALSE),IF(AND($C505=5,$CV505&gt;=(36/24)),VLOOKUP($D505,HORAS!$B$4:$D$42,3,FALSE))))))))</f>
        <v>0</v>
      </c>
      <c r="DJ505" s="145">
        <f>IF(OR($C505=2),VLOOKUP($D505,HORAS!$B$4:$E$42,4,FALSE)*$EC505,IF(ISERROR(VLOOKUP($A505,FIJOS!$B$11:$P$108,9,FALSE)),0,VLOOKUP($A505,FIJOS!$B$11:$P$231,9,FALSE)*$EC505))</f>
        <v>0</v>
      </c>
      <c r="DK505" s="145">
        <f>IF(OR($C505=2),VLOOKUP($D505,HORAS!$B$4:$F$42,5,FALSE)*$EE505,IF(ISERROR(VLOOKUP($A505,FIJOS!$B$11:$P$108,9,FALSE)),0,VLOOKUP($A505,FIJOS!$B$11:$P$231,9,FALSE)*$EE505))</f>
        <v>0</v>
      </c>
      <c r="DL505" s="144"/>
      <c r="DM505" s="145">
        <f>IF(ISERROR(VLOOKUP($A505,FIJOS!$B$11:$L$646,11,FALSE)),0,VLOOKUP($A505,FIJOS!$B$11:$L$646,11,FALSE))</f>
        <v>0</v>
      </c>
      <c r="DN505" s="148" t="e">
        <f>IF(OR($C505=1,$C505=3),0,IF((VLOOKUP(CAPTURA!D505,HORAS!$B$4:$K$42,10,FALSE)/4)*COUNTIF($H505:$CT505,3)&gt;100,100,(VLOOKUP(CAPTURA!D505,HORAS!$B$4:$K$42,10,FALSE)/4)*COUNTIF($H505:$CT505,3)))</f>
        <v>#N/A</v>
      </c>
      <c r="DO505" s="144" t="e">
        <f>IF(OR($C505=1,$C505=3),0,IF($C505=5,VLOOKUP(D505,HORAS!$B$4:$G$42,6,FALSE),IF(AND($C505=4,$CV505&gt;=(42/24)),VLOOKUP(D505,HORAS!$B$4:$G$42,6,FALSE),IF(COUNTIF($H505:$CL505,"F")&gt;0,0,IF(CV505&gt;$DJ$1,$DJ$1*(VLOOKUP(D505,HORAS!$B$4:$G$42,6,FALSE)/$DJ$1),CV505*(VLOOKUP(D505,HORAS!$B$4:$G$42,6,FALSE)/$DJ$1))))))</f>
        <v>#N/A</v>
      </c>
      <c r="DP505" s="156"/>
      <c r="DQ505" s="148"/>
      <c r="DR505" s="148"/>
      <c r="DS505" s="83" t="e">
        <f t="shared" si="162"/>
        <v>#N/A</v>
      </c>
      <c r="DT505" s="84"/>
      <c r="DU505" s="149" t="e">
        <f t="shared" si="251"/>
        <v>#N/A</v>
      </c>
      <c r="DV505" s="149" t="e">
        <f t="shared" si="252"/>
        <v>#N/A</v>
      </c>
      <c r="DW505" s="144" t="e">
        <f t="shared" si="253"/>
        <v>#N/A</v>
      </c>
      <c r="DX505" s="168"/>
      <c r="DY505" s="29"/>
      <c r="DZ505" s="150"/>
      <c r="EA505" s="134"/>
      <c r="EB505" s="137">
        <f t="shared" si="254"/>
        <v>0</v>
      </c>
      <c r="EC505" s="138">
        <f t="shared" si="255"/>
        <v>0</v>
      </c>
      <c r="ED505" s="137">
        <f t="shared" si="256"/>
        <v>0</v>
      </c>
      <c r="EE505" s="132">
        <f t="shared" si="257"/>
        <v>0</v>
      </c>
      <c r="EF505" s="29"/>
      <c r="EG505" s="134"/>
      <c r="EH505" s="134"/>
      <c r="EI505" s="134"/>
      <c r="EK505" s="29"/>
    </row>
    <row r="506" spans="1:141" ht="15" customHeight="1" x14ac:dyDescent="0.25">
      <c r="A506" s="87"/>
      <c r="B506" s="5"/>
      <c r="C506" s="72"/>
      <c r="D506" s="73"/>
      <c r="E506" s="73"/>
      <c r="F506" s="141"/>
      <c r="G506" s="74"/>
      <c r="H506" s="75"/>
      <c r="I506" s="76"/>
      <c r="J506" s="135"/>
      <c r="K506" s="135"/>
      <c r="L506" s="77">
        <f t="shared" si="138"/>
        <v>0</v>
      </c>
      <c r="M506" s="78"/>
      <c r="N506" s="142"/>
      <c r="O506" s="142"/>
      <c r="P506" s="77">
        <f t="shared" si="139"/>
        <v>0</v>
      </c>
      <c r="Q506" s="78"/>
      <c r="R506" s="143"/>
      <c r="S506" s="143"/>
      <c r="T506" s="77">
        <f t="shared" si="140"/>
        <v>0</v>
      </c>
      <c r="U506" s="75"/>
      <c r="V506" s="76"/>
      <c r="W506" s="135"/>
      <c r="X506" s="135"/>
      <c r="Y506" s="77">
        <f t="shared" si="141"/>
        <v>0</v>
      </c>
      <c r="Z506" s="78"/>
      <c r="AA506" s="142"/>
      <c r="AB506" s="142"/>
      <c r="AC506" s="77">
        <f t="shared" si="142"/>
        <v>0</v>
      </c>
      <c r="AD506" s="78"/>
      <c r="AE506" s="143"/>
      <c r="AF506" s="143"/>
      <c r="AG506" s="79">
        <f t="shared" si="143"/>
        <v>0</v>
      </c>
      <c r="AH506" s="75"/>
      <c r="AI506" s="76"/>
      <c r="AJ506" s="135"/>
      <c r="AK506" s="135"/>
      <c r="AL506" s="77">
        <f t="shared" si="144"/>
        <v>0</v>
      </c>
      <c r="AM506" s="76"/>
      <c r="AN506" s="142"/>
      <c r="AO506" s="142"/>
      <c r="AP506" s="77">
        <f t="shared" si="145"/>
        <v>0</v>
      </c>
      <c r="AQ506" s="78"/>
      <c r="AR506" s="142"/>
      <c r="AS506" s="142"/>
      <c r="AT506" s="79">
        <f t="shared" si="146"/>
        <v>0</v>
      </c>
      <c r="AU506" s="75"/>
      <c r="AV506" s="76"/>
      <c r="AW506" s="135"/>
      <c r="AX506" s="135"/>
      <c r="AY506" s="77">
        <f t="shared" si="147"/>
        <v>0</v>
      </c>
      <c r="AZ506" s="76"/>
      <c r="BA506" s="142"/>
      <c r="BB506" s="142"/>
      <c r="BC506" s="77">
        <f t="shared" si="148"/>
        <v>0</v>
      </c>
      <c r="BD506" s="78"/>
      <c r="BE506" s="142"/>
      <c r="BF506" s="142"/>
      <c r="BG506" s="79">
        <f t="shared" si="149"/>
        <v>0</v>
      </c>
      <c r="BH506" s="75"/>
      <c r="BI506" s="76"/>
      <c r="BJ506" s="135"/>
      <c r="BK506" s="135"/>
      <c r="BL506" s="77">
        <f t="shared" si="150"/>
        <v>0</v>
      </c>
      <c r="BM506" s="78"/>
      <c r="BN506" s="142"/>
      <c r="BO506" s="142"/>
      <c r="BP506" s="77">
        <f t="shared" si="151"/>
        <v>0</v>
      </c>
      <c r="BQ506" s="78"/>
      <c r="BR506" s="142"/>
      <c r="BS506" s="142"/>
      <c r="BT506" s="79">
        <f t="shared" si="152"/>
        <v>0</v>
      </c>
      <c r="BU506" s="75"/>
      <c r="BV506" s="76"/>
      <c r="BW506" s="135"/>
      <c r="BX506" s="135"/>
      <c r="BY506" s="77">
        <f t="shared" si="153"/>
        <v>0</v>
      </c>
      <c r="BZ506" s="78"/>
      <c r="CA506" s="142"/>
      <c r="CB506" s="142"/>
      <c r="CC506" s="77">
        <f t="shared" si="154"/>
        <v>0</v>
      </c>
      <c r="CD506" s="78"/>
      <c r="CE506" s="142"/>
      <c r="CF506" s="142"/>
      <c r="CG506" s="79">
        <f t="shared" si="155"/>
        <v>0</v>
      </c>
      <c r="CH506" s="75"/>
      <c r="CI506" s="76"/>
      <c r="CJ506" s="86"/>
      <c r="CK506" s="86"/>
      <c r="CL506" s="77">
        <f t="shared" si="156"/>
        <v>0</v>
      </c>
      <c r="CM506" s="78"/>
      <c r="CN506" s="85"/>
      <c r="CO506" s="85"/>
      <c r="CP506" s="77">
        <f t="shared" si="157"/>
        <v>0</v>
      </c>
      <c r="CQ506" s="78"/>
      <c r="CR506" s="85"/>
      <c r="CS506" s="85"/>
      <c r="CT506" s="79">
        <f t="shared" si="158"/>
        <v>0</v>
      </c>
      <c r="CU506" s="80">
        <f t="shared" si="168"/>
        <v>0</v>
      </c>
      <c r="CV506" s="81">
        <f t="shared" si="169"/>
        <v>0</v>
      </c>
      <c r="CW506" s="144"/>
      <c r="CX506" s="145">
        <f>IF(ISERROR(VLOOKUP($A506,FIJOS!$B$11:$O$590,14,FALSE)),0,VLOOKUP($A506,FIJOS!$B$11:$O$590,14,FALSE))</f>
        <v>0</v>
      </c>
      <c r="CY506" s="145">
        <f>IF(ISERROR(VLOOKUP(A506,FIJOS!$B$10:$P$590,15,FALSE)),0,VLOOKUP(A506,FIJOS!$B$10:$P$590,15,FALSE))</f>
        <v>0</v>
      </c>
      <c r="CZ506" s="155"/>
      <c r="DA506" s="147"/>
      <c r="DB506" s="147"/>
      <c r="DC506" s="147"/>
      <c r="DD506" s="147"/>
      <c r="DE506" s="147"/>
      <c r="DF506" s="145">
        <f>IF(ISERROR(VLOOKUP($A506,FIJOS!$B$11:$N$590,13,FALSE)),0,VLOOKUP($A506,FIJOS!$B$11:$N$590,13,FALSE))</f>
        <v>0</v>
      </c>
      <c r="DG506" s="145">
        <f>IF(ISERROR(VLOOKUP($A506,FIJOS!$B$11:$P$447,12,FALSE)),0,VLOOKUP($A506,FIJOS!$B$11:$P$447,12,FALSE))</f>
        <v>0</v>
      </c>
      <c r="DH506" s="82">
        <f t="shared" si="250"/>
        <v>0</v>
      </c>
      <c r="DI506" s="83" t="b">
        <f>IF($C506=1,(VLOOKUP($A506,FIJOS!$B$11:$P$545,10,FALSE)/7)*(7-$CU506),IF(AND($C506=2,CV506&lt;$DJ$1),(VLOOKUP($D506,HORAS!$B$4:$C$42,2,FALSE)*24)*$CV506,IF(AND($C506=2,CV506&gt;=$DJ$1),VLOOKUP($D506,HORAS!$B$4:$D$42,3,FALSE),IF(AND($C506=3,$CV506&gt;=$DJ$1),VLOOKUP($A506,FIJOS!$B$11:$P$545,10,FALSE),IF(AND($C506=3,$CV506&lt;$DJ$1),((VLOOKUP($A506,FIJOS!$B$11:$P$545,10,FALSE)/48)*24)*$CV506,IF(AND($C506=4,$CV506&gt;=(42/24)),VLOOKUP($D506,HORAS!$B$4:$D$42,3,FALSE),IF(AND($C506=5,$CV506&gt;=(36/24)),VLOOKUP($D506,HORAS!$B$4:$D$42,3,FALSE))))))))</f>
        <v>0</v>
      </c>
      <c r="DJ506" s="145">
        <f>IF(OR($C506=2),VLOOKUP($D506,HORAS!$B$4:$E$42,4,FALSE)*$EC506,IF(ISERROR(VLOOKUP($A506,FIJOS!$B$11:$P$108,9,FALSE)),0,VLOOKUP($A506,FIJOS!$B$11:$P$231,9,FALSE)*$EC506))</f>
        <v>0</v>
      </c>
      <c r="DK506" s="145">
        <f>IF(OR($C506=2),VLOOKUP($D506,HORAS!$B$4:$F$42,5,FALSE)*$EE506,IF(ISERROR(VLOOKUP($A506,FIJOS!$B$11:$P$108,9,FALSE)),0,VLOOKUP($A506,FIJOS!$B$11:$P$231,9,FALSE)*$EE506))</f>
        <v>0</v>
      </c>
      <c r="DL506" s="144"/>
      <c r="DM506" s="145">
        <f>IF(ISERROR(VLOOKUP($A506,FIJOS!$B$11:$L$646,11,FALSE)),0,VLOOKUP($A506,FIJOS!$B$11:$L$646,11,FALSE))</f>
        <v>0</v>
      </c>
      <c r="DN506" s="148" t="e">
        <f>IF(OR($C506=1,$C506=3),0,IF((VLOOKUP(CAPTURA!D506,HORAS!$B$4:$K$42,10,FALSE)/4)*COUNTIF($H506:$CT506,3)&gt;100,100,(VLOOKUP(CAPTURA!D506,HORAS!$B$4:$K$42,10,FALSE)/4)*COUNTIF($H506:$CT506,3)))</f>
        <v>#N/A</v>
      </c>
      <c r="DO506" s="144" t="e">
        <f>IF(OR($C506=1,$C506=3),0,IF($C506=5,VLOOKUP(D506,HORAS!$B$4:$G$42,6,FALSE),IF(AND($C506=4,$CV506&gt;=(42/24)),VLOOKUP(D506,HORAS!$B$4:$G$42,6,FALSE),IF(COUNTIF($H506:$CL506,"F")&gt;0,0,IF(CV506&gt;$DJ$1,$DJ$1*(VLOOKUP(D506,HORAS!$B$4:$G$42,6,FALSE)/$DJ$1),CV506*(VLOOKUP(D506,HORAS!$B$4:$G$42,6,FALSE)/$DJ$1))))))</f>
        <v>#N/A</v>
      </c>
      <c r="DP506" s="156"/>
      <c r="DQ506" s="148"/>
      <c r="DR506" s="148"/>
      <c r="DS506" s="83" t="e">
        <f t="shared" si="162"/>
        <v>#N/A</v>
      </c>
      <c r="DT506" s="84"/>
      <c r="DU506" s="149" t="e">
        <f t="shared" si="251"/>
        <v>#N/A</v>
      </c>
      <c r="DV506" s="149" t="e">
        <f t="shared" si="252"/>
        <v>#N/A</v>
      </c>
      <c r="DW506" s="144" t="e">
        <f t="shared" si="253"/>
        <v>#N/A</v>
      </c>
      <c r="DX506" s="168"/>
      <c r="DY506" s="29"/>
      <c r="DZ506" s="150"/>
      <c r="EA506" s="134"/>
      <c r="EB506" s="137">
        <f t="shared" si="254"/>
        <v>0</v>
      </c>
      <c r="EC506" s="138">
        <f t="shared" si="255"/>
        <v>0</v>
      </c>
      <c r="ED506" s="137">
        <f t="shared" si="256"/>
        <v>0</v>
      </c>
      <c r="EE506" s="132">
        <f t="shared" si="257"/>
        <v>0</v>
      </c>
      <c r="EF506" s="29"/>
      <c r="EG506" s="134"/>
      <c r="EH506" s="134"/>
      <c r="EI506" s="134"/>
      <c r="EK506" s="29"/>
    </row>
    <row r="507" spans="1:141" ht="15" customHeight="1" x14ac:dyDescent="0.25">
      <c r="A507" s="87"/>
      <c r="B507" s="5"/>
      <c r="C507" s="72"/>
      <c r="D507" s="73"/>
      <c r="E507" s="73"/>
      <c r="F507" s="141"/>
      <c r="G507" s="74"/>
      <c r="H507" s="75"/>
      <c r="I507" s="76"/>
      <c r="J507" s="135"/>
      <c r="K507" s="135"/>
      <c r="L507" s="77">
        <f t="shared" si="138"/>
        <v>0</v>
      </c>
      <c r="M507" s="78"/>
      <c r="N507" s="142"/>
      <c r="O507" s="142"/>
      <c r="P507" s="77">
        <f t="shared" si="139"/>
        <v>0</v>
      </c>
      <c r="Q507" s="78"/>
      <c r="R507" s="143"/>
      <c r="S507" s="143"/>
      <c r="T507" s="77">
        <f t="shared" si="140"/>
        <v>0</v>
      </c>
      <c r="U507" s="75"/>
      <c r="V507" s="76"/>
      <c r="W507" s="135"/>
      <c r="X507" s="135"/>
      <c r="Y507" s="77">
        <f t="shared" si="141"/>
        <v>0</v>
      </c>
      <c r="Z507" s="78"/>
      <c r="AA507" s="142"/>
      <c r="AB507" s="142"/>
      <c r="AC507" s="77">
        <f t="shared" si="142"/>
        <v>0</v>
      </c>
      <c r="AD507" s="78"/>
      <c r="AE507" s="143"/>
      <c r="AF507" s="143"/>
      <c r="AG507" s="79">
        <f t="shared" si="143"/>
        <v>0</v>
      </c>
      <c r="AH507" s="75"/>
      <c r="AI507" s="76"/>
      <c r="AJ507" s="135"/>
      <c r="AK507" s="135"/>
      <c r="AL507" s="77">
        <f t="shared" si="144"/>
        <v>0</v>
      </c>
      <c r="AM507" s="76"/>
      <c r="AN507" s="142"/>
      <c r="AO507" s="142"/>
      <c r="AP507" s="77">
        <f t="shared" si="145"/>
        <v>0</v>
      </c>
      <c r="AQ507" s="78"/>
      <c r="AR507" s="142"/>
      <c r="AS507" s="142"/>
      <c r="AT507" s="79">
        <f t="shared" si="146"/>
        <v>0</v>
      </c>
      <c r="AU507" s="75"/>
      <c r="AV507" s="76"/>
      <c r="AW507" s="135"/>
      <c r="AX507" s="135"/>
      <c r="AY507" s="77">
        <f t="shared" si="147"/>
        <v>0</v>
      </c>
      <c r="AZ507" s="76"/>
      <c r="BA507" s="142"/>
      <c r="BB507" s="142"/>
      <c r="BC507" s="77">
        <f t="shared" si="148"/>
        <v>0</v>
      </c>
      <c r="BD507" s="78"/>
      <c r="BE507" s="142"/>
      <c r="BF507" s="142"/>
      <c r="BG507" s="79">
        <f t="shared" si="149"/>
        <v>0</v>
      </c>
      <c r="BH507" s="75"/>
      <c r="BI507" s="76"/>
      <c r="BJ507" s="135"/>
      <c r="BK507" s="135"/>
      <c r="BL507" s="77">
        <f t="shared" si="150"/>
        <v>0</v>
      </c>
      <c r="BM507" s="78"/>
      <c r="BN507" s="142"/>
      <c r="BO507" s="142"/>
      <c r="BP507" s="77">
        <f t="shared" si="151"/>
        <v>0</v>
      </c>
      <c r="BQ507" s="78"/>
      <c r="BR507" s="142"/>
      <c r="BS507" s="142"/>
      <c r="BT507" s="79">
        <f t="shared" si="152"/>
        <v>0</v>
      </c>
      <c r="BU507" s="75"/>
      <c r="BV507" s="76"/>
      <c r="BW507" s="135"/>
      <c r="BX507" s="135"/>
      <c r="BY507" s="77">
        <f t="shared" si="153"/>
        <v>0</v>
      </c>
      <c r="BZ507" s="78"/>
      <c r="CA507" s="142"/>
      <c r="CB507" s="142"/>
      <c r="CC507" s="77">
        <f t="shared" si="154"/>
        <v>0</v>
      </c>
      <c r="CD507" s="78"/>
      <c r="CE507" s="142"/>
      <c r="CF507" s="142"/>
      <c r="CG507" s="79">
        <f t="shared" si="155"/>
        <v>0</v>
      </c>
      <c r="CH507" s="75"/>
      <c r="CI507" s="76"/>
      <c r="CJ507" s="86"/>
      <c r="CK507" s="86"/>
      <c r="CL507" s="77">
        <f t="shared" si="156"/>
        <v>0</v>
      </c>
      <c r="CM507" s="78"/>
      <c r="CN507" s="85"/>
      <c r="CO507" s="85"/>
      <c r="CP507" s="77">
        <f t="shared" si="157"/>
        <v>0</v>
      </c>
      <c r="CQ507" s="78"/>
      <c r="CR507" s="85"/>
      <c r="CS507" s="85"/>
      <c r="CT507" s="79">
        <f t="shared" si="158"/>
        <v>0</v>
      </c>
      <c r="CU507" s="80">
        <f t="shared" si="168"/>
        <v>0</v>
      </c>
      <c r="CV507" s="81">
        <f t="shared" si="169"/>
        <v>0</v>
      </c>
      <c r="CW507" s="144"/>
      <c r="CX507" s="145">
        <f>IF(ISERROR(VLOOKUP($A507,FIJOS!$B$11:$O$590,14,FALSE)),0,VLOOKUP($A507,FIJOS!$B$11:$O$590,14,FALSE))</f>
        <v>0</v>
      </c>
      <c r="CY507" s="145">
        <f>IF(ISERROR(VLOOKUP(A507,FIJOS!$B$10:$P$590,15,FALSE)),0,VLOOKUP(A507,FIJOS!$B$10:$P$590,15,FALSE))</f>
        <v>0</v>
      </c>
      <c r="CZ507" s="155"/>
      <c r="DA507" s="147"/>
      <c r="DB507" s="147"/>
      <c r="DC507" s="147"/>
      <c r="DD507" s="147"/>
      <c r="DE507" s="147"/>
      <c r="DF507" s="145">
        <f>IF(ISERROR(VLOOKUP($A507,FIJOS!$B$11:$N$590,13,FALSE)),0,VLOOKUP($A507,FIJOS!$B$11:$N$590,13,FALSE))</f>
        <v>0</v>
      </c>
      <c r="DG507" s="145">
        <f>IF(ISERROR(VLOOKUP($A507,FIJOS!$B$11:$P$447,12,FALSE)),0,VLOOKUP($A507,FIJOS!$B$11:$P$447,12,FALSE))</f>
        <v>0</v>
      </c>
      <c r="DH507" s="82">
        <f t="shared" si="250"/>
        <v>0</v>
      </c>
      <c r="DI507" s="83" t="b">
        <f>IF($C507=1,(VLOOKUP($A507,FIJOS!$B$11:$P$545,10,FALSE)/7)*(7-$CU507),IF(AND($C507=2,CV507&lt;$DJ$1),(VLOOKUP($D507,HORAS!$B$4:$C$42,2,FALSE)*24)*$CV507,IF(AND($C507=2,CV507&gt;=$DJ$1),VLOOKUP($D507,HORAS!$B$4:$D$42,3,FALSE),IF(AND($C507=3,$CV507&gt;=$DJ$1),VLOOKUP($A507,FIJOS!$B$11:$P$545,10,FALSE),IF(AND($C507=3,$CV507&lt;$DJ$1),((VLOOKUP($A507,FIJOS!$B$11:$P$545,10,FALSE)/48)*24)*$CV507,IF(AND($C507=4,$CV507&gt;=(42/24)),VLOOKUP($D507,HORAS!$B$4:$D$42,3,FALSE),IF(AND($C507=5,$CV507&gt;=(36/24)),VLOOKUP($D507,HORAS!$B$4:$D$42,3,FALSE))))))))</f>
        <v>0</v>
      </c>
      <c r="DJ507" s="145">
        <f>IF(OR($C507=2),VLOOKUP($D507,HORAS!$B$4:$E$42,4,FALSE)*$EC507,IF(ISERROR(VLOOKUP($A507,FIJOS!$B$11:$P$108,9,FALSE)),0,VLOOKUP($A507,FIJOS!$B$11:$P$231,9,FALSE)*$EC507))</f>
        <v>0</v>
      </c>
      <c r="DK507" s="145">
        <f>IF(OR($C507=2),VLOOKUP($D507,HORAS!$B$4:$F$42,5,FALSE)*$EE507,IF(ISERROR(VLOOKUP($A507,FIJOS!$B$11:$P$108,9,FALSE)),0,VLOOKUP($A507,FIJOS!$B$11:$P$231,9,FALSE)*$EE507))</f>
        <v>0</v>
      </c>
      <c r="DL507" s="144"/>
      <c r="DM507" s="145">
        <f>IF(ISERROR(VLOOKUP($A507,FIJOS!$B$11:$L$646,11,FALSE)),0,VLOOKUP($A507,FIJOS!$B$11:$L$646,11,FALSE))</f>
        <v>0</v>
      </c>
      <c r="DN507" s="148" t="e">
        <f>IF(OR($C507=1,$C507=3),0,IF((VLOOKUP(CAPTURA!D507,HORAS!$B$4:$K$42,10,FALSE)/4)*COUNTIF($H507:$CT507,3)&gt;100,100,(VLOOKUP(CAPTURA!D507,HORAS!$B$4:$K$42,10,FALSE)/4)*COUNTIF($H507:$CT507,3)))</f>
        <v>#N/A</v>
      </c>
      <c r="DO507" s="144" t="e">
        <f>IF(OR($C507=1,$C507=3),0,IF($C507=5,VLOOKUP(D507,HORAS!$B$4:$G$42,6,FALSE),IF(AND($C507=4,$CV507&gt;=(42/24)),VLOOKUP(D507,HORAS!$B$4:$G$42,6,FALSE),IF(COUNTIF($H507:$CL507,"F")&gt;0,0,IF(CV507&gt;$DJ$1,$DJ$1*(VLOOKUP(D507,HORAS!$B$4:$G$42,6,FALSE)/$DJ$1),CV507*(VLOOKUP(D507,HORAS!$B$4:$G$42,6,FALSE)/$DJ$1))))))</f>
        <v>#N/A</v>
      </c>
      <c r="DP507" s="156"/>
      <c r="DQ507" s="148"/>
      <c r="DR507" s="148"/>
      <c r="DS507" s="83" t="e">
        <f t="shared" si="162"/>
        <v>#N/A</v>
      </c>
      <c r="DT507" s="84"/>
      <c r="DU507" s="149" t="e">
        <f t="shared" si="251"/>
        <v>#N/A</v>
      </c>
      <c r="DV507" s="149" t="e">
        <f t="shared" si="252"/>
        <v>#N/A</v>
      </c>
      <c r="DW507" s="144" t="e">
        <f t="shared" si="253"/>
        <v>#N/A</v>
      </c>
      <c r="DX507" s="168"/>
      <c r="DY507" s="29"/>
      <c r="DZ507" s="150"/>
      <c r="EA507" s="134"/>
      <c r="EB507" s="137">
        <f t="shared" si="254"/>
        <v>0</v>
      </c>
      <c r="EC507" s="138">
        <f t="shared" si="255"/>
        <v>0</v>
      </c>
      <c r="ED507" s="137">
        <f t="shared" si="256"/>
        <v>0</v>
      </c>
      <c r="EE507" s="132">
        <f t="shared" si="257"/>
        <v>0</v>
      </c>
      <c r="EF507" s="29"/>
      <c r="EG507" s="134"/>
      <c r="EH507" s="134"/>
      <c r="EI507" s="134"/>
      <c r="EK507" s="29"/>
    </row>
    <row r="508" spans="1:141" ht="15" customHeight="1" x14ac:dyDescent="0.25">
      <c r="A508" s="87"/>
      <c r="B508" s="5"/>
      <c r="C508" s="72"/>
      <c r="D508" s="73"/>
      <c r="E508" s="73"/>
      <c r="F508" s="141"/>
      <c r="G508" s="74"/>
      <c r="H508" s="75"/>
      <c r="I508" s="76"/>
      <c r="J508" s="135"/>
      <c r="K508" s="135"/>
      <c r="L508" s="77">
        <f t="shared" si="138"/>
        <v>0</v>
      </c>
      <c r="M508" s="78"/>
      <c r="N508" s="142"/>
      <c r="O508" s="142"/>
      <c r="P508" s="77">
        <f t="shared" si="139"/>
        <v>0</v>
      </c>
      <c r="Q508" s="78"/>
      <c r="R508" s="143"/>
      <c r="S508" s="143"/>
      <c r="T508" s="77">
        <f t="shared" si="140"/>
        <v>0</v>
      </c>
      <c r="U508" s="75"/>
      <c r="V508" s="76"/>
      <c r="W508" s="135"/>
      <c r="X508" s="135"/>
      <c r="Y508" s="77">
        <f t="shared" si="141"/>
        <v>0</v>
      </c>
      <c r="Z508" s="78"/>
      <c r="AA508" s="142"/>
      <c r="AB508" s="142"/>
      <c r="AC508" s="77">
        <f t="shared" si="142"/>
        <v>0</v>
      </c>
      <c r="AD508" s="78"/>
      <c r="AE508" s="143"/>
      <c r="AF508" s="143"/>
      <c r="AG508" s="79">
        <f t="shared" si="143"/>
        <v>0</v>
      </c>
      <c r="AH508" s="75"/>
      <c r="AI508" s="76"/>
      <c r="AJ508" s="135"/>
      <c r="AK508" s="135"/>
      <c r="AL508" s="77">
        <f t="shared" si="144"/>
        <v>0</v>
      </c>
      <c r="AM508" s="76"/>
      <c r="AN508" s="142"/>
      <c r="AO508" s="142"/>
      <c r="AP508" s="77">
        <f t="shared" si="145"/>
        <v>0</v>
      </c>
      <c r="AQ508" s="78"/>
      <c r="AR508" s="142"/>
      <c r="AS508" s="142"/>
      <c r="AT508" s="79">
        <f t="shared" si="146"/>
        <v>0</v>
      </c>
      <c r="AU508" s="75"/>
      <c r="AV508" s="76"/>
      <c r="AW508" s="135"/>
      <c r="AX508" s="135"/>
      <c r="AY508" s="77">
        <f t="shared" si="147"/>
        <v>0</v>
      </c>
      <c r="AZ508" s="76"/>
      <c r="BA508" s="142"/>
      <c r="BB508" s="142"/>
      <c r="BC508" s="77">
        <f t="shared" si="148"/>
        <v>0</v>
      </c>
      <c r="BD508" s="78"/>
      <c r="BE508" s="142"/>
      <c r="BF508" s="142"/>
      <c r="BG508" s="79">
        <f t="shared" si="149"/>
        <v>0</v>
      </c>
      <c r="BH508" s="75"/>
      <c r="BI508" s="76"/>
      <c r="BJ508" s="135"/>
      <c r="BK508" s="135"/>
      <c r="BL508" s="77">
        <f t="shared" si="150"/>
        <v>0</v>
      </c>
      <c r="BM508" s="78"/>
      <c r="BN508" s="142"/>
      <c r="BO508" s="142"/>
      <c r="BP508" s="77">
        <f t="shared" si="151"/>
        <v>0</v>
      </c>
      <c r="BQ508" s="78"/>
      <c r="BR508" s="142"/>
      <c r="BS508" s="142"/>
      <c r="BT508" s="79">
        <f t="shared" si="152"/>
        <v>0</v>
      </c>
      <c r="BU508" s="75"/>
      <c r="BV508" s="76"/>
      <c r="BW508" s="135"/>
      <c r="BX508" s="135"/>
      <c r="BY508" s="77">
        <f t="shared" si="153"/>
        <v>0</v>
      </c>
      <c r="BZ508" s="78"/>
      <c r="CA508" s="142"/>
      <c r="CB508" s="142"/>
      <c r="CC508" s="77">
        <f t="shared" si="154"/>
        <v>0</v>
      </c>
      <c r="CD508" s="78"/>
      <c r="CE508" s="142"/>
      <c r="CF508" s="142"/>
      <c r="CG508" s="79">
        <f t="shared" si="155"/>
        <v>0</v>
      </c>
      <c r="CH508" s="75"/>
      <c r="CI508" s="76"/>
      <c r="CJ508" s="86"/>
      <c r="CK508" s="86"/>
      <c r="CL508" s="77">
        <f t="shared" si="156"/>
        <v>0</v>
      </c>
      <c r="CM508" s="78"/>
      <c r="CN508" s="85"/>
      <c r="CO508" s="85"/>
      <c r="CP508" s="77">
        <f t="shared" si="157"/>
        <v>0</v>
      </c>
      <c r="CQ508" s="78"/>
      <c r="CR508" s="85"/>
      <c r="CS508" s="85"/>
      <c r="CT508" s="79">
        <f t="shared" si="158"/>
        <v>0</v>
      </c>
      <c r="CU508" s="80">
        <f t="shared" si="168"/>
        <v>0</v>
      </c>
      <c r="CV508" s="81">
        <f t="shared" si="169"/>
        <v>0</v>
      </c>
      <c r="CW508" s="144"/>
      <c r="CX508" s="145">
        <f>IF(ISERROR(VLOOKUP($A508,FIJOS!$B$11:$O$590,14,FALSE)),0,VLOOKUP($A508,FIJOS!$B$11:$O$590,14,FALSE))</f>
        <v>0</v>
      </c>
      <c r="CY508" s="145">
        <f>IF(ISERROR(VLOOKUP(A508,FIJOS!$B$10:$P$590,15,FALSE)),0,VLOOKUP(A508,FIJOS!$B$10:$P$590,15,FALSE))</f>
        <v>0</v>
      </c>
      <c r="CZ508" s="155"/>
      <c r="DA508" s="147"/>
      <c r="DB508" s="147"/>
      <c r="DC508" s="147"/>
      <c r="DD508" s="147"/>
      <c r="DE508" s="147"/>
      <c r="DF508" s="145">
        <f>IF(ISERROR(VLOOKUP($A508,FIJOS!$B$11:$N$590,13,FALSE)),0,VLOOKUP($A508,FIJOS!$B$11:$N$590,13,FALSE))</f>
        <v>0</v>
      </c>
      <c r="DG508" s="145">
        <f>IF(ISERROR(VLOOKUP($A508,FIJOS!$B$11:$P$447,12,FALSE)),0,VLOOKUP($A508,FIJOS!$B$11:$P$447,12,FALSE))</f>
        <v>0</v>
      </c>
      <c r="DH508" s="82">
        <f t="shared" si="250"/>
        <v>0</v>
      </c>
      <c r="DI508" s="83" t="b">
        <f>IF($C508=1,(VLOOKUP($A508,FIJOS!$B$11:$P$545,10,FALSE)/7)*(7-$CU508),IF(AND($C508=2,CV508&lt;$DJ$1),(VLOOKUP($D508,HORAS!$B$4:$C$42,2,FALSE)*24)*$CV508,IF(AND($C508=2,CV508&gt;=$DJ$1),VLOOKUP($D508,HORAS!$B$4:$D$42,3,FALSE),IF(AND($C508=3,$CV508&gt;=$DJ$1),VLOOKUP($A508,FIJOS!$B$11:$P$545,10,FALSE),IF(AND($C508=3,$CV508&lt;$DJ$1),((VLOOKUP($A508,FIJOS!$B$11:$P$545,10,FALSE)/48)*24)*$CV508,IF(AND($C508=4,$CV508&gt;=(42/24)),VLOOKUP($D508,HORAS!$B$4:$D$42,3,FALSE),IF(AND($C508=5,$CV508&gt;=(36/24)),VLOOKUP($D508,HORAS!$B$4:$D$42,3,FALSE))))))))</f>
        <v>0</v>
      </c>
      <c r="DJ508" s="145">
        <f>IF(OR($C508=2),VLOOKUP($D508,HORAS!$B$4:$E$42,4,FALSE)*$EC508,IF(ISERROR(VLOOKUP($A508,FIJOS!$B$11:$P$108,9,FALSE)),0,VLOOKUP($A508,FIJOS!$B$11:$P$231,9,FALSE)*$EC508))</f>
        <v>0</v>
      </c>
      <c r="DK508" s="145">
        <f>IF(OR($C508=2),VLOOKUP($D508,HORAS!$B$4:$F$42,5,FALSE)*$EE508,IF(ISERROR(VLOOKUP($A508,FIJOS!$B$11:$P$108,9,FALSE)),0,VLOOKUP($A508,FIJOS!$B$11:$P$231,9,FALSE)*$EE508))</f>
        <v>0</v>
      </c>
      <c r="DL508" s="144"/>
      <c r="DM508" s="145">
        <f>IF(ISERROR(VLOOKUP($A508,FIJOS!$B$11:$L$646,11,FALSE)),0,VLOOKUP($A508,FIJOS!$B$11:$L$646,11,FALSE))</f>
        <v>0</v>
      </c>
      <c r="DN508" s="148" t="e">
        <f>IF(OR($C508=1,$C508=3),0,IF((VLOOKUP(CAPTURA!D508,HORAS!$B$4:$K$42,10,FALSE)/4)*COUNTIF($H508:$CT508,3)&gt;100,100,(VLOOKUP(CAPTURA!D508,HORAS!$B$4:$K$42,10,FALSE)/4)*COUNTIF($H508:$CT508,3)))</f>
        <v>#N/A</v>
      </c>
      <c r="DO508" s="144" t="e">
        <f>IF(OR($C508=1,$C508=3),0,IF($C508=5,VLOOKUP(D508,HORAS!$B$4:$G$42,6,FALSE),IF(AND($C508=4,$CV508&gt;=(42/24)),VLOOKUP(D508,HORAS!$B$4:$G$42,6,FALSE),IF(COUNTIF($H508:$CL508,"F")&gt;0,0,IF(CV508&gt;$DJ$1,$DJ$1*(VLOOKUP(D508,HORAS!$B$4:$G$42,6,FALSE)/$DJ$1),CV508*(VLOOKUP(D508,HORAS!$B$4:$G$42,6,FALSE)/$DJ$1))))))</f>
        <v>#N/A</v>
      </c>
      <c r="DP508" s="156"/>
      <c r="DQ508" s="148"/>
      <c r="DR508" s="148"/>
      <c r="DS508" s="83" t="e">
        <f t="shared" si="162"/>
        <v>#N/A</v>
      </c>
      <c r="DT508" s="84"/>
      <c r="DU508" s="149" t="e">
        <f t="shared" si="251"/>
        <v>#N/A</v>
      </c>
      <c r="DV508" s="149" t="e">
        <f t="shared" si="252"/>
        <v>#N/A</v>
      </c>
      <c r="DW508" s="144" t="e">
        <f t="shared" si="253"/>
        <v>#N/A</v>
      </c>
      <c r="DX508" s="168"/>
      <c r="DY508" s="29"/>
      <c r="DZ508" s="150"/>
      <c r="EA508" s="134"/>
      <c r="EB508" s="137">
        <f t="shared" si="254"/>
        <v>0</v>
      </c>
      <c r="EC508" s="138">
        <f t="shared" si="255"/>
        <v>0</v>
      </c>
      <c r="ED508" s="137">
        <f t="shared" si="256"/>
        <v>0</v>
      </c>
      <c r="EE508" s="132">
        <f t="shared" si="257"/>
        <v>0</v>
      </c>
      <c r="EF508" s="29"/>
      <c r="EG508" s="134"/>
      <c r="EH508" s="134"/>
      <c r="EI508" s="134"/>
      <c r="EK508" s="29"/>
    </row>
    <row r="509" spans="1:141" ht="15" customHeight="1" x14ac:dyDescent="0.25">
      <c r="A509" s="87"/>
      <c r="B509" s="5"/>
      <c r="C509" s="72"/>
      <c r="D509" s="73"/>
      <c r="E509" s="73"/>
      <c r="F509" s="141"/>
      <c r="G509" s="74"/>
      <c r="H509" s="75"/>
      <c r="I509" s="76"/>
      <c r="J509" s="135"/>
      <c r="K509" s="135"/>
      <c r="L509" s="77">
        <f t="shared" si="138"/>
        <v>0</v>
      </c>
      <c r="M509" s="78"/>
      <c r="N509" s="142"/>
      <c r="O509" s="142"/>
      <c r="P509" s="77">
        <f t="shared" si="139"/>
        <v>0</v>
      </c>
      <c r="Q509" s="78"/>
      <c r="R509" s="143"/>
      <c r="S509" s="143"/>
      <c r="T509" s="77">
        <f t="shared" si="140"/>
        <v>0</v>
      </c>
      <c r="U509" s="75"/>
      <c r="V509" s="76"/>
      <c r="W509" s="135"/>
      <c r="X509" s="135"/>
      <c r="Y509" s="77">
        <f t="shared" si="141"/>
        <v>0</v>
      </c>
      <c r="Z509" s="78"/>
      <c r="AA509" s="142"/>
      <c r="AB509" s="142"/>
      <c r="AC509" s="77">
        <f t="shared" si="142"/>
        <v>0</v>
      </c>
      <c r="AD509" s="78"/>
      <c r="AE509" s="143"/>
      <c r="AF509" s="143"/>
      <c r="AG509" s="79">
        <f t="shared" si="143"/>
        <v>0</v>
      </c>
      <c r="AH509" s="75"/>
      <c r="AI509" s="76"/>
      <c r="AJ509" s="135"/>
      <c r="AK509" s="135"/>
      <c r="AL509" s="77">
        <f t="shared" si="144"/>
        <v>0</v>
      </c>
      <c r="AM509" s="76"/>
      <c r="AN509" s="142"/>
      <c r="AO509" s="142"/>
      <c r="AP509" s="77">
        <f t="shared" si="145"/>
        <v>0</v>
      </c>
      <c r="AQ509" s="78"/>
      <c r="AR509" s="142"/>
      <c r="AS509" s="142"/>
      <c r="AT509" s="79">
        <f t="shared" si="146"/>
        <v>0</v>
      </c>
      <c r="AU509" s="75"/>
      <c r="AV509" s="76"/>
      <c r="AW509" s="135"/>
      <c r="AX509" s="135"/>
      <c r="AY509" s="77">
        <f t="shared" si="147"/>
        <v>0</v>
      </c>
      <c r="AZ509" s="76"/>
      <c r="BA509" s="142"/>
      <c r="BB509" s="142"/>
      <c r="BC509" s="77">
        <f t="shared" si="148"/>
        <v>0</v>
      </c>
      <c r="BD509" s="78"/>
      <c r="BE509" s="142"/>
      <c r="BF509" s="142"/>
      <c r="BG509" s="79">
        <f t="shared" si="149"/>
        <v>0</v>
      </c>
      <c r="BH509" s="75"/>
      <c r="BI509" s="76"/>
      <c r="BJ509" s="135"/>
      <c r="BK509" s="135"/>
      <c r="BL509" s="77">
        <f t="shared" si="150"/>
        <v>0</v>
      </c>
      <c r="BM509" s="78"/>
      <c r="BN509" s="142"/>
      <c r="BO509" s="142"/>
      <c r="BP509" s="77">
        <f t="shared" si="151"/>
        <v>0</v>
      </c>
      <c r="BQ509" s="78"/>
      <c r="BR509" s="142"/>
      <c r="BS509" s="142"/>
      <c r="BT509" s="79">
        <f t="shared" si="152"/>
        <v>0</v>
      </c>
      <c r="BU509" s="75"/>
      <c r="BV509" s="76"/>
      <c r="BW509" s="135"/>
      <c r="BX509" s="135"/>
      <c r="BY509" s="77">
        <f t="shared" si="153"/>
        <v>0</v>
      </c>
      <c r="BZ509" s="78"/>
      <c r="CA509" s="142"/>
      <c r="CB509" s="142"/>
      <c r="CC509" s="77">
        <f t="shared" si="154"/>
        <v>0</v>
      </c>
      <c r="CD509" s="78"/>
      <c r="CE509" s="142"/>
      <c r="CF509" s="142"/>
      <c r="CG509" s="79">
        <f t="shared" si="155"/>
        <v>0</v>
      </c>
      <c r="CH509" s="75"/>
      <c r="CI509" s="76"/>
      <c r="CJ509" s="86"/>
      <c r="CK509" s="86"/>
      <c r="CL509" s="77">
        <f t="shared" si="156"/>
        <v>0</v>
      </c>
      <c r="CM509" s="78"/>
      <c r="CN509" s="85"/>
      <c r="CO509" s="85"/>
      <c r="CP509" s="77">
        <f t="shared" si="157"/>
        <v>0</v>
      </c>
      <c r="CQ509" s="78"/>
      <c r="CR509" s="85"/>
      <c r="CS509" s="85"/>
      <c r="CT509" s="79">
        <f t="shared" si="158"/>
        <v>0</v>
      </c>
      <c r="CU509" s="80">
        <f t="shared" si="168"/>
        <v>0</v>
      </c>
      <c r="CV509" s="81">
        <f t="shared" si="169"/>
        <v>0</v>
      </c>
      <c r="CW509" s="144"/>
      <c r="CX509" s="145">
        <f>IF(ISERROR(VLOOKUP($A509,FIJOS!$B$11:$O$590,14,FALSE)),0,VLOOKUP($A509,FIJOS!$B$11:$O$590,14,FALSE))</f>
        <v>0</v>
      </c>
      <c r="CY509" s="145">
        <f>IF(ISERROR(VLOOKUP(A509,FIJOS!$B$10:$P$590,15,FALSE)),0,VLOOKUP(A509,FIJOS!$B$10:$P$590,15,FALSE))</f>
        <v>0</v>
      </c>
      <c r="CZ509" s="155"/>
      <c r="DA509" s="147"/>
      <c r="DB509" s="147"/>
      <c r="DC509" s="147"/>
      <c r="DD509" s="147"/>
      <c r="DE509" s="147"/>
      <c r="DF509" s="145">
        <f>IF(ISERROR(VLOOKUP($A509,FIJOS!$B$11:$N$590,13,FALSE)),0,VLOOKUP($A509,FIJOS!$B$11:$N$590,13,FALSE))</f>
        <v>0</v>
      </c>
      <c r="DG509" s="145">
        <f>IF(ISERROR(VLOOKUP($A509,FIJOS!$B$11:$P$447,12,FALSE)),0,VLOOKUP($A509,FIJOS!$B$11:$P$447,12,FALSE))</f>
        <v>0</v>
      </c>
      <c r="DH509" s="82">
        <f t="shared" si="250"/>
        <v>0</v>
      </c>
      <c r="DI509" s="83" t="b">
        <f>IF($C509=1,(VLOOKUP($A509,FIJOS!$B$11:$P$545,10,FALSE)/7)*(7-$CU509),IF(AND($C509=2,CV509&lt;$DJ$1),(VLOOKUP($D509,HORAS!$B$4:$C$42,2,FALSE)*24)*$CV509,IF(AND($C509=2,CV509&gt;=$DJ$1),VLOOKUP($D509,HORAS!$B$4:$D$42,3,FALSE),IF(AND($C509=3,$CV509&gt;=$DJ$1),VLOOKUP($A509,FIJOS!$B$11:$P$545,10,FALSE),IF(AND($C509=3,$CV509&lt;$DJ$1),((VLOOKUP($A509,FIJOS!$B$11:$P$545,10,FALSE)/48)*24)*$CV509,IF(AND($C509=4,$CV509&gt;=(42/24)),VLOOKUP($D509,HORAS!$B$4:$D$42,3,FALSE),IF(AND($C509=5,$CV509&gt;=(36/24)),VLOOKUP($D509,HORAS!$B$4:$D$42,3,FALSE))))))))</f>
        <v>0</v>
      </c>
      <c r="DJ509" s="145">
        <f>IF(OR($C509=2),VLOOKUP($D509,HORAS!$B$4:$E$42,4,FALSE)*$EC509,IF(ISERROR(VLOOKUP($A509,FIJOS!$B$11:$P$108,9,FALSE)),0,VLOOKUP($A509,FIJOS!$B$11:$P$231,9,FALSE)*$EC509))</f>
        <v>0</v>
      </c>
      <c r="DK509" s="145">
        <f>IF(OR($C509=2),VLOOKUP($D509,HORAS!$B$4:$F$42,5,FALSE)*$EE509,IF(ISERROR(VLOOKUP($A509,FIJOS!$B$11:$P$108,9,FALSE)),0,VLOOKUP($A509,FIJOS!$B$11:$P$231,9,FALSE)*$EE509))</f>
        <v>0</v>
      </c>
      <c r="DL509" s="144"/>
      <c r="DM509" s="145">
        <f>IF(ISERROR(VLOOKUP($A509,FIJOS!$B$11:$L$646,11,FALSE)),0,VLOOKUP($A509,FIJOS!$B$11:$L$646,11,FALSE))</f>
        <v>0</v>
      </c>
      <c r="DN509" s="148" t="e">
        <f>IF(OR($C509=1,$C509=3),0,IF((VLOOKUP(CAPTURA!D509,HORAS!$B$4:$K$42,10,FALSE)/4)*COUNTIF($H509:$CT509,3)&gt;100,100,(VLOOKUP(CAPTURA!D509,HORAS!$B$4:$K$42,10,FALSE)/4)*COUNTIF($H509:$CT509,3)))</f>
        <v>#N/A</v>
      </c>
      <c r="DO509" s="144" t="e">
        <f>IF(OR($C509=1,$C509=3),0,IF($C509=5,VLOOKUP(D509,HORAS!$B$4:$G$42,6,FALSE),IF(AND($C509=4,$CV509&gt;=(42/24)),VLOOKUP(D509,HORAS!$B$4:$G$42,6,FALSE),IF(COUNTIF($H509:$CL509,"F")&gt;0,0,IF(CV509&gt;$DJ$1,$DJ$1*(VLOOKUP(D509,HORAS!$B$4:$G$42,6,FALSE)/$DJ$1),CV509*(VLOOKUP(D509,HORAS!$B$4:$G$42,6,FALSE)/$DJ$1))))))</f>
        <v>#N/A</v>
      </c>
      <c r="DP509" s="156"/>
      <c r="DQ509" s="148"/>
      <c r="DR509" s="148"/>
      <c r="DS509" s="83" t="e">
        <f t="shared" si="162"/>
        <v>#N/A</v>
      </c>
      <c r="DT509" s="84"/>
      <c r="DU509" s="149" t="e">
        <f t="shared" si="251"/>
        <v>#N/A</v>
      </c>
      <c r="DV509" s="149" t="e">
        <f t="shared" si="252"/>
        <v>#N/A</v>
      </c>
      <c r="DW509" s="144" t="e">
        <f t="shared" si="253"/>
        <v>#N/A</v>
      </c>
      <c r="DX509" s="168"/>
      <c r="DY509" s="29"/>
      <c r="DZ509" s="150"/>
      <c r="EA509" s="134"/>
      <c r="EB509" s="137">
        <f t="shared" si="254"/>
        <v>0</v>
      </c>
      <c r="EC509" s="138">
        <f t="shared" si="255"/>
        <v>0</v>
      </c>
      <c r="ED509" s="137">
        <f t="shared" si="256"/>
        <v>0</v>
      </c>
      <c r="EE509" s="132">
        <f t="shared" si="257"/>
        <v>0</v>
      </c>
      <c r="EF509" s="29"/>
      <c r="EG509" s="134"/>
      <c r="EH509" s="134"/>
      <c r="EI509" s="134"/>
      <c r="EK509" s="29"/>
    </row>
    <row r="510" spans="1:141" ht="15" customHeight="1" x14ac:dyDescent="0.25">
      <c r="A510" s="87"/>
      <c r="B510" s="5"/>
      <c r="C510" s="72"/>
      <c r="D510" s="73"/>
      <c r="E510" s="73"/>
      <c r="F510" s="141"/>
      <c r="G510" s="74"/>
      <c r="H510" s="75"/>
      <c r="I510" s="76"/>
      <c r="J510" s="135"/>
      <c r="K510" s="135"/>
      <c r="L510" s="77">
        <f t="shared" si="138"/>
        <v>0</v>
      </c>
      <c r="M510" s="78"/>
      <c r="N510" s="142"/>
      <c r="O510" s="142"/>
      <c r="P510" s="77">
        <f t="shared" si="139"/>
        <v>0</v>
      </c>
      <c r="Q510" s="78"/>
      <c r="R510" s="143"/>
      <c r="S510" s="143"/>
      <c r="T510" s="77">
        <f t="shared" si="140"/>
        <v>0</v>
      </c>
      <c r="U510" s="75"/>
      <c r="V510" s="76"/>
      <c r="W510" s="135"/>
      <c r="X510" s="135"/>
      <c r="Y510" s="77">
        <f t="shared" si="141"/>
        <v>0</v>
      </c>
      <c r="Z510" s="78"/>
      <c r="AA510" s="142"/>
      <c r="AB510" s="142"/>
      <c r="AC510" s="77">
        <f t="shared" si="142"/>
        <v>0</v>
      </c>
      <c r="AD510" s="78"/>
      <c r="AE510" s="143"/>
      <c r="AF510" s="143"/>
      <c r="AG510" s="79">
        <f t="shared" si="143"/>
        <v>0</v>
      </c>
      <c r="AH510" s="75"/>
      <c r="AI510" s="76"/>
      <c r="AJ510" s="135"/>
      <c r="AK510" s="135"/>
      <c r="AL510" s="77">
        <f t="shared" si="144"/>
        <v>0</v>
      </c>
      <c r="AM510" s="76"/>
      <c r="AN510" s="142"/>
      <c r="AO510" s="142"/>
      <c r="AP510" s="77">
        <f t="shared" si="145"/>
        <v>0</v>
      </c>
      <c r="AQ510" s="78"/>
      <c r="AR510" s="142"/>
      <c r="AS510" s="142"/>
      <c r="AT510" s="79">
        <f t="shared" si="146"/>
        <v>0</v>
      </c>
      <c r="AU510" s="75"/>
      <c r="AV510" s="76"/>
      <c r="AW510" s="135"/>
      <c r="AX510" s="135"/>
      <c r="AY510" s="77">
        <f t="shared" si="147"/>
        <v>0</v>
      </c>
      <c r="AZ510" s="76"/>
      <c r="BA510" s="142"/>
      <c r="BB510" s="142"/>
      <c r="BC510" s="77">
        <f t="shared" si="148"/>
        <v>0</v>
      </c>
      <c r="BD510" s="78"/>
      <c r="BE510" s="142"/>
      <c r="BF510" s="142"/>
      <c r="BG510" s="79">
        <f t="shared" si="149"/>
        <v>0</v>
      </c>
      <c r="BH510" s="75"/>
      <c r="BI510" s="76"/>
      <c r="BJ510" s="135"/>
      <c r="BK510" s="135"/>
      <c r="BL510" s="77">
        <f t="shared" si="150"/>
        <v>0</v>
      </c>
      <c r="BM510" s="78"/>
      <c r="BN510" s="142"/>
      <c r="BO510" s="142"/>
      <c r="BP510" s="77">
        <f t="shared" si="151"/>
        <v>0</v>
      </c>
      <c r="BQ510" s="78"/>
      <c r="BR510" s="142"/>
      <c r="BS510" s="142"/>
      <c r="BT510" s="79">
        <f t="shared" si="152"/>
        <v>0</v>
      </c>
      <c r="BU510" s="75"/>
      <c r="BV510" s="76"/>
      <c r="BW510" s="135"/>
      <c r="BX510" s="135"/>
      <c r="BY510" s="77">
        <f t="shared" si="153"/>
        <v>0</v>
      </c>
      <c r="BZ510" s="78"/>
      <c r="CA510" s="142"/>
      <c r="CB510" s="142"/>
      <c r="CC510" s="77">
        <f t="shared" si="154"/>
        <v>0</v>
      </c>
      <c r="CD510" s="78"/>
      <c r="CE510" s="142"/>
      <c r="CF510" s="142"/>
      <c r="CG510" s="79">
        <f t="shared" si="155"/>
        <v>0</v>
      </c>
      <c r="CH510" s="75"/>
      <c r="CI510" s="76"/>
      <c r="CJ510" s="86"/>
      <c r="CK510" s="86"/>
      <c r="CL510" s="77">
        <f t="shared" si="156"/>
        <v>0</v>
      </c>
      <c r="CM510" s="78"/>
      <c r="CN510" s="85"/>
      <c r="CO510" s="85"/>
      <c r="CP510" s="77">
        <f t="shared" si="157"/>
        <v>0</v>
      </c>
      <c r="CQ510" s="78"/>
      <c r="CR510" s="85"/>
      <c r="CS510" s="85"/>
      <c r="CT510" s="79">
        <f t="shared" si="158"/>
        <v>0</v>
      </c>
      <c r="CU510" s="80">
        <f t="shared" si="168"/>
        <v>0</v>
      </c>
      <c r="CV510" s="81">
        <f t="shared" si="169"/>
        <v>0</v>
      </c>
      <c r="CW510" s="144"/>
      <c r="CX510" s="145">
        <f>IF(ISERROR(VLOOKUP($A510,FIJOS!$B$11:$O$590,14,FALSE)),0,VLOOKUP($A510,FIJOS!$B$11:$O$590,14,FALSE))</f>
        <v>0</v>
      </c>
      <c r="CY510" s="145">
        <f>IF(ISERROR(VLOOKUP(A510,FIJOS!$B$10:$P$590,15,FALSE)),0,VLOOKUP(A510,FIJOS!$B$10:$P$590,15,FALSE))</f>
        <v>0</v>
      </c>
      <c r="CZ510" s="155"/>
      <c r="DA510" s="147"/>
      <c r="DB510" s="147"/>
      <c r="DC510" s="147"/>
      <c r="DD510" s="147"/>
      <c r="DE510" s="147"/>
      <c r="DF510" s="145">
        <f>IF(ISERROR(VLOOKUP($A510,FIJOS!$B$11:$N$590,13,FALSE)),0,VLOOKUP($A510,FIJOS!$B$11:$N$590,13,FALSE))</f>
        <v>0</v>
      </c>
      <c r="DG510" s="145">
        <f>IF(ISERROR(VLOOKUP($A510,FIJOS!$B$11:$P$447,12,FALSE)),0,VLOOKUP($A510,FIJOS!$B$11:$P$447,12,FALSE))</f>
        <v>0</v>
      </c>
      <c r="DH510" s="82">
        <f t="shared" si="250"/>
        <v>0</v>
      </c>
      <c r="DI510" s="83" t="b">
        <f>IF($C510=1,(VLOOKUP($A510,FIJOS!$B$11:$P$545,10,FALSE)/7)*(7-$CU510),IF(AND($C510=2,CV510&lt;$DJ$1),(VLOOKUP($D510,HORAS!$B$4:$C$42,2,FALSE)*24)*$CV510,IF(AND($C510=2,CV510&gt;=$DJ$1),VLOOKUP($D510,HORAS!$B$4:$D$42,3,FALSE),IF(AND($C510=3,$CV510&gt;=$DJ$1),VLOOKUP($A510,FIJOS!$B$11:$P$545,10,FALSE),IF(AND($C510=3,$CV510&lt;$DJ$1),((VLOOKUP($A510,FIJOS!$B$11:$P$545,10,FALSE)/48)*24)*$CV510,IF(AND($C510=4,$CV510&gt;=(42/24)),VLOOKUP($D510,HORAS!$B$4:$D$42,3,FALSE),IF(AND($C510=5,$CV510&gt;=(36/24)),VLOOKUP($D510,HORAS!$B$4:$D$42,3,FALSE))))))))</f>
        <v>0</v>
      </c>
      <c r="DJ510" s="145">
        <f>IF(OR($C510=2),VLOOKUP($D510,HORAS!$B$4:$E$42,4,FALSE)*$EC510,IF(ISERROR(VLOOKUP($A510,FIJOS!$B$11:$P$108,9,FALSE)),0,VLOOKUP($A510,FIJOS!$B$11:$P$231,9,FALSE)*$EC510))</f>
        <v>0</v>
      </c>
      <c r="DK510" s="145">
        <f>IF(OR($C510=2),VLOOKUP($D510,HORAS!$B$4:$F$42,5,FALSE)*$EE510,IF(ISERROR(VLOOKUP($A510,FIJOS!$B$11:$P$108,9,FALSE)),0,VLOOKUP($A510,FIJOS!$B$11:$P$231,9,FALSE)*$EE510))</f>
        <v>0</v>
      </c>
      <c r="DL510" s="144"/>
      <c r="DM510" s="145">
        <f>IF(ISERROR(VLOOKUP($A510,FIJOS!$B$11:$L$646,11,FALSE)),0,VLOOKUP($A510,FIJOS!$B$11:$L$646,11,FALSE))</f>
        <v>0</v>
      </c>
      <c r="DN510" s="148" t="e">
        <f>IF(OR($C510=1,$C510=3),0,IF((VLOOKUP(CAPTURA!D510,HORAS!$B$4:$K$42,10,FALSE)/4)*COUNTIF($H510:$CT510,3)&gt;100,100,(VLOOKUP(CAPTURA!D510,HORAS!$B$4:$K$42,10,FALSE)/4)*COUNTIF($H510:$CT510,3)))</f>
        <v>#N/A</v>
      </c>
      <c r="DO510" s="144" t="e">
        <f>IF(OR($C510=1,$C510=3),0,IF($C510=5,VLOOKUP(D510,HORAS!$B$4:$G$42,6,FALSE),IF(AND($C510=4,$CV510&gt;=(42/24)),VLOOKUP(D510,HORAS!$B$4:$G$42,6,FALSE),IF(COUNTIF($H510:$CL510,"F")&gt;0,0,IF(CV510&gt;$DJ$1,$DJ$1*(VLOOKUP(D510,HORAS!$B$4:$G$42,6,FALSE)/$DJ$1),CV510*(VLOOKUP(D510,HORAS!$B$4:$G$42,6,FALSE)/$DJ$1))))))</f>
        <v>#N/A</v>
      </c>
      <c r="DP510" s="156"/>
      <c r="DQ510" s="148"/>
      <c r="DR510" s="148"/>
      <c r="DS510" s="83" t="e">
        <f t="shared" si="162"/>
        <v>#N/A</v>
      </c>
      <c r="DT510" s="84"/>
      <c r="DU510" s="149" t="e">
        <f t="shared" si="251"/>
        <v>#N/A</v>
      </c>
      <c r="DV510" s="149" t="e">
        <f t="shared" si="252"/>
        <v>#N/A</v>
      </c>
      <c r="DW510" s="144" t="e">
        <f t="shared" si="253"/>
        <v>#N/A</v>
      </c>
      <c r="DX510" s="168"/>
      <c r="DY510" s="29"/>
      <c r="DZ510" s="150"/>
      <c r="EA510" s="134"/>
      <c r="EB510" s="137">
        <f t="shared" si="254"/>
        <v>0</v>
      </c>
      <c r="EC510" s="138">
        <f t="shared" si="255"/>
        <v>0</v>
      </c>
      <c r="ED510" s="137">
        <f t="shared" si="256"/>
        <v>0</v>
      </c>
      <c r="EE510" s="132">
        <f t="shared" si="257"/>
        <v>0</v>
      </c>
      <c r="EF510" s="29"/>
      <c r="EG510" s="134"/>
      <c r="EH510" s="134"/>
      <c r="EI510" s="134"/>
      <c r="EK510" s="29"/>
    </row>
    <row r="511" spans="1:141" ht="15" customHeight="1" x14ac:dyDescent="0.25">
      <c r="A511" s="87"/>
      <c r="B511" s="5"/>
      <c r="C511" s="72"/>
      <c r="D511" s="73"/>
      <c r="E511" s="73"/>
      <c r="F511" s="141"/>
      <c r="G511" s="74"/>
      <c r="H511" s="75"/>
      <c r="I511" s="76"/>
      <c r="J511" s="135"/>
      <c r="K511" s="135"/>
      <c r="L511" s="77">
        <f t="shared" si="138"/>
        <v>0</v>
      </c>
      <c r="M511" s="78"/>
      <c r="N511" s="142"/>
      <c r="O511" s="142"/>
      <c r="P511" s="77">
        <f t="shared" si="139"/>
        <v>0</v>
      </c>
      <c r="Q511" s="78"/>
      <c r="R511" s="143"/>
      <c r="S511" s="143"/>
      <c r="T511" s="77">
        <f t="shared" si="140"/>
        <v>0</v>
      </c>
      <c r="U511" s="75"/>
      <c r="V511" s="76"/>
      <c r="W511" s="135"/>
      <c r="X511" s="135"/>
      <c r="Y511" s="77">
        <f t="shared" si="141"/>
        <v>0</v>
      </c>
      <c r="Z511" s="78"/>
      <c r="AA511" s="142"/>
      <c r="AB511" s="142"/>
      <c r="AC511" s="77">
        <f t="shared" si="142"/>
        <v>0</v>
      </c>
      <c r="AD511" s="78"/>
      <c r="AE511" s="143"/>
      <c r="AF511" s="143"/>
      <c r="AG511" s="79">
        <f t="shared" si="143"/>
        <v>0</v>
      </c>
      <c r="AH511" s="75"/>
      <c r="AI511" s="76"/>
      <c r="AJ511" s="135"/>
      <c r="AK511" s="135"/>
      <c r="AL511" s="77">
        <f t="shared" si="144"/>
        <v>0</v>
      </c>
      <c r="AM511" s="76"/>
      <c r="AN511" s="142"/>
      <c r="AO511" s="142"/>
      <c r="AP511" s="77">
        <f t="shared" si="145"/>
        <v>0</v>
      </c>
      <c r="AQ511" s="78"/>
      <c r="AR511" s="142"/>
      <c r="AS511" s="142"/>
      <c r="AT511" s="79">
        <f t="shared" si="146"/>
        <v>0</v>
      </c>
      <c r="AU511" s="75"/>
      <c r="AV511" s="76"/>
      <c r="AW511" s="135"/>
      <c r="AX511" s="135"/>
      <c r="AY511" s="77">
        <f t="shared" si="147"/>
        <v>0</v>
      </c>
      <c r="AZ511" s="76"/>
      <c r="BA511" s="142"/>
      <c r="BB511" s="142"/>
      <c r="BC511" s="77">
        <f t="shared" si="148"/>
        <v>0</v>
      </c>
      <c r="BD511" s="78"/>
      <c r="BE511" s="142"/>
      <c r="BF511" s="142"/>
      <c r="BG511" s="79">
        <f t="shared" si="149"/>
        <v>0</v>
      </c>
      <c r="BH511" s="75"/>
      <c r="BI511" s="76"/>
      <c r="BJ511" s="135"/>
      <c r="BK511" s="135"/>
      <c r="BL511" s="77">
        <f t="shared" si="150"/>
        <v>0</v>
      </c>
      <c r="BM511" s="78"/>
      <c r="BN511" s="142"/>
      <c r="BO511" s="142"/>
      <c r="BP511" s="77">
        <f t="shared" si="151"/>
        <v>0</v>
      </c>
      <c r="BQ511" s="78"/>
      <c r="BR511" s="142"/>
      <c r="BS511" s="142"/>
      <c r="BT511" s="79">
        <f t="shared" si="152"/>
        <v>0</v>
      </c>
      <c r="BU511" s="75"/>
      <c r="BV511" s="76"/>
      <c r="BW511" s="135"/>
      <c r="BX511" s="135"/>
      <c r="BY511" s="77">
        <f t="shared" si="153"/>
        <v>0</v>
      </c>
      <c r="BZ511" s="78"/>
      <c r="CA511" s="142"/>
      <c r="CB511" s="142"/>
      <c r="CC511" s="77">
        <f t="shared" si="154"/>
        <v>0</v>
      </c>
      <c r="CD511" s="78"/>
      <c r="CE511" s="142"/>
      <c r="CF511" s="142"/>
      <c r="CG511" s="79">
        <f t="shared" si="155"/>
        <v>0</v>
      </c>
      <c r="CH511" s="75"/>
      <c r="CI511" s="76"/>
      <c r="CJ511" s="86"/>
      <c r="CK511" s="86"/>
      <c r="CL511" s="77">
        <f t="shared" si="156"/>
        <v>0</v>
      </c>
      <c r="CM511" s="78"/>
      <c r="CN511" s="85"/>
      <c r="CO511" s="85"/>
      <c r="CP511" s="77">
        <f t="shared" si="157"/>
        <v>0</v>
      </c>
      <c r="CQ511" s="78"/>
      <c r="CR511" s="85"/>
      <c r="CS511" s="85"/>
      <c r="CT511" s="79">
        <f t="shared" si="158"/>
        <v>0</v>
      </c>
      <c r="CU511" s="80">
        <f t="shared" si="168"/>
        <v>0</v>
      </c>
      <c r="CV511" s="81">
        <f t="shared" si="169"/>
        <v>0</v>
      </c>
      <c r="CW511" s="144"/>
      <c r="CX511" s="145">
        <f>IF(ISERROR(VLOOKUP($A511,FIJOS!$B$11:$O$590,14,FALSE)),0,VLOOKUP($A511,FIJOS!$B$11:$O$590,14,FALSE))</f>
        <v>0</v>
      </c>
      <c r="CY511" s="145">
        <f>IF(ISERROR(VLOOKUP(A511,FIJOS!$B$10:$P$590,15,FALSE)),0,VLOOKUP(A511,FIJOS!$B$10:$P$590,15,FALSE))</f>
        <v>0</v>
      </c>
      <c r="CZ511" s="155"/>
      <c r="DA511" s="147"/>
      <c r="DB511" s="147"/>
      <c r="DC511" s="147"/>
      <c r="DD511" s="147"/>
      <c r="DE511" s="147"/>
      <c r="DF511" s="145">
        <f>IF(ISERROR(VLOOKUP($A511,FIJOS!$B$11:$N$590,13,FALSE)),0,VLOOKUP($A511,FIJOS!$B$11:$N$590,13,FALSE))</f>
        <v>0</v>
      </c>
      <c r="DG511" s="145">
        <f>IF(ISERROR(VLOOKUP($A511,FIJOS!$B$11:$P$447,12,FALSE)),0,VLOOKUP($A511,FIJOS!$B$11:$P$447,12,FALSE))</f>
        <v>0</v>
      </c>
      <c r="DH511" s="82">
        <f t="shared" si="250"/>
        <v>0</v>
      </c>
      <c r="DI511" s="83" t="b">
        <f>IF($C511=1,(VLOOKUP($A511,FIJOS!$B$11:$P$545,10,FALSE)/7)*(7-$CU511),IF(AND($C511=2,CV511&lt;$DJ$1),(VLOOKUP($D511,HORAS!$B$4:$C$42,2,FALSE)*24)*$CV511,IF(AND($C511=2,CV511&gt;=$DJ$1),VLOOKUP($D511,HORAS!$B$4:$D$42,3,FALSE),IF(AND($C511=3,$CV511&gt;=$DJ$1),VLOOKUP($A511,FIJOS!$B$11:$P$545,10,FALSE),IF(AND($C511=3,$CV511&lt;$DJ$1),((VLOOKUP($A511,FIJOS!$B$11:$P$545,10,FALSE)/48)*24)*$CV511,IF(AND($C511=4,$CV511&gt;=(42/24)),VLOOKUP($D511,HORAS!$B$4:$D$42,3,FALSE),IF(AND($C511=5,$CV511&gt;=(36/24)),VLOOKUP($D511,HORAS!$B$4:$D$42,3,FALSE))))))))</f>
        <v>0</v>
      </c>
      <c r="DJ511" s="145">
        <f>IF(OR($C511=2),VLOOKUP($D511,HORAS!$B$4:$E$42,4,FALSE)*$EC511,IF(ISERROR(VLOOKUP($A511,FIJOS!$B$11:$P$108,9,FALSE)),0,VLOOKUP($A511,FIJOS!$B$11:$P$231,9,FALSE)*$EC511))</f>
        <v>0</v>
      </c>
      <c r="DK511" s="145">
        <f>IF(OR($C511=2),VLOOKUP($D511,HORAS!$B$4:$F$42,5,FALSE)*$EE511,IF(ISERROR(VLOOKUP($A511,FIJOS!$B$11:$P$108,9,FALSE)),0,VLOOKUP($A511,FIJOS!$B$11:$P$231,9,FALSE)*$EE511))</f>
        <v>0</v>
      </c>
      <c r="DL511" s="144"/>
      <c r="DM511" s="145">
        <f>IF(ISERROR(VLOOKUP($A511,FIJOS!$B$11:$L$646,11,FALSE)),0,VLOOKUP($A511,FIJOS!$B$11:$L$646,11,FALSE))</f>
        <v>0</v>
      </c>
      <c r="DN511" s="148" t="e">
        <f>IF(OR($C511=1,$C511=3),0,IF((VLOOKUP(CAPTURA!D511,HORAS!$B$4:$K$42,10,FALSE)/4)*COUNTIF($H511:$CT511,3)&gt;100,100,(VLOOKUP(CAPTURA!D511,HORAS!$B$4:$K$42,10,FALSE)/4)*COUNTIF($H511:$CT511,3)))</f>
        <v>#N/A</v>
      </c>
      <c r="DO511" s="144" t="e">
        <f>IF(OR($C511=1,$C511=3),0,IF($C511=5,VLOOKUP(D511,HORAS!$B$4:$G$42,6,FALSE),IF(AND($C511=4,$CV511&gt;=(42/24)),VLOOKUP(D511,HORAS!$B$4:$G$42,6,FALSE),IF(COUNTIF($H511:$CL511,"F")&gt;0,0,IF(CV511&gt;$DJ$1,$DJ$1*(VLOOKUP(D511,HORAS!$B$4:$G$42,6,FALSE)/$DJ$1),CV511*(VLOOKUP(D511,HORAS!$B$4:$G$42,6,FALSE)/$DJ$1))))))</f>
        <v>#N/A</v>
      </c>
      <c r="DP511" s="156"/>
      <c r="DQ511" s="148"/>
      <c r="DR511" s="148"/>
      <c r="DS511" s="83" t="e">
        <f t="shared" si="162"/>
        <v>#N/A</v>
      </c>
      <c r="DT511" s="84"/>
      <c r="DU511" s="149" t="e">
        <f t="shared" si="251"/>
        <v>#N/A</v>
      </c>
      <c r="DV511" s="149" t="e">
        <f t="shared" si="252"/>
        <v>#N/A</v>
      </c>
      <c r="DW511" s="144" t="e">
        <f t="shared" si="253"/>
        <v>#N/A</v>
      </c>
      <c r="DX511" s="168"/>
      <c r="DY511" s="29"/>
      <c r="DZ511" s="150"/>
      <c r="EA511" s="134"/>
      <c r="EB511" s="137">
        <f t="shared" si="254"/>
        <v>0</v>
      </c>
      <c r="EC511" s="138">
        <f t="shared" si="255"/>
        <v>0</v>
      </c>
      <c r="ED511" s="137">
        <f t="shared" si="256"/>
        <v>0</v>
      </c>
      <c r="EE511" s="132">
        <f t="shared" si="257"/>
        <v>0</v>
      </c>
      <c r="EF511" s="29"/>
      <c r="EG511" s="134"/>
      <c r="EH511" s="134"/>
      <c r="EI511" s="134"/>
      <c r="EK511" s="29"/>
    </row>
    <row r="512" spans="1:141" ht="15" customHeight="1" x14ac:dyDescent="0.25">
      <c r="A512" s="87"/>
      <c r="B512" s="5"/>
      <c r="C512" s="72"/>
      <c r="D512" s="73"/>
      <c r="E512" s="73"/>
      <c r="F512" s="141"/>
      <c r="G512" s="74"/>
      <c r="H512" s="75"/>
      <c r="I512" s="76"/>
      <c r="J512" s="135"/>
      <c r="K512" s="135"/>
      <c r="L512" s="77">
        <f t="shared" si="138"/>
        <v>0</v>
      </c>
      <c r="M512" s="78"/>
      <c r="N512" s="142"/>
      <c r="O512" s="142"/>
      <c r="P512" s="77">
        <f t="shared" si="139"/>
        <v>0</v>
      </c>
      <c r="Q512" s="78"/>
      <c r="R512" s="143"/>
      <c r="S512" s="143"/>
      <c r="T512" s="77">
        <f t="shared" si="140"/>
        <v>0</v>
      </c>
      <c r="U512" s="75"/>
      <c r="V512" s="76"/>
      <c r="W512" s="135"/>
      <c r="X512" s="135"/>
      <c r="Y512" s="77">
        <f t="shared" si="141"/>
        <v>0</v>
      </c>
      <c r="Z512" s="78"/>
      <c r="AA512" s="142"/>
      <c r="AB512" s="142"/>
      <c r="AC512" s="77">
        <f t="shared" si="142"/>
        <v>0</v>
      </c>
      <c r="AD512" s="78"/>
      <c r="AE512" s="143"/>
      <c r="AF512" s="143"/>
      <c r="AG512" s="79">
        <f t="shared" si="143"/>
        <v>0</v>
      </c>
      <c r="AH512" s="75"/>
      <c r="AI512" s="76"/>
      <c r="AJ512" s="135"/>
      <c r="AK512" s="135"/>
      <c r="AL512" s="77">
        <f t="shared" si="144"/>
        <v>0</v>
      </c>
      <c r="AM512" s="76"/>
      <c r="AN512" s="142"/>
      <c r="AO512" s="142"/>
      <c r="AP512" s="77">
        <f t="shared" si="145"/>
        <v>0</v>
      </c>
      <c r="AQ512" s="78"/>
      <c r="AR512" s="142"/>
      <c r="AS512" s="142"/>
      <c r="AT512" s="79">
        <f t="shared" si="146"/>
        <v>0</v>
      </c>
      <c r="AU512" s="75"/>
      <c r="AV512" s="76"/>
      <c r="AW512" s="135"/>
      <c r="AX512" s="135"/>
      <c r="AY512" s="77">
        <f t="shared" si="147"/>
        <v>0</v>
      </c>
      <c r="AZ512" s="76"/>
      <c r="BA512" s="142"/>
      <c r="BB512" s="142"/>
      <c r="BC512" s="77">
        <f t="shared" si="148"/>
        <v>0</v>
      </c>
      <c r="BD512" s="78"/>
      <c r="BE512" s="142"/>
      <c r="BF512" s="142"/>
      <c r="BG512" s="79">
        <f t="shared" si="149"/>
        <v>0</v>
      </c>
      <c r="BH512" s="75"/>
      <c r="BI512" s="76"/>
      <c r="BJ512" s="135"/>
      <c r="BK512" s="135"/>
      <c r="BL512" s="77">
        <f t="shared" si="150"/>
        <v>0</v>
      </c>
      <c r="BM512" s="78"/>
      <c r="BN512" s="142"/>
      <c r="BO512" s="142"/>
      <c r="BP512" s="77">
        <f t="shared" si="151"/>
        <v>0</v>
      </c>
      <c r="BQ512" s="78"/>
      <c r="BR512" s="142"/>
      <c r="BS512" s="142"/>
      <c r="BT512" s="79">
        <f t="shared" si="152"/>
        <v>0</v>
      </c>
      <c r="BU512" s="75"/>
      <c r="BV512" s="76"/>
      <c r="BW512" s="135"/>
      <c r="BX512" s="135"/>
      <c r="BY512" s="77">
        <f t="shared" si="153"/>
        <v>0</v>
      </c>
      <c r="BZ512" s="78"/>
      <c r="CA512" s="142"/>
      <c r="CB512" s="142"/>
      <c r="CC512" s="77">
        <f t="shared" si="154"/>
        <v>0</v>
      </c>
      <c r="CD512" s="78"/>
      <c r="CE512" s="142"/>
      <c r="CF512" s="142"/>
      <c r="CG512" s="79">
        <f t="shared" si="155"/>
        <v>0</v>
      </c>
      <c r="CH512" s="75"/>
      <c r="CI512" s="76"/>
      <c r="CJ512" s="86"/>
      <c r="CK512" s="86"/>
      <c r="CL512" s="77">
        <f t="shared" si="156"/>
        <v>0</v>
      </c>
      <c r="CM512" s="78"/>
      <c r="CN512" s="85"/>
      <c r="CO512" s="85"/>
      <c r="CP512" s="77">
        <f t="shared" si="157"/>
        <v>0</v>
      </c>
      <c r="CQ512" s="78"/>
      <c r="CR512" s="85"/>
      <c r="CS512" s="85"/>
      <c r="CT512" s="79">
        <f t="shared" si="158"/>
        <v>0</v>
      </c>
      <c r="CU512" s="80">
        <f t="shared" si="168"/>
        <v>0</v>
      </c>
      <c r="CV512" s="81">
        <f t="shared" si="169"/>
        <v>0</v>
      </c>
      <c r="CW512" s="144"/>
      <c r="CX512" s="145">
        <f>IF(ISERROR(VLOOKUP($A512,FIJOS!$B$11:$O$590,14,FALSE)),0,VLOOKUP($A512,FIJOS!$B$11:$O$590,14,FALSE))</f>
        <v>0</v>
      </c>
      <c r="CY512" s="145">
        <f>IF(ISERROR(VLOOKUP(A512,FIJOS!$B$10:$P$590,15,FALSE)),0,VLOOKUP(A512,FIJOS!$B$10:$P$590,15,FALSE))</f>
        <v>0</v>
      </c>
      <c r="CZ512" s="155"/>
      <c r="DA512" s="147"/>
      <c r="DB512" s="147"/>
      <c r="DC512" s="147"/>
      <c r="DD512" s="147"/>
      <c r="DE512" s="147"/>
      <c r="DF512" s="145">
        <f>IF(ISERROR(VLOOKUP($A512,FIJOS!$B$11:$N$590,13,FALSE)),0,VLOOKUP($A512,FIJOS!$B$11:$N$590,13,FALSE))</f>
        <v>0</v>
      </c>
      <c r="DG512" s="145">
        <f>IF(ISERROR(VLOOKUP($A512,FIJOS!$B$11:$P$447,12,FALSE)),0,VLOOKUP($A512,FIJOS!$B$11:$P$447,12,FALSE))</f>
        <v>0</v>
      </c>
      <c r="DH512" s="82">
        <f t="shared" si="250"/>
        <v>0</v>
      </c>
      <c r="DI512" s="83" t="b">
        <f>IF($C512=1,(VLOOKUP($A512,FIJOS!$B$11:$P$545,10,FALSE)/7)*(7-$CU512),IF(AND($C512=2,CV512&lt;$DJ$1),(VLOOKUP($D512,HORAS!$B$4:$C$42,2,FALSE)*24)*$CV512,IF(AND($C512=2,CV512&gt;=$DJ$1),VLOOKUP($D512,HORAS!$B$4:$D$42,3,FALSE),IF(AND($C512=3,$CV512&gt;=$DJ$1),VLOOKUP($A512,FIJOS!$B$11:$P$545,10,FALSE),IF(AND($C512=3,$CV512&lt;$DJ$1),((VLOOKUP($A512,FIJOS!$B$11:$P$545,10,FALSE)/48)*24)*$CV512,IF(AND($C512=4,$CV512&gt;=(42/24)),VLOOKUP($D512,HORAS!$B$4:$D$42,3,FALSE),IF(AND($C512=5,$CV512&gt;=(36/24)),VLOOKUP($D512,HORAS!$B$4:$D$42,3,FALSE))))))))</f>
        <v>0</v>
      </c>
      <c r="DJ512" s="145">
        <f>IF(OR($C512=2),VLOOKUP($D512,HORAS!$B$4:$E$42,4,FALSE)*$EC512,IF(ISERROR(VLOOKUP($A512,FIJOS!$B$11:$P$108,9,FALSE)),0,VLOOKUP($A512,FIJOS!$B$11:$P$231,9,FALSE)*$EC512))</f>
        <v>0</v>
      </c>
      <c r="DK512" s="145">
        <f>IF(OR($C512=2),VLOOKUP($D512,HORAS!$B$4:$F$42,5,FALSE)*$EE512,IF(ISERROR(VLOOKUP($A512,FIJOS!$B$11:$P$108,9,FALSE)),0,VLOOKUP($A512,FIJOS!$B$11:$P$231,9,FALSE)*$EE512))</f>
        <v>0</v>
      </c>
      <c r="DL512" s="144"/>
      <c r="DM512" s="145">
        <f>IF(ISERROR(VLOOKUP($A512,FIJOS!$B$11:$L$646,11,FALSE)),0,VLOOKUP($A512,FIJOS!$B$11:$L$646,11,FALSE))</f>
        <v>0</v>
      </c>
      <c r="DN512" s="148" t="e">
        <f>IF(OR($C512=1,$C512=3),0,IF((VLOOKUP(CAPTURA!D512,HORAS!$B$4:$K$42,10,FALSE)/4)*COUNTIF($H512:$CT512,3)&gt;100,100,(VLOOKUP(CAPTURA!D512,HORAS!$B$4:$K$42,10,FALSE)/4)*COUNTIF($H512:$CT512,3)))</f>
        <v>#N/A</v>
      </c>
      <c r="DO512" s="144" t="e">
        <f>IF(OR($C512=1,$C512=3),0,IF($C512=5,VLOOKUP(D512,HORAS!$B$4:$G$42,6,FALSE),IF(AND($C512=4,$CV512&gt;=(42/24)),VLOOKUP(D512,HORAS!$B$4:$G$42,6,FALSE),IF(COUNTIF($H512:$CL512,"F")&gt;0,0,IF(CV512&gt;$DJ$1,$DJ$1*(VLOOKUP(D512,HORAS!$B$4:$G$42,6,FALSE)/$DJ$1),CV512*(VLOOKUP(D512,HORAS!$B$4:$G$42,6,FALSE)/$DJ$1))))))</f>
        <v>#N/A</v>
      </c>
      <c r="DP512" s="156"/>
      <c r="DQ512" s="148"/>
      <c r="DR512" s="148"/>
      <c r="DS512" s="83" t="e">
        <f t="shared" si="162"/>
        <v>#N/A</v>
      </c>
      <c r="DT512" s="84"/>
      <c r="DU512" s="149" t="e">
        <f t="shared" si="251"/>
        <v>#N/A</v>
      </c>
      <c r="DV512" s="149" t="e">
        <f t="shared" si="252"/>
        <v>#N/A</v>
      </c>
      <c r="DW512" s="144" t="e">
        <f t="shared" si="253"/>
        <v>#N/A</v>
      </c>
      <c r="DX512" s="168"/>
      <c r="DY512" s="29"/>
      <c r="DZ512" s="150"/>
      <c r="EA512" s="134"/>
      <c r="EB512" s="137">
        <f t="shared" si="254"/>
        <v>0</v>
      </c>
      <c r="EC512" s="138">
        <f t="shared" si="255"/>
        <v>0</v>
      </c>
      <c r="ED512" s="137">
        <f t="shared" si="256"/>
        <v>0</v>
      </c>
      <c r="EE512" s="132">
        <f t="shared" si="257"/>
        <v>0</v>
      </c>
      <c r="EF512" s="29"/>
      <c r="EG512" s="134"/>
      <c r="EH512" s="134"/>
      <c r="EI512" s="134"/>
      <c r="EK512" s="29"/>
    </row>
    <row r="513" spans="1:141" ht="15" customHeight="1" x14ac:dyDescent="0.25">
      <c r="A513" s="87"/>
      <c r="B513" s="5"/>
      <c r="C513" s="72"/>
      <c r="D513" s="73"/>
      <c r="E513" s="73"/>
      <c r="F513" s="141"/>
      <c r="G513" s="74"/>
      <c r="H513" s="75"/>
      <c r="I513" s="76"/>
      <c r="J513" s="135"/>
      <c r="K513" s="135"/>
      <c r="L513" s="77">
        <f t="shared" si="138"/>
        <v>0</v>
      </c>
      <c r="M513" s="78"/>
      <c r="N513" s="142"/>
      <c r="O513" s="142"/>
      <c r="P513" s="77">
        <f t="shared" si="139"/>
        <v>0</v>
      </c>
      <c r="Q513" s="78"/>
      <c r="R513" s="143"/>
      <c r="S513" s="143"/>
      <c r="T513" s="77">
        <f t="shared" si="140"/>
        <v>0</v>
      </c>
      <c r="U513" s="75"/>
      <c r="V513" s="76"/>
      <c r="W513" s="135"/>
      <c r="X513" s="135"/>
      <c r="Y513" s="77">
        <f t="shared" si="141"/>
        <v>0</v>
      </c>
      <c r="Z513" s="78"/>
      <c r="AA513" s="142"/>
      <c r="AB513" s="142"/>
      <c r="AC513" s="77">
        <f t="shared" si="142"/>
        <v>0</v>
      </c>
      <c r="AD513" s="78"/>
      <c r="AE513" s="143"/>
      <c r="AF513" s="143"/>
      <c r="AG513" s="79">
        <f t="shared" si="143"/>
        <v>0</v>
      </c>
      <c r="AH513" s="75"/>
      <c r="AI513" s="76"/>
      <c r="AJ513" s="135"/>
      <c r="AK513" s="135"/>
      <c r="AL513" s="77">
        <f t="shared" si="144"/>
        <v>0</v>
      </c>
      <c r="AM513" s="76"/>
      <c r="AN513" s="142"/>
      <c r="AO513" s="142"/>
      <c r="AP513" s="77">
        <f t="shared" si="145"/>
        <v>0</v>
      </c>
      <c r="AQ513" s="78"/>
      <c r="AR513" s="142"/>
      <c r="AS513" s="142"/>
      <c r="AT513" s="79">
        <f t="shared" si="146"/>
        <v>0</v>
      </c>
      <c r="AU513" s="75"/>
      <c r="AV513" s="76"/>
      <c r="AW513" s="135"/>
      <c r="AX513" s="135"/>
      <c r="AY513" s="77">
        <f t="shared" si="147"/>
        <v>0</v>
      </c>
      <c r="AZ513" s="76"/>
      <c r="BA513" s="142"/>
      <c r="BB513" s="142"/>
      <c r="BC513" s="77">
        <f t="shared" si="148"/>
        <v>0</v>
      </c>
      <c r="BD513" s="78"/>
      <c r="BE513" s="142"/>
      <c r="BF513" s="142"/>
      <c r="BG513" s="79">
        <f t="shared" si="149"/>
        <v>0</v>
      </c>
      <c r="BH513" s="75"/>
      <c r="BI513" s="76"/>
      <c r="BJ513" s="135"/>
      <c r="BK513" s="135"/>
      <c r="BL513" s="77">
        <f t="shared" si="150"/>
        <v>0</v>
      </c>
      <c r="BM513" s="78"/>
      <c r="BN513" s="142"/>
      <c r="BO513" s="142"/>
      <c r="BP513" s="77">
        <f t="shared" si="151"/>
        <v>0</v>
      </c>
      <c r="BQ513" s="78"/>
      <c r="BR513" s="142"/>
      <c r="BS513" s="142"/>
      <c r="BT513" s="79">
        <f t="shared" si="152"/>
        <v>0</v>
      </c>
      <c r="BU513" s="75"/>
      <c r="BV513" s="76"/>
      <c r="BW513" s="135"/>
      <c r="BX513" s="135"/>
      <c r="BY513" s="77">
        <f t="shared" si="153"/>
        <v>0</v>
      </c>
      <c r="BZ513" s="78"/>
      <c r="CA513" s="142"/>
      <c r="CB513" s="142"/>
      <c r="CC513" s="77">
        <f t="shared" si="154"/>
        <v>0</v>
      </c>
      <c r="CD513" s="78"/>
      <c r="CE513" s="142"/>
      <c r="CF513" s="142"/>
      <c r="CG513" s="79">
        <f t="shared" si="155"/>
        <v>0</v>
      </c>
      <c r="CH513" s="75"/>
      <c r="CI513" s="76"/>
      <c r="CJ513" s="86"/>
      <c r="CK513" s="86"/>
      <c r="CL513" s="77">
        <f t="shared" si="156"/>
        <v>0</v>
      </c>
      <c r="CM513" s="78"/>
      <c r="CN513" s="85"/>
      <c r="CO513" s="85"/>
      <c r="CP513" s="77">
        <f t="shared" si="157"/>
        <v>0</v>
      </c>
      <c r="CQ513" s="78"/>
      <c r="CR513" s="85"/>
      <c r="CS513" s="85"/>
      <c r="CT513" s="79">
        <f t="shared" si="158"/>
        <v>0</v>
      </c>
      <c r="CU513" s="80">
        <f t="shared" si="168"/>
        <v>0</v>
      </c>
      <c r="CV513" s="81">
        <f t="shared" si="169"/>
        <v>0</v>
      </c>
      <c r="CW513" s="144"/>
      <c r="CX513" s="145">
        <f>IF(ISERROR(VLOOKUP($A513,FIJOS!$B$11:$O$590,14,FALSE)),0,VLOOKUP($A513,FIJOS!$B$11:$O$590,14,FALSE))</f>
        <v>0</v>
      </c>
      <c r="CY513" s="145">
        <f>IF(ISERROR(VLOOKUP(A513,FIJOS!$B$10:$P$590,15,FALSE)),0,VLOOKUP(A513,FIJOS!$B$10:$P$590,15,FALSE))</f>
        <v>0</v>
      </c>
      <c r="CZ513" s="155"/>
      <c r="DA513" s="147"/>
      <c r="DB513" s="147"/>
      <c r="DC513" s="147"/>
      <c r="DD513" s="147"/>
      <c r="DE513" s="147"/>
      <c r="DF513" s="145">
        <f>IF(ISERROR(VLOOKUP($A513,FIJOS!$B$11:$N$590,13,FALSE)),0,VLOOKUP($A513,FIJOS!$B$11:$N$590,13,FALSE))</f>
        <v>0</v>
      </c>
      <c r="DG513" s="145">
        <f>IF(ISERROR(VLOOKUP($A513,FIJOS!$B$11:$P$447,12,FALSE)),0,VLOOKUP($A513,FIJOS!$B$11:$P$447,12,FALSE))</f>
        <v>0</v>
      </c>
      <c r="DH513" s="82">
        <f t="shared" si="250"/>
        <v>0</v>
      </c>
      <c r="DI513" s="83" t="b">
        <f>IF($C513=1,(VLOOKUP($A513,FIJOS!$B$11:$P$545,10,FALSE)/7)*(7-$CU513),IF(AND($C513=2,CV513&lt;$DJ$1),(VLOOKUP($D513,HORAS!$B$4:$C$42,2,FALSE)*24)*$CV513,IF(AND($C513=2,CV513&gt;=$DJ$1),VLOOKUP($D513,HORAS!$B$4:$D$42,3,FALSE),IF(AND($C513=3,$CV513&gt;=$DJ$1),VLOOKUP($A513,FIJOS!$B$11:$P$545,10,FALSE),IF(AND($C513=3,$CV513&lt;$DJ$1),((VLOOKUP($A513,FIJOS!$B$11:$P$545,10,FALSE)/48)*24)*$CV513,IF(AND($C513=4,$CV513&gt;=(42/24)),VLOOKUP($D513,HORAS!$B$4:$D$42,3,FALSE),IF(AND($C513=5,$CV513&gt;=(36/24)),VLOOKUP($D513,HORAS!$B$4:$D$42,3,FALSE))))))))</f>
        <v>0</v>
      </c>
      <c r="DJ513" s="145">
        <f>IF(OR($C513=2),VLOOKUP($D513,HORAS!$B$4:$E$42,4,FALSE)*$EC513,IF(ISERROR(VLOOKUP($A513,FIJOS!$B$11:$P$108,9,FALSE)),0,VLOOKUP($A513,FIJOS!$B$11:$P$231,9,FALSE)*$EC513))</f>
        <v>0</v>
      </c>
      <c r="DK513" s="145">
        <f>IF(OR($C513=2),VLOOKUP($D513,HORAS!$B$4:$F$42,5,FALSE)*$EE513,IF(ISERROR(VLOOKUP($A513,FIJOS!$B$11:$P$108,9,FALSE)),0,VLOOKUP($A513,FIJOS!$B$11:$P$231,9,FALSE)*$EE513))</f>
        <v>0</v>
      </c>
      <c r="DL513" s="144"/>
      <c r="DM513" s="145">
        <f>IF(ISERROR(VLOOKUP($A513,FIJOS!$B$11:$L$646,11,FALSE)),0,VLOOKUP($A513,FIJOS!$B$11:$L$646,11,FALSE))</f>
        <v>0</v>
      </c>
      <c r="DN513" s="148" t="e">
        <f>IF(OR($C513=1,$C513=3),0,IF((VLOOKUP(CAPTURA!D513,HORAS!$B$4:$K$42,10,FALSE)/4)*COUNTIF($H513:$CT513,3)&gt;100,100,(VLOOKUP(CAPTURA!D513,HORAS!$B$4:$K$42,10,FALSE)/4)*COUNTIF($H513:$CT513,3)))</f>
        <v>#N/A</v>
      </c>
      <c r="DO513" s="144" t="e">
        <f>IF(OR($C513=1,$C513=3),0,IF($C513=5,VLOOKUP(D513,HORAS!$B$4:$G$42,6,FALSE),IF(AND($C513=4,$CV513&gt;=(42/24)),VLOOKUP(D513,HORAS!$B$4:$G$42,6,FALSE),IF(COUNTIF($H513:$CL513,"F")&gt;0,0,IF(CV513&gt;$DJ$1,$DJ$1*(VLOOKUP(D513,HORAS!$B$4:$G$42,6,FALSE)/$DJ$1),CV513*(VLOOKUP(D513,HORAS!$B$4:$G$42,6,FALSE)/$DJ$1))))))</f>
        <v>#N/A</v>
      </c>
      <c r="DP513" s="156"/>
      <c r="DQ513" s="148"/>
      <c r="DR513" s="148"/>
      <c r="DS513" s="83" t="e">
        <f t="shared" si="162"/>
        <v>#N/A</v>
      </c>
      <c r="DT513" s="84"/>
      <c r="DU513" s="149" t="e">
        <f t="shared" si="251"/>
        <v>#N/A</v>
      </c>
      <c r="DV513" s="149" t="e">
        <f t="shared" si="252"/>
        <v>#N/A</v>
      </c>
      <c r="DW513" s="144" t="e">
        <f t="shared" si="253"/>
        <v>#N/A</v>
      </c>
      <c r="DX513" s="168"/>
      <c r="DY513" s="29"/>
      <c r="DZ513" s="150"/>
      <c r="EA513" s="134"/>
      <c r="EB513" s="137">
        <f t="shared" si="254"/>
        <v>0</v>
      </c>
      <c r="EC513" s="138">
        <f t="shared" si="255"/>
        <v>0</v>
      </c>
      <c r="ED513" s="137">
        <f t="shared" si="256"/>
        <v>0</v>
      </c>
      <c r="EE513" s="132">
        <f t="shared" si="257"/>
        <v>0</v>
      </c>
      <c r="EF513" s="29"/>
      <c r="EG513" s="134"/>
      <c r="EH513" s="134"/>
      <c r="EI513" s="134"/>
      <c r="EK513" s="29"/>
    </row>
    <row r="514" spans="1:141" ht="15" customHeight="1" x14ac:dyDescent="0.25">
      <c r="A514" s="87"/>
      <c r="B514" s="5"/>
      <c r="C514" s="72"/>
      <c r="D514" s="73"/>
      <c r="E514" s="73"/>
      <c r="F514" s="141"/>
      <c r="G514" s="74"/>
      <c r="H514" s="75"/>
      <c r="I514" s="76"/>
      <c r="J514" s="135"/>
      <c r="K514" s="135"/>
      <c r="L514" s="77">
        <f t="shared" si="138"/>
        <v>0</v>
      </c>
      <c r="M514" s="78"/>
      <c r="N514" s="142"/>
      <c r="O514" s="142"/>
      <c r="P514" s="77">
        <f t="shared" si="139"/>
        <v>0</v>
      </c>
      <c r="Q514" s="78"/>
      <c r="R514" s="143"/>
      <c r="S514" s="143"/>
      <c r="T514" s="77">
        <f t="shared" si="140"/>
        <v>0</v>
      </c>
      <c r="U514" s="75"/>
      <c r="V514" s="76"/>
      <c r="W514" s="135"/>
      <c r="X514" s="135"/>
      <c r="Y514" s="77">
        <f t="shared" si="141"/>
        <v>0</v>
      </c>
      <c r="Z514" s="78"/>
      <c r="AA514" s="142"/>
      <c r="AB514" s="142"/>
      <c r="AC514" s="77">
        <f t="shared" si="142"/>
        <v>0</v>
      </c>
      <c r="AD514" s="78"/>
      <c r="AE514" s="143"/>
      <c r="AF514" s="143"/>
      <c r="AG514" s="79">
        <f t="shared" si="143"/>
        <v>0</v>
      </c>
      <c r="AH514" s="75"/>
      <c r="AI514" s="76"/>
      <c r="AJ514" s="135"/>
      <c r="AK514" s="135"/>
      <c r="AL514" s="77">
        <f t="shared" si="144"/>
        <v>0</v>
      </c>
      <c r="AM514" s="76"/>
      <c r="AN514" s="142"/>
      <c r="AO514" s="142"/>
      <c r="AP514" s="77">
        <f t="shared" si="145"/>
        <v>0</v>
      </c>
      <c r="AQ514" s="78"/>
      <c r="AR514" s="142"/>
      <c r="AS514" s="142"/>
      <c r="AT514" s="79">
        <f t="shared" si="146"/>
        <v>0</v>
      </c>
      <c r="AU514" s="75"/>
      <c r="AV514" s="76"/>
      <c r="AW514" s="135"/>
      <c r="AX514" s="135"/>
      <c r="AY514" s="77">
        <f t="shared" si="147"/>
        <v>0</v>
      </c>
      <c r="AZ514" s="76"/>
      <c r="BA514" s="142"/>
      <c r="BB514" s="142"/>
      <c r="BC514" s="77">
        <f t="shared" si="148"/>
        <v>0</v>
      </c>
      <c r="BD514" s="78"/>
      <c r="BE514" s="142"/>
      <c r="BF514" s="142"/>
      <c r="BG514" s="79">
        <f t="shared" si="149"/>
        <v>0</v>
      </c>
      <c r="BH514" s="75"/>
      <c r="BI514" s="76"/>
      <c r="BJ514" s="135"/>
      <c r="BK514" s="135"/>
      <c r="BL514" s="77">
        <f t="shared" si="150"/>
        <v>0</v>
      </c>
      <c r="BM514" s="78"/>
      <c r="BN514" s="142"/>
      <c r="BO514" s="142"/>
      <c r="BP514" s="77">
        <f t="shared" si="151"/>
        <v>0</v>
      </c>
      <c r="BQ514" s="78"/>
      <c r="BR514" s="142"/>
      <c r="BS514" s="142"/>
      <c r="BT514" s="79">
        <f t="shared" si="152"/>
        <v>0</v>
      </c>
      <c r="BU514" s="75"/>
      <c r="BV514" s="76"/>
      <c r="BW514" s="135"/>
      <c r="BX514" s="135"/>
      <c r="BY514" s="77">
        <f t="shared" si="153"/>
        <v>0</v>
      </c>
      <c r="BZ514" s="78"/>
      <c r="CA514" s="142"/>
      <c r="CB514" s="142"/>
      <c r="CC514" s="77">
        <f t="shared" si="154"/>
        <v>0</v>
      </c>
      <c r="CD514" s="78"/>
      <c r="CE514" s="142"/>
      <c r="CF514" s="142"/>
      <c r="CG514" s="79">
        <f t="shared" si="155"/>
        <v>0</v>
      </c>
      <c r="CH514" s="75"/>
      <c r="CI514" s="76"/>
      <c r="CJ514" s="86"/>
      <c r="CK514" s="86"/>
      <c r="CL514" s="77">
        <f t="shared" si="156"/>
        <v>0</v>
      </c>
      <c r="CM514" s="78"/>
      <c r="CN514" s="85"/>
      <c r="CO514" s="85"/>
      <c r="CP514" s="77">
        <f t="shared" si="157"/>
        <v>0</v>
      </c>
      <c r="CQ514" s="78"/>
      <c r="CR514" s="85"/>
      <c r="CS514" s="85"/>
      <c r="CT514" s="79">
        <f t="shared" si="158"/>
        <v>0</v>
      </c>
      <c r="CU514" s="80">
        <f t="shared" si="168"/>
        <v>0</v>
      </c>
      <c r="CV514" s="81">
        <f t="shared" si="169"/>
        <v>0</v>
      </c>
      <c r="CW514" s="144"/>
      <c r="CX514" s="145">
        <f>IF(ISERROR(VLOOKUP($A514,FIJOS!$B$11:$O$590,14,FALSE)),0,VLOOKUP($A514,FIJOS!$B$11:$O$590,14,FALSE))</f>
        <v>0</v>
      </c>
      <c r="CY514" s="145">
        <f>IF(ISERROR(VLOOKUP(A514,FIJOS!$B$10:$P$590,15,FALSE)),0,VLOOKUP(A514,FIJOS!$B$10:$P$590,15,FALSE))</f>
        <v>0</v>
      </c>
      <c r="CZ514" s="155"/>
      <c r="DA514" s="147"/>
      <c r="DB514" s="147"/>
      <c r="DC514" s="147"/>
      <c r="DD514" s="147"/>
      <c r="DE514" s="147"/>
      <c r="DF514" s="145">
        <f>IF(ISERROR(VLOOKUP($A514,FIJOS!$B$11:$N$590,13,FALSE)),0,VLOOKUP($A514,FIJOS!$B$11:$N$590,13,FALSE))</f>
        <v>0</v>
      </c>
      <c r="DG514" s="145">
        <f>IF(ISERROR(VLOOKUP($A514,FIJOS!$B$11:$P$447,12,FALSE)),0,VLOOKUP($A514,FIJOS!$B$11:$P$447,12,FALSE))</f>
        <v>0</v>
      </c>
      <c r="DH514" s="82">
        <f t="shared" si="250"/>
        <v>0</v>
      </c>
      <c r="DI514" s="83" t="b">
        <f>IF($C514=1,(VLOOKUP($A514,FIJOS!$B$11:$P$545,10,FALSE)/7)*(7-$CU514),IF(AND($C514=2,CV514&lt;$DJ$1),(VLOOKUP($D514,HORAS!$B$4:$C$42,2,FALSE)*24)*$CV514,IF(AND($C514=2,CV514&gt;=$DJ$1),VLOOKUP($D514,HORAS!$B$4:$D$42,3,FALSE),IF(AND($C514=3,$CV514&gt;=$DJ$1),VLOOKUP($A514,FIJOS!$B$11:$P$545,10,FALSE),IF(AND($C514=3,$CV514&lt;$DJ$1),((VLOOKUP($A514,FIJOS!$B$11:$P$545,10,FALSE)/48)*24)*$CV514,IF(AND($C514=4,$CV514&gt;=(42/24)),VLOOKUP($D514,HORAS!$B$4:$D$42,3,FALSE),IF(AND($C514=5,$CV514&gt;=(36/24)),VLOOKUP($D514,HORAS!$B$4:$D$42,3,FALSE))))))))</f>
        <v>0</v>
      </c>
      <c r="DJ514" s="145">
        <f>IF(OR($C514=2),VLOOKUP($D514,HORAS!$B$4:$E$42,4,FALSE)*$EC514,IF(ISERROR(VLOOKUP($A514,FIJOS!$B$11:$P$108,9,FALSE)),0,VLOOKUP($A514,FIJOS!$B$11:$P$231,9,FALSE)*$EC514))</f>
        <v>0</v>
      </c>
      <c r="DK514" s="145">
        <f>IF(OR($C514=2),VLOOKUP($D514,HORAS!$B$4:$F$42,5,FALSE)*$EE514,IF(ISERROR(VLOOKUP($A514,FIJOS!$B$11:$P$108,9,FALSE)),0,VLOOKUP($A514,FIJOS!$B$11:$P$231,9,FALSE)*$EE514))</f>
        <v>0</v>
      </c>
      <c r="DL514" s="144"/>
      <c r="DM514" s="145">
        <f>IF(ISERROR(VLOOKUP($A514,FIJOS!$B$11:$L$646,11,FALSE)),0,VLOOKUP($A514,FIJOS!$B$11:$L$646,11,FALSE))</f>
        <v>0</v>
      </c>
      <c r="DN514" s="148" t="e">
        <f>IF(OR($C514=1,$C514=3),0,IF((VLOOKUP(CAPTURA!D514,HORAS!$B$4:$K$42,10,FALSE)/4)*COUNTIF($H514:$CT514,3)&gt;100,100,(VLOOKUP(CAPTURA!D514,HORAS!$B$4:$K$42,10,FALSE)/4)*COUNTIF($H514:$CT514,3)))</f>
        <v>#N/A</v>
      </c>
      <c r="DO514" s="144" t="e">
        <f>IF(OR($C514=1,$C514=3),0,IF($C514=5,VLOOKUP(D514,HORAS!$B$4:$G$42,6,FALSE),IF(AND($C514=4,$CV514&gt;=(42/24)),VLOOKUP(D514,HORAS!$B$4:$G$42,6,FALSE),IF(COUNTIF($H514:$CL514,"F")&gt;0,0,IF(CV514&gt;$DJ$1,$DJ$1*(VLOOKUP(D514,HORAS!$B$4:$G$42,6,FALSE)/$DJ$1),CV514*(VLOOKUP(D514,HORAS!$B$4:$G$42,6,FALSE)/$DJ$1))))))</f>
        <v>#N/A</v>
      </c>
      <c r="DP514" s="156"/>
      <c r="DQ514" s="148"/>
      <c r="DR514" s="148"/>
      <c r="DS514" s="83" t="e">
        <f t="shared" si="162"/>
        <v>#N/A</v>
      </c>
      <c r="DT514" s="84"/>
      <c r="DU514" s="149" t="e">
        <f t="shared" si="251"/>
        <v>#N/A</v>
      </c>
      <c r="DV514" s="149" t="e">
        <f t="shared" si="252"/>
        <v>#N/A</v>
      </c>
      <c r="DW514" s="144" t="e">
        <f t="shared" si="253"/>
        <v>#N/A</v>
      </c>
      <c r="DX514" s="168"/>
      <c r="DY514" s="29"/>
      <c r="DZ514" s="150"/>
      <c r="EA514" s="134"/>
      <c r="EB514" s="137">
        <f t="shared" si="254"/>
        <v>0</v>
      </c>
      <c r="EC514" s="138">
        <f t="shared" si="255"/>
        <v>0</v>
      </c>
      <c r="ED514" s="137">
        <f t="shared" si="256"/>
        <v>0</v>
      </c>
      <c r="EE514" s="132">
        <f t="shared" si="257"/>
        <v>0</v>
      </c>
      <c r="EF514" s="29"/>
      <c r="EG514" s="134"/>
      <c r="EH514" s="134"/>
      <c r="EI514" s="134"/>
      <c r="EK514" s="29"/>
    </row>
    <row r="515" spans="1:141" ht="15" customHeight="1" x14ac:dyDescent="0.25">
      <c r="A515" s="87"/>
      <c r="B515" s="5"/>
      <c r="C515" s="72"/>
      <c r="D515" s="73"/>
      <c r="E515" s="73"/>
      <c r="F515" s="141"/>
      <c r="G515" s="74"/>
      <c r="H515" s="75"/>
      <c r="I515" s="76"/>
      <c r="J515" s="135"/>
      <c r="K515" s="135"/>
      <c r="L515" s="77">
        <f t="shared" si="138"/>
        <v>0</v>
      </c>
      <c r="M515" s="78"/>
      <c r="N515" s="142"/>
      <c r="O515" s="142"/>
      <c r="P515" s="77">
        <f t="shared" si="139"/>
        <v>0</v>
      </c>
      <c r="Q515" s="78"/>
      <c r="R515" s="143"/>
      <c r="S515" s="143"/>
      <c r="T515" s="77">
        <f t="shared" si="140"/>
        <v>0</v>
      </c>
      <c r="U515" s="75"/>
      <c r="V515" s="76"/>
      <c r="W515" s="135"/>
      <c r="X515" s="135"/>
      <c r="Y515" s="77">
        <f t="shared" si="141"/>
        <v>0</v>
      </c>
      <c r="Z515" s="78"/>
      <c r="AA515" s="142"/>
      <c r="AB515" s="142"/>
      <c r="AC515" s="77">
        <f t="shared" si="142"/>
        <v>0</v>
      </c>
      <c r="AD515" s="78"/>
      <c r="AE515" s="143"/>
      <c r="AF515" s="143"/>
      <c r="AG515" s="79">
        <f t="shared" si="143"/>
        <v>0</v>
      </c>
      <c r="AH515" s="75"/>
      <c r="AI515" s="76"/>
      <c r="AJ515" s="135"/>
      <c r="AK515" s="135"/>
      <c r="AL515" s="77">
        <f t="shared" si="144"/>
        <v>0</v>
      </c>
      <c r="AM515" s="76"/>
      <c r="AN515" s="142"/>
      <c r="AO515" s="142"/>
      <c r="AP515" s="77">
        <f t="shared" si="145"/>
        <v>0</v>
      </c>
      <c r="AQ515" s="78"/>
      <c r="AR515" s="142"/>
      <c r="AS515" s="142"/>
      <c r="AT515" s="79">
        <f t="shared" si="146"/>
        <v>0</v>
      </c>
      <c r="AU515" s="75"/>
      <c r="AV515" s="76"/>
      <c r="AW515" s="135"/>
      <c r="AX515" s="135"/>
      <c r="AY515" s="77">
        <f t="shared" si="147"/>
        <v>0</v>
      </c>
      <c r="AZ515" s="76"/>
      <c r="BA515" s="142"/>
      <c r="BB515" s="142"/>
      <c r="BC515" s="77">
        <f t="shared" si="148"/>
        <v>0</v>
      </c>
      <c r="BD515" s="78"/>
      <c r="BE515" s="142"/>
      <c r="BF515" s="142"/>
      <c r="BG515" s="79">
        <f t="shared" si="149"/>
        <v>0</v>
      </c>
      <c r="BH515" s="75"/>
      <c r="BI515" s="76"/>
      <c r="BJ515" s="135"/>
      <c r="BK515" s="135"/>
      <c r="BL515" s="77">
        <f t="shared" si="150"/>
        <v>0</v>
      </c>
      <c r="BM515" s="78"/>
      <c r="BN515" s="142"/>
      <c r="BO515" s="142"/>
      <c r="BP515" s="77">
        <f t="shared" si="151"/>
        <v>0</v>
      </c>
      <c r="BQ515" s="78"/>
      <c r="BR515" s="142"/>
      <c r="BS515" s="142"/>
      <c r="BT515" s="79">
        <f t="shared" si="152"/>
        <v>0</v>
      </c>
      <c r="BU515" s="75"/>
      <c r="BV515" s="76"/>
      <c r="BW515" s="135"/>
      <c r="BX515" s="135"/>
      <c r="BY515" s="77">
        <f t="shared" si="153"/>
        <v>0</v>
      </c>
      <c r="BZ515" s="78"/>
      <c r="CA515" s="142"/>
      <c r="CB515" s="142"/>
      <c r="CC515" s="77">
        <f t="shared" si="154"/>
        <v>0</v>
      </c>
      <c r="CD515" s="78"/>
      <c r="CE515" s="142"/>
      <c r="CF515" s="142"/>
      <c r="CG515" s="79">
        <f t="shared" si="155"/>
        <v>0</v>
      </c>
      <c r="CH515" s="75"/>
      <c r="CI515" s="76"/>
      <c r="CJ515" s="86"/>
      <c r="CK515" s="86"/>
      <c r="CL515" s="77">
        <f t="shared" si="156"/>
        <v>0</v>
      </c>
      <c r="CM515" s="78"/>
      <c r="CN515" s="85"/>
      <c r="CO515" s="85"/>
      <c r="CP515" s="77">
        <f t="shared" si="157"/>
        <v>0</v>
      </c>
      <c r="CQ515" s="78"/>
      <c r="CR515" s="85"/>
      <c r="CS515" s="85"/>
      <c r="CT515" s="79">
        <f t="shared" si="158"/>
        <v>0</v>
      </c>
      <c r="CU515" s="80">
        <f t="shared" si="168"/>
        <v>0</v>
      </c>
      <c r="CV515" s="81">
        <f t="shared" si="169"/>
        <v>0</v>
      </c>
      <c r="CW515" s="144"/>
      <c r="CX515" s="145">
        <f>IF(ISERROR(VLOOKUP($A515,FIJOS!$B$11:$O$590,14,FALSE)),0,VLOOKUP($A515,FIJOS!$B$11:$O$590,14,FALSE))</f>
        <v>0</v>
      </c>
      <c r="CY515" s="145">
        <f>IF(ISERROR(VLOOKUP(A515,FIJOS!$B$10:$P$590,15,FALSE)),0,VLOOKUP(A515,FIJOS!$B$10:$P$590,15,FALSE))</f>
        <v>0</v>
      </c>
      <c r="CZ515" s="155"/>
      <c r="DA515" s="147"/>
      <c r="DB515" s="147"/>
      <c r="DC515" s="147"/>
      <c r="DD515" s="147"/>
      <c r="DE515" s="147"/>
      <c r="DF515" s="145">
        <f>IF(ISERROR(VLOOKUP($A515,FIJOS!$B$11:$N$590,13,FALSE)),0,VLOOKUP($A515,FIJOS!$B$11:$N$590,13,FALSE))</f>
        <v>0</v>
      </c>
      <c r="DG515" s="145">
        <f>IF(ISERROR(VLOOKUP($A515,FIJOS!$B$11:$P$447,12,FALSE)),0,VLOOKUP($A515,FIJOS!$B$11:$P$447,12,FALSE))</f>
        <v>0</v>
      </c>
      <c r="DH515" s="82">
        <f t="shared" si="250"/>
        <v>0</v>
      </c>
      <c r="DI515" s="83" t="b">
        <f>IF($C515=1,(VLOOKUP($A515,FIJOS!$B$11:$P$545,10,FALSE)/7)*(7-$CU515),IF(AND($C515=2,CV515&lt;$DJ$1),(VLOOKUP($D515,HORAS!$B$4:$C$42,2,FALSE)*24)*$CV515,IF(AND($C515=2,CV515&gt;=$DJ$1),VLOOKUP($D515,HORAS!$B$4:$D$42,3,FALSE),IF(AND($C515=3,$CV515&gt;=$DJ$1),VLOOKUP($A515,FIJOS!$B$11:$P$545,10,FALSE),IF(AND($C515=3,$CV515&lt;$DJ$1),((VLOOKUP($A515,FIJOS!$B$11:$P$545,10,FALSE)/48)*24)*$CV515,IF(AND($C515=4,$CV515&gt;=(42/24)),VLOOKUP($D515,HORAS!$B$4:$D$42,3,FALSE),IF(AND($C515=5,$CV515&gt;=(36/24)),VLOOKUP($D515,HORAS!$B$4:$D$42,3,FALSE))))))))</f>
        <v>0</v>
      </c>
      <c r="DJ515" s="145">
        <f>IF(OR($C515=2),VLOOKUP($D515,HORAS!$B$4:$E$42,4,FALSE)*$EC515,IF(ISERROR(VLOOKUP($A515,FIJOS!$B$11:$P$108,9,FALSE)),0,VLOOKUP($A515,FIJOS!$B$11:$P$231,9,FALSE)*$EC515))</f>
        <v>0</v>
      </c>
      <c r="DK515" s="145">
        <f>IF(OR($C515=2),VLOOKUP($D515,HORAS!$B$4:$F$42,5,FALSE)*$EE515,IF(ISERROR(VLOOKUP($A515,FIJOS!$B$11:$P$108,9,FALSE)),0,VLOOKUP($A515,FIJOS!$B$11:$P$231,9,FALSE)*$EE515))</f>
        <v>0</v>
      </c>
      <c r="DL515" s="144"/>
      <c r="DM515" s="145">
        <f>IF(ISERROR(VLOOKUP($A515,FIJOS!$B$11:$L$646,11,FALSE)),0,VLOOKUP($A515,FIJOS!$B$11:$L$646,11,FALSE))</f>
        <v>0</v>
      </c>
      <c r="DN515" s="148" t="e">
        <f>IF(OR($C515=1,$C515=3),0,IF((VLOOKUP(CAPTURA!D515,HORAS!$B$4:$K$42,10,FALSE)/4)*COUNTIF($H515:$CT515,3)&gt;100,100,(VLOOKUP(CAPTURA!D515,HORAS!$B$4:$K$42,10,FALSE)/4)*COUNTIF($H515:$CT515,3)))</f>
        <v>#N/A</v>
      </c>
      <c r="DO515" s="144" t="e">
        <f>IF(OR($C515=1,$C515=3),0,IF($C515=5,VLOOKUP(D515,HORAS!$B$4:$G$42,6,FALSE),IF(AND($C515=4,$CV515&gt;=(42/24)),VLOOKUP(D515,HORAS!$B$4:$G$42,6,FALSE),IF(COUNTIF($H515:$CL515,"F")&gt;0,0,IF(CV515&gt;$DJ$1,$DJ$1*(VLOOKUP(D515,HORAS!$B$4:$G$42,6,FALSE)/$DJ$1),CV515*(VLOOKUP(D515,HORAS!$B$4:$G$42,6,FALSE)/$DJ$1))))))</f>
        <v>#N/A</v>
      </c>
      <c r="DP515" s="156"/>
      <c r="DQ515" s="148"/>
      <c r="DR515" s="148"/>
      <c r="DS515" s="83" t="e">
        <f t="shared" si="162"/>
        <v>#N/A</v>
      </c>
      <c r="DT515" s="84"/>
      <c r="DU515" s="149" t="e">
        <f t="shared" si="251"/>
        <v>#N/A</v>
      </c>
      <c r="DV515" s="149" t="e">
        <f t="shared" si="252"/>
        <v>#N/A</v>
      </c>
      <c r="DW515" s="144" t="e">
        <f t="shared" si="253"/>
        <v>#N/A</v>
      </c>
      <c r="DX515" s="168"/>
      <c r="DY515" s="29"/>
      <c r="DZ515" s="150"/>
      <c r="EA515" s="134"/>
      <c r="EB515" s="137">
        <f t="shared" si="254"/>
        <v>0</v>
      </c>
      <c r="EC515" s="138">
        <f t="shared" si="255"/>
        <v>0</v>
      </c>
      <c r="ED515" s="137">
        <f t="shared" si="256"/>
        <v>0</v>
      </c>
      <c r="EE515" s="132">
        <f t="shared" si="257"/>
        <v>0</v>
      </c>
      <c r="EF515" s="29"/>
      <c r="EG515" s="134"/>
      <c r="EH515" s="134"/>
      <c r="EI515" s="134"/>
      <c r="EK515" s="29"/>
    </row>
    <row r="516" spans="1:141" ht="15" customHeight="1" x14ac:dyDescent="0.25">
      <c r="A516" s="87"/>
      <c r="B516" s="5"/>
      <c r="C516" s="72"/>
      <c r="D516" s="73"/>
      <c r="E516" s="73"/>
      <c r="F516" s="141"/>
      <c r="G516" s="74"/>
      <c r="H516" s="75"/>
      <c r="I516" s="76"/>
      <c r="J516" s="135"/>
      <c r="K516" s="135"/>
      <c r="L516" s="77">
        <f t="shared" si="138"/>
        <v>0</v>
      </c>
      <c r="M516" s="78"/>
      <c r="N516" s="142"/>
      <c r="O516" s="142"/>
      <c r="P516" s="77">
        <f t="shared" si="139"/>
        <v>0</v>
      </c>
      <c r="Q516" s="78"/>
      <c r="R516" s="143"/>
      <c r="S516" s="143"/>
      <c r="T516" s="77">
        <f t="shared" si="140"/>
        <v>0</v>
      </c>
      <c r="U516" s="75"/>
      <c r="V516" s="76"/>
      <c r="W516" s="135"/>
      <c r="X516" s="135"/>
      <c r="Y516" s="77">
        <f t="shared" si="141"/>
        <v>0</v>
      </c>
      <c r="Z516" s="78"/>
      <c r="AA516" s="142"/>
      <c r="AB516" s="142"/>
      <c r="AC516" s="77">
        <f t="shared" si="142"/>
        <v>0</v>
      </c>
      <c r="AD516" s="78"/>
      <c r="AE516" s="143"/>
      <c r="AF516" s="143"/>
      <c r="AG516" s="79">
        <f t="shared" si="143"/>
        <v>0</v>
      </c>
      <c r="AH516" s="75"/>
      <c r="AI516" s="76"/>
      <c r="AJ516" s="135"/>
      <c r="AK516" s="135"/>
      <c r="AL516" s="77">
        <f t="shared" si="144"/>
        <v>0</v>
      </c>
      <c r="AM516" s="76"/>
      <c r="AN516" s="142"/>
      <c r="AO516" s="142"/>
      <c r="AP516" s="77">
        <f t="shared" si="145"/>
        <v>0</v>
      </c>
      <c r="AQ516" s="78"/>
      <c r="AR516" s="142"/>
      <c r="AS516" s="142"/>
      <c r="AT516" s="79">
        <f t="shared" si="146"/>
        <v>0</v>
      </c>
      <c r="AU516" s="75"/>
      <c r="AV516" s="76"/>
      <c r="AW516" s="135"/>
      <c r="AX516" s="135"/>
      <c r="AY516" s="77">
        <f t="shared" si="147"/>
        <v>0</v>
      </c>
      <c r="AZ516" s="76"/>
      <c r="BA516" s="142"/>
      <c r="BB516" s="142"/>
      <c r="BC516" s="77">
        <f t="shared" si="148"/>
        <v>0</v>
      </c>
      <c r="BD516" s="78"/>
      <c r="BE516" s="142"/>
      <c r="BF516" s="142"/>
      <c r="BG516" s="79">
        <f t="shared" si="149"/>
        <v>0</v>
      </c>
      <c r="BH516" s="75"/>
      <c r="BI516" s="76"/>
      <c r="BJ516" s="135"/>
      <c r="BK516" s="135"/>
      <c r="BL516" s="77">
        <f t="shared" si="150"/>
        <v>0</v>
      </c>
      <c r="BM516" s="78"/>
      <c r="BN516" s="142"/>
      <c r="BO516" s="142"/>
      <c r="BP516" s="77">
        <f t="shared" si="151"/>
        <v>0</v>
      </c>
      <c r="BQ516" s="78"/>
      <c r="BR516" s="142"/>
      <c r="BS516" s="142"/>
      <c r="BT516" s="79">
        <f t="shared" si="152"/>
        <v>0</v>
      </c>
      <c r="BU516" s="75"/>
      <c r="BV516" s="76"/>
      <c r="BW516" s="135"/>
      <c r="BX516" s="135"/>
      <c r="BY516" s="77">
        <f t="shared" si="153"/>
        <v>0</v>
      </c>
      <c r="BZ516" s="78"/>
      <c r="CA516" s="142"/>
      <c r="CB516" s="142"/>
      <c r="CC516" s="77">
        <f t="shared" si="154"/>
        <v>0</v>
      </c>
      <c r="CD516" s="78"/>
      <c r="CE516" s="142"/>
      <c r="CF516" s="142"/>
      <c r="CG516" s="79">
        <f t="shared" si="155"/>
        <v>0</v>
      </c>
      <c r="CH516" s="75"/>
      <c r="CI516" s="76"/>
      <c r="CJ516" s="86"/>
      <c r="CK516" s="86"/>
      <c r="CL516" s="77">
        <f t="shared" si="156"/>
        <v>0</v>
      </c>
      <c r="CM516" s="78"/>
      <c r="CN516" s="85"/>
      <c r="CO516" s="85"/>
      <c r="CP516" s="77">
        <f t="shared" si="157"/>
        <v>0</v>
      </c>
      <c r="CQ516" s="78"/>
      <c r="CR516" s="85"/>
      <c r="CS516" s="85"/>
      <c r="CT516" s="79">
        <f t="shared" si="158"/>
        <v>0</v>
      </c>
      <c r="CU516" s="80">
        <f t="shared" si="168"/>
        <v>0</v>
      </c>
      <c r="CV516" s="81">
        <f t="shared" si="169"/>
        <v>0</v>
      </c>
      <c r="CW516" s="144"/>
      <c r="CX516" s="145">
        <f>IF(ISERROR(VLOOKUP($A516,FIJOS!$B$11:$O$590,14,FALSE)),0,VLOOKUP($A516,FIJOS!$B$11:$O$590,14,FALSE))</f>
        <v>0</v>
      </c>
      <c r="CY516" s="145">
        <f>IF(ISERROR(VLOOKUP(A516,FIJOS!$B$10:$P$590,15,FALSE)),0,VLOOKUP(A516,FIJOS!$B$10:$P$590,15,FALSE))</f>
        <v>0</v>
      </c>
      <c r="CZ516" s="155"/>
      <c r="DA516" s="147"/>
      <c r="DB516" s="147"/>
      <c r="DC516" s="147"/>
      <c r="DD516" s="147"/>
      <c r="DE516" s="147"/>
      <c r="DF516" s="145">
        <f>IF(ISERROR(VLOOKUP($A516,FIJOS!$B$11:$N$590,13,FALSE)),0,VLOOKUP($A516,FIJOS!$B$11:$N$590,13,FALSE))</f>
        <v>0</v>
      </c>
      <c r="DG516" s="145">
        <f>IF(ISERROR(VLOOKUP($A516,FIJOS!$B$11:$P$447,12,FALSE)),0,VLOOKUP($A516,FIJOS!$B$11:$P$447,12,FALSE))</f>
        <v>0</v>
      </c>
      <c r="DH516" s="82">
        <f t="shared" si="250"/>
        <v>0</v>
      </c>
      <c r="DI516" s="83" t="b">
        <f>IF($C516=1,(VLOOKUP($A516,FIJOS!$B$11:$P$545,10,FALSE)/7)*(7-$CU516),IF(AND($C516=2,CV516&lt;$DJ$1),(VLOOKUP($D516,HORAS!$B$4:$C$42,2,FALSE)*24)*$CV516,IF(AND($C516=2,CV516&gt;=$DJ$1),VLOOKUP($D516,HORAS!$B$4:$D$42,3,FALSE),IF(AND($C516=3,$CV516&gt;=$DJ$1),VLOOKUP($A516,FIJOS!$B$11:$P$545,10,FALSE),IF(AND($C516=3,$CV516&lt;$DJ$1),((VLOOKUP($A516,FIJOS!$B$11:$P$545,10,FALSE)/48)*24)*$CV516,IF(AND($C516=4,$CV516&gt;=(42/24)),VLOOKUP($D516,HORAS!$B$4:$D$42,3,FALSE),IF(AND($C516=5,$CV516&gt;=(36/24)),VLOOKUP($D516,HORAS!$B$4:$D$42,3,FALSE))))))))</f>
        <v>0</v>
      </c>
      <c r="DJ516" s="145">
        <f>IF(OR($C516=2),VLOOKUP($D516,HORAS!$B$4:$E$42,4,FALSE)*$EC516,IF(ISERROR(VLOOKUP($A516,FIJOS!$B$11:$P$108,9,FALSE)),0,VLOOKUP($A516,FIJOS!$B$11:$P$231,9,FALSE)*$EC516))</f>
        <v>0</v>
      </c>
      <c r="DK516" s="145">
        <f>IF(OR($C516=2),VLOOKUP($D516,HORAS!$B$4:$F$42,5,FALSE)*$EE516,IF(ISERROR(VLOOKUP($A516,FIJOS!$B$11:$P$108,9,FALSE)),0,VLOOKUP($A516,FIJOS!$B$11:$P$231,9,FALSE)*$EE516))</f>
        <v>0</v>
      </c>
      <c r="DL516" s="144"/>
      <c r="DM516" s="145">
        <f>IF(ISERROR(VLOOKUP($A516,FIJOS!$B$11:$L$646,11,FALSE)),0,VLOOKUP($A516,FIJOS!$B$11:$L$646,11,FALSE))</f>
        <v>0</v>
      </c>
      <c r="DN516" s="148" t="e">
        <f>IF(OR($C516=1,$C516=3),0,IF((VLOOKUP(CAPTURA!D516,HORAS!$B$4:$K$42,10,FALSE)/4)*COUNTIF($H516:$CT516,3)&gt;100,100,(VLOOKUP(CAPTURA!D516,HORAS!$B$4:$K$42,10,FALSE)/4)*COUNTIF($H516:$CT516,3)))</f>
        <v>#N/A</v>
      </c>
      <c r="DO516" s="144" t="e">
        <f>IF(OR($C516=1,$C516=3),0,IF($C516=5,VLOOKUP(D516,HORAS!$B$4:$G$42,6,FALSE),IF(AND($C516=4,$CV516&gt;=(42/24)),VLOOKUP(D516,HORAS!$B$4:$G$42,6,FALSE),IF(COUNTIF($H516:$CL516,"F")&gt;0,0,IF(CV516&gt;$DJ$1,$DJ$1*(VLOOKUP(D516,HORAS!$B$4:$G$42,6,FALSE)/$DJ$1),CV516*(VLOOKUP(D516,HORAS!$B$4:$G$42,6,FALSE)/$DJ$1))))))</f>
        <v>#N/A</v>
      </c>
      <c r="DP516" s="156"/>
      <c r="DQ516" s="148"/>
      <c r="DR516" s="148"/>
      <c r="DS516" s="83" t="e">
        <f t="shared" si="162"/>
        <v>#N/A</v>
      </c>
      <c r="DT516" s="84"/>
      <c r="DU516" s="149" t="e">
        <f t="shared" si="251"/>
        <v>#N/A</v>
      </c>
      <c r="DV516" s="149" t="e">
        <f t="shared" si="252"/>
        <v>#N/A</v>
      </c>
      <c r="DW516" s="144" t="e">
        <f t="shared" si="253"/>
        <v>#N/A</v>
      </c>
      <c r="DX516" s="168"/>
      <c r="DY516" s="29"/>
      <c r="DZ516" s="150"/>
      <c r="EA516" s="134"/>
      <c r="EB516" s="137">
        <f t="shared" si="254"/>
        <v>0</v>
      </c>
      <c r="EC516" s="138">
        <f t="shared" si="255"/>
        <v>0</v>
      </c>
      <c r="ED516" s="137">
        <f t="shared" si="256"/>
        <v>0</v>
      </c>
      <c r="EE516" s="132">
        <f t="shared" si="257"/>
        <v>0</v>
      </c>
      <c r="EF516" s="29"/>
      <c r="EG516" s="134"/>
      <c r="EH516" s="134"/>
      <c r="EI516" s="134"/>
      <c r="EK516" s="29"/>
    </row>
    <row r="517" spans="1:141" ht="15" customHeight="1" x14ac:dyDescent="0.25">
      <c r="A517" s="87"/>
      <c r="B517" s="5"/>
      <c r="C517" s="72"/>
      <c r="D517" s="73"/>
      <c r="E517" s="73"/>
      <c r="F517" s="141"/>
      <c r="G517" s="74"/>
      <c r="H517" s="75"/>
      <c r="I517" s="76"/>
      <c r="J517" s="135"/>
      <c r="K517" s="135"/>
      <c r="L517" s="77">
        <f t="shared" si="138"/>
        <v>0</v>
      </c>
      <c r="M517" s="78"/>
      <c r="N517" s="142"/>
      <c r="O517" s="142"/>
      <c r="P517" s="77">
        <f t="shared" si="139"/>
        <v>0</v>
      </c>
      <c r="Q517" s="78"/>
      <c r="R517" s="143"/>
      <c r="S517" s="143"/>
      <c r="T517" s="77">
        <f t="shared" si="140"/>
        <v>0</v>
      </c>
      <c r="U517" s="75"/>
      <c r="V517" s="76"/>
      <c r="W517" s="135"/>
      <c r="X517" s="135"/>
      <c r="Y517" s="77">
        <f t="shared" si="141"/>
        <v>0</v>
      </c>
      <c r="Z517" s="78"/>
      <c r="AA517" s="142"/>
      <c r="AB517" s="142"/>
      <c r="AC517" s="77">
        <f t="shared" si="142"/>
        <v>0</v>
      </c>
      <c r="AD517" s="78"/>
      <c r="AE517" s="143"/>
      <c r="AF517" s="143"/>
      <c r="AG517" s="79">
        <f t="shared" si="143"/>
        <v>0</v>
      </c>
      <c r="AH517" s="75"/>
      <c r="AI517" s="76"/>
      <c r="AJ517" s="135"/>
      <c r="AK517" s="135"/>
      <c r="AL517" s="77">
        <f t="shared" si="144"/>
        <v>0</v>
      </c>
      <c r="AM517" s="76"/>
      <c r="AN517" s="142"/>
      <c r="AO517" s="142"/>
      <c r="AP517" s="77">
        <f t="shared" si="145"/>
        <v>0</v>
      </c>
      <c r="AQ517" s="78"/>
      <c r="AR517" s="142"/>
      <c r="AS517" s="142"/>
      <c r="AT517" s="79">
        <f t="shared" si="146"/>
        <v>0</v>
      </c>
      <c r="AU517" s="75"/>
      <c r="AV517" s="76"/>
      <c r="AW517" s="135"/>
      <c r="AX517" s="135"/>
      <c r="AY517" s="77">
        <f t="shared" si="147"/>
        <v>0</v>
      </c>
      <c r="AZ517" s="76"/>
      <c r="BA517" s="142"/>
      <c r="BB517" s="142"/>
      <c r="BC517" s="77">
        <f t="shared" si="148"/>
        <v>0</v>
      </c>
      <c r="BD517" s="78"/>
      <c r="BE517" s="142"/>
      <c r="BF517" s="142"/>
      <c r="BG517" s="79">
        <f t="shared" si="149"/>
        <v>0</v>
      </c>
      <c r="BH517" s="75"/>
      <c r="BI517" s="76"/>
      <c r="BJ517" s="135"/>
      <c r="BK517" s="135"/>
      <c r="BL517" s="77">
        <f t="shared" si="150"/>
        <v>0</v>
      </c>
      <c r="BM517" s="78"/>
      <c r="BN517" s="142"/>
      <c r="BO517" s="142"/>
      <c r="BP517" s="77">
        <f t="shared" si="151"/>
        <v>0</v>
      </c>
      <c r="BQ517" s="78"/>
      <c r="BR517" s="142"/>
      <c r="BS517" s="142"/>
      <c r="BT517" s="79">
        <f t="shared" si="152"/>
        <v>0</v>
      </c>
      <c r="BU517" s="75"/>
      <c r="BV517" s="76"/>
      <c r="BW517" s="135"/>
      <c r="BX517" s="135"/>
      <c r="BY517" s="77">
        <f t="shared" si="153"/>
        <v>0</v>
      </c>
      <c r="BZ517" s="78"/>
      <c r="CA517" s="142"/>
      <c r="CB517" s="142"/>
      <c r="CC517" s="77">
        <f t="shared" si="154"/>
        <v>0</v>
      </c>
      <c r="CD517" s="78"/>
      <c r="CE517" s="142"/>
      <c r="CF517" s="142"/>
      <c r="CG517" s="79">
        <f t="shared" si="155"/>
        <v>0</v>
      </c>
      <c r="CH517" s="75"/>
      <c r="CI517" s="76"/>
      <c r="CJ517" s="86"/>
      <c r="CK517" s="86"/>
      <c r="CL517" s="77">
        <f t="shared" si="156"/>
        <v>0</v>
      </c>
      <c r="CM517" s="78"/>
      <c r="CN517" s="85"/>
      <c r="CO517" s="85"/>
      <c r="CP517" s="77">
        <f t="shared" si="157"/>
        <v>0</v>
      </c>
      <c r="CQ517" s="78"/>
      <c r="CR517" s="85"/>
      <c r="CS517" s="85"/>
      <c r="CT517" s="79">
        <f t="shared" si="158"/>
        <v>0</v>
      </c>
      <c r="CU517" s="80">
        <f t="shared" si="168"/>
        <v>0</v>
      </c>
      <c r="CV517" s="81">
        <f t="shared" si="169"/>
        <v>0</v>
      </c>
      <c r="CW517" s="144"/>
      <c r="CX517" s="145">
        <f>IF(ISERROR(VLOOKUP($A517,FIJOS!$B$11:$O$590,14,FALSE)),0,VLOOKUP($A517,FIJOS!$B$11:$O$590,14,FALSE))</f>
        <v>0</v>
      </c>
      <c r="CY517" s="145">
        <f>IF(ISERROR(VLOOKUP(A517,FIJOS!$B$10:$P$590,15,FALSE)),0,VLOOKUP(A517,FIJOS!$B$10:$P$590,15,FALSE))</f>
        <v>0</v>
      </c>
      <c r="CZ517" s="155"/>
      <c r="DA517" s="147"/>
      <c r="DB517" s="147"/>
      <c r="DC517" s="147"/>
      <c r="DD517" s="147"/>
      <c r="DE517" s="147"/>
      <c r="DF517" s="145">
        <f>IF(ISERROR(VLOOKUP($A517,FIJOS!$B$11:$N$590,13,FALSE)),0,VLOOKUP($A517,FIJOS!$B$11:$N$590,13,FALSE))</f>
        <v>0</v>
      </c>
      <c r="DG517" s="145">
        <f>IF(ISERROR(VLOOKUP($A517,FIJOS!$B$11:$P$447,12,FALSE)),0,VLOOKUP($A517,FIJOS!$B$11:$P$447,12,FALSE))</f>
        <v>0</v>
      </c>
      <c r="DH517" s="82">
        <f t="shared" si="250"/>
        <v>0</v>
      </c>
      <c r="DI517" s="83" t="b">
        <f>IF($C517=1,(VLOOKUP($A517,FIJOS!$B$11:$P$545,10,FALSE)/7)*(7-$CU517),IF(AND($C517=2,CV517&lt;$DJ$1),(VLOOKUP($D517,HORAS!$B$4:$C$42,2,FALSE)*24)*$CV517,IF(AND($C517=2,CV517&gt;=$DJ$1),VLOOKUP($D517,HORAS!$B$4:$D$42,3,FALSE),IF(AND($C517=3,$CV517&gt;=$DJ$1),VLOOKUP($A517,FIJOS!$B$11:$P$545,10,FALSE),IF(AND($C517=3,$CV517&lt;$DJ$1),((VLOOKUP($A517,FIJOS!$B$11:$P$545,10,FALSE)/48)*24)*$CV517,IF(AND($C517=4,$CV517&gt;=(42/24)),VLOOKUP($D517,HORAS!$B$4:$D$42,3,FALSE),IF(AND($C517=5,$CV517&gt;=(36/24)),VLOOKUP($D517,HORAS!$B$4:$D$42,3,FALSE))))))))</f>
        <v>0</v>
      </c>
      <c r="DJ517" s="145">
        <f>IF(OR($C517=2),VLOOKUP($D517,HORAS!$B$4:$E$42,4,FALSE)*$EC517,IF(ISERROR(VLOOKUP($A517,FIJOS!$B$11:$P$108,9,FALSE)),0,VLOOKUP($A517,FIJOS!$B$11:$P$231,9,FALSE)*$EC517))</f>
        <v>0</v>
      </c>
      <c r="DK517" s="145">
        <f>IF(OR($C517=2),VLOOKUP($D517,HORAS!$B$4:$F$42,5,FALSE)*$EE517,IF(ISERROR(VLOOKUP($A517,FIJOS!$B$11:$P$108,9,FALSE)),0,VLOOKUP($A517,FIJOS!$B$11:$P$231,9,FALSE)*$EE517))</f>
        <v>0</v>
      </c>
      <c r="DL517" s="144"/>
      <c r="DM517" s="145">
        <f>IF(ISERROR(VLOOKUP($A517,FIJOS!$B$11:$L$646,11,FALSE)),0,VLOOKUP($A517,FIJOS!$B$11:$L$646,11,FALSE))</f>
        <v>0</v>
      </c>
      <c r="DN517" s="148" t="e">
        <f>IF(OR($C517=1,$C517=3),0,IF((VLOOKUP(CAPTURA!D517,HORAS!$B$4:$K$42,10,FALSE)/4)*COUNTIF($H517:$CT517,3)&gt;100,100,(VLOOKUP(CAPTURA!D517,HORAS!$B$4:$K$42,10,FALSE)/4)*COUNTIF($H517:$CT517,3)))</f>
        <v>#N/A</v>
      </c>
      <c r="DO517" s="144" t="e">
        <f>IF(OR($C517=1,$C517=3),0,IF($C517=5,VLOOKUP(D517,HORAS!$B$4:$G$42,6,FALSE),IF(AND($C517=4,$CV517&gt;=(42/24)),VLOOKUP(D517,HORAS!$B$4:$G$42,6,FALSE),IF(COUNTIF($H517:$CL517,"F")&gt;0,0,IF(CV517&gt;$DJ$1,$DJ$1*(VLOOKUP(D517,HORAS!$B$4:$G$42,6,FALSE)/$DJ$1),CV517*(VLOOKUP(D517,HORAS!$B$4:$G$42,6,FALSE)/$DJ$1))))))</f>
        <v>#N/A</v>
      </c>
      <c r="DP517" s="156"/>
      <c r="DQ517" s="148"/>
      <c r="DR517" s="148"/>
      <c r="DS517" s="83" t="e">
        <f t="shared" si="162"/>
        <v>#N/A</v>
      </c>
      <c r="DT517" s="84"/>
      <c r="DU517" s="149" t="e">
        <f t="shared" si="251"/>
        <v>#N/A</v>
      </c>
      <c r="DV517" s="149" t="e">
        <f t="shared" si="252"/>
        <v>#N/A</v>
      </c>
      <c r="DW517" s="144" t="e">
        <f t="shared" si="253"/>
        <v>#N/A</v>
      </c>
      <c r="DX517" s="168"/>
      <c r="DY517" s="29"/>
      <c r="DZ517" s="150"/>
      <c r="EA517" s="134"/>
      <c r="EB517" s="137">
        <f t="shared" si="254"/>
        <v>0</v>
      </c>
      <c r="EC517" s="138">
        <f t="shared" si="255"/>
        <v>0</v>
      </c>
      <c r="ED517" s="137">
        <f t="shared" si="256"/>
        <v>0</v>
      </c>
      <c r="EE517" s="132">
        <f t="shared" si="257"/>
        <v>0</v>
      </c>
      <c r="EF517" s="29"/>
      <c r="EG517" s="134"/>
      <c r="EH517" s="134"/>
      <c r="EI517" s="134"/>
      <c r="EK517" s="29"/>
    </row>
    <row r="518" spans="1:141" ht="15" customHeight="1" x14ac:dyDescent="0.25">
      <c r="A518" s="87"/>
      <c r="B518" s="5"/>
      <c r="C518" s="72"/>
      <c r="D518" s="73"/>
      <c r="E518" s="73"/>
      <c r="F518" s="141"/>
      <c r="G518" s="74"/>
      <c r="H518" s="75"/>
      <c r="I518" s="76"/>
      <c r="J518" s="135"/>
      <c r="K518" s="135"/>
      <c r="L518" s="77">
        <f t="shared" si="138"/>
        <v>0</v>
      </c>
      <c r="M518" s="78"/>
      <c r="N518" s="142"/>
      <c r="O518" s="142"/>
      <c r="P518" s="77">
        <f t="shared" si="139"/>
        <v>0</v>
      </c>
      <c r="Q518" s="78"/>
      <c r="R518" s="143"/>
      <c r="S518" s="143"/>
      <c r="T518" s="77">
        <f t="shared" si="140"/>
        <v>0</v>
      </c>
      <c r="U518" s="75"/>
      <c r="V518" s="76"/>
      <c r="W518" s="135"/>
      <c r="X518" s="135"/>
      <c r="Y518" s="77">
        <f t="shared" si="141"/>
        <v>0</v>
      </c>
      <c r="Z518" s="78"/>
      <c r="AA518" s="142"/>
      <c r="AB518" s="142"/>
      <c r="AC518" s="77">
        <f t="shared" si="142"/>
        <v>0</v>
      </c>
      <c r="AD518" s="78"/>
      <c r="AE518" s="143"/>
      <c r="AF518" s="143"/>
      <c r="AG518" s="79">
        <f t="shared" si="143"/>
        <v>0</v>
      </c>
      <c r="AH518" s="75"/>
      <c r="AI518" s="76"/>
      <c r="AJ518" s="135"/>
      <c r="AK518" s="135"/>
      <c r="AL518" s="77">
        <f t="shared" si="144"/>
        <v>0</v>
      </c>
      <c r="AM518" s="76"/>
      <c r="AN518" s="142"/>
      <c r="AO518" s="142"/>
      <c r="AP518" s="77">
        <f t="shared" si="145"/>
        <v>0</v>
      </c>
      <c r="AQ518" s="78"/>
      <c r="AR518" s="142"/>
      <c r="AS518" s="142"/>
      <c r="AT518" s="79">
        <f t="shared" si="146"/>
        <v>0</v>
      </c>
      <c r="AU518" s="75"/>
      <c r="AV518" s="76"/>
      <c r="AW518" s="135"/>
      <c r="AX518" s="135"/>
      <c r="AY518" s="77">
        <f t="shared" si="147"/>
        <v>0</v>
      </c>
      <c r="AZ518" s="76"/>
      <c r="BA518" s="142"/>
      <c r="BB518" s="142"/>
      <c r="BC518" s="77">
        <f t="shared" si="148"/>
        <v>0</v>
      </c>
      <c r="BD518" s="78"/>
      <c r="BE518" s="142"/>
      <c r="BF518" s="142"/>
      <c r="BG518" s="79">
        <f t="shared" si="149"/>
        <v>0</v>
      </c>
      <c r="BH518" s="75"/>
      <c r="BI518" s="76"/>
      <c r="BJ518" s="135"/>
      <c r="BK518" s="135"/>
      <c r="BL518" s="77">
        <f t="shared" si="150"/>
        <v>0</v>
      </c>
      <c r="BM518" s="78"/>
      <c r="BN518" s="142"/>
      <c r="BO518" s="142"/>
      <c r="BP518" s="77">
        <f t="shared" si="151"/>
        <v>0</v>
      </c>
      <c r="BQ518" s="78"/>
      <c r="BR518" s="142"/>
      <c r="BS518" s="142"/>
      <c r="BT518" s="79">
        <f t="shared" si="152"/>
        <v>0</v>
      </c>
      <c r="BU518" s="75"/>
      <c r="BV518" s="76"/>
      <c r="BW518" s="135"/>
      <c r="BX518" s="135"/>
      <c r="BY518" s="77">
        <f t="shared" si="153"/>
        <v>0</v>
      </c>
      <c r="BZ518" s="78"/>
      <c r="CA518" s="142"/>
      <c r="CB518" s="142"/>
      <c r="CC518" s="77">
        <f t="shared" si="154"/>
        <v>0</v>
      </c>
      <c r="CD518" s="78"/>
      <c r="CE518" s="142"/>
      <c r="CF518" s="142"/>
      <c r="CG518" s="79">
        <f t="shared" si="155"/>
        <v>0</v>
      </c>
      <c r="CH518" s="75"/>
      <c r="CI518" s="76"/>
      <c r="CJ518" s="86"/>
      <c r="CK518" s="86"/>
      <c r="CL518" s="77">
        <f t="shared" si="156"/>
        <v>0</v>
      </c>
      <c r="CM518" s="78"/>
      <c r="CN518" s="85"/>
      <c r="CO518" s="85"/>
      <c r="CP518" s="77">
        <f t="shared" si="157"/>
        <v>0</v>
      </c>
      <c r="CQ518" s="78"/>
      <c r="CR518" s="85"/>
      <c r="CS518" s="85"/>
      <c r="CT518" s="79">
        <f t="shared" si="158"/>
        <v>0</v>
      </c>
      <c r="CU518" s="80">
        <f t="shared" si="168"/>
        <v>0</v>
      </c>
      <c r="CV518" s="81">
        <f t="shared" si="169"/>
        <v>0</v>
      </c>
      <c r="CW518" s="144"/>
      <c r="CX518" s="145">
        <f>IF(ISERROR(VLOOKUP($A518,FIJOS!$B$11:$O$590,14,FALSE)),0,VLOOKUP($A518,FIJOS!$B$11:$O$590,14,FALSE))</f>
        <v>0</v>
      </c>
      <c r="CY518" s="145">
        <f>IF(ISERROR(VLOOKUP(A518,FIJOS!$B$10:$P$590,15,FALSE)),0,VLOOKUP(A518,FIJOS!$B$10:$P$590,15,FALSE))</f>
        <v>0</v>
      </c>
      <c r="CZ518" s="155"/>
      <c r="DA518" s="147"/>
      <c r="DB518" s="147"/>
      <c r="DC518" s="147"/>
      <c r="DD518" s="147"/>
      <c r="DE518" s="147"/>
      <c r="DF518" s="145">
        <f>IF(ISERROR(VLOOKUP($A518,FIJOS!$B$11:$N$590,13,FALSE)),0,VLOOKUP($A518,FIJOS!$B$11:$N$590,13,FALSE))</f>
        <v>0</v>
      </c>
      <c r="DG518" s="145">
        <f>IF(ISERROR(VLOOKUP($A518,FIJOS!$B$11:$P$447,12,FALSE)),0,VLOOKUP($A518,FIJOS!$B$11:$P$447,12,FALSE))</f>
        <v>0</v>
      </c>
      <c r="DH518" s="82">
        <f t="shared" si="250"/>
        <v>0</v>
      </c>
      <c r="DI518" s="83" t="b">
        <f>IF($C518=1,(VLOOKUP($A518,FIJOS!$B$11:$P$545,10,FALSE)/7)*(7-$CU518),IF(AND($C518=2,CV518&lt;$DJ$1),(VLOOKUP($D518,HORAS!$B$4:$C$42,2,FALSE)*24)*$CV518,IF(AND($C518=2,CV518&gt;=$DJ$1),VLOOKUP($D518,HORAS!$B$4:$D$42,3,FALSE),IF(AND($C518=3,$CV518&gt;=$DJ$1),VLOOKUP($A518,FIJOS!$B$11:$P$545,10,FALSE),IF(AND($C518=3,$CV518&lt;$DJ$1),((VLOOKUP($A518,FIJOS!$B$11:$P$545,10,FALSE)/48)*24)*$CV518,IF(AND($C518=4,$CV518&gt;=(42/24)),VLOOKUP($D518,HORAS!$B$4:$D$42,3,FALSE),IF(AND($C518=5,$CV518&gt;=(36/24)),VLOOKUP($D518,HORAS!$B$4:$D$42,3,FALSE))))))))</f>
        <v>0</v>
      </c>
      <c r="DJ518" s="145">
        <f>IF(OR($C518=2),VLOOKUP($D518,HORAS!$B$4:$E$42,4,FALSE)*$EC518,IF(ISERROR(VLOOKUP($A518,FIJOS!$B$11:$P$108,9,FALSE)),0,VLOOKUP($A518,FIJOS!$B$11:$P$231,9,FALSE)*$EC518))</f>
        <v>0</v>
      </c>
      <c r="DK518" s="145">
        <f>IF(OR($C518=2),VLOOKUP($D518,HORAS!$B$4:$F$42,5,FALSE)*$EE518,IF(ISERROR(VLOOKUP($A518,FIJOS!$B$11:$P$108,9,FALSE)),0,VLOOKUP($A518,FIJOS!$B$11:$P$231,9,FALSE)*$EE518))</f>
        <v>0</v>
      </c>
      <c r="DL518" s="144"/>
      <c r="DM518" s="145">
        <f>IF(ISERROR(VLOOKUP($A518,FIJOS!$B$11:$L$646,11,FALSE)),0,VLOOKUP($A518,FIJOS!$B$11:$L$646,11,FALSE))</f>
        <v>0</v>
      </c>
      <c r="DN518" s="148" t="e">
        <f>IF(OR($C518=1,$C518=3),0,IF((VLOOKUP(CAPTURA!D518,HORAS!$B$4:$K$42,10,FALSE)/4)*COUNTIF($H518:$CT518,3)&gt;100,100,(VLOOKUP(CAPTURA!D518,HORAS!$B$4:$K$42,10,FALSE)/4)*COUNTIF($H518:$CT518,3)))</f>
        <v>#N/A</v>
      </c>
      <c r="DO518" s="144" t="e">
        <f>IF(OR($C518=1,$C518=3),0,IF($C518=5,VLOOKUP(D518,HORAS!$B$4:$G$42,6,FALSE),IF(AND($C518=4,$CV518&gt;=(42/24)),VLOOKUP(D518,HORAS!$B$4:$G$42,6,FALSE),IF(COUNTIF($H518:$CL518,"F")&gt;0,0,IF(CV518&gt;$DJ$1,$DJ$1*(VLOOKUP(D518,HORAS!$B$4:$G$42,6,FALSE)/$DJ$1),CV518*(VLOOKUP(D518,HORAS!$B$4:$G$42,6,FALSE)/$DJ$1))))))</f>
        <v>#N/A</v>
      </c>
      <c r="DP518" s="156"/>
      <c r="DQ518" s="148"/>
      <c r="DR518" s="148"/>
      <c r="DS518" s="83" t="e">
        <f t="shared" si="162"/>
        <v>#N/A</v>
      </c>
      <c r="DT518" s="84"/>
      <c r="DU518" s="149" t="e">
        <f t="shared" si="251"/>
        <v>#N/A</v>
      </c>
      <c r="DV518" s="149" t="e">
        <f t="shared" si="252"/>
        <v>#N/A</v>
      </c>
      <c r="DW518" s="144" t="e">
        <f t="shared" si="253"/>
        <v>#N/A</v>
      </c>
      <c r="DX518" s="168"/>
      <c r="DY518" s="29"/>
      <c r="DZ518" s="150"/>
      <c r="EA518" s="134"/>
      <c r="EB518" s="137">
        <f t="shared" si="254"/>
        <v>0</v>
      </c>
      <c r="EC518" s="138">
        <f t="shared" si="255"/>
        <v>0</v>
      </c>
      <c r="ED518" s="137">
        <f t="shared" si="256"/>
        <v>0</v>
      </c>
      <c r="EE518" s="132">
        <f t="shared" si="257"/>
        <v>0</v>
      </c>
      <c r="EF518" s="29"/>
      <c r="EG518" s="134"/>
      <c r="EH518" s="134"/>
      <c r="EI518" s="134"/>
      <c r="EK518" s="29"/>
    </row>
    <row r="519" spans="1:141" ht="15" customHeight="1" x14ac:dyDescent="0.25">
      <c r="A519" s="87"/>
      <c r="B519" s="5"/>
      <c r="C519" s="72"/>
      <c r="D519" s="73"/>
      <c r="E519" s="73"/>
      <c r="F519" s="141"/>
      <c r="G519" s="74"/>
      <c r="H519" s="75"/>
      <c r="I519" s="76"/>
      <c r="J519" s="135"/>
      <c r="K519" s="135"/>
      <c r="L519" s="77">
        <f t="shared" si="138"/>
        <v>0</v>
      </c>
      <c r="M519" s="78"/>
      <c r="N519" s="142"/>
      <c r="O519" s="142"/>
      <c r="P519" s="77">
        <f t="shared" si="139"/>
        <v>0</v>
      </c>
      <c r="Q519" s="78"/>
      <c r="R519" s="143"/>
      <c r="S519" s="143"/>
      <c r="T519" s="77">
        <f t="shared" si="140"/>
        <v>0</v>
      </c>
      <c r="U519" s="75"/>
      <c r="V519" s="76"/>
      <c r="W519" s="135"/>
      <c r="X519" s="135"/>
      <c r="Y519" s="77">
        <f t="shared" si="141"/>
        <v>0</v>
      </c>
      <c r="Z519" s="78"/>
      <c r="AA519" s="142"/>
      <c r="AB519" s="142"/>
      <c r="AC519" s="77">
        <f t="shared" si="142"/>
        <v>0</v>
      </c>
      <c r="AD519" s="78"/>
      <c r="AE519" s="143"/>
      <c r="AF519" s="143"/>
      <c r="AG519" s="79">
        <f t="shared" si="143"/>
        <v>0</v>
      </c>
      <c r="AH519" s="75"/>
      <c r="AI519" s="76"/>
      <c r="AJ519" s="135"/>
      <c r="AK519" s="135"/>
      <c r="AL519" s="77">
        <f t="shared" si="144"/>
        <v>0</v>
      </c>
      <c r="AM519" s="76"/>
      <c r="AN519" s="142"/>
      <c r="AO519" s="142"/>
      <c r="AP519" s="77">
        <f t="shared" si="145"/>
        <v>0</v>
      </c>
      <c r="AQ519" s="78"/>
      <c r="AR519" s="142"/>
      <c r="AS519" s="142"/>
      <c r="AT519" s="79">
        <f t="shared" si="146"/>
        <v>0</v>
      </c>
      <c r="AU519" s="75"/>
      <c r="AV519" s="76"/>
      <c r="AW519" s="135"/>
      <c r="AX519" s="135"/>
      <c r="AY519" s="77">
        <f t="shared" si="147"/>
        <v>0</v>
      </c>
      <c r="AZ519" s="76"/>
      <c r="BA519" s="142"/>
      <c r="BB519" s="142"/>
      <c r="BC519" s="77">
        <f t="shared" si="148"/>
        <v>0</v>
      </c>
      <c r="BD519" s="78"/>
      <c r="BE519" s="142"/>
      <c r="BF519" s="142"/>
      <c r="BG519" s="79">
        <f t="shared" si="149"/>
        <v>0</v>
      </c>
      <c r="BH519" s="75"/>
      <c r="BI519" s="76"/>
      <c r="BJ519" s="135"/>
      <c r="BK519" s="135"/>
      <c r="BL519" s="77">
        <f t="shared" si="150"/>
        <v>0</v>
      </c>
      <c r="BM519" s="78"/>
      <c r="BN519" s="142"/>
      <c r="BO519" s="142"/>
      <c r="BP519" s="77">
        <f t="shared" si="151"/>
        <v>0</v>
      </c>
      <c r="BQ519" s="78"/>
      <c r="BR519" s="142"/>
      <c r="BS519" s="142"/>
      <c r="BT519" s="79">
        <f t="shared" si="152"/>
        <v>0</v>
      </c>
      <c r="BU519" s="75"/>
      <c r="BV519" s="76"/>
      <c r="BW519" s="135"/>
      <c r="BX519" s="135"/>
      <c r="BY519" s="77">
        <f t="shared" si="153"/>
        <v>0</v>
      </c>
      <c r="BZ519" s="78"/>
      <c r="CA519" s="142"/>
      <c r="CB519" s="142"/>
      <c r="CC519" s="77">
        <f t="shared" si="154"/>
        <v>0</v>
      </c>
      <c r="CD519" s="78"/>
      <c r="CE519" s="142"/>
      <c r="CF519" s="142"/>
      <c r="CG519" s="79">
        <f t="shared" si="155"/>
        <v>0</v>
      </c>
      <c r="CH519" s="75"/>
      <c r="CI519" s="76"/>
      <c r="CJ519" s="86"/>
      <c r="CK519" s="86"/>
      <c r="CL519" s="77">
        <f t="shared" si="156"/>
        <v>0</v>
      </c>
      <c r="CM519" s="78"/>
      <c r="CN519" s="85"/>
      <c r="CO519" s="85"/>
      <c r="CP519" s="77">
        <f t="shared" si="157"/>
        <v>0</v>
      </c>
      <c r="CQ519" s="78"/>
      <c r="CR519" s="85"/>
      <c r="CS519" s="85"/>
      <c r="CT519" s="79">
        <f t="shared" si="158"/>
        <v>0</v>
      </c>
      <c r="CU519" s="80">
        <f t="shared" si="168"/>
        <v>0</v>
      </c>
      <c r="CV519" s="81">
        <f t="shared" si="169"/>
        <v>0</v>
      </c>
      <c r="CW519" s="144"/>
      <c r="CX519" s="145">
        <f>IF(ISERROR(VLOOKUP($A519,FIJOS!$B$11:$O$590,14,FALSE)),0,VLOOKUP($A519,FIJOS!$B$11:$O$590,14,FALSE))</f>
        <v>0</v>
      </c>
      <c r="CY519" s="145">
        <f>IF(ISERROR(VLOOKUP(A519,FIJOS!$B$10:$P$590,15,FALSE)),0,VLOOKUP(A519,FIJOS!$B$10:$P$590,15,FALSE))</f>
        <v>0</v>
      </c>
      <c r="CZ519" s="155"/>
      <c r="DA519" s="147"/>
      <c r="DB519" s="147"/>
      <c r="DC519" s="147"/>
      <c r="DD519" s="147"/>
      <c r="DE519" s="147"/>
      <c r="DF519" s="145">
        <f>IF(ISERROR(VLOOKUP($A519,FIJOS!$B$11:$N$590,13,FALSE)),0,VLOOKUP($A519,FIJOS!$B$11:$N$590,13,FALSE))</f>
        <v>0</v>
      </c>
      <c r="DG519" s="145">
        <f>IF(ISERROR(VLOOKUP($A519,FIJOS!$B$11:$P$447,12,FALSE)),0,VLOOKUP($A519,FIJOS!$B$11:$P$447,12,FALSE))</f>
        <v>0</v>
      </c>
      <c r="DH519" s="82">
        <f t="shared" si="250"/>
        <v>0</v>
      </c>
      <c r="DI519" s="83" t="b">
        <f>IF($C519=1,(VLOOKUP($A519,FIJOS!$B$11:$P$545,10,FALSE)/7)*(7-$CU519),IF(AND($C519=2,CV519&lt;$DJ$1),(VLOOKUP($D519,HORAS!$B$4:$C$42,2,FALSE)*24)*$CV519,IF(AND($C519=2,CV519&gt;=$DJ$1),VLOOKUP($D519,HORAS!$B$4:$D$42,3,FALSE),IF(AND($C519=3,$CV519&gt;=$DJ$1),VLOOKUP($A519,FIJOS!$B$11:$P$545,10,FALSE),IF(AND($C519=3,$CV519&lt;$DJ$1),((VLOOKUP($A519,FIJOS!$B$11:$P$545,10,FALSE)/48)*24)*$CV519,IF(AND($C519=4,$CV519&gt;=(42/24)),VLOOKUP($D519,HORAS!$B$4:$D$42,3,FALSE),IF(AND($C519=5,$CV519&gt;=(36/24)),VLOOKUP($D519,HORAS!$B$4:$D$42,3,FALSE))))))))</f>
        <v>0</v>
      </c>
      <c r="DJ519" s="145">
        <f>IF(OR($C519=2),VLOOKUP($D519,HORAS!$B$4:$E$42,4,FALSE)*$EC519,IF(ISERROR(VLOOKUP($A519,FIJOS!$B$11:$P$108,9,FALSE)),0,VLOOKUP($A519,FIJOS!$B$11:$P$231,9,FALSE)*$EC519))</f>
        <v>0</v>
      </c>
      <c r="DK519" s="145">
        <f>IF(OR($C519=2),VLOOKUP($D519,HORAS!$B$4:$F$42,5,FALSE)*$EE519,IF(ISERROR(VLOOKUP($A519,FIJOS!$B$11:$P$108,9,FALSE)),0,VLOOKUP($A519,FIJOS!$B$11:$P$231,9,FALSE)*$EE519))</f>
        <v>0</v>
      </c>
      <c r="DL519" s="144"/>
      <c r="DM519" s="145">
        <f>IF(ISERROR(VLOOKUP($A519,FIJOS!$B$11:$L$646,11,FALSE)),0,VLOOKUP($A519,FIJOS!$B$11:$L$646,11,FALSE))</f>
        <v>0</v>
      </c>
      <c r="DN519" s="148" t="e">
        <f>IF(OR($C519=1,$C519=3),0,IF((VLOOKUP(CAPTURA!D519,HORAS!$B$4:$K$42,10,FALSE)/4)*COUNTIF($H519:$CT519,3)&gt;100,100,(VLOOKUP(CAPTURA!D519,HORAS!$B$4:$K$42,10,FALSE)/4)*COUNTIF($H519:$CT519,3)))</f>
        <v>#N/A</v>
      </c>
      <c r="DO519" s="144" t="e">
        <f>IF(OR($C519=1,$C519=3),0,IF($C519=5,VLOOKUP(D519,HORAS!$B$4:$G$42,6,FALSE),IF(AND($C519=4,$CV519&gt;=(42/24)),VLOOKUP(D519,HORAS!$B$4:$G$42,6,FALSE),IF(COUNTIF($H519:$CL519,"F")&gt;0,0,IF(CV519&gt;$DJ$1,$DJ$1*(VLOOKUP(D519,HORAS!$B$4:$G$42,6,FALSE)/$DJ$1),CV519*(VLOOKUP(D519,HORAS!$B$4:$G$42,6,FALSE)/$DJ$1))))))</f>
        <v>#N/A</v>
      </c>
      <c r="DP519" s="156"/>
      <c r="DQ519" s="148"/>
      <c r="DR519" s="148"/>
      <c r="DS519" s="83" t="e">
        <f t="shared" si="162"/>
        <v>#N/A</v>
      </c>
      <c r="DT519" s="84"/>
      <c r="DU519" s="149" t="e">
        <f t="shared" si="251"/>
        <v>#N/A</v>
      </c>
      <c r="DV519" s="149" t="e">
        <f t="shared" si="252"/>
        <v>#N/A</v>
      </c>
      <c r="DW519" s="144" t="e">
        <f t="shared" si="253"/>
        <v>#N/A</v>
      </c>
      <c r="DX519" s="168"/>
      <c r="DY519" s="29"/>
      <c r="DZ519" s="150"/>
      <c r="EA519" s="134"/>
      <c r="EB519" s="137">
        <f t="shared" si="254"/>
        <v>0</v>
      </c>
      <c r="EC519" s="138">
        <f t="shared" si="255"/>
        <v>0</v>
      </c>
      <c r="ED519" s="137">
        <f t="shared" si="256"/>
        <v>0</v>
      </c>
      <c r="EE519" s="132">
        <f t="shared" si="257"/>
        <v>0</v>
      </c>
      <c r="EF519" s="29"/>
      <c r="EG519" s="134"/>
      <c r="EH519" s="134"/>
      <c r="EI519" s="134"/>
      <c r="EK519" s="29"/>
    </row>
    <row r="520" spans="1:141" ht="15" customHeight="1" x14ac:dyDescent="0.25">
      <c r="A520" s="87"/>
      <c r="B520" s="5"/>
      <c r="C520" s="72"/>
      <c r="D520" s="73"/>
      <c r="E520" s="73"/>
      <c r="F520" s="141"/>
      <c r="G520" s="74"/>
      <c r="H520" s="75"/>
      <c r="I520" s="76"/>
      <c r="J520" s="135"/>
      <c r="K520" s="135"/>
      <c r="L520" s="77">
        <f t="shared" si="138"/>
        <v>0</v>
      </c>
      <c r="M520" s="78"/>
      <c r="N520" s="142"/>
      <c r="O520" s="142"/>
      <c r="P520" s="77">
        <f t="shared" si="139"/>
        <v>0</v>
      </c>
      <c r="Q520" s="78"/>
      <c r="R520" s="143"/>
      <c r="S520" s="143"/>
      <c r="T520" s="77">
        <f t="shared" si="140"/>
        <v>0</v>
      </c>
      <c r="U520" s="75"/>
      <c r="V520" s="76"/>
      <c r="W520" s="135"/>
      <c r="X520" s="135"/>
      <c r="Y520" s="77">
        <f t="shared" si="141"/>
        <v>0</v>
      </c>
      <c r="Z520" s="78"/>
      <c r="AA520" s="142"/>
      <c r="AB520" s="142"/>
      <c r="AC520" s="77">
        <f t="shared" si="142"/>
        <v>0</v>
      </c>
      <c r="AD520" s="78"/>
      <c r="AE520" s="143"/>
      <c r="AF520" s="143"/>
      <c r="AG520" s="79">
        <f t="shared" si="143"/>
        <v>0</v>
      </c>
      <c r="AH520" s="75"/>
      <c r="AI520" s="76"/>
      <c r="AJ520" s="135"/>
      <c r="AK520" s="135"/>
      <c r="AL520" s="77">
        <f t="shared" si="144"/>
        <v>0</v>
      </c>
      <c r="AM520" s="76"/>
      <c r="AN520" s="142"/>
      <c r="AO520" s="142"/>
      <c r="AP520" s="77">
        <f t="shared" si="145"/>
        <v>0</v>
      </c>
      <c r="AQ520" s="78"/>
      <c r="AR520" s="142"/>
      <c r="AS520" s="142"/>
      <c r="AT520" s="79">
        <f t="shared" si="146"/>
        <v>0</v>
      </c>
      <c r="AU520" s="75"/>
      <c r="AV520" s="76"/>
      <c r="AW520" s="135"/>
      <c r="AX520" s="135"/>
      <c r="AY520" s="77">
        <f t="shared" si="147"/>
        <v>0</v>
      </c>
      <c r="AZ520" s="76"/>
      <c r="BA520" s="142"/>
      <c r="BB520" s="142"/>
      <c r="BC520" s="77">
        <f t="shared" si="148"/>
        <v>0</v>
      </c>
      <c r="BD520" s="78"/>
      <c r="BE520" s="142"/>
      <c r="BF520" s="142"/>
      <c r="BG520" s="79">
        <f t="shared" si="149"/>
        <v>0</v>
      </c>
      <c r="BH520" s="75"/>
      <c r="BI520" s="76"/>
      <c r="BJ520" s="135"/>
      <c r="BK520" s="135"/>
      <c r="BL520" s="77">
        <f t="shared" si="150"/>
        <v>0</v>
      </c>
      <c r="BM520" s="78"/>
      <c r="BN520" s="142"/>
      <c r="BO520" s="142"/>
      <c r="BP520" s="77">
        <f t="shared" si="151"/>
        <v>0</v>
      </c>
      <c r="BQ520" s="78"/>
      <c r="BR520" s="142"/>
      <c r="BS520" s="142"/>
      <c r="BT520" s="79">
        <f t="shared" si="152"/>
        <v>0</v>
      </c>
      <c r="BU520" s="75"/>
      <c r="BV520" s="76"/>
      <c r="BW520" s="135"/>
      <c r="BX520" s="135"/>
      <c r="BY520" s="77">
        <f t="shared" si="153"/>
        <v>0</v>
      </c>
      <c r="BZ520" s="78"/>
      <c r="CA520" s="142"/>
      <c r="CB520" s="142"/>
      <c r="CC520" s="77">
        <f t="shared" si="154"/>
        <v>0</v>
      </c>
      <c r="CD520" s="78"/>
      <c r="CE520" s="142"/>
      <c r="CF520" s="142"/>
      <c r="CG520" s="79">
        <f t="shared" si="155"/>
        <v>0</v>
      </c>
      <c r="CH520" s="75"/>
      <c r="CI520" s="76"/>
      <c r="CJ520" s="86"/>
      <c r="CK520" s="86"/>
      <c r="CL520" s="77">
        <f t="shared" si="156"/>
        <v>0</v>
      </c>
      <c r="CM520" s="78"/>
      <c r="CN520" s="85"/>
      <c r="CO520" s="85"/>
      <c r="CP520" s="77">
        <f t="shared" si="157"/>
        <v>0</v>
      </c>
      <c r="CQ520" s="78"/>
      <c r="CR520" s="85"/>
      <c r="CS520" s="85"/>
      <c r="CT520" s="79">
        <f t="shared" si="158"/>
        <v>0</v>
      </c>
      <c r="CU520" s="80">
        <f t="shared" si="168"/>
        <v>0</v>
      </c>
      <c r="CV520" s="81">
        <f t="shared" si="169"/>
        <v>0</v>
      </c>
      <c r="CW520" s="144"/>
      <c r="CX520" s="145">
        <f>IF(ISERROR(VLOOKUP($A520,FIJOS!$B$11:$O$590,14,FALSE)),0,VLOOKUP($A520,FIJOS!$B$11:$O$590,14,FALSE))</f>
        <v>0</v>
      </c>
      <c r="CY520" s="145">
        <f>IF(ISERROR(VLOOKUP(A520,FIJOS!$B$10:$P$590,15,FALSE)),0,VLOOKUP(A520,FIJOS!$B$10:$P$590,15,FALSE))</f>
        <v>0</v>
      </c>
      <c r="CZ520" s="155"/>
      <c r="DA520" s="147"/>
      <c r="DB520" s="147"/>
      <c r="DC520" s="147"/>
      <c r="DD520" s="147"/>
      <c r="DE520" s="147"/>
      <c r="DF520" s="145">
        <f>IF(ISERROR(VLOOKUP($A520,FIJOS!$B$11:$N$590,13,FALSE)),0,VLOOKUP($A520,FIJOS!$B$11:$N$590,13,FALSE))</f>
        <v>0</v>
      </c>
      <c r="DG520" s="145">
        <f>IF(ISERROR(VLOOKUP($A520,FIJOS!$B$11:$P$447,12,FALSE)),0,VLOOKUP($A520,FIJOS!$B$11:$P$447,12,FALSE))</f>
        <v>0</v>
      </c>
      <c r="DH520" s="82">
        <f t="shared" si="250"/>
        <v>0</v>
      </c>
      <c r="DI520" s="83" t="b">
        <f>IF($C520=1,(VLOOKUP($A520,FIJOS!$B$11:$P$545,10,FALSE)/7)*(7-$CU520),IF(AND($C520=2,CV520&lt;$DJ$1),(VLOOKUP($D520,HORAS!$B$4:$C$42,2,FALSE)*24)*$CV520,IF(AND($C520=2,CV520&gt;=$DJ$1),VLOOKUP($D520,HORAS!$B$4:$D$42,3,FALSE),IF(AND($C520=3,$CV520&gt;=$DJ$1),VLOOKUP($A520,FIJOS!$B$11:$P$545,10,FALSE),IF(AND($C520=3,$CV520&lt;$DJ$1),((VLOOKUP($A520,FIJOS!$B$11:$P$545,10,FALSE)/48)*24)*$CV520,IF(AND($C520=4,$CV520&gt;=(42/24)),VLOOKUP($D520,HORAS!$B$4:$D$42,3,FALSE),IF(AND($C520=5,$CV520&gt;=(36/24)),VLOOKUP($D520,HORAS!$B$4:$D$42,3,FALSE))))))))</f>
        <v>0</v>
      </c>
      <c r="DJ520" s="145">
        <f>IF(OR($C520=2),VLOOKUP($D520,HORAS!$B$4:$E$42,4,FALSE)*$EC520,IF(ISERROR(VLOOKUP($A520,FIJOS!$B$11:$P$108,9,FALSE)),0,VLOOKUP($A520,FIJOS!$B$11:$P$231,9,FALSE)*$EC520))</f>
        <v>0</v>
      </c>
      <c r="DK520" s="145">
        <f>IF(OR($C520=2),VLOOKUP($D520,HORAS!$B$4:$F$42,5,FALSE)*$EE520,IF(ISERROR(VLOOKUP($A520,FIJOS!$B$11:$P$108,9,FALSE)),0,VLOOKUP($A520,FIJOS!$B$11:$P$231,9,FALSE)*$EE520))</f>
        <v>0</v>
      </c>
      <c r="DL520" s="144"/>
      <c r="DM520" s="145">
        <f>IF(ISERROR(VLOOKUP($A520,FIJOS!$B$11:$L$646,11,FALSE)),0,VLOOKUP($A520,FIJOS!$B$11:$L$646,11,FALSE))</f>
        <v>0</v>
      </c>
      <c r="DN520" s="148" t="e">
        <f>IF(OR($C520=1,$C520=3),0,IF((VLOOKUP(CAPTURA!D520,HORAS!$B$4:$K$42,10,FALSE)/4)*COUNTIF($H520:$CT520,3)&gt;100,100,(VLOOKUP(CAPTURA!D520,HORAS!$B$4:$K$42,10,FALSE)/4)*COUNTIF($H520:$CT520,3)))</f>
        <v>#N/A</v>
      </c>
      <c r="DO520" s="144" t="e">
        <f>IF(OR($C520=1,$C520=3),0,IF($C520=5,VLOOKUP(D520,HORAS!$B$4:$G$42,6,FALSE),IF(AND($C520=4,$CV520&gt;=(42/24)),VLOOKUP(D520,HORAS!$B$4:$G$42,6,FALSE),IF(COUNTIF($H520:$CL520,"F")&gt;0,0,IF(CV520&gt;$DJ$1,$DJ$1*(VLOOKUP(D520,HORAS!$B$4:$G$42,6,FALSE)/$DJ$1),CV520*(VLOOKUP(D520,HORAS!$B$4:$G$42,6,FALSE)/$DJ$1))))))</f>
        <v>#N/A</v>
      </c>
      <c r="DP520" s="156"/>
      <c r="DQ520" s="148"/>
      <c r="DR520" s="148"/>
      <c r="DS520" s="83" t="e">
        <f t="shared" si="162"/>
        <v>#N/A</v>
      </c>
      <c r="DT520" s="84"/>
      <c r="DU520" s="149" t="e">
        <f t="shared" si="251"/>
        <v>#N/A</v>
      </c>
      <c r="DV520" s="149" t="e">
        <f t="shared" si="252"/>
        <v>#N/A</v>
      </c>
      <c r="DW520" s="144" t="e">
        <f t="shared" si="253"/>
        <v>#N/A</v>
      </c>
      <c r="DX520" s="168"/>
      <c r="DY520" s="29"/>
      <c r="DZ520" s="150"/>
      <c r="EA520" s="134"/>
      <c r="EB520" s="137">
        <f t="shared" si="254"/>
        <v>0</v>
      </c>
      <c r="EC520" s="138">
        <f t="shared" si="255"/>
        <v>0</v>
      </c>
      <c r="ED520" s="137">
        <f t="shared" si="256"/>
        <v>0</v>
      </c>
      <c r="EE520" s="132">
        <f t="shared" si="257"/>
        <v>0</v>
      </c>
      <c r="EF520" s="29"/>
      <c r="EG520" s="134"/>
      <c r="EH520" s="134"/>
      <c r="EI520" s="134"/>
      <c r="EK520" s="29"/>
    </row>
    <row r="521" spans="1:141" ht="15" customHeight="1" x14ac:dyDescent="0.25">
      <c r="A521" s="87"/>
      <c r="B521" s="5"/>
      <c r="C521" s="72"/>
      <c r="D521" s="73"/>
      <c r="E521" s="73"/>
      <c r="F521" s="141"/>
      <c r="G521" s="74"/>
      <c r="H521" s="75"/>
      <c r="I521" s="76"/>
      <c r="J521" s="135"/>
      <c r="K521" s="135"/>
      <c r="L521" s="77">
        <f t="shared" si="138"/>
        <v>0</v>
      </c>
      <c r="M521" s="78"/>
      <c r="N521" s="142"/>
      <c r="O521" s="142"/>
      <c r="P521" s="77">
        <f t="shared" si="139"/>
        <v>0</v>
      </c>
      <c r="Q521" s="78"/>
      <c r="R521" s="143"/>
      <c r="S521" s="143"/>
      <c r="T521" s="77">
        <f t="shared" si="140"/>
        <v>0</v>
      </c>
      <c r="U521" s="75"/>
      <c r="V521" s="76"/>
      <c r="W521" s="135"/>
      <c r="X521" s="135"/>
      <c r="Y521" s="77">
        <f t="shared" si="141"/>
        <v>0</v>
      </c>
      <c r="Z521" s="78"/>
      <c r="AA521" s="142"/>
      <c r="AB521" s="142"/>
      <c r="AC521" s="77">
        <f t="shared" si="142"/>
        <v>0</v>
      </c>
      <c r="AD521" s="78"/>
      <c r="AE521" s="143"/>
      <c r="AF521" s="143"/>
      <c r="AG521" s="79">
        <f t="shared" si="143"/>
        <v>0</v>
      </c>
      <c r="AH521" s="75"/>
      <c r="AI521" s="76"/>
      <c r="AJ521" s="135"/>
      <c r="AK521" s="135"/>
      <c r="AL521" s="77">
        <f t="shared" si="144"/>
        <v>0</v>
      </c>
      <c r="AM521" s="76"/>
      <c r="AN521" s="142"/>
      <c r="AO521" s="142"/>
      <c r="AP521" s="77">
        <f t="shared" si="145"/>
        <v>0</v>
      </c>
      <c r="AQ521" s="78"/>
      <c r="AR521" s="142"/>
      <c r="AS521" s="142"/>
      <c r="AT521" s="79">
        <f t="shared" si="146"/>
        <v>0</v>
      </c>
      <c r="AU521" s="75"/>
      <c r="AV521" s="76"/>
      <c r="AW521" s="135"/>
      <c r="AX521" s="135"/>
      <c r="AY521" s="77">
        <f t="shared" si="147"/>
        <v>0</v>
      </c>
      <c r="AZ521" s="76"/>
      <c r="BA521" s="142"/>
      <c r="BB521" s="142"/>
      <c r="BC521" s="77">
        <f t="shared" si="148"/>
        <v>0</v>
      </c>
      <c r="BD521" s="78"/>
      <c r="BE521" s="142"/>
      <c r="BF521" s="142"/>
      <c r="BG521" s="79">
        <f t="shared" si="149"/>
        <v>0</v>
      </c>
      <c r="BH521" s="75"/>
      <c r="BI521" s="76"/>
      <c r="BJ521" s="135"/>
      <c r="BK521" s="135"/>
      <c r="BL521" s="77">
        <f t="shared" si="150"/>
        <v>0</v>
      </c>
      <c r="BM521" s="78"/>
      <c r="BN521" s="142"/>
      <c r="BO521" s="142"/>
      <c r="BP521" s="77">
        <f t="shared" si="151"/>
        <v>0</v>
      </c>
      <c r="BQ521" s="78"/>
      <c r="BR521" s="142"/>
      <c r="BS521" s="142"/>
      <c r="BT521" s="79">
        <f t="shared" si="152"/>
        <v>0</v>
      </c>
      <c r="BU521" s="75"/>
      <c r="BV521" s="76"/>
      <c r="BW521" s="135"/>
      <c r="BX521" s="135"/>
      <c r="BY521" s="77">
        <f t="shared" si="153"/>
        <v>0</v>
      </c>
      <c r="BZ521" s="78"/>
      <c r="CA521" s="142"/>
      <c r="CB521" s="142"/>
      <c r="CC521" s="77">
        <f t="shared" si="154"/>
        <v>0</v>
      </c>
      <c r="CD521" s="78"/>
      <c r="CE521" s="142"/>
      <c r="CF521" s="142"/>
      <c r="CG521" s="79">
        <f t="shared" si="155"/>
        <v>0</v>
      </c>
      <c r="CH521" s="75"/>
      <c r="CI521" s="76"/>
      <c r="CJ521" s="86"/>
      <c r="CK521" s="86"/>
      <c r="CL521" s="77">
        <f t="shared" si="156"/>
        <v>0</v>
      </c>
      <c r="CM521" s="78"/>
      <c r="CN521" s="85"/>
      <c r="CO521" s="85"/>
      <c r="CP521" s="77">
        <f t="shared" si="157"/>
        <v>0</v>
      </c>
      <c r="CQ521" s="78"/>
      <c r="CR521" s="85"/>
      <c r="CS521" s="85"/>
      <c r="CT521" s="79">
        <f t="shared" si="158"/>
        <v>0</v>
      </c>
      <c r="CU521" s="80">
        <f t="shared" si="168"/>
        <v>0</v>
      </c>
      <c r="CV521" s="81">
        <f t="shared" si="169"/>
        <v>0</v>
      </c>
      <c r="CW521" s="144"/>
      <c r="CX521" s="145">
        <f>IF(ISERROR(VLOOKUP($A521,FIJOS!$B$11:$O$590,14,FALSE)),0,VLOOKUP($A521,FIJOS!$B$11:$O$590,14,FALSE))</f>
        <v>0</v>
      </c>
      <c r="CY521" s="145">
        <f>IF(ISERROR(VLOOKUP(A521,FIJOS!$B$10:$P$590,15,FALSE)),0,VLOOKUP(A521,FIJOS!$B$10:$P$590,15,FALSE))</f>
        <v>0</v>
      </c>
      <c r="CZ521" s="155"/>
      <c r="DA521" s="147"/>
      <c r="DB521" s="147"/>
      <c r="DC521" s="147"/>
      <c r="DD521" s="147"/>
      <c r="DE521" s="147"/>
      <c r="DF521" s="145">
        <f>IF(ISERROR(VLOOKUP($A521,FIJOS!$B$11:$N$590,13,FALSE)),0,VLOOKUP($A521,FIJOS!$B$11:$N$590,13,FALSE))</f>
        <v>0</v>
      </c>
      <c r="DG521" s="145">
        <f>IF(ISERROR(VLOOKUP($A521,FIJOS!$B$11:$P$447,12,FALSE)),0,VLOOKUP($A521,FIJOS!$B$11:$P$447,12,FALSE))</f>
        <v>0</v>
      </c>
      <c r="DH521" s="82">
        <f t="shared" si="250"/>
        <v>0</v>
      </c>
      <c r="DI521" s="83" t="b">
        <f>IF($C521=1,(VLOOKUP($A521,FIJOS!$B$11:$P$545,10,FALSE)/7)*(7-$CU521),IF(AND($C521=2,CV521&lt;$DJ$1),(VLOOKUP($D521,HORAS!$B$4:$C$42,2,FALSE)*24)*$CV521,IF(AND($C521=2,CV521&gt;=$DJ$1),VLOOKUP($D521,HORAS!$B$4:$D$42,3,FALSE),IF(AND($C521=3,$CV521&gt;=$DJ$1),VLOOKUP($A521,FIJOS!$B$11:$P$545,10,FALSE),IF(AND($C521=3,$CV521&lt;$DJ$1),((VLOOKUP($A521,FIJOS!$B$11:$P$545,10,FALSE)/48)*24)*$CV521,IF(AND($C521=4,$CV521&gt;=(42/24)),VLOOKUP($D521,HORAS!$B$4:$D$42,3,FALSE),IF(AND($C521=5,$CV521&gt;=(36/24)),VLOOKUP($D521,HORAS!$B$4:$D$42,3,FALSE))))))))</f>
        <v>0</v>
      </c>
      <c r="DJ521" s="145">
        <f>IF(OR($C521=2),VLOOKUP($D521,HORAS!$B$4:$E$42,4,FALSE)*$EC521,IF(ISERROR(VLOOKUP($A521,FIJOS!$B$11:$P$108,9,FALSE)),0,VLOOKUP($A521,FIJOS!$B$11:$P$231,9,FALSE)*$EC521))</f>
        <v>0</v>
      </c>
      <c r="DK521" s="145">
        <f>IF(OR($C521=2),VLOOKUP($D521,HORAS!$B$4:$F$42,5,FALSE)*$EE521,IF(ISERROR(VLOOKUP($A521,FIJOS!$B$11:$P$108,9,FALSE)),0,VLOOKUP($A521,FIJOS!$B$11:$P$231,9,FALSE)*$EE521))</f>
        <v>0</v>
      </c>
      <c r="DL521" s="144"/>
      <c r="DM521" s="145">
        <f>IF(ISERROR(VLOOKUP($A521,FIJOS!$B$11:$L$646,11,FALSE)),0,VLOOKUP($A521,FIJOS!$B$11:$L$646,11,FALSE))</f>
        <v>0</v>
      </c>
      <c r="DN521" s="148" t="e">
        <f>IF(OR($C521=1,$C521=3),0,IF((VLOOKUP(CAPTURA!D521,HORAS!$B$4:$K$42,10,FALSE)/4)*COUNTIF($H521:$CT521,3)&gt;100,100,(VLOOKUP(CAPTURA!D521,HORAS!$B$4:$K$42,10,FALSE)/4)*COUNTIF($H521:$CT521,3)))</f>
        <v>#N/A</v>
      </c>
      <c r="DO521" s="144" t="e">
        <f>IF(OR($C521=1,$C521=3),0,IF($C521=5,VLOOKUP(D521,HORAS!$B$4:$G$42,6,FALSE),IF(AND($C521=4,$CV521&gt;=(42/24)),VLOOKUP(D521,HORAS!$B$4:$G$42,6,FALSE),IF(COUNTIF($H521:$CL521,"F")&gt;0,0,IF(CV521&gt;$DJ$1,$DJ$1*(VLOOKUP(D521,HORAS!$B$4:$G$42,6,FALSE)/$DJ$1),CV521*(VLOOKUP(D521,HORAS!$B$4:$G$42,6,FALSE)/$DJ$1))))))</f>
        <v>#N/A</v>
      </c>
      <c r="DP521" s="156"/>
      <c r="DQ521" s="148"/>
      <c r="DR521" s="148"/>
      <c r="DS521" s="83" t="e">
        <f t="shared" si="162"/>
        <v>#N/A</v>
      </c>
      <c r="DT521" s="84"/>
      <c r="DU521" s="149" t="e">
        <f t="shared" si="251"/>
        <v>#N/A</v>
      </c>
      <c r="DV521" s="149" t="e">
        <f t="shared" si="252"/>
        <v>#N/A</v>
      </c>
      <c r="DW521" s="144" t="e">
        <f t="shared" si="253"/>
        <v>#N/A</v>
      </c>
      <c r="DX521" s="168"/>
      <c r="DY521" s="29"/>
      <c r="DZ521" s="150"/>
      <c r="EA521" s="134"/>
      <c r="EB521" s="137">
        <f t="shared" si="254"/>
        <v>0</v>
      </c>
      <c r="EC521" s="138">
        <f t="shared" si="255"/>
        <v>0</v>
      </c>
      <c r="ED521" s="137">
        <f t="shared" si="256"/>
        <v>0</v>
      </c>
      <c r="EE521" s="132">
        <f t="shared" si="257"/>
        <v>0</v>
      </c>
      <c r="EF521" s="29"/>
      <c r="EG521" s="134"/>
      <c r="EH521" s="134"/>
      <c r="EI521" s="134"/>
      <c r="EK521" s="29"/>
    </row>
    <row r="522" spans="1:141" ht="15" customHeight="1" x14ac:dyDescent="0.25">
      <c r="A522" s="87"/>
      <c r="B522" s="5"/>
      <c r="C522" s="72"/>
      <c r="D522" s="73"/>
      <c r="E522" s="73"/>
      <c r="F522" s="141"/>
      <c r="G522" s="74"/>
      <c r="H522" s="75"/>
      <c r="I522" s="76"/>
      <c r="J522" s="135"/>
      <c r="K522" s="135"/>
      <c r="L522" s="77">
        <f t="shared" si="138"/>
        <v>0</v>
      </c>
      <c r="M522" s="78"/>
      <c r="N522" s="142"/>
      <c r="O522" s="142"/>
      <c r="P522" s="77">
        <f t="shared" si="139"/>
        <v>0</v>
      </c>
      <c r="Q522" s="78"/>
      <c r="R522" s="143"/>
      <c r="S522" s="143"/>
      <c r="T522" s="77">
        <f t="shared" si="140"/>
        <v>0</v>
      </c>
      <c r="U522" s="75"/>
      <c r="V522" s="76"/>
      <c r="W522" s="135"/>
      <c r="X522" s="135"/>
      <c r="Y522" s="77">
        <f t="shared" si="141"/>
        <v>0</v>
      </c>
      <c r="Z522" s="78"/>
      <c r="AA522" s="142"/>
      <c r="AB522" s="142"/>
      <c r="AC522" s="77">
        <f t="shared" si="142"/>
        <v>0</v>
      </c>
      <c r="AD522" s="78"/>
      <c r="AE522" s="143"/>
      <c r="AF522" s="143"/>
      <c r="AG522" s="79">
        <f t="shared" si="143"/>
        <v>0</v>
      </c>
      <c r="AH522" s="75"/>
      <c r="AI522" s="76"/>
      <c r="AJ522" s="135"/>
      <c r="AK522" s="135"/>
      <c r="AL522" s="77">
        <f t="shared" si="144"/>
        <v>0</v>
      </c>
      <c r="AM522" s="76"/>
      <c r="AN522" s="142"/>
      <c r="AO522" s="142"/>
      <c r="AP522" s="77">
        <f t="shared" si="145"/>
        <v>0</v>
      </c>
      <c r="AQ522" s="78"/>
      <c r="AR522" s="142"/>
      <c r="AS522" s="142"/>
      <c r="AT522" s="79">
        <f t="shared" si="146"/>
        <v>0</v>
      </c>
      <c r="AU522" s="75"/>
      <c r="AV522" s="76"/>
      <c r="AW522" s="135"/>
      <c r="AX522" s="135"/>
      <c r="AY522" s="77">
        <f t="shared" si="147"/>
        <v>0</v>
      </c>
      <c r="AZ522" s="76"/>
      <c r="BA522" s="142"/>
      <c r="BB522" s="142"/>
      <c r="BC522" s="77">
        <f t="shared" si="148"/>
        <v>0</v>
      </c>
      <c r="BD522" s="78"/>
      <c r="BE522" s="142"/>
      <c r="BF522" s="142"/>
      <c r="BG522" s="79">
        <f t="shared" si="149"/>
        <v>0</v>
      </c>
      <c r="BH522" s="75"/>
      <c r="BI522" s="76"/>
      <c r="BJ522" s="135"/>
      <c r="BK522" s="135"/>
      <c r="BL522" s="77">
        <f t="shared" si="150"/>
        <v>0</v>
      </c>
      <c r="BM522" s="78"/>
      <c r="BN522" s="142"/>
      <c r="BO522" s="142"/>
      <c r="BP522" s="77">
        <f t="shared" si="151"/>
        <v>0</v>
      </c>
      <c r="BQ522" s="78"/>
      <c r="BR522" s="142"/>
      <c r="BS522" s="142"/>
      <c r="BT522" s="79">
        <f t="shared" si="152"/>
        <v>0</v>
      </c>
      <c r="BU522" s="75"/>
      <c r="BV522" s="76"/>
      <c r="BW522" s="135"/>
      <c r="BX522" s="135"/>
      <c r="BY522" s="77">
        <f t="shared" si="153"/>
        <v>0</v>
      </c>
      <c r="BZ522" s="78"/>
      <c r="CA522" s="142"/>
      <c r="CB522" s="142"/>
      <c r="CC522" s="77">
        <f t="shared" si="154"/>
        <v>0</v>
      </c>
      <c r="CD522" s="78"/>
      <c r="CE522" s="142"/>
      <c r="CF522" s="142"/>
      <c r="CG522" s="79">
        <f t="shared" si="155"/>
        <v>0</v>
      </c>
      <c r="CH522" s="75"/>
      <c r="CI522" s="76"/>
      <c r="CJ522" s="86"/>
      <c r="CK522" s="86"/>
      <c r="CL522" s="77">
        <f t="shared" si="156"/>
        <v>0</v>
      </c>
      <c r="CM522" s="78"/>
      <c r="CN522" s="85"/>
      <c r="CO522" s="85"/>
      <c r="CP522" s="77">
        <f t="shared" si="157"/>
        <v>0</v>
      </c>
      <c r="CQ522" s="78"/>
      <c r="CR522" s="85"/>
      <c r="CS522" s="85"/>
      <c r="CT522" s="79">
        <f t="shared" si="158"/>
        <v>0</v>
      </c>
      <c r="CU522" s="80">
        <f t="shared" si="168"/>
        <v>0</v>
      </c>
      <c r="CV522" s="81">
        <f t="shared" si="169"/>
        <v>0</v>
      </c>
      <c r="CW522" s="144"/>
      <c r="CX522" s="145">
        <f>IF(ISERROR(VLOOKUP($A522,FIJOS!$B$11:$O$590,14,FALSE)),0,VLOOKUP($A522,FIJOS!$B$11:$O$590,14,FALSE))</f>
        <v>0</v>
      </c>
      <c r="CY522" s="145">
        <f>IF(ISERROR(VLOOKUP(A522,FIJOS!$B$10:$P$590,15,FALSE)),0,VLOOKUP(A522,FIJOS!$B$10:$P$590,15,FALSE))</f>
        <v>0</v>
      </c>
      <c r="CZ522" s="155"/>
      <c r="DA522" s="147"/>
      <c r="DB522" s="147"/>
      <c r="DC522" s="147"/>
      <c r="DD522" s="147"/>
      <c r="DE522" s="147"/>
      <c r="DF522" s="145">
        <f>IF(ISERROR(VLOOKUP($A522,FIJOS!$B$11:$N$590,13,FALSE)),0,VLOOKUP($A522,FIJOS!$B$11:$N$590,13,FALSE))</f>
        <v>0</v>
      </c>
      <c r="DG522" s="145">
        <f>IF(ISERROR(VLOOKUP($A522,FIJOS!$B$11:$P$447,12,FALSE)),0,VLOOKUP($A522,FIJOS!$B$11:$P$447,12,FALSE))</f>
        <v>0</v>
      </c>
      <c r="DH522" s="82">
        <f t="shared" si="250"/>
        <v>0</v>
      </c>
      <c r="DI522" s="83" t="b">
        <f>IF($C522=1,(VLOOKUP($A522,FIJOS!$B$11:$P$545,10,FALSE)/7)*(7-$CU522),IF(AND($C522=2,CV522&lt;$DJ$1),(VLOOKUP($D522,HORAS!$B$4:$C$42,2,FALSE)*24)*$CV522,IF(AND($C522=2,CV522&gt;=$DJ$1),VLOOKUP($D522,HORAS!$B$4:$D$42,3,FALSE),IF(AND($C522=3,$CV522&gt;=$DJ$1),VLOOKUP($A522,FIJOS!$B$11:$P$545,10,FALSE),IF(AND($C522=3,$CV522&lt;$DJ$1),((VLOOKUP($A522,FIJOS!$B$11:$P$545,10,FALSE)/48)*24)*$CV522,IF(AND($C522=4,$CV522&gt;=(42/24)),VLOOKUP($D522,HORAS!$B$4:$D$42,3,FALSE),IF(AND($C522=5,$CV522&gt;=(36/24)),VLOOKUP($D522,HORAS!$B$4:$D$42,3,FALSE))))))))</f>
        <v>0</v>
      </c>
      <c r="DJ522" s="145">
        <f>IF(OR($C522=2),VLOOKUP($D522,HORAS!$B$4:$E$42,4,FALSE)*$EC522,IF(ISERROR(VLOOKUP($A522,FIJOS!$B$11:$P$108,9,FALSE)),0,VLOOKUP($A522,FIJOS!$B$11:$P$231,9,FALSE)*$EC522))</f>
        <v>0</v>
      </c>
      <c r="DK522" s="145">
        <f>IF(OR($C522=2),VLOOKUP($D522,HORAS!$B$4:$F$42,5,FALSE)*$EE522,IF(ISERROR(VLOOKUP($A522,FIJOS!$B$11:$P$108,9,FALSE)),0,VLOOKUP($A522,FIJOS!$B$11:$P$231,9,FALSE)*$EE522))</f>
        <v>0</v>
      </c>
      <c r="DL522" s="144"/>
      <c r="DM522" s="145">
        <f>IF(ISERROR(VLOOKUP($A522,FIJOS!$B$11:$L$646,11,FALSE)),0,VLOOKUP($A522,FIJOS!$B$11:$L$646,11,FALSE))</f>
        <v>0</v>
      </c>
      <c r="DN522" s="148" t="e">
        <f>IF(OR($C522=1,$C522=3),0,IF((VLOOKUP(CAPTURA!D522,HORAS!$B$4:$K$42,10,FALSE)/4)*COUNTIF($H522:$CT522,3)&gt;100,100,(VLOOKUP(CAPTURA!D522,HORAS!$B$4:$K$42,10,FALSE)/4)*COUNTIF($H522:$CT522,3)))</f>
        <v>#N/A</v>
      </c>
      <c r="DO522" s="144" t="e">
        <f>IF(OR($C522=1,$C522=3),0,IF($C522=5,VLOOKUP(D522,HORAS!$B$4:$G$42,6,FALSE),IF(AND($C522=4,$CV522&gt;=(42/24)),VLOOKUP(D522,HORAS!$B$4:$G$42,6,FALSE),IF(COUNTIF($H522:$CL522,"F")&gt;0,0,IF(CV522&gt;$DJ$1,$DJ$1*(VLOOKUP(D522,HORAS!$B$4:$G$42,6,FALSE)/$DJ$1),CV522*(VLOOKUP(D522,HORAS!$B$4:$G$42,6,FALSE)/$DJ$1))))))</f>
        <v>#N/A</v>
      </c>
      <c r="DP522" s="156"/>
      <c r="DQ522" s="148"/>
      <c r="DR522" s="148"/>
      <c r="DS522" s="83" t="e">
        <f t="shared" si="162"/>
        <v>#N/A</v>
      </c>
      <c r="DT522" s="84"/>
      <c r="DU522" s="149" t="e">
        <f t="shared" si="251"/>
        <v>#N/A</v>
      </c>
      <c r="DV522" s="149" t="e">
        <f t="shared" si="252"/>
        <v>#N/A</v>
      </c>
      <c r="DW522" s="144" t="e">
        <f t="shared" si="253"/>
        <v>#N/A</v>
      </c>
      <c r="DX522" s="168"/>
      <c r="DY522" s="29"/>
      <c r="DZ522" s="150"/>
      <c r="EA522" s="134"/>
      <c r="EB522" s="137">
        <f t="shared" si="254"/>
        <v>0</v>
      </c>
      <c r="EC522" s="138">
        <f t="shared" si="255"/>
        <v>0</v>
      </c>
      <c r="ED522" s="137">
        <f t="shared" si="256"/>
        <v>0</v>
      </c>
      <c r="EE522" s="132">
        <f t="shared" si="257"/>
        <v>0</v>
      </c>
      <c r="EF522" s="29"/>
      <c r="EG522" s="134"/>
      <c r="EH522" s="134"/>
      <c r="EI522" s="134"/>
      <c r="EK522" s="29"/>
    </row>
    <row r="523" spans="1:141" ht="15" customHeight="1" x14ac:dyDescent="0.25">
      <c r="A523" s="87"/>
      <c r="B523" s="5"/>
      <c r="C523" s="72"/>
      <c r="D523" s="73"/>
      <c r="E523" s="73"/>
      <c r="F523" s="141"/>
      <c r="G523" s="74"/>
      <c r="H523" s="75"/>
      <c r="I523" s="76"/>
      <c r="J523" s="135"/>
      <c r="K523" s="135"/>
      <c r="L523" s="77">
        <f t="shared" si="138"/>
        <v>0</v>
      </c>
      <c r="M523" s="78"/>
      <c r="N523" s="142"/>
      <c r="O523" s="142"/>
      <c r="P523" s="77">
        <f t="shared" si="139"/>
        <v>0</v>
      </c>
      <c r="Q523" s="78"/>
      <c r="R523" s="143"/>
      <c r="S523" s="143"/>
      <c r="T523" s="77">
        <f t="shared" si="140"/>
        <v>0</v>
      </c>
      <c r="U523" s="75"/>
      <c r="V523" s="76"/>
      <c r="W523" s="135"/>
      <c r="X523" s="135"/>
      <c r="Y523" s="77">
        <f t="shared" si="141"/>
        <v>0</v>
      </c>
      <c r="Z523" s="78"/>
      <c r="AA523" s="142"/>
      <c r="AB523" s="142"/>
      <c r="AC523" s="77">
        <f t="shared" si="142"/>
        <v>0</v>
      </c>
      <c r="AD523" s="78"/>
      <c r="AE523" s="143"/>
      <c r="AF523" s="143"/>
      <c r="AG523" s="79">
        <f t="shared" si="143"/>
        <v>0</v>
      </c>
      <c r="AH523" s="75"/>
      <c r="AI523" s="76"/>
      <c r="AJ523" s="135"/>
      <c r="AK523" s="135"/>
      <c r="AL523" s="77">
        <f t="shared" si="144"/>
        <v>0</v>
      </c>
      <c r="AM523" s="76"/>
      <c r="AN523" s="142"/>
      <c r="AO523" s="142"/>
      <c r="AP523" s="77">
        <f t="shared" si="145"/>
        <v>0</v>
      </c>
      <c r="AQ523" s="78"/>
      <c r="AR523" s="142"/>
      <c r="AS523" s="142"/>
      <c r="AT523" s="79">
        <f t="shared" si="146"/>
        <v>0</v>
      </c>
      <c r="AU523" s="75"/>
      <c r="AV523" s="76"/>
      <c r="AW523" s="135"/>
      <c r="AX523" s="135"/>
      <c r="AY523" s="77">
        <f t="shared" si="147"/>
        <v>0</v>
      </c>
      <c r="AZ523" s="76"/>
      <c r="BA523" s="142"/>
      <c r="BB523" s="142"/>
      <c r="BC523" s="77">
        <f t="shared" si="148"/>
        <v>0</v>
      </c>
      <c r="BD523" s="78"/>
      <c r="BE523" s="142"/>
      <c r="BF523" s="142"/>
      <c r="BG523" s="79">
        <f t="shared" si="149"/>
        <v>0</v>
      </c>
      <c r="BH523" s="75"/>
      <c r="BI523" s="76"/>
      <c r="BJ523" s="135"/>
      <c r="BK523" s="135"/>
      <c r="BL523" s="77">
        <f t="shared" si="150"/>
        <v>0</v>
      </c>
      <c r="BM523" s="78"/>
      <c r="BN523" s="142"/>
      <c r="BO523" s="142"/>
      <c r="BP523" s="77">
        <f t="shared" si="151"/>
        <v>0</v>
      </c>
      <c r="BQ523" s="78"/>
      <c r="BR523" s="142"/>
      <c r="BS523" s="142"/>
      <c r="BT523" s="79">
        <f t="shared" si="152"/>
        <v>0</v>
      </c>
      <c r="BU523" s="75"/>
      <c r="BV523" s="76"/>
      <c r="BW523" s="135"/>
      <c r="BX523" s="135"/>
      <c r="BY523" s="77">
        <f t="shared" si="153"/>
        <v>0</v>
      </c>
      <c r="BZ523" s="78"/>
      <c r="CA523" s="142"/>
      <c r="CB523" s="142"/>
      <c r="CC523" s="77">
        <f t="shared" si="154"/>
        <v>0</v>
      </c>
      <c r="CD523" s="78"/>
      <c r="CE523" s="142"/>
      <c r="CF523" s="142"/>
      <c r="CG523" s="79">
        <f t="shared" si="155"/>
        <v>0</v>
      </c>
      <c r="CH523" s="75"/>
      <c r="CI523" s="76"/>
      <c r="CJ523" s="86"/>
      <c r="CK523" s="86"/>
      <c r="CL523" s="77">
        <f t="shared" si="156"/>
        <v>0</v>
      </c>
      <c r="CM523" s="78"/>
      <c r="CN523" s="85"/>
      <c r="CO523" s="85"/>
      <c r="CP523" s="77">
        <f t="shared" si="157"/>
        <v>0</v>
      </c>
      <c r="CQ523" s="78"/>
      <c r="CR523" s="85"/>
      <c r="CS523" s="85"/>
      <c r="CT523" s="79">
        <f t="shared" si="158"/>
        <v>0</v>
      </c>
      <c r="CU523" s="80">
        <f t="shared" si="168"/>
        <v>0</v>
      </c>
      <c r="CV523" s="81">
        <f t="shared" si="169"/>
        <v>0</v>
      </c>
      <c r="CW523" s="144"/>
      <c r="CX523" s="145">
        <f>IF(ISERROR(VLOOKUP($A523,FIJOS!$B$11:$O$590,14,FALSE)),0,VLOOKUP($A523,FIJOS!$B$11:$O$590,14,FALSE))</f>
        <v>0</v>
      </c>
      <c r="CY523" s="145">
        <f>IF(ISERROR(VLOOKUP(A523,FIJOS!$B$10:$P$590,15,FALSE)),0,VLOOKUP(A523,FIJOS!$B$10:$P$590,15,FALSE))</f>
        <v>0</v>
      </c>
      <c r="CZ523" s="155"/>
      <c r="DA523" s="147"/>
      <c r="DB523" s="147"/>
      <c r="DC523" s="147"/>
      <c r="DD523" s="147"/>
      <c r="DE523" s="147"/>
      <c r="DF523" s="145">
        <f>IF(ISERROR(VLOOKUP($A523,FIJOS!$B$11:$N$590,13,FALSE)),0,VLOOKUP($A523,FIJOS!$B$11:$N$590,13,FALSE))</f>
        <v>0</v>
      </c>
      <c r="DG523" s="145">
        <f>IF(ISERROR(VLOOKUP($A523,FIJOS!$B$11:$P$447,12,FALSE)),0,VLOOKUP($A523,FIJOS!$B$11:$P$447,12,FALSE))</f>
        <v>0</v>
      </c>
      <c r="DH523" s="82">
        <f t="shared" si="250"/>
        <v>0</v>
      </c>
      <c r="DI523" s="83" t="b">
        <f>IF($C523=1,(VLOOKUP($A523,FIJOS!$B$11:$P$545,10,FALSE)/7)*(7-$CU523),IF(AND($C523=2,CV523&lt;$DJ$1),(VLOOKUP($D523,HORAS!$B$4:$C$42,2,FALSE)*24)*$CV523,IF(AND($C523=2,CV523&gt;=$DJ$1),VLOOKUP($D523,HORAS!$B$4:$D$42,3,FALSE),IF(AND($C523=3,$CV523&gt;=$DJ$1),VLOOKUP($A523,FIJOS!$B$11:$P$545,10,FALSE),IF(AND($C523=3,$CV523&lt;$DJ$1),((VLOOKUP($A523,FIJOS!$B$11:$P$545,10,FALSE)/48)*24)*$CV523,IF(AND($C523=4,$CV523&gt;=(42/24)),VLOOKUP($D523,HORAS!$B$4:$D$42,3,FALSE),IF(AND($C523=5,$CV523&gt;=(36/24)),VLOOKUP($D523,HORAS!$B$4:$D$42,3,FALSE))))))))</f>
        <v>0</v>
      </c>
      <c r="DJ523" s="145">
        <f>IF(OR($C523=2),VLOOKUP($D523,HORAS!$B$4:$E$42,4,FALSE)*$EC523,IF(ISERROR(VLOOKUP($A523,FIJOS!$B$11:$P$108,9,FALSE)),0,VLOOKUP($A523,FIJOS!$B$11:$P$231,9,FALSE)*$EC523))</f>
        <v>0</v>
      </c>
      <c r="DK523" s="145">
        <f>IF(OR($C523=2),VLOOKUP($D523,HORAS!$B$4:$F$42,5,FALSE)*$EE523,IF(ISERROR(VLOOKUP($A523,FIJOS!$B$11:$P$108,9,FALSE)),0,VLOOKUP($A523,FIJOS!$B$11:$P$231,9,FALSE)*$EE523))</f>
        <v>0</v>
      </c>
      <c r="DL523" s="144"/>
      <c r="DM523" s="145">
        <f>IF(ISERROR(VLOOKUP($A523,FIJOS!$B$11:$L$646,11,FALSE)),0,VLOOKUP($A523,FIJOS!$B$11:$L$646,11,FALSE))</f>
        <v>0</v>
      </c>
      <c r="DN523" s="148" t="e">
        <f>IF(OR($C523=1,$C523=3),0,IF((VLOOKUP(CAPTURA!D523,HORAS!$B$4:$K$42,10,FALSE)/4)*COUNTIF($H523:$CT523,3)&gt;100,100,(VLOOKUP(CAPTURA!D523,HORAS!$B$4:$K$42,10,FALSE)/4)*COUNTIF($H523:$CT523,3)))</f>
        <v>#N/A</v>
      </c>
      <c r="DO523" s="144" t="e">
        <f>IF(OR($C523=1,$C523=3),0,IF($C523=5,VLOOKUP(D523,HORAS!$B$4:$G$42,6,FALSE),IF(AND($C523=4,$CV523&gt;=(42/24)),VLOOKUP(D523,HORAS!$B$4:$G$42,6,FALSE),IF(COUNTIF($H523:$CL523,"F")&gt;0,0,IF(CV523&gt;$DJ$1,$DJ$1*(VLOOKUP(D523,HORAS!$B$4:$G$42,6,FALSE)/$DJ$1),CV523*(VLOOKUP(D523,HORAS!$B$4:$G$42,6,FALSE)/$DJ$1))))))</f>
        <v>#N/A</v>
      </c>
      <c r="DP523" s="156"/>
      <c r="DQ523" s="148"/>
      <c r="DR523" s="148"/>
      <c r="DS523" s="83" t="e">
        <f t="shared" si="162"/>
        <v>#N/A</v>
      </c>
      <c r="DT523" s="84"/>
      <c r="DU523" s="149" t="e">
        <f t="shared" si="251"/>
        <v>#N/A</v>
      </c>
      <c r="DV523" s="149" t="e">
        <f t="shared" si="252"/>
        <v>#N/A</v>
      </c>
      <c r="DW523" s="144" t="e">
        <f t="shared" si="253"/>
        <v>#N/A</v>
      </c>
      <c r="DX523" s="168"/>
      <c r="DY523" s="29"/>
      <c r="DZ523" s="150"/>
      <c r="EA523" s="134"/>
      <c r="EB523" s="137">
        <f t="shared" si="254"/>
        <v>0</v>
      </c>
      <c r="EC523" s="138">
        <f t="shared" si="255"/>
        <v>0</v>
      </c>
      <c r="ED523" s="137">
        <f t="shared" si="256"/>
        <v>0</v>
      </c>
      <c r="EE523" s="132">
        <f t="shared" si="257"/>
        <v>0</v>
      </c>
      <c r="EF523" s="29"/>
      <c r="EG523" s="134"/>
      <c r="EH523" s="134"/>
      <c r="EI523" s="134"/>
      <c r="EK523" s="29"/>
    </row>
    <row r="524" spans="1:141" ht="15" customHeight="1" x14ac:dyDescent="0.25">
      <c r="A524" s="87"/>
      <c r="B524" s="5"/>
      <c r="C524" s="72"/>
      <c r="D524" s="73"/>
      <c r="E524" s="73"/>
      <c r="F524" s="141"/>
      <c r="G524" s="74"/>
      <c r="H524" s="75"/>
      <c r="I524" s="76"/>
      <c r="J524" s="135"/>
      <c r="K524" s="135"/>
      <c r="L524" s="77">
        <f t="shared" si="138"/>
        <v>0</v>
      </c>
      <c r="M524" s="78"/>
      <c r="N524" s="142"/>
      <c r="O524" s="142"/>
      <c r="P524" s="77">
        <f t="shared" si="139"/>
        <v>0</v>
      </c>
      <c r="Q524" s="78"/>
      <c r="R524" s="143"/>
      <c r="S524" s="143"/>
      <c r="T524" s="77">
        <f t="shared" si="140"/>
        <v>0</v>
      </c>
      <c r="U524" s="75"/>
      <c r="V524" s="76"/>
      <c r="W524" s="135"/>
      <c r="X524" s="135"/>
      <c r="Y524" s="77">
        <f t="shared" si="141"/>
        <v>0</v>
      </c>
      <c r="Z524" s="78"/>
      <c r="AA524" s="142"/>
      <c r="AB524" s="142"/>
      <c r="AC524" s="77">
        <f t="shared" si="142"/>
        <v>0</v>
      </c>
      <c r="AD524" s="78"/>
      <c r="AE524" s="143"/>
      <c r="AF524" s="143"/>
      <c r="AG524" s="79">
        <f t="shared" si="143"/>
        <v>0</v>
      </c>
      <c r="AH524" s="75"/>
      <c r="AI524" s="76"/>
      <c r="AJ524" s="135"/>
      <c r="AK524" s="135"/>
      <c r="AL524" s="77">
        <f t="shared" si="144"/>
        <v>0</v>
      </c>
      <c r="AM524" s="76"/>
      <c r="AN524" s="142"/>
      <c r="AO524" s="142"/>
      <c r="AP524" s="77">
        <f t="shared" si="145"/>
        <v>0</v>
      </c>
      <c r="AQ524" s="78"/>
      <c r="AR524" s="142"/>
      <c r="AS524" s="142"/>
      <c r="AT524" s="79">
        <f t="shared" si="146"/>
        <v>0</v>
      </c>
      <c r="AU524" s="75"/>
      <c r="AV524" s="76"/>
      <c r="AW524" s="135"/>
      <c r="AX524" s="135"/>
      <c r="AY524" s="77">
        <f t="shared" si="147"/>
        <v>0</v>
      </c>
      <c r="AZ524" s="76"/>
      <c r="BA524" s="142"/>
      <c r="BB524" s="142"/>
      <c r="BC524" s="77">
        <f t="shared" si="148"/>
        <v>0</v>
      </c>
      <c r="BD524" s="78"/>
      <c r="BE524" s="142"/>
      <c r="BF524" s="142"/>
      <c r="BG524" s="79">
        <f t="shared" si="149"/>
        <v>0</v>
      </c>
      <c r="BH524" s="75"/>
      <c r="BI524" s="76"/>
      <c r="BJ524" s="135"/>
      <c r="BK524" s="135"/>
      <c r="BL524" s="77">
        <f t="shared" si="150"/>
        <v>0</v>
      </c>
      <c r="BM524" s="78"/>
      <c r="BN524" s="142"/>
      <c r="BO524" s="142"/>
      <c r="BP524" s="77">
        <f t="shared" si="151"/>
        <v>0</v>
      </c>
      <c r="BQ524" s="78"/>
      <c r="BR524" s="142"/>
      <c r="BS524" s="142"/>
      <c r="BT524" s="79">
        <f t="shared" si="152"/>
        <v>0</v>
      </c>
      <c r="BU524" s="75"/>
      <c r="BV524" s="76"/>
      <c r="BW524" s="135"/>
      <c r="BX524" s="135"/>
      <c r="BY524" s="77">
        <f t="shared" si="153"/>
        <v>0</v>
      </c>
      <c r="BZ524" s="78"/>
      <c r="CA524" s="142"/>
      <c r="CB524" s="142"/>
      <c r="CC524" s="77">
        <f t="shared" si="154"/>
        <v>0</v>
      </c>
      <c r="CD524" s="78"/>
      <c r="CE524" s="142"/>
      <c r="CF524" s="142"/>
      <c r="CG524" s="79">
        <f t="shared" si="155"/>
        <v>0</v>
      </c>
      <c r="CH524" s="75"/>
      <c r="CI524" s="76"/>
      <c r="CJ524" s="86"/>
      <c r="CK524" s="86"/>
      <c r="CL524" s="77">
        <f t="shared" si="156"/>
        <v>0</v>
      </c>
      <c r="CM524" s="78"/>
      <c r="CN524" s="85"/>
      <c r="CO524" s="85"/>
      <c r="CP524" s="77">
        <f t="shared" si="157"/>
        <v>0</v>
      </c>
      <c r="CQ524" s="78"/>
      <c r="CR524" s="85"/>
      <c r="CS524" s="85"/>
      <c r="CT524" s="79">
        <f t="shared" si="158"/>
        <v>0</v>
      </c>
      <c r="CU524" s="80">
        <f t="shared" si="168"/>
        <v>0</v>
      </c>
      <c r="CV524" s="81">
        <f t="shared" si="169"/>
        <v>0</v>
      </c>
      <c r="CW524" s="144"/>
      <c r="CX524" s="145">
        <f>IF(ISERROR(VLOOKUP($A524,FIJOS!$B$11:$O$590,14,FALSE)),0,VLOOKUP($A524,FIJOS!$B$11:$O$590,14,FALSE))</f>
        <v>0</v>
      </c>
      <c r="CY524" s="145">
        <f>IF(ISERROR(VLOOKUP(A524,FIJOS!$B$10:$P$590,15,FALSE)),0,VLOOKUP(A524,FIJOS!$B$10:$P$590,15,FALSE))</f>
        <v>0</v>
      </c>
      <c r="CZ524" s="155"/>
      <c r="DA524" s="147"/>
      <c r="DB524" s="147"/>
      <c r="DC524" s="147"/>
      <c r="DD524" s="147"/>
      <c r="DE524" s="147"/>
      <c r="DF524" s="145">
        <f>IF(ISERROR(VLOOKUP($A524,FIJOS!$B$11:$N$590,13,FALSE)),0,VLOOKUP($A524,FIJOS!$B$11:$N$590,13,FALSE))</f>
        <v>0</v>
      </c>
      <c r="DG524" s="145">
        <f>IF(ISERROR(VLOOKUP($A524,FIJOS!$B$11:$P$447,12,FALSE)),0,VLOOKUP($A524,FIJOS!$B$11:$P$447,12,FALSE))</f>
        <v>0</v>
      </c>
      <c r="DH524" s="82">
        <f t="shared" si="250"/>
        <v>0</v>
      </c>
      <c r="DI524" s="83" t="b">
        <f>IF($C524=1,(VLOOKUP($A524,FIJOS!$B$11:$P$545,10,FALSE)/7)*(7-$CU524),IF(AND($C524=2,CV524&lt;$DJ$1),(VLOOKUP($D524,HORAS!$B$4:$C$42,2,FALSE)*24)*$CV524,IF(AND($C524=2,CV524&gt;=$DJ$1),VLOOKUP($D524,HORAS!$B$4:$D$42,3,FALSE),IF(AND($C524=3,$CV524&gt;=$DJ$1),VLOOKUP($A524,FIJOS!$B$11:$P$545,10,FALSE),IF(AND($C524=3,$CV524&lt;$DJ$1),((VLOOKUP($A524,FIJOS!$B$11:$P$545,10,FALSE)/48)*24)*$CV524,IF(AND($C524=4,$CV524&gt;=(42/24)),VLOOKUP($D524,HORAS!$B$4:$D$42,3,FALSE),IF(AND($C524=5,$CV524&gt;=(36/24)),VLOOKUP($D524,HORAS!$B$4:$D$42,3,FALSE))))))))</f>
        <v>0</v>
      </c>
      <c r="DJ524" s="145">
        <f>IF(OR($C524=2),VLOOKUP($D524,HORAS!$B$4:$E$42,4,FALSE)*$EC524,IF(ISERROR(VLOOKUP($A524,FIJOS!$B$11:$P$108,9,FALSE)),0,VLOOKUP($A524,FIJOS!$B$11:$P$231,9,FALSE)*$EC524))</f>
        <v>0</v>
      </c>
      <c r="DK524" s="145">
        <f>IF(OR($C524=2),VLOOKUP($D524,HORAS!$B$4:$F$42,5,FALSE)*$EE524,IF(ISERROR(VLOOKUP($A524,FIJOS!$B$11:$P$108,9,FALSE)),0,VLOOKUP($A524,FIJOS!$B$11:$P$231,9,FALSE)*$EE524))</f>
        <v>0</v>
      </c>
      <c r="DL524" s="144"/>
      <c r="DM524" s="145">
        <f>IF(ISERROR(VLOOKUP($A524,FIJOS!$B$11:$L$646,11,FALSE)),0,VLOOKUP($A524,FIJOS!$B$11:$L$646,11,FALSE))</f>
        <v>0</v>
      </c>
      <c r="DN524" s="148" t="e">
        <f>IF(OR($C524=1,$C524=3),0,IF((VLOOKUP(CAPTURA!D524,HORAS!$B$4:$K$42,10,FALSE)/4)*COUNTIF($H524:$CT524,3)&gt;100,100,(VLOOKUP(CAPTURA!D524,HORAS!$B$4:$K$42,10,FALSE)/4)*COUNTIF($H524:$CT524,3)))</f>
        <v>#N/A</v>
      </c>
      <c r="DO524" s="144" t="e">
        <f>IF(OR($C524=1,$C524=3),0,IF($C524=5,VLOOKUP(D524,HORAS!$B$4:$G$42,6,FALSE),IF(AND($C524=4,$CV524&gt;=(42/24)),VLOOKUP(D524,HORAS!$B$4:$G$42,6,FALSE),IF(COUNTIF($H524:$CL524,"F")&gt;0,0,IF(CV524&gt;$DJ$1,$DJ$1*(VLOOKUP(D524,HORAS!$B$4:$G$42,6,FALSE)/$DJ$1),CV524*(VLOOKUP(D524,HORAS!$B$4:$G$42,6,FALSE)/$DJ$1))))))</f>
        <v>#N/A</v>
      </c>
      <c r="DP524" s="156"/>
      <c r="DQ524" s="148"/>
      <c r="DR524" s="148"/>
      <c r="DS524" s="83" t="e">
        <f t="shared" si="162"/>
        <v>#N/A</v>
      </c>
      <c r="DT524" s="84"/>
      <c r="DU524" s="149" t="e">
        <f t="shared" si="251"/>
        <v>#N/A</v>
      </c>
      <c r="DV524" s="149" t="e">
        <f t="shared" si="252"/>
        <v>#N/A</v>
      </c>
      <c r="DW524" s="144" t="e">
        <f t="shared" si="253"/>
        <v>#N/A</v>
      </c>
      <c r="DX524" s="168"/>
      <c r="DY524" s="29"/>
      <c r="DZ524" s="150"/>
      <c r="EA524" s="134"/>
      <c r="EB524" s="137">
        <f t="shared" si="254"/>
        <v>0</v>
      </c>
      <c r="EC524" s="138">
        <f t="shared" si="255"/>
        <v>0</v>
      </c>
      <c r="ED524" s="137">
        <f t="shared" si="256"/>
        <v>0</v>
      </c>
      <c r="EE524" s="132">
        <f t="shared" si="257"/>
        <v>0</v>
      </c>
      <c r="EF524" s="29"/>
      <c r="EG524" s="134"/>
      <c r="EH524" s="134"/>
      <c r="EI524" s="134"/>
      <c r="EK524" s="29"/>
    </row>
    <row r="525" spans="1:141" ht="15" customHeight="1" x14ac:dyDescent="0.25">
      <c r="A525" s="87"/>
      <c r="B525" s="5"/>
      <c r="C525" s="72"/>
      <c r="D525" s="73"/>
      <c r="E525" s="73"/>
      <c r="F525" s="141"/>
      <c r="G525" s="74"/>
      <c r="H525" s="75"/>
      <c r="I525" s="76"/>
      <c r="J525" s="135"/>
      <c r="K525" s="135"/>
      <c r="L525" s="77">
        <f t="shared" si="138"/>
        <v>0</v>
      </c>
      <c r="M525" s="78"/>
      <c r="N525" s="142"/>
      <c r="O525" s="142"/>
      <c r="P525" s="77">
        <f t="shared" si="139"/>
        <v>0</v>
      </c>
      <c r="Q525" s="78"/>
      <c r="R525" s="143"/>
      <c r="S525" s="143"/>
      <c r="T525" s="77">
        <f t="shared" si="140"/>
        <v>0</v>
      </c>
      <c r="U525" s="75"/>
      <c r="V525" s="76"/>
      <c r="W525" s="135"/>
      <c r="X525" s="135"/>
      <c r="Y525" s="77">
        <f t="shared" si="141"/>
        <v>0</v>
      </c>
      <c r="Z525" s="78"/>
      <c r="AA525" s="142"/>
      <c r="AB525" s="142"/>
      <c r="AC525" s="77">
        <f t="shared" si="142"/>
        <v>0</v>
      </c>
      <c r="AD525" s="78"/>
      <c r="AE525" s="143"/>
      <c r="AF525" s="143"/>
      <c r="AG525" s="79">
        <f t="shared" si="143"/>
        <v>0</v>
      </c>
      <c r="AH525" s="75"/>
      <c r="AI525" s="76"/>
      <c r="AJ525" s="135"/>
      <c r="AK525" s="135"/>
      <c r="AL525" s="77">
        <f t="shared" si="144"/>
        <v>0</v>
      </c>
      <c r="AM525" s="76"/>
      <c r="AN525" s="142"/>
      <c r="AO525" s="142"/>
      <c r="AP525" s="77">
        <f t="shared" si="145"/>
        <v>0</v>
      </c>
      <c r="AQ525" s="78"/>
      <c r="AR525" s="142"/>
      <c r="AS525" s="142"/>
      <c r="AT525" s="79">
        <f t="shared" si="146"/>
        <v>0</v>
      </c>
      <c r="AU525" s="75"/>
      <c r="AV525" s="76"/>
      <c r="AW525" s="135"/>
      <c r="AX525" s="135"/>
      <c r="AY525" s="77">
        <f t="shared" si="147"/>
        <v>0</v>
      </c>
      <c r="AZ525" s="76"/>
      <c r="BA525" s="142"/>
      <c r="BB525" s="142"/>
      <c r="BC525" s="77">
        <f t="shared" si="148"/>
        <v>0</v>
      </c>
      <c r="BD525" s="78"/>
      <c r="BE525" s="142"/>
      <c r="BF525" s="142"/>
      <c r="BG525" s="79">
        <f t="shared" si="149"/>
        <v>0</v>
      </c>
      <c r="BH525" s="75"/>
      <c r="BI525" s="76"/>
      <c r="BJ525" s="135"/>
      <c r="BK525" s="135"/>
      <c r="BL525" s="77">
        <f t="shared" si="150"/>
        <v>0</v>
      </c>
      <c r="BM525" s="78"/>
      <c r="BN525" s="142"/>
      <c r="BO525" s="142"/>
      <c r="BP525" s="77">
        <f t="shared" si="151"/>
        <v>0</v>
      </c>
      <c r="BQ525" s="78"/>
      <c r="BR525" s="142"/>
      <c r="BS525" s="142"/>
      <c r="BT525" s="79">
        <f t="shared" si="152"/>
        <v>0</v>
      </c>
      <c r="BU525" s="75"/>
      <c r="BV525" s="76"/>
      <c r="BW525" s="135"/>
      <c r="BX525" s="135"/>
      <c r="BY525" s="77">
        <f t="shared" si="153"/>
        <v>0</v>
      </c>
      <c r="BZ525" s="78"/>
      <c r="CA525" s="142"/>
      <c r="CB525" s="142"/>
      <c r="CC525" s="77">
        <f t="shared" si="154"/>
        <v>0</v>
      </c>
      <c r="CD525" s="78"/>
      <c r="CE525" s="142"/>
      <c r="CF525" s="142"/>
      <c r="CG525" s="79">
        <f t="shared" si="155"/>
        <v>0</v>
      </c>
      <c r="CH525" s="75"/>
      <c r="CI525" s="76"/>
      <c r="CJ525" s="86"/>
      <c r="CK525" s="86"/>
      <c r="CL525" s="77">
        <f t="shared" si="156"/>
        <v>0</v>
      </c>
      <c r="CM525" s="78"/>
      <c r="CN525" s="85"/>
      <c r="CO525" s="85"/>
      <c r="CP525" s="77">
        <f t="shared" si="157"/>
        <v>0</v>
      </c>
      <c r="CQ525" s="78"/>
      <c r="CR525" s="85"/>
      <c r="CS525" s="85"/>
      <c r="CT525" s="79">
        <f t="shared" si="158"/>
        <v>0</v>
      </c>
      <c r="CU525" s="80">
        <f t="shared" si="168"/>
        <v>0</v>
      </c>
      <c r="CV525" s="81">
        <f t="shared" si="169"/>
        <v>0</v>
      </c>
      <c r="CW525" s="144"/>
      <c r="CX525" s="145">
        <f>IF(ISERROR(VLOOKUP($A525,FIJOS!$B$11:$O$590,14,FALSE)),0,VLOOKUP($A525,FIJOS!$B$11:$O$590,14,FALSE))</f>
        <v>0</v>
      </c>
      <c r="CY525" s="145">
        <f>IF(ISERROR(VLOOKUP(A525,FIJOS!$B$10:$P$590,15,FALSE)),0,VLOOKUP(A525,FIJOS!$B$10:$P$590,15,FALSE))</f>
        <v>0</v>
      </c>
      <c r="CZ525" s="155"/>
      <c r="DA525" s="147"/>
      <c r="DB525" s="147"/>
      <c r="DC525" s="147"/>
      <c r="DD525" s="147"/>
      <c r="DE525" s="147"/>
      <c r="DF525" s="145">
        <f>IF(ISERROR(VLOOKUP($A525,FIJOS!$B$11:$N$590,13,FALSE)),0,VLOOKUP($A525,FIJOS!$B$11:$N$590,13,FALSE))</f>
        <v>0</v>
      </c>
      <c r="DG525" s="145">
        <f>IF(ISERROR(VLOOKUP($A525,FIJOS!$B$11:$P$447,12,FALSE)),0,VLOOKUP($A525,FIJOS!$B$11:$P$447,12,FALSE))</f>
        <v>0</v>
      </c>
      <c r="DH525" s="82">
        <f t="shared" si="250"/>
        <v>0</v>
      </c>
      <c r="DI525" s="83" t="b">
        <f>IF($C525=1,(VLOOKUP($A525,FIJOS!$B$11:$P$545,10,FALSE)/7)*(7-$CU525),IF(AND($C525=2,CV525&lt;$DJ$1),(VLOOKUP($D525,HORAS!$B$4:$C$42,2,FALSE)*24)*$CV525,IF(AND($C525=2,CV525&gt;=$DJ$1),VLOOKUP($D525,HORAS!$B$4:$D$42,3,FALSE),IF(AND($C525=3,$CV525&gt;=$DJ$1),VLOOKUP($A525,FIJOS!$B$11:$P$545,10,FALSE),IF(AND($C525=3,$CV525&lt;$DJ$1),((VLOOKUP($A525,FIJOS!$B$11:$P$545,10,FALSE)/48)*24)*$CV525,IF(AND($C525=4,$CV525&gt;=(42/24)),VLOOKUP($D525,HORAS!$B$4:$D$42,3,FALSE),IF(AND($C525=5,$CV525&gt;=(36/24)),VLOOKUP($D525,HORAS!$B$4:$D$42,3,FALSE))))))))</f>
        <v>0</v>
      </c>
      <c r="DJ525" s="145">
        <f>IF(OR($C525=2),VLOOKUP($D525,HORAS!$B$4:$E$42,4,FALSE)*$EC525,IF(ISERROR(VLOOKUP($A525,FIJOS!$B$11:$P$108,9,FALSE)),0,VLOOKUP($A525,FIJOS!$B$11:$P$231,9,FALSE)*$EC525))</f>
        <v>0</v>
      </c>
      <c r="DK525" s="145">
        <f>IF(OR($C525=2),VLOOKUP($D525,HORAS!$B$4:$F$42,5,FALSE)*$EE525,IF(ISERROR(VLOOKUP($A525,FIJOS!$B$11:$P$108,9,FALSE)),0,VLOOKUP($A525,FIJOS!$B$11:$P$231,9,FALSE)*$EE525))</f>
        <v>0</v>
      </c>
      <c r="DL525" s="144"/>
      <c r="DM525" s="145">
        <f>IF(ISERROR(VLOOKUP($A525,FIJOS!$B$11:$L$646,11,FALSE)),0,VLOOKUP($A525,FIJOS!$B$11:$L$646,11,FALSE))</f>
        <v>0</v>
      </c>
      <c r="DN525" s="148" t="e">
        <f>IF(OR($C525=1,$C525=3),0,IF((VLOOKUP(CAPTURA!D525,HORAS!$B$4:$K$42,10,FALSE)/4)*COUNTIF($H525:$CT525,3)&gt;100,100,(VLOOKUP(CAPTURA!D525,HORAS!$B$4:$K$42,10,FALSE)/4)*COUNTIF($H525:$CT525,3)))</f>
        <v>#N/A</v>
      </c>
      <c r="DO525" s="144" t="e">
        <f>IF(OR($C525=1,$C525=3),0,IF($C525=5,VLOOKUP(D525,HORAS!$B$4:$G$42,6,FALSE),IF(AND($C525=4,$CV525&gt;=(42/24)),VLOOKUP(D525,HORAS!$B$4:$G$42,6,FALSE),IF(COUNTIF($H525:$CL525,"F")&gt;0,0,IF(CV525&gt;$DJ$1,$DJ$1*(VLOOKUP(D525,HORAS!$B$4:$G$42,6,FALSE)/$DJ$1),CV525*(VLOOKUP(D525,HORAS!$B$4:$G$42,6,FALSE)/$DJ$1))))))</f>
        <v>#N/A</v>
      </c>
      <c r="DP525" s="156"/>
      <c r="DQ525" s="148"/>
      <c r="DR525" s="148"/>
      <c r="DS525" s="83" t="e">
        <f t="shared" si="162"/>
        <v>#N/A</v>
      </c>
      <c r="DT525" s="84"/>
      <c r="DU525" s="149" t="e">
        <f t="shared" si="251"/>
        <v>#N/A</v>
      </c>
      <c r="DV525" s="149" t="e">
        <f t="shared" si="252"/>
        <v>#N/A</v>
      </c>
      <c r="DW525" s="144" t="e">
        <f t="shared" si="253"/>
        <v>#N/A</v>
      </c>
      <c r="DX525" s="168"/>
      <c r="DY525" s="29"/>
      <c r="DZ525" s="150"/>
      <c r="EA525" s="134"/>
      <c r="EB525" s="137">
        <f t="shared" si="254"/>
        <v>0</v>
      </c>
      <c r="EC525" s="138">
        <f t="shared" si="255"/>
        <v>0</v>
      </c>
      <c r="ED525" s="137">
        <f t="shared" si="256"/>
        <v>0</v>
      </c>
      <c r="EE525" s="132">
        <f t="shared" si="257"/>
        <v>0</v>
      </c>
      <c r="EF525" s="29"/>
      <c r="EG525" s="134"/>
      <c r="EH525" s="134"/>
      <c r="EI525" s="134"/>
      <c r="EK525" s="29"/>
    </row>
    <row r="526" spans="1:141" ht="15" customHeight="1" x14ac:dyDescent="0.25">
      <c r="A526" s="87"/>
      <c r="B526" s="5"/>
      <c r="C526" s="72"/>
      <c r="D526" s="73"/>
      <c r="E526" s="73"/>
      <c r="F526" s="141"/>
      <c r="G526" s="74"/>
      <c r="H526" s="75"/>
      <c r="I526" s="76"/>
      <c r="J526" s="135"/>
      <c r="K526" s="135"/>
      <c r="L526" s="77">
        <f t="shared" si="138"/>
        <v>0</v>
      </c>
      <c r="M526" s="78"/>
      <c r="N526" s="142"/>
      <c r="O526" s="142"/>
      <c r="P526" s="77">
        <f t="shared" si="139"/>
        <v>0</v>
      </c>
      <c r="Q526" s="78"/>
      <c r="R526" s="143"/>
      <c r="S526" s="143"/>
      <c r="T526" s="77">
        <f t="shared" si="140"/>
        <v>0</v>
      </c>
      <c r="U526" s="75"/>
      <c r="V526" s="76"/>
      <c r="W526" s="135"/>
      <c r="X526" s="135"/>
      <c r="Y526" s="77">
        <f t="shared" si="141"/>
        <v>0</v>
      </c>
      <c r="Z526" s="78"/>
      <c r="AA526" s="142"/>
      <c r="AB526" s="142"/>
      <c r="AC526" s="77">
        <f t="shared" si="142"/>
        <v>0</v>
      </c>
      <c r="AD526" s="78"/>
      <c r="AE526" s="143"/>
      <c r="AF526" s="143"/>
      <c r="AG526" s="79">
        <f t="shared" si="143"/>
        <v>0</v>
      </c>
      <c r="AH526" s="75"/>
      <c r="AI526" s="76"/>
      <c r="AJ526" s="135"/>
      <c r="AK526" s="135"/>
      <c r="AL526" s="77">
        <f t="shared" si="144"/>
        <v>0</v>
      </c>
      <c r="AM526" s="76"/>
      <c r="AN526" s="142"/>
      <c r="AO526" s="142"/>
      <c r="AP526" s="77">
        <f t="shared" si="145"/>
        <v>0</v>
      </c>
      <c r="AQ526" s="78"/>
      <c r="AR526" s="142"/>
      <c r="AS526" s="142"/>
      <c r="AT526" s="79">
        <f t="shared" si="146"/>
        <v>0</v>
      </c>
      <c r="AU526" s="75"/>
      <c r="AV526" s="76"/>
      <c r="AW526" s="135"/>
      <c r="AX526" s="135"/>
      <c r="AY526" s="77">
        <f t="shared" si="147"/>
        <v>0</v>
      </c>
      <c r="AZ526" s="76"/>
      <c r="BA526" s="142"/>
      <c r="BB526" s="142"/>
      <c r="BC526" s="77">
        <f t="shared" si="148"/>
        <v>0</v>
      </c>
      <c r="BD526" s="78"/>
      <c r="BE526" s="142"/>
      <c r="BF526" s="142"/>
      <c r="BG526" s="79">
        <f t="shared" si="149"/>
        <v>0</v>
      </c>
      <c r="BH526" s="75"/>
      <c r="BI526" s="76"/>
      <c r="BJ526" s="135"/>
      <c r="BK526" s="135"/>
      <c r="BL526" s="77">
        <f t="shared" si="150"/>
        <v>0</v>
      </c>
      <c r="BM526" s="78"/>
      <c r="BN526" s="142"/>
      <c r="BO526" s="142"/>
      <c r="BP526" s="77">
        <f t="shared" si="151"/>
        <v>0</v>
      </c>
      <c r="BQ526" s="78"/>
      <c r="BR526" s="142"/>
      <c r="BS526" s="142"/>
      <c r="BT526" s="79">
        <f t="shared" si="152"/>
        <v>0</v>
      </c>
      <c r="BU526" s="75"/>
      <c r="BV526" s="76"/>
      <c r="BW526" s="135"/>
      <c r="BX526" s="135"/>
      <c r="BY526" s="77">
        <f t="shared" si="153"/>
        <v>0</v>
      </c>
      <c r="BZ526" s="78"/>
      <c r="CA526" s="142"/>
      <c r="CB526" s="142"/>
      <c r="CC526" s="77">
        <f t="shared" si="154"/>
        <v>0</v>
      </c>
      <c r="CD526" s="78"/>
      <c r="CE526" s="142"/>
      <c r="CF526" s="142"/>
      <c r="CG526" s="79">
        <f t="shared" si="155"/>
        <v>0</v>
      </c>
      <c r="CH526" s="75"/>
      <c r="CI526" s="76"/>
      <c r="CJ526" s="86"/>
      <c r="CK526" s="86"/>
      <c r="CL526" s="77">
        <f t="shared" si="156"/>
        <v>0</v>
      </c>
      <c r="CM526" s="78"/>
      <c r="CN526" s="85"/>
      <c r="CO526" s="85"/>
      <c r="CP526" s="77">
        <f t="shared" si="157"/>
        <v>0</v>
      </c>
      <c r="CQ526" s="78"/>
      <c r="CR526" s="85"/>
      <c r="CS526" s="85"/>
      <c r="CT526" s="79">
        <f t="shared" si="158"/>
        <v>0</v>
      </c>
      <c r="CU526" s="80">
        <f t="shared" si="168"/>
        <v>0</v>
      </c>
      <c r="CV526" s="81">
        <f t="shared" si="169"/>
        <v>0</v>
      </c>
      <c r="CW526" s="144"/>
      <c r="CX526" s="145">
        <f>IF(ISERROR(VLOOKUP($A526,FIJOS!$B$11:$O$590,14,FALSE)),0,VLOOKUP($A526,FIJOS!$B$11:$O$590,14,FALSE))</f>
        <v>0</v>
      </c>
      <c r="CY526" s="145">
        <f>IF(ISERROR(VLOOKUP(A526,FIJOS!$B$10:$P$590,15,FALSE)),0,VLOOKUP(A526,FIJOS!$B$10:$P$590,15,FALSE))</f>
        <v>0</v>
      </c>
      <c r="CZ526" s="155"/>
      <c r="DA526" s="147"/>
      <c r="DB526" s="147"/>
      <c r="DC526" s="147"/>
      <c r="DD526" s="147"/>
      <c r="DE526" s="147"/>
      <c r="DF526" s="145">
        <f>IF(ISERROR(VLOOKUP($A526,FIJOS!$B$11:$N$590,13,FALSE)),0,VLOOKUP($A526,FIJOS!$B$11:$N$590,13,FALSE))</f>
        <v>0</v>
      </c>
      <c r="DG526" s="145">
        <f>IF(ISERROR(VLOOKUP($A526,FIJOS!$B$11:$P$447,12,FALSE)),0,VLOOKUP($A526,FIJOS!$B$11:$P$447,12,FALSE))</f>
        <v>0</v>
      </c>
      <c r="DH526" s="82">
        <f t="shared" si="250"/>
        <v>0</v>
      </c>
      <c r="DI526" s="83" t="b">
        <f>IF($C526=1,(VLOOKUP($A526,FIJOS!$B$11:$P$545,10,FALSE)/7)*(7-$CU526),IF(AND($C526=2,CV526&lt;$DJ$1),(VLOOKUP($D526,HORAS!$B$4:$C$42,2,FALSE)*24)*$CV526,IF(AND($C526=2,CV526&gt;=$DJ$1),VLOOKUP($D526,HORAS!$B$4:$D$42,3,FALSE),IF(AND($C526=3,$CV526&gt;=$DJ$1),VLOOKUP($A526,FIJOS!$B$11:$P$545,10,FALSE),IF(AND($C526=3,$CV526&lt;$DJ$1),((VLOOKUP($A526,FIJOS!$B$11:$P$545,10,FALSE)/48)*24)*$CV526,IF(AND($C526=4,$CV526&gt;=(42/24)),VLOOKUP($D526,HORAS!$B$4:$D$42,3,FALSE),IF(AND($C526=5,$CV526&gt;=(36/24)),VLOOKUP($D526,HORAS!$B$4:$D$42,3,FALSE))))))))</f>
        <v>0</v>
      </c>
      <c r="DJ526" s="145">
        <f>IF(OR($C526=2),VLOOKUP($D526,HORAS!$B$4:$E$42,4,FALSE)*$EC526,IF(ISERROR(VLOOKUP($A526,FIJOS!$B$11:$P$108,9,FALSE)),0,VLOOKUP($A526,FIJOS!$B$11:$P$231,9,FALSE)*$EC526))</f>
        <v>0</v>
      </c>
      <c r="DK526" s="145">
        <f>IF(OR($C526=2),VLOOKUP($D526,HORAS!$B$4:$F$42,5,FALSE)*$EE526,IF(ISERROR(VLOOKUP($A526,FIJOS!$B$11:$P$108,9,FALSE)),0,VLOOKUP($A526,FIJOS!$B$11:$P$231,9,FALSE)*$EE526))</f>
        <v>0</v>
      </c>
      <c r="DL526" s="144"/>
      <c r="DM526" s="145">
        <f>IF(ISERROR(VLOOKUP($A526,FIJOS!$B$11:$L$646,11,FALSE)),0,VLOOKUP($A526,FIJOS!$B$11:$L$646,11,FALSE))</f>
        <v>0</v>
      </c>
      <c r="DN526" s="148" t="e">
        <f>IF(OR($C526=1,$C526=3),0,IF((VLOOKUP(CAPTURA!D526,HORAS!$B$4:$K$42,10,FALSE)/4)*COUNTIF($H526:$CT526,3)&gt;100,100,(VLOOKUP(CAPTURA!D526,HORAS!$B$4:$K$42,10,FALSE)/4)*COUNTIF($H526:$CT526,3)))</f>
        <v>#N/A</v>
      </c>
      <c r="DO526" s="144" t="e">
        <f>IF(OR($C526=1,$C526=3),0,IF($C526=5,VLOOKUP(D526,HORAS!$B$4:$G$42,6,FALSE),IF(AND($C526=4,$CV526&gt;=(42/24)),VLOOKUP(D526,HORAS!$B$4:$G$42,6,FALSE),IF(COUNTIF($H526:$CL526,"F")&gt;0,0,IF(CV526&gt;$DJ$1,$DJ$1*(VLOOKUP(D526,HORAS!$B$4:$G$42,6,FALSE)/$DJ$1),CV526*(VLOOKUP(D526,HORAS!$B$4:$G$42,6,FALSE)/$DJ$1))))))</f>
        <v>#N/A</v>
      </c>
      <c r="DP526" s="156"/>
      <c r="DQ526" s="148"/>
      <c r="DR526" s="148"/>
      <c r="DS526" s="83" t="e">
        <f t="shared" si="162"/>
        <v>#N/A</v>
      </c>
      <c r="DT526" s="84"/>
      <c r="DU526" s="149" t="e">
        <f t="shared" si="251"/>
        <v>#N/A</v>
      </c>
      <c r="DV526" s="149" t="e">
        <f t="shared" si="252"/>
        <v>#N/A</v>
      </c>
      <c r="DW526" s="144" t="e">
        <f t="shared" si="253"/>
        <v>#N/A</v>
      </c>
      <c r="DX526" s="168"/>
      <c r="DY526" s="29"/>
      <c r="DZ526" s="150"/>
      <c r="EA526" s="134"/>
      <c r="EB526" s="137">
        <f t="shared" si="254"/>
        <v>0</v>
      </c>
      <c r="EC526" s="138">
        <f t="shared" si="255"/>
        <v>0</v>
      </c>
      <c r="ED526" s="137">
        <f t="shared" si="256"/>
        <v>0</v>
      </c>
      <c r="EE526" s="132">
        <f t="shared" si="257"/>
        <v>0</v>
      </c>
      <c r="EF526" s="29"/>
      <c r="EG526" s="134"/>
      <c r="EH526" s="134"/>
      <c r="EI526" s="134"/>
      <c r="EK526" s="29"/>
    </row>
    <row r="527" spans="1:141" ht="15" customHeight="1" x14ac:dyDescent="0.25">
      <c r="A527" s="87"/>
      <c r="B527" s="5"/>
      <c r="C527" s="72"/>
      <c r="D527" s="73"/>
      <c r="E527" s="73"/>
      <c r="F527" s="141"/>
      <c r="G527" s="74"/>
      <c r="H527" s="75"/>
      <c r="I527" s="76"/>
      <c r="J527" s="135"/>
      <c r="K527" s="135"/>
      <c r="L527" s="77">
        <f t="shared" si="138"/>
        <v>0</v>
      </c>
      <c r="M527" s="78"/>
      <c r="N527" s="142"/>
      <c r="O527" s="142"/>
      <c r="P527" s="77">
        <f t="shared" si="139"/>
        <v>0</v>
      </c>
      <c r="Q527" s="78"/>
      <c r="R527" s="143"/>
      <c r="S527" s="143"/>
      <c r="T527" s="77">
        <f t="shared" si="140"/>
        <v>0</v>
      </c>
      <c r="U527" s="75"/>
      <c r="V527" s="76"/>
      <c r="W527" s="135"/>
      <c r="X527" s="135"/>
      <c r="Y527" s="77">
        <f t="shared" si="141"/>
        <v>0</v>
      </c>
      <c r="Z527" s="78"/>
      <c r="AA527" s="142"/>
      <c r="AB527" s="142"/>
      <c r="AC527" s="77">
        <f t="shared" si="142"/>
        <v>0</v>
      </c>
      <c r="AD527" s="78"/>
      <c r="AE527" s="143"/>
      <c r="AF527" s="143"/>
      <c r="AG527" s="79">
        <f t="shared" si="143"/>
        <v>0</v>
      </c>
      <c r="AH527" s="75"/>
      <c r="AI527" s="76"/>
      <c r="AJ527" s="135"/>
      <c r="AK527" s="135"/>
      <c r="AL527" s="77">
        <f t="shared" si="144"/>
        <v>0</v>
      </c>
      <c r="AM527" s="76"/>
      <c r="AN527" s="142"/>
      <c r="AO527" s="142"/>
      <c r="AP527" s="77">
        <f t="shared" si="145"/>
        <v>0</v>
      </c>
      <c r="AQ527" s="78"/>
      <c r="AR527" s="142"/>
      <c r="AS527" s="142"/>
      <c r="AT527" s="79">
        <f t="shared" si="146"/>
        <v>0</v>
      </c>
      <c r="AU527" s="75"/>
      <c r="AV527" s="76"/>
      <c r="AW527" s="135"/>
      <c r="AX527" s="135"/>
      <c r="AY527" s="77">
        <f t="shared" si="147"/>
        <v>0</v>
      </c>
      <c r="AZ527" s="76"/>
      <c r="BA527" s="142"/>
      <c r="BB527" s="142"/>
      <c r="BC527" s="77">
        <f t="shared" si="148"/>
        <v>0</v>
      </c>
      <c r="BD527" s="78"/>
      <c r="BE527" s="142"/>
      <c r="BF527" s="142"/>
      <c r="BG527" s="79">
        <f t="shared" si="149"/>
        <v>0</v>
      </c>
      <c r="BH527" s="75"/>
      <c r="BI527" s="76"/>
      <c r="BJ527" s="135"/>
      <c r="BK527" s="135"/>
      <c r="BL527" s="77">
        <f t="shared" si="150"/>
        <v>0</v>
      </c>
      <c r="BM527" s="78"/>
      <c r="BN527" s="142"/>
      <c r="BO527" s="142"/>
      <c r="BP527" s="77">
        <f t="shared" si="151"/>
        <v>0</v>
      </c>
      <c r="BQ527" s="78"/>
      <c r="BR527" s="142"/>
      <c r="BS527" s="142"/>
      <c r="BT527" s="79">
        <f t="shared" si="152"/>
        <v>0</v>
      </c>
      <c r="BU527" s="75"/>
      <c r="BV527" s="76"/>
      <c r="BW527" s="135"/>
      <c r="BX527" s="135"/>
      <c r="BY527" s="77">
        <f t="shared" si="153"/>
        <v>0</v>
      </c>
      <c r="BZ527" s="78"/>
      <c r="CA527" s="142"/>
      <c r="CB527" s="142"/>
      <c r="CC527" s="77">
        <f t="shared" si="154"/>
        <v>0</v>
      </c>
      <c r="CD527" s="78"/>
      <c r="CE527" s="142"/>
      <c r="CF527" s="142"/>
      <c r="CG527" s="79">
        <f t="shared" si="155"/>
        <v>0</v>
      </c>
      <c r="CH527" s="75"/>
      <c r="CI527" s="76"/>
      <c r="CJ527" s="86"/>
      <c r="CK527" s="86"/>
      <c r="CL527" s="77">
        <f t="shared" si="156"/>
        <v>0</v>
      </c>
      <c r="CM527" s="78"/>
      <c r="CN527" s="85"/>
      <c r="CO527" s="85"/>
      <c r="CP527" s="77">
        <f t="shared" si="157"/>
        <v>0</v>
      </c>
      <c r="CQ527" s="78"/>
      <c r="CR527" s="85"/>
      <c r="CS527" s="85"/>
      <c r="CT527" s="79">
        <f t="shared" si="158"/>
        <v>0</v>
      </c>
      <c r="CU527" s="80">
        <f t="shared" si="168"/>
        <v>0</v>
      </c>
      <c r="CV527" s="81">
        <f t="shared" si="169"/>
        <v>0</v>
      </c>
      <c r="CW527" s="144"/>
      <c r="CX527" s="145">
        <f>IF(ISERROR(VLOOKUP($A527,FIJOS!$B$11:$O$590,14,FALSE)),0,VLOOKUP($A527,FIJOS!$B$11:$O$590,14,FALSE))</f>
        <v>0</v>
      </c>
      <c r="CY527" s="145">
        <f>IF(ISERROR(VLOOKUP(A527,FIJOS!$B$10:$P$590,15,FALSE)),0,VLOOKUP(A527,FIJOS!$B$10:$P$590,15,FALSE))</f>
        <v>0</v>
      </c>
      <c r="CZ527" s="155"/>
      <c r="DA527" s="147"/>
      <c r="DB527" s="147"/>
      <c r="DC527" s="147"/>
      <c r="DD527" s="147"/>
      <c r="DE527" s="147"/>
      <c r="DF527" s="145">
        <f>IF(ISERROR(VLOOKUP($A527,FIJOS!$B$11:$N$590,13,FALSE)),0,VLOOKUP($A527,FIJOS!$B$11:$N$590,13,FALSE))</f>
        <v>0</v>
      </c>
      <c r="DG527" s="145">
        <f>IF(ISERROR(VLOOKUP($A527,FIJOS!$B$11:$P$447,12,FALSE)),0,VLOOKUP($A527,FIJOS!$B$11:$P$447,12,FALSE))</f>
        <v>0</v>
      </c>
      <c r="DH527" s="82">
        <f t="shared" si="250"/>
        <v>0</v>
      </c>
      <c r="DI527" s="83" t="b">
        <f>IF($C527=1,(VLOOKUP($A527,FIJOS!$B$11:$P$545,10,FALSE)/7)*(7-$CU527),IF(AND($C527=2,CV527&lt;$DJ$1),(VLOOKUP($D527,HORAS!$B$4:$C$42,2,FALSE)*24)*$CV527,IF(AND($C527=2,CV527&gt;=$DJ$1),VLOOKUP($D527,HORAS!$B$4:$D$42,3,FALSE),IF(AND($C527=3,$CV527&gt;=$DJ$1),VLOOKUP($A527,FIJOS!$B$11:$P$545,10,FALSE),IF(AND($C527=3,$CV527&lt;$DJ$1),((VLOOKUP($A527,FIJOS!$B$11:$P$545,10,FALSE)/48)*24)*$CV527,IF(AND($C527=4,$CV527&gt;=(42/24)),VLOOKUP($D527,HORAS!$B$4:$D$42,3,FALSE),IF(AND($C527=5,$CV527&gt;=(36/24)),VLOOKUP($D527,HORAS!$B$4:$D$42,3,FALSE))))))))</f>
        <v>0</v>
      </c>
      <c r="DJ527" s="145">
        <f>IF(OR($C527=2),VLOOKUP($D527,HORAS!$B$4:$E$42,4,FALSE)*$EC527,IF(ISERROR(VLOOKUP($A527,FIJOS!$B$11:$P$108,9,FALSE)),0,VLOOKUP($A527,FIJOS!$B$11:$P$231,9,FALSE)*$EC527))</f>
        <v>0</v>
      </c>
      <c r="DK527" s="145">
        <f>IF(OR($C527=2),VLOOKUP($D527,HORAS!$B$4:$F$42,5,FALSE)*$EE527,IF(ISERROR(VLOOKUP($A527,FIJOS!$B$11:$P$108,9,FALSE)),0,VLOOKUP($A527,FIJOS!$B$11:$P$231,9,FALSE)*$EE527))</f>
        <v>0</v>
      </c>
      <c r="DL527" s="144"/>
      <c r="DM527" s="145">
        <f>IF(ISERROR(VLOOKUP($A527,FIJOS!$B$11:$L$646,11,FALSE)),0,VLOOKUP($A527,FIJOS!$B$11:$L$646,11,FALSE))</f>
        <v>0</v>
      </c>
      <c r="DN527" s="148" t="e">
        <f>IF(OR($C527=1,$C527=3),0,IF((VLOOKUP(CAPTURA!D527,HORAS!$B$4:$K$42,10,FALSE)/4)*COUNTIF($H527:$CT527,3)&gt;100,100,(VLOOKUP(CAPTURA!D527,HORAS!$B$4:$K$42,10,FALSE)/4)*COUNTIF($H527:$CT527,3)))</f>
        <v>#N/A</v>
      </c>
      <c r="DO527" s="144" t="e">
        <f>IF(OR($C527=1,$C527=3),0,IF($C527=5,VLOOKUP(D527,HORAS!$B$4:$G$42,6,FALSE),IF(AND($C527=4,$CV527&gt;=(42/24)),VLOOKUP(D527,HORAS!$B$4:$G$42,6,FALSE),IF(COUNTIF($H527:$CL527,"F")&gt;0,0,IF(CV527&gt;$DJ$1,$DJ$1*(VLOOKUP(D527,HORAS!$B$4:$G$42,6,FALSE)/$DJ$1),CV527*(VLOOKUP(D527,HORAS!$B$4:$G$42,6,FALSE)/$DJ$1))))))</f>
        <v>#N/A</v>
      </c>
      <c r="DP527" s="156"/>
      <c r="DQ527" s="148"/>
      <c r="DR527" s="148"/>
      <c r="DS527" s="83" t="e">
        <f t="shared" si="162"/>
        <v>#N/A</v>
      </c>
      <c r="DT527" s="84"/>
      <c r="DU527" s="149" t="e">
        <f t="shared" si="251"/>
        <v>#N/A</v>
      </c>
      <c r="DV527" s="149" t="e">
        <f t="shared" si="252"/>
        <v>#N/A</v>
      </c>
      <c r="DW527" s="144" t="e">
        <f t="shared" si="253"/>
        <v>#N/A</v>
      </c>
      <c r="DX527" s="168"/>
      <c r="DY527" s="29"/>
      <c r="DZ527" s="150"/>
      <c r="EA527" s="134"/>
      <c r="EB527" s="137">
        <f t="shared" si="254"/>
        <v>0</v>
      </c>
      <c r="EC527" s="138">
        <f t="shared" si="255"/>
        <v>0</v>
      </c>
      <c r="ED527" s="137">
        <f t="shared" si="256"/>
        <v>0</v>
      </c>
      <c r="EE527" s="132">
        <f t="shared" si="257"/>
        <v>0</v>
      </c>
      <c r="EF527" s="29"/>
      <c r="EG527" s="134"/>
      <c r="EH527" s="134"/>
      <c r="EI527" s="134"/>
      <c r="EK527" s="29"/>
    </row>
    <row r="528" spans="1:141" ht="15" customHeight="1" x14ac:dyDescent="0.25">
      <c r="A528" s="87"/>
      <c r="B528" s="5"/>
      <c r="C528" s="72"/>
      <c r="D528" s="73"/>
      <c r="E528" s="73"/>
      <c r="F528" s="141"/>
      <c r="G528" s="74"/>
      <c r="H528" s="75"/>
      <c r="I528" s="76"/>
      <c r="J528" s="135"/>
      <c r="K528" s="135"/>
      <c r="L528" s="77">
        <f t="shared" si="138"/>
        <v>0</v>
      </c>
      <c r="M528" s="78"/>
      <c r="N528" s="142"/>
      <c r="O528" s="142"/>
      <c r="P528" s="77">
        <f t="shared" si="139"/>
        <v>0</v>
      </c>
      <c r="Q528" s="78"/>
      <c r="R528" s="143"/>
      <c r="S528" s="143"/>
      <c r="T528" s="77">
        <f t="shared" si="140"/>
        <v>0</v>
      </c>
      <c r="U528" s="75"/>
      <c r="V528" s="76"/>
      <c r="W528" s="135"/>
      <c r="X528" s="135"/>
      <c r="Y528" s="77">
        <f t="shared" si="141"/>
        <v>0</v>
      </c>
      <c r="Z528" s="78"/>
      <c r="AA528" s="142"/>
      <c r="AB528" s="142"/>
      <c r="AC528" s="77">
        <f t="shared" si="142"/>
        <v>0</v>
      </c>
      <c r="AD528" s="78"/>
      <c r="AE528" s="143"/>
      <c r="AF528" s="143"/>
      <c r="AG528" s="79">
        <f t="shared" si="143"/>
        <v>0</v>
      </c>
      <c r="AH528" s="75"/>
      <c r="AI528" s="76"/>
      <c r="AJ528" s="135"/>
      <c r="AK528" s="135"/>
      <c r="AL528" s="77">
        <f t="shared" si="144"/>
        <v>0</v>
      </c>
      <c r="AM528" s="76"/>
      <c r="AN528" s="142"/>
      <c r="AO528" s="142"/>
      <c r="AP528" s="77">
        <f t="shared" si="145"/>
        <v>0</v>
      </c>
      <c r="AQ528" s="78"/>
      <c r="AR528" s="142"/>
      <c r="AS528" s="142"/>
      <c r="AT528" s="79">
        <f t="shared" si="146"/>
        <v>0</v>
      </c>
      <c r="AU528" s="75"/>
      <c r="AV528" s="76"/>
      <c r="AW528" s="135"/>
      <c r="AX528" s="135"/>
      <c r="AY528" s="77">
        <f t="shared" si="147"/>
        <v>0</v>
      </c>
      <c r="AZ528" s="76"/>
      <c r="BA528" s="142"/>
      <c r="BB528" s="142"/>
      <c r="BC528" s="77">
        <f t="shared" si="148"/>
        <v>0</v>
      </c>
      <c r="BD528" s="78"/>
      <c r="BE528" s="142"/>
      <c r="BF528" s="142"/>
      <c r="BG528" s="79">
        <f t="shared" si="149"/>
        <v>0</v>
      </c>
      <c r="BH528" s="75"/>
      <c r="BI528" s="76"/>
      <c r="BJ528" s="135"/>
      <c r="BK528" s="135"/>
      <c r="BL528" s="77">
        <f t="shared" si="150"/>
        <v>0</v>
      </c>
      <c r="BM528" s="78"/>
      <c r="BN528" s="142"/>
      <c r="BO528" s="142"/>
      <c r="BP528" s="77">
        <f t="shared" si="151"/>
        <v>0</v>
      </c>
      <c r="BQ528" s="78"/>
      <c r="BR528" s="142"/>
      <c r="BS528" s="142"/>
      <c r="BT528" s="79">
        <f t="shared" si="152"/>
        <v>0</v>
      </c>
      <c r="BU528" s="75"/>
      <c r="BV528" s="76"/>
      <c r="BW528" s="135"/>
      <c r="BX528" s="135"/>
      <c r="BY528" s="77">
        <f t="shared" si="153"/>
        <v>0</v>
      </c>
      <c r="BZ528" s="78"/>
      <c r="CA528" s="142"/>
      <c r="CB528" s="142"/>
      <c r="CC528" s="77">
        <f t="shared" si="154"/>
        <v>0</v>
      </c>
      <c r="CD528" s="78"/>
      <c r="CE528" s="142"/>
      <c r="CF528" s="142"/>
      <c r="CG528" s="79">
        <f t="shared" si="155"/>
        <v>0</v>
      </c>
      <c r="CH528" s="75"/>
      <c r="CI528" s="76"/>
      <c r="CJ528" s="86"/>
      <c r="CK528" s="86"/>
      <c r="CL528" s="77">
        <f t="shared" si="156"/>
        <v>0</v>
      </c>
      <c r="CM528" s="78"/>
      <c r="CN528" s="85"/>
      <c r="CO528" s="85"/>
      <c r="CP528" s="77">
        <f t="shared" si="157"/>
        <v>0</v>
      </c>
      <c r="CQ528" s="78"/>
      <c r="CR528" s="85"/>
      <c r="CS528" s="85"/>
      <c r="CT528" s="79">
        <f t="shared" si="158"/>
        <v>0</v>
      </c>
      <c r="CU528" s="80">
        <f t="shared" si="168"/>
        <v>0</v>
      </c>
      <c r="CV528" s="81">
        <f t="shared" si="169"/>
        <v>0</v>
      </c>
      <c r="CW528" s="144"/>
      <c r="CX528" s="145">
        <f>IF(ISERROR(VLOOKUP($A528,FIJOS!$B$11:$O$590,14,FALSE)),0,VLOOKUP($A528,FIJOS!$B$11:$O$590,14,FALSE))</f>
        <v>0</v>
      </c>
      <c r="CY528" s="145">
        <f>IF(ISERROR(VLOOKUP(A528,FIJOS!$B$10:$P$590,15,FALSE)),0,VLOOKUP(A528,FIJOS!$B$10:$P$590,15,FALSE))</f>
        <v>0</v>
      </c>
      <c r="CZ528" s="155"/>
      <c r="DA528" s="147"/>
      <c r="DB528" s="147"/>
      <c r="DC528" s="147"/>
      <c r="DD528" s="147"/>
      <c r="DE528" s="147"/>
      <c r="DF528" s="145">
        <f>IF(ISERROR(VLOOKUP($A528,FIJOS!$B$11:$N$590,13,FALSE)),0,VLOOKUP($A528,FIJOS!$B$11:$N$590,13,FALSE))</f>
        <v>0</v>
      </c>
      <c r="DG528" s="145">
        <f>IF(ISERROR(VLOOKUP($A528,FIJOS!$B$11:$P$447,12,FALSE)),0,VLOOKUP($A528,FIJOS!$B$11:$P$447,12,FALSE))</f>
        <v>0</v>
      </c>
      <c r="DH528" s="82">
        <f t="shared" si="250"/>
        <v>0</v>
      </c>
      <c r="DI528" s="83" t="b">
        <f>IF($C528=1,(VLOOKUP($A528,FIJOS!$B$11:$P$545,10,FALSE)/7)*(7-$CU528),IF(AND($C528=2,CV528&lt;$DJ$1),(VLOOKUP($D528,HORAS!$B$4:$C$42,2,FALSE)*24)*$CV528,IF(AND($C528=2,CV528&gt;=$DJ$1),VLOOKUP($D528,HORAS!$B$4:$D$42,3,FALSE),IF(AND($C528=3,$CV528&gt;=$DJ$1),VLOOKUP($A528,FIJOS!$B$11:$P$545,10,FALSE),IF(AND($C528=3,$CV528&lt;$DJ$1),((VLOOKUP($A528,FIJOS!$B$11:$P$545,10,FALSE)/48)*24)*$CV528,IF(AND($C528=4,$CV528&gt;=(42/24)),VLOOKUP($D528,HORAS!$B$4:$D$42,3,FALSE),IF(AND($C528=5,$CV528&gt;=(36/24)),VLOOKUP($D528,HORAS!$B$4:$D$42,3,FALSE))))))))</f>
        <v>0</v>
      </c>
      <c r="DJ528" s="145">
        <f>IF(OR($C528=2),VLOOKUP($D528,HORAS!$B$4:$E$42,4,FALSE)*$EC528,IF(ISERROR(VLOOKUP($A528,FIJOS!$B$11:$P$108,9,FALSE)),0,VLOOKUP($A528,FIJOS!$B$11:$P$231,9,FALSE)*$EC528))</f>
        <v>0</v>
      </c>
      <c r="DK528" s="145">
        <f>IF(OR($C528=2),VLOOKUP($D528,HORAS!$B$4:$F$42,5,FALSE)*$EE528,IF(ISERROR(VLOOKUP($A528,FIJOS!$B$11:$P$108,9,FALSE)),0,VLOOKUP($A528,FIJOS!$B$11:$P$231,9,FALSE)*$EE528))</f>
        <v>0</v>
      </c>
      <c r="DL528" s="144"/>
      <c r="DM528" s="145">
        <f>IF(ISERROR(VLOOKUP($A528,FIJOS!$B$11:$L$646,11,FALSE)),0,VLOOKUP($A528,FIJOS!$B$11:$L$646,11,FALSE))</f>
        <v>0</v>
      </c>
      <c r="DN528" s="148" t="e">
        <f>IF(OR($C528=1,$C528=3),0,IF((VLOOKUP(CAPTURA!D528,HORAS!$B$4:$K$42,10,FALSE)/4)*COUNTIF($H528:$CT528,3)&gt;100,100,(VLOOKUP(CAPTURA!D528,HORAS!$B$4:$K$42,10,FALSE)/4)*COUNTIF($H528:$CT528,3)))</f>
        <v>#N/A</v>
      </c>
      <c r="DO528" s="144" t="e">
        <f>IF(OR($C528=1,$C528=3),0,IF($C528=5,VLOOKUP(D528,HORAS!$B$4:$G$42,6,FALSE),IF(AND($C528=4,$CV528&gt;=(42/24)),VLOOKUP(D528,HORAS!$B$4:$G$42,6,FALSE),IF(COUNTIF($H528:$CL528,"F")&gt;0,0,IF(CV528&gt;$DJ$1,$DJ$1*(VLOOKUP(D528,HORAS!$B$4:$G$42,6,FALSE)/$DJ$1),CV528*(VLOOKUP(D528,HORAS!$B$4:$G$42,6,FALSE)/$DJ$1))))))</f>
        <v>#N/A</v>
      </c>
      <c r="DP528" s="156"/>
      <c r="DQ528" s="148"/>
      <c r="DR528" s="148"/>
      <c r="DS528" s="83" t="e">
        <f t="shared" si="162"/>
        <v>#N/A</v>
      </c>
      <c r="DT528" s="84"/>
      <c r="DU528" s="149" t="e">
        <f t="shared" si="251"/>
        <v>#N/A</v>
      </c>
      <c r="DV528" s="149" t="e">
        <f t="shared" si="252"/>
        <v>#N/A</v>
      </c>
      <c r="DW528" s="144" t="e">
        <f t="shared" si="253"/>
        <v>#N/A</v>
      </c>
      <c r="DX528" s="168"/>
      <c r="DY528" s="29"/>
      <c r="DZ528" s="150"/>
      <c r="EA528" s="134"/>
      <c r="EB528" s="137">
        <f t="shared" si="254"/>
        <v>0</v>
      </c>
      <c r="EC528" s="138">
        <f t="shared" si="255"/>
        <v>0</v>
      </c>
      <c r="ED528" s="137">
        <f t="shared" si="256"/>
        <v>0</v>
      </c>
      <c r="EE528" s="132">
        <f t="shared" si="257"/>
        <v>0</v>
      </c>
      <c r="EF528" s="29"/>
      <c r="EG528" s="134"/>
      <c r="EH528" s="134"/>
      <c r="EI528" s="134"/>
      <c r="EK528" s="29"/>
    </row>
    <row r="529" spans="1:141" ht="15" customHeight="1" x14ac:dyDescent="0.25">
      <c r="A529" s="87"/>
      <c r="B529" s="5"/>
      <c r="C529" s="72"/>
      <c r="D529" s="73"/>
      <c r="E529" s="73"/>
      <c r="F529" s="141"/>
      <c r="G529" s="74"/>
      <c r="H529" s="75"/>
      <c r="I529" s="76"/>
      <c r="J529" s="135"/>
      <c r="K529" s="135"/>
      <c r="L529" s="77">
        <f t="shared" si="138"/>
        <v>0</v>
      </c>
      <c r="M529" s="78"/>
      <c r="N529" s="142"/>
      <c r="O529" s="142"/>
      <c r="P529" s="77">
        <f t="shared" si="139"/>
        <v>0</v>
      </c>
      <c r="Q529" s="78"/>
      <c r="R529" s="143"/>
      <c r="S529" s="143"/>
      <c r="T529" s="77">
        <f t="shared" si="140"/>
        <v>0</v>
      </c>
      <c r="U529" s="75"/>
      <c r="V529" s="76"/>
      <c r="W529" s="135"/>
      <c r="X529" s="135"/>
      <c r="Y529" s="77">
        <f t="shared" si="141"/>
        <v>0</v>
      </c>
      <c r="Z529" s="78"/>
      <c r="AA529" s="142"/>
      <c r="AB529" s="142"/>
      <c r="AC529" s="77">
        <f t="shared" si="142"/>
        <v>0</v>
      </c>
      <c r="AD529" s="78"/>
      <c r="AE529" s="143"/>
      <c r="AF529" s="143"/>
      <c r="AG529" s="79">
        <f t="shared" si="143"/>
        <v>0</v>
      </c>
      <c r="AH529" s="75"/>
      <c r="AI529" s="76"/>
      <c r="AJ529" s="135"/>
      <c r="AK529" s="135"/>
      <c r="AL529" s="77">
        <f t="shared" si="144"/>
        <v>0</v>
      </c>
      <c r="AM529" s="76"/>
      <c r="AN529" s="142"/>
      <c r="AO529" s="142"/>
      <c r="AP529" s="77">
        <f t="shared" si="145"/>
        <v>0</v>
      </c>
      <c r="AQ529" s="78"/>
      <c r="AR529" s="142"/>
      <c r="AS529" s="142"/>
      <c r="AT529" s="79">
        <f t="shared" si="146"/>
        <v>0</v>
      </c>
      <c r="AU529" s="75"/>
      <c r="AV529" s="76"/>
      <c r="AW529" s="135"/>
      <c r="AX529" s="135"/>
      <c r="AY529" s="77">
        <f t="shared" si="147"/>
        <v>0</v>
      </c>
      <c r="AZ529" s="76"/>
      <c r="BA529" s="142"/>
      <c r="BB529" s="142"/>
      <c r="BC529" s="77">
        <f t="shared" si="148"/>
        <v>0</v>
      </c>
      <c r="BD529" s="78"/>
      <c r="BE529" s="142"/>
      <c r="BF529" s="142"/>
      <c r="BG529" s="79">
        <f t="shared" si="149"/>
        <v>0</v>
      </c>
      <c r="BH529" s="75"/>
      <c r="BI529" s="76"/>
      <c r="BJ529" s="135"/>
      <c r="BK529" s="135"/>
      <c r="BL529" s="77">
        <f t="shared" si="150"/>
        <v>0</v>
      </c>
      <c r="BM529" s="78"/>
      <c r="BN529" s="142"/>
      <c r="BO529" s="142"/>
      <c r="BP529" s="77">
        <f t="shared" si="151"/>
        <v>0</v>
      </c>
      <c r="BQ529" s="78"/>
      <c r="BR529" s="142"/>
      <c r="BS529" s="142"/>
      <c r="BT529" s="79">
        <f t="shared" si="152"/>
        <v>0</v>
      </c>
      <c r="BU529" s="75"/>
      <c r="BV529" s="76"/>
      <c r="BW529" s="135"/>
      <c r="BX529" s="135"/>
      <c r="BY529" s="77">
        <f t="shared" si="153"/>
        <v>0</v>
      </c>
      <c r="BZ529" s="78"/>
      <c r="CA529" s="142"/>
      <c r="CB529" s="142"/>
      <c r="CC529" s="77">
        <f t="shared" si="154"/>
        <v>0</v>
      </c>
      <c r="CD529" s="78"/>
      <c r="CE529" s="142"/>
      <c r="CF529" s="142"/>
      <c r="CG529" s="79">
        <f t="shared" si="155"/>
        <v>0</v>
      </c>
      <c r="CH529" s="75"/>
      <c r="CI529" s="76"/>
      <c r="CJ529" s="86"/>
      <c r="CK529" s="86"/>
      <c r="CL529" s="77">
        <f t="shared" si="156"/>
        <v>0</v>
      </c>
      <c r="CM529" s="78"/>
      <c r="CN529" s="85"/>
      <c r="CO529" s="85"/>
      <c r="CP529" s="77">
        <f t="shared" si="157"/>
        <v>0</v>
      </c>
      <c r="CQ529" s="78"/>
      <c r="CR529" s="85"/>
      <c r="CS529" s="85"/>
      <c r="CT529" s="79">
        <f t="shared" si="158"/>
        <v>0</v>
      </c>
      <c r="CU529" s="80">
        <f t="shared" si="168"/>
        <v>0</v>
      </c>
      <c r="CV529" s="81">
        <f t="shared" si="169"/>
        <v>0</v>
      </c>
      <c r="CW529" s="144"/>
      <c r="CX529" s="145">
        <f>IF(ISERROR(VLOOKUP($A529,FIJOS!$B$11:$O$590,14,FALSE)),0,VLOOKUP($A529,FIJOS!$B$11:$O$590,14,FALSE))</f>
        <v>0</v>
      </c>
      <c r="CY529" s="145">
        <f>IF(ISERROR(VLOOKUP(A529,FIJOS!$B$10:$P$590,15,FALSE)),0,VLOOKUP(A529,FIJOS!$B$10:$P$590,15,FALSE))</f>
        <v>0</v>
      </c>
      <c r="CZ529" s="155"/>
      <c r="DA529" s="147"/>
      <c r="DB529" s="147"/>
      <c r="DC529" s="147"/>
      <c r="DD529" s="147"/>
      <c r="DE529" s="147"/>
      <c r="DF529" s="145">
        <f>IF(ISERROR(VLOOKUP($A529,FIJOS!$B$11:$N$590,13,FALSE)),0,VLOOKUP($A529,FIJOS!$B$11:$N$590,13,FALSE))</f>
        <v>0</v>
      </c>
      <c r="DG529" s="145">
        <f>IF(ISERROR(VLOOKUP($A529,FIJOS!$B$11:$P$447,12,FALSE)),0,VLOOKUP($A529,FIJOS!$B$11:$P$447,12,FALSE))</f>
        <v>0</v>
      </c>
      <c r="DH529" s="82">
        <f t="shared" si="250"/>
        <v>0</v>
      </c>
      <c r="DI529" s="83" t="b">
        <f>IF($C529=1,(VLOOKUP($A529,FIJOS!$B$11:$P$545,10,FALSE)/7)*(7-$CU529),IF(AND($C529=2,CV529&lt;$DJ$1),(VLOOKUP($D529,HORAS!$B$4:$C$42,2,FALSE)*24)*$CV529,IF(AND($C529=2,CV529&gt;=$DJ$1),VLOOKUP($D529,HORAS!$B$4:$D$42,3,FALSE),IF(AND($C529=3,$CV529&gt;=$DJ$1),VLOOKUP($A529,FIJOS!$B$11:$P$545,10,FALSE),IF(AND($C529=3,$CV529&lt;$DJ$1),((VLOOKUP($A529,FIJOS!$B$11:$P$545,10,FALSE)/48)*24)*$CV529,IF(AND($C529=4,$CV529&gt;=(42/24)),VLOOKUP($D529,HORAS!$B$4:$D$42,3,FALSE),IF(AND($C529=5,$CV529&gt;=(36/24)),VLOOKUP($D529,HORAS!$B$4:$D$42,3,FALSE))))))))</f>
        <v>0</v>
      </c>
      <c r="DJ529" s="145">
        <f>IF(OR($C529=2),VLOOKUP($D529,HORAS!$B$4:$E$42,4,FALSE)*$EC529,IF(ISERROR(VLOOKUP($A529,FIJOS!$B$11:$P$108,9,FALSE)),0,VLOOKUP($A529,FIJOS!$B$11:$P$231,9,FALSE)*$EC529))</f>
        <v>0</v>
      </c>
      <c r="DK529" s="145">
        <f>IF(OR($C529=2),VLOOKUP($D529,HORAS!$B$4:$F$42,5,FALSE)*$EE529,IF(ISERROR(VLOOKUP($A529,FIJOS!$B$11:$P$108,9,FALSE)),0,VLOOKUP($A529,FIJOS!$B$11:$P$231,9,FALSE)*$EE529))</f>
        <v>0</v>
      </c>
      <c r="DL529" s="144"/>
      <c r="DM529" s="145">
        <f>IF(ISERROR(VLOOKUP($A529,FIJOS!$B$11:$L$646,11,FALSE)),0,VLOOKUP($A529,FIJOS!$B$11:$L$646,11,FALSE))</f>
        <v>0</v>
      </c>
      <c r="DN529" s="148" t="e">
        <f>IF(OR($C529=1,$C529=3),0,IF((VLOOKUP(CAPTURA!D529,HORAS!$B$4:$K$42,10,FALSE)/4)*COUNTIF($H529:$CT529,3)&gt;100,100,(VLOOKUP(CAPTURA!D529,HORAS!$B$4:$K$42,10,FALSE)/4)*COUNTIF($H529:$CT529,3)))</f>
        <v>#N/A</v>
      </c>
      <c r="DO529" s="144" t="e">
        <f>IF(OR($C529=1,$C529=3),0,IF($C529=5,VLOOKUP(D529,HORAS!$B$4:$G$42,6,FALSE),IF(AND($C529=4,$CV529&gt;=(42/24)),VLOOKUP(D529,HORAS!$B$4:$G$42,6,FALSE),IF(COUNTIF($H529:$CL529,"F")&gt;0,0,IF(CV529&gt;$DJ$1,$DJ$1*(VLOOKUP(D529,HORAS!$B$4:$G$42,6,FALSE)/$DJ$1),CV529*(VLOOKUP(D529,HORAS!$B$4:$G$42,6,FALSE)/$DJ$1))))))</f>
        <v>#N/A</v>
      </c>
      <c r="DP529" s="156"/>
      <c r="DQ529" s="148"/>
      <c r="DR529" s="148"/>
      <c r="DS529" s="83" t="e">
        <f t="shared" si="162"/>
        <v>#N/A</v>
      </c>
      <c r="DT529" s="84"/>
      <c r="DU529" s="149" t="e">
        <f t="shared" si="251"/>
        <v>#N/A</v>
      </c>
      <c r="DV529" s="149" t="e">
        <f t="shared" si="252"/>
        <v>#N/A</v>
      </c>
      <c r="DW529" s="144" t="e">
        <f t="shared" si="253"/>
        <v>#N/A</v>
      </c>
      <c r="DX529" s="168"/>
      <c r="DY529" s="29"/>
      <c r="DZ529" s="150"/>
      <c r="EA529" s="134"/>
      <c r="EB529" s="137">
        <f t="shared" si="254"/>
        <v>0</v>
      </c>
      <c r="EC529" s="138">
        <f t="shared" si="255"/>
        <v>0</v>
      </c>
      <c r="ED529" s="137">
        <f t="shared" si="256"/>
        <v>0</v>
      </c>
      <c r="EE529" s="132">
        <f t="shared" si="257"/>
        <v>0</v>
      </c>
      <c r="EF529" s="29"/>
      <c r="EG529" s="134"/>
      <c r="EH529" s="134"/>
      <c r="EI529" s="134"/>
      <c r="EK529" s="29"/>
    </row>
    <row r="530" spans="1:141" ht="15" customHeight="1" x14ac:dyDescent="0.25">
      <c r="A530" s="87"/>
      <c r="B530" s="5"/>
      <c r="C530" s="72"/>
      <c r="D530" s="73"/>
      <c r="E530" s="73"/>
      <c r="F530" s="141"/>
      <c r="G530" s="74"/>
      <c r="H530" s="75"/>
      <c r="I530" s="76"/>
      <c r="J530" s="135"/>
      <c r="K530" s="135"/>
      <c r="L530" s="77">
        <f t="shared" si="138"/>
        <v>0</v>
      </c>
      <c r="M530" s="78"/>
      <c r="N530" s="142"/>
      <c r="O530" s="142"/>
      <c r="P530" s="77">
        <f t="shared" si="139"/>
        <v>0</v>
      </c>
      <c r="Q530" s="78"/>
      <c r="R530" s="143"/>
      <c r="S530" s="143"/>
      <c r="T530" s="77">
        <f t="shared" si="140"/>
        <v>0</v>
      </c>
      <c r="U530" s="75"/>
      <c r="V530" s="76"/>
      <c r="W530" s="135"/>
      <c r="X530" s="135"/>
      <c r="Y530" s="77">
        <f t="shared" si="141"/>
        <v>0</v>
      </c>
      <c r="Z530" s="78"/>
      <c r="AA530" s="142"/>
      <c r="AB530" s="142"/>
      <c r="AC530" s="77">
        <f t="shared" si="142"/>
        <v>0</v>
      </c>
      <c r="AD530" s="78"/>
      <c r="AE530" s="143"/>
      <c r="AF530" s="143"/>
      <c r="AG530" s="79">
        <f t="shared" si="143"/>
        <v>0</v>
      </c>
      <c r="AH530" s="75"/>
      <c r="AI530" s="76"/>
      <c r="AJ530" s="135"/>
      <c r="AK530" s="135"/>
      <c r="AL530" s="77">
        <f t="shared" si="144"/>
        <v>0</v>
      </c>
      <c r="AM530" s="76"/>
      <c r="AN530" s="142"/>
      <c r="AO530" s="142"/>
      <c r="AP530" s="77">
        <f t="shared" si="145"/>
        <v>0</v>
      </c>
      <c r="AQ530" s="78"/>
      <c r="AR530" s="142"/>
      <c r="AS530" s="142"/>
      <c r="AT530" s="79">
        <f t="shared" si="146"/>
        <v>0</v>
      </c>
      <c r="AU530" s="75"/>
      <c r="AV530" s="76"/>
      <c r="AW530" s="135"/>
      <c r="AX530" s="135"/>
      <c r="AY530" s="77">
        <f t="shared" si="147"/>
        <v>0</v>
      </c>
      <c r="AZ530" s="76"/>
      <c r="BA530" s="142"/>
      <c r="BB530" s="142"/>
      <c r="BC530" s="77">
        <f t="shared" si="148"/>
        <v>0</v>
      </c>
      <c r="BD530" s="78"/>
      <c r="BE530" s="142"/>
      <c r="BF530" s="142"/>
      <c r="BG530" s="79">
        <f t="shared" si="149"/>
        <v>0</v>
      </c>
      <c r="BH530" s="75"/>
      <c r="BI530" s="76"/>
      <c r="BJ530" s="135"/>
      <c r="BK530" s="135"/>
      <c r="BL530" s="77">
        <f t="shared" si="150"/>
        <v>0</v>
      </c>
      <c r="BM530" s="78"/>
      <c r="BN530" s="142"/>
      <c r="BO530" s="142"/>
      <c r="BP530" s="77">
        <f t="shared" si="151"/>
        <v>0</v>
      </c>
      <c r="BQ530" s="78"/>
      <c r="BR530" s="142"/>
      <c r="BS530" s="142"/>
      <c r="BT530" s="79">
        <f t="shared" si="152"/>
        <v>0</v>
      </c>
      <c r="BU530" s="75"/>
      <c r="BV530" s="76"/>
      <c r="BW530" s="135"/>
      <c r="BX530" s="135"/>
      <c r="BY530" s="77">
        <f t="shared" si="153"/>
        <v>0</v>
      </c>
      <c r="BZ530" s="78"/>
      <c r="CA530" s="142"/>
      <c r="CB530" s="142"/>
      <c r="CC530" s="77">
        <f t="shared" si="154"/>
        <v>0</v>
      </c>
      <c r="CD530" s="78"/>
      <c r="CE530" s="142"/>
      <c r="CF530" s="142"/>
      <c r="CG530" s="79">
        <f t="shared" si="155"/>
        <v>0</v>
      </c>
      <c r="CH530" s="75"/>
      <c r="CI530" s="76"/>
      <c r="CJ530" s="86"/>
      <c r="CK530" s="86"/>
      <c r="CL530" s="77">
        <f t="shared" si="156"/>
        <v>0</v>
      </c>
      <c r="CM530" s="78"/>
      <c r="CN530" s="85"/>
      <c r="CO530" s="85"/>
      <c r="CP530" s="77">
        <f t="shared" si="157"/>
        <v>0</v>
      </c>
      <c r="CQ530" s="78"/>
      <c r="CR530" s="85"/>
      <c r="CS530" s="85"/>
      <c r="CT530" s="79">
        <f t="shared" si="158"/>
        <v>0</v>
      </c>
      <c r="CU530" s="80">
        <f t="shared" si="168"/>
        <v>0</v>
      </c>
      <c r="CV530" s="81">
        <f t="shared" si="169"/>
        <v>0</v>
      </c>
      <c r="CW530" s="144"/>
      <c r="CX530" s="145">
        <f>IF(ISERROR(VLOOKUP($A530,FIJOS!$B$11:$O$590,14,FALSE)),0,VLOOKUP($A530,FIJOS!$B$11:$O$590,14,FALSE))</f>
        <v>0</v>
      </c>
      <c r="CY530" s="145">
        <f>IF(ISERROR(VLOOKUP(A530,FIJOS!$B$10:$P$590,15,FALSE)),0,VLOOKUP(A530,FIJOS!$B$10:$P$590,15,FALSE))</f>
        <v>0</v>
      </c>
      <c r="CZ530" s="155"/>
      <c r="DA530" s="147"/>
      <c r="DB530" s="147"/>
      <c r="DC530" s="147"/>
      <c r="DD530" s="147"/>
      <c r="DE530" s="147"/>
      <c r="DF530" s="145">
        <f>IF(ISERROR(VLOOKUP($A530,FIJOS!$B$11:$N$590,13,FALSE)),0,VLOOKUP($A530,FIJOS!$B$11:$N$590,13,FALSE))</f>
        <v>0</v>
      </c>
      <c r="DG530" s="145">
        <f>IF(ISERROR(VLOOKUP($A530,FIJOS!$B$11:$P$447,12,FALSE)),0,VLOOKUP($A530,FIJOS!$B$11:$P$447,12,FALSE))</f>
        <v>0</v>
      </c>
      <c r="DH530" s="82">
        <f t="shared" si="250"/>
        <v>0</v>
      </c>
      <c r="DI530" s="83" t="b">
        <f>IF($C530=1,(VLOOKUP($A530,FIJOS!$B$11:$P$545,10,FALSE)/7)*(7-$CU530),IF(AND($C530=2,CV530&lt;$DJ$1),(VLOOKUP($D530,HORAS!$B$4:$C$42,2,FALSE)*24)*$CV530,IF(AND($C530=2,CV530&gt;=$DJ$1),VLOOKUP($D530,HORAS!$B$4:$D$42,3,FALSE),IF(AND($C530=3,$CV530&gt;=$DJ$1),VLOOKUP($A530,FIJOS!$B$11:$P$545,10,FALSE),IF(AND($C530=3,$CV530&lt;$DJ$1),((VLOOKUP($A530,FIJOS!$B$11:$P$545,10,FALSE)/48)*24)*$CV530,IF(AND($C530=4,$CV530&gt;=(42/24)),VLOOKUP($D530,HORAS!$B$4:$D$42,3,FALSE),IF(AND($C530=5,$CV530&gt;=(36/24)),VLOOKUP($D530,HORAS!$B$4:$D$42,3,FALSE))))))))</f>
        <v>0</v>
      </c>
      <c r="DJ530" s="145">
        <f>IF(OR($C530=2),VLOOKUP($D530,HORAS!$B$4:$E$42,4,FALSE)*$EC530,IF(ISERROR(VLOOKUP($A530,FIJOS!$B$11:$P$108,9,FALSE)),0,VLOOKUP($A530,FIJOS!$B$11:$P$231,9,FALSE)*$EC530))</f>
        <v>0</v>
      </c>
      <c r="DK530" s="145">
        <f>IF(OR($C530=2),VLOOKUP($D530,HORAS!$B$4:$F$42,5,FALSE)*$EE530,IF(ISERROR(VLOOKUP($A530,FIJOS!$B$11:$P$108,9,FALSE)),0,VLOOKUP($A530,FIJOS!$B$11:$P$231,9,FALSE)*$EE530))</f>
        <v>0</v>
      </c>
      <c r="DL530" s="144"/>
      <c r="DM530" s="145">
        <f>IF(ISERROR(VLOOKUP($A530,FIJOS!$B$11:$L$646,11,FALSE)),0,VLOOKUP($A530,FIJOS!$B$11:$L$646,11,FALSE))</f>
        <v>0</v>
      </c>
      <c r="DN530" s="148" t="e">
        <f>IF(OR($C530=1,$C530=3),0,IF((VLOOKUP(CAPTURA!D530,HORAS!$B$4:$K$42,10,FALSE)/4)*COUNTIF($H530:$CT530,3)&gt;100,100,(VLOOKUP(CAPTURA!D530,HORAS!$B$4:$K$42,10,FALSE)/4)*COUNTIF($H530:$CT530,3)))</f>
        <v>#N/A</v>
      </c>
      <c r="DO530" s="144" t="e">
        <f>IF(OR($C530=1,$C530=3),0,IF($C530=5,VLOOKUP(D530,HORAS!$B$4:$G$42,6,FALSE),IF(AND($C530=4,$CV530&gt;=(42/24)),VLOOKUP(D530,HORAS!$B$4:$G$42,6,FALSE),IF(COUNTIF($H530:$CL530,"F")&gt;0,0,IF(CV530&gt;$DJ$1,$DJ$1*(VLOOKUP(D530,HORAS!$B$4:$G$42,6,FALSE)/$DJ$1),CV530*(VLOOKUP(D530,HORAS!$B$4:$G$42,6,FALSE)/$DJ$1))))))</f>
        <v>#N/A</v>
      </c>
      <c r="DP530" s="156"/>
      <c r="DQ530" s="148"/>
      <c r="DR530" s="148"/>
      <c r="DS530" s="83" t="e">
        <f t="shared" si="162"/>
        <v>#N/A</v>
      </c>
      <c r="DT530" s="84"/>
      <c r="DU530" s="149" t="e">
        <f t="shared" si="251"/>
        <v>#N/A</v>
      </c>
      <c r="DV530" s="149" t="e">
        <f t="shared" si="252"/>
        <v>#N/A</v>
      </c>
      <c r="DW530" s="144" t="e">
        <f t="shared" si="253"/>
        <v>#N/A</v>
      </c>
      <c r="DX530" s="168"/>
      <c r="DY530" s="29"/>
      <c r="DZ530" s="150"/>
      <c r="EA530" s="134"/>
      <c r="EB530" s="137">
        <f t="shared" si="254"/>
        <v>0</v>
      </c>
      <c r="EC530" s="138">
        <f t="shared" si="255"/>
        <v>0</v>
      </c>
      <c r="ED530" s="137">
        <f t="shared" si="256"/>
        <v>0</v>
      </c>
      <c r="EE530" s="132">
        <f t="shared" si="257"/>
        <v>0</v>
      </c>
      <c r="EF530" s="29"/>
      <c r="EG530" s="134"/>
      <c r="EH530" s="134"/>
      <c r="EI530" s="134"/>
      <c r="EK530" s="29"/>
    </row>
    <row r="531" spans="1:141" ht="15" customHeight="1" x14ac:dyDescent="0.25">
      <c r="A531" s="87"/>
      <c r="B531" s="5"/>
      <c r="C531" s="72"/>
      <c r="D531" s="73"/>
      <c r="E531" s="73"/>
      <c r="F531" s="141"/>
      <c r="G531" s="74"/>
      <c r="H531" s="75"/>
      <c r="I531" s="76"/>
      <c r="J531" s="135"/>
      <c r="K531" s="135"/>
      <c r="L531" s="77">
        <f t="shared" si="138"/>
        <v>0</v>
      </c>
      <c r="M531" s="78"/>
      <c r="N531" s="142"/>
      <c r="O531" s="142"/>
      <c r="P531" s="77">
        <f t="shared" si="139"/>
        <v>0</v>
      </c>
      <c r="Q531" s="78"/>
      <c r="R531" s="143"/>
      <c r="S531" s="143"/>
      <c r="T531" s="77">
        <f t="shared" si="140"/>
        <v>0</v>
      </c>
      <c r="U531" s="75"/>
      <c r="V531" s="76"/>
      <c r="W531" s="135"/>
      <c r="X531" s="135"/>
      <c r="Y531" s="77">
        <f t="shared" si="141"/>
        <v>0</v>
      </c>
      <c r="Z531" s="78"/>
      <c r="AA531" s="142"/>
      <c r="AB531" s="142"/>
      <c r="AC531" s="77">
        <f t="shared" si="142"/>
        <v>0</v>
      </c>
      <c r="AD531" s="78"/>
      <c r="AE531" s="143"/>
      <c r="AF531" s="143"/>
      <c r="AG531" s="79">
        <f t="shared" si="143"/>
        <v>0</v>
      </c>
      <c r="AH531" s="75"/>
      <c r="AI531" s="76"/>
      <c r="AJ531" s="135"/>
      <c r="AK531" s="135"/>
      <c r="AL531" s="77">
        <f t="shared" si="144"/>
        <v>0</v>
      </c>
      <c r="AM531" s="76"/>
      <c r="AN531" s="142"/>
      <c r="AO531" s="142"/>
      <c r="AP531" s="77">
        <f t="shared" si="145"/>
        <v>0</v>
      </c>
      <c r="AQ531" s="78"/>
      <c r="AR531" s="142"/>
      <c r="AS531" s="142"/>
      <c r="AT531" s="79">
        <f t="shared" si="146"/>
        <v>0</v>
      </c>
      <c r="AU531" s="75"/>
      <c r="AV531" s="76"/>
      <c r="AW531" s="135"/>
      <c r="AX531" s="135"/>
      <c r="AY531" s="77">
        <f t="shared" si="147"/>
        <v>0</v>
      </c>
      <c r="AZ531" s="76"/>
      <c r="BA531" s="142"/>
      <c r="BB531" s="142"/>
      <c r="BC531" s="77">
        <f t="shared" si="148"/>
        <v>0</v>
      </c>
      <c r="BD531" s="78"/>
      <c r="BE531" s="142"/>
      <c r="BF531" s="142"/>
      <c r="BG531" s="79">
        <f t="shared" si="149"/>
        <v>0</v>
      </c>
      <c r="BH531" s="75"/>
      <c r="BI531" s="76"/>
      <c r="BJ531" s="135"/>
      <c r="BK531" s="135"/>
      <c r="BL531" s="77">
        <f t="shared" si="150"/>
        <v>0</v>
      </c>
      <c r="BM531" s="78"/>
      <c r="BN531" s="142"/>
      <c r="BO531" s="142"/>
      <c r="BP531" s="77">
        <f t="shared" si="151"/>
        <v>0</v>
      </c>
      <c r="BQ531" s="78"/>
      <c r="BR531" s="142"/>
      <c r="BS531" s="142"/>
      <c r="BT531" s="79">
        <f t="shared" si="152"/>
        <v>0</v>
      </c>
      <c r="BU531" s="75"/>
      <c r="BV531" s="76"/>
      <c r="BW531" s="135"/>
      <c r="BX531" s="135"/>
      <c r="BY531" s="77">
        <f t="shared" si="153"/>
        <v>0</v>
      </c>
      <c r="BZ531" s="78"/>
      <c r="CA531" s="142"/>
      <c r="CB531" s="142"/>
      <c r="CC531" s="77">
        <f t="shared" si="154"/>
        <v>0</v>
      </c>
      <c r="CD531" s="78"/>
      <c r="CE531" s="142"/>
      <c r="CF531" s="142"/>
      <c r="CG531" s="79">
        <f t="shared" si="155"/>
        <v>0</v>
      </c>
      <c r="CH531" s="75"/>
      <c r="CI531" s="76"/>
      <c r="CJ531" s="86"/>
      <c r="CK531" s="86"/>
      <c r="CL531" s="77">
        <f t="shared" si="156"/>
        <v>0</v>
      </c>
      <c r="CM531" s="78"/>
      <c r="CN531" s="85"/>
      <c r="CO531" s="85"/>
      <c r="CP531" s="77">
        <f t="shared" si="157"/>
        <v>0</v>
      </c>
      <c r="CQ531" s="78"/>
      <c r="CR531" s="85"/>
      <c r="CS531" s="85"/>
      <c r="CT531" s="79">
        <f t="shared" si="158"/>
        <v>0</v>
      </c>
      <c r="CU531" s="80">
        <f t="shared" si="168"/>
        <v>0</v>
      </c>
      <c r="CV531" s="81">
        <f t="shared" si="169"/>
        <v>0</v>
      </c>
      <c r="CW531" s="144"/>
      <c r="CX531" s="145">
        <f>IF(ISERROR(VLOOKUP($A531,FIJOS!$B$11:$O$590,14,FALSE)),0,VLOOKUP($A531,FIJOS!$B$11:$O$590,14,FALSE))</f>
        <v>0</v>
      </c>
      <c r="CY531" s="145">
        <f>IF(ISERROR(VLOOKUP(A531,FIJOS!$B$10:$P$590,15,FALSE)),0,VLOOKUP(A531,FIJOS!$B$10:$P$590,15,FALSE))</f>
        <v>0</v>
      </c>
      <c r="CZ531" s="155"/>
      <c r="DA531" s="147"/>
      <c r="DB531" s="147"/>
      <c r="DC531" s="147"/>
      <c r="DD531" s="147"/>
      <c r="DE531" s="147"/>
      <c r="DF531" s="145">
        <f>IF(ISERROR(VLOOKUP($A531,FIJOS!$B$11:$N$590,13,FALSE)),0,VLOOKUP($A531,FIJOS!$B$11:$N$590,13,FALSE))</f>
        <v>0</v>
      </c>
      <c r="DG531" s="145">
        <f>IF(ISERROR(VLOOKUP($A531,FIJOS!$B$11:$P$447,12,FALSE)),0,VLOOKUP($A531,FIJOS!$B$11:$P$447,12,FALSE))</f>
        <v>0</v>
      </c>
      <c r="DH531" s="82">
        <f t="shared" si="250"/>
        <v>0</v>
      </c>
      <c r="DI531" s="83" t="b">
        <f>IF($C531=1,(VLOOKUP($A531,FIJOS!$B$11:$P$545,10,FALSE)/7)*(7-$CU531),IF(AND($C531=2,CV531&lt;$DJ$1),(VLOOKUP($D531,HORAS!$B$4:$C$42,2,FALSE)*24)*$CV531,IF(AND($C531=2,CV531&gt;=$DJ$1),VLOOKUP($D531,HORAS!$B$4:$D$42,3,FALSE),IF(AND($C531=3,$CV531&gt;=$DJ$1),VLOOKUP($A531,FIJOS!$B$11:$P$545,10,FALSE),IF(AND($C531=3,$CV531&lt;$DJ$1),((VLOOKUP($A531,FIJOS!$B$11:$P$545,10,FALSE)/48)*24)*$CV531,IF(AND($C531=4,$CV531&gt;=(42/24)),VLOOKUP($D531,HORAS!$B$4:$D$42,3,FALSE),IF(AND($C531=5,$CV531&gt;=(36/24)),VLOOKUP($D531,HORAS!$B$4:$D$42,3,FALSE))))))))</f>
        <v>0</v>
      </c>
      <c r="DJ531" s="145">
        <f>IF(OR($C531=2),VLOOKUP($D531,HORAS!$B$4:$E$42,4,FALSE)*$EC531,IF(ISERROR(VLOOKUP($A531,FIJOS!$B$11:$P$108,9,FALSE)),0,VLOOKUP($A531,FIJOS!$B$11:$P$231,9,FALSE)*$EC531))</f>
        <v>0</v>
      </c>
      <c r="DK531" s="145">
        <f>IF(OR($C531=2),VLOOKUP($D531,HORAS!$B$4:$F$42,5,FALSE)*$EE531,IF(ISERROR(VLOOKUP($A531,FIJOS!$B$11:$P$108,9,FALSE)),0,VLOOKUP($A531,FIJOS!$B$11:$P$231,9,FALSE)*$EE531))</f>
        <v>0</v>
      </c>
      <c r="DL531" s="144"/>
      <c r="DM531" s="145">
        <f>IF(ISERROR(VLOOKUP($A531,FIJOS!$B$11:$L$646,11,FALSE)),0,VLOOKUP($A531,FIJOS!$B$11:$L$646,11,FALSE))</f>
        <v>0</v>
      </c>
      <c r="DN531" s="148" t="e">
        <f>IF(OR($C531=1,$C531=3),0,IF((VLOOKUP(CAPTURA!D531,HORAS!$B$4:$K$42,10,FALSE)/4)*COUNTIF($H531:$CT531,3)&gt;100,100,(VLOOKUP(CAPTURA!D531,HORAS!$B$4:$K$42,10,FALSE)/4)*COUNTIF($H531:$CT531,3)))</f>
        <v>#N/A</v>
      </c>
      <c r="DO531" s="144" t="e">
        <f>IF(OR($C531=1,$C531=3),0,IF($C531=5,VLOOKUP(D531,HORAS!$B$4:$G$42,6,FALSE),IF(AND($C531=4,$CV531&gt;=(42/24)),VLOOKUP(D531,HORAS!$B$4:$G$42,6,FALSE),IF(COUNTIF($H531:$CL531,"F")&gt;0,0,IF(CV531&gt;$DJ$1,$DJ$1*(VLOOKUP(D531,HORAS!$B$4:$G$42,6,FALSE)/$DJ$1),CV531*(VLOOKUP(D531,HORAS!$B$4:$G$42,6,FALSE)/$DJ$1))))))</f>
        <v>#N/A</v>
      </c>
      <c r="DP531" s="156"/>
      <c r="DQ531" s="148"/>
      <c r="DR531" s="148"/>
      <c r="DS531" s="83" t="e">
        <f t="shared" si="162"/>
        <v>#N/A</v>
      </c>
      <c r="DT531" s="84"/>
      <c r="DU531" s="149" t="e">
        <f t="shared" si="251"/>
        <v>#N/A</v>
      </c>
      <c r="DV531" s="149" t="e">
        <f t="shared" si="252"/>
        <v>#N/A</v>
      </c>
      <c r="DW531" s="144" t="e">
        <f t="shared" si="253"/>
        <v>#N/A</v>
      </c>
      <c r="DX531" s="168"/>
      <c r="DY531" s="29"/>
      <c r="DZ531" s="150"/>
      <c r="EA531" s="134"/>
      <c r="EB531" s="137">
        <f t="shared" si="254"/>
        <v>0</v>
      </c>
      <c r="EC531" s="138">
        <f t="shared" si="255"/>
        <v>0</v>
      </c>
      <c r="ED531" s="137">
        <f t="shared" si="256"/>
        <v>0</v>
      </c>
      <c r="EE531" s="132">
        <f t="shared" si="257"/>
        <v>0</v>
      </c>
      <c r="EF531" s="29"/>
      <c r="EG531" s="134"/>
      <c r="EH531" s="134"/>
      <c r="EI531" s="134"/>
      <c r="EK531" s="29"/>
    </row>
    <row r="532" spans="1:141" ht="15" customHeight="1" x14ac:dyDescent="0.25">
      <c r="A532" s="87"/>
      <c r="B532" s="5"/>
      <c r="C532" s="72"/>
      <c r="D532" s="73"/>
      <c r="E532" s="73"/>
      <c r="F532" s="141"/>
      <c r="G532" s="74"/>
      <c r="H532" s="75"/>
      <c r="I532" s="76"/>
      <c r="J532" s="135"/>
      <c r="K532" s="135"/>
      <c r="L532" s="77">
        <f t="shared" si="138"/>
        <v>0</v>
      </c>
      <c r="M532" s="78"/>
      <c r="N532" s="142"/>
      <c r="O532" s="142"/>
      <c r="P532" s="77">
        <f t="shared" si="139"/>
        <v>0</v>
      </c>
      <c r="Q532" s="78"/>
      <c r="R532" s="143"/>
      <c r="S532" s="143"/>
      <c r="T532" s="77">
        <f t="shared" si="140"/>
        <v>0</v>
      </c>
      <c r="U532" s="75"/>
      <c r="V532" s="76"/>
      <c r="W532" s="135"/>
      <c r="X532" s="135"/>
      <c r="Y532" s="77">
        <f t="shared" si="141"/>
        <v>0</v>
      </c>
      <c r="Z532" s="78"/>
      <c r="AA532" s="142"/>
      <c r="AB532" s="142"/>
      <c r="AC532" s="77">
        <f t="shared" si="142"/>
        <v>0</v>
      </c>
      <c r="AD532" s="78"/>
      <c r="AE532" s="143"/>
      <c r="AF532" s="143"/>
      <c r="AG532" s="79">
        <f t="shared" si="143"/>
        <v>0</v>
      </c>
      <c r="AH532" s="75"/>
      <c r="AI532" s="76"/>
      <c r="AJ532" s="135"/>
      <c r="AK532" s="135"/>
      <c r="AL532" s="77">
        <f t="shared" si="144"/>
        <v>0</v>
      </c>
      <c r="AM532" s="76"/>
      <c r="AN532" s="142"/>
      <c r="AO532" s="142"/>
      <c r="AP532" s="77">
        <f t="shared" si="145"/>
        <v>0</v>
      </c>
      <c r="AQ532" s="78"/>
      <c r="AR532" s="142"/>
      <c r="AS532" s="142"/>
      <c r="AT532" s="79">
        <f t="shared" si="146"/>
        <v>0</v>
      </c>
      <c r="AU532" s="75"/>
      <c r="AV532" s="76"/>
      <c r="AW532" s="135"/>
      <c r="AX532" s="135"/>
      <c r="AY532" s="77">
        <f t="shared" si="147"/>
        <v>0</v>
      </c>
      <c r="AZ532" s="76"/>
      <c r="BA532" s="142"/>
      <c r="BB532" s="142"/>
      <c r="BC532" s="77">
        <f t="shared" si="148"/>
        <v>0</v>
      </c>
      <c r="BD532" s="78"/>
      <c r="BE532" s="142"/>
      <c r="BF532" s="142"/>
      <c r="BG532" s="79">
        <f t="shared" si="149"/>
        <v>0</v>
      </c>
      <c r="BH532" s="75"/>
      <c r="BI532" s="76"/>
      <c r="BJ532" s="135"/>
      <c r="BK532" s="135"/>
      <c r="BL532" s="77">
        <f t="shared" si="150"/>
        <v>0</v>
      </c>
      <c r="BM532" s="78"/>
      <c r="BN532" s="142"/>
      <c r="BO532" s="142"/>
      <c r="BP532" s="77">
        <f t="shared" si="151"/>
        <v>0</v>
      </c>
      <c r="BQ532" s="78"/>
      <c r="BR532" s="142"/>
      <c r="BS532" s="142"/>
      <c r="BT532" s="79">
        <f t="shared" si="152"/>
        <v>0</v>
      </c>
      <c r="BU532" s="75"/>
      <c r="BV532" s="76"/>
      <c r="BW532" s="135"/>
      <c r="BX532" s="135"/>
      <c r="BY532" s="77">
        <f t="shared" si="153"/>
        <v>0</v>
      </c>
      <c r="BZ532" s="78"/>
      <c r="CA532" s="142"/>
      <c r="CB532" s="142"/>
      <c r="CC532" s="77">
        <f t="shared" si="154"/>
        <v>0</v>
      </c>
      <c r="CD532" s="78"/>
      <c r="CE532" s="142"/>
      <c r="CF532" s="142"/>
      <c r="CG532" s="79">
        <f t="shared" si="155"/>
        <v>0</v>
      </c>
      <c r="CH532" s="75"/>
      <c r="CI532" s="76"/>
      <c r="CJ532" s="86"/>
      <c r="CK532" s="86"/>
      <c r="CL532" s="77">
        <f t="shared" si="156"/>
        <v>0</v>
      </c>
      <c r="CM532" s="78"/>
      <c r="CN532" s="85"/>
      <c r="CO532" s="85"/>
      <c r="CP532" s="77">
        <f t="shared" si="157"/>
        <v>0</v>
      </c>
      <c r="CQ532" s="78"/>
      <c r="CR532" s="85"/>
      <c r="CS532" s="85"/>
      <c r="CT532" s="79">
        <f t="shared" si="158"/>
        <v>0</v>
      </c>
      <c r="CU532" s="80">
        <f t="shared" si="168"/>
        <v>0</v>
      </c>
      <c r="CV532" s="81">
        <f t="shared" si="169"/>
        <v>0</v>
      </c>
      <c r="CW532" s="144"/>
      <c r="CX532" s="145">
        <f>IF(ISERROR(VLOOKUP($A532,FIJOS!$B$11:$O$590,14,FALSE)),0,VLOOKUP($A532,FIJOS!$B$11:$O$590,14,FALSE))</f>
        <v>0</v>
      </c>
      <c r="CY532" s="145">
        <f>IF(ISERROR(VLOOKUP(A532,FIJOS!$B$10:$P$590,15,FALSE)),0,VLOOKUP(A532,FIJOS!$B$10:$P$590,15,FALSE))</f>
        <v>0</v>
      </c>
      <c r="CZ532" s="155"/>
      <c r="DA532" s="147"/>
      <c r="DB532" s="147"/>
      <c r="DC532" s="147"/>
      <c r="DD532" s="147"/>
      <c r="DE532" s="147"/>
      <c r="DF532" s="145">
        <f>IF(ISERROR(VLOOKUP($A532,FIJOS!$B$11:$N$590,13,FALSE)),0,VLOOKUP($A532,FIJOS!$B$11:$N$590,13,FALSE))</f>
        <v>0</v>
      </c>
      <c r="DG532" s="145">
        <f>IF(ISERROR(VLOOKUP($A532,FIJOS!$B$11:$P$447,12,FALSE)),0,VLOOKUP($A532,FIJOS!$B$11:$P$447,12,FALSE))</f>
        <v>0</v>
      </c>
      <c r="DH532" s="82">
        <f t="shared" si="250"/>
        <v>0</v>
      </c>
      <c r="DI532" s="83" t="b">
        <f>IF($C532=1,(VLOOKUP($A532,FIJOS!$B$11:$P$545,10,FALSE)/7)*(7-$CU532),IF(AND($C532=2,CV532&lt;$DJ$1),(VLOOKUP($D532,HORAS!$B$4:$C$42,2,FALSE)*24)*$CV532,IF(AND($C532=2,CV532&gt;=$DJ$1),VLOOKUP($D532,HORAS!$B$4:$D$42,3,FALSE),IF(AND($C532=3,$CV532&gt;=$DJ$1),VLOOKUP($A532,FIJOS!$B$11:$P$545,10,FALSE),IF(AND($C532=3,$CV532&lt;$DJ$1),((VLOOKUP($A532,FIJOS!$B$11:$P$545,10,FALSE)/48)*24)*$CV532,IF(AND($C532=4,$CV532&gt;=(42/24)),VLOOKUP($D532,HORAS!$B$4:$D$42,3,FALSE),IF(AND($C532=5,$CV532&gt;=(36/24)),VLOOKUP($D532,HORAS!$B$4:$D$42,3,FALSE))))))))</f>
        <v>0</v>
      </c>
      <c r="DJ532" s="145">
        <f>IF(OR($C532=2),VLOOKUP($D532,HORAS!$B$4:$E$42,4,FALSE)*$EC532,IF(ISERROR(VLOOKUP($A532,FIJOS!$B$11:$P$108,9,FALSE)),0,VLOOKUP($A532,FIJOS!$B$11:$P$231,9,FALSE)*$EC532))</f>
        <v>0</v>
      </c>
      <c r="DK532" s="145">
        <f>IF(OR($C532=2),VLOOKUP($D532,HORAS!$B$4:$F$42,5,FALSE)*$EE532,IF(ISERROR(VLOOKUP($A532,FIJOS!$B$11:$P$108,9,FALSE)),0,VLOOKUP($A532,FIJOS!$B$11:$P$231,9,FALSE)*$EE532))</f>
        <v>0</v>
      </c>
      <c r="DL532" s="144"/>
      <c r="DM532" s="145">
        <f>IF(ISERROR(VLOOKUP($A532,FIJOS!$B$11:$L$646,11,FALSE)),0,VLOOKUP($A532,FIJOS!$B$11:$L$646,11,FALSE))</f>
        <v>0</v>
      </c>
      <c r="DN532" s="148" t="e">
        <f>IF(OR($C532=1,$C532=3),0,IF((VLOOKUP(CAPTURA!D532,HORAS!$B$4:$K$42,10,FALSE)/4)*COUNTIF($H532:$CT532,3)&gt;100,100,(VLOOKUP(CAPTURA!D532,HORAS!$B$4:$K$42,10,FALSE)/4)*COUNTIF($H532:$CT532,3)))</f>
        <v>#N/A</v>
      </c>
      <c r="DO532" s="144" t="e">
        <f>IF(OR($C532=1,$C532=3),0,IF($C532=5,VLOOKUP(D532,HORAS!$B$4:$G$42,6,FALSE),IF(AND($C532=4,$CV532&gt;=(42/24)),VLOOKUP(D532,HORAS!$B$4:$G$42,6,FALSE),IF(COUNTIF($H532:$CL532,"F")&gt;0,0,IF(CV532&gt;$DJ$1,$DJ$1*(VLOOKUP(D532,HORAS!$B$4:$G$42,6,FALSE)/$DJ$1),CV532*(VLOOKUP(D532,HORAS!$B$4:$G$42,6,FALSE)/$DJ$1))))))</f>
        <v>#N/A</v>
      </c>
      <c r="DP532" s="156"/>
      <c r="DQ532" s="148"/>
      <c r="DR532" s="148"/>
      <c r="DS532" s="83" t="e">
        <f t="shared" si="162"/>
        <v>#N/A</v>
      </c>
      <c r="DT532" s="84"/>
      <c r="DU532" s="149" t="e">
        <f t="shared" si="251"/>
        <v>#N/A</v>
      </c>
      <c r="DV532" s="149" t="e">
        <f t="shared" si="252"/>
        <v>#N/A</v>
      </c>
      <c r="DW532" s="144" t="e">
        <f t="shared" si="253"/>
        <v>#N/A</v>
      </c>
      <c r="DX532" s="168"/>
      <c r="DY532" s="29"/>
      <c r="DZ532" s="150"/>
      <c r="EA532" s="134"/>
      <c r="EB532" s="137">
        <f t="shared" si="254"/>
        <v>0</v>
      </c>
      <c r="EC532" s="138">
        <f t="shared" si="255"/>
        <v>0</v>
      </c>
      <c r="ED532" s="137">
        <f t="shared" si="256"/>
        <v>0</v>
      </c>
      <c r="EE532" s="132">
        <f t="shared" si="257"/>
        <v>0</v>
      </c>
      <c r="EF532" s="29"/>
      <c r="EG532" s="134"/>
      <c r="EH532" s="134"/>
      <c r="EI532" s="134"/>
      <c r="EK532" s="29"/>
    </row>
    <row r="533" spans="1:141" ht="15" customHeight="1" x14ac:dyDescent="0.25">
      <c r="A533" s="87"/>
      <c r="B533" s="5"/>
      <c r="C533" s="72"/>
      <c r="D533" s="73"/>
      <c r="E533" s="73"/>
      <c r="F533" s="141"/>
      <c r="G533" s="74"/>
      <c r="H533" s="75"/>
      <c r="I533" s="76"/>
      <c r="J533" s="135"/>
      <c r="K533" s="135"/>
      <c r="L533" s="77">
        <f t="shared" si="138"/>
        <v>0</v>
      </c>
      <c r="M533" s="78"/>
      <c r="N533" s="142"/>
      <c r="O533" s="142"/>
      <c r="P533" s="77">
        <f t="shared" si="139"/>
        <v>0</v>
      </c>
      <c r="Q533" s="78"/>
      <c r="R533" s="143"/>
      <c r="S533" s="143"/>
      <c r="T533" s="77">
        <f t="shared" si="140"/>
        <v>0</v>
      </c>
      <c r="U533" s="75"/>
      <c r="V533" s="76"/>
      <c r="W533" s="135"/>
      <c r="X533" s="135"/>
      <c r="Y533" s="77">
        <f t="shared" si="141"/>
        <v>0</v>
      </c>
      <c r="Z533" s="78"/>
      <c r="AA533" s="142"/>
      <c r="AB533" s="142"/>
      <c r="AC533" s="77">
        <f t="shared" si="142"/>
        <v>0</v>
      </c>
      <c r="AD533" s="78"/>
      <c r="AE533" s="143"/>
      <c r="AF533" s="143"/>
      <c r="AG533" s="79">
        <f t="shared" si="143"/>
        <v>0</v>
      </c>
      <c r="AH533" s="75"/>
      <c r="AI533" s="76"/>
      <c r="AJ533" s="135"/>
      <c r="AK533" s="135"/>
      <c r="AL533" s="77">
        <f t="shared" si="144"/>
        <v>0</v>
      </c>
      <c r="AM533" s="76"/>
      <c r="AN533" s="142"/>
      <c r="AO533" s="142"/>
      <c r="AP533" s="77">
        <f t="shared" si="145"/>
        <v>0</v>
      </c>
      <c r="AQ533" s="78"/>
      <c r="AR533" s="142"/>
      <c r="AS533" s="142"/>
      <c r="AT533" s="79">
        <f t="shared" si="146"/>
        <v>0</v>
      </c>
      <c r="AU533" s="75"/>
      <c r="AV533" s="76"/>
      <c r="AW533" s="135"/>
      <c r="AX533" s="135"/>
      <c r="AY533" s="77">
        <f t="shared" si="147"/>
        <v>0</v>
      </c>
      <c r="AZ533" s="76"/>
      <c r="BA533" s="142"/>
      <c r="BB533" s="142"/>
      <c r="BC533" s="77">
        <f t="shared" si="148"/>
        <v>0</v>
      </c>
      <c r="BD533" s="78"/>
      <c r="BE533" s="142"/>
      <c r="BF533" s="142"/>
      <c r="BG533" s="79">
        <f t="shared" si="149"/>
        <v>0</v>
      </c>
      <c r="BH533" s="75"/>
      <c r="BI533" s="76"/>
      <c r="BJ533" s="135"/>
      <c r="BK533" s="135"/>
      <c r="BL533" s="77">
        <f t="shared" si="150"/>
        <v>0</v>
      </c>
      <c r="BM533" s="78"/>
      <c r="BN533" s="142"/>
      <c r="BO533" s="142"/>
      <c r="BP533" s="77">
        <f t="shared" si="151"/>
        <v>0</v>
      </c>
      <c r="BQ533" s="78"/>
      <c r="BR533" s="142"/>
      <c r="BS533" s="142"/>
      <c r="BT533" s="79">
        <f t="shared" si="152"/>
        <v>0</v>
      </c>
      <c r="BU533" s="75"/>
      <c r="BV533" s="76"/>
      <c r="BW533" s="135"/>
      <c r="BX533" s="135"/>
      <c r="BY533" s="77">
        <f t="shared" si="153"/>
        <v>0</v>
      </c>
      <c r="BZ533" s="78"/>
      <c r="CA533" s="142"/>
      <c r="CB533" s="142"/>
      <c r="CC533" s="77">
        <f t="shared" si="154"/>
        <v>0</v>
      </c>
      <c r="CD533" s="78"/>
      <c r="CE533" s="142"/>
      <c r="CF533" s="142"/>
      <c r="CG533" s="79">
        <f t="shared" si="155"/>
        <v>0</v>
      </c>
      <c r="CH533" s="75"/>
      <c r="CI533" s="76"/>
      <c r="CJ533" s="86"/>
      <c r="CK533" s="86"/>
      <c r="CL533" s="77">
        <f t="shared" si="156"/>
        <v>0</v>
      </c>
      <c r="CM533" s="78"/>
      <c r="CN533" s="85"/>
      <c r="CO533" s="85"/>
      <c r="CP533" s="77">
        <f t="shared" si="157"/>
        <v>0</v>
      </c>
      <c r="CQ533" s="78"/>
      <c r="CR533" s="85"/>
      <c r="CS533" s="85"/>
      <c r="CT533" s="79">
        <f t="shared" si="158"/>
        <v>0</v>
      </c>
      <c r="CU533" s="80">
        <f t="shared" si="168"/>
        <v>0</v>
      </c>
      <c r="CV533" s="81">
        <f t="shared" si="169"/>
        <v>0</v>
      </c>
      <c r="CW533" s="144"/>
      <c r="CX533" s="145">
        <f>IF(ISERROR(VLOOKUP($A533,FIJOS!$B$11:$O$590,14,FALSE)),0,VLOOKUP($A533,FIJOS!$B$11:$O$590,14,FALSE))</f>
        <v>0</v>
      </c>
      <c r="CY533" s="145">
        <f>IF(ISERROR(VLOOKUP(A533,FIJOS!$B$10:$P$590,15,FALSE)),0,VLOOKUP(A533,FIJOS!$B$10:$P$590,15,FALSE))</f>
        <v>0</v>
      </c>
      <c r="CZ533" s="155"/>
      <c r="DA533" s="147"/>
      <c r="DB533" s="147"/>
      <c r="DC533" s="147"/>
      <c r="DD533" s="147"/>
      <c r="DE533" s="147"/>
      <c r="DF533" s="145">
        <f>IF(ISERROR(VLOOKUP($A533,FIJOS!$B$11:$N$590,13,FALSE)),0,VLOOKUP($A533,FIJOS!$B$11:$N$590,13,FALSE))</f>
        <v>0</v>
      </c>
      <c r="DG533" s="145">
        <f>IF(ISERROR(VLOOKUP($A533,FIJOS!$B$11:$P$447,12,FALSE)),0,VLOOKUP($A533,FIJOS!$B$11:$P$447,12,FALSE))</f>
        <v>0</v>
      </c>
      <c r="DH533" s="82">
        <f t="shared" si="250"/>
        <v>0</v>
      </c>
      <c r="DI533" s="83" t="b">
        <f>IF($C533=1,(VLOOKUP($A533,FIJOS!$B$11:$P$545,10,FALSE)/7)*(7-$CU533),IF(AND($C533=2,CV533&lt;$DJ$1),(VLOOKUP($D533,HORAS!$B$4:$C$42,2,FALSE)*24)*$CV533,IF(AND($C533=2,CV533&gt;=$DJ$1),VLOOKUP($D533,HORAS!$B$4:$D$42,3,FALSE),IF(AND($C533=3,$CV533&gt;=$DJ$1),VLOOKUP($A533,FIJOS!$B$11:$P$545,10,FALSE),IF(AND($C533=3,$CV533&lt;$DJ$1),((VLOOKUP($A533,FIJOS!$B$11:$P$545,10,FALSE)/48)*24)*$CV533,IF(AND($C533=4,$CV533&gt;=(42/24)),VLOOKUP($D533,HORAS!$B$4:$D$42,3,FALSE),IF(AND($C533=5,$CV533&gt;=(36/24)),VLOOKUP($D533,HORAS!$B$4:$D$42,3,FALSE))))))))</f>
        <v>0</v>
      </c>
      <c r="DJ533" s="145">
        <f>IF(OR($C533=2),VLOOKUP($D533,HORAS!$B$4:$E$42,4,FALSE)*$EC533,IF(ISERROR(VLOOKUP($A533,FIJOS!$B$11:$P$108,9,FALSE)),0,VLOOKUP($A533,FIJOS!$B$11:$P$231,9,FALSE)*$EC533))</f>
        <v>0</v>
      </c>
      <c r="DK533" s="145">
        <f>IF(OR($C533=2),VLOOKUP($D533,HORAS!$B$4:$F$42,5,FALSE)*$EE533,IF(ISERROR(VLOOKUP($A533,FIJOS!$B$11:$P$108,9,FALSE)),0,VLOOKUP($A533,FIJOS!$B$11:$P$231,9,FALSE)*$EE533))</f>
        <v>0</v>
      </c>
      <c r="DL533" s="144"/>
      <c r="DM533" s="145">
        <f>IF(ISERROR(VLOOKUP($A533,FIJOS!$B$11:$L$646,11,FALSE)),0,VLOOKUP($A533,FIJOS!$B$11:$L$646,11,FALSE))</f>
        <v>0</v>
      </c>
      <c r="DN533" s="148" t="e">
        <f>IF(OR($C533=1,$C533=3),0,IF((VLOOKUP(CAPTURA!D533,HORAS!$B$4:$K$42,10,FALSE)/4)*COUNTIF($H533:$CT533,3)&gt;100,100,(VLOOKUP(CAPTURA!D533,HORAS!$B$4:$K$42,10,FALSE)/4)*COUNTIF($H533:$CT533,3)))</f>
        <v>#N/A</v>
      </c>
      <c r="DO533" s="144" t="e">
        <f>IF(OR($C533=1,$C533=3),0,IF($C533=5,VLOOKUP(D533,HORAS!$B$4:$G$42,6,FALSE),IF(AND($C533=4,$CV533&gt;=(42/24)),VLOOKUP(D533,HORAS!$B$4:$G$42,6,FALSE),IF(COUNTIF($H533:$CL533,"F")&gt;0,0,IF(CV533&gt;$DJ$1,$DJ$1*(VLOOKUP(D533,HORAS!$B$4:$G$42,6,FALSE)/$DJ$1),CV533*(VLOOKUP(D533,HORAS!$B$4:$G$42,6,FALSE)/$DJ$1))))))</f>
        <v>#N/A</v>
      </c>
      <c r="DP533" s="156"/>
      <c r="DQ533" s="148"/>
      <c r="DR533" s="148"/>
      <c r="DS533" s="83" t="e">
        <f t="shared" si="162"/>
        <v>#N/A</v>
      </c>
      <c r="DT533" s="84"/>
      <c r="DU533" s="149" t="e">
        <f t="shared" si="251"/>
        <v>#N/A</v>
      </c>
      <c r="DV533" s="149" t="e">
        <f t="shared" si="252"/>
        <v>#N/A</v>
      </c>
      <c r="DW533" s="144" t="e">
        <f t="shared" si="253"/>
        <v>#N/A</v>
      </c>
      <c r="DX533" s="168"/>
      <c r="DY533" s="29"/>
      <c r="DZ533" s="150"/>
      <c r="EA533" s="134"/>
      <c r="EB533" s="137">
        <f t="shared" si="254"/>
        <v>0</v>
      </c>
      <c r="EC533" s="138">
        <f t="shared" si="255"/>
        <v>0</v>
      </c>
      <c r="ED533" s="137">
        <f t="shared" si="256"/>
        <v>0</v>
      </c>
      <c r="EE533" s="132">
        <f t="shared" si="257"/>
        <v>0</v>
      </c>
      <c r="EF533" s="29"/>
      <c r="EG533" s="134"/>
      <c r="EH533" s="134"/>
      <c r="EI533" s="134"/>
      <c r="EK533" s="29"/>
    </row>
    <row r="534" spans="1:141" ht="15" customHeight="1" x14ac:dyDescent="0.25">
      <c r="A534" s="87"/>
      <c r="B534" s="5"/>
      <c r="C534" s="72"/>
      <c r="D534" s="73"/>
      <c r="E534" s="73"/>
      <c r="F534" s="141"/>
      <c r="G534" s="74"/>
      <c r="H534" s="75"/>
      <c r="I534" s="76"/>
      <c r="J534" s="135"/>
      <c r="K534" s="135"/>
      <c r="L534" s="77">
        <f t="shared" si="138"/>
        <v>0</v>
      </c>
      <c r="M534" s="78"/>
      <c r="N534" s="142"/>
      <c r="O534" s="142"/>
      <c r="P534" s="77">
        <f t="shared" si="139"/>
        <v>0</v>
      </c>
      <c r="Q534" s="78"/>
      <c r="R534" s="143"/>
      <c r="S534" s="143"/>
      <c r="T534" s="77">
        <f t="shared" si="140"/>
        <v>0</v>
      </c>
      <c r="U534" s="75"/>
      <c r="V534" s="76"/>
      <c r="W534" s="135"/>
      <c r="X534" s="135"/>
      <c r="Y534" s="77">
        <f t="shared" si="141"/>
        <v>0</v>
      </c>
      <c r="Z534" s="78"/>
      <c r="AA534" s="142"/>
      <c r="AB534" s="142"/>
      <c r="AC534" s="77">
        <f t="shared" si="142"/>
        <v>0</v>
      </c>
      <c r="AD534" s="78"/>
      <c r="AE534" s="143"/>
      <c r="AF534" s="143"/>
      <c r="AG534" s="79">
        <f t="shared" si="143"/>
        <v>0</v>
      </c>
      <c r="AH534" s="75"/>
      <c r="AI534" s="76"/>
      <c r="AJ534" s="135"/>
      <c r="AK534" s="135"/>
      <c r="AL534" s="77">
        <f t="shared" si="144"/>
        <v>0</v>
      </c>
      <c r="AM534" s="76"/>
      <c r="AN534" s="142"/>
      <c r="AO534" s="142"/>
      <c r="AP534" s="77">
        <f t="shared" si="145"/>
        <v>0</v>
      </c>
      <c r="AQ534" s="78"/>
      <c r="AR534" s="142"/>
      <c r="AS534" s="142"/>
      <c r="AT534" s="79">
        <f t="shared" si="146"/>
        <v>0</v>
      </c>
      <c r="AU534" s="75"/>
      <c r="AV534" s="76"/>
      <c r="AW534" s="135"/>
      <c r="AX534" s="135"/>
      <c r="AY534" s="77">
        <f t="shared" si="147"/>
        <v>0</v>
      </c>
      <c r="AZ534" s="76"/>
      <c r="BA534" s="142"/>
      <c r="BB534" s="142"/>
      <c r="BC534" s="77">
        <f t="shared" si="148"/>
        <v>0</v>
      </c>
      <c r="BD534" s="78"/>
      <c r="BE534" s="142"/>
      <c r="BF534" s="142"/>
      <c r="BG534" s="79">
        <f t="shared" si="149"/>
        <v>0</v>
      </c>
      <c r="BH534" s="75"/>
      <c r="BI534" s="76"/>
      <c r="BJ534" s="135"/>
      <c r="BK534" s="135"/>
      <c r="BL534" s="77">
        <f t="shared" si="150"/>
        <v>0</v>
      </c>
      <c r="BM534" s="78"/>
      <c r="BN534" s="142"/>
      <c r="BO534" s="142"/>
      <c r="BP534" s="77">
        <f t="shared" si="151"/>
        <v>0</v>
      </c>
      <c r="BQ534" s="78"/>
      <c r="BR534" s="142"/>
      <c r="BS534" s="142"/>
      <c r="BT534" s="79">
        <f t="shared" si="152"/>
        <v>0</v>
      </c>
      <c r="BU534" s="75"/>
      <c r="BV534" s="76"/>
      <c r="BW534" s="135"/>
      <c r="BX534" s="135"/>
      <c r="BY534" s="77">
        <f t="shared" si="153"/>
        <v>0</v>
      </c>
      <c r="BZ534" s="78"/>
      <c r="CA534" s="142"/>
      <c r="CB534" s="142"/>
      <c r="CC534" s="77">
        <f t="shared" si="154"/>
        <v>0</v>
      </c>
      <c r="CD534" s="78"/>
      <c r="CE534" s="142"/>
      <c r="CF534" s="142"/>
      <c r="CG534" s="79">
        <f t="shared" si="155"/>
        <v>0</v>
      </c>
      <c r="CH534" s="75"/>
      <c r="CI534" s="76"/>
      <c r="CJ534" s="86"/>
      <c r="CK534" s="86"/>
      <c r="CL534" s="77">
        <f t="shared" si="156"/>
        <v>0</v>
      </c>
      <c r="CM534" s="78"/>
      <c r="CN534" s="85"/>
      <c r="CO534" s="85"/>
      <c r="CP534" s="77">
        <f t="shared" si="157"/>
        <v>0</v>
      </c>
      <c r="CQ534" s="78"/>
      <c r="CR534" s="85"/>
      <c r="CS534" s="85"/>
      <c r="CT534" s="79">
        <f t="shared" si="158"/>
        <v>0</v>
      </c>
      <c r="CU534" s="80">
        <f t="shared" si="168"/>
        <v>0</v>
      </c>
      <c r="CV534" s="81">
        <f t="shared" si="169"/>
        <v>0</v>
      </c>
      <c r="CW534" s="144"/>
      <c r="CX534" s="145">
        <f>IF(ISERROR(VLOOKUP($A534,FIJOS!$B$11:$O$590,14,FALSE)),0,VLOOKUP($A534,FIJOS!$B$11:$O$590,14,FALSE))</f>
        <v>0</v>
      </c>
      <c r="CY534" s="145">
        <f>IF(ISERROR(VLOOKUP(A534,FIJOS!$B$10:$P$590,15,FALSE)),0,VLOOKUP(A534,FIJOS!$B$10:$P$590,15,FALSE))</f>
        <v>0</v>
      </c>
      <c r="CZ534" s="155"/>
      <c r="DA534" s="147"/>
      <c r="DB534" s="147"/>
      <c r="DC534" s="147"/>
      <c r="DD534" s="147"/>
      <c r="DE534" s="147"/>
      <c r="DF534" s="145">
        <f>IF(ISERROR(VLOOKUP($A534,FIJOS!$B$11:$N$590,13,FALSE)),0,VLOOKUP($A534,FIJOS!$B$11:$N$590,13,FALSE))</f>
        <v>0</v>
      </c>
      <c r="DG534" s="145">
        <f>IF(ISERROR(VLOOKUP($A534,FIJOS!$B$11:$P$447,12,FALSE)),0,VLOOKUP($A534,FIJOS!$B$11:$P$447,12,FALSE))</f>
        <v>0</v>
      </c>
      <c r="DH534" s="82">
        <f t="shared" si="250"/>
        <v>0</v>
      </c>
      <c r="DI534" s="83" t="b">
        <f>IF($C534=1,(VLOOKUP($A534,FIJOS!$B$11:$P$545,10,FALSE)/7)*(7-$CU534),IF(AND($C534=2,CV534&lt;$DJ$1),(VLOOKUP($D534,HORAS!$B$4:$C$42,2,FALSE)*24)*$CV534,IF(AND($C534=2,CV534&gt;=$DJ$1),VLOOKUP($D534,HORAS!$B$4:$D$42,3,FALSE),IF(AND($C534=3,$CV534&gt;=$DJ$1),VLOOKUP($A534,FIJOS!$B$11:$P$545,10,FALSE),IF(AND($C534=3,$CV534&lt;$DJ$1),((VLOOKUP($A534,FIJOS!$B$11:$P$545,10,FALSE)/48)*24)*$CV534,IF(AND($C534=4,$CV534&gt;=(42/24)),VLOOKUP($D534,HORAS!$B$4:$D$42,3,FALSE),IF(AND($C534=5,$CV534&gt;=(36/24)),VLOOKUP($D534,HORAS!$B$4:$D$42,3,FALSE))))))))</f>
        <v>0</v>
      </c>
      <c r="DJ534" s="145">
        <f>IF(OR($C534=2),VLOOKUP($D534,HORAS!$B$4:$E$42,4,FALSE)*$EC534,IF(ISERROR(VLOOKUP($A534,FIJOS!$B$11:$P$108,9,FALSE)),0,VLOOKUP($A534,FIJOS!$B$11:$P$231,9,FALSE)*$EC534))</f>
        <v>0</v>
      </c>
      <c r="DK534" s="145">
        <f>IF(OR($C534=2),VLOOKUP($D534,HORAS!$B$4:$F$42,5,FALSE)*$EE534,IF(ISERROR(VLOOKUP($A534,FIJOS!$B$11:$P$108,9,FALSE)),0,VLOOKUP($A534,FIJOS!$B$11:$P$231,9,FALSE)*$EE534))</f>
        <v>0</v>
      </c>
      <c r="DL534" s="144"/>
      <c r="DM534" s="145">
        <f>IF(ISERROR(VLOOKUP($A534,FIJOS!$B$11:$L$646,11,FALSE)),0,VLOOKUP($A534,FIJOS!$B$11:$L$646,11,FALSE))</f>
        <v>0</v>
      </c>
      <c r="DN534" s="148" t="e">
        <f>IF(OR($C534=1,$C534=3),0,IF((VLOOKUP(CAPTURA!D534,HORAS!$B$4:$K$42,10,FALSE)/4)*COUNTIF($H534:$CT534,3)&gt;100,100,(VLOOKUP(CAPTURA!D534,HORAS!$B$4:$K$42,10,FALSE)/4)*COUNTIF($H534:$CT534,3)))</f>
        <v>#N/A</v>
      </c>
      <c r="DO534" s="144" t="e">
        <f>IF(OR($C534=1,$C534=3),0,IF($C534=5,VLOOKUP(D534,HORAS!$B$4:$G$42,6,FALSE),IF(AND($C534=4,$CV534&gt;=(42/24)),VLOOKUP(D534,HORAS!$B$4:$G$42,6,FALSE),IF(COUNTIF($H534:$CL534,"F")&gt;0,0,IF(CV534&gt;$DJ$1,$DJ$1*(VLOOKUP(D534,HORAS!$B$4:$G$42,6,FALSE)/$DJ$1),CV534*(VLOOKUP(D534,HORAS!$B$4:$G$42,6,FALSE)/$DJ$1))))))</f>
        <v>#N/A</v>
      </c>
      <c r="DP534" s="156"/>
      <c r="DQ534" s="148"/>
      <c r="DR534" s="148"/>
      <c r="DS534" s="83" t="e">
        <f t="shared" si="162"/>
        <v>#N/A</v>
      </c>
      <c r="DT534" s="84"/>
      <c r="DU534" s="149" t="e">
        <f t="shared" si="251"/>
        <v>#N/A</v>
      </c>
      <c r="DV534" s="149" t="e">
        <f t="shared" si="252"/>
        <v>#N/A</v>
      </c>
      <c r="DW534" s="144" t="e">
        <f t="shared" si="253"/>
        <v>#N/A</v>
      </c>
      <c r="DX534" s="168"/>
      <c r="DY534" s="29"/>
      <c r="DZ534" s="150"/>
      <c r="EA534" s="134"/>
      <c r="EB534" s="137">
        <f t="shared" si="254"/>
        <v>0</v>
      </c>
      <c r="EC534" s="138">
        <f t="shared" si="255"/>
        <v>0</v>
      </c>
      <c r="ED534" s="137">
        <f t="shared" si="256"/>
        <v>0</v>
      </c>
      <c r="EE534" s="132">
        <f t="shared" si="257"/>
        <v>0</v>
      </c>
      <c r="EF534" s="29"/>
      <c r="EG534" s="134"/>
      <c r="EH534" s="134"/>
      <c r="EI534" s="134"/>
      <c r="EK534" s="29"/>
    </row>
    <row r="535" spans="1:141" ht="15" customHeight="1" x14ac:dyDescent="0.25">
      <c r="A535" s="87"/>
      <c r="B535" s="5"/>
      <c r="C535" s="72"/>
      <c r="D535" s="73"/>
      <c r="E535" s="73"/>
      <c r="F535" s="141"/>
      <c r="G535" s="74"/>
      <c r="H535" s="75"/>
      <c r="I535" s="76"/>
      <c r="J535" s="135"/>
      <c r="K535" s="135"/>
      <c r="L535" s="77">
        <f t="shared" si="138"/>
        <v>0</v>
      </c>
      <c r="M535" s="78"/>
      <c r="N535" s="142"/>
      <c r="O535" s="142"/>
      <c r="P535" s="77">
        <f t="shared" si="139"/>
        <v>0</v>
      </c>
      <c r="Q535" s="78"/>
      <c r="R535" s="143"/>
      <c r="S535" s="143"/>
      <c r="T535" s="77">
        <f t="shared" si="140"/>
        <v>0</v>
      </c>
      <c r="U535" s="75"/>
      <c r="V535" s="76"/>
      <c r="W535" s="135"/>
      <c r="X535" s="135"/>
      <c r="Y535" s="77">
        <f t="shared" si="141"/>
        <v>0</v>
      </c>
      <c r="Z535" s="78"/>
      <c r="AA535" s="142"/>
      <c r="AB535" s="142"/>
      <c r="AC535" s="77">
        <f t="shared" si="142"/>
        <v>0</v>
      </c>
      <c r="AD535" s="78"/>
      <c r="AE535" s="143"/>
      <c r="AF535" s="143"/>
      <c r="AG535" s="79">
        <f t="shared" si="143"/>
        <v>0</v>
      </c>
      <c r="AH535" s="75"/>
      <c r="AI535" s="76"/>
      <c r="AJ535" s="135"/>
      <c r="AK535" s="135"/>
      <c r="AL535" s="77">
        <f t="shared" si="144"/>
        <v>0</v>
      </c>
      <c r="AM535" s="76"/>
      <c r="AN535" s="142"/>
      <c r="AO535" s="142"/>
      <c r="AP535" s="77">
        <f t="shared" si="145"/>
        <v>0</v>
      </c>
      <c r="AQ535" s="78"/>
      <c r="AR535" s="142"/>
      <c r="AS535" s="142"/>
      <c r="AT535" s="79">
        <f t="shared" si="146"/>
        <v>0</v>
      </c>
      <c r="AU535" s="75"/>
      <c r="AV535" s="76"/>
      <c r="AW535" s="135"/>
      <c r="AX535" s="135"/>
      <c r="AY535" s="77">
        <f t="shared" si="147"/>
        <v>0</v>
      </c>
      <c r="AZ535" s="76"/>
      <c r="BA535" s="142"/>
      <c r="BB535" s="142"/>
      <c r="BC535" s="77">
        <f t="shared" si="148"/>
        <v>0</v>
      </c>
      <c r="BD535" s="78"/>
      <c r="BE535" s="142"/>
      <c r="BF535" s="142"/>
      <c r="BG535" s="79">
        <f t="shared" si="149"/>
        <v>0</v>
      </c>
      <c r="BH535" s="75"/>
      <c r="BI535" s="76"/>
      <c r="BJ535" s="135"/>
      <c r="BK535" s="135"/>
      <c r="BL535" s="77">
        <f t="shared" si="150"/>
        <v>0</v>
      </c>
      <c r="BM535" s="78"/>
      <c r="BN535" s="142"/>
      <c r="BO535" s="142"/>
      <c r="BP535" s="77">
        <f t="shared" si="151"/>
        <v>0</v>
      </c>
      <c r="BQ535" s="78"/>
      <c r="BR535" s="142"/>
      <c r="BS535" s="142"/>
      <c r="BT535" s="79">
        <f t="shared" si="152"/>
        <v>0</v>
      </c>
      <c r="BU535" s="75"/>
      <c r="BV535" s="76"/>
      <c r="BW535" s="135"/>
      <c r="BX535" s="135"/>
      <c r="BY535" s="77">
        <f t="shared" si="153"/>
        <v>0</v>
      </c>
      <c r="BZ535" s="78"/>
      <c r="CA535" s="142"/>
      <c r="CB535" s="142"/>
      <c r="CC535" s="77">
        <f t="shared" si="154"/>
        <v>0</v>
      </c>
      <c r="CD535" s="78"/>
      <c r="CE535" s="142"/>
      <c r="CF535" s="142"/>
      <c r="CG535" s="79">
        <f t="shared" si="155"/>
        <v>0</v>
      </c>
      <c r="CH535" s="75"/>
      <c r="CI535" s="76"/>
      <c r="CJ535" s="86"/>
      <c r="CK535" s="86"/>
      <c r="CL535" s="77">
        <f t="shared" si="156"/>
        <v>0</v>
      </c>
      <c r="CM535" s="78"/>
      <c r="CN535" s="85"/>
      <c r="CO535" s="85"/>
      <c r="CP535" s="77">
        <f t="shared" si="157"/>
        <v>0</v>
      </c>
      <c r="CQ535" s="78"/>
      <c r="CR535" s="85"/>
      <c r="CS535" s="85"/>
      <c r="CT535" s="79">
        <f t="shared" si="158"/>
        <v>0</v>
      </c>
      <c r="CU535" s="80">
        <f t="shared" si="168"/>
        <v>0</v>
      </c>
      <c r="CV535" s="81">
        <f t="shared" si="169"/>
        <v>0</v>
      </c>
      <c r="CW535" s="144"/>
      <c r="CX535" s="145">
        <f>IF(ISERROR(VLOOKUP($A535,FIJOS!$B$11:$O$590,14,FALSE)),0,VLOOKUP($A535,FIJOS!$B$11:$O$590,14,FALSE))</f>
        <v>0</v>
      </c>
      <c r="CY535" s="145">
        <f>IF(ISERROR(VLOOKUP(A535,FIJOS!$B$10:$P$590,15,FALSE)),0,VLOOKUP(A535,FIJOS!$B$10:$P$590,15,FALSE))</f>
        <v>0</v>
      </c>
      <c r="CZ535" s="155"/>
      <c r="DA535" s="147"/>
      <c r="DB535" s="147"/>
      <c r="DC535" s="147"/>
      <c r="DD535" s="147"/>
      <c r="DE535" s="147"/>
      <c r="DF535" s="145">
        <f>IF(ISERROR(VLOOKUP($A535,FIJOS!$B$11:$N$590,13,FALSE)),0,VLOOKUP($A535,FIJOS!$B$11:$N$590,13,FALSE))</f>
        <v>0</v>
      </c>
      <c r="DG535" s="145">
        <f>IF(ISERROR(VLOOKUP($A535,FIJOS!$B$11:$P$447,12,FALSE)),0,VLOOKUP($A535,FIJOS!$B$11:$P$447,12,FALSE))</f>
        <v>0</v>
      </c>
      <c r="DH535" s="82">
        <f t="shared" si="250"/>
        <v>0</v>
      </c>
      <c r="DI535" s="83" t="b">
        <f>IF($C535=1,(VLOOKUP($A535,FIJOS!$B$11:$P$545,10,FALSE)/7)*(7-$CU535),IF(AND($C535=2,CV535&lt;$DJ$1),(VLOOKUP($D535,HORAS!$B$4:$C$42,2,FALSE)*24)*$CV535,IF(AND($C535=2,CV535&gt;=$DJ$1),VLOOKUP($D535,HORAS!$B$4:$D$42,3,FALSE),IF(AND($C535=3,$CV535&gt;=$DJ$1),VLOOKUP($A535,FIJOS!$B$11:$P$545,10,FALSE),IF(AND($C535=3,$CV535&lt;$DJ$1),((VLOOKUP($A535,FIJOS!$B$11:$P$545,10,FALSE)/48)*24)*$CV535,IF(AND($C535=4,$CV535&gt;=(42/24)),VLOOKUP($D535,HORAS!$B$4:$D$42,3,FALSE),IF(AND($C535=5,$CV535&gt;=(36/24)),VLOOKUP($D535,HORAS!$B$4:$D$42,3,FALSE))))))))</f>
        <v>0</v>
      </c>
      <c r="DJ535" s="145">
        <f>IF(OR($C535=2),VLOOKUP($D535,HORAS!$B$4:$E$42,4,FALSE)*$EC535,IF(ISERROR(VLOOKUP($A535,FIJOS!$B$11:$P$108,9,FALSE)),0,VLOOKUP($A535,FIJOS!$B$11:$P$231,9,FALSE)*$EC535))</f>
        <v>0</v>
      </c>
      <c r="DK535" s="145">
        <f>IF(OR($C535=2),VLOOKUP($D535,HORAS!$B$4:$F$42,5,FALSE)*$EE535,IF(ISERROR(VLOOKUP($A535,FIJOS!$B$11:$P$108,9,FALSE)),0,VLOOKUP($A535,FIJOS!$B$11:$P$231,9,FALSE)*$EE535))</f>
        <v>0</v>
      </c>
      <c r="DL535" s="144"/>
      <c r="DM535" s="145">
        <f>IF(ISERROR(VLOOKUP($A535,FIJOS!$B$11:$L$646,11,FALSE)),0,VLOOKUP($A535,FIJOS!$B$11:$L$646,11,FALSE))</f>
        <v>0</v>
      </c>
      <c r="DN535" s="148" t="e">
        <f>IF(OR($C535=1,$C535=3),0,IF((VLOOKUP(CAPTURA!D535,HORAS!$B$4:$K$42,10,FALSE)/4)*COUNTIF($H535:$CT535,3)&gt;100,100,(VLOOKUP(CAPTURA!D535,HORAS!$B$4:$K$42,10,FALSE)/4)*COUNTIF($H535:$CT535,3)))</f>
        <v>#N/A</v>
      </c>
      <c r="DO535" s="144" t="e">
        <f>IF(OR($C535=1,$C535=3),0,IF($C535=5,VLOOKUP(D535,HORAS!$B$4:$G$42,6,FALSE),IF(AND($C535=4,$CV535&gt;=(42/24)),VLOOKUP(D535,HORAS!$B$4:$G$42,6,FALSE),IF(COUNTIF($H535:$CL535,"F")&gt;0,0,IF(CV535&gt;$DJ$1,$DJ$1*(VLOOKUP(D535,HORAS!$B$4:$G$42,6,FALSE)/$DJ$1),CV535*(VLOOKUP(D535,HORAS!$B$4:$G$42,6,FALSE)/$DJ$1))))))</f>
        <v>#N/A</v>
      </c>
      <c r="DP535" s="156"/>
      <c r="DQ535" s="148"/>
      <c r="DR535" s="148"/>
      <c r="DS535" s="83" t="e">
        <f t="shared" si="162"/>
        <v>#N/A</v>
      </c>
      <c r="DT535" s="84"/>
      <c r="DU535" s="149" t="e">
        <f t="shared" si="251"/>
        <v>#N/A</v>
      </c>
      <c r="DV535" s="149" t="e">
        <f t="shared" si="252"/>
        <v>#N/A</v>
      </c>
      <c r="DW535" s="144" t="e">
        <f t="shared" si="253"/>
        <v>#N/A</v>
      </c>
      <c r="DX535" s="168"/>
      <c r="DY535" s="29"/>
      <c r="DZ535" s="150"/>
      <c r="EA535" s="134"/>
      <c r="EB535" s="137">
        <f t="shared" si="254"/>
        <v>0</v>
      </c>
      <c r="EC535" s="138">
        <f t="shared" si="255"/>
        <v>0</v>
      </c>
      <c r="ED535" s="137">
        <f t="shared" si="256"/>
        <v>0</v>
      </c>
      <c r="EE535" s="132">
        <f t="shared" si="257"/>
        <v>0</v>
      </c>
      <c r="EF535" s="29"/>
      <c r="EG535" s="134"/>
      <c r="EH535" s="134"/>
      <c r="EI535" s="134"/>
      <c r="EK535" s="29"/>
    </row>
    <row r="536" spans="1:141" ht="15" customHeight="1" x14ac:dyDescent="0.25">
      <c r="A536" s="87"/>
      <c r="B536" s="5"/>
      <c r="C536" s="72"/>
      <c r="D536" s="73"/>
      <c r="E536" s="73"/>
      <c r="F536" s="141"/>
      <c r="G536" s="74"/>
      <c r="H536" s="75"/>
      <c r="I536" s="76"/>
      <c r="J536" s="135"/>
      <c r="K536" s="135"/>
      <c r="L536" s="77">
        <f t="shared" si="138"/>
        <v>0</v>
      </c>
      <c r="M536" s="78"/>
      <c r="N536" s="142"/>
      <c r="O536" s="142"/>
      <c r="P536" s="77">
        <f t="shared" si="139"/>
        <v>0</v>
      </c>
      <c r="Q536" s="78"/>
      <c r="R536" s="143"/>
      <c r="S536" s="143"/>
      <c r="T536" s="77">
        <f t="shared" si="140"/>
        <v>0</v>
      </c>
      <c r="U536" s="75"/>
      <c r="V536" s="76"/>
      <c r="W536" s="135"/>
      <c r="X536" s="135"/>
      <c r="Y536" s="77">
        <f t="shared" si="141"/>
        <v>0</v>
      </c>
      <c r="Z536" s="78"/>
      <c r="AA536" s="142"/>
      <c r="AB536" s="142"/>
      <c r="AC536" s="77">
        <f t="shared" si="142"/>
        <v>0</v>
      </c>
      <c r="AD536" s="78"/>
      <c r="AE536" s="143"/>
      <c r="AF536" s="143"/>
      <c r="AG536" s="79">
        <f t="shared" si="143"/>
        <v>0</v>
      </c>
      <c r="AH536" s="75"/>
      <c r="AI536" s="76"/>
      <c r="AJ536" s="135"/>
      <c r="AK536" s="135"/>
      <c r="AL536" s="77">
        <f t="shared" si="144"/>
        <v>0</v>
      </c>
      <c r="AM536" s="76"/>
      <c r="AN536" s="142"/>
      <c r="AO536" s="142"/>
      <c r="AP536" s="77">
        <f t="shared" si="145"/>
        <v>0</v>
      </c>
      <c r="AQ536" s="78"/>
      <c r="AR536" s="142"/>
      <c r="AS536" s="142"/>
      <c r="AT536" s="79">
        <f t="shared" si="146"/>
        <v>0</v>
      </c>
      <c r="AU536" s="75"/>
      <c r="AV536" s="76"/>
      <c r="AW536" s="135"/>
      <c r="AX536" s="135"/>
      <c r="AY536" s="77">
        <f t="shared" si="147"/>
        <v>0</v>
      </c>
      <c r="AZ536" s="76"/>
      <c r="BA536" s="142"/>
      <c r="BB536" s="142"/>
      <c r="BC536" s="77">
        <f t="shared" si="148"/>
        <v>0</v>
      </c>
      <c r="BD536" s="78"/>
      <c r="BE536" s="142"/>
      <c r="BF536" s="142"/>
      <c r="BG536" s="79">
        <f t="shared" si="149"/>
        <v>0</v>
      </c>
      <c r="BH536" s="75"/>
      <c r="BI536" s="76"/>
      <c r="BJ536" s="135"/>
      <c r="BK536" s="135"/>
      <c r="BL536" s="77">
        <f t="shared" si="150"/>
        <v>0</v>
      </c>
      <c r="BM536" s="78"/>
      <c r="BN536" s="142"/>
      <c r="BO536" s="142"/>
      <c r="BP536" s="77">
        <f t="shared" si="151"/>
        <v>0</v>
      </c>
      <c r="BQ536" s="78"/>
      <c r="BR536" s="142"/>
      <c r="BS536" s="142"/>
      <c r="BT536" s="79">
        <f t="shared" si="152"/>
        <v>0</v>
      </c>
      <c r="BU536" s="75"/>
      <c r="BV536" s="76"/>
      <c r="BW536" s="135"/>
      <c r="BX536" s="135"/>
      <c r="BY536" s="77">
        <f t="shared" si="153"/>
        <v>0</v>
      </c>
      <c r="BZ536" s="78"/>
      <c r="CA536" s="142"/>
      <c r="CB536" s="142"/>
      <c r="CC536" s="77">
        <f t="shared" si="154"/>
        <v>0</v>
      </c>
      <c r="CD536" s="78"/>
      <c r="CE536" s="142"/>
      <c r="CF536" s="142"/>
      <c r="CG536" s="79">
        <f t="shared" si="155"/>
        <v>0</v>
      </c>
      <c r="CH536" s="75"/>
      <c r="CI536" s="76"/>
      <c r="CJ536" s="86"/>
      <c r="CK536" s="86"/>
      <c r="CL536" s="77">
        <f t="shared" si="156"/>
        <v>0</v>
      </c>
      <c r="CM536" s="78"/>
      <c r="CN536" s="85"/>
      <c r="CO536" s="85"/>
      <c r="CP536" s="77">
        <f t="shared" si="157"/>
        <v>0</v>
      </c>
      <c r="CQ536" s="78"/>
      <c r="CR536" s="85"/>
      <c r="CS536" s="85"/>
      <c r="CT536" s="79">
        <f t="shared" si="158"/>
        <v>0</v>
      </c>
      <c r="CU536" s="80">
        <f t="shared" si="168"/>
        <v>0</v>
      </c>
      <c r="CV536" s="81">
        <f t="shared" si="169"/>
        <v>0</v>
      </c>
      <c r="CW536" s="144"/>
      <c r="CX536" s="145">
        <f>IF(ISERROR(VLOOKUP($A536,FIJOS!$B$11:$O$590,14,FALSE)),0,VLOOKUP($A536,FIJOS!$B$11:$O$590,14,FALSE))</f>
        <v>0</v>
      </c>
      <c r="CY536" s="145">
        <f>IF(ISERROR(VLOOKUP(A536,FIJOS!$B$10:$P$590,15,FALSE)),0,VLOOKUP(A536,FIJOS!$B$10:$P$590,15,FALSE))</f>
        <v>0</v>
      </c>
      <c r="CZ536" s="155"/>
      <c r="DA536" s="147"/>
      <c r="DB536" s="147"/>
      <c r="DC536" s="147"/>
      <c r="DD536" s="147"/>
      <c r="DE536" s="147"/>
      <c r="DF536" s="145">
        <f>IF(ISERROR(VLOOKUP($A536,FIJOS!$B$11:$N$590,13,FALSE)),0,VLOOKUP($A536,FIJOS!$B$11:$N$590,13,FALSE))</f>
        <v>0</v>
      </c>
      <c r="DG536" s="145">
        <f>IF(ISERROR(VLOOKUP($A536,FIJOS!$B$11:$P$447,12,FALSE)),0,VLOOKUP($A536,FIJOS!$B$11:$P$447,12,FALSE))</f>
        <v>0</v>
      </c>
      <c r="DH536" s="82">
        <f t="shared" si="250"/>
        <v>0</v>
      </c>
      <c r="DI536" s="83" t="b">
        <f>IF($C536=1,(VLOOKUP($A536,FIJOS!$B$11:$P$545,10,FALSE)/7)*(7-$CU536),IF(AND($C536=2,CV536&lt;$DJ$1),(VLOOKUP($D536,HORAS!$B$4:$C$42,2,FALSE)*24)*$CV536,IF(AND($C536=2,CV536&gt;=$DJ$1),VLOOKUP($D536,HORAS!$B$4:$D$42,3,FALSE),IF(AND($C536=3,$CV536&gt;=$DJ$1),VLOOKUP($A536,FIJOS!$B$11:$P$545,10,FALSE),IF(AND($C536=3,$CV536&lt;$DJ$1),((VLOOKUP($A536,FIJOS!$B$11:$P$545,10,FALSE)/48)*24)*$CV536,IF(AND($C536=4,$CV536&gt;=(42/24)),VLOOKUP($D536,HORAS!$B$4:$D$42,3,FALSE),IF(AND($C536=5,$CV536&gt;=(36/24)),VLOOKUP($D536,HORAS!$B$4:$D$42,3,FALSE))))))))</f>
        <v>0</v>
      </c>
      <c r="DJ536" s="145">
        <f>IF(OR($C536=2),VLOOKUP($D536,HORAS!$B$4:$E$42,4,FALSE)*$EC536,IF(ISERROR(VLOOKUP($A536,FIJOS!$B$11:$P$108,9,FALSE)),0,VLOOKUP($A536,FIJOS!$B$11:$P$231,9,FALSE)*$EC536))</f>
        <v>0</v>
      </c>
      <c r="DK536" s="145">
        <f>IF(OR($C536=2),VLOOKUP($D536,HORAS!$B$4:$F$42,5,FALSE)*$EE536,IF(ISERROR(VLOOKUP($A536,FIJOS!$B$11:$P$108,9,FALSE)),0,VLOOKUP($A536,FIJOS!$B$11:$P$231,9,FALSE)*$EE536))</f>
        <v>0</v>
      </c>
      <c r="DL536" s="144"/>
      <c r="DM536" s="145">
        <f>IF(ISERROR(VLOOKUP($A536,FIJOS!$B$11:$L$646,11,FALSE)),0,VLOOKUP($A536,FIJOS!$B$11:$L$646,11,FALSE))</f>
        <v>0</v>
      </c>
      <c r="DN536" s="148" t="e">
        <f>IF(OR($C536=1,$C536=3),0,IF((VLOOKUP(CAPTURA!D536,HORAS!$B$4:$K$42,10,FALSE)/4)*COUNTIF($H536:$CT536,3)&gt;100,100,(VLOOKUP(CAPTURA!D536,HORAS!$B$4:$K$42,10,FALSE)/4)*COUNTIF($H536:$CT536,3)))</f>
        <v>#N/A</v>
      </c>
      <c r="DO536" s="144" t="e">
        <f>IF(OR($C536=1,$C536=3),0,IF($C536=5,VLOOKUP(D536,HORAS!$B$4:$G$42,6,FALSE),IF(AND($C536=4,$CV536&gt;=(42/24)),VLOOKUP(D536,HORAS!$B$4:$G$42,6,FALSE),IF(COUNTIF($H536:$CL536,"F")&gt;0,0,IF(CV536&gt;$DJ$1,$DJ$1*(VLOOKUP(D536,HORAS!$B$4:$G$42,6,FALSE)/$DJ$1),CV536*(VLOOKUP(D536,HORAS!$B$4:$G$42,6,FALSE)/$DJ$1))))))</f>
        <v>#N/A</v>
      </c>
      <c r="DP536" s="156"/>
      <c r="DQ536" s="148"/>
      <c r="DR536" s="148"/>
      <c r="DS536" s="83" t="e">
        <f t="shared" si="162"/>
        <v>#N/A</v>
      </c>
      <c r="DT536" s="84"/>
      <c r="DU536" s="149" t="e">
        <f t="shared" si="251"/>
        <v>#N/A</v>
      </c>
      <c r="DV536" s="149" t="e">
        <f t="shared" si="252"/>
        <v>#N/A</v>
      </c>
      <c r="DW536" s="144" t="e">
        <f t="shared" si="253"/>
        <v>#N/A</v>
      </c>
      <c r="DX536" s="168"/>
      <c r="DY536" s="29"/>
      <c r="DZ536" s="150"/>
      <c r="EA536" s="134"/>
      <c r="EB536" s="137">
        <f t="shared" si="254"/>
        <v>0</v>
      </c>
      <c r="EC536" s="138">
        <f t="shared" si="255"/>
        <v>0</v>
      </c>
      <c r="ED536" s="137">
        <f t="shared" si="256"/>
        <v>0</v>
      </c>
      <c r="EE536" s="132">
        <f t="shared" si="257"/>
        <v>0</v>
      </c>
      <c r="EF536" s="29"/>
      <c r="EG536" s="134"/>
      <c r="EH536" s="134"/>
      <c r="EI536" s="134"/>
      <c r="EK536" s="29"/>
    </row>
    <row r="537" spans="1:141" ht="15" customHeight="1" x14ac:dyDescent="0.25">
      <c r="A537" s="87"/>
      <c r="B537" s="5"/>
      <c r="C537" s="72"/>
      <c r="D537" s="73"/>
      <c r="E537" s="73"/>
      <c r="F537" s="141"/>
      <c r="G537" s="74"/>
      <c r="H537" s="75"/>
      <c r="I537" s="76"/>
      <c r="J537" s="135"/>
      <c r="K537" s="135"/>
      <c r="L537" s="77">
        <f t="shared" si="138"/>
        <v>0</v>
      </c>
      <c r="M537" s="78"/>
      <c r="N537" s="142"/>
      <c r="O537" s="142"/>
      <c r="P537" s="77">
        <f t="shared" si="139"/>
        <v>0</v>
      </c>
      <c r="Q537" s="78"/>
      <c r="R537" s="143"/>
      <c r="S537" s="143"/>
      <c r="T537" s="77">
        <f t="shared" si="140"/>
        <v>0</v>
      </c>
      <c r="U537" s="75"/>
      <c r="V537" s="76"/>
      <c r="W537" s="135"/>
      <c r="X537" s="135"/>
      <c r="Y537" s="77">
        <f t="shared" si="141"/>
        <v>0</v>
      </c>
      <c r="Z537" s="78"/>
      <c r="AA537" s="142"/>
      <c r="AB537" s="142"/>
      <c r="AC537" s="77">
        <f t="shared" si="142"/>
        <v>0</v>
      </c>
      <c r="AD537" s="78"/>
      <c r="AE537" s="143"/>
      <c r="AF537" s="143"/>
      <c r="AG537" s="79">
        <f t="shared" si="143"/>
        <v>0</v>
      </c>
      <c r="AH537" s="75"/>
      <c r="AI537" s="76"/>
      <c r="AJ537" s="135"/>
      <c r="AK537" s="135"/>
      <c r="AL537" s="77">
        <f t="shared" si="144"/>
        <v>0</v>
      </c>
      <c r="AM537" s="76"/>
      <c r="AN537" s="142"/>
      <c r="AO537" s="142"/>
      <c r="AP537" s="77">
        <f t="shared" si="145"/>
        <v>0</v>
      </c>
      <c r="AQ537" s="78"/>
      <c r="AR537" s="142"/>
      <c r="AS537" s="142"/>
      <c r="AT537" s="79">
        <f t="shared" si="146"/>
        <v>0</v>
      </c>
      <c r="AU537" s="75"/>
      <c r="AV537" s="76"/>
      <c r="AW537" s="135"/>
      <c r="AX537" s="135"/>
      <c r="AY537" s="77">
        <f t="shared" si="147"/>
        <v>0</v>
      </c>
      <c r="AZ537" s="76"/>
      <c r="BA537" s="142"/>
      <c r="BB537" s="142"/>
      <c r="BC537" s="77">
        <f t="shared" si="148"/>
        <v>0</v>
      </c>
      <c r="BD537" s="78"/>
      <c r="BE537" s="142"/>
      <c r="BF537" s="142"/>
      <c r="BG537" s="79">
        <f t="shared" si="149"/>
        <v>0</v>
      </c>
      <c r="BH537" s="75"/>
      <c r="BI537" s="76"/>
      <c r="BJ537" s="135"/>
      <c r="BK537" s="135"/>
      <c r="BL537" s="77">
        <f t="shared" si="150"/>
        <v>0</v>
      </c>
      <c r="BM537" s="78"/>
      <c r="BN537" s="142"/>
      <c r="BO537" s="142"/>
      <c r="BP537" s="77">
        <f t="shared" si="151"/>
        <v>0</v>
      </c>
      <c r="BQ537" s="78"/>
      <c r="BR537" s="142"/>
      <c r="BS537" s="142"/>
      <c r="BT537" s="79">
        <f t="shared" si="152"/>
        <v>0</v>
      </c>
      <c r="BU537" s="75"/>
      <c r="BV537" s="76"/>
      <c r="BW537" s="135"/>
      <c r="BX537" s="135"/>
      <c r="BY537" s="77">
        <f t="shared" si="153"/>
        <v>0</v>
      </c>
      <c r="BZ537" s="78"/>
      <c r="CA537" s="142"/>
      <c r="CB537" s="142"/>
      <c r="CC537" s="77">
        <f t="shared" si="154"/>
        <v>0</v>
      </c>
      <c r="CD537" s="78"/>
      <c r="CE537" s="142"/>
      <c r="CF537" s="142"/>
      <c r="CG537" s="79">
        <f t="shared" si="155"/>
        <v>0</v>
      </c>
      <c r="CH537" s="75"/>
      <c r="CI537" s="76"/>
      <c r="CJ537" s="86"/>
      <c r="CK537" s="86"/>
      <c r="CL537" s="77">
        <f t="shared" si="156"/>
        <v>0</v>
      </c>
      <c r="CM537" s="78"/>
      <c r="CN537" s="85"/>
      <c r="CO537" s="85"/>
      <c r="CP537" s="77">
        <f t="shared" si="157"/>
        <v>0</v>
      </c>
      <c r="CQ537" s="78"/>
      <c r="CR537" s="85"/>
      <c r="CS537" s="85"/>
      <c r="CT537" s="79">
        <f t="shared" si="158"/>
        <v>0</v>
      </c>
      <c r="CU537" s="80">
        <f t="shared" si="168"/>
        <v>0</v>
      </c>
      <c r="CV537" s="81">
        <f t="shared" si="169"/>
        <v>0</v>
      </c>
      <c r="CW537" s="144"/>
      <c r="CX537" s="145">
        <f>IF(ISERROR(VLOOKUP($A537,FIJOS!$B$11:$O$590,14,FALSE)),0,VLOOKUP($A537,FIJOS!$B$11:$O$590,14,FALSE))</f>
        <v>0</v>
      </c>
      <c r="CY537" s="145">
        <f>IF(ISERROR(VLOOKUP(A537,FIJOS!$B$10:$P$590,15,FALSE)),0,VLOOKUP(A537,FIJOS!$B$10:$P$590,15,FALSE))</f>
        <v>0</v>
      </c>
      <c r="CZ537" s="155"/>
      <c r="DA537" s="147"/>
      <c r="DB537" s="147"/>
      <c r="DC537" s="147"/>
      <c r="DD537" s="147"/>
      <c r="DE537" s="147"/>
      <c r="DF537" s="145">
        <f>IF(ISERROR(VLOOKUP($A537,FIJOS!$B$11:$N$590,13,FALSE)),0,VLOOKUP($A537,FIJOS!$B$11:$N$590,13,FALSE))</f>
        <v>0</v>
      </c>
      <c r="DG537" s="145">
        <f>IF(ISERROR(VLOOKUP($A537,FIJOS!$B$11:$P$447,12,FALSE)),0,VLOOKUP($A537,FIJOS!$B$11:$P$447,12,FALSE))</f>
        <v>0</v>
      </c>
      <c r="DH537" s="82">
        <f t="shared" si="250"/>
        <v>0</v>
      </c>
      <c r="DI537" s="83" t="b">
        <f>IF($C537=1,(VLOOKUP($A537,FIJOS!$B$11:$P$545,10,FALSE)/7)*(7-$CU537),IF(AND($C537=2,CV537&lt;$DJ$1),(VLOOKUP($D537,HORAS!$B$4:$C$42,2,FALSE)*24)*$CV537,IF(AND($C537=2,CV537&gt;=$DJ$1),VLOOKUP($D537,HORAS!$B$4:$D$42,3,FALSE),IF(AND($C537=3,$CV537&gt;=$DJ$1),VLOOKUP($A537,FIJOS!$B$11:$P$545,10,FALSE),IF(AND($C537=3,$CV537&lt;$DJ$1),((VLOOKUP($A537,FIJOS!$B$11:$P$545,10,FALSE)/48)*24)*$CV537,IF(AND($C537=4,$CV537&gt;=(42/24)),VLOOKUP($D537,HORAS!$B$4:$D$42,3,FALSE),IF(AND($C537=5,$CV537&gt;=(36/24)),VLOOKUP($D537,HORAS!$B$4:$D$42,3,FALSE))))))))</f>
        <v>0</v>
      </c>
      <c r="DJ537" s="145">
        <f>IF(OR($C537=2),VLOOKUP($D537,HORAS!$B$4:$E$42,4,FALSE)*$EC537,IF(ISERROR(VLOOKUP($A537,FIJOS!$B$11:$P$108,9,FALSE)),0,VLOOKUP($A537,FIJOS!$B$11:$P$231,9,FALSE)*$EC537))</f>
        <v>0</v>
      </c>
      <c r="DK537" s="145">
        <f>IF(OR($C537=2),VLOOKUP($D537,HORAS!$B$4:$F$42,5,FALSE)*$EE537,IF(ISERROR(VLOOKUP($A537,FIJOS!$B$11:$P$108,9,FALSE)),0,VLOOKUP($A537,FIJOS!$B$11:$P$231,9,FALSE)*$EE537))</f>
        <v>0</v>
      </c>
      <c r="DL537" s="144"/>
      <c r="DM537" s="145">
        <f>IF(ISERROR(VLOOKUP($A537,FIJOS!$B$11:$L$646,11,FALSE)),0,VLOOKUP($A537,FIJOS!$B$11:$L$646,11,FALSE))</f>
        <v>0</v>
      </c>
      <c r="DN537" s="148" t="e">
        <f>IF(OR($C537=1,$C537=3),0,IF((VLOOKUP(CAPTURA!D537,HORAS!$B$4:$K$42,10,FALSE)/4)*COUNTIF($H537:$CT537,3)&gt;100,100,(VLOOKUP(CAPTURA!D537,HORAS!$B$4:$K$42,10,FALSE)/4)*COUNTIF($H537:$CT537,3)))</f>
        <v>#N/A</v>
      </c>
      <c r="DO537" s="144" t="e">
        <f>IF(OR($C537=1,$C537=3),0,IF($C537=5,VLOOKUP(D537,HORAS!$B$4:$G$42,6,FALSE),IF(AND($C537=4,$CV537&gt;=(42/24)),VLOOKUP(D537,HORAS!$B$4:$G$42,6,FALSE),IF(COUNTIF($H537:$CL537,"F")&gt;0,0,IF(CV537&gt;$DJ$1,$DJ$1*(VLOOKUP(D537,HORAS!$B$4:$G$42,6,FALSE)/$DJ$1),CV537*(VLOOKUP(D537,HORAS!$B$4:$G$42,6,FALSE)/$DJ$1))))))</f>
        <v>#N/A</v>
      </c>
      <c r="DP537" s="156"/>
      <c r="DQ537" s="148"/>
      <c r="DR537" s="148"/>
      <c r="DS537" s="83" t="e">
        <f t="shared" si="162"/>
        <v>#N/A</v>
      </c>
      <c r="DT537" s="84"/>
      <c r="DU537" s="149" t="e">
        <f t="shared" si="251"/>
        <v>#N/A</v>
      </c>
      <c r="DV537" s="149" t="e">
        <f t="shared" si="252"/>
        <v>#N/A</v>
      </c>
      <c r="DW537" s="144" t="e">
        <f t="shared" si="253"/>
        <v>#N/A</v>
      </c>
      <c r="DX537" s="168"/>
      <c r="DY537" s="29"/>
      <c r="DZ537" s="150"/>
      <c r="EA537" s="134"/>
      <c r="EB537" s="137">
        <f t="shared" si="254"/>
        <v>0</v>
      </c>
      <c r="EC537" s="138">
        <f t="shared" si="255"/>
        <v>0</v>
      </c>
      <c r="ED537" s="137">
        <f t="shared" si="256"/>
        <v>0</v>
      </c>
      <c r="EE537" s="132">
        <f t="shared" si="257"/>
        <v>0</v>
      </c>
      <c r="EF537" s="29"/>
      <c r="EG537" s="134"/>
      <c r="EH537" s="134"/>
      <c r="EI537" s="134"/>
      <c r="EK537" s="29"/>
    </row>
    <row r="538" spans="1:141" ht="15" customHeight="1" x14ac:dyDescent="0.25">
      <c r="A538" s="87"/>
      <c r="B538" s="5"/>
      <c r="C538" s="72"/>
      <c r="D538" s="73"/>
      <c r="E538" s="73"/>
      <c r="F538" s="141"/>
      <c r="G538" s="74"/>
      <c r="H538" s="75"/>
      <c r="I538" s="76"/>
      <c r="J538" s="135"/>
      <c r="K538" s="135"/>
      <c r="L538" s="77">
        <f t="shared" si="138"/>
        <v>0</v>
      </c>
      <c r="M538" s="78"/>
      <c r="N538" s="142"/>
      <c r="O538" s="142"/>
      <c r="P538" s="77">
        <f t="shared" si="139"/>
        <v>0</v>
      </c>
      <c r="Q538" s="78"/>
      <c r="R538" s="143"/>
      <c r="S538" s="143"/>
      <c r="T538" s="77">
        <f t="shared" si="140"/>
        <v>0</v>
      </c>
      <c r="U538" s="75"/>
      <c r="V538" s="76"/>
      <c r="W538" s="135"/>
      <c r="X538" s="135"/>
      <c r="Y538" s="77">
        <f t="shared" si="141"/>
        <v>0</v>
      </c>
      <c r="Z538" s="78"/>
      <c r="AA538" s="142"/>
      <c r="AB538" s="142"/>
      <c r="AC538" s="77">
        <f t="shared" si="142"/>
        <v>0</v>
      </c>
      <c r="AD538" s="78"/>
      <c r="AE538" s="143"/>
      <c r="AF538" s="143"/>
      <c r="AG538" s="79">
        <f t="shared" si="143"/>
        <v>0</v>
      </c>
      <c r="AH538" s="75"/>
      <c r="AI538" s="76"/>
      <c r="AJ538" s="135"/>
      <c r="AK538" s="135"/>
      <c r="AL538" s="77">
        <f t="shared" si="144"/>
        <v>0</v>
      </c>
      <c r="AM538" s="76"/>
      <c r="AN538" s="142"/>
      <c r="AO538" s="142"/>
      <c r="AP538" s="77">
        <f t="shared" si="145"/>
        <v>0</v>
      </c>
      <c r="AQ538" s="78"/>
      <c r="AR538" s="142"/>
      <c r="AS538" s="142"/>
      <c r="AT538" s="79">
        <f t="shared" si="146"/>
        <v>0</v>
      </c>
      <c r="AU538" s="75"/>
      <c r="AV538" s="76"/>
      <c r="AW538" s="135"/>
      <c r="AX538" s="135"/>
      <c r="AY538" s="77">
        <f t="shared" si="147"/>
        <v>0</v>
      </c>
      <c r="AZ538" s="76"/>
      <c r="BA538" s="142"/>
      <c r="BB538" s="142"/>
      <c r="BC538" s="77">
        <f t="shared" si="148"/>
        <v>0</v>
      </c>
      <c r="BD538" s="78"/>
      <c r="BE538" s="142"/>
      <c r="BF538" s="142"/>
      <c r="BG538" s="79">
        <f t="shared" si="149"/>
        <v>0</v>
      </c>
      <c r="BH538" s="75"/>
      <c r="BI538" s="76"/>
      <c r="BJ538" s="135"/>
      <c r="BK538" s="135"/>
      <c r="BL538" s="77">
        <f t="shared" si="150"/>
        <v>0</v>
      </c>
      <c r="BM538" s="78"/>
      <c r="BN538" s="142"/>
      <c r="BO538" s="142"/>
      <c r="BP538" s="77">
        <f t="shared" si="151"/>
        <v>0</v>
      </c>
      <c r="BQ538" s="78"/>
      <c r="BR538" s="142"/>
      <c r="BS538" s="142"/>
      <c r="BT538" s="79">
        <f t="shared" si="152"/>
        <v>0</v>
      </c>
      <c r="BU538" s="75"/>
      <c r="BV538" s="76"/>
      <c r="BW538" s="135"/>
      <c r="BX538" s="135"/>
      <c r="BY538" s="77">
        <f t="shared" si="153"/>
        <v>0</v>
      </c>
      <c r="BZ538" s="78"/>
      <c r="CA538" s="142"/>
      <c r="CB538" s="142"/>
      <c r="CC538" s="77">
        <f t="shared" si="154"/>
        <v>0</v>
      </c>
      <c r="CD538" s="78"/>
      <c r="CE538" s="142"/>
      <c r="CF538" s="142"/>
      <c r="CG538" s="79">
        <f t="shared" si="155"/>
        <v>0</v>
      </c>
      <c r="CH538" s="75"/>
      <c r="CI538" s="76"/>
      <c r="CJ538" s="86"/>
      <c r="CK538" s="86"/>
      <c r="CL538" s="77">
        <f t="shared" si="156"/>
        <v>0</v>
      </c>
      <c r="CM538" s="78"/>
      <c r="CN538" s="85"/>
      <c r="CO538" s="85"/>
      <c r="CP538" s="77">
        <f t="shared" si="157"/>
        <v>0</v>
      </c>
      <c r="CQ538" s="78"/>
      <c r="CR538" s="85"/>
      <c r="CS538" s="85"/>
      <c r="CT538" s="79">
        <f t="shared" si="158"/>
        <v>0</v>
      </c>
      <c r="CU538" s="80">
        <f t="shared" si="168"/>
        <v>0</v>
      </c>
      <c r="CV538" s="81">
        <f t="shared" si="169"/>
        <v>0</v>
      </c>
      <c r="CW538" s="144"/>
      <c r="CX538" s="145">
        <f>IF(ISERROR(VLOOKUP($A538,FIJOS!$B$11:$O$590,14,FALSE)),0,VLOOKUP($A538,FIJOS!$B$11:$O$590,14,FALSE))</f>
        <v>0</v>
      </c>
      <c r="CY538" s="145">
        <f>IF(ISERROR(VLOOKUP(A538,FIJOS!$B$10:$P$590,15,FALSE)),0,VLOOKUP(A538,FIJOS!$B$10:$P$590,15,FALSE))</f>
        <v>0</v>
      </c>
      <c r="CZ538" s="155"/>
      <c r="DA538" s="147"/>
      <c r="DB538" s="147"/>
      <c r="DC538" s="147"/>
      <c r="DD538" s="147"/>
      <c r="DE538" s="147"/>
      <c r="DF538" s="145">
        <f>IF(ISERROR(VLOOKUP($A538,FIJOS!$B$11:$N$590,13,FALSE)),0,VLOOKUP($A538,FIJOS!$B$11:$N$590,13,FALSE))</f>
        <v>0</v>
      </c>
      <c r="DG538" s="145">
        <f>IF(ISERROR(VLOOKUP($A538,FIJOS!$B$11:$P$447,12,FALSE)),0,VLOOKUP($A538,FIJOS!$B$11:$P$447,12,FALSE))</f>
        <v>0</v>
      </c>
      <c r="DH538" s="82">
        <f t="shared" si="250"/>
        <v>0</v>
      </c>
      <c r="DI538" s="83" t="b">
        <f>IF($C538=1,(VLOOKUP($A538,FIJOS!$B$11:$P$545,10,FALSE)/7)*(7-$CU538),IF(AND($C538=2,CV538&lt;$DJ$1),(VLOOKUP($D538,HORAS!$B$4:$C$42,2,FALSE)*24)*$CV538,IF(AND($C538=2,CV538&gt;=$DJ$1),VLOOKUP($D538,HORAS!$B$4:$D$42,3,FALSE),IF(AND($C538=3,$CV538&gt;=$DJ$1),VLOOKUP($A538,FIJOS!$B$11:$P$545,10,FALSE),IF(AND($C538=3,$CV538&lt;$DJ$1),((VLOOKUP($A538,FIJOS!$B$11:$P$545,10,FALSE)/48)*24)*$CV538,IF(AND($C538=4,$CV538&gt;=(42/24)),VLOOKUP($D538,HORAS!$B$4:$D$42,3,FALSE),IF(AND($C538=5,$CV538&gt;=(36/24)),VLOOKUP($D538,HORAS!$B$4:$D$42,3,FALSE))))))))</f>
        <v>0</v>
      </c>
      <c r="DJ538" s="145">
        <f>IF(OR($C538=2),VLOOKUP($D538,HORAS!$B$4:$E$42,4,FALSE)*$EC538,IF(ISERROR(VLOOKUP($A538,FIJOS!$B$11:$P$108,9,FALSE)),0,VLOOKUP($A538,FIJOS!$B$11:$P$231,9,FALSE)*$EC538))</f>
        <v>0</v>
      </c>
      <c r="DK538" s="145">
        <f>IF(OR($C538=2),VLOOKUP($D538,HORAS!$B$4:$F$42,5,FALSE)*$EE538,IF(ISERROR(VLOOKUP($A538,FIJOS!$B$11:$P$108,9,FALSE)),0,VLOOKUP($A538,FIJOS!$B$11:$P$231,9,FALSE)*$EE538))</f>
        <v>0</v>
      </c>
      <c r="DL538" s="144"/>
      <c r="DM538" s="145">
        <f>IF(ISERROR(VLOOKUP($A538,FIJOS!$B$11:$L$646,11,FALSE)),0,VLOOKUP($A538,FIJOS!$B$11:$L$646,11,FALSE))</f>
        <v>0</v>
      </c>
      <c r="DN538" s="148" t="e">
        <f>IF(OR($C538=1,$C538=3),0,IF((VLOOKUP(CAPTURA!D538,HORAS!$B$4:$K$42,10,FALSE)/4)*COUNTIF($H538:$CT538,3)&gt;100,100,(VLOOKUP(CAPTURA!D538,HORAS!$B$4:$K$42,10,FALSE)/4)*COUNTIF($H538:$CT538,3)))</f>
        <v>#N/A</v>
      </c>
      <c r="DO538" s="144" t="e">
        <f>IF(OR($C538=1,$C538=3),0,IF($C538=5,VLOOKUP(D538,HORAS!$B$4:$G$42,6,FALSE),IF(AND($C538=4,$CV538&gt;=(42/24)),VLOOKUP(D538,HORAS!$B$4:$G$42,6,FALSE),IF(COUNTIF($H538:$CL538,"F")&gt;0,0,IF(CV538&gt;$DJ$1,$DJ$1*(VLOOKUP(D538,HORAS!$B$4:$G$42,6,FALSE)/$DJ$1),CV538*(VLOOKUP(D538,HORAS!$B$4:$G$42,6,FALSE)/$DJ$1))))))</f>
        <v>#N/A</v>
      </c>
      <c r="DP538" s="156"/>
      <c r="DQ538" s="148"/>
      <c r="DR538" s="148"/>
      <c r="DS538" s="83" t="e">
        <f t="shared" si="162"/>
        <v>#N/A</v>
      </c>
      <c r="DT538" s="84"/>
      <c r="DU538" s="149" t="e">
        <f t="shared" si="251"/>
        <v>#N/A</v>
      </c>
      <c r="DV538" s="149" t="e">
        <f t="shared" si="252"/>
        <v>#N/A</v>
      </c>
      <c r="DW538" s="144" t="e">
        <f t="shared" si="253"/>
        <v>#N/A</v>
      </c>
      <c r="DX538" s="168"/>
      <c r="DY538" s="29"/>
      <c r="DZ538" s="150"/>
      <c r="EA538" s="134"/>
      <c r="EB538" s="137">
        <f t="shared" si="254"/>
        <v>0</v>
      </c>
      <c r="EC538" s="138">
        <f t="shared" si="255"/>
        <v>0</v>
      </c>
      <c r="ED538" s="137">
        <f t="shared" si="256"/>
        <v>0</v>
      </c>
      <c r="EE538" s="132">
        <f t="shared" si="257"/>
        <v>0</v>
      </c>
      <c r="EF538" s="29"/>
      <c r="EG538" s="134"/>
      <c r="EH538" s="134"/>
      <c r="EI538" s="134"/>
      <c r="EK538" s="29"/>
    </row>
    <row r="539" spans="1:141" ht="15" customHeight="1" x14ac:dyDescent="0.25">
      <c r="A539" s="87"/>
      <c r="B539" s="5"/>
      <c r="C539" s="72"/>
      <c r="D539" s="73"/>
      <c r="E539" s="73"/>
      <c r="F539" s="141"/>
      <c r="G539" s="74"/>
      <c r="H539" s="75"/>
      <c r="I539" s="76"/>
      <c r="J539" s="135"/>
      <c r="K539" s="135"/>
      <c r="L539" s="77">
        <f t="shared" si="138"/>
        <v>0</v>
      </c>
      <c r="M539" s="78"/>
      <c r="N539" s="142"/>
      <c r="O539" s="142"/>
      <c r="P539" s="77">
        <f t="shared" si="139"/>
        <v>0</v>
      </c>
      <c r="Q539" s="78"/>
      <c r="R539" s="143"/>
      <c r="S539" s="143"/>
      <c r="T539" s="77">
        <f t="shared" si="140"/>
        <v>0</v>
      </c>
      <c r="U539" s="75"/>
      <c r="V539" s="76"/>
      <c r="W539" s="135"/>
      <c r="X539" s="135"/>
      <c r="Y539" s="77">
        <f t="shared" si="141"/>
        <v>0</v>
      </c>
      <c r="Z539" s="78"/>
      <c r="AA539" s="142"/>
      <c r="AB539" s="142"/>
      <c r="AC539" s="77">
        <f t="shared" si="142"/>
        <v>0</v>
      </c>
      <c r="AD539" s="78"/>
      <c r="AE539" s="143"/>
      <c r="AF539" s="143"/>
      <c r="AG539" s="79">
        <f t="shared" si="143"/>
        <v>0</v>
      </c>
      <c r="AH539" s="75"/>
      <c r="AI539" s="76"/>
      <c r="AJ539" s="135"/>
      <c r="AK539" s="135"/>
      <c r="AL539" s="77">
        <f t="shared" si="144"/>
        <v>0</v>
      </c>
      <c r="AM539" s="76"/>
      <c r="AN539" s="142"/>
      <c r="AO539" s="142"/>
      <c r="AP539" s="77">
        <f t="shared" si="145"/>
        <v>0</v>
      </c>
      <c r="AQ539" s="78"/>
      <c r="AR539" s="142"/>
      <c r="AS539" s="142"/>
      <c r="AT539" s="79">
        <f t="shared" si="146"/>
        <v>0</v>
      </c>
      <c r="AU539" s="75"/>
      <c r="AV539" s="76"/>
      <c r="AW539" s="135"/>
      <c r="AX539" s="135"/>
      <c r="AY539" s="77">
        <f t="shared" si="147"/>
        <v>0</v>
      </c>
      <c r="AZ539" s="76"/>
      <c r="BA539" s="142"/>
      <c r="BB539" s="142"/>
      <c r="BC539" s="77">
        <f t="shared" si="148"/>
        <v>0</v>
      </c>
      <c r="BD539" s="78"/>
      <c r="BE539" s="142"/>
      <c r="BF539" s="142"/>
      <c r="BG539" s="79">
        <f t="shared" si="149"/>
        <v>0</v>
      </c>
      <c r="BH539" s="75"/>
      <c r="BI539" s="76"/>
      <c r="BJ539" s="135"/>
      <c r="BK539" s="135"/>
      <c r="BL539" s="77">
        <f t="shared" si="150"/>
        <v>0</v>
      </c>
      <c r="BM539" s="78"/>
      <c r="BN539" s="142"/>
      <c r="BO539" s="142"/>
      <c r="BP539" s="77">
        <f t="shared" si="151"/>
        <v>0</v>
      </c>
      <c r="BQ539" s="78"/>
      <c r="BR539" s="142"/>
      <c r="BS539" s="142"/>
      <c r="BT539" s="79">
        <f t="shared" si="152"/>
        <v>0</v>
      </c>
      <c r="BU539" s="75"/>
      <c r="BV539" s="76"/>
      <c r="BW539" s="135"/>
      <c r="BX539" s="135"/>
      <c r="BY539" s="77">
        <f t="shared" si="153"/>
        <v>0</v>
      </c>
      <c r="BZ539" s="78"/>
      <c r="CA539" s="142"/>
      <c r="CB539" s="142"/>
      <c r="CC539" s="77">
        <f t="shared" si="154"/>
        <v>0</v>
      </c>
      <c r="CD539" s="78"/>
      <c r="CE539" s="142"/>
      <c r="CF539" s="142"/>
      <c r="CG539" s="79">
        <f t="shared" si="155"/>
        <v>0</v>
      </c>
      <c r="CH539" s="75"/>
      <c r="CI539" s="76"/>
      <c r="CJ539" s="86"/>
      <c r="CK539" s="86"/>
      <c r="CL539" s="77">
        <f t="shared" si="156"/>
        <v>0</v>
      </c>
      <c r="CM539" s="78"/>
      <c r="CN539" s="85"/>
      <c r="CO539" s="85"/>
      <c r="CP539" s="77">
        <f t="shared" si="157"/>
        <v>0</v>
      </c>
      <c r="CQ539" s="78"/>
      <c r="CR539" s="85"/>
      <c r="CS539" s="85"/>
      <c r="CT539" s="79">
        <f t="shared" si="158"/>
        <v>0</v>
      </c>
      <c r="CU539" s="80">
        <f t="shared" si="168"/>
        <v>0</v>
      </c>
      <c r="CV539" s="81">
        <f t="shared" si="169"/>
        <v>0</v>
      </c>
      <c r="CW539" s="144"/>
      <c r="CX539" s="145">
        <f>IF(ISERROR(VLOOKUP($A539,FIJOS!$B$11:$O$590,14,FALSE)),0,VLOOKUP($A539,FIJOS!$B$11:$O$590,14,FALSE))</f>
        <v>0</v>
      </c>
      <c r="CY539" s="145">
        <f>IF(ISERROR(VLOOKUP(A539,FIJOS!$B$10:$P$590,15,FALSE)),0,VLOOKUP(A539,FIJOS!$B$10:$P$590,15,FALSE))</f>
        <v>0</v>
      </c>
      <c r="CZ539" s="155"/>
      <c r="DA539" s="147"/>
      <c r="DB539" s="147"/>
      <c r="DC539" s="147"/>
      <c r="DD539" s="147"/>
      <c r="DE539" s="147"/>
      <c r="DF539" s="145">
        <f>IF(ISERROR(VLOOKUP($A539,FIJOS!$B$11:$N$590,13,FALSE)),0,VLOOKUP($A539,FIJOS!$B$11:$N$590,13,FALSE))</f>
        <v>0</v>
      </c>
      <c r="DG539" s="145">
        <f>IF(ISERROR(VLOOKUP($A539,FIJOS!$B$11:$P$447,12,FALSE)),0,VLOOKUP($A539,FIJOS!$B$11:$P$447,12,FALSE))</f>
        <v>0</v>
      </c>
      <c r="DH539" s="82">
        <f t="shared" si="250"/>
        <v>0</v>
      </c>
      <c r="DI539" s="83" t="b">
        <f>IF($C539=1,(VLOOKUP($A539,FIJOS!$B$11:$P$545,10,FALSE)/7)*(7-$CU539),IF(AND($C539=2,CV539&lt;$DJ$1),(VLOOKUP($D539,HORAS!$B$4:$C$42,2,FALSE)*24)*$CV539,IF(AND($C539=2,CV539&gt;=$DJ$1),VLOOKUP($D539,HORAS!$B$4:$D$42,3,FALSE),IF(AND($C539=3,$CV539&gt;=$DJ$1),VLOOKUP($A539,FIJOS!$B$11:$P$545,10,FALSE),IF(AND($C539=3,$CV539&lt;$DJ$1),((VLOOKUP($A539,FIJOS!$B$11:$P$545,10,FALSE)/48)*24)*$CV539,IF(AND($C539=4,$CV539&gt;=(42/24)),VLOOKUP($D539,HORAS!$B$4:$D$42,3,FALSE),IF(AND($C539=5,$CV539&gt;=(36/24)),VLOOKUP($D539,HORAS!$B$4:$D$42,3,FALSE))))))))</f>
        <v>0</v>
      </c>
      <c r="DJ539" s="145">
        <f>IF(OR($C539=2),VLOOKUP($D539,HORAS!$B$4:$E$42,4,FALSE)*$EC539,IF(ISERROR(VLOOKUP($A539,FIJOS!$B$11:$P$108,9,FALSE)),0,VLOOKUP($A539,FIJOS!$B$11:$P$231,9,FALSE)*$EC539))</f>
        <v>0</v>
      </c>
      <c r="DK539" s="145">
        <f>IF(OR($C539=2),VLOOKUP($D539,HORAS!$B$4:$F$42,5,FALSE)*$EE539,IF(ISERROR(VLOOKUP($A539,FIJOS!$B$11:$P$108,9,FALSE)),0,VLOOKUP($A539,FIJOS!$B$11:$P$231,9,FALSE)*$EE539))</f>
        <v>0</v>
      </c>
      <c r="DL539" s="144"/>
      <c r="DM539" s="145">
        <f>IF(ISERROR(VLOOKUP($A539,FIJOS!$B$11:$L$646,11,FALSE)),0,VLOOKUP($A539,FIJOS!$B$11:$L$646,11,FALSE))</f>
        <v>0</v>
      </c>
      <c r="DN539" s="148" t="e">
        <f>IF(OR($C539=1,$C539=3),0,IF((VLOOKUP(CAPTURA!D539,HORAS!$B$4:$K$42,10,FALSE)/4)*COUNTIF($H539:$CT539,3)&gt;100,100,(VLOOKUP(CAPTURA!D539,HORAS!$B$4:$K$42,10,FALSE)/4)*COUNTIF($H539:$CT539,3)))</f>
        <v>#N/A</v>
      </c>
      <c r="DO539" s="144" t="e">
        <f>IF(OR($C539=1,$C539=3),0,IF($C539=5,VLOOKUP(D539,HORAS!$B$4:$G$42,6,FALSE),IF(AND($C539=4,$CV539&gt;=(42/24)),VLOOKUP(D539,HORAS!$B$4:$G$42,6,FALSE),IF(COUNTIF($H539:$CL539,"F")&gt;0,0,IF(CV539&gt;$DJ$1,$DJ$1*(VLOOKUP(D539,HORAS!$B$4:$G$42,6,FALSE)/$DJ$1),CV539*(VLOOKUP(D539,HORAS!$B$4:$G$42,6,FALSE)/$DJ$1))))))</f>
        <v>#N/A</v>
      </c>
      <c r="DP539" s="156"/>
      <c r="DQ539" s="148"/>
      <c r="DR539" s="148"/>
      <c r="DS539" s="83" t="e">
        <f t="shared" si="162"/>
        <v>#N/A</v>
      </c>
      <c r="DT539" s="84"/>
      <c r="DU539" s="149" t="e">
        <f t="shared" si="251"/>
        <v>#N/A</v>
      </c>
      <c r="DV539" s="149" t="e">
        <f t="shared" si="252"/>
        <v>#N/A</v>
      </c>
      <c r="DW539" s="144" t="e">
        <f t="shared" si="253"/>
        <v>#N/A</v>
      </c>
      <c r="DX539" s="168"/>
      <c r="DY539" s="29"/>
      <c r="DZ539" s="150"/>
      <c r="EA539" s="134"/>
      <c r="EB539" s="137">
        <f t="shared" si="254"/>
        <v>0</v>
      </c>
      <c r="EC539" s="138">
        <f t="shared" si="255"/>
        <v>0</v>
      </c>
      <c r="ED539" s="137">
        <f t="shared" si="256"/>
        <v>0</v>
      </c>
      <c r="EE539" s="132">
        <f t="shared" si="257"/>
        <v>0</v>
      </c>
      <c r="EF539" s="29"/>
      <c r="EG539" s="134"/>
      <c r="EH539" s="134"/>
      <c r="EI539" s="134"/>
      <c r="EK539" s="29"/>
    </row>
    <row r="540" spans="1:141" ht="15" customHeight="1" x14ac:dyDescent="0.25">
      <c r="A540" s="87"/>
      <c r="B540" s="5"/>
      <c r="C540" s="72"/>
      <c r="D540" s="73"/>
      <c r="E540" s="73"/>
      <c r="F540" s="141"/>
      <c r="G540" s="74"/>
      <c r="H540" s="75"/>
      <c r="I540" s="76"/>
      <c r="J540" s="135"/>
      <c r="K540" s="135"/>
      <c r="L540" s="77">
        <f t="shared" si="138"/>
        <v>0</v>
      </c>
      <c r="M540" s="78"/>
      <c r="N540" s="142"/>
      <c r="O540" s="142"/>
      <c r="P540" s="77">
        <f t="shared" si="139"/>
        <v>0</v>
      </c>
      <c r="Q540" s="78"/>
      <c r="R540" s="143"/>
      <c r="S540" s="143"/>
      <c r="T540" s="77">
        <f t="shared" si="140"/>
        <v>0</v>
      </c>
      <c r="U540" s="75"/>
      <c r="V540" s="76"/>
      <c r="W540" s="135"/>
      <c r="X540" s="135"/>
      <c r="Y540" s="77">
        <f t="shared" si="141"/>
        <v>0</v>
      </c>
      <c r="Z540" s="78"/>
      <c r="AA540" s="142"/>
      <c r="AB540" s="142"/>
      <c r="AC540" s="77">
        <f t="shared" si="142"/>
        <v>0</v>
      </c>
      <c r="AD540" s="78"/>
      <c r="AE540" s="143"/>
      <c r="AF540" s="143"/>
      <c r="AG540" s="79">
        <f t="shared" si="143"/>
        <v>0</v>
      </c>
      <c r="AH540" s="75"/>
      <c r="AI540" s="76"/>
      <c r="AJ540" s="135"/>
      <c r="AK540" s="135"/>
      <c r="AL540" s="77">
        <f t="shared" si="144"/>
        <v>0</v>
      </c>
      <c r="AM540" s="76"/>
      <c r="AN540" s="142"/>
      <c r="AO540" s="142"/>
      <c r="AP540" s="77">
        <f t="shared" si="145"/>
        <v>0</v>
      </c>
      <c r="AQ540" s="78"/>
      <c r="AR540" s="142"/>
      <c r="AS540" s="142"/>
      <c r="AT540" s="79">
        <f t="shared" si="146"/>
        <v>0</v>
      </c>
      <c r="AU540" s="75"/>
      <c r="AV540" s="76"/>
      <c r="AW540" s="135"/>
      <c r="AX540" s="135"/>
      <c r="AY540" s="77">
        <f t="shared" si="147"/>
        <v>0</v>
      </c>
      <c r="AZ540" s="76"/>
      <c r="BA540" s="142"/>
      <c r="BB540" s="142"/>
      <c r="BC540" s="77">
        <f t="shared" si="148"/>
        <v>0</v>
      </c>
      <c r="BD540" s="78"/>
      <c r="BE540" s="142"/>
      <c r="BF540" s="142"/>
      <c r="BG540" s="79">
        <f t="shared" si="149"/>
        <v>0</v>
      </c>
      <c r="BH540" s="75"/>
      <c r="BI540" s="76"/>
      <c r="BJ540" s="135"/>
      <c r="BK540" s="135"/>
      <c r="BL540" s="77">
        <f t="shared" si="150"/>
        <v>0</v>
      </c>
      <c r="BM540" s="78"/>
      <c r="BN540" s="142"/>
      <c r="BO540" s="142"/>
      <c r="BP540" s="77">
        <f t="shared" si="151"/>
        <v>0</v>
      </c>
      <c r="BQ540" s="78"/>
      <c r="BR540" s="142"/>
      <c r="BS540" s="142"/>
      <c r="BT540" s="79">
        <f t="shared" si="152"/>
        <v>0</v>
      </c>
      <c r="BU540" s="75"/>
      <c r="BV540" s="76"/>
      <c r="BW540" s="135"/>
      <c r="BX540" s="135"/>
      <c r="BY540" s="77">
        <f t="shared" si="153"/>
        <v>0</v>
      </c>
      <c r="BZ540" s="78"/>
      <c r="CA540" s="142"/>
      <c r="CB540" s="142"/>
      <c r="CC540" s="77">
        <f t="shared" si="154"/>
        <v>0</v>
      </c>
      <c r="CD540" s="78"/>
      <c r="CE540" s="142"/>
      <c r="CF540" s="142"/>
      <c r="CG540" s="79">
        <f t="shared" si="155"/>
        <v>0</v>
      </c>
      <c r="CH540" s="75"/>
      <c r="CI540" s="76"/>
      <c r="CJ540" s="86"/>
      <c r="CK540" s="86"/>
      <c r="CL540" s="77">
        <f t="shared" si="156"/>
        <v>0</v>
      </c>
      <c r="CM540" s="78"/>
      <c r="CN540" s="85"/>
      <c r="CO540" s="85"/>
      <c r="CP540" s="77">
        <f t="shared" si="157"/>
        <v>0</v>
      </c>
      <c r="CQ540" s="78"/>
      <c r="CR540" s="85"/>
      <c r="CS540" s="85"/>
      <c r="CT540" s="79">
        <f t="shared" si="158"/>
        <v>0</v>
      </c>
      <c r="CU540" s="80">
        <f t="shared" si="168"/>
        <v>0</v>
      </c>
      <c r="CV540" s="81">
        <f t="shared" si="169"/>
        <v>0</v>
      </c>
      <c r="CW540" s="144"/>
      <c r="CX540" s="145">
        <f>IF(ISERROR(VLOOKUP($A540,FIJOS!$B$11:$O$590,14,FALSE)),0,VLOOKUP($A540,FIJOS!$B$11:$O$590,14,FALSE))</f>
        <v>0</v>
      </c>
      <c r="CY540" s="145">
        <f>IF(ISERROR(VLOOKUP(A540,FIJOS!$B$10:$P$590,15,FALSE)),0,VLOOKUP(A540,FIJOS!$B$10:$P$590,15,FALSE))</f>
        <v>0</v>
      </c>
      <c r="CZ540" s="155"/>
      <c r="DA540" s="147"/>
      <c r="DB540" s="147"/>
      <c r="DC540" s="147"/>
      <c r="DD540" s="147"/>
      <c r="DE540" s="147"/>
      <c r="DF540" s="145">
        <f>IF(ISERROR(VLOOKUP($A540,FIJOS!$B$11:$N$590,13,FALSE)),0,VLOOKUP($A540,FIJOS!$B$11:$N$590,13,FALSE))</f>
        <v>0</v>
      </c>
      <c r="DG540" s="145">
        <f>IF(ISERROR(VLOOKUP($A540,FIJOS!$B$11:$P$447,12,FALSE)),0,VLOOKUP($A540,FIJOS!$B$11:$P$447,12,FALSE))</f>
        <v>0</v>
      </c>
      <c r="DH540" s="82">
        <f t="shared" si="250"/>
        <v>0</v>
      </c>
      <c r="DI540" s="83" t="b">
        <f>IF($C540=1,(VLOOKUP($A540,FIJOS!$B$11:$P$545,10,FALSE)/7)*(7-$CU540),IF(AND($C540=2,CV540&lt;$DJ$1),(VLOOKUP($D540,HORAS!$B$4:$C$42,2,FALSE)*24)*$CV540,IF(AND($C540=2,CV540&gt;=$DJ$1),VLOOKUP($D540,HORAS!$B$4:$D$42,3,FALSE),IF(AND($C540=3,$CV540&gt;=$DJ$1),VLOOKUP($A540,FIJOS!$B$11:$P$545,10,FALSE),IF(AND($C540=3,$CV540&lt;$DJ$1),((VLOOKUP($A540,FIJOS!$B$11:$P$545,10,FALSE)/48)*24)*$CV540,IF(AND($C540=4,$CV540&gt;=(42/24)),VLOOKUP($D540,HORAS!$B$4:$D$42,3,FALSE),IF(AND($C540=5,$CV540&gt;=(36/24)),VLOOKUP($D540,HORAS!$B$4:$D$42,3,FALSE))))))))</f>
        <v>0</v>
      </c>
      <c r="DJ540" s="145">
        <f>IF(OR($C540=2),VLOOKUP($D540,HORAS!$B$4:$E$42,4,FALSE)*$EC540,IF(ISERROR(VLOOKUP($A540,FIJOS!$B$11:$P$108,9,FALSE)),0,VLOOKUP($A540,FIJOS!$B$11:$P$231,9,FALSE)*$EC540))</f>
        <v>0</v>
      </c>
      <c r="DK540" s="145">
        <f>IF(OR($C540=2),VLOOKUP($D540,HORAS!$B$4:$F$42,5,FALSE)*$EE540,IF(ISERROR(VLOOKUP($A540,FIJOS!$B$11:$P$108,9,FALSE)),0,VLOOKUP($A540,FIJOS!$B$11:$P$231,9,FALSE)*$EE540))</f>
        <v>0</v>
      </c>
      <c r="DL540" s="144"/>
      <c r="DM540" s="145">
        <f>IF(ISERROR(VLOOKUP($A540,FIJOS!$B$11:$L$646,11,FALSE)),0,VLOOKUP($A540,FIJOS!$B$11:$L$646,11,FALSE))</f>
        <v>0</v>
      </c>
      <c r="DN540" s="148" t="e">
        <f>IF(OR($C540=1,$C540=3),0,IF((VLOOKUP(CAPTURA!D540,HORAS!$B$4:$K$42,10,FALSE)/4)*COUNTIF($H540:$CT540,3)&gt;100,100,(VLOOKUP(CAPTURA!D540,HORAS!$B$4:$K$42,10,FALSE)/4)*COUNTIF($H540:$CT540,3)))</f>
        <v>#N/A</v>
      </c>
      <c r="DO540" s="144" t="e">
        <f>IF(OR($C540=1,$C540=3),0,IF($C540=5,VLOOKUP(D540,HORAS!$B$4:$G$42,6,FALSE),IF(AND($C540=4,$CV540&gt;=(42/24)),VLOOKUP(D540,HORAS!$B$4:$G$42,6,FALSE),IF(COUNTIF($H540:$CL540,"F")&gt;0,0,IF(CV540&gt;$DJ$1,$DJ$1*(VLOOKUP(D540,HORAS!$B$4:$G$42,6,FALSE)/$DJ$1),CV540*(VLOOKUP(D540,HORAS!$B$4:$G$42,6,FALSE)/$DJ$1))))))</f>
        <v>#N/A</v>
      </c>
      <c r="DP540" s="156"/>
      <c r="DQ540" s="148"/>
      <c r="DR540" s="148"/>
      <c r="DS540" s="83" t="e">
        <f t="shared" si="162"/>
        <v>#N/A</v>
      </c>
      <c r="DT540" s="84"/>
      <c r="DU540" s="149" t="e">
        <f t="shared" si="251"/>
        <v>#N/A</v>
      </c>
      <c r="DV540" s="149" t="e">
        <f t="shared" si="252"/>
        <v>#N/A</v>
      </c>
      <c r="DW540" s="144" t="e">
        <f t="shared" si="253"/>
        <v>#N/A</v>
      </c>
      <c r="DX540" s="168"/>
      <c r="DY540" s="29"/>
      <c r="DZ540" s="150"/>
      <c r="EA540" s="134"/>
      <c r="EB540" s="137">
        <f t="shared" si="254"/>
        <v>0</v>
      </c>
      <c r="EC540" s="138">
        <f t="shared" si="255"/>
        <v>0</v>
      </c>
      <c r="ED540" s="137">
        <f t="shared" si="256"/>
        <v>0</v>
      </c>
      <c r="EE540" s="132">
        <f t="shared" si="257"/>
        <v>0</v>
      </c>
      <c r="EF540" s="29"/>
      <c r="EG540" s="134"/>
      <c r="EH540" s="134"/>
      <c r="EI540" s="134"/>
      <c r="EK540" s="29"/>
    </row>
    <row r="541" spans="1:141" ht="15" customHeight="1" x14ac:dyDescent="0.25">
      <c r="A541" s="87"/>
      <c r="B541" s="5"/>
      <c r="C541" s="72"/>
      <c r="D541" s="73"/>
      <c r="E541" s="73"/>
      <c r="F541" s="141"/>
      <c r="G541" s="74"/>
      <c r="H541" s="75"/>
      <c r="I541" s="76"/>
      <c r="J541" s="135"/>
      <c r="K541" s="135"/>
      <c r="L541" s="77">
        <f t="shared" si="138"/>
        <v>0</v>
      </c>
      <c r="M541" s="78"/>
      <c r="N541" s="142"/>
      <c r="O541" s="142"/>
      <c r="P541" s="77">
        <f t="shared" si="139"/>
        <v>0</v>
      </c>
      <c r="Q541" s="78"/>
      <c r="R541" s="143"/>
      <c r="S541" s="143"/>
      <c r="T541" s="77">
        <f t="shared" si="140"/>
        <v>0</v>
      </c>
      <c r="U541" s="75"/>
      <c r="V541" s="76"/>
      <c r="W541" s="135"/>
      <c r="X541" s="135"/>
      <c r="Y541" s="77">
        <f t="shared" si="141"/>
        <v>0</v>
      </c>
      <c r="Z541" s="78"/>
      <c r="AA541" s="142"/>
      <c r="AB541" s="142"/>
      <c r="AC541" s="77">
        <f t="shared" si="142"/>
        <v>0</v>
      </c>
      <c r="AD541" s="78"/>
      <c r="AE541" s="143"/>
      <c r="AF541" s="143"/>
      <c r="AG541" s="79">
        <f t="shared" si="143"/>
        <v>0</v>
      </c>
      <c r="AH541" s="75"/>
      <c r="AI541" s="76"/>
      <c r="AJ541" s="135"/>
      <c r="AK541" s="135"/>
      <c r="AL541" s="77">
        <f t="shared" si="144"/>
        <v>0</v>
      </c>
      <c r="AM541" s="76"/>
      <c r="AN541" s="142"/>
      <c r="AO541" s="142"/>
      <c r="AP541" s="77">
        <f t="shared" si="145"/>
        <v>0</v>
      </c>
      <c r="AQ541" s="78"/>
      <c r="AR541" s="142"/>
      <c r="AS541" s="142"/>
      <c r="AT541" s="79">
        <f t="shared" si="146"/>
        <v>0</v>
      </c>
      <c r="AU541" s="75"/>
      <c r="AV541" s="76"/>
      <c r="AW541" s="135"/>
      <c r="AX541" s="135"/>
      <c r="AY541" s="77">
        <f t="shared" si="147"/>
        <v>0</v>
      </c>
      <c r="AZ541" s="76"/>
      <c r="BA541" s="142"/>
      <c r="BB541" s="142"/>
      <c r="BC541" s="77">
        <f t="shared" si="148"/>
        <v>0</v>
      </c>
      <c r="BD541" s="78"/>
      <c r="BE541" s="142"/>
      <c r="BF541" s="142"/>
      <c r="BG541" s="79">
        <f t="shared" si="149"/>
        <v>0</v>
      </c>
      <c r="BH541" s="75"/>
      <c r="BI541" s="76"/>
      <c r="BJ541" s="135"/>
      <c r="BK541" s="135"/>
      <c r="BL541" s="77">
        <f t="shared" si="150"/>
        <v>0</v>
      </c>
      <c r="BM541" s="78"/>
      <c r="BN541" s="142"/>
      <c r="BO541" s="142"/>
      <c r="BP541" s="77">
        <f t="shared" si="151"/>
        <v>0</v>
      </c>
      <c r="BQ541" s="78"/>
      <c r="BR541" s="142"/>
      <c r="BS541" s="142"/>
      <c r="BT541" s="79">
        <f t="shared" si="152"/>
        <v>0</v>
      </c>
      <c r="BU541" s="75"/>
      <c r="BV541" s="76"/>
      <c r="BW541" s="135"/>
      <c r="BX541" s="135"/>
      <c r="BY541" s="77">
        <f t="shared" si="153"/>
        <v>0</v>
      </c>
      <c r="BZ541" s="78"/>
      <c r="CA541" s="142"/>
      <c r="CB541" s="142"/>
      <c r="CC541" s="77">
        <f t="shared" si="154"/>
        <v>0</v>
      </c>
      <c r="CD541" s="78"/>
      <c r="CE541" s="142"/>
      <c r="CF541" s="142"/>
      <c r="CG541" s="79">
        <f t="shared" si="155"/>
        <v>0</v>
      </c>
      <c r="CH541" s="75"/>
      <c r="CI541" s="76"/>
      <c r="CJ541" s="86"/>
      <c r="CK541" s="86"/>
      <c r="CL541" s="77">
        <f t="shared" si="156"/>
        <v>0</v>
      </c>
      <c r="CM541" s="78"/>
      <c r="CN541" s="85"/>
      <c r="CO541" s="85"/>
      <c r="CP541" s="77">
        <f t="shared" si="157"/>
        <v>0</v>
      </c>
      <c r="CQ541" s="78"/>
      <c r="CR541" s="85"/>
      <c r="CS541" s="85"/>
      <c r="CT541" s="79">
        <f t="shared" si="158"/>
        <v>0</v>
      </c>
      <c r="CU541" s="80">
        <f t="shared" si="168"/>
        <v>0</v>
      </c>
      <c r="CV541" s="81">
        <f t="shared" si="169"/>
        <v>0</v>
      </c>
      <c r="CW541" s="144"/>
      <c r="CX541" s="145">
        <f>IF(ISERROR(VLOOKUP($A541,FIJOS!$B$11:$O$590,14,FALSE)),0,VLOOKUP($A541,FIJOS!$B$11:$O$590,14,FALSE))</f>
        <v>0</v>
      </c>
      <c r="CY541" s="145">
        <f>IF(ISERROR(VLOOKUP(A541,FIJOS!$B$10:$P$590,15,FALSE)),0,VLOOKUP(A541,FIJOS!$B$10:$P$590,15,FALSE))</f>
        <v>0</v>
      </c>
      <c r="CZ541" s="155"/>
      <c r="DA541" s="147"/>
      <c r="DB541" s="147"/>
      <c r="DC541" s="147"/>
      <c r="DD541" s="147"/>
      <c r="DE541" s="147"/>
      <c r="DF541" s="145">
        <f>IF(ISERROR(VLOOKUP($A541,FIJOS!$B$11:$N$590,13,FALSE)),0,VLOOKUP($A541,FIJOS!$B$11:$N$590,13,FALSE))</f>
        <v>0</v>
      </c>
      <c r="DG541" s="145">
        <f>IF(ISERROR(VLOOKUP($A541,FIJOS!$B$11:$P$447,12,FALSE)),0,VLOOKUP($A541,FIJOS!$B$11:$P$447,12,FALSE))</f>
        <v>0</v>
      </c>
      <c r="DH541" s="82">
        <f t="shared" si="250"/>
        <v>0</v>
      </c>
      <c r="DI541" s="83" t="b">
        <f>IF($C541=1,(VLOOKUP($A541,FIJOS!$B$11:$P$545,10,FALSE)/7)*(7-$CU541),IF(AND($C541=2,CV541&lt;$DJ$1),(VLOOKUP($D541,HORAS!$B$4:$C$42,2,FALSE)*24)*$CV541,IF(AND($C541=2,CV541&gt;=$DJ$1),VLOOKUP($D541,HORAS!$B$4:$D$42,3,FALSE),IF(AND($C541=3,$CV541&gt;=$DJ$1),VLOOKUP($A541,FIJOS!$B$11:$P$545,10,FALSE),IF(AND($C541=3,$CV541&lt;$DJ$1),((VLOOKUP($A541,FIJOS!$B$11:$P$545,10,FALSE)/48)*24)*$CV541,IF(AND($C541=4,$CV541&gt;=(42/24)),VLOOKUP($D541,HORAS!$B$4:$D$42,3,FALSE),IF(AND($C541=5,$CV541&gt;=(36/24)),VLOOKUP($D541,HORAS!$B$4:$D$42,3,FALSE))))))))</f>
        <v>0</v>
      </c>
      <c r="DJ541" s="145">
        <f>IF(OR($C541=2),VLOOKUP($D541,HORAS!$B$4:$E$42,4,FALSE)*$EC541,IF(ISERROR(VLOOKUP($A541,FIJOS!$B$11:$P$108,9,FALSE)),0,VLOOKUP($A541,FIJOS!$B$11:$P$231,9,FALSE)*$EC541))</f>
        <v>0</v>
      </c>
      <c r="DK541" s="145">
        <f>IF(OR($C541=2),VLOOKUP($D541,HORAS!$B$4:$F$42,5,FALSE)*$EE541,IF(ISERROR(VLOOKUP($A541,FIJOS!$B$11:$P$108,9,FALSE)),0,VLOOKUP($A541,FIJOS!$B$11:$P$231,9,FALSE)*$EE541))</f>
        <v>0</v>
      </c>
      <c r="DL541" s="144"/>
      <c r="DM541" s="145">
        <f>IF(ISERROR(VLOOKUP($A541,FIJOS!$B$11:$L$646,11,FALSE)),0,VLOOKUP($A541,FIJOS!$B$11:$L$646,11,FALSE))</f>
        <v>0</v>
      </c>
      <c r="DN541" s="148" t="e">
        <f>IF(OR($C541=1,$C541=3),0,IF((VLOOKUP(CAPTURA!D541,HORAS!$B$4:$K$42,10,FALSE)/4)*COUNTIF($H541:$CT541,3)&gt;100,100,(VLOOKUP(CAPTURA!D541,HORAS!$B$4:$K$42,10,FALSE)/4)*COUNTIF($H541:$CT541,3)))</f>
        <v>#N/A</v>
      </c>
      <c r="DO541" s="144" t="e">
        <f>IF(OR($C541=1,$C541=3),0,IF($C541=5,VLOOKUP(D541,HORAS!$B$4:$G$42,6,FALSE),IF(AND($C541=4,$CV541&gt;=(42/24)),VLOOKUP(D541,HORAS!$B$4:$G$42,6,FALSE),IF(COUNTIF($H541:$CL541,"F")&gt;0,0,IF(CV541&gt;$DJ$1,$DJ$1*(VLOOKUP(D541,HORAS!$B$4:$G$42,6,FALSE)/$DJ$1),CV541*(VLOOKUP(D541,HORAS!$B$4:$G$42,6,FALSE)/$DJ$1))))))</f>
        <v>#N/A</v>
      </c>
      <c r="DP541" s="156"/>
      <c r="DQ541" s="148"/>
      <c r="DR541" s="148"/>
      <c r="DS541" s="83" t="e">
        <f t="shared" si="162"/>
        <v>#N/A</v>
      </c>
      <c r="DT541" s="84"/>
      <c r="DU541" s="149" t="e">
        <f t="shared" si="251"/>
        <v>#N/A</v>
      </c>
      <c r="DV541" s="149" t="e">
        <f t="shared" si="252"/>
        <v>#N/A</v>
      </c>
      <c r="DW541" s="144" t="e">
        <f t="shared" si="253"/>
        <v>#N/A</v>
      </c>
      <c r="DX541" s="168"/>
      <c r="DY541" s="29"/>
      <c r="DZ541" s="150"/>
      <c r="EA541" s="134"/>
      <c r="EB541" s="137">
        <f t="shared" si="254"/>
        <v>0</v>
      </c>
      <c r="EC541" s="138">
        <f t="shared" si="255"/>
        <v>0</v>
      </c>
      <c r="ED541" s="137">
        <f t="shared" si="256"/>
        <v>0</v>
      </c>
      <c r="EE541" s="132">
        <f t="shared" si="257"/>
        <v>0</v>
      </c>
      <c r="EF541" s="29"/>
      <c r="EG541" s="134"/>
      <c r="EH541" s="134"/>
      <c r="EI541" s="134"/>
      <c r="EK541" s="29"/>
    </row>
    <row r="542" spans="1:141" ht="15" customHeight="1" x14ac:dyDescent="0.25">
      <c r="A542" s="87"/>
      <c r="B542" s="5"/>
      <c r="C542" s="72"/>
      <c r="D542" s="73"/>
      <c r="E542" s="73"/>
      <c r="F542" s="141"/>
      <c r="G542" s="74"/>
      <c r="H542" s="75"/>
      <c r="I542" s="76"/>
      <c r="J542" s="135"/>
      <c r="K542" s="135"/>
      <c r="L542" s="77">
        <f t="shared" si="138"/>
        <v>0</v>
      </c>
      <c r="M542" s="78"/>
      <c r="N542" s="142"/>
      <c r="O542" s="142"/>
      <c r="P542" s="77">
        <f t="shared" si="139"/>
        <v>0</v>
      </c>
      <c r="Q542" s="78"/>
      <c r="R542" s="143"/>
      <c r="S542" s="143"/>
      <c r="T542" s="77">
        <f t="shared" si="140"/>
        <v>0</v>
      </c>
      <c r="U542" s="75"/>
      <c r="V542" s="76"/>
      <c r="W542" s="135"/>
      <c r="X542" s="135"/>
      <c r="Y542" s="77">
        <f t="shared" si="141"/>
        <v>0</v>
      </c>
      <c r="Z542" s="78"/>
      <c r="AA542" s="142"/>
      <c r="AB542" s="142"/>
      <c r="AC542" s="77">
        <f t="shared" si="142"/>
        <v>0</v>
      </c>
      <c r="AD542" s="78"/>
      <c r="AE542" s="143"/>
      <c r="AF542" s="143"/>
      <c r="AG542" s="79">
        <f t="shared" si="143"/>
        <v>0</v>
      </c>
      <c r="AH542" s="75"/>
      <c r="AI542" s="76"/>
      <c r="AJ542" s="135"/>
      <c r="AK542" s="135"/>
      <c r="AL542" s="77">
        <f t="shared" si="144"/>
        <v>0</v>
      </c>
      <c r="AM542" s="76"/>
      <c r="AN542" s="142"/>
      <c r="AO542" s="142"/>
      <c r="AP542" s="77">
        <f t="shared" si="145"/>
        <v>0</v>
      </c>
      <c r="AQ542" s="78"/>
      <c r="AR542" s="142"/>
      <c r="AS542" s="142"/>
      <c r="AT542" s="79">
        <f t="shared" si="146"/>
        <v>0</v>
      </c>
      <c r="AU542" s="75"/>
      <c r="AV542" s="76"/>
      <c r="AW542" s="135"/>
      <c r="AX542" s="135"/>
      <c r="AY542" s="77">
        <f t="shared" si="147"/>
        <v>0</v>
      </c>
      <c r="AZ542" s="76"/>
      <c r="BA542" s="142"/>
      <c r="BB542" s="142"/>
      <c r="BC542" s="77">
        <f t="shared" si="148"/>
        <v>0</v>
      </c>
      <c r="BD542" s="78"/>
      <c r="BE542" s="142"/>
      <c r="BF542" s="142"/>
      <c r="BG542" s="79">
        <f t="shared" si="149"/>
        <v>0</v>
      </c>
      <c r="BH542" s="75"/>
      <c r="BI542" s="76"/>
      <c r="BJ542" s="135"/>
      <c r="BK542" s="135"/>
      <c r="BL542" s="77">
        <f t="shared" si="150"/>
        <v>0</v>
      </c>
      <c r="BM542" s="78"/>
      <c r="BN542" s="142"/>
      <c r="BO542" s="142"/>
      <c r="BP542" s="77">
        <f t="shared" si="151"/>
        <v>0</v>
      </c>
      <c r="BQ542" s="78"/>
      <c r="BR542" s="142"/>
      <c r="BS542" s="142"/>
      <c r="BT542" s="79">
        <f t="shared" si="152"/>
        <v>0</v>
      </c>
      <c r="BU542" s="75"/>
      <c r="BV542" s="76"/>
      <c r="BW542" s="135"/>
      <c r="BX542" s="135"/>
      <c r="BY542" s="77">
        <f t="shared" si="153"/>
        <v>0</v>
      </c>
      <c r="BZ542" s="78"/>
      <c r="CA542" s="142"/>
      <c r="CB542" s="142"/>
      <c r="CC542" s="77">
        <f t="shared" si="154"/>
        <v>0</v>
      </c>
      <c r="CD542" s="78"/>
      <c r="CE542" s="142"/>
      <c r="CF542" s="142"/>
      <c r="CG542" s="79">
        <f t="shared" si="155"/>
        <v>0</v>
      </c>
      <c r="CH542" s="75"/>
      <c r="CI542" s="76"/>
      <c r="CJ542" s="86"/>
      <c r="CK542" s="86"/>
      <c r="CL542" s="77">
        <f t="shared" si="156"/>
        <v>0</v>
      </c>
      <c r="CM542" s="78"/>
      <c r="CN542" s="85"/>
      <c r="CO542" s="85"/>
      <c r="CP542" s="77">
        <f t="shared" si="157"/>
        <v>0</v>
      </c>
      <c r="CQ542" s="78"/>
      <c r="CR542" s="85"/>
      <c r="CS542" s="85"/>
      <c r="CT542" s="79">
        <f t="shared" si="158"/>
        <v>0</v>
      </c>
      <c r="CU542" s="80">
        <f t="shared" si="168"/>
        <v>0</v>
      </c>
      <c r="CV542" s="81">
        <f t="shared" si="169"/>
        <v>0</v>
      </c>
      <c r="CW542" s="144"/>
      <c r="CX542" s="145">
        <f>IF(ISERROR(VLOOKUP($A542,FIJOS!$B$11:$O$590,14,FALSE)),0,VLOOKUP($A542,FIJOS!$B$11:$O$590,14,FALSE))</f>
        <v>0</v>
      </c>
      <c r="CY542" s="145">
        <f>IF(ISERROR(VLOOKUP(A542,FIJOS!$B$10:$P$590,15,FALSE)),0,VLOOKUP(A542,FIJOS!$B$10:$P$590,15,FALSE))</f>
        <v>0</v>
      </c>
      <c r="CZ542" s="155"/>
      <c r="DA542" s="147"/>
      <c r="DB542" s="147"/>
      <c r="DC542" s="147"/>
      <c r="DD542" s="147"/>
      <c r="DE542" s="147"/>
      <c r="DF542" s="145">
        <f>IF(ISERROR(VLOOKUP($A542,FIJOS!$B$11:$N$590,13,FALSE)),0,VLOOKUP($A542,FIJOS!$B$11:$N$590,13,FALSE))</f>
        <v>0</v>
      </c>
      <c r="DG542" s="145">
        <f>IF(ISERROR(VLOOKUP($A542,FIJOS!$B$11:$P$447,12,FALSE)),0,VLOOKUP($A542,FIJOS!$B$11:$P$447,12,FALSE))</f>
        <v>0</v>
      </c>
      <c r="DH542" s="82">
        <f t="shared" si="250"/>
        <v>0</v>
      </c>
      <c r="DI542" s="83" t="b">
        <f>IF($C542=1,(VLOOKUP($A542,FIJOS!$B$11:$P$545,10,FALSE)/7)*(7-$CU542),IF(AND($C542=2,CV542&lt;$DJ$1),(VLOOKUP($D542,HORAS!$B$4:$C$42,2,FALSE)*24)*$CV542,IF(AND($C542=2,CV542&gt;=$DJ$1),VLOOKUP($D542,HORAS!$B$4:$D$42,3,FALSE),IF(AND($C542=3,$CV542&gt;=$DJ$1),VLOOKUP($A542,FIJOS!$B$11:$P$545,10,FALSE),IF(AND($C542=3,$CV542&lt;$DJ$1),((VLOOKUP($A542,FIJOS!$B$11:$P$545,10,FALSE)/48)*24)*$CV542,IF(AND($C542=4,$CV542&gt;=(42/24)),VLOOKUP($D542,HORAS!$B$4:$D$42,3,FALSE),IF(AND($C542=5,$CV542&gt;=(36/24)),VLOOKUP($D542,HORAS!$B$4:$D$42,3,FALSE))))))))</f>
        <v>0</v>
      </c>
      <c r="DJ542" s="145">
        <f>IF(OR($C542=2),VLOOKUP($D542,HORAS!$B$4:$E$42,4,FALSE)*$EC542,IF(ISERROR(VLOOKUP($A542,FIJOS!$B$11:$P$108,9,FALSE)),0,VLOOKUP($A542,FIJOS!$B$11:$P$231,9,FALSE)*$EC542))</f>
        <v>0</v>
      </c>
      <c r="DK542" s="145">
        <f>IF(OR($C542=2),VLOOKUP($D542,HORAS!$B$4:$F$42,5,FALSE)*$EE542,IF(ISERROR(VLOOKUP($A542,FIJOS!$B$11:$P$108,9,FALSE)),0,VLOOKUP($A542,FIJOS!$B$11:$P$231,9,FALSE)*$EE542))</f>
        <v>0</v>
      </c>
      <c r="DL542" s="144"/>
      <c r="DM542" s="145">
        <f>IF(ISERROR(VLOOKUP($A542,FIJOS!$B$11:$L$646,11,FALSE)),0,VLOOKUP($A542,FIJOS!$B$11:$L$646,11,FALSE))</f>
        <v>0</v>
      </c>
      <c r="DN542" s="148" t="e">
        <f>IF(OR($C542=1,$C542=3),0,IF((VLOOKUP(CAPTURA!D542,HORAS!$B$4:$K$42,10,FALSE)/4)*COUNTIF($H542:$CT542,3)&gt;100,100,(VLOOKUP(CAPTURA!D542,HORAS!$B$4:$K$42,10,FALSE)/4)*COUNTIF($H542:$CT542,3)))</f>
        <v>#N/A</v>
      </c>
      <c r="DO542" s="144" t="e">
        <f>IF(OR($C542=1,$C542=3),0,IF($C542=5,VLOOKUP(D542,HORAS!$B$4:$G$42,6,FALSE),IF(AND($C542=4,$CV542&gt;=(42/24)),VLOOKUP(D542,HORAS!$B$4:$G$42,6,FALSE),IF(COUNTIF($H542:$CL542,"F")&gt;0,0,IF(CV542&gt;$DJ$1,$DJ$1*(VLOOKUP(D542,HORAS!$B$4:$G$42,6,FALSE)/$DJ$1),CV542*(VLOOKUP(D542,HORAS!$B$4:$G$42,6,FALSE)/$DJ$1))))))</f>
        <v>#N/A</v>
      </c>
      <c r="DP542" s="156"/>
      <c r="DQ542" s="148"/>
      <c r="DR542" s="148"/>
      <c r="DS542" s="83" t="e">
        <f t="shared" si="162"/>
        <v>#N/A</v>
      </c>
      <c r="DT542" s="84"/>
      <c r="DU542" s="149" t="e">
        <f t="shared" si="251"/>
        <v>#N/A</v>
      </c>
      <c r="DV542" s="149" t="e">
        <f t="shared" si="252"/>
        <v>#N/A</v>
      </c>
      <c r="DW542" s="144" t="e">
        <f t="shared" si="253"/>
        <v>#N/A</v>
      </c>
      <c r="DX542" s="168"/>
      <c r="DY542" s="29"/>
      <c r="DZ542" s="150"/>
      <c r="EA542" s="134"/>
      <c r="EB542" s="137">
        <f t="shared" si="254"/>
        <v>0</v>
      </c>
      <c r="EC542" s="138">
        <f t="shared" si="255"/>
        <v>0</v>
      </c>
      <c r="ED542" s="137">
        <f t="shared" si="256"/>
        <v>0</v>
      </c>
      <c r="EE542" s="132">
        <f t="shared" si="257"/>
        <v>0</v>
      </c>
      <c r="EF542" s="29"/>
      <c r="EG542" s="134"/>
      <c r="EH542" s="134"/>
      <c r="EI542" s="134"/>
      <c r="EK542" s="29"/>
    </row>
    <row r="543" spans="1:141" ht="15" customHeight="1" x14ac:dyDescent="0.25">
      <c r="A543" s="87"/>
      <c r="B543" s="5"/>
      <c r="C543" s="72"/>
      <c r="D543" s="73"/>
      <c r="E543" s="73"/>
      <c r="F543" s="141"/>
      <c r="G543" s="74"/>
      <c r="H543" s="75"/>
      <c r="I543" s="76"/>
      <c r="J543" s="135"/>
      <c r="K543" s="135"/>
      <c r="L543" s="77">
        <f t="shared" si="138"/>
        <v>0</v>
      </c>
      <c r="M543" s="78"/>
      <c r="N543" s="142"/>
      <c r="O543" s="142"/>
      <c r="P543" s="77">
        <f t="shared" si="139"/>
        <v>0</v>
      </c>
      <c r="Q543" s="78"/>
      <c r="R543" s="143"/>
      <c r="S543" s="143"/>
      <c r="T543" s="77">
        <f t="shared" si="140"/>
        <v>0</v>
      </c>
      <c r="U543" s="75"/>
      <c r="V543" s="76"/>
      <c r="W543" s="135"/>
      <c r="X543" s="135"/>
      <c r="Y543" s="77">
        <f t="shared" si="141"/>
        <v>0</v>
      </c>
      <c r="Z543" s="78"/>
      <c r="AA543" s="142"/>
      <c r="AB543" s="142"/>
      <c r="AC543" s="77">
        <f t="shared" si="142"/>
        <v>0</v>
      </c>
      <c r="AD543" s="78"/>
      <c r="AE543" s="143"/>
      <c r="AF543" s="143"/>
      <c r="AG543" s="79">
        <f t="shared" si="143"/>
        <v>0</v>
      </c>
      <c r="AH543" s="75"/>
      <c r="AI543" s="76"/>
      <c r="AJ543" s="135"/>
      <c r="AK543" s="135"/>
      <c r="AL543" s="77">
        <f t="shared" si="144"/>
        <v>0</v>
      </c>
      <c r="AM543" s="76"/>
      <c r="AN543" s="142"/>
      <c r="AO543" s="142"/>
      <c r="AP543" s="77">
        <f t="shared" si="145"/>
        <v>0</v>
      </c>
      <c r="AQ543" s="78"/>
      <c r="AR543" s="142"/>
      <c r="AS543" s="142"/>
      <c r="AT543" s="79">
        <f t="shared" si="146"/>
        <v>0</v>
      </c>
      <c r="AU543" s="75"/>
      <c r="AV543" s="76"/>
      <c r="AW543" s="135"/>
      <c r="AX543" s="135"/>
      <c r="AY543" s="77">
        <f t="shared" si="147"/>
        <v>0</v>
      </c>
      <c r="AZ543" s="76"/>
      <c r="BA543" s="142"/>
      <c r="BB543" s="142"/>
      <c r="BC543" s="77">
        <f t="shared" si="148"/>
        <v>0</v>
      </c>
      <c r="BD543" s="78"/>
      <c r="BE543" s="142"/>
      <c r="BF543" s="142"/>
      <c r="BG543" s="79">
        <f t="shared" si="149"/>
        <v>0</v>
      </c>
      <c r="BH543" s="75"/>
      <c r="BI543" s="76"/>
      <c r="BJ543" s="135"/>
      <c r="BK543" s="135"/>
      <c r="BL543" s="77">
        <f t="shared" si="150"/>
        <v>0</v>
      </c>
      <c r="BM543" s="78"/>
      <c r="BN543" s="142"/>
      <c r="BO543" s="142"/>
      <c r="BP543" s="77">
        <f t="shared" si="151"/>
        <v>0</v>
      </c>
      <c r="BQ543" s="78"/>
      <c r="BR543" s="142"/>
      <c r="BS543" s="142"/>
      <c r="BT543" s="79">
        <f t="shared" si="152"/>
        <v>0</v>
      </c>
      <c r="BU543" s="75"/>
      <c r="BV543" s="76"/>
      <c r="BW543" s="135"/>
      <c r="BX543" s="135"/>
      <c r="BY543" s="77">
        <f t="shared" si="153"/>
        <v>0</v>
      </c>
      <c r="BZ543" s="78"/>
      <c r="CA543" s="142"/>
      <c r="CB543" s="142"/>
      <c r="CC543" s="77">
        <f t="shared" si="154"/>
        <v>0</v>
      </c>
      <c r="CD543" s="78"/>
      <c r="CE543" s="142"/>
      <c r="CF543" s="142"/>
      <c r="CG543" s="79">
        <f t="shared" si="155"/>
        <v>0</v>
      </c>
      <c r="CH543" s="75"/>
      <c r="CI543" s="76"/>
      <c r="CJ543" s="86"/>
      <c r="CK543" s="86"/>
      <c r="CL543" s="77">
        <f t="shared" si="156"/>
        <v>0</v>
      </c>
      <c r="CM543" s="78"/>
      <c r="CN543" s="85"/>
      <c r="CO543" s="85"/>
      <c r="CP543" s="77">
        <f t="shared" si="157"/>
        <v>0</v>
      </c>
      <c r="CQ543" s="78"/>
      <c r="CR543" s="85"/>
      <c r="CS543" s="85"/>
      <c r="CT543" s="79">
        <f t="shared" si="158"/>
        <v>0</v>
      </c>
      <c r="CU543" s="80">
        <f t="shared" si="168"/>
        <v>0</v>
      </c>
      <c r="CV543" s="81">
        <f t="shared" si="169"/>
        <v>0</v>
      </c>
      <c r="CW543" s="144"/>
      <c r="CX543" s="145">
        <f>IF(ISERROR(VLOOKUP($A543,FIJOS!$B$11:$O$590,14,FALSE)),0,VLOOKUP($A543,FIJOS!$B$11:$O$590,14,FALSE))</f>
        <v>0</v>
      </c>
      <c r="CY543" s="145">
        <f>IF(ISERROR(VLOOKUP(A543,FIJOS!$B$10:$P$590,15,FALSE)),0,VLOOKUP(A543,FIJOS!$B$10:$P$590,15,FALSE))</f>
        <v>0</v>
      </c>
      <c r="CZ543" s="155"/>
      <c r="DA543" s="147"/>
      <c r="DB543" s="147"/>
      <c r="DC543" s="147"/>
      <c r="DD543" s="147"/>
      <c r="DE543" s="147"/>
      <c r="DF543" s="145">
        <f>IF(ISERROR(VLOOKUP($A543,FIJOS!$B$11:$N$590,13,FALSE)),0,VLOOKUP($A543,FIJOS!$B$11:$N$590,13,FALSE))</f>
        <v>0</v>
      </c>
      <c r="DG543" s="145">
        <f>IF(ISERROR(VLOOKUP($A543,FIJOS!$B$11:$P$447,12,FALSE)),0,VLOOKUP($A543,FIJOS!$B$11:$P$447,12,FALSE))</f>
        <v>0</v>
      </c>
      <c r="DH543" s="82">
        <f t="shared" si="250"/>
        <v>0</v>
      </c>
      <c r="DI543" s="83" t="b">
        <f>IF($C543=1,(VLOOKUP($A543,FIJOS!$B$11:$P$545,10,FALSE)/7)*(7-$CU543),IF(AND($C543=2,CV543&lt;$DJ$1),(VLOOKUP($D543,HORAS!$B$4:$C$42,2,FALSE)*24)*$CV543,IF(AND($C543=2,CV543&gt;=$DJ$1),VLOOKUP($D543,HORAS!$B$4:$D$42,3,FALSE),IF(AND($C543=3,$CV543&gt;=$DJ$1),VLOOKUP($A543,FIJOS!$B$11:$P$545,10,FALSE),IF(AND($C543=3,$CV543&lt;$DJ$1),((VLOOKUP($A543,FIJOS!$B$11:$P$545,10,FALSE)/48)*24)*$CV543,IF(AND($C543=4,$CV543&gt;=(42/24)),VLOOKUP($D543,HORAS!$B$4:$D$42,3,FALSE),IF(AND($C543=5,$CV543&gt;=(36/24)),VLOOKUP($D543,HORAS!$B$4:$D$42,3,FALSE))))))))</f>
        <v>0</v>
      </c>
      <c r="DJ543" s="145">
        <f>IF(OR($C543=2),VLOOKUP($D543,HORAS!$B$4:$E$42,4,FALSE)*$EC543,IF(ISERROR(VLOOKUP($A543,FIJOS!$B$11:$P$108,9,FALSE)),0,VLOOKUP($A543,FIJOS!$B$11:$P$231,9,FALSE)*$EC543))</f>
        <v>0</v>
      </c>
      <c r="DK543" s="145">
        <f>IF(OR($C543=2),VLOOKUP($D543,HORAS!$B$4:$F$42,5,FALSE)*$EE543,IF(ISERROR(VLOOKUP($A543,FIJOS!$B$11:$P$108,9,FALSE)),0,VLOOKUP($A543,FIJOS!$B$11:$P$231,9,FALSE)*$EE543))</f>
        <v>0</v>
      </c>
      <c r="DL543" s="144"/>
      <c r="DM543" s="145">
        <f>IF(ISERROR(VLOOKUP($A543,FIJOS!$B$11:$L$646,11,FALSE)),0,VLOOKUP($A543,FIJOS!$B$11:$L$646,11,FALSE))</f>
        <v>0</v>
      </c>
      <c r="DN543" s="148" t="e">
        <f>IF(OR($C543=1,$C543=3),0,IF((VLOOKUP(CAPTURA!D543,HORAS!$B$4:$K$42,10,FALSE)/4)*COUNTIF($H543:$CT543,3)&gt;100,100,(VLOOKUP(CAPTURA!D543,HORAS!$B$4:$K$42,10,FALSE)/4)*COUNTIF($H543:$CT543,3)))</f>
        <v>#N/A</v>
      </c>
      <c r="DO543" s="144" t="e">
        <f>IF(OR($C543=1,$C543=3),0,IF($C543=5,VLOOKUP(D543,HORAS!$B$4:$G$42,6,FALSE),IF(AND($C543=4,$CV543&gt;=(42/24)),VLOOKUP(D543,HORAS!$B$4:$G$42,6,FALSE),IF(COUNTIF($H543:$CL543,"F")&gt;0,0,IF(CV543&gt;$DJ$1,$DJ$1*(VLOOKUP(D543,HORAS!$B$4:$G$42,6,FALSE)/$DJ$1),CV543*(VLOOKUP(D543,HORAS!$B$4:$G$42,6,FALSE)/$DJ$1))))))</f>
        <v>#N/A</v>
      </c>
      <c r="DP543" s="156"/>
      <c r="DQ543" s="148"/>
      <c r="DR543" s="148"/>
      <c r="DS543" s="83" t="e">
        <f t="shared" si="162"/>
        <v>#N/A</v>
      </c>
      <c r="DT543" s="84"/>
      <c r="DU543" s="149" t="e">
        <f t="shared" si="251"/>
        <v>#N/A</v>
      </c>
      <c r="DV543" s="149" t="e">
        <f t="shared" si="252"/>
        <v>#N/A</v>
      </c>
      <c r="DW543" s="144" t="e">
        <f t="shared" si="253"/>
        <v>#N/A</v>
      </c>
      <c r="DX543" s="168"/>
      <c r="DY543" s="29"/>
      <c r="DZ543" s="150"/>
      <c r="EA543" s="134"/>
      <c r="EB543" s="137">
        <f t="shared" si="254"/>
        <v>0</v>
      </c>
      <c r="EC543" s="138">
        <f t="shared" si="255"/>
        <v>0</v>
      </c>
      <c r="ED543" s="137">
        <f t="shared" si="256"/>
        <v>0</v>
      </c>
      <c r="EE543" s="132">
        <f t="shared" si="257"/>
        <v>0</v>
      </c>
      <c r="EF543" s="29"/>
      <c r="EG543" s="134"/>
      <c r="EH543" s="134"/>
      <c r="EI543" s="134"/>
      <c r="EK543" s="29"/>
    </row>
    <row r="544" spans="1:141" ht="15" customHeight="1" x14ac:dyDescent="0.25">
      <c r="A544" s="87"/>
      <c r="B544" s="5"/>
      <c r="C544" s="72"/>
      <c r="D544" s="73"/>
      <c r="E544" s="73"/>
      <c r="F544" s="141"/>
      <c r="G544" s="74"/>
      <c r="H544" s="75"/>
      <c r="I544" s="76"/>
      <c r="J544" s="135"/>
      <c r="K544" s="135"/>
      <c r="L544" s="77">
        <f t="shared" si="138"/>
        <v>0</v>
      </c>
      <c r="M544" s="78"/>
      <c r="N544" s="142"/>
      <c r="O544" s="142"/>
      <c r="P544" s="77">
        <f t="shared" si="139"/>
        <v>0</v>
      </c>
      <c r="Q544" s="78"/>
      <c r="R544" s="143"/>
      <c r="S544" s="143"/>
      <c r="T544" s="77">
        <f t="shared" si="140"/>
        <v>0</v>
      </c>
      <c r="U544" s="75"/>
      <c r="V544" s="76"/>
      <c r="W544" s="135"/>
      <c r="X544" s="135"/>
      <c r="Y544" s="77">
        <f t="shared" si="141"/>
        <v>0</v>
      </c>
      <c r="Z544" s="78"/>
      <c r="AA544" s="142"/>
      <c r="AB544" s="142"/>
      <c r="AC544" s="77">
        <f t="shared" si="142"/>
        <v>0</v>
      </c>
      <c r="AD544" s="78"/>
      <c r="AE544" s="143"/>
      <c r="AF544" s="143"/>
      <c r="AG544" s="79">
        <f t="shared" si="143"/>
        <v>0</v>
      </c>
      <c r="AH544" s="75"/>
      <c r="AI544" s="76"/>
      <c r="AJ544" s="135"/>
      <c r="AK544" s="135"/>
      <c r="AL544" s="77">
        <f t="shared" si="144"/>
        <v>0</v>
      </c>
      <c r="AM544" s="76"/>
      <c r="AN544" s="142"/>
      <c r="AO544" s="142"/>
      <c r="AP544" s="77">
        <f t="shared" si="145"/>
        <v>0</v>
      </c>
      <c r="AQ544" s="78"/>
      <c r="AR544" s="142"/>
      <c r="AS544" s="142"/>
      <c r="AT544" s="79">
        <f t="shared" si="146"/>
        <v>0</v>
      </c>
      <c r="AU544" s="75"/>
      <c r="AV544" s="76"/>
      <c r="AW544" s="135"/>
      <c r="AX544" s="135"/>
      <c r="AY544" s="77">
        <f t="shared" si="147"/>
        <v>0</v>
      </c>
      <c r="AZ544" s="76"/>
      <c r="BA544" s="142"/>
      <c r="BB544" s="142"/>
      <c r="BC544" s="77">
        <f t="shared" si="148"/>
        <v>0</v>
      </c>
      <c r="BD544" s="78"/>
      <c r="BE544" s="142"/>
      <c r="BF544" s="142"/>
      <c r="BG544" s="79">
        <f t="shared" si="149"/>
        <v>0</v>
      </c>
      <c r="BH544" s="75"/>
      <c r="BI544" s="76"/>
      <c r="BJ544" s="135"/>
      <c r="BK544" s="135"/>
      <c r="BL544" s="77">
        <f t="shared" si="150"/>
        <v>0</v>
      </c>
      <c r="BM544" s="78"/>
      <c r="BN544" s="142"/>
      <c r="BO544" s="142"/>
      <c r="BP544" s="77">
        <f t="shared" si="151"/>
        <v>0</v>
      </c>
      <c r="BQ544" s="78"/>
      <c r="BR544" s="142"/>
      <c r="BS544" s="142"/>
      <c r="BT544" s="79">
        <f t="shared" si="152"/>
        <v>0</v>
      </c>
      <c r="BU544" s="75"/>
      <c r="BV544" s="76"/>
      <c r="BW544" s="135"/>
      <c r="BX544" s="135"/>
      <c r="BY544" s="77">
        <f t="shared" si="153"/>
        <v>0</v>
      </c>
      <c r="BZ544" s="78"/>
      <c r="CA544" s="142"/>
      <c r="CB544" s="142"/>
      <c r="CC544" s="77">
        <f t="shared" si="154"/>
        <v>0</v>
      </c>
      <c r="CD544" s="78"/>
      <c r="CE544" s="142"/>
      <c r="CF544" s="142"/>
      <c r="CG544" s="79">
        <f t="shared" si="155"/>
        <v>0</v>
      </c>
      <c r="CH544" s="75"/>
      <c r="CI544" s="76"/>
      <c r="CJ544" s="86"/>
      <c r="CK544" s="86"/>
      <c r="CL544" s="77">
        <f t="shared" si="156"/>
        <v>0</v>
      </c>
      <c r="CM544" s="78"/>
      <c r="CN544" s="85"/>
      <c r="CO544" s="85"/>
      <c r="CP544" s="77">
        <f t="shared" si="157"/>
        <v>0</v>
      </c>
      <c r="CQ544" s="78"/>
      <c r="CR544" s="85"/>
      <c r="CS544" s="85"/>
      <c r="CT544" s="79">
        <f t="shared" si="158"/>
        <v>0</v>
      </c>
      <c r="CU544" s="80">
        <f t="shared" si="168"/>
        <v>0</v>
      </c>
      <c r="CV544" s="81">
        <f t="shared" si="169"/>
        <v>0</v>
      </c>
      <c r="CW544" s="144"/>
      <c r="CX544" s="145">
        <f>IF(ISERROR(VLOOKUP($A544,FIJOS!$B$11:$O$590,14,FALSE)),0,VLOOKUP($A544,FIJOS!$B$11:$O$590,14,FALSE))</f>
        <v>0</v>
      </c>
      <c r="CY544" s="145">
        <f>IF(ISERROR(VLOOKUP(A544,FIJOS!$B$10:$P$590,15,FALSE)),0,VLOOKUP(A544,FIJOS!$B$10:$P$590,15,FALSE))</f>
        <v>0</v>
      </c>
      <c r="CZ544" s="155"/>
      <c r="DA544" s="147"/>
      <c r="DB544" s="147"/>
      <c r="DC544" s="147"/>
      <c r="DD544" s="147"/>
      <c r="DE544" s="147"/>
      <c r="DF544" s="145">
        <f>IF(ISERROR(VLOOKUP($A544,FIJOS!$B$11:$N$590,13,FALSE)),0,VLOOKUP($A544,FIJOS!$B$11:$N$590,13,FALSE))</f>
        <v>0</v>
      </c>
      <c r="DG544" s="145">
        <f>IF(ISERROR(VLOOKUP($A544,FIJOS!$B$11:$P$447,12,FALSE)),0,VLOOKUP($A544,FIJOS!$B$11:$P$447,12,FALSE))</f>
        <v>0</v>
      </c>
      <c r="DH544" s="82">
        <f t="shared" si="250"/>
        <v>0</v>
      </c>
      <c r="DI544" s="83" t="b">
        <f>IF($C544=1,(VLOOKUP($A544,FIJOS!$B$11:$P$545,10,FALSE)/7)*(7-$CU544),IF(AND($C544=2,CV544&lt;$DJ$1),(VLOOKUP($D544,HORAS!$B$4:$C$42,2,FALSE)*24)*$CV544,IF(AND($C544=2,CV544&gt;=$DJ$1),VLOOKUP($D544,HORAS!$B$4:$D$42,3,FALSE),IF(AND($C544=3,$CV544&gt;=$DJ$1),VLOOKUP($A544,FIJOS!$B$11:$P$545,10,FALSE),IF(AND($C544=3,$CV544&lt;$DJ$1),((VLOOKUP($A544,FIJOS!$B$11:$P$545,10,FALSE)/48)*24)*$CV544,IF(AND($C544=4,$CV544&gt;=(42/24)),VLOOKUP($D544,HORAS!$B$4:$D$42,3,FALSE),IF(AND($C544=5,$CV544&gt;=(36/24)),VLOOKUP($D544,HORAS!$B$4:$D$42,3,FALSE))))))))</f>
        <v>0</v>
      </c>
      <c r="DJ544" s="145">
        <f>IF(OR($C544=2),VLOOKUP($D544,HORAS!$B$4:$E$42,4,FALSE)*$EC544,IF(ISERROR(VLOOKUP($A544,FIJOS!$B$11:$P$108,9,FALSE)),0,VLOOKUP($A544,FIJOS!$B$11:$P$231,9,FALSE)*$EC544))</f>
        <v>0</v>
      </c>
      <c r="DK544" s="145">
        <f>IF(OR($C544=2),VLOOKUP($D544,HORAS!$B$4:$F$42,5,FALSE)*$EE544,IF(ISERROR(VLOOKUP($A544,FIJOS!$B$11:$P$108,9,FALSE)),0,VLOOKUP($A544,FIJOS!$B$11:$P$231,9,FALSE)*$EE544))</f>
        <v>0</v>
      </c>
      <c r="DL544" s="144"/>
      <c r="DM544" s="145">
        <f>IF(ISERROR(VLOOKUP($A544,FIJOS!$B$11:$L$646,11,FALSE)),0,VLOOKUP($A544,FIJOS!$B$11:$L$646,11,FALSE))</f>
        <v>0</v>
      </c>
      <c r="DN544" s="148" t="e">
        <f>IF(OR($C544=1,$C544=3),0,IF((VLOOKUP(CAPTURA!D544,HORAS!$B$4:$K$42,10,FALSE)/4)*COUNTIF($H544:$CT544,3)&gt;100,100,(VLOOKUP(CAPTURA!D544,HORAS!$B$4:$K$42,10,FALSE)/4)*COUNTIF($H544:$CT544,3)))</f>
        <v>#N/A</v>
      </c>
      <c r="DO544" s="144" t="e">
        <f>IF(OR($C544=1,$C544=3),0,IF($C544=5,VLOOKUP(D544,HORAS!$B$4:$G$42,6,FALSE),IF(AND($C544=4,$CV544&gt;=(42/24)),VLOOKUP(D544,HORAS!$B$4:$G$42,6,FALSE),IF(COUNTIF($H544:$CL544,"F")&gt;0,0,IF(CV544&gt;$DJ$1,$DJ$1*(VLOOKUP(D544,HORAS!$B$4:$G$42,6,FALSE)/$DJ$1),CV544*(VLOOKUP(D544,HORAS!$B$4:$G$42,6,FALSE)/$DJ$1))))))</f>
        <v>#N/A</v>
      </c>
      <c r="DP544" s="156"/>
      <c r="DQ544" s="148"/>
      <c r="DR544" s="148"/>
      <c r="DS544" s="83" t="e">
        <f t="shared" si="162"/>
        <v>#N/A</v>
      </c>
      <c r="DT544" s="84"/>
      <c r="DU544" s="149" t="e">
        <f t="shared" si="251"/>
        <v>#N/A</v>
      </c>
      <c r="DV544" s="149" t="e">
        <f t="shared" si="252"/>
        <v>#N/A</v>
      </c>
      <c r="DW544" s="144" t="e">
        <f t="shared" si="253"/>
        <v>#N/A</v>
      </c>
      <c r="DX544" s="168"/>
      <c r="DY544" s="29"/>
      <c r="DZ544" s="150"/>
      <c r="EA544" s="134"/>
      <c r="EB544" s="137">
        <f t="shared" si="254"/>
        <v>0</v>
      </c>
      <c r="EC544" s="138">
        <f t="shared" si="255"/>
        <v>0</v>
      </c>
      <c r="ED544" s="137">
        <f t="shared" si="256"/>
        <v>0</v>
      </c>
      <c r="EE544" s="132">
        <f t="shared" si="257"/>
        <v>0</v>
      </c>
      <c r="EF544" s="29"/>
      <c r="EG544" s="134"/>
      <c r="EH544" s="134"/>
      <c r="EI544" s="134"/>
      <c r="EK544" s="29"/>
    </row>
    <row r="545" spans="1:141" ht="15" customHeight="1" x14ac:dyDescent="0.25">
      <c r="A545" s="87"/>
      <c r="B545" s="5"/>
      <c r="C545" s="72"/>
      <c r="D545" s="73"/>
      <c r="E545" s="73"/>
      <c r="F545" s="141"/>
      <c r="G545" s="74"/>
      <c r="H545" s="75"/>
      <c r="I545" s="76"/>
      <c r="J545" s="135"/>
      <c r="K545" s="135"/>
      <c r="L545" s="77">
        <f t="shared" si="138"/>
        <v>0</v>
      </c>
      <c r="M545" s="78"/>
      <c r="N545" s="142"/>
      <c r="O545" s="142"/>
      <c r="P545" s="77">
        <f t="shared" si="139"/>
        <v>0</v>
      </c>
      <c r="Q545" s="78"/>
      <c r="R545" s="143"/>
      <c r="S545" s="143"/>
      <c r="T545" s="77">
        <f t="shared" si="140"/>
        <v>0</v>
      </c>
      <c r="U545" s="75"/>
      <c r="V545" s="76"/>
      <c r="W545" s="135"/>
      <c r="X545" s="135"/>
      <c r="Y545" s="77">
        <f t="shared" si="141"/>
        <v>0</v>
      </c>
      <c r="Z545" s="78"/>
      <c r="AA545" s="142"/>
      <c r="AB545" s="142"/>
      <c r="AC545" s="77">
        <f t="shared" si="142"/>
        <v>0</v>
      </c>
      <c r="AD545" s="78"/>
      <c r="AE545" s="143"/>
      <c r="AF545" s="143"/>
      <c r="AG545" s="79">
        <f t="shared" si="143"/>
        <v>0</v>
      </c>
      <c r="AH545" s="75"/>
      <c r="AI545" s="76"/>
      <c r="AJ545" s="135"/>
      <c r="AK545" s="135"/>
      <c r="AL545" s="77">
        <f t="shared" si="144"/>
        <v>0</v>
      </c>
      <c r="AM545" s="76"/>
      <c r="AN545" s="142"/>
      <c r="AO545" s="142"/>
      <c r="AP545" s="77">
        <f t="shared" si="145"/>
        <v>0</v>
      </c>
      <c r="AQ545" s="78"/>
      <c r="AR545" s="142"/>
      <c r="AS545" s="142"/>
      <c r="AT545" s="79">
        <f t="shared" si="146"/>
        <v>0</v>
      </c>
      <c r="AU545" s="75"/>
      <c r="AV545" s="76"/>
      <c r="AW545" s="135"/>
      <c r="AX545" s="135"/>
      <c r="AY545" s="77">
        <f t="shared" si="147"/>
        <v>0</v>
      </c>
      <c r="AZ545" s="76"/>
      <c r="BA545" s="142"/>
      <c r="BB545" s="142"/>
      <c r="BC545" s="77">
        <f t="shared" si="148"/>
        <v>0</v>
      </c>
      <c r="BD545" s="78"/>
      <c r="BE545" s="142"/>
      <c r="BF545" s="142"/>
      <c r="BG545" s="79">
        <f t="shared" si="149"/>
        <v>0</v>
      </c>
      <c r="BH545" s="75"/>
      <c r="BI545" s="76"/>
      <c r="BJ545" s="135"/>
      <c r="BK545" s="135"/>
      <c r="BL545" s="77">
        <f t="shared" si="150"/>
        <v>0</v>
      </c>
      <c r="BM545" s="78"/>
      <c r="BN545" s="142"/>
      <c r="BO545" s="142"/>
      <c r="BP545" s="77">
        <f t="shared" si="151"/>
        <v>0</v>
      </c>
      <c r="BQ545" s="78"/>
      <c r="BR545" s="142"/>
      <c r="BS545" s="142"/>
      <c r="BT545" s="79">
        <f t="shared" si="152"/>
        <v>0</v>
      </c>
      <c r="BU545" s="75"/>
      <c r="BV545" s="76"/>
      <c r="BW545" s="135"/>
      <c r="BX545" s="135"/>
      <c r="BY545" s="77">
        <f t="shared" si="153"/>
        <v>0</v>
      </c>
      <c r="BZ545" s="78"/>
      <c r="CA545" s="142"/>
      <c r="CB545" s="142"/>
      <c r="CC545" s="77">
        <f t="shared" si="154"/>
        <v>0</v>
      </c>
      <c r="CD545" s="78"/>
      <c r="CE545" s="142"/>
      <c r="CF545" s="142"/>
      <c r="CG545" s="79">
        <f t="shared" si="155"/>
        <v>0</v>
      </c>
      <c r="CH545" s="75"/>
      <c r="CI545" s="76"/>
      <c r="CJ545" s="86"/>
      <c r="CK545" s="86"/>
      <c r="CL545" s="77">
        <f t="shared" si="156"/>
        <v>0</v>
      </c>
      <c r="CM545" s="78"/>
      <c r="CN545" s="85"/>
      <c r="CO545" s="85"/>
      <c r="CP545" s="77">
        <f t="shared" si="157"/>
        <v>0</v>
      </c>
      <c r="CQ545" s="78"/>
      <c r="CR545" s="85"/>
      <c r="CS545" s="85"/>
      <c r="CT545" s="79">
        <f t="shared" si="158"/>
        <v>0</v>
      </c>
      <c r="CU545" s="80">
        <f t="shared" si="168"/>
        <v>0</v>
      </c>
      <c r="CV545" s="81">
        <f t="shared" si="169"/>
        <v>0</v>
      </c>
      <c r="CW545" s="144"/>
      <c r="CX545" s="145">
        <f>IF(ISERROR(VLOOKUP($A545,FIJOS!$B$11:$O$590,14,FALSE)),0,VLOOKUP($A545,FIJOS!$B$11:$O$590,14,FALSE))</f>
        <v>0</v>
      </c>
      <c r="CY545" s="145">
        <f>IF(ISERROR(VLOOKUP(A545,FIJOS!$B$10:$P$590,15,FALSE)),0,VLOOKUP(A545,FIJOS!$B$10:$P$590,15,FALSE))</f>
        <v>0</v>
      </c>
      <c r="CZ545" s="155"/>
      <c r="DA545" s="147"/>
      <c r="DB545" s="147"/>
      <c r="DC545" s="147"/>
      <c r="DD545" s="147"/>
      <c r="DE545" s="147"/>
      <c r="DF545" s="145">
        <f>IF(ISERROR(VLOOKUP($A545,FIJOS!$B$11:$N$590,13,FALSE)),0,VLOOKUP($A545,FIJOS!$B$11:$N$590,13,FALSE))</f>
        <v>0</v>
      </c>
      <c r="DG545" s="145">
        <f>IF(ISERROR(VLOOKUP($A545,FIJOS!$B$11:$P$447,12,FALSE)),0,VLOOKUP($A545,FIJOS!$B$11:$P$447,12,FALSE))</f>
        <v>0</v>
      </c>
      <c r="DH545" s="82">
        <f t="shared" si="250"/>
        <v>0</v>
      </c>
      <c r="DI545" s="83" t="b">
        <f>IF($C545=1,(VLOOKUP($A545,FIJOS!$B$11:$P$545,10,FALSE)/7)*(7-$CU545),IF(AND($C545=2,CV545&lt;$DJ$1),(VLOOKUP($D545,HORAS!$B$4:$C$42,2,FALSE)*24)*$CV545,IF(AND($C545=2,CV545&gt;=$DJ$1),VLOOKUP($D545,HORAS!$B$4:$D$42,3,FALSE),IF(AND($C545=3,$CV545&gt;=$DJ$1),VLOOKUP($A545,FIJOS!$B$11:$P$545,10,FALSE),IF(AND($C545=3,$CV545&lt;$DJ$1),((VLOOKUP($A545,FIJOS!$B$11:$P$545,10,FALSE)/48)*24)*$CV545,IF(AND($C545=4,$CV545&gt;=(42/24)),VLOOKUP($D545,HORAS!$B$4:$D$42,3,FALSE),IF(AND($C545=5,$CV545&gt;=(36/24)),VLOOKUP($D545,HORAS!$B$4:$D$42,3,FALSE))))))))</f>
        <v>0</v>
      </c>
      <c r="DJ545" s="145">
        <f>IF(OR($C545=2),VLOOKUP($D545,HORAS!$B$4:$E$42,4,FALSE)*$EC545,IF(ISERROR(VLOOKUP($A545,FIJOS!$B$11:$P$108,9,FALSE)),0,VLOOKUP($A545,FIJOS!$B$11:$P$231,9,FALSE)*$EC545))</f>
        <v>0</v>
      </c>
      <c r="DK545" s="145">
        <f>IF(OR($C545=2),VLOOKUP($D545,HORAS!$B$4:$F$42,5,FALSE)*$EE545,IF(ISERROR(VLOOKUP($A545,FIJOS!$B$11:$P$108,9,FALSE)),0,VLOOKUP($A545,FIJOS!$B$11:$P$231,9,FALSE)*$EE545))</f>
        <v>0</v>
      </c>
      <c r="DL545" s="144"/>
      <c r="DM545" s="145">
        <f>IF(ISERROR(VLOOKUP($A545,FIJOS!$B$11:$L$646,11,FALSE)),0,VLOOKUP($A545,FIJOS!$B$11:$L$646,11,FALSE))</f>
        <v>0</v>
      </c>
      <c r="DN545" s="148" t="e">
        <f>IF(OR($C545=1,$C545=3),0,IF((VLOOKUP(CAPTURA!D545,HORAS!$B$4:$K$42,10,FALSE)/4)*COUNTIF($H545:$CT545,3)&gt;100,100,(VLOOKUP(CAPTURA!D545,HORAS!$B$4:$K$42,10,FALSE)/4)*COUNTIF($H545:$CT545,3)))</f>
        <v>#N/A</v>
      </c>
      <c r="DO545" s="144" t="e">
        <f>IF(OR($C545=1,$C545=3),0,IF($C545=5,VLOOKUP(D545,HORAS!$B$4:$G$42,6,FALSE),IF(AND($C545=4,$CV545&gt;=(42/24)),VLOOKUP(D545,HORAS!$B$4:$G$42,6,FALSE),IF(COUNTIF($H545:$CL545,"F")&gt;0,0,IF(CV545&gt;$DJ$1,$DJ$1*(VLOOKUP(D545,HORAS!$B$4:$G$42,6,FALSE)/$DJ$1),CV545*(VLOOKUP(D545,HORAS!$B$4:$G$42,6,FALSE)/$DJ$1))))))</f>
        <v>#N/A</v>
      </c>
      <c r="DP545" s="156"/>
      <c r="DQ545" s="148"/>
      <c r="DR545" s="148"/>
      <c r="DS545" s="83" t="e">
        <f t="shared" si="162"/>
        <v>#N/A</v>
      </c>
      <c r="DT545" s="84"/>
      <c r="DU545" s="149" t="e">
        <f t="shared" si="251"/>
        <v>#N/A</v>
      </c>
      <c r="DV545" s="149" t="e">
        <f t="shared" si="252"/>
        <v>#N/A</v>
      </c>
      <c r="DW545" s="144" t="e">
        <f t="shared" si="253"/>
        <v>#N/A</v>
      </c>
      <c r="DX545" s="168"/>
      <c r="DY545" s="29"/>
      <c r="DZ545" s="150"/>
      <c r="EA545" s="134"/>
      <c r="EB545" s="137">
        <f t="shared" si="254"/>
        <v>0</v>
      </c>
      <c r="EC545" s="138">
        <f t="shared" si="255"/>
        <v>0</v>
      </c>
      <c r="ED545" s="137">
        <f t="shared" si="256"/>
        <v>0</v>
      </c>
      <c r="EE545" s="132">
        <f t="shared" si="257"/>
        <v>0</v>
      </c>
      <c r="EF545" s="29"/>
      <c r="EG545" s="134"/>
      <c r="EH545" s="134"/>
      <c r="EI545" s="134"/>
      <c r="EK545" s="29"/>
    </row>
    <row r="546" spans="1:141" ht="15" customHeight="1" x14ac:dyDescent="0.25">
      <c r="A546" s="87"/>
      <c r="B546" s="5"/>
      <c r="C546" s="72"/>
      <c r="D546" s="73"/>
      <c r="E546" s="73"/>
      <c r="F546" s="141"/>
      <c r="G546" s="74"/>
      <c r="H546" s="75"/>
      <c r="I546" s="76"/>
      <c r="J546" s="135"/>
      <c r="K546" s="135"/>
      <c r="L546" s="77">
        <f t="shared" si="138"/>
        <v>0</v>
      </c>
      <c r="M546" s="78"/>
      <c r="N546" s="142"/>
      <c r="O546" s="142"/>
      <c r="P546" s="77">
        <f t="shared" si="139"/>
        <v>0</v>
      </c>
      <c r="Q546" s="78"/>
      <c r="R546" s="143"/>
      <c r="S546" s="143"/>
      <c r="T546" s="77">
        <f t="shared" si="140"/>
        <v>0</v>
      </c>
      <c r="U546" s="75"/>
      <c r="V546" s="76"/>
      <c r="W546" s="135"/>
      <c r="X546" s="135"/>
      <c r="Y546" s="77">
        <f t="shared" si="141"/>
        <v>0</v>
      </c>
      <c r="Z546" s="78"/>
      <c r="AA546" s="142"/>
      <c r="AB546" s="142"/>
      <c r="AC546" s="77">
        <f t="shared" si="142"/>
        <v>0</v>
      </c>
      <c r="AD546" s="78"/>
      <c r="AE546" s="143"/>
      <c r="AF546" s="143"/>
      <c r="AG546" s="79">
        <f t="shared" si="143"/>
        <v>0</v>
      </c>
      <c r="AH546" s="75"/>
      <c r="AI546" s="76"/>
      <c r="AJ546" s="135"/>
      <c r="AK546" s="135"/>
      <c r="AL546" s="77">
        <f t="shared" si="144"/>
        <v>0</v>
      </c>
      <c r="AM546" s="76"/>
      <c r="AN546" s="142"/>
      <c r="AO546" s="142"/>
      <c r="AP546" s="77">
        <f t="shared" si="145"/>
        <v>0</v>
      </c>
      <c r="AQ546" s="78"/>
      <c r="AR546" s="142"/>
      <c r="AS546" s="142"/>
      <c r="AT546" s="79">
        <f t="shared" si="146"/>
        <v>0</v>
      </c>
      <c r="AU546" s="75"/>
      <c r="AV546" s="76"/>
      <c r="AW546" s="135"/>
      <c r="AX546" s="135"/>
      <c r="AY546" s="77">
        <f t="shared" si="147"/>
        <v>0</v>
      </c>
      <c r="AZ546" s="76"/>
      <c r="BA546" s="142"/>
      <c r="BB546" s="142"/>
      <c r="BC546" s="77">
        <f t="shared" si="148"/>
        <v>0</v>
      </c>
      <c r="BD546" s="78"/>
      <c r="BE546" s="142"/>
      <c r="BF546" s="142"/>
      <c r="BG546" s="79">
        <f t="shared" si="149"/>
        <v>0</v>
      </c>
      <c r="BH546" s="75"/>
      <c r="BI546" s="76"/>
      <c r="BJ546" s="135"/>
      <c r="BK546" s="135"/>
      <c r="BL546" s="77">
        <f t="shared" si="150"/>
        <v>0</v>
      </c>
      <c r="BM546" s="78"/>
      <c r="BN546" s="142"/>
      <c r="BO546" s="142"/>
      <c r="BP546" s="77">
        <f t="shared" si="151"/>
        <v>0</v>
      </c>
      <c r="BQ546" s="78"/>
      <c r="BR546" s="142"/>
      <c r="BS546" s="142"/>
      <c r="BT546" s="79">
        <f t="shared" si="152"/>
        <v>0</v>
      </c>
      <c r="BU546" s="75"/>
      <c r="BV546" s="76"/>
      <c r="BW546" s="135"/>
      <c r="BX546" s="135"/>
      <c r="BY546" s="77">
        <f t="shared" si="153"/>
        <v>0</v>
      </c>
      <c r="BZ546" s="78"/>
      <c r="CA546" s="142"/>
      <c r="CB546" s="142"/>
      <c r="CC546" s="77">
        <f t="shared" si="154"/>
        <v>0</v>
      </c>
      <c r="CD546" s="78"/>
      <c r="CE546" s="142"/>
      <c r="CF546" s="142"/>
      <c r="CG546" s="79">
        <f t="shared" si="155"/>
        <v>0</v>
      </c>
      <c r="CH546" s="75"/>
      <c r="CI546" s="76"/>
      <c r="CJ546" s="86"/>
      <c r="CK546" s="86"/>
      <c r="CL546" s="77">
        <f t="shared" si="156"/>
        <v>0</v>
      </c>
      <c r="CM546" s="78"/>
      <c r="CN546" s="85"/>
      <c r="CO546" s="85"/>
      <c r="CP546" s="77">
        <f t="shared" si="157"/>
        <v>0</v>
      </c>
      <c r="CQ546" s="78"/>
      <c r="CR546" s="85"/>
      <c r="CS546" s="85"/>
      <c r="CT546" s="79">
        <f t="shared" si="158"/>
        <v>0</v>
      </c>
      <c r="CU546" s="80">
        <f t="shared" si="168"/>
        <v>0</v>
      </c>
      <c r="CV546" s="81">
        <f t="shared" si="169"/>
        <v>0</v>
      </c>
      <c r="CW546" s="144"/>
      <c r="CX546" s="145">
        <f>IF(ISERROR(VLOOKUP($A546,FIJOS!$B$11:$O$590,14,FALSE)),0,VLOOKUP($A546,FIJOS!$B$11:$O$590,14,FALSE))</f>
        <v>0</v>
      </c>
      <c r="CY546" s="145">
        <f>IF(ISERROR(VLOOKUP(A546,FIJOS!$B$10:$P$590,15,FALSE)),0,VLOOKUP(A546,FIJOS!$B$10:$P$590,15,FALSE))</f>
        <v>0</v>
      </c>
      <c r="CZ546" s="155"/>
      <c r="DA546" s="147"/>
      <c r="DB546" s="147"/>
      <c r="DC546" s="147"/>
      <c r="DD546" s="147"/>
      <c r="DE546" s="147"/>
      <c r="DF546" s="145">
        <f>IF(ISERROR(VLOOKUP($A546,FIJOS!$B$11:$N$590,13,FALSE)),0,VLOOKUP($A546,FIJOS!$B$11:$N$590,13,FALSE))</f>
        <v>0</v>
      </c>
      <c r="DG546" s="145">
        <f>IF(ISERROR(VLOOKUP($A546,FIJOS!$B$11:$P$447,12,FALSE)),0,VLOOKUP($A546,FIJOS!$B$11:$P$447,12,FALSE))</f>
        <v>0</v>
      </c>
      <c r="DH546" s="82">
        <f t="shared" si="250"/>
        <v>0</v>
      </c>
      <c r="DI546" s="83" t="b">
        <f>IF($C546=1,(VLOOKUP($A546,FIJOS!$B$11:$P$545,10,FALSE)/7)*(7-$CU546),IF(AND($C546=2,CV546&lt;$DJ$1),(VLOOKUP($D546,HORAS!$B$4:$C$42,2,FALSE)*24)*$CV546,IF(AND($C546=2,CV546&gt;=$DJ$1),VLOOKUP($D546,HORAS!$B$4:$D$42,3,FALSE),IF(AND($C546=3,$CV546&gt;=$DJ$1),VLOOKUP($A546,FIJOS!$B$11:$P$545,10,FALSE),IF(AND($C546=3,$CV546&lt;$DJ$1),((VLOOKUP($A546,FIJOS!$B$11:$P$545,10,FALSE)/48)*24)*$CV546,IF(AND($C546=4,$CV546&gt;=(42/24)),VLOOKUP($D546,HORAS!$B$4:$D$42,3,FALSE),IF(AND($C546=5,$CV546&gt;=(36/24)),VLOOKUP($D546,HORAS!$B$4:$D$42,3,FALSE))))))))</f>
        <v>0</v>
      </c>
      <c r="DJ546" s="145">
        <f>IF(OR($C546=2),VLOOKUP($D546,HORAS!$B$4:$E$42,4,FALSE)*$EC546,IF(ISERROR(VLOOKUP($A546,FIJOS!$B$11:$P$108,9,FALSE)),0,VLOOKUP($A546,FIJOS!$B$11:$P$231,9,FALSE)*$EC546))</f>
        <v>0</v>
      </c>
      <c r="DK546" s="145">
        <f>IF(OR($C546=2),VLOOKUP($D546,HORAS!$B$4:$F$42,5,FALSE)*$EE546,IF(ISERROR(VLOOKUP($A546,FIJOS!$B$11:$P$108,9,FALSE)),0,VLOOKUP($A546,FIJOS!$B$11:$P$231,9,FALSE)*$EE546))</f>
        <v>0</v>
      </c>
      <c r="DL546" s="144"/>
      <c r="DM546" s="145">
        <f>IF(ISERROR(VLOOKUP($A546,FIJOS!$B$11:$L$646,11,FALSE)),0,VLOOKUP($A546,FIJOS!$B$11:$L$646,11,FALSE))</f>
        <v>0</v>
      </c>
      <c r="DN546" s="148" t="e">
        <f>IF(OR($C546=1,$C546=3),0,IF((VLOOKUP(CAPTURA!D546,HORAS!$B$4:$K$42,10,FALSE)/4)*COUNTIF($H546:$CT546,3)&gt;100,100,(VLOOKUP(CAPTURA!D546,HORAS!$B$4:$K$42,10,FALSE)/4)*COUNTIF($H546:$CT546,3)))</f>
        <v>#N/A</v>
      </c>
      <c r="DO546" s="144" t="e">
        <f>IF(OR($C546=1,$C546=3),0,IF($C546=5,VLOOKUP(D546,HORAS!$B$4:$G$42,6,FALSE),IF(AND($C546=4,$CV546&gt;=(42/24)),VLOOKUP(D546,HORAS!$B$4:$G$42,6,FALSE),IF(COUNTIF($H546:$CL546,"F")&gt;0,0,IF(CV546&gt;$DJ$1,$DJ$1*(VLOOKUP(D546,HORAS!$B$4:$G$42,6,FALSE)/$DJ$1),CV546*(VLOOKUP(D546,HORAS!$B$4:$G$42,6,FALSE)/$DJ$1))))))</f>
        <v>#N/A</v>
      </c>
      <c r="DP546" s="156"/>
      <c r="DQ546" s="148"/>
      <c r="DR546" s="148"/>
      <c r="DS546" s="83" t="e">
        <f t="shared" si="162"/>
        <v>#N/A</v>
      </c>
      <c r="DT546" s="84"/>
      <c r="DU546" s="149" t="e">
        <f t="shared" si="251"/>
        <v>#N/A</v>
      </c>
      <c r="DV546" s="149" t="e">
        <f t="shared" si="252"/>
        <v>#N/A</v>
      </c>
      <c r="DW546" s="144" t="e">
        <f t="shared" si="253"/>
        <v>#N/A</v>
      </c>
      <c r="DX546" s="168"/>
      <c r="DY546" s="29"/>
      <c r="DZ546" s="150"/>
      <c r="EA546" s="134"/>
      <c r="EB546" s="137">
        <f t="shared" si="254"/>
        <v>0</v>
      </c>
      <c r="EC546" s="138">
        <f t="shared" si="255"/>
        <v>0</v>
      </c>
      <c r="ED546" s="137">
        <f t="shared" si="256"/>
        <v>0</v>
      </c>
      <c r="EE546" s="132">
        <f t="shared" si="257"/>
        <v>0</v>
      </c>
      <c r="EF546" s="29"/>
      <c r="EG546" s="134"/>
      <c r="EH546" s="134"/>
      <c r="EI546" s="134"/>
      <c r="EK546" s="29"/>
    </row>
    <row r="547" spans="1:141" ht="15" customHeight="1" x14ac:dyDescent="0.25">
      <c r="A547" s="87"/>
      <c r="B547" s="5"/>
      <c r="C547" s="72"/>
      <c r="D547" s="73"/>
      <c r="E547" s="73"/>
      <c r="F547" s="141"/>
      <c r="G547" s="74"/>
      <c r="H547" s="75"/>
      <c r="I547" s="76"/>
      <c r="J547" s="135"/>
      <c r="K547" s="135"/>
      <c r="L547" s="77">
        <f t="shared" si="138"/>
        <v>0</v>
      </c>
      <c r="M547" s="78"/>
      <c r="N547" s="142"/>
      <c r="O547" s="142"/>
      <c r="P547" s="77">
        <f t="shared" si="139"/>
        <v>0</v>
      </c>
      <c r="Q547" s="78"/>
      <c r="R547" s="143"/>
      <c r="S547" s="143"/>
      <c r="T547" s="77">
        <f t="shared" si="140"/>
        <v>0</v>
      </c>
      <c r="U547" s="75"/>
      <c r="V547" s="76"/>
      <c r="W547" s="135"/>
      <c r="X547" s="135"/>
      <c r="Y547" s="77">
        <f t="shared" si="141"/>
        <v>0</v>
      </c>
      <c r="Z547" s="78"/>
      <c r="AA547" s="142"/>
      <c r="AB547" s="142"/>
      <c r="AC547" s="77">
        <f t="shared" si="142"/>
        <v>0</v>
      </c>
      <c r="AD547" s="78"/>
      <c r="AE547" s="143"/>
      <c r="AF547" s="143"/>
      <c r="AG547" s="79">
        <f t="shared" si="143"/>
        <v>0</v>
      </c>
      <c r="AH547" s="75"/>
      <c r="AI547" s="76"/>
      <c r="AJ547" s="135"/>
      <c r="AK547" s="135"/>
      <c r="AL547" s="77">
        <f t="shared" si="144"/>
        <v>0</v>
      </c>
      <c r="AM547" s="76"/>
      <c r="AN547" s="142"/>
      <c r="AO547" s="142"/>
      <c r="AP547" s="77">
        <f t="shared" si="145"/>
        <v>0</v>
      </c>
      <c r="AQ547" s="78"/>
      <c r="AR547" s="142"/>
      <c r="AS547" s="142"/>
      <c r="AT547" s="79">
        <f t="shared" si="146"/>
        <v>0</v>
      </c>
      <c r="AU547" s="75"/>
      <c r="AV547" s="76"/>
      <c r="AW547" s="135"/>
      <c r="AX547" s="135"/>
      <c r="AY547" s="77">
        <f t="shared" si="147"/>
        <v>0</v>
      </c>
      <c r="AZ547" s="76"/>
      <c r="BA547" s="142"/>
      <c r="BB547" s="142"/>
      <c r="BC547" s="77">
        <f t="shared" si="148"/>
        <v>0</v>
      </c>
      <c r="BD547" s="78"/>
      <c r="BE547" s="142"/>
      <c r="BF547" s="142"/>
      <c r="BG547" s="79">
        <f t="shared" si="149"/>
        <v>0</v>
      </c>
      <c r="BH547" s="75"/>
      <c r="BI547" s="76"/>
      <c r="BJ547" s="135"/>
      <c r="BK547" s="135"/>
      <c r="BL547" s="77">
        <f t="shared" si="150"/>
        <v>0</v>
      </c>
      <c r="BM547" s="78"/>
      <c r="BN547" s="142"/>
      <c r="BO547" s="142"/>
      <c r="BP547" s="77">
        <f t="shared" si="151"/>
        <v>0</v>
      </c>
      <c r="BQ547" s="78"/>
      <c r="BR547" s="142"/>
      <c r="BS547" s="142"/>
      <c r="BT547" s="79">
        <f t="shared" si="152"/>
        <v>0</v>
      </c>
      <c r="BU547" s="75"/>
      <c r="BV547" s="76"/>
      <c r="BW547" s="135"/>
      <c r="BX547" s="135"/>
      <c r="BY547" s="77">
        <f t="shared" si="153"/>
        <v>0</v>
      </c>
      <c r="BZ547" s="78"/>
      <c r="CA547" s="142"/>
      <c r="CB547" s="142"/>
      <c r="CC547" s="77">
        <f t="shared" si="154"/>
        <v>0</v>
      </c>
      <c r="CD547" s="78"/>
      <c r="CE547" s="142"/>
      <c r="CF547" s="142"/>
      <c r="CG547" s="79">
        <f t="shared" si="155"/>
        <v>0</v>
      </c>
      <c r="CH547" s="75"/>
      <c r="CI547" s="76"/>
      <c r="CJ547" s="86"/>
      <c r="CK547" s="86"/>
      <c r="CL547" s="77">
        <f t="shared" si="156"/>
        <v>0</v>
      </c>
      <c r="CM547" s="78"/>
      <c r="CN547" s="85"/>
      <c r="CO547" s="85"/>
      <c r="CP547" s="77">
        <f t="shared" si="157"/>
        <v>0</v>
      </c>
      <c r="CQ547" s="78"/>
      <c r="CR547" s="85"/>
      <c r="CS547" s="85"/>
      <c r="CT547" s="79">
        <f t="shared" si="158"/>
        <v>0</v>
      </c>
      <c r="CU547" s="80">
        <f t="shared" si="168"/>
        <v>0</v>
      </c>
      <c r="CV547" s="81">
        <f t="shared" si="169"/>
        <v>0</v>
      </c>
      <c r="CW547" s="144"/>
      <c r="CX547" s="145">
        <f>IF(ISERROR(VLOOKUP($A547,FIJOS!$B$11:$O$590,14,FALSE)),0,VLOOKUP($A547,FIJOS!$B$11:$O$590,14,FALSE))</f>
        <v>0</v>
      </c>
      <c r="CY547" s="145">
        <f>IF(ISERROR(VLOOKUP(A547,FIJOS!$B$10:$P$590,15,FALSE)),0,VLOOKUP(A547,FIJOS!$B$10:$P$590,15,FALSE))</f>
        <v>0</v>
      </c>
      <c r="CZ547" s="155"/>
      <c r="DA547" s="147"/>
      <c r="DB547" s="147"/>
      <c r="DC547" s="147"/>
      <c r="DD547" s="147"/>
      <c r="DE547" s="147"/>
      <c r="DF547" s="145">
        <f>IF(ISERROR(VLOOKUP($A547,FIJOS!$B$11:$N$590,13,FALSE)),0,VLOOKUP($A547,FIJOS!$B$11:$N$590,13,FALSE))</f>
        <v>0</v>
      </c>
      <c r="DG547" s="145">
        <f>IF(ISERROR(VLOOKUP($A547,FIJOS!$B$11:$P$447,12,FALSE)),0,VLOOKUP($A547,FIJOS!$B$11:$P$447,12,FALSE))</f>
        <v>0</v>
      </c>
      <c r="DH547" s="82">
        <f t="shared" si="250"/>
        <v>0</v>
      </c>
      <c r="DI547" s="83" t="b">
        <f>IF($C547=1,(VLOOKUP($A547,FIJOS!$B$11:$P$545,10,FALSE)/7)*(7-$CU547),IF(AND($C547=2,CV547&lt;$DJ$1),(VLOOKUP($D547,HORAS!$B$4:$C$42,2,FALSE)*24)*$CV547,IF(AND($C547=2,CV547&gt;=$DJ$1),VLOOKUP($D547,HORAS!$B$4:$D$42,3,FALSE),IF(AND($C547=3,$CV547&gt;=$DJ$1),VLOOKUP($A547,FIJOS!$B$11:$P$545,10,FALSE),IF(AND($C547=3,$CV547&lt;$DJ$1),((VLOOKUP($A547,FIJOS!$B$11:$P$545,10,FALSE)/48)*24)*$CV547,IF(AND($C547=4,$CV547&gt;=(42/24)),VLOOKUP($D547,HORAS!$B$4:$D$42,3,FALSE),IF(AND($C547=5,$CV547&gt;=(36/24)),VLOOKUP($D547,HORAS!$B$4:$D$42,3,FALSE))))))))</f>
        <v>0</v>
      </c>
      <c r="DJ547" s="145">
        <f>IF(OR($C547=2),VLOOKUP($D547,HORAS!$B$4:$E$42,4,FALSE)*$EC547,IF(ISERROR(VLOOKUP($A547,FIJOS!$B$11:$P$108,9,FALSE)),0,VLOOKUP($A547,FIJOS!$B$11:$P$231,9,FALSE)*$EC547))</f>
        <v>0</v>
      </c>
      <c r="DK547" s="145">
        <f>IF(OR($C547=2),VLOOKUP($D547,HORAS!$B$4:$F$42,5,FALSE)*$EE547,IF(ISERROR(VLOOKUP($A547,FIJOS!$B$11:$P$108,9,FALSE)),0,VLOOKUP($A547,FIJOS!$B$11:$P$231,9,FALSE)*$EE547))</f>
        <v>0</v>
      </c>
      <c r="DL547" s="144"/>
      <c r="DM547" s="145">
        <f>IF(ISERROR(VLOOKUP($A547,FIJOS!$B$11:$L$646,11,FALSE)),0,VLOOKUP($A547,FIJOS!$B$11:$L$646,11,FALSE))</f>
        <v>0</v>
      </c>
      <c r="DN547" s="148" t="e">
        <f>IF(OR($C547=1,$C547=3),0,IF((VLOOKUP(CAPTURA!D547,HORAS!$B$4:$K$42,10,FALSE)/4)*COUNTIF($H547:$CT547,3)&gt;100,100,(VLOOKUP(CAPTURA!D547,HORAS!$B$4:$K$42,10,FALSE)/4)*COUNTIF($H547:$CT547,3)))</f>
        <v>#N/A</v>
      </c>
      <c r="DO547" s="144" t="e">
        <f>IF(OR($C547=1,$C547=3),0,IF($C547=5,VLOOKUP(D547,HORAS!$B$4:$G$42,6,FALSE),IF(AND($C547=4,$CV547&gt;=(42/24)),VLOOKUP(D547,HORAS!$B$4:$G$42,6,FALSE),IF(COUNTIF($H547:$CL547,"F")&gt;0,0,IF(CV547&gt;$DJ$1,$DJ$1*(VLOOKUP(D547,HORAS!$B$4:$G$42,6,FALSE)/$DJ$1),CV547*(VLOOKUP(D547,HORAS!$B$4:$G$42,6,FALSE)/$DJ$1))))))</f>
        <v>#N/A</v>
      </c>
      <c r="DP547" s="156"/>
      <c r="DQ547" s="148"/>
      <c r="DR547" s="148"/>
      <c r="DS547" s="83" t="e">
        <f t="shared" si="162"/>
        <v>#N/A</v>
      </c>
      <c r="DT547" s="84"/>
      <c r="DU547" s="149" t="e">
        <f t="shared" si="251"/>
        <v>#N/A</v>
      </c>
      <c r="DV547" s="149" t="e">
        <f t="shared" si="252"/>
        <v>#N/A</v>
      </c>
      <c r="DW547" s="144" t="e">
        <f t="shared" si="253"/>
        <v>#N/A</v>
      </c>
      <c r="DX547" s="168"/>
      <c r="DY547" s="29"/>
      <c r="DZ547" s="150"/>
      <c r="EA547" s="134"/>
      <c r="EB547" s="137">
        <f t="shared" si="254"/>
        <v>0</v>
      </c>
      <c r="EC547" s="138">
        <f t="shared" si="255"/>
        <v>0</v>
      </c>
      <c r="ED547" s="137">
        <f t="shared" si="256"/>
        <v>0</v>
      </c>
      <c r="EE547" s="132">
        <f t="shared" si="257"/>
        <v>0</v>
      </c>
      <c r="EF547" s="29"/>
      <c r="EG547" s="134"/>
      <c r="EH547" s="134"/>
      <c r="EI547" s="134"/>
      <c r="EK547" s="29"/>
    </row>
    <row r="548" spans="1:141" ht="15" customHeight="1" x14ac:dyDescent="0.25">
      <c r="A548" s="87"/>
      <c r="B548" s="5"/>
      <c r="C548" s="72"/>
      <c r="D548" s="73"/>
      <c r="E548" s="73"/>
      <c r="F548" s="141"/>
      <c r="G548" s="74"/>
      <c r="H548" s="75"/>
      <c r="I548" s="76"/>
      <c r="J548" s="135"/>
      <c r="K548" s="135"/>
      <c r="L548" s="77">
        <f t="shared" si="138"/>
        <v>0</v>
      </c>
      <c r="M548" s="78"/>
      <c r="N548" s="142"/>
      <c r="O548" s="142"/>
      <c r="P548" s="77">
        <f t="shared" si="139"/>
        <v>0</v>
      </c>
      <c r="Q548" s="78"/>
      <c r="R548" s="143"/>
      <c r="S548" s="143"/>
      <c r="T548" s="77">
        <f t="shared" si="140"/>
        <v>0</v>
      </c>
      <c r="U548" s="75"/>
      <c r="V548" s="76"/>
      <c r="W548" s="135"/>
      <c r="X548" s="135"/>
      <c r="Y548" s="77">
        <f t="shared" si="141"/>
        <v>0</v>
      </c>
      <c r="Z548" s="78"/>
      <c r="AA548" s="142"/>
      <c r="AB548" s="142"/>
      <c r="AC548" s="77">
        <f t="shared" si="142"/>
        <v>0</v>
      </c>
      <c r="AD548" s="78"/>
      <c r="AE548" s="143"/>
      <c r="AF548" s="143"/>
      <c r="AG548" s="79">
        <f t="shared" si="143"/>
        <v>0</v>
      </c>
      <c r="AH548" s="75"/>
      <c r="AI548" s="76"/>
      <c r="AJ548" s="135"/>
      <c r="AK548" s="135"/>
      <c r="AL548" s="77">
        <f t="shared" si="144"/>
        <v>0</v>
      </c>
      <c r="AM548" s="76"/>
      <c r="AN548" s="142"/>
      <c r="AO548" s="142"/>
      <c r="AP548" s="77">
        <f t="shared" si="145"/>
        <v>0</v>
      </c>
      <c r="AQ548" s="78"/>
      <c r="AR548" s="142"/>
      <c r="AS548" s="142"/>
      <c r="AT548" s="79">
        <f t="shared" si="146"/>
        <v>0</v>
      </c>
      <c r="AU548" s="75"/>
      <c r="AV548" s="76"/>
      <c r="AW548" s="135"/>
      <c r="AX548" s="135"/>
      <c r="AY548" s="77">
        <f t="shared" si="147"/>
        <v>0</v>
      </c>
      <c r="AZ548" s="76"/>
      <c r="BA548" s="142"/>
      <c r="BB548" s="142"/>
      <c r="BC548" s="77">
        <f t="shared" si="148"/>
        <v>0</v>
      </c>
      <c r="BD548" s="78"/>
      <c r="BE548" s="142"/>
      <c r="BF548" s="142"/>
      <c r="BG548" s="79">
        <f t="shared" si="149"/>
        <v>0</v>
      </c>
      <c r="BH548" s="75"/>
      <c r="BI548" s="76"/>
      <c r="BJ548" s="135"/>
      <c r="BK548" s="135"/>
      <c r="BL548" s="77">
        <f t="shared" si="150"/>
        <v>0</v>
      </c>
      <c r="BM548" s="78"/>
      <c r="BN548" s="142"/>
      <c r="BO548" s="142"/>
      <c r="BP548" s="77">
        <f t="shared" si="151"/>
        <v>0</v>
      </c>
      <c r="BQ548" s="78"/>
      <c r="BR548" s="142"/>
      <c r="BS548" s="142"/>
      <c r="BT548" s="79">
        <f t="shared" si="152"/>
        <v>0</v>
      </c>
      <c r="BU548" s="75"/>
      <c r="BV548" s="76"/>
      <c r="BW548" s="135"/>
      <c r="BX548" s="135"/>
      <c r="BY548" s="77">
        <f t="shared" si="153"/>
        <v>0</v>
      </c>
      <c r="BZ548" s="78"/>
      <c r="CA548" s="142"/>
      <c r="CB548" s="142"/>
      <c r="CC548" s="77">
        <f t="shared" si="154"/>
        <v>0</v>
      </c>
      <c r="CD548" s="78"/>
      <c r="CE548" s="142"/>
      <c r="CF548" s="142"/>
      <c r="CG548" s="79">
        <f t="shared" si="155"/>
        <v>0</v>
      </c>
      <c r="CH548" s="75"/>
      <c r="CI548" s="76"/>
      <c r="CJ548" s="86"/>
      <c r="CK548" s="86"/>
      <c r="CL548" s="77">
        <f t="shared" si="156"/>
        <v>0</v>
      </c>
      <c r="CM548" s="78"/>
      <c r="CN548" s="85"/>
      <c r="CO548" s="85"/>
      <c r="CP548" s="77">
        <f t="shared" si="157"/>
        <v>0</v>
      </c>
      <c r="CQ548" s="78"/>
      <c r="CR548" s="85"/>
      <c r="CS548" s="85"/>
      <c r="CT548" s="79">
        <f t="shared" si="158"/>
        <v>0</v>
      </c>
      <c r="CU548" s="80">
        <f t="shared" si="168"/>
        <v>0</v>
      </c>
      <c r="CV548" s="81">
        <f t="shared" si="169"/>
        <v>0</v>
      </c>
      <c r="CW548" s="144"/>
      <c r="CX548" s="145">
        <f>IF(ISERROR(VLOOKUP($A548,FIJOS!$B$11:$O$590,14,FALSE)),0,VLOOKUP($A548,FIJOS!$B$11:$O$590,14,FALSE))</f>
        <v>0</v>
      </c>
      <c r="CY548" s="145">
        <f>IF(ISERROR(VLOOKUP(A548,FIJOS!$B$10:$P$590,15,FALSE)),0,VLOOKUP(A548,FIJOS!$B$10:$P$590,15,FALSE))</f>
        <v>0</v>
      </c>
      <c r="CZ548" s="155"/>
      <c r="DA548" s="147"/>
      <c r="DB548" s="147"/>
      <c r="DC548" s="147"/>
      <c r="DD548" s="147"/>
      <c r="DE548" s="147"/>
      <c r="DF548" s="145">
        <f>IF(ISERROR(VLOOKUP($A548,FIJOS!$B$11:$N$590,13,FALSE)),0,VLOOKUP($A548,FIJOS!$B$11:$N$590,13,FALSE))</f>
        <v>0</v>
      </c>
      <c r="DG548" s="145">
        <f>IF(ISERROR(VLOOKUP($A548,FIJOS!$B$11:$P$447,12,FALSE)),0,VLOOKUP($A548,FIJOS!$B$11:$P$447,12,FALSE))</f>
        <v>0</v>
      </c>
      <c r="DH548" s="82">
        <f t="shared" si="250"/>
        <v>0</v>
      </c>
      <c r="DI548" s="83" t="b">
        <f>IF($C548=1,(VLOOKUP($A548,FIJOS!$B$11:$P$545,10,FALSE)/7)*(7-$CU548),IF(AND($C548=2,CV548&lt;$DJ$1),(VLOOKUP($D548,HORAS!$B$4:$C$42,2,FALSE)*24)*$CV548,IF(AND($C548=2,CV548&gt;=$DJ$1),VLOOKUP($D548,HORAS!$B$4:$D$42,3,FALSE),IF(AND($C548=3,$CV548&gt;=$DJ$1),VLOOKUP($A548,FIJOS!$B$11:$P$545,10,FALSE),IF(AND($C548=3,$CV548&lt;$DJ$1),((VLOOKUP($A548,FIJOS!$B$11:$P$545,10,FALSE)/48)*24)*$CV548,IF(AND($C548=4,$CV548&gt;=(42/24)),VLOOKUP($D548,HORAS!$B$4:$D$42,3,FALSE),IF(AND($C548=5,$CV548&gt;=(36/24)),VLOOKUP($D548,HORAS!$B$4:$D$42,3,FALSE))))))))</f>
        <v>0</v>
      </c>
      <c r="DJ548" s="145">
        <f>IF(OR($C548=2),VLOOKUP($D548,HORAS!$B$4:$E$42,4,FALSE)*$EC548,IF(ISERROR(VLOOKUP($A548,FIJOS!$B$11:$P$108,9,FALSE)),0,VLOOKUP($A548,FIJOS!$B$11:$P$231,9,FALSE)*$EC548))</f>
        <v>0</v>
      </c>
      <c r="DK548" s="145">
        <f>IF(OR($C548=2),VLOOKUP($D548,HORAS!$B$4:$F$42,5,FALSE)*$EE548,IF(ISERROR(VLOOKUP($A548,FIJOS!$B$11:$P$108,9,FALSE)),0,VLOOKUP($A548,FIJOS!$B$11:$P$231,9,FALSE)*$EE548))</f>
        <v>0</v>
      </c>
      <c r="DL548" s="144"/>
      <c r="DM548" s="145">
        <f>IF(ISERROR(VLOOKUP($A548,FIJOS!$B$11:$L$646,11,FALSE)),0,VLOOKUP($A548,FIJOS!$B$11:$L$646,11,FALSE))</f>
        <v>0</v>
      </c>
      <c r="DN548" s="148" t="e">
        <f>IF(OR($C548=1,$C548=3),0,IF((VLOOKUP(CAPTURA!D548,HORAS!$B$4:$K$42,10,FALSE)/4)*COUNTIF($H548:$CT548,3)&gt;100,100,(VLOOKUP(CAPTURA!D548,HORAS!$B$4:$K$42,10,FALSE)/4)*COUNTIF($H548:$CT548,3)))</f>
        <v>#N/A</v>
      </c>
      <c r="DO548" s="144" t="e">
        <f>IF(OR($C548=1,$C548=3),0,IF($C548=5,VLOOKUP(D548,HORAS!$B$4:$G$42,6,FALSE),IF(AND($C548=4,$CV548&gt;=(42/24)),VLOOKUP(D548,HORAS!$B$4:$G$42,6,FALSE),IF(COUNTIF($H548:$CL548,"F")&gt;0,0,IF(CV548&gt;$DJ$1,$DJ$1*(VLOOKUP(D548,HORAS!$B$4:$G$42,6,FALSE)/$DJ$1),CV548*(VLOOKUP(D548,HORAS!$B$4:$G$42,6,FALSE)/$DJ$1))))))</f>
        <v>#N/A</v>
      </c>
      <c r="DP548" s="156"/>
      <c r="DQ548" s="148"/>
      <c r="DR548" s="148"/>
      <c r="DS548" s="83" t="e">
        <f t="shared" si="162"/>
        <v>#N/A</v>
      </c>
      <c r="DT548" s="84"/>
      <c r="DU548" s="149" t="e">
        <f t="shared" si="251"/>
        <v>#N/A</v>
      </c>
      <c r="DV548" s="149" t="e">
        <f t="shared" si="252"/>
        <v>#N/A</v>
      </c>
      <c r="DW548" s="144" t="e">
        <f t="shared" si="253"/>
        <v>#N/A</v>
      </c>
      <c r="DX548" s="168"/>
      <c r="DY548" s="29"/>
      <c r="DZ548" s="150"/>
      <c r="EA548" s="134"/>
      <c r="EB548" s="137">
        <f t="shared" si="254"/>
        <v>0</v>
      </c>
      <c r="EC548" s="138">
        <f t="shared" si="255"/>
        <v>0</v>
      </c>
      <c r="ED548" s="137">
        <f t="shared" si="256"/>
        <v>0</v>
      </c>
      <c r="EE548" s="132">
        <f t="shared" si="257"/>
        <v>0</v>
      </c>
      <c r="EF548" s="29"/>
      <c r="EG548" s="134"/>
      <c r="EH548" s="134"/>
      <c r="EI548" s="134"/>
      <c r="EK548" s="29"/>
    </row>
    <row r="549" spans="1:141" ht="15" customHeight="1" x14ac:dyDescent="0.25">
      <c r="A549" s="87"/>
      <c r="B549" s="5"/>
      <c r="C549" s="72"/>
      <c r="D549" s="73"/>
      <c r="E549" s="73"/>
      <c r="F549" s="141"/>
      <c r="G549" s="74"/>
      <c r="H549" s="75"/>
      <c r="I549" s="76"/>
      <c r="J549" s="135"/>
      <c r="K549" s="135"/>
      <c r="L549" s="77">
        <f t="shared" si="138"/>
        <v>0</v>
      </c>
      <c r="M549" s="78"/>
      <c r="N549" s="142"/>
      <c r="O549" s="142"/>
      <c r="P549" s="77">
        <f t="shared" si="139"/>
        <v>0</v>
      </c>
      <c r="Q549" s="78"/>
      <c r="R549" s="143"/>
      <c r="S549" s="143"/>
      <c r="T549" s="77">
        <f t="shared" si="140"/>
        <v>0</v>
      </c>
      <c r="U549" s="75"/>
      <c r="V549" s="76"/>
      <c r="W549" s="135"/>
      <c r="X549" s="135"/>
      <c r="Y549" s="77">
        <f t="shared" si="141"/>
        <v>0</v>
      </c>
      <c r="Z549" s="78"/>
      <c r="AA549" s="142"/>
      <c r="AB549" s="142"/>
      <c r="AC549" s="77">
        <f t="shared" si="142"/>
        <v>0</v>
      </c>
      <c r="AD549" s="78"/>
      <c r="AE549" s="143"/>
      <c r="AF549" s="143"/>
      <c r="AG549" s="79">
        <f t="shared" si="143"/>
        <v>0</v>
      </c>
      <c r="AH549" s="75"/>
      <c r="AI549" s="76"/>
      <c r="AJ549" s="135"/>
      <c r="AK549" s="135"/>
      <c r="AL549" s="77">
        <f t="shared" si="144"/>
        <v>0</v>
      </c>
      <c r="AM549" s="76"/>
      <c r="AN549" s="142"/>
      <c r="AO549" s="142"/>
      <c r="AP549" s="77">
        <f t="shared" si="145"/>
        <v>0</v>
      </c>
      <c r="AQ549" s="78"/>
      <c r="AR549" s="142"/>
      <c r="AS549" s="142"/>
      <c r="AT549" s="79">
        <f t="shared" si="146"/>
        <v>0</v>
      </c>
      <c r="AU549" s="75"/>
      <c r="AV549" s="76"/>
      <c r="AW549" s="135"/>
      <c r="AX549" s="135"/>
      <c r="AY549" s="77">
        <f t="shared" si="147"/>
        <v>0</v>
      </c>
      <c r="AZ549" s="76"/>
      <c r="BA549" s="142"/>
      <c r="BB549" s="142"/>
      <c r="BC549" s="77">
        <f t="shared" si="148"/>
        <v>0</v>
      </c>
      <c r="BD549" s="78"/>
      <c r="BE549" s="142"/>
      <c r="BF549" s="142"/>
      <c r="BG549" s="79">
        <f t="shared" si="149"/>
        <v>0</v>
      </c>
      <c r="BH549" s="75"/>
      <c r="BI549" s="76"/>
      <c r="BJ549" s="135"/>
      <c r="BK549" s="135"/>
      <c r="BL549" s="77">
        <f t="shared" si="150"/>
        <v>0</v>
      </c>
      <c r="BM549" s="78"/>
      <c r="BN549" s="142"/>
      <c r="BO549" s="142"/>
      <c r="BP549" s="77">
        <f t="shared" si="151"/>
        <v>0</v>
      </c>
      <c r="BQ549" s="78"/>
      <c r="BR549" s="142"/>
      <c r="BS549" s="142"/>
      <c r="BT549" s="79">
        <f t="shared" si="152"/>
        <v>0</v>
      </c>
      <c r="BU549" s="75"/>
      <c r="BV549" s="76"/>
      <c r="BW549" s="135"/>
      <c r="BX549" s="135"/>
      <c r="BY549" s="77">
        <f t="shared" si="153"/>
        <v>0</v>
      </c>
      <c r="BZ549" s="78"/>
      <c r="CA549" s="142"/>
      <c r="CB549" s="142"/>
      <c r="CC549" s="77">
        <f t="shared" si="154"/>
        <v>0</v>
      </c>
      <c r="CD549" s="78"/>
      <c r="CE549" s="142"/>
      <c r="CF549" s="142"/>
      <c r="CG549" s="79">
        <f t="shared" si="155"/>
        <v>0</v>
      </c>
      <c r="CH549" s="75"/>
      <c r="CI549" s="76"/>
      <c r="CJ549" s="86"/>
      <c r="CK549" s="86"/>
      <c r="CL549" s="77">
        <f t="shared" si="156"/>
        <v>0</v>
      </c>
      <c r="CM549" s="78"/>
      <c r="CN549" s="85"/>
      <c r="CO549" s="85"/>
      <c r="CP549" s="77">
        <f t="shared" si="157"/>
        <v>0</v>
      </c>
      <c r="CQ549" s="78"/>
      <c r="CR549" s="85"/>
      <c r="CS549" s="85"/>
      <c r="CT549" s="79">
        <f t="shared" si="158"/>
        <v>0</v>
      </c>
      <c r="CU549" s="80">
        <f t="shared" si="168"/>
        <v>0</v>
      </c>
      <c r="CV549" s="81">
        <f t="shared" si="169"/>
        <v>0</v>
      </c>
      <c r="CW549" s="144"/>
      <c r="CX549" s="145">
        <f>IF(ISERROR(VLOOKUP($A549,FIJOS!$B$11:$O$590,14,FALSE)),0,VLOOKUP($A549,FIJOS!$B$11:$O$590,14,FALSE))</f>
        <v>0</v>
      </c>
      <c r="CY549" s="145">
        <f>IF(ISERROR(VLOOKUP(A549,FIJOS!$B$10:$P$590,15,FALSE)),0,VLOOKUP(A549,FIJOS!$B$10:$P$590,15,FALSE))</f>
        <v>0</v>
      </c>
      <c r="CZ549" s="155"/>
      <c r="DA549" s="147"/>
      <c r="DB549" s="147"/>
      <c r="DC549" s="147"/>
      <c r="DD549" s="147"/>
      <c r="DE549" s="147"/>
      <c r="DF549" s="145">
        <f>IF(ISERROR(VLOOKUP($A549,FIJOS!$B$11:$N$590,13,FALSE)),0,VLOOKUP($A549,FIJOS!$B$11:$N$590,13,FALSE))</f>
        <v>0</v>
      </c>
      <c r="DG549" s="145">
        <f>IF(ISERROR(VLOOKUP($A549,FIJOS!$B$11:$P$447,12,FALSE)),0,VLOOKUP($A549,FIJOS!$B$11:$P$447,12,FALSE))</f>
        <v>0</v>
      </c>
      <c r="DH549" s="82">
        <f t="shared" ref="DH549:DH612" si="258">SUM(CW549:DG549)</f>
        <v>0</v>
      </c>
      <c r="DI549" s="83" t="b">
        <f>IF($C549=1,(VLOOKUP($A549,FIJOS!$B$11:$P$545,10,FALSE)/7)*(7-$CU549),IF(AND($C549=2,CV549&lt;$DJ$1),(VLOOKUP($D549,HORAS!$B$4:$C$42,2,FALSE)*24)*$CV549,IF(AND($C549=2,CV549&gt;=$DJ$1),VLOOKUP($D549,HORAS!$B$4:$D$42,3,FALSE),IF(AND($C549=3,$CV549&gt;=$DJ$1),VLOOKUP($A549,FIJOS!$B$11:$P$545,10,FALSE),IF(AND($C549=3,$CV549&lt;$DJ$1),((VLOOKUP($A549,FIJOS!$B$11:$P$545,10,FALSE)/48)*24)*$CV549,IF(AND($C549=4,$CV549&gt;=(42/24)),VLOOKUP($D549,HORAS!$B$4:$D$42,3,FALSE),IF(AND($C549=5,$CV549&gt;=(36/24)),VLOOKUP($D549,HORAS!$B$4:$D$42,3,FALSE))))))))</f>
        <v>0</v>
      </c>
      <c r="DJ549" s="145">
        <f>IF(OR($C549=2),VLOOKUP($D549,HORAS!$B$4:$E$42,4,FALSE)*$EC549,IF(ISERROR(VLOOKUP($A549,FIJOS!$B$11:$P$108,9,FALSE)),0,VLOOKUP($A549,FIJOS!$B$11:$P$231,9,FALSE)*$EC549))</f>
        <v>0</v>
      </c>
      <c r="DK549" s="145">
        <f>IF(OR($C549=2),VLOOKUP($D549,HORAS!$B$4:$F$42,5,FALSE)*$EE549,IF(ISERROR(VLOOKUP($A549,FIJOS!$B$11:$P$108,9,FALSE)),0,VLOOKUP($A549,FIJOS!$B$11:$P$231,9,FALSE)*$EE549))</f>
        <v>0</v>
      </c>
      <c r="DL549" s="144"/>
      <c r="DM549" s="145">
        <f>IF(ISERROR(VLOOKUP($A549,FIJOS!$B$11:$L$646,11,FALSE)),0,VLOOKUP($A549,FIJOS!$B$11:$L$646,11,FALSE))</f>
        <v>0</v>
      </c>
      <c r="DN549" s="148" t="e">
        <f>IF(OR($C549=1,$C549=3),0,IF((VLOOKUP(CAPTURA!D549,HORAS!$B$4:$K$42,10,FALSE)/4)*COUNTIF($H549:$CT549,3)&gt;100,100,(VLOOKUP(CAPTURA!D549,HORAS!$B$4:$K$42,10,FALSE)/4)*COUNTIF($H549:$CT549,3)))</f>
        <v>#N/A</v>
      </c>
      <c r="DO549" s="144" t="e">
        <f>IF(OR($C549=1,$C549=3),0,IF($C549=5,VLOOKUP(D549,HORAS!$B$4:$G$42,6,FALSE),IF(AND($C549=4,$CV549&gt;=(42/24)),VLOOKUP(D549,HORAS!$B$4:$G$42,6,FALSE),IF(COUNTIF($H549:$CL549,"F")&gt;0,0,IF(CV549&gt;$DJ$1,$DJ$1*(VLOOKUP(D549,HORAS!$B$4:$G$42,6,FALSE)/$DJ$1),CV549*(VLOOKUP(D549,HORAS!$B$4:$G$42,6,FALSE)/$DJ$1))))))</f>
        <v>#N/A</v>
      </c>
      <c r="DP549" s="156"/>
      <c r="DQ549" s="148"/>
      <c r="DR549" s="148"/>
      <c r="DS549" s="83" t="e">
        <f t="shared" si="162"/>
        <v>#N/A</v>
      </c>
      <c r="DT549" s="84"/>
      <c r="DU549" s="149" t="e">
        <f t="shared" ref="DU549:DU612" si="259">IF(DW549-DV549=0,0,DW549-DV549)</f>
        <v>#N/A</v>
      </c>
      <c r="DV549" s="149" t="e">
        <f t="shared" ref="DV549:DV612" si="260">IF(DS549&gt;DY549,DY549,DS549)-(CZ549+CY549)</f>
        <v>#N/A</v>
      </c>
      <c r="DW549" s="144" t="e">
        <f t="shared" ref="DW549:DW612" si="261">DS549-DH549</f>
        <v>#N/A</v>
      </c>
      <c r="DX549" s="168"/>
      <c r="DY549" s="29"/>
      <c r="DZ549" s="150"/>
      <c r="EA549" s="134"/>
      <c r="EB549" s="137">
        <f t="shared" ref="EB549:EB612" si="262">IF(CV549&lt;=$DJ$1,0,IF((CV549-$DJ$1)&gt;$EB$1,$EB$1,CV549-$DJ$1))</f>
        <v>0</v>
      </c>
      <c r="EC549" s="138">
        <f t="shared" ref="EC549:EC612" si="263">EB549*24</f>
        <v>0</v>
      </c>
      <c r="ED549" s="137">
        <f t="shared" ref="ED549:ED612" si="264">IF(CV549&lt;=($EB$1+$DJ$1),0,CV549-($EB$1+$DJ$1))</f>
        <v>0</v>
      </c>
      <c r="EE549" s="132">
        <f t="shared" ref="EE549:EE612" si="265">ED549*24</f>
        <v>0</v>
      </c>
      <c r="EF549" s="29"/>
      <c r="EG549" s="134"/>
      <c r="EH549" s="134"/>
      <c r="EI549" s="134"/>
      <c r="EK549" s="29"/>
    </row>
    <row r="550" spans="1:141" ht="15" customHeight="1" x14ac:dyDescent="0.25">
      <c r="A550" s="87"/>
      <c r="B550" s="5"/>
      <c r="C550" s="72"/>
      <c r="D550" s="73"/>
      <c r="E550" s="73"/>
      <c r="F550" s="141"/>
      <c r="G550" s="74"/>
      <c r="H550" s="75"/>
      <c r="I550" s="76"/>
      <c r="J550" s="135"/>
      <c r="K550" s="135"/>
      <c r="L550" s="77">
        <f t="shared" si="138"/>
        <v>0</v>
      </c>
      <c r="M550" s="78"/>
      <c r="N550" s="142"/>
      <c r="O550" s="142"/>
      <c r="P550" s="77">
        <f t="shared" si="139"/>
        <v>0</v>
      </c>
      <c r="Q550" s="78"/>
      <c r="R550" s="143"/>
      <c r="S550" s="143"/>
      <c r="T550" s="77">
        <f t="shared" si="140"/>
        <v>0</v>
      </c>
      <c r="U550" s="75"/>
      <c r="V550" s="76"/>
      <c r="W550" s="135"/>
      <c r="X550" s="135"/>
      <c r="Y550" s="77">
        <f t="shared" si="141"/>
        <v>0</v>
      </c>
      <c r="Z550" s="78"/>
      <c r="AA550" s="142"/>
      <c r="AB550" s="142"/>
      <c r="AC550" s="77">
        <f t="shared" si="142"/>
        <v>0</v>
      </c>
      <c r="AD550" s="78"/>
      <c r="AE550" s="143"/>
      <c r="AF550" s="143"/>
      <c r="AG550" s="79">
        <f t="shared" si="143"/>
        <v>0</v>
      </c>
      <c r="AH550" s="75"/>
      <c r="AI550" s="76"/>
      <c r="AJ550" s="135"/>
      <c r="AK550" s="135"/>
      <c r="AL550" s="77">
        <f t="shared" si="144"/>
        <v>0</v>
      </c>
      <c r="AM550" s="76"/>
      <c r="AN550" s="142"/>
      <c r="AO550" s="142"/>
      <c r="AP550" s="77">
        <f t="shared" si="145"/>
        <v>0</v>
      </c>
      <c r="AQ550" s="78"/>
      <c r="AR550" s="142"/>
      <c r="AS550" s="142"/>
      <c r="AT550" s="79">
        <f t="shared" si="146"/>
        <v>0</v>
      </c>
      <c r="AU550" s="75"/>
      <c r="AV550" s="76"/>
      <c r="AW550" s="135"/>
      <c r="AX550" s="135"/>
      <c r="AY550" s="77">
        <f t="shared" si="147"/>
        <v>0</v>
      </c>
      <c r="AZ550" s="76"/>
      <c r="BA550" s="142"/>
      <c r="BB550" s="142"/>
      <c r="BC550" s="77">
        <f t="shared" si="148"/>
        <v>0</v>
      </c>
      <c r="BD550" s="78"/>
      <c r="BE550" s="142"/>
      <c r="BF550" s="142"/>
      <c r="BG550" s="79">
        <f t="shared" si="149"/>
        <v>0</v>
      </c>
      <c r="BH550" s="75"/>
      <c r="BI550" s="76"/>
      <c r="BJ550" s="135"/>
      <c r="BK550" s="135"/>
      <c r="BL550" s="77">
        <f t="shared" si="150"/>
        <v>0</v>
      </c>
      <c r="BM550" s="78"/>
      <c r="BN550" s="142"/>
      <c r="BO550" s="142"/>
      <c r="BP550" s="77">
        <f t="shared" si="151"/>
        <v>0</v>
      </c>
      <c r="BQ550" s="78"/>
      <c r="BR550" s="142"/>
      <c r="BS550" s="142"/>
      <c r="BT550" s="79">
        <f t="shared" si="152"/>
        <v>0</v>
      </c>
      <c r="BU550" s="75"/>
      <c r="BV550" s="76"/>
      <c r="BW550" s="135"/>
      <c r="BX550" s="135"/>
      <c r="BY550" s="77">
        <f t="shared" si="153"/>
        <v>0</v>
      </c>
      <c r="BZ550" s="78"/>
      <c r="CA550" s="142"/>
      <c r="CB550" s="142"/>
      <c r="CC550" s="77">
        <f t="shared" si="154"/>
        <v>0</v>
      </c>
      <c r="CD550" s="78"/>
      <c r="CE550" s="142"/>
      <c r="CF550" s="142"/>
      <c r="CG550" s="79">
        <f t="shared" si="155"/>
        <v>0</v>
      </c>
      <c r="CH550" s="75"/>
      <c r="CI550" s="76"/>
      <c r="CJ550" s="86"/>
      <c r="CK550" s="86"/>
      <c r="CL550" s="77">
        <f t="shared" si="156"/>
        <v>0</v>
      </c>
      <c r="CM550" s="78"/>
      <c r="CN550" s="85"/>
      <c r="CO550" s="85"/>
      <c r="CP550" s="77">
        <f t="shared" si="157"/>
        <v>0</v>
      </c>
      <c r="CQ550" s="78"/>
      <c r="CR550" s="85"/>
      <c r="CS550" s="85"/>
      <c r="CT550" s="79">
        <f t="shared" si="158"/>
        <v>0</v>
      </c>
      <c r="CU550" s="80">
        <f t="shared" si="168"/>
        <v>0</v>
      </c>
      <c r="CV550" s="81">
        <f t="shared" si="169"/>
        <v>0</v>
      </c>
      <c r="CW550" s="144"/>
      <c r="CX550" s="145">
        <f>IF(ISERROR(VLOOKUP($A550,FIJOS!$B$11:$O$590,14,FALSE)),0,VLOOKUP($A550,FIJOS!$B$11:$O$590,14,FALSE))</f>
        <v>0</v>
      </c>
      <c r="CY550" s="145">
        <f>IF(ISERROR(VLOOKUP(A550,FIJOS!$B$10:$P$590,15,FALSE)),0,VLOOKUP(A550,FIJOS!$B$10:$P$590,15,FALSE))</f>
        <v>0</v>
      </c>
      <c r="CZ550" s="155"/>
      <c r="DA550" s="147"/>
      <c r="DB550" s="147"/>
      <c r="DC550" s="147"/>
      <c r="DD550" s="147"/>
      <c r="DE550" s="147"/>
      <c r="DF550" s="145">
        <f>IF(ISERROR(VLOOKUP($A550,FIJOS!$B$11:$N$590,13,FALSE)),0,VLOOKUP($A550,FIJOS!$B$11:$N$590,13,FALSE))</f>
        <v>0</v>
      </c>
      <c r="DG550" s="145">
        <f>IF(ISERROR(VLOOKUP($A550,FIJOS!$B$11:$P$447,12,FALSE)),0,VLOOKUP($A550,FIJOS!$B$11:$P$447,12,FALSE))</f>
        <v>0</v>
      </c>
      <c r="DH550" s="82">
        <f t="shared" si="258"/>
        <v>0</v>
      </c>
      <c r="DI550" s="83" t="b">
        <f>IF($C550=1,(VLOOKUP($A550,FIJOS!$B$11:$P$545,10,FALSE)/7)*(7-$CU550),IF(AND($C550=2,CV550&lt;$DJ$1),(VLOOKUP($D550,HORAS!$B$4:$C$42,2,FALSE)*24)*$CV550,IF(AND($C550=2,CV550&gt;=$DJ$1),VLOOKUP($D550,HORAS!$B$4:$D$42,3,FALSE),IF(AND($C550=3,$CV550&gt;=$DJ$1),VLOOKUP($A550,FIJOS!$B$11:$P$545,10,FALSE),IF(AND($C550=3,$CV550&lt;$DJ$1),((VLOOKUP($A550,FIJOS!$B$11:$P$545,10,FALSE)/48)*24)*$CV550,IF(AND($C550=4,$CV550&gt;=(42/24)),VLOOKUP($D550,HORAS!$B$4:$D$42,3,FALSE),IF(AND($C550=5,$CV550&gt;=(36/24)),VLOOKUP($D550,HORAS!$B$4:$D$42,3,FALSE))))))))</f>
        <v>0</v>
      </c>
      <c r="DJ550" s="145">
        <f>IF(OR($C550=2),VLOOKUP($D550,HORAS!$B$4:$E$42,4,FALSE)*$EC550,IF(ISERROR(VLOOKUP($A550,FIJOS!$B$11:$P$108,9,FALSE)),0,VLOOKUP($A550,FIJOS!$B$11:$P$231,9,FALSE)*$EC550))</f>
        <v>0</v>
      </c>
      <c r="DK550" s="145">
        <f>IF(OR($C550=2),VLOOKUP($D550,HORAS!$B$4:$F$42,5,FALSE)*$EE550,IF(ISERROR(VLOOKUP($A550,FIJOS!$B$11:$P$108,9,FALSE)),0,VLOOKUP($A550,FIJOS!$B$11:$P$231,9,FALSE)*$EE550))</f>
        <v>0</v>
      </c>
      <c r="DL550" s="144"/>
      <c r="DM550" s="145">
        <f>IF(ISERROR(VLOOKUP($A550,FIJOS!$B$11:$L$646,11,FALSE)),0,VLOOKUP($A550,FIJOS!$B$11:$L$646,11,FALSE))</f>
        <v>0</v>
      </c>
      <c r="DN550" s="148" t="e">
        <f>IF(OR($C550=1,$C550=3),0,IF((VLOOKUP(CAPTURA!D550,HORAS!$B$4:$K$42,10,FALSE)/4)*COUNTIF($H550:$CT550,3)&gt;100,100,(VLOOKUP(CAPTURA!D550,HORAS!$B$4:$K$42,10,FALSE)/4)*COUNTIF($H550:$CT550,3)))</f>
        <v>#N/A</v>
      </c>
      <c r="DO550" s="144" t="e">
        <f>IF(OR($C550=1,$C550=3),0,IF($C550=5,VLOOKUP(D550,HORAS!$B$4:$G$42,6,FALSE),IF(AND($C550=4,$CV550&gt;=(42/24)),VLOOKUP(D550,HORAS!$B$4:$G$42,6,FALSE),IF(COUNTIF($H550:$CL550,"F")&gt;0,0,IF(CV550&gt;$DJ$1,$DJ$1*(VLOOKUP(D550,HORAS!$B$4:$G$42,6,FALSE)/$DJ$1),CV550*(VLOOKUP(D550,HORAS!$B$4:$G$42,6,FALSE)/$DJ$1))))))</f>
        <v>#N/A</v>
      </c>
      <c r="DP550" s="156"/>
      <c r="DQ550" s="148"/>
      <c r="DR550" s="148"/>
      <c r="DS550" s="83" t="e">
        <f t="shared" si="162"/>
        <v>#N/A</v>
      </c>
      <c r="DT550" s="84"/>
      <c r="DU550" s="149" t="e">
        <f t="shared" si="259"/>
        <v>#N/A</v>
      </c>
      <c r="DV550" s="149" t="e">
        <f t="shared" si="260"/>
        <v>#N/A</v>
      </c>
      <c r="DW550" s="144" t="e">
        <f t="shared" si="261"/>
        <v>#N/A</v>
      </c>
      <c r="DX550" s="168"/>
      <c r="DY550" s="29"/>
      <c r="DZ550" s="150"/>
      <c r="EA550" s="134"/>
      <c r="EB550" s="137">
        <f t="shared" si="262"/>
        <v>0</v>
      </c>
      <c r="EC550" s="138">
        <f t="shared" si="263"/>
        <v>0</v>
      </c>
      <c r="ED550" s="137">
        <f t="shared" si="264"/>
        <v>0</v>
      </c>
      <c r="EE550" s="132">
        <f t="shared" si="265"/>
        <v>0</v>
      </c>
      <c r="EF550" s="29"/>
      <c r="EG550" s="134"/>
      <c r="EH550" s="134"/>
      <c r="EI550" s="134"/>
      <c r="EK550" s="29"/>
    </row>
    <row r="551" spans="1:141" ht="15" customHeight="1" x14ac:dyDescent="0.25">
      <c r="A551" s="87"/>
      <c r="B551" s="5"/>
      <c r="C551" s="72"/>
      <c r="D551" s="73"/>
      <c r="E551" s="73"/>
      <c r="F551" s="141"/>
      <c r="G551" s="74"/>
      <c r="H551" s="75"/>
      <c r="I551" s="76"/>
      <c r="J551" s="135"/>
      <c r="K551" s="135"/>
      <c r="L551" s="77">
        <f t="shared" si="138"/>
        <v>0</v>
      </c>
      <c r="M551" s="78"/>
      <c r="N551" s="142"/>
      <c r="O551" s="142"/>
      <c r="P551" s="77">
        <f t="shared" si="139"/>
        <v>0</v>
      </c>
      <c r="Q551" s="78"/>
      <c r="R551" s="143"/>
      <c r="S551" s="143"/>
      <c r="T551" s="77">
        <f t="shared" si="140"/>
        <v>0</v>
      </c>
      <c r="U551" s="75"/>
      <c r="V551" s="76"/>
      <c r="W551" s="135"/>
      <c r="X551" s="135"/>
      <c r="Y551" s="77">
        <f t="shared" si="141"/>
        <v>0</v>
      </c>
      <c r="Z551" s="78"/>
      <c r="AA551" s="142"/>
      <c r="AB551" s="142"/>
      <c r="AC551" s="77">
        <f t="shared" si="142"/>
        <v>0</v>
      </c>
      <c r="AD551" s="78"/>
      <c r="AE551" s="143"/>
      <c r="AF551" s="143"/>
      <c r="AG551" s="79">
        <f t="shared" si="143"/>
        <v>0</v>
      </c>
      <c r="AH551" s="75"/>
      <c r="AI551" s="76"/>
      <c r="AJ551" s="135"/>
      <c r="AK551" s="135"/>
      <c r="AL551" s="77">
        <f t="shared" si="144"/>
        <v>0</v>
      </c>
      <c r="AM551" s="76"/>
      <c r="AN551" s="142"/>
      <c r="AO551" s="142"/>
      <c r="AP551" s="77">
        <f t="shared" si="145"/>
        <v>0</v>
      </c>
      <c r="AQ551" s="78"/>
      <c r="AR551" s="142"/>
      <c r="AS551" s="142"/>
      <c r="AT551" s="79">
        <f t="shared" si="146"/>
        <v>0</v>
      </c>
      <c r="AU551" s="75"/>
      <c r="AV551" s="76"/>
      <c r="AW551" s="135"/>
      <c r="AX551" s="135"/>
      <c r="AY551" s="77">
        <f t="shared" si="147"/>
        <v>0</v>
      </c>
      <c r="AZ551" s="76"/>
      <c r="BA551" s="142"/>
      <c r="BB551" s="142"/>
      <c r="BC551" s="77">
        <f t="shared" si="148"/>
        <v>0</v>
      </c>
      <c r="BD551" s="78"/>
      <c r="BE551" s="142"/>
      <c r="BF551" s="142"/>
      <c r="BG551" s="79">
        <f t="shared" si="149"/>
        <v>0</v>
      </c>
      <c r="BH551" s="75"/>
      <c r="BI551" s="76"/>
      <c r="BJ551" s="135"/>
      <c r="BK551" s="135"/>
      <c r="BL551" s="77">
        <f t="shared" si="150"/>
        <v>0</v>
      </c>
      <c r="BM551" s="78"/>
      <c r="BN551" s="142"/>
      <c r="BO551" s="142"/>
      <c r="BP551" s="77">
        <f t="shared" si="151"/>
        <v>0</v>
      </c>
      <c r="BQ551" s="78"/>
      <c r="BR551" s="142"/>
      <c r="BS551" s="142"/>
      <c r="BT551" s="79">
        <f t="shared" si="152"/>
        <v>0</v>
      </c>
      <c r="BU551" s="75"/>
      <c r="BV551" s="76"/>
      <c r="BW551" s="135"/>
      <c r="BX551" s="135"/>
      <c r="BY551" s="77">
        <f t="shared" si="153"/>
        <v>0</v>
      </c>
      <c r="BZ551" s="78"/>
      <c r="CA551" s="142"/>
      <c r="CB551" s="142"/>
      <c r="CC551" s="77">
        <f t="shared" si="154"/>
        <v>0</v>
      </c>
      <c r="CD551" s="78"/>
      <c r="CE551" s="142"/>
      <c r="CF551" s="142"/>
      <c r="CG551" s="79">
        <f t="shared" si="155"/>
        <v>0</v>
      </c>
      <c r="CH551" s="75"/>
      <c r="CI551" s="76"/>
      <c r="CJ551" s="86"/>
      <c r="CK551" s="86"/>
      <c r="CL551" s="77">
        <f t="shared" si="156"/>
        <v>0</v>
      </c>
      <c r="CM551" s="78"/>
      <c r="CN551" s="85"/>
      <c r="CO551" s="85"/>
      <c r="CP551" s="77">
        <f t="shared" si="157"/>
        <v>0</v>
      </c>
      <c r="CQ551" s="78"/>
      <c r="CR551" s="85"/>
      <c r="CS551" s="85"/>
      <c r="CT551" s="79">
        <f t="shared" si="158"/>
        <v>0</v>
      </c>
      <c r="CU551" s="80">
        <f t="shared" si="168"/>
        <v>0</v>
      </c>
      <c r="CV551" s="81">
        <f t="shared" si="169"/>
        <v>0</v>
      </c>
      <c r="CW551" s="144"/>
      <c r="CX551" s="145">
        <f>IF(ISERROR(VLOOKUP($A551,FIJOS!$B$11:$O$590,14,FALSE)),0,VLOOKUP($A551,FIJOS!$B$11:$O$590,14,FALSE))</f>
        <v>0</v>
      </c>
      <c r="CY551" s="145">
        <f>IF(ISERROR(VLOOKUP(A551,FIJOS!$B$10:$P$590,15,FALSE)),0,VLOOKUP(A551,FIJOS!$B$10:$P$590,15,FALSE))</f>
        <v>0</v>
      </c>
      <c r="CZ551" s="155"/>
      <c r="DA551" s="147"/>
      <c r="DB551" s="147"/>
      <c r="DC551" s="147"/>
      <c r="DD551" s="147"/>
      <c r="DE551" s="147"/>
      <c r="DF551" s="145">
        <f>IF(ISERROR(VLOOKUP($A551,FIJOS!$B$11:$N$590,13,FALSE)),0,VLOOKUP($A551,FIJOS!$B$11:$N$590,13,FALSE))</f>
        <v>0</v>
      </c>
      <c r="DG551" s="145">
        <f>IF(ISERROR(VLOOKUP($A551,FIJOS!$B$11:$P$447,12,FALSE)),0,VLOOKUP($A551,FIJOS!$B$11:$P$447,12,FALSE))</f>
        <v>0</v>
      </c>
      <c r="DH551" s="82">
        <f t="shared" si="258"/>
        <v>0</v>
      </c>
      <c r="DI551" s="83" t="b">
        <f>IF($C551=1,(VLOOKUP($A551,FIJOS!$B$11:$P$545,10,FALSE)/7)*(7-$CU551),IF(AND($C551=2,CV551&lt;$DJ$1),(VLOOKUP($D551,HORAS!$B$4:$C$42,2,FALSE)*24)*$CV551,IF(AND($C551=2,CV551&gt;=$DJ$1),VLOOKUP($D551,HORAS!$B$4:$D$42,3,FALSE),IF(AND($C551=3,$CV551&gt;=$DJ$1),VLOOKUP($A551,FIJOS!$B$11:$P$545,10,FALSE),IF(AND($C551=3,$CV551&lt;$DJ$1),((VLOOKUP($A551,FIJOS!$B$11:$P$545,10,FALSE)/48)*24)*$CV551,IF(AND($C551=4,$CV551&gt;=(42/24)),VLOOKUP($D551,HORAS!$B$4:$D$42,3,FALSE),IF(AND($C551=5,$CV551&gt;=(36/24)),VLOOKUP($D551,HORAS!$B$4:$D$42,3,FALSE))))))))</f>
        <v>0</v>
      </c>
      <c r="DJ551" s="145">
        <f>IF(OR($C551=2),VLOOKUP($D551,HORAS!$B$4:$E$42,4,FALSE)*$EC551,IF(ISERROR(VLOOKUP($A551,FIJOS!$B$11:$P$108,9,FALSE)),0,VLOOKUP($A551,FIJOS!$B$11:$P$231,9,FALSE)*$EC551))</f>
        <v>0</v>
      </c>
      <c r="DK551" s="145">
        <f>IF(OR($C551=2),VLOOKUP($D551,HORAS!$B$4:$F$42,5,FALSE)*$EE551,IF(ISERROR(VLOOKUP($A551,FIJOS!$B$11:$P$108,9,FALSE)),0,VLOOKUP($A551,FIJOS!$B$11:$P$231,9,FALSE)*$EE551))</f>
        <v>0</v>
      </c>
      <c r="DL551" s="144"/>
      <c r="DM551" s="145">
        <f>IF(ISERROR(VLOOKUP($A551,FIJOS!$B$11:$L$646,11,FALSE)),0,VLOOKUP($A551,FIJOS!$B$11:$L$646,11,FALSE))</f>
        <v>0</v>
      </c>
      <c r="DN551" s="148" t="e">
        <f>IF(OR($C551=1,$C551=3),0,IF((VLOOKUP(CAPTURA!D551,HORAS!$B$4:$K$42,10,FALSE)/4)*COUNTIF($H551:$CT551,3)&gt;100,100,(VLOOKUP(CAPTURA!D551,HORAS!$B$4:$K$42,10,FALSE)/4)*COUNTIF($H551:$CT551,3)))</f>
        <v>#N/A</v>
      </c>
      <c r="DO551" s="144" t="e">
        <f>IF(OR($C551=1,$C551=3),0,IF($C551=5,VLOOKUP(D551,HORAS!$B$4:$G$42,6,FALSE),IF(AND($C551=4,$CV551&gt;=(42/24)),VLOOKUP(D551,HORAS!$B$4:$G$42,6,FALSE),IF(COUNTIF($H551:$CL551,"F")&gt;0,0,IF(CV551&gt;$DJ$1,$DJ$1*(VLOOKUP(D551,HORAS!$B$4:$G$42,6,FALSE)/$DJ$1),CV551*(VLOOKUP(D551,HORAS!$B$4:$G$42,6,FALSE)/$DJ$1))))))</f>
        <v>#N/A</v>
      </c>
      <c r="DP551" s="156"/>
      <c r="DQ551" s="148"/>
      <c r="DR551" s="148"/>
      <c r="DS551" s="83" t="e">
        <f t="shared" si="162"/>
        <v>#N/A</v>
      </c>
      <c r="DT551" s="84"/>
      <c r="DU551" s="149" t="e">
        <f t="shared" si="259"/>
        <v>#N/A</v>
      </c>
      <c r="DV551" s="149" t="e">
        <f t="shared" si="260"/>
        <v>#N/A</v>
      </c>
      <c r="DW551" s="144" t="e">
        <f t="shared" si="261"/>
        <v>#N/A</v>
      </c>
      <c r="DX551" s="168"/>
      <c r="DY551" s="29"/>
      <c r="DZ551" s="150"/>
      <c r="EA551" s="134"/>
      <c r="EB551" s="137">
        <f t="shared" si="262"/>
        <v>0</v>
      </c>
      <c r="EC551" s="138">
        <f t="shared" si="263"/>
        <v>0</v>
      </c>
      <c r="ED551" s="137">
        <f t="shared" si="264"/>
        <v>0</v>
      </c>
      <c r="EE551" s="132">
        <f t="shared" si="265"/>
        <v>0</v>
      </c>
      <c r="EF551" s="29"/>
      <c r="EG551" s="134"/>
      <c r="EH551" s="134"/>
      <c r="EI551" s="134"/>
      <c r="EK551" s="29"/>
    </row>
    <row r="552" spans="1:141" ht="15" customHeight="1" x14ac:dyDescent="0.25">
      <c r="A552" s="87"/>
      <c r="B552" s="5"/>
      <c r="C552" s="72"/>
      <c r="D552" s="73"/>
      <c r="E552" s="73"/>
      <c r="F552" s="141"/>
      <c r="G552" s="74"/>
      <c r="H552" s="75"/>
      <c r="I552" s="76"/>
      <c r="J552" s="135"/>
      <c r="K552" s="135"/>
      <c r="L552" s="77">
        <f t="shared" si="138"/>
        <v>0</v>
      </c>
      <c r="M552" s="78"/>
      <c r="N552" s="142"/>
      <c r="O552" s="142"/>
      <c r="P552" s="77">
        <f t="shared" si="139"/>
        <v>0</v>
      </c>
      <c r="Q552" s="78"/>
      <c r="R552" s="143"/>
      <c r="S552" s="143"/>
      <c r="T552" s="77">
        <f t="shared" si="140"/>
        <v>0</v>
      </c>
      <c r="U552" s="75"/>
      <c r="V552" s="76"/>
      <c r="W552" s="135"/>
      <c r="X552" s="135"/>
      <c r="Y552" s="77">
        <f t="shared" si="141"/>
        <v>0</v>
      </c>
      <c r="Z552" s="78"/>
      <c r="AA552" s="142"/>
      <c r="AB552" s="142"/>
      <c r="AC552" s="77">
        <f t="shared" si="142"/>
        <v>0</v>
      </c>
      <c r="AD552" s="78"/>
      <c r="AE552" s="143"/>
      <c r="AF552" s="143"/>
      <c r="AG552" s="79">
        <f t="shared" si="143"/>
        <v>0</v>
      </c>
      <c r="AH552" s="75"/>
      <c r="AI552" s="76"/>
      <c r="AJ552" s="135"/>
      <c r="AK552" s="135"/>
      <c r="AL552" s="77">
        <f t="shared" si="144"/>
        <v>0</v>
      </c>
      <c r="AM552" s="76"/>
      <c r="AN552" s="142"/>
      <c r="AO552" s="142"/>
      <c r="AP552" s="77">
        <f t="shared" si="145"/>
        <v>0</v>
      </c>
      <c r="AQ552" s="78"/>
      <c r="AR552" s="142"/>
      <c r="AS552" s="142"/>
      <c r="AT552" s="79">
        <f t="shared" si="146"/>
        <v>0</v>
      </c>
      <c r="AU552" s="75"/>
      <c r="AV552" s="76"/>
      <c r="AW552" s="135"/>
      <c r="AX552" s="135"/>
      <c r="AY552" s="77">
        <f t="shared" si="147"/>
        <v>0</v>
      </c>
      <c r="AZ552" s="76"/>
      <c r="BA552" s="142"/>
      <c r="BB552" s="142"/>
      <c r="BC552" s="77">
        <f t="shared" si="148"/>
        <v>0</v>
      </c>
      <c r="BD552" s="78"/>
      <c r="BE552" s="142"/>
      <c r="BF552" s="142"/>
      <c r="BG552" s="79">
        <f t="shared" si="149"/>
        <v>0</v>
      </c>
      <c r="BH552" s="75"/>
      <c r="BI552" s="76"/>
      <c r="BJ552" s="135"/>
      <c r="BK552" s="135"/>
      <c r="BL552" s="77">
        <f t="shared" si="150"/>
        <v>0</v>
      </c>
      <c r="BM552" s="78"/>
      <c r="BN552" s="142"/>
      <c r="BO552" s="142"/>
      <c r="BP552" s="77">
        <f t="shared" si="151"/>
        <v>0</v>
      </c>
      <c r="BQ552" s="78"/>
      <c r="BR552" s="142"/>
      <c r="BS552" s="142"/>
      <c r="BT552" s="79">
        <f t="shared" si="152"/>
        <v>0</v>
      </c>
      <c r="BU552" s="75"/>
      <c r="BV552" s="76"/>
      <c r="BW552" s="135"/>
      <c r="BX552" s="135"/>
      <c r="BY552" s="77">
        <f t="shared" si="153"/>
        <v>0</v>
      </c>
      <c r="BZ552" s="78"/>
      <c r="CA552" s="142"/>
      <c r="CB552" s="142"/>
      <c r="CC552" s="77">
        <f t="shared" si="154"/>
        <v>0</v>
      </c>
      <c r="CD552" s="78"/>
      <c r="CE552" s="142"/>
      <c r="CF552" s="142"/>
      <c r="CG552" s="79">
        <f t="shared" si="155"/>
        <v>0</v>
      </c>
      <c r="CH552" s="75"/>
      <c r="CI552" s="76"/>
      <c r="CJ552" s="86"/>
      <c r="CK552" s="86"/>
      <c r="CL552" s="77">
        <f t="shared" si="156"/>
        <v>0</v>
      </c>
      <c r="CM552" s="78"/>
      <c r="CN552" s="85"/>
      <c r="CO552" s="85"/>
      <c r="CP552" s="77">
        <f t="shared" si="157"/>
        <v>0</v>
      </c>
      <c r="CQ552" s="78"/>
      <c r="CR552" s="85"/>
      <c r="CS552" s="85"/>
      <c r="CT552" s="79">
        <f t="shared" si="158"/>
        <v>0</v>
      </c>
      <c r="CU552" s="80">
        <f t="shared" si="168"/>
        <v>0</v>
      </c>
      <c r="CV552" s="81">
        <f t="shared" si="169"/>
        <v>0</v>
      </c>
      <c r="CW552" s="144"/>
      <c r="CX552" s="145">
        <f>IF(ISERROR(VLOOKUP($A552,FIJOS!$B$11:$O$590,14,FALSE)),0,VLOOKUP($A552,FIJOS!$B$11:$O$590,14,FALSE))</f>
        <v>0</v>
      </c>
      <c r="CY552" s="145">
        <f>IF(ISERROR(VLOOKUP(A552,FIJOS!$B$10:$P$590,15,FALSE)),0,VLOOKUP(A552,FIJOS!$B$10:$P$590,15,FALSE))</f>
        <v>0</v>
      </c>
      <c r="CZ552" s="155"/>
      <c r="DA552" s="147"/>
      <c r="DB552" s="147"/>
      <c r="DC552" s="147"/>
      <c r="DD552" s="147"/>
      <c r="DE552" s="147"/>
      <c r="DF552" s="145">
        <f>IF(ISERROR(VLOOKUP($A552,FIJOS!$B$11:$N$590,13,FALSE)),0,VLOOKUP($A552,FIJOS!$B$11:$N$590,13,FALSE))</f>
        <v>0</v>
      </c>
      <c r="DG552" s="145">
        <f>IF(ISERROR(VLOOKUP($A552,FIJOS!$B$11:$P$447,12,FALSE)),0,VLOOKUP($A552,FIJOS!$B$11:$P$447,12,FALSE))</f>
        <v>0</v>
      </c>
      <c r="DH552" s="82">
        <f t="shared" si="258"/>
        <v>0</v>
      </c>
      <c r="DI552" s="83" t="b">
        <f>IF($C552=1,(VLOOKUP($A552,FIJOS!$B$11:$P$545,10,FALSE)/7)*(7-$CU552),IF(AND($C552=2,CV552&lt;$DJ$1),(VLOOKUP($D552,HORAS!$B$4:$C$42,2,FALSE)*24)*$CV552,IF(AND($C552=2,CV552&gt;=$DJ$1),VLOOKUP($D552,HORAS!$B$4:$D$42,3,FALSE),IF(AND($C552=3,$CV552&gt;=$DJ$1),VLOOKUP($A552,FIJOS!$B$11:$P$545,10,FALSE),IF(AND($C552=3,$CV552&lt;$DJ$1),((VLOOKUP($A552,FIJOS!$B$11:$P$545,10,FALSE)/48)*24)*$CV552,IF(AND($C552=4,$CV552&gt;=(42/24)),VLOOKUP($D552,HORAS!$B$4:$D$42,3,FALSE),IF(AND($C552=5,$CV552&gt;=(36/24)),VLOOKUP($D552,HORAS!$B$4:$D$42,3,FALSE))))))))</f>
        <v>0</v>
      </c>
      <c r="DJ552" s="145">
        <f>IF(OR($C552=2),VLOOKUP($D552,HORAS!$B$4:$E$42,4,FALSE)*$EC552,IF(ISERROR(VLOOKUP($A552,FIJOS!$B$11:$P$108,9,FALSE)),0,VLOOKUP($A552,FIJOS!$B$11:$P$231,9,FALSE)*$EC552))</f>
        <v>0</v>
      </c>
      <c r="DK552" s="145">
        <f>IF(OR($C552=2),VLOOKUP($D552,HORAS!$B$4:$F$42,5,FALSE)*$EE552,IF(ISERROR(VLOOKUP($A552,FIJOS!$B$11:$P$108,9,FALSE)),0,VLOOKUP($A552,FIJOS!$B$11:$P$231,9,FALSE)*$EE552))</f>
        <v>0</v>
      </c>
      <c r="DL552" s="144"/>
      <c r="DM552" s="145">
        <f>IF(ISERROR(VLOOKUP($A552,FIJOS!$B$11:$L$646,11,FALSE)),0,VLOOKUP($A552,FIJOS!$B$11:$L$646,11,FALSE))</f>
        <v>0</v>
      </c>
      <c r="DN552" s="148" t="e">
        <f>IF(OR($C552=1,$C552=3),0,IF((VLOOKUP(CAPTURA!D552,HORAS!$B$4:$K$42,10,FALSE)/4)*COUNTIF($H552:$CT552,3)&gt;100,100,(VLOOKUP(CAPTURA!D552,HORAS!$B$4:$K$42,10,FALSE)/4)*COUNTIF($H552:$CT552,3)))</f>
        <v>#N/A</v>
      </c>
      <c r="DO552" s="144" t="e">
        <f>IF(OR($C552=1,$C552=3),0,IF($C552=5,VLOOKUP(D552,HORAS!$B$4:$G$42,6,FALSE),IF(AND($C552=4,$CV552&gt;=(42/24)),VLOOKUP(D552,HORAS!$B$4:$G$42,6,FALSE),IF(COUNTIF($H552:$CL552,"F")&gt;0,0,IF(CV552&gt;$DJ$1,$DJ$1*(VLOOKUP(D552,HORAS!$B$4:$G$42,6,FALSE)/$DJ$1),CV552*(VLOOKUP(D552,HORAS!$B$4:$G$42,6,FALSE)/$DJ$1))))))</f>
        <v>#N/A</v>
      </c>
      <c r="DP552" s="156"/>
      <c r="DQ552" s="148"/>
      <c r="DR552" s="148"/>
      <c r="DS552" s="83" t="e">
        <f t="shared" si="162"/>
        <v>#N/A</v>
      </c>
      <c r="DT552" s="84"/>
      <c r="DU552" s="149" t="e">
        <f t="shared" si="259"/>
        <v>#N/A</v>
      </c>
      <c r="DV552" s="149" t="e">
        <f t="shared" si="260"/>
        <v>#N/A</v>
      </c>
      <c r="DW552" s="144" t="e">
        <f t="shared" si="261"/>
        <v>#N/A</v>
      </c>
      <c r="DX552" s="168"/>
      <c r="DY552" s="29"/>
      <c r="DZ552" s="150"/>
      <c r="EA552" s="134"/>
      <c r="EB552" s="137">
        <f t="shared" si="262"/>
        <v>0</v>
      </c>
      <c r="EC552" s="138">
        <f t="shared" si="263"/>
        <v>0</v>
      </c>
      <c r="ED552" s="137">
        <f t="shared" si="264"/>
        <v>0</v>
      </c>
      <c r="EE552" s="132">
        <f t="shared" si="265"/>
        <v>0</v>
      </c>
      <c r="EF552" s="29"/>
      <c r="EG552" s="134"/>
      <c r="EH552" s="134"/>
      <c r="EI552" s="134"/>
      <c r="EK552" s="29"/>
    </row>
    <row r="553" spans="1:141" ht="15" customHeight="1" x14ac:dyDescent="0.25">
      <c r="A553" s="87"/>
      <c r="B553" s="5"/>
      <c r="C553" s="72"/>
      <c r="D553" s="73"/>
      <c r="E553" s="73"/>
      <c r="F553" s="141"/>
      <c r="G553" s="74"/>
      <c r="H553" s="75"/>
      <c r="I553" s="76"/>
      <c r="J553" s="135"/>
      <c r="K553" s="135"/>
      <c r="L553" s="77">
        <f t="shared" si="138"/>
        <v>0</v>
      </c>
      <c r="M553" s="78"/>
      <c r="N553" s="142"/>
      <c r="O553" s="142"/>
      <c r="P553" s="77">
        <f t="shared" si="139"/>
        <v>0</v>
      </c>
      <c r="Q553" s="78"/>
      <c r="R553" s="143"/>
      <c r="S553" s="143"/>
      <c r="T553" s="77">
        <f t="shared" si="140"/>
        <v>0</v>
      </c>
      <c r="U553" s="75"/>
      <c r="V553" s="76"/>
      <c r="W553" s="135"/>
      <c r="X553" s="135"/>
      <c r="Y553" s="77">
        <f t="shared" si="141"/>
        <v>0</v>
      </c>
      <c r="Z553" s="78"/>
      <c r="AA553" s="142"/>
      <c r="AB553" s="142"/>
      <c r="AC553" s="77">
        <f t="shared" si="142"/>
        <v>0</v>
      </c>
      <c r="AD553" s="78"/>
      <c r="AE553" s="143"/>
      <c r="AF553" s="143"/>
      <c r="AG553" s="79">
        <f t="shared" si="143"/>
        <v>0</v>
      </c>
      <c r="AH553" s="75"/>
      <c r="AI553" s="76"/>
      <c r="AJ553" s="135"/>
      <c r="AK553" s="135"/>
      <c r="AL553" s="77">
        <f t="shared" si="144"/>
        <v>0</v>
      </c>
      <c r="AM553" s="76"/>
      <c r="AN553" s="142"/>
      <c r="AO553" s="142"/>
      <c r="AP553" s="77">
        <f t="shared" si="145"/>
        <v>0</v>
      </c>
      <c r="AQ553" s="78"/>
      <c r="AR553" s="142"/>
      <c r="AS553" s="142"/>
      <c r="AT553" s="79">
        <f t="shared" si="146"/>
        <v>0</v>
      </c>
      <c r="AU553" s="75"/>
      <c r="AV553" s="76"/>
      <c r="AW553" s="135"/>
      <c r="AX553" s="135"/>
      <c r="AY553" s="77">
        <f t="shared" si="147"/>
        <v>0</v>
      </c>
      <c r="AZ553" s="76"/>
      <c r="BA553" s="142"/>
      <c r="BB553" s="142"/>
      <c r="BC553" s="77">
        <f t="shared" si="148"/>
        <v>0</v>
      </c>
      <c r="BD553" s="78"/>
      <c r="BE553" s="142"/>
      <c r="BF553" s="142"/>
      <c r="BG553" s="79">
        <f t="shared" si="149"/>
        <v>0</v>
      </c>
      <c r="BH553" s="75"/>
      <c r="BI553" s="76"/>
      <c r="BJ553" s="135"/>
      <c r="BK553" s="135"/>
      <c r="BL553" s="77">
        <f t="shared" si="150"/>
        <v>0</v>
      </c>
      <c r="BM553" s="78"/>
      <c r="BN553" s="142"/>
      <c r="BO553" s="142"/>
      <c r="BP553" s="77">
        <f t="shared" si="151"/>
        <v>0</v>
      </c>
      <c r="BQ553" s="78"/>
      <c r="BR553" s="142"/>
      <c r="BS553" s="142"/>
      <c r="BT553" s="79">
        <f t="shared" si="152"/>
        <v>0</v>
      </c>
      <c r="BU553" s="75"/>
      <c r="BV553" s="76"/>
      <c r="BW553" s="135"/>
      <c r="BX553" s="135"/>
      <c r="BY553" s="77">
        <f t="shared" si="153"/>
        <v>0</v>
      </c>
      <c r="BZ553" s="78"/>
      <c r="CA553" s="142"/>
      <c r="CB553" s="142"/>
      <c r="CC553" s="77">
        <f t="shared" si="154"/>
        <v>0</v>
      </c>
      <c r="CD553" s="78"/>
      <c r="CE553" s="142"/>
      <c r="CF553" s="142"/>
      <c r="CG553" s="79">
        <f t="shared" si="155"/>
        <v>0</v>
      </c>
      <c r="CH553" s="75"/>
      <c r="CI553" s="76"/>
      <c r="CJ553" s="86"/>
      <c r="CK553" s="86"/>
      <c r="CL553" s="77">
        <f t="shared" si="156"/>
        <v>0</v>
      </c>
      <c r="CM553" s="78"/>
      <c r="CN553" s="85"/>
      <c r="CO553" s="85"/>
      <c r="CP553" s="77">
        <f t="shared" si="157"/>
        <v>0</v>
      </c>
      <c r="CQ553" s="78"/>
      <c r="CR553" s="85"/>
      <c r="CS553" s="85"/>
      <c r="CT553" s="79">
        <f t="shared" si="158"/>
        <v>0</v>
      </c>
      <c r="CU553" s="80">
        <f t="shared" si="168"/>
        <v>0</v>
      </c>
      <c r="CV553" s="81">
        <f t="shared" si="169"/>
        <v>0</v>
      </c>
      <c r="CW553" s="144"/>
      <c r="CX553" s="145">
        <f>IF(ISERROR(VLOOKUP($A553,FIJOS!$B$11:$O$590,14,FALSE)),0,VLOOKUP($A553,FIJOS!$B$11:$O$590,14,FALSE))</f>
        <v>0</v>
      </c>
      <c r="CY553" s="145">
        <f>IF(ISERROR(VLOOKUP(A553,FIJOS!$B$10:$P$590,15,FALSE)),0,VLOOKUP(A553,FIJOS!$B$10:$P$590,15,FALSE))</f>
        <v>0</v>
      </c>
      <c r="CZ553" s="155"/>
      <c r="DA553" s="147"/>
      <c r="DB553" s="147"/>
      <c r="DC553" s="147"/>
      <c r="DD553" s="147"/>
      <c r="DE553" s="147"/>
      <c r="DF553" s="145">
        <f>IF(ISERROR(VLOOKUP($A553,FIJOS!$B$11:$N$590,13,FALSE)),0,VLOOKUP($A553,FIJOS!$B$11:$N$590,13,FALSE))</f>
        <v>0</v>
      </c>
      <c r="DG553" s="145">
        <f>IF(ISERROR(VLOOKUP($A553,FIJOS!$B$11:$P$447,12,FALSE)),0,VLOOKUP($A553,FIJOS!$B$11:$P$447,12,FALSE))</f>
        <v>0</v>
      </c>
      <c r="DH553" s="82">
        <f t="shared" si="258"/>
        <v>0</v>
      </c>
      <c r="DI553" s="83" t="b">
        <f>IF($C553=1,(VLOOKUP($A553,FIJOS!$B$11:$P$545,10,FALSE)/7)*(7-$CU553),IF(AND($C553=2,CV553&lt;$DJ$1),(VLOOKUP($D553,HORAS!$B$4:$C$42,2,FALSE)*24)*$CV553,IF(AND($C553=2,CV553&gt;=$DJ$1),VLOOKUP($D553,HORAS!$B$4:$D$42,3,FALSE),IF(AND($C553=3,$CV553&gt;=$DJ$1),VLOOKUP($A553,FIJOS!$B$11:$P$545,10,FALSE),IF(AND($C553=3,$CV553&lt;$DJ$1),((VLOOKUP($A553,FIJOS!$B$11:$P$545,10,FALSE)/48)*24)*$CV553,IF(AND($C553=4,$CV553&gt;=(42/24)),VLOOKUP($D553,HORAS!$B$4:$D$42,3,FALSE),IF(AND($C553=5,$CV553&gt;=(36/24)),VLOOKUP($D553,HORAS!$B$4:$D$42,3,FALSE))))))))</f>
        <v>0</v>
      </c>
      <c r="DJ553" s="145">
        <f>IF(OR($C553=2),VLOOKUP($D553,HORAS!$B$4:$E$42,4,FALSE)*$EC553,IF(ISERROR(VLOOKUP($A553,FIJOS!$B$11:$P$108,9,FALSE)),0,VLOOKUP($A553,FIJOS!$B$11:$P$231,9,FALSE)*$EC553))</f>
        <v>0</v>
      </c>
      <c r="DK553" s="145">
        <f>IF(OR($C553=2),VLOOKUP($D553,HORAS!$B$4:$F$42,5,FALSE)*$EE553,IF(ISERROR(VLOOKUP($A553,FIJOS!$B$11:$P$108,9,FALSE)),0,VLOOKUP($A553,FIJOS!$B$11:$P$231,9,FALSE)*$EE553))</f>
        <v>0</v>
      </c>
      <c r="DL553" s="144"/>
      <c r="DM553" s="145">
        <f>IF(ISERROR(VLOOKUP($A553,FIJOS!$B$11:$L$646,11,FALSE)),0,VLOOKUP($A553,FIJOS!$B$11:$L$646,11,FALSE))</f>
        <v>0</v>
      </c>
      <c r="DN553" s="148" t="e">
        <f>IF(OR($C553=1,$C553=3),0,IF((VLOOKUP(CAPTURA!D553,HORAS!$B$4:$K$42,10,FALSE)/4)*COUNTIF($H553:$CT553,3)&gt;100,100,(VLOOKUP(CAPTURA!D553,HORAS!$B$4:$K$42,10,FALSE)/4)*COUNTIF($H553:$CT553,3)))</f>
        <v>#N/A</v>
      </c>
      <c r="DO553" s="144" t="e">
        <f>IF(OR($C553=1,$C553=3),0,IF($C553=5,VLOOKUP(D553,HORAS!$B$4:$G$42,6,FALSE),IF(AND($C553=4,$CV553&gt;=(42/24)),VLOOKUP(D553,HORAS!$B$4:$G$42,6,FALSE),IF(COUNTIF($H553:$CL553,"F")&gt;0,0,IF(CV553&gt;$DJ$1,$DJ$1*(VLOOKUP(D553,HORAS!$B$4:$G$42,6,FALSE)/$DJ$1),CV553*(VLOOKUP(D553,HORAS!$B$4:$G$42,6,FALSE)/$DJ$1))))))</f>
        <v>#N/A</v>
      </c>
      <c r="DP553" s="156"/>
      <c r="DQ553" s="148"/>
      <c r="DR553" s="148"/>
      <c r="DS553" s="83" t="e">
        <f t="shared" si="162"/>
        <v>#N/A</v>
      </c>
      <c r="DT553" s="84"/>
      <c r="DU553" s="149" t="e">
        <f t="shared" si="259"/>
        <v>#N/A</v>
      </c>
      <c r="DV553" s="149" t="e">
        <f t="shared" si="260"/>
        <v>#N/A</v>
      </c>
      <c r="DW553" s="144" t="e">
        <f t="shared" si="261"/>
        <v>#N/A</v>
      </c>
      <c r="DX553" s="168"/>
      <c r="DY553" s="29"/>
      <c r="DZ553" s="150"/>
      <c r="EA553" s="134"/>
      <c r="EB553" s="137">
        <f t="shared" si="262"/>
        <v>0</v>
      </c>
      <c r="EC553" s="138">
        <f t="shared" si="263"/>
        <v>0</v>
      </c>
      <c r="ED553" s="137">
        <f t="shared" si="264"/>
        <v>0</v>
      </c>
      <c r="EE553" s="132">
        <f t="shared" si="265"/>
        <v>0</v>
      </c>
      <c r="EF553" s="29"/>
      <c r="EG553" s="134"/>
      <c r="EH553" s="134"/>
      <c r="EI553" s="134"/>
      <c r="EK553" s="29"/>
    </row>
    <row r="554" spans="1:141" ht="15" customHeight="1" x14ac:dyDescent="0.25">
      <c r="A554" s="87"/>
      <c r="B554" s="5"/>
      <c r="C554" s="72"/>
      <c r="D554" s="73"/>
      <c r="E554" s="73"/>
      <c r="F554" s="141"/>
      <c r="G554" s="74"/>
      <c r="H554" s="75"/>
      <c r="I554" s="76"/>
      <c r="J554" s="135"/>
      <c r="K554" s="135"/>
      <c r="L554" s="77">
        <f t="shared" si="138"/>
        <v>0</v>
      </c>
      <c r="M554" s="78"/>
      <c r="N554" s="142"/>
      <c r="O554" s="142"/>
      <c r="P554" s="77">
        <f t="shared" si="139"/>
        <v>0</v>
      </c>
      <c r="Q554" s="78"/>
      <c r="R554" s="143"/>
      <c r="S554" s="143"/>
      <c r="T554" s="77">
        <f t="shared" si="140"/>
        <v>0</v>
      </c>
      <c r="U554" s="75"/>
      <c r="V554" s="76"/>
      <c r="W554" s="135"/>
      <c r="X554" s="135"/>
      <c r="Y554" s="77">
        <f t="shared" si="141"/>
        <v>0</v>
      </c>
      <c r="Z554" s="78"/>
      <c r="AA554" s="142"/>
      <c r="AB554" s="142"/>
      <c r="AC554" s="77">
        <f t="shared" si="142"/>
        <v>0</v>
      </c>
      <c r="AD554" s="78"/>
      <c r="AE554" s="143"/>
      <c r="AF554" s="143"/>
      <c r="AG554" s="79">
        <f t="shared" si="143"/>
        <v>0</v>
      </c>
      <c r="AH554" s="75"/>
      <c r="AI554" s="76"/>
      <c r="AJ554" s="135"/>
      <c r="AK554" s="135"/>
      <c r="AL554" s="77">
        <f t="shared" si="144"/>
        <v>0</v>
      </c>
      <c r="AM554" s="76"/>
      <c r="AN554" s="142"/>
      <c r="AO554" s="142"/>
      <c r="AP554" s="77">
        <f t="shared" si="145"/>
        <v>0</v>
      </c>
      <c r="AQ554" s="78"/>
      <c r="AR554" s="142"/>
      <c r="AS554" s="142"/>
      <c r="AT554" s="79">
        <f t="shared" si="146"/>
        <v>0</v>
      </c>
      <c r="AU554" s="75"/>
      <c r="AV554" s="76"/>
      <c r="AW554" s="135"/>
      <c r="AX554" s="135"/>
      <c r="AY554" s="77">
        <f t="shared" si="147"/>
        <v>0</v>
      </c>
      <c r="AZ554" s="76"/>
      <c r="BA554" s="142"/>
      <c r="BB554" s="142"/>
      <c r="BC554" s="77">
        <f t="shared" si="148"/>
        <v>0</v>
      </c>
      <c r="BD554" s="78"/>
      <c r="BE554" s="142"/>
      <c r="BF554" s="142"/>
      <c r="BG554" s="79">
        <f t="shared" si="149"/>
        <v>0</v>
      </c>
      <c r="BH554" s="75"/>
      <c r="BI554" s="76"/>
      <c r="BJ554" s="135"/>
      <c r="BK554" s="135"/>
      <c r="BL554" s="77">
        <f t="shared" si="150"/>
        <v>0</v>
      </c>
      <c r="BM554" s="78"/>
      <c r="BN554" s="142"/>
      <c r="BO554" s="142"/>
      <c r="BP554" s="77">
        <f t="shared" si="151"/>
        <v>0</v>
      </c>
      <c r="BQ554" s="78"/>
      <c r="BR554" s="142"/>
      <c r="BS554" s="142"/>
      <c r="BT554" s="79">
        <f t="shared" si="152"/>
        <v>0</v>
      </c>
      <c r="BU554" s="75"/>
      <c r="BV554" s="76"/>
      <c r="BW554" s="135"/>
      <c r="BX554" s="135"/>
      <c r="BY554" s="77">
        <f t="shared" si="153"/>
        <v>0</v>
      </c>
      <c r="BZ554" s="78"/>
      <c r="CA554" s="142"/>
      <c r="CB554" s="142"/>
      <c r="CC554" s="77">
        <f t="shared" si="154"/>
        <v>0</v>
      </c>
      <c r="CD554" s="78"/>
      <c r="CE554" s="142"/>
      <c r="CF554" s="142"/>
      <c r="CG554" s="79">
        <f t="shared" si="155"/>
        <v>0</v>
      </c>
      <c r="CH554" s="75"/>
      <c r="CI554" s="76"/>
      <c r="CJ554" s="86"/>
      <c r="CK554" s="86"/>
      <c r="CL554" s="77">
        <f t="shared" si="156"/>
        <v>0</v>
      </c>
      <c r="CM554" s="78"/>
      <c r="CN554" s="85"/>
      <c r="CO554" s="85"/>
      <c r="CP554" s="77">
        <f t="shared" si="157"/>
        <v>0</v>
      </c>
      <c r="CQ554" s="78"/>
      <c r="CR554" s="85"/>
      <c r="CS554" s="85"/>
      <c r="CT554" s="79">
        <f t="shared" si="158"/>
        <v>0</v>
      </c>
      <c r="CU554" s="80">
        <f t="shared" si="168"/>
        <v>0</v>
      </c>
      <c r="CV554" s="81">
        <f t="shared" si="169"/>
        <v>0</v>
      </c>
      <c r="CW554" s="144"/>
      <c r="CX554" s="145">
        <f>IF(ISERROR(VLOOKUP($A554,FIJOS!$B$11:$O$590,14,FALSE)),0,VLOOKUP($A554,FIJOS!$B$11:$O$590,14,FALSE))</f>
        <v>0</v>
      </c>
      <c r="CY554" s="145">
        <f>IF(ISERROR(VLOOKUP(A554,FIJOS!$B$10:$P$590,15,FALSE)),0,VLOOKUP(A554,FIJOS!$B$10:$P$590,15,FALSE))</f>
        <v>0</v>
      </c>
      <c r="CZ554" s="155"/>
      <c r="DA554" s="147"/>
      <c r="DB554" s="147"/>
      <c r="DC554" s="147"/>
      <c r="DD554" s="147"/>
      <c r="DE554" s="147"/>
      <c r="DF554" s="145">
        <f>IF(ISERROR(VLOOKUP($A554,FIJOS!$B$11:$N$590,13,FALSE)),0,VLOOKUP($A554,FIJOS!$B$11:$N$590,13,FALSE))</f>
        <v>0</v>
      </c>
      <c r="DG554" s="145">
        <f>IF(ISERROR(VLOOKUP($A554,FIJOS!$B$11:$P$447,12,FALSE)),0,VLOOKUP($A554,FIJOS!$B$11:$P$447,12,FALSE))</f>
        <v>0</v>
      </c>
      <c r="DH554" s="82">
        <f t="shared" si="258"/>
        <v>0</v>
      </c>
      <c r="DI554" s="83" t="b">
        <f>IF($C554=1,(VLOOKUP($A554,FIJOS!$B$11:$P$545,10,FALSE)/7)*(7-$CU554),IF(AND($C554=2,CV554&lt;$DJ$1),(VLOOKUP($D554,HORAS!$B$4:$C$42,2,FALSE)*24)*$CV554,IF(AND($C554=2,CV554&gt;=$DJ$1),VLOOKUP($D554,HORAS!$B$4:$D$42,3,FALSE),IF(AND($C554=3,$CV554&gt;=$DJ$1),VLOOKUP($A554,FIJOS!$B$11:$P$545,10,FALSE),IF(AND($C554=3,$CV554&lt;$DJ$1),((VLOOKUP($A554,FIJOS!$B$11:$P$545,10,FALSE)/48)*24)*$CV554,IF(AND($C554=4,$CV554&gt;=(42/24)),VLOOKUP($D554,HORAS!$B$4:$D$42,3,FALSE),IF(AND($C554=5,$CV554&gt;=(36/24)),VLOOKUP($D554,HORAS!$B$4:$D$42,3,FALSE))))))))</f>
        <v>0</v>
      </c>
      <c r="DJ554" s="145">
        <f>IF(OR($C554=2),VLOOKUP($D554,HORAS!$B$4:$E$42,4,FALSE)*$EC554,IF(ISERROR(VLOOKUP($A554,FIJOS!$B$11:$P$108,9,FALSE)),0,VLOOKUP($A554,FIJOS!$B$11:$P$231,9,FALSE)*$EC554))</f>
        <v>0</v>
      </c>
      <c r="DK554" s="145">
        <f>IF(OR($C554=2),VLOOKUP($D554,HORAS!$B$4:$F$42,5,FALSE)*$EE554,IF(ISERROR(VLOOKUP($A554,FIJOS!$B$11:$P$108,9,FALSE)),0,VLOOKUP($A554,FIJOS!$B$11:$P$231,9,FALSE)*$EE554))</f>
        <v>0</v>
      </c>
      <c r="DL554" s="144"/>
      <c r="DM554" s="145">
        <f>IF(ISERROR(VLOOKUP($A554,FIJOS!$B$11:$L$646,11,FALSE)),0,VLOOKUP($A554,FIJOS!$B$11:$L$646,11,FALSE))</f>
        <v>0</v>
      </c>
      <c r="DN554" s="148" t="e">
        <f>IF(OR($C554=1,$C554=3),0,IF((VLOOKUP(CAPTURA!D554,HORAS!$B$4:$K$42,10,FALSE)/4)*COUNTIF($H554:$CT554,3)&gt;100,100,(VLOOKUP(CAPTURA!D554,HORAS!$B$4:$K$42,10,FALSE)/4)*COUNTIF($H554:$CT554,3)))</f>
        <v>#N/A</v>
      </c>
      <c r="DO554" s="144" t="e">
        <f>IF(OR($C554=1,$C554=3),0,IF($C554=5,VLOOKUP(D554,HORAS!$B$4:$G$42,6,FALSE),IF(AND($C554=4,$CV554&gt;=(42/24)),VLOOKUP(D554,HORAS!$B$4:$G$42,6,FALSE),IF(COUNTIF($H554:$CL554,"F")&gt;0,0,IF(CV554&gt;$DJ$1,$DJ$1*(VLOOKUP(D554,HORAS!$B$4:$G$42,6,FALSE)/$DJ$1),CV554*(VLOOKUP(D554,HORAS!$B$4:$G$42,6,FALSE)/$DJ$1))))))</f>
        <v>#N/A</v>
      </c>
      <c r="DP554" s="156"/>
      <c r="DQ554" s="148"/>
      <c r="DR554" s="148"/>
      <c r="DS554" s="83" t="e">
        <f t="shared" si="162"/>
        <v>#N/A</v>
      </c>
      <c r="DT554" s="84"/>
      <c r="DU554" s="149" t="e">
        <f t="shared" si="259"/>
        <v>#N/A</v>
      </c>
      <c r="DV554" s="149" t="e">
        <f t="shared" si="260"/>
        <v>#N/A</v>
      </c>
      <c r="DW554" s="144" t="e">
        <f t="shared" si="261"/>
        <v>#N/A</v>
      </c>
      <c r="DX554" s="168"/>
      <c r="DY554" s="29"/>
      <c r="DZ554" s="150"/>
      <c r="EA554" s="134"/>
      <c r="EB554" s="137">
        <f t="shared" si="262"/>
        <v>0</v>
      </c>
      <c r="EC554" s="138">
        <f t="shared" si="263"/>
        <v>0</v>
      </c>
      <c r="ED554" s="137">
        <f t="shared" si="264"/>
        <v>0</v>
      </c>
      <c r="EE554" s="132">
        <f t="shared" si="265"/>
        <v>0</v>
      </c>
      <c r="EF554" s="29"/>
      <c r="EG554" s="134"/>
      <c r="EH554" s="134"/>
      <c r="EI554" s="134"/>
      <c r="EK554" s="29"/>
    </row>
    <row r="555" spans="1:141" ht="15" customHeight="1" x14ac:dyDescent="0.25">
      <c r="A555" s="87"/>
      <c r="B555" s="5"/>
      <c r="C555" s="72"/>
      <c r="D555" s="73"/>
      <c r="E555" s="73"/>
      <c r="F555" s="141"/>
      <c r="G555" s="74"/>
      <c r="H555" s="75"/>
      <c r="I555" s="76"/>
      <c r="J555" s="135"/>
      <c r="K555" s="135"/>
      <c r="L555" s="77">
        <f t="shared" si="138"/>
        <v>0</v>
      </c>
      <c r="M555" s="78"/>
      <c r="N555" s="142"/>
      <c r="O555" s="142"/>
      <c r="P555" s="77">
        <f t="shared" si="139"/>
        <v>0</v>
      </c>
      <c r="Q555" s="78"/>
      <c r="R555" s="143"/>
      <c r="S555" s="143"/>
      <c r="T555" s="77">
        <f t="shared" si="140"/>
        <v>0</v>
      </c>
      <c r="U555" s="75"/>
      <c r="V555" s="76"/>
      <c r="W555" s="135"/>
      <c r="X555" s="135"/>
      <c r="Y555" s="77">
        <f t="shared" si="141"/>
        <v>0</v>
      </c>
      <c r="Z555" s="78"/>
      <c r="AA555" s="142"/>
      <c r="AB555" s="142"/>
      <c r="AC555" s="77">
        <f t="shared" si="142"/>
        <v>0</v>
      </c>
      <c r="AD555" s="78"/>
      <c r="AE555" s="143"/>
      <c r="AF555" s="143"/>
      <c r="AG555" s="79">
        <f t="shared" si="143"/>
        <v>0</v>
      </c>
      <c r="AH555" s="75"/>
      <c r="AI555" s="76"/>
      <c r="AJ555" s="135"/>
      <c r="AK555" s="135"/>
      <c r="AL555" s="77">
        <f t="shared" si="144"/>
        <v>0</v>
      </c>
      <c r="AM555" s="76"/>
      <c r="AN555" s="142"/>
      <c r="AO555" s="142"/>
      <c r="AP555" s="77">
        <f t="shared" si="145"/>
        <v>0</v>
      </c>
      <c r="AQ555" s="78"/>
      <c r="AR555" s="142"/>
      <c r="AS555" s="142"/>
      <c r="AT555" s="79">
        <f t="shared" si="146"/>
        <v>0</v>
      </c>
      <c r="AU555" s="75"/>
      <c r="AV555" s="76"/>
      <c r="AW555" s="135"/>
      <c r="AX555" s="135"/>
      <c r="AY555" s="77">
        <f t="shared" si="147"/>
        <v>0</v>
      </c>
      <c r="AZ555" s="76"/>
      <c r="BA555" s="142"/>
      <c r="BB555" s="142"/>
      <c r="BC555" s="77">
        <f t="shared" si="148"/>
        <v>0</v>
      </c>
      <c r="BD555" s="78"/>
      <c r="BE555" s="142"/>
      <c r="BF555" s="142"/>
      <c r="BG555" s="79">
        <f t="shared" si="149"/>
        <v>0</v>
      </c>
      <c r="BH555" s="75"/>
      <c r="BI555" s="76"/>
      <c r="BJ555" s="135"/>
      <c r="BK555" s="135"/>
      <c r="BL555" s="77">
        <f t="shared" si="150"/>
        <v>0</v>
      </c>
      <c r="BM555" s="78"/>
      <c r="BN555" s="142"/>
      <c r="BO555" s="142"/>
      <c r="BP555" s="77">
        <f t="shared" si="151"/>
        <v>0</v>
      </c>
      <c r="BQ555" s="78"/>
      <c r="BR555" s="142"/>
      <c r="BS555" s="142"/>
      <c r="BT555" s="79">
        <f t="shared" si="152"/>
        <v>0</v>
      </c>
      <c r="BU555" s="75"/>
      <c r="BV555" s="76"/>
      <c r="BW555" s="135"/>
      <c r="BX555" s="135"/>
      <c r="BY555" s="77">
        <f t="shared" si="153"/>
        <v>0</v>
      </c>
      <c r="BZ555" s="78"/>
      <c r="CA555" s="142"/>
      <c r="CB555" s="142"/>
      <c r="CC555" s="77">
        <f t="shared" si="154"/>
        <v>0</v>
      </c>
      <c r="CD555" s="78"/>
      <c r="CE555" s="142"/>
      <c r="CF555" s="142"/>
      <c r="CG555" s="79">
        <f t="shared" si="155"/>
        <v>0</v>
      </c>
      <c r="CH555" s="75"/>
      <c r="CI555" s="76"/>
      <c r="CJ555" s="86"/>
      <c r="CK555" s="86"/>
      <c r="CL555" s="77">
        <f t="shared" si="156"/>
        <v>0</v>
      </c>
      <c r="CM555" s="78"/>
      <c r="CN555" s="85"/>
      <c r="CO555" s="85"/>
      <c r="CP555" s="77">
        <f t="shared" si="157"/>
        <v>0</v>
      </c>
      <c r="CQ555" s="78"/>
      <c r="CR555" s="85"/>
      <c r="CS555" s="85"/>
      <c r="CT555" s="79">
        <f t="shared" si="158"/>
        <v>0</v>
      </c>
      <c r="CU555" s="80">
        <f t="shared" si="168"/>
        <v>0</v>
      </c>
      <c r="CV555" s="81">
        <f t="shared" si="169"/>
        <v>0</v>
      </c>
      <c r="CW555" s="144"/>
      <c r="CX555" s="145">
        <f>IF(ISERROR(VLOOKUP($A555,FIJOS!$B$11:$O$590,14,FALSE)),0,VLOOKUP($A555,FIJOS!$B$11:$O$590,14,FALSE))</f>
        <v>0</v>
      </c>
      <c r="CY555" s="145">
        <f>IF(ISERROR(VLOOKUP(A555,FIJOS!$B$10:$P$590,15,FALSE)),0,VLOOKUP(A555,FIJOS!$B$10:$P$590,15,FALSE))</f>
        <v>0</v>
      </c>
      <c r="CZ555" s="155"/>
      <c r="DA555" s="147"/>
      <c r="DB555" s="147"/>
      <c r="DC555" s="147"/>
      <c r="DD555" s="147"/>
      <c r="DE555" s="147"/>
      <c r="DF555" s="145">
        <f>IF(ISERROR(VLOOKUP($A555,FIJOS!$B$11:$N$590,13,FALSE)),0,VLOOKUP($A555,FIJOS!$B$11:$N$590,13,FALSE))</f>
        <v>0</v>
      </c>
      <c r="DG555" s="145">
        <f>IF(ISERROR(VLOOKUP($A555,FIJOS!$B$11:$P$447,12,FALSE)),0,VLOOKUP($A555,FIJOS!$B$11:$P$447,12,FALSE))</f>
        <v>0</v>
      </c>
      <c r="DH555" s="82">
        <f t="shared" si="258"/>
        <v>0</v>
      </c>
      <c r="DI555" s="83" t="b">
        <f>IF($C555=1,(VLOOKUP($A555,FIJOS!$B$11:$P$545,10,FALSE)/7)*(7-$CU555),IF(AND($C555=2,CV555&lt;$DJ$1),(VLOOKUP($D555,HORAS!$B$4:$C$42,2,FALSE)*24)*$CV555,IF(AND($C555=2,CV555&gt;=$DJ$1),VLOOKUP($D555,HORAS!$B$4:$D$42,3,FALSE),IF(AND($C555=3,$CV555&gt;=$DJ$1),VLOOKUP($A555,FIJOS!$B$11:$P$545,10,FALSE),IF(AND($C555=3,$CV555&lt;$DJ$1),((VLOOKUP($A555,FIJOS!$B$11:$P$545,10,FALSE)/48)*24)*$CV555,IF(AND($C555=4,$CV555&gt;=(42/24)),VLOOKUP($D555,HORAS!$B$4:$D$42,3,FALSE),IF(AND($C555=5,$CV555&gt;=(36/24)),VLOOKUP($D555,HORAS!$B$4:$D$42,3,FALSE))))))))</f>
        <v>0</v>
      </c>
      <c r="DJ555" s="145">
        <f>IF(OR($C555=2),VLOOKUP($D555,HORAS!$B$4:$E$42,4,FALSE)*$EC555,IF(ISERROR(VLOOKUP($A555,FIJOS!$B$11:$P$108,9,FALSE)),0,VLOOKUP($A555,FIJOS!$B$11:$P$231,9,FALSE)*$EC555))</f>
        <v>0</v>
      </c>
      <c r="DK555" s="145">
        <f>IF(OR($C555=2),VLOOKUP($D555,HORAS!$B$4:$F$42,5,FALSE)*$EE555,IF(ISERROR(VLOOKUP($A555,FIJOS!$B$11:$P$108,9,FALSE)),0,VLOOKUP($A555,FIJOS!$B$11:$P$231,9,FALSE)*$EE555))</f>
        <v>0</v>
      </c>
      <c r="DL555" s="144"/>
      <c r="DM555" s="145">
        <f>IF(ISERROR(VLOOKUP($A555,FIJOS!$B$11:$L$646,11,FALSE)),0,VLOOKUP($A555,FIJOS!$B$11:$L$646,11,FALSE))</f>
        <v>0</v>
      </c>
      <c r="DN555" s="148" t="e">
        <f>IF(OR($C555=1,$C555=3),0,IF((VLOOKUP(CAPTURA!D555,HORAS!$B$4:$K$42,10,FALSE)/4)*COUNTIF($H555:$CT555,3)&gt;100,100,(VLOOKUP(CAPTURA!D555,HORAS!$B$4:$K$42,10,FALSE)/4)*COUNTIF($H555:$CT555,3)))</f>
        <v>#N/A</v>
      </c>
      <c r="DO555" s="144" t="e">
        <f>IF(OR($C555=1,$C555=3),0,IF($C555=5,VLOOKUP(D555,HORAS!$B$4:$G$42,6,FALSE),IF(AND($C555=4,$CV555&gt;=(42/24)),VLOOKUP(D555,HORAS!$B$4:$G$42,6,FALSE),IF(COUNTIF($H555:$CL555,"F")&gt;0,0,IF(CV555&gt;$DJ$1,$DJ$1*(VLOOKUP(D555,HORAS!$B$4:$G$42,6,FALSE)/$DJ$1),CV555*(VLOOKUP(D555,HORAS!$B$4:$G$42,6,FALSE)/$DJ$1))))))</f>
        <v>#N/A</v>
      </c>
      <c r="DP555" s="156"/>
      <c r="DQ555" s="148"/>
      <c r="DR555" s="148"/>
      <c r="DS555" s="83" t="e">
        <f t="shared" si="162"/>
        <v>#N/A</v>
      </c>
      <c r="DT555" s="84"/>
      <c r="DU555" s="149" t="e">
        <f t="shared" si="259"/>
        <v>#N/A</v>
      </c>
      <c r="DV555" s="149" t="e">
        <f t="shared" si="260"/>
        <v>#N/A</v>
      </c>
      <c r="DW555" s="144" t="e">
        <f t="shared" si="261"/>
        <v>#N/A</v>
      </c>
      <c r="DX555" s="168"/>
      <c r="DY555" s="29"/>
      <c r="DZ555" s="150"/>
      <c r="EA555" s="134"/>
      <c r="EB555" s="137">
        <f t="shared" si="262"/>
        <v>0</v>
      </c>
      <c r="EC555" s="138">
        <f t="shared" si="263"/>
        <v>0</v>
      </c>
      <c r="ED555" s="137">
        <f t="shared" si="264"/>
        <v>0</v>
      </c>
      <c r="EE555" s="132">
        <f t="shared" si="265"/>
        <v>0</v>
      </c>
      <c r="EF555" s="29"/>
      <c r="EG555" s="134"/>
      <c r="EH555" s="134"/>
      <c r="EI555" s="134"/>
      <c r="EK555" s="29"/>
    </row>
    <row r="556" spans="1:141" ht="15" customHeight="1" x14ac:dyDescent="0.25">
      <c r="A556" s="87"/>
      <c r="B556" s="5"/>
      <c r="C556" s="72"/>
      <c r="D556" s="73"/>
      <c r="E556" s="73"/>
      <c r="F556" s="141"/>
      <c r="G556" s="74"/>
      <c r="H556" s="75"/>
      <c r="I556" s="76"/>
      <c r="J556" s="135"/>
      <c r="K556" s="135"/>
      <c r="L556" s="77">
        <f t="shared" si="138"/>
        <v>0</v>
      </c>
      <c r="M556" s="78"/>
      <c r="N556" s="142"/>
      <c r="O556" s="142"/>
      <c r="P556" s="77">
        <f t="shared" si="139"/>
        <v>0</v>
      </c>
      <c r="Q556" s="78"/>
      <c r="R556" s="143"/>
      <c r="S556" s="143"/>
      <c r="T556" s="77">
        <f t="shared" si="140"/>
        <v>0</v>
      </c>
      <c r="U556" s="75"/>
      <c r="V556" s="76"/>
      <c r="W556" s="135"/>
      <c r="X556" s="135"/>
      <c r="Y556" s="77">
        <f t="shared" si="141"/>
        <v>0</v>
      </c>
      <c r="Z556" s="78"/>
      <c r="AA556" s="142"/>
      <c r="AB556" s="142"/>
      <c r="AC556" s="77">
        <f t="shared" si="142"/>
        <v>0</v>
      </c>
      <c r="AD556" s="78"/>
      <c r="AE556" s="143"/>
      <c r="AF556" s="143"/>
      <c r="AG556" s="79">
        <f t="shared" si="143"/>
        <v>0</v>
      </c>
      <c r="AH556" s="75"/>
      <c r="AI556" s="76"/>
      <c r="AJ556" s="135"/>
      <c r="AK556" s="135"/>
      <c r="AL556" s="77">
        <f t="shared" si="144"/>
        <v>0</v>
      </c>
      <c r="AM556" s="76"/>
      <c r="AN556" s="142"/>
      <c r="AO556" s="142"/>
      <c r="AP556" s="77">
        <f t="shared" si="145"/>
        <v>0</v>
      </c>
      <c r="AQ556" s="78"/>
      <c r="AR556" s="142"/>
      <c r="AS556" s="142"/>
      <c r="AT556" s="79">
        <f t="shared" si="146"/>
        <v>0</v>
      </c>
      <c r="AU556" s="75"/>
      <c r="AV556" s="76"/>
      <c r="AW556" s="135"/>
      <c r="AX556" s="135"/>
      <c r="AY556" s="77">
        <f t="shared" si="147"/>
        <v>0</v>
      </c>
      <c r="AZ556" s="76"/>
      <c r="BA556" s="142"/>
      <c r="BB556" s="142"/>
      <c r="BC556" s="77">
        <f t="shared" si="148"/>
        <v>0</v>
      </c>
      <c r="BD556" s="78"/>
      <c r="BE556" s="142"/>
      <c r="BF556" s="142"/>
      <c r="BG556" s="79">
        <f t="shared" si="149"/>
        <v>0</v>
      </c>
      <c r="BH556" s="75"/>
      <c r="BI556" s="76"/>
      <c r="BJ556" s="135"/>
      <c r="BK556" s="135"/>
      <c r="BL556" s="77">
        <f t="shared" si="150"/>
        <v>0</v>
      </c>
      <c r="BM556" s="78"/>
      <c r="BN556" s="142"/>
      <c r="BO556" s="142"/>
      <c r="BP556" s="77">
        <f t="shared" si="151"/>
        <v>0</v>
      </c>
      <c r="BQ556" s="78"/>
      <c r="BR556" s="142"/>
      <c r="BS556" s="142"/>
      <c r="BT556" s="79">
        <f t="shared" si="152"/>
        <v>0</v>
      </c>
      <c r="BU556" s="75"/>
      <c r="BV556" s="76"/>
      <c r="BW556" s="135"/>
      <c r="BX556" s="135"/>
      <c r="BY556" s="77">
        <f t="shared" si="153"/>
        <v>0</v>
      </c>
      <c r="BZ556" s="78"/>
      <c r="CA556" s="142"/>
      <c r="CB556" s="142"/>
      <c r="CC556" s="77">
        <f t="shared" si="154"/>
        <v>0</v>
      </c>
      <c r="CD556" s="78"/>
      <c r="CE556" s="142"/>
      <c r="CF556" s="142"/>
      <c r="CG556" s="79">
        <f t="shared" si="155"/>
        <v>0</v>
      </c>
      <c r="CH556" s="75"/>
      <c r="CI556" s="76"/>
      <c r="CJ556" s="86"/>
      <c r="CK556" s="86"/>
      <c r="CL556" s="77">
        <f t="shared" si="156"/>
        <v>0</v>
      </c>
      <c r="CM556" s="78"/>
      <c r="CN556" s="85"/>
      <c r="CO556" s="85"/>
      <c r="CP556" s="77">
        <f t="shared" si="157"/>
        <v>0</v>
      </c>
      <c r="CQ556" s="78"/>
      <c r="CR556" s="85"/>
      <c r="CS556" s="85"/>
      <c r="CT556" s="79">
        <f t="shared" si="158"/>
        <v>0</v>
      </c>
      <c r="CU556" s="80">
        <f t="shared" si="168"/>
        <v>0</v>
      </c>
      <c r="CV556" s="81">
        <f t="shared" si="169"/>
        <v>0</v>
      </c>
      <c r="CW556" s="144"/>
      <c r="CX556" s="145">
        <f>IF(ISERROR(VLOOKUP($A556,FIJOS!$B$11:$O$590,14,FALSE)),0,VLOOKUP($A556,FIJOS!$B$11:$O$590,14,FALSE))</f>
        <v>0</v>
      </c>
      <c r="CY556" s="145">
        <f>IF(ISERROR(VLOOKUP(A556,FIJOS!$B$10:$P$590,15,FALSE)),0,VLOOKUP(A556,FIJOS!$B$10:$P$590,15,FALSE))</f>
        <v>0</v>
      </c>
      <c r="CZ556" s="155"/>
      <c r="DA556" s="147"/>
      <c r="DB556" s="147"/>
      <c r="DC556" s="147"/>
      <c r="DD556" s="147"/>
      <c r="DE556" s="147"/>
      <c r="DF556" s="145">
        <f>IF(ISERROR(VLOOKUP($A556,FIJOS!$B$11:$N$590,13,FALSE)),0,VLOOKUP($A556,FIJOS!$B$11:$N$590,13,FALSE))</f>
        <v>0</v>
      </c>
      <c r="DG556" s="145">
        <f>IF(ISERROR(VLOOKUP($A556,FIJOS!$B$11:$P$447,12,FALSE)),0,VLOOKUP($A556,FIJOS!$B$11:$P$447,12,FALSE))</f>
        <v>0</v>
      </c>
      <c r="DH556" s="82">
        <f t="shared" si="258"/>
        <v>0</v>
      </c>
      <c r="DI556" s="83" t="b">
        <f>IF($C556=1,(VLOOKUP($A556,FIJOS!$B$11:$P$545,10,FALSE)/7)*(7-$CU556),IF(AND($C556=2,CV556&lt;$DJ$1),(VLOOKUP($D556,HORAS!$B$4:$C$42,2,FALSE)*24)*$CV556,IF(AND($C556=2,CV556&gt;=$DJ$1),VLOOKUP($D556,HORAS!$B$4:$D$42,3,FALSE),IF(AND($C556=3,$CV556&gt;=$DJ$1),VLOOKUP($A556,FIJOS!$B$11:$P$545,10,FALSE),IF(AND($C556=3,$CV556&lt;$DJ$1),((VLOOKUP($A556,FIJOS!$B$11:$P$545,10,FALSE)/48)*24)*$CV556,IF(AND($C556=4,$CV556&gt;=(42/24)),VLOOKUP($D556,HORAS!$B$4:$D$42,3,FALSE),IF(AND($C556=5,$CV556&gt;=(36/24)),VLOOKUP($D556,HORAS!$B$4:$D$42,3,FALSE))))))))</f>
        <v>0</v>
      </c>
      <c r="DJ556" s="145">
        <f>IF(OR($C556=2),VLOOKUP($D556,HORAS!$B$4:$E$42,4,FALSE)*$EC556,IF(ISERROR(VLOOKUP($A556,FIJOS!$B$11:$P$108,9,FALSE)),0,VLOOKUP($A556,FIJOS!$B$11:$P$231,9,FALSE)*$EC556))</f>
        <v>0</v>
      </c>
      <c r="DK556" s="145">
        <f>IF(OR($C556=2),VLOOKUP($D556,HORAS!$B$4:$F$42,5,FALSE)*$EE556,IF(ISERROR(VLOOKUP($A556,FIJOS!$B$11:$P$108,9,FALSE)),0,VLOOKUP($A556,FIJOS!$B$11:$P$231,9,FALSE)*$EE556))</f>
        <v>0</v>
      </c>
      <c r="DL556" s="144"/>
      <c r="DM556" s="145">
        <f>IF(ISERROR(VLOOKUP($A556,FIJOS!$B$11:$L$646,11,FALSE)),0,VLOOKUP($A556,FIJOS!$B$11:$L$646,11,FALSE))</f>
        <v>0</v>
      </c>
      <c r="DN556" s="148" t="e">
        <f>IF(OR($C556=1,$C556=3),0,IF((VLOOKUP(CAPTURA!D556,HORAS!$B$4:$K$42,10,FALSE)/4)*COUNTIF($H556:$CT556,3)&gt;100,100,(VLOOKUP(CAPTURA!D556,HORAS!$B$4:$K$42,10,FALSE)/4)*COUNTIF($H556:$CT556,3)))</f>
        <v>#N/A</v>
      </c>
      <c r="DO556" s="144" t="e">
        <f>IF(OR($C556=1,$C556=3),0,IF($C556=5,VLOOKUP(D556,HORAS!$B$4:$G$42,6,FALSE),IF(AND($C556=4,$CV556&gt;=(42/24)),VLOOKUP(D556,HORAS!$B$4:$G$42,6,FALSE),IF(COUNTIF($H556:$CL556,"F")&gt;0,0,IF(CV556&gt;$DJ$1,$DJ$1*(VLOOKUP(D556,HORAS!$B$4:$G$42,6,FALSE)/$DJ$1),CV556*(VLOOKUP(D556,HORAS!$B$4:$G$42,6,FALSE)/$DJ$1))))))</f>
        <v>#N/A</v>
      </c>
      <c r="DP556" s="156"/>
      <c r="DQ556" s="148"/>
      <c r="DR556" s="148"/>
      <c r="DS556" s="83" t="e">
        <f t="shared" si="162"/>
        <v>#N/A</v>
      </c>
      <c r="DT556" s="84"/>
      <c r="DU556" s="149" t="e">
        <f t="shared" si="259"/>
        <v>#N/A</v>
      </c>
      <c r="DV556" s="149" t="e">
        <f t="shared" si="260"/>
        <v>#N/A</v>
      </c>
      <c r="DW556" s="144" t="e">
        <f t="shared" si="261"/>
        <v>#N/A</v>
      </c>
      <c r="DX556" s="168"/>
      <c r="DY556" s="29"/>
      <c r="DZ556" s="150"/>
      <c r="EA556" s="134"/>
      <c r="EB556" s="137">
        <f t="shared" si="262"/>
        <v>0</v>
      </c>
      <c r="EC556" s="138">
        <f t="shared" si="263"/>
        <v>0</v>
      </c>
      <c r="ED556" s="137">
        <f t="shared" si="264"/>
        <v>0</v>
      </c>
      <c r="EE556" s="132">
        <f t="shared" si="265"/>
        <v>0</v>
      </c>
      <c r="EF556" s="29"/>
      <c r="EG556" s="134"/>
      <c r="EH556" s="134"/>
      <c r="EI556" s="134"/>
      <c r="EK556" s="29"/>
    </row>
    <row r="557" spans="1:141" ht="15" customHeight="1" x14ac:dyDescent="0.25">
      <c r="A557" s="87"/>
      <c r="B557" s="5"/>
      <c r="C557" s="72"/>
      <c r="D557" s="73"/>
      <c r="E557" s="73"/>
      <c r="F557" s="141"/>
      <c r="G557" s="74"/>
      <c r="H557" s="75"/>
      <c r="I557" s="76"/>
      <c r="J557" s="135"/>
      <c r="K557" s="135"/>
      <c r="L557" s="77">
        <f t="shared" si="138"/>
        <v>0</v>
      </c>
      <c r="M557" s="78"/>
      <c r="N557" s="142"/>
      <c r="O557" s="142"/>
      <c r="P557" s="77">
        <f t="shared" si="139"/>
        <v>0</v>
      </c>
      <c r="Q557" s="78"/>
      <c r="R557" s="143"/>
      <c r="S557" s="143"/>
      <c r="T557" s="77">
        <f t="shared" si="140"/>
        <v>0</v>
      </c>
      <c r="U557" s="75"/>
      <c r="V557" s="76"/>
      <c r="W557" s="135"/>
      <c r="X557" s="135"/>
      <c r="Y557" s="77">
        <f t="shared" si="141"/>
        <v>0</v>
      </c>
      <c r="Z557" s="78"/>
      <c r="AA557" s="142"/>
      <c r="AB557" s="142"/>
      <c r="AC557" s="77">
        <f t="shared" si="142"/>
        <v>0</v>
      </c>
      <c r="AD557" s="78"/>
      <c r="AE557" s="143"/>
      <c r="AF557" s="143"/>
      <c r="AG557" s="79">
        <f t="shared" si="143"/>
        <v>0</v>
      </c>
      <c r="AH557" s="75"/>
      <c r="AI557" s="76"/>
      <c r="AJ557" s="135"/>
      <c r="AK557" s="135"/>
      <c r="AL557" s="77">
        <f t="shared" si="144"/>
        <v>0</v>
      </c>
      <c r="AM557" s="76"/>
      <c r="AN557" s="142"/>
      <c r="AO557" s="142"/>
      <c r="AP557" s="77">
        <f t="shared" si="145"/>
        <v>0</v>
      </c>
      <c r="AQ557" s="78"/>
      <c r="AR557" s="142"/>
      <c r="AS557" s="142"/>
      <c r="AT557" s="79">
        <f t="shared" si="146"/>
        <v>0</v>
      </c>
      <c r="AU557" s="75"/>
      <c r="AV557" s="76"/>
      <c r="AW557" s="135"/>
      <c r="AX557" s="135"/>
      <c r="AY557" s="77">
        <f t="shared" si="147"/>
        <v>0</v>
      </c>
      <c r="AZ557" s="76"/>
      <c r="BA557" s="142"/>
      <c r="BB557" s="142"/>
      <c r="BC557" s="77">
        <f t="shared" si="148"/>
        <v>0</v>
      </c>
      <c r="BD557" s="78"/>
      <c r="BE557" s="142"/>
      <c r="BF557" s="142"/>
      <c r="BG557" s="79">
        <f t="shared" si="149"/>
        <v>0</v>
      </c>
      <c r="BH557" s="75"/>
      <c r="BI557" s="76"/>
      <c r="BJ557" s="135"/>
      <c r="BK557" s="135"/>
      <c r="BL557" s="77">
        <f t="shared" si="150"/>
        <v>0</v>
      </c>
      <c r="BM557" s="78"/>
      <c r="BN557" s="142"/>
      <c r="BO557" s="142"/>
      <c r="BP557" s="77">
        <f t="shared" si="151"/>
        <v>0</v>
      </c>
      <c r="BQ557" s="78"/>
      <c r="BR557" s="142"/>
      <c r="BS557" s="142"/>
      <c r="BT557" s="79">
        <f t="shared" si="152"/>
        <v>0</v>
      </c>
      <c r="BU557" s="75"/>
      <c r="BV557" s="76"/>
      <c r="BW557" s="135"/>
      <c r="BX557" s="135"/>
      <c r="BY557" s="77">
        <f t="shared" si="153"/>
        <v>0</v>
      </c>
      <c r="BZ557" s="78"/>
      <c r="CA557" s="142"/>
      <c r="CB557" s="142"/>
      <c r="CC557" s="77">
        <f t="shared" si="154"/>
        <v>0</v>
      </c>
      <c r="CD557" s="78"/>
      <c r="CE557" s="142"/>
      <c r="CF557" s="142"/>
      <c r="CG557" s="79">
        <f t="shared" si="155"/>
        <v>0</v>
      </c>
      <c r="CH557" s="75"/>
      <c r="CI557" s="76"/>
      <c r="CJ557" s="86"/>
      <c r="CK557" s="86"/>
      <c r="CL557" s="77">
        <f t="shared" si="156"/>
        <v>0</v>
      </c>
      <c r="CM557" s="78"/>
      <c r="CN557" s="85"/>
      <c r="CO557" s="85"/>
      <c r="CP557" s="77">
        <f t="shared" si="157"/>
        <v>0</v>
      </c>
      <c r="CQ557" s="78"/>
      <c r="CR557" s="85"/>
      <c r="CS557" s="85"/>
      <c r="CT557" s="79">
        <f t="shared" si="158"/>
        <v>0</v>
      </c>
      <c r="CU557" s="80">
        <f t="shared" si="168"/>
        <v>0</v>
      </c>
      <c r="CV557" s="81">
        <f t="shared" si="169"/>
        <v>0</v>
      </c>
      <c r="CW557" s="144"/>
      <c r="CX557" s="145">
        <f>IF(ISERROR(VLOOKUP($A557,FIJOS!$B$11:$O$590,14,FALSE)),0,VLOOKUP($A557,FIJOS!$B$11:$O$590,14,FALSE))</f>
        <v>0</v>
      </c>
      <c r="CY557" s="145">
        <f>IF(ISERROR(VLOOKUP(A557,FIJOS!$B$10:$P$590,15,FALSE)),0,VLOOKUP(A557,FIJOS!$B$10:$P$590,15,FALSE))</f>
        <v>0</v>
      </c>
      <c r="CZ557" s="155"/>
      <c r="DA557" s="147"/>
      <c r="DB557" s="147"/>
      <c r="DC557" s="147"/>
      <c r="DD557" s="147"/>
      <c r="DE557" s="147"/>
      <c r="DF557" s="145">
        <f>IF(ISERROR(VLOOKUP($A557,FIJOS!$B$11:$N$590,13,FALSE)),0,VLOOKUP($A557,FIJOS!$B$11:$N$590,13,FALSE))</f>
        <v>0</v>
      </c>
      <c r="DG557" s="145">
        <f>IF(ISERROR(VLOOKUP($A557,FIJOS!$B$11:$P$447,12,FALSE)),0,VLOOKUP($A557,FIJOS!$B$11:$P$447,12,FALSE))</f>
        <v>0</v>
      </c>
      <c r="DH557" s="82">
        <f t="shared" si="258"/>
        <v>0</v>
      </c>
      <c r="DI557" s="83" t="b">
        <f>IF($C557=1,(VLOOKUP($A557,FIJOS!$B$11:$P$545,10,FALSE)/7)*(7-$CU557),IF(AND($C557=2,CV557&lt;$DJ$1),(VLOOKUP($D557,HORAS!$B$4:$C$42,2,FALSE)*24)*$CV557,IF(AND($C557=2,CV557&gt;=$DJ$1),VLOOKUP($D557,HORAS!$B$4:$D$42,3,FALSE),IF(AND($C557=3,$CV557&gt;=$DJ$1),VLOOKUP($A557,FIJOS!$B$11:$P$545,10,FALSE),IF(AND($C557=3,$CV557&lt;$DJ$1),((VLOOKUP($A557,FIJOS!$B$11:$P$545,10,FALSE)/48)*24)*$CV557,IF(AND($C557=4,$CV557&gt;=(42/24)),VLOOKUP($D557,HORAS!$B$4:$D$42,3,FALSE),IF(AND($C557=5,$CV557&gt;=(36/24)),VLOOKUP($D557,HORAS!$B$4:$D$42,3,FALSE))))))))</f>
        <v>0</v>
      </c>
      <c r="DJ557" s="145">
        <f>IF(OR($C557=2),VLOOKUP($D557,HORAS!$B$4:$E$42,4,FALSE)*$EC557,IF(ISERROR(VLOOKUP($A557,FIJOS!$B$11:$P$108,9,FALSE)),0,VLOOKUP($A557,FIJOS!$B$11:$P$231,9,FALSE)*$EC557))</f>
        <v>0</v>
      </c>
      <c r="DK557" s="145">
        <f>IF(OR($C557=2),VLOOKUP($D557,HORAS!$B$4:$F$42,5,FALSE)*$EE557,IF(ISERROR(VLOOKUP($A557,FIJOS!$B$11:$P$108,9,FALSE)),0,VLOOKUP($A557,FIJOS!$B$11:$P$231,9,FALSE)*$EE557))</f>
        <v>0</v>
      </c>
      <c r="DL557" s="144"/>
      <c r="DM557" s="145">
        <f>IF(ISERROR(VLOOKUP($A557,FIJOS!$B$11:$L$646,11,FALSE)),0,VLOOKUP($A557,FIJOS!$B$11:$L$646,11,FALSE))</f>
        <v>0</v>
      </c>
      <c r="DN557" s="148" t="e">
        <f>IF(OR($C557=1,$C557=3),0,IF((VLOOKUP(CAPTURA!D557,HORAS!$B$4:$K$42,10,FALSE)/4)*COUNTIF($H557:$CT557,3)&gt;100,100,(VLOOKUP(CAPTURA!D557,HORAS!$B$4:$K$42,10,FALSE)/4)*COUNTIF($H557:$CT557,3)))</f>
        <v>#N/A</v>
      </c>
      <c r="DO557" s="144" t="e">
        <f>IF(OR($C557=1,$C557=3),0,IF($C557=5,VLOOKUP(D557,HORAS!$B$4:$G$42,6,FALSE),IF(AND($C557=4,$CV557&gt;=(42/24)),VLOOKUP(D557,HORAS!$B$4:$G$42,6,FALSE),IF(COUNTIF($H557:$CL557,"F")&gt;0,0,IF(CV557&gt;$DJ$1,$DJ$1*(VLOOKUP(D557,HORAS!$B$4:$G$42,6,FALSE)/$DJ$1),CV557*(VLOOKUP(D557,HORAS!$B$4:$G$42,6,FALSE)/$DJ$1))))))</f>
        <v>#N/A</v>
      </c>
      <c r="DP557" s="156"/>
      <c r="DQ557" s="148"/>
      <c r="DR557" s="148"/>
      <c r="DS557" s="83" t="e">
        <f t="shared" si="162"/>
        <v>#N/A</v>
      </c>
      <c r="DT557" s="84"/>
      <c r="DU557" s="149" t="e">
        <f t="shared" si="259"/>
        <v>#N/A</v>
      </c>
      <c r="DV557" s="149" t="e">
        <f t="shared" si="260"/>
        <v>#N/A</v>
      </c>
      <c r="DW557" s="144" t="e">
        <f t="shared" si="261"/>
        <v>#N/A</v>
      </c>
      <c r="DX557" s="168"/>
      <c r="DY557" s="29"/>
      <c r="DZ557" s="150"/>
      <c r="EA557" s="134"/>
      <c r="EB557" s="137">
        <f t="shared" si="262"/>
        <v>0</v>
      </c>
      <c r="EC557" s="138">
        <f t="shared" si="263"/>
        <v>0</v>
      </c>
      <c r="ED557" s="137">
        <f t="shared" si="264"/>
        <v>0</v>
      </c>
      <c r="EE557" s="132">
        <f t="shared" si="265"/>
        <v>0</v>
      </c>
      <c r="EF557" s="29"/>
      <c r="EG557" s="134"/>
      <c r="EH557" s="134"/>
      <c r="EI557" s="134"/>
      <c r="EK557" s="29"/>
    </row>
    <row r="558" spans="1:141" ht="15" customHeight="1" x14ac:dyDescent="0.25">
      <c r="A558" s="87"/>
      <c r="B558" s="5"/>
      <c r="C558" s="72"/>
      <c r="D558" s="73"/>
      <c r="E558" s="73"/>
      <c r="F558" s="141"/>
      <c r="G558" s="74"/>
      <c r="H558" s="75"/>
      <c r="I558" s="76"/>
      <c r="J558" s="135"/>
      <c r="K558" s="135"/>
      <c r="L558" s="77">
        <f t="shared" si="138"/>
        <v>0</v>
      </c>
      <c r="M558" s="78"/>
      <c r="N558" s="142"/>
      <c r="O558" s="142"/>
      <c r="P558" s="77">
        <f t="shared" si="139"/>
        <v>0</v>
      </c>
      <c r="Q558" s="78"/>
      <c r="R558" s="143"/>
      <c r="S558" s="143"/>
      <c r="T558" s="77">
        <f t="shared" si="140"/>
        <v>0</v>
      </c>
      <c r="U558" s="75"/>
      <c r="V558" s="76"/>
      <c r="W558" s="135"/>
      <c r="X558" s="135"/>
      <c r="Y558" s="77">
        <f t="shared" si="141"/>
        <v>0</v>
      </c>
      <c r="Z558" s="78"/>
      <c r="AA558" s="142"/>
      <c r="AB558" s="142"/>
      <c r="AC558" s="77">
        <f t="shared" si="142"/>
        <v>0</v>
      </c>
      <c r="AD558" s="78"/>
      <c r="AE558" s="143"/>
      <c r="AF558" s="143"/>
      <c r="AG558" s="79">
        <f t="shared" si="143"/>
        <v>0</v>
      </c>
      <c r="AH558" s="75"/>
      <c r="AI558" s="76"/>
      <c r="AJ558" s="135"/>
      <c r="AK558" s="135"/>
      <c r="AL558" s="77">
        <f t="shared" si="144"/>
        <v>0</v>
      </c>
      <c r="AM558" s="76"/>
      <c r="AN558" s="142"/>
      <c r="AO558" s="142"/>
      <c r="AP558" s="77">
        <f t="shared" si="145"/>
        <v>0</v>
      </c>
      <c r="AQ558" s="78"/>
      <c r="AR558" s="142"/>
      <c r="AS558" s="142"/>
      <c r="AT558" s="79">
        <f t="shared" si="146"/>
        <v>0</v>
      </c>
      <c r="AU558" s="75"/>
      <c r="AV558" s="76"/>
      <c r="AW558" s="135"/>
      <c r="AX558" s="135"/>
      <c r="AY558" s="77">
        <f t="shared" si="147"/>
        <v>0</v>
      </c>
      <c r="AZ558" s="76"/>
      <c r="BA558" s="142"/>
      <c r="BB558" s="142"/>
      <c r="BC558" s="77">
        <f t="shared" si="148"/>
        <v>0</v>
      </c>
      <c r="BD558" s="78"/>
      <c r="BE558" s="142"/>
      <c r="BF558" s="142"/>
      <c r="BG558" s="79">
        <f t="shared" si="149"/>
        <v>0</v>
      </c>
      <c r="BH558" s="75"/>
      <c r="BI558" s="76"/>
      <c r="BJ558" s="135"/>
      <c r="BK558" s="135"/>
      <c r="BL558" s="77">
        <f t="shared" si="150"/>
        <v>0</v>
      </c>
      <c r="BM558" s="78"/>
      <c r="BN558" s="142"/>
      <c r="BO558" s="142"/>
      <c r="BP558" s="77">
        <f t="shared" si="151"/>
        <v>0</v>
      </c>
      <c r="BQ558" s="78"/>
      <c r="BR558" s="142"/>
      <c r="BS558" s="142"/>
      <c r="BT558" s="79">
        <f t="shared" si="152"/>
        <v>0</v>
      </c>
      <c r="BU558" s="75"/>
      <c r="BV558" s="76"/>
      <c r="BW558" s="135"/>
      <c r="BX558" s="135"/>
      <c r="BY558" s="77">
        <f t="shared" si="153"/>
        <v>0</v>
      </c>
      <c r="BZ558" s="78"/>
      <c r="CA558" s="142"/>
      <c r="CB558" s="142"/>
      <c r="CC558" s="77">
        <f t="shared" si="154"/>
        <v>0</v>
      </c>
      <c r="CD558" s="78"/>
      <c r="CE558" s="142"/>
      <c r="CF558" s="142"/>
      <c r="CG558" s="79">
        <f t="shared" si="155"/>
        <v>0</v>
      </c>
      <c r="CH558" s="75"/>
      <c r="CI558" s="76"/>
      <c r="CJ558" s="86"/>
      <c r="CK558" s="86"/>
      <c r="CL558" s="77">
        <f t="shared" si="156"/>
        <v>0</v>
      </c>
      <c r="CM558" s="78"/>
      <c r="CN558" s="85"/>
      <c r="CO558" s="85"/>
      <c r="CP558" s="77">
        <f t="shared" si="157"/>
        <v>0</v>
      </c>
      <c r="CQ558" s="78"/>
      <c r="CR558" s="85"/>
      <c r="CS558" s="85"/>
      <c r="CT558" s="79">
        <f t="shared" si="158"/>
        <v>0</v>
      </c>
      <c r="CU558" s="80">
        <f t="shared" si="168"/>
        <v>0</v>
      </c>
      <c r="CV558" s="81">
        <f t="shared" si="169"/>
        <v>0</v>
      </c>
      <c r="CW558" s="144"/>
      <c r="CX558" s="145">
        <f>IF(ISERROR(VLOOKUP($A558,FIJOS!$B$11:$O$590,14,FALSE)),0,VLOOKUP($A558,FIJOS!$B$11:$O$590,14,FALSE))</f>
        <v>0</v>
      </c>
      <c r="CY558" s="145">
        <f>IF(ISERROR(VLOOKUP(A558,FIJOS!$B$10:$P$590,15,FALSE)),0,VLOOKUP(A558,FIJOS!$B$10:$P$590,15,FALSE))</f>
        <v>0</v>
      </c>
      <c r="CZ558" s="155"/>
      <c r="DA558" s="147"/>
      <c r="DB558" s="147"/>
      <c r="DC558" s="147"/>
      <c r="DD558" s="147"/>
      <c r="DE558" s="147"/>
      <c r="DF558" s="145">
        <f>IF(ISERROR(VLOOKUP($A558,FIJOS!$B$11:$N$590,13,FALSE)),0,VLOOKUP($A558,FIJOS!$B$11:$N$590,13,FALSE))</f>
        <v>0</v>
      </c>
      <c r="DG558" s="145">
        <f>IF(ISERROR(VLOOKUP($A558,FIJOS!$B$11:$P$447,12,FALSE)),0,VLOOKUP($A558,FIJOS!$B$11:$P$447,12,FALSE))</f>
        <v>0</v>
      </c>
      <c r="DH558" s="82">
        <f t="shared" si="258"/>
        <v>0</v>
      </c>
      <c r="DI558" s="83" t="b">
        <f>IF($C558=1,(VLOOKUP($A558,FIJOS!$B$11:$P$545,10,FALSE)/7)*(7-$CU558),IF(AND($C558=2,CV558&lt;$DJ$1),(VLOOKUP($D558,HORAS!$B$4:$C$42,2,FALSE)*24)*$CV558,IF(AND($C558=2,CV558&gt;=$DJ$1),VLOOKUP($D558,HORAS!$B$4:$D$42,3,FALSE),IF(AND($C558=3,$CV558&gt;=$DJ$1),VLOOKUP($A558,FIJOS!$B$11:$P$545,10,FALSE),IF(AND($C558=3,$CV558&lt;$DJ$1),((VLOOKUP($A558,FIJOS!$B$11:$P$545,10,FALSE)/48)*24)*$CV558,IF(AND($C558=4,$CV558&gt;=(42/24)),VLOOKUP($D558,HORAS!$B$4:$D$42,3,FALSE),IF(AND($C558=5,$CV558&gt;=(36/24)),VLOOKUP($D558,HORAS!$B$4:$D$42,3,FALSE))))))))</f>
        <v>0</v>
      </c>
      <c r="DJ558" s="145">
        <f>IF(OR($C558=2),VLOOKUP($D558,HORAS!$B$4:$E$42,4,FALSE)*$EC558,IF(ISERROR(VLOOKUP($A558,FIJOS!$B$11:$P$108,9,FALSE)),0,VLOOKUP($A558,FIJOS!$B$11:$P$231,9,FALSE)*$EC558))</f>
        <v>0</v>
      </c>
      <c r="DK558" s="145">
        <f>IF(OR($C558=2),VLOOKUP($D558,HORAS!$B$4:$F$42,5,FALSE)*$EE558,IF(ISERROR(VLOOKUP($A558,FIJOS!$B$11:$P$108,9,FALSE)),0,VLOOKUP($A558,FIJOS!$B$11:$P$231,9,FALSE)*$EE558))</f>
        <v>0</v>
      </c>
      <c r="DL558" s="144"/>
      <c r="DM558" s="145">
        <f>IF(ISERROR(VLOOKUP($A558,FIJOS!$B$11:$L$646,11,FALSE)),0,VLOOKUP($A558,FIJOS!$B$11:$L$646,11,FALSE))</f>
        <v>0</v>
      </c>
      <c r="DN558" s="148" t="e">
        <f>IF(OR($C558=1,$C558=3),0,IF((VLOOKUP(CAPTURA!D558,HORAS!$B$4:$K$42,10,FALSE)/4)*COUNTIF($H558:$CT558,3)&gt;100,100,(VLOOKUP(CAPTURA!D558,HORAS!$B$4:$K$42,10,FALSE)/4)*COUNTIF($H558:$CT558,3)))</f>
        <v>#N/A</v>
      </c>
      <c r="DO558" s="144" t="e">
        <f>IF(OR($C558=1,$C558=3),0,IF($C558=5,VLOOKUP(D558,HORAS!$B$4:$G$42,6,FALSE),IF(AND($C558=4,$CV558&gt;=(42/24)),VLOOKUP(D558,HORAS!$B$4:$G$42,6,FALSE),IF(COUNTIF($H558:$CL558,"F")&gt;0,0,IF(CV558&gt;$DJ$1,$DJ$1*(VLOOKUP(D558,HORAS!$B$4:$G$42,6,FALSE)/$DJ$1),CV558*(VLOOKUP(D558,HORAS!$B$4:$G$42,6,FALSE)/$DJ$1))))))</f>
        <v>#N/A</v>
      </c>
      <c r="DP558" s="156"/>
      <c r="DQ558" s="148"/>
      <c r="DR558" s="148"/>
      <c r="DS558" s="83" t="e">
        <f t="shared" si="162"/>
        <v>#N/A</v>
      </c>
      <c r="DT558" s="84"/>
      <c r="DU558" s="149" t="e">
        <f t="shared" si="259"/>
        <v>#N/A</v>
      </c>
      <c r="DV558" s="149" t="e">
        <f t="shared" si="260"/>
        <v>#N/A</v>
      </c>
      <c r="DW558" s="144" t="e">
        <f t="shared" si="261"/>
        <v>#N/A</v>
      </c>
      <c r="DX558" s="168"/>
      <c r="DY558" s="29"/>
      <c r="DZ558" s="150"/>
      <c r="EA558" s="134"/>
      <c r="EB558" s="137">
        <f t="shared" si="262"/>
        <v>0</v>
      </c>
      <c r="EC558" s="138">
        <f t="shared" si="263"/>
        <v>0</v>
      </c>
      <c r="ED558" s="137">
        <f t="shared" si="264"/>
        <v>0</v>
      </c>
      <c r="EE558" s="132">
        <f t="shared" si="265"/>
        <v>0</v>
      </c>
      <c r="EF558" s="29"/>
      <c r="EG558" s="134"/>
      <c r="EH558" s="134"/>
      <c r="EI558" s="134"/>
      <c r="EK558" s="29"/>
    </row>
    <row r="559" spans="1:141" ht="15" customHeight="1" x14ac:dyDescent="0.25">
      <c r="A559" s="87"/>
      <c r="B559" s="5"/>
      <c r="C559" s="72"/>
      <c r="D559" s="73"/>
      <c r="E559" s="73"/>
      <c r="F559" s="141"/>
      <c r="G559" s="74"/>
      <c r="H559" s="75"/>
      <c r="I559" s="76"/>
      <c r="J559" s="135"/>
      <c r="K559" s="135"/>
      <c r="L559" s="77">
        <f t="shared" si="138"/>
        <v>0</v>
      </c>
      <c r="M559" s="78"/>
      <c r="N559" s="142"/>
      <c r="O559" s="142"/>
      <c r="P559" s="77">
        <f t="shared" si="139"/>
        <v>0</v>
      </c>
      <c r="Q559" s="78"/>
      <c r="R559" s="143"/>
      <c r="S559" s="143"/>
      <c r="T559" s="77">
        <f t="shared" si="140"/>
        <v>0</v>
      </c>
      <c r="U559" s="75"/>
      <c r="V559" s="76"/>
      <c r="W559" s="135"/>
      <c r="X559" s="135"/>
      <c r="Y559" s="77">
        <f t="shared" si="141"/>
        <v>0</v>
      </c>
      <c r="Z559" s="78"/>
      <c r="AA559" s="142"/>
      <c r="AB559" s="142"/>
      <c r="AC559" s="77">
        <f t="shared" si="142"/>
        <v>0</v>
      </c>
      <c r="AD559" s="78"/>
      <c r="AE559" s="143"/>
      <c r="AF559" s="143"/>
      <c r="AG559" s="79">
        <f t="shared" si="143"/>
        <v>0</v>
      </c>
      <c r="AH559" s="75"/>
      <c r="AI559" s="76"/>
      <c r="AJ559" s="135"/>
      <c r="AK559" s="135"/>
      <c r="AL559" s="77">
        <f t="shared" si="144"/>
        <v>0</v>
      </c>
      <c r="AM559" s="76"/>
      <c r="AN559" s="142"/>
      <c r="AO559" s="142"/>
      <c r="AP559" s="77">
        <f t="shared" si="145"/>
        <v>0</v>
      </c>
      <c r="AQ559" s="78"/>
      <c r="AR559" s="142"/>
      <c r="AS559" s="142"/>
      <c r="AT559" s="79">
        <f t="shared" si="146"/>
        <v>0</v>
      </c>
      <c r="AU559" s="75"/>
      <c r="AV559" s="76"/>
      <c r="AW559" s="135"/>
      <c r="AX559" s="135"/>
      <c r="AY559" s="77">
        <f t="shared" si="147"/>
        <v>0</v>
      </c>
      <c r="AZ559" s="76"/>
      <c r="BA559" s="142"/>
      <c r="BB559" s="142"/>
      <c r="BC559" s="77">
        <f t="shared" si="148"/>
        <v>0</v>
      </c>
      <c r="BD559" s="78"/>
      <c r="BE559" s="142"/>
      <c r="BF559" s="142"/>
      <c r="BG559" s="79">
        <f t="shared" si="149"/>
        <v>0</v>
      </c>
      <c r="BH559" s="75"/>
      <c r="BI559" s="76"/>
      <c r="BJ559" s="135"/>
      <c r="BK559" s="135"/>
      <c r="BL559" s="77">
        <f t="shared" si="150"/>
        <v>0</v>
      </c>
      <c r="BM559" s="78"/>
      <c r="BN559" s="142"/>
      <c r="BO559" s="142"/>
      <c r="BP559" s="77">
        <f t="shared" si="151"/>
        <v>0</v>
      </c>
      <c r="BQ559" s="78"/>
      <c r="BR559" s="142"/>
      <c r="BS559" s="142"/>
      <c r="BT559" s="79">
        <f t="shared" si="152"/>
        <v>0</v>
      </c>
      <c r="BU559" s="75"/>
      <c r="BV559" s="76"/>
      <c r="BW559" s="135"/>
      <c r="BX559" s="135"/>
      <c r="BY559" s="77">
        <f t="shared" si="153"/>
        <v>0</v>
      </c>
      <c r="BZ559" s="78"/>
      <c r="CA559" s="142"/>
      <c r="CB559" s="142"/>
      <c r="CC559" s="77">
        <f t="shared" si="154"/>
        <v>0</v>
      </c>
      <c r="CD559" s="78"/>
      <c r="CE559" s="142"/>
      <c r="CF559" s="142"/>
      <c r="CG559" s="79">
        <f t="shared" si="155"/>
        <v>0</v>
      </c>
      <c r="CH559" s="75"/>
      <c r="CI559" s="76"/>
      <c r="CJ559" s="86"/>
      <c r="CK559" s="86"/>
      <c r="CL559" s="77">
        <f t="shared" si="156"/>
        <v>0</v>
      </c>
      <c r="CM559" s="78"/>
      <c r="CN559" s="85"/>
      <c r="CO559" s="85"/>
      <c r="CP559" s="77">
        <f t="shared" si="157"/>
        <v>0</v>
      </c>
      <c r="CQ559" s="78"/>
      <c r="CR559" s="85"/>
      <c r="CS559" s="85"/>
      <c r="CT559" s="79">
        <f t="shared" si="158"/>
        <v>0</v>
      </c>
      <c r="CU559" s="80">
        <f t="shared" si="168"/>
        <v>0</v>
      </c>
      <c r="CV559" s="81">
        <f t="shared" si="169"/>
        <v>0</v>
      </c>
      <c r="CW559" s="144"/>
      <c r="CX559" s="145">
        <f>IF(ISERROR(VLOOKUP($A559,FIJOS!$B$11:$O$590,14,FALSE)),0,VLOOKUP($A559,FIJOS!$B$11:$O$590,14,FALSE))</f>
        <v>0</v>
      </c>
      <c r="CY559" s="145">
        <f>IF(ISERROR(VLOOKUP(A559,FIJOS!$B$10:$P$590,15,FALSE)),0,VLOOKUP(A559,FIJOS!$B$10:$P$590,15,FALSE))</f>
        <v>0</v>
      </c>
      <c r="CZ559" s="155"/>
      <c r="DA559" s="147"/>
      <c r="DB559" s="147"/>
      <c r="DC559" s="147"/>
      <c r="DD559" s="147"/>
      <c r="DE559" s="147"/>
      <c r="DF559" s="145">
        <f>IF(ISERROR(VLOOKUP($A559,FIJOS!$B$11:$N$590,13,FALSE)),0,VLOOKUP($A559,FIJOS!$B$11:$N$590,13,FALSE))</f>
        <v>0</v>
      </c>
      <c r="DG559" s="145">
        <f>IF(ISERROR(VLOOKUP($A559,FIJOS!$B$11:$P$447,12,FALSE)),0,VLOOKUP($A559,FIJOS!$B$11:$P$447,12,FALSE))</f>
        <v>0</v>
      </c>
      <c r="DH559" s="82">
        <f t="shared" si="258"/>
        <v>0</v>
      </c>
      <c r="DI559" s="83" t="b">
        <f>IF($C559=1,(VLOOKUP($A559,FIJOS!$B$11:$P$545,10,FALSE)/7)*(7-$CU559),IF(AND($C559=2,CV559&lt;$DJ$1),(VLOOKUP($D559,HORAS!$B$4:$C$42,2,FALSE)*24)*$CV559,IF(AND($C559=2,CV559&gt;=$DJ$1),VLOOKUP($D559,HORAS!$B$4:$D$42,3,FALSE),IF(AND($C559=3,$CV559&gt;=$DJ$1),VLOOKUP($A559,FIJOS!$B$11:$P$545,10,FALSE),IF(AND($C559=3,$CV559&lt;$DJ$1),((VLOOKUP($A559,FIJOS!$B$11:$P$545,10,FALSE)/48)*24)*$CV559,IF(AND($C559=4,$CV559&gt;=(42/24)),VLOOKUP($D559,HORAS!$B$4:$D$42,3,FALSE),IF(AND($C559=5,$CV559&gt;=(36/24)),VLOOKUP($D559,HORAS!$B$4:$D$42,3,FALSE))))))))</f>
        <v>0</v>
      </c>
      <c r="DJ559" s="145">
        <f>IF(OR($C559=2),VLOOKUP($D559,HORAS!$B$4:$E$42,4,FALSE)*$EC559,IF(ISERROR(VLOOKUP($A559,FIJOS!$B$11:$P$108,9,FALSE)),0,VLOOKUP($A559,FIJOS!$B$11:$P$231,9,FALSE)*$EC559))</f>
        <v>0</v>
      </c>
      <c r="DK559" s="145">
        <f>IF(OR($C559=2),VLOOKUP($D559,HORAS!$B$4:$F$42,5,FALSE)*$EE559,IF(ISERROR(VLOOKUP($A559,FIJOS!$B$11:$P$108,9,FALSE)),0,VLOOKUP($A559,FIJOS!$B$11:$P$231,9,FALSE)*$EE559))</f>
        <v>0</v>
      </c>
      <c r="DL559" s="144"/>
      <c r="DM559" s="145">
        <f>IF(ISERROR(VLOOKUP($A559,FIJOS!$B$11:$L$646,11,FALSE)),0,VLOOKUP($A559,FIJOS!$B$11:$L$646,11,FALSE))</f>
        <v>0</v>
      </c>
      <c r="DN559" s="148" t="e">
        <f>IF(OR($C559=1,$C559=3),0,IF((VLOOKUP(CAPTURA!D559,HORAS!$B$4:$K$42,10,FALSE)/4)*COUNTIF($H559:$CT559,3)&gt;100,100,(VLOOKUP(CAPTURA!D559,HORAS!$B$4:$K$42,10,FALSE)/4)*COUNTIF($H559:$CT559,3)))</f>
        <v>#N/A</v>
      </c>
      <c r="DO559" s="144" t="e">
        <f>IF(OR($C559=1,$C559=3),0,IF($C559=5,VLOOKUP(D559,HORAS!$B$4:$G$42,6,FALSE),IF(AND($C559=4,$CV559&gt;=(42/24)),VLOOKUP(D559,HORAS!$B$4:$G$42,6,FALSE),IF(COUNTIF($H559:$CL559,"F")&gt;0,0,IF(CV559&gt;$DJ$1,$DJ$1*(VLOOKUP(D559,HORAS!$B$4:$G$42,6,FALSE)/$DJ$1),CV559*(VLOOKUP(D559,HORAS!$B$4:$G$42,6,FALSE)/$DJ$1))))))</f>
        <v>#N/A</v>
      </c>
      <c r="DP559" s="156"/>
      <c r="DQ559" s="148"/>
      <c r="DR559" s="148"/>
      <c r="DS559" s="83" t="e">
        <f t="shared" si="162"/>
        <v>#N/A</v>
      </c>
      <c r="DT559" s="84"/>
      <c r="DU559" s="149" t="e">
        <f t="shared" si="259"/>
        <v>#N/A</v>
      </c>
      <c r="DV559" s="149" t="e">
        <f t="shared" si="260"/>
        <v>#N/A</v>
      </c>
      <c r="DW559" s="144" t="e">
        <f t="shared" si="261"/>
        <v>#N/A</v>
      </c>
      <c r="DX559" s="168"/>
      <c r="DY559" s="29"/>
      <c r="DZ559" s="150"/>
      <c r="EA559" s="134"/>
      <c r="EB559" s="137">
        <f t="shared" si="262"/>
        <v>0</v>
      </c>
      <c r="EC559" s="138">
        <f t="shared" si="263"/>
        <v>0</v>
      </c>
      <c r="ED559" s="137">
        <f t="shared" si="264"/>
        <v>0</v>
      </c>
      <c r="EE559" s="132">
        <f t="shared" si="265"/>
        <v>0</v>
      </c>
      <c r="EF559" s="29"/>
      <c r="EG559" s="134"/>
      <c r="EH559" s="134"/>
      <c r="EI559" s="134"/>
      <c r="EK559" s="29"/>
    </row>
    <row r="560" spans="1:141" ht="15" customHeight="1" x14ac:dyDescent="0.25">
      <c r="A560" s="87"/>
      <c r="B560" s="5"/>
      <c r="C560" s="72"/>
      <c r="D560" s="73"/>
      <c r="E560" s="73"/>
      <c r="F560" s="141"/>
      <c r="G560" s="74"/>
      <c r="H560" s="75"/>
      <c r="I560" s="76"/>
      <c r="J560" s="135"/>
      <c r="K560" s="135"/>
      <c r="L560" s="77">
        <f t="shared" si="138"/>
        <v>0</v>
      </c>
      <c r="M560" s="78"/>
      <c r="N560" s="142"/>
      <c r="O560" s="142"/>
      <c r="P560" s="77">
        <f t="shared" si="139"/>
        <v>0</v>
      </c>
      <c r="Q560" s="78"/>
      <c r="R560" s="143"/>
      <c r="S560" s="143"/>
      <c r="T560" s="77">
        <f t="shared" si="140"/>
        <v>0</v>
      </c>
      <c r="U560" s="75"/>
      <c r="V560" s="76"/>
      <c r="W560" s="135"/>
      <c r="X560" s="135"/>
      <c r="Y560" s="77">
        <f t="shared" si="141"/>
        <v>0</v>
      </c>
      <c r="Z560" s="78"/>
      <c r="AA560" s="142"/>
      <c r="AB560" s="142"/>
      <c r="AC560" s="77">
        <f t="shared" si="142"/>
        <v>0</v>
      </c>
      <c r="AD560" s="78"/>
      <c r="AE560" s="143"/>
      <c r="AF560" s="143"/>
      <c r="AG560" s="79">
        <f t="shared" si="143"/>
        <v>0</v>
      </c>
      <c r="AH560" s="75"/>
      <c r="AI560" s="76"/>
      <c r="AJ560" s="135"/>
      <c r="AK560" s="135"/>
      <c r="AL560" s="77">
        <f t="shared" si="144"/>
        <v>0</v>
      </c>
      <c r="AM560" s="76"/>
      <c r="AN560" s="142"/>
      <c r="AO560" s="142"/>
      <c r="AP560" s="77">
        <f t="shared" si="145"/>
        <v>0</v>
      </c>
      <c r="AQ560" s="78"/>
      <c r="AR560" s="142"/>
      <c r="AS560" s="142"/>
      <c r="AT560" s="79">
        <f t="shared" si="146"/>
        <v>0</v>
      </c>
      <c r="AU560" s="75"/>
      <c r="AV560" s="76"/>
      <c r="AW560" s="135"/>
      <c r="AX560" s="135"/>
      <c r="AY560" s="77">
        <f t="shared" si="147"/>
        <v>0</v>
      </c>
      <c r="AZ560" s="76"/>
      <c r="BA560" s="142"/>
      <c r="BB560" s="142"/>
      <c r="BC560" s="77">
        <f t="shared" si="148"/>
        <v>0</v>
      </c>
      <c r="BD560" s="78"/>
      <c r="BE560" s="142"/>
      <c r="BF560" s="142"/>
      <c r="BG560" s="79">
        <f t="shared" si="149"/>
        <v>0</v>
      </c>
      <c r="BH560" s="75"/>
      <c r="BI560" s="76"/>
      <c r="BJ560" s="135"/>
      <c r="BK560" s="135"/>
      <c r="BL560" s="77">
        <f t="shared" si="150"/>
        <v>0</v>
      </c>
      <c r="BM560" s="78"/>
      <c r="BN560" s="142"/>
      <c r="BO560" s="142"/>
      <c r="BP560" s="77">
        <f t="shared" si="151"/>
        <v>0</v>
      </c>
      <c r="BQ560" s="78"/>
      <c r="BR560" s="142"/>
      <c r="BS560" s="142"/>
      <c r="BT560" s="79">
        <f t="shared" si="152"/>
        <v>0</v>
      </c>
      <c r="BU560" s="75"/>
      <c r="BV560" s="76"/>
      <c r="BW560" s="135"/>
      <c r="BX560" s="135"/>
      <c r="BY560" s="77">
        <f t="shared" si="153"/>
        <v>0</v>
      </c>
      <c r="BZ560" s="78"/>
      <c r="CA560" s="142"/>
      <c r="CB560" s="142"/>
      <c r="CC560" s="77">
        <f t="shared" si="154"/>
        <v>0</v>
      </c>
      <c r="CD560" s="78"/>
      <c r="CE560" s="142"/>
      <c r="CF560" s="142"/>
      <c r="CG560" s="79">
        <f t="shared" si="155"/>
        <v>0</v>
      </c>
      <c r="CH560" s="75"/>
      <c r="CI560" s="76"/>
      <c r="CJ560" s="86"/>
      <c r="CK560" s="86"/>
      <c r="CL560" s="77">
        <f t="shared" si="156"/>
        <v>0</v>
      </c>
      <c r="CM560" s="78"/>
      <c r="CN560" s="85"/>
      <c r="CO560" s="85"/>
      <c r="CP560" s="77">
        <f t="shared" si="157"/>
        <v>0</v>
      </c>
      <c r="CQ560" s="78"/>
      <c r="CR560" s="85"/>
      <c r="CS560" s="85"/>
      <c r="CT560" s="79">
        <f t="shared" si="158"/>
        <v>0</v>
      </c>
      <c r="CU560" s="80">
        <f t="shared" si="168"/>
        <v>0</v>
      </c>
      <c r="CV560" s="81">
        <f t="shared" si="169"/>
        <v>0</v>
      </c>
      <c r="CW560" s="144"/>
      <c r="CX560" s="145">
        <f>IF(ISERROR(VLOOKUP($A560,FIJOS!$B$11:$O$590,14,FALSE)),0,VLOOKUP($A560,FIJOS!$B$11:$O$590,14,FALSE))</f>
        <v>0</v>
      </c>
      <c r="CY560" s="145">
        <f>IF(ISERROR(VLOOKUP(A560,FIJOS!$B$10:$P$590,15,FALSE)),0,VLOOKUP(A560,FIJOS!$B$10:$P$590,15,FALSE))</f>
        <v>0</v>
      </c>
      <c r="CZ560" s="155"/>
      <c r="DA560" s="147"/>
      <c r="DB560" s="147"/>
      <c r="DC560" s="147"/>
      <c r="DD560" s="147"/>
      <c r="DE560" s="147"/>
      <c r="DF560" s="145">
        <f>IF(ISERROR(VLOOKUP($A560,FIJOS!$B$11:$N$590,13,FALSE)),0,VLOOKUP($A560,FIJOS!$B$11:$N$590,13,FALSE))</f>
        <v>0</v>
      </c>
      <c r="DG560" s="145">
        <f>IF(ISERROR(VLOOKUP($A560,FIJOS!$B$11:$P$447,12,FALSE)),0,VLOOKUP($A560,FIJOS!$B$11:$P$447,12,FALSE))</f>
        <v>0</v>
      </c>
      <c r="DH560" s="82">
        <f t="shared" si="258"/>
        <v>0</v>
      </c>
      <c r="DI560" s="83" t="b">
        <f>IF($C560=1,(VLOOKUP($A560,FIJOS!$B$11:$P$545,10,FALSE)/7)*(7-$CU560),IF(AND($C560=2,CV560&lt;$DJ$1),(VLOOKUP($D560,HORAS!$B$4:$C$42,2,FALSE)*24)*$CV560,IF(AND($C560=2,CV560&gt;=$DJ$1),VLOOKUP($D560,HORAS!$B$4:$D$42,3,FALSE),IF(AND($C560=3,$CV560&gt;=$DJ$1),VLOOKUP($A560,FIJOS!$B$11:$P$545,10,FALSE),IF(AND($C560=3,$CV560&lt;$DJ$1),((VLOOKUP($A560,FIJOS!$B$11:$P$545,10,FALSE)/48)*24)*$CV560,IF(AND($C560=4,$CV560&gt;=(42/24)),VLOOKUP($D560,HORAS!$B$4:$D$42,3,FALSE),IF(AND($C560=5,$CV560&gt;=(36/24)),VLOOKUP($D560,HORAS!$B$4:$D$42,3,FALSE))))))))</f>
        <v>0</v>
      </c>
      <c r="DJ560" s="145">
        <f>IF(OR($C560=2),VLOOKUP($D560,HORAS!$B$4:$E$42,4,FALSE)*$EC560,IF(ISERROR(VLOOKUP($A560,FIJOS!$B$11:$P$108,9,FALSE)),0,VLOOKUP($A560,FIJOS!$B$11:$P$231,9,FALSE)*$EC560))</f>
        <v>0</v>
      </c>
      <c r="DK560" s="145">
        <f>IF(OR($C560=2),VLOOKUP($D560,HORAS!$B$4:$F$42,5,FALSE)*$EE560,IF(ISERROR(VLOOKUP($A560,FIJOS!$B$11:$P$108,9,FALSE)),0,VLOOKUP($A560,FIJOS!$B$11:$P$231,9,FALSE)*$EE560))</f>
        <v>0</v>
      </c>
      <c r="DL560" s="144"/>
      <c r="DM560" s="145">
        <f>IF(ISERROR(VLOOKUP($A560,FIJOS!$B$11:$L$646,11,FALSE)),0,VLOOKUP($A560,FIJOS!$B$11:$L$646,11,FALSE))</f>
        <v>0</v>
      </c>
      <c r="DN560" s="148" t="e">
        <f>IF(OR($C560=1,$C560=3),0,IF((VLOOKUP(CAPTURA!D560,HORAS!$B$4:$K$42,10,FALSE)/4)*COUNTIF($H560:$CT560,3)&gt;100,100,(VLOOKUP(CAPTURA!D560,HORAS!$B$4:$K$42,10,FALSE)/4)*COUNTIF($H560:$CT560,3)))</f>
        <v>#N/A</v>
      </c>
      <c r="DO560" s="144" t="e">
        <f>IF(OR($C560=1,$C560=3),0,IF($C560=5,VLOOKUP(D560,HORAS!$B$4:$G$42,6,FALSE),IF(AND($C560=4,$CV560&gt;=(42/24)),VLOOKUP(D560,HORAS!$B$4:$G$42,6,FALSE),IF(COUNTIF($H560:$CL560,"F")&gt;0,0,IF(CV560&gt;$DJ$1,$DJ$1*(VLOOKUP(D560,HORAS!$B$4:$G$42,6,FALSE)/$DJ$1),CV560*(VLOOKUP(D560,HORAS!$B$4:$G$42,6,FALSE)/$DJ$1))))))</f>
        <v>#N/A</v>
      </c>
      <c r="DP560" s="156"/>
      <c r="DQ560" s="148"/>
      <c r="DR560" s="148"/>
      <c r="DS560" s="83" t="e">
        <f t="shared" si="162"/>
        <v>#N/A</v>
      </c>
      <c r="DT560" s="84"/>
      <c r="DU560" s="149" t="e">
        <f t="shared" si="259"/>
        <v>#N/A</v>
      </c>
      <c r="DV560" s="149" t="e">
        <f t="shared" si="260"/>
        <v>#N/A</v>
      </c>
      <c r="DW560" s="144" t="e">
        <f t="shared" si="261"/>
        <v>#N/A</v>
      </c>
      <c r="DX560" s="168"/>
      <c r="DY560" s="29"/>
      <c r="DZ560" s="150"/>
      <c r="EA560" s="134"/>
      <c r="EB560" s="137">
        <f t="shared" si="262"/>
        <v>0</v>
      </c>
      <c r="EC560" s="138">
        <f t="shared" si="263"/>
        <v>0</v>
      </c>
      <c r="ED560" s="137">
        <f t="shared" si="264"/>
        <v>0</v>
      </c>
      <c r="EE560" s="132">
        <f t="shared" si="265"/>
        <v>0</v>
      </c>
      <c r="EF560" s="29"/>
      <c r="EG560" s="134"/>
      <c r="EH560" s="134"/>
      <c r="EI560" s="134"/>
      <c r="EK560" s="29"/>
    </row>
    <row r="561" spans="1:141" ht="15" customHeight="1" x14ac:dyDescent="0.25">
      <c r="A561" s="87"/>
      <c r="B561" s="5"/>
      <c r="C561" s="72"/>
      <c r="D561" s="73"/>
      <c r="E561" s="73"/>
      <c r="F561" s="141"/>
      <c r="G561" s="74"/>
      <c r="H561" s="75"/>
      <c r="I561" s="76"/>
      <c r="J561" s="135"/>
      <c r="K561" s="135"/>
      <c r="L561" s="77">
        <f t="shared" si="138"/>
        <v>0</v>
      </c>
      <c r="M561" s="78"/>
      <c r="N561" s="142"/>
      <c r="O561" s="142"/>
      <c r="P561" s="77">
        <f t="shared" si="139"/>
        <v>0</v>
      </c>
      <c r="Q561" s="78"/>
      <c r="R561" s="143"/>
      <c r="S561" s="143"/>
      <c r="T561" s="77">
        <f t="shared" si="140"/>
        <v>0</v>
      </c>
      <c r="U561" s="75"/>
      <c r="V561" s="76"/>
      <c r="W561" s="135"/>
      <c r="X561" s="135"/>
      <c r="Y561" s="77">
        <f t="shared" si="141"/>
        <v>0</v>
      </c>
      <c r="Z561" s="78"/>
      <c r="AA561" s="142"/>
      <c r="AB561" s="142"/>
      <c r="AC561" s="77">
        <f t="shared" si="142"/>
        <v>0</v>
      </c>
      <c r="AD561" s="78"/>
      <c r="AE561" s="143"/>
      <c r="AF561" s="143"/>
      <c r="AG561" s="79">
        <f t="shared" si="143"/>
        <v>0</v>
      </c>
      <c r="AH561" s="75"/>
      <c r="AI561" s="76"/>
      <c r="AJ561" s="135"/>
      <c r="AK561" s="135"/>
      <c r="AL561" s="77">
        <f t="shared" si="144"/>
        <v>0</v>
      </c>
      <c r="AM561" s="76"/>
      <c r="AN561" s="142"/>
      <c r="AO561" s="142"/>
      <c r="AP561" s="77">
        <f t="shared" si="145"/>
        <v>0</v>
      </c>
      <c r="AQ561" s="78"/>
      <c r="AR561" s="142"/>
      <c r="AS561" s="142"/>
      <c r="AT561" s="79">
        <f t="shared" si="146"/>
        <v>0</v>
      </c>
      <c r="AU561" s="75"/>
      <c r="AV561" s="76"/>
      <c r="AW561" s="135"/>
      <c r="AX561" s="135"/>
      <c r="AY561" s="77">
        <f t="shared" si="147"/>
        <v>0</v>
      </c>
      <c r="AZ561" s="76"/>
      <c r="BA561" s="142"/>
      <c r="BB561" s="142"/>
      <c r="BC561" s="77">
        <f t="shared" si="148"/>
        <v>0</v>
      </c>
      <c r="BD561" s="78"/>
      <c r="BE561" s="142"/>
      <c r="BF561" s="142"/>
      <c r="BG561" s="79">
        <f t="shared" si="149"/>
        <v>0</v>
      </c>
      <c r="BH561" s="75"/>
      <c r="BI561" s="76"/>
      <c r="BJ561" s="135"/>
      <c r="BK561" s="135"/>
      <c r="BL561" s="77">
        <f t="shared" si="150"/>
        <v>0</v>
      </c>
      <c r="BM561" s="78"/>
      <c r="BN561" s="142"/>
      <c r="BO561" s="142"/>
      <c r="BP561" s="77">
        <f t="shared" si="151"/>
        <v>0</v>
      </c>
      <c r="BQ561" s="78"/>
      <c r="BR561" s="142"/>
      <c r="BS561" s="142"/>
      <c r="BT561" s="79">
        <f t="shared" si="152"/>
        <v>0</v>
      </c>
      <c r="BU561" s="75"/>
      <c r="BV561" s="76"/>
      <c r="BW561" s="135"/>
      <c r="BX561" s="135"/>
      <c r="BY561" s="77">
        <f t="shared" si="153"/>
        <v>0</v>
      </c>
      <c r="BZ561" s="78"/>
      <c r="CA561" s="142"/>
      <c r="CB561" s="142"/>
      <c r="CC561" s="77">
        <f t="shared" si="154"/>
        <v>0</v>
      </c>
      <c r="CD561" s="78"/>
      <c r="CE561" s="142"/>
      <c r="CF561" s="142"/>
      <c r="CG561" s="79">
        <f t="shared" si="155"/>
        <v>0</v>
      </c>
      <c r="CH561" s="75"/>
      <c r="CI561" s="76"/>
      <c r="CJ561" s="86"/>
      <c r="CK561" s="86"/>
      <c r="CL561" s="77">
        <f t="shared" si="156"/>
        <v>0</v>
      </c>
      <c r="CM561" s="78"/>
      <c r="CN561" s="85"/>
      <c r="CO561" s="85"/>
      <c r="CP561" s="77">
        <f t="shared" si="157"/>
        <v>0</v>
      </c>
      <c r="CQ561" s="78"/>
      <c r="CR561" s="85"/>
      <c r="CS561" s="85"/>
      <c r="CT561" s="79">
        <f t="shared" si="158"/>
        <v>0</v>
      </c>
      <c r="CU561" s="80">
        <f t="shared" si="168"/>
        <v>0</v>
      </c>
      <c r="CV561" s="81">
        <f t="shared" si="169"/>
        <v>0</v>
      </c>
      <c r="CW561" s="144"/>
      <c r="CX561" s="145">
        <f>IF(ISERROR(VLOOKUP($A561,FIJOS!$B$11:$O$590,14,FALSE)),0,VLOOKUP($A561,FIJOS!$B$11:$O$590,14,FALSE))</f>
        <v>0</v>
      </c>
      <c r="CY561" s="145">
        <f>IF(ISERROR(VLOOKUP(A561,FIJOS!$B$10:$P$590,15,FALSE)),0,VLOOKUP(A561,FIJOS!$B$10:$P$590,15,FALSE))</f>
        <v>0</v>
      </c>
      <c r="CZ561" s="155"/>
      <c r="DA561" s="147"/>
      <c r="DB561" s="147"/>
      <c r="DC561" s="147"/>
      <c r="DD561" s="147"/>
      <c r="DE561" s="147"/>
      <c r="DF561" s="145">
        <f>IF(ISERROR(VLOOKUP($A561,FIJOS!$B$11:$N$590,13,FALSE)),0,VLOOKUP($A561,FIJOS!$B$11:$N$590,13,FALSE))</f>
        <v>0</v>
      </c>
      <c r="DG561" s="145">
        <f>IF(ISERROR(VLOOKUP($A561,FIJOS!$B$11:$P$447,12,FALSE)),0,VLOOKUP($A561,FIJOS!$B$11:$P$447,12,FALSE))</f>
        <v>0</v>
      </c>
      <c r="DH561" s="82">
        <f t="shared" si="258"/>
        <v>0</v>
      </c>
      <c r="DI561" s="83" t="b">
        <f>IF($C561=1,(VLOOKUP($A561,FIJOS!$B$11:$P$545,10,FALSE)/7)*(7-$CU561),IF(AND($C561=2,CV561&lt;$DJ$1),(VLOOKUP($D561,HORAS!$B$4:$C$42,2,FALSE)*24)*$CV561,IF(AND($C561=2,CV561&gt;=$DJ$1),VLOOKUP($D561,HORAS!$B$4:$D$42,3,FALSE),IF(AND($C561=3,$CV561&gt;=$DJ$1),VLOOKUP($A561,FIJOS!$B$11:$P$545,10,FALSE),IF(AND($C561=3,$CV561&lt;$DJ$1),((VLOOKUP($A561,FIJOS!$B$11:$P$545,10,FALSE)/48)*24)*$CV561,IF(AND($C561=4,$CV561&gt;=(42/24)),VLOOKUP($D561,HORAS!$B$4:$D$42,3,FALSE),IF(AND($C561=5,$CV561&gt;=(36/24)),VLOOKUP($D561,HORAS!$B$4:$D$42,3,FALSE))))))))</f>
        <v>0</v>
      </c>
      <c r="DJ561" s="145">
        <f>IF(OR($C561=2),VLOOKUP($D561,HORAS!$B$4:$E$42,4,FALSE)*$EC561,IF(ISERROR(VLOOKUP($A561,FIJOS!$B$11:$P$108,9,FALSE)),0,VLOOKUP($A561,FIJOS!$B$11:$P$231,9,FALSE)*$EC561))</f>
        <v>0</v>
      </c>
      <c r="DK561" s="145">
        <f>IF(OR($C561=2),VLOOKUP($D561,HORAS!$B$4:$F$42,5,FALSE)*$EE561,IF(ISERROR(VLOOKUP($A561,FIJOS!$B$11:$P$108,9,FALSE)),0,VLOOKUP($A561,FIJOS!$B$11:$P$231,9,FALSE)*$EE561))</f>
        <v>0</v>
      </c>
      <c r="DL561" s="144"/>
      <c r="DM561" s="145">
        <f>IF(ISERROR(VLOOKUP($A561,FIJOS!$B$11:$L$646,11,FALSE)),0,VLOOKUP($A561,FIJOS!$B$11:$L$646,11,FALSE))</f>
        <v>0</v>
      </c>
      <c r="DN561" s="148" t="e">
        <f>IF(OR($C561=1,$C561=3),0,IF((VLOOKUP(CAPTURA!D561,HORAS!$B$4:$K$42,10,FALSE)/4)*COUNTIF($H561:$CT561,3)&gt;100,100,(VLOOKUP(CAPTURA!D561,HORAS!$B$4:$K$42,10,FALSE)/4)*COUNTIF($H561:$CT561,3)))</f>
        <v>#N/A</v>
      </c>
      <c r="DO561" s="144" t="e">
        <f>IF(OR($C561=1,$C561=3),0,IF($C561=5,VLOOKUP(D561,HORAS!$B$4:$G$42,6,FALSE),IF(AND($C561=4,$CV561&gt;=(42/24)),VLOOKUP(D561,HORAS!$B$4:$G$42,6,FALSE),IF(COUNTIF($H561:$CL561,"F")&gt;0,0,IF(CV561&gt;$DJ$1,$DJ$1*(VLOOKUP(D561,HORAS!$B$4:$G$42,6,FALSE)/$DJ$1),CV561*(VLOOKUP(D561,HORAS!$B$4:$G$42,6,FALSE)/$DJ$1))))))</f>
        <v>#N/A</v>
      </c>
      <c r="DP561" s="156"/>
      <c r="DQ561" s="148"/>
      <c r="DR561" s="148"/>
      <c r="DS561" s="83" t="e">
        <f t="shared" si="162"/>
        <v>#N/A</v>
      </c>
      <c r="DT561" s="84"/>
      <c r="DU561" s="149" t="e">
        <f t="shared" si="259"/>
        <v>#N/A</v>
      </c>
      <c r="DV561" s="149" t="e">
        <f t="shared" si="260"/>
        <v>#N/A</v>
      </c>
      <c r="DW561" s="144" t="e">
        <f t="shared" si="261"/>
        <v>#N/A</v>
      </c>
      <c r="DX561" s="168"/>
      <c r="DY561" s="29"/>
      <c r="DZ561" s="150"/>
      <c r="EA561" s="134"/>
      <c r="EB561" s="137">
        <f t="shared" si="262"/>
        <v>0</v>
      </c>
      <c r="EC561" s="138">
        <f t="shared" si="263"/>
        <v>0</v>
      </c>
      <c r="ED561" s="137">
        <f t="shared" si="264"/>
        <v>0</v>
      </c>
      <c r="EE561" s="132">
        <f t="shared" si="265"/>
        <v>0</v>
      </c>
      <c r="EF561" s="29"/>
      <c r="EG561" s="134"/>
      <c r="EH561" s="134"/>
      <c r="EI561" s="134"/>
      <c r="EK561" s="29"/>
    </row>
    <row r="562" spans="1:141" ht="15" customHeight="1" x14ac:dyDescent="0.25">
      <c r="A562" s="87"/>
      <c r="B562" s="5"/>
      <c r="C562" s="72"/>
      <c r="D562" s="73"/>
      <c r="E562" s="73"/>
      <c r="F562" s="141"/>
      <c r="G562" s="74"/>
      <c r="H562" s="75"/>
      <c r="I562" s="76"/>
      <c r="J562" s="135"/>
      <c r="K562" s="135"/>
      <c r="L562" s="77">
        <f t="shared" si="138"/>
        <v>0</v>
      </c>
      <c r="M562" s="78"/>
      <c r="N562" s="142"/>
      <c r="O562" s="142"/>
      <c r="P562" s="77">
        <f t="shared" si="139"/>
        <v>0</v>
      </c>
      <c r="Q562" s="78"/>
      <c r="R562" s="143"/>
      <c r="S562" s="143"/>
      <c r="T562" s="77">
        <f t="shared" si="140"/>
        <v>0</v>
      </c>
      <c r="U562" s="75"/>
      <c r="V562" s="76"/>
      <c r="W562" s="135"/>
      <c r="X562" s="135"/>
      <c r="Y562" s="77">
        <f t="shared" si="141"/>
        <v>0</v>
      </c>
      <c r="Z562" s="78"/>
      <c r="AA562" s="142"/>
      <c r="AB562" s="142"/>
      <c r="AC562" s="77">
        <f t="shared" si="142"/>
        <v>0</v>
      </c>
      <c r="AD562" s="78"/>
      <c r="AE562" s="143"/>
      <c r="AF562" s="143"/>
      <c r="AG562" s="79">
        <f t="shared" si="143"/>
        <v>0</v>
      </c>
      <c r="AH562" s="75"/>
      <c r="AI562" s="76"/>
      <c r="AJ562" s="135"/>
      <c r="AK562" s="135"/>
      <c r="AL562" s="77">
        <f t="shared" si="144"/>
        <v>0</v>
      </c>
      <c r="AM562" s="76"/>
      <c r="AN562" s="142"/>
      <c r="AO562" s="142"/>
      <c r="AP562" s="77">
        <f t="shared" si="145"/>
        <v>0</v>
      </c>
      <c r="AQ562" s="78"/>
      <c r="AR562" s="142"/>
      <c r="AS562" s="142"/>
      <c r="AT562" s="79">
        <f t="shared" si="146"/>
        <v>0</v>
      </c>
      <c r="AU562" s="75"/>
      <c r="AV562" s="76"/>
      <c r="AW562" s="135"/>
      <c r="AX562" s="135"/>
      <c r="AY562" s="77">
        <f t="shared" si="147"/>
        <v>0</v>
      </c>
      <c r="AZ562" s="76"/>
      <c r="BA562" s="142"/>
      <c r="BB562" s="142"/>
      <c r="BC562" s="77">
        <f t="shared" si="148"/>
        <v>0</v>
      </c>
      <c r="BD562" s="78"/>
      <c r="BE562" s="142"/>
      <c r="BF562" s="142"/>
      <c r="BG562" s="79">
        <f t="shared" si="149"/>
        <v>0</v>
      </c>
      <c r="BH562" s="75"/>
      <c r="BI562" s="76"/>
      <c r="BJ562" s="135"/>
      <c r="BK562" s="135"/>
      <c r="BL562" s="77">
        <f t="shared" si="150"/>
        <v>0</v>
      </c>
      <c r="BM562" s="78"/>
      <c r="BN562" s="142"/>
      <c r="BO562" s="142"/>
      <c r="BP562" s="77">
        <f t="shared" si="151"/>
        <v>0</v>
      </c>
      <c r="BQ562" s="78"/>
      <c r="BR562" s="142"/>
      <c r="BS562" s="142"/>
      <c r="BT562" s="79">
        <f t="shared" si="152"/>
        <v>0</v>
      </c>
      <c r="BU562" s="75"/>
      <c r="BV562" s="76"/>
      <c r="BW562" s="135"/>
      <c r="BX562" s="135"/>
      <c r="BY562" s="77">
        <f t="shared" si="153"/>
        <v>0</v>
      </c>
      <c r="BZ562" s="78"/>
      <c r="CA562" s="142"/>
      <c r="CB562" s="142"/>
      <c r="CC562" s="77">
        <f t="shared" si="154"/>
        <v>0</v>
      </c>
      <c r="CD562" s="78"/>
      <c r="CE562" s="142"/>
      <c r="CF562" s="142"/>
      <c r="CG562" s="79">
        <f t="shared" si="155"/>
        <v>0</v>
      </c>
      <c r="CH562" s="75"/>
      <c r="CI562" s="76"/>
      <c r="CJ562" s="86"/>
      <c r="CK562" s="86"/>
      <c r="CL562" s="77">
        <f t="shared" si="156"/>
        <v>0</v>
      </c>
      <c r="CM562" s="78"/>
      <c r="CN562" s="85"/>
      <c r="CO562" s="85"/>
      <c r="CP562" s="77">
        <f t="shared" si="157"/>
        <v>0</v>
      </c>
      <c r="CQ562" s="78"/>
      <c r="CR562" s="85"/>
      <c r="CS562" s="85"/>
      <c r="CT562" s="79">
        <f t="shared" si="158"/>
        <v>0</v>
      </c>
      <c r="CU562" s="80">
        <f t="shared" si="168"/>
        <v>0</v>
      </c>
      <c r="CV562" s="81">
        <f t="shared" si="169"/>
        <v>0</v>
      </c>
      <c r="CW562" s="144"/>
      <c r="CX562" s="145">
        <f>IF(ISERROR(VLOOKUP($A562,FIJOS!$B$11:$O$590,14,FALSE)),0,VLOOKUP($A562,FIJOS!$B$11:$O$590,14,FALSE))</f>
        <v>0</v>
      </c>
      <c r="CY562" s="145">
        <f>IF(ISERROR(VLOOKUP(A562,FIJOS!$B$10:$P$590,15,FALSE)),0,VLOOKUP(A562,FIJOS!$B$10:$P$590,15,FALSE))</f>
        <v>0</v>
      </c>
      <c r="CZ562" s="155"/>
      <c r="DA562" s="147"/>
      <c r="DB562" s="147"/>
      <c r="DC562" s="147"/>
      <c r="DD562" s="147"/>
      <c r="DE562" s="147"/>
      <c r="DF562" s="145">
        <f>IF(ISERROR(VLOOKUP($A562,FIJOS!$B$11:$N$590,13,FALSE)),0,VLOOKUP($A562,FIJOS!$B$11:$N$590,13,FALSE))</f>
        <v>0</v>
      </c>
      <c r="DG562" s="145">
        <f>IF(ISERROR(VLOOKUP($A562,FIJOS!$B$11:$P$447,12,FALSE)),0,VLOOKUP($A562,FIJOS!$B$11:$P$447,12,FALSE))</f>
        <v>0</v>
      </c>
      <c r="DH562" s="82">
        <f t="shared" si="258"/>
        <v>0</v>
      </c>
      <c r="DI562" s="83" t="b">
        <f>IF($C562=1,(VLOOKUP($A562,FIJOS!$B$11:$P$545,10,FALSE)/7)*(7-$CU562),IF(AND($C562=2,CV562&lt;$DJ$1),(VLOOKUP($D562,HORAS!$B$4:$C$42,2,FALSE)*24)*$CV562,IF(AND($C562=2,CV562&gt;=$DJ$1),VLOOKUP($D562,HORAS!$B$4:$D$42,3,FALSE),IF(AND($C562=3,$CV562&gt;=$DJ$1),VLOOKUP($A562,FIJOS!$B$11:$P$545,10,FALSE),IF(AND($C562=3,$CV562&lt;$DJ$1),((VLOOKUP($A562,FIJOS!$B$11:$P$545,10,FALSE)/48)*24)*$CV562,IF(AND($C562=4,$CV562&gt;=(42/24)),VLOOKUP($D562,HORAS!$B$4:$D$42,3,FALSE),IF(AND($C562=5,$CV562&gt;=(36/24)),VLOOKUP($D562,HORAS!$B$4:$D$42,3,FALSE))))))))</f>
        <v>0</v>
      </c>
      <c r="DJ562" s="145">
        <f>IF(OR($C562=2),VLOOKUP($D562,HORAS!$B$4:$E$42,4,FALSE)*$EC562,IF(ISERROR(VLOOKUP($A562,FIJOS!$B$11:$P$108,9,FALSE)),0,VLOOKUP($A562,FIJOS!$B$11:$P$231,9,FALSE)*$EC562))</f>
        <v>0</v>
      </c>
      <c r="DK562" s="145">
        <f>IF(OR($C562=2),VLOOKUP($D562,HORAS!$B$4:$F$42,5,FALSE)*$EE562,IF(ISERROR(VLOOKUP($A562,FIJOS!$B$11:$P$108,9,FALSE)),0,VLOOKUP($A562,FIJOS!$B$11:$P$231,9,FALSE)*$EE562))</f>
        <v>0</v>
      </c>
      <c r="DL562" s="144"/>
      <c r="DM562" s="145">
        <f>IF(ISERROR(VLOOKUP($A562,FIJOS!$B$11:$L$646,11,FALSE)),0,VLOOKUP($A562,FIJOS!$B$11:$L$646,11,FALSE))</f>
        <v>0</v>
      </c>
      <c r="DN562" s="148" t="e">
        <f>IF(OR($C562=1,$C562=3),0,IF((VLOOKUP(CAPTURA!D562,HORAS!$B$4:$K$42,10,FALSE)/4)*COUNTIF($H562:$CT562,3)&gt;100,100,(VLOOKUP(CAPTURA!D562,HORAS!$B$4:$K$42,10,FALSE)/4)*COUNTIF($H562:$CT562,3)))</f>
        <v>#N/A</v>
      </c>
      <c r="DO562" s="144" t="e">
        <f>IF(OR($C562=1,$C562=3),0,IF($C562=5,VLOOKUP(D562,HORAS!$B$4:$G$42,6,FALSE),IF(AND($C562=4,$CV562&gt;=(42/24)),VLOOKUP(D562,HORAS!$B$4:$G$42,6,FALSE),IF(COUNTIF($H562:$CL562,"F")&gt;0,0,IF(CV562&gt;$DJ$1,$DJ$1*(VLOOKUP(D562,HORAS!$B$4:$G$42,6,FALSE)/$DJ$1),CV562*(VLOOKUP(D562,HORAS!$B$4:$G$42,6,FALSE)/$DJ$1))))))</f>
        <v>#N/A</v>
      </c>
      <c r="DP562" s="156"/>
      <c r="DQ562" s="148"/>
      <c r="DR562" s="148"/>
      <c r="DS562" s="83" t="e">
        <f t="shared" si="162"/>
        <v>#N/A</v>
      </c>
      <c r="DT562" s="84"/>
      <c r="DU562" s="149" t="e">
        <f t="shared" si="259"/>
        <v>#N/A</v>
      </c>
      <c r="DV562" s="149" t="e">
        <f t="shared" si="260"/>
        <v>#N/A</v>
      </c>
      <c r="DW562" s="144" t="e">
        <f t="shared" si="261"/>
        <v>#N/A</v>
      </c>
      <c r="DX562" s="168"/>
      <c r="DY562" s="29"/>
      <c r="DZ562" s="150"/>
      <c r="EA562" s="134"/>
      <c r="EB562" s="137">
        <f t="shared" si="262"/>
        <v>0</v>
      </c>
      <c r="EC562" s="138">
        <f t="shared" si="263"/>
        <v>0</v>
      </c>
      <c r="ED562" s="137">
        <f t="shared" si="264"/>
        <v>0</v>
      </c>
      <c r="EE562" s="132">
        <f t="shared" si="265"/>
        <v>0</v>
      </c>
      <c r="EF562" s="29"/>
      <c r="EG562" s="134"/>
      <c r="EH562" s="134"/>
      <c r="EI562" s="134"/>
      <c r="EK562" s="29"/>
    </row>
    <row r="563" spans="1:141" ht="15" customHeight="1" x14ac:dyDescent="0.25">
      <c r="A563" s="87"/>
      <c r="B563" s="5"/>
      <c r="C563" s="72"/>
      <c r="D563" s="73"/>
      <c r="E563" s="73"/>
      <c r="F563" s="141"/>
      <c r="G563" s="74"/>
      <c r="H563" s="75"/>
      <c r="I563" s="76"/>
      <c r="J563" s="135"/>
      <c r="K563" s="135"/>
      <c r="L563" s="77">
        <f t="shared" si="138"/>
        <v>0</v>
      </c>
      <c r="M563" s="78"/>
      <c r="N563" s="142"/>
      <c r="O563" s="142"/>
      <c r="P563" s="77">
        <f t="shared" si="139"/>
        <v>0</v>
      </c>
      <c r="Q563" s="78"/>
      <c r="R563" s="143"/>
      <c r="S563" s="143"/>
      <c r="T563" s="77">
        <f t="shared" si="140"/>
        <v>0</v>
      </c>
      <c r="U563" s="75"/>
      <c r="V563" s="76"/>
      <c r="W563" s="135"/>
      <c r="X563" s="135"/>
      <c r="Y563" s="77">
        <f t="shared" si="141"/>
        <v>0</v>
      </c>
      <c r="Z563" s="78"/>
      <c r="AA563" s="142"/>
      <c r="AB563" s="142"/>
      <c r="AC563" s="77">
        <f t="shared" si="142"/>
        <v>0</v>
      </c>
      <c r="AD563" s="78"/>
      <c r="AE563" s="143"/>
      <c r="AF563" s="143"/>
      <c r="AG563" s="79">
        <f t="shared" si="143"/>
        <v>0</v>
      </c>
      <c r="AH563" s="75"/>
      <c r="AI563" s="76"/>
      <c r="AJ563" s="135"/>
      <c r="AK563" s="135"/>
      <c r="AL563" s="77">
        <f t="shared" si="144"/>
        <v>0</v>
      </c>
      <c r="AM563" s="76"/>
      <c r="AN563" s="142"/>
      <c r="AO563" s="142"/>
      <c r="AP563" s="77">
        <f t="shared" si="145"/>
        <v>0</v>
      </c>
      <c r="AQ563" s="78"/>
      <c r="AR563" s="142"/>
      <c r="AS563" s="142"/>
      <c r="AT563" s="79">
        <f t="shared" si="146"/>
        <v>0</v>
      </c>
      <c r="AU563" s="75"/>
      <c r="AV563" s="76"/>
      <c r="AW563" s="135"/>
      <c r="AX563" s="135"/>
      <c r="AY563" s="77">
        <f t="shared" si="147"/>
        <v>0</v>
      </c>
      <c r="AZ563" s="76"/>
      <c r="BA563" s="142"/>
      <c r="BB563" s="142"/>
      <c r="BC563" s="77">
        <f t="shared" si="148"/>
        <v>0</v>
      </c>
      <c r="BD563" s="78"/>
      <c r="BE563" s="142"/>
      <c r="BF563" s="142"/>
      <c r="BG563" s="79">
        <f t="shared" si="149"/>
        <v>0</v>
      </c>
      <c r="BH563" s="75"/>
      <c r="BI563" s="76"/>
      <c r="BJ563" s="135"/>
      <c r="BK563" s="135"/>
      <c r="BL563" s="77">
        <f t="shared" si="150"/>
        <v>0</v>
      </c>
      <c r="BM563" s="78"/>
      <c r="BN563" s="142"/>
      <c r="BO563" s="142"/>
      <c r="BP563" s="77">
        <f t="shared" si="151"/>
        <v>0</v>
      </c>
      <c r="BQ563" s="78"/>
      <c r="BR563" s="142"/>
      <c r="BS563" s="142"/>
      <c r="BT563" s="79">
        <f t="shared" si="152"/>
        <v>0</v>
      </c>
      <c r="BU563" s="75"/>
      <c r="BV563" s="76"/>
      <c r="BW563" s="135"/>
      <c r="BX563" s="135"/>
      <c r="BY563" s="77">
        <f t="shared" si="153"/>
        <v>0</v>
      </c>
      <c r="BZ563" s="78"/>
      <c r="CA563" s="142"/>
      <c r="CB563" s="142"/>
      <c r="CC563" s="77">
        <f t="shared" si="154"/>
        <v>0</v>
      </c>
      <c r="CD563" s="78"/>
      <c r="CE563" s="142"/>
      <c r="CF563" s="142"/>
      <c r="CG563" s="79">
        <f t="shared" si="155"/>
        <v>0</v>
      </c>
      <c r="CH563" s="75"/>
      <c r="CI563" s="76"/>
      <c r="CJ563" s="86"/>
      <c r="CK563" s="86"/>
      <c r="CL563" s="77">
        <f t="shared" si="156"/>
        <v>0</v>
      </c>
      <c r="CM563" s="78"/>
      <c r="CN563" s="85"/>
      <c r="CO563" s="85"/>
      <c r="CP563" s="77">
        <f t="shared" si="157"/>
        <v>0</v>
      </c>
      <c r="CQ563" s="78"/>
      <c r="CR563" s="85"/>
      <c r="CS563" s="85"/>
      <c r="CT563" s="79">
        <f t="shared" si="158"/>
        <v>0</v>
      </c>
      <c r="CU563" s="80">
        <f t="shared" si="168"/>
        <v>0</v>
      </c>
      <c r="CV563" s="81">
        <f t="shared" si="169"/>
        <v>0</v>
      </c>
      <c r="CW563" s="144"/>
      <c r="CX563" s="145">
        <f>IF(ISERROR(VLOOKUP($A563,FIJOS!$B$11:$O$590,14,FALSE)),0,VLOOKUP($A563,FIJOS!$B$11:$O$590,14,FALSE))</f>
        <v>0</v>
      </c>
      <c r="CY563" s="145">
        <f>IF(ISERROR(VLOOKUP(A563,FIJOS!$B$10:$P$590,15,FALSE)),0,VLOOKUP(A563,FIJOS!$B$10:$P$590,15,FALSE))</f>
        <v>0</v>
      </c>
      <c r="CZ563" s="155"/>
      <c r="DA563" s="147"/>
      <c r="DB563" s="147"/>
      <c r="DC563" s="147"/>
      <c r="DD563" s="147"/>
      <c r="DE563" s="147"/>
      <c r="DF563" s="145">
        <f>IF(ISERROR(VLOOKUP($A563,FIJOS!$B$11:$N$590,13,FALSE)),0,VLOOKUP($A563,FIJOS!$B$11:$N$590,13,FALSE))</f>
        <v>0</v>
      </c>
      <c r="DG563" s="145">
        <f>IF(ISERROR(VLOOKUP($A563,FIJOS!$B$11:$P$447,12,FALSE)),0,VLOOKUP($A563,FIJOS!$B$11:$P$447,12,FALSE))</f>
        <v>0</v>
      </c>
      <c r="DH563" s="82">
        <f t="shared" si="258"/>
        <v>0</v>
      </c>
      <c r="DI563" s="83" t="b">
        <f>IF($C563=1,(VLOOKUP($A563,FIJOS!$B$11:$P$545,10,FALSE)/7)*(7-$CU563),IF(AND($C563=2,CV563&lt;$DJ$1),(VLOOKUP($D563,HORAS!$B$4:$C$42,2,FALSE)*24)*$CV563,IF(AND($C563=2,CV563&gt;=$DJ$1),VLOOKUP($D563,HORAS!$B$4:$D$42,3,FALSE),IF(AND($C563=3,$CV563&gt;=$DJ$1),VLOOKUP($A563,FIJOS!$B$11:$P$545,10,FALSE),IF(AND($C563=3,$CV563&lt;$DJ$1),((VLOOKUP($A563,FIJOS!$B$11:$P$545,10,FALSE)/48)*24)*$CV563,IF(AND($C563=4,$CV563&gt;=(42/24)),VLOOKUP($D563,HORAS!$B$4:$D$42,3,FALSE),IF(AND($C563=5,$CV563&gt;=(36/24)),VLOOKUP($D563,HORAS!$B$4:$D$42,3,FALSE))))))))</f>
        <v>0</v>
      </c>
      <c r="DJ563" s="145">
        <f>IF(OR($C563=2),VLOOKUP($D563,HORAS!$B$4:$E$42,4,FALSE)*$EC563,IF(ISERROR(VLOOKUP($A563,FIJOS!$B$11:$P$108,9,FALSE)),0,VLOOKUP($A563,FIJOS!$B$11:$P$231,9,FALSE)*$EC563))</f>
        <v>0</v>
      </c>
      <c r="DK563" s="145">
        <f>IF(OR($C563=2),VLOOKUP($D563,HORAS!$B$4:$F$42,5,FALSE)*$EE563,IF(ISERROR(VLOOKUP($A563,FIJOS!$B$11:$P$108,9,FALSE)),0,VLOOKUP($A563,FIJOS!$B$11:$P$231,9,FALSE)*$EE563))</f>
        <v>0</v>
      </c>
      <c r="DL563" s="144"/>
      <c r="DM563" s="145">
        <f>IF(ISERROR(VLOOKUP($A563,FIJOS!$B$11:$L$646,11,FALSE)),0,VLOOKUP($A563,FIJOS!$B$11:$L$646,11,FALSE))</f>
        <v>0</v>
      </c>
      <c r="DN563" s="148" t="e">
        <f>IF(OR($C563=1,$C563=3),0,IF((VLOOKUP(CAPTURA!D563,HORAS!$B$4:$K$42,10,FALSE)/4)*COUNTIF($H563:$CT563,3)&gt;100,100,(VLOOKUP(CAPTURA!D563,HORAS!$B$4:$K$42,10,FALSE)/4)*COUNTIF($H563:$CT563,3)))</f>
        <v>#N/A</v>
      </c>
      <c r="DO563" s="144" t="e">
        <f>IF(OR($C563=1,$C563=3),0,IF($C563=5,VLOOKUP(D563,HORAS!$B$4:$G$42,6,FALSE),IF(AND($C563=4,$CV563&gt;=(42/24)),VLOOKUP(D563,HORAS!$B$4:$G$42,6,FALSE),IF(COUNTIF($H563:$CL563,"F")&gt;0,0,IF(CV563&gt;$DJ$1,$DJ$1*(VLOOKUP(D563,HORAS!$B$4:$G$42,6,FALSE)/$DJ$1),CV563*(VLOOKUP(D563,HORAS!$B$4:$G$42,6,FALSE)/$DJ$1))))))</f>
        <v>#N/A</v>
      </c>
      <c r="DP563" s="156"/>
      <c r="DQ563" s="148"/>
      <c r="DR563" s="148"/>
      <c r="DS563" s="83" t="e">
        <f t="shared" si="162"/>
        <v>#N/A</v>
      </c>
      <c r="DT563" s="84"/>
      <c r="DU563" s="149" t="e">
        <f t="shared" si="259"/>
        <v>#N/A</v>
      </c>
      <c r="DV563" s="149" t="e">
        <f t="shared" si="260"/>
        <v>#N/A</v>
      </c>
      <c r="DW563" s="144" t="e">
        <f t="shared" si="261"/>
        <v>#N/A</v>
      </c>
      <c r="DX563" s="168"/>
      <c r="DY563" s="29"/>
      <c r="DZ563" s="150"/>
      <c r="EA563" s="134"/>
      <c r="EB563" s="137">
        <f t="shared" si="262"/>
        <v>0</v>
      </c>
      <c r="EC563" s="138">
        <f t="shared" si="263"/>
        <v>0</v>
      </c>
      <c r="ED563" s="137">
        <f t="shared" si="264"/>
        <v>0</v>
      </c>
      <c r="EE563" s="132">
        <f t="shared" si="265"/>
        <v>0</v>
      </c>
      <c r="EF563" s="29"/>
      <c r="EG563" s="134"/>
      <c r="EH563" s="134"/>
      <c r="EI563" s="134"/>
      <c r="EK563" s="29"/>
    </row>
    <row r="564" spans="1:141" ht="15" customHeight="1" x14ac:dyDescent="0.25">
      <c r="A564" s="87"/>
      <c r="B564" s="5"/>
      <c r="C564" s="72"/>
      <c r="D564" s="73"/>
      <c r="E564" s="73"/>
      <c r="F564" s="141"/>
      <c r="G564" s="74"/>
      <c r="H564" s="75"/>
      <c r="I564" s="76"/>
      <c r="J564" s="135"/>
      <c r="K564" s="135"/>
      <c r="L564" s="77">
        <f t="shared" si="138"/>
        <v>0</v>
      </c>
      <c r="M564" s="78"/>
      <c r="N564" s="142"/>
      <c r="O564" s="142"/>
      <c r="P564" s="77">
        <f t="shared" si="139"/>
        <v>0</v>
      </c>
      <c r="Q564" s="78"/>
      <c r="R564" s="143"/>
      <c r="S564" s="143"/>
      <c r="T564" s="77">
        <f t="shared" si="140"/>
        <v>0</v>
      </c>
      <c r="U564" s="75"/>
      <c r="V564" s="76"/>
      <c r="W564" s="135"/>
      <c r="X564" s="135"/>
      <c r="Y564" s="77">
        <f t="shared" si="141"/>
        <v>0</v>
      </c>
      <c r="Z564" s="78"/>
      <c r="AA564" s="142"/>
      <c r="AB564" s="142"/>
      <c r="AC564" s="77">
        <f t="shared" si="142"/>
        <v>0</v>
      </c>
      <c r="AD564" s="78"/>
      <c r="AE564" s="143"/>
      <c r="AF564" s="143"/>
      <c r="AG564" s="79">
        <f t="shared" si="143"/>
        <v>0</v>
      </c>
      <c r="AH564" s="75"/>
      <c r="AI564" s="76"/>
      <c r="AJ564" s="135"/>
      <c r="AK564" s="135"/>
      <c r="AL564" s="77">
        <f t="shared" si="144"/>
        <v>0</v>
      </c>
      <c r="AM564" s="76"/>
      <c r="AN564" s="142"/>
      <c r="AO564" s="142"/>
      <c r="AP564" s="77">
        <f t="shared" si="145"/>
        <v>0</v>
      </c>
      <c r="AQ564" s="78"/>
      <c r="AR564" s="142"/>
      <c r="AS564" s="142"/>
      <c r="AT564" s="79">
        <f t="shared" si="146"/>
        <v>0</v>
      </c>
      <c r="AU564" s="75"/>
      <c r="AV564" s="76"/>
      <c r="AW564" s="135"/>
      <c r="AX564" s="135"/>
      <c r="AY564" s="77">
        <f t="shared" si="147"/>
        <v>0</v>
      </c>
      <c r="AZ564" s="76"/>
      <c r="BA564" s="142"/>
      <c r="BB564" s="142"/>
      <c r="BC564" s="77">
        <f t="shared" si="148"/>
        <v>0</v>
      </c>
      <c r="BD564" s="78"/>
      <c r="BE564" s="142"/>
      <c r="BF564" s="142"/>
      <c r="BG564" s="79">
        <f t="shared" si="149"/>
        <v>0</v>
      </c>
      <c r="BH564" s="75"/>
      <c r="BI564" s="76"/>
      <c r="BJ564" s="135"/>
      <c r="BK564" s="135"/>
      <c r="BL564" s="77">
        <f t="shared" si="150"/>
        <v>0</v>
      </c>
      <c r="BM564" s="78"/>
      <c r="BN564" s="142"/>
      <c r="BO564" s="142"/>
      <c r="BP564" s="77">
        <f t="shared" si="151"/>
        <v>0</v>
      </c>
      <c r="BQ564" s="78"/>
      <c r="BR564" s="142"/>
      <c r="BS564" s="142"/>
      <c r="BT564" s="79">
        <f t="shared" si="152"/>
        <v>0</v>
      </c>
      <c r="BU564" s="75"/>
      <c r="BV564" s="76"/>
      <c r="BW564" s="135"/>
      <c r="BX564" s="135"/>
      <c r="BY564" s="77">
        <f t="shared" si="153"/>
        <v>0</v>
      </c>
      <c r="BZ564" s="78"/>
      <c r="CA564" s="142"/>
      <c r="CB564" s="142"/>
      <c r="CC564" s="77">
        <f t="shared" si="154"/>
        <v>0</v>
      </c>
      <c r="CD564" s="78"/>
      <c r="CE564" s="142"/>
      <c r="CF564" s="142"/>
      <c r="CG564" s="79">
        <f t="shared" si="155"/>
        <v>0</v>
      </c>
      <c r="CH564" s="75"/>
      <c r="CI564" s="76"/>
      <c r="CJ564" s="86"/>
      <c r="CK564" s="86"/>
      <c r="CL564" s="77">
        <f t="shared" si="156"/>
        <v>0</v>
      </c>
      <c r="CM564" s="78"/>
      <c r="CN564" s="85"/>
      <c r="CO564" s="85"/>
      <c r="CP564" s="77">
        <f t="shared" si="157"/>
        <v>0</v>
      </c>
      <c r="CQ564" s="78"/>
      <c r="CR564" s="85"/>
      <c r="CS564" s="85"/>
      <c r="CT564" s="79">
        <f t="shared" si="158"/>
        <v>0</v>
      </c>
      <c r="CU564" s="80">
        <f t="shared" si="168"/>
        <v>0</v>
      </c>
      <c r="CV564" s="81">
        <f t="shared" si="169"/>
        <v>0</v>
      </c>
      <c r="CW564" s="144"/>
      <c r="CX564" s="145">
        <f>IF(ISERROR(VLOOKUP($A564,FIJOS!$B$11:$O$590,14,FALSE)),0,VLOOKUP($A564,FIJOS!$B$11:$O$590,14,FALSE))</f>
        <v>0</v>
      </c>
      <c r="CY564" s="145">
        <f>IF(ISERROR(VLOOKUP(A564,FIJOS!$B$10:$P$590,15,FALSE)),0,VLOOKUP(A564,FIJOS!$B$10:$P$590,15,FALSE))</f>
        <v>0</v>
      </c>
      <c r="CZ564" s="155"/>
      <c r="DA564" s="147"/>
      <c r="DB564" s="147"/>
      <c r="DC564" s="147"/>
      <c r="DD564" s="147"/>
      <c r="DE564" s="147"/>
      <c r="DF564" s="145">
        <f>IF(ISERROR(VLOOKUP($A564,FIJOS!$B$11:$N$590,13,FALSE)),0,VLOOKUP($A564,FIJOS!$B$11:$N$590,13,FALSE))</f>
        <v>0</v>
      </c>
      <c r="DG564" s="145">
        <f>IF(ISERROR(VLOOKUP($A564,FIJOS!$B$11:$P$447,12,FALSE)),0,VLOOKUP($A564,FIJOS!$B$11:$P$447,12,FALSE))</f>
        <v>0</v>
      </c>
      <c r="DH564" s="82">
        <f t="shared" si="258"/>
        <v>0</v>
      </c>
      <c r="DI564" s="83" t="b">
        <f>IF($C564=1,(VLOOKUP($A564,FIJOS!$B$11:$P$545,10,FALSE)/7)*(7-$CU564),IF(AND($C564=2,CV564&lt;$DJ$1),(VLOOKUP($D564,HORAS!$B$4:$C$42,2,FALSE)*24)*$CV564,IF(AND($C564=2,CV564&gt;=$DJ$1),VLOOKUP($D564,HORAS!$B$4:$D$42,3,FALSE),IF(AND($C564=3,$CV564&gt;=$DJ$1),VLOOKUP($A564,FIJOS!$B$11:$P$545,10,FALSE),IF(AND($C564=3,$CV564&lt;$DJ$1),((VLOOKUP($A564,FIJOS!$B$11:$P$545,10,FALSE)/48)*24)*$CV564,IF(AND($C564=4,$CV564&gt;=(42/24)),VLOOKUP($D564,HORAS!$B$4:$D$42,3,FALSE),IF(AND($C564=5,$CV564&gt;=(36/24)),VLOOKUP($D564,HORAS!$B$4:$D$42,3,FALSE))))))))</f>
        <v>0</v>
      </c>
      <c r="DJ564" s="145">
        <f>IF(OR($C564=2),VLOOKUP($D564,HORAS!$B$4:$E$42,4,FALSE)*$EC564,IF(ISERROR(VLOOKUP($A564,FIJOS!$B$11:$P$108,9,FALSE)),0,VLOOKUP($A564,FIJOS!$B$11:$P$231,9,FALSE)*$EC564))</f>
        <v>0</v>
      </c>
      <c r="DK564" s="145">
        <f>IF(OR($C564=2),VLOOKUP($D564,HORAS!$B$4:$F$42,5,FALSE)*$EE564,IF(ISERROR(VLOOKUP($A564,FIJOS!$B$11:$P$108,9,FALSE)),0,VLOOKUP($A564,FIJOS!$B$11:$P$231,9,FALSE)*$EE564))</f>
        <v>0</v>
      </c>
      <c r="DL564" s="144"/>
      <c r="DM564" s="145">
        <f>IF(ISERROR(VLOOKUP($A564,FIJOS!$B$11:$L$646,11,FALSE)),0,VLOOKUP($A564,FIJOS!$B$11:$L$646,11,FALSE))</f>
        <v>0</v>
      </c>
      <c r="DN564" s="148" t="e">
        <f>IF(OR($C564=1,$C564=3),0,IF((VLOOKUP(CAPTURA!D564,HORAS!$B$4:$K$42,10,FALSE)/4)*COUNTIF($H564:$CT564,3)&gt;100,100,(VLOOKUP(CAPTURA!D564,HORAS!$B$4:$K$42,10,FALSE)/4)*COUNTIF($H564:$CT564,3)))</f>
        <v>#N/A</v>
      </c>
      <c r="DO564" s="144" t="e">
        <f>IF(OR($C564=1,$C564=3),0,IF($C564=5,VLOOKUP(D564,HORAS!$B$4:$G$42,6,FALSE),IF(AND($C564=4,$CV564&gt;=(42/24)),VLOOKUP(D564,HORAS!$B$4:$G$42,6,FALSE),IF(COUNTIF($H564:$CL564,"F")&gt;0,0,IF(CV564&gt;$DJ$1,$DJ$1*(VLOOKUP(D564,HORAS!$B$4:$G$42,6,FALSE)/$DJ$1),CV564*(VLOOKUP(D564,HORAS!$B$4:$G$42,6,FALSE)/$DJ$1))))))</f>
        <v>#N/A</v>
      </c>
      <c r="DP564" s="156"/>
      <c r="DQ564" s="148"/>
      <c r="DR564" s="148"/>
      <c r="DS564" s="83" t="e">
        <f t="shared" si="162"/>
        <v>#N/A</v>
      </c>
      <c r="DT564" s="84"/>
      <c r="DU564" s="149" t="e">
        <f t="shared" si="259"/>
        <v>#N/A</v>
      </c>
      <c r="DV564" s="149" t="e">
        <f t="shared" si="260"/>
        <v>#N/A</v>
      </c>
      <c r="DW564" s="144" t="e">
        <f t="shared" si="261"/>
        <v>#N/A</v>
      </c>
      <c r="DX564" s="168"/>
      <c r="DY564" s="29"/>
      <c r="DZ564" s="150"/>
      <c r="EA564" s="134"/>
      <c r="EB564" s="137">
        <f t="shared" si="262"/>
        <v>0</v>
      </c>
      <c r="EC564" s="138">
        <f t="shared" si="263"/>
        <v>0</v>
      </c>
      <c r="ED564" s="137">
        <f t="shared" si="264"/>
        <v>0</v>
      </c>
      <c r="EE564" s="132">
        <f t="shared" si="265"/>
        <v>0</v>
      </c>
      <c r="EF564" s="29"/>
      <c r="EG564" s="134"/>
      <c r="EH564" s="134"/>
      <c r="EI564" s="134"/>
      <c r="EK564" s="29"/>
    </row>
    <row r="565" spans="1:141" ht="15" customHeight="1" x14ac:dyDescent="0.25">
      <c r="A565" s="87"/>
      <c r="B565" s="5"/>
      <c r="C565" s="72"/>
      <c r="D565" s="73"/>
      <c r="E565" s="73"/>
      <c r="F565" s="141"/>
      <c r="G565" s="74"/>
      <c r="H565" s="75"/>
      <c r="I565" s="76"/>
      <c r="J565" s="135"/>
      <c r="K565" s="135"/>
      <c r="L565" s="77">
        <f t="shared" si="138"/>
        <v>0</v>
      </c>
      <c r="M565" s="78"/>
      <c r="N565" s="142"/>
      <c r="O565" s="142"/>
      <c r="P565" s="77">
        <f t="shared" si="139"/>
        <v>0</v>
      </c>
      <c r="Q565" s="78"/>
      <c r="R565" s="143"/>
      <c r="S565" s="143"/>
      <c r="T565" s="77">
        <f t="shared" si="140"/>
        <v>0</v>
      </c>
      <c r="U565" s="75"/>
      <c r="V565" s="76"/>
      <c r="W565" s="135"/>
      <c r="X565" s="135"/>
      <c r="Y565" s="77">
        <f t="shared" si="141"/>
        <v>0</v>
      </c>
      <c r="Z565" s="78"/>
      <c r="AA565" s="142"/>
      <c r="AB565" s="142"/>
      <c r="AC565" s="77">
        <f t="shared" si="142"/>
        <v>0</v>
      </c>
      <c r="AD565" s="78"/>
      <c r="AE565" s="143"/>
      <c r="AF565" s="143"/>
      <c r="AG565" s="79">
        <f t="shared" si="143"/>
        <v>0</v>
      </c>
      <c r="AH565" s="75"/>
      <c r="AI565" s="76"/>
      <c r="AJ565" s="135"/>
      <c r="AK565" s="135"/>
      <c r="AL565" s="77">
        <f t="shared" si="144"/>
        <v>0</v>
      </c>
      <c r="AM565" s="76"/>
      <c r="AN565" s="142"/>
      <c r="AO565" s="142"/>
      <c r="AP565" s="77">
        <f t="shared" si="145"/>
        <v>0</v>
      </c>
      <c r="AQ565" s="78"/>
      <c r="AR565" s="142"/>
      <c r="AS565" s="142"/>
      <c r="AT565" s="79">
        <f t="shared" si="146"/>
        <v>0</v>
      </c>
      <c r="AU565" s="75"/>
      <c r="AV565" s="76"/>
      <c r="AW565" s="135"/>
      <c r="AX565" s="135"/>
      <c r="AY565" s="77">
        <f t="shared" si="147"/>
        <v>0</v>
      </c>
      <c r="AZ565" s="76"/>
      <c r="BA565" s="142"/>
      <c r="BB565" s="142"/>
      <c r="BC565" s="77">
        <f t="shared" si="148"/>
        <v>0</v>
      </c>
      <c r="BD565" s="78"/>
      <c r="BE565" s="142"/>
      <c r="BF565" s="142"/>
      <c r="BG565" s="79">
        <f t="shared" si="149"/>
        <v>0</v>
      </c>
      <c r="BH565" s="75"/>
      <c r="BI565" s="76"/>
      <c r="BJ565" s="135"/>
      <c r="BK565" s="135"/>
      <c r="BL565" s="77">
        <f t="shared" si="150"/>
        <v>0</v>
      </c>
      <c r="BM565" s="78"/>
      <c r="BN565" s="142"/>
      <c r="BO565" s="142"/>
      <c r="BP565" s="77">
        <f t="shared" si="151"/>
        <v>0</v>
      </c>
      <c r="BQ565" s="78"/>
      <c r="BR565" s="142"/>
      <c r="BS565" s="142"/>
      <c r="BT565" s="79">
        <f t="shared" si="152"/>
        <v>0</v>
      </c>
      <c r="BU565" s="75"/>
      <c r="BV565" s="76"/>
      <c r="BW565" s="135"/>
      <c r="BX565" s="135"/>
      <c r="BY565" s="77">
        <f t="shared" si="153"/>
        <v>0</v>
      </c>
      <c r="BZ565" s="78"/>
      <c r="CA565" s="142"/>
      <c r="CB565" s="142"/>
      <c r="CC565" s="77">
        <f t="shared" si="154"/>
        <v>0</v>
      </c>
      <c r="CD565" s="78"/>
      <c r="CE565" s="142"/>
      <c r="CF565" s="142"/>
      <c r="CG565" s="79">
        <f t="shared" si="155"/>
        <v>0</v>
      </c>
      <c r="CH565" s="75"/>
      <c r="CI565" s="76"/>
      <c r="CJ565" s="86"/>
      <c r="CK565" s="86"/>
      <c r="CL565" s="77">
        <f t="shared" si="156"/>
        <v>0</v>
      </c>
      <c r="CM565" s="78"/>
      <c r="CN565" s="85"/>
      <c r="CO565" s="85"/>
      <c r="CP565" s="77">
        <f t="shared" si="157"/>
        <v>0</v>
      </c>
      <c r="CQ565" s="78"/>
      <c r="CR565" s="85"/>
      <c r="CS565" s="85"/>
      <c r="CT565" s="79">
        <f t="shared" si="158"/>
        <v>0</v>
      </c>
      <c r="CU565" s="80">
        <f t="shared" si="168"/>
        <v>0</v>
      </c>
      <c r="CV565" s="81">
        <f t="shared" si="169"/>
        <v>0</v>
      </c>
      <c r="CW565" s="144"/>
      <c r="CX565" s="145">
        <f>IF(ISERROR(VLOOKUP($A565,FIJOS!$B$11:$O$590,14,FALSE)),0,VLOOKUP($A565,FIJOS!$B$11:$O$590,14,FALSE))</f>
        <v>0</v>
      </c>
      <c r="CY565" s="145">
        <f>IF(ISERROR(VLOOKUP(A565,FIJOS!$B$10:$P$590,15,FALSE)),0,VLOOKUP(A565,FIJOS!$B$10:$P$590,15,FALSE))</f>
        <v>0</v>
      </c>
      <c r="CZ565" s="155"/>
      <c r="DA565" s="147"/>
      <c r="DB565" s="147"/>
      <c r="DC565" s="147"/>
      <c r="DD565" s="147"/>
      <c r="DE565" s="147"/>
      <c r="DF565" s="145">
        <f>IF(ISERROR(VLOOKUP($A565,FIJOS!$B$11:$N$590,13,FALSE)),0,VLOOKUP($A565,FIJOS!$B$11:$N$590,13,FALSE))</f>
        <v>0</v>
      </c>
      <c r="DG565" s="145">
        <f>IF(ISERROR(VLOOKUP($A565,FIJOS!$B$11:$P$447,12,FALSE)),0,VLOOKUP($A565,FIJOS!$B$11:$P$447,12,FALSE))</f>
        <v>0</v>
      </c>
      <c r="DH565" s="82">
        <f t="shared" si="258"/>
        <v>0</v>
      </c>
      <c r="DI565" s="83" t="b">
        <f>IF($C565=1,(VLOOKUP($A565,FIJOS!$B$11:$P$545,10,FALSE)/7)*(7-$CU565),IF(AND($C565=2,CV565&lt;$DJ$1),(VLOOKUP($D565,HORAS!$B$4:$C$42,2,FALSE)*24)*$CV565,IF(AND($C565=2,CV565&gt;=$DJ$1),VLOOKUP($D565,HORAS!$B$4:$D$42,3,FALSE),IF(AND($C565=3,$CV565&gt;=$DJ$1),VLOOKUP($A565,FIJOS!$B$11:$P$545,10,FALSE),IF(AND($C565=3,$CV565&lt;$DJ$1),((VLOOKUP($A565,FIJOS!$B$11:$P$545,10,FALSE)/48)*24)*$CV565,IF(AND($C565=4,$CV565&gt;=(42/24)),VLOOKUP($D565,HORAS!$B$4:$D$42,3,FALSE),IF(AND($C565=5,$CV565&gt;=(36/24)),VLOOKUP($D565,HORAS!$B$4:$D$42,3,FALSE))))))))</f>
        <v>0</v>
      </c>
      <c r="DJ565" s="145">
        <f>IF(OR($C565=2),VLOOKUP($D565,HORAS!$B$4:$E$42,4,FALSE)*$EC565,IF(ISERROR(VLOOKUP($A565,FIJOS!$B$11:$P$108,9,FALSE)),0,VLOOKUP($A565,FIJOS!$B$11:$P$231,9,FALSE)*$EC565))</f>
        <v>0</v>
      </c>
      <c r="DK565" s="145">
        <f>IF(OR($C565=2),VLOOKUP($D565,HORAS!$B$4:$F$42,5,FALSE)*$EE565,IF(ISERROR(VLOOKUP($A565,FIJOS!$B$11:$P$108,9,FALSE)),0,VLOOKUP($A565,FIJOS!$B$11:$P$231,9,FALSE)*$EE565))</f>
        <v>0</v>
      </c>
      <c r="DL565" s="144"/>
      <c r="DM565" s="145">
        <f>IF(ISERROR(VLOOKUP($A565,FIJOS!$B$11:$L$646,11,FALSE)),0,VLOOKUP($A565,FIJOS!$B$11:$L$646,11,FALSE))</f>
        <v>0</v>
      </c>
      <c r="DN565" s="148" t="e">
        <f>IF(OR($C565=1,$C565=3),0,IF((VLOOKUP(CAPTURA!D565,HORAS!$B$4:$K$42,10,FALSE)/4)*COUNTIF($H565:$CT565,3)&gt;100,100,(VLOOKUP(CAPTURA!D565,HORAS!$B$4:$K$42,10,FALSE)/4)*COUNTIF($H565:$CT565,3)))</f>
        <v>#N/A</v>
      </c>
      <c r="DO565" s="144" t="e">
        <f>IF(OR($C565=1,$C565=3),0,IF($C565=5,VLOOKUP(D565,HORAS!$B$4:$G$42,6,FALSE),IF(AND($C565=4,$CV565&gt;=(42/24)),VLOOKUP(D565,HORAS!$B$4:$G$42,6,FALSE),IF(COUNTIF($H565:$CL565,"F")&gt;0,0,IF(CV565&gt;$DJ$1,$DJ$1*(VLOOKUP(D565,HORAS!$B$4:$G$42,6,FALSE)/$DJ$1),CV565*(VLOOKUP(D565,HORAS!$B$4:$G$42,6,FALSE)/$DJ$1))))))</f>
        <v>#N/A</v>
      </c>
      <c r="DP565" s="156"/>
      <c r="DQ565" s="148"/>
      <c r="DR565" s="148"/>
      <c r="DS565" s="83" t="e">
        <f t="shared" si="162"/>
        <v>#N/A</v>
      </c>
      <c r="DT565" s="84"/>
      <c r="DU565" s="149" t="e">
        <f t="shared" si="259"/>
        <v>#N/A</v>
      </c>
      <c r="DV565" s="149" t="e">
        <f t="shared" si="260"/>
        <v>#N/A</v>
      </c>
      <c r="DW565" s="144" t="e">
        <f t="shared" si="261"/>
        <v>#N/A</v>
      </c>
      <c r="DX565" s="168"/>
      <c r="DY565" s="29"/>
      <c r="DZ565" s="150"/>
      <c r="EA565" s="134"/>
      <c r="EB565" s="137">
        <f t="shared" si="262"/>
        <v>0</v>
      </c>
      <c r="EC565" s="138">
        <f t="shared" si="263"/>
        <v>0</v>
      </c>
      <c r="ED565" s="137">
        <f t="shared" si="264"/>
        <v>0</v>
      </c>
      <c r="EE565" s="132">
        <f t="shared" si="265"/>
        <v>0</v>
      </c>
      <c r="EF565" s="29"/>
      <c r="EG565" s="134"/>
      <c r="EH565" s="134"/>
      <c r="EI565" s="134"/>
      <c r="EK565" s="29"/>
    </row>
    <row r="566" spans="1:141" ht="15" customHeight="1" x14ac:dyDescent="0.25">
      <c r="A566" s="87"/>
      <c r="B566" s="5"/>
      <c r="C566" s="72"/>
      <c r="D566" s="73"/>
      <c r="E566" s="73"/>
      <c r="F566" s="141"/>
      <c r="G566" s="74"/>
      <c r="H566" s="75"/>
      <c r="I566" s="76"/>
      <c r="J566" s="135"/>
      <c r="K566" s="135"/>
      <c r="L566" s="77">
        <f t="shared" si="138"/>
        <v>0</v>
      </c>
      <c r="M566" s="78"/>
      <c r="N566" s="142"/>
      <c r="O566" s="142"/>
      <c r="P566" s="77">
        <f t="shared" si="139"/>
        <v>0</v>
      </c>
      <c r="Q566" s="78"/>
      <c r="R566" s="143"/>
      <c r="S566" s="143"/>
      <c r="T566" s="77">
        <f t="shared" si="140"/>
        <v>0</v>
      </c>
      <c r="U566" s="75"/>
      <c r="V566" s="76"/>
      <c r="W566" s="135"/>
      <c r="X566" s="135"/>
      <c r="Y566" s="77">
        <f t="shared" si="141"/>
        <v>0</v>
      </c>
      <c r="Z566" s="78"/>
      <c r="AA566" s="142"/>
      <c r="AB566" s="142"/>
      <c r="AC566" s="77">
        <f t="shared" si="142"/>
        <v>0</v>
      </c>
      <c r="AD566" s="78"/>
      <c r="AE566" s="143"/>
      <c r="AF566" s="143"/>
      <c r="AG566" s="79">
        <f t="shared" si="143"/>
        <v>0</v>
      </c>
      <c r="AH566" s="75"/>
      <c r="AI566" s="76"/>
      <c r="AJ566" s="135"/>
      <c r="AK566" s="135"/>
      <c r="AL566" s="77">
        <f t="shared" si="144"/>
        <v>0</v>
      </c>
      <c r="AM566" s="76"/>
      <c r="AN566" s="142"/>
      <c r="AO566" s="142"/>
      <c r="AP566" s="77">
        <f t="shared" si="145"/>
        <v>0</v>
      </c>
      <c r="AQ566" s="78"/>
      <c r="AR566" s="142"/>
      <c r="AS566" s="142"/>
      <c r="AT566" s="79">
        <f t="shared" si="146"/>
        <v>0</v>
      </c>
      <c r="AU566" s="75"/>
      <c r="AV566" s="76"/>
      <c r="AW566" s="135"/>
      <c r="AX566" s="135"/>
      <c r="AY566" s="77">
        <f t="shared" si="147"/>
        <v>0</v>
      </c>
      <c r="AZ566" s="76"/>
      <c r="BA566" s="142"/>
      <c r="BB566" s="142"/>
      <c r="BC566" s="77">
        <f t="shared" si="148"/>
        <v>0</v>
      </c>
      <c r="BD566" s="78"/>
      <c r="BE566" s="142"/>
      <c r="BF566" s="142"/>
      <c r="BG566" s="79">
        <f t="shared" si="149"/>
        <v>0</v>
      </c>
      <c r="BH566" s="75"/>
      <c r="BI566" s="76"/>
      <c r="BJ566" s="135"/>
      <c r="BK566" s="135"/>
      <c r="BL566" s="77">
        <f t="shared" si="150"/>
        <v>0</v>
      </c>
      <c r="BM566" s="78"/>
      <c r="BN566" s="142"/>
      <c r="BO566" s="142"/>
      <c r="BP566" s="77">
        <f t="shared" si="151"/>
        <v>0</v>
      </c>
      <c r="BQ566" s="78"/>
      <c r="BR566" s="142"/>
      <c r="BS566" s="142"/>
      <c r="BT566" s="79">
        <f t="shared" si="152"/>
        <v>0</v>
      </c>
      <c r="BU566" s="75"/>
      <c r="BV566" s="76"/>
      <c r="BW566" s="135"/>
      <c r="BX566" s="135"/>
      <c r="BY566" s="77">
        <f t="shared" si="153"/>
        <v>0</v>
      </c>
      <c r="BZ566" s="78"/>
      <c r="CA566" s="142"/>
      <c r="CB566" s="142"/>
      <c r="CC566" s="77">
        <f t="shared" si="154"/>
        <v>0</v>
      </c>
      <c r="CD566" s="78"/>
      <c r="CE566" s="142"/>
      <c r="CF566" s="142"/>
      <c r="CG566" s="79">
        <f t="shared" si="155"/>
        <v>0</v>
      </c>
      <c r="CH566" s="75"/>
      <c r="CI566" s="76"/>
      <c r="CJ566" s="86"/>
      <c r="CK566" s="86"/>
      <c r="CL566" s="77">
        <f t="shared" si="156"/>
        <v>0</v>
      </c>
      <c r="CM566" s="78"/>
      <c r="CN566" s="85"/>
      <c r="CO566" s="85"/>
      <c r="CP566" s="77">
        <f t="shared" si="157"/>
        <v>0</v>
      </c>
      <c r="CQ566" s="78"/>
      <c r="CR566" s="85"/>
      <c r="CS566" s="85"/>
      <c r="CT566" s="79">
        <f t="shared" si="158"/>
        <v>0</v>
      </c>
      <c r="CU566" s="80">
        <f t="shared" si="168"/>
        <v>0</v>
      </c>
      <c r="CV566" s="81">
        <f t="shared" si="169"/>
        <v>0</v>
      </c>
      <c r="CW566" s="144"/>
      <c r="CX566" s="145">
        <f>IF(ISERROR(VLOOKUP($A566,FIJOS!$B$11:$O$590,14,FALSE)),0,VLOOKUP($A566,FIJOS!$B$11:$O$590,14,FALSE))</f>
        <v>0</v>
      </c>
      <c r="CY566" s="145">
        <f>IF(ISERROR(VLOOKUP(A566,FIJOS!$B$10:$P$590,15,FALSE)),0,VLOOKUP(A566,FIJOS!$B$10:$P$590,15,FALSE))</f>
        <v>0</v>
      </c>
      <c r="CZ566" s="155"/>
      <c r="DA566" s="147"/>
      <c r="DB566" s="147"/>
      <c r="DC566" s="147"/>
      <c r="DD566" s="147"/>
      <c r="DE566" s="147"/>
      <c r="DF566" s="145">
        <f>IF(ISERROR(VLOOKUP($A566,FIJOS!$B$11:$N$590,13,FALSE)),0,VLOOKUP($A566,FIJOS!$B$11:$N$590,13,FALSE))</f>
        <v>0</v>
      </c>
      <c r="DG566" s="145">
        <f>IF(ISERROR(VLOOKUP($A566,FIJOS!$B$11:$P$447,12,FALSE)),0,VLOOKUP($A566,FIJOS!$B$11:$P$447,12,FALSE))</f>
        <v>0</v>
      </c>
      <c r="DH566" s="82">
        <f t="shared" si="258"/>
        <v>0</v>
      </c>
      <c r="DI566" s="83" t="b">
        <f>IF($C566=1,(VLOOKUP($A566,FIJOS!$B$11:$P$545,10,FALSE)/7)*(7-$CU566),IF(AND($C566=2,CV566&lt;$DJ$1),(VLOOKUP($D566,HORAS!$B$4:$C$42,2,FALSE)*24)*$CV566,IF(AND($C566=2,CV566&gt;=$DJ$1),VLOOKUP($D566,HORAS!$B$4:$D$42,3,FALSE),IF(AND($C566=3,$CV566&gt;=$DJ$1),VLOOKUP($A566,FIJOS!$B$11:$P$545,10,FALSE),IF(AND($C566=3,$CV566&lt;$DJ$1),((VLOOKUP($A566,FIJOS!$B$11:$P$545,10,FALSE)/48)*24)*$CV566,IF(AND($C566=4,$CV566&gt;=(42/24)),VLOOKUP($D566,HORAS!$B$4:$D$42,3,FALSE),IF(AND($C566=5,$CV566&gt;=(36/24)),VLOOKUP($D566,HORAS!$B$4:$D$42,3,FALSE))))))))</f>
        <v>0</v>
      </c>
      <c r="DJ566" s="145">
        <f>IF(OR($C566=2),VLOOKUP($D566,HORAS!$B$4:$E$42,4,FALSE)*$EC566,IF(ISERROR(VLOOKUP($A566,FIJOS!$B$11:$P$108,9,FALSE)),0,VLOOKUP($A566,FIJOS!$B$11:$P$231,9,FALSE)*$EC566))</f>
        <v>0</v>
      </c>
      <c r="DK566" s="145">
        <f>IF(OR($C566=2),VLOOKUP($D566,HORAS!$B$4:$F$42,5,FALSE)*$EE566,IF(ISERROR(VLOOKUP($A566,FIJOS!$B$11:$P$108,9,FALSE)),0,VLOOKUP($A566,FIJOS!$B$11:$P$231,9,FALSE)*$EE566))</f>
        <v>0</v>
      </c>
      <c r="DL566" s="144"/>
      <c r="DM566" s="145">
        <f>IF(ISERROR(VLOOKUP($A566,FIJOS!$B$11:$L$646,11,FALSE)),0,VLOOKUP($A566,FIJOS!$B$11:$L$646,11,FALSE))</f>
        <v>0</v>
      </c>
      <c r="DN566" s="148" t="e">
        <f>IF(OR($C566=1,$C566=3),0,IF((VLOOKUP(CAPTURA!D566,HORAS!$B$4:$K$42,10,FALSE)/4)*COUNTIF($H566:$CT566,3)&gt;100,100,(VLOOKUP(CAPTURA!D566,HORAS!$B$4:$K$42,10,FALSE)/4)*COUNTIF($H566:$CT566,3)))</f>
        <v>#N/A</v>
      </c>
      <c r="DO566" s="144" t="e">
        <f>IF(OR($C566=1,$C566=3),0,IF($C566=5,VLOOKUP(D566,HORAS!$B$4:$G$42,6,FALSE),IF(AND($C566=4,$CV566&gt;=(42/24)),VLOOKUP(D566,HORAS!$B$4:$G$42,6,FALSE),IF(COUNTIF($H566:$CL566,"F")&gt;0,0,IF(CV566&gt;$DJ$1,$DJ$1*(VLOOKUP(D566,HORAS!$B$4:$G$42,6,FALSE)/$DJ$1),CV566*(VLOOKUP(D566,HORAS!$B$4:$G$42,6,FALSE)/$DJ$1))))))</f>
        <v>#N/A</v>
      </c>
      <c r="DP566" s="156"/>
      <c r="DQ566" s="148"/>
      <c r="DR566" s="148"/>
      <c r="DS566" s="83" t="e">
        <f t="shared" si="162"/>
        <v>#N/A</v>
      </c>
      <c r="DT566" s="84"/>
      <c r="DU566" s="149" t="e">
        <f t="shared" si="259"/>
        <v>#N/A</v>
      </c>
      <c r="DV566" s="149" t="e">
        <f t="shared" si="260"/>
        <v>#N/A</v>
      </c>
      <c r="DW566" s="144" t="e">
        <f t="shared" si="261"/>
        <v>#N/A</v>
      </c>
      <c r="DX566" s="168"/>
      <c r="DY566" s="29"/>
      <c r="DZ566" s="150"/>
      <c r="EA566" s="134"/>
      <c r="EB566" s="137">
        <f t="shared" si="262"/>
        <v>0</v>
      </c>
      <c r="EC566" s="138">
        <f t="shared" si="263"/>
        <v>0</v>
      </c>
      <c r="ED566" s="137">
        <f t="shared" si="264"/>
        <v>0</v>
      </c>
      <c r="EE566" s="132">
        <f t="shared" si="265"/>
        <v>0</v>
      </c>
      <c r="EF566" s="29"/>
      <c r="EG566" s="134"/>
      <c r="EH566" s="134"/>
      <c r="EI566" s="134"/>
      <c r="EK566" s="29"/>
    </row>
    <row r="567" spans="1:141" ht="15" customHeight="1" x14ac:dyDescent="0.25">
      <c r="A567" s="87"/>
      <c r="B567" s="5"/>
      <c r="C567" s="72"/>
      <c r="D567" s="73"/>
      <c r="E567" s="73"/>
      <c r="F567" s="141"/>
      <c r="G567" s="74"/>
      <c r="H567" s="75"/>
      <c r="I567" s="76"/>
      <c r="J567" s="135"/>
      <c r="K567" s="135"/>
      <c r="L567" s="77">
        <f t="shared" si="138"/>
        <v>0</v>
      </c>
      <c r="M567" s="78"/>
      <c r="N567" s="142"/>
      <c r="O567" s="142"/>
      <c r="P567" s="77">
        <f t="shared" si="139"/>
        <v>0</v>
      </c>
      <c r="Q567" s="78"/>
      <c r="R567" s="143"/>
      <c r="S567" s="143"/>
      <c r="T567" s="77">
        <f t="shared" si="140"/>
        <v>0</v>
      </c>
      <c r="U567" s="75"/>
      <c r="V567" s="76"/>
      <c r="W567" s="135"/>
      <c r="X567" s="135"/>
      <c r="Y567" s="77">
        <f t="shared" si="141"/>
        <v>0</v>
      </c>
      <c r="Z567" s="78"/>
      <c r="AA567" s="142"/>
      <c r="AB567" s="142"/>
      <c r="AC567" s="77">
        <f t="shared" si="142"/>
        <v>0</v>
      </c>
      <c r="AD567" s="78"/>
      <c r="AE567" s="143"/>
      <c r="AF567" s="143"/>
      <c r="AG567" s="79">
        <f t="shared" si="143"/>
        <v>0</v>
      </c>
      <c r="AH567" s="75"/>
      <c r="AI567" s="76"/>
      <c r="AJ567" s="135"/>
      <c r="AK567" s="135"/>
      <c r="AL567" s="77">
        <f t="shared" si="144"/>
        <v>0</v>
      </c>
      <c r="AM567" s="76"/>
      <c r="AN567" s="142"/>
      <c r="AO567" s="142"/>
      <c r="AP567" s="77">
        <f t="shared" si="145"/>
        <v>0</v>
      </c>
      <c r="AQ567" s="78"/>
      <c r="AR567" s="142"/>
      <c r="AS567" s="142"/>
      <c r="AT567" s="79">
        <f t="shared" si="146"/>
        <v>0</v>
      </c>
      <c r="AU567" s="75"/>
      <c r="AV567" s="76"/>
      <c r="AW567" s="135"/>
      <c r="AX567" s="135"/>
      <c r="AY567" s="77">
        <f t="shared" si="147"/>
        <v>0</v>
      </c>
      <c r="AZ567" s="76"/>
      <c r="BA567" s="142"/>
      <c r="BB567" s="142"/>
      <c r="BC567" s="77">
        <f t="shared" si="148"/>
        <v>0</v>
      </c>
      <c r="BD567" s="78"/>
      <c r="BE567" s="142"/>
      <c r="BF567" s="142"/>
      <c r="BG567" s="79">
        <f t="shared" si="149"/>
        <v>0</v>
      </c>
      <c r="BH567" s="75"/>
      <c r="BI567" s="76"/>
      <c r="BJ567" s="135"/>
      <c r="BK567" s="135"/>
      <c r="BL567" s="77">
        <f t="shared" si="150"/>
        <v>0</v>
      </c>
      <c r="BM567" s="78"/>
      <c r="BN567" s="142"/>
      <c r="BO567" s="142"/>
      <c r="BP567" s="77">
        <f t="shared" si="151"/>
        <v>0</v>
      </c>
      <c r="BQ567" s="78"/>
      <c r="BR567" s="142"/>
      <c r="BS567" s="142"/>
      <c r="BT567" s="79">
        <f t="shared" si="152"/>
        <v>0</v>
      </c>
      <c r="BU567" s="75"/>
      <c r="BV567" s="76"/>
      <c r="BW567" s="135"/>
      <c r="BX567" s="135"/>
      <c r="BY567" s="77">
        <f t="shared" si="153"/>
        <v>0</v>
      </c>
      <c r="BZ567" s="78"/>
      <c r="CA567" s="142"/>
      <c r="CB567" s="142"/>
      <c r="CC567" s="77">
        <f t="shared" si="154"/>
        <v>0</v>
      </c>
      <c r="CD567" s="78"/>
      <c r="CE567" s="142"/>
      <c r="CF567" s="142"/>
      <c r="CG567" s="79">
        <f t="shared" si="155"/>
        <v>0</v>
      </c>
      <c r="CH567" s="75"/>
      <c r="CI567" s="76"/>
      <c r="CJ567" s="86"/>
      <c r="CK567" s="86"/>
      <c r="CL567" s="77">
        <f t="shared" si="156"/>
        <v>0</v>
      </c>
      <c r="CM567" s="78"/>
      <c r="CN567" s="85"/>
      <c r="CO567" s="85"/>
      <c r="CP567" s="77">
        <f t="shared" si="157"/>
        <v>0</v>
      </c>
      <c r="CQ567" s="78"/>
      <c r="CR567" s="85"/>
      <c r="CS567" s="85"/>
      <c r="CT567" s="79">
        <f t="shared" si="158"/>
        <v>0</v>
      </c>
      <c r="CU567" s="80">
        <f t="shared" si="168"/>
        <v>0</v>
      </c>
      <c r="CV567" s="81">
        <f t="shared" si="169"/>
        <v>0</v>
      </c>
      <c r="CW567" s="144"/>
      <c r="CX567" s="145">
        <f>IF(ISERROR(VLOOKUP($A567,FIJOS!$B$11:$O$590,14,FALSE)),0,VLOOKUP($A567,FIJOS!$B$11:$O$590,14,FALSE))</f>
        <v>0</v>
      </c>
      <c r="CY567" s="145">
        <f>IF(ISERROR(VLOOKUP(A567,FIJOS!$B$10:$P$590,15,FALSE)),0,VLOOKUP(A567,FIJOS!$B$10:$P$590,15,FALSE))</f>
        <v>0</v>
      </c>
      <c r="CZ567" s="155"/>
      <c r="DA567" s="147"/>
      <c r="DB567" s="147"/>
      <c r="DC567" s="147"/>
      <c r="DD567" s="147"/>
      <c r="DE567" s="147"/>
      <c r="DF567" s="145">
        <f>IF(ISERROR(VLOOKUP($A567,FIJOS!$B$11:$N$590,13,FALSE)),0,VLOOKUP($A567,FIJOS!$B$11:$N$590,13,FALSE))</f>
        <v>0</v>
      </c>
      <c r="DG567" s="145">
        <f>IF(ISERROR(VLOOKUP($A567,FIJOS!$B$11:$P$447,12,FALSE)),0,VLOOKUP($A567,FIJOS!$B$11:$P$447,12,FALSE))</f>
        <v>0</v>
      </c>
      <c r="DH567" s="82">
        <f t="shared" si="258"/>
        <v>0</v>
      </c>
      <c r="DI567" s="83" t="b">
        <f>IF($C567=1,(VLOOKUP($A567,FIJOS!$B$11:$P$545,10,FALSE)/7)*(7-$CU567),IF(AND($C567=2,CV567&lt;$DJ$1),(VLOOKUP($D567,HORAS!$B$4:$C$42,2,FALSE)*24)*$CV567,IF(AND($C567=2,CV567&gt;=$DJ$1),VLOOKUP($D567,HORAS!$B$4:$D$42,3,FALSE),IF(AND($C567=3,$CV567&gt;=$DJ$1),VLOOKUP($A567,FIJOS!$B$11:$P$545,10,FALSE),IF(AND($C567=3,$CV567&lt;$DJ$1),((VLOOKUP($A567,FIJOS!$B$11:$P$545,10,FALSE)/48)*24)*$CV567,IF(AND($C567=4,$CV567&gt;=(42/24)),VLOOKUP($D567,HORAS!$B$4:$D$42,3,FALSE),IF(AND($C567=5,$CV567&gt;=(36/24)),VLOOKUP($D567,HORAS!$B$4:$D$42,3,FALSE))))))))</f>
        <v>0</v>
      </c>
      <c r="DJ567" s="145">
        <f>IF(OR($C567=2),VLOOKUP($D567,HORAS!$B$4:$E$42,4,FALSE)*$EC567,IF(ISERROR(VLOOKUP($A567,FIJOS!$B$11:$P$108,9,FALSE)),0,VLOOKUP($A567,FIJOS!$B$11:$P$231,9,FALSE)*$EC567))</f>
        <v>0</v>
      </c>
      <c r="DK567" s="145">
        <f>IF(OR($C567=2),VLOOKUP($D567,HORAS!$B$4:$F$42,5,FALSE)*$EE567,IF(ISERROR(VLOOKUP($A567,FIJOS!$B$11:$P$108,9,FALSE)),0,VLOOKUP($A567,FIJOS!$B$11:$P$231,9,FALSE)*$EE567))</f>
        <v>0</v>
      </c>
      <c r="DL567" s="144"/>
      <c r="DM567" s="145">
        <f>IF(ISERROR(VLOOKUP($A567,FIJOS!$B$11:$L$646,11,FALSE)),0,VLOOKUP($A567,FIJOS!$B$11:$L$646,11,FALSE))</f>
        <v>0</v>
      </c>
      <c r="DN567" s="148" t="e">
        <f>IF(OR($C567=1,$C567=3),0,IF((VLOOKUP(CAPTURA!D567,HORAS!$B$4:$K$42,10,FALSE)/4)*COUNTIF($H567:$CT567,3)&gt;100,100,(VLOOKUP(CAPTURA!D567,HORAS!$B$4:$K$42,10,FALSE)/4)*COUNTIF($H567:$CT567,3)))</f>
        <v>#N/A</v>
      </c>
      <c r="DO567" s="144" t="e">
        <f>IF(OR($C567=1,$C567=3),0,IF($C567=5,VLOOKUP(D567,HORAS!$B$4:$G$42,6,FALSE),IF(AND($C567=4,$CV567&gt;=(42/24)),VLOOKUP(D567,HORAS!$B$4:$G$42,6,FALSE),IF(COUNTIF($H567:$CL567,"F")&gt;0,0,IF(CV567&gt;$DJ$1,$DJ$1*(VLOOKUP(D567,HORAS!$B$4:$G$42,6,FALSE)/$DJ$1),CV567*(VLOOKUP(D567,HORAS!$B$4:$G$42,6,FALSE)/$DJ$1))))))</f>
        <v>#N/A</v>
      </c>
      <c r="DP567" s="156"/>
      <c r="DQ567" s="148"/>
      <c r="DR567" s="148"/>
      <c r="DS567" s="83" t="e">
        <f t="shared" si="162"/>
        <v>#N/A</v>
      </c>
      <c r="DT567" s="84"/>
      <c r="DU567" s="149" t="e">
        <f t="shared" si="259"/>
        <v>#N/A</v>
      </c>
      <c r="DV567" s="149" t="e">
        <f t="shared" si="260"/>
        <v>#N/A</v>
      </c>
      <c r="DW567" s="144" t="e">
        <f t="shared" si="261"/>
        <v>#N/A</v>
      </c>
      <c r="DX567" s="168"/>
      <c r="DY567" s="29"/>
      <c r="DZ567" s="150"/>
      <c r="EA567" s="134"/>
      <c r="EB567" s="137">
        <f t="shared" si="262"/>
        <v>0</v>
      </c>
      <c r="EC567" s="138">
        <f t="shared" si="263"/>
        <v>0</v>
      </c>
      <c r="ED567" s="137">
        <f t="shared" si="264"/>
        <v>0</v>
      </c>
      <c r="EE567" s="132">
        <f t="shared" si="265"/>
        <v>0</v>
      </c>
      <c r="EF567" s="29"/>
      <c r="EG567" s="134"/>
      <c r="EH567" s="134"/>
      <c r="EI567" s="134"/>
      <c r="EK567" s="29"/>
    </row>
    <row r="568" spans="1:141" ht="15" customHeight="1" x14ac:dyDescent="0.25">
      <c r="A568" s="87"/>
      <c r="B568" s="5"/>
      <c r="C568" s="72"/>
      <c r="D568" s="73"/>
      <c r="E568" s="73"/>
      <c r="F568" s="141"/>
      <c r="G568" s="74"/>
      <c r="H568" s="75"/>
      <c r="I568" s="76"/>
      <c r="J568" s="135"/>
      <c r="K568" s="135"/>
      <c r="L568" s="77">
        <f t="shared" si="138"/>
        <v>0</v>
      </c>
      <c r="M568" s="78"/>
      <c r="N568" s="142"/>
      <c r="O568" s="142"/>
      <c r="P568" s="77">
        <f t="shared" si="139"/>
        <v>0</v>
      </c>
      <c r="Q568" s="78"/>
      <c r="R568" s="143"/>
      <c r="S568" s="143"/>
      <c r="T568" s="77">
        <f t="shared" si="140"/>
        <v>0</v>
      </c>
      <c r="U568" s="75"/>
      <c r="V568" s="76"/>
      <c r="W568" s="135"/>
      <c r="X568" s="135"/>
      <c r="Y568" s="77">
        <f t="shared" si="141"/>
        <v>0</v>
      </c>
      <c r="Z568" s="78"/>
      <c r="AA568" s="142"/>
      <c r="AB568" s="142"/>
      <c r="AC568" s="77">
        <f t="shared" si="142"/>
        <v>0</v>
      </c>
      <c r="AD568" s="78"/>
      <c r="AE568" s="143"/>
      <c r="AF568" s="143"/>
      <c r="AG568" s="79">
        <f t="shared" si="143"/>
        <v>0</v>
      </c>
      <c r="AH568" s="75"/>
      <c r="AI568" s="76"/>
      <c r="AJ568" s="135"/>
      <c r="AK568" s="135"/>
      <c r="AL568" s="77">
        <f t="shared" si="144"/>
        <v>0</v>
      </c>
      <c r="AM568" s="76"/>
      <c r="AN568" s="142"/>
      <c r="AO568" s="142"/>
      <c r="AP568" s="77">
        <f t="shared" si="145"/>
        <v>0</v>
      </c>
      <c r="AQ568" s="78"/>
      <c r="AR568" s="142"/>
      <c r="AS568" s="142"/>
      <c r="AT568" s="79">
        <f t="shared" si="146"/>
        <v>0</v>
      </c>
      <c r="AU568" s="75"/>
      <c r="AV568" s="76"/>
      <c r="AW568" s="135"/>
      <c r="AX568" s="135"/>
      <c r="AY568" s="77">
        <f t="shared" si="147"/>
        <v>0</v>
      </c>
      <c r="AZ568" s="76"/>
      <c r="BA568" s="142"/>
      <c r="BB568" s="142"/>
      <c r="BC568" s="77">
        <f t="shared" si="148"/>
        <v>0</v>
      </c>
      <c r="BD568" s="78"/>
      <c r="BE568" s="142"/>
      <c r="BF568" s="142"/>
      <c r="BG568" s="79">
        <f t="shared" si="149"/>
        <v>0</v>
      </c>
      <c r="BH568" s="75"/>
      <c r="BI568" s="76"/>
      <c r="BJ568" s="135"/>
      <c r="BK568" s="135"/>
      <c r="BL568" s="77">
        <f t="shared" si="150"/>
        <v>0</v>
      </c>
      <c r="BM568" s="78"/>
      <c r="BN568" s="142"/>
      <c r="BO568" s="142"/>
      <c r="BP568" s="77">
        <f t="shared" si="151"/>
        <v>0</v>
      </c>
      <c r="BQ568" s="78"/>
      <c r="BR568" s="142"/>
      <c r="BS568" s="142"/>
      <c r="BT568" s="79">
        <f t="shared" si="152"/>
        <v>0</v>
      </c>
      <c r="BU568" s="75"/>
      <c r="BV568" s="76"/>
      <c r="BW568" s="135"/>
      <c r="BX568" s="135"/>
      <c r="BY568" s="77">
        <f t="shared" si="153"/>
        <v>0</v>
      </c>
      <c r="BZ568" s="78"/>
      <c r="CA568" s="142"/>
      <c r="CB568" s="142"/>
      <c r="CC568" s="77">
        <f t="shared" si="154"/>
        <v>0</v>
      </c>
      <c r="CD568" s="78"/>
      <c r="CE568" s="142"/>
      <c r="CF568" s="142"/>
      <c r="CG568" s="79">
        <f t="shared" si="155"/>
        <v>0</v>
      </c>
      <c r="CH568" s="75"/>
      <c r="CI568" s="76"/>
      <c r="CJ568" s="86"/>
      <c r="CK568" s="86"/>
      <c r="CL568" s="77">
        <f t="shared" si="156"/>
        <v>0</v>
      </c>
      <c r="CM568" s="78"/>
      <c r="CN568" s="85"/>
      <c r="CO568" s="85"/>
      <c r="CP568" s="77">
        <f t="shared" si="157"/>
        <v>0</v>
      </c>
      <c r="CQ568" s="78"/>
      <c r="CR568" s="85"/>
      <c r="CS568" s="85"/>
      <c r="CT568" s="79">
        <f t="shared" si="158"/>
        <v>0</v>
      </c>
      <c r="CU568" s="80">
        <f t="shared" si="168"/>
        <v>0</v>
      </c>
      <c r="CV568" s="81">
        <f t="shared" si="169"/>
        <v>0</v>
      </c>
      <c r="CW568" s="144"/>
      <c r="CX568" s="145">
        <f>IF(ISERROR(VLOOKUP($A568,FIJOS!$B$11:$O$590,14,FALSE)),0,VLOOKUP($A568,FIJOS!$B$11:$O$590,14,FALSE))</f>
        <v>0</v>
      </c>
      <c r="CY568" s="145">
        <f>IF(ISERROR(VLOOKUP(A568,FIJOS!$B$10:$P$590,15,FALSE)),0,VLOOKUP(A568,FIJOS!$B$10:$P$590,15,FALSE))</f>
        <v>0</v>
      </c>
      <c r="CZ568" s="155"/>
      <c r="DA568" s="147"/>
      <c r="DB568" s="147"/>
      <c r="DC568" s="147"/>
      <c r="DD568" s="147"/>
      <c r="DE568" s="147"/>
      <c r="DF568" s="145">
        <f>IF(ISERROR(VLOOKUP($A568,FIJOS!$B$11:$N$590,13,FALSE)),0,VLOOKUP($A568,FIJOS!$B$11:$N$590,13,FALSE))</f>
        <v>0</v>
      </c>
      <c r="DG568" s="145">
        <f>IF(ISERROR(VLOOKUP($A568,FIJOS!$B$11:$P$447,12,FALSE)),0,VLOOKUP($A568,FIJOS!$B$11:$P$447,12,FALSE))</f>
        <v>0</v>
      </c>
      <c r="DH568" s="82">
        <f t="shared" si="258"/>
        <v>0</v>
      </c>
      <c r="DI568" s="83" t="b">
        <f>IF($C568=1,(VLOOKUP($A568,FIJOS!$B$11:$P$545,10,FALSE)/7)*(7-$CU568),IF(AND($C568=2,CV568&lt;$DJ$1),(VLOOKUP($D568,HORAS!$B$4:$C$42,2,FALSE)*24)*$CV568,IF(AND($C568=2,CV568&gt;=$DJ$1),VLOOKUP($D568,HORAS!$B$4:$D$42,3,FALSE),IF(AND($C568=3,$CV568&gt;=$DJ$1),VLOOKUP($A568,FIJOS!$B$11:$P$545,10,FALSE),IF(AND($C568=3,$CV568&lt;$DJ$1),((VLOOKUP($A568,FIJOS!$B$11:$P$545,10,FALSE)/48)*24)*$CV568,IF(AND($C568=4,$CV568&gt;=(42/24)),VLOOKUP($D568,HORAS!$B$4:$D$42,3,FALSE),IF(AND($C568=5,$CV568&gt;=(36/24)),VLOOKUP($D568,HORAS!$B$4:$D$42,3,FALSE))))))))</f>
        <v>0</v>
      </c>
      <c r="DJ568" s="145">
        <f>IF(OR($C568=2),VLOOKUP($D568,HORAS!$B$4:$E$42,4,FALSE)*$EC568,IF(ISERROR(VLOOKUP($A568,FIJOS!$B$11:$P$108,9,FALSE)),0,VLOOKUP($A568,FIJOS!$B$11:$P$231,9,FALSE)*$EC568))</f>
        <v>0</v>
      </c>
      <c r="DK568" s="145">
        <f>IF(OR($C568=2),VLOOKUP($D568,HORAS!$B$4:$F$42,5,FALSE)*$EE568,IF(ISERROR(VLOOKUP($A568,FIJOS!$B$11:$P$108,9,FALSE)),0,VLOOKUP($A568,FIJOS!$B$11:$P$231,9,FALSE)*$EE568))</f>
        <v>0</v>
      </c>
      <c r="DL568" s="144"/>
      <c r="DM568" s="145">
        <f>IF(ISERROR(VLOOKUP($A568,FIJOS!$B$11:$L$646,11,FALSE)),0,VLOOKUP($A568,FIJOS!$B$11:$L$646,11,FALSE))</f>
        <v>0</v>
      </c>
      <c r="DN568" s="148" t="e">
        <f>IF(OR($C568=1,$C568=3),0,IF((VLOOKUP(CAPTURA!D568,HORAS!$B$4:$K$42,10,FALSE)/4)*COUNTIF($H568:$CT568,3)&gt;100,100,(VLOOKUP(CAPTURA!D568,HORAS!$B$4:$K$42,10,FALSE)/4)*COUNTIF($H568:$CT568,3)))</f>
        <v>#N/A</v>
      </c>
      <c r="DO568" s="144" t="e">
        <f>IF(OR($C568=1,$C568=3),0,IF($C568=5,VLOOKUP(D568,HORAS!$B$4:$G$42,6,FALSE),IF(AND($C568=4,$CV568&gt;=(42/24)),VLOOKUP(D568,HORAS!$B$4:$G$42,6,FALSE),IF(COUNTIF($H568:$CL568,"F")&gt;0,0,IF(CV568&gt;$DJ$1,$DJ$1*(VLOOKUP(D568,HORAS!$B$4:$G$42,6,FALSE)/$DJ$1),CV568*(VLOOKUP(D568,HORAS!$B$4:$G$42,6,FALSE)/$DJ$1))))))</f>
        <v>#N/A</v>
      </c>
      <c r="DP568" s="156"/>
      <c r="DQ568" s="148"/>
      <c r="DR568" s="148"/>
      <c r="DS568" s="83" t="e">
        <f t="shared" si="162"/>
        <v>#N/A</v>
      </c>
      <c r="DT568" s="84"/>
      <c r="DU568" s="149" t="e">
        <f t="shared" si="259"/>
        <v>#N/A</v>
      </c>
      <c r="DV568" s="149" t="e">
        <f t="shared" si="260"/>
        <v>#N/A</v>
      </c>
      <c r="DW568" s="144" t="e">
        <f t="shared" si="261"/>
        <v>#N/A</v>
      </c>
      <c r="DX568" s="168"/>
      <c r="DY568" s="29"/>
      <c r="DZ568" s="150"/>
      <c r="EA568" s="134"/>
      <c r="EB568" s="137">
        <f t="shared" si="262"/>
        <v>0</v>
      </c>
      <c r="EC568" s="138">
        <f t="shared" si="263"/>
        <v>0</v>
      </c>
      <c r="ED568" s="137">
        <f t="shared" si="264"/>
        <v>0</v>
      </c>
      <c r="EE568" s="132">
        <f t="shared" si="265"/>
        <v>0</v>
      </c>
      <c r="EF568" s="29"/>
      <c r="EG568" s="134"/>
      <c r="EH568" s="134"/>
      <c r="EI568" s="134"/>
      <c r="EK568" s="29"/>
    </row>
    <row r="569" spans="1:141" ht="15" customHeight="1" x14ac:dyDescent="0.25">
      <c r="A569" s="87"/>
      <c r="B569" s="5"/>
      <c r="C569" s="72"/>
      <c r="D569" s="73"/>
      <c r="E569" s="73"/>
      <c r="F569" s="141"/>
      <c r="G569" s="74"/>
      <c r="H569" s="75"/>
      <c r="I569" s="76"/>
      <c r="J569" s="135"/>
      <c r="K569" s="135"/>
      <c r="L569" s="77">
        <f t="shared" ref="L569:L632" si="266">IF((K569-J569)&gt;=0,(K569-J569),$A$1+(K569-J569))</f>
        <v>0</v>
      </c>
      <c r="M569" s="78"/>
      <c r="N569" s="142"/>
      <c r="O569" s="142"/>
      <c r="P569" s="77">
        <f t="shared" ref="P569:P632" si="267">IF((O569-N569)&gt;=0,(O569-N569),$A$1+(O569-N569))</f>
        <v>0</v>
      </c>
      <c r="Q569" s="78"/>
      <c r="R569" s="143"/>
      <c r="S569" s="143"/>
      <c r="T569" s="77">
        <f t="shared" ref="T569:T632" si="268">IF((S569-R569)&gt;=0,(S569-R569),$A$1+(S569-R569))</f>
        <v>0</v>
      </c>
      <c r="U569" s="75"/>
      <c r="V569" s="76"/>
      <c r="W569" s="135"/>
      <c r="X569" s="135"/>
      <c r="Y569" s="77">
        <f t="shared" ref="Y569:Y632" si="269">IF((X569-W569)&gt;=0,(X569-W569),$A$1+(X569-W569))</f>
        <v>0</v>
      </c>
      <c r="Z569" s="78"/>
      <c r="AA569" s="142"/>
      <c r="AB569" s="142"/>
      <c r="AC569" s="77">
        <f t="shared" ref="AC569:AC632" si="270">IF((AB569-AA569)&gt;=0,(AB569-AA569),$A$1+(AB569-AA569))</f>
        <v>0</v>
      </c>
      <c r="AD569" s="78"/>
      <c r="AE569" s="143"/>
      <c r="AF569" s="143"/>
      <c r="AG569" s="79">
        <f t="shared" ref="AG569:AG632" si="271">IF((AF569-AE569)&gt;=0,(AF569-AE569),$A$1+(AF569-AE569))</f>
        <v>0</v>
      </c>
      <c r="AH569" s="75"/>
      <c r="AI569" s="76"/>
      <c r="AJ569" s="135"/>
      <c r="AK569" s="135"/>
      <c r="AL569" s="77">
        <f t="shared" ref="AL569:AL632" si="272">IF((AK569-AJ569)&gt;=0,(AK569-AJ569),$A$1+(AK569-AJ569))</f>
        <v>0</v>
      </c>
      <c r="AM569" s="76"/>
      <c r="AN569" s="142"/>
      <c r="AO569" s="142"/>
      <c r="AP569" s="77">
        <f t="shared" ref="AP569:AP632" si="273">IF((AO569-AN569)&gt;=0,(AO569-AN569),$A$1+(AO569-AN569))</f>
        <v>0</v>
      </c>
      <c r="AQ569" s="78"/>
      <c r="AR569" s="142"/>
      <c r="AS569" s="142"/>
      <c r="AT569" s="79">
        <f t="shared" ref="AT569:AT632" si="274">IF((AS569-AR569)&gt;=0,(AS569-AR569),$A$1+(AS569-AR569))</f>
        <v>0</v>
      </c>
      <c r="AU569" s="75"/>
      <c r="AV569" s="76"/>
      <c r="AW569" s="135"/>
      <c r="AX569" s="135"/>
      <c r="AY569" s="77">
        <f t="shared" ref="AY569:AY632" si="275">IF((AX569-AW569)&gt;=0,(AX569-AW569),$A$1+(AX569-AW569))</f>
        <v>0</v>
      </c>
      <c r="AZ569" s="76"/>
      <c r="BA569" s="142"/>
      <c r="BB569" s="142"/>
      <c r="BC569" s="77">
        <f t="shared" ref="BC569:BC632" si="276">IF((BB569-BA569)&gt;=0,(BB569-BA569),$A$1+(BB569-BA569))</f>
        <v>0</v>
      </c>
      <c r="BD569" s="78"/>
      <c r="BE569" s="142"/>
      <c r="BF569" s="142"/>
      <c r="BG569" s="79">
        <f t="shared" ref="BG569:BG632" si="277">IF((BF569-BE569)&gt;=0,(BF569-BE569),$A$1+(BF569-BE569))</f>
        <v>0</v>
      </c>
      <c r="BH569" s="75"/>
      <c r="BI569" s="76"/>
      <c r="BJ569" s="135"/>
      <c r="BK569" s="135"/>
      <c r="BL569" s="77">
        <f t="shared" ref="BL569:BL632" si="278">IF((BK569-BJ569)&gt;=0,(BK569-BJ569),$A$1+(BK569-BJ569))</f>
        <v>0</v>
      </c>
      <c r="BM569" s="78"/>
      <c r="BN569" s="142"/>
      <c r="BO569" s="142"/>
      <c r="BP569" s="77">
        <f t="shared" ref="BP569:BP632" si="279">IF((BO569-BN569)&gt;=0,(BO569-BN569),$A$1+(BO569-BN569))</f>
        <v>0</v>
      </c>
      <c r="BQ569" s="78"/>
      <c r="BR569" s="142"/>
      <c r="BS569" s="142"/>
      <c r="BT569" s="79">
        <f t="shared" ref="BT569:BT632" si="280">IF((BS569-BR569)&gt;=0,(BS569-BR569),$A$1+(BS569-BR569))</f>
        <v>0</v>
      </c>
      <c r="BU569" s="75"/>
      <c r="BV569" s="76"/>
      <c r="BW569" s="135"/>
      <c r="BX569" s="135"/>
      <c r="BY569" s="77">
        <f t="shared" ref="BY569:BY632" si="281">IF((BX569-BW569)&gt;=0,(BX569-BW569),$A$1+(BX569-BW569))</f>
        <v>0</v>
      </c>
      <c r="BZ569" s="78"/>
      <c r="CA569" s="142"/>
      <c r="CB569" s="142"/>
      <c r="CC569" s="77">
        <f t="shared" ref="CC569:CC632" si="282">IF((CB569-CA569)&gt;=0,(CB569-CA569),$A$1+(CB569-CA569))</f>
        <v>0</v>
      </c>
      <c r="CD569" s="78"/>
      <c r="CE569" s="142"/>
      <c r="CF569" s="142"/>
      <c r="CG569" s="79">
        <f t="shared" ref="CG569:CG632" si="283">IF((CF569-CE569)&gt;=0,(CF569-CE569),$A$1+(CF569-CE569))</f>
        <v>0</v>
      </c>
      <c r="CH569" s="75"/>
      <c r="CI569" s="76"/>
      <c r="CJ569" s="86"/>
      <c r="CK569" s="86"/>
      <c r="CL569" s="77">
        <f t="shared" ref="CL569:CL632" si="284">IF((CK569-CJ569)&gt;=0,(CK569-CJ569),$A$1+(CK569-CJ569))</f>
        <v>0</v>
      </c>
      <c r="CM569" s="78"/>
      <c r="CN569" s="85"/>
      <c r="CO569" s="85"/>
      <c r="CP569" s="77">
        <f t="shared" ref="CP569:CP632" si="285">IF((CO569-CN569)&gt;=0,(CO569-CN569),$A$1+(CO569-CN569))</f>
        <v>0</v>
      </c>
      <c r="CQ569" s="78"/>
      <c r="CR569" s="85"/>
      <c r="CS569" s="85"/>
      <c r="CT569" s="79">
        <f t="shared" ref="CT569:CT632" si="286">IF((CS569-CR569)&gt;=0,(CS569-CR569),$A$1+(CS569-CR569))</f>
        <v>0</v>
      </c>
      <c r="CU569" s="80">
        <f t="shared" si="168"/>
        <v>0</v>
      </c>
      <c r="CV569" s="81">
        <f t="shared" si="169"/>
        <v>0</v>
      </c>
      <c r="CW569" s="144"/>
      <c r="CX569" s="145">
        <f>IF(ISERROR(VLOOKUP($A569,FIJOS!$B$11:$O$590,14,FALSE)),0,VLOOKUP($A569,FIJOS!$B$11:$O$590,14,FALSE))</f>
        <v>0</v>
      </c>
      <c r="CY569" s="145">
        <f>IF(ISERROR(VLOOKUP(A569,FIJOS!$B$10:$P$590,15,FALSE)),0,VLOOKUP(A569,FIJOS!$B$10:$P$590,15,FALSE))</f>
        <v>0</v>
      </c>
      <c r="CZ569" s="155"/>
      <c r="DA569" s="147"/>
      <c r="DB569" s="147"/>
      <c r="DC569" s="147"/>
      <c r="DD569" s="147"/>
      <c r="DE569" s="147"/>
      <c r="DF569" s="145">
        <f>IF(ISERROR(VLOOKUP($A569,FIJOS!$B$11:$N$590,13,FALSE)),0,VLOOKUP($A569,FIJOS!$B$11:$N$590,13,FALSE))</f>
        <v>0</v>
      </c>
      <c r="DG569" s="145">
        <f>IF(ISERROR(VLOOKUP($A569,FIJOS!$B$11:$P$447,12,FALSE)),0,VLOOKUP($A569,FIJOS!$B$11:$P$447,12,FALSE))</f>
        <v>0</v>
      </c>
      <c r="DH569" s="82">
        <f t="shared" si="258"/>
        <v>0</v>
      </c>
      <c r="DI569" s="83" t="b">
        <f>IF($C569=1,(VLOOKUP($A569,FIJOS!$B$11:$P$545,10,FALSE)/7)*(7-$CU569),IF(AND($C569=2,CV569&lt;$DJ$1),(VLOOKUP($D569,HORAS!$B$4:$C$42,2,FALSE)*24)*$CV569,IF(AND($C569=2,CV569&gt;=$DJ$1),VLOOKUP($D569,HORAS!$B$4:$D$42,3,FALSE),IF(AND($C569=3,$CV569&gt;=$DJ$1),VLOOKUP($A569,FIJOS!$B$11:$P$545,10,FALSE),IF(AND($C569=3,$CV569&lt;$DJ$1),((VLOOKUP($A569,FIJOS!$B$11:$P$545,10,FALSE)/48)*24)*$CV569,IF(AND($C569=4,$CV569&gt;=(42/24)),VLOOKUP($D569,HORAS!$B$4:$D$42,3,FALSE),IF(AND($C569=5,$CV569&gt;=(36/24)),VLOOKUP($D569,HORAS!$B$4:$D$42,3,FALSE))))))))</f>
        <v>0</v>
      </c>
      <c r="DJ569" s="145">
        <f>IF(OR($C569=2),VLOOKUP($D569,HORAS!$B$4:$E$42,4,FALSE)*$EC569,IF(ISERROR(VLOOKUP($A569,FIJOS!$B$11:$P$108,9,FALSE)),0,VLOOKUP($A569,FIJOS!$B$11:$P$231,9,FALSE)*$EC569))</f>
        <v>0</v>
      </c>
      <c r="DK569" s="145">
        <f>IF(OR($C569=2),VLOOKUP($D569,HORAS!$B$4:$F$42,5,FALSE)*$EE569,IF(ISERROR(VLOOKUP($A569,FIJOS!$B$11:$P$108,9,FALSE)),0,VLOOKUP($A569,FIJOS!$B$11:$P$231,9,FALSE)*$EE569))</f>
        <v>0</v>
      </c>
      <c r="DL569" s="144"/>
      <c r="DM569" s="145">
        <f>IF(ISERROR(VLOOKUP($A569,FIJOS!$B$11:$L$646,11,FALSE)),0,VLOOKUP($A569,FIJOS!$B$11:$L$646,11,FALSE))</f>
        <v>0</v>
      </c>
      <c r="DN569" s="148" t="e">
        <f>IF(OR($C569=1,$C569=3),0,IF((VLOOKUP(CAPTURA!D569,HORAS!$B$4:$K$42,10,FALSE)/4)*COUNTIF($H569:$CT569,3)&gt;100,100,(VLOOKUP(CAPTURA!D569,HORAS!$B$4:$K$42,10,FALSE)/4)*COUNTIF($H569:$CT569,3)))</f>
        <v>#N/A</v>
      </c>
      <c r="DO569" s="144" t="e">
        <f>IF(OR($C569=1,$C569=3),0,IF($C569=5,VLOOKUP(D569,HORAS!$B$4:$G$42,6,FALSE),IF(AND($C569=4,$CV569&gt;=(42/24)),VLOOKUP(D569,HORAS!$B$4:$G$42,6,FALSE),IF(COUNTIF($H569:$CL569,"F")&gt;0,0,IF(CV569&gt;$DJ$1,$DJ$1*(VLOOKUP(D569,HORAS!$B$4:$G$42,6,FALSE)/$DJ$1),CV569*(VLOOKUP(D569,HORAS!$B$4:$G$42,6,FALSE)/$DJ$1))))))</f>
        <v>#N/A</v>
      </c>
      <c r="DP569" s="156"/>
      <c r="DQ569" s="148"/>
      <c r="DR569" s="148"/>
      <c r="DS569" s="83" t="e">
        <f t="shared" si="162"/>
        <v>#N/A</v>
      </c>
      <c r="DT569" s="84"/>
      <c r="DU569" s="149" t="e">
        <f t="shared" si="259"/>
        <v>#N/A</v>
      </c>
      <c r="DV569" s="149" t="e">
        <f t="shared" si="260"/>
        <v>#N/A</v>
      </c>
      <c r="DW569" s="144" t="e">
        <f t="shared" si="261"/>
        <v>#N/A</v>
      </c>
      <c r="DX569" s="168"/>
      <c r="DY569" s="29"/>
      <c r="DZ569" s="150"/>
      <c r="EA569" s="134"/>
      <c r="EB569" s="137">
        <f t="shared" si="262"/>
        <v>0</v>
      </c>
      <c r="EC569" s="138">
        <f t="shared" si="263"/>
        <v>0</v>
      </c>
      <c r="ED569" s="137">
        <f t="shared" si="264"/>
        <v>0</v>
      </c>
      <c r="EE569" s="132">
        <f t="shared" si="265"/>
        <v>0</v>
      </c>
      <c r="EF569" s="29"/>
      <c r="EG569" s="134"/>
      <c r="EH569" s="134"/>
      <c r="EI569" s="134"/>
      <c r="EK569" s="29"/>
    </row>
    <row r="570" spans="1:141" ht="15" customHeight="1" x14ac:dyDescent="0.25">
      <c r="A570" s="87"/>
      <c r="B570" s="5"/>
      <c r="C570" s="72"/>
      <c r="D570" s="73"/>
      <c r="E570" s="73"/>
      <c r="F570" s="141"/>
      <c r="G570" s="74"/>
      <c r="H570" s="75"/>
      <c r="I570" s="76"/>
      <c r="J570" s="135"/>
      <c r="K570" s="135"/>
      <c r="L570" s="77">
        <f t="shared" si="266"/>
        <v>0</v>
      </c>
      <c r="M570" s="78"/>
      <c r="N570" s="142"/>
      <c r="O570" s="142"/>
      <c r="P570" s="77">
        <f t="shared" si="267"/>
        <v>0</v>
      </c>
      <c r="Q570" s="78"/>
      <c r="R570" s="143"/>
      <c r="S570" s="143"/>
      <c r="T570" s="77">
        <f t="shared" si="268"/>
        <v>0</v>
      </c>
      <c r="U570" s="75"/>
      <c r="V570" s="76"/>
      <c r="W570" s="135"/>
      <c r="X570" s="135"/>
      <c r="Y570" s="77">
        <f t="shared" si="269"/>
        <v>0</v>
      </c>
      <c r="Z570" s="78"/>
      <c r="AA570" s="142"/>
      <c r="AB570" s="142"/>
      <c r="AC570" s="77">
        <f t="shared" si="270"/>
        <v>0</v>
      </c>
      <c r="AD570" s="78"/>
      <c r="AE570" s="143"/>
      <c r="AF570" s="143"/>
      <c r="AG570" s="79">
        <f t="shared" si="271"/>
        <v>0</v>
      </c>
      <c r="AH570" s="75"/>
      <c r="AI570" s="76"/>
      <c r="AJ570" s="135"/>
      <c r="AK570" s="135"/>
      <c r="AL570" s="77">
        <f t="shared" si="272"/>
        <v>0</v>
      </c>
      <c r="AM570" s="76"/>
      <c r="AN570" s="142"/>
      <c r="AO570" s="142"/>
      <c r="AP570" s="77">
        <f t="shared" si="273"/>
        <v>0</v>
      </c>
      <c r="AQ570" s="78"/>
      <c r="AR570" s="142"/>
      <c r="AS570" s="142"/>
      <c r="AT570" s="79">
        <f t="shared" si="274"/>
        <v>0</v>
      </c>
      <c r="AU570" s="75"/>
      <c r="AV570" s="76"/>
      <c r="AW570" s="135"/>
      <c r="AX570" s="135"/>
      <c r="AY570" s="77">
        <f t="shared" si="275"/>
        <v>0</v>
      </c>
      <c r="AZ570" s="76"/>
      <c r="BA570" s="142"/>
      <c r="BB570" s="142"/>
      <c r="BC570" s="77">
        <f t="shared" si="276"/>
        <v>0</v>
      </c>
      <c r="BD570" s="78"/>
      <c r="BE570" s="142"/>
      <c r="BF570" s="142"/>
      <c r="BG570" s="79">
        <f t="shared" si="277"/>
        <v>0</v>
      </c>
      <c r="BH570" s="75"/>
      <c r="BI570" s="76"/>
      <c r="BJ570" s="135"/>
      <c r="BK570" s="135"/>
      <c r="BL570" s="77">
        <f t="shared" si="278"/>
        <v>0</v>
      </c>
      <c r="BM570" s="78"/>
      <c r="BN570" s="142"/>
      <c r="BO570" s="142"/>
      <c r="BP570" s="77">
        <f t="shared" si="279"/>
        <v>0</v>
      </c>
      <c r="BQ570" s="78"/>
      <c r="BR570" s="142"/>
      <c r="BS570" s="142"/>
      <c r="BT570" s="79">
        <f t="shared" si="280"/>
        <v>0</v>
      </c>
      <c r="BU570" s="75"/>
      <c r="BV570" s="76"/>
      <c r="BW570" s="135"/>
      <c r="BX570" s="135"/>
      <c r="BY570" s="77">
        <f t="shared" si="281"/>
        <v>0</v>
      </c>
      <c r="BZ570" s="78"/>
      <c r="CA570" s="142"/>
      <c r="CB570" s="142"/>
      <c r="CC570" s="77">
        <f t="shared" si="282"/>
        <v>0</v>
      </c>
      <c r="CD570" s="78"/>
      <c r="CE570" s="142"/>
      <c r="CF570" s="142"/>
      <c r="CG570" s="79">
        <f t="shared" si="283"/>
        <v>0</v>
      </c>
      <c r="CH570" s="75"/>
      <c r="CI570" s="76"/>
      <c r="CJ570" s="86"/>
      <c r="CK570" s="86"/>
      <c r="CL570" s="77">
        <f t="shared" si="284"/>
        <v>0</v>
      </c>
      <c r="CM570" s="78"/>
      <c r="CN570" s="85"/>
      <c r="CO570" s="85"/>
      <c r="CP570" s="77">
        <f t="shared" si="285"/>
        <v>0</v>
      </c>
      <c r="CQ570" s="78"/>
      <c r="CR570" s="85"/>
      <c r="CS570" s="85"/>
      <c r="CT570" s="79">
        <f t="shared" si="286"/>
        <v>0</v>
      </c>
      <c r="CU570" s="80">
        <f t="shared" si="168"/>
        <v>0</v>
      </c>
      <c r="CV570" s="81">
        <f t="shared" si="169"/>
        <v>0</v>
      </c>
      <c r="CW570" s="144"/>
      <c r="CX570" s="145">
        <f>IF(ISERROR(VLOOKUP($A570,FIJOS!$B$11:$O$590,14,FALSE)),0,VLOOKUP($A570,FIJOS!$B$11:$O$590,14,FALSE))</f>
        <v>0</v>
      </c>
      <c r="CY570" s="145">
        <f>IF(ISERROR(VLOOKUP(A570,FIJOS!$B$10:$P$590,15,FALSE)),0,VLOOKUP(A570,FIJOS!$B$10:$P$590,15,FALSE))</f>
        <v>0</v>
      </c>
      <c r="CZ570" s="155"/>
      <c r="DA570" s="147"/>
      <c r="DB570" s="147"/>
      <c r="DC570" s="147"/>
      <c r="DD570" s="147"/>
      <c r="DE570" s="147"/>
      <c r="DF570" s="145">
        <f>IF(ISERROR(VLOOKUP($A570,FIJOS!$B$11:$N$590,13,FALSE)),0,VLOOKUP($A570,FIJOS!$B$11:$N$590,13,FALSE))</f>
        <v>0</v>
      </c>
      <c r="DG570" s="145">
        <f>IF(ISERROR(VLOOKUP($A570,FIJOS!$B$11:$P$447,12,FALSE)),0,VLOOKUP($A570,FIJOS!$B$11:$P$447,12,FALSE))</f>
        <v>0</v>
      </c>
      <c r="DH570" s="82">
        <f t="shared" si="258"/>
        <v>0</v>
      </c>
      <c r="DI570" s="83" t="b">
        <f>IF($C570=1,(VLOOKUP($A570,FIJOS!$B$11:$P$545,10,FALSE)/7)*(7-$CU570),IF(AND($C570=2,CV570&lt;$DJ$1),(VLOOKUP($D570,HORAS!$B$4:$C$42,2,FALSE)*24)*$CV570,IF(AND($C570=2,CV570&gt;=$DJ$1),VLOOKUP($D570,HORAS!$B$4:$D$42,3,FALSE),IF(AND($C570=3,$CV570&gt;=$DJ$1),VLOOKUP($A570,FIJOS!$B$11:$P$545,10,FALSE),IF(AND($C570=3,$CV570&lt;$DJ$1),((VLOOKUP($A570,FIJOS!$B$11:$P$545,10,FALSE)/48)*24)*$CV570,IF(AND($C570=4,$CV570&gt;=(42/24)),VLOOKUP($D570,HORAS!$B$4:$D$42,3,FALSE),IF(AND($C570=5,$CV570&gt;=(36/24)),VLOOKUP($D570,HORAS!$B$4:$D$42,3,FALSE))))))))</f>
        <v>0</v>
      </c>
      <c r="DJ570" s="145">
        <f>IF(OR($C570=2),VLOOKUP($D570,HORAS!$B$4:$E$42,4,FALSE)*$EC570,IF(ISERROR(VLOOKUP($A570,FIJOS!$B$11:$P$108,9,FALSE)),0,VLOOKUP($A570,FIJOS!$B$11:$P$231,9,FALSE)*$EC570))</f>
        <v>0</v>
      </c>
      <c r="DK570" s="145">
        <f>IF(OR($C570=2),VLOOKUP($D570,HORAS!$B$4:$F$42,5,FALSE)*$EE570,IF(ISERROR(VLOOKUP($A570,FIJOS!$B$11:$P$108,9,FALSE)),0,VLOOKUP($A570,FIJOS!$B$11:$P$231,9,FALSE)*$EE570))</f>
        <v>0</v>
      </c>
      <c r="DL570" s="144"/>
      <c r="DM570" s="145">
        <f>IF(ISERROR(VLOOKUP($A570,FIJOS!$B$11:$L$646,11,FALSE)),0,VLOOKUP($A570,FIJOS!$B$11:$L$646,11,FALSE))</f>
        <v>0</v>
      </c>
      <c r="DN570" s="148" t="e">
        <f>IF(OR($C570=1,$C570=3),0,IF((VLOOKUP(CAPTURA!D570,HORAS!$B$4:$K$42,10,FALSE)/4)*COUNTIF($H570:$CT570,3)&gt;100,100,(VLOOKUP(CAPTURA!D570,HORAS!$B$4:$K$42,10,FALSE)/4)*COUNTIF($H570:$CT570,3)))</f>
        <v>#N/A</v>
      </c>
      <c r="DO570" s="144" t="e">
        <f>IF(OR($C570=1,$C570=3),0,IF($C570=5,VLOOKUP(D570,HORAS!$B$4:$G$42,6,FALSE),IF(AND($C570=4,$CV570&gt;=(42/24)),VLOOKUP(D570,HORAS!$B$4:$G$42,6,FALSE),IF(COUNTIF($H570:$CL570,"F")&gt;0,0,IF(CV570&gt;$DJ$1,$DJ$1*(VLOOKUP(D570,HORAS!$B$4:$G$42,6,FALSE)/$DJ$1),CV570*(VLOOKUP(D570,HORAS!$B$4:$G$42,6,FALSE)/$DJ$1))))))</f>
        <v>#N/A</v>
      </c>
      <c r="DP570" s="156"/>
      <c r="DQ570" s="148"/>
      <c r="DR570" s="148"/>
      <c r="DS570" s="83" t="e">
        <f t="shared" ref="DS570:DS633" si="287">SUM(DI570:DR570)</f>
        <v>#N/A</v>
      </c>
      <c r="DT570" s="84"/>
      <c r="DU570" s="149" t="e">
        <f t="shared" si="259"/>
        <v>#N/A</v>
      </c>
      <c r="DV570" s="149" t="e">
        <f t="shared" si="260"/>
        <v>#N/A</v>
      </c>
      <c r="DW570" s="144" t="e">
        <f t="shared" si="261"/>
        <v>#N/A</v>
      </c>
      <c r="DX570" s="168"/>
      <c r="DY570" s="29"/>
      <c r="DZ570" s="150"/>
      <c r="EA570" s="134"/>
      <c r="EB570" s="137">
        <f t="shared" si="262"/>
        <v>0</v>
      </c>
      <c r="EC570" s="138">
        <f t="shared" si="263"/>
        <v>0</v>
      </c>
      <c r="ED570" s="137">
        <f t="shared" si="264"/>
        <v>0</v>
      </c>
      <c r="EE570" s="132">
        <f t="shared" si="265"/>
        <v>0</v>
      </c>
      <c r="EF570" s="29"/>
      <c r="EG570" s="134"/>
      <c r="EH570" s="134"/>
      <c r="EI570" s="134"/>
      <c r="EK570" s="29"/>
    </row>
    <row r="571" spans="1:141" ht="15" customHeight="1" x14ac:dyDescent="0.25">
      <c r="A571" s="87"/>
      <c r="B571" s="5"/>
      <c r="C571" s="72"/>
      <c r="D571" s="73"/>
      <c r="E571" s="73"/>
      <c r="F571" s="141"/>
      <c r="G571" s="74"/>
      <c r="H571" s="75"/>
      <c r="I571" s="76"/>
      <c r="J571" s="135"/>
      <c r="K571" s="135"/>
      <c r="L571" s="77">
        <f t="shared" si="266"/>
        <v>0</v>
      </c>
      <c r="M571" s="78"/>
      <c r="N571" s="142"/>
      <c r="O571" s="142"/>
      <c r="P571" s="77">
        <f t="shared" si="267"/>
        <v>0</v>
      </c>
      <c r="Q571" s="78"/>
      <c r="R571" s="143"/>
      <c r="S571" s="143"/>
      <c r="T571" s="77">
        <f t="shared" si="268"/>
        <v>0</v>
      </c>
      <c r="U571" s="75"/>
      <c r="V571" s="76"/>
      <c r="W571" s="135"/>
      <c r="X571" s="135"/>
      <c r="Y571" s="77">
        <f t="shared" si="269"/>
        <v>0</v>
      </c>
      <c r="Z571" s="78"/>
      <c r="AA571" s="142"/>
      <c r="AB571" s="142"/>
      <c r="AC571" s="77">
        <f t="shared" si="270"/>
        <v>0</v>
      </c>
      <c r="AD571" s="78"/>
      <c r="AE571" s="143"/>
      <c r="AF571" s="143"/>
      <c r="AG571" s="79">
        <f t="shared" si="271"/>
        <v>0</v>
      </c>
      <c r="AH571" s="75"/>
      <c r="AI571" s="76"/>
      <c r="AJ571" s="135"/>
      <c r="AK571" s="135"/>
      <c r="AL571" s="77">
        <f t="shared" si="272"/>
        <v>0</v>
      </c>
      <c r="AM571" s="76"/>
      <c r="AN571" s="142"/>
      <c r="AO571" s="142"/>
      <c r="AP571" s="77">
        <f t="shared" si="273"/>
        <v>0</v>
      </c>
      <c r="AQ571" s="78"/>
      <c r="AR571" s="142"/>
      <c r="AS571" s="142"/>
      <c r="AT571" s="79">
        <f t="shared" si="274"/>
        <v>0</v>
      </c>
      <c r="AU571" s="75"/>
      <c r="AV571" s="76"/>
      <c r="AW571" s="135"/>
      <c r="AX571" s="135"/>
      <c r="AY571" s="77">
        <f t="shared" si="275"/>
        <v>0</v>
      </c>
      <c r="AZ571" s="76"/>
      <c r="BA571" s="142"/>
      <c r="BB571" s="142"/>
      <c r="BC571" s="77">
        <f t="shared" si="276"/>
        <v>0</v>
      </c>
      <c r="BD571" s="78"/>
      <c r="BE571" s="142"/>
      <c r="BF571" s="142"/>
      <c r="BG571" s="79">
        <f t="shared" si="277"/>
        <v>0</v>
      </c>
      <c r="BH571" s="75"/>
      <c r="BI571" s="76"/>
      <c r="BJ571" s="135"/>
      <c r="BK571" s="135"/>
      <c r="BL571" s="77">
        <f t="shared" si="278"/>
        <v>0</v>
      </c>
      <c r="BM571" s="78"/>
      <c r="BN571" s="142"/>
      <c r="BO571" s="142"/>
      <c r="BP571" s="77">
        <f t="shared" si="279"/>
        <v>0</v>
      </c>
      <c r="BQ571" s="78"/>
      <c r="BR571" s="142"/>
      <c r="BS571" s="142"/>
      <c r="BT571" s="79">
        <f t="shared" si="280"/>
        <v>0</v>
      </c>
      <c r="BU571" s="75"/>
      <c r="BV571" s="76"/>
      <c r="BW571" s="135"/>
      <c r="BX571" s="135"/>
      <c r="BY571" s="77">
        <f t="shared" si="281"/>
        <v>0</v>
      </c>
      <c r="BZ571" s="78"/>
      <c r="CA571" s="142"/>
      <c r="CB571" s="142"/>
      <c r="CC571" s="77">
        <f t="shared" si="282"/>
        <v>0</v>
      </c>
      <c r="CD571" s="78"/>
      <c r="CE571" s="142"/>
      <c r="CF571" s="142"/>
      <c r="CG571" s="79">
        <f t="shared" si="283"/>
        <v>0</v>
      </c>
      <c r="CH571" s="75"/>
      <c r="CI571" s="76"/>
      <c r="CJ571" s="86"/>
      <c r="CK571" s="86"/>
      <c r="CL571" s="77">
        <f t="shared" si="284"/>
        <v>0</v>
      </c>
      <c r="CM571" s="78"/>
      <c r="CN571" s="85"/>
      <c r="CO571" s="85"/>
      <c r="CP571" s="77">
        <f t="shared" si="285"/>
        <v>0</v>
      </c>
      <c r="CQ571" s="78"/>
      <c r="CR571" s="85"/>
      <c r="CS571" s="85"/>
      <c r="CT571" s="79">
        <f t="shared" si="286"/>
        <v>0</v>
      </c>
      <c r="CU571" s="80">
        <f t="shared" si="168"/>
        <v>0</v>
      </c>
      <c r="CV571" s="81">
        <f t="shared" si="169"/>
        <v>0</v>
      </c>
      <c r="CW571" s="144"/>
      <c r="CX571" s="145">
        <f>IF(ISERROR(VLOOKUP($A571,FIJOS!$B$11:$O$590,14,FALSE)),0,VLOOKUP($A571,FIJOS!$B$11:$O$590,14,FALSE))</f>
        <v>0</v>
      </c>
      <c r="CY571" s="145">
        <f>IF(ISERROR(VLOOKUP(A571,FIJOS!$B$10:$P$590,15,FALSE)),0,VLOOKUP(A571,FIJOS!$B$10:$P$590,15,FALSE))</f>
        <v>0</v>
      </c>
      <c r="CZ571" s="155"/>
      <c r="DA571" s="147"/>
      <c r="DB571" s="147"/>
      <c r="DC571" s="147"/>
      <c r="DD571" s="147"/>
      <c r="DE571" s="147"/>
      <c r="DF571" s="145">
        <f>IF(ISERROR(VLOOKUP($A571,FIJOS!$B$11:$N$590,13,FALSE)),0,VLOOKUP($A571,FIJOS!$B$11:$N$590,13,FALSE))</f>
        <v>0</v>
      </c>
      <c r="DG571" s="145">
        <f>IF(ISERROR(VLOOKUP($A571,FIJOS!$B$11:$P$447,12,FALSE)),0,VLOOKUP($A571,FIJOS!$B$11:$P$447,12,FALSE))</f>
        <v>0</v>
      </c>
      <c r="DH571" s="82">
        <f t="shared" si="258"/>
        <v>0</v>
      </c>
      <c r="DI571" s="83" t="b">
        <f>IF($C571=1,(VLOOKUP($A571,FIJOS!$B$11:$P$545,10,FALSE)/7)*(7-$CU571),IF(AND($C571=2,CV571&lt;$DJ$1),(VLOOKUP($D571,HORAS!$B$4:$C$42,2,FALSE)*24)*$CV571,IF(AND($C571=2,CV571&gt;=$DJ$1),VLOOKUP($D571,HORAS!$B$4:$D$42,3,FALSE),IF(AND($C571=3,$CV571&gt;=$DJ$1),VLOOKUP($A571,FIJOS!$B$11:$P$545,10,FALSE),IF(AND($C571=3,$CV571&lt;$DJ$1),((VLOOKUP($A571,FIJOS!$B$11:$P$545,10,FALSE)/48)*24)*$CV571,IF(AND($C571=4,$CV571&gt;=(42/24)),VLOOKUP($D571,HORAS!$B$4:$D$42,3,FALSE),IF(AND($C571=5,$CV571&gt;=(36/24)),VLOOKUP($D571,HORAS!$B$4:$D$42,3,FALSE))))))))</f>
        <v>0</v>
      </c>
      <c r="DJ571" s="145">
        <f>IF(OR($C571=2),VLOOKUP($D571,HORAS!$B$4:$E$42,4,FALSE)*$EC571,IF(ISERROR(VLOOKUP($A571,FIJOS!$B$11:$P$108,9,FALSE)),0,VLOOKUP($A571,FIJOS!$B$11:$P$231,9,FALSE)*$EC571))</f>
        <v>0</v>
      </c>
      <c r="DK571" s="145">
        <f>IF(OR($C571=2),VLOOKUP($D571,HORAS!$B$4:$F$42,5,FALSE)*$EE571,IF(ISERROR(VLOOKUP($A571,FIJOS!$B$11:$P$108,9,FALSE)),0,VLOOKUP($A571,FIJOS!$B$11:$P$231,9,FALSE)*$EE571))</f>
        <v>0</v>
      </c>
      <c r="DL571" s="144"/>
      <c r="DM571" s="145">
        <f>IF(ISERROR(VLOOKUP($A571,FIJOS!$B$11:$L$646,11,FALSE)),0,VLOOKUP($A571,FIJOS!$B$11:$L$646,11,FALSE))</f>
        <v>0</v>
      </c>
      <c r="DN571" s="148" t="e">
        <f>IF(OR($C571=1,$C571=3),0,IF((VLOOKUP(CAPTURA!D571,HORAS!$B$4:$K$42,10,FALSE)/4)*COUNTIF($H571:$CT571,3)&gt;100,100,(VLOOKUP(CAPTURA!D571,HORAS!$B$4:$K$42,10,FALSE)/4)*COUNTIF($H571:$CT571,3)))</f>
        <v>#N/A</v>
      </c>
      <c r="DO571" s="144" t="e">
        <f>IF(OR($C571=1,$C571=3),0,IF($C571=5,VLOOKUP(D571,HORAS!$B$4:$G$42,6,FALSE),IF(AND($C571=4,$CV571&gt;=(42/24)),VLOOKUP(D571,HORAS!$B$4:$G$42,6,FALSE),IF(COUNTIF($H571:$CL571,"F")&gt;0,0,IF(CV571&gt;$DJ$1,$DJ$1*(VLOOKUP(D571,HORAS!$B$4:$G$42,6,FALSE)/$DJ$1),CV571*(VLOOKUP(D571,HORAS!$B$4:$G$42,6,FALSE)/$DJ$1))))))</f>
        <v>#N/A</v>
      </c>
      <c r="DP571" s="156"/>
      <c r="DQ571" s="148"/>
      <c r="DR571" s="148"/>
      <c r="DS571" s="83" t="e">
        <f t="shared" si="287"/>
        <v>#N/A</v>
      </c>
      <c r="DT571" s="84"/>
      <c r="DU571" s="149" t="e">
        <f t="shared" si="259"/>
        <v>#N/A</v>
      </c>
      <c r="DV571" s="149" t="e">
        <f t="shared" si="260"/>
        <v>#N/A</v>
      </c>
      <c r="DW571" s="144" t="e">
        <f t="shared" si="261"/>
        <v>#N/A</v>
      </c>
      <c r="DX571" s="168"/>
      <c r="DY571" s="29"/>
      <c r="DZ571" s="150"/>
      <c r="EA571" s="134"/>
      <c r="EB571" s="137">
        <f t="shared" si="262"/>
        <v>0</v>
      </c>
      <c r="EC571" s="138">
        <f t="shared" si="263"/>
        <v>0</v>
      </c>
      <c r="ED571" s="137">
        <f t="shared" si="264"/>
        <v>0</v>
      </c>
      <c r="EE571" s="132">
        <f t="shared" si="265"/>
        <v>0</v>
      </c>
      <c r="EF571" s="29"/>
      <c r="EG571" s="134"/>
      <c r="EH571" s="134"/>
      <c r="EI571" s="134"/>
      <c r="EK571" s="29"/>
    </row>
    <row r="572" spans="1:141" ht="15" customHeight="1" x14ac:dyDescent="0.25">
      <c r="A572" s="87"/>
      <c r="B572" s="5"/>
      <c r="C572" s="72"/>
      <c r="D572" s="73"/>
      <c r="E572" s="73"/>
      <c r="F572" s="141"/>
      <c r="G572" s="74"/>
      <c r="H572" s="75"/>
      <c r="I572" s="76"/>
      <c r="J572" s="135"/>
      <c r="K572" s="135"/>
      <c r="L572" s="77">
        <f t="shared" si="266"/>
        <v>0</v>
      </c>
      <c r="M572" s="78"/>
      <c r="N572" s="142"/>
      <c r="O572" s="142"/>
      <c r="P572" s="77">
        <f t="shared" si="267"/>
        <v>0</v>
      </c>
      <c r="Q572" s="78"/>
      <c r="R572" s="143"/>
      <c r="S572" s="143"/>
      <c r="T572" s="77">
        <f t="shared" si="268"/>
        <v>0</v>
      </c>
      <c r="U572" s="75"/>
      <c r="V572" s="76"/>
      <c r="W572" s="135"/>
      <c r="X572" s="135"/>
      <c r="Y572" s="77">
        <f t="shared" si="269"/>
        <v>0</v>
      </c>
      <c r="Z572" s="78"/>
      <c r="AA572" s="142"/>
      <c r="AB572" s="142"/>
      <c r="AC572" s="77">
        <f t="shared" si="270"/>
        <v>0</v>
      </c>
      <c r="AD572" s="78"/>
      <c r="AE572" s="143"/>
      <c r="AF572" s="143"/>
      <c r="AG572" s="79">
        <f t="shared" si="271"/>
        <v>0</v>
      </c>
      <c r="AH572" s="75"/>
      <c r="AI572" s="76"/>
      <c r="AJ572" s="135"/>
      <c r="AK572" s="135"/>
      <c r="AL572" s="77">
        <f t="shared" si="272"/>
        <v>0</v>
      </c>
      <c r="AM572" s="76"/>
      <c r="AN572" s="142"/>
      <c r="AO572" s="142"/>
      <c r="AP572" s="77">
        <f t="shared" si="273"/>
        <v>0</v>
      </c>
      <c r="AQ572" s="78"/>
      <c r="AR572" s="142"/>
      <c r="AS572" s="142"/>
      <c r="AT572" s="79">
        <f t="shared" si="274"/>
        <v>0</v>
      </c>
      <c r="AU572" s="75"/>
      <c r="AV572" s="76"/>
      <c r="AW572" s="135"/>
      <c r="AX572" s="135"/>
      <c r="AY572" s="77">
        <f t="shared" si="275"/>
        <v>0</v>
      </c>
      <c r="AZ572" s="76"/>
      <c r="BA572" s="142"/>
      <c r="BB572" s="142"/>
      <c r="BC572" s="77">
        <f t="shared" si="276"/>
        <v>0</v>
      </c>
      <c r="BD572" s="78"/>
      <c r="BE572" s="142"/>
      <c r="BF572" s="142"/>
      <c r="BG572" s="79">
        <f t="shared" si="277"/>
        <v>0</v>
      </c>
      <c r="BH572" s="75"/>
      <c r="BI572" s="76"/>
      <c r="BJ572" s="135"/>
      <c r="BK572" s="135"/>
      <c r="BL572" s="77">
        <f t="shared" si="278"/>
        <v>0</v>
      </c>
      <c r="BM572" s="78"/>
      <c r="BN572" s="142"/>
      <c r="BO572" s="142"/>
      <c r="BP572" s="77">
        <f t="shared" si="279"/>
        <v>0</v>
      </c>
      <c r="BQ572" s="78"/>
      <c r="BR572" s="142"/>
      <c r="BS572" s="142"/>
      <c r="BT572" s="79">
        <f t="shared" si="280"/>
        <v>0</v>
      </c>
      <c r="BU572" s="75"/>
      <c r="BV572" s="76"/>
      <c r="BW572" s="135"/>
      <c r="BX572" s="135"/>
      <c r="BY572" s="77">
        <f t="shared" si="281"/>
        <v>0</v>
      </c>
      <c r="BZ572" s="78"/>
      <c r="CA572" s="142"/>
      <c r="CB572" s="142"/>
      <c r="CC572" s="77">
        <f t="shared" si="282"/>
        <v>0</v>
      </c>
      <c r="CD572" s="78"/>
      <c r="CE572" s="142"/>
      <c r="CF572" s="142"/>
      <c r="CG572" s="79">
        <f t="shared" si="283"/>
        <v>0</v>
      </c>
      <c r="CH572" s="75"/>
      <c r="CI572" s="76"/>
      <c r="CJ572" s="86"/>
      <c r="CK572" s="86"/>
      <c r="CL572" s="77">
        <f t="shared" si="284"/>
        <v>0</v>
      </c>
      <c r="CM572" s="78"/>
      <c r="CN572" s="85"/>
      <c r="CO572" s="85"/>
      <c r="CP572" s="77">
        <f t="shared" si="285"/>
        <v>0</v>
      </c>
      <c r="CQ572" s="78"/>
      <c r="CR572" s="85"/>
      <c r="CS572" s="85"/>
      <c r="CT572" s="79">
        <f t="shared" si="286"/>
        <v>0</v>
      </c>
      <c r="CU572" s="80">
        <f t="shared" si="168"/>
        <v>0</v>
      </c>
      <c r="CV572" s="81">
        <f t="shared" si="169"/>
        <v>0</v>
      </c>
      <c r="CW572" s="144"/>
      <c r="CX572" s="145">
        <f>IF(ISERROR(VLOOKUP($A572,FIJOS!$B$11:$O$590,14,FALSE)),0,VLOOKUP($A572,FIJOS!$B$11:$O$590,14,FALSE))</f>
        <v>0</v>
      </c>
      <c r="CY572" s="145">
        <f>IF(ISERROR(VLOOKUP(A572,FIJOS!$B$10:$P$590,15,FALSE)),0,VLOOKUP(A572,FIJOS!$B$10:$P$590,15,FALSE))</f>
        <v>0</v>
      </c>
      <c r="CZ572" s="155"/>
      <c r="DA572" s="147"/>
      <c r="DB572" s="147"/>
      <c r="DC572" s="147"/>
      <c r="DD572" s="147"/>
      <c r="DE572" s="147"/>
      <c r="DF572" s="145">
        <f>IF(ISERROR(VLOOKUP($A572,FIJOS!$B$11:$N$590,13,FALSE)),0,VLOOKUP($A572,FIJOS!$B$11:$N$590,13,FALSE))</f>
        <v>0</v>
      </c>
      <c r="DG572" s="145">
        <f>IF(ISERROR(VLOOKUP($A572,FIJOS!$B$11:$P$447,12,FALSE)),0,VLOOKUP($A572,FIJOS!$B$11:$P$447,12,FALSE))</f>
        <v>0</v>
      </c>
      <c r="DH572" s="82">
        <f t="shared" si="258"/>
        <v>0</v>
      </c>
      <c r="DI572" s="83" t="b">
        <f>IF($C572=1,(VLOOKUP($A572,FIJOS!$B$11:$P$545,10,FALSE)/7)*(7-$CU572),IF(AND($C572=2,CV572&lt;$DJ$1),(VLOOKUP($D572,HORAS!$B$4:$C$42,2,FALSE)*24)*$CV572,IF(AND($C572=2,CV572&gt;=$DJ$1),VLOOKUP($D572,HORAS!$B$4:$D$42,3,FALSE),IF(AND($C572=3,$CV572&gt;=$DJ$1),VLOOKUP($A572,FIJOS!$B$11:$P$545,10,FALSE),IF(AND($C572=3,$CV572&lt;$DJ$1),((VLOOKUP($A572,FIJOS!$B$11:$P$545,10,FALSE)/48)*24)*$CV572,IF(AND($C572=4,$CV572&gt;=(42/24)),VLOOKUP($D572,HORAS!$B$4:$D$42,3,FALSE),IF(AND($C572=5,$CV572&gt;=(36/24)),VLOOKUP($D572,HORAS!$B$4:$D$42,3,FALSE))))))))</f>
        <v>0</v>
      </c>
      <c r="DJ572" s="145">
        <f>IF(OR($C572=2),VLOOKUP($D572,HORAS!$B$4:$E$42,4,FALSE)*$EC572,IF(ISERROR(VLOOKUP($A572,FIJOS!$B$11:$P$108,9,FALSE)),0,VLOOKUP($A572,FIJOS!$B$11:$P$231,9,FALSE)*$EC572))</f>
        <v>0</v>
      </c>
      <c r="DK572" s="145">
        <f>IF(OR($C572=2),VLOOKUP($D572,HORAS!$B$4:$F$42,5,FALSE)*$EE572,IF(ISERROR(VLOOKUP($A572,FIJOS!$B$11:$P$108,9,FALSE)),0,VLOOKUP($A572,FIJOS!$B$11:$P$231,9,FALSE)*$EE572))</f>
        <v>0</v>
      </c>
      <c r="DL572" s="144"/>
      <c r="DM572" s="145">
        <f>IF(ISERROR(VLOOKUP($A572,FIJOS!$B$11:$L$646,11,FALSE)),0,VLOOKUP($A572,FIJOS!$B$11:$L$646,11,FALSE))</f>
        <v>0</v>
      </c>
      <c r="DN572" s="148" t="e">
        <f>IF(OR($C572=1,$C572=3),0,IF((VLOOKUP(CAPTURA!D572,HORAS!$B$4:$K$42,10,FALSE)/4)*COUNTIF($H572:$CT572,3)&gt;100,100,(VLOOKUP(CAPTURA!D572,HORAS!$B$4:$K$42,10,FALSE)/4)*COUNTIF($H572:$CT572,3)))</f>
        <v>#N/A</v>
      </c>
      <c r="DO572" s="144" t="e">
        <f>IF(OR($C572=1,$C572=3),0,IF($C572=5,VLOOKUP(D572,HORAS!$B$4:$G$42,6,FALSE),IF(AND($C572=4,$CV572&gt;=(42/24)),VLOOKUP(D572,HORAS!$B$4:$G$42,6,FALSE),IF(COUNTIF($H572:$CL572,"F")&gt;0,0,IF(CV572&gt;$DJ$1,$DJ$1*(VLOOKUP(D572,HORAS!$B$4:$G$42,6,FALSE)/$DJ$1),CV572*(VLOOKUP(D572,HORAS!$B$4:$G$42,6,FALSE)/$DJ$1))))))</f>
        <v>#N/A</v>
      </c>
      <c r="DP572" s="156"/>
      <c r="DQ572" s="148"/>
      <c r="DR572" s="148"/>
      <c r="DS572" s="83" t="e">
        <f t="shared" si="287"/>
        <v>#N/A</v>
      </c>
      <c r="DT572" s="84"/>
      <c r="DU572" s="149" t="e">
        <f t="shared" si="259"/>
        <v>#N/A</v>
      </c>
      <c r="DV572" s="149" t="e">
        <f t="shared" si="260"/>
        <v>#N/A</v>
      </c>
      <c r="DW572" s="144" t="e">
        <f t="shared" si="261"/>
        <v>#N/A</v>
      </c>
      <c r="DX572" s="168"/>
      <c r="DY572" s="29"/>
      <c r="DZ572" s="150"/>
      <c r="EA572" s="134"/>
      <c r="EB572" s="137">
        <f t="shared" si="262"/>
        <v>0</v>
      </c>
      <c r="EC572" s="138">
        <f t="shared" si="263"/>
        <v>0</v>
      </c>
      <c r="ED572" s="137">
        <f t="shared" si="264"/>
        <v>0</v>
      </c>
      <c r="EE572" s="132">
        <f t="shared" si="265"/>
        <v>0</v>
      </c>
      <c r="EF572" s="29"/>
      <c r="EG572" s="134"/>
      <c r="EH572" s="134"/>
      <c r="EI572" s="134"/>
      <c r="EK572" s="29"/>
    </row>
    <row r="573" spans="1:141" ht="15" customHeight="1" x14ac:dyDescent="0.25">
      <c r="A573" s="87"/>
      <c r="B573" s="5"/>
      <c r="C573" s="72"/>
      <c r="D573" s="73"/>
      <c r="E573" s="73"/>
      <c r="F573" s="141"/>
      <c r="G573" s="74"/>
      <c r="H573" s="75"/>
      <c r="I573" s="76"/>
      <c r="J573" s="135"/>
      <c r="K573" s="135"/>
      <c r="L573" s="77">
        <f t="shared" si="266"/>
        <v>0</v>
      </c>
      <c r="M573" s="78"/>
      <c r="N573" s="142"/>
      <c r="O573" s="142"/>
      <c r="P573" s="77">
        <f t="shared" si="267"/>
        <v>0</v>
      </c>
      <c r="Q573" s="78"/>
      <c r="R573" s="143"/>
      <c r="S573" s="143"/>
      <c r="T573" s="77">
        <f t="shared" si="268"/>
        <v>0</v>
      </c>
      <c r="U573" s="75"/>
      <c r="V573" s="76"/>
      <c r="W573" s="135"/>
      <c r="X573" s="135"/>
      <c r="Y573" s="77">
        <f t="shared" si="269"/>
        <v>0</v>
      </c>
      <c r="Z573" s="78"/>
      <c r="AA573" s="142"/>
      <c r="AB573" s="142"/>
      <c r="AC573" s="77">
        <f t="shared" si="270"/>
        <v>0</v>
      </c>
      <c r="AD573" s="78"/>
      <c r="AE573" s="143"/>
      <c r="AF573" s="143"/>
      <c r="AG573" s="79">
        <f t="shared" si="271"/>
        <v>0</v>
      </c>
      <c r="AH573" s="75"/>
      <c r="AI573" s="76"/>
      <c r="AJ573" s="135"/>
      <c r="AK573" s="135"/>
      <c r="AL573" s="77">
        <f t="shared" si="272"/>
        <v>0</v>
      </c>
      <c r="AM573" s="76"/>
      <c r="AN573" s="142"/>
      <c r="AO573" s="142"/>
      <c r="AP573" s="77">
        <f t="shared" si="273"/>
        <v>0</v>
      </c>
      <c r="AQ573" s="78"/>
      <c r="AR573" s="142"/>
      <c r="AS573" s="142"/>
      <c r="AT573" s="79">
        <f t="shared" si="274"/>
        <v>0</v>
      </c>
      <c r="AU573" s="75"/>
      <c r="AV573" s="76"/>
      <c r="AW573" s="135"/>
      <c r="AX573" s="135"/>
      <c r="AY573" s="77">
        <f t="shared" si="275"/>
        <v>0</v>
      </c>
      <c r="AZ573" s="76"/>
      <c r="BA573" s="142"/>
      <c r="BB573" s="142"/>
      <c r="BC573" s="77">
        <f t="shared" si="276"/>
        <v>0</v>
      </c>
      <c r="BD573" s="78"/>
      <c r="BE573" s="142"/>
      <c r="BF573" s="142"/>
      <c r="BG573" s="79">
        <f t="shared" si="277"/>
        <v>0</v>
      </c>
      <c r="BH573" s="75"/>
      <c r="BI573" s="76"/>
      <c r="BJ573" s="135"/>
      <c r="BK573" s="135"/>
      <c r="BL573" s="77">
        <f t="shared" si="278"/>
        <v>0</v>
      </c>
      <c r="BM573" s="78"/>
      <c r="BN573" s="142"/>
      <c r="BO573" s="142"/>
      <c r="BP573" s="77">
        <f t="shared" si="279"/>
        <v>0</v>
      </c>
      <c r="BQ573" s="78"/>
      <c r="BR573" s="142"/>
      <c r="BS573" s="142"/>
      <c r="BT573" s="79">
        <f t="shared" si="280"/>
        <v>0</v>
      </c>
      <c r="BU573" s="75"/>
      <c r="BV573" s="76"/>
      <c r="BW573" s="135"/>
      <c r="BX573" s="135"/>
      <c r="BY573" s="77">
        <f t="shared" si="281"/>
        <v>0</v>
      </c>
      <c r="BZ573" s="78"/>
      <c r="CA573" s="142"/>
      <c r="CB573" s="142"/>
      <c r="CC573" s="77">
        <f t="shared" si="282"/>
        <v>0</v>
      </c>
      <c r="CD573" s="78"/>
      <c r="CE573" s="142"/>
      <c r="CF573" s="142"/>
      <c r="CG573" s="79">
        <f t="shared" si="283"/>
        <v>0</v>
      </c>
      <c r="CH573" s="75"/>
      <c r="CI573" s="76"/>
      <c r="CJ573" s="86"/>
      <c r="CK573" s="86"/>
      <c r="CL573" s="77">
        <f t="shared" si="284"/>
        <v>0</v>
      </c>
      <c r="CM573" s="78"/>
      <c r="CN573" s="85"/>
      <c r="CO573" s="85"/>
      <c r="CP573" s="77">
        <f t="shared" si="285"/>
        <v>0</v>
      </c>
      <c r="CQ573" s="78"/>
      <c r="CR573" s="85"/>
      <c r="CS573" s="85"/>
      <c r="CT573" s="79">
        <f t="shared" si="286"/>
        <v>0</v>
      </c>
      <c r="CU573" s="80">
        <f t="shared" si="168"/>
        <v>0</v>
      </c>
      <c r="CV573" s="81">
        <f t="shared" si="169"/>
        <v>0</v>
      </c>
      <c r="CW573" s="144"/>
      <c r="CX573" s="145">
        <f>IF(ISERROR(VLOOKUP($A573,FIJOS!$B$11:$O$590,14,FALSE)),0,VLOOKUP($A573,FIJOS!$B$11:$O$590,14,FALSE))</f>
        <v>0</v>
      </c>
      <c r="CY573" s="145">
        <f>IF(ISERROR(VLOOKUP(A573,FIJOS!$B$10:$P$590,15,FALSE)),0,VLOOKUP(A573,FIJOS!$B$10:$P$590,15,FALSE))</f>
        <v>0</v>
      </c>
      <c r="CZ573" s="155"/>
      <c r="DA573" s="147"/>
      <c r="DB573" s="147"/>
      <c r="DC573" s="147"/>
      <c r="DD573" s="147"/>
      <c r="DE573" s="147"/>
      <c r="DF573" s="145">
        <f>IF(ISERROR(VLOOKUP($A573,FIJOS!$B$11:$N$590,13,FALSE)),0,VLOOKUP($A573,FIJOS!$B$11:$N$590,13,FALSE))</f>
        <v>0</v>
      </c>
      <c r="DG573" s="145">
        <f>IF(ISERROR(VLOOKUP($A573,FIJOS!$B$11:$P$447,12,FALSE)),0,VLOOKUP($A573,FIJOS!$B$11:$P$447,12,FALSE))</f>
        <v>0</v>
      </c>
      <c r="DH573" s="82">
        <f t="shared" si="258"/>
        <v>0</v>
      </c>
      <c r="DI573" s="83" t="b">
        <f>IF($C573=1,(VLOOKUP($A573,FIJOS!$B$11:$P$545,10,FALSE)/7)*(7-$CU573),IF(AND($C573=2,CV573&lt;$DJ$1),(VLOOKUP($D573,HORAS!$B$4:$C$42,2,FALSE)*24)*$CV573,IF(AND($C573=2,CV573&gt;=$DJ$1),VLOOKUP($D573,HORAS!$B$4:$D$42,3,FALSE),IF(AND($C573=3,$CV573&gt;=$DJ$1),VLOOKUP($A573,FIJOS!$B$11:$P$545,10,FALSE),IF(AND($C573=3,$CV573&lt;$DJ$1),((VLOOKUP($A573,FIJOS!$B$11:$P$545,10,FALSE)/48)*24)*$CV573,IF(AND($C573=4,$CV573&gt;=(42/24)),VLOOKUP($D573,HORAS!$B$4:$D$42,3,FALSE),IF(AND($C573=5,$CV573&gt;=(36/24)),VLOOKUP($D573,HORAS!$B$4:$D$42,3,FALSE))))))))</f>
        <v>0</v>
      </c>
      <c r="DJ573" s="145">
        <f>IF(OR($C573=2),VLOOKUP($D573,HORAS!$B$4:$E$42,4,FALSE)*$EC573,IF(ISERROR(VLOOKUP($A573,FIJOS!$B$11:$P$108,9,FALSE)),0,VLOOKUP($A573,FIJOS!$B$11:$P$231,9,FALSE)*$EC573))</f>
        <v>0</v>
      </c>
      <c r="DK573" s="145">
        <f>IF(OR($C573=2),VLOOKUP($D573,HORAS!$B$4:$F$42,5,FALSE)*$EE573,IF(ISERROR(VLOOKUP($A573,FIJOS!$B$11:$P$108,9,FALSE)),0,VLOOKUP($A573,FIJOS!$B$11:$P$231,9,FALSE)*$EE573))</f>
        <v>0</v>
      </c>
      <c r="DL573" s="144"/>
      <c r="DM573" s="145">
        <f>IF(ISERROR(VLOOKUP($A573,FIJOS!$B$11:$L$646,11,FALSE)),0,VLOOKUP($A573,FIJOS!$B$11:$L$646,11,FALSE))</f>
        <v>0</v>
      </c>
      <c r="DN573" s="148" t="e">
        <f>IF(OR($C573=1,$C573=3),0,IF((VLOOKUP(CAPTURA!D573,HORAS!$B$4:$K$42,10,FALSE)/4)*COUNTIF($H573:$CT573,3)&gt;100,100,(VLOOKUP(CAPTURA!D573,HORAS!$B$4:$K$42,10,FALSE)/4)*COUNTIF($H573:$CT573,3)))</f>
        <v>#N/A</v>
      </c>
      <c r="DO573" s="144" t="e">
        <f>IF(OR($C573=1,$C573=3),0,IF($C573=5,VLOOKUP(D573,HORAS!$B$4:$G$42,6,FALSE),IF(AND($C573=4,$CV573&gt;=(42/24)),VLOOKUP(D573,HORAS!$B$4:$G$42,6,FALSE),IF(COUNTIF($H573:$CL573,"F")&gt;0,0,IF(CV573&gt;$DJ$1,$DJ$1*(VLOOKUP(D573,HORAS!$B$4:$G$42,6,FALSE)/$DJ$1),CV573*(VLOOKUP(D573,HORAS!$B$4:$G$42,6,FALSE)/$DJ$1))))))</f>
        <v>#N/A</v>
      </c>
      <c r="DP573" s="156"/>
      <c r="DQ573" s="148"/>
      <c r="DR573" s="148"/>
      <c r="DS573" s="83" t="e">
        <f t="shared" si="287"/>
        <v>#N/A</v>
      </c>
      <c r="DT573" s="84"/>
      <c r="DU573" s="149" t="e">
        <f t="shared" si="259"/>
        <v>#N/A</v>
      </c>
      <c r="DV573" s="149" t="e">
        <f t="shared" si="260"/>
        <v>#N/A</v>
      </c>
      <c r="DW573" s="144" t="e">
        <f t="shared" si="261"/>
        <v>#N/A</v>
      </c>
      <c r="DX573" s="168"/>
      <c r="DY573" s="29"/>
      <c r="DZ573" s="150"/>
      <c r="EA573" s="134"/>
      <c r="EB573" s="137">
        <f t="shared" si="262"/>
        <v>0</v>
      </c>
      <c r="EC573" s="138">
        <f t="shared" si="263"/>
        <v>0</v>
      </c>
      <c r="ED573" s="137">
        <f t="shared" si="264"/>
        <v>0</v>
      </c>
      <c r="EE573" s="132">
        <f t="shared" si="265"/>
        <v>0</v>
      </c>
      <c r="EF573" s="29"/>
      <c r="EG573" s="134"/>
      <c r="EH573" s="134"/>
      <c r="EI573" s="134"/>
      <c r="EK573" s="29"/>
    </row>
    <row r="574" spans="1:141" ht="15" customHeight="1" x14ac:dyDescent="0.25">
      <c r="A574" s="87"/>
      <c r="B574" s="5"/>
      <c r="C574" s="72"/>
      <c r="D574" s="73"/>
      <c r="E574" s="73"/>
      <c r="F574" s="141"/>
      <c r="G574" s="74"/>
      <c r="H574" s="75"/>
      <c r="I574" s="76"/>
      <c r="J574" s="135"/>
      <c r="K574" s="135"/>
      <c r="L574" s="77">
        <f t="shared" si="266"/>
        <v>0</v>
      </c>
      <c r="M574" s="78"/>
      <c r="N574" s="142"/>
      <c r="O574" s="142"/>
      <c r="P574" s="77">
        <f t="shared" si="267"/>
        <v>0</v>
      </c>
      <c r="Q574" s="78"/>
      <c r="R574" s="143"/>
      <c r="S574" s="143"/>
      <c r="T574" s="77">
        <f t="shared" si="268"/>
        <v>0</v>
      </c>
      <c r="U574" s="75"/>
      <c r="V574" s="76"/>
      <c r="W574" s="135"/>
      <c r="X574" s="135"/>
      <c r="Y574" s="77">
        <f t="shared" si="269"/>
        <v>0</v>
      </c>
      <c r="Z574" s="78"/>
      <c r="AA574" s="142"/>
      <c r="AB574" s="142"/>
      <c r="AC574" s="77">
        <f t="shared" si="270"/>
        <v>0</v>
      </c>
      <c r="AD574" s="78"/>
      <c r="AE574" s="143"/>
      <c r="AF574" s="143"/>
      <c r="AG574" s="79">
        <f t="shared" si="271"/>
        <v>0</v>
      </c>
      <c r="AH574" s="75"/>
      <c r="AI574" s="76"/>
      <c r="AJ574" s="135"/>
      <c r="AK574" s="135"/>
      <c r="AL574" s="77">
        <f t="shared" si="272"/>
        <v>0</v>
      </c>
      <c r="AM574" s="76"/>
      <c r="AN574" s="142"/>
      <c r="AO574" s="142"/>
      <c r="AP574" s="77">
        <f t="shared" si="273"/>
        <v>0</v>
      </c>
      <c r="AQ574" s="78"/>
      <c r="AR574" s="142"/>
      <c r="AS574" s="142"/>
      <c r="AT574" s="79">
        <f t="shared" si="274"/>
        <v>0</v>
      </c>
      <c r="AU574" s="75"/>
      <c r="AV574" s="76"/>
      <c r="AW574" s="135"/>
      <c r="AX574" s="135"/>
      <c r="AY574" s="77">
        <f t="shared" si="275"/>
        <v>0</v>
      </c>
      <c r="AZ574" s="76"/>
      <c r="BA574" s="142"/>
      <c r="BB574" s="142"/>
      <c r="BC574" s="77">
        <f t="shared" si="276"/>
        <v>0</v>
      </c>
      <c r="BD574" s="78"/>
      <c r="BE574" s="142"/>
      <c r="BF574" s="142"/>
      <c r="BG574" s="79">
        <f t="shared" si="277"/>
        <v>0</v>
      </c>
      <c r="BH574" s="75"/>
      <c r="BI574" s="76"/>
      <c r="BJ574" s="135"/>
      <c r="BK574" s="135"/>
      <c r="BL574" s="77">
        <f t="shared" si="278"/>
        <v>0</v>
      </c>
      <c r="BM574" s="78"/>
      <c r="BN574" s="142"/>
      <c r="BO574" s="142"/>
      <c r="BP574" s="77">
        <f t="shared" si="279"/>
        <v>0</v>
      </c>
      <c r="BQ574" s="78"/>
      <c r="BR574" s="142"/>
      <c r="BS574" s="142"/>
      <c r="BT574" s="79">
        <f t="shared" si="280"/>
        <v>0</v>
      </c>
      <c r="BU574" s="75"/>
      <c r="BV574" s="76"/>
      <c r="BW574" s="135"/>
      <c r="BX574" s="135"/>
      <c r="BY574" s="77">
        <f t="shared" si="281"/>
        <v>0</v>
      </c>
      <c r="BZ574" s="78"/>
      <c r="CA574" s="142"/>
      <c r="CB574" s="142"/>
      <c r="CC574" s="77">
        <f t="shared" si="282"/>
        <v>0</v>
      </c>
      <c r="CD574" s="78"/>
      <c r="CE574" s="142"/>
      <c r="CF574" s="142"/>
      <c r="CG574" s="79">
        <f t="shared" si="283"/>
        <v>0</v>
      </c>
      <c r="CH574" s="75"/>
      <c r="CI574" s="76"/>
      <c r="CJ574" s="86"/>
      <c r="CK574" s="86"/>
      <c r="CL574" s="77">
        <f t="shared" si="284"/>
        <v>0</v>
      </c>
      <c r="CM574" s="78"/>
      <c r="CN574" s="85"/>
      <c r="CO574" s="85"/>
      <c r="CP574" s="77">
        <f t="shared" si="285"/>
        <v>0</v>
      </c>
      <c r="CQ574" s="78"/>
      <c r="CR574" s="85"/>
      <c r="CS574" s="85"/>
      <c r="CT574" s="79">
        <f t="shared" si="286"/>
        <v>0</v>
      </c>
      <c r="CU574" s="80">
        <f t="shared" si="168"/>
        <v>0</v>
      </c>
      <c r="CV574" s="81">
        <f t="shared" si="169"/>
        <v>0</v>
      </c>
      <c r="CW574" s="144"/>
      <c r="CX574" s="145">
        <f>IF(ISERROR(VLOOKUP($A574,FIJOS!$B$11:$O$590,14,FALSE)),0,VLOOKUP($A574,FIJOS!$B$11:$O$590,14,FALSE))</f>
        <v>0</v>
      </c>
      <c r="CY574" s="145">
        <f>IF(ISERROR(VLOOKUP(A574,FIJOS!$B$10:$P$590,15,FALSE)),0,VLOOKUP(A574,FIJOS!$B$10:$P$590,15,FALSE))</f>
        <v>0</v>
      </c>
      <c r="CZ574" s="155"/>
      <c r="DA574" s="147"/>
      <c r="DB574" s="147"/>
      <c r="DC574" s="147"/>
      <c r="DD574" s="147"/>
      <c r="DE574" s="147"/>
      <c r="DF574" s="145">
        <f>IF(ISERROR(VLOOKUP($A574,FIJOS!$B$11:$N$590,13,FALSE)),0,VLOOKUP($A574,FIJOS!$B$11:$N$590,13,FALSE))</f>
        <v>0</v>
      </c>
      <c r="DG574" s="145">
        <f>IF(ISERROR(VLOOKUP($A574,FIJOS!$B$11:$P$447,12,FALSE)),0,VLOOKUP($A574,FIJOS!$B$11:$P$447,12,FALSE))</f>
        <v>0</v>
      </c>
      <c r="DH574" s="82">
        <f t="shared" si="258"/>
        <v>0</v>
      </c>
      <c r="DI574" s="83" t="b">
        <f>IF($C574=1,(VLOOKUP($A574,FIJOS!$B$11:$P$545,10,FALSE)/7)*(7-$CU574),IF(AND($C574=2,CV574&lt;$DJ$1),(VLOOKUP($D574,HORAS!$B$4:$C$42,2,FALSE)*24)*$CV574,IF(AND($C574=2,CV574&gt;=$DJ$1),VLOOKUP($D574,HORAS!$B$4:$D$42,3,FALSE),IF(AND($C574=3,$CV574&gt;=$DJ$1),VLOOKUP($A574,FIJOS!$B$11:$P$545,10,FALSE),IF(AND($C574=3,$CV574&lt;$DJ$1),((VLOOKUP($A574,FIJOS!$B$11:$P$545,10,FALSE)/48)*24)*$CV574,IF(AND($C574=4,$CV574&gt;=(42/24)),VLOOKUP($D574,HORAS!$B$4:$D$42,3,FALSE),IF(AND($C574=5,$CV574&gt;=(36/24)),VLOOKUP($D574,HORAS!$B$4:$D$42,3,FALSE))))))))</f>
        <v>0</v>
      </c>
      <c r="DJ574" s="145">
        <f>IF(OR($C574=2),VLOOKUP($D574,HORAS!$B$4:$E$42,4,FALSE)*$EC574,IF(ISERROR(VLOOKUP($A574,FIJOS!$B$11:$P$108,9,FALSE)),0,VLOOKUP($A574,FIJOS!$B$11:$P$231,9,FALSE)*$EC574))</f>
        <v>0</v>
      </c>
      <c r="DK574" s="145">
        <f>IF(OR($C574=2),VLOOKUP($D574,HORAS!$B$4:$F$42,5,FALSE)*$EE574,IF(ISERROR(VLOOKUP($A574,FIJOS!$B$11:$P$108,9,FALSE)),0,VLOOKUP($A574,FIJOS!$B$11:$P$231,9,FALSE)*$EE574))</f>
        <v>0</v>
      </c>
      <c r="DL574" s="144"/>
      <c r="DM574" s="145">
        <f>IF(ISERROR(VLOOKUP($A574,FIJOS!$B$11:$L$646,11,FALSE)),0,VLOOKUP($A574,FIJOS!$B$11:$L$646,11,FALSE))</f>
        <v>0</v>
      </c>
      <c r="DN574" s="148" t="e">
        <f>IF(OR($C574=1,$C574=3),0,IF((VLOOKUP(CAPTURA!D574,HORAS!$B$4:$K$42,10,FALSE)/4)*COUNTIF($H574:$CT574,3)&gt;100,100,(VLOOKUP(CAPTURA!D574,HORAS!$B$4:$K$42,10,FALSE)/4)*COUNTIF($H574:$CT574,3)))</f>
        <v>#N/A</v>
      </c>
      <c r="DO574" s="144" t="e">
        <f>IF(OR($C574=1,$C574=3),0,IF($C574=5,VLOOKUP(D574,HORAS!$B$4:$G$42,6,FALSE),IF(AND($C574=4,$CV574&gt;=(42/24)),VLOOKUP(D574,HORAS!$B$4:$G$42,6,FALSE),IF(COUNTIF($H574:$CL574,"F")&gt;0,0,IF(CV574&gt;$DJ$1,$DJ$1*(VLOOKUP(D574,HORAS!$B$4:$G$42,6,FALSE)/$DJ$1),CV574*(VLOOKUP(D574,HORAS!$B$4:$G$42,6,FALSE)/$DJ$1))))))</f>
        <v>#N/A</v>
      </c>
      <c r="DP574" s="156"/>
      <c r="DQ574" s="148"/>
      <c r="DR574" s="148"/>
      <c r="DS574" s="83" t="e">
        <f t="shared" si="287"/>
        <v>#N/A</v>
      </c>
      <c r="DT574" s="84"/>
      <c r="DU574" s="149" t="e">
        <f t="shared" si="259"/>
        <v>#N/A</v>
      </c>
      <c r="DV574" s="149" t="e">
        <f t="shared" si="260"/>
        <v>#N/A</v>
      </c>
      <c r="DW574" s="144" t="e">
        <f t="shared" si="261"/>
        <v>#N/A</v>
      </c>
      <c r="DX574" s="168"/>
      <c r="DY574" s="29"/>
      <c r="DZ574" s="150"/>
      <c r="EA574" s="134"/>
      <c r="EB574" s="137">
        <f t="shared" si="262"/>
        <v>0</v>
      </c>
      <c r="EC574" s="138">
        <f t="shared" si="263"/>
        <v>0</v>
      </c>
      <c r="ED574" s="137">
        <f t="shared" si="264"/>
        <v>0</v>
      </c>
      <c r="EE574" s="132">
        <f t="shared" si="265"/>
        <v>0</v>
      </c>
      <c r="EF574" s="29"/>
      <c r="EG574" s="134"/>
      <c r="EH574" s="134"/>
      <c r="EI574" s="134"/>
      <c r="EK574" s="29"/>
    </row>
    <row r="575" spans="1:141" ht="15" customHeight="1" x14ac:dyDescent="0.25">
      <c r="A575" s="87"/>
      <c r="B575" s="5"/>
      <c r="C575" s="72"/>
      <c r="D575" s="73"/>
      <c r="E575" s="73"/>
      <c r="F575" s="141"/>
      <c r="G575" s="74"/>
      <c r="H575" s="75"/>
      <c r="I575" s="76"/>
      <c r="J575" s="135"/>
      <c r="K575" s="135"/>
      <c r="L575" s="77">
        <f t="shared" si="266"/>
        <v>0</v>
      </c>
      <c r="M575" s="78"/>
      <c r="N575" s="142"/>
      <c r="O575" s="142"/>
      <c r="P575" s="77">
        <f t="shared" si="267"/>
        <v>0</v>
      </c>
      <c r="Q575" s="78"/>
      <c r="R575" s="143"/>
      <c r="S575" s="143"/>
      <c r="T575" s="77">
        <f t="shared" si="268"/>
        <v>0</v>
      </c>
      <c r="U575" s="75"/>
      <c r="V575" s="76"/>
      <c r="W575" s="135"/>
      <c r="X575" s="135"/>
      <c r="Y575" s="77">
        <f t="shared" si="269"/>
        <v>0</v>
      </c>
      <c r="Z575" s="78"/>
      <c r="AA575" s="142"/>
      <c r="AB575" s="142"/>
      <c r="AC575" s="77">
        <f t="shared" si="270"/>
        <v>0</v>
      </c>
      <c r="AD575" s="78"/>
      <c r="AE575" s="143"/>
      <c r="AF575" s="143"/>
      <c r="AG575" s="79">
        <f t="shared" si="271"/>
        <v>0</v>
      </c>
      <c r="AH575" s="75"/>
      <c r="AI575" s="76"/>
      <c r="AJ575" s="135"/>
      <c r="AK575" s="135"/>
      <c r="AL575" s="77">
        <f t="shared" si="272"/>
        <v>0</v>
      </c>
      <c r="AM575" s="76"/>
      <c r="AN575" s="142"/>
      <c r="AO575" s="142"/>
      <c r="AP575" s="77">
        <f t="shared" si="273"/>
        <v>0</v>
      </c>
      <c r="AQ575" s="78"/>
      <c r="AR575" s="142"/>
      <c r="AS575" s="142"/>
      <c r="AT575" s="79">
        <f t="shared" si="274"/>
        <v>0</v>
      </c>
      <c r="AU575" s="75"/>
      <c r="AV575" s="76"/>
      <c r="AW575" s="135"/>
      <c r="AX575" s="135"/>
      <c r="AY575" s="77">
        <f t="shared" si="275"/>
        <v>0</v>
      </c>
      <c r="AZ575" s="76"/>
      <c r="BA575" s="142"/>
      <c r="BB575" s="142"/>
      <c r="BC575" s="77">
        <f t="shared" si="276"/>
        <v>0</v>
      </c>
      <c r="BD575" s="78"/>
      <c r="BE575" s="142"/>
      <c r="BF575" s="142"/>
      <c r="BG575" s="79">
        <f t="shared" si="277"/>
        <v>0</v>
      </c>
      <c r="BH575" s="75"/>
      <c r="BI575" s="76"/>
      <c r="BJ575" s="135"/>
      <c r="BK575" s="135"/>
      <c r="BL575" s="77">
        <f t="shared" si="278"/>
        <v>0</v>
      </c>
      <c r="BM575" s="78"/>
      <c r="BN575" s="142"/>
      <c r="BO575" s="142"/>
      <c r="BP575" s="77">
        <f t="shared" si="279"/>
        <v>0</v>
      </c>
      <c r="BQ575" s="78"/>
      <c r="BR575" s="142"/>
      <c r="BS575" s="142"/>
      <c r="BT575" s="79">
        <f t="shared" si="280"/>
        <v>0</v>
      </c>
      <c r="BU575" s="75"/>
      <c r="BV575" s="76"/>
      <c r="BW575" s="135"/>
      <c r="BX575" s="135"/>
      <c r="BY575" s="77">
        <f t="shared" si="281"/>
        <v>0</v>
      </c>
      <c r="BZ575" s="78"/>
      <c r="CA575" s="142"/>
      <c r="CB575" s="142"/>
      <c r="CC575" s="77">
        <f t="shared" si="282"/>
        <v>0</v>
      </c>
      <c r="CD575" s="78"/>
      <c r="CE575" s="142"/>
      <c r="CF575" s="142"/>
      <c r="CG575" s="79">
        <f t="shared" si="283"/>
        <v>0</v>
      </c>
      <c r="CH575" s="75"/>
      <c r="CI575" s="76"/>
      <c r="CJ575" s="86"/>
      <c r="CK575" s="86"/>
      <c r="CL575" s="77">
        <f t="shared" si="284"/>
        <v>0</v>
      </c>
      <c r="CM575" s="78"/>
      <c r="CN575" s="85"/>
      <c r="CO575" s="85"/>
      <c r="CP575" s="77">
        <f t="shared" si="285"/>
        <v>0</v>
      </c>
      <c r="CQ575" s="78"/>
      <c r="CR575" s="85"/>
      <c r="CS575" s="85"/>
      <c r="CT575" s="79">
        <f t="shared" si="286"/>
        <v>0</v>
      </c>
      <c r="CU575" s="80">
        <f t="shared" si="168"/>
        <v>0</v>
      </c>
      <c r="CV575" s="81">
        <f t="shared" si="169"/>
        <v>0</v>
      </c>
      <c r="CW575" s="144"/>
      <c r="CX575" s="145">
        <f>IF(ISERROR(VLOOKUP($A575,FIJOS!$B$11:$O$590,14,FALSE)),0,VLOOKUP($A575,FIJOS!$B$11:$O$590,14,FALSE))</f>
        <v>0</v>
      </c>
      <c r="CY575" s="145">
        <f>IF(ISERROR(VLOOKUP(A575,FIJOS!$B$10:$P$590,15,FALSE)),0,VLOOKUP(A575,FIJOS!$B$10:$P$590,15,FALSE))</f>
        <v>0</v>
      </c>
      <c r="CZ575" s="155"/>
      <c r="DA575" s="147"/>
      <c r="DB575" s="147"/>
      <c r="DC575" s="147"/>
      <c r="DD575" s="147"/>
      <c r="DE575" s="147"/>
      <c r="DF575" s="145">
        <f>IF(ISERROR(VLOOKUP($A575,FIJOS!$B$11:$N$590,13,FALSE)),0,VLOOKUP($A575,FIJOS!$B$11:$N$590,13,FALSE))</f>
        <v>0</v>
      </c>
      <c r="DG575" s="145">
        <f>IF(ISERROR(VLOOKUP($A575,FIJOS!$B$11:$P$447,12,FALSE)),0,VLOOKUP($A575,FIJOS!$B$11:$P$447,12,FALSE))</f>
        <v>0</v>
      </c>
      <c r="DH575" s="82">
        <f t="shared" si="258"/>
        <v>0</v>
      </c>
      <c r="DI575" s="83" t="b">
        <f>IF($C575=1,(VLOOKUP($A575,FIJOS!$B$11:$P$545,10,FALSE)/7)*(7-$CU575),IF(AND($C575=2,CV575&lt;$DJ$1),(VLOOKUP($D575,HORAS!$B$4:$C$42,2,FALSE)*24)*$CV575,IF(AND($C575=2,CV575&gt;=$DJ$1),VLOOKUP($D575,HORAS!$B$4:$D$42,3,FALSE),IF(AND($C575=3,$CV575&gt;=$DJ$1),VLOOKUP($A575,FIJOS!$B$11:$P$545,10,FALSE),IF(AND($C575=3,$CV575&lt;$DJ$1),((VLOOKUP($A575,FIJOS!$B$11:$P$545,10,FALSE)/48)*24)*$CV575,IF(AND($C575=4,$CV575&gt;=(42/24)),VLOOKUP($D575,HORAS!$B$4:$D$42,3,FALSE),IF(AND($C575=5,$CV575&gt;=(36/24)),VLOOKUP($D575,HORAS!$B$4:$D$42,3,FALSE))))))))</f>
        <v>0</v>
      </c>
      <c r="DJ575" s="145">
        <f>IF(OR($C575=2),VLOOKUP($D575,HORAS!$B$4:$E$42,4,FALSE)*$EC575,IF(ISERROR(VLOOKUP($A575,FIJOS!$B$11:$P$108,9,FALSE)),0,VLOOKUP($A575,FIJOS!$B$11:$P$231,9,FALSE)*$EC575))</f>
        <v>0</v>
      </c>
      <c r="DK575" s="145">
        <f>IF(OR($C575=2),VLOOKUP($D575,HORAS!$B$4:$F$42,5,FALSE)*$EE575,IF(ISERROR(VLOOKUP($A575,FIJOS!$B$11:$P$108,9,FALSE)),0,VLOOKUP($A575,FIJOS!$B$11:$P$231,9,FALSE)*$EE575))</f>
        <v>0</v>
      </c>
      <c r="DL575" s="144"/>
      <c r="DM575" s="145">
        <f>IF(ISERROR(VLOOKUP($A575,FIJOS!$B$11:$L$646,11,FALSE)),0,VLOOKUP($A575,FIJOS!$B$11:$L$646,11,FALSE))</f>
        <v>0</v>
      </c>
      <c r="DN575" s="148" t="e">
        <f>IF(OR($C575=1,$C575=3),0,IF((VLOOKUP(CAPTURA!D575,HORAS!$B$4:$K$42,10,FALSE)/4)*COUNTIF($H575:$CT575,3)&gt;100,100,(VLOOKUP(CAPTURA!D575,HORAS!$B$4:$K$42,10,FALSE)/4)*COUNTIF($H575:$CT575,3)))</f>
        <v>#N/A</v>
      </c>
      <c r="DO575" s="144" t="e">
        <f>IF(OR($C575=1,$C575=3),0,IF($C575=5,VLOOKUP(D575,HORAS!$B$4:$G$42,6,FALSE),IF(AND($C575=4,$CV575&gt;=(42/24)),VLOOKUP(D575,HORAS!$B$4:$G$42,6,FALSE),IF(COUNTIF($H575:$CL575,"F")&gt;0,0,IF(CV575&gt;$DJ$1,$DJ$1*(VLOOKUP(D575,HORAS!$B$4:$G$42,6,FALSE)/$DJ$1),CV575*(VLOOKUP(D575,HORAS!$B$4:$G$42,6,FALSE)/$DJ$1))))))</f>
        <v>#N/A</v>
      </c>
      <c r="DP575" s="156"/>
      <c r="DQ575" s="148"/>
      <c r="DR575" s="148"/>
      <c r="DS575" s="83" t="e">
        <f t="shared" si="287"/>
        <v>#N/A</v>
      </c>
      <c r="DT575" s="84"/>
      <c r="DU575" s="149" t="e">
        <f t="shared" si="259"/>
        <v>#N/A</v>
      </c>
      <c r="DV575" s="149" t="e">
        <f t="shared" si="260"/>
        <v>#N/A</v>
      </c>
      <c r="DW575" s="144" t="e">
        <f t="shared" si="261"/>
        <v>#N/A</v>
      </c>
      <c r="DX575" s="168"/>
      <c r="DY575" s="29"/>
      <c r="DZ575" s="150"/>
      <c r="EA575" s="134"/>
      <c r="EB575" s="137">
        <f t="shared" si="262"/>
        <v>0</v>
      </c>
      <c r="EC575" s="138">
        <f t="shared" si="263"/>
        <v>0</v>
      </c>
      <c r="ED575" s="137">
        <f t="shared" si="264"/>
        <v>0</v>
      </c>
      <c r="EE575" s="132">
        <f t="shared" si="265"/>
        <v>0</v>
      </c>
      <c r="EF575" s="29"/>
      <c r="EG575" s="134"/>
      <c r="EH575" s="134"/>
      <c r="EI575" s="134"/>
      <c r="EK575" s="29"/>
    </row>
    <row r="576" spans="1:141" ht="15" customHeight="1" x14ac:dyDescent="0.25">
      <c r="A576" s="87"/>
      <c r="B576" s="5"/>
      <c r="C576" s="72"/>
      <c r="D576" s="73"/>
      <c r="E576" s="73"/>
      <c r="F576" s="141"/>
      <c r="G576" s="74"/>
      <c r="H576" s="75"/>
      <c r="I576" s="76"/>
      <c r="J576" s="135"/>
      <c r="K576" s="135"/>
      <c r="L576" s="77">
        <f t="shared" si="266"/>
        <v>0</v>
      </c>
      <c r="M576" s="78"/>
      <c r="N576" s="142"/>
      <c r="O576" s="142"/>
      <c r="P576" s="77">
        <f t="shared" si="267"/>
        <v>0</v>
      </c>
      <c r="Q576" s="78"/>
      <c r="R576" s="143"/>
      <c r="S576" s="143"/>
      <c r="T576" s="77">
        <f t="shared" si="268"/>
        <v>0</v>
      </c>
      <c r="U576" s="75"/>
      <c r="V576" s="76"/>
      <c r="W576" s="135"/>
      <c r="X576" s="135"/>
      <c r="Y576" s="77">
        <f t="shared" si="269"/>
        <v>0</v>
      </c>
      <c r="Z576" s="78"/>
      <c r="AA576" s="142"/>
      <c r="AB576" s="142"/>
      <c r="AC576" s="77">
        <f t="shared" si="270"/>
        <v>0</v>
      </c>
      <c r="AD576" s="78"/>
      <c r="AE576" s="143"/>
      <c r="AF576" s="143"/>
      <c r="AG576" s="79">
        <f t="shared" si="271"/>
        <v>0</v>
      </c>
      <c r="AH576" s="75"/>
      <c r="AI576" s="76"/>
      <c r="AJ576" s="135"/>
      <c r="AK576" s="135"/>
      <c r="AL576" s="77">
        <f t="shared" si="272"/>
        <v>0</v>
      </c>
      <c r="AM576" s="76"/>
      <c r="AN576" s="142"/>
      <c r="AO576" s="142"/>
      <c r="AP576" s="77">
        <f t="shared" si="273"/>
        <v>0</v>
      </c>
      <c r="AQ576" s="78"/>
      <c r="AR576" s="142"/>
      <c r="AS576" s="142"/>
      <c r="AT576" s="79">
        <f t="shared" si="274"/>
        <v>0</v>
      </c>
      <c r="AU576" s="75"/>
      <c r="AV576" s="76"/>
      <c r="AW576" s="135"/>
      <c r="AX576" s="135"/>
      <c r="AY576" s="77">
        <f t="shared" si="275"/>
        <v>0</v>
      </c>
      <c r="AZ576" s="76"/>
      <c r="BA576" s="142"/>
      <c r="BB576" s="142"/>
      <c r="BC576" s="77">
        <f t="shared" si="276"/>
        <v>0</v>
      </c>
      <c r="BD576" s="78"/>
      <c r="BE576" s="142"/>
      <c r="BF576" s="142"/>
      <c r="BG576" s="79">
        <f t="shared" si="277"/>
        <v>0</v>
      </c>
      <c r="BH576" s="75"/>
      <c r="BI576" s="76"/>
      <c r="BJ576" s="135"/>
      <c r="BK576" s="135"/>
      <c r="BL576" s="77">
        <f t="shared" si="278"/>
        <v>0</v>
      </c>
      <c r="BM576" s="78"/>
      <c r="BN576" s="142"/>
      <c r="BO576" s="142"/>
      <c r="BP576" s="77">
        <f t="shared" si="279"/>
        <v>0</v>
      </c>
      <c r="BQ576" s="78"/>
      <c r="BR576" s="142"/>
      <c r="BS576" s="142"/>
      <c r="BT576" s="79">
        <f t="shared" si="280"/>
        <v>0</v>
      </c>
      <c r="BU576" s="75"/>
      <c r="BV576" s="76"/>
      <c r="BW576" s="135"/>
      <c r="BX576" s="135"/>
      <c r="BY576" s="77">
        <f t="shared" si="281"/>
        <v>0</v>
      </c>
      <c r="BZ576" s="78"/>
      <c r="CA576" s="142"/>
      <c r="CB576" s="142"/>
      <c r="CC576" s="77">
        <f t="shared" si="282"/>
        <v>0</v>
      </c>
      <c r="CD576" s="78"/>
      <c r="CE576" s="142"/>
      <c r="CF576" s="142"/>
      <c r="CG576" s="79">
        <f t="shared" si="283"/>
        <v>0</v>
      </c>
      <c r="CH576" s="75"/>
      <c r="CI576" s="76"/>
      <c r="CJ576" s="86"/>
      <c r="CK576" s="86"/>
      <c r="CL576" s="77">
        <f t="shared" si="284"/>
        <v>0</v>
      </c>
      <c r="CM576" s="78"/>
      <c r="CN576" s="85"/>
      <c r="CO576" s="85"/>
      <c r="CP576" s="77">
        <f t="shared" si="285"/>
        <v>0</v>
      </c>
      <c r="CQ576" s="78"/>
      <c r="CR576" s="85"/>
      <c r="CS576" s="85"/>
      <c r="CT576" s="79">
        <f t="shared" si="286"/>
        <v>0</v>
      </c>
      <c r="CU576" s="80">
        <f t="shared" si="168"/>
        <v>0</v>
      </c>
      <c r="CV576" s="81">
        <f t="shared" si="169"/>
        <v>0</v>
      </c>
      <c r="CW576" s="144"/>
      <c r="CX576" s="145">
        <f>IF(ISERROR(VLOOKUP($A576,FIJOS!$B$11:$O$590,14,FALSE)),0,VLOOKUP($A576,FIJOS!$B$11:$O$590,14,FALSE))</f>
        <v>0</v>
      </c>
      <c r="CY576" s="145">
        <f>IF(ISERROR(VLOOKUP(A576,FIJOS!$B$10:$P$590,15,FALSE)),0,VLOOKUP(A576,FIJOS!$B$10:$P$590,15,FALSE))</f>
        <v>0</v>
      </c>
      <c r="CZ576" s="155"/>
      <c r="DA576" s="147"/>
      <c r="DB576" s="147"/>
      <c r="DC576" s="147"/>
      <c r="DD576" s="147"/>
      <c r="DE576" s="147"/>
      <c r="DF576" s="145">
        <f>IF(ISERROR(VLOOKUP($A576,FIJOS!$B$11:$N$590,13,FALSE)),0,VLOOKUP($A576,FIJOS!$B$11:$N$590,13,FALSE))</f>
        <v>0</v>
      </c>
      <c r="DG576" s="145">
        <f>IF(ISERROR(VLOOKUP($A576,FIJOS!$B$11:$P$447,12,FALSE)),0,VLOOKUP($A576,FIJOS!$B$11:$P$447,12,FALSE))</f>
        <v>0</v>
      </c>
      <c r="DH576" s="82">
        <f t="shared" si="258"/>
        <v>0</v>
      </c>
      <c r="DI576" s="83" t="b">
        <f>IF($C576=1,(VLOOKUP($A576,FIJOS!$B$11:$P$545,10,FALSE)/7)*(7-$CU576),IF(AND($C576=2,CV576&lt;$DJ$1),(VLOOKUP($D576,HORAS!$B$4:$C$42,2,FALSE)*24)*$CV576,IF(AND($C576=2,CV576&gt;=$DJ$1),VLOOKUP($D576,HORAS!$B$4:$D$42,3,FALSE),IF(AND($C576=3,$CV576&gt;=$DJ$1),VLOOKUP($A576,FIJOS!$B$11:$P$545,10,FALSE),IF(AND($C576=3,$CV576&lt;$DJ$1),((VLOOKUP($A576,FIJOS!$B$11:$P$545,10,FALSE)/48)*24)*$CV576,IF(AND($C576=4,$CV576&gt;=(42/24)),VLOOKUP($D576,HORAS!$B$4:$D$42,3,FALSE),IF(AND($C576=5,$CV576&gt;=(36/24)),VLOOKUP($D576,HORAS!$B$4:$D$42,3,FALSE))))))))</f>
        <v>0</v>
      </c>
      <c r="DJ576" s="145">
        <f>IF(OR($C576=2),VLOOKUP($D576,HORAS!$B$4:$E$42,4,FALSE)*$EC576,IF(ISERROR(VLOOKUP($A576,FIJOS!$B$11:$P$108,9,FALSE)),0,VLOOKUP($A576,FIJOS!$B$11:$P$231,9,FALSE)*$EC576))</f>
        <v>0</v>
      </c>
      <c r="DK576" s="145">
        <f>IF(OR($C576=2),VLOOKUP($D576,HORAS!$B$4:$F$42,5,FALSE)*$EE576,IF(ISERROR(VLOOKUP($A576,FIJOS!$B$11:$P$108,9,FALSE)),0,VLOOKUP($A576,FIJOS!$B$11:$P$231,9,FALSE)*$EE576))</f>
        <v>0</v>
      </c>
      <c r="DL576" s="144"/>
      <c r="DM576" s="145">
        <f>IF(ISERROR(VLOOKUP($A576,FIJOS!$B$11:$L$646,11,FALSE)),0,VLOOKUP($A576,FIJOS!$B$11:$L$646,11,FALSE))</f>
        <v>0</v>
      </c>
      <c r="DN576" s="148" t="e">
        <f>IF(OR($C576=1,$C576=3),0,IF((VLOOKUP(CAPTURA!D576,HORAS!$B$4:$K$42,10,FALSE)/4)*COUNTIF($H576:$CT576,3)&gt;100,100,(VLOOKUP(CAPTURA!D576,HORAS!$B$4:$K$42,10,FALSE)/4)*COUNTIF($H576:$CT576,3)))</f>
        <v>#N/A</v>
      </c>
      <c r="DO576" s="144" t="e">
        <f>IF(OR($C576=1,$C576=3),0,IF($C576=5,VLOOKUP(D576,HORAS!$B$4:$G$42,6,FALSE),IF(AND($C576=4,$CV576&gt;=(42/24)),VLOOKUP(D576,HORAS!$B$4:$G$42,6,FALSE),IF(COUNTIF($H576:$CL576,"F")&gt;0,0,IF(CV576&gt;$DJ$1,$DJ$1*(VLOOKUP(D576,HORAS!$B$4:$G$42,6,FALSE)/$DJ$1),CV576*(VLOOKUP(D576,HORAS!$B$4:$G$42,6,FALSE)/$DJ$1))))))</f>
        <v>#N/A</v>
      </c>
      <c r="DP576" s="156"/>
      <c r="DQ576" s="148"/>
      <c r="DR576" s="148"/>
      <c r="DS576" s="83" t="e">
        <f t="shared" si="287"/>
        <v>#N/A</v>
      </c>
      <c r="DT576" s="84"/>
      <c r="DU576" s="149" t="e">
        <f t="shared" si="259"/>
        <v>#N/A</v>
      </c>
      <c r="DV576" s="149" t="e">
        <f t="shared" si="260"/>
        <v>#N/A</v>
      </c>
      <c r="DW576" s="144" t="e">
        <f t="shared" si="261"/>
        <v>#N/A</v>
      </c>
      <c r="DX576" s="168"/>
      <c r="DY576" s="29"/>
      <c r="DZ576" s="150"/>
      <c r="EA576" s="134"/>
      <c r="EB576" s="137">
        <f t="shared" si="262"/>
        <v>0</v>
      </c>
      <c r="EC576" s="138">
        <f t="shared" si="263"/>
        <v>0</v>
      </c>
      <c r="ED576" s="137">
        <f t="shared" si="264"/>
        <v>0</v>
      </c>
      <c r="EE576" s="132">
        <f t="shared" si="265"/>
        <v>0</v>
      </c>
      <c r="EF576" s="29"/>
      <c r="EG576" s="134"/>
      <c r="EH576" s="134"/>
      <c r="EI576" s="134"/>
      <c r="EK576" s="29"/>
    </row>
    <row r="577" spans="1:141" ht="15" customHeight="1" x14ac:dyDescent="0.25">
      <c r="A577" s="87"/>
      <c r="B577" s="5"/>
      <c r="C577" s="72"/>
      <c r="D577" s="73"/>
      <c r="E577" s="73"/>
      <c r="F577" s="141"/>
      <c r="G577" s="74"/>
      <c r="H577" s="75"/>
      <c r="I577" s="76"/>
      <c r="J577" s="135"/>
      <c r="K577" s="135"/>
      <c r="L577" s="77">
        <f t="shared" si="266"/>
        <v>0</v>
      </c>
      <c r="M577" s="78"/>
      <c r="N577" s="142"/>
      <c r="O577" s="142"/>
      <c r="P577" s="77">
        <f t="shared" si="267"/>
        <v>0</v>
      </c>
      <c r="Q577" s="78"/>
      <c r="R577" s="143"/>
      <c r="S577" s="143"/>
      <c r="T577" s="77">
        <f t="shared" si="268"/>
        <v>0</v>
      </c>
      <c r="U577" s="75"/>
      <c r="V577" s="76"/>
      <c r="W577" s="135"/>
      <c r="X577" s="135"/>
      <c r="Y577" s="77">
        <f t="shared" si="269"/>
        <v>0</v>
      </c>
      <c r="Z577" s="78"/>
      <c r="AA577" s="142"/>
      <c r="AB577" s="142"/>
      <c r="AC577" s="77">
        <f t="shared" si="270"/>
        <v>0</v>
      </c>
      <c r="AD577" s="78"/>
      <c r="AE577" s="143"/>
      <c r="AF577" s="143"/>
      <c r="AG577" s="79">
        <f t="shared" si="271"/>
        <v>0</v>
      </c>
      <c r="AH577" s="75"/>
      <c r="AI577" s="76"/>
      <c r="AJ577" s="135"/>
      <c r="AK577" s="135"/>
      <c r="AL577" s="77">
        <f t="shared" si="272"/>
        <v>0</v>
      </c>
      <c r="AM577" s="76"/>
      <c r="AN577" s="142"/>
      <c r="AO577" s="142"/>
      <c r="AP577" s="77">
        <f t="shared" si="273"/>
        <v>0</v>
      </c>
      <c r="AQ577" s="78"/>
      <c r="AR577" s="142"/>
      <c r="AS577" s="142"/>
      <c r="AT577" s="79">
        <f t="shared" si="274"/>
        <v>0</v>
      </c>
      <c r="AU577" s="75"/>
      <c r="AV577" s="76"/>
      <c r="AW577" s="135"/>
      <c r="AX577" s="135"/>
      <c r="AY577" s="77">
        <f t="shared" si="275"/>
        <v>0</v>
      </c>
      <c r="AZ577" s="76"/>
      <c r="BA577" s="142"/>
      <c r="BB577" s="142"/>
      <c r="BC577" s="77">
        <f t="shared" si="276"/>
        <v>0</v>
      </c>
      <c r="BD577" s="78"/>
      <c r="BE577" s="142"/>
      <c r="BF577" s="142"/>
      <c r="BG577" s="79">
        <f t="shared" si="277"/>
        <v>0</v>
      </c>
      <c r="BH577" s="75"/>
      <c r="BI577" s="76"/>
      <c r="BJ577" s="135"/>
      <c r="BK577" s="135"/>
      <c r="BL577" s="77">
        <f t="shared" si="278"/>
        <v>0</v>
      </c>
      <c r="BM577" s="78"/>
      <c r="BN577" s="142"/>
      <c r="BO577" s="142"/>
      <c r="BP577" s="77">
        <f t="shared" si="279"/>
        <v>0</v>
      </c>
      <c r="BQ577" s="78"/>
      <c r="BR577" s="142"/>
      <c r="BS577" s="142"/>
      <c r="BT577" s="79">
        <f t="shared" si="280"/>
        <v>0</v>
      </c>
      <c r="BU577" s="75"/>
      <c r="BV577" s="76"/>
      <c r="BW577" s="135"/>
      <c r="BX577" s="135"/>
      <c r="BY577" s="77">
        <f t="shared" si="281"/>
        <v>0</v>
      </c>
      <c r="BZ577" s="78"/>
      <c r="CA577" s="142"/>
      <c r="CB577" s="142"/>
      <c r="CC577" s="77">
        <f t="shared" si="282"/>
        <v>0</v>
      </c>
      <c r="CD577" s="78"/>
      <c r="CE577" s="142"/>
      <c r="CF577" s="142"/>
      <c r="CG577" s="79">
        <f t="shared" si="283"/>
        <v>0</v>
      </c>
      <c r="CH577" s="75"/>
      <c r="CI577" s="76"/>
      <c r="CJ577" s="86"/>
      <c r="CK577" s="86"/>
      <c r="CL577" s="77">
        <f t="shared" si="284"/>
        <v>0</v>
      </c>
      <c r="CM577" s="78"/>
      <c r="CN577" s="85"/>
      <c r="CO577" s="85"/>
      <c r="CP577" s="77">
        <f t="shared" si="285"/>
        <v>0</v>
      </c>
      <c r="CQ577" s="78"/>
      <c r="CR577" s="85"/>
      <c r="CS577" s="85"/>
      <c r="CT577" s="79">
        <f t="shared" si="286"/>
        <v>0</v>
      </c>
      <c r="CU577" s="80">
        <f t="shared" si="168"/>
        <v>0</v>
      </c>
      <c r="CV577" s="81">
        <f t="shared" si="169"/>
        <v>0</v>
      </c>
      <c r="CW577" s="144"/>
      <c r="CX577" s="145">
        <f>IF(ISERROR(VLOOKUP($A577,FIJOS!$B$11:$O$590,14,FALSE)),0,VLOOKUP($A577,FIJOS!$B$11:$O$590,14,FALSE))</f>
        <v>0</v>
      </c>
      <c r="CY577" s="145">
        <f>IF(ISERROR(VLOOKUP(A577,FIJOS!$B$10:$P$590,15,FALSE)),0,VLOOKUP(A577,FIJOS!$B$10:$P$590,15,FALSE))</f>
        <v>0</v>
      </c>
      <c r="CZ577" s="155"/>
      <c r="DA577" s="147"/>
      <c r="DB577" s="147"/>
      <c r="DC577" s="147"/>
      <c r="DD577" s="147"/>
      <c r="DE577" s="147"/>
      <c r="DF577" s="145">
        <f>IF(ISERROR(VLOOKUP($A577,FIJOS!$B$11:$N$590,13,FALSE)),0,VLOOKUP($A577,FIJOS!$B$11:$N$590,13,FALSE))</f>
        <v>0</v>
      </c>
      <c r="DG577" s="145">
        <f>IF(ISERROR(VLOOKUP($A577,FIJOS!$B$11:$P$447,12,FALSE)),0,VLOOKUP($A577,FIJOS!$B$11:$P$447,12,FALSE))</f>
        <v>0</v>
      </c>
      <c r="DH577" s="82">
        <f t="shared" si="258"/>
        <v>0</v>
      </c>
      <c r="DI577" s="83" t="b">
        <f>IF($C577=1,(VLOOKUP($A577,FIJOS!$B$11:$P$545,10,FALSE)/7)*(7-$CU577),IF(AND($C577=2,CV577&lt;$DJ$1),(VLOOKUP($D577,HORAS!$B$4:$C$42,2,FALSE)*24)*$CV577,IF(AND($C577=2,CV577&gt;=$DJ$1),VLOOKUP($D577,HORAS!$B$4:$D$42,3,FALSE),IF(AND($C577=3,$CV577&gt;=$DJ$1),VLOOKUP($A577,FIJOS!$B$11:$P$545,10,FALSE),IF(AND($C577=3,$CV577&lt;$DJ$1),((VLOOKUP($A577,FIJOS!$B$11:$P$545,10,FALSE)/48)*24)*$CV577,IF(AND($C577=4,$CV577&gt;=(42/24)),VLOOKUP($D577,HORAS!$B$4:$D$42,3,FALSE),IF(AND($C577=5,$CV577&gt;=(36/24)),VLOOKUP($D577,HORAS!$B$4:$D$42,3,FALSE))))))))</f>
        <v>0</v>
      </c>
      <c r="DJ577" s="145">
        <f>IF(OR($C577=2),VLOOKUP($D577,HORAS!$B$4:$E$42,4,FALSE)*$EC577,IF(ISERROR(VLOOKUP($A577,FIJOS!$B$11:$P$108,9,FALSE)),0,VLOOKUP($A577,FIJOS!$B$11:$P$231,9,FALSE)*$EC577))</f>
        <v>0</v>
      </c>
      <c r="DK577" s="145">
        <f>IF(OR($C577=2),VLOOKUP($D577,HORAS!$B$4:$F$42,5,FALSE)*$EE577,IF(ISERROR(VLOOKUP($A577,FIJOS!$B$11:$P$108,9,FALSE)),0,VLOOKUP($A577,FIJOS!$B$11:$P$231,9,FALSE)*$EE577))</f>
        <v>0</v>
      </c>
      <c r="DL577" s="144"/>
      <c r="DM577" s="145">
        <f>IF(ISERROR(VLOOKUP($A577,FIJOS!$B$11:$L$646,11,FALSE)),0,VLOOKUP($A577,FIJOS!$B$11:$L$646,11,FALSE))</f>
        <v>0</v>
      </c>
      <c r="DN577" s="148" t="e">
        <f>IF(OR($C577=1,$C577=3),0,IF((VLOOKUP(CAPTURA!D577,HORAS!$B$4:$K$42,10,FALSE)/4)*COUNTIF($H577:$CT577,3)&gt;100,100,(VLOOKUP(CAPTURA!D577,HORAS!$B$4:$K$42,10,FALSE)/4)*COUNTIF($H577:$CT577,3)))</f>
        <v>#N/A</v>
      </c>
      <c r="DO577" s="144" t="e">
        <f>IF(OR($C577=1,$C577=3),0,IF($C577=5,VLOOKUP(D577,HORAS!$B$4:$G$42,6,FALSE),IF(AND($C577=4,$CV577&gt;=(42/24)),VLOOKUP(D577,HORAS!$B$4:$G$42,6,FALSE),IF(COUNTIF($H577:$CL577,"F")&gt;0,0,IF(CV577&gt;$DJ$1,$DJ$1*(VLOOKUP(D577,HORAS!$B$4:$G$42,6,FALSE)/$DJ$1),CV577*(VLOOKUP(D577,HORAS!$B$4:$G$42,6,FALSE)/$DJ$1))))))</f>
        <v>#N/A</v>
      </c>
      <c r="DP577" s="156"/>
      <c r="DQ577" s="148"/>
      <c r="DR577" s="148"/>
      <c r="DS577" s="83" t="e">
        <f t="shared" si="287"/>
        <v>#N/A</v>
      </c>
      <c r="DT577" s="84"/>
      <c r="DU577" s="149" t="e">
        <f t="shared" si="259"/>
        <v>#N/A</v>
      </c>
      <c r="DV577" s="149" t="e">
        <f t="shared" si="260"/>
        <v>#N/A</v>
      </c>
      <c r="DW577" s="144" t="e">
        <f t="shared" si="261"/>
        <v>#N/A</v>
      </c>
      <c r="DX577" s="168"/>
      <c r="DY577" s="29"/>
      <c r="DZ577" s="150"/>
      <c r="EA577" s="134"/>
      <c r="EB577" s="137">
        <f t="shared" si="262"/>
        <v>0</v>
      </c>
      <c r="EC577" s="138">
        <f t="shared" si="263"/>
        <v>0</v>
      </c>
      <c r="ED577" s="137">
        <f t="shared" si="264"/>
        <v>0</v>
      </c>
      <c r="EE577" s="132">
        <f t="shared" si="265"/>
        <v>0</v>
      </c>
      <c r="EF577" s="29"/>
      <c r="EG577" s="134"/>
      <c r="EH577" s="134"/>
      <c r="EI577" s="134"/>
      <c r="EK577" s="29"/>
    </row>
    <row r="578" spans="1:141" ht="15" customHeight="1" x14ac:dyDescent="0.25">
      <c r="A578" s="87"/>
      <c r="B578" s="5"/>
      <c r="C578" s="72"/>
      <c r="D578" s="73"/>
      <c r="E578" s="73"/>
      <c r="F578" s="141"/>
      <c r="G578" s="74"/>
      <c r="H578" s="75"/>
      <c r="I578" s="76"/>
      <c r="J578" s="135"/>
      <c r="K578" s="135"/>
      <c r="L578" s="77">
        <f t="shared" si="266"/>
        <v>0</v>
      </c>
      <c r="M578" s="78"/>
      <c r="N578" s="142"/>
      <c r="O578" s="142"/>
      <c r="P578" s="77">
        <f t="shared" si="267"/>
        <v>0</v>
      </c>
      <c r="Q578" s="78"/>
      <c r="R578" s="143"/>
      <c r="S578" s="143"/>
      <c r="T578" s="77">
        <f t="shared" si="268"/>
        <v>0</v>
      </c>
      <c r="U578" s="75"/>
      <c r="V578" s="76"/>
      <c r="W578" s="135"/>
      <c r="X578" s="135"/>
      <c r="Y578" s="77">
        <f t="shared" si="269"/>
        <v>0</v>
      </c>
      <c r="Z578" s="78"/>
      <c r="AA578" s="142"/>
      <c r="AB578" s="142"/>
      <c r="AC578" s="77">
        <f t="shared" si="270"/>
        <v>0</v>
      </c>
      <c r="AD578" s="78"/>
      <c r="AE578" s="143"/>
      <c r="AF578" s="143"/>
      <c r="AG578" s="79">
        <f t="shared" si="271"/>
        <v>0</v>
      </c>
      <c r="AH578" s="75"/>
      <c r="AI578" s="76"/>
      <c r="AJ578" s="135"/>
      <c r="AK578" s="135"/>
      <c r="AL578" s="77">
        <f t="shared" si="272"/>
        <v>0</v>
      </c>
      <c r="AM578" s="76"/>
      <c r="AN578" s="142"/>
      <c r="AO578" s="142"/>
      <c r="AP578" s="77">
        <f t="shared" si="273"/>
        <v>0</v>
      </c>
      <c r="AQ578" s="78"/>
      <c r="AR578" s="142"/>
      <c r="AS578" s="142"/>
      <c r="AT578" s="79">
        <f t="shared" si="274"/>
        <v>0</v>
      </c>
      <c r="AU578" s="75"/>
      <c r="AV578" s="76"/>
      <c r="AW578" s="135"/>
      <c r="AX578" s="135"/>
      <c r="AY578" s="77">
        <f t="shared" si="275"/>
        <v>0</v>
      </c>
      <c r="AZ578" s="76"/>
      <c r="BA578" s="142"/>
      <c r="BB578" s="142"/>
      <c r="BC578" s="77">
        <f t="shared" si="276"/>
        <v>0</v>
      </c>
      <c r="BD578" s="78"/>
      <c r="BE578" s="142"/>
      <c r="BF578" s="142"/>
      <c r="BG578" s="79">
        <f t="shared" si="277"/>
        <v>0</v>
      </c>
      <c r="BH578" s="75"/>
      <c r="BI578" s="76"/>
      <c r="BJ578" s="135"/>
      <c r="BK578" s="135"/>
      <c r="BL578" s="77">
        <f t="shared" si="278"/>
        <v>0</v>
      </c>
      <c r="BM578" s="78"/>
      <c r="BN578" s="142"/>
      <c r="BO578" s="142"/>
      <c r="BP578" s="77">
        <f t="shared" si="279"/>
        <v>0</v>
      </c>
      <c r="BQ578" s="78"/>
      <c r="BR578" s="142"/>
      <c r="BS578" s="142"/>
      <c r="BT578" s="79">
        <f t="shared" si="280"/>
        <v>0</v>
      </c>
      <c r="BU578" s="75"/>
      <c r="BV578" s="76"/>
      <c r="BW578" s="135"/>
      <c r="BX578" s="135"/>
      <c r="BY578" s="77">
        <f t="shared" si="281"/>
        <v>0</v>
      </c>
      <c r="BZ578" s="78"/>
      <c r="CA578" s="142"/>
      <c r="CB578" s="142"/>
      <c r="CC578" s="77">
        <f t="shared" si="282"/>
        <v>0</v>
      </c>
      <c r="CD578" s="78"/>
      <c r="CE578" s="142"/>
      <c r="CF578" s="142"/>
      <c r="CG578" s="79">
        <f t="shared" si="283"/>
        <v>0</v>
      </c>
      <c r="CH578" s="75"/>
      <c r="CI578" s="76"/>
      <c r="CJ578" s="86"/>
      <c r="CK578" s="86"/>
      <c r="CL578" s="77">
        <f t="shared" si="284"/>
        <v>0</v>
      </c>
      <c r="CM578" s="78"/>
      <c r="CN578" s="85"/>
      <c r="CO578" s="85"/>
      <c r="CP578" s="77">
        <f t="shared" si="285"/>
        <v>0</v>
      </c>
      <c r="CQ578" s="78"/>
      <c r="CR578" s="85"/>
      <c r="CS578" s="85"/>
      <c r="CT578" s="79">
        <f t="shared" si="286"/>
        <v>0</v>
      </c>
      <c r="CU578" s="80">
        <f t="shared" si="168"/>
        <v>0</v>
      </c>
      <c r="CV578" s="81">
        <f t="shared" si="169"/>
        <v>0</v>
      </c>
      <c r="CW578" s="144"/>
      <c r="CX578" s="145">
        <f>IF(ISERROR(VLOOKUP($A578,FIJOS!$B$11:$O$590,14,FALSE)),0,VLOOKUP($A578,FIJOS!$B$11:$O$590,14,FALSE))</f>
        <v>0</v>
      </c>
      <c r="CY578" s="145">
        <f>IF(ISERROR(VLOOKUP(A578,FIJOS!$B$10:$P$590,15,FALSE)),0,VLOOKUP(A578,FIJOS!$B$10:$P$590,15,FALSE))</f>
        <v>0</v>
      </c>
      <c r="CZ578" s="155"/>
      <c r="DA578" s="147"/>
      <c r="DB578" s="147"/>
      <c r="DC578" s="147"/>
      <c r="DD578" s="147"/>
      <c r="DE578" s="147"/>
      <c r="DF578" s="145">
        <f>IF(ISERROR(VLOOKUP($A578,FIJOS!$B$11:$N$590,13,FALSE)),0,VLOOKUP($A578,FIJOS!$B$11:$N$590,13,FALSE))</f>
        <v>0</v>
      </c>
      <c r="DG578" s="145">
        <f>IF(ISERROR(VLOOKUP($A578,FIJOS!$B$11:$P$447,12,FALSE)),0,VLOOKUP($A578,FIJOS!$B$11:$P$447,12,FALSE))</f>
        <v>0</v>
      </c>
      <c r="DH578" s="82">
        <f t="shared" si="258"/>
        <v>0</v>
      </c>
      <c r="DI578" s="83" t="b">
        <f>IF($C578=1,(VLOOKUP($A578,FIJOS!$B$11:$P$545,10,FALSE)/7)*(7-$CU578),IF(AND($C578=2,CV578&lt;$DJ$1),(VLOOKUP($D578,HORAS!$B$4:$C$42,2,FALSE)*24)*$CV578,IF(AND($C578=2,CV578&gt;=$DJ$1),VLOOKUP($D578,HORAS!$B$4:$D$42,3,FALSE),IF(AND($C578=3,$CV578&gt;=$DJ$1),VLOOKUP($A578,FIJOS!$B$11:$P$545,10,FALSE),IF(AND($C578=3,$CV578&lt;$DJ$1),((VLOOKUP($A578,FIJOS!$B$11:$P$545,10,FALSE)/48)*24)*$CV578,IF(AND($C578=4,$CV578&gt;=(42/24)),VLOOKUP($D578,HORAS!$B$4:$D$42,3,FALSE),IF(AND($C578=5,$CV578&gt;=(36/24)),VLOOKUP($D578,HORAS!$B$4:$D$42,3,FALSE))))))))</f>
        <v>0</v>
      </c>
      <c r="DJ578" s="145">
        <f>IF(OR($C578=2),VLOOKUP($D578,HORAS!$B$4:$E$42,4,FALSE)*$EC578,IF(ISERROR(VLOOKUP($A578,FIJOS!$B$11:$P$108,9,FALSE)),0,VLOOKUP($A578,FIJOS!$B$11:$P$231,9,FALSE)*$EC578))</f>
        <v>0</v>
      </c>
      <c r="DK578" s="145">
        <f>IF(OR($C578=2),VLOOKUP($D578,HORAS!$B$4:$F$42,5,FALSE)*$EE578,IF(ISERROR(VLOOKUP($A578,FIJOS!$B$11:$P$108,9,FALSE)),0,VLOOKUP($A578,FIJOS!$B$11:$P$231,9,FALSE)*$EE578))</f>
        <v>0</v>
      </c>
      <c r="DL578" s="144"/>
      <c r="DM578" s="145">
        <f>IF(ISERROR(VLOOKUP($A578,FIJOS!$B$11:$L$646,11,FALSE)),0,VLOOKUP($A578,FIJOS!$B$11:$L$646,11,FALSE))</f>
        <v>0</v>
      </c>
      <c r="DN578" s="148" t="e">
        <f>IF(OR($C578=1,$C578=3),0,IF((VLOOKUP(CAPTURA!D578,HORAS!$B$4:$K$42,10,FALSE)/4)*COUNTIF($H578:$CT578,3)&gt;100,100,(VLOOKUP(CAPTURA!D578,HORAS!$B$4:$K$42,10,FALSE)/4)*COUNTIF($H578:$CT578,3)))</f>
        <v>#N/A</v>
      </c>
      <c r="DO578" s="144" t="e">
        <f>IF(OR($C578=1,$C578=3),0,IF($C578=5,VLOOKUP(D578,HORAS!$B$4:$G$42,6,FALSE),IF(AND($C578=4,$CV578&gt;=(42/24)),VLOOKUP(D578,HORAS!$B$4:$G$42,6,FALSE),IF(COUNTIF($H578:$CL578,"F")&gt;0,0,IF(CV578&gt;$DJ$1,$DJ$1*(VLOOKUP(D578,HORAS!$B$4:$G$42,6,FALSE)/$DJ$1),CV578*(VLOOKUP(D578,HORAS!$B$4:$G$42,6,FALSE)/$DJ$1))))))</f>
        <v>#N/A</v>
      </c>
      <c r="DP578" s="156"/>
      <c r="DQ578" s="148"/>
      <c r="DR578" s="148"/>
      <c r="DS578" s="83" t="e">
        <f t="shared" si="287"/>
        <v>#N/A</v>
      </c>
      <c r="DT578" s="84"/>
      <c r="DU578" s="149" t="e">
        <f t="shared" si="259"/>
        <v>#N/A</v>
      </c>
      <c r="DV578" s="149" t="e">
        <f t="shared" si="260"/>
        <v>#N/A</v>
      </c>
      <c r="DW578" s="144" t="e">
        <f t="shared" si="261"/>
        <v>#N/A</v>
      </c>
      <c r="DX578" s="168"/>
      <c r="DY578" s="29"/>
      <c r="DZ578" s="150"/>
      <c r="EA578" s="134"/>
      <c r="EB578" s="137">
        <f t="shared" si="262"/>
        <v>0</v>
      </c>
      <c r="EC578" s="138">
        <f t="shared" si="263"/>
        <v>0</v>
      </c>
      <c r="ED578" s="137">
        <f t="shared" si="264"/>
        <v>0</v>
      </c>
      <c r="EE578" s="132">
        <f t="shared" si="265"/>
        <v>0</v>
      </c>
      <c r="EF578" s="29"/>
      <c r="EG578" s="134"/>
      <c r="EH578" s="134"/>
      <c r="EI578" s="134"/>
      <c r="EK578" s="29"/>
    </row>
    <row r="579" spans="1:141" ht="15" customHeight="1" x14ac:dyDescent="0.25">
      <c r="A579" s="87"/>
      <c r="B579" s="5"/>
      <c r="C579" s="72"/>
      <c r="D579" s="73"/>
      <c r="E579" s="73"/>
      <c r="F579" s="141"/>
      <c r="G579" s="74"/>
      <c r="H579" s="75"/>
      <c r="I579" s="76"/>
      <c r="J579" s="135"/>
      <c r="K579" s="135"/>
      <c r="L579" s="77">
        <f t="shared" si="266"/>
        <v>0</v>
      </c>
      <c r="M579" s="78"/>
      <c r="N579" s="142"/>
      <c r="O579" s="142"/>
      <c r="P579" s="77">
        <f t="shared" si="267"/>
        <v>0</v>
      </c>
      <c r="Q579" s="78"/>
      <c r="R579" s="143"/>
      <c r="S579" s="143"/>
      <c r="T579" s="77">
        <f t="shared" si="268"/>
        <v>0</v>
      </c>
      <c r="U579" s="75"/>
      <c r="V579" s="76"/>
      <c r="W579" s="135"/>
      <c r="X579" s="135"/>
      <c r="Y579" s="77">
        <f t="shared" si="269"/>
        <v>0</v>
      </c>
      <c r="Z579" s="78"/>
      <c r="AA579" s="142"/>
      <c r="AB579" s="142"/>
      <c r="AC579" s="77">
        <f t="shared" si="270"/>
        <v>0</v>
      </c>
      <c r="AD579" s="78"/>
      <c r="AE579" s="143"/>
      <c r="AF579" s="143"/>
      <c r="AG579" s="79">
        <f t="shared" si="271"/>
        <v>0</v>
      </c>
      <c r="AH579" s="75"/>
      <c r="AI579" s="76"/>
      <c r="AJ579" s="135"/>
      <c r="AK579" s="135"/>
      <c r="AL579" s="77">
        <f t="shared" si="272"/>
        <v>0</v>
      </c>
      <c r="AM579" s="76"/>
      <c r="AN579" s="142"/>
      <c r="AO579" s="142"/>
      <c r="AP579" s="77">
        <f t="shared" si="273"/>
        <v>0</v>
      </c>
      <c r="AQ579" s="78"/>
      <c r="AR579" s="142"/>
      <c r="AS579" s="142"/>
      <c r="AT579" s="79">
        <f t="shared" si="274"/>
        <v>0</v>
      </c>
      <c r="AU579" s="75"/>
      <c r="AV579" s="76"/>
      <c r="AW579" s="135"/>
      <c r="AX579" s="135"/>
      <c r="AY579" s="77">
        <f t="shared" si="275"/>
        <v>0</v>
      </c>
      <c r="AZ579" s="76"/>
      <c r="BA579" s="142"/>
      <c r="BB579" s="142"/>
      <c r="BC579" s="77">
        <f t="shared" si="276"/>
        <v>0</v>
      </c>
      <c r="BD579" s="78"/>
      <c r="BE579" s="142"/>
      <c r="BF579" s="142"/>
      <c r="BG579" s="79">
        <f t="shared" si="277"/>
        <v>0</v>
      </c>
      <c r="BH579" s="75"/>
      <c r="BI579" s="76"/>
      <c r="BJ579" s="135"/>
      <c r="BK579" s="135"/>
      <c r="BL579" s="77">
        <f t="shared" si="278"/>
        <v>0</v>
      </c>
      <c r="BM579" s="78"/>
      <c r="BN579" s="142"/>
      <c r="BO579" s="142"/>
      <c r="BP579" s="77">
        <f t="shared" si="279"/>
        <v>0</v>
      </c>
      <c r="BQ579" s="78"/>
      <c r="BR579" s="142"/>
      <c r="BS579" s="142"/>
      <c r="BT579" s="79">
        <f t="shared" si="280"/>
        <v>0</v>
      </c>
      <c r="BU579" s="75"/>
      <c r="BV579" s="76"/>
      <c r="BW579" s="135"/>
      <c r="BX579" s="135"/>
      <c r="BY579" s="77">
        <f t="shared" si="281"/>
        <v>0</v>
      </c>
      <c r="BZ579" s="78"/>
      <c r="CA579" s="142"/>
      <c r="CB579" s="142"/>
      <c r="CC579" s="77">
        <f t="shared" si="282"/>
        <v>0</v>
      </c>
      <c r="CD579" s="78"/>
      <c r="CE579" s="142"/>
      <c r="CF579" s="142"/>
      <c r="CG579" s="79">
        <f t="shared" si="283"/>
        <v>0</v>
      </c>
      <c r="CH579" s="75"/>
      <c r="CI579" s="76"/>
      <c r="CJ579" s="86"/>
      <c r="CK579" s="86"/>
      <c r="CL579" s="77">
        <f t="shared" si="284"/>
        <v>0</v>
      </c>
      <c r="CM579" s="78"/>
      <c r="CN579" s="85"/>
      <c r="CO579" s="85"/>
      <c r="CP579" s="77">
        <f t="shared" si="285"/>
        <v>0</v>
      </c>
      <c r="CQ579" s="78"/>
      <c r="CR579" s="85"/>
      <c r="CS579" s="85"/>
      <c r="CT579" s="79">
        <f t="shared" si="286"/>
        <v>0</v>
      </c>
      <c r="CU579" s="80">
        <f t="shared" si="168"/>
        <v>0</v>
      </c>
      <c r="CV579" s="81">
        <f t="shared" si="169"/>
        <v>0</v>
      </c>
      <c r="CW579" s="144"/>
      <c r="CX579" s="145">
        <f>IF(ISERROR(VLOOKUP($A579,FIJOS!$B$11:$O$590,14,FALSE)),0,VLOOKUP($A579,FIJOS!$B$11:$O$590,14,FALSE))</f>
        <v>0</v>
      </c>
      <c r="CY579" s="145">
        <f>IF(ISERROR(VLOOKUP(A579,FIJOS!$B$10:$P$590,15,FALSE)),0,VLOOKUP(A579,FIJOS!$B$10:$P$590,15,FALSE))</f>
        <v>0</v>
      </c>
      <c r="CZ579" s="155"/>
      <c r="DA579" s="147"/>
      <c r="DB579" s="147"/>
      <c r="DC579" s="147"/>
      <c r="DD579" s="147"/>
      <c r="DE579" s="147"/>
      <c r="DF579" s="145">
        <f>IF(ISERROR(VLOOKUP($A579,FIJOS!$B$11:$N$590,13,FALSE)),0,VLOOKUP($A579,FIJOS!$B$11:$N$590,13,FALSE))</f>
        <v>0</v>
      </c>
      <c r="DG579" s="145">
        <f>IF(ISERROR(VLOOKUP($A579,FIJOS!$B$11:$P$447,12,FALSE)),0,VLOOKUP($A579,FIJOS!$B$11:$P$447,12,FALSE))</f>
        <v>0</v>
      </c>
      <c r="DH579" s="82">
        <f t="shared" si="258"/>
        <v>0</v>
      </c>
      <c r="DI579" s="83" t="b">
        <f>IF($C579=1,(VLOOKUP($A579,FIJOS!$B$11:$P$545,10,FALSE)/7)*(7-$CU579),IF(AND($C579=2,CV579&lt;$DJ$1),(VLOOKUP($D579,HORAS!$B$4:$C$42,2,FALSE)*24)*$CV579,IF(AND($C579=2,CV579&gt;=$DJ$1),VLOOKUP($D579,HORAS!$B$4:$D$42,3,FALSE),IF(AND($C579=3,$CV579&gt;=$DJ$1),VLOOKUP($A579,FIJOS!$B$11:$P$545,10,FALSE),IF(AND($C579=3,$CV579&lt;$DJ$1),((VLOOKUP($A579,FIJOS!$B$11:$P$545,10,FALSE)/48)*24)*$CV579,IF(AND($C579=4,$CV579&gt;=(42/24)),VLOOKUP($D579,HORAS!$B$4:$D$42,3,FALSE),IF(AND($C579=5,$CV579&gt;=(36/24)),VLOOKUP($D579,HORAS!$B$4:$D$42,3,FALSE))))))))</f>
        <v>0</v>
      </c>
      <c r="DJ579" s="145">
        <f>IF(OR($C579=2),VLOOKUP($D579,HORAS!$B$4:$E$42,4,FALSE)*$EC579,IF(ISERROR(VLOOKUP($A579,FIJOS!$B$11:$P$108,9,FALSE)),0,VLOOKUP($A579,FIJOS!$B$11:$P$231,9,FALSE)*$EC579))</f>
        <v>0</v>
      </c>
      <c r="DK579" s="145">
        <f>IF(OR($C579=2),VLOOKUP($D579,HORAS!$B$4:$F$42,5,FALSE)*$EE579,IF(ISERROR(VLOOKUP($A579,FIJOS!$B$11:$P$108,9,FALSE)),0,VLOOKUP($A579,FIJOS!$B$11:$P$231,9,FALSE)*$EE579))</f>
        <v>0</v>
      </c>
      <c r="DL579" s="144"/>
      <c r="DM579" s="145">
        <f>IF(ISERROR(VLOOKUP($A579,FIJOS!$B$11:$L$646,11,FALSE)),0,VLOOKUP($A579,FIJOS!$B$11:$L$646,11,FALSE))</f>
        <v>0</v>
      </c>
      <c r="DN579" s="148" t="e">
        <f>IF(OR($C579=1,$C579=3),0,IF((VLOOKUP(CAPTURA!D579,HORAS!$B$4:$K$42,10,FALSE)/4)*COUNTIF($H579:$CT579,3)&gt;100,100,(VLOOKUP(CAPTURA!D579,HORAS!$B$4:$K$42,10,FALSE)/4)*COUNTIF($H579:$CT579,3)))</f>
        <v>#N/A</v>
      </c>
      <c r="DO579" s="144" t="e">
        <f>IF(OR($C579=1,$C579=3),0,IF($C579=5,VLOOKUP(D579,HORAS!$B$4:$G$42,6,FALSE),IF(AND($C579=4,$CV579&gt;=(42/24)),VLOOKUP(D579,HORAS!$B$4:$G$42,6,FALSE),IF(COUNTIF($H579:$CL579,"F")&gt;0,0,IF(CV579&gt;$DJ$1,$DJ$1*(VLOOKUP(D579,HORAS!$B$4:$G$42,6,FALSE)/$DJ$1),CV579*(VLOOKUP(D579,HORAS!$B$4:$G$42,6,FALSE)/$DJ$1))))))</f>
        <v>#N/A</v>
      </c>
      <c r="DP579" s="156"/>
      <c r="DQ579" s="148"/>
      <c r="DR579" s="148"/>
      <c r="DS579" s="83" t="e">
        <f t="shared" si="287"/>
        <v>#N/A</v>
      </c>
      <c r="DT579" s="84"/>
      <c r="DU579" s="149" t="e">
        <f t="shared" si="259"/>
        <v>#N/A</v>
      </c>
      <c r="DV579" s="149" t="e">
        <f t="shared" si="260"/>
        <v>#N/A</v>
      </c>
      <c r="DW579" s="144" t="e">
        <f t="shared" si="261"/>
        <v>#N/A</v>
      </c>
      <c r="DX579" s="168"/>
      <c r="DY579" s="29"/>
      <c r="DZ579" s="150"/>
      <c r="EA579" s="134"/>
      <c r="EB579" s="137">
        <f t="shared" si="262"/>
        <v>0</v>
      </c>
      <c r="EC579" s="138">
        <f t="shared" si="263"/>
        <v>0</v>
      </c>
      <c r="ED579" s="137">
        <f t="shared" si="264"/>
        <v>0</v>
      </c>
      <c r="EE579" s="132">
        <f t="shared" si="265"/>
        <v>0</v>
      </c>
      <c r="EF579" s="29"/>
      <c r="EG579" s="134"/>
      <c r="EH579" s="134"/>
      <c r="EI579" s="134"/>
      <c r="EK579" s="29"/>
    </row>
    <row r="580" spans="1:141" ht="15" customHeight="1" x14ac:dyDescent="0.25">
      <c r="A580" s="87"/>
      <c r="B580" s="5"/>
      <c r="C580" s="72"/>
      <c r="D580" s="73"/>
      <c r="E580" s="73"/>
      <c r="F580" s="141"/>
      <c r="G580" s="74"/>
      <c r="H580" s="75"/>
      <c r="I580" s="76"/>
      <c r="J580" s="135"/>
      <c r="K580" s="135"/>
      <c r="L580" s="77">
        <f t="shared" si="266"/>
        <v>0</v>
      </c>
      <c r="M580" s="78"/>
      <c r="N580" s="142"/>
      <c r="O580" s="142"/>
      <c r="P580" s="77">
        <f t="shared" si="267"/>
        <v>0</v>
      </c>
      <c r="Q580" s="78"/>
      <c r="R580" s="143"/>
      <c r="S580" s="143"/>
      <c r="T580" s="77">
        <f t="shared" si="268"/>
        <v>0</v>
      </c>
      <c r="U580" s="75"/>
      <c r="V580" s="76"/>
      <c r="W580" s="135"/>
      <c r="X580" s="135"/>
      <c r="Y580" s="77">
        <f t="shared" si="269"/>
        <v>0</v>
      </c>
      <c r="Z580" s="78"/>
      <c r="AA580" s="142"/>
      <c r="AB580" s="142"/>
      <c r="AC580" s="77">
        <f t="shared" si="270"/>
        <v>0</v>
      </c>
      <c r="AD580" s="78"/>
      <c r="AE580" s="143"/>
      <c r="AF580" s="143"/>
      <c r="AG580" s="79">
        <f t="shared" si="271"/>
        <v>0</v>
      </c>
      <c r="AH580" s="75"/>
      <c r="AI580" s="76"/>
      <c r="AJ580" s="135"/>
      <c r="AK580" s="135"/>
      <c r="AL580" s="77">
        <f t="shared" si="272"/>
        <v>0</v>
      </c>
      <c r="AM580" s="76"/>
      <c r="AN580" s="142"/>
      <c r="AO580" s="142"/>
      <c r="AP580" s="77">
        <f t="shared" si="273"/>
        <v>0</v>
      </c>
      <c r="AQ580" s="78"/>
      <c r="AR580" s="142"/>
      <c r="AS580" s="142"/>
      <c r="AT580" s="79">
        <f t="shared" si="274"/>
        <v>0</v>
      </c>
      <c r="AU580" s="75"/>
      <c r="AV580" s="76"/>
      <c r="AW580" s="135"/>
      <c r="AX580" s="135"/>
      <c r="AY580" s="77">
        <f t="shared" si="275"/>
        <v>0</v>
      </c>
      <c r="AZ580" s="76"/>
      <c r="BA580" s="142"/>
      <c r="BB580" s="142"/>
      <c r="BC580" s="77">
        <f t="shared" si="276"/>
        <v>0</v>
      </c>
      <c r="BD580" s="78"/>
      <c r="BE580" s="142"/>
      <c r="BF580" s="142"/>
      <c r="BG580" s="79">
        <f t="shared" si="277"/>
        <v>0</v>
      </c>
      <c r="BH580" s="75"/>
      <c r="BI580" s="76"/>
      <c r="BJ580" s="135"/>
      <c r="BK580" s="135"/>
      <c r="BL580" s="77">
        <f t="shared" si="278"/>
        <v>0</v>
      </c>
      <c r="BM580" s="78"/>
      <c r="BN580" s="142"/>
      <c r="BO580" s="142"/>
      <c r="BP580" s="77">
        <f t="shared" si="279"/>
        <v>0</v>
      </c>
      <c r="BQ580" s="78"/>
      <c r="BR580" s="142"/>
      <c r="BS580" s="142"/>
      <c r="BT580" s="79">
        <f t="shared" si="280"/>
        <v>0</v>
      </c>
      <c r="BU580" s="75"/>
      <c r="BV580" s="76"/>
      <c r="BW580" s="135"/>
      <c r="BX580" s="135"/>
      <c r="BY580" s="77">
        <f t="shared" si="281"/>
        <v>0</v>
      </c>
      <c r="BZ580" s="78"/>
      <c r="CA580" s="142"/>
      <c r="CB580" s="142"/>
      <c r="CC580" s="77">
        <f t="shared" si="282"/>
        <v>0</v>
      </c>
      <c r="CD580" s="78"/>
      <c r="CE580" s="142"/>
      <c r="CF580" s="142"/>
      <c r="CG580" s="79">
        <f t="shared" si="283"/>
        <v>0</v>
      </c>
      <c r="CH580" s="75"/>
      <c r="CI580" s="76"/>
      <c r="CJ580" s="86"/>
      <c r="CK580" s="86"/>
      <c r="CL580" s="77">
        <f t="shared" si="284"/>
        <v>0</v>
      </c>
      <c r="CM580" s="78"/>
      <c r="CN580" s="85"/>
      <c r="CO580" s="85"/>
      <c r="CP580" s="77">
        <f t="shared" si="285"/>
        <v>0</v>
      </c>
      <c r="CQ580" s="78"/>
      <c r="CR580" s="85"/>
      <c r="CS580" s="85"/>
      <c r="CT580" s="79">
        <f t="shared" si="286"/>
        <v>0</v>
      </c>
      <c r="CU580" s="80">
        <f t="shared" si="168"/>
        <v>0</v>
      </c>
      <c r="CV580" s="81">
        <f t="shared" si="169"/>
        <v>0</v>
      </c>
      <c r="CW580" s="144"/>
      <c r="CX580" s="145">
        <f>IF(ISERROR(VLOOKUP($A580,FIJOS!$B$11:$O$590,14,FALSE)),0,VLOOKUP($A580,FIJOS!$B$11:$O$590,14,FALSE))</f>
        <v>0</v>
      </c>
      <c r="CY580" s="145">
        <f>IF(ISERROR(VLOOKUP(A580,FIJOS!$B$10:$P$590,15,FALSE)),0,VLOOKUP(A580,FIJOS!$B$10:$P$590,15,FALSE))</f>
        <v>0</v>
      </c>
      <c r="CZ580" s="155"/>
      <c r="DA580" s="147"/>
      <c r="DB580" s="147"/>
      <c r="DC580" s="147"/>
      <c r="DD580" s="147"/>
      <c r="DE580" s="147"/>
      <c r="DF580" s="145">
        <f>IF(ISERROR(VLOOKUP($A580,FIJOS!$B$11:$N$590,13,FALSE)),0,VLOOKUP($A580,FIJOS!$B$11:$N$590,13,FALSE))</f>
        <v>0</v>
      </c>
      <c r="DG580" s="145">
        <f>IF(ISERROR(VLOOKUP($A580,FIJOS!$B$11:$P$447,12,FALSE)),0,VLOOKUP($A580,FIJOS!$B$11:$P$447,12,FALSE))</f>
        <v>0</v>
      </c>
      <c r="DH580" s="82">
        <f t="shared" si="258"/>
        <v>0</v>
      </c>
      <c r="DI580" s="83" t="b">
        <f>IF($C580=1,(VLOOKUP($A580,FIJOS!$B$11:$P$545,10,FALSE)/7)*(7-$CU580),IF(AND($C580=2,CV580&lt;$DJ$1),(VLOOKUP($D580,HORAS!$B$4:$C$42,2,FALSE)*24)*$CV580,IF(AND($C580=2,CV580&gt;=$DJ$1),VLOOKUP($D580,HORAS!$B$4:$D$42,3,FALSE),IF(AND($C580=3,$CV580&gt;=$DJ$1),VLOOKUP($A580,FIJOS!$B$11:$P$545,10,FALSE),IF(AND($C580=3,$CV580&lt;$DJ$1),((VLOOKUP($A580,FIJOS!$B$11:$P$545,10,FALSE)/48)*24)*$CV580,IF(AND($C580=4,$CV580&gt;=(42/24)),VLOOKUP($D580,HORAS!$B$4:$D$42,3,FALSE),IF(AND($C580=5,$CV580&gt;=(36/24)),VLOOKUP($D580,HORAS!$B$4:$D$42,3,FALSE))))))))</f>
        <v>0</v>
      </c>
      <c r="DJ580" s="145">
        <f>IF(OR($C580=2),VLOOKUP($D580,HORAS!$B$4:$E$42,4,FALSE)*$EC580,IF(ISERROR(VLOOKUP($A580,FIJOS!$B$11:$P$108,9,FALSE)),0,VLOOKUP($A580,FIJOS!$B$11:$P$231,9,FALSE)*$EC580))</f>
        <v>0</v>
      </c>
      <c r="DK580" s="145">
        <f>IF(OR($C580=2),VLOOKUP($D580,HORAS!$B$4:$F$42,5,FALSE)*$EE580,IF(ISERROR(VLOOKUP($A580,FIJOS!$B$11:$P$108,9,FALSE)),0,VLOOKUP($A580,FIJOS!$B$11:$P$231,9,FALSE)*$EE580))</f>
        <v>0</v>
      </c>
      <c r="DL580" s="144"/>
      <c r="DM580" s="145">
        <f>IF(ISERROR(VLOOKUP($A580,FIJOS!$B$11:$L$646,11,FALSE)),0,VLOOKUP($A580,FIJOS!$B$11:$L$646,11,FALSE))</f>
        <v>0</v>
      </c>
      <c r="DN580" s="148" t="e">
        <f>IF(OR($C580=1,$C580=3),0,IF((VLOOKUP(CAPTURA!D580,HORAS!$B$4:$K$42,10,FALSE)/4)*COUNTIF($H580:$CT580,3)&gt;100,100,(VLOOKUP(CAPTURA!D580,HORAS!$B$4:$K$42,10,FALSE)/4)*COUNTIF($H580:$CT580,3)))</f>
        <v>#N/A</v>
      </c>
      <c r="DO580" s="144" t="e">
        <f>IF(OR($C580=1,$C580=3),0,IF($C580=5,VLOOKUP(D580,HORAS!$B$4:$G$42,6,FALSE),IF(AND($C580=4,$CV580&gt;=(42/24)),VLOOKUP(D580,HORAS!$B$4:$G$42,6,FALSE),IF(COUNTIF($H580:$CL580,"F")&gt;0,0,IF(CV580&gt;$DJ$1,$DJ$1*(VLOOKUP(D580,HORAS!$B$4:$G$42,6,FALSE)/$DJ$1),CV580*(VLOOKUP(D580,HORAS!$B$4:$G$42,6,FALSE)/$DJ$1))))))</f>
        <v>#N/A</v>
      </c>
      <c r="DP580" s="156"/>
      <c r="DQ580" s="148"/>
      <c r="DR580" s="148"/>
      <c r="DS580" s="83" t="e">
        <f t="shared" si="287"/>
        <v>#N/A</v>
      </c>
      <c r="DT580" s="84"/>
      <c r="DU580" s="149" t="e">
        <f t="shared" si="259"/>
        <v>#N/A</v>
      </c>
      <c r="DV580" s="149" t="e">
        <f t="shared" si="260"/>
        <v>#N/A</v>
      </c>
      <c r="DW580" s="144" t="e">
        <f t="shared" si="261"/>
        <v>#N/A</v>
      </c>
      <c r="DX580" s="168"/>
      <c r="DY580" s="29"/>
      <c r="DZ580" s="150"/>
      <c r="EA580" s="134"/>
      <c r="EB580" s="137">
        <f t="shared" si="262"/>
        <v>0</v>
      </c>
      <c r="EC580" s="138">
        <f t="shared" si="263"/>
        <v>0</v>
      </c>
      <c r="ED580" s="137">
        <f t="shared" si="264"/>
        <v>0</v>
      </c>
      <c r="EE580" s="132">
        <f t="shared" si="265"/>
        <v>0</v>
      </c>
      <c r="EF580" s="29"/>
      <c r="EG580" s="134"/>
      <c r="EH580" s="134"/>
      <c r="EI580" s="134"/>
      <c r="EK580" s="29"/>
    </row>
    <row r="581" spans="1:141" ht="15" customHeight="1" x14ac:dyDescent="0.25">
      <c r="A581" s="87"/>
      <c r="B581" s="5"/>
      <c r="C581" s="72"/>
      <c r="D581" s="73"/>
      <c r="E581" s="73"/>
      <c r="F581" s="141"/>
      <c r="G581" s="74"/>
      <c r="H581" s="75"/>
      <c r="I581" s="76"/>
      <c r="J581" s="135"/>
      <c r="K581" s="135"/>
      <c r="L581" s="77">
        <f t="shared" si="266"/>
        <v>0</v>
      </c>
      <c r="M581" s="78"/>
      <c r="N581" s="142"/>
      <c r="O581" s="142"/>
      <c r="P581" s="77">
        <f t="shared" si="267"/>
        <v>0</v>
      </c>
      <c r="Q581" s="78"/>
      <c r="R581" s="143"/>
      <c r="S581" s="143"/>
      <c r="T581" s="77">
        <f t="shared" si="268"/>
        <v>0</v>
      </c>
      <c r="U581" s="75"/>
      <c r="V581" s="76"/>
      <c r="W581" s="135"/>
      <c r="X581" s="135"/>
      <c r="Y581" s="77">
        <f t="shared" si="269"/>
        <v>0</v>
      </c>
      <c r="Z581" s="78"/>
      <c r="AA581" s="142"/>
      <c r="AB581" s="142"/>
      <c r="AC581" s="77">
        <f t="shared" si="270"/>
        <v>0</v>
      </c>
      <c r="AD581" s="78"/>
      <c r="AE581" s="143"/>
      <c r="AF581" s="143"/>
      <c r="AG581" s="79">
        <f t="shared" si="271"/>
        <v>0</v>
      </c>
      <c r="AH581" s="75"/>
      <c r="AI581" s="76"/>
      <c r="AJ581" s="135"/>
      <c r="AK581" s="135"/>
      <c r="AL581" s="77">
        <f t="shared" si="272"/>
        <v>0</v>
      </c>
      <c r="AM581" s="76"/>
      <c r="AN581" s="142"/>
      <c r="AO581" s="142"/>
      <c r="AP581" s="77">
        <f t="shared" si="273"/>
        <v>0</v>
      </c>
      <c r="AQ581" s="78"/>
      <c r="AR581" s="142"/>
      <c r="AS581" s="142"/>
      <c r="AT581" s="79">
        <f t="shared" si="274"/>
        <v>0</v>
      </c>
      <c r="AU581" s="75"/>
      <c r="AV581" s="76"/>
      <c r="AW581" s="135"/>
      <c r="AX581" s="135"/>
      <c r="AY581" s="77">
        <f t="shared" si="275"/>
        <v>0</v>
      </c>
      <c r="AZ581" s="76"/>
      <c r="BA581" s="142"/>
      <c r="BB581" s="142"/>
      <c r="BC581" s="77">
        <f t="shared" si="276"/>
        <v>0</v>
      </c>
      <c r="BD581" s="78"/>
      <c r="BE581" s="142"/>
      <c r="BF581" s="142"/>
      <c r="BG581" s="79">
        <f t="shared" si="277"/>
        <v>0</v>
      </c>
      <c r="BH581" s="75"/>
      <c r="BI581" s="76"/>
      <c r="BJ581" s="135"/>
      <c r="BK581" s="135"/>
      <c r="BL581" s="77">
        <f t="shared" si="278"/>
        <v>0</v>
      </c>
      <c r="BM581" s="78"/>
      <c r="BN581" s="142"/>
      <c r="BO581" s="142"/>
      <c r="BP581" s="77">
        <f t="shared" si="279"/>
        <v>0</v>
      </c>
      <c r="BQ581" s="78"/>
      <c r="BR581" s="142"/>
      <c r="BS581" s="142"/>
      <c r="BT581" s="79">
        <f t="shared" si="280"/>
        <v>0</v>
      </c>
      <c r="BU581" s="75"/>
      <c r="BV581" s="76"/>
      <c r="BW581" s="135"/>
      <c r="BX581" s="135"/>
      <c r="BY581" s="77">
        <f t="shared" si="281"/>
        <v>0</v>
      </c>
      <c r="BZ581" s="78"/>
      <c r="CA581" s="142"/>
      <c r="CB581" s="142"/>
      <c r="CC581" s="77">
        <f t="shared" si="282"/>
        <v>0</v>
      </c>
      <c r="CD581" s="78"/>
      <c r="CE581" s="142"/>
      <c r="CF581" s="142"/>
      <c r="CG581" s="79">
        <f t="shared" si="283"/>
        <v>0</v>
      </c>
      <c r="CH581" s="75"/>
      <c r="CI581" s="76"/>
      <c r="CJ581" s="86"/>
      <c r="CK581" s="86"/>
      <c r="CL581" s="77">
        <f t="shared" si="284"/>
        <v>0</v>
      </c>
      <c r="CM581" s="78"/>
      <c r="CN581" s="85"/>
      <c r="CO581" s="85"/>
      <c r="CP581" s="77">
        <f t="shared" si="285"/>
        <v>0</v>
      </c>
      <c r="CQ581" s="78"/>
      <c r="CR581" s="85"/>
      <c r="CS581" s="85"/>
      <c r="CT581" s="79">
        <f t="shared" si="286"/>
        <v>0</v>
      </c>
      <c r="CU581" s="80">
        <f t="shared" si="168"/>
        <v>0</v>
      </c>
      <c r="CV581" s="81">
        <f t="shared" si="169"/>
        <v>0</v>
      </c>
      <c r="CW581" s="144"/>
      <c r="CX581" s="145">
        <f>IF(ISERROR(VLOOKUP($A581,FIJOS!$B$11:$O$590,14,FALSE)),0,VLOOKUP($A581,FIJOS!$B$11:$O$590,14,FALSE))</f>
        <v>0</v>
      </c>
      <c r="CY581" s="145">
        <f>IF(ISERROR(VLOOKUP(A581,FIJOS!$B$10:$P$590,15,FALSE)),0,VLOOKUP(A581,FIJOS!$B$10:$P$590,15,FALSE))</f>
        <v>0</v>
      </c>
      <c r="CZ581" s="155"/>
      <c r="DA581" s="147"/>
      <c r="DB581" s="147"/>
      <c r="DC581" s="147"/>
      <c r="DD581" s="147"/>
      <c r="DE581" s="147"/>
      <c r="DF581" s="145">
        <f>IF(ISERROR(VLOOKUP($A581,FIJOS!$B$11:$N$590,13,FALSE)),0,VLOOKUP($A581,FIJOS!$B$11:$N$590,13,FALSE))</f>
        <v>0</v>
      </c>
      <c r="DG581" s="145">
        <f>IF(ISERROR(VLOOKUP($A581,FIJOS!$B$11:$P$447,12,FALSE)),0,VLOOKUP($A581,FIJOS!$B$11:$P$447,12,FALSE))</f>
        <v>0</v>
      </c>
      <c r="DH581" s="82">
        <f t="shared" si="258"/>
        <v>0</v>
      </c>
      <c r="DI581" s="83" t="b">
        <f>IF($C581=1,(VLOOKUP($A581,FIJOS!$B$11:$P$545,10,FALSE)/7)*(7-$CU581),IF(AND($C581=2,CV581&lt;$DJ$1),(VLOOKUP($D581,HORAS!$B$4:$C$42,2,FALSE)*24)*$CV581,IF(AND($C581=2,CV581&gt;=$DJ$1),VLOOKUP($D581,HORAS!$B$4:$D$42,3,FALSE),IF(AND($C581=3,$CV581&gt;=$DJ$1),VLOOKUP($A581,FIJOS!$B$11:$P$545,10,FALSE),IF(AND($C581=3,$CV581&lt;$DJ$1),((VLOOKUP($A581,FIJOS!$B$11:$P$545,10,FALSE)/48)*24)*$CV581,IF(AND($C581=4,$CV581&gt;=(42/24)),VLOOKUP($D581,HORAS!$B$4:$D$42,3,FALSE),IF(AND($C581=5,$CV581&gt;=(36/24)),VLOOKUP($D581,HORAS!$B$4:$D$42,3,FALSE))))))))</f>
        <v>0</v>
      </c>
      <c r="DJ581" s="145">
        <f>IF(OR($C581=2),VLOOKUP($D581,HORAS!$B$4:$E$42,4,FALSE)*$EC581,IF(ISERROR(VLOOKUP($A581,FIJOS!$B$11:$P$108,9,FALSE)),0,VLOOKUP($A581,FIJOS!$B$11:$P$231,9,FALSE)*$EC581))</f>
        <v>0</v>
      </c>
      <c r="DK581" s="145">
        <f>IF(OR($C581=2),VLOOKUP($D581,HORAS!$B$4:$F$42,5,FALSE)*$EE581,IF(ISERROR(VLOOKUP($A581,FIJOS!$B$11:$P$108,9,FALSE)),0,VLOOKUP($A581,FIJOS!$B$11:$P$231,9,FALSE)*$EE581))</f>
        <v>0</v>
      </c>
      <c r="DL581" s="144"/>
      <c r="DM581" s="145">
        <f>IF(ISERROR(VLOOKUP($A581,FIJOS!$B$11:$L$646,11,FALSE)),0,VLOOKUP($A581,FIJOS!$B$11:$L$646,11,FALSE))</f>
        <v>0</v>
      </c>
      <c r="DN581" s="148" t="e">
        <f>IF(OR($C581=1,$C581=3),0,IF((VLOOKUP(CAPTURA!D581,HORAS!$B$4:$K$42,10,FALSE)/4)*COUNTIF($H581:$CT581,3)&gt;100,100,(VLOOKUP(CAPTURA!D581,HORAS!$B$4:$K$42,10,FALSE)/4)*COUNTIF($H581:$CT581,3)))</f>
        <v>#N/A</v>
      </c>
      <c r="DO581" s="144" t="e">
        <f>IF(OR($C581=1,$C581=3),0,IF($C581=5,VLOOKUP(D581,HORAS!$B$4:$G$42,6,FALSE),IF(AND($C581=4,$CV581&gt;=(42/24)),VLOOKUP(D581,HORAS!$B$4:$G$42,6,FALSE),IF(COUNTIF($H581:$CL581,"F")&gt;0,0,IF(CV581&gt;$DJ$1,$DJ$1*(VLOOKUP(D581,HORAS!$B$4:$G$42,6,FALSE)/$DJ$1),CV581*(VLOOKUP(D581,HORAS!$B$4:$G$42,6,FALSE)/$DJ$1))))))</f>
        <v>#N/A</v>
      </c>
      <c r="DP581" s="156"/>
      <c r="DQ581" s="148"/>
      <c r="DR581" s="148"/>
      <c r="DS581" s="83" t="e">
        <f t="shared" si="287"/>
        <v>#N/A</v>
      </c>
      <c r="DT581" s="84"/>
      <c r="DU581" s="149" t="e">
        <f t="shared" si="259"/>
        <v>#N/A</v>
      </c>
      <c r="DV581" s="149" t="e">
        <f t="shared" si="260"/>
        <v>#N/A</v>
      </c>
      <c r="DW581" s="144" t="e">
        <f t="shared" si="261"/>
        <v>#N/A</v>
      </c>
      <c r="DX581" s="168"/>
      <c r="DY581" s="29"/>
      <c r="DZ581" s="150"/>
      <c r="EA581" s="134"/>
      <c r="EB581" s="137">
        <f t="shared" si="262"/>
        <v>0</v>
      </c>
      <c r="EC581" s="138">
        <f t="shared" si="263"/>
        <v>0</v>
      </c>
      <c r="ED581" s="137">
        <f t="shared" si="264"/>
        <v>0</v>
      </c>
      <c r="EE581" s="132">
        <f t="shared" si="265"/>
        <v>0</v>
      </c>
      <c r="EF581" s="29"/>
      <c r="EG581" s="134"/>
      <c r="EH581" s="134"/>
      <c r="EI581" s="134"/>
      <c r="EK581" s="29"/>
    </row>
    <row r="582" spans="1:141" ht="15" customHeight="1" x14ac:dyDescent="0.25">
      <c r="A582" s="87"/>
      <c r="B582" s="5"/>
      <c r="C582" s="72"/>
      <c r="D582" s="73"/>
      <c r="E582" s="73"/>
      <c r="F582" s="141"/>
      <c r="G582" s="74"/>
      <c r="H582" s="75"/>
      <c r="I582" s="76"/>
      <c r="J582" s="135"/>
      <c r="K582" s="135"/>
      <c r="L582" s="77">
        <f t="shared" si="266"/>
        <v>0</v>
      </c>
      <c r="M582" s="78"/>
      <c r="N582" s="142"/>
      <c r="O582" s="142"/>
      <c r="P582" s="77">
        <f t="shared" si="267"/>
        <v>0</v>
      </c>
      <c r="Q582" s="78"/>
      <c r="R582" s="143"/>
      <c r="S582" s="143"/>
      <c r="T582" s="77">
        <f t="shared" si="268"/>
        <v>0</v>
      </c>
      <c r="U582" s="75"/>
      <c r="V582" s="76"/>
      <c r="W582" s="135"/>
      <c r="X582" s="135"/>
      <c r="Y582" s="77">
        <f t="shared" si="269"/>
        <v>0</v>
      </c>
      <c r="Z582" s="78"/>
      <c r="AA582" s="142"/>
      <c r="AB582" s="142"/>
      <c r="AC582" s="77">
        <f t="shared" si="270"/>
        <v>0</v>
      </c>
      <c r="AD582" s="78"/>
      <c r="AE582" s="143"/>
      <c r="AF582" s="143"/>
      <c r="AG582" s="79">
        <f t="shared" si="271"/>
        <v>0</v>
      </c>
      <c r="AH582" s="75"/>
      <c r="AI582" s="76"/>
      <c r="AJ582" s="135"/>
      <c r="AK582" s="135"/>
      <c r="AL582" s="77">
        <f t="shared" si="272"/>
        <v>0</v>
      </c>
      <c r="AM582" s="76"/>
      <c r="AN582" s="142"/>
      <c r="AO582" s="142"/>
      <c r="AP582" s="77">
        <f t="shared" si="273"/>
        <v>0</v>
      </c>
      <c r="AQ582" s="78"/>
      <c r="AR582" s="142"/>
      <c r="AS582" s="142"/>
      <c r="AT582" s="79">
        <f t="shared" si="274"/>
        <v>0</v>
      </c>
      <c r="AU582" s="75"/>
      <c r="AV582" s="76"/>
      <c r="AW582" s="135"/>
      <c r="AX582" s="135"/>
      <c r="AY582" s="77">
        <f t="shared" si="275"/>
        <v>0</v>
      </c>
      <c r="AZ582" s="76"/>
      <c r="BA582" s="142"/>
      <c r="BB582" s="142"/>
      <c r="BC582" s="77">
        <f t="shared" si="276"/>
        <v>0</v>
      </c>
      <c r="BD582" s="78"/>
      <c r="BE582" s="142"/>
      <c r="BF582" s="142"/>
      <c r="BG582" s="79">
        <f t="shared" si="277"/>
        <v>0</v>
      </c>
      <c r="BH582" s="75"/>
      <c r="BI582" s="76"/>
      <c r="BJ582" s="135"/>
      <c r="BK582" s="135"/>
      <c r="BL582" s="77">
        <f t="shared" si="278"/>
        <v>0</v>
      </c>
      <c r="BM582" s="78"/>
      <c r="BN582" s="142"/>
      <c r="BO582" s="142"/>
      <c r="BP582" s="77">
        <f t="shared" si="279"/>
        <v>0</v>
      </c>
      <c r="BQ582" s="78"/>
      <c r="BR582" s="142"/>
      <c r="BS582" s="142"/>
      <c r="BT582" s="79">
        <f t="shared" si="280"/>
        <v>0</v>
      </c>
      <c r="BU582" s="75"/>
      <c r="BV582" s="76"/>
      <c r="BW582" s="135"/>
      <c r="BX582" s="135"/>
      <c r="BY582" s="77">
        <f t="shared" si="281"/>
        <v>0</v>
      </c>
      <c r="BZ582" s="78"/>
      <c r="CA582" s="142"/>
      <c r="CB582" s="142"/>
      <c r="CC582" s="77">
        <f t="shared" si="282"/>
        <v>0</v>
      </c>
      <c r="CD582" s="78"/>
      <c r="CE582" s="142"/>
      <c r="CF582" s="142"/>
      <c r="CG582" s="79">
        <f t="shared" si="283"/>
        <v>0</v>
      </c>
      <c r="CH582" s="75"/>
      <c r="CI582" s="76"/>
      <c r="CJ582" s="86"/>
      <c r="CK582" s="86"/>
      <c r="CL582" s="77">
        <f t="shared" si="284"/>
        <v>0</v>
      </c>
      <c r="CM582" s="78"/>
      <c r="CN582" s="85"/>
      <c r="CO582" s="85"/>
      <c r="CP582" s="77">
        <f t="shared" si="285"/>
        <v>0</v>
      </c>
      <c r="CQ582" s="78"/>
      <c r="CR582" s="85"/>
      <c r="CS582" s="85"/>
      <c r="CT582" s="79">
        <f t="shared" si="286"/>
        <v>0</v>
      </c>
      <c r="CU582" s="80">
        <f t="shared" si="168"/>
        <v>0</v>
      </c>
      <c r="CV582" s="81">
        <f t="shared" si="169"/>
        <v>0</v>
      </c>
      <c r="CW582" s="144"/>
      <c r="CX582" s="145">
        <f>IF(ISERROR(VLOOKUP($A582,FIJOS!$B$11:$O$590,14,FALSE)),0,VLOOKUP($A582,FIJOS!$B$11:$O$590,14,FALSE))</f>
        <v>0</v>
      </c>
      <c r="CY582" s="145">
        <f>IF(ISERROR(VLOOKUP(A582,FIJOS!$B$10:$P$590,15,FALSE)),0,VLOOKUP(A582,FIJOS!$B$10:$P$590,15,FALSE))</f>
        <v>0</v>
      </c>
      <c r="CZ582" s="155"/>
      <c r="DA582" s="147"/>
      <c r="DB582" s="147"/>
      <c r="DC582" s="147"/>
      <c r="DD582" s="147"/>
      <c r="DE582" s="147"/>
      <c r="DF582" s="145">
        <f>IF(ISERROR(VLOOKUP($A582,FIJOS!$B$11:$N$590,13,FALSE)),0,VLOOKUP($A582,FIJOS!$B$11:$N$590,13,FALSE))</f>
        <v>0</v>
      </c>
      <c r="DG582" s="145">
        <f>IF(ISERROR(VLOOKUP($A582,FIJOS!$B$11:$P$447,12,FALSE)),0,VLOOKUP($A582,FIJOS!$B$11:$P$447,12,FALSE))</f>
        <v>0</v>
      </c>
      <c r="DH582" s="82">
        <f t="shared" si="258"/>
        <v>0</v>
      </c>
      <c r="DI582" s="83" t="b">
        <f>IF($C582=1,(VLOOKUP($A582,FIJOS!$B$11:$P$545,10,FALSE)/7)*(7-$CU582),IF(AND($C582=2,CV582&lt;$DJ$1),(VLOOKUP($D582,HORAS!$B$4:$C$42,2,FALSE)*24)*$CV582,IF(AND($C582=2,CV582&gt;=$DJ$1),VLOOKUP($D582,HORAS!$B$4:$D$42,3,FALSE),IF(AND($C582=3,$CV582&gt;=$DJ$1),VLOOKUP($A582,FIJOS!$B$11:$P$545,10,FALSE),IF(AND($C582=3,$CV582&lt;$DJ$1),((VLOOKUP($A582,FIJOS!$B$11:$P$545,10,FALSE)/48)*24)*$CV582,IF(AND($C582=4,$CV582&gt;=(42/24)),VLOOKUP($D582,HORAS!$B$4:$D$42,3,FALSE),IF(AND($C582=5,$CV582&gt;=(36/24)),VLOOKUP($D582,HORAS!$B$4:$D$42,3,FALSE))))))))</f>
        <v>0</v>
      </c>
      <c r="DJ582" s="145">
        <f>IF(OR($C582=2),VLOOKUP($D582,HORAS!$B$4:$E$42,4,FALSE)*$EC582,IF(ISERROR(VLOOKUP($A582,FIJOS!$B$11:$P$108,9,FALSE)),0,VLOOKUP($A582,FIJOS!$B$11:$P$231,9,FALSE)*$EC582))</f>
        <v>0</v>
      </c>
      <c r="DK582" s="145">
        <f>IF(OR($C582=2),VLOOKUP($D582,HORAS!$B$4:$F$42,5,FALSE)*$EE582,IF(ISERROR(VLOOKUP($A582,FIJOS!$B$11:$P$108,9,FALSE)),0,VLOOKUP($A582,FIJOS!$B$11:$P$231,9,FALSE)*$EE582))</f>
        <v>0</v>
      </c>
      <c r="DL582" s="144"/>
      <c r="DM582" s="145">
        <f>IF(ISERROR(VLOOKUP($A582,FIJOS!$B$11:$L$646,11,FALSE)),0,VLOOKUP($A582,FIJOS!$B$11:$L$646,11,FALSE))</f>
        <v>0</v>
      </c>
      <c r="DN582" s="148" t="e">
        <f>IF(OR($C582=1,$C582=3),0,IF((VLOOKUP(CAPTURA!D582,HORAS!$B$4:$K$42,10,FALSE)/4)*COUNTIF($H582:$CT582,3)&gt;100,100,(VLOOKUP(CAPTURA!D582,HORAS!$B$4:$K$42,10,FALSE)/4)*COUNTIF($H582:$CT582,3)))</f>
        <v>#N/A</v>
      </c>
      <c r="DO582" s="144" t="e">
        <f>IF(OR($C582=1,$C582=3),0,IF($C582=5,VLOOKUP(D582,HORAS!$B$4:$G$42,6,FALSE),IF(AND($C582=4,$CV582&gt;=(42/24)),VLOOKUP(D582,HORAS!$B$4:$G$42,6,FALSE),IF(COUNTIF($H582:$CL582,"F")&gt;0,0,IF(CV582&gt;$DJ$1,$DJ$1*(VLOOKUP(D582,HORAS!$B$4:$G$42,6,FALSE)/$DJ$1),CV582*(VLOOKUP(D582,HORAS!$B$4:$G$42,6,FALSE)/$DJ$1))))))</f>
        <v>#N/A</v>
      </c>
      <c r="DP582" s="156"/>
      <c r="DQ582" s="148"/>
      <c r="DR582" s="148"/>
      <c r="DS582" s="83" t="e">
        <f t="shared" si="287"/>
        <v>#N/A</v>
      </c>
      <c r="DT582" s="84"/>
      <c r="DU582" s="149" t="e">
        <f t="shared" si="259"/>
        <v>#N/A</v>
      </c>
      <c r="DV582" s="149" t="e">
        <f t="shared" si="260"/>
        <v>#N/A</v>
      </c>
      <c r="DW582" s="144" t="e">
        <f t="shared" si="261"/>
        <v>#N/A</v>
      </c>
      <c r="DX582" s="168"/>
      <c r="DY582" s="29"/>
      <c r="DZ582" s="150"/>
      <c r="EA582" s="134"/>
      <c r="EB582" s="137">
        <f t="shared" si="262"/>
        <v>0</v>
      </c>
      <c r="EC582" s="138">
        <f t="shared" si="263"/>
        <v>0</v>
      </c>
      <c r="ED582" s="137">
        <f t="shared" si="264"/>
        <v>0</v>
      </c>
      <c r="EE582" s="132">
        <f t="shared" si="265"/>
        <v>0</v>
      </c>
      <c r="EF582" s="29"/>
      <c r="EG582" s="134"/>
      <c r="EH582" s="134"/>
      <c r="EI582" s="134"/>
      <c r="EK582" s="29"/>
    </row>
    <row r="583" spans="1:141" ht="15" customHeight="1" x14ac:dyDescent="0.25">
      <c r="A583" s="87"/>
      <c r="B583" s="5"/>
      <c r="C583" s="72"/>
      <c r="D583" s="73"/>
      <c r="E583" s="73"/>
      <c r="F583" s="141"/>
      <c r="G583" s="74"/>
      <c r="H583" s="75"/>
      <c r="I583" s="76"/>
      <c r="J583" s="135"/>
      <c r="K583" s="135"/>
      <c r="L583" s="77">
        <f t="shared" si="266"/>
        <v>0</v>
      </c>
      <c r="M583" s="78"/>
      <c r="N583" s="142"/>
      <c r="O583" s="142"/>
      <c r="P583" s="77">
        <f t="shared" si="267"/>
        <v>0</v>
      </c>
      <c r="Q583" s="78"/>
      <c r="R583" s="143"/>
      <c r="S583" s="143"/>
      <c r="T583" s="77">
        <f t="shared" si="268"/>
        <v>0</v>
      </c>
      <c r="U583" s="75"/>
      <c r="V583" s="76"/>
      <c r="W583" s="135"/>
      <c r="X583" s="135"/>
      <c r="Y583" s="77">
        <f t="shared" si="269"/>
        <v>0</v>
      </c>
      <c r="Z583" s="78"/>
      <c r="AA583" s="142"/>
      <c r="AB583" s="142"/>
      <c r="AC583" s="77">
        <f t="shared" si="270"/>
        <v>0</v>
      </c>
      <c r="AD583" s="78"/>
      <c r="AE583" s="143"/>
      <c r="AF583" s="143"/>
      <c r="AG583" s="79">
        <f t="shared" si="271"/>
        <v>0</v>
      </c>
      <c r="AH583" s="75"/>
      <c r="AI583" s="76"/>
      <c r="AJ583" s="135"/>
      <c r="AK583" s="135"/>
      <c r="AL583" s="77">
        <f t="shared" si="272"/>
        <v>0</v>
      </c>
      <c r="AM583" s="76"/>
      <c r="AN583" s="142"/>
      <c r="AO583" s="142"/>
      <c r="AP583" s="77">
        <f t="shared" si="273"/>
        <v>0</v>
      </c>
      <c r="AQ583" s="78"/>
      <c r="AR583" s="142"/>
      <c r="AS583" s="142"/>
      <c r="AT583" s="79">
        <f t="shared" si="274"/>
        <v>0</v>
      </c>
      <c r="AU583" s="75"/>
      <c r="AV583" s="76"/>
      <c r="AW583" s="135"/>
      <c r="AX583" s="135"/>
      <c r="AY583" s="77">
        <f t="shared" si="275"/>
        <v>0</v>
      </c>
      <c r="AZ583" s="76"/>
      <c r="BA583" s="142"/>
      <c r="BB583" s="142"/>
      <c r="BC583" s="77">
        <f t="shared" si="276"/>
        <v>0</v>
      </c>
      <c r="BD583" s="78"/>
      <c r="BE583" s="142"/>
      <c r="BF583" s="142"/>
      <c r="BG583" s="79">
        <f t="shared" si="277"/>
        <v>0</v>
      </c>
      <c r="BH583" s="75"/>
      <c r="BI583" s="76"/>
      <c r="BJ583" s="135"/>
      <c r="BK583" s="135"/>
      <c r="BL583" s="77">
        <f t="shared" si="278"/>
        <v>0</v>
      </c>
      <c r="BM583" s="78"/>
      <c r="BN583" s="142"/>
      <c r="BO583" s="142"/>
      <c r="BP583" s="77">
        <f t="shared" si="279"/>
        <v>0</v>
      </c>
      <c r="BQ583" s="78"/>
      <c r="BR583" s="142"/>
      <c r="BS583" s="142"/>
      <c r="BT583" s="79">
        <f t="shared" si="280"/>
        <v>0</v>
      </c>
      <c r="BU583" s="75"/>
      <c r="BV583" s="76"/>
      <c r="BW583" s="135"/>
      <c r="BX583" s="135"/>
      <c r="BY583" s="77">
        <f t="shared" si="281"/>
        <v>0</v>
      </c>
      <c r="BZ583" s="78"/>
      <c r="CA583" s="142"/>
      <c r="CB583" s="142"/>
      <c r="CC583" s="77">
        <f t="shared" si="282"/>
        <v>0</v>
      </c>
      <c r="CD583" s="78"/>
      <c r="CE583" s="142"/>
      <c r="CF583" s="142"/>
      <c r="CG583" s="79">
        <f t="shared" si="283"/>
        <v>0</v>
      </c>
      <c r="CH583" s="75"/>
      <c r="CI583" s="76"/>
      <c r="CJ583" s="86"/>
      <c r="CK583" s="86"/>
      <c r="CL583" s="77">
        <f t="shared" si="284"/>
        <v>0</v>
      </c>
      <c r="CM583" s="78"/>
      <c r="CN583" s="85"/>
      <c r="CO583" s="85"/>
      <c r="CP583" s="77">
        <f t="shared" si="285"/>
        <v>0</v>
      </c>
      <c r="CQ583" s="78"/>
      <c r="CR583" s="85"/>
      <c r="CS583" s="85"/>
      <c r="CT583" s="79">
        <f t="shared" si="286"/>
        <v>0</v>
      </c>
      <c r="CU583" s="80">
        <f t="shared" si="168"/>
        <v>0</v>
      </c>
      <c r="CV583" s="81">
        <f t="shared" si="169"/>
        <v>0</v>
      </c>
      <c r="CW583" s="144"/>
      <c r="CX583" s="145">
        <f>IF(ISERROR(VLOOKUP($A583,FIJOS!$B$11:$O$590,14,FALSE)),0,VLOOKUP($A583,FIJOS!$B$11:$O$590,14,FALSE))</f>
        <v>0</v>
      </c>
      <c r="CY583" s="145">
        <f>IF(ISERROR(VLOOKUP(A583,FIJOS!$B$10:$P$590,15,FALSE)),0,VLOOKUP(A583,FIJOS!$B$10:$P$590,15,FALSE))</f>
        <v>0</v>
      </c>
      <c r="CZ583" s="155"/>
      <c r="DA583" s="147"/>
      <c r="DB583" s="147"/>
      <c r="DC583" s="147"/>
      <c r="DD583" s="147"/>
      <c r="DE583" s="147"/>
      <c r="DF583" s="145">
        <f>IF(ISERROR(VLOOKUP($A583,FIJOS!$B$11:$N$590,13,FALSE)),0,VLOOKUP($A583,FIJOS!$B$11:$N$590,13,FALSE))</f>
        <v>0</v>
      </c>
      <c r="DG583" s="145">
        <f>IF(ISERROR(VLOOKUP($A583,FIJOS!$B$11:$P$447,12,FALSE)),0,VLOOKUP($A583,FIJOS!$B$11:$P$447,12,FALSE))</f>
        <v>0</v>
      </c>
      <c r="DH583" s="82">
        <f t="shared" si="258"/>
        <v>0</v>
      </c>
      <c r="DI583" s="83" t="b">
        <f>IF($C583=1,(VLOOKUP($A583,FIJOS!$B$11:$P$545,10,FALSE)/7)*(7-$CU583),IF(AND($C583=2,CV583&lt;$DJ$1),(VLOOKUP($D583,HORAS!$B$4:$C$42,2,FALSE)*24)*$CV583,IF(AND($C583=2,CV583&gt;=$DJ$1),VLOOKUP($D583,HORAS!$B$4:$D$42,3,FALSE),IF(AND($C583=3,$CV583&gt;=$DJ$1),VLOOKUP($A583,FIJOS!$B$11:$P$545,10,FALSE),IF(AND($C583=3,$CV583&lt;$DJ$1),((VLOOKUP($A583,FIJOS!$B$11:$P$545,10,FALSE)/48)*24)*$CV583,IF(AND($C583=4,$CV583&gt;=(42/24)),VLOOKUP($D583,HORAS!$B$4:$D$42,3,FALSE),IF(AND($C583=5,$CV583&gt;=(36/24)),VLOOKUP($D583,HORAS!$B$4:$D$42,3,FALSE))))))))</f>
        <v>0</v>
      </c>
      <c r="DJ583" s="145">
        <f>IF(OR($C583=2),VLOOKUP($D583,HORAS!$B$4:$E$42,4,FALSE)*$EC583,IF(ISERROR(VLOOKUP($A583,FIJOS!$B$11:$P$108,9,FALSE)),0,VLOOKUP($A583,FIJOS!$B$11:$P$231,9,FALSE)*$EC583))</f>
        <v>0</v>
      </c>
      <c r="DK583" s="145">
        <f>IF(OR($C583=2),VLOOKUP($D583,HORAS!$B$4:$F$42,5,FALSE)*$EE583,IF(ISERROR(VLOOKUP($A583,FIJOS!$B$11:$P$108,9,FALSE)),0,VLOOKUP($A583,FIJOS!$B$11:$P$231,9,FALSE)*$EE583))</f>
        <v>0</v>
      </c>
      <c r="DL583" s="144"/>
      <c r="DM583" s="145">
        <f>IF(ISERROR(VLOOKUP($A583,FIJOS!$B$11:$L$646,11,FALSE)),0,VLOOKUP($A583,FIJOS!$B$11:$L$646,11,FALSE))</f>
        <v>0</v>
      </c>
      <c r="DN583" s="148" t="e">
        <f>IF(OR($C583=1,$C583=3),0,IF((VLOOKUP(CAPTURA!D583,HORAS!$B$4:$K$42,10,FALSE)/4)*COUNTIF($H583:$CT583,3)&gt;100,100,(VLOOKUP(CAPTURA!D583,HORAS!$B$4:$K$42,10,FALSE)/4)*COUNTIF($H583:$CT583,3)))</f>
        <v>#N/A</v>
      </c>
      <c r="DO583" s="144" t="e">
        <f>IF(OR($C583=1,$C583=3),0,IF($C583=5,VLOOKUP(D583,HORAS!$B$4:$G$42,6,FALSE),IF(AND($C583=4,$CV583&gt;=(42/24)),VLOOKUP(D583,HORAS!$B$4:$G$42,6,FALSE),IF(COUNTIF($H583:$CL583,"F")&gt;0,0,IF(CV583&gt;$DJ$1,$DJ$1*(VLOOKUP(D583,HORAS!$B$4:$G$42,6,FALSE)/$DJ$1),CV583*(VLOOKUP(D583,HORAS!$B$4:$G$42,6,FALSE)/$DJ$1))))))</f>
        <v>#N/A</v>
      </c>
      <c r="DP583" s="156"/>
      <c r="DQ583" s="148"/>
      <c r="DR583" s="148"/>
      <c r="DS583" s="83" t="e">
        <f t="shared" si="287"/>
        <v>#N/A</v>
      </c>
      <c r="DT583" s="84"/>
      <c r="DU583" s="149" t="e">
        <f t="shared" si="259"/>
        <v>#N/A</v>
      </c>
      <c r="DV583" s="149" t="e">
        <f t="shared" si="260"/>
        <v>#N/A</v>
      </c>
      <c r="DW583" s="144" t="e">
        <f t="shared" si="261"/>
        <v>#N/A</v>
      </c>
      <c r="DX583" s="168"/>
      <c r="DY583" s="29"/>
      <c r="DZ583" s="150"/>
      <c r="EA583" s="134"/>
      <c r="EB583" s="137">
        <f t="shared" si="262"/>
        <v>0</v>
      </c>
      <c r="EC583" s="138">
        <f t="shared" si="263"/>
        <v>0</v>
      </c>
      <c r="ED583" s="137">
        <f t="shared" si="264"/>
        <v>0</v>
      </c>
      <c r="EE583" s="132">
        <f t="shared" si="265"/>
        <v>0</v>
      </c>
      <c r="EF583" s="29"/>
      <c r="EG583" s="134"/>
      <c r="EH583" s="134"/>
      <c r="EI583" s="134"/>
      <c r="EK583" s="29"/>
    </row>
    <row r="584" spans="1:141" ht="15" customHeight="1" x14ac:dyDescent="0.25">
      <c r="A584" s="87"/>
      <c r="B584" s="5"/>
      <c r="C584" s="72"/>
      <c r="D584" s="73"/>
      <c r="E584" s="73"/>
      <c r="F584" s="141"/>
      <c r="G584" s="74"/>
      <c r="H584" s="75"/>
      <c r="I584" s="76"/>
      <c r="J584" s="135"/>
      <c r="K584" s="135"/>
      <c r="L584" s="77">
        <f t="shared" si="266"/>
        <v>0</v>
      </c>
      <c r="M584" s="78"/>
      <c r="N584" s="142"/>
      <c r="O584" s="142"/>
      <c r="P584" s="77">
        <f t="shared" si="267"/>
        <v>0</v>
      </c>
      <c r="Q584" s="78"/>
      <c r="R584" s="143"/>
      <c r="S584" s="143"/>
      <c r="T584" s="77">
        <f t="shared" si="268"/>
        <v>0</v>
      </c>
      <c r="U584" s="75"/>
      <c r="V584" s="76"/>
      <c r="W584" s="135"/>
      <c r="X584" s="135"/>
      <c r="Y584" s="77">
        <f t="shared" si="269"/>
        <v>0</v>
      </c>
      <c r="Z584" s="78"/>
      <c r="AA584" s="142"/>
      <c r="AB584" s="142"/>
      <c r="AC584" s="77">
        <f t="shared" si="270"/>
        <v>0</v>
      </c>
      <c r="AD584" s="78"/>
      <c r="AE584" s="143"/>
      <c r="AF584" s="143"/>
      <c r="AG584" s="79">
        <f t="shared" si="271"/>
        <v>0</v>
      </c>
      <c r="AH584" s="75"/>
      <c r="AI584" s="76"/>
      <c r="AJ584" s="135"/>
      <c r="AK584" s="135"/>
      <c r="AL584" s="77">
        <f t="shared" si="272"/>
        <v>0</v>
      </c>
      <c r="AM584" s="76"/>
      <c r="AN584" s="142"/>
      <c r="AO584" s="142"/>
      <c r="AP584" s="77">
        <f t="shared" si="273"/>
        <v>0</v>
      </c>
      <c r="AQ584" s="78"/>
      <c r="AR584" s="142"/>
      <c r="AS584" s="142"/>
      <c r="AT584" s="79">
        <f t="shared" si="274"/>
        <v>0</v>
      </c>
      <c r="AU584" s="75"/>
      <c r="AV584" s="76"/>
      <c r="AW584" s="135"/>
      <c r="AX584" s="135"/>
      <c r="AY584" s="77">
        <f t="shared" si="275"/>
        <v>0</v>
      </c>
      <c r="AZ584" s="76"/>
      <c r="BA584" s="142"/>
      <c r="BB584" s="142"/>
      <c r="BC584" s="77">
        <f t="shared" si="276"/>
        <v>0</v>
      </c>
      <c r="BD584" s="78"/>
      <c r="BE584" s="142"/>
      <c r="BF584" s="142"/>
      <c r="BG584" s="79">
        <f t="shared" si="277"/>
        <v>0</v>
      </c>
      <c r="BH584" s="75"/>
      <c r="BI584" s="76"/>
      <c r="BJ584" s="135"/>
      <c r="BK584" s="135"/>
      <c r="BL584" s="77">
        <f t="shared" si="278"/>
        <v>0</v>
      </c>
      <c r="BM584" s="78"/>
      <c r="BN584" s="142"/>
      <c r="BO584" s="142"/>
      <c r="BP584" s="77">
        <f t="shared" si="279"/>
        <v>0</v>
      </c>
      <c r="BQ584" s="78"/>
      <c r="BR584" s="142"/>
      <c r="BS584" s="142"/>
      <c r="BT584" s="79">
        <f t="shared" si="280"/>
        <v>0</v>
      </c>
      <c r="BU584" s="75"/>
      <c r="BV584" s="76"/>
      <c r="BW584" s="135"/>
      <c r="BX584" s="135"/>
      <c r="BY584" s="77">
        <f t="shared" si="281"/>
        <v>0</v>
      </c>
      <c r="BZ584" s="78"/>
      <c r="CA584" s="142"/>
      <c r="CB584" s="142"/>
      <c r="CC584" s="77">
        <f t="shared" si="282"/>
        <v>0</v>
      </c>
      <c r="CD584" s="78"/>
      <c r="CE584" s="142"/>
      <c r="CF584" s="142"/>
      <c r="CG584" s="79">
        <f t="shared" si="283"/>
        <v>0</v>
      </c>
      <c r="CH584" s="75"/>
      <c r="CI584" s="76"/>
      <c r="CJ584" s="86"/>
      <c r="CK584" s="86"/>
      <c r="CL584" s="77">
        <f t="shared" si="284"/>
        <v>0</v>
      </c>
      <c r="CM584" s="78"/>
      <c r="CN584" s="85"/>
      <c r="CO584" s="85"/>
      <c r="CP584" s="77">
        <f t="shared" si="285"/>
        <v>0</v>
      </c>
      <c r="CQ584" s="78"/>
      <c r="CR584" s="85"/>
      <c r="CS584" s="85"/>
      <c r="CT584" s="79">
        <f t="shared" si="286"/>
        <v>0</v>
      </c>
      <c r="CU584" s="80">
        <f t="shared" si="168"/>
        <v>0</v>
      </c>
      <c r="CV584" s="81">
        <f t="shared" si="169"/>
        <v>0</v>
      </c>
      <c r="CW584" s="144"/>
      <c r="CX584" s="145">
        <f>IF(ISERROR(VLOOKUP($A584,FIJOS!$B$11:$O$590,14,FALSE)),0,VLOOKUP($A584,FIJOS!$B$11:$O$590,14,FALSE))</f>
        <v>0</v>
      </c>
      <c r="CY584" s="145">
        <f>IF(ISERROR(VLOOKUP(A584,FIJOS!$B$10:$P$590,15,FALSE)),0,VLOOKUP(A584,FIJOS!$B$10:$P$590,15,FALSE))</f>
        <v>0</v>
      </c>
      <c r="CZ584" s="155"/>
      <c r="DA584" s="147"/>
      <c r="DB584" s="147"/>
      <c r="DC584" s="147"/>
      <c r="DD584" s="147"/>
      <c r="DE584" s="147"/>
      <c r="DF584" s="145">
        <f>IF(ISERROR(VLOOKUP($A584,FIJOS!$B$11:$N$590,13,FALSE)),0,VLOOKUP($A584,FIJOS!$B$11:$N$590,13,FALSE))</f>
        <v>0</v>
      </c>
      <c r="DG584" s="145">
        <f>IF(ISERROR(VLOOKUP($A584,FIJOS!$B$11:$P$447,12,FALSE)),0,VLOOKUP($A584,FIJOS!$B$11:$P$447,12,FALSE))</f>
        <v>0</v>
      </c>
      <c r="DH584" s="82">
        <f t="shared" si="258"/>
        <v>0</v>
      </c>
      <c r="DI584" s="83" t="b">
        <f>IF($C584=1,(VLOOKUP($A584,FIJOS!$B$11:$P$545,10,FALSE)/7)*(7-$CU584),IF(AND($C584=2,CV584&lt;$DJ$1),(VLOOKUP($D584,HORAS!$B$4:$C$42,2,FALSE)*24)*$CV584,IF(AND($C584=2,CV584&gt;=$DJ$1),VLOOKUP($D584,HORAS!$B$4:$D$42,3,FALSE),IF(AND($C584=3,$CV584&gt;=$DJ$1),VLOOKUP($A584,FIJOS!$B$11:$P$545,10,FALSE),IF(AND($C584=3,$CV584&lt;$DJ$1),((VLOOKUP($A584,FIJOS!$B$11:$P$545,10,FALSE)/48)*24)*$CV584,IF(AND($C584=4,$CV584&gt;=(42/24)),VLOOKUP($D584,HORAS!$B$4:$D$42,3,FALSE),IF(AND($C584=5,$CV584&gt;=(36/24)),VLOOKUP($D584,HORAS!$B$4:$D$42,3,FALSE))))))))</f>
        <v>0</v>
      </c>
      <c r="DJ584" s="145">
        <f>IF(OR($C584=2),VLOOKUP($D584,HORAS!$B$4:$E$42,4,FALSE)*$EC584,IF(ISERROR(VLOOKUP($A584,FIJOS!$B$11:$P$108,9,FALSE)),0,VLOOKUP($A584,FIJOS!$B$11:$P$231,9,FALSE)*$EC584))</f>
        <v>0</v>
      </c>
      <c r="DK584" s="145">
        <f>IF(OR($C584=2),VLOOKUP($D584,HORAS!$B$4:$F$42,5,FALSE)*$EE584,IF(ISERROR(VLOOKUP($A584,FIJOS!$B$11:$P$108,9,FALSE)),0,VLOOKUP($A584,FIJOS!$B$11:$P$231,9,FALSE)*$EE584))</f>
        <v>0</v>
      </c>
      <c r="DL584" s="144"/>
      <c r="DM584" s="145">
        <f>IF(ISERROR(VLOOKUP($A584,FIJOS!$B$11:$L$646,11,FALSE)),0,VLOOKUP($A584,FIJOS!$B$11:$L$646,11,FALSE))</f>
        <v>0</v>
      </c>
      <c r="DN584" s="148" t="e">
        <f>IF(OR($C584=1,$C584=3),0,IF((VLOOKUP(CAPTURA!D584,HORAS!$B$4:$K$42,10,FALSE)/4)*COUNTIF($H584:$CT584,3)&gt;100,100,(VLOOKUP(CAPTURA!D584,HORAS!$B$4:$K$42,10,FALSE)/4)*COUNTIF($H584:$CT584,3)))</f>
        <v>#N/A</v>
      </c>
      <c r="DO584" s="144" t="e">
        <f>IF(OR($C584=1,$C584=3),0,IF($C584=5,VLOOKUP(D584,HORAS!$B$4:$G$42,6,FALSE),IF(AND($C584=4,$CV584&gt;=(42/24)),VLOOKUP(D584,HORAS!$B$4:$G$42,6,FALSE),IF(COUNTIF($H584:$CL584,"F")&gt;0,0,IF(CV584&gt;$DJ$1,$DJ$1*(VLOOKUP(D584,HORAS!$B$4:$G$42,6,FALSE)/$DJ$1),CV584*(VLOOKUP(D584,HORAS!$B$4:$G$42,6,FALSE)/$DJ$1))))))</f>
        <v>#N/A</v>
      </c>
      <c r="DP584" s="156"/>
      <c r="DQ584" s="148"/>
      <c r="DR584" s="148"/>
      <c r="DS584" s="83" t="e">
        <f t="shared" si="287"/>
        <v>#N/A</v>
      </c>
      <c r="DT584" s="84"/>
      <c r="DU584" s="149" t="e">
        <f t="shared" si="259"/>
        <v>#N/A</v>
      </c>
      <c r="DV584" s="149" t="e">
        <f t="shared" si="260"/>
        <v>#N/A</v>
      </c>
      <c r="DW584" s="144" t="e">
        <f t="shared" si="261"/>
        <v>#N/A</v>
      </c>
      <c r="DX584" s="168"/>
      <c r="DY584" s="29"/>
      <c r="DZ584" s="150"/>
      <c r="EA584" s="134"/>
      <c r="EB584" s="137">
        <f t="shared" si="262"/>
        <v>0</v>
      </c>
      <c r="EC584" s="138">
        <f t="shared" si="263"/>
        <v>0</v>
      </c>
      <c r="ED584" s="137">
        <f t="shared" si="264"/>
        <v>0</v>
      </c>
      <c r="EE584" s="132">
        <f t="shared" si="265"/>
        <v>0</v>
      </c>
      <c r="EF584" s="29"/>
      <c r="EG584" s="134"/>
      <c r="EH584" s="134"/>
      <c r="EI584" s="134"/>
      <c r="EK584" s="29"/>
    </row>
    <row r="585" spans="1:141" ht="15" customHeight="1" x14ac:dyDescent="0.25">
      <c r="A585" s="87"/>
      <c r="B585" s="5"/>
      <c r="C585" s="72"/>
      <c r="D585" s="73"/>
      <c r="E585" s="73"/>
      <c r="F585" s="141"/>
      <c r="G585" s="74"/>
      <c r="H585" s="75"/>
      <c r="I585" s="76"/>
      <c r="J585" s="135"/>
      <c r="K585" s="135"/>
      <c r="L585" s="77">
        <f t="shared" si="266"/>
        <v>0</v>
      </c>
      <c r="M585" s="78"/>
      <c r="N585" s="142"/>
      <c r="O585" s="142"/>
      <c r="P585" s="77">
        <f t="shared" si="267"/>
        <v>0</v>
      </c>
      <c r="Q585" s="78"/>
      <c r="R585" s="143"/>
      <c r="S585" s="143"/>
      <c r="T585" s="77">
        <f t="shared" si="268"/>
        <v>0</v>
      </c>
      <c r="U585" s="75"/>
      <c r="V585" s="76"/>
      <c r="W585" s="135"/>
      <c r="X585" s="135"/>
      <c r="Y585" s="77">
        <f t="shared" si="269"/>
        <v>0</v>
      </c>
      <c r="Z585" s="78"/>
      <c r="AA585" s="142"/>
      <c r="AB585" s="142"/>
      <c r="AC585" s="77">
        <f t="shared" si="270"/>
        <v>0</v>
      </c>
      <c r="AD585" s="78"/>
      <c r="AE585" s="143"/>
      <c r="AF585" s="143"/>
      <c r="AG585" s="79">
        <f t="shared" si="271"/>
        <v>0</v>
      </c>
      <c r="AH585" s="75"/>
      <c r="AI585" s="76"/>
      <c r="AJ585" s="135"/>
      <c r="AK585" s="135"/>
      <c r="AL585" s="77">
        <f t="shared" si="272"/>
        <v>0</v>
      </c>
      <c r="AM585" s="76"/>
      <c r="AN585" s="142"/>
      <c r="AO585" s="142"/>
      <c r="AP585" s="77">
        <f t="shared" si="273"/>
        <v>0</v>
      </c>
      <c r="AQ585" s="78"/>
      <c r="AR585" s="142"/>
      <c r="AS585" s="142"/>
      <c r="AT585" s="79">
        <f t="shared" si="274"/>
        <v>0</v>
      </c>
      <c r="AU585" s="75"/>
      <c r="AV585" s="76"/>
      <c r="AW585" s="135"/>
      <c r="AX585" s="135"/>
      <c r="AY585" s="77">
        <f t="shared" si="275"/>
        <v>0</v>
      </c>
      <c r="AZ585" s="76"/>
      <c r="BA585" s="142"/>
      <c r="BB585" s="142"/>
      <c r="BC585" s="77">
        <f t="shared" si="276"/>
        <v>0</v>
      </c>
      <c r="BD585" s="78"/>
      <c r="BE585" s="142"/>
      <c r="BF585" s="142"/>
      <c r="BG585" s="79">
        <f t="shared" si="277"/>
        <v>0</v>
      </c>
      <c r="BH585" s="75"/>
      <c r="BI585" s="76"/>
      <c r="BJ585" s="135"/>
      <c r="BK585" s="135"/>
      <c r="BL585" s="77">
        <f t="shared" si="278"/>
        <v>0</v>
      </c>
      <c r="BM585" s="78"/>
      <c r="BN585" s="142"/>
      <c r="BO585" s="142"/>
      <c r="BP585" s="77">
        <f t="shared" si="279"/>
        <v>0</v>
      </c>
      <c r="BQ585" s="78"/>
      <c r="BR585" s="142"/>
      <c r="BS585" s="142"/>
      <c r="BT585" s="79">
        <f t="shared" si="280"/>
        <v>0</v>
      </c>
      <c r="BU585" s="75"/>
      <c r="BV585" s="76"/>
      <c r="BW585" s="135"/>
      <c r="BX585" s="135"/>
      <c r="BY585" s="77">
        <f t="shared" si="281"/>
        <v>0</v>
      </c>
      <c r="BZ585" s="78"/>
      <c r="CA585" s="142"/>
      <c r="CB585" s="142"/>
      <c r="CC585" s="77">
        <f t="shared" si="282"/>
        <v>0</v>
      </c>
      <c r="CD585" s="78"/>
      <c r="CE585" s="142"/>
      <c r="CF585" s="142"/>
      <c r="CG585" s="79">
        <f t="shared" si="283"/>
        <v>0</v>
      </c>
      <c r="CH585" s="75"/>
      <c r="CI585" s="76"/>
      <c r="CJ585" s="86"/>
      <c r="CK585" s="86"/>
      <c r="CL585" s="77">
        <f t="shared" si="284"/>
        <v>0</v>
      </c>
      <c r="CM585" s="78"/>
      <c r="CN585" s="85"/>
      <c r="CO585" s="85"/>
      <c r="CP585" s="77">
        <f t="shared" si="285"/>
        <v>0</v>
      </c>
      <c r="CQ585" s="78"/>
      <c r="CR585" s="85"/>
      <c r="CS585" s="85"/>
      <c r="CT585" s="79">
        <f t="shared" si="286"/>
        <v>0</v>
      </c>
      <c r="CU585" s="80">
        <f t="shared" si="168"/>
        <v>0</v>
      </c>
      <c r="CV585" s="81">
        <f t="shared" si="169"/>
        <v>0</v>
      </c>
      <c r="CW585" s="144"/>
      <c r="CX585" s="145">
        <f>IF(ISERROR(VLOOKUP($A585,FIJOS!$B$11:$O$590,14,FALSE)),0,VLOOKUP($A585,FIJOS!$B$11:$O$590,14,FALSE))</f>
        <v>0</v>
      </c>
      <c r="CY585" s="145">
        <f>IF(ISERROR(VLOOKUP(A585,FIJOS!$B$10:$P$590,15,FALSE)),0,VLOOKUP(A585,FIJOS!$B$10:$P$590,15,FALSE))</f>
        <v>0</v>
      </c>
      <c r="CZ585" s="155"/>
      <c r="DA585" s="147"/>
      <c r="DB585" s="147"/>
      <c r="DC585" s="147"/>
      <c r="DD585" s="147"/>
      <c r="DE585" s="147"/>
      <c r="DF585" s="145">
        <f>IF(ISERROR(VLOOKUP($A585,FIJOS!$B$11:$N$590,13,FALSE)),0,VLOOKUP($A585,FIJOS!$B$11:$N$590,13,FALSE))</f>
        <v>0</v>
      </c>
      <c r="DG585" s="145">
        <f>IF(ISERROR(VLOOKUP($A585,FIJOS!$B$11:$P$447,12,FALSE)),0,VLOOKUP($A585,FIJOS!$B$11:$P$447,12,FALSE))</f>
        <v>0</v>
      </c>
      <c r="DH585" s="82">
        <f t="shared" si="258"/>
        <v>0</v>
      </c>
      <c r="DI585" s="83" t="b">
        <f>IF($C585=1,(VLOOKUP($A585,FIJOS!$B$11:$P$545,10,FALSE)/7)*(7-$CU585),IF(AND($C585=2,CV585&lt;$DJ$1),(VLOOKUP($D585,HORAS!$B$4:$C$42,2,FALSE)*24)*$CV585,IF(AND($C585=2,CV585&gt;=$DJ$1),VLOOKUP($D585,HORAS!$B$4:$D$42,3,FALSE),IF(AND($C585=3,$CV585&gt;=$DJ$1),VLOOKUP($A585,FIJOS!$B$11:$P$545,10,FALSE),IF(AND($C585=3,$CV585&lt;$DJ$1),((VLOOKUP($A585,FIJOS!$B$11:$P$545,10,FALSE)/48)*24)*$CV585,IF(AND($C585=4,$CV585&gt;=(42/24)),VLOOKUP($D585,HORAS!$B$4:$D$42,3,FALSE),IF(AND($C585=5,$CV585&gt;=(36/24)),VLOOKUP($D585,HORAS!$B$4:$D$42,3,FALSE))))))))</f>
        <v>0</v>
      </c>
      <c r="DJ585" s="145">
        <f>IF(OR($C585=2),VLOOKUP($D585,HORAS!$B$4:$E$42,4,FALSE)*$EC585,IF(ISERROR(VLOOKUP($A585,FIJOS!$B$11:$P$108,9,FALSE)),0,VLOOKUP($A585,FIJOS!$B$11:$P$231,9,FALSE)*$EC585))</f>
        <v>0</v>
      </c>
      <c r="DK585" s="145">
        <f>IF(OR($C585=2),VLOOKUP($D585,HORAS!$B$4:$F$42,5,FALSE)*$EE585,IF(ISERROR(VLOOKUP($A585,FIJOS!$B$11:$P$108,9,FALSE)),0,VLOOKUP($A585,FIJOS!$B$11:$P$231,9,FALSE)*$EE585))</f>
        <v>0</v>
      </c>
      <c r="DL585" s="144"/>
      <c r="DM585" s="145">
        <f>IF(ISERROR(VLOOKUP($A585,FIJOS!$B$11:$L$646,11,FALSE)),0,VLOOKUP($A585,FIJOS!$B$11:$L$646,11,FALSE))</f>
        <v>0</v>
      </c>
      <c r="DN585" s="148" t="e">
        <f>IF(OR($C585=1,$C585=3),0,IF((VLOOKUP(CAPTURA!D585,HORAS!$B$4:$K$42,10,FALSE)/4)*COUNTIF($H585:$CT585,3)&gt;100,100,(VLOOKUP(CAPTURA!D585,HORAS!$B$4:$K$42,10,FALSE)/4)*COUNTIF($H585:$CT585,3)))</f>
        <v>#N/A</v>
      </c>
      <c r="DO585" s="144" t="e">
        <f>IF(OR($C585=1,$C585=3),0,IF($C585=5,VLOOKUP(D585,HORAS!$B$4:$G$42,6,FALSE),IF(AND($C585=4,$CV585&gt;=(42/24)),VLOOKUP(D585,HORAS!$B$4:$G$42,6,FALSE),IF(COUNTIF($H585:$CL585,"F")&gt;0,0,IF(CV585&gt;$DJ$1,$DJ$1*(VLOOKUP(D585,HORAS!$B$4:$G$42,6,FALSE)/$DJ$1),CV585*(VLOOKUP(D585,HORAS!$B$4:$G$42,6,FALSE)/$DJ$1))))))</f>
        <v>#N/A</v>
      </c>
      <c r="DP585" s="156"/>
      <c r="DQ585" s="148"/>
      <c r="DR585" s="148"/>
      <c r="DS585" s="83" t="e">
        <f t="shared" si="287"/>
        <v>#N/A</v>
      </c>
      <c r="DT585" s="84"/>
      <c r="DU585" s="149" t="e">
        <f t="shared" si="259"/>
        <v>#N/A</v>
      </c>
      <c r="DV585" s="149" t="e">
        <f t="shared" si="260"/>
        <v>#N/A</v>
      </c>
      <c r="DW585" s="144" t="e">
        <f t="shared" si="261"/>
        <v>#N/A</v>
      </c>
      <c r="DX585" s="168"/>
      <c r="DY585" s="29"/>
      <c r="DZ585" s="150"/>
      <c r="EA585" s="134"/>
      <c r="EB585" s="137">
        <f t="shared" si="262"/>
        <v>0</v>
      </c>
      <c r="EC585" s="138">
        <f t="shared" si="263"/>
        <v>0</v>
      </c>
      <c r="ED585" s="137">
        <f t="shared" si="264"/>
        <v>0</v>
      </c>
      <c r="EE585" s="132">
        <f t="shared" si="265"/>
        <v>0</v>
      </c>
      <c r="EF585" s="29"/>
      <c r="EG585" s="134"/>
      <c r="EH585" s="134"/>
      <c r="EI585" s="134"/>
      <c r="EK585" s="29"/>
    </row>
    <row r="586" spans="1:141" ht="15" customHeight="1" x14ac:dyDescent="0.25">
      <c r="A586" s="87"/>
      <c r="B586" s="5"/>
      <c r="C586" s="72"/>
      <c r="D586" s="73"/>
      <c r="E586" s="73"/>
      <c r="F586" s="141"/>
      <c r="G586" s="74"/>
      <c r="H586" s="75"/>
      <c r="I586" s="76"/>
      <c r="J586" s="135"/>
      <c r="K586" s="135"/>
      <c r="L586" s="77">
        <f t="shared" si="266"/>
        <v>0</v>
      </c>
      <c r="M586" s="78"/>
      <c r="N586" s="142"/>
      <c r="O586" s="142"/>
      <c r="P586" s="77">
        <f t="shared" si="267"/>
        <v>0</v>
      </c>
      <c r="Q586" s="78"/>
      <c r="R586" s="143"/>
      <c r="S586" s="143"/>
      <c r="T586" s="77">
        <f t="shared" si="268"/>
        <v>0</v>
      </c>
      <c r="U586" s="75"/>
      <c r="V586" s="76"/>
      <c r="W586" s="135"/>
      <c r="X586" s="135"/>
      <c r="Y586" s="77">
        <f t="shared" si="269"/>
        <v>0</v>
      </c>
      <c r="Z586" s="78"/>
      <c r="AA586" s="142"/>
      <c r="AB586" s="142"/>
      <c r="AC586" s="77">
        <f t="shared" si="270"/>
        <v>0</v>
      </c>
      <c r="AD586" s="78"/>
      <c r="AE586" s="143"/>
      <c r="AF586" s="143"/>
      <c r="AG586" s="79">
        <f t="shared" si="271"/>
        <v>0</v>
      </c>
      <c r="AH586" s="75"/>
      <c r="AI586" s="76"/>
      <c r="AJ586" s="135"/>
      <c r="AK586" s="135"/>
      <c r="AL586" s="77">
        <f t="shared" si="272"/>
        <v>0</v>
      </c>
      <c r="AM586" s="76"/>
      <c r="AN586" s="142"/>
      <c r="AO586" s="142"/>
      <c r="AP586" s="77">
        <f t="shared" si="273"/>
        <v>0</v>
      </c>
      <c r="AQ586" s="78"/>
      <c r="AR586" s="142"/>
      <c r="AS586" s="142"/>
      <c r="AT586" s="79">
        <f t="shared" si="274"/>
        <v>0</v>
      </c>
      <c r="AU586" s="75"/>
      <c r="AV586" s="76"/>
      <c r="AW586" s="135"/>
      <c r="AX586" s="135"/>
      <c r="AY586" s="77">
        <f t="shared" si="275"/>
        <v>0</v>
      </c>
      <c r="AZ586" s="76"/>
      <c r="BA586" s="142"/>
      <c r="BB586" s="142"/>
      <c r="BC586" s="77">
        <f t="shared" si="276"/>
        <v>0</v>
      </c>
      <c r="BD586" s="78"/>
      <c r="BE586" s="142"/>
      <c r="BF586" s="142"/>
      <c r="BG586" s="79">
        <f t="shared" si="277"/>
        <v>0</v>
      </c>
      <c r="BH586" s="75"/>
      <c r="BI586" s="76"/>
      <c r="BJ586" s="135"/>
      <c r="BK586" s="135"/>
      <c r="BL586" s="77">
        <f t="shared" si="278"/>
        <v>0</v>
      </c>
      <c r="BM586" s="78"/>
      <c r="BN586" s="142"/>
      <c r="BO586" s="142"/>
      <c r="BP586" s="77">
        <f t="shared" si="279"/>
        <v>0</v>
      </c>
      <c r="BQ586" s="78"/>
      <c r="BR586" s="142"/>
      <c r="BS586" s="142"/>
      <c r="BT586" s="79">
        <f t="shared" si="280"/>
        <v>0</v>
      </c>
      <c r="BU586" s="75"/>
      <c r="BV586" s="76"/>
      <c r="BW586" s="135"/>
      <c r="BX586" s="135"/>
      <c r="BY586" s="77">
        <f t="shared" si="281"/>
        <v>0</v>
      </c>
      <c r="BZ586" s="78"/>
      <c r="CA586" s="142"/>
      <c r="CB586" s="142"/>
      <c r="CC586" s="77">
        <f t="shared" si="282"/>
        <v>0</v>
      </c>
      <c r="CD586" s="78"/>
      <c r="CE586" s="142"/>
      <c r="CF586" s="142"/>
      <c r="CG586" s="79">
        <f t="shared" si="283"/>
        <v>0</v>
      </c>
      <c r="CH586" s="75"/>
      <c r="CI586" s="76"/>
      <c r="CJ586" s="86"/>
      <c r="CK586" s="86"/>
      <c r="CL586" s="77">
        <f t="shared" si="284"/>
        <v>0</v>
      </c>
      <c r="CM586" s="78"/>
      <c r="CN586" s="85"/>
      <c r="CO586" s="85"/>
      <c r="CP586" s="77">
        <f t="shared" si="285"/>
        <v>0</v>
      </c>
      <c r="CQ586" s="78"/>
      <c r="CR586" s="85"/>
      <c r="CS586" s="85"/>
      <c r="CT586" s="79">
        <f t="shared" si="286"/>
        <v>0</v>
      </c>
      <c r="CU586" s="80">
        <f t="shared" si="168"/>
        <v>0</v>
      </c>
      <c r="CV586" s="81">
        <f t="shared" si="169"/>
        <v>0</v>
      </c>
      <c r="CW586" s="144"/>
      <c r="CX586" s="145">
        <f>IF(ISERROR(VLOOKUP($A586,FIJOS!$B$11:$O$590,14,FALSE)),0,VLOOKUP($A586,FIJOS!$B$11:$O$590,14,FALSE))</f>
        <v>0</v>
      </c>
      <c r="CY586" s="145">
        <f>IF(ISERROR(VLOOKUP(A586,FIJOS!$B$10:$P$590,15,FALSE)),0,VLOOKUP(A586,FIJOS!$B$10:$P$590,15,FALSE))</f>
        <v>0</v>
      </c>
      <c r="CZ586" s="155"/>
      <c r="DA586" s="147"/>
      <c r="DB586" s="147"/>
      <c r="DC586" s="147"/>
      <c r="DD586" s="147"/>
      <c r="DE586" s="147"/>
      <c r="DF586" s="145">
        <f>IF(ISERROR(VLOOKUP($A586,FIJOS!$B$11:$N$590,13,FALSE)),0,VLOOKUP($A586,FIJOS!$B$11:$N$590,13,FALSE))</f>
        <v>0</v>
      </c>
      <c r="DG586" s="145">
        <f>IF(ISERROR(VLOOKUP($A586,FIJOS!$B$11:$P$447,12,FALSE)),0,VLOOKUP($A586,FIJOS!$B$11:$P$447,12,FALSE))</f>
        <v>0</v>
      </c>
      <c r="DH586" s="82">
        <f t="shared" si="258"/>
        <v>0</v>
      </c>
      <c r="DI586" s="83" t="b">
        <f>IF($C586=1,(VLOOKUP($A586,FIJOS!$B$11:$P$545,10,FALSE)/7)*(7-$CU586),IF(AND($C586=2,CV586&lt;$DJ$1),(VLOOKUP($D586,HORAS!$B$4:$C$42,2,FALSE)*24)*$CV586,IF(AND($C586=2,CV586&gt;=$DJ$1),VLOOKUP($D586,HORAS!$B$4:$D$42,3,FALSE),IF(AND($C586=3,$CV586&gt;=$DJ$1),VLOOKUP($A586,FIJOS!$B$11:$P$545,10,FALSE),IF(AND($C586=3,$CV586&lt;$DJ$1),((VLOOKUP($A586,FIJOS!$B$11:$P$545,10,FALSE)/48)*24)*$CV586,IF(AND($C586=4,$CV586&gt;=(42/24)),VLOOKUP($D586,HORAS!$B$4:$D$42,3,FALSE),IF(AND($C586=5,$CV586&gt;=(36/24)),VLOOKUP($D586,HORAS!$B$4:$D$42,3,FALSE))))))))</f>
        <v>0</v>
      </c>
      <c r="DJ586" s="145">
        <f>IF(OR($C586=2),VLOOKUP($D586,HORAS!$B$4:$E$42,4,FALSE)*$EC586,IF(ISERROR(VLOOKUP($A586,FIJOS!$B$11:$P$108,9,FALSE)),0,VLOOKUP($A586,FIJOS!$B$11:$P$231,9,FALSE)*$EC586))</f>
        <v>0</v>
      </c>
      <c r="DK586" s="145">
        <f>IF(OR($C586=2),VLOOKUP($D586,HORAS!$B$4:$F$42,5,FALSE)*$EE586,IF(ISERROR(VLOOKUP($A586,FIJOS!$B$11:$P$108,9,FALSE)),0,VLOOKUP($A586,FIJOS!$B$11:$P$231,9,FALSE)*$EE586))</f>
        <v>0</v>
      </c>
      <c r="DL586" s="144"/>
      <c r="DM586" s="145">
        <f>IF(ISERROR(VLOOKUP($A586,FIJOS!$B$11:$L$646,11,FALSE)),0,VLOOKUP($A586,FIJOS!$B$11:$L$646,11,FALSE))</f>
        <v>0</v>
      </c>
      <c r="DN586" s="148" t="e">
        <f>IF(OR($C586=1,$C586=3),0,IF((VLOOKUP(CAPTURA!D586,HORAS!$B$4:$K$42,10,FALSE)/4)*COUNTIF($H586:$CT586,3)&gt;100,100,(VLOOKUP(CAPTURA!D586,HORAS!$B$4:$K$42,10,FALSE)/4)*COUNTIF($H586:$CT586,3)))</f>
        <v>#N/A</v>
      </c>
      <c r="DO586" s="144" t="e">
        <f>IF(OR($C586=1,$C586=3),0,IF($C586=5,VLOOKUP(D586,HORAS!$B$4:$G$42,6,FALSE),IF(AND($C586=4,$CV586&gt;=(42/24)),VLOOKUP(D586,HORAS!$B$4:$G$42,6,FALSE),IF(COUNTIF($H586:$CL586,"F")&gt;0,0,IF(CV586&gt;$DJ$1,$DJ$1*(VLOOKUP(D586,HORAS!$B$4:$G$42,6,FALSE)/$DJ$1),CV586*(VLOOKUP(D586,HORAS!$B$4:$G$42,6,FALSE)/$DJ$1))))))</f>
        <v>#N/A</v>
      </c>
      <c r="DP586" s="156"/>
      <c r="DQ586" s="148"/>
      <c r="DR586" s="148"/>
      <c r="DS586" s="83" t="e">
        <f t="shared" si="287"/>
        <v>#N/A</v>
      </c>
      <c r="DT586" s="84"/>
      <c r="DU586" s="149" t="e">
        <f t="shared" si="259"/>
        <v>#N/A</v>
      </c>
      <c r="DV586" s="149" t="e">
        <f t="shared" si="260"/>
        <v>#N/A</v>
      </c>
      <c r="DW586" s="144" t="e">
        <f t="shared" si="261"/>
        <v>#N/A</v>
      </c>
      <c r="DX586" s="168"/>
      <c r="DY586" s="29"/>
      <c r="DZ586" s="150"/>
      <c r="EA586" s="134"/>
      <c r="EB586" s="137">
        <f t="shared" si="262"/>
        <v>0</v>
      </c>
      <c r="EC586" s="138">
        <f t="shared" si="263"/>
        <v>0</v>
      </c>
      <c r="ED586" s="137">
        <f t="shared" si="264"/>
        <v>0</v>
      </c>
      <c r="EE586" s="132">
        <f t="shared" si="265"/>
        <v>0</v>
      </c>
      <c r="EF586" s="29"/>
      <c r="EG586" s="134"/>
      <c r="EH586" s="134"/>
      <c r="EI586" s="134"/>
      <c r="EK586" s="29"/>
    </row>
    <row r="587" spans="1:141" ht="15" customHeight="1" x14ac:dyDescent="0.25">
      <c r="A587" s="87"/>
      <c r="B587" s="5"/>
      <c r="C587" s="72"/>
      <c r="D587" s="73"/>
      <c r="E587" s="73"/>
      <c r="F587" s="141"/>
      <c r="G587" s="74"/>
      <c r="H587" s="75"/>
      <c r="I587" s="76"/>
      <c r="J587" s="135"/>
      <c r="K587" s="135"/>
      <c r="L587" s="77">
        <f t="shared" si="266"/>
        <v>0</v>
      </c>
      <c r="M587" s="78"/>
      <c r="N587" s="142"/>
      <c r="O587" s="142"/>
      <c r="P587" s="77">
        <f t="shared" si="267"/>
        <v>0</v>
      </c>
      <c r="Q587" s="78"/>
      <c r="R587" s="143"/>
      <c r="S587" s="143"/>
      <c r="T587" s="77">
        <f t="shared" si="268"/>
        <v>0</v>
      </c>
      <c r="U587" s="75"/>
      <c r="V587" s="76"/>
      <c r="W587" s="135"/>
      <c r="X587" s="135"/>
      <c r="Y587" s="77">
        <f t="shared" si="269"/>
        <v>0</v>
      </c>
      <c r="Z587" s="78"/>
      <c r="AA587" s="142"/>
      <c r="AB587" s="142"/>
      <c r="AC587" s="77">
        <f t="shared" si="270"/>
        <v>0</v>
      </c>
      <c r="AD587" s="78"/>
      <c r="AE587" s="143"/>
      <c r="AF587" s="143"/>
      <c r="AG587" s="79">
        <f t="shared" si="271"/>
        <v>0</v>
      </c>
      <c r="AH587" s="75"/>
      <c r="AI587" s="76"/>
      <c r="AJ587" s="135"/>
      <c r="AK587" s="135"/>
      <c r="AL587" s="77">
        <f t="shared" si="272"/>
        <v>0</v>
      </c>
      <c r="AM587" s="76"/>
      <c r="AN587" s="142"/>
      <c r="AO587" s="142"/>
      <c r="AP587" s="77">
        <f t="shared" si="273"/>
        <v>0</v>
      </c>
      <c r="AQ587" s="78"/>
      <c r="AR587" s="142"/>
      <c r="AS587" s="142"/>
      <c r="AT587" s="79">
        <f t="shared" si="274"/>
        <v>0</v>
      </c>
      <c r="AU587" s="75"/>
      <c r="AV587" s="76"/>
      <c r="AW587" s="135"/>
      <c r="AX587" s="135"/>
      <c r="AY587" s="77">
        <f t="shared" si="275"/>
        <v>0</v>
      </c>
      <c r="AZ587" s="76"/>
      <c r="BA587" s="142"/>
      <c r="BB587" s="142"/>
      <c r="BC587" s="77">
        <f t="shared" si="276"/>
        <v>0</v>
      </c>
      <c r="BD587" s="78"/>
      <c r="BE587" s="142"/>
      <c r="BF587" s="142"/>
      <c r="BG587" s="79">
        <f t="shared" si="277"/>
        <v>0</v>
      </c>
      <c r="BH587" s="75"/>
      <c r="BI587" s="76"/>
      <c r="BJ587" s="135"/>
      <c r="BK587" s="135"/>
      <c r="BL587" s="77">
        <f t="shared" si="278"/>
        <v>0</v>
      </c>
      <c r="BM587" s="78"/>
      <c r="BN587" s="142"/>
      <c r="BO587" s="142"/>
      <c r="BP587" s="77">
        <f t="shared" si="279"/>
        <v>0</v>
      </c>
      <c r="BQ587" s="78"/>
      <c r="BR587" s="142"/>
      <c r="BS587" s="142"/>
      <c r="BT587" s="79">
        <f t="shared" si="280"/>
        <v>0</v>
      </c>
      <c r="BU587" s="75"/>
      <c r="BV587" s="76"/>
      <c r="BW587" s="135"/>
      <c r="BX587" s="135"/>
      <c r="BY587" s="77">
        <f t="shared" si="281"/>
        <v>0</v>
      </c>
      <c r="BZ587" s="78"/>
      <c r="CA587" s="142"/>
      <c r="CB587" s="142"/>
      <c r="CC587" s="77">
        <f t="shared" si="282"/>
        <v>0</v>
      </c>
      <c r="CD587" s="78"/>
      <c r="CE587" s="142"/>
      <c r="CF587" s="142"/>
      <c r="CG587" s="79">
        <f t="shared" si="283"/>
        <v>0</v>
      </c>
      <c r="CH587" s="75"/>
      <c r="CI587" s="76"/>
      <c r="CJ587" s="86"/>
      <c r="CK587" s="86"/>
      <c r="CL587" s="77">
        <f t="shared" si="284"/>
        <v>0</v>
      </c>
      <c r="CM587" s="78"/>
      <c r="CN587" s="85"/>
      <c r="CO587" s="85"/>
      <c r="CP587" s="77">
        <f t="shared" si="285"/>
        <v>0</v>
      </c>
      <c r="CQ587" s="78"/>
      <c r="CR587" s="85"/>
      <c r="CS587" s="85"/>
      <c r="CT587" s="79">
        <f t="shared" si="286"/>
        <v>0</v>
      </c>
      <c r="CU587" s="80">
        <f t="shared" si="168"/>
        <v>0</v>
      </c>
      <c r="CV587" s="81">
        <f t="shared" si="169"/>
        <v>0</v>
      </c>
      <c r="CW587" s="144"/>
      <c r="CX587" s="145">
        <f>IF(ISERROR(VLOOKUP($A587,FIJOS!$B$11:$O$590,14,FALSE)),0,VLOOKUP($A587,FIJOS!$B$11:$O$590,14,FALSE))</f>
        <v>0</v>
      </c>
      <c r="CY587" s="145">
        <f>IF(ISERROR(VLOOKUP(A587,FIJOS!$B$10:$P$590,15,FALSE)),0,VLOOKUP(A587,FIJOS!$B$10:$P$590,15,FALSE))</f>
        <v>0</v>
      </c>
      <c r="CZ587" s="155"/>
      <c r="DA587" s="147"/>
      <c r="DB587" s="147"/>
      <c r="DC587" s="147"/>
      <c r="DD587" s="147"/>
      <c r="DE587" s="147"/>
      <c r="DF587" s="145">
        <f>IF(ISERROR(VLOOKUP($A587,FIJOS!$B$11:$N$590,13,FALSE)),0,VLOOKUP($A587,FIJOS!$B$11:$N$590,13,FALSE))</f>
        <v>0</v>
      </c>
      <c r="DG587" s="145">
        <f>IF(ISERROR(VLOOKUP($A587,FIJOS!$B$11:$P$447,12,FALSE)),0,VLOOKUP($A587,FIJOS!$B$11:$P$447,12,FALSE))</f>
        <v>0</v>
      </c>
      <c r="DH587" s="82">
        <f t="shared" si="258"/>
        <v>0</v>
      </c>
      <c r="DI587" s="83" t="b">
        <f>IF($C587=1,(VLOOKUP($A587,FIJOS!$B$11:$P$545,10,FALSE)/7)*(7-$CU587),IF(AND($C587=2,CV587&lt;$DJ$1),(VLOOKUP($D587,HORAS!$B$4:$C$42,2,FALSE)*24)*$CV587,IF(AND($C587=2,CV587&gt;=$DJ$1),VLOOKUP($D587,HORAS!$B$4:$D$42,3,FALSE),IF(AND($C587=3,$CV587&gt;=$DJ$1),VLOOKUP($A587,FIJOS!$B$11:$P$545,10,FALSE),IF(AND($C587=3,$CV587&lt;$DJ$1),((VLOOKUP($A587,FIJOS!$B$11:$P$545,10,FALSE)/48)*24)*$CV587,IF(AND($C587=4,$CV587&gt;=(42/24)),VLOOKUP($D587,HORAS!$B$4:$D$42,3,FALSE),IF(AND($C587=5,$CV587&gt;=(36/24)),VLOOKUP($D587,HORAS!$B$4:$D$42,3,FALSE))))))))</f>
        <v>0</v>
      </c>
      <c r="DJ587" s="145">
        <f>IF(OR($C587=2),VLOOKUP($D587,HORAS!$B$4:$E$42,4,FALSE)*$EC587,IF(ISERROR(VLOOKUP($A587,FIJOS!$B$11:$P$108,9,FALSE)),0,VLOOKUP($A587,FIJOS!$B$11:$P$231,9,FALSE)*$EC587))</f>
        <v>0</v>
      </c>
      <c r="DK587" s="145">
        <f>IF(OR($C587=2),VLOOKUP($D587,HORAS!$B$4:$F$42,5,FALSE)*$EE587,IF(ISERROR(VLOOKUP($A587,FIJOS!$B$11:$P$108,9,FALSE)),0,VLOOKUP($A587,FIJOS!$B$11:$P$231,9,FALSE)*$EE587))</f>
        <v>0</v>
      </c>
      <c r="DL587" s="144"/>
      <c r="DM587" s="145">
        <f>IF(ISERROR(VLOOKUP($A587,FIJOS!$B$11:$L$646,11,FALSE)),0,VLOOKUP($A587,FIJOS!$B$11:$L$646,11,FALSE))</f>
        <v>0</v>
      </c>
      <c r="DN587" s="148" t="e">
        <f>IF(OR($C587=1,$C587=3),0,IF((VLOOKUP(CAPTURA!D587,HORAS!$B$4:$K$42,10,FALSE)/4)*COUNTIF($H587:$CT587,3)&gt;100,100,(VLOOKUP(CAPTURA!D587,HORAS!$B$4:$K$42,10,FALSE)/4)*COUNTIF($H587:$CT587,3)))</f>
        <v>#N/A</v>
      </c>
      <c r="DO587" s="144" t="e">
        <f>IF(OR($C587=1,$C587=3),0,IF($C587=5,VLOOKUP(D587,HORAS!$B$4:$G$42,6,FALSE),IF(AND($C587=4,$CV587&gt;=(42/24)),VLOOKUP(D587,HORAS!$B$4:$G$42,6,FALSE),IF(COUNTIF($H587:$CL587,"F")&gt;0,0,IF(CV587&gt;$DJ$1,$DJ$1*(VLOOKUP(D587,HORAS!$B$4:$G$42,6,FALSE)/$DJ$1),CV587*(VLOOKUP(D587,HORAS!$B$4:$G$42,6,FALSE)/$DJ$1))))))</f>
        <v>#N/A</v>
      </c>
      <c r="DP587" s="156"/>
      <c r="DQ587" s="148"/>
      <c r="DR587" s="148"/>
      <c r="DS587" s="83" t="e">
        <f t="shared" si="287"/>
        <v>#N/A</v>
      </c>
      <c r="DT587" s="84"/>
      <c r="DU587" s="149" t="e">
        <f t="shared" si="259"/>
        <v>#N/A</v>
      </c>
      <c r="DV587" s="149" t="e">
        <f t="shared" si="260"/>
        <v>#N/A</v>
      </c>
      <c r="DW587" s="144" t="e">
        <f t="shared" si="261"/>
        <v>#N/A</v>
      </c>
      <c r="DX587" s="168"/>
      <c r="DY587" s="29"/>
      <c r="DZ587" s="150"/>
      <c r="EA587" s="134"/>
      <c r="EB587" s="137">
        <f t="shared" si="262"/>
        <v>0</v>
      </c>
      <c r="EC587" s="138">
        <f t="shared" si="263"/>
        <v>0</v>
      </c>
      <c r="ED587" s="137">
        <f t="shared" si="264"/>
        <v>0</v>
      </c>
      <c r="EE587" s="132">
        <f t="shared" si="265"/>
        <v>0</v>
      </c>
      <c r="EF587" s="29"/>
      <c r="EG587" s="134"/>
      <c r="EH587" s="134"/>
      <c r="EI587" s="134"/>
      <c r="EK587" s="29"/>
    </row>
    <row r="588" spans="1:141" ht="15" customHeight="1" x14ac:dyDescent="0.25">
      <c r="A588" s="87"/>
      <c r="B588" s="5"/>
      <c r="C588" s="72"/>
      <c r="D588" s="73"/>
      <c r="E588" s="73"/>
      <c r="F588" s="141"/>
      <c r="G588" s="74"/>
      <c r="H588" s="75"/>
      <c r="I588" s="76"/>
      <c r="J588" s="135"/>
      <c r="K588" s="135"/>
      <c r="L588" s="77">
        <f t="shared" si="266"/>
        <v>0</v>
      </c>
      <c r="M588" s="78"/>
      <c r="N588" s="142"/>
      <c r="O588" s="142"/>
      <c r="P588" s="77">
        <f t="shared" si="267"/>
        <v>0</v>
      </c>
      <c r="Q588" s="78"/>
      <c r="R588" s="143"/>
      <c r="S588" s="143"/>
      <c r="T588" s="77">
        <f t="shared" si="268"/>
        <v>0</v>
      </c>
      <c r="U588" s="75"/>
      <c r="V588" s="76"/>
      <c r="W588" s="135"/>
      <c r="X588" s="135"/>
      <c r="Y588" s="77">
        <f t="shared" si="269"/>
        <v>0</v>
      </c>
      <c r="Z588" s="78"/>
      <c r="AA588" s="142"/>
      <c r="AB588" s="142"/>
      <c r="AC588" s="77">
        <f t="shared" si="270"/>
        <v>0</v>
      </c>
      <c r="AD588" s="78"/>
      <c r="AE588" s="143"/>
      <c r="AF588" s="143"/>
      <c r="AG588" s="79">
        <f t="shared" si="271"/>
        <v>0</v>
      </c>
      <c r="AH588" s="75"/>
      <c r="AI588" s="76"/>
      <c r="AJ588" s="135"/>
      <c r="AK588" s="135"/>
      <c r="AL588" s="77">
        <f t="shared" si="272"/>
        <v>0</v>
      </c>
      <c r="AM588" s="76"/>
      <c r="AN588" s="142"/>
      <c r="AO588" s="142"/>
      <c r="AP588" s="77">
        <f t="shared" si="273"/>
        <v>0</v>
      </c>
      <c r="AQ588" s="78"/>
      <c r="AR588" s="142"/>
      <c r="AS588" s="142"/>
      <c r="AT588" s="79">
        <f t="shared" si="274"/>
        <v>0</v>
      </c>
      <c r="AU588" s="75"/>
      <c r="AV588" s="76"/>
      <c r="AW588" s="135"/>
      <c r="AX588" s="135"/>
      <c r="AY588" s="77">
        <f t="shared" si="275"/>
        <v>0</v>
      </c>
      <c r="AZ588" s="76"/>
      <c r="BA588" s="142"/>
      <c r="BB588" s="142"/>
      <c r="BC588" s="77">
        <f t="shared" si="276"/>
        <v>0</v>
      </c>
      <c r="BD588" s="78"/>
      <c r="BE588" s="142"/>
      <c r="BF588" s="142"/>
      <c r="BG588" s="79">
        <f t="shared" si="277"/>
        <v>0</v>
      </c>
      <c r="BH588" s="75"/>
      <c r="BI588" s="76"/>
      <c r="BJ588" s="135"/>
      <c r="BK588" s="135"/>
      <c r="BL588" s="77">
        <f t="shared" si="278"/>
        <v>0</v>
      </c>
      <c r="BM588" s="78"/>
      <c r="BN588" s="142"/>
      <c r="BO588" s="142"/>
      <c r="BP588" s="77">
        <f t="shared" si="279"/>
        <v>0</v>
      </c>
      <c r="BQ588" s="78"/>
      <c r="BR588" s="142"/>
      <c r="BS588" s="142"/>
      <c r="BT588" s="79">
        <f t="shared" si="280"/>
        <v>0</v>
      </c>
      <c r="BU588" s="75"/>
      <c r="BV588" s="76"/>
      <c r="BW588" s="135"/>
      <c r="BX588" s="135"/>
      <c r="BY588" s="77">
        <f t="shared" si="281"/>
        <v>0</v>
      </c>
      <c r="BZ588" s="78"/>
      <c r="CA588" s="142"/>
      <c r="CB588" s="142"/>
      <c r="CC588" s="77">
        <f t="shared" si="282"/>
        <v>0</v>
      </c>
      <c r="CD588" s="78"/>
      <c r="CE588" s="142"/>
      <c r="CF588" s="142"/>
      <c r="CG588" s="79">
        <f t="shared" si="283"/>
        <v>0</v>
      </c>
      <c r="CH588" s="75"/>
      <c r="CI588" s="76"/>
      <c r="CJ588" s="86"/>
      <c r="CK588" s="86"/>
      <c r="CL588" s="77">
        <f t="shared" si="284"/>
        <v>0</v>
      </c>
      <c r="CM588" s="78"/>
      <c r="CN588" s="85"/>
      <c r="CO588" s="85"/>
      <c r="CP588" s="77">
        <f t="shared" si="285"/>
        <v>0</v>
      </c>
      <c r="CQ588" s="78"/>
      <c r="CR588" s="85"/>
      <c r="CS588" s="85"/>
      <c r="CT588" s="79">
        <f t="shared" si="286"/>
        <v>0</v>
      </c>
      <c r="CU588" s="80">
        <f t="shared" si="168"/>
        <v>0</v>
      </c>
      <c r="CV588" s="81">
        <f t="shared" si="169"/>
        <v>0</v>
      </c>
      <c r="CW588" s="144"/>
      <c r="CX588" s="145">
        <f>IF(ISERROR(VLOOKUP($A588,FIJOS!$B$11:$O$590,14,FALSE)),0,VLOOKUP($A588,FIJOS!$B$11:$O$590,14,FALSE))</f>
        <v>0</v>
      </c>
      <c r="CY588" s="145">
        <f>IF(ISERROR(VLOOKUP(A588,FIJOS!$B$10:$P$590,15,FALSE)),0,VLOOKUP(A588,FIJOS!$B$10:$P$590,15,FALSE))</f>
        <v>0</v>
      </c>
      <c r="CZ588" s="155"/>
      <c r="DA588" s="147"/>
      <c r="DB588" s="147"/>
      <c r="DC588" s="147"/>
      <c r="DD588" s="147"/>
      <c r="DE588" s="147"/>
      <c r="DF588" s="145">
        <f>IF(ISERROR(VLOOKUP($A588,FIJOS!$B$11:$N$590,13,FALSE)),0,VLOOKUP($A588,FIJOS!$B$11:$N$590,13,FALSE))</f>
        <v>0</v>
      </c>
      <c r="DG588" s="145">
        <f>IF(ISERROR(VLOOKUP($A588,FIJOS!$B$11:$P$447,12,FALSE)),0,VLOOKUP($A588,FIJOS!$B$11:$P$447,12,FALSE))</f>
        <v>0</v>
      </c>
      <c r="DH588" s="82">
        <f t="shared" si="258"/>
        <v>0</v>
      </c>
      <c r="DI588" s="83" t="b">
        <f>IF($C588=1,(VLOOKUP($A588,FIJOS!$B$11:$P$545,10,FALSE)/7)*(7-$CU588),IF(AND($C588=2,CV588&lt;$DJ$1),(VLOOKUP($D588,HORAS!$B$4:$C$42,2,FALSE)*24)*$CV588,IF(AND($C588=2,CV588&gt;=$DJ$1),VLOOKUP($D588,HORAS!$B$4:$D$42,3,FALSE),IF(AND($C588=3,$CV588&gt;=$DJ$1),VLOOKUP($A588,FIJOS!$B$11:$P$545,10,FALSE),IF(AND($C588=3,$CV588&lt;$DJ$1),((VLOOKUP($A588,FIJOS!$B$11:$P$545,10,FALSE)/48)*24)*$CV588,IF(AND($C588=4,$CV588&gt;=(42/24)),VLOOKUP($D588,HORAS!$B$4:$D$42,3,FALSE),IF(AND($C588=5,$CV588&gt;=(36/24)),VLOOKUP($D588,HORAS!$B$4:$D$42,3,FALSE))))))))</f>
        <v>0</v>
      </c>
      <c r="DJ588" s="145">
        <f>IF(OR($C588=2),VLOOKUP($D588,HORAS!$B$4:$E$42,4,FALSE)*$EC588,IF(ISERROR(VLOOKUP($A588,FIJOS!$B$11:$P$108,9,FALSE)),0,VLOOKUP($A588,FIJOS!$B$11:$P$231,9,FALSE)*$EC588))</f>
        <v>0</v>
      </c>
      <c r="DK588" s="145">
        <f>IF(OR($C588=2),VLOOKUP($D588,HORAS!$B$4:$F$42,5,FALSE)*$EE588,IF(ISERROR(VLOOKUP($A588,FIJOS!$B$11:$P$108,9,FALSE)),0,VLOOKUP($A588,FIJOS!$B$11:$P$231,9,FALSE)*$EE588))</f>
        <v>0</v>
      </c>
      <c r="DL588" s="144"/>
      <c r="DM588" s="145">
        <f>IF(ISERROR(VLOOKUP($A588,FIJOS!$B$11:$L$646,11,FALSE)),0,VLOOKUP($A588,FIJOS!$B$11:$L$646,11,FALSE))</f>
        <v>0</v>
      </c>
      <c r="DN588" s="148" t="e">
        <f>IF(OR($C588=1,$C588=3),0,IF((VLOOKUP(CAPTURA!D588,HORAS!$B$4:$K$42,10,FALSE)/4)*COUNTIF($H588:$CT588,3)&gt;100,100,(VLOOKUP(CAPTURA!D588,HORAS!$B$4:$K$42,10,FALSE)/4)*COUNTIF($H588:$CT588,3)))</f>
        <v>#N/A</v>
      </c>
      <c r="DO588" s="144" t="e">
        <f>IF(OR($C588=1,$C588=3),0,IF($C588=5,VLOOKUP(D588,HORAS!$B$4:$G$42,6,FALSE),IF(AND($C588=4,$CV588&gt;=(42/24)),VLOOKUP(D588,HORAS!$B$4:$G$42,6,FALSE),IF(COUNTIF($H588:$CL588,"F")&gt;0,0,IF(CV588&gt;$DJ$1,$DJ$1*(VLOOKUP(D588,HORAS!$B$4:$G$42,6,FALSE)/$DJ$1),CV588*(VLOOKUP(D588,HORAS!$B$4:$G$42,6,FALSE)/$DJ$1))))))</f>
        <v>#N/A</v>
      </c>
      <c r="DP588" s="156"/>
      <c r="DQ588" s="148"/>
      <c r="DR588" s="148"/>
      <c r="DS588" s="83" t="e">
        <f t="shared" si="287"/>
        <v>#N/A</v>
      </c>
      <c r="DT588" s="84"/>
      <c r="DU588" s="149" t="e">
        <f t="shared" si="259"/>
        <v>#N/A</v>
      </c>
      <c r="DV588" s="149" t="e">
        <f t="shared" si="260"/>
        <v>#N/A</v>
      </c>
      <c r="DW588" s="144" t="e">
        <f t="shared" si="261"/>
        <v>#N/A</v>
      </c>
      <c r="DX588" s="168"/>
      <c r="DY588" s="29"/>
      <c r="DZ588" s="150"/>
      <c r="EA588" s="134"/>
      <c r="EB588" s="137">
        <f t="shared" si="262"/>
        <v>0</v>
      </c>
      <c r="EC588" s="138">
        <f t="shared" si="263"/>
        <v>0</v>
      </c>
      <c r="ED588" s="137">
        <f t="shared" si="264"/>
        <v>0</v>
      </c>
      <c r="EE588" s="132">
        <f t="shared" si="265"/>
        <v>0</v>
      </c>
      <c r="EF588" s="29"/>
      <c r="EG588" s="134"/>
      <c r="EH588" s="134"/>
      <c r="EI588" s="134"/>
      <c r="EK588" s="29"/>
    </row>
    <row r="589" spans="1:141" ht="15" customHeight="1" x14ac:dyDescent="0.25">
      <c r="A589" s="87"/>
      <c r="B589" s="5"/>
      <c r="C589" s="72"/>
      <c r="D589" s="73"/>
      <c r="E589" s="73"/>
      <c r="F589" s="141"/>
      <c r="G589" s="74"/>
      <c r="H589" s="75"/>
      <c r="I589" s="76"/>
      <c r="J589" s="135"/>
      <c r="K589" s="135"/>
      <c r="L589" s="77">
        <f t="shared" si="266"/>
        <v>0</v>
      </c>
      <c r="M589" s="78"/>
      <c r="N589" s="142"/>
      <c r="O589" s="142"/>
      <c r="P589" s="77">
        <f t="shared" si="267"/>
        <v>0</v>
      </c>
      <c r="Q589" s="78"/>
      <c r="R589" s="143"/>
      <c r="S589" s="143"/>
      <c r="T589" s="77">
        <f t="shared" si="268"/>
        <v>0</v>
      </c>
      <c r="U589" s="75"/>
      <c r="V589" s="76"/>
      <c r="W589" s="135"/>
      <c r="X589" s="135"/>
      <c r="Y589" s="77">
        <f t="shared" si="269"/>
        <v>0</v>
      </c>
      <c r="Z589" s="78"/>
      <c r="AA589" s="142"/>
      <c r="AB589" s="142"/>
      <c r="AC589" s="77">
        <f t="shared" si="270"/>
        <v>0</v>
      </c>
      <c r="AD589" s="78"/>
      <c r="AE589" s="143"/>
      <c r="AF589" s="143"/>
      <c r="AG589" s="79">
        <f t="shared" si="271"/>
        <v>0</v>
      </c>
      <c r="AH589" s="75"/>
      <c r="AI589" s="76"/>
      <c r="AJ589" s="135"/>
      <c r="AK589" s="135"/>
      <c r="AL589" s="77">
        <f t="shared" si="272"/>
        <v>0</v>
      </c>
      <c r="AM589" s="76"/>
      <c r="AN589" s="142"/>
      <c r="AO589" s="142"/>
      <c r="AP589" s="77">
        <f t="shared" si="273"/>
        <v>0</v>
      </c>
      <c r="AQ589" s="78"/>
      <c r="AR589" s="142"/>
      <c r="AS589" s="142"/>
      <c r="AT589" s="79">
        <f t="shared" si="274"/>
        <v>0</v>
      </c>
      <c r="AU589" s="75"/>
      <c r="AV589" s="76"/>
      <c r="AW589" s="135"/>
      <c r="AX589" s="135"/>
      <c r="AY589" s="77">
        <f t="shared" si="275"/>
        <v>0</v>
      </c>
      <c r="AZ589" s="76"/>
      <c r="BA589" s="142"/>
      <c r="BB589" s="142"/>
      <c r="BC589" s="77">
        <f t="shared" si="276"/>
        <v>0</v>
      </c>
      <c r="BD589" s="78"/>
      <c r="BE589" s="142"/>
      <c r="BF589" s="142"/>
      <c r="BG589" s="79">
        <f t="shared" si="277"/>
        <v>0</v>
      </c>
      <c r="BH589" s="75"/>
      <c r="BI589" s="76"/>
      <c r="BJ589" s="135"/>
      <c r="BK589" s="135"/>
      <c r="BL589" s="77">
        <f t="shared" si="278"/>
        <v>0</v>
      </c>
      <c r="BM589" s="78"/>
      <c r="BN589" s="142"/>
      <c r="BO589" s="142"/>
      <c r="BP589" s="77">
        <f t="shared" si="279"/>
        <v>0</v>
      </c>
      <c r="BQ589" s="78"/>
      <c r="BR589" s="142"/>
      <c r="BS589" s="142"/>
      <c r="BT589" s="79">
        <f t="shared" si="280"/>
        <v>0</v>
      </c>
      <c r="BU589" s="75"/>
      <c r="BV589" s="76"/>
      <c r="BW589" s="135"/>
      <c r="BX589" s="135"/>
      <c r="BY589" s="77">
        <f t="shared" si="281"/>
        <v>0</v>
      </c>
      <c r="BZ589" s="78"/>
      <c r="CA589" s="142"/>
      <c r="CB589" s="142"/>
      <c r="CC589" s="77">
        <f t="shared" si="282"/>
        <v>0</v>
      </c>
      <c r="CD589" s="78"/>
      <c r="CE589" s="142"/>
      <c r="CF589" s="142"/>
      <c r="CG589" s="79">
        <f t="shared" si="283"/>
        <v>0</v>
      </c>
      <c r="CH589" s="75"/>
      <c r="CI589" s="76"/>
      <c r="CJ589" s="86"/>
      <c r="CK589" s="86"/>
      <c r="CL589" s="77">
        <f t="shared" si="284"/>
        <v>0</v>
      </c>
      <c r="CM589" s="78"/>
      <c r="CN589" s="85"/>
      <c r="CO589" s="85"/>
      <c r="CP589" s="77">
        <f t="shared" si="285"/>
        <v>0</v>
      </c>
      <c r="CQ589" s="78"/>
      <c r="CR589" s="85"/>
      <c r="CS589" s="85"/>
      <c r="CT589" s="79">
        <f t="shared" si="286"/>
        <v>0</v>
      </c>
      <c r="CU589" s="80">
        <f t="shared" si="168"/>
        <v>0</v>
      </c>
      <c r="CV589" s="81">
        <f t="shared" si="169"/>
        <v>0</v>
      </c>
      <c r="CW589" s="144"/>
      <c r="CX589" s="145">
        <f>IF(ISERROR(VLOOKUP($A589,FIJOS!$B$11:$O$590,14,FALSE)),0,VLOOKUP($A589,FIJOS!$B$11:$O$590,14,FALSE))</f>
        <v>0</v>
      </c>
      <c r="CY589" s="145">
        <f>IF(ISERROR(VLOOKUP(A589,FIJOS!$B$10:$P$590,15,FALSE)),0,VLOOKUP(A589,FIJOS!$B$10:$P$590,15,FALSE))</f>
        <v>0</v>
      </c>
      <c r="CZ589" s="155"/>
      <c r="DA589" s="147"/>
      <c r="DB589" s="147"/>
      <c r="DC589" s="147"/>
      <c r="DD589" s="147"/>
      <c r="DE589" s="147"/>
      <c r="DF589" s="145">
        <f>IF(ISERROR(VLOOKUP($A589,FIJOS!$B$11:$N$590,13,FALSE)),0,VLOOKUP($A589,FIJOS!$B$11:$N$590,13,FALSE))</f>
        <v>0</v>
      </c>
      <c r="DG589" s="145">
        <f>IF(ISERROR(VLOOKUP($A589,FIJOS!$B$11:$P$447,12,FALSE)),0,VLOOKUP($A589,FIJOS!$B$11:$P$447,12,FALSE))</f>
        <v>0</v>
      </c>
      <c r="DH589" s="82">
        <f t="shared" si="258"/>
        <v>0</v>
      </c>
      <c r="DI589" s="83" t="b">
        <f>IF($C589=1,(VLOOKUP($A589,FIJOS!$B$11:$P$545,10,FALSE)/7)*(7-$CU589),IF(AND($C589=2,CV589&lt;$DJ$1),(VLOOKUP($D589,HORAS!$B$4:$C$42,2,FALSE)*24)*$CV589,IF(AND($C589=2,CV589&gt;=$DJ$1),VLOOKUP($D589,HORAS!$B$4:$D$42,3,FALSE),IF(AND($C589=3,$CV589&gt;=$DJ$1),VLOOKUP($A589,FIJOS!$B$11:$P$545,10,FALSE),IF(AND($C589=3,$CV589&lt;$DJ$1),((VLOOKUP($A589,FIJOS!$B$11:$P$545,10,FALSE)/48)*24)*$CV589,IF(AND($C589=4,$CV589&gt;=(42/24)),VLOOKUP($D589,HORAS!$B$4:$D$42,3,FALSE),IF(AND($C589=5,$CV589&gt;=(36/24)),VLOOKUP($D589,HORAS!$B$4:$D$42,3,FALSE))))))))</f>
        <v>0</v>
      </c>
      <c r="DJ589" s="145">
        <f>IF(OR($C589=2),VLOOKUP($D589,HORAS!$B$4:$E$42,4,FALSE)*$EC589,IF(ISERROR(VLOOKUP($A589,FIJOS!$B$11:$P$108,9,FALSE)),0,VLOOKUP($A589,FIJOS!$B$11:$P$231,9,FALSE)*$EC589))</f>
        <v>0</v>
      </c>
      <c r="DK589" s="145">
        <f>IF(OR($C589=2),VLOOKUP($D589,HORAS!$B$4:$F$42,5,FALSE)*$EE589,IF(ISERROR(VLOOKUP($A589,FIJOS!$B$11:$P$108,9,FALSE)),0,VLOOKUP($A589,FIJOS!$B$11:$P$231,9,FALSE)*$EE589))</f>
        <v>0</v>
      </c>
      <c r="DL589" s="144"/>
      <c r="DM589" s="145">
        <f>IF(ISERROR(VLOOKUP($A589,FIJOS!$B$11:$L$646,11,FALSE)),0,VLOOKUP($A589,FIJOS!$B$11:$L$646,11,FALSE))</f>
        <v>0</v>
      </c>
      <c r="DN589" s="148" t="e">
        <f>IF(OR($C589=1,$C589=3),0,IF((VLOOKUP(CAPTURA!D589,HORAS!$B$4:$K$42,10,FALSE)/4)*COUNTIF($H589:$CT589,3)&gt;100,100,(VLOOKUP(CAPTURA!D589,HORAS!$B$4:$K$42,10,FALSE)/4)*COUNTIF($H589:$CT589,3)))</f>
        <v>#N/A</v>
      </c>
      <c r="DO589" s="144" t="e">
        <f>IF(OR($C589=1,$C589=3),0,IF($C589=5,VLOOKUP(D589,HORAS!$B$4:$G$42,6,FALSE),IF(AND($C589=4,$CV589&gt;=(42/24)),VLOOKUP(D589,HORAS!$B$4:$G$42,6,FALSE),IF(COUNTIF($H589:$CL589,"F")&gt;0,0,IF(CV589&gt;$DJ$1,$DJ$1*(VLOOKUP(D589,HORAS!$B$4:$G$42,6,FALSE)/$DJ$1),CV589*(VLOOKUP(D589,HORAS!$B$4:$G$42,6,FALSE)/$DJ$1))))))</f>
        <v>#N/A</v>
      </c>
      <c r="DP589" s="156"/>
      <c r="DQ589" s="148"/>
      <c r="DR589" s="148"/>
      <c r="DS589" s="83" t="e">
        <f t="shared" si="287"/>
        <v>#N/A</v>
      </c>
      <c r="DT589" s="84"/>
      <c r="DU589" s="149" t="e">
        <f t="shared" si="259"/>
        <v>#N/A</v>
      </c>
      <c r="DV589" s="149" t="e">
        <f t="shared" si="260"/>
        <v>#N/A</v>
      </c>
      <c r="DW589" s="144" t="e">
        <f t="shared" si="261"/>
        <v>#N/A</v>
      </c>
      <c r="DX589" s="168"/>
      <c r="DY589" s="29"/>
      <c r="DZ589" s="150"/>
      <c r="EA589" s="134"/>
      <c r="EB589" s="137">
        <f t="shared" si="262"/>
        <v>0</v>
      </c>
      <c r="EC589" s="138">
        <f t="shared" si="263"/>
        <v>0</v>
      </c>
      <c r="ED589" s="137">
        <f t="shared" si="264"/>
        <v>0</v>
      </c>
      <c r="EE589" s="132">
        <f t="shared" si="265"/>
        <v>0</v>
      </c>
      <c r="EF589" s="29"/>
      <c r="EG589" s="134"/>
      <c r="EH589" s="134"/>
      <c r="EI589" s="134"/>
      <c r="EK589" s="29"/>
    </row>
    <row r="590" spans="1:141" ht="15" customHeight="1" x14ac:dyDescent="0.25">
      <c r="A590" s="87"/>
      <c r="B590" s="5"/>
      <c r="C590" s="72"/>
      <c r="D590" s="73"/>
      <c r="E590" s="73"/>
      <c r="F590" s="141"/>
      <c r="G590" s="74"/>
      <c r="H590" s="75"/>
      <c r="I590" s="76"/>
      <c r="J590" s="135"/>
      <c r="K590" s="135"/>
      <c r="L590" s="77">
        <f t="shared" si="266"/>
        <v>0</v>
      </c>
      <c r="M590" s="78"/>
      <c r="N590" s="142"/>
      <c r="O590" s="142"/>
      <c r="P590" s="77">
        <f t="shared" si="267"/>
        <v>0</v>
      </c>
      <c r="Q590" s="78"/>
      <c r="R590" s="143"/>
      <c r="S590" s="143"/>
      <c r="T590" s="77">
        <f t="shared" si="268"/>
        <v>0</v>
      </c>
      <c r="U590" s="75"/>
      <c r="V590" s="76"/>
      <c r="W590" s="135"/>
      <c r="X590" s="135"/>
      <c r="Y590" s="77">
        <f t="shared" si="269"/>
        <v>0</v>
      </c>
      <c r="Z590" s="78"/>
      <c r="AA590" s="142"/>
      <c r="AB590" s="142"/>
      <c r="AC590" s="77">
        <f t="shared" si="270"/>
        <v>0</v>
      </c>
      <c r="AD590" s="78"/>
      <c r="AE590" s="143"/>
      <c r="AF590" s="143"/>
      <c r="AG590" s="79">
        <f t="shared" si="271"/>
        <v>0</v>
      </c>
      <c r="AH590" s="75"/>
      <c r="AI590" s="76"/>
      <c r="AJ590" s="135"/>
      <c r="AK590" s="135"/>
      <c r="AL590" s="77">
        <f t="shared" si="272"/>
        <v>0</v>
      </c>
      <c r="AM590" s="76"/>
      <c r="AN590" s="142"/>
      <c r="AO590" s="142"/>
      <c r="AP590" s="77">
        <f t="shared" si="273"/>
        <v>0</v>
      </c>
      <c r="AQ590" s="78"/>
      <c r="AR590" s="142"/>
      <c r="AS590" s="142"/>
      <c r="AT590" s="79">
        <f t="shared" si="274"/>
        <v>0</v>
      </c>
      <c r="AU590" s="75"/>
      <c r="AV590" s="76"/>
      <c r="AW590" s="135"/>
      <c r="AX590" s="135"/>
      <c r="AY590" s="77">
        <f t="shared" si="275"/>
        <v>0</v>
      </c>
      <c r="AZ590" s="76"/>
      <c r="BA590" s="142"/>
      <c r="BB590" s="142"/>
      <c r="BC590" s="77">
        <f t="shared" si="276"/>
        <v>0</v>
      </c>
      <c r="BD590" s="78"/>
      <c r="BE590" s="142"/>
      <c r="BF590" s="142"/>
      <c r="BG590" s="79">
        <f t="shared" si="277"/>
        <v>0</v>
      </c>
      <c r="BH590" s="75"/>
      <c r="BI590" s="76"/>
      <c r="BJ590" s="135"/>
      <c r="BK590" s="135"/>
      <c r="BL590" s="77">
        <f t="shared" si="278"/>
        <v>0</v>
      </c>
      <c r="BM590" s="78"/>
      <c r="BN590" s="142"/>
      <c r="BO590" s="142"/>
      <c r="BP590" s="77">
        <f t="shared" si="279"/>
        <v>0</v>
      </c>
      <c r="BQ590" s="78"/>
      <c r="BR590" s="142"/>
      <c r="BS590" s="142"/>
      <c r="BT590" s="79">
        <f t="shared" si="280"/>
        <v>0</v>
      </c>
      <c r="BU590" s="75"/>
      <c r="BV590" s="76"/>
      <c r="BW590" s="135"/>
      <c r="BX590" s="135"/>
      <c r="BY590" s="77">
        <f t="shared" si="281"/>
        <v>0</v>
      </c>
      <c r="BZ590" s="78"/>
      <c r="CA590" s="142"/>
      <c r="CB590" s="142"/>
      <c r="CC590" s="77">
        <f t="shared" si="282"/>
        <v>0</v>
      </c>
      <c r="CD590" s="78"/>
      <c r="CE590" s="142"/>
      <c r="CF590" s="142"/>
      <c r="CG590" s="79">
        <f t="shared" si="283"/>
        <v>0</v>
      </c>
      <c r="CH590" s="75"/>
      <c r="CI590" s="76"/>
      <c r="CJ590" s="86"/>
      <c r="CK590" s="86"/>
      <c r="CL590" s="77">
        <f t="shared" si="284"/>
        <v>0</v>
      </c>
      <c r="CM590" s="78"/>
      <c r="CN590" s="85"/>
      <c r="CO590" s="85"/>
      <c r="CP590" s="77">
        <f t="shared" si="285"/>
        <v>0</v>
      </c>
      <c r="CQ590" s="78"/>
      <c r="CR590" s="85"/>
      <c r="CS590" s="85"/>
      <c r="CT590" s="79">
        <f t="shared" si="286"/>
        <v>0</v>
      </c>
      <c r="CU590" s="80">
        <f t="shared" si="168"/>
        <v>0</v>
      </c>
      <c r="CV590" s="81">
        <f t="shared" si="169"/>
        <v>0</v>
      </c>
      <c r="CW590" s="144"/>
      <c r="CX590" s="145">
        <f>IF(ISERROR(VLOOKUP($A590,FIJOS!$B$11:$O$590,14,FALSE)),0,VLOOKUP($A590,FIJOS!$B$11:$O$590,14,FALSE))</f>
        <v>0</v>
      </c>
      <c r="CY590" s="145">
        <f>IF(ISERROR(VLOOKUP(A590,FIJOS!$B$10:$P$590,15,FALSE)),0,VLOOKUP(A590,FIJOS!$B$10:$P$590,15,FALSE))</f>
        <v>0</v>
      </c>
      <c r="CZ590" s="155"/>
      <c r="DA590" s="147"/>
      <c r="DB590" s="147"/>
      <c r="DC590" s="147"/>
      <c r="DD590" s="147"/>
      <c r="DE590" s="147"/>
      <c r="DF590" s="145">
        <f>IF(ISERROR(VLOOKUP($A590,FIJOS!$B$11:$N$590,13,FALSE)),0,VLOOKUP($A590,FIJOS!$B$11:$N$590,13,FALSE))</f>
        <v>0</v>
      </c>
      <c r="DG590" s="145">
        <f>IF(ISERROR(VLOOKUP($A590,FIJOS!$B$11:$P$447,12,FALSE)),0,VLOOKUP($A590,FIJOS!$B$11:$P$447,12,FALSE))</f>
        <v>0</v>
      </c>
      <c r="DH590" s="82">
        <f t="shared" si="258"/>
        <v>0</v>
      </c>
      <c r="DI590" s="83" t="b">
        <f>IF($C590=1,(VLOOKUP($A590,FIJOS!$B$11:$P$545,10,FALSE)/7)*(7-$CU590),IF(AND($C590=2,CV590&lt;$DJ$1),(VLOOKUP($D590,HORAS!$B$4:$C$42,2,FALSE)*24)*$CV590,IF(AND($C590=2,CV590&gt;=$DJ$1),VLOOKUP($D590,HORAS!$B$4:$D$42,3,FALSE),IF(AND($C590=3,$CV590&gt;=$DJ$1),VLOOKUP($A590,FIJOS!$B$11:$P$545,10,FALSE),IF(AND($C590=3,$CV590&lt;$DJ$1),((VLOOKUP($A590,FIJOS!$B$11:$P$545,10,FALSE)/48)*24)*$CV590,IF(AND($C590=4,$CV590&gt;=(42/24)),VLOOKUP($D590,HORAS!$B$4:$D$42,3,FALSE),IF(AND($C590=5,$CV590&gt;=(36/24)),VLOOKUP($D590,HORAS!$B$4:$D$42,3,FALSE))))))))</f>
        <v>0</v>
      </c>
      <c r="DJ590" s="145">
        <f>IF(OR($C590=2),VLOOKUP($D590,HORAS!$B$4:$E$42,4,FALSE)*$EC590,IF(ISERROR(VLOOKUP($A590,FIJOS!$B$11:$P$108,9,FALSE)),0,VLOOKUP($A590,FIJOS!$B$11:$P$231,9,FALSE)*$EC590))</f>
        <v>0</v>
      </c>
      <c r="DK590" s="145">
        <f>IF(OR($C590=2),VLOOKUP($D590,HORAS!$B$4:$F$42,5,FALSE)*$EE590,IF(ISERROR(VLOOKUP($A590,FIJOS!$B$11:$P$108,9,FALSE)),0,VLOOKUP($A590,FIJOS!$B$11:$P$231,9,FALSE)*$EE590))</f>
        <v>0</v>
      </c>
      <c r="DL590" s="144"/>
      <c r="DM590" s="145">
        <f>IF(ISERROR(VLOOKUP($A590,FIJOS!$B$11:$L$646,11,FALSE)),0,VLOOKUP($A590,FIJOS!$B$11:$L$646,11,FALSE))</f>
        <v>0</v>
      </c>
      <c r="DN590" s="148" t="e">
        <f>IF(OR($C590=1,$C590=3),0,IF((VLOOKUP(CAPTURA!D590,HORAS!$B$4:$K$42,10,FALSE)/4)*COUNTIF($H590:$CT590,3)&gt;100,100,(VLOOKUP(CAPTURA!D590,HORAS!$B$4:$K$42,10,FALSE)/4)*COUNTIF($H590:$CT590,3)))</f>
        <v>#N/A</v>
      </c>
      <c r="DO590" s="144" t="e">
        <f>IF(OR($C590=1,$C590=3),0,IF($C590=5,VLOOKUP(D590,HORAS!$B$4:$G$42,6,FALSE),IF(AND($C590=4,$CV590&gt;=(42/24)),VLOOKUP(D590,HORAS!$B$4:$G$42,6,FALSE),IF(COUNTIF($H590:$CL590,"F")&gt;0,0,IF(CV590&gt;$DJ$1,$DJ$1*(VLOOKUP(D590,HORAS!$B$4:$G$42,6,FALSE)/$DJ$1),CV590*(VLOOKUP(D590,HORAS!$B$4:$G$42,6,FALSE)/$DJ$1))))))</f>
        <v>#N/A</v>
      </c>
      <c r="DP590" s="156"/>
      <c r="DQ590" s="148"/>
      <c r="DR590" s="148"/>
      <c r="DS590" s="83" t="e">
        <f t="shared" si="287"/>
        <v>#N/A</v>
      </c>
      <c r="DT590" s="84"/>
      <c r="DU590" s="149" t="e">
        <f t="shared" si="259"/>
        <v>#N/A</v>
      </c>
      <c r="DV590" s="149" t="e">
        <f t="shared" si="260"/>
        <v>#N/A</v>
      </c>
      <c r="DW590" s="144" t="e">
        <f t="shared" si="261"/>
        <v>#N/A</v>
      </c>
      <c r="DX590" s="168"/>
      <c r="DY590" s="29"/>
      <c r="DZ590" s="150"/>
      <c r="EA590" s="134"/>
      <c r="EB590" s="137">
        <f t="shared" si="262"/>
        <v>0</v>
      </c>
      <c r="EC590" s="138">
        <f t="shared" si="263"/>
        <v>0</v>
      </c>
      <c r="ED590" s="137">
        <f t="shared" si="264"/>
        <v>0</v>
      </c>
      <c r="EE590" s="132">
        <f t="shared" si="265"/>
        <v>0</v>
      </c>
      <c r="EF590" s="29"/>
      <c r="EG590" s="134"/>
      <c r="EH590" s="134"/>
      <c r="EI590" s="134"/>
      <c r="EK590" s="29"/>
    </row>
    <row r="591" spans="1:141" ht="15" customHeight="1" x14ac:dyDescent="0.25">
      <c r="A591" s="87"/>
      <c r="B591" s="5"/>
      <c r="C591" s="72"/>
      <c r="D591" s="73"/>
      <c r="E591" s="73"/>
      <c r="F591" s="141"/>
      <c r="G591" s="74"/>
      <c r="H591" s="75"/>
      <c r="I591" s="76"/>
      <c r="J591" s="135"/>
      <c r="K591" s="135"/>
      <c r="L591" s="77">
        <f t="shared" si="266"/>
        <v>0</v>
      </c>
      <c r="M591" s="78"/>
      <c r="N591" s="142"/>
      <c r="O591" s="142"/>
      <c r="P591" s="77">
        <f t="shared" si="267"/>
        <v>0</v>
      </c>
      <c r="Q591" s="78"/>
      <c r="R591" s="143"/>
      <c r="S591" s="143"/>
      <c r="T591" s="77">
        <f t="shared" si="268"/>
        <v>0</v>
      </c>
      <c r="U591" s="75"/>
      <c r="V591" s="76"/>
      <c r="W591" s="135"/>
      <c r="X591" s="135"/>
      <c r="Y591" s="77">
        <f t="shared" si="269"/>
        <v>0</v>
      </c>
      <c r="Z591" s="78"/>
      <c r="AA591" s="142"/>
      <c r="AB591" s="142"/>
      <c r="AC591" s="77">
        <f t="shared" si="270"/>
        <v>0</v>
      </c>
      <c r="AD591" s="78"/>
      <c r="AE591" s="143"/>
      <c r="AF591" s="143"/>
      <c r="AG591" s="79">
        <f t="shared" si="271"/>
        <v>0</v>
      </c>
      <c r="AH591" s="75"/>
      <c r="AI591" s="76"/>
      <c r="AJ591" s="135"/>
      <c r="AK591" s="135"/>
      <c r="AL591" s="77">
        <f t="shared" si="272"/>
        <v>0</v>
      </c>
      <c r="AM591" s="76"/>
      <c r="AN591" s="142"/>
      <c r="AO591" s="142"/>
      <c r="AP591" s="77">
        <f t="shared" si="273"/>
        <v>0</v>
      </c>
      <c r="AQ591" s="78"/>
      <c r="AR591" s="142"/>
      <c r="AS591" s="142"/>
      <c r="AT591" s="79">
        <f t="shared" si="274"/>
        <v>0</v>
      </c>
      <c r="AU591" s="75"/>
      <c r="AV591" s="76"/>
      <c r="AW591" s="135"/>
      <c r="AX591" s="135"/>
      <c r="AY591" s="77">
        <f t="shared" si="275"/>
        <v>0</v>
      </c>
      <c r="AZ591" s="76"/>
      <c r="BA591" s="142"/>
      <c r="BB591" s="142"/>
      <c r="BC591" s="77">
        <f t="shared" si="276"/>
        <v>0</v>
      </c>
      <c r="BD591" s="78"/>
      <c r="BE591" s="142"/>
      <c r="BF591" s="142"/>
      <c r="BG591" s="79">
        <f t="shared" si="277"/>
        <v>0</v>
      </c>
      <c r="BH591" s="75"/>
      <c r="BI591" s="76"/>
      <c r="BJ591" s="135"/>
      <c r="BK591" s="135"/>
      <c r="BL591" s="77">
        <f t="shared" si="278"/>
        <v>0</v>
      </c>
      <c r="BM591" s="78"/>
      <c r="BN591" s="142"/>
      <c r="BO591" s="142"/>
      <c r="BP591" s="77">
        <f t="shared" si="279"/>
        <v>0</v>
      </c>
      <c r="BQ591" s="78"/>
      <c r="BR591" s="142"/>
      <c r="BS591" s="142"/>
      <c r="BT591" s="79">
        <f t="shared" si="280"/>
        <v>0</v>
      </c>
      <c r="BU591" s="75"/>
      <c r="BV591" s="76"/>
      <c r="BW591" s="135"/>
      <c r="BX591" s="135"/>
      <c r="BY591" s="77">
        <f t="shared" si="281"/>
        <v>0</v>
      </c>
      <c r="BZ591" s="78"/>
      <c r="CA591" s="142"/>
      <c r="CB591" s="142"/>
      <c r="CC591" s="77">
        <f t="shared" si="282"/>
        <v>0</v>
      </c>
      <c r="CD591" s="78"/>
      <c r="CE591" s="142"/>
      <c r="CF591" s="142"/>
      <c r="CG591" s="79">
        <f t="shared" si="283"/>
        <v>0</v>
      </c>
      <c r="CH591" s="75"/>
      <c r="CI591" s="76"/>
      <c r="CJ591" s="86"/>
      <c r="CK591" s="86"/>
      <c r="CL591" s="77">
        <f t="shared" si="284"/>
        <v>0</v>
      </c>
      <c r="CM591" s="78"/>
      <c r="CN591" s="85"/>
      <c r="CO591" s="85"/>
      <c r="CP591" s="77">
        <f t="shared" si="285"/>
        <v>0</v>
      </c>
      <c r="CQ591" s="78"/>
      <c r="CR591" s="85"/>
      <c r="CS591" s="85"/>
      <c r="CT591" s="79">
        <f t="shared" si="286"/>
        <v>0</v>
      </c>
      <c r="CU591" s="80">
        <f t="shared" si="168"/>
        <v>0</v>
      </c>
      <c r="CV591" s="81">
        <f t="shared" si="169"/>
        <v>0</v>
      </c>
      <c r="CW591" s="144"/>
      <c r="CX591" s="145">
        <f>IF(ISERROR(VLOOKUP($A591,FIJOS!$B$11:$O$590,14,FALSE)),0,VLOOKUP($A591,FIJOS!$B$11:$O$590,14,FALSE))</f>
        <v>0</v>
      </c>
      <c r="CY591" s="145">
        <f>IF(ISERROR(VLOOKUP(A591,FIJOS!$B$10:$P$590,15,FALSE)),0,VLOOKUP(A591,FIJOS!$B$10:$P$590,15,FALSE))</f>
        <v>0</v>
      </c>
      <c r="CZ591" s="155"/>
      <c r="DA591" s="147"/>
      <c r="DB591" s="147"/>
      <c r="DC591" s="147"/>
      <c r="DD591" s="147"/>
      <c r="DE591" s="147"/>
      <c r="DF591" s="145">
        <f>IF(ISERROR(VLOOKUP($A591,FIJOS!$B$11:$N$590,13,FALSE)),0,VLOOKUP($A591,FIJOS!$B$11:$N$590,13,FALSE))</f>
        <v>0</v>
      </c>
      <c r="DG591" s="145">
        <f>IF(ISERROR(VLOOKUP($A591,FIJOS!$B$11:$P$447,12,FALSE)),0,VLOOKUP($A591,FIJOS!$B$11:$P$447,12,FALSE))</f>
        <v>0</v>
      </c>
      <c r="DH591" s="82">
        <f t="shared" si="258"/>
        <v>0</v>
      </c>
      <c r="DI591" s="83" t="b">
        <f>IF($C591=1,(VLOOKUP($A591,FIJOS!$B$11:$P$545,10,FALSE)/7)*(7-$CU591),IF(AND($C591=2,CV591&lt;$DJ$1),(VLOOKUP($D591,HORAS!$B$4:$C$42,2,FALSE)*24)*$CV591,IF(AND($C591=2,CV591&gt;=$DJ$1),VLOOKUP($D591,HORAS!$B$4:$D$42,3,FALSE),IF(AND($C591=3,$CV591&gt;=$DJ$1),VLOOKUP($A591,FIJOS!$B$11:$P$545,10,FALSE),IF(AND($C591=3,$CV591&lt;$DJ$1),((VLOOKUP($A591,FIJOS!$B$11:$P$545,10,FALSE)/48)*24)*$CV591,IF(AND($C591=4,$CV591&gt;=(42/24)),VLOOKUP($D591,HORAS!$B$4:$D$42,3,FALSE),IF(AND($C591=5,$CV591&gt;=(36/24)),VLOOKUP($D591,HORAS!$B$4:$D$42,3,FALSE))))))))</f>
        <v>0</v>
      </c>
      <c r="DJ591" s="145">
        <f>IF(OR($C591=2),VLOOKUP($D591,HORAS!$B$4:$E$42,4,FALSE)*$EC591,IF(ISERROR(VLOOKUP($A591,FIJOS!$B$11:$P$108,9,FALSE)),0,VLOOKUP($A591,FIJOS!$B$11:$P$231,9,FALSE)*$EC591))</f>
        <v>0</v>
      </c>
      <c r="DK591" s="145">
        <f>IF(OR($C591=2),VLOOKUP($D591,HORAS!$B$4:$F$42,5,FALSE)*$EE591,IF(ISERROR(VLOOKUP($A591,FIJOS!$B$11:$P$108,9,FALSE)),0,VLOOKUP($A591,FIJOS!$B$11:$P$231,9,FALSE)*$EE591))</f>
        <v>0</v>
      </c>
      <c r="DL591" s="144"/>
      <c r="DM591" s="145">
        <f>IF(ISERROR(VLOOKUP($A591,FIJOS!$B$11:$L$646,11,FALSE)),0,VLOOKUP($A591,FIJOS!$B$11:$L$646,11,FALSE))</f>
        <v>0</v>
      </c>
      <c r="DN591" s="148" t="e">
        <f>IF(OR($C591=1,$C591=3),0,IF((VLOOKUP(CAPTURA!D591,HORAS!$B$4:$K$42,10,FALSE)/4)*COUNTIF($H591:$CT591,3)&gt;100,100,(VLOOKUP(CAPTURA!D591,HORAS!$B$4:$K$42,10,FALSE)/4)*COUNTIF($H591:$CT591,3)))</f>
        <v>#N/A</v>
      </c>
      <c r="DO591" s="144" t="e">
        <f>IF(OR($C591=1,$C591=3),0,IF($C591=5,VLOOKUP(D591,HORAS!$B$4:$G$42,6,FALSE),IF(AND($C591=4,$CV591&gt;=(42/24)),VLOOKUP(D591,HORAS!$B$4:$G$42,6,FALSE),IF(COUNTIF($H591:$CL591,"F")&gt;0,0,IF(CV591&gt;$DJ$1,$DJ$1*(VLOOKUP(D591,HORAS!$B$4:$G$42,6,FALSE)/$DJ$1),CV591*(VLOOKUP(D591,HORAS!$B$4:$G$42,6,FALSE)/$DJ$1))))))</f>
        <v>#N/A</v>
      </c>
      <c r="DP591" s="156"/>
      <c r="DQ591" s="148"/>
      <c r="DR591" s="148"/>
      <c r="DS591" s="83" t="e">
        <f t="shared" si="287"/>
        <v>#N/A</v>
      </c>
      <c r="DT591" s="84"/>
      <c r="DU591" s="149" t="e">
        <f t="shared" si="259"/>
        <v>#N/A</v>
      </c>
      <c r="DV591" s="149" t="e">
        <f t="shared" si="260"/>
        <v>#N/A</v>
      </c>
      <c r="DW591" s="144" t="e">
        <f t="shared" si="261"/>
        <v>#N/A</v>
      </c>
      <c r="DX591" s="168"/>
      <c r="DY591" s="29"/>
      <c r="DZ591" s="150"/>
      <c r="EA591" s="134"/>
      <c r="EB591" s="137">
        <f t="shared" si="262"/>
        <v>0</v>
      </c>
      <c r="EC591" s="138">
        <f t="shared" si="263"/>
        <v>0</v>
      </c>
      <c r="ED591" s="137">
        <f t="shared" si="264"/>
        <v>0</v>
      </c>
      <c r="EE591" s="132">
        <f t="shared" si="265"/>
        <v>0</v>
      </c>
      <c r="EF591" s="29"/>
      <c r="EG591" s="134"/>
      <c r="EH591" s="134"/>
      <c r="EI591" s="134"/>
      <c r="EK591" s="29"/>
    </row>
    <row r="592" spans="1:141" ht="15" customHeight="1" x14ac:dyDescent="0.25">
      <c r="A592" s="87"/>
      <c r="B592" s="5"/>
      <c r="C592" s="72"/>
      <c r="D592" s="73"/>
      <c r="E592" s="73"/>
      <c r="F592" s="141"/>
      <c r="G592" s="74"/>
      <c r="H592" s="75"/>
      <c r="I592" s="76"/>
      <c r="J592" s="135"/>
      <c r="K592" s="135"/>
      <c r="L592" s="77">
        <f t="shared" si="266"/>
        <v>0</v>
      </c>
      <c r="M592" s="78"/>
      <c r="N592" s="142"/>
      <c r="O592" s="142"/>
      <c r="P592" s="77">
        <f t="shared" si="267"/>
        <v>0</v>
      </c>
      <c r="Q592" s="78"/>
      <c r="R592" s="143"/>
      <c r="S592" s="143"/>
      <c r="T592" s="77">
        <f t="shared" si="268"/>
        <v>0</v>
      </c>
      <c r="U592" s="75"/>
      <c r="V592" s="76"/>
      <c r="W592" s="135"/>
      <c r="X592" s="135"/>
      <c r="Y592" s="77">
        <f t="shared" si="269"/>
        <v>0</v>
      </c>
      <c r="Z592" s="78"/>
      <c r="AA592" s="142"/>
      <c r="AB592" s="142"/>
      <c r="AC592" s="77">
        <f t="shared" si="270"/>
        <v>0</v>
      </c>
      <c r="AD592" s="78"/>
      <c r="AE592" s="143"/>
      <c r="AF592" s="143"/>
      <c r="AG592" s="79">
        <f t="shared" si="271"/>
        <v>0</v>
      </c>
      <c r="AH592" s="75"/>
      <c r="AI592" s="76"/>
      <c r="AJ592" s="135"/>
      <c r="AK592" s="135"/>
      <c r="AL592" s="77">
        <f t="shared" si="272"/>
        <v>0</v>
      </c>
      <c r="AM592" s="76"/>
      <c r="AN592" s="142"/>
      <c r="AO592" s="142"/>
      <c r="AP592" s="77">
        <f t="shared" si="273"/>
        <v>0</v>
      </c>
      <c r="AQ592" s="78"/>
      <c r="AR592" s="142"/>
      <c r="AS592" s="142"/>
      <c r="AT592" s="79">
        <f t="shared" si="274"/>
        <v>0</v>
      </c>
      <c r="AU592" s="75"/>
      <c r="AV592" s="76"/>
      <c r="AW592" s="135"/>
      <c r="AX592" s="135"/>
      <c r="AY592" s="77">
        <f t="shared" si="275"/>
        <v>0</v>
      </c>
      <c r="AZ592" s="76"/>
      <c r="BA592" s="142"/>
      <c r="BB592" s="142"/>
      <c r="BC592" s="77">
        <f t="shared" si="276"/>
        <v>0</v>
      </c>
      <c r="BD592" s="78"/>
      <c r="BE592" s="142"/>
      <c r="BF592" s="142"/>
      <c r="BG592" s="79">
        <f t="shared" si="277"/>
        <v>0</v>
      </c>
      <c r="BH592" s="75"/>
      <c r="BI592" s="76"/>
      <c r="BJ592" s="135"/>
      <c r="BK592" s="135"/>
      <c r="BL592" s="77">
        <f t="shared" si="278"/>
        <v>0</v>
      </c>
      <c r="BM592" s="78"/>
      <c r="BN592" s="142"/>
      <c r="BO592" s="142"/>
      <c r="BP592" s="77">
        <f t="shared" si="279"/>
        <v>0</v>
      </c>
      <c r="BQ592" s="78"/>
      <c r="BR592" s="142"/>
      <c r="BS592" s="142"/>
      <c r="BT592" s="79">
        <f t="shared" si="280"/>
        <v>0</v>
      </c>
      <c r="BU592" s="75"/>
      <c r="BV592" s="76"/>
      <c r="BW592" s="135"/>
      <c r="BX592" s="135"/>
      <c r="BY592" s="77">
        <f t="shared" si="281"/>
        <v>0</v>
      </c>
      <c r="BZ592" s="78"/>
      <c r="CA592" s="142"/>
      <c r="CB592" s="142"/>
      <c r="CC592" s="77">
        <f t="shared" si="282"/>
        <v>0</v>
      </c>
      <c r="CD592" s="78"/>
      <c r="CE592" s="142"/>
      <c r="CF592" s="142"/>
      <c r="CG592" s="79">
        <f t="shared" si="283"/>
        <v>0</v>
      </c>
      <c r="CH592" s="75"/>
      <c r="CI592" s="76"/>
      <c r="CJ592" s="86"/>
      <c r="CK592" s="86"/>
      <c r="CL592" s="77">
        <f t="shared" si="284"/>
        <v>0</v>
      </c>
      <c r="CM592" s="78"/>
      <c r="CN592" s="85"/>
      <c r="CO592" s="85"/>
      <c r="CP592" s="77">
        <f t="shared" si="285"/>
        <v>0</v>
      </c>
      <c r="CQ592" s="78"/>
      <c r="CR592" s="85"/>
      <c r="CS592" s="85"/>
      <c r="CT592" s="79">
        <f t="shared" si="286"/>
        <v>0</v>
      </c>
      <c r="CU592" s="80">
        <f t="shared" si="168"/>
        <v>0</v>
      </c>
      <c r="CV592" s="81">
        <f t="shared" si="169"/>
        <v>0</v>
      </c>
      <c r="CW592" s="144"/>
      <c r="CX592" s="145">
        <f>IF(ISERROR(VLOOKUP($A592,FIJOS!$B$11:$O$590,14,FALSE)),0,VLOOKUP($A592,FIJOS!$B$11:$O$590,14,FALSE))</f>
        <v>0</v>
      </c>
      <c r="CY592" s="145">
        <f>IF(ISERROR(VLOOKUP(A592,FIJOS!$B$10:$P$590,15,FALSE)),0,VLOOKUP(A592,FIJOS!$B$10:$P$590,15,FALSE))</f>
        <v>0</v>
      </c>
      <c r="CZ592" s="155"/>
      <c r="DA592" s="147"/>
      <c r="DB592" s="147"/>
      <c r="DC592" s="147"/>
      <c r="DD592" s="147"/>
      <c r="DE592" s="147"/>
      <c r="DF592" s="145">
        <f>IF(ISERROR(VLOOKUP($A592,FIJOS!$B$11:$N$590,13,FALSE)),0,VLOOKUP($A592,FIJOS!$B$11:$N$590,13,FALSE))</f>
        <v>0</v>
      </c>
      <c r="DG592" s="145">
        <f>IF(ISERROR(VLOOKUP($A592,FIJOS!$B$11:$P$447,12,FALSE)),0,VLOOKUP($A592,FIJOS!$B$11:$P$447,12,FALSE))</f>
        <v>0</v>
      </c>
      <c r="DH592" s="82">
        <f t="shared" si="258"/>
        <v>0</v>
      </c>
      <c r="DI592" s="83" t="b">
        <f>IF($C592=1,(VLOOKUP($A592,FIJOS!$B$11:$P$545,10,FALSE)/7)*(7-$CU592),IF(AND($C592=2,CV592&lt;$DJ$1),(VLOOKUP($D592,HORAS!$B$4:$C$42,2,FALSE)*24)*$CV592,IF(AND($C592=2,CV592&gt;=$DJ$1),VLOOKUP($D592,HORAS!$B$4:$D$42,3,FALSE),IF(AND($C592=3,$CV592&gt;=$DJ$1),VLOOKUP($A592,FIJOS!$B$11:$P$545,10,FALSE),IF(AND($C592=3,$CV592&lt;$DJ$1),((VLOOKUP($A592,FIJOS!$B$11:$P$545,10,FALSE)/48)*24)*$CV592,IF(AND($C592=4,$CV592&gt;=(42/24)),VLOOKUP($D592,HORAS!$B$4:$D$42,3,FALSE),IF(AND($C592=5,$CV592&gt;=(36/24)),VLOOKUP($D592,HORAS!$B$4:$D$42,3,FALSE))))))))</f>
        <v>0</v>
      </c>
      <c r="DJ592" s="145">
        <f>IF(OR($C592=2),VLOOKUP($D592,HORAS!$B$4:$E$42,4,FALSE)*$EC592,IF(ISERROR(VLOOKUP($A592,FIJOS!$B$11:$P$108,9,FALSE)),0,VLOOKUP($A592,FIJOS!$B$11:$P$231,9,FALSE)*$EC592))</f>
        <v>0</v>
      </c>
      <c r="DK592" s="145">
        <f>IF(OR($C592=2),VLOOKUP($D592,HORAS!$B$4:$F$42,5,FALSE)*$EE592,IF(ISERROR(VLOOKUP($A592,FIJOS!$B$11:$P$108,9,FALSE)),0,VLOOKUP($A592,FIJOS!$B$11:$P$231,9,FALSE)*$EE592))</f>
        <v>0</v>
      </c>
      <c r="DL592" s="144"/>
      <c r="DM592" s="145">
        <f>IF(ISERROR(VLOOKUP($A592,FIJOS!$B$11:$L$646,11,FALSE)),0,VLOOKUP($A592,FIJOS!$B$11:$L$646,11,FALSE))</f>
        <v>0</v>
      </c>
      <c r="DN592" s="148" t="e">
        <f>IF(OR($C592=1,$C592=3),0,IF((VLOOKUP(CAPTURA!D592,HORAS!$B$4:$K$42,10,FALSE)/4)*COUNTIF($H592:$CT592,3)&gt;100,100,(VLOOKUP(CAPTURA!D592,HORAS!$B$4:$K$42,10,FALSE)/4)*COUNTIF($H592:$CT592,3)))</f>
        <v>#N/A</v>
      </c>
      <c r="DO592" s="144" t="e">
        <f>IF(OR($C592=1,$C592=3),0,IF($C592=5,VLOOKUP(D592,HORAS!$B$4:$G$42,6,FALSE),IF(AND($C592=4,$CV592&gt;=(42/24)),VLOOKUP(D592,HORAS!$B$4:$G$42,6,FALSE),IF(COUNTIF($H592:$CL592,"F")&gt;0,0,IF(CV592&gt;$DJ$1,$DJ$1*(VLOOKUP(D592,HORAS!$B$4:$G$42,6,FALSE)/$DJ$1),CV592*(VLOOKUP(D592,HORAS!$B$4:$G$42,6,FALSE)/$DJ$1))))))</f>
        <v>#N/A</v>
      </c>
      <c r="DP592" s="156"/>
      <c r="DQ592" s="148"/>
      <c r="DR592" s="148"/>
      <c r="DS592" s="83" t="e">
        <f t="shared" si="287"/>
        <v>#N/A</v>
      </c>
      <c r="DT592" s="84"/>
      <c r="DU592" s="149" t="e">
        <f t="shared" si="259"/>
        <v>#N/A</v>
      </c>
      <c r="DV592" s="149" t="e">
        <f t="shared" si="260"/>
        <v>#N/A</v>
      </c>
      <c r="DW592" s="144" t="e">
        <f t="shared" si="261"/>
        <v>#N/A</v>
      </c>
      <c r="DX592" s="168"/>
      <c r="DY592" s="29"/>
      <c r="DZ592" s="150"/>
      <c r="EA592" s="134"/>
      <c r="EB592" s="137">
        <f t="shared" si="262"/>
        <v>0</v>
      </c>
      <c r="EC592" s="138">
        <f t="shared" si="263"/>
        <v>0</v>
      </c>
      <c r="ED592" s="137">
        <f t="shared" si="264"/>
        <v>0</v>
      </c>
      <c r="EE592" s="132">
        <f t="shared" si="265"/>
        <v>0</v>
      </c>
      <c r="EF592" s="29"/>
      <c r="EG592" s="134"/>
      <c r="EH592" s="134"/>
      <c r="EI592" s="134"/>
      <c r="EK592" s="29"/>
    </row>
    <row r="593" spans="1:141" ht="15" customHeight="1" x14ac:dyDescent="0.25">
      <c r="A593" s="87"/>
      <c r="B593" s="5"/>
      <c r="C593" s="72"/>
      <c r="D593" s="73"/>
      <c r="E593" s="73"/>
      <c r="F593" s="141"/>
      <c r="G593" s="74"/>
      <c r="H593" s="75"/>
      <c r="I593" s="76"/>
      <c r="J593" s="135"/>
      <c r="K593" s="135"/>
      <c r="L593" s="77">
        <f t="shared" si="266"/>
        <v>0</v>
      </c>
      <c r="M593" s="78"/>
      <c r="N593" s="142"/>
      <c r="O593" s="142"/>
      <c r="P593" s="77">
        <f t="shared" si="267"/>
        <v>0</v>
      </c>
      <c r="Q593" s="78"/>
      <c r="R593" s="143"/>
      <c r="S593" s="143"/>
      <c r="T593" s="77">
        <f t="shared" si="268"/>
        <v>0</v>
      </c>
      <c r="U593" s="75"/>
      <c r="V593" s="76"/>
      <c r="W593" s="135"/>
      <c r="X593" s="135"/>
      <c r="Y593" s="77">
        <f t="shared" si="269"/>
        <v>0</v>
      </c>
      <c r="Z593" s="78"/>
      <c r="AA593" s="142"/>
      <c r="AB593" s="142"/>
      <c r="AC593" s="77">
        <f t="shared" si="270"/>
        <v>0</v>
      </c>
      <c r="AD593" s="78"/>
      <c r="AE593" s="143"/>
      <c r="AF593" s="143"/>
      <c r="AG593" s="79">
        <f t="shared" si="271"/>
        <v>0</v>
      </c>
      <c r="AH593" s="75"/>
      <c r="AI593" s="76"/>
      <c r="AJ593" s="135"/>
      <c r="AK593" s="135"/>
      <c r="AL593" s="77">
        <f t="shared" si="272"/>
        <v>0</v>
      </c>
      <c r="AM593" s="76"/>
      <c r="AN593" s="142"/>
      <c r="AO593" s="142"/>
      <c r="AP593" s="77">
        <f t="shared" si="273"/>
        <v>0</v>
      </c>
      <c r="AQ593" s="78"/>
      <c r="AR593" s="142"/>
      <c r="AS593" s="142"/>
      <c r="AT593" s="79">
        <f t="shared" si="274"/>
        <v>0</v>
      </c>
      <c r="AU593" s="75"/>
      <c r="AV593" s="76"/>
      <c r="AW593" s="135"/>
      <c r="AX593" s="135"/>
      <c r="AY593" s="77">
        <f t="shared" si="275"/>
        <v>0</v>
      </c>
      <c r="AZ593" s="76"/>
      <c r="BA593" s="142"/>
      <c r="BB593" s="142"/>
      <c r="BC593" s="77">
        <f t="shared" si="276"/>
        <v>0</v>
      </c>
      <c r="BD593" s="78"/>
      <c r="BE593" s="142"/>
      <c r="BF593" s="142"/>
      <c r="BG593" s="79">
        <f t="shared" si="277"/>
        <v>0</v>
      </c>
      <c r="BH593" s="75"/>
      <c r="BI593" s="76"/>
      <c r="BJ593" s="135"/>
      <c r="BK593" s="135"/>
      <c r="BL593" s="77">
        <f t="shared" si="278"/>
        <v>0</v>
      </c>
      <c r="BM593" s="78"/>
      <c r="BN593" s="142"/>
      <c r="BO593" s="142"/>
      <c r="BP593" s="77">
        <f t="shared" si="279"/>
        <v>0</v>
      </c>
      <c r="BQ593" s="78"/>
      <c r="BR593" s="142"/>
      <c r="BS593" s="142"/>
      <c r="BT593" s="79">
        <f t="shared" si="280"/>
        <v>0</v>
      </c>
      <c r="BU593" s="75"/>
      <c r="BV593" s="76"/>
      <c r="BW593" s="135"/>
      <c r="BX593" s="135"/>
      <c r="BY593" s="77">
        <f t="shared" si="281"/>
        <v>0</v>
      </c>
      <c r="BZ593" s="78"/>
      <c r="CA593" s="142"/>
      <c r="CB593" s="142"/>
      <c r="CC593" s="77">
        <f t="shared" si="282"/>
        <v>0</v>
      </c>
      <c r="CD593" s="78"/>
      <c r="CE593" s="142"/>
      <c r="CF593" s="142"/>
      <c r="CG593" s="79">
        <f t="shared" si="283"/>
        <v>0</v>
      </c>
      <c r="CH593" s="75"/>
      <c r="CI593" s="76"/>
      <c r="CJ593" s="86"/>
      <c r="CK593" s="86"/>
      <c r="CL593" s="77">
        <f t="shared" si="284"/>
        <v>0</v>
      </c>
      <c r="CM593" s="78"/>
      <c r="CN593" s="85"/>
      <c r="CO593" s="85"/>
      <c r="CP593" s="77">
        <f t="shared" si="285"/>
        <v>0</v>
      </c>
      <c r="CQ593" s="78"/>
      <c r="CR593" s="85"/>
      <c r="CS593" s="85"/>
      <c r="CT593" s="79">
        <f t="shared" si="286"/>
        <v>0</v>
      </c>
      <c r="CU593" s="80">
        <f t="shared" si="168"/>
        <v>0</v>
      </c>
      <c r="CV593" s="81">
        <f t="shared" si="169"/>
        <v>0</v>
      </c>
      <c r="CW593" s="144"/>
      <c r="CX593" s="145">
        <f>IF(ISERROR(VLOOKUP($A593,FIJOS!$B$11:$O$590,14,FALSE)),0,VLOOKUP($A593,FIJOS!$B$11:$O$590,14,FALSE))</f>
        <v>0</v>
      </c>
      <c r="CY593" s="145">
        <f>IF(ISERROR(VLOOKUP(A593,FIJOS!$B$10:$P$590,15,FALSE)),0,VLOOKUP(A593,FIJOS!$B$10:$P$590,15,FALSE))</f>
        <v>0</v>
      </c>
      <c r="CZ593" s="155"/>
      <c r="DA593" s="147"/>
      <c r="DB593" s="147"/>
      <c r="DC593" s="147"/>
      <c r="DD593" s="147"/>
      <c r="DE593" s="147"/>
      <c r="DF593" s="145">
        <f>IF(ISERROR(VLOOKUP($A593,FIJOS!$B$11:$N$590,13,FALSE)),0,VLOOKUP($A593,FIJOS!$B$11:$N$590,13,FALSE))</f>
        <v>0</v>
      </c>
      <c r="DG593" s="145">
        <f>IF(ISERROR(VLOOKUP($A593,FIJOS!$B$11:$P$447,12,FALSE)),0,VLOOKUP($A593,FIJOS!$B$11:$P$447,12,FALSE))</f>
        <v>0</v>
      </c>
      <c r="DH593" s="82">
        <f t="shared" si="258"/>
        <v>0</v>
      </c>
      <c r="DI593" s="83" t="b">
        <f>IF($C593=1,(VLOOKUP($A593,FIJOS!$B$11:$P$545,10,FALSE)/7)*(7-$CU593),IF(AND($C593=2,CV593&lt;$DJ$1),(VLOOKUP($D593,HORAS!$B$4:$C$42,2,FALSE)*24)*$CV593,IF(AND($C593=2,CV593&gt;=$DJ$1),VLOOKUP($D593,HORAS!$B$4:$D$42,3,FALSE),IF(AND($C593=3,$CV593&gt;=$DJ$1),VLOOKUP($A593,FIJOS!$B$11:$P$545,10,FALSE),IF(AND($C593=3,$CV593&lt;$DJ$1),((VLOOKUP($A593,FIJOS!$B$11:$P$545,10,FALSE)/48)*24)*$CV593,IF(AND($C593=4,$CV593&gt;=(42/24)),VLOOKUP($D593,HORAS!$B$4:$D$42,3,FALSE),IF(AND($C593=5,$CV593&gt;=(36/24)),VLOOKUP($D593,HORAS!$B$4:$D$42,3,FALSE))))))))</f>
        <v>0</v>
      </c>
      <c r="DJ593" s="145">
        <f>IF(OR($C593=2),VLOOKUP($D593,HORAS!$B$4:$E$42,4,FALSE)*$EC593,IF(ISERROR(VLOOKUP($A593,FIJOS!$B$11:$P$108,9,FALSE)),0,VLOOKUP($A593,FIJOS!$B$11:$P$231,9,FALSE)*$EC593))</f>
        <v>0</v>
      </c>
      <c r="DK593" s="145">
        <f>IF(OR($C593=2),VLOOKUP($D593,HORAS!$B$4:$F$42,5,FALSE)*$EE593,IF(ISERROR(VLOOKUP($A593,FIJOS!$B$11:$P$108,9,FALSE)),0,VLOOKUP($A593,FIJOS!$B$11:$P$231,9,FALSE)*$EE593))</f>
        <v>0</v>
      </c>
      <c r="DL593" s="144"/>
      <c r="DM593" s="145">
        <f>IF(ISERROR(VLOOKUP($A593,FIJOS!$B$11:$L$646,11,FALSE)),0,VLOOKUP($A593,FIJOS!$B$11:$L$646,11,FALSE))</f>
        <v>0</v>
      </c>
      <c r="DN593" s="148" t="e">
        <f>IF(OR($C593=1,$C593=3),0,IF((VLOOKUP(CAPTURA!D593,HORAS!$B$4:$K$42,10,FALSE)/4)*COUNTIF($H593:$CT593,3)&gt;100,100,(VLOOKUP(CAPTURA!D593,HORAS!$B$4:$K$42,10,FALSE)/4)*COUNTIF($H593:$CT593,3)))</f>
        <v>#N/A</v>
      </c>
      <c r="DO593" s="144" t="e">
        <f>IF(OR($C593=1,$C593=3),0,IF($C593=5,VLOOKUP(D593,HORAS!$B$4:$G$42,6,FALSE),IF(AND($C593=4,$CV593&gt;=(42/24)),VLOOKUP(D593,HORAS!$B$4:$G$42,6,FALSE),IF(COUNTIF($H593:$CL593,"F")&gt;0,0,IF(CV593&gt;$DJ$1,$DJ$1*(VLOOKUP(D593,HORAS!$B$4:$G$42,6,FALSE)/$DJ$1),CV593*(VLOOKUP(D593,HORAS!$B$4:$G$42,6,FALSE)/$DJ$1))))))</f>
        <v>#N/A</v>
      </c>
      <c r="DP593" s="156"/>
      <c r="DQ593" s="148"/>
      <c r="DR593" s="148"/>
      <c r="DS593" s="83" t="e">
        <f t="shared" si="287"/>
        <v>#N/A</v>
      </c>
      <c r="DT593" s="84"/>
      <c r="DU593" s="149" t="e">
        <f t="shared" si="259"/>
        <v>#N/A</v>
      </c>
      <c r="DV593" s="149" t="e">
        <f t="shared" si="260"/>
        <v>#N/A</v>
      </c>
      <c r="DW593" s="144" t="e">
        <f t="shared" si="261"/>
        <v>#N/A</v>
      </c>
      <c r="DX593" s="168"/>
      <c r="DY593" s="29"/>
      <c r="DZ593" s="150"/>
      <c r="EA593" s="134"/>
      <c r="EB593" s="137">
        <f t="shared" si="262"/>
        <v>0</v>
      </c>
      <c r="EC593" s="138">
        <f t="shared" si="263"/>
        <v>0</v>
      </c>
      <c r="ED593" s="137">
        <f t="shared" si="264"/>
        <v>0</v>
      </c>
      <c r="EE593" s="132">
        <f t="shared" si="265"/>
        <v>0</v>
      </c>
      <c r="EF593" s="29"/>
      <c r="EG593" s="134"/>
      <c r="EH593" s="134"/>
      <c r="EI593" s="134"/>
      <c r="EK593" s="29"/>
    </row>
    <row r="594" spans="1:141" ht="15" customHeight="1" x14ac:dyDescent="0.25">
      <c r="A594" s="87"/>
      <c r="B594" s="5"/>
      <c r="C594" s="72"/>
      <c r="D594" s="73"/>
      <c r="E594" s="73"/>
      <c r="F594" s="141"/>
      <c r="G594" s="74"/>
      <c r="H594" s="75"/>
      <c r="I594" s="76"/>
      <c r="J594" s="135"/>
      <c r="K594" s="135"/>
      <c r="L594" s="77">
        <f t="shared" si="266"/>
        <v>0</v>
      </c>
      <c r="M594" s="78"/>
      <c r="N594" s="142"/>
      <c r="O594" s="142"/>
      <c r="P594" s="77">
        <f t="shared" si="267"/>
        <v>0</v>
      </c>
      <c r="Q594" s="78"/>
      <c r="R594" s="143"/>
      <c r="S594" s="143"/>
      <c r="T594" s="77">
        <f t="shared" si="268"/>
        <v>0</v>
      </c>
      <c r="U594" s="75"/>
      <c r="V594" s="76"/>
      <c r="W594" s="135"/>
      <c r="X594" s="135"/>
      <c r="Y594" s="77">
        <f t="shared" si="269"/>
        <v>0</v>
      </c>
      <c r="Z594" s="78"/>
      <c r="AA594" s="142"/>
      <c r="AB594" s="142"/>
      <c r="AC594" s="77">
        <f t="shared" si="270"/>
        <v>0</v>
      </c>
      <c r="AD594" s="78"/>
      <c r="AE594" s="143"/>
      <c r="AF594" s="143"/>
      <c r="AG594" s="79">
        <f t="shared" si="271"/>
        <v>0</v>
      </c>
      <c r="AH594" s="75"/>
      <c r="AI594" s="76"/>
      <c r="AJ594" s="135"/>
      <c r="AK594" s="135"/>
      <c r="AL594" s="77">
        <f t="shared" si="272"/>
        <v>0</v>
      </c>
      <c r="AM594" s="76"/>
      <c r="AN594" s="142"/>
      <c r="AO594" s="142"/>
      <c r="AP594" s="77">
        <f t="shared" si="273"/>
        <v>0</v>
      </c>
      <c r="AQ594" s="78"/>
      <c r="AR594" s="142"/>
      <c r="AS594" s="142"/>
      <c r="AT594" s="79">
        <f t="shared" si="274"/>
        <v>0</v>
      </c>
      <c r="AU594" s="75"/>
      <c r="AV594" s="76"/>
      <c r="AW594" s="135"/>
      <c r="AX594" s="135"/>
      <c r="AY594" s="77">
        <f t="shared" si="275"/>
        <v>0</v>
      </c>
      <c r="AZ594" s="76"/>
      <c r="BA594" s="142"/>
      <c r="BB594" s="142"/>
      <c r="BC594" s="77">
        <f t="shared" si="276"/>
        <v>0</v>
      </c>
      <c r="BD594" s="78"/>
      <c r="BE594" s="142"/>
      <c r="BF594" s="142"/>
      <c r="BG594" s="79">
        <f t="shared" si="277"/>
        <v>0</v>
      </c>
      <c r="BH594" s="75"/>
      <c r="BI594" s="76"/>
      <c r="BJ594" s="135"/>
      <c r="BK594" s="135"/>
      <c r="BL594" s="77">
        <f t="shared" si="278"/>
        <v>0</v>
      </c>
      <c r="BM594" s="78"/>
      <c r="BN594" s="142"/>
      <c r="BO594" s="142"/>
      <c r="BP594" s="77">
        <f t="shared" si="279"/>
        <v>0</v>
      </c>
      <c r="BQ594" s="78"/>
      <c r="BR594" s="142"/>
      <c r="BS594" s="142"/>
      <c r="BT594" s="79">
        <f t="shared" si="280"/>
        <v>0</v>
      </c>
      <c r="BU594" s="75"/>
      <c r="BV594" s="76"/>
      <c r="BW594" s="135"/>
      <c r="BX594" s="135"/>
      <c r="BY594" s="77">
        <f t="shared" si="281"/>
        <v>0</v>
      </c>
      <c r="BZ594" s="78"/>
      <c r="CA594" s="142"/>
      <c r="CB594" s="142"/>
      <c r="CC594" s="77">
        <f t="shared" si="282"/>
        <v>0</v>
      </c>
      <c r="CD594" s="78"/>
      <c r="CE594" s="142"/>
      <c r="CF594" s="142"/>
      <c r="CG594" s="79">
        <f t="shared" si="283"/>
        <v>0</v>
      </c>
      <c r="CH594" s="75"/>
      <c r="CI594" s="76"/>
      <c r="CJ594" s="86"/>
      <c r="CK594" s="86"/>
      <c r="CL594" s="77">
        <f t="shared" si="284"/>
        <v>0</v>
      </c>
      <c r="CM594" s="78"/>
      <c r="CN594" s="85"/>
      <c r="CO594" s="85"/>
      <c r="CP594" s="77">
        <f t="shared" si="285"/>
        <v>0</v>
      </c>
      <c r="CQ594" s="78"/>
      <c r="CR594" s="85"/>
      <c r="CS594" s="85"/>
      <c r="CT594" s="79">
        <f t="shared" si="286"/>
        <v>0</v>
      </c>
      <c r="CU594" s="80">
        <f t="shared" si="168"/>
        <v>0</v>
      </c>
      <c r="CV594" s="81">
        <f t="shared" si="169"/>
        <v>0</v>
      </c>
      <c r="CW594" s="144"/>
      <c r="CX594" s="145">
        <f>IF(ISERROR(VLOOKUP($A594,FIJOS!$B$11:$O$590,14,FALSE)),0,VLOOKUP($A594,FIJOS!$B$11:$O$590,14,FALSE))</f>
        <v>0</v>
      </c>
      <c r="CY594" s="145">
        <f>IF(ISERROR(VLOOKUP(A594,FIJOS!$B$10:$P$590,15,FALSE)),0,VLOOKUP(A594,FIJOS!$B$10:$P$590,15,FALSE))</f>
        <v>0</v>
      </c>
      <c r="CZ594" s="155"/>
      <c r="DA594" s="147"/>
      <c r="DB594" s="147"/>
      <c r="DC594" s="147"/>
      <c r="DD594" s="147"/>
      <c r="DE594" s="147"/>
      <c r="DF594" s="145">
        <f>IF(ISERROR(VLOOKUP($A594,FIJOS!$B$11:$N$590,13,FALSE)),0,VLOOKUP($A594,FIJOS!$B$11:$N$590,13,FALSE))</f>
        <v>0</v>
      </c>
      <c r="DG594" s="145">
        <f>IF(ISERROR(VLOOKUP($A594,FIJOS!$B$11:$P$447,12,FALSE)),0,VLOOKUP($A594,FIJOS!$B$11:$P$447,12,FALSE))</f>
        <v>0</v>
      </c>
      <c r="DH594" s="82">
        <f t="shared" si="258"/>
        <v>0</v>
      </c>
      <c r="DI594" s="83" t="b">
        <f>IF($C594=1,(VLOOKUP($A594,FIJOS!$B$11:$P$545,10,FALSE)/7)*(7-$CU594),IF(AND($C594=2,CV594&lt;$DJ$1),(VLOOKUP($D594,HORAS!$B$4:$C$42,2,FALSE)*24)*$CV594,IF(AND($C594=2,CV594&gt;=$DJ$1),VLOOKUP($D594,HORAS!$B$4:$D$42,3,FALSE),IF(AND($C594=3,$CV594&gt;=$DJ$1),VLOOKUP($A594,FIJOS!$B$11:$P$545,10,FALSE),IF(AND($C594=3,$CV594&lt;$DJ$1),((VLOOKUP($A594,FIJOS!$B$11:$P$545,10,FALSE)/48)*24)*$CV594,IF(AND($C594=4,$CV594&gt;=(42/24)),VLOOKUP($D594,HORAS!$B$4:$D$42,3,FALSE),IF(AND($C594=5,$CV594&gt;=(36/24)),VLOOKUP($D594,HORAS!$B$4:$D$42,3,FALSE))))))))</f>
        <v>0</v>
      </c>
      <c r="DJ594" s="145">
        <f>IF(OR($C594=2),VLOOKUP($D594,HORAS!$B$4:$E$42,4,FALSE)*$EC594,IF(ISERROR(VLOOKUP($A594,FIJOS!$B$11:$P$108,9,FALSE)),0,VLOOKUP($A594,FIJOS!$B$11:$P$231,9,FALSE)*$EC594))</f>
        <v>0</v>
      </c>
      <c r="DK594" s="145">
        <f>IF(OR($C594=2),VLOOKUP($D594,HORAS!$B$4:$F$42,5,FALSE)*$EE594,IF(ISERROR(VLOOKUP($A594,FIJOS!$B$11:$P$108,9,FALSE)),0,VLOOKUP($A594,FIJOS!$B$11:$P$231,9,FALSE)*$EE594))</f>
        <v>0</v>
      </c>
      <c r="DL594" s="144"/>
      <c r="DM594" s="145">
        <f>IF(ISERROR(VLOOKUP($A594,FIJOS!$B$11:$L$646,11,FALSE)),0,VLOOKUP($A594,FIJOS!$B$11:$L$646,11,FALSE))</f>
        <v>0</v>
      </c>
      <c r="DN594" s="148" t="e">
        <f>IF(OR($C594=1,$C594=3),0,IF((VLOOKUP(CAPTURA!D594,HORAS!$B$4:$K$42,10,FALSE)/4)*COUNTIF($H594:$CT594,3)&gt;100,100,(VLOOKUP(CAPTURA!D594,HORAS!$B$4:$K$42,10,FALSE)/4)*COUNTIF($H594:$CT594,3)))</f>
        <v>#N/A</v>
      </c>
      <c r="DO594" s="144" t="e">
        <f>IF(OR($C594=1,$C594=3),0,IF($C594=5,VLOOKUP(D594,HORAS!$B$4:$G$42,6,FALSE),IF(AND($C594=4,$CV594&gt;=(42/24)),VLOOKUP(D594,HORAS!$B$4:$G$42,6,FALSE),IF(COUNTIF($H594:$CL594,"F")&gt;0,0,IF(CV594&gt;$DJ$1,$DJ$1*(VLOOKUP(D594,HORAS!$B$4:$G$42,6,FALSE)/$DJ$1),CV594*(VLOOKUP(D594,HORAS!$B$4:$G$42,6,FALSE)/$DJ$1))))))</f>
        <v>#N/A</v>
      </c>
      <c r="DP594" s="156"/>
      <c r="DQ594" s="148"/>
      <c r="DR594" s="148"/>
      <c r="DS594" s="83" t="e">
        <f t="shared" si="287"/>
        <v>#N/A</v>
      </c>
      <c r="DT594" s="84"/>
      <c r="DU594" s="149" t="e">
        <f t="shared" si="259"/>
        <v>#N/A</v>
      </c>
      <c r="DV594" s="149" t="e">
        <f t="shared" si="260"/>
        <v>#N/A</v>
      </c>
      <c r="DW594" s="144" t="e">
        <f t="shared" si="261"/>
        <v>#N/A</v>
      </c>
      <c r="DX594" s="168"/>
      <c r="DY594" s="29"/>
      <c r="DZ594" s="150"/>
      <c r="EA594" s="134"/>
      <c r="EB594" s="137">
        <f t="shared" si="262"/>
        <v>0</v>
      </c>
      <c r="EC594" s="138">
        <f t="shared" si="263"/>
        <v>0</v>
      </c>
      <c r="ED594" s="137">
        <f t="shared" si="264"/>
        <v>0</v>
      </c>
      <c r="EE594" s="132">
        <f t="shared" si="265"/>
        <v>0</v>
      </c>
      <c r="EF594" s="29"/>
      <c r="EG594" s="134"/>
      <c r="EH594" s="134"/>
      <c r="EI594" s="134"/>
      <c r="EK594" s="29"/>
    </row>
    <row r="595" spans="1:141" ht="15" customHeight="1" x14ac:dyDescent="0.25">
      <c r="A595" s="87"/>
      <c r="B595" s="5"/>
      <c r="C595" s="72"/>
      <c r="D595" s="73"/>
      <c r="E595" s="73"/>
      <c r="F595" s="141"/>
      <c r="G595" s="74"/>
      <c r="H595" s="75"/>
      <c r="I595" s="76"/>
      <c r="J595" s="135"/>
      <c r="K595" s="135"/>
      <c r="L595" s="77">
        <f t="shared" si="266"/>
        <v>0</v>
      </c>
      <c r="M595" s="78"/>
      <c r="N595" s="142"/>
      <c r="O595" s="142"/>
      <c r="P595" s="77">
        <f t="shared" si="267"/>
        <v>0</v>
      </c>
      <c r="Q595" s="78"/>
      <c r="R595" s="143"/>
      <c r="S595" s="143"/>
      <c r="T595" s="77">
        <f t="shared" si="268"/>
        <v>0</v>
      </c>
      <c r="U595" s="75"/>
      <c r="V595" s="76"/>
      <c r="W595" s="135"/>
      <c r="X595" s="135"/>
      <c r="Y595" s="77">
        <f t="shared" si="269"/>
        <v>0</v>
      </c>
      <c r="Z595" s="78"/>
      <c r="AA595" s="142"/>
      <c r="AB595" s="142"/>
      <c r="AC595" s="77">
        <f t="shared" si="270"/>
        <v>0</v>
      </c>
      <c r="AD595" s="78"/>
      <c r="AE595" s="143"/>
      <c r="AF595" s="143"/>
      <c r="AG595" s="79">
        <f t="shared" si="271"/>
        <v>0</v>
      </c>
      <c r="AH595" s="75"/>
      <c r="AI595" s="76"/>
      <c r="AJ595" s="135"/>
      <c r="AK595" s="135"/>
      <c r="AL595" s="77">
        <f t="shared" si="272"/>
        <v>0</v>
      </c>
      <c r="AM595" s="76"/>
      <c r="AN595" s="142"/>
      <c r="AO595" s="142"/>
      <c r="AP595" s="77">
        <f t="shared" si="273"/>
        <v>0</v>
      </c>
      <c r="AQ595" s="78"/>
      <c r="AR595" s="142"/>
      <c r="AS595" s="142"/>
      <c r="AT595" s="79">
        <f t="shared" si="274"/>
        <v>0</v>
      </c>
      <c r="AU595" s="75"/>
      <c r="AV595" s="76"/>
      <c r="AW595" s="135"/>
      <c r="AX595" s="135"/>
      <c r="AY595" s="77">
        <f t="shared" si="275"/>
        <v>0</v>
      </c>
      <c r="AZ595" s="76"/>
      <c r="BA595" s="142"/>
      <c r="BB595" s="142"/>
      <c r="BC595" s="77">
        <f t="shared" si="276"/>
        <v>0</v>
      </c>
      <c r="BD595" s="78"/>
      <c r="BE595" s="142"/>
      <c r="BF595" s="142"/>
      <c r="BG595" s="79">
        <f t="shared" si="277"/>
        <v>0</v>
      </c>
      <c r="BH595" s="75"/>
      <c r="BI595" s="76"/>
      <c r="BJ595" s="135"/>
      <c r="BK595" s="135"/>
      <c r="BL595" s="77">
        <f t="shared" si="278"/>
        <v>0</v>
      </c>
      <c r="BM595" s="78"/>
      <c r="BN595" s="142"/>
      <c r="BO595" s="142"/>
      <c r="BP595" s="77">
        <f t="shared" si="279"/>
        <v>0</v>
      </c>
      <c r="BQ595" s="78"/>
      <c r="BR595" s="142"/>
      <c r="BS595" s="142"/>
      <c r="BT595" s="79">
        <f t="shared" si="280"/>
        <v>0</v>
      </c>
      <c r="BU595" s="75"/>
      <c r="BV595" s="76"/>
      <c r="BW595" s="135"/>
      <c r="BX595" s="135"/>
      <c r="BY595" s="77">
        <f t="shared" si="281"/>
        <v>0</v>
      </c>
      <c r="BZ595" s="78"/>
      <c r="CA595" s="142"/>
      <c r="CB595" s="142"/>
      <c r="CC595" s="77">
        <f t="shared" si="282"/>
        <v>0</v>
      </c>
      <c r="CD595" s="78"/>
      <c r="CE595" s="142"/>
      <c r="CF595" s="142"/>
      <c r="CG595" s="79">
        <f t="shared" si="283"/>
        <v>0</v>
      </c>
      <c r="CH595" s="75"/>
      <c r="CI595" s="76"/>
      <c r="CJ595" s="86"/>
      <c r="CK595" s="86"/>
      <c r="CL595" s="77">
        <f t="shared" si="284"/>
        <v>0</v>
      </c>
      <c r="CM595" s="78"/>
      <c r="CN595" s="85"/>
      <c r="CO595" s="85"/>
      <c r="CP595" s="77">
        <f t="shared" si="285"/>
        <v>0</v>
      </c>
      <c r="CQ595" s="78"/>
      <c r="CR595" s="85"/>
      <c r="CS595" s="85"/>
      <c r="CT595" s="79">
        <f t="shared" si="286"/>
        <v>0</v>
      </c>
      <c r="CU595" s="80">
        <f t="shared" si="168"/>
        <v>0</v>
      </c>
      <c r="CV595" s="81">
        <f t="shared" si="169"/>
        <v>0</v>
      </c>
      <c r="CW595" s="144"/>
      <c r="CX595" s="145">
        <f>IF(ISERROR(VLOOKUP($A595,FIJOS!$B$11:$O$590,14,FALSE)),0,VLOOKUP($A595,FIJOS!$B$11:$O$590,14,FALSE))</f>
        <v>0</v>
      </c>
      <c r="CY595" s="145">
        <f>IF(ISERROR(VLOOKUP(A595,FIJOS!$B$10:$P$590,15,FALSE)),0,VLOOKUP(A595,FIJOS!$B$10:$P$590,15,FALSE))</f>
        <v>0</v>
      </c>
      <c r="CZ595" s="155"/>
      <c r="DA595" s="147"/>
      <c r="DB595" s="147"/>
      <c r="DC595" s="147"/>
      <c r="DD595" s="147"/>
      <c r="DE595" s="147"/>
      <c r="DF595" s="145">
        <f>IF(ISERROR(VLOOKUP($A595,FIJOS!$B$11:$N$590,13,FALSE)),0,VLOOKUP($A595,FIJOS!$B$11:$N$590,13,FALSE))</f>
        <v>0</v>
      </c>
      <c r="DG595" s="145">
        <f>IF(ISERROR(VLOOKUP($A595,FIJOS!$B$11:$P$447,12,FALSE)),0,VLOOKUP($A595,FIJOS!$B$11:$P$447,12,FALSE))</f>
        <v>0</v>
      </c>
      <c r="DH595" s="82">
        <f t="shared" si="258"/>
        <v>0</v>
      </c>
      <c r="DI595" s="83" t="b">
        <f>IF($C595=1,(VLOOKUP($A595,FIJOS!$B$11:$P$545,10,FALSE)/7)*(7-$CU595),IF(AND($C595=2,CV595&lt;$DJ$1),(VLOOKUP($D595,HORAS!$B$4:$C$42,2,FALSE)*24)*$CV595,IF(AND($C595=2,CV595&gt;=$DJ$1),VLOOKUP($D595,HORAS!$B$4:$D$42,3,FALSE),IF(AND($C595=3,$CV595&gt;=$DJ$1),VLOOKUP($A595,FIJOS!$B$11:$P$545,10,FALSE),IF(AND($C595=3,$CV595&lt;$DJ$1),((VLOOKUP($A595,FIJOS!$B$11:$P$545,10,FALSE)/48)*24)*$CV595,IF(AND($C595=4,$CV595&gt;=(42/24)),VLOOKUP($D595,HORAS!$B$4:$D$42,3,FALSE),IF(AND($C595=5,$CV595&gt;=(36/24)),VLOOKUP($D595,HORAS!$B$4:$D$42,3,FALSE))))))))</f>
        <v>0</v>
      </c>
      <c r="DJ595" s="145">
        <f>IF(OR($C595=2),VLOOKUP($D595,HORAS!$B$4:$E$42,4,FALSE)*$EC595,IF(ISERROR(VLOOKUP($A595,FIJOS!$B$11:$P$108,9,FALSE)),0,VLOOKUP($A595,FIJOS!$B$11:$P$231,9,FALSE)*$EC595))</f>
        <v>0</v>
      </c>
      <c r="DK595" s="145">
        <f>IF(OR($C595=2),VLOOKUP($D595,HORAS!$B$4:$F$42,5,FALSE)*$EE595,IF(ISERROR(VLOOKUP($A595,FIJOS!$B$11:$P$108,9,FALSE)),0,VLOOKUP($A595,FIJOS!$B$11:$P$231,9,FALSE)*$EE595))</f>
        <v>0</v>
      </c>
      <c r="DL595" s="144"/>
      <c r="DM595" s="145">
        <f>IF(ISERROR(VLOOKUP($A595,FIJOS!$B$11:$L$646,11,FALSE)),0,VLOOKUP($A595,FIJOS!$B$11:$L$646,11,FALSE))</f>
        <v>0</v>
      </c>
      <c r="DN595" s="148" t="e">
        <f>IF(OR($C595=1,$C595=3),0,IF((VLOOKUP(CAPTURA!D595,HORAS!$B$4:$K$42,10,FALSE)/4)*COUNTIF($H595:$CT595,3)&gt;100,100,(VLOOKUP(CAPTURA!D595,HORAS!$B$4:$K$42,10,FALSE)/4)*COUNTIF($H595:$CT595,3)))</f>
        <v>#N/A</v>
      </c>
      <c r="DO595" s="144" t="e">
        <f>IF(OR($C595=1,$C595=3),0,IF($C595=5,VLOOKUP(D595,HORAS!$B$4:$G$42,6,FALSE),IF(AND($C595=4,$CV595&gt;=(42/24)),VLOOKUP(D595,HORAS!$B$4:$G$42,6,FALSE),IF(COUNTIF($H595:$CL595,"F")&gt;0,0,IF(CV595&gt;$DJ$1,$DJ$1*(VLOOKUP(D595,HORAS!$B$4:$G$42,6,FALSE)/$DJ$1),CV595*(VLOOKUP(D595,HORAS!$B$4:$G$42,6,FALSE)/$DJ$1))))))</f>
        <v>#N/A</v>
      </c>
      <c r="DP595" s="156"/>
      <c r="DQ595" s="148"/>
      <c r="DR595" s="148"/>
      <c r="DS595" s="83" t="e">
        <f t="shared" si="287"/>
        <v>#N/A</v>
      </c>
      <c r="DT595" s="84"/>
      <c r="DU595" s="149" t="e">
        <f t="shared" si="259"/>
        <v>#N/A</v>
      </c>
      <c r="DV595" s="149" t="e">
        <f t="shared" si="260"/>
        <v>#N/A</v>
      </c>
      <c r="DW595" s="144" t="e">
        <f t="shared" si="261"/>
        <v>#N/A</v>
      </c>
      <c r="DX595" s="168"/>
      <c r="DY595" s="29"/>
      <c r="DZ595" s="150"/>
      <c r="EA595" s="134"/>
      <c r="EB595" s="137">
        <f t="shared" si="262"/>
        <v>0</v>
      </c>
      <c r="EC595" s="138">
        <f t="shared" si="263"/>
        <v>0</v>
      </c>
      <c r="ED595" s="137">
        <f t="shared" si="264"/>
        <v>0</v>
      </c>
      <c r="EE595" s="132">
        <f t="shared" si="265"/>
        <v>0</v>
      </c>
      <c r="EF595" s="29"/>
      <c r="EG595" s="134"/>
      <c r="EH595" s="134"/>
      <c r="EI595" s="134"/>
      <c r="EK595" s="29"/>
    </row>
    <row r="596" spans="1:141" ht="15" customHeight="1" x14ac:dyDescent="0.25">
      <c r="A596" s="87"/>
      <c r="B596" s="5"/>
      <c r="C596" s="72"/>
      <c r="D596" s="73"/>
      <c r="E596" s="73"/>
      <c r="F596" s="141"/>
      <c r="G596" s="74"/>
      <c r="H596" s="75"/>
      <c r="I596" s="76"/>
      <c r="J596" s="135"/>
      <c r="K596" s="135"/>
      <c r="L596" s="77">
        <f t="shared" si="266"/>
        <v>0</v>
      </c>
      <c r="M596" s="78"/>
      <c r="N596" s="142"/>
      <c r="O596" s="142"/>
      <c r="P596" s="77">
        <f t="shared" si="267"/>
        <v>0</v>
      </c>
      <c r="Q596" s="78"/>
      <c r="R596" s="143"/>
      <c r="S596" s="143"/>
      <c r="T596" s="77">
        <f t="shared" si="268"/>
        <v>0</v>
      </c>
      <c r="U596" s="75"/>
      <c r="V596" s="76"/>
      <c r="W596" s="135"/>
      <c r="X596" s="135"/>
      <c r="Y596" s="77">
        <f t="shared" si="269"/>
        <v>0</v>
      </c>
      <c r="Z596" s="78"/>
      <c r="AA596" s="142"/>
      <c r="AB596" s="142"/>
      <c r="AC596" s="77">
        <f t="shared" si="270"/>
        <v>0</v>
      </c>
      <c r="AD596" s="78"/>
      <c r="AE596" s="143"/>
      <c r="AF596" s="143"/>
      <c r="AG596" s="79">
        <f t="shared" si="271"/>
        <v>0</v>
      </c>
      <c r="AH596" s="75"/>
      <c r="AI596" s="76"/>
      <c r="AJ596" s="135"/>
      <c r="AK596" s="135"/>
      <c r="AL596" s="77">
        <f t="shared" si="272"/>
        <v>0</v>
      </c>
      <c r="AM596" s="76"/>
      <c r="AN596" s="142"/>
      <c r="AO596" s="142"/>
      <c r="AP596" s="77">
        <f t="shared" si="273"/>
        <v>0</v>
      </c>
      <c r="AQ596" s="78"/>
      <c r="AR596" s="142"/>
      <c r="AS596" s="142"/>
      <c r="AT596" s="79">
        <f t="shared" si="274"/>
        <v>0</v>
      </c>
      <c r="AU596" s="75"/>
      <c r="AV596" s="76"/>
      <c r="AW596" s="135"/>
      <c r="AX596" s="135"/>
      <c r="AY596" s="77">
        <f t="shared" si="275"/>
        <v>0</v>
      </c>
      <c r="AZ596" s="76"/>
      <c r="BA596" s="142"/>
      <c r="BB596" s="142"/>
      <c r="BC596" s="77">
        <f t="shared" si="276"/>
        <v>0</v>
      </c>
      <c r="BD596" s="78"/>
      <c r="BE596" s="142"/>
      <c r="BF596" s="142"/>
      <c r="BG596" s="79">
        <f t="shared" si="277"/>
        <v>0</v>
      </c>
      <c r="BH596" s="75"/>
      <c r="BI596" s="76"/>
      <c r="BJ596" s="135"/>
      <c r="BK596" s="135"/>
      <c r="BL596" s="77">
        <f t="shared" si="278"/>
        <v>0</v>
      </c>
      <c r="BM596" s="78"/>
      <c r="BN596" s="142"/>
      <c r="BO596" s="142"/>
      <c r="BP596" s="77">
        <f t="shared" si="279"/>
        <v>0</v>
      </c>
      <c r="BQ596" s="78"/>
      <c r="BR596" s="142"/>
      <c r="BS596" s="142"/>
      <c r="BT596" s="79">
        <f t="shared" si="280"/>
        <v>0</v>
      </c>
      <c r="BU596" s="75"/>
      <c r="BV596" s="76"/>
      <c r="BW596" s="135"/>
      <c r="BX596" s="135"/>
      <c r="BY596" s="77">
        <f t="shared" si="281"/>
        <v>0</v>
      </c>
      <c r="BZ596" s="78"/>
      <c r="CA596" s="142"/>
      <c r="CB596" s="142"/>
      <c r="CC596" s="77">
        <f t="shared" si="282"/>
        <v>0</v>
      </c>
      <c r="CD596" s="78"/>
      <c r="CE596" s="142"/>
      <c r="CF596" s="142"/>
      <c r="CG596" s="79">
        <f t="shared" si="283"/>
        <v>0</v>
      </c>
      <c r="CH596" s="75"/>
      <c r="CI596" s="76"/>
      <c r="CJ596" s="86"/>
      <c r="CK596" s="86"/>
      <c r="CL596" s="77">
        <f t="shared" si="284"/>
        <v>0</v>
      </c>
      <c r="CM596" s="78"/>
      <c r="CN596" s="85"/>
      <c r="CO596" s="85"/>
      <c r="CP596" s="77">
        <f t="shared" si="285"/>
        <v>0</v>
      </c>
      <c r="CQ596" s="78"/>
      <c r="CR596" s="85"/>
      <c r="CS596" s="85"/>
      <c r="CT596" s="79">
        <f t="shared" si="286"/>
        <v>0</v>
      </c>
      <c r="CU596" s="80">
        <f t="shared" si="168"/>
        <v>0</v>
      </c>
      <c r="CV596" s="81">
        <f t="shared" si="169"/>
        <v>0</v>
      </c>
      <c r="CW596" s="144"/>
      <c r="CX596" s="145">
        <f>IF(ISERROR(VLOOKUP($A596,FIJOS!$B$11:$O$590,14,FALSE)),0,VLOOKUP($A596,FIJOS!$B$11:$O$590,14,FALSE))</f>
        <v>0</v>
      </c>
      <c r="CY596" s="145">
        <f>IF(ISERROR(VLOOKUP(A596,FIJOS!$B$10:$P$590,15,FALSE)),0,VLOOKUP(A596,FIJOS!$B$10:$P$590,15,FALSE))</f>
        <v>0</v>
      </c>
      <c r="CZ596" s="155"/>
      <c r="DA596" s="147"/>
      <c r="DB596" s="147"/>
      <c r="DC596" s="147"/>
      <c r="DD596" s="147"/>
      <c r="DE596" s="147"/>
      <c r="DF596" s="145">
        <f>IF(ISERROR(VLOOKUP($A596,FIJOS!$B$11:$N$590,13,FALSE)),0,VLOOKUP($A596,FIJOS!$B$11:$N$590,13,FALSE))</f>
        <v>0</v>
      </c>
      <c r="DG596" s="145">
        <f>IF(ISERROR(VLOOKUP($A596,FIJOS!$B$11:$P$447,12,FALSE)),0,VLOOKUP($A596,FIJOS!$B$11:$P$447,12,FALSE))</f>
        <v>0</v>
      </c>
      <c r="DH596" s="82">
        <f t="shared" si="258"/>
        <v>0</v>
      </c>
      <c r="DI596" s="83" t="b">
        <f>IF($C596=1,(VLOOKUP($A596,FIJOS!$B$11:$P$545,10,FALSE)/7)*(7-$CU596),IF(AND($C596=2,CV596&lt;$DJ$1),(VLOOKUP($D596,HORAS!$B$4:$C$42,2,FALSE)*24)*$CV596,IF(AND($C596=2,CV596&gt;=$DJ$1),VLOOKUP($D596,HORAS!$B$4:$D$42,3,FALSE),IF(AND($C596=3,$CV596&gt;=$DJ$1),VLOOKUP($A596,FIJOS!$B$11:$P$545,10,FALSE),IF(AND($C596=3,$CV596&lt;$DJ$1),((VLOOKUP($A596,FIJOS!$B$11:$P$545,10,FALSE)/48)*24)*$CV596,IF(AND($C596=4,$CV596&gt;=(42/24)),VLOOKUP($D596,HORAS!$B$4:$D$42,3,FALSE),IF(AND($C596=5,$CV596&gt;=(36/24)),VLOOKUP($D596,HORAS!$B$4:$D$42,3,FALSE))))))))</f>
        <v>0</v>
      </c>
      <c r="DJ596" s="145">
        <f>IF(OR($C596=2),VLOOKUP($D596,HORAS!$B$4:$E$42,4,FALSE)*$EC596,IF(ISERROR(VLOOKUP($A596,FIJOS!$B$11:$P$108,9,FALSE)),0,VLOOKUP($A596,FIJOS!$B$11:$P$231,9,FALSE)*$EC596))</f>
        <v>0</v>
      </c>
      <c r="DK596" s="145">
        <f>IF(OR($C596=2),VLOOKUP($D596,HORAS!$B$4:$F$42,5,FALSE)*$EE596,IF(ISERROR(VLOOKUP($A596,FIJOS!$B$11:$P$108,9,FALSE)),0,VLOOKUP($A596,FIJOS!$B$11:$P$231,9,FALSE)*$EE596))</f>
        <v>0</v>
      </c>
      <c r="DL596" s="144"/>
      <c r="DM596" s="145">
        <f>IF(ISERROR(VLOOKUP($A596,FIJOS!$B$11:$L$646,11,FALSE)),0,VLOOKUP($A596,FIJOS!$B$11:$L$646,11,FALSE))</f>
        <v>0</v>
      </c>
      <c r="DN596" s="148" t="e">
        <f>IF(OR($C596=1,$C596=3),0,IF((VLOOKUP(CAPTURA!D596,HORAS!$B$4:$K$42,10,FALSE)/4)*COUNTIF($H596:$CT596,3)&gt;100,100,(VLOOKUP(CAPTURA!D596,HORAS!$B$4:$K$42,10,FALSE)/4)*COUNTIF($H596:$CT596,3)))</f>
        <v>#N/A</v>
      </c>
      <c r="DO596" s="144" t="e">
        <f>IF(OR($C596=1,$C596=3),0,IF($C596=5,VLOOKUP(D596,HORAS!$B$4:$G$42,6,FALSE),IF(AND($C596=4,$CV596&gt;=(42/24)),VLOOKUP(D596,HORAS!$B$4:$G$42,6,FALSE),IF(COUNTIF($H596:$CL596,"F")&gt;0,0,IF(CV596&gt;$DJ$1,$DJ$1*(VLOOKUP(D596,HORAS!$B$4:$G$42,6,FALSE)/$DJ$1),CV596*(VLOOKUP(D596,HORAS!$B$4:$G$42,6,FALSE)/$DJ$1))))))</f>
        <v>#N/A</v>
      </c>
      <c r="DP596" s="156"/>
      <c r="DQ596" s="148"/>
      <c r="DR596" s="148"/>
      <c r="DS596" s="83" t="e">
        <f t="shared" si="287"/>
        <v>#N/A</v>
      </c>
      <c r="DT596" s="84"/>
      <c r="DU596" s="149" t="e">
        <f t="shared" si="259"/>
        <v>#N/A</v>
      </c>
      <c r="DV596" s="149" t="e">
        <f t="shared" si="260"/>
        <v>#N/A</v>
      </c>
      <c r="DW596" s="144" t="e">
        <f t="shared" si="261"/>
        <v>#N/A</v>
      </c>
      <c r="DX596" s="168"/>
      <c r="DY596" s="29"/>
      <c r="DZ596" s="150"/>
      <c r="EA596" s="134"/>
      <c r="EB596" s="137">
        <f t="shared" si="262"/>
        <v>0</v>
      </c>
      <c r="EC596" s="138">
        <f t="shared" si="263"/>
        <v>0</v>
      </c>
      <c r="ED596" s="137">
        <f t="shared" si="264"/>
        <v>0</v>
      </c>
      <c r="EE596" s="132">
        <f t="shared" si="265"/>
        <v>0</v>
      </c>
      <c r="EF596" s="29"/>
      <c r="EG596" s="134"/>
      <c r="EH596" s="134"/>
      <c r="EI596" s="134"/>
      <c r="EK596" s="29"/>
    </row>
    <row r="597" spans="1:141" ht="15" customHeight="1" x14ac:dyDescent="0.25">
      <c r="A597" s="87"/>
      <c r="B597" s="5"/>
      <c r="C597" s="72"/>
      <c r="D597" s="73"/>
      <c r="E597" s="73"/>
      <c r="F597" s="141"/>
      <c r="G597" s="74"/>
      <c r="H597" s="75"/>
      <c r="I597" s="76"/>
      <c r="J597" s="135"/>
      <c r="K597" s="135"/>
      <c r="L597" s="77">
        <f t="shared" si="266"/>
        <v>0</v>
      </c>
      <c r="M597" s="78"/>
      <c r="N597" s="142"/>
      <c r="O597" s="142"/>
      <c r="P597" s="77">
        <f t="shared" si="267"/>
        <v>0</v>
      </c>
      <c r="Q597" s="78"/>
      <c r="R597" s="143"/>
      <c r="S597" s="143"/>
      <c r="T597" s="77">
        <f t="shared" si="268"/>
        <v>0</v>
      </c>
      <c r="U597" s="75"/>
      <c r="V597" s="76"/>
      <c r="W597" s="135"/>
      <c r="X597" s="135"/>
      <c r="Y597" s="77">
        <f t="shared" si="269"/>
        <v>0</v>
      </c>
      <c r="Z597" s="78"/>
      <c r="AA597" s="142"/>
      <c r="AB597" s="142"/>
      <c r="AC597" s="77">
        <f t="shared" si="270"/>
        <v>0</v>
      </c>
      <c r="AD597" s="78"/>
      <c r="AE597" s="143"/>
      <c r="AF597" s="143"/>
      <c r="AG597" s="79">
        <f t="shared" si="271"/>
        <v>0</v>
      </c>
      <c r="AH597" s="75"/>
      <c r="AI597" s="76"/>
      <c r="AJ597" s="135"/>
      <c r="AK597" s="135"/>
      <c r="AL597" s="77">
        <f t="shared" si="272"/>
        <v>0</v>
      </c>
      <c r="AM597" s="76"/>
      <c r="AN597" s="142"/>
      <c r="AO597" s="142"/>
      <c r="AP597" s="77">
        <f t="shared" si="273"/>
        <v>0</v>
      </c>
      <c r="AQ597" s="78"/>
      <c r="AR597" s="142"/>
      <c r="AS597" s="142"/>
      <c r="AT597" s="79">
        <f t="shared" si="274"/>
        <v>0</v>
      </c>
      <c r="AU597" s="75"/>
      <c r="AV597" s="76"/>
      <c r="AW597" s="135"/>
      <c r="AX597" s="135"/>
      <c r="AY597" s="77">
        <f t="shared" si="275"/>
        <v>0</v>
      </c>
      <c r="AZ597" s="76"/>
      <c r="BA597" s="142"/>
      <c r="BB597" s="142"/>
      <c r="BC597" s="77">
        <f t="shared" si="276"/>
        <v>0</v>
      </c>
      <c r="BD597" s="78"/>
      <c r="BE597" s="142"/>
      <c r="BF597" s="142"/>
      <c r="BG597" s="79">
        <f t="shared" si="277"/>
        <v>0</v>
      </c>
      <c r="BH597" s="75"/>
      <c r="BI597" s="76"/>
      <c r="BJ597" s="135"/>
      <c r="BK597" s="135"/>
      <c r="BL597" s="77">
        <f t="shared" si="278"/>
        <v>0</v>
      </c>
      <c r="BM597" s="78"/>
      <c r="BN597" s="142"/>
      <c r="BO597" s="142"/>
      <c r="BP597" s="77">
        <f t="shared" si="279"/>
        <v>0</v>
      </c>
      <c r="BQ597" s="78"/>
      <c r="BR597" s="142"/>
      <c r="BS597" s="142"/>
      <c r="BT597" s="79">
        <f t="shared" si="280"/>
        <v>0</v>
      </c>
      <c r="BU597" s="75"/>
      <c r="BV597" s="76"/>
      <c r="BW597" s="135"/>
      <c r="BX597" s="135"/>
      <c r="BY597" s="77">
        <f t="shared" si="281"/>
        <v>0</v>
      </c>
      <c r="BZ597" s="78"/>
      <c r="CA597" s="142"/>
      <c r="CB597" s="142"/>
      <c r="CC597" s="77">
        <f t="shared" si="282"/>
        <v>0</v>
      </c>
      <c r="CD597" s="78"/>
      <c r="CE597" s="142"/>
      <c r="CF597" s="142"/>
      <c r="CG597" s="79">
        <f t="shared" si="283"/>
        <v>0</v>
      </c>
      <c r="CH597" s="75"/>
      <c r="CI597" s="76"/>
      <c r="CJ597" s="86"/>
      <c r="CK597" s="86"/>
      <c r="CL597" s="77">
        <f t="shared" si="284"/>
        <v>0</v>
      </c>
      <c r="CM597" s="78"/>
      <c r="CN597" s="85"/>
      <c r="CO597" s="85"/>
      <c r="CP597" s="77">
        <f t="shared" si="285"/>
        <v>0</v>
      </c>
      <c r="CQ597" s="78"/>
      <c r="CR597" s="85"/>
      <c r="CS597" s="85"/>
      <c r="CT597" s="79">
        <f t="shared" si="286"/>
        <v>0</v>
      </c>
      <c r="CU597" s="80">
        <f t="shared" si="168"/>
        <v>0</v>
      </c>
      <c r="CV597" s="81">
        <f t="shared" si="169"/>
        <v>0</v>
      </c>
      <c r="CW597" s="144"/>
      <c r="CX597" s="145">
        <f>IF(ISERROR(VLOOKUP($A597,FIJOS!$B$11:$O$590,14,FALSE)),0,VLOOKUP($A597,FIJOS!$B$11:$O$590,14,FALSE))</f>
        <v>0</v>
      </c>
      <c r="CY597" s="145">
        <f>IF(ISERROR(VLOOKUP(A597,FIJOS!$B$10:$P$590,15,FALSE)),0,VLOOKUP(A597,FIJOS!$B$10:$P$590,15,FALSE))</f>
        <v>0</v>
      </c>
      <c r="CZ597" s="155"/>
      <c r="DA597" s="147"/>
      <c r="DB597" s="147"/>
      <c r="DC597" s="147"/>
      <c r="DD597" s="147"/>
      <c r="DE597" s="147"/>
      <c r="DF597" s="145">
        <f>IF(ISERROR(VLOOKUP($A597,FIJOS!$B$11:$N$590,13,FALSE)),0,VLOOKUP($A597,FIJOS!$B$11:$N$590,13,FALSE))</f>
        <v>0</v>
      </c>
      <c r="DG597" s="145">
        <f>IF(ISERROR(VLOOKUP($A597,FIJOS!$B$11:$P$447,12,FALSE)),0,VLOOKUP($A597,FIJOS!$B$11:$P$447,12,FALSE))</f>
        <v>0</v>
      </c>
      <c r="DH597" s="82">
        <f t="shared" si="258"/>
        <v>0</v>
      </c>
      <c r="DI597" s="83" t="b">
        <f>IF($C597=1,(VLOOKUP($A597,FIJOS!$B$11:$P$545,10,FALSE)/7)*(7-$CU597),IF(AND($C597=2,CV597&lt;$DJ$1),(VLOOKUP($D597,HORAS!$B$4:$C$42,2,FALSE)*24)*$CV597,IF(AND($C597=2,CV597&gt;=$DJ$1),VLOOKUP($D597,HORAS!$B$4:$D$42,3,FALSE),IF(AND($C597=3,$CV597&gt;=$DJ$1),VLOOKUP($A597,FIJOS!$B$11:$P$545,10,FALSE),IF(AND($C597=3,$CV597&lt;$DJ$1),((VLOOKUP($A597,FIJOS!$B$11:$P$545,10,FALSE)/48)*24)*$CV597,IF(AND($C597=4,$CV597&gt;=(42/24)),VLOOKUP($D597,HORAS!$B$4:$D$42,3,FALSE),IF(AND($C597=5,$CV597&gt;=(36/24)),VLOOKUP($D597,HORAS!$B$4:$D$42,3,FALSE))))))))</f>
        <v>0</v>
      </c>
      <c r="DJ597" s="145">
        <f>IF(OR($C597=2),VLOOKUP($D597,HORAS!$B$4:$E$42,4,FALSE)*$EC597,IF(ISERROR(VLOOKUP($A597,FIJOS!$B$11:$P$108,9,FALSE)),0,VLOOKUP($A597,FIJOS!$B$11:$P$231,9,FALSE)*$EC597))</f>
        <v>0</v>
      </c>
      <c r="DK597" s="145">
        <f>IF(OR($C597=2),VLOOKUP($D597,HORAS!$B$4:$F$42,5,FALSE)*$EE597,IF(ISERROR(VLOOKUP($A597,FIJOS!$B$11:$P$108,9,FALSE)),0,VLOOKUP($A597,FIJOS!$B$11:$P$231,9,FALSE)*$EE597))</f>
        <v>0</v>
      </c>
      <c r="DL597" s="144"/>
      <c r="DM597" s="145">
        <f>IF(ISERROR(VLOOKUP($A597,FIJOS!$B$11:$L$646,11,FALSE)),0,VLOOKUP($A597,FIJOS!$B$11:$L$646,11,FALSE))</f>
        <v>0</v>
      </c>
      <c r="DN597" s="148" t="e">
        <f>IF(OR($C597=1,$C597=3),0,IF((VLOOKUP(CAPTURA!D597,HORAS!$B$4:$K$42,10,FALSE)/4)*COUNTIF($H597:$CT597,3)&gt;100,100,(VLOOKUP(CAPTURA!D597,HORAS!$B$4:$K$42,10,FALSE)/4)*COUNTIF($H597:$CT597,3)))</f>
        <v>#N/A</v>
      </c>
      <c r="DO597" s="144" t="e">
        <f>IF(OR($C597=1,$C597=3),0,IF($C597=5,VLOOKUP(D597,HORAS!$B$4:$G$42,6,FALSE),IF(AND($C597=4,$CV597&gt;=(42/24)),VLOOKUP(D597,HORAS!$B$4:$G$42,6,FALSE),IF(COUNTIF($H597:$CL597,"F")&gt;0,0,IF(CV597&gt;$DJ$1,$DJ$1*(VLOOKUP(D597,HORAS!$B$4:$G$42,6,FALSE)/$DJ$1),CV597*(VLOOKUP(D597,HORAS!$B$4:$G$42,6,FALSE)/$DJ$1))))))</f>
        <v>#N/A</v>
      </c>
      <c r="DP597" s="156"/>
      <c r="DQ597" s="148"/>
      <c r="DR597" s="148"/>
      <c r="DS597" s="83" t="e">
        <f t="shared" si="287"/>
        <v>#N/A</v>
      </c>
      <c r="DT597" s="84"/>
      <c r="DU597" s="149" t="e">
        <f t="shared" si="259"/>
        <v>#N/A</v>
      </c>
      <c r="DV597" s="149" t="e">
        <f t="shared" si="260"/>
        <v>#N/A</v>
      </c>
      <c r="DW597" s="144" t="e">
        <f t="shared" si="261"/>
        <v>#N/A</v>
      </c>
      <c r="DX597" s="168"/>
      <c r="DY597" s="29"/>
      <c r="DZ597" s="150"/>
      <c r="EA597" s="134"/>
      <c r="EB597" s="137">
        <f t="shared" si="262"/>
        <v>0</v>
      </c>
      <c r="EC597" s="138">
        <f t="shared" si="263"/>
        <v>0</v>
      </c>
      <c r="ED597" s="137">
        <f t="shared" si="264"/>
        <v>0</v>
      </c>
      <c r="EE597" s="132">
        <f t="shared" si="265"/>
        <v>0</v>
      </c>
      <c r="EF597" s="29"/>
      <c r="EG597" s="134"/>
      <c r="EH597" s="134"/>
      <c r="EI597" s="134"/>
      <c r="EK597" s="29"/>
    </row>
    <row r="598" spans="1:141" ht="15" customHeight="1" x14ac:dyDescent="0.25">
      <c r="A598" s="87"/>
      <c r="B598" s="5"/>
      <c r="C598" s="72"/>
      <c r="D598" s="73"/>
      <c r="E598" s="73"/>
      <c r="F598" s="141"/>
      <c r="G598" s="74"/>
      <c r="H598" s="75"/>
      <c r="I598" s="76"/>
      <c r="J598" s="135"/>
      <c r="K598" s="135"/>
      <c r="L598" s="77">
        <f t="shared" si="266"/>
        <v>0</v>
      </c>
      <c r="M598" s="78"/>
      <c r="N598" s="142"/>
      <c r="O598" s="142"/>
      <c r="P598" s="77">
        <f t="shared" si="267"/>
        <v>0</v>
      </c>
      <c r="Q598" s="78"/>
      <c r="R598" s="143"/>
      <c r="S598" s="143"/>
      <c r="T598" s="77">
        <f t="shared" si="268"/>
        <v>0</v>
      </c>
      <c r="U598" s="75"/>
      <c r="V598" s="76"/>
      <c r="W598" s="135"/>
      <c r="X598" s="135"/>
      <c r="Y598" s="77">
        <f t="shared" si="269"/>
        <v>0</v>
      </c>
      <c r="Z598" s="78"/>
      <c r="AA598" s="142"/>
      <c r="AB598" s="142"/>
      <c r="AC598" s="77">
        <f t="shared" si="270"/>
        <v>0</v>
      </c>
      <c r="AD598" s="78"/>
      <c r="AE598" s="143"/>
      <c r="AF598" s="143"/>
      <c r="AG598" s="79">
        <f t="shared" si="271"/>
        <v>0</v>
      </c>
      <c r="AH598" s="75"/>
      <c r="AI598" s="76"/>
      <c r="AJ598" s="135"/>
      <c r="AK598" s="135"/>
      <c r="AL598" s="77">
        <f t="shared" si="272"/>
        <v>0</v>
      </c>
      <c r="AM598" s="76"/>
      <c r="AN598" s="142"/>
      <c r="AO598" s="142"/>
      <c r="AP598" s="77">
        <f t="shared" si="273"/>
        <v>0</v>
      </c>
      <c r="AQ598" s="78"/>
      <c r="AR598" s="142"/>
      <c r="AS598" s="142"/>
      <c r="AT598" s="79">
        <f t="shared" si="274"/>
        <v>0</v>
      </c>
      <c r="AU598" s="75"/>
      <c r="AV598" s="76"/>
      <c r="AW598" s="135"/>
      <c r="AX598" s="135"/>
      <c r="AY598" s="77">
        <f t="shared" si="275"/>
        <v>0</v>
      </c>
      <c r="AZ598" s="76"/>
      <c r="BA598" s="142"/>
      <c r="BB598" s="142"/>
      <c r="BC598" s="77">
        <f t="shared" si="276"/>
        <v>0</v>
      </c>
      <c r="BD598" s="78"/>
      <c r="BE598" s="142"/>
      <c r="BF598" s="142"/>
      <c r="BG598" s="79">
        <f t="shared" si="277"/>
        <v>0</v>
      </c>
      <c r="BH598" s="75"/>
      <c r="BI598" s="76"/>
      <c r="BJ598" s="135"/>
      <c r="BK598" s="135"/>
      <c r="BL598" s="77">
        <f t="shared" si="278"/>
        <v>0</v>
      </c>
      <c r="BM598" s="78"/>
      <c r="BN598" s="142"/>
      <c r="BO598" s="142"/>
      <c r="BP598" s="77">
        <f t="shared" si="279"/>
        <v>0</v>
      </c>
      <c r="BQ598" s="78"/>
      <c r="BR598" s="142"/>
      <c r="BS598" s="142"/>
      <c r="BT598" s="79">
        <f t="shared" si="280"/>
        <v>0</v>
      </c>
      <c r="BU598" s="75"/>
      <c r="BV598" s="76"/>
      <c r="BW598" s="135"/>
      <c r="BX598" s="135"/>
      <c r="BY598" s="77">
        <f t="shared" si="281"/>
        <v>0</v>
      </c>
      <c r="BZ598" s="78"/>
      <c r="CA598" s="142"/>
      <c r="CB598" s="142"/>
      <c r="CC598" s="77">
        <f t="shared" si="282"/>
        <v>0</v>
      </c>
      <c r="CD598" s="78"/>
      <c r="CE598" s="142"/>
      <c r="CF598" s="142"/>
      <c r="CG598" s="79">
        <f t="shared" si="283"/>
        <v>0</v>
      </c>
      <c r="CH598" s="75"/>
      <c r="CI598" s="76"/>
      <c r="CJ598" s="86"/>
      <c r="CK598" s="86"/>
      <c r="CL598" s="77">
        <f t="shared" si="284"/>
        <v>0</v>
      </c>
      <c r="CM598" s="78"/>
      <c r="CN598" s="85"/>
      <c r="CO598" s="85"/>
      <c r="CP598" s="77">
        <f t="shared" si="285"/>
        <v>0</v>
      </c>
      <c r="CQ598" s="78"/>
      <c r="CR598" s="85"/>
      <c r="CS598" s="85"/>
      <c r="CT598" s="79">
        <f t="shared" si="286"/>
        <v>0</v>
      </c>
      <c r="CU598" s="80">
        <f t="shared" si="168"/>
        <v>0</v>
      </c>
      <c r="CV598" s="81">
        <f t="shared" si="169"/>
        <v>0</v>
      </c>
      <c r="CW598" s="144"/>
      <c r="CX598" s="145">
        <f>IF(ISERROR(VLOOKUP($A598,FIJOS!$B$11:$O$590,14,FALSE)),0,VLOOKUP($A598,FIJOS!$B$11:$O$590,14,FALSE))</f>
        <v>0</v>
      </c>
      <c r="CY598" s="145">
        <f>IF(ISERROR(VLOOKUP(A598,FIJOS!$B$10:$P$590,15,FALSE)),0,VLOOKUP(A598,FIJOS!$B$10:$P$590,15,FALSE))</f>
        <v>0</v>
      </c>
      <c r="CZ598" s="155"/>
      <c r="DA598" s="147"/>
      <c r="DB598" s="147"/>
      <c r="DC598" s="147"/>
      <c r="DD598" s="147"/>
      <c r="DE598" s="147"/>
      <c r="DF598" s="145">
        <f>IF(ISERROR(VLOOKUP($A598,FIJOS!$B$11:$N$590,13,FALSE)),0,VLOOKUP($A598,FIJOS!$B$11:$N$590,13,FALSE))</f>
        <v>0</v>
      </c>
      <c r="DG598" s="145">
        <f>IF(ISERROR(VLOOKUP($A598,FIJOS!$B$11:$P$447,12,FALSE)),0,VLOOKUP($A598,FIJOS!$B$11:$P$447,12,FALSE))</f>
        <v>0</v>
      </c>
      <c r="DH598" s="82">
        <f t="shared" si="258"/>
        <v>0</v>
      </c>
      <c r="DI598" s="83" t="b">
        <f>IF($C598=1,(VLOOKUP($A598,FIJOS!$B$11:$P$545,10,FALSE)/7)*(7-$CU598),IF(AND($C598=2,CV598&lt;$DJ$1),(VLOOKUP($D598,HORAS!$B$4:$C$42,2,FALSE)*24)*$CV598,IF(AND($C598=2,CV598&gt;=$DJ$1),VLOOKUP($D598,HORAS!$B$4:$D$42,3,FALSE),IF(AND($C598=3,$CV598&gt;=$DJ$1),VLOOKUP($A598,FIJOS!$B$11:$P$545,10,FALSE),IF(AND($C598=3,$CV598&lt;$DJ$1),((VLOOKUP($A598,FIJOS!$B$11:$P$545,10,FALSE)/48)*24)*$CV598,IF(AND($C598=4,$CV598&gt;=(42/24)),VLOOKUP($D598,HORAS!$B$4:$D$42,3,FALSE),IF(AND($C598=5,$CV598&gt;=(36/24)),VLOOKUP($D598,HORAS!$B$4:$D$42,3,FALSE))))))))</f>
        <v>0</v>
      </c>
      <c r="DJ598" s="145">
        <f>IF(OR($C598=2),VLOOKUP($D598,HORAS!$B$4:$E$42,4,FALSE)*$EC598,IF(ISERROR(VLOOKUP($A598,FIJOS!$B$11:$P$108,9,FALSE)),0,VLOOKUP($A598,FIJOS!$B$11:$P$231,9,FALSE)*$EC598))</f>
        <v>0</v>
      </c>
      <c r="DK598" s="145">
        <f>IF(OR($C598=2),VLOOKUP($D598,HORAS!$B$4:$F$42,5,FALSE)*$EE598,IF(ISERROR(VLOOKUP($A598,FIJOS!$B$11:$P$108,9,FALSE)),0,VLOOKUP($A598,FIJOS!$B$11:$P$231,9,FALSE)*$EE598))</f>
        <v>0</v>
      </c>
      <c r="DL598" s="144"/>
      <c r="DM598" s="145">
        <f>IF(ISERROR(VLOOKUP($A598,FIJOS!$B$11:$L$646,11,FALSE)),0,VLOOKUP($A598,FIJOS!$B$11:$L$646,11,FALSE))</f>
        <v>0</v>
      </c>
      <c r="DN598" s="148" t="e">
        <f>IF(OR($C598=1,$C598=3),0,IF((VLOOKUP(CAPTURA!D598,HORAS!$B$4:$K$42,10,FALSE)/4)*COUNTIF($H598:$CT598,3)&gt;100,100,(VLOOKUP(CAPTURA!D598,HORAS!$B$4:$K$42,10,FALSE)/4)*COUNTIF($H598:$CT598,3)))</f>
        <v>#N/A</v>
      </c>
      <c r="DO598" s="144" t="e">
        <f>IF(OR($C598=1,$C598=3),0,IF($C598=5,VLOOKUP(D598,HORAS!$B$4:$G$42,6,FALSE),IF(AND($C598=4,$CV598&gt;=(42/24)),VLOOKUP(D598,HORAS!$B$4:$G$42,6,FALSE),IF(COUNTIF($H598:$CL598,"F")&gt;0,0,IF(CV598&gt;$DJ$1,$DJ$1*(VLOOKUP(D598,HORAS!$B$4:$G$42,6,FALSE)/$DJ$1),CV598*(VLOOKUP(D598,HORAS!$B$4:$G$42,6,FALSE)/$DJ$1))))))</f>
        <v>#N/A</v>
      </c>
      <c r="DP598" s="156"/>
      <c r="DQ598" s="148"/>
      <c r="DR598" s="148"/>
      <c r="DS598" s="83" t="e">
        <f t="shared" si="287"/>
        <v>#N/A</v>
      </c>
      <c r="DT598" s="84"/>
      <c r="DU598" s="149" t="e">
        <f t="shared" si="259"/>
        <v>#N/A</v>
      </c>
      <c r="DV598" s="149" t="e">
        <f t="shared" si="260"/>
        <v>#N/A</v>
      </c>
      <c r="DW598" s="144" t="e">
        <f t="shared" si="261"/>
        <v>#N/A</v>
      </c>
      <c r="DX598" s="168"/>
      <c r="DY598" s="29"/>
      <c r="DZ598" s="150"/>
      <c r="EA598" s="134"/>
      <c r="EB598" s="137">
        <f t="shared" si="262"/>
        <v>0</v>
      </c>
      <c r="EC598" s="138">
        <f t="shared" si="263"/>
        <v>0</v>
      </c>
      <c r="ED598" s="137">
        <f t="shared" si="264"/>
        <v>0</v>
      </c>
      <c r="EE598" s="132">
        <f t="shared" si="265"/>
        <v>0</v>
      </c>
      <c r="EF598" s="29"/>
      <c r="EG598" s="134"/>
      <c r="EH598" s="134"/>
      <c r="EI598" s="134"/>
      <c r="EK598" s="29"/>
    </row>
    <row r="599" spans="1:141" ht="15" customHeight="1" x14ac:dyDescent="0.25">
      <c r="A599" s="87"/>
      <c r="B599" s="5"/>
      <c r="C599" s="72"/>
      <c r="D599" s="73"/>
      <c r="E599" s="73"/>
      <c r="F599" s="141"/>
      <c r="G599" s="74"/>
      <c r="H599" s="75"/>
      <c r="I599" s="76"/>
      <c r="J599" s="135"/>
      <c r="K599" s="135"/>
      <c r="L599" s="77">
        <f t="shared" si="266"/>
        <v>0</v>
      </c>
      <c r="M599" s="78"/>
      <c r="N599" s="142"/>
      <c r="O599" s="142"/>
      <c r="P599" s="77">
        <f t="shared" si="267"/>
        <v>0</v>
      </c>
      <c r="Q599" s="78"/>
      <c r="R599" s="143"/>
      <c r="S599" s="143"/>
      <c r="T599" s="77">
        <f t="shared" si="268"/>
        <v>0</v>
      </c>
      <c r="U599" s="75"/>
      <c r="V599" s="76"/>
      <c r="W599" s="135"/>
      <c r="X599" s="135"/>
      <c r="Y599" s="77">
        <f t="shared" si="269"/>
        <v>0</v>
      </c>
      <c r="Z599" s="78"/>
      <c r="AA599" s="142"/>
      <c r="AB599" s="142"/>
      <c r="AC599" s="77">
        <f t="shared" si="270"/>
        <v>0</v>
      </c>
      <c r="AD599" s="78"/>
      <c r="AE599" s="143"/>
      <c r="AF599" s="143"/>
      <c r="AG599" s="79">
        <f t="shared" si="271"/>
        <v>0</v>
      </c>
      <c r="AH599" s="75"/>
      <c r="AI599" s="76"/>
      <c r="AJ599" s="135"/>
      <c r="AK599" s="135"/>
      <c r="AL599" s="77">
        <f t="shared" si="272"/>
        <v>0</v>
      </c>
      <c r="AM599" s="76"/>
      <c r="AN599" s="142"/>
      <c r="AO599" s="142"/>
      <c r="AP599" s="77">
        <f t="shared" si="273"/>
        <v>0</v>
      </c>
      <c r="AQ599" s="78"/>
      <c r="AR599" s="142"/>
      <c r="AS599" s="142"/>
      <c r="AT599" s="79">
        <f t="shared" si="274"/>
        <v>0</v>
      </c>
      <c r="AU599" s="75"/>
      <c r="AV599" s="76"/>
      <c r="AW599" s="135"/>
      <c r="AX599" s="135"/>
      <c r="AY599" s="77">
        <f t="shared" si="275"/>
        <v>0</v>
      </c>
      <c r="AZ599" s="76"/>
      <c r="BA599" s="142"/>
      <c r="BB599" s="142"/>
      <c r="BC599" s="77">
        <f t="shared" si="276"/>
        <v>0</v>
      </c>
      <c r="BD599" s="78"/>
      <c r="BE599" s="142"/>
      <c r="BF599" s="142"/>
      <c r="BG599" s="79">
        <f t="shared" si="277"/>
        <v>0</v>
      </c>
      <c r="BH599" s="75"/>
      <c r="BI599" s="76"/>
      <c r="BJ599" s="135"/>
      <c r="BK599" s="135"/>
      <c r="BL599" s="77">
        <f t="shared" si="278"/>
        <v>0</v>
      </c>
      <c r="BM599" s="78"/>
      <c r="BN599" s="142"/>
      <c r="BO599" s="142"/>
      <c r="BP599" s="77">
        <f t="shared" si="279"/>
        <v>0</v>
      </c>
      <c r="BQ599" s="78"/>
      <c r="BR599" s="142"/>
      <c r="BS599" s="142"/>
      <c r="BT599" s="79">
        <f t="shared" si="280"/>
        <v>0</v>
      </c>
      <c r="BU599" s="75"/>
      <c r="BV599" s="76"/>
      <c r="BW599" s="135"/>
      <c r="BX599" s="135"/>
      <c r="BY599" s="77">
        <f t="shared" si="281"/>
        <v>0</v>
      </c>
      <c r="BZ599" s="78"/>
      <c r="CA599" s="142"/>
      <c r="CB599" s="142"/>
      <c r="CC599" s="77">
        <f t="shared" si="282"/>
        <v>0</v>
      </c>
      <c r="CD599" s="78"/>
      <c r="CE599" s="142"/>
      <c r="CF599" s="142"/>
      <c r="CG599" s="79">
        <f t="shared" si="283"/>
        <v>0</v>
      </c>
      <c r="CH599" s="75"/>
      <c r="CI599" s="76"/>
      <c r="CJ599" s="86"/>
      <c r="CK599" s="86"/>
      <c r="CL599" s="77">
        <f t="shared" si="284"/>
        <v>0</v>
      </c>
      <c r="CM599" s="78"/>
      <c r="CN599" s="85"/>
      <c r="CO599" s="85"/>
      <c r="CP599" s="77">
        <f t="shared" si="285"/>
        <v>0</v>
      </c>
      <c r="CQ599" s="78"/>
      <c r="CR599" s="85"/>
      <c r="CS599" s="85"/>
      <c r="CT599" s="79">
        <f t="shared" si="286"/>
        <v>0</v>
      </c>
      <c r="CU599" s="80">
        <f t="shared" si="168"/>
        <v>0</v>
      </c>
      <c r="CV599" s="81">
        <f t="shared" si="169"/>
        <v>0</v>
      </c>
      <c r="CW599" s="144"/>
      <c r="CX599" s="145">
        <f>IF(ISERROR(VLOOKUP($A599,FIJOS!$B$11:$O$590,14,FALSE)),0,VLOOKUP($A599,FIJOS!$B$11:$O$590,14,FALSE))</f>
        <v>0</v>
      </c>
      <c r="CY599" s="145">
        <f>IF(ISERROR(VLOOKUP(A599,FIJOS!$B$10:$P$590,15,FALSE)),0,VLOOKUP(A599,FIJOS!$B$10:$P$590,15,FALSE))</f>
        <v>0</v>
      </c>
      <c r="CZ599" s="155"/>
      <c r="DA599" s="147"/>
      <c r="DB599" s="147"/>
      <c r="DC599" s="147"/>
      <c r="DD599" s="147"/>
      <c r="DE599" s="147"/>
      <c r="DF599" s="145">
        <f>IF(ISERROR(VLOOKUP($A599,FIJOS!$B$11:$N$590,13,FALSE)),0,VLOOKUP($A599,FIJOS!$B$11:$N$590,13,FALSE))</f>
        <v>0</v>
      </c>
      <c r="DG599" s="145">
        <f>IF(ISERROR(VLOOKUP($A599,FIJOS!$B$11:$P$447,12,FALSE)),0,VLOOKUP($A599,FIJOS!$B$11:$P$447,12,FALSE))</f>
        <v>0</v>
      </c>
      <c r="DH599" s="82">
        <f t="shared" si="258"/>
        <v>0</v>
      </c>
      <c r="DI599" s="83" t="b">
        <f>IF($C599=1,(VLOOKUP($A599,FIJOS!$B$11:$P$545,10,FALSE)/7)*(7-$CU599),IF(AND($C599=2,CV599&lt;$DJ$1),(VLOOKUP($D599,HORAS!$B$4:$C$42,2,FALSE)*24)*$CV599,IF(AND($C599=2,CV599&gt;=$DJ$1),VLOOKUP($D599,HORAS!$B$4:$D$42,3,FALSE),IF(AND($C599=3,$CV599&gt;=$DJ$1),VLOOKUP($A599,FIJOS!$B$11:$P$545,10,FALSE),IF(AND($C599=3,$CV599&lt;$DJ$1),((VLOOKUP($A599,FIJOS!$B$11:$P$545,10,FALSE)/48)*24)*$CV599,IF(AND($C599=4,$CV599&gt;=(42/24)),VLOOKUP($D599,HORAS!$B$4:$D$42,3,FALSE),IF(AND($C599=5,$CV599&gt;=(36/24)),VLOOKUP($D599,HORAS!$B$4:$D$42,3,FALSE))))))))</f>
        <v>0</v>
      </c>
      <c r="DJ599" s="145">
        <f>IF(OR($C599=2),VLOOKUP($D599,HORAS!$B$4:$E$42,4,FALSE)*$EC599,IF(ISERROR(VLOOKUP($A599,FIJOS!$B$11:$P$108,9,FALSE)),0,VLOOKUP($A599,FIJOS!$B$11:$P$231,9,FALSE)*$EC599))</f>
        <v>0</v>
      </c>
      <c r="DK599" s="145">
        <f>IF(OR($C599=2),VLOOKUP($D599,HORAS!$B$4:$F$42,5,FALSE)*$EE599,IF(ISERROR(VLOOKUP($A599,FIJOS!$B$11:$P$108,9,FALSE)),0,VLOOKUP($A599,FIJOS!$B$11:$P$231,9,FALSE)*$EE599))</f>
        <v>0</v>
      </c>
      <c r="DL599" s="144"/>
      <c r="DM599" s="145">
        <f>IF(ISERROR(VLOOKUP($A599,FIJOS!$B$11:$L$646,11,FALSE)),0,VLOOKUP($A599,FIJOS!$B$11:$L$646,11,FALSE))</f>
        <v>0</v>
      </c>
      <c r="DN599" s="148" t="e">
        <f>IF(OR($C599=1,$C599=3),0,IF((VLOOKUP(CAPTURA!D599,HORAS!$B$4:$K$42,10,FALSE)/4)*COUNTIF($H599:$CT599,3)&gt;100,100,(VLOOKUP(CAPTURA!D599,HORAS!$B$4:$K$42,10,FALSE)/4)*COUNTIF($H599:$CT599,3)))</f>
        <v>#N/A</v>
      </c>
      <c r="DO599" s="144" t="e">
        <f>IF(OR($C599=1,$C599=3),0,IF($C599=5,VLOOKUP(D599,HORAS!$B$4:$G$42,6,FALSE),IF(AND($C599=4,$CV599&gt;=(42/24)),VLOOKUP(D599,HORAS!$B$4:$G$42,6,FALSE),IF(COUNTIF($H599:$CL599,"F")&gt;0,0,IF(CV599&gt;$DJ$1,$DJ$1*(VLOOKUP(D599,HORAS!$B$4:$G$42,6,FALSE)/$DJ$1),CV599*(VLOOKUP(D599,HORAS!$B$4:$G$42,6,FALSE)/$DJ$1))))))</f>
        <v>#N/A</v>
      </c>
      <c r="DP599" s="156"/>
      <c r="DQ599" s="148"/>
      <c r="DR599" s="148"/>
      <c r="DS599" s="83" t="e">
        <f t="shared" si="287"/>
        <v>#N/A</v>
      </c>
      <c r="DT599" s="84"/>
      <c r="DU599" s="149" t="e">
        <f t="shared" si="259"/>
        <v>#N/A</v>
      </c>
      <c r="DV599" s="149" t="e">
        <f t="shared" si="260"/>
        <v>#N/A</v>
      </c>
      <c r="DW599" s="144" t="e">
        <f t="shared" si="261"/>
        <v>#N/A</v>
      </c>
      <c r="DX599" s="168"/>
      <c r="DY599" s="29"/>
      <c r="DZ599" s="150"/>
      <c r="EA599" s="134"/>
      <c r="EB599" s="137">
        <f t="shared" si="262"/>
        <v>0</v>
      </c>
      <c r="EC599" s="138">
        <f t="shared" si="263"/>
        <v>0</v>
      </c>
      <c r="ED599" s="137">
        <f t="shared" si="264"/>
        <v>0</v>
      </c>
      <c r="EE599" s="132">
        <f t="shared" si="265"/>
        <v>0</v>
      </c>
      <c r="EF599" s="29"/>
      <c r="EG599" s="134"/>
      <c r="EH599" s="134"/>
      <c r="EI599" s="134"/>
      <c r="EK599" s="29"/>
    </row>
    <row r="600" spans="1:141" ht="15" customHeight="1" x14ac:dyDescent="0.25">
      <c r="A600" s="87"/>
      <c r="B600" s="5"/>
      <c r="C600" s="72"/>
      <c r="D600" s="73"/>
      <c r="E600" s="73"/>
      <c r="F600" s="141"/>
      <c r="G600" s="74"/>
      <c r="H600" s="75"/>
      <c r="I600" s="76"/>
      <c r="J600" s="135"/>
      <c r="K600" s="135"/>
      <c r="L600" s="77">
        <f t="shared" si="266"/>
        <v>0</v>
      </c>
      <c r="M600" s="78"/>
      <c r="N600" s="142"/>
      <c r="O600" s="142"/>
      <c r="P600" s="77">
        <f t="shared" si="267"/>
        <v>0</v>
      </c>
      <c r="Q600" s="78"/>
      <c r="R600" s="143"/>
      <c r="S600" s="143"/>
      <c r="T600" s="77">
        <f t="shared" si="268"/>
        <v>0</v>
      </c>
      <c r="U600" s="75"/>
      <c r="V600" s="76"/>
      <c r="W600" s="135"/>
      <c r="X600" s="135"/>
      <c r="Y600" s="77">
        <f t="shared" si="269"/>
        <v>0</v>
      </c>
      <c r="Z600" s="78"/>
      <c r="AA600" s="142"/>
      <c r="AB600" s="142"/>
      <c r="AC600" s="77">
        <f t="shared" si="270"/>
        <v>0</v>
      </c>
      <c r="AD600" s="78"/>
      <c r="AE600" s="143"/>
      <c r="AF600" s="143"/>
      <c r="AG600" s="79">
        <f t="shared" si="271"/>
        <v>0</v>
      </c>
      <c r="AH600" s="75"/>
      <c r="AI600" s="76"/>
      <c r="AJ600" s="135"/>
      <c r="AK600" s="135"/>
      <c r="AL600" s="77">
        <f t="shared" si="272"/>
        <v>0</v>
      </c>
      <c r="AM600" s="76"/>
      <c r="AN600" s="142"/>
      <c r="AO600" s="142"/>
      <c r="AP600" s="77">
        <f t="shared" si="273"/>
        <v>0</v>
      </c>
      <c r="AQ600" s="78"/>
      <c r="AR600" s="142"/>
      <c r="AS600" s="142"/>
      <c r="AT600" s="79">
        <f t="shared" si="274"/>
        <v>0</v>
      </c>
      <c r="AU600" s="75"/>
      <c r="AV600" s="76"/>
      <c r="AW600" s="135"/>
      <c r="AX600" s="135"/>
      <c r="AY600" s="77">
        <f t="shared" si="275"/>
        <v>0</v>
      </c>
      <c r="AZ600" s="76"/>
      <c r="BA600" s="142"/>
      <c r="BB600" s="142"/>
      <c r="BC600" s="77">
        <f t="shared" si="276"/>
        <v>0</v>
      </c>
      <c r="BD600" s="78"/>
      <c r="BE600" s="142"/>
      <c r="BF600" s="142"/>
      <c r="BG600" s="79">
        <f t="shared" si="277"/>
        <v>0</v>
      </c>
      <c r="BH600" s="75"/>
      <c r="BI600" s="76"/>
      <c r="BJ600" s="135"/>
      <c r="BK600" s="135"/>
      <c r="BL600" s="77">
        <f t="shared" si="278"/>
        <v>0</v>
      </c>
      <c r="BM600" s="78"/>
      <c r="BN600" s="142"/>
      <c r="BO600" s="142"/>
      <c r="BP600" s="77">
        <f t="shared" si="279"/>
        <v>0</v>
      </c>
      <c r="BQ600" s="78"/>
      <c r="BR600" s="142"/>
      <c r="BS600" s="142"/>
      <c r="BT600" s="79">
        <f t="shared" si="280"/>
        <v>0</v>
      </c>
      <c r="BU600" s="75"/>
      <c r="BV600" s="76"/>
      <c r="BW600" s="135"/>
      <c r="BX600" s="135"/>
      <c r="BY600" s="77">
        <f t="shared" si="281"/>
        <v>0</v>
      </c>
      <c r="BZ600" s="78"/>
      <c r="CA600" s="142"/>
      <c r="CB600" s="142"/>
      <c r="CC600" s="77">
        <f t="shared" si="282"/>
        <v>0</v>
      </c>
      <c r="CD600" s="78"/>
      <c r="CE600" s="142"/>
      <c r="CF600" s="142"/>
      <c r="CG600" s="79">
        <f t="shared" si="283"/>
        <v>0</v>
      </c>
      <c r="CH600" s="75"/>
      <c r="CI600" s="76"/>
      <c r="CJ600" s="86"/>
      <c r="CK600" s="86"/>
      <c r="CL600" s="77">
        <f t="shared" si="284"/>
        <v>0</v>
      </c>
      <c r="CM600" s="78"/>
      <c r="CN600" s="85"/>
      <c r="CO600" s="85"/>
      <c r="CP600" s="77">
        <f t="shared" si="285"/>
        <v>0</v>
      </c>
      <c r="CQ600" s="78"/>
      <c r="CR600" s="85"/>
      <c r="CS600" s="85"/>
      <c r="CT600" s="79">
        <f t="shared" si="286"/>
        <v>0</v>
      </c>
      <c r="CU600" s="80">
        <f t="shared" si="168"/>
        <v>0</v>
      </c>
      <c r="CV600" s="81">
        <f t="shared" si="169"/>
        <v>0</v>
      </c>
      <c r="CW600" s="144"/>
      <c r="CX600" s="145">
        <f>IF(ISERROR(VLOOKUP($A600,FIJOS!$B$11:$O$590,14,FALSE)),0,VLOOKUP($A600,FIJOS!$B$11:$O$590,14,FALSE))</f>
        <v>0</v>
      </c>
      <c r="CY600" s="145">
        <f>IF(ISERROR(VLOOKUP(A600,FIJOS!$B$10:$P$590,15,FALSE)),0,VLOOKUP(A600,FIJOS!$B$10:$P$590,15,FALSE))</f>
        <v>0</v>
      </c>
      <c r="CZ600" s="155"/>
      <c r="DA600" s="147"/>
      <c r="DB600" s="147"/>
      <c r="DC600" s="147"/>
      <c r="DD600" s="147"/>
      <c r="DE600" s="147"/>
      <c r="DF600" s="145">
        <f>IF(ISERROR(VLOOKUP($A600,FIJOS!$B$11:$N$590,13,FALSE)),0,VLOOKUP($A600,FIJOS!$B$11:$N$590,13,FALSE))</f>
        <v>0</v>
      </c>
      <c r="DG600" s="145">
        <f>IF(ISERROR(VLOOKUP($A600,FIJOS!$B$11:$P$447,12,FALSE)),0,VLOOKUP($A600,FIJOS!$B$11:$P$447,12,FALSE))</f>
        <v>0</v>
      </c>
      <c r="DH600" s="82">
        <f t="shared" si="258"/>
        <v>0</v>
      </c>
      <c r="DI600" s="83" t="b">
        <f>IF($C600=1,(VLOOKUP($A600,FIJOS!$B$11:$P$545,10,FALSE)/7)*(7-$CU600),IF(AND($C600=2,CV600&lt;$DJ$1),(VLOOKUP($D600,HORAS!$B$4:$C$42,2,FALSE)*24)*$CV600,IF(AND($C600=2,CV600&gt;=$DJ$1),VLOOKUP($D600,HORAS!$B$4:$D$42,3,FALSE),IF(AND($C600=3,$CV600&gt;=$DJ$1),VLOOKUP($A600,FIJOS!$B$11:$P$545,10,FALSE),IF(AND($C600=3,$CV600&lt;$DJ$1),((VLOOKUP($A600,FIJOS!$B$11:$P$545,10,FALSE)/48)*24)*$CV600,IF(AND($C600=4,$CV600&gt;=(42/24)),VLOOKUP($D600,HORAS!$B$4:$D$42,3,FALSE),IF(AND($C600=5,$CV600&gt;=(36/24)),VLOOKUP($D600,HORAS!$B$4:$D$42,3,FALSE))))))))</f>
        <v>0</v>
      </c>
      <c r="DJ600" s="145">
        <f>IF(OR($C600=2),VLOOKUP($D600,HORAS!$B$4:$E$42,4,FALSE)*$EC600,IF(ISERROR(VLOOKUP($A600,FIJOS!$B$11:$P$108,9,FALSE)),0,VLOOKUP($A600,FIJOS!$B$11:$P$231,9,FALSE)*$EC600))</f>
        <v>0</v>
      </c>
      <c r="DK600" s="145">
        <f>IF(OR($C600=2),VLOOKUP($D600,HORAS!$B$4:$F$42,5,FALSE)*$EE600,IF(ISERROR(VLOOKUP($A600,FIJOS!$B$11:$P$108,9,FALSE)),0,VLOOKUP($A600,FIJOS!$B$11:$P$231,9,FALSE)*$EE600))</f>
        <v>0</v>
      </c>
      <c r="DL600" s="144"/>
      <c r="DM600" s="145">
        <f>IF(ISERROR(VLOOKUP($A600,FIJOS!$B$11:$L$646,11,FALSE)),0,VLOOKUP($A600,FIJOS!$B$11:$L$646,11,FALSE))</f>
        <v>0</v>
      </c>
      <c r="DN600" s="148" t="e">
        <f>IF(OR($C600=1,$C600=3),0,IF((VLOOKUP(CAPTURA!D600,HORAS!$B$4:$K$42,10,FALSE)/4)*COUNTIF($H600:$CT600,3)&gt;100,100,(VLOOKUP(CAPTURA!D600,HORAS!$B$4:$K$42,10,FALSE)/4)*COUNTIF($H600:$CT600,3)))</f>
        <v>#N/A</v>
      </c>
      <c r="DO600" s="144" t="e">
        <f>IF(OR($C600=1,$C600=3),0,IF($C600=5,VLOOKUP(D600,HORAS!$B$4:$G$42,6,FALSE),IF(AND($C600=4,$CV600&gt;=(42/24)),VLOOKUP(D600,HORAS!$B$4:$G$42,6,FALSE),IF(COUNTIF($H600:$CL600,"F")&gt;0,0,IF(CV600&gt;$DJ$1,$DJ$1*(VLOOKUP(D600,HORAS!$B$4:$G$42,6,FALSE)/$DJ$1),CV600*(VLOOKUP(D600,HORAS!$B$4:$G$42,6,FALSE)/$DJ$1))))))</f>
        <v>#N/A</v>
      </c>
      <c r="DP600" s="156"/>
      <c r="DQ600" s="148"/>
      <c r="DR600" s="148"/>
      <c r="DS600" s="83" t="e">
        <f t="shared" si="287"/>
        <v>#N/A</v>
      </c>
      <c r="DT600" s="84"/>
      <c r="DU600" s="149" t="e">
        <f t="shared" si="259"/>
        <v>#N/A</v>
      </c>
      <c r="DV600" s="149" t="e">
        <f t="shared" si="260"/>
        <v>#N/A</v>
      </c>
      <c r="DW600" s="144" t="e">
        <f t="shared" si="261"/>
        <v>#N/A</v>
      </c>
      <c r="DX600" s="168"/>
      <c r="DY600" s="29"/>
      <c r="DZ600" s="150"/>
      <c r="EA600" s="134"/>
      <c r="EB600" s="137">
        <f t="shared" si="262"/>
        <v>0</v>
      </c>
      <c r="EC600" s="138">
        <f t="shared" si="263"/>
        <v>0</v>
      </c>
      <c r="ED600" s="137">
        <f t="shared" si="264"/>
        <v>0</v>
      </c>
      <c r="EE600" s="132">
        <f t="shared" si="265"/>
        <v>0</v>
      </c>
      <c r="EF600" s="29"/>
      <c r="EG600" s="134"/>
      <c r="EH600" s="134"/>
      <c r="EI600" s="134"/>
      <c r="EK600" s="29"/>
    </row>
    <row r="601" spans="1:141" ht="15" customHeight="1" x14ac:dyDescent="0.25">
      <c r="A601" s="87"/>
      <c r="B601" s="5"/>
      <c r="C601" s="72"/>
      <c r="D601" s="73"/>
      <c r="E601" s="73"/>
      <c r="F601" s="141"/>
      <c r="G601" s="74"/>
      <c r="H601" s="75"/>
      <c r="I601" s="76"/>
      <c r="J601" s="135"/>
      <c r="K601" s="135"/>
      <c r="L601" s="77">
        <f t="shared" si="266"/>
        <v>0</v>
      </c>
      <c r="M601" s="78"/>
      <c r="N601" s="142"/>
      <c r="O601" s="142"/>
      <c r="P601" s="77">
        <f t="shared" si="267"/>
        <v>0</v>
      </c>
      <c r="Q601" s="78"/>
      <c r="R601" s="143"/>
      <c r="S601" s="143"/>
      <c r="T601" s="77">
        <f t="shared" si="268"/>
        <v>0</v>
      </c>
      <c r="U601" s="75"/>
      <c r="V601" s="76"/>
      <c r="W601" s="135"/>
      <c r="X601" s="135"/>
      <c r="Y601" s="77">
        <f t="shared" si="269"/>
        <v>0</v>
      </c>
      <c r="Z601" s="78"/>
      <c r="AA601" s="142"/>
      <c r="AB601" s="142"/>
      <c r="AC601" s="77">
        <f t="shared" si="270"/>
        <v>0</v>
      </c>
      <c r="AD601" s="78"/>
      <c r="AE601" s="143"/>
      <c r="AF601" s="143"/>
      <c r="AG601" s="79">
        <f t="shared" si="271"/>
        <v>0</v>
      </c>
      <c r="AH601" s="75"/>
      <c r="AI601" s="76"/>
      <c r="AJ601" s="135"/>
      <c r="AK601" s="135"/>
      <c r="AL601" s="77">
        <f t="shared" si="272"/>
        <v>0</v>
      </c>
      <c r="AM601" s="76"/>
      <c r="AN601" s="142"/>
      <c r="AO601" s="142"/>
      <c r="AP601" s="77">
        <f t="shared" si="273"/>
        <v>0</v>
      </c>
      <c r="AQ601" s="78"/>
      <c r="AR601" s="142"/>
      <c r="AS601" s="142"/>
      <c r="AT601" s="79">
        <f t="shared" si="274"/>
        <v>0</v>
      </c>
      <c r="AU601" s="75"/>
      <c r="AV601" s="76"/>
      <c r="AW601" s="135"/>
      <c r="AX601" s="135"/>
      <c r="AY601" s="77">
        <f t="shared" si="275"/>
        <v>0</v>
      </c>
      <c r="AZ601" s="76"/>
      <c r="BA601" s="142"/>
      <c r="BB601" s="142"/>
      <c r="BC601" s="77">
        <f t="shared" si="276"/>
        <v>0</v>
      </c>
      <c r="BD601" s="78"/>
      <c r="BE601" s="142"/>
      <c r="BF601" s="142"/>
      <c r="BG601" s="79">
        <f t="shared" si="277"/>
        <v>0</v>
      </c>
      <c r="BH601" s="75"/>
      <c r="BI601" s="76"/>
      <c r="BJ601" s="135"/>
      <c r="BK601" s="135"/>
      <c r="BL601" s="77">
        <f t="shared" si="278"/>
        <v>0</v>
      </c>
      <c r="BM601" s="78"/>
      <c r="BN601" s="142"/>
      <c r="BO601" s="142"/>
      <c r="BP601" s="77">
        <f t="shared" si="279"/>
        <v>0</v>
      </c>
      <c r="BQ601" s="78"/>
      <c r="BR601" s="142"/>
      <c r="BS601" s="142"/>
      <c r="BT601" s="79">
        <f t="shared" si="280"/>
        <v>0</v>
      </c>
      <c r="BU601" s="75"/>
      <c r="BV601" s="76"/>
      <c r="BW601" s="135"/>
      <c r="BX601" s="135"/>
      <c r="BY601" s="77">
        <f t="shared" si="281"/>
        <v>0</v>
      </c>
      <c r="BZ601" s="78"/>
      <c r="CA601" s="142"/>
      <c r="CB601" s="142"/>
      <c r="CC601" s="77">
        <f t="shared" si="282"/>
        <v>0</v>
      </c>
      <c r="CD601" s="78"/>
      <c r="CE601" s="142"/>
      <c r="CF601" s="142"/>
      <c r="CG601" s="79">
        <f t="shared" si="283"/>
        <v>0</v>
      </c>
      <c r="CH601" s="75"/>
      <c r="CI601" s="76"/>
      <c r="CJ601" s="86"/>
      <c r="CK601" s="86"/>
      <c r="CL601" s="77">
        <f t="shared" si="284"/>
        <v>0</v>
      </c>
      <c r="CM601" s="78"/>
      <c r="CN601" s="85"/>
      <c r="CO601" s="85"/>
      <c r="CP601" s="77">
        <f t="shared" si="285"/>
        <v>0</v>
      </c>
      <c r="CQ601" s="78"/>
      <c r="CR601" s="85"/>
      <c r="CS601" s="85"/>
      <c r="CT601" s="79">
        <f t="shared" si="286"/>
        <v>0</v>
      </c>
      <c r="CU601" s="80">
        <f t="shared" si="168"/>
        <v>0</v>
      </c>
      <c r="CV601" s="81">
        <f t="shared" si="169"/>
        <v>0</v>
      </c>
      <c r="CW601" s="144"/>
      <c r="CX601" s="145">
        <f>IF(ISERROR(VLOOKUP($A601,FIJOS!$B$11:$O$590,14,FALSE)),0,VLOOKUP($A601,FIJOS!$B$11:$O$590,14,FALSE))</f>
        <v>0</v>
      </c>
      <c r="CY601" s="145">
        <f>IF(ISERROR(VLOOKUP(A601,FIJOS!$B$10:$P$590,15,FALSE)),0,VLOOKUP(A601,FIJOS!$B$10:$P$590,15,FALSE))</f>
        <v>0</v>
      </c>
      <c r="CZ601" s="155"/>
      <c r="DA601" s="147"/>
      <c r="DB601" s="147"/>
      <c r="DC601" s="147"/>
      <c r="DD601" s="147"/>
      <c r="DE601" s="147"/>
      <c r="DF601" s="145">
        <f>IF(ISERROR(VLOOKUP($A601,FIJOS!$B$11:$N$590,13,FALSE)),0,VLOOKUP($A601,FIJOS!$B$11:$N$590,13,FALSE))</f>
        <v>0</v>
      </c>
      <c r="DG601" s="145">
        <f>IF(ISERROR(VLOOKUP($A601,FIJOS!$B$11:$P$447,12,FALSE)),0,VLOOKUP($A601,FIJOS!$B$11:$P$447,12,FALSE))</f>
        <v>0</v>
      </c>
      <c r="DH601" s="82">
        <f t="shared" si="258"/>
        <v>0</v>
      </c>
      <c r="DI601" s="83" t="b">
        <f>IF($C601=1,(VLOOKUP($A601,FIJOS!$B$11:$P$545,10,FALSE)/7)*(7-$CU601),IF(AND($C601=2,CV601&lt;$DJ$1),(VLOOKUP($D601,HORAS!$B$4:$C$42,2,FALSE)*24)*$CV601,IF(AND($C601=2,CV601&gt;=$DJ$1),VLOOKUP($D601,HORAS!$B$4:$D$42,3,FALSE),IF(AND($C601=3,$CV601&gt;=$DJ$1),VLOOKUP($A601,FIJOS!$B$11:$P$545,10,FALSE),IF(AND($C601=3,$CV601&lt;$DJ$1),((VLOOKUP($A601,FIJOS!$B$11:$P$545,10,FALSE)/48)*24)*$CV601,IF(AND($C601=4,$CV601&gt;=(42/24)),VLOOKUP($D601,HORAS!$B$4:$D$42,3,FALSE),IF(AND($C601=5,$CV601&gt;=(36/24)),VLOOKUP($D601,HORAS!$B$4:$D$42,3,FALSE))))))))</f>
        <v>0</v>
      </c>
      <c r="DJ601" s="145">
        <f>IF(OR($C601=2),VLOOKUP($D601,HORAS!$B$4:$E$42,4,FALSE)*$EC601,IF(ISERROR(VLOOKUP($A601,FIJOS!$B$11:$P$108,9,FALSE)),0,VLOOKUP($A601,FIJOS!$B$11:$P$231,9,FALSE)*$EC601))</f>
        <v>0</v>
      </c>
      <c r="DK601" s="145">
        <f>IF(OR($C601=2),VLOOKUP($D601,HORAS!$B$4:$F$42,5,FALSE)*$EE601,IF(ISERROR(VLOOKUP($A601,FIJOS!$B$11:$P$108,9,FALSE)),0,VLOOKUP($A601,FIJOS!$B$11:$P$231,9,FALSE)*$EE601))</f>
        <v>0</v>
      </c>
      <c r="DL601" s="144"/>
      <c r="DM601" s="145">
        <f>IF(ISERROR(VLOOKUP($A601,FIJOS!$B$11:$L$646,11,FALSE)),0,VLOOKUP($A601,FIJOS!$B$11:$L$646,11,FALSE))</f>
        <v>0</v>
      </c>
      <c r="DN601" s="148" t="e">
        <f>IF(OR($C601=1,$C601=3),0,IF((VLOOKUP(CAPTURA!D601,HORAS!$B$4:$K$42,10,FALSE)/4)*COUNTIF($H601:$CT601,3)&gt;100,100,(VLOOKUP(CAPTURA!D601,HORAS!$B$4:$K$42,10,FALSE)/4)*COUNTIF($H601:$CT601,3)))</f>
        <v>#N/A</v>
      </c>
      <c r="DO601" s="144" t="e">
        <f>IF(OR($C601=1,$C601=3),0,IF($C601=5,VLOOKUP(D601,HORAS!$B$4:$G$42,6,FALSE),IF(AND($C601=4,$CV601&gt;=(42/24)),VLOOKUP(D601,HORAS!$B$4:$G$42,6,FALSE),IF(COUNTIF($H601:$CL601,"F")&gt;0,0,IF(CV601&gt;$DJ$1,$DJ$1*(VLOOKUP(D601,HORAS!$B$4:$G$42,6,FALSE)/$DJ$1),CV601*(VLOOKUP(D601,HORAS!$B$4:$G$42,6,FALSE)/$DJ$1))))))</f>
        <v>#N/A</v>
      </c>
      <c r="DP601" s="156"/>
      <c r="DQ601" s="148"/>
      <c r="DR601" s="148"/>
      <c r="DS601" s="83" t="e">
        <f t="shared" si="287"/>
        <v>#N/A</v>
      </c>
      <c r="DT601" s="84"/>
      <c r="DU601" s="149" t="e">
        <f t="shared" si="259"/>
        <v>#N/A</v>
      </c>
      <c r="DV601" s="149" t="e">
        <f t="shared" si="260"/>
        <v>#N/A</v>
      </c>
      <c r="DW601" s="144" t="e">
        <f t="shared" si="261"/>
        <v>#N/A</v>
      </c>
      <c r="DX601" s="168"/>
      <c r="DY601" s="29"/>
      <c r="DZ601" s="150"/>
      <c r="EA601" s="134"/>
      <c r="EB601" s="137">
        <f t="shared" si="262"/>
        <v>0</v>
      </c>
      <c r="EC601" s="138">
        <f t="shared" si="263"/>
        <v>0</v>
      </c>
      <c r="ED601" s="137">
        <f t="shared" si="264"/>
        <v>0</v>
      </c>
      <c r="EE601" s="132">
        <f t="shared" si="265"/>
        <v>0</v>
      </c>
      <c r="EF601" s="29"/>
      <c r="EG601" s="134"/>
      <c r="EH601" s="134"/>
      <c r="EI601" s="134"/>
      <c r="EK601" s="29"/>
    </row>
    <row r="602" spans="1:141" ht="15" customHeight="1" x14ac:dyDescent="0.25">
      <c r="A602" s="87"/>
      <c r="B602" s="5"/>
      <c r="C602" s="72"/>
      <c r="D602" s="73"/>
      <c r="E602" s="73"/>
      <c r="F602" s="141"/>
      <c r="G602" s="74"/>
      <c r="H602" s="75"/>
      <c r="I602" s="76"/>
      <c r="J602" s="135"/>
      <c r="K602" s="135"/>
      <c r="L602" s="77">
        <f t="shared" si="266"/>
        <v>0</v>
      </c>
      <c r="M602" s="78"/>
      <c r="N602" s="142"/>
      <c r="O602" s="142"/>
      <c r="P602" s="77">
        <f t="shared" si="267"/>
        <v>0</v>
      </c>
      <c r="Q602" s="78"/>
      <c r="R602" s="143"/>
      <c r="S602" s="143"/>
      <c r="T602" s="77">
        <f t="shared" si="268"/>
        <v>0</v>
      </c>
      <c r="U602" s="75"/>
      <c r="V602" s="76"/>
      <c r="W602" s="135"/>
      <c r="X602" s="135"/>
      <c r="Y602" s="77">
        <f t="shared" si="269"/>
        <v>0</v>
      </c>
      <c r="Z602" s="78"/>
      <c r="AA602" s="142"/>
      <c r="AB602" s="142"/>
      <c r="AC602" s="77">
        <f t="shared" si="270"/>
        <v>0</v>
      </c>
      <c r="AD602" s="78"/>
      <c r="AE602" s="143"/>
      <c r="AF602" s="143"/>
      <c r="AG602" s="79">
        <f t="shared" si="271"/>
        <v>0</v>
      </c>
      <c r="AH602" s="75"/>
      <c r="AI602" s="76"/>
      <c r="AJ602" s="135"/>
      <c r="AK602" s="135"/>
      <c r="AL602" s="77">
        <f t="shared" si="272"/>
        <v>0</v>
      </c>
      <c r="AM602" s="76"/>
      <c r="AN602" s="142"/>
      <c r="AO602" s="142"/>
      <c r="AP602" s="77">
        <f t="shared" si="273"/>
        <v>0</v>
      </c>
      <c r="AQ602" s="78"/>
      <c r="AR602" s="142"/>
      <c r="AS602" s="142"/>
      <c r="AT602" s="79">
        <f t="shared" si="274"/>
        <v>0</v>
      </c>
      <c r="AU602" s="75"/>
      <c r="AV602" s="76"/>
      <c r="AW602" s="135"/>
      <c r="AX602" s="135"/>
      <c r="AY602" s="77">
        <f t="shared" si="275"/>
        <v>0</v>
      </c>
      <c r="AZ602" s="76"/>
      <c r="BA602" s="142"/>
      <c r="BB602" s="142"/>
      <c r="BC602" s="77">
        <f t="shared" si="276"/>
        <v>0</v>
      </c>
      <c r="BD602" s="78"/>
      <c r="BE602" s="142"/>
      <c r="BF602" s="142"/>
      <c r="BG602" s="79">
        <f t="shared" si="277"/>
        <v>0</v>
      </c>
      <c r="BH602" s="75"/>
      <c r="BI602" s="76"/>
      <c r="BJ602" s="135"/>
      <c r="BK602" s="135"/>
      <c r="BL602" s="77">
        <f t="shared" si="278"/>
        <v>0</v>
      </c>
      <c r="BM602" s="78"/>
      <c r="BN602" s="142"/>
      <c r="BO602" s="142"/>
      <c r="BP602" s="77">
        <f t="shared" si="279"/>
        <v>0</v>
      </c>
      <c r="BQ602" s="78"/>
      <c r="BR602" s="142"/>
      <c r="BS602" s="142"/>
      <c r="BT602" s="79">
        <f t="shared" si="280"/>
        <v>0</v>
      </c>
      <c r="BU602" s="75"/>
      <c r="BV602" s="76"/>
      <c r="BW602" s="135"/>
      <c r="BX602" s="135"/>
      <c r="BY602" s="77">
        <f t="shared" si="281"/>
        <v>0</v>
      </c>
      <c r="BZ602" s="78"/>
      <c r="CA602" s="142"/>
      <c r="CB602" s="142"/>
      <c r="CC602" s="77">
        <f t="shared" si="282"/>
        <v>0</v>
      </c>
      <c r="CD602" s="78"/>
      <c r="CE602" s="142"/>
      <c r="CF602" s="142"/>
      <c r="CG602" s="79">
        <f t="shared" si="283"/>
        <v>0</v>
      </c>
      <c r="CH602" s="75"/>
      <c r="CI602" s="76"/>
      <c r="CJ602" s="86"/>
      <c r="CK602" s="86"/>
      <c r="CL602" s="77">
        <f t="shared" si="284"/>
        <v>0</v>
      </c>
      <c r="CM602" s="78"/>
      <c r="CN602" s="85"/>
      <c r="CO602" s="85"/>
      <c r="CP602" s="77">
        <f t="shared" si="285"/>
        <v>0</v>
      </c>
      <c r="CQ602" s="78"/>
      <c r="CR602" s="85"/>
      <c r="CS602" s="85"/>
      <c r="CT602" s="79">
        <f t="shared" si="286"/>
        <v>0</v>
      </c>
      <c r="CU602" s="80">
        <f t="shared" si="168"/>
        <v>0</v>
      </c>
      <c r="CV602" s="81">
        <f t="shared" si="169"/>
        <v>0</v>
      </c>
      <c r="CW602" s="144"/>
      <c r="CX602" s="145">
        <f>IF(ISERROR(VLOOKUP($A602,FIJOS!$B$11:$O$590,14,FALSE)),0,VLOOKUP($A602,FIJOS!$B$11:$O$590,14,FALSE))</f>
        <v>0</v>
      </c>
      <c r="CY602" s="145">
        <f>IF(ISERROR(VLOOKUP(A602,FIJOS!$B$10:$P$590,15,FALSE)),0,VLOOKUP(A602,FIJOS!$B$10:$P$590,15,FALSE))</f>
        <v>0</v>
      </c>
      <c r="CZ602" s="155"/>
      <c r="DA602" s="147"/>
      <c r="DB602" s="147"/>
      <c r="DC602" s="147"/>
      <c r="DD602" s="147"/>
      <c r="DE602" s="147"/>
      <c r="DF602" s="145">
        <f>IF(ISERROR(VLOOKUP($A602,FIJOS!$B$11:$N$590,13,FALSE)),0,VLOOKUP($A602,FIJOS!$B$11:$N$590,13,FALSE))</f>
        <v>0</v>
      </c>
      <c r="DG602" s="145">
        <f>IF(ISERROR(VLOOKUP($A602,FIJOS!$B$11:$P$447,12,FALSE)),0,VLOOKUP($A602,FIJOS!$B$11:$P$447,12,FALSE))</f>
        <v>0</v>
      </c>
      <c r="DH602" s="82">
        <f t="shared" si="258"/>
        <v>0</v>
      </c>
      <c r="DI602" s="83" t="b">
        <f>IF($C602=1,(VLOOKUP($A602,FIJOS!$B$11:$P$545,10,FALSE)/7)*(7-$CU602),IF(AND($C602=2,CV602&lt;$DJ$1),(VLOOKUP($D602,HORAS!$B$4:$C$42,2,FALSE)*24)*$CV602,IF(AND($C602=2,CV602&gt;=$DJ$1),VLOOKUP($D602,HORAS!$B$4:$D$42,3,FALSE),IF(AND($C602=3,$CV602&gt;=$DJ$1),VLOOKUP($A602,FIJOS!$B$11:$P$545,10,FALSE),IF(AND($C602=3,$CV602&lt;$DJ$1),((VLOOKUP($A602,FIJOS!$B$11:$P$545,10,FALSE)/48)*24)*$CV602,IF(AND($C602=4,$CV602&gt;=(42/24)),VLOOKUP($D602,HORAS!$B$4:$D$42,3,FALSE),IF(AND($C602=5,$CV602&gt;=(36/24)),VLOOKUP($D602,HORAS!$B$4:$D$42,3,FALSE))))))))</f>
        <v>0</v>
      </c>
      <c r="DJ602" s="145">
        <f>IF(OR($C602=2),VLOOKUP($D602,HORAS!$B$4:$E$42,4,FALSE)*$EC602,IF(ISERROR(VLOOKUP($A602,FIJOS!$B$11:$P$108,9,FALSE)),0,VLOOKUP($A602,FIJOS!$B$11:$P$231,9,FALSE)*$EC602))</f>
        <v>0</v>
      </c>
      <c r="DK602" s="145">
        <f>IF(OR($C602=2),VLOOKUP($D602,HORAS!$B$4:$F$42,5,FALSE)*$EE602,IF(ISERROR(VLOOKUP($A602,FIJOS!$B$11:$P$108,9,FALSE)),0,VLOOKUP($A602,FIJOS!$B$11:$P$231,9,FALSE)*$EE602))</f>
        <v>0</v>
      </c>
      <c r="DL602" s="144"/>
      <c r="DM602" s="145">
        <f>IF(ISERROR(VLOOKUP($A602,FIJOS!$B$11:$L$646,11,FALSE)),0,VLOOKUP($A602,FIJOS!$B$11:$L$646,11,FALSE))</f>
        <v>0</v>
      </c>
      <c r="DN602" s="148" t="e">
        <f>IF(OR($C602=1,$C602=3),0,IF((VLOOKUP(CAPTURA!D602,HORAS!$B$4:$K$42,10,FALSE)/4)*COUNTIF($H602:$CT602,3)&gt;100,100,(VLOOKUP(CAPTURA!D602,HORAS!$B$4:$K$42,10,FALSE)/4)*COUNTIF($H602:$CT602,3)))</f>
        <v>#N/A</v>
      </c>
      <c r="DO602" s="144" t="e">
        <f>IF(OR($C602=1,$C602=3),0,IF($C602=5,VLOOKUP(D602,HORAS!$B$4:$G$42,6,FALSE),IF(AND($C602=4,$CV602&gt;=(42/24)),VLOOKUP(D602,HORAS!$B$4:$G$42,6,FALSE),IF(COUNTIF($H602:$CL602,"F")&gt;0,0,IF(CV602&gt;$DJ$1,$DJ$1*(VLOOKUP(D602,HORAS!$B$4:$G$42,6,FALSE)/$DJ$1),CV602*(VLOOKUP(D602,HORAS!$B$4:$G$42,6,FALSE)/$DJ$1))))))</f>
        <v>#N/A</v>
      </c>
      <c r="DP602" s="156"/>
      <c r="DQ602" s="148"/>
      <c r="DR602" s="148"/>
      <c r="DS602" s="83" t="e">
        <f t="shared" si="287"/>
        <v>#N/A</v>
      </c>
      <c r="DT602" s="84"/>
      <c r="DU602" s="149" t="e">
        <f t="shared" si="259"/>
        <v>#N/A</v>
      </c>
      <c r="DV602" s="149" t="e">
        <f t="shared" si="260"/>
        <v>#N/A</v>
      </c>
      <c r="DW602" s="144" t="e">
        <f t="shared" si="261"/>
        <v>#N/A</v>
      </c>
      <c r="DX602" s="168"/>
      <c r="DY602" s="29"/>
      <c r="DZ602" s="150"/>
      <c r="EA602" s="134"/>
      <c r="EB602" s="137">
        <f t="shared" si="262"/>
        <v>0</v>
      </c>
      <c r="EC602" s="138">
        <f t="shared" si="263"/>
        <v>0</v>
      </c>
      <c r="ED602" s="137">
        <f t="shared" si="264"/>
        <v>0</v>
      </c>
      <c r="EE602" s="132">
        <f t="shared" si="265"/>
        <v>0</v>
      </c>
      <c r="EF602" s="29"/>
      <c r="EG602" s="134"/>
      <c r="EH602" s="134"/>
      <c r="EI602" s="134"/>
      <c r="EK602" s="29"/>
    </row>
    <row r="603" spans="1:141" ht="15" customHeight="1" x14ac:dyDescent="0.25">
      <c r="A603" s="87"/>
      <c r="B603" s="5"/>
      <c r="C603" s="72"/>
      <c r="D603" s="73"/>
      <c r="E603" s="73"/>
      <c r="F603" s="141"/>
      <c r="G603" s="74"/>
      <c r="H603" s="75"/>
      <c r="I603" s="76"/>
      <c r="J603" s="135"/>
      <c r="K603" s="135"/>
      <c r="L603" s="77">
        <f t="shared" si="266"/>
        <v>0</v>
      </c>
      <c r="M603" s="78"/>
      <c r="N603" s="142"/>
      <c r="O603" s="142"/>
      <c r="P603" s="77">
        <f t="shared" si="267"/>
        <v>0</v>
      </c>
      <c r="Q603" s="78"/>
      <c r="R603" s="143"/>
      <c r="S603" s="143"/>
      <c r="T603" s="77">
        <f t="shared" si="268"/>
        <v>0</v>
      </c>
      <c r="U603" s="75"/>
      <c r="V603" s="76"/>
      <c r="W603" s="135"/>
      <c r="X603" s="135"/>
      <c r="Y603" s="77">
        <f t="shared" si="269"/>
        <v>0</v>
      </c>
      <c r="Z603" s="78"/>
      <c r="AA603" s="142"/>
      <c r="AB603" s="142"/>
      <c r="AC603" s="77">
        <f t="shared" si="270"/>
        <v>0</v>
      </c>
      <c r="AD603" s="78"/>
      <c r="AE603" s="143"/>
      <c r="AF603" s="143"/>
      <c r="AG603" s="79">
        <f t="shared" si="271"/>
        <v>0</v>
      </c>
      <c r="AH603" s="75"/>
      <c r="AI603" s="76"/>
      <c r="AJ603" s="135"/>
      <c r="AK603" s="135"/>
      <c r="AL603" s="77">
        <f t="shared" si="272"/>
        <v>0</v>
      </c>
      <c r="AM603" s="76"/>
      <c r="AN603" s="142"/>
      <c r="AO603" s="142"/>
      <c r="AP603" s="77">
        <f t="shared" si="273"/>
        <v>0</v>
      </c>
      <c r="AQ603" s="78"/>
      <c r="AR603" s="142"/>
      <c r="AS603" s="142"/>
      <c r="AT603" s="79">
        <f t="shared" si="274"/>
        <v>0</v>
      </c>
      <c r="AU603" s="75"/>
      <c r="AV603" s="76"/>
      <c r="AW603" s="135"/>
      <c r="AX603" s="135"/>
      <c r="AY603" s="77">
        <f t="shared" si="275"/>
        <v>0</v>
      </c>
      <c r="AZ603" s="76"/>
      <c r="BA603" s="142"/>
      <c r="BB603" s="142"/>
      <c r="BC603" s="77">
        <f t="shared" si="276"/>
        <v>0</v>
      </c>
      <c r="BD603" s="78"/>
      <c r="BE603" s="142"/>
      <c r="BF603" s="142"/>
      <c r="BG603" s="79">
        <f t="shared" si="277"/>
        <v>0</v>
      </c>
      <c r="BH603" s="75"/>
      <c r="BI603" s="76"/>
      <c r="BJ603" s="135"/>
      <c r="BK603" s="135"/>
      <c r="BL603" s="77">
        <f t="shared" si="278"/>
        <v>0</v>
      </c>
      <c r="BM603" s="78"/>
      <c r="BN603" s="142"/>
      <c r="BO603" s="142"/>
      <c r="BP603" s="77">
        <f t="shared" si="279"/>
        <v>0</v>
      </c>
      <c r="BQ603" s="78"/>
      <c r="BR603" s="142"/>
      <c r="BS603" s="142"/>
      <c r="BT603" s="79">
        <f t="shared" si="280"/>
        <v>0</v>
      </c>
      <c r="BU603" s="75"/>
      <c r="BV603" s="76"/>
      <c r="BW603" s="135"/>
      <c r="BX603" s="135"/>
      <c r="BY603" s="77">
        <f t="shared" si="281"/>
        <v>0</v>
      </c>
      <c r="BZ603" s="78"/>
      <c r="CA603" s="142"/>
      <c r="CB603" s="142"/>
      <c r="CC603" s="77">
        <f t="shared" si="282"/>
        <v>0</v>
      </c>
      <c r="CD603" s="78"/>
      <c r="CE603" s="142"/>
      <c r="CF603" s="142"/>
      <c r="CG603" s="79">
        <f t="shared" si="283"/>
        <v>0</v>
      </c>
      <c r="CH603" s="75"/>
      <c r="CI603" s="76"/>
      <c r="CJ603" s="86"/>
      <c r="CK603" s="86"/>
      <c r="CL603" s="77">
        <f t="shared" si="284"/>
        <v>0</v>
      </c>
      <c r="CM603" s="78"/>
      <c r="CN603" s="85"/>
      <c r="CO603" s="85"/>
      <c r="CP603" s="77">
        <f t="shared" si="285"/>
        <v>0</v>
      </c>
      <c r="CQ603" s="78"/>
      <c r="CR603" s="85"/>
      <c r="CS603" s="85"/>
      <c r="CT603" s="79">
        <f t="shared" si="286"/>
        <v>0</v>
      </c>
      <c r="CU603" s="80">
        <f t="shared" ref="CU603:CU666" si="288">COUNTIF($H603:$CL603,"F")+COUNTIF($H603:$CL603,"PSG")+COUNTIF($H603:$CL603,"INC")</f>
        <v>0</v>
      </c>
      <c r="CV603" s="81">
        <f t="shared" ref="CV603:CV666" si="289">SUMIFS($J603:$CT603,$J$6:$CT$6,$CV$5)</f>
        <v>0</v>
      </c>
      <c r="CW603" s="144"/>
      <c r="CX603" s="145">
        <f>IF(ISERROR(VLOOKUP($A603,FIJOS!$B$11:$O$590,14,FALSE)),0,VLOOKUP($A603,FIJOS!$B$11:$O$590,14,FALSE))</f>
        <v>0</v>
      </c>
      <c r="CY603" s="145">
        <f>IF(ISERROR(VLOOKUP(A603,FIJOS!$B$10:$P$590,15,FALSE)),0,VLOOKUP(A603,FIJOS!$B$10:$P$590,15,FALSE))</f>
        <v>0</v>
      </c>
      <c r="CZ603" s="155"/>
      <c r="DA603" s="147"/>
      <c r="DB603" s="147"/>
      <c r="DC603" s="147"/>
      <c r="DD603" s="147"/>
      <c r="DE603" s="147"/>
      <c r="DF603" s="145">
        <f>IF(ISERROR(VLOOKUP($A603,FIJOS!$B$11:$N$590,13,FALSE)),0,VLOOKUP($A603,FIJOS!$B$11:$N$590,13,FALSE))</f>
        <v>0</v>
      </c>
      <c r="DG603" s="145">
        <f>IF(ISERROR(VLOOKUP($A603,FIJOS!$B$11:$P$447,12,FALSE)),0,VLOOKUP($A603,FIJOS!$B$11:$P$447,12,FALSE))</f>
        <v>0</v>
      </c>
      <c r="DH603" s="82">
        <f t="shared" si="258"/>
        <v>0</v>
      </c>
      <c r="DI603" s="83" t="b">
        <f>IF($C603=1,(VLOOKUP($A603,FIJOS!$B$11:$P$545,10,FALSE)/7)*(7-$CU603),IF(AND($C603=2,CV603&lt;$DJ$1),(VLOOKUP($D603,HORAS!$B$4:$C$42,2,FALSE)*24)*$CV603,IF(AND($C603=2,CV603&gt;=$DJ$1),VLOOKUP($D603,HORAS!$B$4:$D$42,3,FALSE),IF(AND($C603=3,$CV603&gt;=$DJ$1),VLOOKUP($A603,FIJOS!$B$11:$P$545,10,FALSE),IF(AND($C603=3,$CV603&lt;$DJ$1),((VLOOKUP($A603,FIJOS!$B$11:$P$545,10,FALSE)/48)*24)*$CV603,IF(AND($C603=4,$CV603&gt;=(42/24)),VLOOKUP($D603,HORAS!$B$4:$D$42,3,FALSE),IF(AND($C603=5,$CV603&gt;=(36/24)),VLOOKUP($D603,HORAS!$B$4:$D$42,3,FALSE))))))))</f>
        <v>0</v>
      </c>
      <c r="DJ603" s="145">
        <f>IF(OR($C603=2),VLOOKUP($D603,HORAS!$B$4:$E$42,4,FALSE)*$EC603,IF(ISERROR(VLOOKUP($A603,FIJOS!$B$11:$P$108,9,FALSE)),0,VLOOKUP($A603,FIJOS!$B$11:$P$231,9,FALSE)*$EC603))</f>
        <v>0</v>
      </c>
      <c r="DK603" s="145">
        <f>IF(OR($C603=2),VLOOKUP($D603,HORAS!$B$4:$F$42,5,FALSE)*$EE603,IF(ISERROR(VLOOKUP($A603,FIJOS!$B$11:$P$108,9,FALSE)),0,VLOOKUP($A603,FIJOS!$B$11:$P$231,9,FALSE)*$EE603))</f>
        <v>0</v>
      </c>
      <c r="DL603" s="144"/>
      <c r="DM603" s="145">
        <f>IF(ISERROR(VLOOKUP($A603,FIJOS!$B$11:$L$646,11,FALSE)),0,VLOOKUP($A603,FIJOS!$B$11:$L$646,11,FALSE))</f>
        <v>0</v>
      </c>
      <c r="DN603" s="148" t="e">
        <f>IF(OR($C603=1,$C603=3),0,IF((VLOOKUP(CAPTURA!D603,HORAS!$B$4:$K$42,10,FALSE)/4)*COUNTIF($H603:$CT603,3)&gt;100,100,(VLOOKUP(CAPTURA!D603,HORAS!$B$4:$K$42,10,FALSE)/4)*COUNTIF($H603:$CT603,3)))</f>
        <v>#N/A</v>
      </c>
      <c r="DO603" s="144" t="e">
        <f>IF(OR($C603=1,$C603=3),0,IF($C603=5,VLOOKUP(D603,HORAS!$B$4:$G$42,6,FALSE),IF(AND($C603=4,$CV603&gt;=(42/24)),VLOOKUP(D603,HORAS!$B$4:$G$42,6,FALSE),IF(COUNTIF($H603:$CL603,"F")&gt;0,0,IF(CV603&gt;$DJ$1,$DJ$1*(VLOOKUP(D603,HORAS!$B$4:$G$42,6,FALSE)/$DJ$1),CV603*(VLOOKUP(D603,HORAS!$B$4:$G$42,6,FALSE)/$DJ$1))))))</f>
        <v>#N/A</v>
      </c>
      <c r="DP603" s="156"/>
      <c r="DQ603" s="148"/>
      <c r="DR603" s="148"/>
      <c r="DS603" s="83" t="e">
        <f t="shared" si="287"/>
        <v>#N/A</v>
      </c>
      <c r="DT603" s="84"/>
      <c r="DU603" s="149" t="e">
        <f t="shared" si="259"/>
        <v>#N/A</v>
      </c>
      <c r="DV603" s="149" t="e">
        <f t="shared" si="260"/>
        <v>#N/A</v>
      </c>
      <c r="DW603" s="144" t="e">
        <f t="shared" si="261"/>
        <v>#N/A</v>
      </c>
      <c r="DX603" s="168"/>
      <c r="DY603" s="29"/>
      <c r="DZ603" s="150"/>
      <c r="EA603" s="134"/>
      <c r="EB603" s="137">
        <f t="shared" si="262"/>
        <v>0</v>
      </c>
      <c r="EC603" s="138">
        <f t="shared" si="263"/>
        <v>0</v>
      </c>
      <c r="ED603" s="137">
        <f t="shared" si="264"/>
        <v>0</v>
      </c>
      <c r="EE603" s="132">
        <f t="shared" si="265"/>
        <v>0</v>
      </c>
      <c r="EF603" s="29"/>
      <c r="EG603" s="134"/>
      <c r="EH603" s="134"/>
      <c r="EI603" s="134"/>
      <c r="EK603" s="29"/>
    </row>
    <row r="604" spans="1:141" ht="15" customHeight="1" x14ac:dyDescent="0.25">
      <c r="A604" s="87"/>
      <c r="B604" s="5"/>
      <c r="C604" s="72"/>
      <c r="D604" s="73"/>
      <c r="E604" s="73"/>
      <c r="F604" s="141"/>
      <c r="G604" s="74"/>
      <c r="H604" s="75"/>
      <c r="I604" s="76"/>
      <c r="J604" s="135"/>
      <c r="K604" s="135"/>
      <c r="L604" s="77">
        <f t="shared" si="266"/>
        <v>0</v>
      </c>
      <c r="M604" s="78"/>
      <c r="N604" s="142"/>
      <c r="O604" s="142"/>
      <c r="P604" s="77">
        <f t="shared" si="267"/>
        <v>0</v>
      </c>
      <c r="Q604" s="78"/>
      <c r="R604" s="143"/>
      <c r="S604" s="143"/>
      <c r="T604" s="77">
        <f t="shared" si="268"/>
        <v>0</v>
      </c>
      <c r="U604" s="75"/>
      <c r="V604" s="76"/>
      <c r="W604" s="135"/>
      <c r="X604" s="135"/>
      <c r="Y604" s="77">
        <f t="shared" si="269"/>
        <v>0</v>
      </c>
      <c r="Z604" s="78"/>
      <c r="AA604" s="142"/>
      <c r="AB604" s="142"/>
      <c r="AC604" s="77">
        <f t="shared" si="270"/>
        <v>0</v>
      </c>
      <c r="AD604" s="78"/>
      <c r="AE604" s="143"/>
      <c r="AF604" s="143"/>
      <c r="AG604" s="79">
        <f t="shared" si="271"/>
        <v>0</v>
      </c>
      <c r="AH604" s="75"/>
      <c r="AI604" s="76"/>
      <c r="AJ604" s="135"/>
      <c r="AK604" s="135"/>
      <c r="AL604" s="77">
        <f t="shared" si="272"/>
        <v>0</v>
      </c>
      <c r="AM604" s="76"/>
      <c r="AN604" s="142"/>
      <c r="AO604" s="142"/>
      <c r="AP604" s="77">
        <f t="shared" si="273"/>
        <v>0</v>
      </c>
      <c r="AQ604" s="78"/>
      <c r="AR604" s="142"/>
      <c r="AS604" s="142"/>
      <c r="AT604" s="79">
        <f t="shared" si="274"/>
        <v>0</v>
      </c>
      <c r="AU604" s="75"/>
      <c r="AV604" s="76"/>
      <c r="AW604" s="135"/>
      <c r="AX604" s="135"/>
      <c r="AY604" s="77">
        <f t="shared" si="275"/>
        <v>0</v>
      </c>
      <c r="AZ604" s="76"/>
      <c r="BA604" s="142"/>
      <c r="BB604" s="142"/>
      <c r="BC604" s="77">
        <f t="shared" si="276"/>
        <v>0</v>
      </c>
      <c r="BD604" s="78"/>
      <c r="BE604" s="142"/>
      <c r="BF604" s="142"/>
      <c r="BG604" s="79">
        <f t="shared" si="277"/>
        <v>0</v>
      </c>
      <c r="BH604" s="75"/>
      <c r="BI604" s="76"/>
      <c r="BJ604" s="135"/>
      <c r="BK604" s="135"/>
      <c r="BL604" s="77">
        <f t="shared" si="278"/>
        <v>0</v>
      </c>
      <c r="BM604" s="78"/>
      <c r="BN604" s="142"/>
      <c r="BO604" s="142"/>
      <c r="BP604" s="77">
        <f t="shared" si="279"/>
        <v>0</v>
      </c>
      <c r="BQ604" s="78"/>
      <c r="BR604" s="142"/>
      <c r="BS604" s="142"/>
      <c r="BT604" s="79">
        <f t="shared" si="280"/>
        <v>0</v>
      </c>
      <c r="BU604" s="75"/>
      <c r="BV604" s="76"/>
      <c r="BW604" s="135"/>
      <c r="BX604" s="135"/>
      <c r="BY604" s="77">
        <f t="shared" si="281"/>
        <v>0</v>
      </c>
      <c r="BZ604" s="78"/>
      <c r="CA604" s="142"/>
      <c r="CB604" s="142"/>
      <c r="CC604" s="77">
        <f t="shared" si="282"/>
        <v>0</v>
      </c>
      <c r="CD604" s="78"/>
      <c r="CE604" s="142"/>
      <c r="CF604" s="142"/>
      <c r="CG604" s="79">
        <f t="shared" si="283"/>
        <v>0</v>
      </c>
      <c r="CH604" s="75"/>
      <c r="CI604" s="76"/>
      <c r="CJ604" s="86"/>
      <c r="CK604" s="86"/>
      <c r="CL604" s="77">
        <f t="shared" si="284"/>
        <v>0</v>
      </c>
      <c r="CM604" s="78"/>
      <c r="CN604" s="85"/>
      <c r="CO604" s="85"/>
      <c r="CP604" s="77">
        <f t="shared" si="285"/>
        <v>0</v>
      </c>
      <c r="CQ604" s="78"/>
      <c r="CR604" s="85"/>
      <c r="CS604" s="85"/>
      <c r="CT604" s="79">
        <f t="shared" si="286"/>
        <v>0</v>
      </c>
      <c r="CU604" s="80">
        <f t="shared" si="288"/>
        <v>0</v>
      </c>
      <c r="CV604" s="81">
        <f t="shared" si="289"/>
        <v>0</v>
      </c>
      <c r="CW604" s="144"/>
      <c r="CX604" s="145">
        <f>IF(ISERROR(VLOOKUP($A604,FIJOS!$B$11:$O$590,14,FALSE)),0,VLOOKUP($A604,FIJOS!$B$11:$O$590,14,FALSE))</f>
        <v>0</v>
      </c>
      <c r="CY604" s="145">
        <f>IF(ISERROR(VLOOKUP(A604,FIJOS!$B$10:$P$590,15,FALSE)),0,VLOOKUP(A604,FIJOS!$B$10:$P$590,15,FALSE))</f>
        <v>0</v>
      </c>
      <c r="CZ604" s="155"/>
      <c r="DA604" s="147"/>
      <c r="DB604" s="147"/>
      <c r="DC604" s="147"/>
      <c r="DD604" s="147"/>
      <c r="DE604" s="147"/>
      <c r="DF604" s="145">
        <f>IF(ISERROR(VLOOKUP($A604,FIJOS!$B$11:$N$590,13,FALSE)),0,VLOOKUP($A604,FIJOS!$B$11:$N$590,13,FALSE))</f>
        <v>0</v>
      </c>
      <c r="DG604" s="145">
        <f>IF(ISERROR(VLOOKUP($A604,FIJOS!$B$11:$P$447,12,FALSE)),0,VLOOKUP($A604,FIJOS!$B$11:$P$447,12,FALSE))</f>
        <v>0</v>
      </c>
      <c r="DH604" s="82">
        <f t="shared" si="258"/>
        <v>0</v>
      </c>
      <c r="DI604" s="83" t="b">
        <f>IF($C604=1,(VLOOKUP($A604,FIJOS!$B$11:$P$545,10,FALSE)/7)*(7-$CU604),IF(AND($C604=2,CV604&lt;$DJ$1),(VLOOKUP($D604,HORAS!$B$4:$C$42,2,FALSE)*24)*$CV604,IF(AND($C604=2,CV604&gt;=$DJ$1),VLOOKUP($D604,HORAS!$B$4:$D$42,3,FALSE),IF(AND($C604=3,$CV604&gt;=$DJ$1),VLOOKUP($A604,FIJOS!$B$11:$P$545,10,FALSE),IF(AND($C604=3,$CV604&lt;$DJ$1),((VLOOKUP($A604,FIJOS!$B$11:$P$545,10,FALSE)/48)*24)*$CV604,IF(AND($C604=4,$CV604&gt;=(42/24)),VLOOKUP($D604,HORAS!$B$4:$D$42,3,FALSE),IF(AND($C604=5,$CV604&gt;=(36/24)),VLOOKUP($D604,HORAS!$B$4:$D$42,3,FALSE))))))))</f>
        <v>0</v>
      </c>
      <c r="DJ604" s="145">
        <f>IF(OR($C604=2),VLOOKUP($D604,HORAS!$B$4:$E$42,4,FALSE)*$EC604,IF(ISERROR(VLOOKUP($A604,FIJOS!$B$11:$P$108,9,FALSE)),0,VLOOKUP($A604,FIJOS!$B$11:$P$231,9,FALSE)*$EC604))</f>
        <v>0</v>
      </c>
      <c r="DK604" s="145">
        <f>IF(OR($C604=2),VLOOKUP($D604,HORAS!$B$4:$F$42,5,FALSE)*$EE604,IF(ISERROR(VLOOKUP($A604,FIJOS!$B$11:$P$108,9,FALSE)),0,VLOOKUP($A604,FIJOS!$B$11:$P$231,9,FALSE)*$EE604))</f>
        <v>0</v>
      </c>
      <c r="DL604" s="144"/>
      <c r="DM604" s="145">
        <f>IF(ISERROR(VLOOKUP($A604,FIJOS!$B$11:$L$646,11,FALSE)),0,VLOOKUP($A604,FIJOS!$B$11:$L$646,11,FALSE))</f>
        <v>0</v>
      </c>
      <c r="DN604" s="148" t="e">
        <f>IF(OR($C604=1,$C604=3),0,IF((VLOOKUP(CAPTURA!D604,HORAS!$B$4:$K$42,10,FALSE)/4)*COUNTIF($H604:$CT604,3)&gt;100,100,(VLOOKUP(CAPTURA!D604,HORAS!$B$4:$K$42,10,FALSE)/4)*COUNTIF($H604:$CT604,3)))</f>
        <v>#N/A</v>
      </c>
      <c r="DO604" s="144" t="e">
        <f>IF(OR($C604=1,$C604=3),0,IF($C604=5,VLOOKUP(D604,HORAS!$B$4:$G$42,6,FALSE),IF(AND($C604=4,$CV604&gt;=(42/24)),VLOOKUP(D604,HORAS!$B$4:$G$42,6,FALSE),IF(COUNTIF($H604:$CL604,"F")&gt;0,0,IF(CV604&gt;$DJ$1,$DJ$1*(VLOOKUP(D604,HORAS!$B$4:$G$42,6,FALSE)/$DJ$1),CV604*(VLOOKUP(D604,HORAS!$B$4:$G$42,6,FALSE)/$DJ$1))))))</f>
        <v>#N/A</v>
      </c>
      <c r="DP604" s="156"/>
      <c r="DQ604" s="148"/>
      <c r="DR604" s="148"/>
      <c r="DS604" s="83" t="e">
        <f t="shared" si="287"/>
        <v>#N/A</v>
      </c>
      <c r="DT604" s="84"/>
      <c r="DU604" s="149" t="e">
        <f t="shared" si="259"/>
        <v>#N/A</v>
      </c>
      <c r="DV604" s="149" t="e">
        <f t="shared" si="260"/>
        <v>#N/A</v>
      </c>
      <c r="DW604" s="144" t="e">
        <f t="shared" si="261"/>
        <v>#N/A</v>
      </c>
      <c r="DX604" s="168"/>
      <c r="DY604" s="29"/>
      <c r="DZ604" s="150"/>
      <c r="EA604" s="134"/>
      <c r="EB604" s="137">
        <f t="shared" si="262"/>
        <v>0</v>
      </c>
      <c r="EC604" s="138">
        <f t="shared" si="263"/>
        <v>0</v>
      </c>
      <c r="ED604" s="137">
        <f t="shared" si="264"/>
        <v>0</v>
      </c>
      <c r="EE604" s="132">
        <f t="shared" si="265"/>
        <v>0</v>
      </c>
      <c r="EF604" s="29"/>
      <c r="EG604" s="134"/>
      <c r="EH604" s="134"/>
      <c r="EI604" s="134"/>
      <c r="EK604" s="29"/>
    </row>
    <row r="605" spans="1:141" ht="15" customHeight="1" x14ac:dyDescent="0.25">
      <c r="A605" s="87"/>
      <c r="B605" s="5"/>
      <c r="C605" s="72"/>
      <c r="D605" s="73"/>
      <c r="E605" s="73"/>
      <c r="F605" s="141"/>
      <c r="G605" s="74"/>
      <c r="H605" s="75"/>
      <c r="I605" s="76"/>
      <c r="J605" s="135"/>
      <c r="K605" s="135"/>
      <c r="L605" s="77">
        <f t="shared" si="266"/>
        <v>0</v>
      </c>
      <c r="M605" s="78"/>
      <c r="N605" s="142"/>
      <c r="O605" s="142"/>
      <c r="P605" s="77">
        <f t="shared" si="267"/>
        <v>0</v>
      </c>
      <c r="Q605" s="78"/>
      <c r="R605" s="143"/>
      <c r="S605" s="143"/>
      <c r="T605" s="77">
        <f t="shared" si="268"/>
        <v>0</v>
      </c>
      <c r="U605" s="75"/>
      <c r="V605" s="76"/>
      <c r="W605" s="135"/>
      <c r="X605" s="135"/>
      <c r="Y605" s="77">
        <f t="shared" si="269"/>
        <v>0</v>
      </c>
      <c r="Z605" s="78"/>
      <c r="AA605" s="142"/>
      <c r="AB605" s="142"/>
      <c r="AC605" s="77">
        <f t="shared" si="270"/>
        <v>0</v>
      </c>
      <c r="AD605" s="78"/>
      <c r="AE605" s="143"/>
      <c r="AF605" s="143"/>
      <c r="AG605" s="79">
        <f t="shared" si="271"/>
        <v>0</v>
      </c>
      <c r="AH605" s="75"/>
      <c r="AI605" s="76"/>
      <c r="AJ605" s="135"/>
      <c r="AK605" s="135"/>
      <c r="AL605" s="77">
        <f t="shared" si="272"/>
        <v>0</v>
      </c>
      <c r="AM605" s="76"/>
      <c r="AN605" s="142"/>
      <c r="AO605" s="142"/>
      <c r="AP605" s="77">
        <f t="shared" si="273"/>
        <v>0</v>
      </c>
      <c r="AQ605" s="78"/>
      <c r="AR605" s="142"/>
      <c r="AS605" s="142"/>
      <c r="AT605" s="79">
        <f t="shared" si="274"/>
        <v>0</v>
      </c>
      <c r="AU605" s="75"/>
      <c r="AV605" s="76"/>
      <c r="AW605" s="135"/>
      <c r="AX605" s="135"/>
      <c r="AY605" s="77">
        <f t="shared" si="275"/>
        <v>0</v>
      </c>
      <c r="AZ605" s="76"/>
      <c r="BA605" s="142"/>
      <c r="BB605" s="142"/>
      <c r="BC605" s="77">
        <f t="shared" si="276"/>
        <v>0</v>
      </c>
      <c r="BD605" s="78"/>
      <c r="BE605" s="142"/>
      <c r="BF605" s="142"/>
      <c r="BG605" s="79">
        <f t="shared" si="277"/>
        <v>0</v>
      </c>
      <c r="BH605" s="75"/>
      <c r="BI605" s="76"/>
      <c r="BJ605" s="135"/>
      <c r="BK605" s="135"/>
      <c r="BL605" s="77">
        <f t="shared" si="278"/>
        <v>0</v>
      </c>
      <c r="BM605" s="78"/>
      <c r="BN605" s="142"/>
      <c r="BO605" s="142"/>
      <c r="BP605" s="77">
        <f t="shared" si="279"/>
        <v>0</v>
      </c>
      <c r="BQ605" s="78"/>
      <c r="BR605" s="142"/>
      <c r="BS605" s="142"/>
      <c r="BT605" s="79">
        <f t="shared" si="280"/>
        <v>0</v>
      </c>
      <c r="BU605" s="75"/>
      <c r="BV605" s="76"/>
      <c r="BW605" s="135"/>
      <c r="BX605" s="135"/>
      <c r="BY605" s="77">
        <f t="shared" si="281"/>
        <v>0</v>
      </c>
      <c r="BZ605" s="78"/>
      <c r="CA605" s="142"/>
      <c r="CB605" s="142"/>
      <c r="CC605" s="77">
        <f t="shared" si="282"/>
        <v>0</v>
      </c>
      <c r="CD605" s="78"/>
      <c r="CE605" s="142"/>
      <c r="CF605" s="142"/>
      <c r="CG605" s="79">
        <f t="shared" si="283"/>
        <v>0</v>
      </c>
      <c r="CH605" s="75"/>
      <c r="CI605" s="76"/>
      <c r="CJ605" s="86"/>
      <c r="CK605" s="86"/>
      <c r="CL605" s="77">
        <f t="shared" si="284"/>
        <v>0</v>
      </c>
      <c r="CM605" s="78"/>
      <c r="CN605" s="85"/>
      <c r="CO605" s="85"/>
      <c r="CP605" s="77">
        <f t="shared" si="285"/>
        <v>0</v>
      </c>
      <c r="CQ605" s="78"/>
      <c r="CR605" s="85"/>
      <c r="CS605" s="85"/>
      <c r="CT605" s="79">
        <f t="shared" si="286"/>
        <v>0</v>
      </c>
      <c r="CU605" s="80">
        <f t="shared" si="288"/>
        <v>0</v>
      </c>
      <c r="CV605" s="81">
        <f t="shared" si="289"/>
        <v>0</v>
      </c>
      <c r="CW605" s="144"/>
      <c r="CX605" s="145">
        <f>IF(ISERROR(VLOOKUP($A605,FIJOS!$B$11:$O$590,14,FALSE)),0,VLOOKUP($A605,FIJOS!$B$11:$O$590,14,FALSE))</f>
        <v>0</v>
      </c>
      <c r="CY605" s="145">
        <f>IF(ISERROR(VLOOKUP(A605,FIJOS!$B$10:$P$590,15,FALSE)),0,VLOOKUP(A605,FIJOS!$B$10:$P$590,15,FALSE))</f>
        <v>0</v>
      </c>
      <c r="CZ605" s="155"/>
      <c r="DA605" s="147"/>
      <c r="DB605" s="147"/>
      <c r="DC605" s="147"/>
      <c r="DD605" s="147"/>
      <c r="DE605" s="147"/>
      <c r="DF605" s="145">
        <f>IF(ISERROR(VLOOKUP($A605,FIJOS!$B$11:$N$590,13,FALSE)),0,VLOOKUP($A605,FIJOS!$B$11:$N$590,13,FALSE))</f>
        <v>0</v>
      </c>
      <c r="DG605" s="145">
        <f>IF(ISERROR(VLOOKUP($A605,FIJOS!$B$11:$P$447,12,FALSE)),0,VLOOKUP($A605,FIJOS!$B$11:$P$447,12,FALSE))</f>
        <v>0</v>
      </c>
      <c r="DH605" s="82">
        <f t="shared" si="258"/>
        <v>0</v>
      </c>
      <c r="DI605" s="83" t="b">
        <f>IF($C605=1,(VLOOKUP($A605,FIJOS!$B$11:$P$545,10,FALSE)/7)*(7-$CU605),IF(AND($C605=2,CV605&lt;$DJ$1),(VLOOKUP($D605,HORAS!$B$4:$C$42,2,FALSE)*24)*$CV605,IF(AND($C605=2,CV605&gt;=$DJ$1),VLOOKUP($D605,HORAS!$B$4:$D$42,3,FALSE),IF(AND($C605=3,$CV605&gt;=$DJ$1),VLOOKUP($A605,FIJOS!$B$11:$P$545,10,FALSE),IF(AND($C605=3,$CV605&lt;$DJ$1),((VLOOKUP($A605,FIJOS!$B$11:$P$545,10,FALSE)/48)*24)*$CV605,IF(AND($C605=4,$CV605&gt;=(42/24)),VLOOKUP($D605,HORAS!$B$4:$D$42,3,FALSE),IF(AND($C605=5,$CV605&gt;=(36/24)),VLOOKUP($D605,HORAS!$B$4:$D$42,3,FALSE))))))))</f>
        <v>0</v>
      </c>
      <c r="DJ605" s="145">
        <f>IF(OR($C605=2),VLOOKUP($D605,HORAS!$B$4:$E$42,4,FALSE)*$EC605,IF(ISERROR(VLOOKUP($A605,FIJOS!$B$11:$P$108,9,FALSE)),0,VLOOKUP($A605,FIJOS!$B$11:$P$231,9,FALSE)*$EC605))</f>
        <v>0</v>
      </c>
      <c r="DK605" s="145">
        <f>IF(OR($C605=2),VLOOKUP($D605,HORAS!$B$4:$F$42,5,FALSE)*$EE605,IF(ISERROR(VLOOKUP($A605,FIJOS!$B$11:$P$108,9,FALSE)),0,VLOOKUP($A605,FIJOS!$B$11:$P$231,9,FALSE)*$EE605))</f>
        <v>0</v>
      </c>
      <c r="DL605" s="144"/>
      <c r="DM605" s="145">
        <f>IF(ISERROR(VLOOKUP($A605,FIJOS!$B$11:$L$646,11,FALSE)),0,VLOOKUP($A605,FIJOS!$B$11:$L$646,11,FALSE))</f>
        <v>0</v>
      </c>
      <c r="DN605" s="148" t="e">
        <f>IF(OR($C605=1,$C605=3),0,IF((VLOOKUP(CAPTURA!D605,HORAS!$B$4:$K$42,10,FALSE)/4)*COUNTIF($H605:$CT605,3)&gt;100,100,(VLOOKUP(CAPTURA!D605,HORAS!$B$4:$K$42,10,FALSE)/4)*COUNTIF($H605:$CT605,3)))</f>
        <v>#N/A</v>
      </c>
      <c r="DO605" s="144" t="e">
        <f>IF(OR($C605=1,$C605=3),0,IF($C605=5,VLOOKUP(D605,HORAS!$B$4:$G$42,6,FALSE),IF(AND($C605=4,$CV605&gt;=(42/24)),VLOOKUP(D605,HORAS!$B$4:$G$42,6,FALSE),IF(COUNTIF($H605:$CL605,"F")&gt;0,0,IF(CV605&gt;$DJ$1,$DJ$1*(VLOOKUP(D605,HORAS!$B$4:$G$42,6,FALSE)/$DJ$1),CV605*(VLOOKUP(D605,HORAS!$B$4:$G$42,6,FALSE)/$DJ$1))))))</f>
        <v>#N/A</v>
      </c>
      <c r="DP605" s="156"/>
      <c r="DQ605" s="148"/>
      <c r="DR605" s="148"/>
      <c r="DS605" s="83" t="e">
        <f t="shared" si="287"/>
        <v>#N/A</v>
      </c>
      <c r="DT605" s="84"/>
      <c r="DU605" s="149" t="e">
        <f t="shared" si="259"/>
        <v>#N/A</v>
      </c>
      <c r="DV605" s="149" t="e">
        <f t="shared" si="260"/>
        <v>#N/A</v>
      </c>
      <c r="DW605" s="144" t="e">
        <f t="shared" si="261"/>
        <v>#N/A</v>
      </c>
      <c r="DX605" s="168"/>
      <c r="DY605" s="29"/>
      <c r="DZ605" s="150"/>
      <c r="EA605" s="134"/>
      <c r="EB605" s="137">
        <f t="shared" si="262"/>
        <v>0</v>
      </c>
      <c r="EC605" s="138">
        <f t="shared" si="263"/>
        <v>0</v>
      </c>
      <c r="ED605" s="137">
        <f t="shared" si="264"/>
        <v>0</v>
      </c>
      <c r="EE605" s="132">
        <f t="shared" si="265"/>
        <v>0</v>
      </c>
      <c r="EF605" s="29"/>
      <c r="EG605" s="134"/>
      <c r="EH605" s="134"/>
      <c r="EI605" s="134"/>
      <c r="EK605" s="29"/>
    </row>
    <row r="606" spans="1:141" ht="15" customHeight="1" x14ac:dyDescent="0.25">
      <c r="A606" s="87"/>
      <c r="B606" s="5"/>
      <c r="C606" s="72"/>
      <c r="D606" s="73"/>
      <c r="E606" s="73"/>
      <c r="F606" s="141"/>
      <c r="G606" s="74"/>
      <c r="H606" s="75"/>
      <c r="I606" s="76"/>
      <c r="J606" s="135"/>
      <c r="K606" s="135"/>
      <c r="L606" s="77">
        <f t="shared" si="266"/>
        <v>0</v>
      </c>
      <c r="M606" s="78"/>
      <c r="N606" s="142"/>
      <c r="O606" s="142"/>
      <c r="P606" s="77">
        <f t="shared" si="267"/>
        <v>0</v>
      </c>
      <c r="Q606" s="78"/>
      <c r="R606" s="143"/>
      <c r="S606" s="143"/>
      <c r="T606" s="77">
        <f t="shared" si="268"/>
        <v>0</v>
      </c>
      <c r="U606" s="75"/>
      <c r="V606" s="76"/>
      <c r="W606" s="135"/>
      <c r="X606" s="135"/>
      <c r="Y606" s="77">
        <f t="shared" si="269"/>
        <v>0</v>
      </c>
      <c r="Z606" s="78"/>
      <c r="AA606" s="142"/>
      <c r="AB606" s="142"/>
      <c r="AC606" s="77">
        <f t="shared" si="270"/>
        <v>0</v>
      </c>
      <c r="AD606" s="78"/>
      <c r="AE606" s="143"/>
      <c r="AF606" s="143"/>
      <c r="AG606" s="79">
        <f t="shared" si="271"/>
        <v>0</v>
      </c>
      <c r="AH606" s="75"/>
      <c r="AI606" s="76"/>
      <c r="AJ606" s="135"/>
      <c r="AK606" s="135"/>
      <c r="AL606" s="77">
        <f t="shared" si="272"/>
        <v>0</v>
      </c>
      <c r="AM606" s="76"/>
      <c r="AN606" s="142"/>
      <c r="AO606" s="142"/>
      <c r="AP606" s="77">
        <f t="shared" si="273"/>
        <v>0</v>
      </c>
      <c r="AQ606" s="78"/>
      <c r="AR606" s="142"/>
      <c r="AS606" s="142"/>
      <c r="AT606" s="79">
        <f t="shared" si="274"/>
        <v>0</v>
      </c>
      <c r="AU606" s="75"/>
      <c r="AV606" s="76"/>
      <c r="AW606" s="135"/>
      <c r="AX606" s="135"/>
      <c r="AY606" s="77">
        <f t="shared" si="275"/>
        <v>0</v>
      </c>
      <c r="AZ606" s="76"/>
      <c r="BA606" s="142"/>
      <c r="BB606" s="142"/>
      <c r="BC606" s="77">
        <f t="shared" si="276"/>
        <v>0</v>
      </c>
      <c r="BD606" s="78"/>
      <c r="BE606" s="142"/>
      <c r="BF606" s="142"/>
      <c r="BG606" s="79">
        <f t="shared" si="277"/>
        <v>0</v>
      </c>
      <c r="BH606" s="75"/>
      <c r="BI606" s="76"/>
      <c r="BJ606" s="135"/>
      <c r="BK606" s="135"/>
      <c r="BL606" s="77">
        <f t="shared" si="278"/>
        <v>0</v>
      </c>
      <c r="BM606" s="78"/>
      <c r="BN606" s="142"/>
      <c r="BO606" s="142"/>
      <c r="BP606" s="77">
        <f t="shared" si="279"/>
        <v>0</v>
      </c>
      <c r="BQ606" s="78"/>
      <c r="BR606" s="142"/>
      <c r="BS606" s="142"/>
      <c r="BT606" s="79">
        <f t="shared" si="280"/>
        <v>0</v>
      </c>
      <c r="BU606" s="75"/>
      <c r="BV606" s="76"/>
      <c r="BW606" s="135"/>
      <c r="BX606" s="135"/>
      <c r="BY606" s="77">
        <f t="shared" si="281"/>
        <v>0</v>
      </c>
      <c r="BZ606" s="78"/>
      <c r="CA606" s="142"/>
      <c r="CB606" s="142"/>
      <c r="CC606" s="77">
        <f t="shared" si="282"/>
        <v>0</v>
      </c>
      <c r="CD606" s="78"/>
      <c r="CE606" s="142"/>
      <c r="CF606" s="142"/>
      <c r="CG606" s="79">
        <f t="shared" si="283"/>
        <v>0</v>
      </c>
      <c r="CH606" s="75"/>
      <c r="CI606" s="76"/>
      <c r="CJ606" s="86"/>
      <c r="CK606" s="86"/>
      <c r="CL606" s="77">
        <f t="shared" si="284"/>
        <v>0</v>
      </c>
      <c r="CM606" s="78"/>
      <c r="CN606" s="85"/>
      <c r="CO606" s="85"/>
      <c r="CP606" s="77">
        <f t="shared" si="285"/>
        <v>0</v>
      </c>
      <c r="CQ606" s="78"/>
      <c r="CR606" s="85"/>
      <c r="CS606" s="85"/>
      <c r="CT606" s="79">
        <f t="shared" si="286"/>
        <v>0</v>
      </c>
      <c r="CU606" s="80">
        <f t="shared" si="288"/>
        <v>0</v>
      </c>
      <c r="CV606" s="81">
        <f t="shared" si="289"/>
        <v>0</v>
      </c>
      <c r="CW606" s="144"/>
      <c r="CX606" s="145">
        <f>IF(ISERROR(VLOOKUP($A606,FIJOS!$B$11:$O$590,14,FALSE)),0,VLOOKUP($A606,FIJOS!$B$11:$O$590,14,FALSE))</f>
        <v>0</v>
      </c>
      <c r="CY606" s="145">
        <f>IF(ISERROR(VLOOKUP(A606,FIJOS!$B$10:$P$590,15,FALSE)),0,VLOOKUP(A606,FIJOS!$B$10:$P$590,15,FALSE))</f>
        <v>0</v>
      </c>
      <c r="CZ606" s="155"/>
      <c r="DA606" s="147"/>
      <c r="DB606" s="147"/>
      <c r="DC606" s="147"/>
      <c r="DD606" s="147"/>
      <c r="DE606" s="147"/>
      <c r="DF606" s="145">
        <f>IF(ISERROR(VLOOKUP($A606,FIJOS!$B$11:$N$590,13,FALSE)),0,VLOOKUP($A606,FIJOS!$B$11:$N$590,13,FALSE))</f>
        <v>0</v>
      </c>
      <c r="DG606" s="145">
        <f>IF(ISERROR(VLOOKUP($A606,FIJOS!$B$11:$P$447,12,FALSE)),0,VLOOKUP($A606,FIJOS!$B$11:$P$447,12,FALSE))</f>
        <v>0</v>
      </c>
      <c r="DH606" s="82">
        <f t="shared" si="258"/>
        <v>0</v>
      </c>
      <c r="DI606" s="83" t="b">
        <f>IF($C606=1,(VLOOKUP($A606,FIJOS!$B$11:$P$545,10,FALSE)/7)*(7-$CU606),IF(AND($C606=2,CV606&lt;$DJ$1),(VLOOKUP($D606,HORAS!$B$4:$C$42,2,FALSE)*24)*$CV606,IF(AND($C606=2,CV606&gt;=$DJ$1),VLOOKUP($D606,HORAS!$B$4:$D$42,3,FALSE),IF(AND($C606=3,$CV606&gt;=$DJ$1),VLOOKUP($A606,FIJOS!$B$11:$P$545,10,FALSE),IF(AND($C606=3,$CV606&lt;$DJ$1),((VLOOKUP($A606,FIJOS!$B$11:$P$545,10,FALSE)/48)*24)*$CV606,IF(AND($C606=4,$CV606&gt;=(42/24)),VLOOKUP($D606,HORAS!$B$4:$D$42,3,FALSE),IF(AND($C606=5,$CV606&gt;=(36/24)),VLOOKUP($D606,HORAS!$B$4:$D$42,3,FALSE))))))))</f>
        <v>0</v>
      </c>
      <c r="DJ606" s="145">
        <f>IF(OR($C606=2),VLOOKUP($D606,HORAS!$B$4:$E$42,4,FALSE)*$EC606,IF(ISERROR(VLOOKUP($A606,FIJOS!$B$11:$P$108,9,FALSE)),0,VLOOKUP($A606,FIJOS!$B$11:$P$231,9,FALSE)*$EC606))</f>
        <v>0</v>
      </c>
      <c r="DK606" s="145">
        <f>IF(OR($C606=2),VLOOKUP($D606,HORAS!$B$4:$F$42,5,FALSE)*$EE606,IF(ISERROR(VLOOKUP($A606,FIJOS!$B$11:$P$108,9,FALSE)),0,VLOOKUP($A606,FIJOS!$B$11:$P$231,9,FALSE)*$EE606))</f>
        <v>0</v>
      </c>
      <c r="DL606" s="144"/>
      <c r="DM606" s="145">
        <f>IF(ISERROR(VLOOKUP($A606,FIJOS!$B$11:$L$646,11,FALSE)),0,VLOOKUP($A606,FIJOS!$B$11:$L$646,11,FALSE))</f>
        <v>0</v>
      </c>
      <c r="DN606" s="148" t="e">
        <f>IF(OR($C606=1,$C606=3),0,IF((VLOOKUP(CAPTURA!D606,HORAS!$B$4:$K$42,10,FALSE)/4)*COUNTIF($H606:$CT606,3)&gt;100,100,(VLOOKUP(CAPTURA!D606,HORAS!$B$4:$K$42,10,FALSE)/4)*COUNTIF($H606:$CT606,3)))</f>
        <v>#N/A</v>
      </c>
      <c r="DO606" s="144" t="e">
        <f>IF(OR($C606=1,$C606=3),0,IF($C606=5,VLOOKUP(D606,HORAS!$B$4:$G$42,6,FALSE),IF(AND($C606=4,$CV606&gt;=(42/24)),VLOOKUP(D606,HORAS!$B$4:$G$42,6,FALSE),IF(COUNTIF($H606:$CL606,"F")&gt;0,0,IF(CV606&gt;$DJ$1,$DJ$1*(VLOOKUP(D606,HORAS!$B$4:$G$42,6,FALSE)/$DJ$1),CV606*(VLOOKUP(D606,HORAS!$B$4:$G$42,6,FALSE)/$DJ$1))))))</f>
        <v>#N/A</v>
      </c>
      <c r="DP606" s="156"/>
      <c r="DQ606" s="148"/>
      <c r="DR606" s="148"/>
      <c r="DS606" s="83" t="e">
        <f t="shared" si="287"/>
        <v>#N/A</v>
      </c>
      <c r="DT606" s="84"/>
      <c r="DU606" s="149" t="e">
        <f t="shared" si="259"/>
        <v>#N/A</v>
      </c>
      <c r="DV606" s="149" t="e">
        <f t="shared" si="260"/>
        <v>#N/A</v>
      </c>
      <c r="DW606" s="144" t="e">
        <f t="shared" si="261"/>
        <v>#N/A</v>
      </c>
      <c r="DX606" s="168"/>
      <c r="DY606" s="29"/>
      <c r="DZ606" s="150"/>
      <c r="EA606" s="134"/>
      <c r="EB606" s="137">
        <f t="shared" si="262"/>
        <v>0</v>
      </c>
      <c r="EC606" s="138">
        <f t="shared" si="263"/>
        <v>0</v>
      </c>
      <c r="ED606" s="137">
        <f t="shared" si="264"/>
        <v>0</v>
      </c>
      <c r="EE606" s="132">
        <f t="shared" si="265"/>
        <v>0</v>
      </c>
      <c r="EF606" s="29"/>
      <c r="EG606" s="134"/>
      <c r="EH606" s="134"/>
      <c r="EI606" s="134"/>
      <c r="EK606" s="29"/>
    </row>
    <row r="607" spans="1:141" ht="15" customHeight="1" x14ac:dyDescent="0.25">
      <c r="A607" s="87"/>
      <c r="B607" s="5"/>
      <c r="C607" s="72"/>
      <c r="D607" s="73"/>
      <c r="E607" s="73"/>
      <c r="F607" s="141"/>
      <c r="G607" s="74"/>
      <c r="H607" s="75"/>
      <c r="I607" s="76"/>
      <c r="J607" s="135"/>
      <c r="K607" s="135"/>
      <c r="L607" s="77">
        <f t="shared" si="266"/>
        <v>0</v>
      </c>
      <c r="M607" s="78"/>
      <c r="N607" s="142"/>
      <c r="O607" s="142"/>
      <c r="P607" s="77">
        <f t="shared" si="267"/>
        <v>0</v>
      </c>
      <c r="Q607" s="78"/>
      <c r="R607" s="143"/>
      <c r="S607" s="143"/>
      <c r="T607" s="77">
        <f t="shared" si="268"/>
        <v>0</v>
      </c>
      <c r="U607" s="75"/>
      <c r="V607" s="76"/>
      <c r="W607" s="135"/>
      <c r="X607" s="135"/>
      <c r="Y607" s="77">
        <f t="shared" si="269"/>
        <v>0</v>
      </c>
      <c r="Z607" s="78"/>
      <c r="AA607" s="142"/>
      <c r="AB607" s="142"/>
      <c r="AC607" s="77">
        <f t="shared" si="270"/>
        <v>0</v>
      </c>
      <c r="AD607" s="78"/>
      <c r="AE607" s="143"/>
      <c r="AF607" s="143"/>
      <c r="AG607" s="79">
        <f t="shared" si="271"/>
        <v>0</v>
      </c>
      <c r="AH607" s="75"/>
      <c r="AI607" s="76"/>
      <c r="AJ607" s="135"/>
      <c r="AK607" s="135"/>
      <c r="AL607" s="77">
        <f t="shared" si="272"/>
        <v>0</v>
      </c>
      <c r="AM607" s="76"/>
      <c r="AN607" s="142"/>
      <c r="AO607" s="142"/>
      <c r="AP607" s="77">
        <f t="shared" si="273"/>
        <v>0</v>
      </c>
      <c r="AQ607" s="78"/>
      <c r="AR607" s="142"/>
      <c r="AS607" s="142"/>
      <c r="AT607" s="79">
        <f t="shared" si="274"/>
        <v>0</v>
      </c>
      <c r="AU607" s="75"/>
      <c r="AV607" s="76"/>
      <c r="AW607" s="135"/>
      <c r="AX607" s="135"/>
      <c r="AY607" s="77">
        <f t="shared" si="275"/>
        <v>0</v>
      </c>
      <c r="AZ607" s="76"/>
      <c r="BA607" s="142"/>
      <c r="BB607" s="142"/>
      <c r="BC607" s="77">
        <f t="shared" si="276"/>
        <v>0</v>
      </c>
      <c r="BD607" s="78"/>
      <c r="BE607" s="142"/>
      <c r="BF607" s="142"/>
      <c r="BG607" s="79">
        <f t="shared" si="277"/>
        <v>0</v>
      </c>
      <c r="BH607" s="75"/>
      <c r="BI607" s="76"/>
      <c r="BJ607" s="135"/>
      <c r="BK607" s="135"/>
      <c r="BL607" s="77">
        <f t="shared" si="278"/>
        <v>0</v>
      </c>
      <c r="BM607" s="78"/>
      <c r="BN607" s="142"/>
      <c r="BO607" s="142"/>
      <c r="BP607" s="77">
        <f t="shared" si="279"/>
        <v>0</v>
      </c>
      <c r="BQ607" s="78"/>
      <c r="BR607" s="142"/>
      <c r="BS607" s="142"/>
      <c r="BT607" s="79">
        <f t="shared" si="280"/>
        <v>0</v>
      </c>
      <c r="BU607" s="75"/>
      <c r="BV607" s="76"/>
      <c r="BW607" s="135"/>
      <c r="BX607" s="135"/>
      <c r="BY607" s="77">
        <f t="shared" si="281"/>
        <v>0</v>
      </c>
      <c r="BZ607" s="78"/>
      <c r="CA607" s="142"/>
      <c r="CB607" s="142"/>
      <c r="CC607" s="77">
        <f t="shared" si="282"/>
        <v>0</v>
      </c>
      <c r="CD607" s="78"/>
      <c r="CE607" s="142"/>
      <c r="CF607" s="142"/>
      <c r="CG607" s="79">
        <f t="shared" si="283"/>
        <v>0</v>
      </c>
      <c r="CH607" s="75"/>
      <c r="CI607" s="76"/>
      <c r="CJ607" s="86"/>
      <c r="CK607" s="86"/>
      <c r="CL607" s="77">
        <f t="shared" si="284"/>
        <v>0</v>
      </c>
      <c r="CM607" s="78"/>
      <c r="CN607" s="85"/>
      <c r="CO607" s="85"/>
      <c r="CP607" s="77">
        <f t="shared" si="285"/>
        <v>0</v>
      </c>
      <c r="CQ607" s="78"/>
      <c r="CR607" s="85"/>
      <c r="CS607" s="85"/>
      <c r="CT607" s="79">
        <f t="shared" si="286"/>
        <v>0</v>
      </c>
      <c r="CU607" s="80">
        <f t="shared" si="288"/>
        <v>0</v>
      </c>
      <c r="CV607" s="81">
        <f t="shared" si="289"/>
        <v>0</v>
      </c>
      <c r="CW607" s="144"/>
      <c r="CX607" s="145">
        <f>IF(ISERROR(VLOOKUP($A607,FIJOS!$B$11:$O$590,14,FALSE)),0,VLOOKUP($A607,FIJOS!$B$11:$O$590,14,FALSE))</f>
        <v>0</v>
      </c>
      <c r="CY607" s="145">
        <f>IF(ISERROR(VLOOKUP(A607,FIJOS!$B$10:$P$590,15,FALSE)),0,VLOOKUP(A607,FIJOS!$B$10:$P$590,15,FALSE))</f>
        <v>0</v>
      </c>
      <c r="CZ607" s="155"/>
      <c r="DA607" s="147"/>
      <c r="DB607" s="147"/>
      <c r="DC607" s="147"/>
      <c r="DD607" s="147"/>
      <c r="DE607" s="147"/>
      <c r="DF607" s="145">
        <f>IF(ISERROR(VLOOKUP($A607,FIJOS!$B$11:$N$590,13,FALSE)),0,VLOOKUP($A607,FIJOS!$B$11:$N$590,13,FALSE))</f>
        <v>0</v>
      </c>
      <c r="DG607" s="145">
        <f>IF(ISERROR(VLOOKUP($A607,FIJOS!$B$11:$P$447,12,FALSE)),0,VLOOKUP($A607,FIJOS!$B$11:$P$447,12,FALSE))</f>
        <v>0</v>
      </c>
      <c r="DH607" s="82">
        <f t="shared" si="258"/>
        <v>0</v>
      </c>
      <c r="DI607" s="83" t="b">
        <f>IF($C607=1,(VLOOKUP($A607,FIJOS!$B$11:$P$545,10,FALSE)/7)*(7-$CU607),IF(AND($C607=2,CV607&lt;$DJ$1),(VLOOKUP($D607,HORAS!$B$4:$C$42,2,FALSE)*24)*$CV607,IF(AND($C607=2,CV607&gt;=$DJ$1),VLOOKUP($D607,HORAS!$B$4:$D$42,3,FALSE),IF(AND($C607=3,$CV607&gt;=$DJ$1),VLOOKUP($A607,FIJOS!$B$11:$P$545,10,FALSE),IF(AND($C607=3,$CV607&lt;$DJ$1),((VLOOKUP($A607,FIJOS!$B$11:$P$545,10,FALSE)/48)*24)*$CV607,IF(AND($C607=4,$CV607&gt;=(42/24)),VLOOKUP($D607,HORAS!$B$4:$D$42,3,FALSE),IF(AND($C607=5,$CV607&gt;=(36/24)),VLOOKUP($D607,HORAS!$B$4:$D$42,3,FALSE))))))))</f>
        <v>0</v>
      </c>
      <c r="DJ607" s="145">
        <f>IF(OR($C607=2),VLOOKUP($D607,HORAS!$B$4:$E$42,4,FALSE)*$EC607,IF(ISERROR(VLOOKUP($A607,FIJOS!$B$11:$P$108,9,FALSE)),0,VLOOKUP($A607,FIJOS!$B$11:$P$231,9,FALSE)*$EC607))</f>
        <v>0</v>
      </c>
      <c r="DK607" s="145">
        <f>IF(OR($C607=2),VLOOKUP($D607,HORAS!$B$4:$F$42,5,FALSE)*$EE607,IF(ISERROR(VLOOKUP($A607,FIJOS!$B$11:$P$108,9,FALSE)),0,VLOOKUP($A607,FIJOS!$B$11:$P$231,9,FALSE)*$EE607))</f>
        <v>0</v>
      </c>
      <c r="DL607" s="144"/>
      <c r="DM607" s="145">
        <f>IF(ISERROR(VLOOKUP($A607,FIJOS!$B$11:$L$646,11,FALSE)),0,VLOOKUP($A607,FIJOS!$B$11:$L$646,11,FALSE))</f>
        <v>0</v>
      </c>
      <c r="DN607" s="148" t="e">
        <f>IF(OR($C607=1,$C607=3),0,IF((VLOOKUP(CAPTURA!D607,HORAS!$B$4:$K$42,10,FALSE)/4)*COUNTIF($H607:$CT607,3)&gt;100,100,(VLOOKUP(CAPTURA!D607,HORAS!$B$4:$K$42,10,FALSE)/4)*COUNTIF($H607:$CT607,3)))</f>
        <v>#N/A</v>
      </c>
      <c r="DO607" s="144" t="e">
        <f>IF(OR($C607=1,$C607=3),0,IF($C607=5,VLOOKUP(D607,HORAS!$B$4:$G$42,6,FALSE),IF(AND($C607=4,$CV607&gt;=(42/24)),VLOOKUP(D607,HORAS!$B$4:$G$42,6,FALSE),IF(COUNTIF($H607:$CL607,"F")&gt;0,0,IF(CV607&gt;$DJ$1,$DJ$1*(VLOOKUP(D607,HORAS!$B$4:$G$42,6,FALSE)/$DJ$1),CV607*(VLOOKUP(D607,HORAS!$B$4:$G$42,6,FALSE)/$DJ$1))))))</f>
        <v>#N/A</v>
      </c>
      <c r="DP607" s="156"/>
      <c r="DQ607" s="148"/>
      <c r="DR607" s="148"/>
      <c r="DS607" s="83" t="e">
        <f t="shared" si="287"/>
        <v>#N/A</v>
      </c>
      <c r="DT607" s="84"/>
      <c r="DU607" s="149" t="e">
        <f t="shared" si="259"/>
        <v>#N/A</v>
      </c>
      <c r="DV607" s="149" t="e">
        <f t="shared" si="260"/>
        <v>#N/A</v>
      </c>
      <c r="DW607" s="144" t="e">
        <f t="shared" si="261"/>
        <v>#N/A</v>
      </c>
      <c r="DX607" s="168"/>
      <c r="DY607" s="29"/>
      <c r="DZ607" s="150"/>
      <c r="EA607" s="134"/>
      <c r="EB607" s="137">
        <f t="shared" si="262"/>
        <v>0</v>
      </c>
      <c r="EC607" s="138">
        <f t="shared" si="263"/>
        <v>0</v>
      </c>
      <c r="ED607" s="137">
        <f t="shared" si="264"/>
        <v>0</v>
      </c>
      <c r="EE607" s="132">
        <f t="shared" si="265"/>
        <v>0</v>
      </c>
      <c r="EF607" s="29"/>
      <c r="EG607" s="134"/>
      <c r="EH607" s="134"/>
      <c r="EI607" s="134"/>
      <c r="EK607" s="29"/>
    </row>
    <row r="608" spans="1:141" ht="15" customHeight="1" x14ac:dyDescent="0.25">
      <c r="A608" s="87"/>
      <c r="B608" s="5"/>
      <c r="C608" s="72"/>
      <c r="D608" s="73"/>
      <c r="E608" s="73"/>
      <c r="F608" s="141"/>
      <c r="G608" s="74"/>
      <c r="H608" s="75"/>
      <c r="I608" s="76"/>
      <c r="J608" s="135"/>
      <c r="K608" s="135"/>
      <c r="L608" s="77">
        <f t="shared" si="266"/>
        <v>0</v>
      </c>
      <c r="M608" s="78"/>
      <c r="N608" s="142"/>
      <c r="O608" s="142"/>
      <c r="P608" s="77">
        <f t="shared" si="267"/>
        <v>0</v>
      </c>
      <c r="Q608" s="78"/>
      <c r="R608" s="143"/>
      <c r="S608" s="143"/>
      <c r="T608" s="77">
        <f t="shared" si="268"/>
        <v>0</v>
      </c>
      <c r="U608" s="75"/>
      <c r="V608" s="76"/>
      <c r="W608" s="135"/>
      <c r="X608" s="135"/>
      <c r="Y608" s="77">
        <f t="shared" si="269"/>
        <v>0</v>
      </c>
      <c r="Z608" s="78"/>
      <c r="AA608" s="142"/>
      <c r="AB608" s="142"/>
      <c r="AC608" s="77">
        <f t="shared" si="270"/>
        <v>0</v>
      </c>
      <c r="AD608" s="78"/>
      <c r="AE608" s="143"/>
      <c r="AF608" s="143"/>
      <c r="AG608" s="79">
        <f t="shared" si="271"/>
        <v>0</v>
      </c>
      <c r="AH608" s="75"/>
      <c r="AI608" s="76"/>
      <c r="AJ608" s="135"/>
      <c r="AK608" s="135"/>
      <c r="AL608" s="77">
        <f t="shared" si="272"/>
        <v>0</v>
      </c>
      <c r="AM608" s="76"/>
      <c r="AN608" s="142"/>
      <c r="AO608" s="142"/>
      <c r="AP608" s="77">
        <f t="shared" si="273"/>
        <v>0</v>
      </c>
      <c r="AQ608" s="78"/>
      <c r="AR608" s="142"/>
      <c r="AS608" s="142"/>
      <c r="AT608" s="79">
        <f t="shared" si="274"/>
        <v>0</v>
      </c>
      <c r="AU608" s="75"/>
      <c r="AV608" s="76"/>
      <c r="AW608" s="135"/>
      <c r="AX608" s="135"/>
      <c r="AY608" s="77">
        <f t="shared" si="275"/>
        <v>0</v>
      </c>
      <c r="AZ608" s="76"/>
      <c r="BA608" s="142"/>
      <c r="BB608" s="142"/>
      <c r="BC608" s="77">
        <f t="shared" si="276"/>
        <v>0</v>
      </c>
      <c r="BD608" s="78"/>
      <c r="BE608" s="142"/>
      <c r="BF608" s="142"/>
      <c r="BG608" s="79">
        <f t="shared" si="277"/>
        <v>0</v>
      </c>
      <c r="BH608" s="75"/>
      <c r="BI608" s="76"/>
      <c r="BJ608" s="135"/>
      <c r="BK608" s="135"/>
      <c r="BL608" s="77">
        <f t="shared" si="278"/>
        <v>0</v>
      </c>
      <c r="BM608" s="78"/>
      <c r="BN608" s="142"/>
      <c r="BO608" s="142"/>
      <c r="BP608" s="77">
        <f t="shared" si="279"/>
        <v>0</v>
      </c>
      <c r="BQ608" s="78"/>
      <c r="BR608" s="142"/>
      <c r="BS608" s="142"/>
      <c r="BT608" s="79">
        <f t="shared" si="280"/>
        <v>0</v>
      </c>
      <c r="BU608" s="75"/>
      <c r="BV608" s="76"/>
      <c r="BW608" s="135"/>
      <c r="BX608" s="135"/>
      <c r="BY608" s="77">
        <f t="shared" si="281"/>
        <v>0</v>
      </c>
      <c r="BZ608" s="78"/>
      <c r="CA608" s="142"/>
      <c r="CB608" s="142"/>
      <c r="CC608" s="77">
        <f t="shared" si="282"/>
        <v>0</v>
      </c>
      <c r="CD608" s="78"/>
      <c r="CE608" s="142"/>
      <c r="CF608" s="142"/>
      <c r="CG608" s="79">
        <f t="shared" si="283"/>
        <v>0</v>
      </c>
      <c r="CH608" s="75"/>
      <c r="CI608" s="76"/>
      <c r="CJ608" s="86"/>
      <c r="CK608" s="86"/>
      <c r="CL608" s="77">
        <f t="shared" si="284"/>
        <v>0</v>
      </c>
      <c r="CM608" s="78"/>
      <c r="CN608" s="85"/>
      <c r="CO608" s="85"/>
      <c r="CP608" s="77">
        <f t="shared" si="285"/>
        <v>0</v>
      </c>
      <c r="CQ608" s="78"/>
      <c r="CR608" s="85"/>
      <c r="CS608" s="85"/>
      <c r="CT608" s="79">
        <f t="shared" si="286"/>
        <v>0</v>
      </c>
      <c r="CU608" s="80">
        <f t="shared" si="288"/>
        <v>0</v>
      </c>
      <c r="CV608" s="81">
        <f t="shared" si="289"/>
        <v>0</v>
      </c>
      <c r="CW608" s="144"/>
      <c r="CX608" s="145">
        <f>IF(ISERROR(VLOOKUP($A608,FIJOS!$B$11:$O$590,14,FALSE)),0,VLOOKUP($A608,FIJOS!$B$11:$O$590,14,FALSE))</f>
        <v>0</v>
      </c>
      <c r="CY608" s="145">
        <f>IF(ISERROR(VLOOKUP(A608,FIJOS!$B$10:$P$590,15,FALSE)),0,VLOOKUP(A608,FIJOS!$B$10:$P$590,15,FALSE))</f>
        <v>0</v>
      </c>
      <c r="CZ608" s="155"/>
      <c r="DA608" s="147"/>
      <c r="DB608" s="147"/>
      <c r="DC608" s="147"/>
      <c r="DD608" s="147"/>
      <c r="DE608" s="147"/>
      <c r="DF608" s="145">
        <f>IF(ISERROR(VLOOKUP($A608,FIJOS!$B$11:$N$590,13,FALSE)),0,VLOOKUP($A608,FIJOS!$B$11:$N$590,13,FALSE))</f>
        <v>0</v>
      </c>
      <c r="DG608" s="145">
        <f>IF(ISERROR(VLOOKUP($A608,FIJOS!$B$11:$P$447,12,FALSE)),0,VLOOKUP($A608,FIJOS!$B$11:$P$447,12,FALSE))</f>
        <v>0</v>
      </c>
      <c r="DH608" s="82">
        <f t="shared" si="258"/>
        <v>0</v>
      </c>
      <c r="DI608" s="83" t="b">
        <f>IF($C608=1,(VLOOKUP($A608,FIJOS!$B$11:$P$545,10,FALSE)/7)*(7-$CU608),IF(AND($C608=2,CV608&lt;$DJ$1),(VLOOKUP($D608,HORAS!$B$4:$C$42,2,FALSE)*24)*$CV608,IF(AND($C608=2,CV608&gt;=$DJ$1),VLOOKUP($D608,HORAS!$B$4:$D$42,3,FALSE),IF(AND($C608=3,$CV608&gt;=$DJ$1),VLOOKUP($A608,FIJOS!$B$11:$P$545,10,FALSE),IF(AND($C608=3,$CV608&lt;$DJ$1),((VLOOKUP($A608,FIJOS!$B$11:$P$545,10,FALSE)/48)*24)*$CV608,IF(AND($C608=4,$CV608&gt;=(42/24)),VLOOKUP($D608,HORAS!$B$4:$D$42,3,FALSE),IF(AND($C608=5,$CV608&gt;=(36/24)),VLOOKUP($D608,HORAS!$B$4:$D$42,3,FALSE))))))))</f>
        <v>0</v>
      </c>
      <c r="DJ608" s="145">
        <f>IF(OR($C608=2),VLOOKUP($D608,HORAS!$B$4:$E$42,4,FALSE)*$EC608,IF(ISERROR(VLOOKUP($A608,FIJOS!$B$11:$P$108,9,FALSE)),0,VLOOKUP($A608,FIJOS!$B$11:$P$231,9,FALSE)*$EC608))</f>
        <v>0</v>
      </c>
      <c r="DK608" s="145">
        <f>IF(OR($C608=2),VLOOKUP($D608,HORAS!$B$4:$F$42,5,FALSE)*$EE608,IF(ISERROR(VLOOKUP($A608,FIJOS!$B$11:$P$108,9,FALSE)),0,VLOOKUP($A608,FIJOS!$B$11:$P$231,9,FALSE)*$EE608))</f>
        <v>0</v>
      </c>
      <c r="DL608" s="144"/>
      <c r="DM608" s="145">
        <f>IF(ISERROR(VLOOKUP($A608,FIJOS!$B$11:$L$646,11,FALSE)),0,VLOOKUP($A608,FIJOS!$B$11:$L$646,11,FALSE))</f>
        <v>0</v>
      </c>
      <c r="DN608" s="148" t="e">
        <f>IF(OR($C608=1,$C608=3),0,IF((VLOOKUP(CAPTURA!D608,HORAS!$B$4:$K$42,10,FALSE)/4)*COUNTIF($H608:$CT608,3)&gt;100,100,(VLOOKUP(CAPTURA!D608,HORAS!$B$4:$K$42,10,FALSE)/4)*COUNTIF($H608:$CT608,3)))</f>
        <v>#N/A</v>
      </c>
      <c r="DO608" s="144" t="e">
        <f>IF(OR($C608=1,$C608=3),0,IF($C608=5,VLOOKUP(D608,HORAS!$B$4:$G$42,6,FALSE),IF(AND($C608=4,$CV608&gt;=(42/24)),VLOOKUP(D608,HORAS!$B$4:$G$42,6,FALSE),IF(COUNTIF($H608:$CL608,"F")&gt;0,0,IF(CV608&gt;$DJ$1,$DJ$1*(VLOOKUP(D608,HORAS!$B$4:$G$42,6,FALSE)/$DJ$1),CV608*(VLOOKUP(D608,HORAS!$B$4:$G$42,6,FALSE)/$DJ$1))))))</f>
        <v>#N/A</v>
      </c>
      <c r="DP608" s="156"/>
      <c r="DQ608" s="148"/>
      <c r="DR608" s="148"/>
      <c r="DS608" s="83" t="e">
        <f t="shared" si="287"/>
        <v>#N/A</v>
      </c>
      <c r="DT608" s="84"/>
      <c r="DU608" s="149" t="e">
        <f t="shared" si="259"/>
        <v>#N/A</v>
      </c>
      <c r="DV608" s="149" t="e">
        <f t="shared" si="260"/>
        <v>#N/A</v>
      </c>
      <c r="DW608" s="144" t="e">
        <f t="shared" si="261"/>
        <v>#N/A</v>
      </c>
      <c r="DX608" s="168"/>
      <c r="DY608" s="29"/>
      <c r="DZ608" s="150"/>
      <c r="EA608" s="134"/>
      <c r="EB608" s="137">
        <f t="shared" si="262"/>
        <v>0</v>
      </c>
      <c r="EC608" s="138">
        <f t="shared" si="263"/>
        <v>0</v>
      </c>
      <c r="ED608" s="137">
        <f t="shared" si="264"/>
        <v>0</v>
      </c>
      <c r="EE608" s="132">
        <f t="shared" si="265"/>
        <v>0</v>
      </c>
      <c r="EF608" s="29"/>
      <c r="EG608" s="134"/>
      <c r="EH608" s="134"/>
      <c r="EI608" s="134"/>
      <c r="EK608" s="29"/>
    </row>
    <row r="609" spans="1:141" ht="15" customHeight="1" x14ac:dyDescent="0.25">
      <c r="A609" s="87"/>
      <c r="B609" s="5"/>
      <c r="C609" s="72"/>
      <c r="D609" s="73"/>
      <c r="E609" s="73"/>
      <c r="F609" s="141"/>
      <c r="G609" s="74"/>
      <c r="H609" s="75"/>
      <c r="I609" s="76"/>
      <c r="J609" s="135"/>
      <c r="K609" s="135"/>
      <c r="L609" s="77">
        <f t="shared" si="266"/>
        <v>0</v>
      </c>
      <c r="M609" s="78"/>
      <c r="N609" s="142"/>
      <c r="O609" s="142"/>
      <c r="P609" s="77">
        <f t="shared" si="267"/>
        <v>0</v>
      </c>
      <c r="Q609" s="78"/>
      <c r="R609" s="143"/>
      <c r="S609" s="143"/>
      <c r="T609" s="77">
        <f t="shared" si="268"/>
        <v>0</v>
      </c>
      <c r="U609" s="75"/>
      <c r="V609" s="76"/>
      <c r="W609" s="135"/>
      <c r="X609" s="135"/>
      <c r="Y609" s="77">
        <f t="shared" si="269"/>
        <v>0</v>
      </c>
      <c r="Z609" s="78"/>
      <c r="AA609" s="142"/>
      <c r="AB609" s="142"/>
      <c r="AC609" s="77">
        <f t="shared" si="270"/>
        <v>0</v>
      </c>
      <c r="AD609" s="78"/>
      <c r="AE609" s="143"/>
      <c r="AF609" s="143"/>
      <c r="AG609" s="79">
        <f t="shared" si="271"/>
        <v>0</v>
      </c>
      <c r="AH609" s="75"/>
      <c r="AI609" s="76"/>
      <c r="AJ609" s="135"/>
      <c r="AK609" s="135"/>
      <c r="AL609" s="77">
        <f t="shared" si="272"/>
        <v>0</v>
      </c>
      <c r="AM609" s="76"/>
      <c r="AN609" s="142"/>
      <c r="AO609" s="142"/>
      <c r="AP609" s="77">
        <f t="shared" si="273"/>
        <v>0</v>
      </c>
      <c r="AQ609" s="78"/>
      <c r="AR609" s="142"/>
      <c r="AS609" s="142"/>
      <c r="AT609" s="79">
        <f t="shared" si="274"/>
        <v>0</v>
      </c>
      <c r="AU609" s="75"/>
      <c r="AV609" s="76"/>
      <c r="AW609" s="135"/>
      <c r="AX609" s="135"/>
      <c r="AY609" s="77">
        <f t="shared" si="275"/>
        <v>0</v>
      </c>
      <c r="AZ609" s="76"/>
      <c r="BA609" s="142"/>
      <c r="BB609" s="142"/>
      <c r="BC609" s="77">
        <f t="shared" si="276"/>
        <v>0</v>
      </c>
      <c r="BD609" s="78"/>
      <c r="BE609" s="142"/>
      <c r="BF609" s="142"/>
      <c r="BG609" s="79">
        <f t="shared" si="277"/>
        <v>0</v>
      </c>
      <c r="BH609" s="75"/>
      <c r="BI609" s="76"/>
      <c r="BJ609" s="135"/>
      <c r="BK609" s="135"/>
      <c r="BL609" s="77">
        <f t="shared" si="278"/>
        <v>0</v>
      </c>
      <c r="BM609" s="78"/>
      <c r="BN609" s="142"/>
      <c r="BO609" s="142"/>
      <c r="BP609" s="77">
        <f t="shared" si="279"/>
        <v>0</v>
      </c>
      <c r="BQ609" s="78"/>
      <c r="BR609" s="142"/>
      <c r="BS609" s="142"/>
      <c r="BT609" s="79">
        <f t="shared" si="280"/>
        <v>0</v>
      </c>
      <c r="BU609" s="75"/>
      <c r="BV609" s="76"/>
      <c r="BW609" s="135"/>
      <c r="BX609" s="135"/>
      <c r="BY609" s="77">
        <f t="shared" si="281"/>
        <v>0</v>
      </c>
      <c r="BZ609" s="78"/>
      <c r="CA609" s="142"/>
      <c r="CB609" s="142"/>
      <c r="CC609" s="77">
        <f t="shared" si="282"/>
        <v>0</v>
      </c>
      <c r="CD609" s="78"/>
      <c r="CE609" s="142"/>
      <c r="CF609" s="142"/>
      <c r="CG609" s="79">
        <f t="shared" si="283"/>
        <v>0</v>
      </c>
      <c r="CH609" s="75"/>
      <c r="CI609" s="76"/>
      <c r="CJ609" s="86"/>
      <c r="CK609" s="86"/>
      <c r="CL609" s="77">
        <f t="shared" si="284"/>
        <v>0</v>
      </c>
      <c r="CM609" s="78"/>
      <c r="CN609" s="85"/>
      <c r="CO609" s="85"/>
      <c r="CP609" s="77">
        <f t="shared" si="285"/>
        <v>0</v>
      </c>
      <c r="CQ609" s="78"/>
      <c r="CR609" s="85"/>
      <c r="CS609" s="85"/>
      <c r="CT609" s="79">
        <f t="shared" si="286"/>
        <v>0</v>
      </c>
      <c r="CU609" s="80">
        <f t="shared" si="288"/>
        <v>0</v>
      </c>
      <c r="CV609" s="81">
        <f t="shared" si="289"/>
        <v>0</v>
      </c>
      <c r="CW609" s="144"/>
      <c r="CX609" s="145">
        <f>IF(ISERROR(VLOOKUP($A609,FIJOS!$B$11:$O$590,14,FALSE)),0,VLOOKUP($A609,FIJOS!$B$11:$O$590,14,FALSE))</f>
        <v>0</v>
      </c>
      <c r="CY609" s="145">
        <f>IF(ISERROR(VLOOKUP(A609,FIJOS!$B$10:$P$590,15,FALSE)),0,VLOOKUP(A609,FIJOS!$B$10:$P$590,15,FALSE))</f>
        <v>0</v>
      </c>
      <c r="CZ609" s="155"/>
      <c r="DA609" s="147"/>
      <c r="DB609" s="147"/>
      <c r="DC609" s="147"/>
      <c r="DD609" s="147"/>
      <c r="DE609" s="147"/>
      <c r="DF609" s="145">
        <f>IF(ISERROR(VLOOKUP($A609,FIJOS!$B$11:$N$590,13,FALSE)),0,VLOOKUP($A609,FIJOS!$B$11:$N$590,13,FALSE))</f>
        <v>0</v>
      </c>
      <c r="DG609" s="145">
        <f>IF(ISERROR(VLOOKUP($A609,FIJOS!$B$11:$P$447,12,FALSE)),0,VLOOKUP($A609,FIJOS!$B$11:$P$447,12,FALSE))</f>
        <v>0</v>
      </c>
      <c r="DH609" s="82">
        <f t="shared" si="258"/>
        <v>0</v>
      </c>
      <c r="DI609" s="83" t="b">
        <f>IF($C609=1,(VLOOKUP($A609,FIJOS!$B$11:$P$545,10,FALSE)/7)*(7-$CU609),IF(AND($C609=2,CV609&lt;$DJ$1),(VLOOKUP($D609,HORAS!$B$4:$C$42,2,FALSE)*24)*$CV609,IF(AND($C609=2,CV609&gt;=$DJ$1),VLOOKUP($D609,HORAS!$B$4:$D$42,3,FALSE),IF(AND($C609=3,$CV609&gt;=$DJ$1),VLOOKUP($A609,FIJOS!$B$11:$P$545,10,FALSE),IF(AND($C609=3,$CV609&lt;$DJ$1),((VLOOKUP($A609,FIJOS!$B$11:$P$545,10,FALSE)/48)*24)*$CV609,IF(AND($C609=4,$CV609&gt;=(42/24)),VLOOKUP($D609,HORAS!$B$4:$D$42,3,FALSE),IF(AND($C609=5,$CV609&gt;=(36/24)),VLOOKUP($D609,HORAS!$B$4:$D$42,3,FALSE))))))))</f>
        <v>0</v>
      </c>
      <c r="DJ609" s="145">
        <f>IF(OR($C609=2),VLOOKUP($D609,HORAS!$B$4:$E$42,4,FALSE)*$EC609,IF(ISERROR(VLOOKUP($A609,FIJOS!$B$11:$P$108,9,FALSE)),0,VLOOKUP($A609,FIJOS!$B$11:$P$231,9,FALSE)*$EC609))</f>
        <v>0</v>
      </c>
      <c r="DK609" s="145">
        <f>IF(OR($C609=2),VLOOKUP($D609,HORAS!$B$4:$F$42,5,FALSE)*$EE609,IF(ISERROR(VLOOKUP($A609,FIJOS!$B$11:$P$108,9,FALSE)),0,VLOOKUP($A609,FIJOS!$B$11:$P$231,9,FALSE)*$EE609))</f>
        <v>0</v>
      </c>
      <c r="DL609" s="144"/>
      <c r="DM609" s="145">
        <f>IF(ISERROR(VLOOKUP($A609,FIJOS!$B$11:$L$646,11,FALSE)),0,VLOOKUP($A609,FIJOS!$B$11:$L$646,11,FALSE))</f>
        <v>0</v>
      </c>
      <c r="DN609" s="148" t="e">
        <f>IF(OR($C609=1,$C609=3),0,IF((VLOOKUP(CAPTURA!D609,HORAS!$B$4:$K$42,10,FALSE)/4)*COUNTIF($H609:$CT609,3)&gt;100,100,(VLOOKUP(CAPTURA!D609,HORAS!$B$4:$K$42,10,FALSE)/4)*COUNTIF($H609:$CT609,3)))</f>
        <v>#N/A</v>
      </c>
      <c r="DO609" s="144" t="e">
        <f>IF(OR($C609=1,$C609=3),0,IF($C609=5,VLOOKUP(D609,HORAS!$B$4:$G$42,6,FALSE),IF(AND($C609=4,$CV609&gt;=(42/24)),VLOOKUP(D609,HORAS!$B$4:$G$42,6,FALSE),IF(COUNTIF($H609:$CL609,"F")&gt;0,0,IF(CV609&gt;$DJ$1,$DJ$1*(VLOOKUP(D609,HORAS!$B$4:$G$42,6,FALSE)/$DJ$1),CV609*(VLOOKUP(D609,HORAS!$B$4:$G$42,6,FALSE)/$DJ$1))))))</f>
        <v>#N/A</v>
      </c>
      <c r="DP609" s="156"/>
      <c r="DQ609" s="148"/>
      <c r="DR609" s="148"/>
      <c r="DS609" s="83" t="e">
        <f t="shared" si="287"/>
        <v>#N/A</v>
      </c>
      <c r="DT609" s="84"/>
      <c r="DU609" s="149" t="e">
        <f t="shared" si="259"/>
        <v>#N/A</v>
      </c>
      <c r="DV609" s="149" t="e">
        <f t="shared" si="260"/>
        <v>#N/A</v>
      </c>
      <c r="DW609" s="144" t="e">
        <f t="shared" si="261"/>
        <v>#N/A</v>
      </c>
      <c r="DX609" s="168"/>
      <c r="DY609" s="29"/>
      <c r="DZ609" s="150"/>
      <c r="EA609" s="134"/>
      <c r="EB609" s="137">
        <f t="shared" si="262"/>
        <v>0</v>
      </c>
      <c r="EC609" s="138">
        <f t="shared" si="263"/>
        <v>0</v>
      </c>
      <c r="ED609" s="137">
        <f t="shared" si="264"/>
        <v>0</v>
      </c>
      <c r="EE609" s="132">
        <f t="shared" si="265"/>
        <v>0</v>
      </c>
      <c r="EF609" s="29"/>
      <c r="EG609" s="134"/>
      <c r="EH609" s="134"/>
      <c r="EI609" s="134"/>
      <c r="EK609" s="29"/>
    </row>
    <row r="610" spans="1:141" ht="15" customHeight="1" x14ac:dyDescent="0.25">
      <c r="A610" s="87"/>
      <c r="B610" s="5"/>
      <c r="C610" s="72"/>
      <c r="D610" s="73"/>
      <c r="E610" s="73"/>
      <c r="F610" s="141"/>
      <c r="G610" s="74"/>
      <c r="H610" s="75"/>
      <c r="I610" s="76"/>
      <c r="J610" s="135"/>
      <c r="K610" s="135"/>
      <c r="L610" s="77">
        <f t="shared" si="266"/>
        <v>0</v>
      </c>
      <c r="M610" s="78"/>
      <c r="N610" s="142"/>
      <c r="O610" s="142"/>
      <c r="P610" s="77">
        <f t="shared" si="267"/>
        <v>0</v>
      </c>
      <c r="Q610" s="78"/>
      <c r="R610" s="143"/>
      <c r="S610" s="143"/>
      <c r="T610" s="77">
        <f t="shared" si="268"/>
        <v>0</v>
      </c>
      <c r="U610" s="75"/>
      <c r="V610" s="76"/>
      <c r="W610" s="135"/>
      <c r="X610" s="135"/>
      <c r="Y610" s="77">
        <f t="shared" si="269"/>
        <v>0</v>
      </c>
      <c r="Z610" s="78"/>
      <c r="AA610" s="142"/>
      <c r="AB610" s="142"/>
      <c r="AC610" s="77">
        <f t="shared" si="270"/>
        <v>0</v>
      </c>
      <c r="AD610" s="78"/>
      <c r="AE610" s="143"/>
      <c r="AF610" s="143"/>
      <c r="AG610" s="79">
        <f t="shared" si="271"/>
        <v>0</v>
      </c>
      <c r="AH610" s="75"/>
      <c r="AI610" s="76"/>
      <c r="AJ610" s="135"/>
      <c r="AK610" s="135"/>
      <c r="AL610" s="77">
        <f t="shared" si="272"/>
        <v>0</v>
      </c>
      <c r="AM610" s="76"/>
      <c r="AN610" s="142"/>
      <c r="AO610" s="142"/>
      <c r="AP610" s="77">
        <f t="shared" si="273"/>
        <v>0</v>
      </c>
      <c r="AQ610" s="78"/>
      <c r="AR610" s="142"/>
      <c r="AS610" s="142"/>
      <c r="AT610" s="79">
        <f t="shared" si="274"/>
        <v>0</v>
      </c>
      <c r="AU610" s="75"/>
      <c r="AV610" s="76"/>
      <c r="AW610" s="135"/>
      <c r="AX610" s="135"/>
      <c r="AY610" s="77">
        <f t="shared" si="275"/>
        <v>0</v>
      </c>
      <c r="AZ610" s="76"/>
      <c r="BA610" s="142"/>
      <c r="BB610" s="142"/>
      <c r="BC610" s="77">
        <f t="shared" si="276"/>
        <v>0</v>
      </c>
      <c r="BD610" s="78"/>
      <c r="BE610" s="142"/>
      <c r="BF610" s="142"/>
      <c r="BG610" s="79">
        <f t="shared" si="277"/>
        <v>0</v>
      </c>
      <c r="BH610" s="75"/>
      <c r="BI610" s="76"/>
      <c r="BJ610" s="135"/>
      <c r="BK610" s="135"/>
      <c r="BL610" s="77">
        <f t="shared" si="278"/>
        <v>0</v>
      </c>
      <c r="BM610" s="78"/>
      <c r="BN610" s="142"/>
      <c r="BO610" s="142"/>
      <c r="BP610" s="77">
        <f t="shared" si="279"/>
        <v>0</v>
      </c>
      <c r="BQ610" s="78"/>
      <c r="BR610" s="142"/>
      <c r="BS610" s="142"/>
      <c r="BT610" s="79">
        <f t="shared" si="280"/>
        <v>0</v>
      </c>
      <c r="BU610" s="75"/>
      <c r="BV610" s="76"/>
      <c r="BW610" s="135"/>
      <c r="BX610" s="135"/>
      <c r="BY610" s="77">
        <f t="shared" si="281"/>
        <v>0</v>
      </c>
      <c r="BZ610" s="78"/>
      <c r="CA610" s="142"/>
      <c r="CB610" s="142"/>
      <c r="CC610" s="77">
        <f t="shared" si="282"/>
        <v>0</v>
      </c>
      <c r="CD610" s="78"/>
      <c r="CE610" s="142"/>
      <c r="CF610" s="142"/>
      <c r="CG610" s="79">
        <f t="shared" si="283"/>
        <v>0</v>
      </c>
      <c r="CH610" s="75"/>
      <c r="CI610" s="76"/>
      <c r="CJ610" s="86"/>
      <c r="CK610" s="86"/>
      <c r="CL610" s="77">
        <f t="shared" si="284"/>
        <v>0</v>
      </c>
      <c r="CM610" s="78"/>
      <c r="CN610" s="85"/>
      <c r="CO610" s="85"/>
      <c r="CP610" s="77">
        <f t="shared" si="285"/>
        <v>0</v>
      </c>
      <c r="CQ610" s="78"/>
      <c r="CR610" s="85"/>
      <c r="CS610" s="85"/>
      <c r="CT610" s="79">
        <f t="shared" si="286"/>
        <v>0</v>
      </c>
      <c r="CU610" s="80">
        <f t="shared" si="288"/>
        <v>0</v>
      </c>
      <c r="CV610" s="81">
        <f t="shared" si="289"/>
        <v>0</v>
      </c>
      <c r="CW610" s="144"/>
      <c r="CX610" s="145">
        <f>IF(ISERROR(VLOOKUP($A610,FIJOS!$B$11:$O$590,14,FALSE)),0,VLOOKUP($A610,FIJOS!$B$11:$O$590,14,FALSE))</f>
        <v>0</v>
      </c>
      <c r="CY610" s="145">
        <f>IF(ISERROR(VLOOKUP(A610,FIJOS!$B$10:$P$590,15,FALSE)),0,VLOOKUP(A610,FIJOS!$B$10:$P$590,15,FALSE))</f>
        <v>0</v>
      </c>
      <c r="CZ610" s="155"/>
      <c r="DA610" s="147"/>
      <c r="DB610" s="147"/>
      <c r="DC610" s="147"/>
      <c r="DD610" s="147"/>
      <c r="DE610" s="147"/>
      <c r="DF610" s="145">
        <f>IF(ISERROR(VLOOKUP($A610,FIJOS!$B$11:$N$590,13,FALSE)),0,VLOOKUP($A610,FIJOS!$B$11:$N$590,13,FALSE))</f>
        <v>0</v>
      </c>
      <c r="DG610" s="145">
        <f>IF(ISERROR(VLOOKUP($A610,FIJOS!$B$11:$P$447,12,FALSE)),0,VLOOKUP($A610,FIJOS!$B$11:$P$447,12,FALSE))</f>
        <v>0</v>
      </c>
      <c r="DH610" s="82">
        <f t="shared" si="258"/>
        <v>0</v>
      </c>
      <c r="DI610" s="83" t="b">
        <f>IF($C610=1,(VLOOKUP($A610,FIJOS!$B$11:$P$545,10,FALSE)/7)*(7-$CU610),IF(AND($C610=2,CV610&lt;$DJ$1),(VLOOKUP($D610,HORAS!$B$4:$C$42,2,FALSE)*24)*$CV610,IF(AND($C610=2,CV610&gt;=$DJ$1),VLOOKUP($D610,HORAS!$B$4:$D$42,3,FALSE),IF(AND($C610=3,$CV610&gt;=$DJ$1),VLOOKUP($A610,FIJOS!$B$11:$P$545,10,FALSE),IF(AND($C610=3,$CV610&lt;$DJ$1),((VLOOKUP($A610,FIJOS!$B$11:$P$545,10,FALSE)/48)*24)*$CV610,IF(AND($C610=4,$CV610&gt;=(42/24)),VLOOKUP($D610,HORAS!$B$4:$D$42,3,FALSE),IF(AND($C610=5,$CV610&gt;=(36/24)),VLOOKUP($D610,HORAS!$B$4:$D$42,3,FALSE))))))))</f>
        <v>0</v>
      </c>
      <c r="DJ610" s="145">
        <f>IF(OR($C610=2),VLOOKUP($D610,HORAS!$B$4:$E$42,4,FALSE)*$EC610,IF(ISERROR(VLOOKUP($A610,FIJOS!$B$11:$P$108,9,FALSE)),0,VLOOKUP($A610,FIJOS!$B$11:$P$231,9,FALSE)*$EC610))</f>
        <v>0</v>
      </c>
      <c r="DK610" s="145">
        <f>IF(OR($C610=2),VLOOKUP($D610,HORAS!$B$4:$F$42,5,FALSE)*$EE610,IF(ISERROR(VLOOKUP($A610,FIJOS!$B$11:$P$108,9,FALSE)),0,VLOOKUP($A610,FIJOS!$B$11:$P$231,9,FALSE)*$EE610))</f>
        <v>0</v>
      </c>
      <c r="DL610" s="144"/>
      <c r="DM610" s="145">
        <f>IF(ISERROR(VLOOKUP($A610,FIJOS!$B$11:$L$646,11,FALSE)),0,VLOOKUP($A610,FIJOS!$B$11:$L$646,11,FALSE))</f>
        <v>0</v>
      </c>
      <c r="DN610" s="148" t="e">
        <f>IF(OR($C610=1,$C610=3),0,IF((VLOOKUP(CAPTURA!D610,HORAS!$B$4:$K$42,10,FALSE)/4)*COUNTIF($H610:$CT610,3)&gt;100,100,(VLOOKUP(CAPTURA!D610,HORAS!$B$4:$K$42,10,FALSE)/4)*COUNTIF($H610:$CT610,3)))</f>
        <v>#N/A</v>
      </c>
      <c r="DO610" s="144" t="e">
        <f>IF(OR($C610=1,$C610=3),0,IF($C610=5,VLOOKUP(D610,HORAS!$B$4:$G$42,6,FALSE),IF(AND($C610=4,$CV610&gt;=(42/24)),VLOOKUP(D610,HORAS!$B$4:$G$42,6,FALSE),IF(COUNTIF($H610:$CL610,"F")&gt;0,0,IF(CV610&gt;$DJ$1,$DJ$1*(VLOOKUP(D610,HORAS!$B$4:$G$42,6,FALSE)/$DJ$1),CV610*(VLOOKUP(D610,HORAS!$B$4:$G$42,6,FALSE)/$DJ$1))))))</f>
        <v>#N/A</v>
      </c>
      <c r="DP610" s="156"/>
      <c r="DQ610" s="148"/>
      <c r="DR610" s="148"/>
      <c r="DS610" s="83" t="e">
        <f t="shared" si="287"/>
        <v>#N/A</v>
      </c>
      <c r="DT610" s="84"/>
      <c r="DU610" s="149" t="e">
        <f t="shared" si="259"/>
        <v>#N/A</v>
      </c>
      <c r="DV610" s="149" t="e">
        <f t="shared" si="260"/>
        <v>#N/A</v>
      </c>
      <c r="DW610" s="144" t="e">
        <f t="shared" si="261"/>
        <v>#N/A</v>
      </c>
      <c r="DX610" s="168"/>
      <c r="DY610" s="29"/>
      <c r="DZ610" s="150"/>
      <c r="EA610" s="134"/>
      <c r="EB610" s="137">
        <f t="shared" si="262"/>
        <v>0</v>
      </c>
      <c r="EC610" s="138">
        <f t="shared" si="263"/>
        <v>0</v>
      </c>
      <c r="ED610" s="137">
        <f t="shared" si="264"/>
        <v>0</v>
      </c>
      <c r="EE610" s="132">
        <f t="shared" si="265"/>
        <v>0</v>
      </c>
      <c r="EF610" s="29"/>
      <c r="EG610" s="134"/>
      <c r="EH610" s="134"/>
      <c r="EI610" s="134"/>
      <c r="EK610" s="29"/>
    </row>
    <row r="611" spans="1:141" ht="15" customHeight="1" x14ac:dyDescent="0.25">
      <c r="A611" s="87"/>
      <c r="B611" s="5"/>
      <c r="C611" s="72"/>
      <c r="D611" s="73"/>
      <c r="E611" s="73"/>
      <c r="F611" s="141"/>
      <c r="G611" s="74"/>
      <c r="H611" s="75"/>
      <c r="I611" s="76"/>
      <c r="J611" s="135"/>
      <c r="K611" s="135"/>
      <c r="L611" s="77">
        <f t="shared" si="266"/>
        <v>0</v>
      </c>
      <c r="M611" s="78"/>
      <c r="N611" s="142"/>
      <c r="O611" s="142"/>
      <c r="P611" s="77">
        <f t="shared" si="267"/>
        <v>0</v>
      </c>
      <c r="Q611" s="78"/>
      <c r="R611" s="143"/>
      <c r="S611" s="143"/>
      <c r="T611" s="77">
        <f t="shared" si="268"/>
        <v>0</v>
      </c>
      <c r="U611" s="75"/>
      <c r="V611" s="76"/>
      <c r="W611" s="135"/>
      <c r="X611" s="135"/>
      <c r="Y611" s="77">
        <f t="shared" si="269"/>
        <v>0</v>
      </c>
      <c r="Z611" s="78"/>
      <c r="AA611" s="142"/>
      <c r="AB611" s="142"/>
      <c r="AC611" s="77">
        <f t="shared" si="270"/>
        <v>0</v>
      </c>
      <c r="AD611" s="78"/>
      <c r="AE611" s="143"/>
      <c r="AF611" s="143"/>
      <c r="AG611" s="79">
        <f t="shared" si="271"/>
        <v>0</v>
      </c>
      <c r="AH611" s="75"/>
      <c r="AI611" s="76"/>
      <c r="AJ611" s="135"/>
      <c r="AK611" s="135"/>
      <c r="AL611" s="77">
        <f t="shared" si="272"/>
        <v>0</v>
      </c>
      <c r="AM611" s="76"/>
      <c r="AN611" s="142"/>
      <c r="AO611" s="142"/>
      <c r="AP611" s="77">
        <f t="shared" si="273"/>
        <v>0</v>
      </c>
      <c r="AQ611" s="78"/>
      <c r="AR611" s="142"/>
      <c r="AS611" s="142"/>
      <c r="AT611" s="79">
        <f t="shared" si="274"/>
        <v>0</v>
      </c>
      <c r="AU611" s="75"/>
      <c r="AV611" s="76"/>
      <c r="AW611" s="135"/>
      <c r="AX611" s="135"/>
      <c r="AY611" s="77">
        <f t="shared" si="275"/>
        <v>0</v>
      </c>
      <c r="AZ611" s="76"/>
      <c r="BA611" s="142"/>
      <c r="BB611" s="142"/>
      <c r="BC611" s="77">
        <f t="shared" si="276"/>
        <v>0</v>
      </c>
      <c r="BD611" s="78"/>
      <c r="BE611" s="142"/>
      <c r="BF611" s="142"/>
      <c r="BG611" s="79">
        <f t="shared" si="277"/>
        <v>0</v>
      </c>
      <c r="BH611" s="75"/>
      <c r="BI611" s="76"/>
      <c r="BJ611" s="135"/>
      <c r="BK611" s="135"/>
      <c r="BL611" s="77">
        <f t="shared" si="278"/>
        <v>0</v>
      </c>
      <c r="BM611" s="78"/>
      <c r="BN611" s="142"/>
      <c r="BO611" s="142"/>
      <c r="BP611" s="77">
        <f t="shared" si="279"/>
        <v>0</v>
      </c>
      <c r="BQ611" s="78"/>
      <c r="BR611" s="142"/>
      <c r="BS611" s="142"/>
      <c r="BT611" s="79">
        <f t="shared" si="280"/>
        <v>0</v>
      </c>
      <c r="BU611" s="75"/>
      <c r="BV611" s="76"/>
      <c r="BW611" s="135"/>
      <c r="BX611" s="135"/>
      <c r="BY611" s="77">
        <f t="shared" si="281"/>
        <v>0</v>
      </c>
      <c r="BZ611" s="78"/>
      <c r="CA611" s="142"/>
      <c r="CB611" s="142"/>
      <c r="CC611" s="77">
        <f t="shared" si="282"/>
        <v>0</v>
      </c>
      <c r="CD611" s="78"/>
      <c r="CE611" s="142"/>
      <c r="CF611" s="142"/>
      <c r="CG611" s="79">
        <f t="shared" si="283"/>
        <v>0</v>
      </c>
      <c r="CH611" s="75"/>
      <c r="CI611" s="76"/>
      <c r="CJ611" s="86"/>
      <c r="CK611" s="86"/>
      <c r="CL611" s="77">
        <f t="shared" si="284"/>
        <v>0</v>
      </c>
      <c r="CM611" s="78"/>
      <c r="CN611" s="85"/>
      <c r="CO611" s="85"/>
      <c r="CP611" s="77">
        <f t="shared" si="285"/>
        <v>0</v>
      </c>
      <c r="CQ611" s="78"/>
      <c r="CR611" s="85"/>
      <c r="CS611" s="85"/>
      <c r="CT611" s="79">
        <f t="shared" si="286"/>
        <v>0</v>
      </c>
      <c r="CU611" s="80">
        <f t="shared" si="288"/>
        <v>0</v>
      </c>
      <c r="CV611" s="81">
        <f t="shared" si="289"/>
        <v>0</v>
      </c>
      <c r="CW611" s="144"/>
      <c r="CX611" s="145">
        <f>IF(ISERROR(VLOOKUP($A611,FIJOS!$B$11:$O$590,14,FALSE)),0,VLOOKUP($A611,FIJOS!$B$11:$O$590,14,FALSE))</f>
        <v>0</v>
      </c>
      <c r="CY611" s="145">
        <f>IF(ISERROR(VLOOKUP(A611,FIJOS!$B$10:$P$590,15,FALSE)),0,VLOOKUP(A611,FIJOS!$B$10:$P$590,15,FALSE))</f>
        <v>0</v>
      </c>
      <c r="CZ611" s="155"/>
      <c r="DA611" s="147"/>
      <c r="DB611" s="147"/>
      <c r="DC611" s="147"/>
      <c r="DD611" s="147"/>
      <c r="DE611" s="147"/>
      <c r="DF611" s="145">
        <f>IF(ISERROR(VLOOKUP($A611,FIJOS!$B$11:$N$590,13,FALSE)),0,VLOOKUP($A611,FIJOS!$B$11:$N$590,13,FALSE))</f>
        <v>0</v>
      </c>
      <c r="DG611" s="145">
        <f>IF(ISERROR(VLOOKUP($A611,FIJOS!$B$11:$P$447,12,FALSE)),0,VLOOKUP($A611,FIJOS!$B$11:$P$447,12,FALSE))</f>
        <v>0</v>
      </c>
      <c r="DH611" s="82">
        <f t="shared" si="258"/>
        <v>0</v>
      </c>
      <c r="DI611" s="83" t="b">
        <f>IF($C611=1,(VLOOKUP($A611,FIJOS!$B$11:$P$545,10,FALSE)/7)*(7-$CU611),IF(AND($C611=2,CV611&lt;$DJ$1),(VLOOKUP($D611,HORAS!$B$4:$C$42,2,FALSE)*24)*$CV611,IF(AND($C611=2,CV611&gt;=$DJ$1),VLOOKUP($D611,HORAS!$B$4:$D$42,3,FALSE),IF(AND($C611=3,$CV611&gt;=$DJ$1),VLOOKUP($A611,FIJOS!$B$11:$P$545,10,FALSE),IF(AND($C611=3,$CV611&lt;$DJ$1),((VLOOKUP($A611,FIJOS!$B$11:$P$545,10,FALSE)/48)*24)*$CV611,IF(AND($C611=4,$CV611&gt;=(42/24)),VLOOKUP($D611,HORAS!$B$4:$D$42,3,FALSE),IF(AND($C611=5,$CV611&gt;=(36/24)),VLOOKUP($D611,HORAS!$B$4:$D$42,3,FALSE))))))))</f>
        <v>0</v>
      </c>
      <c r="DJ611" s="145">
        <f>IF(OR($C611=2),VLOOKUP($D611,HORAS!$B$4:$E$42,4,FALSE)*$EC611,IF(ISERROR(VLOOKUP($A611,FIJOS!$B$11:$P$108,9,FALSE)),0,VLOOKUP($A611,FIJOS!$B$11:$P$231,9,FALSE)*$EC611))</f>
        <v>0</v>
      </c>
      <c r="DK611" s="145">
        <f>IF(OR($C611=2),VLOOKUP($D611,HORAS!$B$4:$F$42,5,FALSE)*$EE611,IF(ISERROR(VLOOKUP($A611,FIJOS!$B$11:$P$108,9,FALSE)),0,VLOOKUP($A611,FIJOS!$B$11:$P$231,9,FALSE)*$EE611))</f>
        <v>0</v>
      </c>
      <c r="DL611" s="144"/>
      <c r="DM611" s="145">
        <f>IF(ISERROR(VLOOKUP($A611,FIJOS!$B$11:$L$646,11,FALSE)),0,VLOOKUP($A611,FIJOS!$B$11:$L$646,11,FALSE))</f>
        <v>0</v>
      </c>
      <c r="DN611" s="148" t="e">
        <f>IF(OR($C611=1,$C611=3),0,IF((VLOOKUP(CAPTURA!D611,HORAS!$B$4:$K$42,10,FALSE)/4)*COUNTIF($H611:$CT611,3)&gt;100,100,(VLOOKUP(CAPTURA!D611,HORAS!$B$4:$K$42,10,FALSE)/4)*COUNTIF($H611:$CT611,3)))</f>
        <v>#N/A</v>
      </c>
      <c r="DO611" s="144" t="e">
        <f>IF(OR($C611=1,$C611=3),0,IF($C611=5,VLOOKUP(D611,HORAS!$B$4:$G$42,6,FALSE),IF(AND($C611=4,$CV611&gt;=(42/24)),VLOOKUP(D611,HORAS!$B$4:$G$42,6,FALSE),IF(COUNTIF($H611:$CL611,"F")&gt;0,0,IF(CV611&gt;$DJ$1,$DJ$1*(VLOOKUP(D611,HORAS!$B$4:$G$42,6,FALSE)/$DJ$1),CV611*(VLOOKUP(D611,HORAS!$B$4:$G$42,6,FALSE)/$DJ$1))))))</f>
        <v>#N/A</v>
      </c>
      <c r="DP611" s="156"/>
      <c r="DQ611" s="148"/>
      <c r="DR611" s="148"/>
      <c r="DS611" s="83" t="e">
        <f t="shared" si="287"/>
        <v>#N/A</v>
      </c>
      <c r="DT611" s="84"/>
      <c r="DU611" s="149" t="e">
        <f t="shared" si="259"/>
        <v>#N/A</v>
      </c>
      <c r="DV611" s="149" t="e">
        <f t="shared" si="260"/>
        <v>#N/A</v>
      </c>
      <c r="DW611" s="144" t="e">
        <f t="shared" si="261"/>
        <v>#N/A</v>
      </c>
      <c r="DX611" s="168"/>
      <c r="DY611" s="29"/>
      <c r="DZ611" s="150"/>
      <c r="EA611" s="134"/>
      <c r="EB611" s="137">
        <f t="shared" si="262"/>
        <v>0</v>
      </c>
      <c r="EC611" s="138">
        <f t="shared" si="263"/>
        <v>0</v>
      </c>
      <c r="ED611" s="137">
        <f t="shared" si="264"/>
        <v>0</v>
      </c>
      <c r="EE611" s="132">
        <f t="shared" si="265"/>
        <v>0</v>
      </c>
      <c r="EF611" s="29"/>
      <c r="EG611" s="134"/>
      <c r="EH611" s="134"/>
      <c r="EI611" s="134"/>
      <c r="EK611" s="29"/>
    </row>
    <row r="612" spans="1:141" ht="15" customHeight="1" x14ac:dyDescent="0.25">
      <c r="A612" s="87"/>
      <c r="B612" s="5"/>
      <c r="C612" s="72"/>
      <c r="D612" s="73"/>
      <c r="E612" s="73"/>
      <c r="F612" s="141"/>
      <c r="G612" s="74"/>
      <c r="H612" s="75"/>
      <c r="I612" s="76"/>
      <c r="J612" s="135"/>
      <c r="K612" s="135"/>
      <c r="L612" s="77">
        <f t="shared" si="266"/>
        <v>0</v>
      </c>
      <c r="M612" s="78"/>
      <c r="N612" s="142"/>
      <c r="O612" s="142"/>
      <c r="P612" s="77">
        <f t="shared" si="267"/>
        <v>0</v>
      </c>
      <c r="Q612" s="78"/>
      <c r="R612" s="143"/>
      <c r="S612" s="143"/>
      <c r="T612" s="77">
        <f t="shared" si="268"/>
        <v>0</v>
      </c>
      <c r="U612" s="75"/>
      <c r="V612" s="76"/>
      <c r="W612" s="135"/>
      <c r="X612" s="135"/>
      <c r="Y612" s="77">
        <f t="shared" si="269"/>
        <v>0</v>
      </c>
      <c r="Z612" s="78"/>
      <c r="AA612" s="142"/>
      <c r="AB612" s="142"/>
      <c r="AC612" s="77">
        <f t="shared" si="270"/>
        <v>0</v>
      </c>
      <c r="AD612" s="78"/>
      <c r="AE612" s="143"/>
      <c r="AF612" s="143"/>
      <c r="AG612" s="79">
        <f t="shared" si="271"/>
        <v>0</v>
      </c>
      <c r="AH612" s="75"/>
      <c r="AI612" s="76"/>
      <c r="AJ612" s="135"/>
      <c r="AK612" s="135"/>
      <c r="AL612" s="77">
        <f t="shared" si="272"/>
        <v>0</v>
      </c>
      <c r="AM612" s="76"/>
      <c r="AN612" s="142"/>
      <c r="AO612" s="142"/>
      <c r="AP612" s="77">
        <f t="shared" si="273"/>
        <v>0</v>
      </c>
      <c r="AQ612" s="78"/>
      <c r="AR612" s="142"/>
      <c r="AS612" s="142"/>
      <c r="AT612" s="79">
        <f t="shared" si="274"/>
        <v>0</v>
      </c>
      <c r="AU612" s="75"/>
      <c r="AV612" s="76"/>
      <c r="AW612" s="135"/>
      <c r="AX612" s="135"/>
      <c r="AY612" s="77">
        <f t="shared" si="275"/>
        <v>0</v>
      </c>
      <c r="AZ612" s="76"/>
      <c r="BA612" s="142"/>
      <c r="BB612" s="142"/>
      <c r="BC612" s="77">
        <f t="shared" si="276"/>
        <v>0</v>
      </c>
      <c r="BD612" s="78"/>
      <c r="BE612" s="142"/>
      <c r="BF612" s="142"/>
      <c r="BG612" s="79">
        <f t="shared" si="277"/>
        <v>0</v>
      </c>
      <c r="BH612" s="75"/>
      <c r="BI612" s="76"/>
      <c r="BJ612" s="135"/>
      <c r="BK612" s="135"/>
      <c r="BL612" s="77">
        <f t="shared" si="278"/>
        <v>0</v>
      </c>
      <c r="BM612" s="78"/>
      <c r="BN612" s="142"/>
      <c r="BO612" s="142"/>
      <c r="BP612" s="77">
        <f t="shared" si="279"/>
        <v>0</v>
      </c>
      <c r="BQ612" s="78"/>
      <c r="BR612" s="142"/>
      <c r="BS612" s="142"/>
      <c r="BT612" s="79">
        <f t="shared" si="280"/>
        <v>0</v>
      </c>
      <c r="BU612" s="75"/>
      <c r="BV612" s="76"/>
      <c r="BW612" s="135"/>
      <c r="BX612" s="135"/>
      <c r="BY612" s="77">
        <f t="shared" si="281"/>
        <v>0</v>
      </c>
      <c r="BZ612" s="78"/>
      <c r="CA612" s="142"/>
      <c r="CB612" s="142"/>
      <c r="CC612" s="77">
        <f t="shared" si="282"/>
        <v>0</v>
      </c>
      <c r="CD612" s="78"/>
      <c r="CE612" s="142"/>
      <c r="CF612" s="142"/>
      <c r="CG612" s="79">
        <f t="shared" si="283"/>
        <v>0</v>
      </c>
      <c r="CH612" s="75"/>
      <c r="CI612" s="76"/>
      <c r="CJ612" s="86"/>
      <c r="CK612" s="86"/>
      <c r="CL612" s="77">
        <f t="shared" si="284"/>
        <v>0</v>
      </c>
      <c r="CM612" s="78"/>
      <c r="CN612" s="85"/>
      <c r="CO612" s="85"/>
      <c r="CP612" s="77">
        <f t="shared" si="285"/>
        <v>0</v>
      </c>
      <c r="CQ612" s="78"/>
      <c r="CR612" s="85"/>
      <c r="CS612" s="85"/>
      <c r="CT612" s="79">
        <f t="shared" si="286"/>
        <v>0</v>
      </c>
      <c r="CU612" s="80">
        <f t="shared" si="288"/>
        <v>0</v>
      </c>
      <c r="CV612" s="81">
        <f t="shared" si="289"/>
        <v>0</v>
      </c>
      <c r="CW612" s="144"/>
      <c r="CX612" s="145">
        <f>IF(ISERROR(VLOOKUP($A612,FIJOS!$B$11:$O$590,14,FALSE)),0,VLOOKUP($A612,FIJOS!$B$11:$O$590,14,FALSE))</f>
        <v>0</v>
      </c>
      <c r="CY612" s="145">
        <f>IF(ISERROR(VLOOKUP(A612,FIJOS!$B$10:$P$590,15,FALSE)),0,VLOOKUP(A612,FIJOS!$B$10:$P$590,15,FALSE))</f>
        <v>0</v>
      </c>
      <c r="CZ612" s="155"/>
      <c r="DA612" s="147"/>
      <c r="DB612" s="147"/>
      <c r="DC612" s="147"/>
      <c r="DD612" s="147"/>
      <c r="DE612" s="147"/>
      <c r="DF612" s="145">
        <f>IF(ISERROR(VLOOKUP($A612,FIJOS!$B$11:$N$590,13,FALSE)),0,VLOOKUP($A612,FIJOS!$B$11:$N$590,13,FALSE))</f>
        <v>0</v>
      </c>
      <c r="DG612" s="145">
        <f>IF(ISERROR(VLOOKUP($A612,FIJOS!$B$11:$P$447,12,FALSE)),0,VLOOKUP($A612,FIJOS!$B$11:$P$447,12,FALSE))</f>
        <v>0</v>
      </c>
      <c r="DH612" s="82">
        <f t="shared" si="258"/>
        <v>0</v>
      </c>
      <c r="DI612" s="83" t="b">
        <f>IF($C612=1,(VLOOKUP($A612,FIJOS!$B$11:$P$545,10,FALSE)/7)*(7-$CU612),IF(AND($C612=2,CV612&lt;$DJ$1),(VLOOKUP($D612,HORAS!$B$4:$C$42,2,FALSE)*24)*$CV612,IF(AND($C612=2,CV612&gt;=$DJ$1),VLOOKUP($D612,HORAS!$B$4:$D$42,3,FALSE),IF(AND($C612=3,$CV612&gt;=$DJ$1),VLOOKUP($A612,FIJOS!$B$11:$P$545,10,FALSE),IF(AND($C612=3,$CV612&lt;$DJ$1),((VLOOKUP($A612,FIJOS!$B$11:$P$545,10,FALSE)/48)*24)*$CV612,IF(AND($C612=4,$CV612&gt;=(42/24)),VLOOKUP($D612,HORAS!$B$4:$D$42,3,FALSE),IF(AND($C612=5,$CV612&gt;=(36/24)),VLOOKUP($D612,HORAS!$B$4:$D$42,3,FALSE))))))))</f>
        <v>0</v>
      </c>
      <c r="DJ612" s="145">
        <f>IF(OR($C612=2),VLOOKUP($D612,HORAS!$B$4:$E$42,4,FALSE)*$EC612,IF(ISERROR(VLOOKUP($A612,FIJOS!$B$11:$P$108,9,FALSE)),0,VLOOKUP($A612,FIJOS!$B$11:$P$231,9,FALSE)*$EC612))</f>
        <v>0</v>
      </c>
      <c r="DK612" s="145">
        <f>IF(OR($C612=2),VLOOKUP($D612,HORAS!$B$4:$F$42,5,FALSE)*$EE612,IF(ISERROR(VLOOKUP($A612,FIJOS!$B$11:$P$108,9,FALSE)),0,VLOOKUP($A612,FIJOS!$B$11:$P$231,9,FALSE)*$EE612))</f>
        <v>0</v>
      </c>
      <c r="DL612" s="144"/>
      <c r="DM612" s="145">
        <f>IF(ISERROR(VLOOKUP($A612,FIJOS!$B$11:$L$646,11,FALSE)),0,VLOOKUP($A612,FIJOS!$B$11:$L$646,11,FALSE))</f>
        <v>0</v>
      </c>
      <c r="DN612" s="148" t="e">
        <f>IF(OR($C612=1,$C612=3),0,IF((VLOOKUP(CAPTURA!D612,HORAS!$B$4:$K$42,10,FALSE)/4)*COUNTIF($H612:$CT612,3)&gt;100,100,(VLOOKUP(CAPTURA!D612,HORAS!$B$4:$K$42,10,FALSE)/4)*COUNTIF($H612:$CT612,3)))</f>
        <v>#N/A</v>
      </c>
      <c r="DO612" s="144" t="e">
        <f>IF(OR($C612=1,$C612=3),0,IF($C612=5,VLOOKUP(D612,HORAS!$B$4:$G$42,6,FALSE),IF(AND($C612=4,$CV612&gt;=(42/24)),VLOOKUP(D612,HORAS!$B$4:$G$42,6,FALSE),IF(COUNTIF($H612:$CL612,"F")&gt;0,0,IF(CV612&gt;$DJ$1,$DJ$1*(VLOOKUP(D612,HORAS!$B$4:$G$42,6,FALSE)/$DJ$1),CV612*(VLOOKUP(D612,HORAS!$B$4:$G$42,6,FALSE)/$DJ$1))))))</f>
        <v>#N/A</v>
      </c>
      <c r="DP612" s="156"/>
      <c r="DQ612" s="148"/>
      <c r="DR612" s="148"/>
      <c r="DS612" s="83" t="e">
        <f t="shared" si="287"/>
        <v>#N/A</v>
      </c>
      <c r="DT612" s="84"/>
      <c r="DU612" s="149" t="e">
        <f t="shared" si="259"/>
        <v>#N/A</v>
      </c>
      <c r="DV612" s="149" t="e">
        <f t="shared" si="260"/>
        <v>#N/A</v>
      </c>
      <c r="DW612" s="144" t="e">
        <f t="shared" si="261"/>
        <v>#N/A</v>
      </c>
      <c r="DX612" s="168"/>
      <c r="DY612" s="29"/>
      <c r="DZ612" s="150"/>
      <c r="EA612" s="134"/>
      <c r="EB612" s="137">
        <f t="shared" si="262"/>
        <v>0</v>
      </c>
      <c r="EC612" s="138">
        <f t="shared" si="263"/>
        <v>0</v>
      </c>
      <c r="ED612" s="137">
        <f t="shared" si="264"/>
        <v>0</v>
      </c>
      <c r="EE612" s="132">
        <f t="shared" si="265"/>
        <v>0</v>
      </c>
      <c r="EF612" s="29"/>
      <c r="EG612" s="134"/>
      <c r="EH612" s="134"/>
      <c r="EI612" s="134"/>
      <c r="EK612" s="29"/>
    </row>
    <row r="613" spans="1:141" ht="15" customHeight="1" x14ac:dyDescent="0.25">
      <c r="A613" s="87"/>
      <c r="B613" s="5"/>
      <c r="C613" s="72"/>
      <c r="D613" s="73"/>
      <c r="E613" s="73"/>
      <c r="F613" s="141"/>
      <c r="G613" s="74"/>
      <c r="H613" s="75"/>
      <c r="I613" s="76"/>
      <c r="J613" s="135"/>
      <c r="K613" s="135"/>
      <c r="L613" s="77">
        <f t="shared" si="266"/>
        <v>0</v>
      </c>
      <c r="M613" s="78"/>
      <c r="N613" s="142"/>
      <c r="O613" s="142"/>
      <c r="P613" s="77">
        <f t="shared" si="267"/>
        <v>0</v>
      </c>
      <c r="Q613" s="78"/>
      <c r="R613" s="143"/>
      <c r="S613" s="143"/>
      <c r="T613" s="77">
        <f t="shared" si="268"/>
        <v>0</v>
      </c>
      <c r="U613" s="75"/>
      <c r="V613" s="76"/>
      <c r="W613" s="135"/>
      <c r="X613" s="135"/>
      <c r="Y613" s="77">
        <f t="shared" si="269"/>
        <v>0</v>
      </c>
      <c r="Z613" s="78"/>
      <c r="AA613" s="142"/>
      <c r="AB613" s="142"/>
      <c r="AC613" s="77">
        <f t="shared" si="270"/>
        <v>0</v>
      </c>
      <c r="AD613" s="78"/>
      <c r="AE613" s="143"/>
      <c r="AF613" s="143"/>
      <c r="AG613" s="79">
        <f t="shared" si="271"/>
        <v>0</v>
      </c>
      <c r="AH613" s="75"/>
      <c r="AI613" s="76"/>
      <c r="AJ613" s="135"/>
      <c r="AK613" s="135"/>
      <c r="AL613" s="77">
        <f t="shared" si="272"/>
        <v>0</v>
      </c>
      <c r="AM613" s="76"/>
      <c r="AN613" s="142"/>
      <c r="AO613" s="142"/>
      <c r="AP613" s="77">
        <f t="shared" si="273"/>
        <v>0</v>
      </c>
      <c r="AQ613" s="78"/>
      <c r="AR613" s="142"/>
      <c r="AS613" s="142"/>
      <c r="AT613" s="79">
        <f t="shared" si="274"/>
        <v>0</v>
      </c>
      <c r="AU613" s="75"/>
      <c r="AV613" s="76"/>
      <c r="AW613" s="135"/>
      <c r="AX613" s="135"/>
      <c r="AY613" s="77">
        <f t="shared" si="275"/>
        <v>0</v>
      </c>
      <c r="AZ613" s="76"/>
      <c r="BA613" s="142"/>
      <c r="BB613" s="142"/>
      <c r="BC613" s="77">
        <f t="shared" si="276"/>
        <v>0</v>
      </c>
      <c r="BD613" s="78"/>
      <c r="BE613" s="142"/>
      <c r="BF613" s="142"/>
      <c r="BG613" s="79">
        <f t="shared" si="277"/>
        <v>0</v>
      </c>
      <c r="BH613" s="75"/>
      <c r="BI613" s="76"/>
      <c r="BJ613" s="135"/>
      <c r="BK613" s="135"/>
      <c r="BL613" s="77">
        <f t="shared" si="278"/>
        <v>0</v>
      </c>
      <c r="BM613" s="78"/>
      <c r="BN613" s="142"/>
      <c r="BO613" s="142"/>
      <c r="BP613" s="77">
        <f t="shared" si="279"/>
        <v>0</v>
      </c>
      <c r="BQ613" s="78"/>
      <c r="BR613" s="142"/>
      <c r="BS613" s="142"/>
      <c r="BT613" s="79">
        <f t="shared" si="280"/>
        <v>0</v>
      </c>
      <c r="BU613" s="75"/>
      <c r="BV613" s="76"/>
      <c r="BW613" s="135"/>
      <c r="BX613" s="135"/>
      <c r="BY613" s="77">
        <f t="shared" si="281"/>
        <v>0</v>
      </c>
      <c r="BZ613" s="78"/>
      <c r="CA613" s="142"/>
      <c r="CB613" s="142"/>
      <c r="CC613" s="77">
        <f t="shared" si="282"/>
        <v>0</v>
      </c>
      <c r="CD613" s="78"/>
      <c r="CE613" s="142"/>
      <c r="CF613" s="142"/>
      <c r="CG613" s="79">
        <f t="shared" si="283"/>
        <v>0</v>
      </c>
      <c r="CH613" s="75"/>
      <c r="CI613" s="76"/>
      <c r="CJ613" s="86"/>
      <c r="CK613" s="86"/>
      <c r="CL613" s="77">
        <f t="shared" si="284"/>
        <v>0</v>
      </c>
      <c r="CM613" s="78"/>
      <c r="CN613" s="85"/>
      <c r="CO613" s="85"/>
      <c r="CP613" s="77">
        <f t="shared" si="285"/>
        <v>0</v>
      </c>
      <c r="CQ613" s="78"/>
      <c r="CR613" s="85"/>
      <c r="CS613" s="85"/>
      <c r="CT613" s="79">
        <f t="shared" si="286"/>
        <v>0</v>
      </c>
      <c r="CU613" s="80">
        <f t="shared" si="288"/>
        <v>0</v>
      </c>
      <c r="CV613" s="81">
        <f t="shared" si="289"/>
        <v>0</v>
      </c>
      <c r="CW613" s="144"/>
      <c r="CX613" s="145">
        <f>IF(ISERROR(VLOOKUP($A613,FIJOS!$B$11:$O$590,14,FALSE)),0,VLOOKUP($A613,FIJOS!$B$11:$O$590,14,FALSE))</f>
        <v>0</v>
      </c>
      <c r="CY613" s="145">
        <f>IF(ISERROR(VLOOKUP(A613,FIJOS!$B$10:$P$590,15,FALSE)),0,VLOOKUP(A613,FIJOS!$B$10:$P$590,15,FALSE))</f>
        <v>0</v>
      </c>
      <c r="CZ613" s="155"/>
      <c r="DA613" s="147"/>
      <c r="DB613" s="147"/>
      <c r="DC613" s="147"/>
      <c r="DD613" s="147"/>
      <c r="DE613" s="147"/>
      <c r="DF613" s="145">
        <f>IF(ISERROR(VLOOKUP($A613,FIJOS!$B$11:$N$590,13,FALSE)),0,VLOOKUP($A613,FIJOS!$B$11:$N$590,13,FALSE))</f>
        <v>0</v>
      </c>
      <c r="DG613" s="145">
        <f>IF(ISERROR(VLOOKUP($A613,FIJOS!$B$11:$P$447,12,FALSE)),0,VLOOKUP($A613,FIJOS!$B$11:$P$447,12,FALSE))</f>
        <v>0</v>
      </c>
      <c r="DH613" s="82">
        <f t="shared" ref="DH613:DH676" si="290">SUM(CW613:DG613)</f>
        <v>0</v>
      </c>
      <c r="DI613" s="83" t="b">
        <f>IF($C613=1,(VLOOKUP($A613,FIJOS!$B$11:$P$545,10,FALSE)/7)*(7-$CU613),IF(AND($C613=2,CV613&lt;$DJ$1),(VLOOKUP($D613,HORAS!$B$4:$C$42,2,FALSE)*24)*$CV613,IF(AND($C613=2,CV613&gt;=$DJ$1),VLOOKUP($D613,HORAS!$B$4:$D$42,3,FALSE),IF(AND($C613=3,$CV613&gt;=$DJ$1),VLOOKUP($A613,FIJOS!$B$11:$P$545,10,FALSE),IF(AND($C613=3,$CV613&lt;$DJ$1),((VLOOKUP($A613,FIJOS!$B$11:$P$545,10,FALSE)/48)*24)*$CV613,IF(AND($C613=4,$CV613&gt;=(42/24)),VLOOKUP($D613,HORAS!$B$4:$D$42,3,FALSE),IF(AND($C613=5,$CV613&gt;=(36/24)),VLOOKUP($D613,HORAS!$B$4:$D$42,3,FALSE))))))))</f>
        <v>0</v>
      </c>
      <c r="DJ613" s="145">
        <f>IF(OR($C613=2),VLOOKUP($D613,HORAS!$B$4:$E$42,4,FALSE)*$EC613,IF(ISERROR(VLOOKUP($A613,FIJOS!$B$11:$P$108,9,FALSE)),0,VLOOKUP($A613,FIJOS!$B$11:$P$231,9,FALSE)*$EC613))</f>
        <v>0</v>
      </c>
      <c r="DK613" s="145">
        <f>IF(OR($C613=2),VLOOKUP($D613,HORAS!$B$4:$F$42,5,FALSE)*$EE613,IF(ISERROR(VLOOKUP($A613,FIJOS!$B$11:$P$108,9,FALSE)),0,VLOOKUP($A613,FIJOS!$B$11:$P$231,9,FALSE)*$EE613))</f>
        <v>0</v>
      </c>
      <c r="DL613" s="144"/>
      <c r="DM613" s="145">
        <f>IF(ISERROR(VLOOKUP($A613,FIJOS!$B$11:$L$646,11,FALSE)),0,VLOOKUP($A613,FIJOS!$B$11:$L$646,11,FALSE))</f>
        <v>0</v>
      </c>
      <c r="DN613" s="148" t="e">
        <f>IF(OR($C613=1,$C613=3),0,IF((VLOOKUP(CAPTURA!D613,HORAS!$B$4:$K$42,10,FALSE)/4)*COUNTIF($H613:$CT613,3)&gt;100,100,(VLOOKUP(CAPTURA!D613,HORAS!$B$4:$K$42,10,FALSE)/4)*COUNTIF($H613:$CT613,3)))</f>
        <v>#N/A</v>
      </c>
      <c r="DO613" s="144" t="e">
        <f>IF(OR($C613=1,$C613=3),0,IF($C613=5,VLOOKUP(D613,HORAS!$B$4:$G$42,6,FALSE),IF(AND($C613=4,$CV613&gt;=(42/24)),VLOOKUP(D613,HORAS!$B$4:$G$42,6,FALSE),IF(COUNTIF($H613:$CL613,"F")&gt;0,0,IF(CV613&gt;$DJ$1,$DJ$1*(VLOOKUP(D613,HORAS!$B$4:$G$42,6,FALSE)/$DJ$1),CV613*(VLOOKUP(D613,HORAS!$B$4:$G$42,6,FALSE)/$DJ$1))))))</f>
        <v>#N/A</v>
      </c>
      <c r="DP613" s="156"/>
      <c r="DQ613" s="148"/>
      <c r="DR613" s="148"/>
      <c r="DS613" s="83" t="e">
        <f t="shared" si="287"/>
        <v>#N/A</v>
      </c>
      <c r="DT613" s="84"/>
      <c r="DU613" s="149" t="e">
        <f t="shared" ref="DU613:DU676" si="291">IF(DW613-DV613=0,0,DW613-DV613)</f>
        <v>#N/A</v>
      </c>
      <c r="DV613" s="149" t="e">
        <f t="shared" ref="DV613:DV676" si="292">IF(DS613&gt;DY613,DY613,DS613)-(CZ613+CY613)</f>
        <v>#N/A</v>
      </c>
      <c r="DW613" s="144" t="e">
        <f t="shared" ref="DW613:DW676" si="293">DS613-DH613</f>
        <v>#N/A</v>
      </c>
      <c r="DX613" s="168"/>
      <c r="DY613" s="29"/>
      <c r="DZ613" s="150"/>
      <c r="EA613" s="134"/>
      <c r="EB613" s="137">
        <f t="shared" ref="EB613:EB676" si="294">IF(CV613&lt;=$DJ$1,0,IF((CV613-$DJ$1)&gt;$EB$1,$EB$1,CV613-$DJ$1))</f>
        <v>0</v>
      </c>
      <c r="EC613" s="138">
        <f t="shared" ref="EC613:EC676" si="295">EB613*24</f>
        <v>0</v>
      </c>
      <c r="ED613" s="137">
        <f t="shared" ref="ED613:ED676" si="296">IF(CV613&lt;=($EB$1+$DJ$1),0,CV613-($EB$1+$DJ$1))</f>
        <v>0</v>
      </c>
      <c r="EE613" s="132">
        <f t="shared" ref="EE613:EE676" si="297">ED613*24</f>
        <v>0</v>
      </c>
      <c r="EF613" s="29"/>
      <c r="EG613" s="134"/>
      <c r="EH613" s="134"/>
      <c r="EI613" s="134"/>
      <c r="EK613" s="29"/>
    </row>
    <row r="614" spans="1:141" ht="15" customHeight="1" x14ac:dyDescent="0.25">
      <c r="A614" s="87"/>
      <c r="B614" s="5"/>
      <c r="C614" s="72"/>
      <c r="D614" s="73"/>
      <c r="E614" s="73"/>
      <c r="F614" s="141"/>
      <c r="G614" s="74"/>
      <c r="H614" s="75"/>
      <c r="I614" s="76"/>
      <c r="J614" s="135"/>
      <c r="K614" s="135"/>
      <c r="L614" s="77">
        <f t="shared" si="266"/>
        <v>0</v>
      </c>
      <c r="M614" s="78"/>
      <c r="N614" s="142"/>
      <c r="O614" s="142"/>
      <c r="P614" s="77">
        <f t="shared" si="267"/>
        <v>0</v>
      </c>
      <c r="Q614" s="78"/>
      <c r="R614" s="143"/>
      <c r="S614" s="143"/>
      <c r="T614" s="77">
        <f t="shared" si="268"/>
        <v>0</v>
      </c>
      <c r="U614" s="75"/>
      <c r="V614" s="76"/>
      <c r="W614" s="135"/>
      <c r="X614" s="135"/>
      <c r="Y614" s="77">
        <f t="shared" si="269"/>
        <v>0</v>
      </c>
      <c r="Z614" s="78"/>
      <c r="AA614" s="142"/>
      <c r="AB614" s="142"/>
      <c r="AC614" s="77">
        <f t="shared" si="270"/>
        <v>0</v>
      </c>
      <c r="AD614" s="78"/>
      <c r="AE614" s="143"/>
      <c r="AF614" s="143"/>
      <c r="AG614" s="79">
        <f t="shared" si="271"/>
        <v>0</v>
      </c>
      <c r="AH614" s="75"/>
      <c r="AI614" s="76"/>
      <c r="AJ614" s="135"/>
      <c r="AK614" s="135"/>
      <c r="AL614" s="77">
        <f t="shared" si="272"/>
        <v>0</v>
      </c>
      <c r="AM614" s="76"/>
      <c r="AN614" s="142"/>
      <c r="AO614" s="142"/>
      <c r="AP614" s="77">
        <f t="shared" si="273"/>
        <v>0</v>
      </c>
      <c r="AQ614" s="78"/>
      <c r="AR614" s="142"/>
      <c r="AS614" s="142"/>
      <c r="AT614" s="79">
        <f t="shared" si="274"/>
        <v>0</v>
      </c>
      <c r="AU614" s="75"/>
      <c r="AV614" s="76"/>
      <c r="AW614" s="135"/>
      <c r="AX614" s="135"/>
      <c r="AY614" s="77">
        <f t="shared" si="275"/>
        <v>0</v>
      </c>
      <c r="AZ614" s="76"/>
      <c r="BA614" s="142"/>
      <c r="BB614" s="142"/>
      <c r="BC614" s="77">
        <f t="shared" si="276"/>
        <v>0</v>
      </c>
      <c r="BD614" s="78"/>
      <c r="BE614" s="142"/>
      <c r="BF614" s="142"/>
      <c r="BG614" s="79">
        <f t="shared" si="277"/>
        <v>0</v>
      </c>
      <c r="BH614" s="75"/>
      <c r="BI614" s="76"/>
      <c r="BJ614" s="135"/>
      <c r="BK614" s="135"/>
      <c r="BL614" s="77">
        <f t="shared" si="278"/>
        <v>0</v>
      </c>
      <c r="BM614" s="78"/>
      <c r="BN614" s="142"/>
      <c r="BO614" s="142"/>
      <c r="BP614" s="77">
        <f t="shared" si="279"/>
        <v>0</v>
      </c>
      <c r="BQ614" s="78"/>
      <c r="BR614" s="142"/>
      <c r="BS614" s="142"/>
      <c r="BT614" s="79">
        <f t="shared" si="280"/>
        <v>0</v>
      </c>
      <c r="BU614" s="75"/>
      <c r="BV614" s="76"/>
      <c r="BW614" s="135"/>
      <c r="BX614" s="135"/>
      <c r="BY614" s="77">
        <f t="shared" si="281"/>
        <v>0</v>
      </c>
      <c r="BZ614" s="78"/>
      <c r="CA614" s="142"/>
      <c r="CB614" s="142"/>
      <c r="CC614" s="77">
        <f t="shared" si="282"/>
        <v>0</v>
      </c>
      <c r="CD614" s="78"/>
      <c r="CE614" s="142"/>
      <c r="CF614" s="142"/>
      <c r="CG614" s="79">
        <f t="shared" si="283"/>
        <v>0</v>
      </c>
      <c r="CH614" s="75"/>
      <c r="CI614" s="76"/>
      <c r="CJ614" s="86"/>
      <c r="CK614" s="86"/>
      <c r="CL614" s="77">
        <f t="shared" si="284"/>
        <v>0</v>
      </c>
      <c r="CM614" s="78"/>
      <c r="CN614" s="85"/>
      <c r="CO614" s="85"/>
      <c r="CP614" s="77">
        <f t="shared" si="285"/>
        <v>0</v>
      </c>
      <c r="CQ614" s="78"/>
      <c r="CR614" s="85"/>
      <c r="CS614" s="85"/>
      <c r="CT614" s="79">
        <f t="shared" si="286"/>
        <v>0</v>
      </c>
      <c r="CU614" s="80">
        <f t="shared" si="288"/>
        <v>0</v>
      </c>
      <c r="CV614" s="81">
        <f t="shared" si="289"/>
        <v>0</v>
      </c>
      <c r="CW614" s="144"/>
      <c r="CX614" s="145">
        <f>IF(ISERROR(VLOOKUP($A614,FIJOS!$B$11:$O$590,14,FALSE)),0,VLOOKUP($A614,FIJOS!$B$11:$O$590,14,FALSE))</f>
        <v>0</v>
      </c>
      <c r="CY614" s="145">
        <f>IF(ISERROR(VLOOKUP(A614,FIJOS!$B$10:$P$590,15,FALSE)),0,VLOOKUP(A614,FIJOS!$B$10:$P$590,15,FALSE))</f>
        <v>0</v>
      </c>
      <c r="CZ614" s="155"/>
      <c r="DA614" s="147"/>
      <c r="DB614" s="147"/>
      <c r="DC614" s="147"/>
      <c r="DD614" s="147"/>
      <c r="DE614" s="147"/>
      <c r="DF614" s="145">
        <f>IF(ISERROR(VLOOKUP($A614,FIJOS!$B$11:$N$590,13,FALSE)),0,VLOOKUP($A614,FIJOS!$B$11:$N$590,13,FALSE))</f>
        <v>0</v>
      </c>
      <c r="DG614" s="145">
        <f>IF(ISERROR(VLOOKUP($A614,FIJOS!$B$11:$P$447,12,FALSE)),0,VLOOKUP($A614,FIJOS!$B$11:$P$447,12,FALSE))</f>
        <v>0</v>
      </c>
      <c r="DH614" s="82">
        <f t="shared" si="290"/>
        <v>0</v>
      </c>
      <c r="DI614" s="83" t="b">
        <f>IF($C614=1,(VLOOKUP($A614,FIJOS!$B$11:$P$545,10,FALSE)/7)*(7-$CU614),IF(AND($C614=2,CV614&lt;$DJ$1),(VLOOKUP($D614,HORAS!$B$4:$C$42,2,FALSE)*24)*$CV614,IF(AND($C614=2,CV614&gt;=$DJ$1),VLOOKUP($D614,HORAS!$B$4:$D$42,3,FALSE),IF(AND($C614=3,$CV614&gt;=$DJ$1),VLOOKUP($A614,FIJOS!$B$11:$P$545,10,FALSE),IF(AND($C614=3,$CV614&lt;$DJ$1),((VLOOKUP($A614,FIJOS!$B$11:$P$545,10,FALSE)/48)*24)*$CV614,IF(AND($C614=4,$CV614&gt;=(42/24)),VLOOKUP($D614,HORAS!$B$4:$D$42,3,FALSE),IF(AND($C614=5,$CV614&gt;=(36/24)),VLOOKUP($D614,HORAS!$B$4:$D$42,3,FALSE))))))))</f>
        <v>0</v>
      </c>
      <c r="DJ614" s="145">
        <f>IF(OR($C614=2),VLOOKUP($D614,HORAS!$B$4:$E$42,4,FALSE)*$EC614,IF(ISERROR(VLOOKUP($A614,FIJOS!$B$11:$P$108,9,FALSE)),0,VLOOKUP($A614,FIJOS!$B$11:$P$231,9,FALSE)*$EC614))</f>
        <v>0</v>
      </c>
      <c r="DK614" s="145">
        <f>IF(OR($C614=2),VLOOKUP($D614,HORAS!$B$4:$F$42,5,FALSE)*$EE614,IF(ISERROR(VLOOKUP($A614,FIJOS!$B$11:$P$108,9,FALSE)),0,VLOOKUP($A614,FIJOS!$B$11:$P$231,9,FALSE)*$EE614))</f>
        <v>0</v>
      </c>
      <c r="DL614" s="144"/>
      <c r="DM614" s="145">
        <f>IF(ISERROR(VLOOKUP($A614,FIJOS!$B$11:$L$646,11,FALSE)),0,VLOOKUP($A614,FIJOS!$B$11:$L$646,11,FALSE))</f>
        <v>0</v>
      </c>
      <c r="DN614" s="148" t="e">
        <f>IF(OR($C614=1,$C614=3),0,IF((VLOOKUP(CAPTURA!D614,HORAS!$B$4:$K$42,10,FALSE)/4)*COUNTIF($H614:$CT614,3)&gt;100,100,(VLOOKUP(CAPTURA!D614,HORAS!$B$4:$K$42,10,FALSE)/4)*COUNTIF($H614:$CT614,3)))</f>
        <v>#N/A</v>
      </c>
      <c r="DO614" s="144" t="e">
        <f>IF(OR($C614=1,$C614=3),0,IF($C614=5,VLOOKUP(D614,HORAS!$B$4:$G$42,6,FALSE),IF(AND($C614=4,$CV614&gt;=(42/24)),VLOOKUP(D614,HORAS!$B$4:$G$42,6,FALSE),IF(COUNTIF($H614:$CL614,"F")&gt;0,0,IF(CV614&gt;$DJ$1,$DJ$1*(VLOOKUP(D614,HORAS!$B$4:$G$42,6,FALSE)/$DJ$1),CV614*(VLOOKUP(D614,HORAS!$B$4:$G$42,6,FALSE)/$DJ$1))))))</f>
        <v>#N/A</v>
      </c>
      <c r="DP614" s="156"/>
      <c r="DQ614" s="148"/>
      <c r="DR614" s="148"/>
      <c r="DS614" s="83" t="e">
        <f t="shared" si="287"/>
        <v>#N/A</v>
      </c>
      <c r="DT614" s="84"/>
      <c r="DU614" s="149" t="e">
        <f t="shared" si="291"/>
        <v>#N/A</v>
      </c>
      <c r="DV614" s="149" t="e">
        <f t="shared" si="292"/>
        <v>#N/A</v>
      </c>
      <c r="DW614" s="144" t="e">
        <f t="shared" si="293"/>
        <v>#N/A</v>
      </c>
      <c r="DX614" s="168"/>
      <c r="DY614" s="29"/>
      <c r="DZ614" s="150"/>
      <c r="EA614" s="134"/>
      <c r="EB614" s="137">
        <f t="shared" si="294"/>
        <v>0</v>
      </c>
      <c r="EC614" s="138">
        <f t="shared" si="295"/>
        <v>0</v>
      </c>
      <c r="ED614" s="137">
        <f t="shared" si="296"/>
        <v>0</v>
      </c>
      <c r="EE614" s="132">
        <f t="shared" si="297"/>
        <v>0</v>
      </c>
      <c r="EF614" s="29"/>
      <c r="EG614" s="134"/>
      <c r="EH614" s="134"/>
      <c r="EI614" s="134"/>
      <c r="EK614" s="29"/>
    </row>
    <row r="615" spans="1:141" ht="15" customHeight="1" x14ac:dyDescent="0.25">
      <c r="A615" s="87"/>
      <c r="B615" s="5"/>
      <c r="C615" s="72"/>
      <c r="D615" s="73"/>
      <c r="E615" s="73"/>
      <c r="F615" s="141"/>
      <c r="G615" s="74"/>
      <c r="H615" s="75"/>
      <c r="I615" s="76"/>
      <c r="J615" s="135"/>
      <c r="K615" s="135"/>
      <c r="L615" s="77">
        <f t="shared" si="266"/>
        <v>0</v>
      </c>
      <c r="M615" s="78"/>
      <c r="N615" s="142"/>
      <c r="O615" s="142"/>
      <c r="P615" s="77">
        <f t="shared" si="267"/>
        <v>0</v>
      </c>
      <c r="Q615" s="78"/>
      <c r="R615" s="143"/>
      <c r="S615" s="143"/>
      <c r="T615" s="77">
        <f t="shared" si="268"/>
        <v>0</v>
      </c>
      <c r="U615" s="75"/>
      <c r="V615" s="76"/>
      <c r="W615" s="135"/>
      <c r="X615" s="135"/>
      <c r="Y615" s="77">
        <f t="shared" si="269"/>
        <v>0</v>
      </c>
      <c r="Z615" s="78"/>
      <c r="AA615" s="142"/>
      <c r="AB615" s="142"/>
      <c r="AC615" s="77">
        <f t="shared" si="270"/>
        <v>0</v>
      </c>
      <c r="AD615" s="78"/>
      <c r="AE615" s="143"/>
      <c r="AF615" s="143"/>
      <c r="AG615" s="79">
        <f t="shared" si="271"/>
        <v>0</v>
      </c>
      <c r="AH615" s="75"/>
      <c r="AI615" s="76"/>
      <c r="AJ615" s="135"/>
      <c r="AK615" s="135"/>
      <c r="AL615" s="77">
        <f t="shared" si="272"/>
        <v>0</v>
      </c>
      <c r="AM615" s="76"/>
      <c r="AN615" s="142"/>
      <c r="AO615" s="142"/>
      <c r="AP615" s="77">
        <f t="shared" si="273"/>
        <v>0</v>
      </c>
      <c r="AQ615" s="78"/>
      <c r="AR615" s="142"/>
      <c r="AS615" s="142"/>
      <c r="AT615" s="79">
        <f t="shared" si="274"/>
        <v>0</v>
      </c>
      <c r="AU615" s="75"/>
      <c r="AV615" s="76"/>
      <c r="AW615" s="135"/>
      <c r="AX615" s="135"/>
      <c r="AY615" s="77">
        <f t="shared" si="275"/>
        <v>0</v>
      </c>
      <c r="AZ615" s="76"/>
      <c r="BA615" s="142"/>
      <c r="BB615" s="142"/>
      <c r="BC615" s="77">
        <f t="shared" si="276"/>
        <v>0</v>
      </c>
      <c r="BD615" s="78"/>
      <c r="BE615" s="142"/>
      <c r="BF615" s="142"/>
      <c r="BG615" s="79">
        <f t="shared" si="277"/>
        <v>0</v>
      </c>
      <c r="BH615" s="75"/>
      <c r="BI615" s="76"/>
      <c r="BJ615" s="135"/>
      <c r="BK615" s="135"/>
      <c r="BL615" s="77">
        <f t="shared" si="278"/>
        <v>0</v>
      </c>
      <c r="BM615" s="78"/>
      <c r="BN615" s="142"/>
      <c r="BO615" s="142"/>
      <c r="BP615" s="77">
        <f t="shared" si="279"/>
        <v>0</v>
      </c>
      <c r="BQ615" s="78"/>
      <c r="BR615" s="142"/>
      <c r="BS615" s="142"/>
      <c r="BT615" s="79">
        <f t="shared" si="280"/>
        <v>0</v>
      </c>
      <c r="BU615" s="75"/>
      <c r="BV615" s="76"/>
      <c r="BW615" s="135"/>
      <c r="BX615" s="135"/>
      <c r="BY615" s="77">
        <f t="shared" si="281"/>
        <v>0</v>
      </c>
      <c r="BZ615" s="78"/>
      <c r="CA615" s="142"/>
      <c r="CB615" s="142"/>
      <c r="CC615" s="77">
        <f t="shared" si="282"/>
        <v>0</v>
      </c>
      <c r="CD615" s="78"/>
      <c r="CE615" s="142"/>
      <c r="CF615" s="142"/>
      <c r="CG615" s="79">
        <f t="shared" si="283"/>
        <v>0</v>
      </c>
      <c r="CH615" s="75"/>
      <c r="CI615" s="76"/>
      <c r="CJ615" s="86"/>
      <c r="CK615" s="86"/>
      <c r="CL615" s="77">
        <f t="shared" si="284"/>
        <v>0</v>
      </c>
      <c r="CM615" s="78"/>
      <c r="CN615" s="85"/>
      <c r="CO615" s="85"/>
      <c r="CP615" s="77">
        <f t="shared" si="285"/>
        <v>0</v>
      </c>
      <c r="CQ615" s="78"/>
      <c r="CR615" s="85"/>
      <c r="CS615" s="85"/>
      <c r="CT615" s="79">
        <f t="shared" si="286"/>
        <v>0</v>
      </c>
      <c r="CU615" s="80">
        <f t="shared" si="288"/>
        <v>0</v>
      </c>
      <c r="CV615" s="81">
        <f t="shared" si="289"/>
        <v>0</v>
      </c>
      <c r="CW615" s="144"/>
      <c r="CX615" s="145">
        <f>IF(ISERROR(VLOOKUP($A615,FIJOS!$B$11:$O$590,14,FALSE)),0,VLOOKUP($A615,FIJOS!$B$11:$O$590,14,FALSE))</f>
        <v>0</v>
      </c>
      <c r="CY615" s="145">
        <f>IF(ISERROR(VLOOKUP(A615,FIJOS!$B$10:$P$590,15,FALSE)),0,VLOOKUP(A615,FIJOS!$B$10:$P$590,15,FALSE))</f>
        <v>0</v>
      </c>
      <c r="CZ615" s="155"/>
      <c r="DA615" s="147"/>
      <c r="DB615" s="147"/>
      <c r="DC615" s="147"/>
      <c r="DD615" s="147"/>
      <c r="DE615" s="147"/>
      <c r="DF615" s="145">
        <f>IF(ISERROR(VLOOKUP($A615,FIJOS!$B$11:$N$590,13,FALSE)),0,VLOOKUP($A615,FIJOS!$B$11:$N$590,13,FALSE))</f>
        <v>0</v>
      </c>
      <c r="DG615" s="145">
        <f>IF(ISERROR(VLOOKUP($A615,FIJOS!$B$11:$P$447,12,FALSE)),0,VLOOKUP($A615,FIJOS!$B$11:$P$447,12,FALSE))</f>
        <v>0</v>
      </c>
      <c r="DH615" s="82">
        <f t="shared" si="290"/>
        <v>0</v>
      </c>
      <c r="DI615" s="83" t="b">
        <f>IF($C615=1,(VLOOKUP($A615,FIJOS!$B$11:$P$545,10,FALSE)/7)*(7-$CU615),IF(AND($C615=2,CV615&lt;$DJ$1),(VLOOKUP($D615,HORAS!$B$4:$C$42,2,FALSE)*24)*$CV615,IF(AND($C615=2,CV615&gt;=$DJ$1),VLOOKUP($D615,HORAS!$B$4:$D$42,3,FALSE),IF(AND($C615=3,$CV615&gt;=$DJ$1),VLOOKUP($A615,FIJOS!$B$11:$P$545,10,FALSE),IF(AND($C615=3,$CV615&lt;$DJ$1),((VLOOKUP($A615,FIJOS!$B$11:$P$545,10,FALSE)/48)*24)*$CV615,IF(AND($C615=4,$CV615&gt;=(42/24)),VLOOKUP($D615,HORAS!$B$4:$D$42,3,FALSE),IF(AND($C615=5,$CV615&gt;=(36/24)),VLOOKUP($D615,HORAS!$B$4:$D$42,3,FALSE))))))))</f>
        <v>0</v>
      </c>
      <c r="DJ615" s="145">
        <f>IF(OR($C615=2),VLOOKUP($D615,HORAS!$B$4:$E$42,4,FALSE)*$EC615,IF(ISERROR(VLOOKUP($A615,FIJOS!$B$11:$P$108,9,FALSE)),0,VLOOKUP($A615,FIJOS!$B$11:$P$231,9,FALSE)*$EC615))</f>
        <v>0</v>
      </c>
      <c r="DK615" s="145">
        <f>IF(OR($C615=2),VLOOKUP($D615,HORAS!$B$4:$F$42,5,FALSE)*$EE615,IF(ISERROR(VLOOKUP($A615,FIJOS!$B$11:$P$108,9,FALSE)),0,VLOOKUP($A615,FIJOS!$B$11:$P$231,9,FALSE)*$EE615))</f>
        <v>0</v>
      </c>
      <c r="DL615" s="144"/>
      <c r="DM615" s="145">
        <f>IF(ISERROR(VLOOKUP($A615,FIJOS!$B$11:$L$646,11,FALSE)),0,VLOOKUP($A615,FIJOS!$B$11:$L$646,11,FALSE))</f>
        <v>0</v>
      </c>
      <c r="DN615" s="148" t="e">
        <f>IF(OR($C615=1,$C615=3),0,IF((VLOOKUP(CAPTURA!D615,HORAS!$B$4:$K$42,10,FALSE)/4)*COUNTIF($H615:$CT615,3)&gt;100,100,(VLOOKUP(CAPTURA!D615,HORAS!$B$4:$K$42,10,FALSE)/4)*COUNTIF($H615:$CT615,3)))</f>
        <v>#N/A</v>
      </c>
      <c r="DO615" s="144" t="e">
        <f>IF(OR($C615=1,$C615=3),0,IF($C615=5,VLOOKUP(D615,HORAS!$B$4:$G$42,6,FALSE),IF(AND($C615=4,$CV615&gt;=(42/24)),VLOOKUP(D615,HORAS!$B$4:$G$42,6,FALSE),IF(COUNTIF($H615:$CL615,"F")&gt;0,0,IF(CV615&gt;$DJ$1,$DJ$1*(VLOOKUP(D615,HORAS!$B$4:$G$42,6,FALSE)/$DJ$1),CV615*(VLOOKUP(D615,HORAS!$B$4:$G$42,6,FALSE)/$DJ$1))))))</f>
        <v>#N/A</v>
      </c>
      <c r="DP615" s="156"/>
      <c r="DQ615" s="148"/>
      <c r="DR615" s="148"/>
      <c r="DS615" s="83" t="e">
        <f t="shared" si="287"/>
        <v>#N/A</v>
      </c>
      <c r="DT615" s="84"/>
      <c r="DU615" s="149" t="e">
        <f t="shared" si="291"/>
        <v>#N/A</v>
      </c>
      <c r="DV615" s="149" t="e">
        <f t="shared" si="292"/>
        <v>#N/A</v>
      </c>
      <c r="DW615" s="144" t="e">
        <f t="shared" si="293"/>
        <v>#N/A</v>
      </c>
      <c r="DX615" s="168"/>
      <c r="DY615" s="29"/>
      <c r="DZ615" s="150"/>
      <c r="EA615" s="134"/>
      <c r="EB615" s="137">
        <f t="shared" si="294"/>
        <v>0</v>
      </c>
      <c r="EC615" s="138">
        <f t="shared" si="295"/>
        <v>0</v>
      </c>
      <c r="ED615" s="137">
        <f t="shared" si="296"/>
        <v>0</v>
      </c>
      <c r="EE615" s="132">
        <f t="shared" si="297"/>
        <v>0</v>
      </c>
      <c r="EF615" s="29"/>
      <c r="EG615" s="134"/>
      <c r="EH615" s="134"/>
      <c r="EI615" s="134"/>
      <c r="EK615" s="29"/>
    </row>
    <row r="616" spans="1:141" ht="15" customHeight="1" x14ac:dyDescent="0.25">
      <c r="A616" s="87"/>
      <c r="B616" s="5"/>
      <c r="C616" s="72"/>
      <c r="D616" s="73"/>
      <c r="E616" s="73"/>
      <c r="F616" s="141"/>
      <c r="G616" s="74"/>
      <c r="H616" s="75"/>
      <c r="I616" s="76"/>
      <c r="J616" s="135"/>
      <c r="K616" s="135"/>
      <c r="L616" s="77">
        <f t="shared" si="266"/>
        <v>0</v>
      </c>
      <c r="M616" s="78"/>
      <c r="N616" s="142"/>
      <c r="O616" s="142"/>
      <c r="P616" s="77">
        <f t="shared" si="267"/>
        <v>0</v>
      </c>
      <c r="Q616" s="78"/>
      <c r="R616" s="143"/>
      <c r="S616" s="143"/>
      <c r="T616" s="77">
        <f t="shared" si="268"/>
        <v>0</v>
      </c>
      <c r="U616" s="75"/>
      <c r="V616" s="76"/>
      <c r="W616" s="135"/>
      <c r="X616" s="135"/>
      <c r="Y616" s="77">
        <f t="shared" si="269"/>
        <v>0</v>
      </c>
      <c r="Z616" s="78"/>
      <c r="AA616" s="142"/>
      <c r="AB616" s="142"/>
      <c r="AC616" s="77">
        <f t="shared" si="270"/>
        <v>0</v>
      </c>
      <c r="AD616" s="78"/>
      <c r="AE616" s="143"/>
      <c r="AF616" s="143"/>
      <c r="AG616" s="79">
        <f t="shared" si="271"/>
        <v>0</v>
      </c>
      <c r="AH616" s="75"/>
      <c r="AI616" s="76"/>
      <c r="AJ616" s="135"/>
      <c r="AK616" s="135"/>
      <c r="AL616" s="77">
        <f t="shared" si="272"/>
        <v>0</v>
      </c>
      <c r="AM616" s="76"/>
      <c r="AN616" s="142"/>
      <c r="AO616" s="142"/>
      <c r="AP616" s="77">
        <f t="shared" si="273"/>
        <v>0</v>
      </c>
      <c r="AQ616" s="78"/>
      <c r="AR616" s="142"/>
      <c r="AS616" s="142"/>
      <c r="AT616" s="79">
        <f t="shared" si="274"/>
        <v>0</v>
      </c>
      <c r="AU616" s="75"/>
      <c r="AV616" s="76"/>
      <c r="AW616" s="135"/>
      <c r="AX616" s="135"/>
      <c r="AY616" s="77">
        <f t="shared" si="275"/>
        <v>0</v>
      </c>
      <c r="AZ616" s="76"/>
      <c r="BA616" s="142"/>
      <c r="BB616" s="142"/>
      <c r="BC616" s="77">
        <f t="shared" si="276"/>
        <v>0</v>
      </c>
      <c r="BD616" s="78"/>
      <c r="BE616" s="142"/>
      <c r="BF616" s="142"/>
      <c r="BG616" s="79">
        <f t="shared" si="277"/>
        <v>0</v>
      </c>
      <c r="BH616" s="75"/>
      <c r="BI616" s="76"/>
      <c r="BJ616" s="135"/>
      <c r="BK616" s="135"/>
      <c r="BL616" s="77">
        <f t="shared" si="278"/>
        <v>0</v>
      </c>
      <c r="BM616" s="78"/>
      <c r="BN616" s="142"/>
      <c r="BO616" s="142"/>
      <c r="BP616" s="77">
        <f t="shared" si="279"/>
        <v>0</v>
      </c>
      <c r="BQ616" s="78"/>
      <c r="BR616" s="142"/>
      <c r="BS616" s="142"/>
      <c r="BT616" s="79">
        <f t="shared" si="280"/>
        <v>0</v>
      </c>
      <c r="BU616" s="75"/>
      <c r="BV616" s="76"/>
      <c r="BW616" s="135"/>
      <c r="BX616" s="135"/>
      <c r="BY616" s="77">
        <f t="shared" si="281"/>
        <v>0</v>
      </c>
      <c r="BZ616" s="78"/>
      <c r="CA616" s="142"/>
      <c r="CB616" s="142"/>
      <c r="CC616" s="77">
        <f t="shared" si="282"/>
        <v>0</v>
      </c>
      <c r="CD616" s="78"/>
      <c r="CE616" s="142"/>
      <c r="CF616" s="142"/>
      <c r="CG616" s="79">
        <f t="shared" si="283"/>
        <v>0</v>
      </c>
      <c r="CH616" s="75"/>
      <c r="CI616" s="76"/>
      <c r="CJ616" s="86"/>
      <c r="CK616" s="86"/>
      <c r="CL616" s="77">
        <f t="shared" si="284"/>
        <v>0</v>
      </c>
      <c r="CM616" s="78"/>
      <c r="CN616" s="85"/>
      <c r="CO616" s="85"/>
      <c r="CP616" s="77">
        <f t="shared" si="285"/>
        <v>0</v>
      </c>
      <c r="CQ616" s="78"/>
      <c r="CR616" s="85"/>
      <c r="CS616" s="85"/>
      <c r="CT616" s="79">
        <f t="shared" si="286"/>
        <v>0</v>
      </c>
      <c r="CU616" s="80">
        <f t="shared" si="288"/>
        <v>0</v>
      </c>
      <c r="CV616" s="81">
        <f t="shared" si="289"/>
        <v>0</v>
      </c>
      <c r="CW616" s="144"/>
      <c r="CX616" s="145">
        <f>IF(ISERROR(VLOOKUP($A616,FIJOS!$B$11:$O$590,14,FALSE)),0,VLOOKUP($A616,FIJOS!$B$11:$O$590,14,FALSE))</f>
        <v>0</v>
      </c>
      <c r="CY616" s="145">
        <f>IF(ISERROR(VLOOKUP(A616,FIJOS!$B$10:$P$590,15,FALSE)),0,VLOOKUP(A616,FIJOS!$B$10:$P$590,15,FALSE))</f>
        <v>0</v>
      </c>
      <c r="CZ616" s="155"/>
      <c r="DA616" s="147"/>
      <c r="DB616" s="147"/>
      <c r="DC616" s="147"/>
      <c r="DD616" s="147"/>
      <c r="DE616" s="147"/>
      <c r="DF616" s="145">
        <f>IF(ISERROR(VLOOKUP($A616,FIJOS!$B$11:$N$590,13,FALSE)),0,VLOOKUP($A616,FIJOS!$B$11:$N$590,13,FALSE))</f>
        <v>0</v>
      </c>
      <c r="DG616" s="145">
        <f>IF(ISERROR(VLOOKUP($A616,FIJOS!$B$11:$P$447,12,FALSE)),0,VLOOKUP($A616,FIJOS!$B$11:$P$447,12,FALSE))</f>
        <v>0</v>
      </c>
      <c r="DH616" s="82">
        <f t="shared" si="290"/>
        <v>0</v>
      </c>
      <c r="DI616" s="83" t="b">
        <f>IF($C616=1,(VLOOKUP($A616,FIJOS!$B$11:$P$545,10,FALSE)/7)*(7-$CU616),IF(AND($C616=2,CV616&lt;$DJ$1),(VLOOKUP($D616,HORAS!$B$4:$C$42,2,FALSE)*24)*$CV616,IF(AND($C616=2,CV616&gt;=$DJ$1),VLOOKUP($D616,HORAS!$B$4:$D$42,3,FALSE),IF(AND($C616=3,$CV616&gt;=$DJ$1),VLOOKUP($A616,FIJOS!$B$11:$P$545,10,FALSE),IF(AND($C616=3,$CV616&lt;$DJ$1),((VLOOKUP($A616,FIJOS!$B$11:$P$545,10,FALSE)/48)*24)*$CV616,IF(AND($C616=4,$CV616&gt;=(42/24)),VLOOKUP($D616,HORAS!$B$4:$D$42,3,FALSE),IF(AND($C616=5,$CV616&gt;=(36/24)),VLOOKUP($D616,HORAS!$B$4:$D$42,3,FALSE))))))))</f>
        <v>0</v>
      </c>
      <c r="DJ616" s="145">
        <f>IF(OR($C616=2),VLOOKUP($D616,HORAS!$B$4:$E$42,4,FALSE)*$EC616,IF(ISERROR(VLOOKUP($A616,FIJOS!$B$11:$P$108,9,FALSE)),0,VLOOKUP($A616,FIJOS!$B$11:$P$231,9,FALSE)*$EC616))</f>
        <v>0</v>
      </c>
      <c r="DK616" s="145">
        <f>IF(OR($C616=2),VLOOKUP($D616,HORAS!$B$4:$F$42,5,FALSE)*$EE616,IF(ISERROR(VLOOKUP($A616,FIJOS!$B$11:$P$108,9,FALSE)),0,VLOOKUP($A616,FIJOS!$B$11:$P$231,9,FALSE)*$EE616))</f>
        <v>0</v>
      </c>
      <c r="DL616" s="144"/>
      <c r="DM616" s="145">
        <f>IF(ISERROR(VLOOKUP($A616,FIJOS!$B$11:$L$646,11,FALSE)),0,VLOOKUP($A616,FIJOS!$B$11:$L$646,11,FALSE))</f>
        <v>0</v>
      </c>
      <c r="DN616" s="148" t="e">
        <f>IF(OR($C616=1,$C616=3),0,IF((VLOOKUP(CAPTURA!D616,HORAS!$B$4:$K$42,10,FALSE)/4)*COUNTIF($H616:$CT616,3)&gt;100,100,(VLOOKUP(CAPTURA!D616,HORAS!$B$4:$K$42,10,FALSE)/4)*COUNTIF($H616:$CT616,3)))</f>
        <v>#N/A</v>
      </c>
      <c r="DO616" s="144" t="e">
        <f>IF(OR($C616=1,$C616=3),0,IF($C616=5,VLOOKUP(D616,HORAS!$B$4:$G$42,6,FALSE),IF(AND($C616=4,$CV616&gt;=(42/24)),VLOOKUP(D616,HORAS!$B$4:$G$42,6,FALSE),IF(COUNTIF($H616:$CL616,"F")&gt;0,0,IF(CV616&gt;$DJ$1,$DJ$1*(VLOOKUP(D616,HORAS!$B$4:$G$42,6,FALSE)/$DJ$1),CV616*(VLOOKUP(D616,HORAS!$B$4:$G$42,6,FALSE)/$DJ$1))))))</f>
        <v>#N/A</v>
      </c>
      <c r="DP616" s="156"/>
      <c r="DQ616" s="148"/>
      <c r="DR616" s="148"/>
      <c r="DS616" s="83" t="e">
        <f t="shared" si="287"/>
        <v>#N/A</v>
      </c>
      <c r="DT616" s="84"/>
      <c r="DU616" s="149" t="e">
        <f t="shared" si="291"/>
        <v>#N/A</v>
      </c>
      <c r="DV616" s="149" t="e">
        <f t="shared" si="292"/>
        <v>#N/A</v>
      </c>
      <c r="DW616" s="144" t="e">
        <f t="shared" si="293"/>
        <v>#N/A</v>
      </c>
      <c r="DX616" s="168"/>
      <c r="DY616" s="29"/>
      <c r="DZ616" s="150"/>
      <c r="EA616" s="134"/>
      <c r="EB616" s="137">
        <f t="shared" si="294"/>
        <v>0</v>
      </c>
      <c r="EC616" s="138">
        <f t="shared" si="295"/>
        <v>0</v>
      </c>
      <c r="ED616" s="137">
        <f t="shared" si="296"/>
        <v>0</v>
      </c>
      <c r="EE616" s="132">
        <f t="shared" si="297"/>
        <v>0</v>
      </c>
      <c r="EF616" s="29"/>
      <c r="EG616" s="134"/>
      <c r="EH616" s="134"/>
      <c r="EI616" s="134"/>
      <c r="EK616" s="29"/>
    </row>
    <row r="617" spans="1:141" ht="15" customHeight="1" x14ac:dyDescent="0.25">
      <c r="A617" s="87"/>
      <c r="B617" s="5"/>
      <c r="C617" s="72"/>
      <c r="D617" s="73"/>
      <c r="E617" s="73"/>
      <c r="F617" s="141"/>
      <c r="G617" s="74"/>
      <c r="H617" s="75"/>
      <c r="I617" s="76"/>
      <c r="J617" s="135"/>
      <c r="K617" s="135"/>
      <c r="L617" s="77">
        <f t="shared" si="266"/>
        <v>0</v>
      </c>
      <c r="M617" s="78"/>
      <c r="N617" s="142"/>
      <c r="O617" s="142"/>
      <c r="P617" s="77">
        <f t="shared" si="267"/>
        <v>0</v>
      </c>
      <c r="Q617" s="78"/>
      <c r="R617" s="143"/>
      <c r="S617" s="143"/>
      <c r="T617" s="77">
        <f t="shared" si="268"/>
        <v>0</v>
      </c>
      <c r="U617" s="75"/>
      <c r="V617" s="76"/>
      <c r="W617" s="135"/>
      <c r="X617" s="135"/>
      <c r="Y617" s="77">
        <f t="shared" si="269"/>
        <v>0</v>
      </c>
      <c r="Z617" s="78"/>
      <c r="AA617" s="142"/>
      <c r="AB617" s="142"/>
      <c r="AC617" s="77">
        <f t="shared" si="270"/>
        <v>0</v>
      </c>
      <c r="AD617" s="78"/>
      <c r="AE617" s="143"/>
      <c r="AF617" s="143"/>
      <c r="AG617" s="79">
        <f t="shared" si="271"/>
        <v>0</v>
      </c>
      <c r="AH617" s="75"/>
      <c r="AI617" s="76"/>
      <c r="AJ617" s="135"/>
      <c r="AK617" s="135"/>
      <c r="AL617" s="77">
        <f t="shared" si="272"/>
        <v>0</v>
      </c>
      <c r="AM617" s="76"/>
      <c r="AN617" s="142"/>
      <c r="AO617" s="142"/>
      <c r="AP617" s="77">
        <f t="shared" si="273"/>
        <v>0</v>
      </c>
      <c r="AQ617" s="78"/>
      <c r="AR617" s="142"/>
      <c r="AS617" s="142"/>
      <c r="AT617" s="79">
        <f t="shared" si="274"/>
        <v>0</v>
      </c>
      <c r="AU617" s="75"/>
      <c r="AV617" s="76"/>
      <c r="AW617" s="135"/>
      <c r="AX617" s="135"/>
      <c r="AY617" s="77">
        <f t="shared" si="275"/>
        <v>0</v>
      </c>
      <c r="AZ617" s="76"/>
      <c r="BA617" s="142"/>
      <c r="BB617" s="142"/>
      <c r="BC617" s="77">
        <f t="shared" si="276"/>
        <v>0</v>
      </c>
      <c r="BD617" s="78"/>
      <c r="BE617" s="142"/>
      <c r="BF617" s="142"/>
      <c r="BG617" s="79">
        <f t="shared" si="277"/>
        <v>0</v>
      </c>
      <c r="BH617" s="75"/>
      <c r="BI617" s="76"/>
      <c r="BJ617" s="135"/>
      <c r="BK617" s="135"/>
      <c r="BL617" s="77">
        <f t="shared" si="278"/>
        <v>0</v>
      </c>
      <c r="BM617" s="78"/>
      <c r="BN617" s="142"/>
      <c r="BO617" s="142"/>
      <c r="BP617" s="77">
        <f t="shared" si="279"/>
        <v>0</v>
      </c>
      <c r="BQ617" s="78"/>
      <c r="BR617" s="142"/>
      <c r="BS617" s="142"/>
      <c r="BT617" s="79">
        <f t="shared" si="280"/>
        <v>0</v>
      </c>
      <c r="BU617" s="75"/>
      <c r="BV617" s="76"/>
      <c r="BW617" s="135"/>
      <c r="BX617" s="135"/>
      <c r="BY617" s="77">
        <f t="shared" si="281"/>
        <v>0</v>
      </c>
      <c r="BZ617" s="78"/>
      <c r="CA617" s="142"/>
      <c r="CB617" s="142"/>
      <c r="CC617" s="77">
        <f t="shared" si="282"/>
        <v>0</v>
      </c>
      <c r="CD617" s="78"/>
      <c r="CE617" s="142"/>
      <c r="CF617" s="142"/>
      <c r="CG617" s="79">
        <f t="shared" si="283"/>
        <v>0</v>
      </c>
      <c r="CH617" s="75"/>
      <c r="CI617" s="76"/>
      <c r="CJ617" s="86"/>
      <c r="CK617" s="86"/>
      <c r="CL617" s="77">
        <f t="shared" si="284"/>
        <v>0</v>
      </c>
      <c r="CM617" s="78"/>
      <c r="CN617" s="85"/>
      <c r="CO617" s="85"/>
      <c r="CP617" s="77">
        <f t="shared" si="285"/>
        <v>0</v>
      </c>
      <c r="CQ617" s="78"/>
      <c r="CR617" s="85"/>
      <c r="CS617" s="85"/>
      <c r="CT617" s="79">
        <f t="shared" si="286"/>
        <v>0</v>
      </c>
      <c r="CU617" s="80">
        <f t="shared" si="288"/>
        <v>0</v>
      </c>
      <c r="CV617" s="81">
        <f t="shared" si="289"/>
        <v>0</v>
      </c>
      <c r="CW617" s="144"/>
      <c r="CX617" s="145">
        <f>IF(ISERROR(VLOOKUP($A617,FIJOS!$B$11:$O$590,14,FALSE)),0,VLOOKUP($A617,FIJOS!$B$11:$O$590,14,FALSE))</f>
        <v>0</v>
      </c>
      <c r="CY617" s="145">
        <f>IF(ISERROR(VLOOKUP(A617,FIJOS!$B$10:$P$590,15,FALSE)),0,VLOOKUP(A617,FIJOS!$B$10:$P$590,15,FALSE))</f>
        <v>0</v>
      </c>
      <c r="CZ617" s="155"/>
      <c r="DA617" s="147"/>
      <c r="DB617" s="147"/>
      <c r="DC617" s="147"/>
      <c r="DD617" s="147"/>
      <c r="DE617" s="147"/>
      <c r="DF617" s="145">
        <f>IF(ISERROR(VLOOKUP($A617,FIJOS!$B$11:$N$590,13,FALSE)),0,VLOOKUP($A617,FIJOS!$B$11:$N$590,13,FALSE))</f>
        <v>0</v>
      </c>
      <c r="DG617" s="145">
        <f>IF(ISERROR(VLOOKUP($A617,FIJOS!$B$11:$P$447,12,FALSE)),0,VLOOKUP($A617,FIJOS!$B$11:$P$447,12,FALSE))</f>
        <v>0</v>
      </c>
      <c r="DH617" s="82">
        <f t="shared" si="290"/>
        <v>0</v>
      </c>
      <c r="DI617" s="83" t="b">
        <f>IF($C617=1,(VLOOKUP($A617,FIJOS!$B$11:$P$545,10,FALSE)/7)*(7-$CU617),IF(AND($C617=2,CV617&lt;$DJ$1),(VLOOKUP($D617,HORAS!$B$4:$C$42,2,FALSE)*24)*$CV617,IF(AND($C617=2,CV617&gt;=$DJ$1),VLOOKUP($D617,HORAS!$B$4:$D$42,3,FALSE),IF(AND($C617=3,$CV617&gt;=$DJ$1),VLOOKUP($A617,FIJOS!$B$11:$P$545,10,FALSE),IF(AND($C617=3,$CV617&lt;$DJ$1),((VLOOKUP($A617,FIJOS!$B$11:$P$545,10,FALSE)/48)*24)*$CV617,IF(AND($C617=4,$CV617&gt;=(42/24)),VLOOKUP($D617,HORAS!$B$4:$D$42,3,FALSE),IF(AND($C617=5,$CV617&gt;=(36/24)),VLOOKUP($D617,HORAS!$B$4:$D$42,3,FALSE))))))))</f>
        <v>0</v>
      </c>
      <c r="DJ617" s="145">
        <f>IF(OR($C617=2),VLOOKUP($D617,HORAS!$B$4:$E$42,4,FALSE)*$EC617,IF(ISERROR(VLOOKUP($A617,FIJOS!$B$11:$P$108,9,FALSE)),0,VLOOKUP($A617,FIJOS!$B$11:$P$231,9,FALSE)*$EC617))</f>
        <v>0</v>
      </c>
      <c r="DK617" s="145">
        <f>IF(OR($C617=2),VLOOKUP($D617,HORAS!$B$4:$F$42,5,FALSE)*$EE617,IF(ISERROR(VLOOKUP($A617,FIJOS!$B$11:$P$108,9,FALSE)),0,VLOOKUP($A617,FIJOS!$B$11:$P$231,9,FALSE)*$EE617))</f>
        <v>0</v>
      </c>
      <c r="DL617" s="144"/>
      <c r="DM617" s="145">
        <f>IF(ISERROR(VLOOKUP($A617,FIJOS!$B$11:$L$646,11,FALSE)),0,VLOOKUP($A617,FIJOS!$B$11:$L$646,11,FALSE))</f>
        <v>0</v>
      </c>
      <c r="DN617" s="148" t="e">
        <f>IF(OR($C617=1,$C617=3),0,IF((VLOOKUP(CAPTURA!D617,HORAS!$B$4:$K$42,10,FALSE)/4)*COUNTIF($H617:$CT617,3)&gt;100,100,(VLOOKUP(CAPTURA!D617,HORAS!$B$4:$K$42,10,FALSE)/4)*COUNTIF($H617:$CT617,3)))</f>
        <v>#N/A</v>
      </c>
      <c r="DO617" s="144" t="e">
        <f>IF(OR($C617=1,$C617=3),0,IF($C617=5,VLOOKUP(D617,HORAS!$B$4:$G$42,6,FALSE),IF(AND($C617=4,$CV617&gt;=(42/24)),VLOOKUP(D617,HORAS!$B$4:$G$42,6,FALSE),IF(COUNTIF($H617:$CL617,"F")&gt;0,0,IF(CV617&gt;$DJ$1,$DJ$1*(VLOOKUP(D617,HORAS!$B$4:$G$42,6,FALSE)/$DJ$1),CV617*(VLOOKUP(D617,HORAS!$B$4:$G$42,6,FALSE)/$DJ$1))))))</f>
        <v>#N/A</v>
      </c>
      <c r="DP617" s="156"/>
      <c r="DQ617" s="148"/>
      <c r="DR617" s="148"/>
      <c r="DS617" s="83" t="e">
        <f t="shared" si="287"/>
        <v>#N/A</v>
      </c>
      <c r="DT617" s="84"/>
      <c r="DU617" s="149" t="e">
        <f t="shared" si="291"/>
        <v>#N/A</v>
      </c>
      <c r="DV617" s="149" t="e">
        <f t="shared" si="292"/>
        <v>#N/A</v>
      </c>
      <c r="DW617" s="144" t="e">
        <f t="shared" si="293"/>
        <v>#N/A</v>
      </c>
      <c r="DX617" s="168"/>
      <c r="DY617" s="29"/>
      <c r="DZ617" s="150"/>
      <c r="EA617" s="134"/>
      <c r="EB617" s="137">
        <f t="shared" si="294"/>
        <v>0</v>
      </c>
      <c r="EC617" s="138">
        <f t="shared" si="295"/>
        <v>0</v>
      </c>
      <c r="ED617" s="137">
        <f t="shared" si="296"/>
        <v>0</v>
      </c>
      <c r="EE617" s="132">
        <f t="shared" si="297"/>
        <v>0</v>
      </c>
      <c r="EF617" s="29"/>
      <c r="EG617" s="134"/>
      <c r="EH617" s="134"/>
      <c r="EI617" s="134"/>
      <c r="EK617" s="29"/>
    </row>
    <row r="618" spans="1:141" ht="15" customHeight="1" x14ac:dyDescent="0.25">
      <c r="A618" s="87"/>
      <c r="B618" s="5"/>
      <c r="C618" s="72"/>
      <c r="D618" s="73"/>
      <c r="E618" s="73"/>
      <c r="F618" s="141"/>
      <c r="G618" s="74"/>
      <c r="H618" s="75"/>
      <c r="I618" s="76"/>
      <c r="J618" s="135"/>
      <c r="K618" s="135"/>
      <c r="L618" s="77">
        <f t="shared" si="266"/>
        <v>0</v>
      </c>
      <c r="M618" s="78"/>
      <c r="N618" s="142"/>
      <c r="O618" s="142"/>
      <c r="P618" s="77">
        <f t="shared" si="267"/>
        <v>0</v>
      </c>
      <c r="Q618" s="78"/>
      <c r="R618" s="143"/>
      <c r="S618" s="143"/>
      <c r="T618" s="77">
        <f t="shared" si="268"/>
        <v>0</v>
      </c>
      <c r="U618" s="75"/>
      <c r="V618" s="76"/>
      <c r="W618" s="135"/>
      <c r="X618" s="135"/>
      <c r="Y618" s="77">
        <f t="shared" si="269"/>
        <v>0</v>
      </c>
      <c r="Z618" s="78"/>
      <c r="AA618" s="142"/>
      <c r="AB618" s="142"/>
      <c r="AC618" s="77">
        <f t="shared" si="270"/>
        <v>0</v>
      </c>
      <c r="AD618" s="78"/>
      <c r="AE618" s="143"/>
      <c r="AF618" s="143"/>
      <c r="AG618" s="79">
        <f t="shared" si="271"/>
        <v>0</v>
      </c>
      <c r="AH618" s="75"/>
      <c r="AI618" s="76"/>
      <c r="AJ618" s="135"/>
      <c r="AK618" s="135"/>
      <c r="AL618" s="77">
        <f t="shared" si="272"/>
        <v>0</v>
      </c>
      <c r="AM618" s="76"/>
      <c r="AN618" s="142"/>
      <c r="AO618" s="142"/>
      <c r="AP618" s="77">
        <f t="shared" si="273"/>
        <v>0</v>
      </c>
      <c r="AQ618" s="78"/>
      <c r="AR618" s="142"/>
      <c r="AS618" s="142"/>
      <c r="AT618" s="79">
        <f t="shared" si="274"/>
        <v>0</v>
      </c>
      <c r="AU618" s="75"/>
      <c r="AV618" s="76"/>
      <c r="AW618" s="135"/>
      <c r="AX618" s="135"/>
      <c r="AY618" s="77">
        <f t="shared" si="275"/>
        <v>0</v>
      </c>
      <c r="AZ618" s="76"/>
      <c r="BA618" s="142"/>
      <c r="BB618" s="142"/>
      <c r="BC618" s="77">
        <f t="shared" si="276"/>
        <v>0</v>
      </c>
      <c r="BD618" s="78"/>
      <c r="BE618" s="142"/>
      <c r="BF618" s="142"/>
      <c r="BG618" s="79">
        <f t="shared" si="277"/>
        <v>0</v>
      </c>
      <c r="BH618" s="75"/>
      <c r="BI618" s="76"/>
      <c r="BJ618" s="135"/>
      <c r="BK618" s="135"/>
      <c r="BL618" s="77">
        <f t="shared" si="278"/>
        <v>0</v>
      </c>
      <c r="BM618" s="78"/>
      <c r="BN618" s="142"/>
      <c r="BO618" s="142"/>
      <c r="BP618" s="77">
        <f t="shared" si="279"/>
        <v>0</v>
      </c>
      <c r="BQ618" s="78"/>
      <c r="BR618" s="142"/>
      <c r="BS618" s="142"/>
      <c r="BT618" s="79">
        <f t="shared" si="280"/>
        <v>0</v>
      </c>
      <c r="BU618" s="75"/>
      <c r="BV618" s="76"/>
      <c r="BW618" s="135"/>
      <c r="BX618" s="135"/>
      <c r="BY618" s="77">
        <f t="shared" si="281"/>
        <v>0</v>
      </c>
      <c r="BZ618" s="78"/>
      <c r="CA618" s="142"/>
      <c r="CB618" s="142"/>
      <c r="CC618" s="77">
        <f t="shared" si="282"/>
        <v>0</v>
      </c>
      <c r="CD618" s="78"/>
      <c r="CE618" s="142"/>
      <c r="CF618" s="142"/>
      <c r="CG618" s="79">
        <f t="shared" si="283"/>
        <v>0</v>
      </c>
      <c r="CH618" s="75"/>
      <c r="CI618" s="76"/>
      <c r="CJ618" s="86"/>
      <c r="CK618" s="86"/>
      <c r="CL618" s="77">
        <f t="shared" si="284"/>
        <v>0</v>
      </c>
      <c r="CM618" s="78"/>
      <c r="CN618" s="85"/>
      <c r="CO618" s="85"/>
      <c r="CP618" s="77">
        <f t="shared" si="285"/>
        <v>0</v>
      </c>
      <c r="CQ618" s="78"/>
      <c r="CR618" s="85"/>
      <c r="CS618" s="85"/>
      <c r="CT618" s="79">
        <f t="shared" si="286"/>
        <v>0</v>
      </c>
      <c r="CU618" s="80">
        <f t="shared" si="288"/>
        <v>0</v>
      </c>
      <c r="CV618" s="81">
        <f t="shared" si="289"/>
        <v>0</v>
      </c>
      <c r="CW618" s="144"/>
      <c r="CX618" s="145">
        <f>IF(ISERROR(VLOOKUP($A618,FIJOS!$B$11:$O$590,14,FALSE)),0,VLOOKUP($A618,FIJOS!$B$11:$O$590,14,FALSE))</f>
        <v>0</v>
      </c>
      <c r="CY618" s="145">
        <f>IF(ISERROR(VLOOKUP(A618,FIJOS!$B$10:$P$590,15,FALSE)),0,VLOOKUP(A618,FIJOS!$B$10:$P$590,15,FALSE))</f>
        <v>0</v>
      </c>
      <c r="CZ618" s="155"/>
      <c r="DA618" s="147"/>
      <c r="DB618" s="147"/>
      <c r="DC618" s="147"/>
      <c r="DD618" s="147"/>
      <c r="DE618" s="147"/>
      <c r="DF618" s="145">
        <f>IF(ISERROR(VLOOKUP($A618,FIJOS!$B$11:$N$590,13,FALSE)),0,VLOOKUP($A618,FIJOS!$B$11:$N$590,13,FALSE))</f>
        <v>0</v>
      </c>
      <c r="DG618" s="145">
        <f>IF(ISERROR(VLOOKUP($A618,FIJOS!$B$11:$P$447,12,FALSE)),0,VLOOKUP($A618,FIJOS!$B$11:$P$447,12,FALSE))</f>
        <v>0</v>
      </c>
      <c r="DH618" s="82">
        <f t="shared" si="290"/>
        <v>0</v>
      </c>
      <c r="DI618" s="83" t="b">
        <f>IF($C618=1,(VLOOKUP($A618,FIJOS!$B$11:$P$545,10,FALSE)/7)*(7-$CU618),IF(AND($C618=2,CV618&lt;$DJ$1),(VLOOKUP($D618,HORAS!$B$4:$C$42,2,FALSE)*24)*$CV618,IF(AND($C618=2,CV618&gt;=$DJ$1),VLOOKUP($D618,HORAS!$B$4:$D$42,3,FALSE),IF(AND($C618=3,$CV618&gt;=$DJ$1),VLOOKUP($A618,FIJOS!$B$11:$P$545,10,FALSE),IF(AND($C618=3,$CV618&lt;$DJ$1),((VLOOKUP($A618,FIJOS!$B$11:$P$545,10,FALSE)/48)*24)*$CV618,IF(AND($C618=4,$CV618&gt;=(42/24)),VLOOKUP($D618,HORAS!$B$4:$D$42,3,FALSE),IF(AND($C618=5,$CV618&gt;=(36/24)),VLOOKUP($D618,HORAS!$B$4:$D$42,3,FALSE))))))))</f>
        <v>0</v>
      </c>
      <c r="DJ618" s="145">
        <f>IF(OR($C618=2),VLOOKUP($D618,HORAS!$B$4:$E$42,4,FALSE)*$EC618,IF(ISERROR(VLOOKUP($A618,FIJOS!$B$11:$P$108,9,FALSE)),0,VLOOKUP($A618,FIJOS!$B$11:$P$231,9,FALSE)*$EC618))</f>
        <v>0</v>
      </c>
      <c r="DK618" s="145">
        <f>IF(OR($C618=2),VLOOKUP($D618,HORAS!$B$4:$F$42,5,FALSE)*$EE618,IF(ISERROR(VLOOKUP($A618,FIJOS!$B$11:$P$108,9,FALSE)),0,VLOOKUP($A618,FIJOS!$B$11:$P$231,9,FALSE)*$EE618))</f>
        <v>0</v>
      </c>
      <c r="DL618" s="144"/>
      <c r="DM618" s="145">
        <f>IF(ISERROR(VLOOKUP($A618,FIJOS!$B$11:$L$646,11,FALSE)),0,VLOOKUP($A618,FIJOS!$B$11:$L$646,11,FALSE))</f>
        <v>0</v>
      </c>
      <c r="DN618" s="148" t="e">
        <f>IF(OR($C618=1,$C618=3),0,IF((VLOOKUP(CAPTURA!D618,HORAS!$B$4:$K$42,10,FALSE)/4)*COUNTIF($H618:$CT618,3)&gt;100,100,(VLOOKUP(CAPTURA!D618,HORAS!$B$4:$K$42,10,FALSE)/4)*COUNTIF($H618:$CT618,3)))</f>
        <v>#N/A</v>
      </c>
      <c r="DO618" s="144" t="e">
        <f>IF(OR($C618=1,$C618=3),0,IF($C618=5,VLOOKUP(D618,HORAS!$B$4:$G$42,6,FALSE),IF(AND($C618=4,$CV618&gt;=(42/24)),VLOOKUP(D618,HORAS!$B$4:$G$42,6,FALSE),IF(COUNTIF($H618:$CL618,"F")&gt;0,0,IF(CV618&gt;$DJ$1,$DJ$1*(VLOOKUP(D618,HORAS!$B$4:$G$42,6,FALSE)/$DJ$1),CV618*(VLOOKUP(D618,HORAS!$B$4:$G$42,6,FALSE)/$DJ$1))))))</f>
        <v>#N/A</v>
      </c>
      <c r="DP618" s="156"/>
      <c r="DQ618" s="148"/>
      <c r="DR618" s="148"/>
      <c r="DS618" s="83" t="e">
        <f t="shared" si="287"/>
        <v>#N/A</v>
      </c>
      <c r="DT618" s="84"/>
      <c r="DU618" s="149" t="e">
        <f t="shared" si="291"/>
        <v>#N/A</v>
      </c>
      <c r="DV618" s="149" t="e">
        <f t="shared" si="292"/>
        <v>#N/A</v>
      </c>
      <c r="DW618" s="144" t="e">
        <f t="shared" si="293"/>
        <v>#N/A</v>
      </c>
      <c r="DX618" s="168"/>
      <c r="DY618" s="29"/>
      <c r="DZ618" s="150"/>
      <c r="EA618" s="134"/>
      <c r="EB618" s="137">
        <f t="shared" si="294"/>
        <v>0</v>
      </c>
      <c r="EC618" s="138">
        <f t="shared" si="295"/>
        <v>0</v>
      </c>
      <c r="ED618" s="137">
        <f t="shared" si="296"/>
        <v>0</v>
      </c>
      <c r="EE618" s="132">
        <f t="shared" si="297"/>
        <v>0</v>
      </c>
      <c r="EF618" s="29"/>
      <c r="EG618" s="134"/>
      <c r="EH618" s="134"/>
      <c r="EI618" s="134"/>
      <c r="EK618" s="29"/>
    </row>
    <row r="619" spans="1:141" ht="15" customHeight="1" x14ac:dyDescent="0.25">
      <c r="A619" s="87"/>
      <c r="B619" s="5"/>
      <c r="C619" s="72"/>
      <c r="D619" s="73"/>
      <c r="E619" s="73"/>
      <c r="F619" s="141"/>
      <c r="G619" s="74"/>
      <c r="H619" s="75"/>
      <c r="I619" s="76"/>
      <c r="J619" s="135"/>
      <c r="K619" s="135"/>
      <c r="L619" s="77">
        <f t="shared" si="266"/>
        <v>0</v>
      </c>
      <c r="M619" s="78"/>
      <c r="N619" s="142"/>
      <c r="O619" s="142"/>
      <c r="P619" s="77">
        <f t="shared" si="267"/>
        <v>0</v>
      </c>
      <c r="Q619" s="78"/>
      <c r="R619" s="143"/>
      <c r="S619" s="143"/>
      <c r="T619" s="77">
        <f t="shared" si="268"/>
        <v>0</v>
      </c>
      <c r="U619" s="75"/>
      <c r="V619" s="76"/>
      <c r="W619" s="135"/>
      <c r="X619" s="135"/>
      <c r="Y619" s="77">
        <f t="shared" si="269"/>
        <v>0</v>
      </c>
      <c r="Z619" s="78"/>
      <c r="AA619" s="142"/>
      <c r="AB619" s="142"/>
      <c r="AC619" s="77">
        <f t="shared" si="270"/>
        <v>0</v>
      </c>
      <c r="AD619" s="78"/>
      <c r="AE619" s="143"/>
      <c r="AF619" s="143"/>
      <c r="AG619" s="79">
        <f t="shared" si="271"/>
        <v>0</v>
      </c>
      <c r="AH619" s="75"/>
      <c r="AI619" s="76"/>
      <c r="AJ619" s="135"/>
      <c r="AK619" s="135"/>
      <c r="AL619" s="77">
        <f t="shared" si="272"/>
        <v>0</v>
      </c>
      <c r="AM619" s="76"/>
      <c r="AN619" s="142"/>
      <c r="AO619" s="142"/>
      <c r="AP619" s="77">
        <f t="shared" si="273"/>
        <v>0</v>
      </c>
      <c r="AQ619" s="78"/>
      <c r="AR619" s="142"/>
      <c r="AS619" s="142"/>
      <c r="AT619" s="79">
        <f t="shared" si="274"/>
        <v>0</v>
      </c>
      <c r="AU619" s="75"/>
      <c r="AV619" s="76"/>
      <c r="AW619" s="135"/>
      <c r="AX619" s="135"/>
      <c r="AY619" s="77">
        <f t="shared" si="275"/>
        <v>0</v>
      </c>
      <c r="AZ619" s="76"/>
      <c r="BA619" s="142"/>
      <c r="BB619" s="142"/>
      <c r="BC619" s="77">
        <f t="shared" si="276"/>
        <v>0</v>
      </c>
      <c r="BD619" s="78"/>
      <c r="BE619" s="142"/>
      <c r="BF619" s="142"/>
      <c r="BG619" s="79">
        <f t="shared" si="277"/>
        <v>0</v>
      </c>
      <c r="BH619" s="75"/>
      <c r="BI619" s="76"/>
      <c r="BJ619" s="135"/>
      <c r="BK619" s="135"/>
      <c r="BL619" s="77">
        <f t="shared" si="278"/>
        <v>0</v>
      </c>
      <c r="BM619" s="78"/>
      <c r="BN619" s="142"/>
      <c r="BO619" s="142"/>
      <c r="BP619" s="77">
        <f t="shared" si="279"/>
        <v>0</v>
      </c>
      <c r="BQ619" s="78"/>
      <c r="BR619" s="142"/>
      <c r="BS619" s="142"/>
      <c r="BT619" s="79">
        <f t="shared" si="280"/>
        <v>0</v>
      </c>
      <c r="BU619" s="75"/>
      <c r="BV619" s="76"/>
      <c r="BW619" s="135"/>
      <c r="BX619" s="135"/>
      <c r="BY619" s="77">
        <f t="shared" si="281"/>
        <v>0</v>
      </c>
      <c r="BZ619" s="78"/>
      <c r="CA619" s="142"/>
      <c r="CB619" s="142"/>
      <c r="CC619" s="77">
        <f t="shared" si="282"/>
        <v>0</v>
      </c>
      <c r="CD619" s="78"/>
      <c r="CE619" s="142"/>
      <c r="CF619" s="142"/>
      <c r="CG619" s="79">
        <f t="shared" si="283"/>
        <v>0</v>
      </c>
      <c r="CH619" s="75"/>
      <c r="CI619" s="76"/>
      <c r="CJ619" s="86"/>
      <c r="CK619" s="86"/>
      <c r="CL619" s="77">
        <f t="shared" si="284"/>
        <v>0</v>
      </c>
      <c r="CM619" s="78"/>
      <c r="CN619" s="85"/>
      <c r="CO619" s="85"/>
      <c r="CP619" s="77">
        <f t="shared" si="285"/>
        <v>0</v>
      </c>
      <c r="CQ619" s="78"/>
      <c r="CR619" s="85"/>
      <c r="CS619" s="85"/>
      <c r="CT619" s="79">
        <f t="shared" si="286"/>
        <v>0</v>
      </c>
      <c r="CU619" s="80">
        <f t="shared" si="288"/>
        <v>0</v>
      </c>
      <c r="CV619" s="81">
        <f t="shared" si="289"/>
        <v>0</v>
      </c>
      <c r="CW619" s="144"/>
      <c r="CX619" s="145">
        <f>IF(ISERROR(VLOOKUP($A619,FIJOS!$B$11:$O$590,14,FALSE)),0,VLOOKUP($A619,FIJOS!$B$11:$O$590,14,FALSE))</f>
        <v>0</v>
      </c>
      <c r="CY619" s="145">
        <f>IF(ISERROR(VLOOKUP(A619,FIJOS!$B$10:$P$590,15,FALSE)),0,VLOOKUP(A619,FIJOS!$B$10:$P$590,15,FALSE))</f>
        <v>0</v>
      </c>
      <c r="CZ619" s="155"/>
      <c r="DA619" s="147"/>
      <c r="DB619" s="147"/>
      <c r="DC619" s="147"/>
      <c r="DD619" s="147"/>
      <c r="DE619" s="147"/>
      <c r="DF619" s="145">
        <f>IF(ISERROR(VLOOKUP($A619,FIJOS!$B$11:$N$590,13,FALSE)),0,VLOOKUP($A619,FIJOS!$B$11:$N$590,13,FALSE))</f>
        <v>0</v>
      </c>
      <c r="DG619" s="145">
        <f>IF(ISERROR(VLOOKUP($A619,FIJOS!$B$11:$P$447,12,FALSE)),0,VLOOKUP($A619,FIJOS!$B$11:$P$447,12,FALSE))</f>
        <v>0</v>
      </c>
      <c r="DH619" s="82">
        <f t="shared" si="290"/>
        <v>0</v>
      </c>
      <c r="DI619" s="83" t="b">
        <f>IF($C619=1,(VLOOKUP($A619,FIJOS!$B$11:$P$545,10,FALSE)/7)*(7-$CU619),IF(AND($C619=2,CV619&lt;$DJ$1),(VLOOKUP($D619,HORAS!$B$4:$C$42,2,FALSE)*24)*$CV619,IF(AND($C619=2,CV619&gt;=$DJ$1),VLOOKUP($D619,HORAS!$B$4:$D$42,3,FALSE),IF(AND($C619=3,$CV619&gt;=$DJ$1),VLOOKUP($A619,FIJOS!$B$11:$P$545,10,FALSE),IF(AND($C619=3,$CV619&lt;$DJ$1),((VLOOKUP($A619,FIJOS!$B$11:$P$545,10,FALSE)/48)*24)*$CV619,IF(AND($C619=4,$CV619&gt;=(42/24)),VLOOKUP($D619,HORAS!$B$4:$D$42,3,FALSE),IF(AND($C619=5,$CV619&gt;=(36/24)),VLOOKUP($D619,HORAS!$B$4:$D$42,3,FALSE))))))))</f>
        <v>0</v>
      </c>
      <c r="DJ619" s="145">
        <f>IF(OR($C619=2),VLOOKUP($D619,HORAS!$B$4:$E$42,4,FALSE)*$EC619,IF(ISERROR(VLOOKUP($A619,FIJOS!$B$11:$P$108,9,FALSE)),0,VLOOKUP($A619,FIJOS!$B$11:$P$231,9,FALSE)*$EC619))</f>
        <v>0</v>
      </c>
      <c r="DK619" s="145">
        <f>IF(OR($C619=2),VLOOKUP($D619,HORAS!$B$4:$F$42,5,FALSE)*$EE619,IF(ISERROR(VLOOKUP($A619,FIJOS!$B$11:$P$108,9,FALSE)),0,VLOOKUP($A619,FIJOS!$B$11:$P$231,9,FALSE)*$EE619))</f>
        <v>0</v>
      </c>
      <c r="DL619" s="144"/>
      <c r="DM619" s="145">
        <f>IF(ISERROR(VLOOKUP($A619,FIJOS!$B$11:$L$646,11,FALSE)),0,VLOOKUP($A619,FIJOS!$B$11:$L$646,11,FALSE))</f>
        <v>0</v>
      </c>
      <c r="DN619" s="148" t="e">
        <f>IF(OR($C619=1,$C619=3),0,IF((VLOOKUP(CAPTURA!D619,HORAS!$B$4:$K$42,10,FALSE)/4)*COUNTIF($H619:$CT619,3)&gt;100,100,(VLOOKUP(CAPTURA!D619,HORAS!$B$4:$K$42,10,FALSE)/4)*COUNTIF($H619:$CT619,3)))</f>
        <v>#N/A</v>
      </c>
      <c r="DO619" s="144" t="e">
        <f>IF(OR($C619=1,$C619=3),0,IF($C619=5,VLOOKUP(D619,HORAS!$B$4:$G$42,6,FALSE),IF(AND($C619=4,$CV619&gt;=(42/24)),VLOOKUP(D619,HORAS!$B$4:$G$42,6,FALSE),IF(COUNTIF($H619:$CL619,"F")&gt;0,0,IF(CV619&gt;$DJ$1,$DJ$1*(VLOOKUP(D619,HORAS!$B$4:$G$42,6,FALSE)/$DJ$1),CV619*(VLOOKUP(D619,HORAS!$B$4:$G$42,6,FALSE)/$DJ$1))))))</f>
        <v>#N/A</v>
      </c>
      <c r="DP619" s="156"/>
      <c r="DQ619" s="148"/>
      <c r="DR619" s="148"/>
      <c r="DS619" s="83" t="e">
        <f t="shared" si="287"/>
        <v>#N/A</v>
      </c>
      <c r="DT619" s="84"/>
      <c r="DU619" s="149" t="e">
        <f t="shared" si="291"/>
        <v>#N/A</v>
      </c>
      <c r="DV619" s="149" t="e">
        <f t="shared" si="292"/>
        <v>#N/A</v>
      </c>
      <c r="DW619" s="144" t="e">
        <f t="shared" si="293"/>
        <v>#N/A</v>
      </c>
      <c r="DX619" s="168"/>
      <c r="DY619" s="29"/>
      <c r="DZ619" s="150"/>
      <c r="EA619" s="134"/>
      <c r="EB619" s="137">
        <f t="shared" si="294"/>
        <v>0</v>
      </c>
      <c r="EC619" s="138">
        <f t="shared" si="295"/>
        <v>0</v>
      </c>
      <c r="ED619" s="137">
        <f t="shared" si="296"/>
        <v>0</v>
      </c>
      <c r="EE619" s="132">
        <f t="shared" si="297"/>
        <v>0</v>
      </c>
      <c r="EF619" s="29"/>
      <c r="EG619" s="134"/>
      <c r="EH619" s="134"/>
      <c r="EI619" s="134"/>
      <c r="EK619" s="29"/>
    </row>
    <row r="620" spans="1:141" ht="15" customHeight="1" x14ac:dyDescent="0.25">
      <c r="A620" s="87"/>
      <c r="B620" s="5"/>
      <c r="C620" s="72"/>
      <c r="D620" s="73"/>
      <c r="E620" s="73"/>
      <c r="F620" s="141"/>
      <c r="G620" s="74"/>
      <c r="H620" s="75"/>
      <c r="I620" s="76"/>
      <c r="J620" s="135"/>
      <c r="K620" s="135"/>
      <c r="L620" s="77">
        <f t="shared" si="266"/>
        <v>0</v>
      </c>
      <c r="M620" s="78"/>
      <c r="N620" s="142"/>
      <c r="O620" s="142"/>
      <c r="P620" s="77">
        <f t="shared" si="267"/>
        <v>0</v>
      </c>
      <c r="Q620" s="78"/>
      <c r="R620" s="143"/>
      <c r="S620" s="143"/>
      <c r="T620" s="77">
        <f t="shared" si="268"/>
        <v>0</v>
      </c>
      <c r="U620" s="75"/>
      <c r="V620" s="76"/>
      <c r="W620" s="135"/>
      <c r="X620" s="135"/>
      <c r="Y620" s="77">
        <f t="shared" si="269"/>
        <v>0</v>
      </c>
      <c r="Z620" s="78"/>
      <c r="AA620" s="142"/>
      <c r="AB620" s="142"/>
      <c r="AC620" s="77">
        <f t="shared" si="270"/>
        <v>0</v>
      </c>
      <c r="AD620" s="78"/>
      <c r="AE620" s="143"/>
      <c r="AF620" s="143"/>
      <c r="AG620" s="79">
        <f t="shared" si="271"/>
        <v>0</v>
      </c>
      <c r="AH620" s="75"/>
      <c r="AI620" s="76"/>
      <c r="AJ620" s="135"/>
      <c r="AK620" s="135"/>
      <c r="AL620" s="77">
        <f t="shared" si="272"/>
        <v>0</v>
      </c>
      <c r="AM620" s="76"/>
      <c r="AN620" s="142"/>
      <c r="AO620" s="142"/>
      <c r="AP620" s="77">
        <f t="shared" si="273"/>
        <v>0</v>
      </c>
      <c r="AQ620" s="78"/>
      <c r="AR620" s="142"/>
      <c r="AS620" s="142"/>
      <c r="AT620" s="79">
        <f t="shared" si="274"/>
        <v>0</v>
      </c>
      <c r="AU620" s="75"/>
      <c r="AV620" s="76"/>
      <c r="AW620" s="135"/>
      <c r="AX620" s="135"/>
      <c r="AY620" s="77">
        <f t="shared" si="275"/>
        <v>0</v>
      </c>
      <c r="AZ620" s="76"/>
      <c r="BA620" s="142"/>
      <c r="BB620" s="142"/>
      <c r="BC620" s="77">
        <f t="shared" si="276"/>
        <v>0</v>
      </c>
      <c r="BD620" s="78"/>
      <c r="BE620" s="142"/>
      <c r="BF620" s="142"/>
      <c r="BG620" s="79">
        <f t="shared" si="277"/>
        <v>0</v>
      </c>
      <c r="BH620" s="75"/>
      <c r="BI620" s="76"/>
      <c r="BJ620" s="135"/>
      <c r="BK620" s="135"/>
      <c r="BL620" s="77">
        <f t="shared" si="278"/>
        <v>0</v>
      </c>
      <c r="BM620" s="78"/>
      <c r="BN620" s="142"/>
      <c r="BO620" s="142"/>
      <c r="BP620" s="77">
        <f t="shared" si="279"/>
        <v>0</v>
      </c>
      <c r="BQ620" s="78"/>
      <c r="BR620" s="142"/>
      <c r="BS620" s="142"/>
      <c r="BT620" s="79">
        <f t="shared" si="280"/>
        <v>0</v>
      </c>
      <c r="BU620" s="75"/>
      <c r="BV620" s="76"/>
      <c r="BW620" s="135"/>
      <c r="BX620" s="135"/>
      <c r="BY620" s="77">
        <f t="shared" si="281"/>
        <v>0</v>
      </c>
      <c r="BZ620" s="78"/>
      <c r="CA620" s="142"/>
      <c r="CB620" s="142"/>
      <c r="CC620" s="77">
        <f t="shared" si="282"/>
        <v>0</v>
      </c>
      <c r="CD620" s="78"/>
      <c r="CE620" s="142"/>
      <c r="CF620" s="142"/>
      <c r="CG620" s="79">
        <f t="shared" si="283"/>
        <v>0</v>
      </c>
      <c r="CH620" s="75"/>
      <c r="CI620" s="76"/>
      <c r="CJ620" s="86"/>
      <c r="CK620" s="86"/>
      <c r="CL620" s="77">
        <f t="shared" si="284"/>
        <v>0</v>
      </c>
      <c r="CM620" s="78"/>
      <c r="CN620" s="85"/>
      <c r="CO620" s="85"/>
      <c r="CP620" s="77">
        <f t="shared" si="285"/>
        <v>0</v>
      </c>
      <c r="CQ620" s="78"/>
      <c r="CR620" s="85"/>
      <c r="CS620" s="85"/>
      <c r="CT620" s="79">
        <f t="shared" si="286"/>
        <v>0</v>
      </c>
      <c r="CU620" s="80">
        <f t="shared" si="288"/>
        <v>0</v>
      </c>
      <c r="CV620" s="81">
        <f t="shared" si="289"/>
        <v>0</v>
      </c>
      <c r="CW620" s="144"/>
      <c r="CX620" s="145">
        <f>IF(ISERROR(VLOOKUP($A620,FIJOS!$B$11:$O$590,14,FALSE)),0,VLOOKUP($A620,FIJOS!$B$11:$O$590,14,FALSE))</f>
        <v>0</v>
      </c>
      <c r="CY620" s="145">
        <f>IF(ISERROR(VLOOKUP(A620,FIJOS!$B$10:$P$590,15,FALSE)),0,VLOOKUP(A620,FIJOS!$B$10:$P$590,15,FALSE))</f>
        <v>0</v>
      </c>
      <c r="CZ620" s="155"/>
      <c r="DA620" s="147"/>
      <c r="DB620" s="147"/>
      <c r="DC620" s="147"/>
      <c r="DD620" s="147"/>
      <c r="DE620" s="147"/>
      <c r="DF620" s="145">
        <f>IF(ISERROR(VLOOKUP($A620,FIJOS!$B$11:$N$590,13,FALSE)),0,VLOOKUP($A620,FIJOS!$B$11:$N$590,13,FALSE))</f>
        <v>0</v>
      </c>
      <c r="DG620" s="145">
        <f>IF(ISERROR(VLOOKUP($A620,FIJOS!$B$11:$P$447,12,FALSE)),0,VLOOKUP($A620,FIJOS!$B$11:$P$447,12,FALSE))</f>
        <v>0</v>
      </c>
      <c r="DH620" s="82">
        <f t="shared" si="290"/>
        <v>0</v>
      </c>
      <c r="DI620" s="83" t="b">
        <f>IF($C620=1,(VLOOKUP($A620,FIJOS!$B$11:$P$545,10,FALSE)/7)*(7-$CU620),IF(AND($C620=2,CV620&lt;$DJ$1),(VLOOKUP($D620,HORAS!$B$4:$C$42,2,FALSE)*24)*$CV620,IF(AND($C620=2,CV620&gt;=$DJ$1),VLOOKUP($D620,HORAS!$B$4:$D$42,3,FALSE),IF(AND($C620=3,$CV620&gt;=$DJ$1),VLOOKUP($A620,FIJOS!$B$11:$P$545,10,FALSE),IF(AND($C620=3,$CV620&lt;$DJ$1),((VLOOKUP($A620,FIJOS!$B$11:$P$545,10,FALSE)/48)*24)*$CV620,IF(AND($C620=4,$CV620&gt;=(42/24)),VLOOKUP($D620,HORAS!$B$4:$D$42,3,FALSE),IF(AND($C620=5,$CV620&gt;=(36/24)),VLOOKUP($D620,HORAS!$B$4:$D$42,3,FALSE))))))))</f>
        <v>0</v>
      </c>
      <c r="DJ620" s="145">
        <f>IF(OR($C620=2),VLOOKUP($D620,HORAS!$B$4:$E$42,4,FALSE)*$EC620,IF(ISERROR(VLOOKUP($A620,FIJOS!$B$11:$P$108,9,FALSE)),0,VLOOKUP($A620,FIJOS!$B$11:$P$231,9,FALSE)*$EC620))</f>
        <v>0</v>
      </c>
      <c r="DK620" s="145">
        <f>IF(OR($C620=2),VLOOKUP($D620,HORAS!$B$4:$F$42,5,FALSE)*$EE620,IF(ISERROR(VLOOKUP($A620,FIJOS!$B$11:$P$108,9,FALSE)),0,VLOOKUP($A620,FIJOS!$B$11:$P$231,9,FALSE)*$EE620))</f>
        <v>0</v>
      </c>
      <c r="DL620" s="144"/>
      <c r="DM620" s="145">
        <f>IF(ISERROR(VLOOKUP($A620,FIJOS!$B$11:$L$646,11,FALSE)),0,VLOOKUP($A620,FIJOS!$B$11:$L$646,11,FALSE))</f>
        <v>0</v>
      </c>
      <c r="DN620" s="148" t="e">
        <f>IF(OR($C620=1,$C620=3),0,IF((VLOOKUP(CAPTURA!D620,HORAS!$B$4:$K$42,10,FALSE)/4)*COUNTIF($H620:$CT620,3)&gt;100,100,(VLOOKUP(CAPTURA!D620,HORAS!$B$4:$K$42,10,FALSE)/4)*COUNTIF($H620:$CT620,3)))</f>
        <v>#N/A</v>
      </c>
      <c r="DO620" s="144" t="e">
        <f>IF(OR($C620=1,$C620=3),0,IF($C620=5,VLOOKUP(D620,HORAS!$B$4:$G$42,6,FALSE),IF(AND($C620=4,$CV620&gt;=(42/24)),VLOOKUP(D620,HORAS!$B$4:$G$42,6,FALSE),IF(COUNTIF($H620:$CL620,"F")&gt;0,0,IF(CV620&gt;$DJ$1,$DJ$1*(VLOOKUP(D620,HORAS!$B$4:$G$42,6,FALSE)/$DJ$1),CV620*(VLOOKUP(D620,HORAS!$B$4:$G$42,6,FALSE)/$DJ$1))))))</f>
        <v>#N/A</v>
      </c>
      <c r="DP620" s="156"/>
      <c r="DQ620" s="148"/>
      <c r="DR620" s="148"/>
      <c r="DS620" s="83" t="e">
        <f t="shared" si="287"/>
        <v>#N/A</v>
      </c>
      <c r="DT620" s="84"/>
      <c r="DU620" s="149" t="e">
        <f t="shared" si="291"/>
        <v>#N/A</v>
      </c>
      <c r="DV620" s="149" t="e">
        <f t="shared" si="292"/>
        <v>#N/A</v>
      </c>
      <c r="DW620" s="144" t="e">
        <f t="shared" si="293"/>
        <v>#N/A</v>
      </c>
      <c r="DX620" s="168"/>
      <c r="DY620" s="29"/>
      <c r="DZ620" s="150"/>
      <c r="EA620" s="134"/>
      <c r="EB620" s="137">
        <f t="shared" si="294"/>
        <v>0</v>
      </c>
      <c r="EC620" s="138">
        <f t="shared" si="295"/>
        <v>0</v>
      </c>
      <c r="ED620" s="137">
        <f t="shared" si="296"/>
        <v>0</v>
      </c>
      <c r="EE620" s="132">
        <f t="shared" si="297"/>
        <v>0</v>
      </c>
      <c r="EF620" s="29"/>
      <c r="EG620" s="134"/>
      <c r="EH620" s="134"/>
      <c r="EI620" s="134"/>
      <c r="EK620" s="29"/>
    </row>
    <row r="621" spans="1:141" ht="15" customHeight="1" x14ac:dyDescent="0.25">
      <c r="A621" s="87"/>
      <c r="B621" s="5"/>
      <c r="C621" s="72"/>
      <c r="D621" s="73"/>
      <c r="E621" s="73"/>
      <c r="F621" s="141"/>
      <c r="G621" s="74"/>
      <c r="H621" s="75"/>
      <c r="I621" s="76"/>
      <c r="J621" s="135"/>
      <c r="K621" s="135"/>
      <c r="L621" s="77">
        <f t="shared" si="266"/>
        <v>0</v>
      </c>
      <c r="M621" s="78"/>
      <c r="N621" s="142"/>
      <c r="O621" s="142"/>
      <c r="P621" s="77">
        <f t="shared" si="267"/>
        <v>0</v>
      </c>
      <c r="Q621" s="78"/>
      <c r="R621" s="143"/>
      <c r="S621" s="143"/>
      <c r="T621" s="77">
        <f t="shared" si="268"/>
        <v>0</v>
      </c>
      <c r="U621" s="75"/>
      <c r="V621" s="76"/>
      <c r="W621" s="135"/>
      <c r="X621" s="135"/>
      <c r="Y621" s="77">
        <f t="shared" si="269"/>
        <v>0</v>
      </c>
      <c r="Z621" s="78"/>
      <c r="AA621" s="142"/>
      <c r="AB621" s="142"/>
      <c r="AC621" s="77">
        <f t="shared" si="270"/>
        <v>0</v>
      </c>
      <c r="AD621" s="78"/>
      <c r="AE621" s="143"/>
      <c r="AF621" s="143"/>
      <c r="AG621" s="79">
        <f t="shared" si="271"/>
        <v>0</v>
      </c>
      <c r="AH621" s="75"/>
      <c r="AI621" s="76"/>
      <c r="AJ621" s="135"/>
      <c r="AK621" s="135"/>
      <c r="AL621" s="77">
        <f t="shared" si="272"/>
        <v>0</v>
      </c>
      <c r="AM621" s="76"/>
      <c r="AN621" s="142"/>
      <c r="AO621" s="142"/>
      <c r="AP621" s="77">
        <f t="shared" si="273"/>
        <v>0</v>
      </c>
      <c r="AQ621" s="78"/>
      <c r="AR621" s="142"/>
      <c r="AS621" s="142"/>
      <c r="AT621" s="79">
        <f t="shared" si="274"/>
        <v>0</v>
      </c>
      <c r="AU621" s="75"/>
      <c r="AV621" s="76"/>
      <c r="AW621" s="135"/>
      <c r="AX621" s="135"/>
      <c r="AY621" s="77">
        <f t="shared" si="275"/>
        <v>0</v>
      </c>
      <c r="AZ621" s="76"/>
      <c r="BA621" s="142"/>
      <c r="BB621" s="142"/>
      <c r="BC621" s="77">
        <f t="shared" si="276"/>
        <v>0</v>
      </c>
      <c r="BD621" s="78"/>
      <c r="BE621" s="142"/>
      <c r="BF621" s="142"/>
      <c r="BG621" s="79">
        <f t="shared" si="277"/>
        <v>0</v>
      </c>
      <c r="BH621" s="75"/>
      <c r="BI621" s="76"/>
      <c r="BJ621" s="135"/>
      <c r="BK621" s="135"/>
      <c r="BL621" s="77">
        <f t="shared" si="278"/>
        <v>0</v>
      </c>
      <c r="BM621" s="78"/>
      <c r="BN621" s="142"/>
      <c r="BO621" s="142"/>
      <c r="BP621" s="77">
        <f t="shared" si="279"/>
        <v>0</v>
      </c>
      <c r="BQ621" s="78"/>
      <c r="BR621" s="142"/>
      <c r="BS621" s="142"/>
      <c r="BT621" s="79">
        <f t="shared" si="280"/>
        <v>0</v>
      </c>
      <c r="BU621" s="75"/>
      <c r="BV621" s="76"/>
      <c r="BW621" s="135"/>
      <c r="BX621" s="135"/>
      <c r="BY621" s="77">
        <f t="shared" si="281"/>
        <v>0</v>
      </c>
      <c r="BZ621" s="78"/>
      <c r="CA621" s="142"/>
      <c r="CB621" s="142"/>
      <c r="CC621" s="77">
        <f t="shared" si="282"/>
        <v>0</v>
      </c>
      <c r="CD621" s="78"/>
      <c r="CE621" s="142"/>
      <c r="CF621" s="142"/>
      <c r="CG621" s="79">
        <f t="shared" si="283"/>
        <v>0</v>
      </c>
      <c r="CH621" s="75"/>
      <c r="CI621" s="76"/>
      <c r="CJ621" s="86"/>
      <c r="CK621" s="86"/>
      <c r="CL621" s="77">
        <f t="shared" si="284"/>
        <v>0</v>
      </c>
      <c r="CM621" s="78"/>
      <c r="CN621" s="85"/>
      <c r="CO621" s="85"/>
      <c r="CP621" s="77">
        <f t="shared" si="285"/>
        <v>0</v>
      </c>
      <c r="CQ621" s="78"/>
      <c r="CR621" s="85"/>
      <c r="CS621" s="85"/>
      <c r="CT621" s="79">
        <f t="shared" si="286"/>
        <v>0</v>
      </c>
      <c r="CU621" s="80">
        <f t="shared" si="288"/>
        <v>0</v>
      </c>
      <c r="CV621" s="81">
        <f t="shared" si="289"/>
        <v>0</v>
      </c>
      <c r="CW621" s="144"/>
      <c r="CX621" s="145">
        <f>IF(ISERROR(VLOOKUP($A621,FIJOS!$B$11:$O$590,14,FALSE)),0,VLOOKUP($A621,FIJOS!$B$11:$O$590,14,FALSE))</f>
        <v>0</v>
      </c>
      <c r="CY621" s="145">
        <f>IF(ISERROR(VLOOKUP(A621,FIJOS!$B$10:$P$590,15,FALSE)),0,VLOOKUP(A621,FIJOS!$B$10:$P$590,15,FALSE))</f>
        <v>0</v>
      </c>
      <c r="CZ621" s="155"/>
      <c r="DA621" s="147"/>
      <c r="DB621" s="147"/>
      <c r="DC621" s="147"/>
      <c r="DD621" s="147"/>
      <c r="DE621" s="147"/>
      <c r="DF621" s="145">
        <f>IF(ISERROR(VLOOKUP($A621,FIJOS!$B$11:$N$590,13,FALSE)),0,VLOOKUP($A621,FIJOS!$B$11:$N$590,13,FALSE))</f>
        <v>0</v>
      </c>
      <c r="DG621" s="145">
        <f>IF(ISERROR(VLOOKUP($A621,FIJOS!$B$11:$P$447,12,FALSE)),0,VLOOKUP($A621,FIJOS!$B$11:$P$447,12,FALSE))</f>
        <v>0</v>
      </c>
      <c r="DH621" s="82">
        <f t="shared" si="290"/>
        <v>0</v>
      </c>
      <c r="DI621" s="83" t="b">
        <f>IF($C621=1,(VLOOKUP($A621,FIJOS!$B$11:$P$545,10,FALSE)/7)*(7-$CU621),IF(AND($C621=2,CV621&lt;$DJ$1),(VLOOKUP($D621,HORAS!$B$4:$C$42,2,FALSE)*24)*$CV621,IF(AND($C621=2,CV621&gt;=$DJ$1),VLOOKUP($D621,HORAS!$B$4:$D$42,3,FALSE),IF(AND($C621=3,$CV621&gt;=$DJ$1),VLOOKUP($A621,FIJOS!$B$11:$P$545,10,FALSE),IF(AND($C621=3,$CV621&lt;$DJ$1),((VLOOKUP($A621,FIJOS!$B$11:$P$545,10,FALSE)/48)*24)*$CV621,IF(AND($C621=4,$CV621&gt;=(42/24)),VLOOKUP($D621,HORAS!$B$4:$D$42,3,FALSE),IF(AND($C621=5,$CV621&gt;=(36/24)),VLOOKUP($D621,HORAS!$B$4:$D$42,3,FALSE))))))))</f>
        <v>0</v>
      </c>
      <c r="DJ621" s="145">
        <f>IF(OR($C621=2),VLOOKUP($D621,HORAS!$B$4:$E$42,4,FALSE)*$EC621,IF(ISERROR(VLOOKUP($A621,FIJOS!$B$11:$P$108,9,FALSE)),0,VLOOKUP($A621,FIJOS!$B$11:$P$231,9,FALSE)*$EC621))</f>
        <v>0</v>
      </c>
      <c r="DK621" s="145">
        <f>IF(OR($C621=2),VLOOKUP($D621,HORAS!$B$4:$F$42,5,FALSE)*$EE621,IF(ISERROR(VLOOKUP($A621,FIJOS!$B$11:$P$108,9,FALSE)),0,VLOOKUP($A621,FIJOS!$B$11:$P$231,9,FALSE)*$EE621))</f>
        <v>0</v>
      </c>
      <c r="DL621" s="144"/>
      <c r="DM621" s="145">
        <f>IF(ISERROR(VLOOKUP($A621,FIJOS!$B$11:$L$646,11,FALSE)),0,VLOOKUP($A621,FIJOS!$B$11:$L$646,11,FALSE))</f>
        <v>0</v>
      </c>
      <c r="DN621" s="148" t="e">
        <f>IF(OR($C621=1,$C621=3),0,IF((VLOOKUP(CAPTURA!D621,HORAS!$B$4:$K$42,10,FALSE)/4)*COUNTIF($H621:$CT621,3)&gt;100,100,(VLOOKUP(CAPTURA!D621,HORAS!$B$4:$K$42,10,FALSE)/4)*COUNTIF($H621:$CT621,3)))</f>
        <v>#N/A</v>
      </c>
      <c r="DO621" s="144" t="e">
        <f>IF(OR($C621=1,$C621=3),0,IF($C621=5,VLOOKUP(D621,HORAS!$B$4:$G$42,6,FALSE),IF(AND($C621=4,$CV621&gt;=(42/24)),VLOOKUP(D621,HORAS!$B$4:$G$42,6,FALSE),IF(COUNTIF($H621:$CL621,"F")&gt;0,0,IF(CV621&gt;$DJ$1,$DJ$1*(VLOOKUP(D621,HORAS!$B$4:$G$42,6,FALSE)/$DJ$1),CV621*(VLOOKUP(D621,HORAS!$B$4:$G$42,6,FALSE)/$DJ$1))))))</f>
        <v>#N/A</v>
      </c>
      <c r="DP621" s="156"/>
      <c r="DQ621" s="148"/>
      <c r="DR621" s="148"/>
      <c r="DS621" s="83" t="e">
        <f t="shared" si="287"/>
        <v>#N/A</v>
      </c>
      <c r="DT621" s="84"/>
      <c r="DU621" s="149" t="e">
        <f t="shared" si="291"/>
        <v>#N/A</v>
      </c>
      <c r="DV621" s="149" t="e">
        <f t="shared" si="292"/>
        <v>#N/A</v>
      </c>
      <c r="DW621" s="144" t="e">
        <f t="shared" si="293"/>
        <v>#N/A</v>
      </c>
      <c r="DX621" s="168"/>
      <c r="DY621" s="29"/>
      <c r="DZ621" s="150"/>
      <c r="EA621" s="134"/>
      <c r="EB621" s="137">
        <f t="shared" si="294"/>
        <v>0</v>
      </c>
      <c r="EC621" s="138">
        <f t="shared" si="295"/>
        <v>0</v>
      </c>
      <c r="ED621" s="137">
        <f t="shared" si="296"/>
        <v>0</v>
      </c>
      <c r="EE621" s="132">
        <f t="shared" si="297"/>
        <v>0</v>
      </c>
      <c r="EF621" s="29"/>
      <c r="EG621" s="134"/>
      <c r="EH621" s="134"/>
      <c r="EI621" s="134"/>
      <c r="EK621" s="29"/>
    </row>
    <row r="622" spans="1:141" ht="15" customHeight="1" x14ac:dyDescent="0.25">
      <c r="A622" s="87"/>
      <c r="B622" s="5"/>
      <c r="C622" s="72"/>
      <c r="D622" s="73"/>
      <c r="E622" s="73"/>
      <c r="F622" s="141"/>
      <c r="G622" s="74"/>
      <c r="H622" s="75"/>
      <c r="I622" s="76"/>
      <c r="J622" s="135"/>
      <c r="K622" s="135"/>
      <c r="L622" s="77">
        <f t="shared" si="266"/>
        <v>0</v>
      </c>
      <c r="M622" s="78"/>
      <c r="N622" s="142"/>
      <c r="O622" s="142"/>
      <c r="P622" s="77">
        <f t="shared" si="267"/>
        <v>0</v>
      </c>
      <c r="Q622" s="78"/>
      <c r="R622" s="143"/>
      <c r="S622" s="143"/>
      <c r="T622" s="77">
        <f t="shared" si="268"/>
        <v>0</v>
      </c>
      <c r="U622" s="75"/>
      <c r="V622" s="76"/>
      <c r="W622" s="135"/>
      <c r="X622" s="135"/>
      <c r="Y622" s="77">
        <f t="shared" si="269"/>
        <v>0</v>
      </c>
      <c r="Z622" s="78"/>
      <c r="AA622" s="142"/>
      <c r="AB622" s="142"/>
      <c r="AC622" s="77">
        <f t="shared" si="270"/>
        <v>0</v>
      </c>
      <c r="AD622" s="78"/>
      <c r="AE622" s="143"/>
      <c r="AF622" s="143"/>
      <c r="AG622" s="79">
        <f t="shared" si="271"/>
        <v>0</v>
      </c>
      <c r="AH622" s="75"/>
      <c r="AI622" s="76"/>
      <c r="AJ622" s="135"/>
      <c r="AK622" s="135"/>
      <c r="AL622" s="77">
        <f t="shared" si="272"/>
        <v>0</v>
      </c>
      <c r="AM622" s="76"/>
      <c r="AN622" s="142"/>
      <c r="AO622" s="142"/>
      <c r="AP622" s="77">
        <f t="shared" si="273"/>
        <v>0</v>
      </c>
      <c r="AQ622" s="78"/>
      <c r="AR622" s="142"/>
      <c r="AS622" s="142"/>
      <c r="AT622" s="79">
        <f t="shared" si="274"/>
        <v>0</v>
      </c>
      <c r="AU622" s="75"/>
      <c r="AV622" s="76"/>
      <c r="AW622" s="135"/>
      <c r="AX622" s="135"/>
      <c r="AY622" s="77">
        <f t="shared" si="275"/>
        <v>0</v>
      </c>
      <c r="AZ622" s="76"/>
      <c r="BA622" s="142"/>
      <c r="BB622" s="142"/>
      <c r="BC622" s="77">
        <f t="shared" si="276"/>
        <v>0</v>
      </c>
      <c r="BD622" s="78"/>
      <c r="BE622" s="142"/>
      <c r="BF622" s="142"/>
      <c r="BG622" s="79">
        <f t="shared" si="277"/>
        <v>0</v>
      </c>
      <c r="BH622" s="75"/>
      <c r="BI622" s="76"/>
      <c r="BJ622" s="135"/>
      <c r="BK622" s="135"/>
      <c r="BL622" s="77">
        <f t="shared" si="278"/>
        <v>0</v>
      </c>
      <c r="BM622" s="78"/>
      <c r="BN622" s="142"/>
      <c r="BO622" s="142"/>
      <c r="BP622" s="77">
        <f t="shared" si="279"/>
        <v>0</v>
      </c>
      <c r="BQ622" s="78"/>
      <c r="BR622" s="142"/>
      <c r="BS622" s="142"/>
      <c r="BT622" s="79">
        <f t="shared" si="280"/>
        <v>0</v>
      </c>
      <c r="BU622" s="75"/>
      <c r="BV622" s="76"/>
      <c r="BW622" s="135"/>
      <c r="BX622" s="135"/>
      <c r="BY622" s="77">
        <f t="shared" si="281"/>
        <v>0</v>
      </c>
      <c r="BZ622" s="78"/>
      <c r="CA622" s="142"/>
      <c r="CB622" s="142"/>
      <c r="CC622" s="77">
        <f t="shared" si="282"/>
        <v>0</v>
      </c>
      <c r="CD622" s="78"/>
      <c r="CE622" s="142"/>
      <c r="CF622" s="142"/>
      <c r="CG622" s="79">
        <f t="shared" si="283"/>
        <v>0</v>
      </c>
      <c r="CH622" s="75"/>
      <c r="CI622" s="76"/>
      <c r="CJ622" s="86"/>
      <c r="CK622" s="86"/>
      <c r="CL622" s="77">
        <f t="shared" si="284"/>
        <v>0</v>
      </c>
      <c r="CM622" s="78"/>
      <c r="CN622" s="85"/>
      <c r="CO622" s="85"/>
      <c r="CP622" s="77">
        <f t="shared" si="285"/>
        <v>0</v>
      </c>
      <c r="CQ622" s="78"/>
      <c r="CR622" s="85"/>
      <c r="CS622" s="85"/>
      <c r="CT622" s="79">
        <f t="shared" si="286"/>
        <v>0</v>
      </c>
      <c r="CU622" s="80">
        <f t="shared" si="288"/>
        <v>0</v>
      </c>
      <c r="CV622" s="81">
        <f t="shared" si="289"/>
        <v>0</v>
      </c>
      <c r="CW622" s="144"/>
      <c r="CX622" s="145">
        <f>IF(ISERROR(VLOOKUP($A622,FIJOS!$B$11:$O$590,14,FALSE)),0,VLOOKUP($A622,FIJOS!$B$11:$O$590,14,FALSE))</f>
        <v>0</v>
      </c>
      <c r="CY622" s="145">
        <f>IF(ISERROR(VLOOKUP(A622,FIJOS!$B$10:$P$590,15,FALSE)),0,VLOOKUP(A622,FIJOS!$B$10:$P$590,15,FALSE))</f>
        <v>0</v>
      </c>
      <c r="CZ622" s="155"/>
      <c r="DA622" s="147"/>
      <c r="DB622" s="147"/>
      <c r="DC622" s="147"/>
      <c r="DD622" s="147"/>
      <c r="DE622" s="147"/>
      <c r="DF622" s="145">
        <f>IF(ISERROR(VLOOKUP($A622,FIJOS!$B$11:$N$590,13,FALSE)),0,VLOOKUP($A622,FIJOS!$B$11:$N$590,13,FALSE))</f>
        <v>0</v>
      </c>
      <c r="DG622" s="145">
        <f>IF(ISERROR(VLOOKUP($A622,FIJOS!$B$11:$P$447,12,FALSE)),0,VLOOKUP($A622,FIJOS!$B$11:$P$447,12,FALSE))</f>
        <v>0</v>
      </c>
      <c r="DH622" s="82">
        <f t="shared" si="290"/>
        <v>0</v>
      </c>
      <c r="DI622" s="83" t="b">
        <f>IF($C622=1,(VLOOKUP($A622,FIJOS!$B$11:$P$545,10,FALSE)/7)*(7-$CU622),IF(AND($C622=2,CV622&lt;$DJ$1),(VLOOKUP($D622,HORAS!$B$4:$C$42,2,FALSE)*24)*$CV622,IF(AND($C622=2,CV622&gt;=$DJ$1),VLOOKUP($D622,HORAS!$B$4:$D$42,3,FALSE),IF(AND($C622=3,$CV622&gt;=$DJ$1),VLOOKUP($A622,FIJOS!$B$11:$P$545,10,FALSE),IF(AND($C622=3,$CV622&lt;$DJ$1),((VLOOKUP($A622,FIJOS!$B$11:$P$545,10,FALSE)/48)*24)*$CV622,IF(AND($C622=4,$CV622&gt;=(42/24)),VLOOKUP($D622,HORAS!$B$4:$D$42,3,FALSE),IF(AND($C622=5,$CV622&gt;=(36/24)),VLOOKUP($D622,HORAS!$B$4:$D$42,3,FALSE))))))))</f>
        <v>0</v>
      </c>
      <c r="DJ622" s="145">
        <f>IF(OR($C622=2),VLOOKUP($D622,HORAS!$B$4:$E$42,4,FALSE)*$EC622,IF(ISERROR(VLOOKUP($A622,FIJOS!$B$11:$P$108,9,FALSE)),0,VLOOKUP($A622,FIJOS!$B$11:$P$231,9,FALSE)*$EC622))</f>
        <v>0</v>
      </c>
      <c r="DK622" s="145">
        <f>IF(OR($C622=2),VLOOKUP($D622,HORAS!$B$4:$F$42,5,FALSE)*$EE622,IF(ISERROR(VLOOKUP($A622,FIJOS!$B$11:$P$108,9,FALSE)),0,VLOOKUP($A622,FIJOS!$B$11:$P$231,9,FALSE)*$EE622))</f>
        <v>0</v>
      </c>
      <c r="DL622" s="144"/>
      <c r="DM622" s="145">
        <f>IF(ISERROR(VLOOKUP($A622,FIJOS!$B$11:$L$646,11,FALSE)),0,VLOOKUP($A622,FIJOS!$B$11:$L$646,11,FALSE))</f>
        <v>0</v>
      </c>
      <c r="DN622" s="148" t="e">
        <f>IF(OR($C622=1,$C622=3),0,IF((VLOOKUP(CAPTURA!D622,HORAS!$B$4:$K$42,10,FALSE)/4)*COUNTIF($H622:$CT622,3)&gt;100,100,(VLOOKUP(CAPTURA!D622,HORAS!$B$4:$K$42,10,FALSE)/4)*COUNTIF($H622:$CT622,3)))</f>
        <v>#N/A</v>
      </c>
      <c r="DO622" s="144" t="e">
        <f>IF(OR($C622=1,$C622=3),0,IF($C622=5,VLOOKUP(D622,HORAS!$B$4:$G$42,6,FALSE),IF(AND($C622=4,$CV622&gt;=(42/24)),VLOOKUP(D622,HORAS!$B$4:$G$42,6,FALSE),IF(COUNTIF($H622:$CL622,"F")&gt;0,0,IF(CV622&gt;$DJ$1,$DJ$1*(VLOOKUP(D622,HORAS!$B$4:$G$42,6,FALSE)/$DJ$1),CV622*(VLOOKUP(D622,HORAS!$B$4:$G$42,6,FALSE)/$DJ$1))))))</f>
        <v>#N/A</v>
      </c>
      <c r="DP622" s="156"/>
      <c r="DQ622" s="148"/>
      <c r="DR622" s="148"/>
      <c r="DS622" s="83" t="e">
        <f t="shared" si="287"/>
        <v>#N/A</v>
      </c>
      <c r="DT622" s="84"/>
      <c r="DU622" s="149" t="e">
        <f t="shared" si="291"/>
        <v>#N/A</v>
      </c>
      <c r="DV622" s="149" t="e">
        <f t="shared" si="292"/>
        <v>#N/A</v>
      </c>
      <c r="DW622" s="144" t="e">
        <f t="shared" si="293"/>
        <v>#N/A</v>
      </c>
      <c r="DX622" s="168"/>
      <c r="DY622" s="29"/>
      <c r="DZ622" s="150"/>
      <c r="EA622" s="134"/>
      <c r="EB622" s="137">
        <f t="shared" si="294"/>
        <v>0</v>
      </c>
      <c r="EC622" s="138">
        <f t="shared" si="295"/>
        <v>0</v>
      </c>
      <c r="ED622" s="137">
        <f t="shared" si="296"/>
        <v>0</v>
      </c>
      <c r="EE622" s="132">
        <f t="shared" si="297"/>
        <v>0</v>
      </c>
      <c r="EF622" s="29"/>
      <c r="EG622" s="134"/>
      <c r="EH622" s="134"/>
      <c r="EI622" s="134"/>
      <c r="EK622" s="29"/>
    </row>
    <row r="623" spans="1:141" ht="15" customHeight="1" x14ac:dyDescent="0.25">
      <c r="A623" s="87"/>
      <c r="B623" s="5"/>
      <c r="C623" s="72"/>
      <c r="D623" s="73"/>
      <c r="E623" s="73"/>
      <c r="F623" s="141"/>
      <c r="G623" s="74"/>
      <c r="H623" s="75"/>
      <c r="I623" s="76"/>
      <c r="J623" s="135"/>
      <c r="K623" s="135"/>
      <c r="L623" s="77">
        <f t="shared" si="266"/>
        <v>0</v>
      </c>
      <c r="M623" s="78"/>
      <c r="N623" s="142"/>
      <c r="O623" s="142"/>
      <c r="P623" s="77">
        <f t="shared" si="267"/>
        <v>0</v>
      </c>
      <c r="Q623" s="78"/>
      <c r="R623" s="143"/>
      <c r="S623" s="143"/>
      <c r="T623" s="77">
        <f t="shared" si="268"/>
        <v>0</v>
      </c>
      <c r="U623" s="75"/>
      <c r="V623" s="76"/>
      <c r="W623" s="135"/>
      <c r="X623" s="135"/>
      <c r="Y623" s="77">
        <f t="shared" si="269"/>
        <v>0</v>
      </c>
      <c r="Z623" s="78"/>
      <c r="AA623" s="142"/>
      <c r="AB623" s="142"/>
      <c r="AC623" s="77">
        <f t="shared" si="270"/>
        <v>0</v>
      </c>
      <c r="AD623" s="78"/>
      <c r="AE623" s="143"/>
      <c r="AF623" s="143"/>
      <c r="AG623" s="79">
        <f t="shared" si="271"/>
        <v>0</v>
      </c>
      <c r="AH623" s="75"/>
      <c r="AI623" s="76"/>
      <c r="AJ623" s="135"/>
      <c r="AK623" s="135"/>
      <c r="AL623" s="77">
        <f t="shared" si="272"/>
        <v>0</v>
      </c>
      <c r="AM623" s="76"/>
      <c r="AN623" s="142"/>
      <c r="AO623" s="142"/>
      <c r="AP623" s="77">
        <f t="shared" si="273"/>
        <v>0</v>
      </c>
      <c r="AQ623" s="78"/>
      <c r="AR623" s="142"/>
      <c r="AS623" s="142"/>
      <c r="AT623" s="79">
        <f t="shared" si="274"/>
        <v>0</v>
      </c>
      <c r="AU623" s="75"/>
      <c r="AV623" s="76"/>
      <c r="AW623" s="135"/>
      <c r="AX623" s="135"/>
      <c r="AY623" s="77">
        <f t="shared" si="275"/>
        <v>0</v>
      </c>
      <c r="AZ623" s="76"/>
      <c r="BA623" s="142"/>
      <c r="BB623" s="142"/>
      <c r="BC623" s="77">
        <f t="shared" si="276"/>
        <v>0</v>
      </c>
      <c r="BD623" s="78"/>
      <c r="BE623" s="142"/>
      <c r="BF623" s="142"/>
      <c r="BG623" s="79">
        <f t="shared" si="277"/>
        <v>0</v>
      </c>
      <c r="BH623" s="75"/>
      <c r="BI623" s="76"/>
      <c r="BJ623" s="135"/>
      <c r="BK623" s="135"/>
      <c r="BL623" s="77">
        <f t="shared" si="278"/>
        <v>0</v>
      </c>
      <c r="BM623" s="78"/>
      <c r="BN623" s="142"/>
      <c r="BO623" s="142"/>
      <c r="BP623" s="77">
        <f t="shared" si="279"/>
        <v>0</v>
      </c>
      <c r="BQ623" s="78"/>
      <c r="BR623" s="142"/>
      <c r="BS623" s="142"/>
      <c r="BT623" s="79">
        <f t="shared" si="280"/>
        <v>0</v>
      </c>
      <c r="BU623" s="75"/>
      <c r="BV623" s="76"/>
      <c r="BW623" s="135"/>
      <c r="BX623" s="135"/>
      <c r="BY623" s="77">
        <f t="shared" si="281"/>
        <v>0</v>
      </c>
      <c r="BZ623" s="78"/>
      <c r="CA623" s="142"/>
      <c r="CB623" s="142"/>
      <c r="CC623" s="77">
        <f t="shared" si="282"/>
        <v>0</v>
      </c>
      <c r="CD623" s="78"/>
      <c r="CE623" s="142"/>
      <c r="CF623" s="142"/>
      <c r="CG623" s="79">
        <f t="shared" si="283"/>
        <v>0</v>
      </c>
      <c r="CH623" s="75"/>
      <c r="CI623" s="76"/>
      <c r="CJ623" s="86"/>
      <c r="CK623" s="86"/>
      <c r="CL623" s="77">
        <f t="shared" si="284"/>
        <v>0</v>
      </c>
      <c r="CM623" s="78"/>
      <c r="CN623" s="85"/>
      <c r="CO623" s="85"/>
      <c r="CP623" s="77">
        <f t="shared" si="285"/>
        <v>0</v>
      </c>
      <c r="CQ623" s="78"/>
      <c r="CR623" s="85"/>
      <c r="CS623" s="85"/>
      <c r="CT623" s="79">
        <f t="shared" si="286"/>
        <v>0</v>
      </c>
      <c r="CU623" s="80">
        <f t="shared" si="288"/>
        <v>0</v>
      </c>
      <c r="CV623" s="81">
        <f t="shared" si="289"/>
        <v>0</v>
      </c>
      <c r="CW623" s="144"/>
      <c r="CX623" s="145">
        <f>IF(ISERROR(VLOOKUP($A623,FIJOS!$B$11:$O$590,14,FALSE)),0,VLOOKUP($A623,FIJOS!$B$11:$O$590,14,FALSE))</f>
        <v>0</v>
      </c>
      <c r="CY623" s="145">
        <f>IF(ISERROR(VLOOKUP(A623,FIJOS!$B$10:$P$590,15,FALSE)),0,VLOOKUP(A623,FIJOS!$B$10:$P$590,15,FALSE))</f>
        <v>0</v>
      </c>
      <c r="CZ623" s="155"/>
      <c r="DA623" s="147"/>
      <c r="DB623" s="147"/>
      <c r="DC623" s="147"/>
      <c r="DD623" s="147"/>
      <c r="DE623" s="147"/>
      <c r="DF623" s="145">
        <f>IF(ISERROR(VLOOKUP($A623,FIJOS!$B$11:$N$590,13,FALSE)),0,VLOOKUP($A623,FIJOS!$B$11:$N$590,13,FALSE))</f>
        <v>0</v>
      </c>
      <c r="DG623" s="145">
        <f>IF(ISERROR(VLOOKUP($A623,FIJOS!$B$11:$P$447,12,FALSE)),0,VLOOKUP($A623,FIJOS!$B$11:$P$447,12,FALSE))</f>
        <v>0</v>
      </c>
      <c r="DH623" s="82">
        <f t="shared" si="290"/>
        <v>0</v>
      </c>
      <c r="DI623" s="83" t="b">
        <f>IF($C623=1,(VLOOKUP($A623,FIJOS!$B$11:$P$545,10,FALSE)/7)*(7-$CU623),IF(AND($C623=2,CV623&lt;$DJ$1),(VLOOKUP($D623,HORAS!$B$4:$C$42,2,FALSE)*24)*$CV623,IF(AND($C623=2,CV623&gt;=$DJ$1),VLOOKUP($D623,HORAS!$B$4:$D$42,3,FALSE),IF(AND($C623=3,$CV623&gt;=$DJ$1),VLOOKUP($A623,FIJOS!$B$11:$P$545,10,FALSE),IF(AND($C623=3,$CV623&lt;$DJ$1),((VLOOKUP($A623,FIJOS!$B$11:$P$545,10,FALSE)/48)*24)*$CV623,IF(AND($C623=4,$CV623&gt;=(42/24)),VLOOKUP($D623,HORAS!$B$4:$D$42,3,FALSE),IF(AND($C623=5,$CV623&gt;=(36/24)),VLOOKUP($D623,HORAS!$B$4:$D$42,3,FALSE))))))))</f>
        <v>0</v>
      </c>
      <c r="DJ623" s="145">
        <f>IF(OR($C623=2),VLOOKUP($D623,HORAS!$B$4:$E$42,4,FALSE)*$EC623,IF(ISERROR(VLOOKUP($A623,FIJOS!$B$11:$P$108,9,FALSE)),0,VLOOKUP($A623,FIJOS!$B$11:$P$231,9,FALSE)*$EC623))</f>
        <v>0</v>
      </c>
      <c r="DK623" s="145">
        <f>IF(OR($C623=2),VLOOKUP($D623,HORAS!$B$4:$F$42,5,FALSE)*$EE623,IF(ISERROR(VLOOKUP($A623,FIJOS!$B$11:$P$108,9,FALSE)),0,VLOOKUP($A623,FIJOS!$B$11:$P$231,9,FALSE)*$EE623))</f>
        <v>0</v>
      </c>
      <c r="DL623" s="144"/>
      <c r="DM623" s="145">
        <f>IF(ISERROR(VLOOKUP($A623,FIJOS!$B$11:$L$646,11,FALSE)),0,VLOOKUP($A623,FIJOS!$B$11:$L$646,11,FALSE))</f>
        <v>0</v>
      </c>
      <c r="DN623" s="148" t="e">
        <f>IF(OR($C623=1,$C623=3),0,IF((VLOOKUP(CAPTURA!D623,HORAS!$B$4:$K$42,10,FALSE)/4)*COUNTIF($H623:$CT623,3)&gt;100,100,(VLOOKUP(CAPTURA!D623,HORAS!$B$4:$K$42,10,FALSE)/4)*COUNTIF($H623:$CT623,3)))</f>
        <v>#N/A</v>
      </c>
      <c r="DO623" s="144" t="e">
        <f>IF(OR($C623=1,$C623=3),0,IF($C623=5,VLOOKUP(D623,HORAS!$B$4:$G$42,6,FALSE),IF(AND($C623=4,$CV623&gt;=(42/24)),VLOOKUP(D623,HORAS!$B$4:$G$42,6,FALSE),IF(COUNTIF($H623:$CL623,"F")&gt;0,0,IF(CV623&gt;$DJ$1,$DJ$1*(VLOOKUP(D623,HORAS!$B$4:$G$42,6,FALSE)/$DJ$1),CV623*(VLOOKUP(D623,HORAS!$B$4:$G$42,6,FALSE)/$DJ$1))))))</f>
        <v>#N/A</v>
      </c>
      <c r="DP623" s="156"/>
      <c r="DQ623" s="148"/>
      <c r="DR623" s="148"/>
      <c r="DS623" s="83" t="e">
        <f t="shared" si="287"/>
        <v>#N/A</v>
      </c>
      <c r="DT623" s="84"/>
      <c r="DU623" s="149" t="e">
        <f t="shared" si="291"/>
        <v>#N/A</v>
      </c>
      <c r="DV623" s="149" t="e">
        <f t="shared" si="292"/>
        <v>#N/A</v>
      </c>
      <c r="DW623" s="144" t="e">
        <f t="shared" si="293"/>
        <v>#N/A</v>
      </c>
      <c r="DX623" s="168"/>
      <c r="DY623" s="29"/>
      <c r="DZ623" s="150"/>
      <c r="EA623" s="134"/>
      <c r="EB623" s="137">
        <f t="shared" si="294"/>
        <v>0</v>
      </c>
      <c r="EC623" s="138">
        <f t="shared" si="295"/>
        <v>0</v>
      </c>
      <c r="ED623" s="137">
        <f t="shared" si="296"/>
        <v>0</v>
      </c>
      <c r="EE623" s="132">
        <f t="shared" si="297"/>
        <v>0</v>
      </c>
      <c r="EF623" s="29"/>
      <c r="EG623" s="134"/>
      <c r="EH623" s="134"/>
      <c r="EI623" s="134"/>
      <c r="EK623" s="29"/>
    </row>
    <row r="624" spans="1:141" ht="15" customHeight="1" x14ac:dyDescent="0.25">
      <c r="A624" s="87"/>
      <c r="B624" s="5"/>
      <c r="C624" s="72"/>
      <c r="D624" s="73"/>
      <c r="E624" s="73"/>
      <c r="F624" s="141"/>
      <c r="G624" s="74"/>
      <c r="H624" s="75"/>
      <c r="I624" s="76"/>
      <c r="J624" s="135"/>
      <c r="K624" s="135"/>
      <c r="L624" s="77">
        <f t="shared" si="266"/>
        <v>0</v>
      </c>
      <c r="M624" s="78"/>
      <c r="N624" s="142"/>
      <c r="O624" s="142"/>
      <c r="P624" s="77">
        <f t="shared" si="267"/>
        <v>0</v>
      </c>
      <c r="Q624" s="78"/>
      <c r="R624" s="143"/>
      <c r="S624" s="143"/>
      <c r="T624" s="77">
        <f t="shared" si="268"/>
        <v>0</v>
      </c>
      <c r="U624" s="75"/>
      <c r="V624" s="76"/>
      <c r="W624" s="135"/>
      <c r="X624" s="135"/>
      <c r="Y624" s="77">
        <f t="shared" si="269"/>
        <v>0</v>
      </c>
      <c r="Z624" s="78"/>
      <c r="AA624" s="142"/>
      <c r="AB624" s="142"/>
      <c r="AC624" s="77">
        <f t="shared" si="270"/>
        <v>0</v>
      </c>
      <c r="AD624" s="78"/>
      <c r="AE624" s="143"/>
      <c r="AF624" s="143"/>
      <c r="AG624" s="79">
        <f t="shared" si="271"/>
        <v>0</v>
      </c>
      <c r="AH624" s="75"/>
      <c r="AI624" s="76"/>
      <c r="AJ624" s="135"/>
      <c r="AK624" s="135"/>
      <c r="AL624" s="77">
        <f t="shared" si="272"/>
        <v>0</v>
      </c>
      <c r="AM624" s="76"/>
      <c r="AN624" s="142"/>
      <c r="AO624" s="142"/>
      <c r="AP624" s="77">
        <f t="shared" si="273"/>
        <v>0</v>
      </c>
      <c r="AQ624" s="78"/>
      <c r="AR624" s="142"/>
      <c r="AS624" s="142"/>
      <c r="AT624" s="79">
        <f t="shared" si="274"/>
        <v>0</v>
      </c>
      <c r="AU624" s="75"/>
      <c r="AV624" s="76"/>
      <c r="AW624" s="135"/>
      <c r="AX624" s="135"/>
      <c r="AY624" s="77">
        <f t="shared" si="275"/>
        <v>0</v>
      </c>
      <c r="AZ624" s="76"/>
      <c r="BA624" s="142"/>
      <c r="BB624" s="142"/>
      <c r="BC624" s="77">
        <f t="shared" si="276"/>
        <v>0</v>
      </c>
      <c r="BD624" s="78"/>
      <c r="BE624" s="142"/>
      <c r="BF624" s="142"/>
      <c r="BG624" s="79">
        <f t="shared" si="277"/>
        <v>0</v>
      </c>
      <c r="BH624" s="75"/>
      <c r="BI624" s="76"/>
      <c r="BJ624" s="135"/>
      <c r="BK624" s="135"/>
      <c r="BL624" s="77">
        <f t="shared" si="278"/>
        <v>0</v>
      </c>
      <c r="BM624" s="78"/>
      <c r="BN624" s="142"/>
      <c r="BO624" s="142"/>
      <c r="BP624" s="77">
        <f t="shared" si="279"/>
        <v>0</v>
      </c>
      <c r="BQ624" s="78"/>
      <c r="BR624" s="142"/>
      <c r="BS624" s="142"/>
      <c r="BT624" s="79">
        <f t="shared" si="280"/>
        <v>0</v>
      </c>
      <c r="BU624" s="75"/>
      <c r="BV624" s="76"/>
      <c r="BW624" s="135"/>
      <c r="BX624" s="135"/>
      <c r="BY624" s="77">
        <f t="shared" si="281"/>
        <v>0</v>
      </c>
      <c r="BZ624" s="78"/>
      <c r="CA624" s="142"/>
      <c r="CB624" s="142"/>
      <c r="CC624" s="77">
        <f t="shared" si="282"/>
        <v>0</v>
      </c>
      <c r="CD624" s="78"/>
      <c r="CE624" s="142"/>
      <c r="CF624" s="142"/>
      <c r="CG624" s="79">
        <f t="shared" si="283"/>
        <v>0</v>
      </c>
      <c r="CH624" s="75"/>
      <c r="CI624" s="76"/>
      <c r="CJ624" s="86"/>
      <c r="CK624" s="86"/>
      <c r="CL624" s="77">
        <f t="shared" si="284"/>
        <v>0</v>
      </c>
      <c r="CM624" s="78"/>
      <c r="CN624" s="85"/>
      <c r="CO624" s="85"/>
      <c r="CP624" s="77">
        <f t="shared" si="285"/>
        <v>0</v>
      </c>
      <c r="CQ624" s="78"/>
      <c r="CR624" s="85"/>
      <c r="CS624" s="85"/>
      <c r="CT624" s="79">
        <f t="shared" si="286"/>
        <v>0</v>
      </c>
      <c r="CU624" s="80">
        <f t="shared" si="288"/>
        <v>0</v>
      </c>
      <c r="CV624" s="81">
        <f t="shared" si="289"/>
        <v>0</v>
      </c>
      <c r="CW624" s="144"/>
      <c r="CX624" s="145">
        <f>IF(ISERROR(VLOOKUP($A624,FIJOS!$B$11:$O$590,14,FALSE)),0,VLOOKUP($A624,FIJOS!$B$11:$O$590,14,FALSE))</f>
        <v>0</v>
      </c>
      <c r="CY624" s="145">
        <f>IF(ISERROR(VLOOKUP(A624,FIJOS!$B$10:$P$590,15,FALSE)),0,VLOOKUP(A624,FIJOS!$B$10:$P$590,15,FALSE))</f>
        <v>0</v>
      </c>
      <c r="CZ624" s="155"/>
      <c r="DA624" s="147"/>
      <c r="DB624" s="147"/>
      <c r="DC624" s="147"/>
      <c r="DD624" s="147"/>
      <c r="DE624" s="147"/>
      <c r="DF624" s="145">
        <f>IF(ISERROR(VLOOKUP($A624,FIJOS!$B$11:$N$590,13,FALSE)),0,VLOOKUP($A624,FIJOS!$B$11:$N$590,13,FALSE))</f>
        <v>0</v>
      </c>
      <c r="DG624" s="145">
        <f>IF(ISERROR(VLOOKUP($A624,FIJOS!$B$11:$P$447,12,FALSE)),0,VLOOKUP($A624,FIJOS!$B$11:$P$447,12,FALSE))</f>
        <v>0</v>
      </c>
      <c r="DH624" s="82">
        <f t="shared" si="290"/>
        <v>0</v>
      </c>
      <c r="DI624" s="83" t="b">
        <f>IF($C624=1,(VLOOKUP($A624,FIJOS!$B$11:$P$545,10,FALSE)/7)*(7-$CU624),IF(AND($C624=2,CV624&lt;$DJ$1),(VLOOKUP($D624,HORAS!$B$4:$C$42,2,FALSE)*24)*$CV624,IF(AND($C624=2,CV624&gt;=$DJ$1),VLOOKUP($D624,HORAS!$B$4:$D$42,3,FALSE),IF(AND($C624=3,$CV624&gt;=$DJ$1),VLOOKUP($A624,FIJOS!$B$11:$P$545,10,FALSE),IF(AND($C624=3,$CV624&lt;$DJ$1),((VLOOKUP($A624,FIJOS!$B$11:$P$545,10,FALSE)/48)*24)*$CV624,IF(AND($C624=4,$CV624&gt;=(42/24)),VLOOKUP($D624,HORAS!$B$4:$D$42,3,FALSE),IF(AND($C624=5,$CV624&gt;=(36/24)),VLOOKUP($D624,HORAS!$B$4:$D$42,3,FALSE))))))))</f>
        <v>0</v>
      </c>
      <c r="DJ624" s="145">
        <f>IF(OR($C624=2),VLOOKUP($D624,HORAS!$B$4:$E$42,4,FALSE)*$EC624,IF(ISERROR(VLOOKUP($A624,FIJOS!$B$11:$P$108,9,FALSE)),0,VLOOKUP($A624,FIJOS!$B$11:$P$231,9,FALSE)*$EC624))</f>
        <v>0</v>
      </c>
      <c r="DK624" s="145">
        <f>IF(OR($C624=2),VLOOKUP($D624,HORAS!$B$4:$F$42,5,FALSE)*$EE624,IF(ISERROR(VLOOKUP($A624,FIJOS!$B$11:$P$108,9,FALSE)),0,VLOOKUP($A624,FIJOS!$B$11:$P$231,9,FALSE)*$EE624))</f>
        <v>0</v>
      </c>
      <c r="DL624" s="144"/>
      <c r="DM624" s="145">
        <f>IF(ISERROR(VLOOKUP($A624,FIJOS!$B$11:$L$646,11,FALSE)),0,VLOOKUP($A624,FIJOS!$B$11:$L$646,11,FALSE))</f>
        <v>0</v>
      </c>
      <c r="DN624" s="148" t="e">
        <f>IF(OR($C624=1,$C624=3),0,IF((VLOOKUP(CAPTURA!D624,HORAS!$B$4:$K$42,10,FALSE)/4)*COUNTIF($H624:$CT624,3)&gt;100,100,(VLOOKUP(CAPTURA!D624,HORAS!$B$4:$K$42,10,FALSE)/4)*COUNTIF($H624:$CT624,3)))</f>
        <v>#N/A</v>
      </c>
      <c r="DO624" s="144" t="e">
        <f>IF(OR($C624=1,$C624=3),0,IF($C624=5,VLOOKUP(D624,HORAS!$B$4:$G$42,6,FALSE),IF(AND($C624=4,$CV624&gt;=(42/24)),VLOOKUP(D624,HORAS!$B$4:$G$42,6,FALSE),IF(COUNTIF($H624:$CL624,"F")&gt;0,0,IF(CV624&gt;$DJ$1,$DJ$1*(VLOOKUP(D624,HORAS!$B$4:$G$42,6,FALSE)/$DJ$1),CV624*(VLOOKUP(D624,HORAS!$B$4:$G$42,6,FALSE)/$DJ$1))))))</f>
        <v>#N/A</v>
      </c>
      <c r="DP624" s="156"/>
      <c r="DQ624" s="148"/>
      <c r="DR624" s="148"/>
      <c r="DS624" s="83" t="e">
        <f t="shared" si="287"/>
        <v>#N/A</v>
      </c>
      <c r="DT624" s="84"/>
      <c r="DU624" s="149" t="e">
        <f t="shared" si="291"/>
        <v>#N/A</v>
      </c>
      <c r="DV624" s="149" t="e">
        <f t="shared" si="292"/>
        <v>#N/A</v>
      </c>
      <c r="DW624" s="144" t="e">
        <f t="shared" si="293"/>
        <v>#N/A</v>
      </c>
      <c r="DX624" s="168"/>
      <c r="DY624" s="29"/>
      <c r="DZ624" s="150"/>
      <c r="EA624" s="134"/>
      <c r="EB624" s="137">
        <f t="shared" si="294"/>
        <v>0</v>
      </c>
      <c r="EC624" s="138">
        <f t="shared" si="295"/>
        <v>0</v>
      </c>
      <c r="ED624" s="137">
        <f t="shared" si="296"/>
        <v>0</v>
      </c>
      <c r="EE624" s="132">
        <f t="shared" si="297"/>
        <v>0</v>
      </c>
      <c r="EF624" s="29"/>
      <c r="EG624" s="134"/>
      <c r="EH624" s="134"/>
      <c r="EI624" s="134"/>
      <c r="EK624" s="29"/>
    </row>
    <row r="625" spans="1:141" ht="15" customHeight="1" x14ac:dyDescent="0.25">
      <c r="A625" s="87"/>
      <c r="B625" s="5"/>
      <c r="C625" s="72"/>
      <c r="D625" s="73"/>
      <c r="E625" s="73"/>
      <c r="F625" s="141"/>
      <c r="G625" s="74"/>
      <c r="H625" s="75"/>
      <c r="I625" s="76"/>
      <c r="J625" s="135"/>
      <c r="K625" s="135"/>
      <c r="L625" s="77">
        <f t="shared" si="266"/>
        <v>0</v>
      </c>
      <c r="M625" s="78"/>
      <c r="N625" s="142"/>
      <c r="O625" s="142"/>
      <c r="P625" s="77">
        <f t="shared" si="267"/>
        <v>0</v>
      </c>
      <c r="Q625" s="78"/>
      <c r="R625" s="143"/>
      <c r="S625" s="143"/>
      <c r="T625" s="77">
        <f t="shared" si="268"/>
        <v>0</v>
      </c>
      <c r="U625" s="75"/>
      <c r="V625" s="76"/>
      <c r="W625" s="135"/>
      <c r="X625" s="135"/>
      <c r="Y625" s="77">
        <f t="shared" si="269"/>
        <v>0</v>
      </c>
      <c r="Z625" s="78"/>
      <c r="AA625" s="142"/>
      <c r="AB625" s="142"/>
      <c r="AC625" s="77">
        <f t="shared" si="270"/>
        <v>0</v>
      </c>
      <c r="AD625" s="78"/>
      <c r="AE625" s="143"/>
      <c r="AF625" s="143"/>
      <c r="AG625" s="79">
        <f t="shared" si="271"/>
        <v>0</v>
      </c>
      <c r="AH625" s="75"/>
      <c r="AI625" s="76"/>
      <c r="AJ625" s="135"/>
      <c r="AK625" s="135"/>
      <c r="AL625" s="77">
        <f t="shared" si="272"/>
        <v>0</v>
      </c>
      <c r="AM625" s="76"/>
      <c r="AN625" s="142"/>
      <c r="AO625" s="142"/>
      <c r="AP625" s="77">
        <f t="shared" si="273"/>
        <v>0</v>
      </c>
      <c r="AQ625" s="78"/>
      <c r="AR625" s="142"/>
      <c r="AS625" s="142"/>
      <c r="AT625" s="79">
        <f t="shared" si="274"/>
        <v>0</v>
      </c>
      <c r="AU625" s="75"/>
      <c r="AV625" s="76"/>
      <c r="AW625" s="135"/>
      <c r="AX625" s="135"/>
      <c r="AY625" s="77">
        <f t="shared" si="275"/>
        <v>0</v>
      </c>
      <c r="AZ625" s="76"/>
      <c r="BA625" s="142"/>
      <c r="BB625" s="142"/>
      <c r="BC625" s="77">
        <f t="shared" si="276"/>
        <v>0</v>
      </c>
      <c r="BD625" s="78"/>
      <c r="BE625" s="142"/>
      <c r="BF625" s="142"/>
      <c r="BG625" s="79">
        <f t="shared" si="277"/>
        <v>0</v>
      </c>
      <c r="BH625" s="75"/>
      <c r="BI625" s="76"/>
      <c r="BJ625" s="135"/>
      <c r="BK625" s="135"/>
      <c r="BL625" s="77">
        <f t="shared" si="278"/>
        <v>0</v>
      </c>
      <c r="BM625" s="78"/>
      <c r="BN625" s="142"/>
      <c r="BO625" s="142"/>
      <c r="BP625" s="77">
        <f t="shared" si="279"/>
        <v>0</v>
      </c>
      <c r="BQ625" s="78"/>
      <c r="BR625" s="142"/>
      <c r="BS625" s="142"/>
      <c r="BT625" s="79">
        <f t="shared" si="280"/>
        <v>0</v>
      </c>
      <c r="BU625" s="75"/>
      <c r="BV625" s="76"/>
      <c r="BW625" s="135"/>
      <c r="BX625" s="135"/>
      <c r="BY625" s="77">
        <f t="shared" si="281"/>
        <v>0</v>
      </c>
      <c r="BZ625" s="78"/>
      <c r="CA625" s="142"/>
      <c r="CB625" s="142"/>
      <c r="CC625" s="77">
        <f t="shared" si="282"/>
        <v>0</v>
      </c>
      <c r="CD625" s="78"/>
      <c r="CE625" s="142"/>
      <c r="CF625" s="142"/>
      <c r="CG625" s="79">
        <f t="shared" si="283"/>
        <v>0</v>
      </c>
      <c r="CH625" s="75"/>
      <c r="CI625" s="76"/>
      <c r="CJ625" s="86"/>
      <c r="CK625" s="86"/>
      <c r="CL625" s="77">
        <f t="shared" si="284"/>
        <v>0</v>
      </c>
      <c r="CM625" s="78"/>
      <c r="CN625" s="85"/>
      <c r="CO625" s="85"/>
      <c r="CP625" s="77">
        <f t="shared" si="285"/>
        <v>0</v>
      </c>
      <c r="CQ625" s="78"/>
      <c r="CR625" s="85"/>
      <c r="CS625" s="85"/>
      <c r="CT625" s="79">
        <f t="shared" si="286"/>
        <v>0</v>
      </c>
      <c r="CU625" s="80">
        <f t="shared" si="288"/>
        <v>0</v>
      </c>
      <c r="CV625" s="81">
        <f t="shared" si="289"/>
        <v>0</v>
      </c>
      <c r="CW625" s="144"/>
      <c r="CX625" s="145">
        <f>IF(ISERROR(VLOOKUP($A625,FIJOS!$B$11:$O$590,14,FALSE)),0,VLOOKUP($A625,FIJOS!$B$11:$O$590,14,FALSE))</f>
        <v>0</v>
      </c>
      <c r="CY625" s="145">
        <f>IF(ISERROR(VLOOKUP(A625,FIJOS!$B$10:$P$590,15,FALSE)),0,VLOOKUP(A625,FIJOS!$B$10:$P$590,15,FALSE))</f>
        <v>0</v>
      </c>
      <c r="CZ625" s="155"/>
      <c r="DA625" s="147"/>
      <c r="DB625" s="147"/>
      <c r="DC625" s="147"/>
      <c r="DD625" s="147"/>
      <c r="DE625" s="147"/>
      <c r="DF625" s="145">
        <f>IF(ISERROR(VLOOKUP($A625,FIJOS!$B$11:$N$590,13,FALSE)),0,VLOOKUP($A625,FIJOS!$B$11:$N$590,13,FALSE))</f>
        <v>0</v>
      </c>
      <c r="DG625" s="145">
        <f>IF(ISERROR(VLOOKUP($A625,FIJOS!$B$11:$P$447,12,FALSE)),0,VLOOKUP($A625,FIJOS!$B$11:$P$447,12,FALSE))</f>
        <v>0</v>
      </c>
      <c r="DH625" s="82">
        <f t="shared" si="290"/>
        <v>0</v>
      </c>
      <c r="DI625" s="83" t="b">
        <f>IF($C625=1,(VLOOKUP($A625,FIJOS!$B$11:$P$545,10,FALSE)/7)*(7-$CU625),IF(AND($C625=2,CV625&lt;$DJ$1),(VLOOKUP($D625,HORAS!$B$4:$C$42,2,FALSE)*24)*$CV625,IF(AND($C625=2,CV625&gt;=$DJ$1),VLOOKUP($D625,HORAS!$B$4:$D$42,3,FALSE),IF(AND($C625=3,$CV625&gt;=$DJ$1),VLOOKUP($A625,FIJOS!$B$11:$P$545,10,FALSE),IF(AND($C625=3,$CV625&lt;$DJ$1),((VLOOKUP($A625,FIJOS!$B$11:$P$545,10,FALSE)/48)*24)*$CV625,IF(AND($C625=4,$CV625&gt;=(42/24)),VLOOKUP($D625,HORAS!$B$4:$D$42,3,FALSE),IF(AND($C625=5,$CV625&gt;=(36/24)),VLOOKUP($D625,HORAS!$B$4:$D$42,3,FALSE))))))))</f>
        <v>0</v>
      </c>
      <c r="DJ625" s="145">
        <f>IF(OR($C625=2),VLOOKUP($D625,HORAS!$B$4:$E$42,4,FALSE)*$EC625,IF(ISERROR(VLOOKUP($A625,FIJOS!$B$11:$P$108,9,FALSE)),0,VLOOKUP($A625,FIJOS!$B$11:$P$231,9,FALSE)*$EC625))</f>
        <v>0</v>
      </c>
      <c r="DK625" s="145">
        <f>IF(OR($C625=2),VLOOKUP($D625,HORAS!$B$4:$F$42,5,FALSE)*$EE625,IF(ISERROR(VLOOKUP($A625,FIJOS!$B$11:$P$108,9,FALSE)),0,VLOOKUP($A625,FIJOS!$B$11:$P$231,9,FALSE)*$EE625))</f>
        <v>0</v>
      </c>
      <c r="DL625" s="144"/>
      <c r="DM625" s="145">
        <f>IF(ISERROR(VLOOKUP($A625,FIJOS!$B$11:$L$646,11,FALSE)),0,VLOOKUP($A625,FIJOS!$B$11:$L$646,11,FALSE))</f>
        <v>0</v>
      </c>
      <c r="DN625" s="148" t="e">
        <f>IF(OR($C625=1,$C625=3),0,IF((VLOOKUP(CAPTURA!D625,HORAS!$B$4:$K$42,10,FALSE)/4)*COUNTIF($H625:$CT625,3)&gt;100,100,(VLOOKUP(CAPTURA!D625,HORAS!$B$4:$K$42,10,FALSE)/4)*COUNTIF($H625:$CT625,3)))</f>
        <v>#N/A</v>
      </c>
      <c r="DO625" s="144" t="e">
        <f>IF(OR($C625=1,$C625=3),0,IF($C625=5,VLOOKUP(D625,HORAS!$B$4:$G$42,6,FALSE),IF(AND($C625=4,$CV625&gt;=(42/24)),VLOOKUP(D625,HORAS!$B$4:$G$42,6,FALSE),IF(COUNTIF($H625:$CL625,"F")&gt;0,0,IF(CV625&gt;$DJ$1,$DJ$1*(VLOOKUP(D625,HORAS!$B$4:$G$42,6,FALSE)/$DJ$1),CV625*(VLOOKUP(D625,HORAS!$B$4:$G$42,6,FALSE)/$DJ$1))))))</f>
        <v>#N/A</v>
      </c>
      <c r="DP625" s="156"/>
      <c r="DQ625" s="148"/>
      <c r="DR625" s="148"/>
      <c r="DS625" s="83" t="e">
        <f t="shared" si="287"/>
        <v>#N/A</v>
      </c>
      <c r="DT625" s="84"/>
      <c r="DU625" s="149" t="e">
        <f t="shared" si="291"/>
        <v>#N/A</v>
      </c>
      <c r="DV625" s="149" t="e">
        <f t="shared" si="292"/>
        <v>#N/A</v>
      </c>
      <c r="DW625" s="144" t="e">
        <f t="shared" si="293"/>
        <v>#N/A</v>
      </c>
      <c r="DX625" s="168"/>
      <c r="DY625" s="29"/>
      <c r="DZ625" s="150"/>
      <c r="EA625" s="134"/>
      <c r="EB625" s="137">
        <f t="shared" si="294"/>
        <v>0</v>
      </c>
      <c r="EC625" s="138">
        <f t="shared" si="295"/>
        <v>0</v>
      </c>
      <c r="ED625" s="137">
        <f t="shared" si="296"/>
        <v>0</v>
      </c>
      <c r="EE625" s="132">
        <f t="shared" si="297"/>
        <v>0</v>
      </c>
      <c r="EF625" s="29"/>
      <c r="EG625" s="134"/>
      <c r="EH625" s="134"/>
      <c r="EI625" s="134"/>
      <c r="EK625" s="29"/>
    </row>
    <row r="626" spans="1:141" ht="15" customHeight="1" x14ac:dyDescent="0.25">
      <c r="A626" s="87"/>
      <c r="B626" s="5"/>
      <c r="C626" s="72"/>
      <c r="D626" s="73"/>
      <c r="E626" s="73"/>
      <c r="F626" s="141"/>
      <c r="G626" s="74"/>
      <c r="H626" s="75"/>
      <c r="I626" s="76"/>
      <c r="J626" s="135"/>
      <c r="K626" s="135"/>
      <c r="L626" s="77">
        <f t="shared" si="266"/>
        <v>0</v>
      </c>
      <c r="M626" s="78"/>
      <c r="N626" s="142"/>
      <c r="O626" s="142"/>
      <c r="P626" s="77">
        <f t="shared" si="267"/>
        <v>0</v>
      </c>
      <c r="Q626" s="78"/>
      <c r="R626" s="143"/>
      <c r="S626" s="143"/>
      <c r="T626" s="77">
        <f t="shared" si="268"/>
        <v>0</v>
      </c>
      <c r="U626" s="75"/>
      <c r="V626" s="76"/>
      <c r="W626" s="135"/>
      <c r="X626" s="135"/>
      <c r="Y626" s="77">
        <f t="shared" si="269"/>
        <v>0</v>
      </c>
      <c r="Z626" s="78"/>
      <c r="AA626" s="142"/>
      <c r="AB626" s="142"/>
      <c r="AC626" s="77">
        <f t="shared" si="270"/>
        <v>0</v>
      </c>
      <c r="AD626" s="78"/>
      <c r="AE626" s="143"/>
      <c r="AF626" s="143"/>
      <c r="AG626" s="79">
        <f t="shared" si="271"/>
        <v>0</v>
      </c>
      <c r="AH626" s="75"/>
      <c r="AI626" s="76"/>
      <c r="AJ626" s="135"/>
      <c r="AK626" s="135"/>
      <c r="AL626" s="77">
        <f t="shared" si="272"/>
        <v>0</v>
      </c>
      <c r="AM626" s="76"/>
      <c r="AN626" s="142"/>
      <c r="AO626" s="142"/>
      <c r="AP626" s="77">
        <f t="shared" si="273"/>
        <v>0</v>
      </c>
      <c r="AQ626" s="78"/>
      <c r="AR626" s="142"/>
      <c r="AS626" s="142"/>
      <c r="AT626" s="79">
        <f t="shared" si="274"/>
        <v>0</v>
      </c>
      <c r="AU626" s="75"/>
      <c r="AV626" s="76"/>
      <c r="AW626" s="135"/>
      <c r="AX626" s="135"/>
      <c r="AY626" s="77">
        <f t="shared" si="275"/>
        <v>0</v>
      </c>
      <c r="AZ626" s="76"/>
      <c r="BA626" s="142"/>
      <c r="BB626" s="142"/>
      <c r="BC626" s="77">
        <f t="shared" si="276"/>
        <v>0</v>
      </c>
      <c r="BD626" s="78"/>
      <c r="BE626" s="142"/>
      <c r="BF626" s="142"/>
      <c r="BG626" s="79">
        <f t="shared" si="277"/>
        <v>0</v>
      </c>
      <c r="BH626" s="75"/>
      <c r="BI626" s="76"/>
      <c r="BJ626" s="135"/>
      <c r="BK626" s="135"/>
      <c r="BL626" s="77">
        <f t="shared" si="278"/>
        <v>0</v>
      </c>
      <c r="BM626" s="78"/>
      <c r="BN626" s="142"/>
      <c r="BO626" s="142"/>
      <c r="BP626" s="77">
        <f t="shared" si="279"/>
        <v>0</v>
      </c>
      <c r="BQ626" s="78"/>
      <c r="BR626" s="142"/>
      <c r="BS626" s="142"/>
      <c r="BT626" s="79">
        <f t="shared" si="280"/>
        <v>0</v>
      </c>
      <c r="BU626" s="75"/>
      <c r="BV626" s="76"/>
      <c r="BW626" s="135"/>
      <c r="BX626" s="135"/>
      <c r="BY626" s="77">
        <f t="shared" si="281"/>
        <v>0</v>
      </c>
      <c r="BZ626" s="78"/>
      <c r="CA626" s="142"/>
      <c r="CB626" s="142"/>
      <c r="CC626" s="77">
        <f t="shared" si="282"/>
        <v>0</v>
      </c>
      <c r="CD626" s="78"/>
      <c r="CE626" s="142"/>
      <c r="CF626" s="142"/>
      <c r="CG626" s="79">
        <f t="shared" si="283"/>
        <v>0</v>
      </c>
      <c r="CH626" s="75"/>
      <c r="CI626" s="76"/>
      <c r="CJ626" s="86"/>
      <c r="CK626" s="86"/>
      <c r="CL626" s="77">
        <f t="shared" si="284"/>
        <v>0</v>
      </c>
      <c r="CM626" s="78"/>
      <c r="CN626" s="85"/>
      <c r="CO626" s="85"/>
      <c r="CP626" s="77">
        <f t="shared" si="285"/>
        <v>0</v>
      </c>
      <c r="CQ626" s="78"/>
      <c r="CR626" s="85"/>
      <c r="CS626" s="85"/>
      <c r="CT626" s="79">
        <f t="shared" si="286"/>
        <v>0</v>
      </c>
      <c r="CU626" s="80">
        <f t="shared" si="288"/>
        <v>0</v>
      </c>
      <c r="CV626" s="81">
        <f t="shared" si="289"/>
        <v>0</v>
      </c>
      <c r="CW626" s="144"/>
      <c r="CX626" s="145">
        <f>IF(ISERROR(VLOOKUP($A626,FIJOS!$B$11:$O$590,14,FALSE)),0,VLOOKUP($A626,FIJOS!$B$11:$O$590,14,FALSE))</f>
        <v>0</v>
      </c>
      <c r="CY626" s="145">
        <f>IF(ISERROR(VLOOKUP(A626,FIJOS!$B$10:$P$590,15,FALSE)),0,VLOOKUP(A626,FIJOS!$B$10:$P$590,15,FALSE))</f>
        <v>0</v>
      </c>
      <c r="CZ626" s="155"/>
      <c r="DA626" s="147"/>
      <c r="DB626" s="147"/>
      <c r="DC626" s="147"/>
      <c r="DD626" s="147"/>
      <c r="DE626" s="147"/>
      <c r="DF626" s="145">
        <f>IF(ISERROR(VLOOKUP($A626,FIJOS!$B$11:$N$590,13,FALSE)),0,VLOOKUP($A626,FIJOS!$B$11:$N$590,13,FALSE))</f>
        <v>0</v>
      </c>
      <c r="DG626" s="145">
        <f>IF(ISERROR(VLOOKUP($A626,FIJOS!$B$11:$P$447,12,FALSE)),0,VLOOKUP($A626,FIJOS!$B$11:$P$447,12,FALSE))</f>
        <v>0</v>
      </c>
      <c r="DH626" s="82">
        <f t="shared" si="290"/>
        <v>0</v>
      </c>
      <c r="DI626" s="83" t="b">
        <f>IF($C626=1,(VLOOKUP($A626,FIJOS!$B$11:$P$545,10,FALSE)/7)*(7-$CU626),IF(AND($C626=2,CV626&lt;$DJ$1),(VLOOKUP($D626,HORAS!$B$4:$C$42,2,FALSE)*24)*$CV626,IF(AND($C626=2,CV626&gt;=$DJ$1),VLOOKUP($D626,HORAS!$B$4:$D$42,3,FALSE),IF(AND($C626=3,$CV626&gt;=$DJ$1),VLOOKUP($A626,FIJOS!$B$11:$P$545,10,FALSE),IF(AND($C626=3,$CV626&lt;$DJ$1),((VLOOKUP($A626,FIJOS!$B$11:$P$545,10,FALSE)/48)*24)*$CV626,IF(AND($C626=4,$CV626&gt;=(42/24)),VLOOKUP($D626,HORAS!$B$4:$D$42,3,FALSE),IF(AND($C626=5,$CV626&gt;=(36/24)),VLOOKUP($D626,HORAS!$B$4:$D$42,3,FALSE))))))))</f>
        <v>0</v>
      </c>
      <c r="DJ626" s="145">
        <f>IF(OR($C626=2),VLOOKUP($D626,HORAS!$B$4:$E$42,4,FALSE)*$EC626,IF(ISERROR(VLOOKUP($A626,FIJOS!$B$11:$P$108,9,FALSE)),0,VLOOKUP($A626,FIJOS!$B$11:$P$231,9,FALSE)*$EC626))</f>
        <v>0</v>
      </c>
      <c r="DK626" s="145">
        <f>IF(OR($C626=2),VLOOKUP($D626,HORAS!$B$4:$F$42,5,FALSE)*$EE626,IF(ISERROR(VLOOKUP($A626,FIJOS!$B$11:$P$108,9,FALSE)),0,VLOOKUP($A626,FIJOS!$B$11:$P$231,9,FALSE)*$EE626))</f>
        <v>0</v>
      </c>
      <c r="DL626" s="144"/>
      <c r="DM626" s="145">
        <f>IF(ISERROR(VLOOKUP($A626,FIJOS!$B$11:$L$646,11,FALSE)),0,VLOOKUP($A626,FIJOS!$B$11:$L$646,11,FALSE))</f>
        <v>0</v>
      </c>
      <c r="DN626" s="148" t="e">
        <f>IF(OR($C626=1,$C626=3),0,IF((VLOOKUP(CAPTURA!D626,HORAS!$B$4:$K$42,10,FALSE)/4)*COUNTIF($H626:$CT626,3)&gt;100,100,(VLOOKUP(CAPTURA!D626,HORAS!$B$4:$K$42,10,FALSE)/4)*COUNTIF($H626:$CT626,3)))</f>
        <v>#N/A</v>
      </c>
      <c r="DO626" s="144" t="e">
        <f>IF(OR($C626=1,$C626=3),0,IF($C626=5,VLOOKUP(D626,HORAS!$B$4:$G$42,6,FALSE),IF(AND($C626=4,$CV626&gt;=(42/24)),VLOOKUP(D626,HORAS!$B$4:$G$42,6,FALSE),IF(COUNTIF($H626:$CL626,"F")&gt;0,0,IF(CV626&gt;$DJ$1,$DJ$1*(VLOOKUP(D626,HORAS!$B$4:$G$42,6,FALSE)/$DJ$1),CV626*(VLOOKUP(D626,HORAS!$B$4:$G$42,6,FALSE)/$DJ$1))))))</f>
        <v>#N/A</v>
      </c>
      <c r="DP626" s="156"/>
      <c r="DQ626" s="148"/>
      <c r="DR626" s="148"/>
      <c r="DS626" s="83" t="e">
        <f t="shared" si="287"/>
        <v>#N/A</v>
      </c>
      <c r="DT626" s="84"/>
      <c r="DU626" s="149" t="e">
        <f t="shared" si="291"/>
        <v>#N/A</v>
      </c>
      <c r="DV626" s="149" t="e">
        <f t="shared" si="292"/>
        <v>#N/A</v>
      </c>
      <c r="DW626" s="144" t="e">
        <f t="shared" si="293"/>
        <v>#N/A</v>
      </c>
      <c r="DX626" s="168"/>
      <c r="DY626" s="29"/>
      <c r="DZ626" s="150"/>
      <c r="EA626" s="134"/>
      <c r="EB626" s="137">
        <f t="shared" si="294"/>
        <v>0</v>
      </c>
      <c r="EC626" s="138">
        <f t="shared" si="295"/>
        <v>0</v>
      </c>
      <c r="ED626" s="137">
        <f t="shared" si="296"/>
        <v>0</v>
      </c>
      <c r="EE626" s="132">
        <f t="shared" si="297"/>
        <v>0</v>
      </c>
      <c r="EF626" s="29"/>
      <c r="EG626" s="134"/>
      <c r="EH626" s="134"/>
      <c r="EI626" s="134"/>
      <c r="EK626" s="29"/>
    </row>
    <row r="627" spans="1:141" ht="15" customHeight="1" x14ac:dyDescent="0.25">
      <c r="A627" s="87"/>
      <c r="B627" s="5"/>
      <c r="C627" s="72"/>
      <c r="D627" s="73"/>
      <c r="E627" s="73"/>
      <c r="F627" s="141"/>
      <c r="G627" s="74"/>
      <c r="H627" s="75"/>
      <c r="I627" s="76"/>
      <c r="J627" s="135"/>
      <c r="K627" s="135"/>
      <c r="L627" s="77">
        <f t="shared" si="266"/>
        <v>0</v>
      </c>
      <c r="M627" s="78"/>
      <c r="N627" s="142"/>
      <c r="O627" s="142"/>
      <c r="P627" s="77">
        <f t="shared" si="267"/>
        <v>0</v>
      </c>
      <c r="Q627" s="78"/>
      <c r="R627" s="143"/>
      <c r="S627" s="143"/>
      <c r="T627" s="77">
        <f t="shared" si="268"/>
        <v>0</v>
      </c>
      <c r="U627" s="75"/>
      <c r="V627" s="76"/>
      <c r="W627" s="135"/>
      <c r="X627" s="135"/>
      <c r="Y627" s="77">
        <f t="shared" si="269"/>
        <v>0</v>
      </c>
      <c r="Z627" s="78"/>
      <c r="AA627" s="142"/>
      <c r="AB627" s="142"/>
      <c r="AC627" s="77">
        <f t="shared" si="270"/>
        <v>0</v>
      </c>
      <c r="AD627" s="78"/>
      <c r="AE627" s="143"/>
      <c r="AF627" s="143"/>
      <c r="AG627" s="79">
        <f t="shared" si="271"/>
        <v>0</v>
      </c>
      <c r="AH627" s="75"/>
      <c r="AI627" s="76"/>
      <c r="AJ627" s="135"/>
      <c r="AK627" s="135"/>
      <c r="AL627" s="77">
        <f t="shared" si="272"/>
        <v>0</v>
      </c>
      <c r="AM627" s="76"/>
      <c r="AN627" s="142"/>
      <c r="AO627" s="142"/>
      <c r="AP627" s="77">
        <f t="shared" si="273"/>
        <v>0</v>
      </c>
      <c r="AQ627" s="78"/>
      <c r="AR627" s="142"/>
      <c r="AS627" s="142"/>
      <c r="AT627" s="79">
        <f t="shared" si="274"/>
        <v>0</v>
      </c>
      <c r="AU627" s="75"/>
      <c r="AV627" s="76"/>
      <c r="AW627" s="135"/>
      <c r="AX627" s="135"/>
      <c r="AY627" s="77">
        <f t="shared" si="275"/>
        <v>0</v>
      </c>
      <c r="AZ627" s="76"/>
      <c r="BA627" s="142"/>
      <c r="BB627" s="142"/>
      <c r="BC627" s="77">
        <f t="shared" si="276"/>
        <v>0</v>
      </c>
      <c r="BD627" s="78"/>
      <c r="BE627" s="142"/>
      <c r="BF627" s="142"/>
      <c r="BG627" s="79">
        <f t="shared" si="277"/>
        <v>0</v>
      </c>
      <c r="BH627" s="75"/>
      <c r="BI627" s="76"/>
      <c r="BJ627" s="135"/>
      <c r="BK627" s="135"/>
      <c r="BL627" s="77">
        <f t="shared" si="278"/>
        <v>0</v>
      </c>
      <c r="BM627" s="78"/>
      <c r="BN627" s="142"/>
      <c r="BO627" s="142"/>
      <c r="BP627" s="77">
        <f t="shared" si="279"/>
        <v>0</v>
      </c>
      <c r="BQ627" s="78"/>
      <c r="BR627" s="142"/>
      <c r="BS627" s="142"/>
      <c r="BT627" s="79">
        <f t="shared" si="280"/>
        <v>0</v>
      </c>
      <c r="BU627" s="75"/>
      <c r="BV627" s="76"/>
      <c r="BW627" s="135"/>
      <c r="BX627" s="135"/>
      <c r="BY627" s="77">
        <f t="shared" si="281"/>
        <v>0</v>
      </c>
      <c r="BZ627" s="78"/>
      <c r="CA627" s="142"/>
      <c r="CB627" s="142"/>
      <c r="CC627" s="77">
        <f t="shared" si="282"/>
        <v>0</v>
      </c>
      <c r="CD627" s="78"/>
      <c r="CE627" s="142"/>
      <c r="CF627" s="142"/>
      <c r="CG627" s="79">
        <f t="shared" si="283"/>
        <v>0</v>
      </c>
      <c r="CH627" s="75"/>
      <c r="CI627" s="76"/>
      <c r="CJ627" s="86"/>
      <c r="CK627" s="86"/>
      <c r="CL627" s="77">
        <f t="shared" si="284"/>
        <v>0</v>
      </c>
      <c r="CM627" s="78"/>
      <c r="CN627" s="85"/>
      <c r="CO627" s="85"/>
      <c r="CP627" s="77">
        <f t="shared" si="285"/>
        <v>0</v>
      </c>
      <c r="CQ627" s="78"/>
      <c r="CR627" s="85"/>
      <c r="CS627" s="85"/>
      <c r="CT627" s="79">
        <f t="shared" si="286"/>
        <v>0</v>
      </c>
      <c r="CU627" s="80">
        <f t="shared" si="288"/>
        <v>0</v>
      </c>
      <c r="CV627" s="81">
        <f t="shared" si="289"/>
        <v>0</v>
      </c>
      <c r="CW627" s="144"/>
      <c r="CX627" s="145">
        <f>IF(ISERROR(VLOOKUP($A627,FIJOS!$B$11:$O$590,14,FALSE)),0,VLOOKUP($A627,FIJOS!$B$11:$O$590,14,FALSE))</f>
        <v>0</v>
      </c>
      <c r="CY627" s="145">
        <f>IF(ISERROR(VLOOKUP(A627,FIJOS!$B$10:$P$590,15,FALSE)),0,VLOOKUP(A627,FIJOS!$B$10:$P$590,15,FALSE))</f>
        <v>0</v>
      </c>
      <c r="CZ627" s="155"/>
      <c r="DA627" s="147"/>
      <c r="DB627" s="147"/>
      <c r="DC627" s="147"/>
      <c r="DD627" s="147"/>
      <c r="DE627" s="147"/>
      <c r="DF627" s="145">
        <f>IF(ISERROR(VLOOKUP($A627,FIJOS!$B$11:$N$590,13,FALSE)),0,VLOOKUP($A627,FIJOS!$B$11:$N$590,13,FALSE))</f>
        <v>0</v>
      </c>
      <c r="DG627" s="145">
        <f>IF(ISERROR(VLOOKUP($A627,FIJOS!$B$11:$P$447,12,FALSE)),0,VLOOKUP($A627,FIJOS!$B$11:$P$447,12,FALSE))</f>
        <v>0</v>
      </c>
      <c r="DH627" s="82">
        <f t="shared" si="290"/>
        <v>0</v>
      </c>
      <c r="DI627" s="83" t="b">
        <f>IF($C627=1,(VLOOKUP($A627,FIJOS!$B$11:$P$545,10,FALSE)/7)*(7-$CU627),IF(AND($C627=2,CV627&lt;$DJ$1),(VLOOKUP($D627,HORAS!$B$4:$C$42,2,FALSE)*24)*$CV627,IF(AND($C627=2,CV627&gt;=$DJ$1),VLOOKUP($D627,HORAS!$B$4:$D$42,3,FALSE),IF(AND($C627=3,$CV627&gt;=$DJ$1),VLOOKUP($A627,FIJOS!$B$11:$P$545,10,FALSE),IF(AND($C627=3,$CV627&lt;$DJ$1),((VLOOKUP($A627,FIJOS!$B$11:$P$545,10,FALSE)/48)*24)*$CV627,IF(AND($C627=4,$CV627&gt;=(42/24)),VLOOKUP($D627,HORAS!$B$4:$D$42,3,FALSE),IF(AND($C627=5,$CV627&gt;=(36/24)),VLOOKUP($D627,HORAS!$B$4:$D$42,3,FALSE))))))))</f>
        <v>0</v>
      </c>
      <c r="DJ627" s="145">
        <f>IF(OR($C627=2),VLOOKUP($D627,HORAS!$B$4:$E$42,4,FALSE)*$EC627,IF(ISERROR(VLOOKUP($A627,FIJOS!$B$11:$P$108,9,FALSE)),0,VLOOKUP($A627,FIJOS!$B$11:$P$231,9,FALSE)*$EC627))</f>
        <v>0</v>
      </c>
      <c r="DK627" s="145">
        <f>IF(OR($C627=2),VLOOKUP($D627,HORAS!$B$4:$F$42,5,FALSE)*$EE627,IF(ISERROR(VLOOKUP($A627,FIJOS!$B$11:$P$108,9,FALSE)),0,VLOOKUP($A627,FIJOS!$B$11:$P$231,9,FALSE)*$EE627))</f>
        <v>0</v>
      </c>
      <c r="DL627" s="144"/>
      <c r="DM627" s="145">
        <f>IF(ISERROR(VLOOKUP($A627,FIJOS!$B$11:$L$646,11,FALSE)),0,VLOOKUP($A627,FIJOS!$B$11:$L$646,11,FALSE))</f>
        <v>0</v>
      </c>
      <c r="DN627" s="148" t="e">
        <f>IF(OR($C627=1,$C627=3),0,IF((VLOOKUP(CAPTURA!D627,HORAS!$B$4:$K$42,10,FALSE)/4)*COUNTIF($H627:$CT627,3)&gt;100,100,(VLOOKUP(CAPTURA!D627,HORAS!$B$4:$K$42,10,FALSE)/4)*COUNTIF($H627:$CT627,3)))</f>
        <v>#N/A</v>
      </c>
      <c r="DO627" s="144" t="e">
        <f>IF(OR($C627=1,$C627=3),0,IF($C627=5,VLOOKUP(D627,HORAS!$B$4:$G$42,6,FALSE),IF(AND($C627=4,$CV627&gt;=(42/24)),VLOOKUP(D627,HORAS!$B$4:$G$42,6,FALSE),IF(COUNTIF($H627:$CL627,"F")&gt;0,0,IF(CV627&gt;$DJ$1,$DJ$1*(VLOOKUP(D627,HORAS!$B$4:$G$42,6,FALSE)/$DJ$1),CV627*(VLOOKUP(D627,HORAS!$B$4:$G$42,6,FALSE)/$DJ$1))))))</f>
        <v>#N/A</v>
      </c>
      <c r="DP627" s="156"/>
      <c r="DQ627" s="148"/>
      <c r="DR627" s="148"/>
      <c r="DS627" s="83" t="e">
        <f t="shared" si="287"/>
        <v>#N/A</v>
      </c>
      <c r="DT627" s="84"/>
      <c r="DU627" s="149" t="e">
        <f t="shared" si="291"/>
        <v>#N/A</v>
      </c>
      <c r="DV627" s="149" t="e">
        <f t="shared" si="292"/>
        <v>#N/A</v>
      </c>
      <c r="DW627" s="144" t="e">
        <f t="shared" si="293"/>
        <v>#N/A</v>
      </c>
      <c r="DX627" s="168"/>
      <c r="DY627" s="29"/>
      <c r="DZ627" s="150"/>
      <c r="EA627" s="134"/>
      <c r="EB627" s="137">
        <f t="shared" si="294"/>
        <v>0</v>
      </c>
      <c r="EC627" s="138">
        <f t="shared" si="295"/>
        <v>0</v>
      </c>
      <c r="ED627" s="137">
        <f t="shared" si="296"/>
        <v>0</v>
      </c>
      <c r="EE627" s="132">
        <f t="shared" si="297"/>
        <v>0</v>
      </c>
      <c r="EF627" s="29"/>
      <c r="EG627" s="134"/>
      <c r="EH627" s="134"/>
      <c r="EI627" s="134"/>
      <c r="EK627" s="29"/>
    </row>
    <row r="628" spans="1:141" ht="15" customHeight="1" x14ac:dyDescent="0.25">
      <c r="A628" s="87"/>
      <c r="B628" s="5"/>
      <c r="C628" s="72"/>
      <c r="D628" s="73"/>
      <c r="E628" s="73"/>
      <c r="F628" s="141"/>
      <c r="G628" s="74"/>
      <c r="H628" s="75"/>
      <c r="I628" s="76"/>
      <c r="J628" s="135"/>
      <c r="K628" s="135"/>
      <c r="L628" s="77">
        <f t="shared" si="266"/>
        <v>0</v>
      </c>
      <c r="M628" s="78"/>
      <c r="N628" s="142"/>
      <c r="O628" s="142"/>
      <c r="P628" s="77">
        <f t="shared" si="267"/>
        <v>0</v>
      </c>
      <c r="Q628" s="78"/>
      <c r="R628" s="143"/>
      <c r="S628" s="143"/>
      <c r="T628" s="77">
        <f t="shared" si="268"/>
        <v>0</v>
      </c>
      <c r="U628" s="75"/>
      <c r="V628" s="76"/>
      <c r="W628" s="135"/>
      <c r="X628" s="135"/>
      <c r="Y628" s="77">
        <f t="shared" si="269"/>
        <v>0</v>
      </c>
      <c r="Z628" s="78"/>
      <c r="AA628" s="142"/>
      <c r="AB628" s="142"/>
      <c r="AC628" s="77">
        <f t="shared" si="270"/>
        <v>0</v>
      </c>
      <c r="AD628" s="78"/>
      <c r="AE628" s="143"/>
      <c r="AF628" s="143"/>
      <c r="AG628" s="79">
        <f t="shared" si="271"/>
        <v>0</v>
      </c>
      <c r="AH628" s="75"/>
      <c r="AI628" s="76"/>
      <c r="AJ628" s="135"/>
      <c r="AK628" s="135"/>
      <c r="AL628" s="77">
        <f t="shared" si="272"/>
        <v>0</v>
      </c>
      <c r="AM628" s="76"/>
      <c r="AN628" s="142"/>
      <c r="AO628" s="142"/>
      <c r="AP628" s="77">
        <f t="shared" si="273"/>
        <v>0</v>
      </c>
      <c r="AQ628" s="78"/>
      <c r="AR628" s="142"/>
      <c r="AS628" s="142"/>
      <c r="AT628" s="79">
        <f t="shared" si="274"/>
        <v>0</v>
      </c>
      <c r="AU628" s="75"/>
      <c r="AV628" s="76"/>
      <c r="AW628" s="135"/>
      <c r="AX628" s="135"/>
      <c r="AY628" s="77">
        <f t="shared" si="275"/>
        <v>0</v>
      </c>
      <c r="AZ628" s="76"/>
      <c r="BA628" s="142"/>
      <c r="BB628" s="142"/>
      <c r="BC628" s="77">
        <f t="shared" si="276"/>
        <v>0</v>
      </c>
      <c r="BD628" s="78"/>
      <c r="BE628" s="142"/>
      <c r="BF628" s="142"/>
      <c r="BG628" s="79">
        <f t="shared" si="277"/>
        <v>0</v>
      </c>
      <c r="BH628" s="75"/>
      <c r="BI628" s="76"/>
      <c r="BJ628" s="135"/>
      <c r="BK628" s="135"/>
      <c r="BL628" s="77">
        <f t="shared" si="278"/>
        <v>0</v>
      </c>
      <c r="BM628" s="78"/>
      <c r="BN628" s="142"/>
      <c r="BO628" s="142"/>
      <c r="BP628" s="77">
        <f t="shared" si="279"/>
        <v>0</v>
      </c>
      <c r="BQ628" s="78"/>
      <c r="BR628" s="142"/>
      <c r="BS628" s="142"/>
      <c r="BT628" s="79">
        <f t="shared" si="280"/>
        <v>0</v>
      </c>
      <c r="BU628" s="75"/>
      <c r="BV628" s="76"/>
      <c r="BW628" s="135"/>
      <c r="BX628" s="135"/>
      <c r="BY628" s="77">
        <f t="shared" si="281"/>
        <v>0</v>
      </c>
      <c r="BZ628" s="78"/>
      <c r="CA628" s="142"/>
      <c r="CB628" s="142"/>
      <c r="CC628" s="77">
        <f t="shared" si="282"/>
        <v>0</v>
      </c>
      <c r="CD628" s="78"/>
      <c r="CE628" s="142"/>
      <c r="CF628" s="142"/>
      <c r="CG628" s="79">
        <f t="shared" si="283"/>
        <v>0</v>
      </c>
      <c r="CH628" s="75"/>
      <c r="CI628" s="76"/>
      <c r="CJ628" s="86"/>
      <c r="CK628" s="86"/>
      <c r="CL628" s="77">
        <f t="shared" si="284"/>
        <v>0</v>
      </c>
      <c r="CM628" s="78"/>
      <c r="CN628" s="85"/>
      <c r="CO628" s="85"/>
      <c r="CP628" s="77">
        <f t="shared" si="285"/>
        <v>0</v>
      </c>
      <c r="CQ628" s="78"/>
      <c r="CR628" s="85"/>
      <c r="CS628" s="85"/>
      <c r="CT628" s="79">
        <f t="shared" si="286"/>
        <v>0</v>
      </c>
      <c r="CU628" s="80">
        <f t="shared" si="288"/>
        <v>0</v>
      </c>
      <c r="CV628" s="81">
        <f t="shared" si="289"/>
        <v>0</v>
      </c>
      <c r="CW628" s="144"/>
      <c r="CX628" s="145">
        <f>IF(ISERROR(VLOOKUP($A628,FIJOS!$B$11:$O$590,14,FALSE)),0,VLOOKUP($A628,FIJOS!$B$11:$O$590,14,FALSE))</f>
        <v>0</v>
      </c>
      <c r="CY628" s="145">
        <f>IF(ISERROR(VLOOKUP(A628,FIJOS!$B$10:$P$590,15,FALSE)),0,VLOOKUP(A628,FIJOS!$B$10:$P$590,15,FALSE))</f>
        <v>0</v>
      </c>
      <c r="CZ628" s="155"/>
      <c r="DA628" s="147"/>
      <c r="DB628" s="147"/>
      <c r="DC628" s="147"/>
      <c r="DD628" s="147"/>
      <c r="DE628" s="147"/>
      <c r="DF628" s="145">
        <f>IF(ISERROR(VLOOKUP($A628,FIJOS!$B$11:$N$590,13,FALSE)),0,VLOOKUP($A628,FIJOS!$B$11:$N$590,13,FALSE))</f>
        <v>0</v>
      </c>
      <c r="DG628" s="145">
        <f>IF(ISERROR(VLOOKUP($A628,FIJOS!$B$11:$P$447,12,FALSE)),0,VLOOKUP($A628,FIJOS!$B$11:$P$447,12,FALSE))</f>
        <v>0</v>
      </c>
      <c r="DH628" s="82">
        <f t="shared" si="290"/>
        <v>0</v>
      </c>
      <c r="DI628" s="83" t="b">
        <f>IF($C628=1,(VLOOKUP($A628,FIJOS!$B$11:$P$545,10,FALSE)/7)*(7-$CU628),IF(AND($C628=2,CV628&lt;$DJ$1),(VLOOKUP($D628,HORAS!$B$4:$C$42,2,FALSE)*24)*$CV628,IF(AND($C628=2,CV628&gt;=$DJ$1),VLOOKUP($D628,HORAS!$B$4:$D$42,3,FALSE),IF(AND($C628=3,$CV628&gt;=$DJ$1),VLOOKUP($A628,FIJOS!$B$11:$P$545,10,FALSE),IF(AND($C628=3,$CV628&lt;$DJ$1),((VLOOKUP($A628,FIJOS!$B$11:$P$545,10,FALSE)/48)*24)*$CV628,IF(AND($C628=4,$CV628&gt;=(42/24)),VLOOKUP($D628,HORAS!$B$4:$D$42,3,FALSE),IF(AND($C628=5,$CV628&gt;=(36/24)),VLOOKUP($D628,HORAS!$B$4:$D$42,3,FALSE))))))))</f>
        <v>0</v>
      </c>
      <c r="DJ628" s="145">
        <f>IF(OR($C628=2),VLOOKUP($D628,HORAS!$B$4:$E$42,4,FALSE)*$EC628,IF(ISERROR(VLOOKUP($A628,FIJOS!$B$11:$P$108,9,FALSE)),0,VLOOKUP($A628,FIJOS!$B$11:$P$231,9,FALSE)*$EC628))</f>
        <v>0</v>
      </c>
      <c r="DK628" s="145">
        <f>IF(OR($C628=2),VLOOKUP($D628,HORAS!$B$4:$F$42,5,FALSE)*$EE628,IF(ISERROR(VLOOKUP($A628,FIJOS!$B$11:$P$108,9,FALSE)),0,VLOOKUP($A628,FIJOS!$B$11:$P$231,9,FALSE)*$EE628))</f>
        <v>0</v>
      </c>
      <c r="DL628" s="144"/>
      <c r="DM628" s="145">
        <f>IF(ISERROR(VLOOKUP($A628,FIJOS!$B$11:$L$646,11,FALSE)),0,VLOOKUP($A628,FIJOS!$B$11:$L$646,11,FALSE))</f>
        <v>0</v>
      </c>
      <c r="DN628" s="148" t="e">
        <f>IF(OR($C628=1,$C628=3),0,IF((VLOOKUP(CAPTURA!D628,HORAS!$B$4:$K$42,10,FALSE)/4)*COUNTIF($H628:$CT628,3)&gt;100,100,(VLOOKUP(CAPTURA!D628,HORAS!$B$4:$K$42,10,FALSE)/4)*COUNTIF($H628:$CT628,3)))</f>
        <v>#N/A</v>
      </c>
      <c r="DO628" s="144" t="e">
        <f>IF(OR($C628=1,$C628=3),0,IF($C628=5,VLOOKUP(D628,HORAS!$B$4:$G$42,6,FALSE),IF(AND($C628=4,$CV628&gt;=(42/24)),VLOOKUP(D628,HORAS!$B$4:$G$42,6,FALSE),IF(COUNTIF($H628:$CL628,"F")&gt;0,0,IF(CV628&gt;$DJ$1,$DJ$1*(VLOOKUP(D628,HORAS!$B$4:$G$42,6,FALSE)/$DJ$1),CV628*(VLOOKUP(D628,HORAS!$B$4:$G$42,6,FALSE)/$DJ$1))))))</f>
        <v>#N/A</v>
      </c>
      <c r="DP628" s="156"/>
      <c r="DQ628" s="148"/>
      <c r="DR628" s="148"/>
      <c r="DS628" s="83" t="e">
        <f t="shared" si="287"/>
        <v>#N/A</v>
      </c>
      <c r="DT628" s="84"/>
      <c r="DU628" s="149" t="e">
        <f t="shared" si="291"/>
        <v>#N/A</v>
      </c>
      <c r="DV628" s="149" t="e">
        <f t="shared" si="292"/>
        <v>#N/A</v>
      </c>
      <c r="DW628" s="144" t="e">
        <f t="shared" si="293"/>
        <v>#N/A</v>
      </c>
      <c r="DX628" s="168"/>
      <c r="DY628" s="29"/>
      <c r="DZ628" s="150"/>
      <c r="EA628" s="134"/>
      <c r="EB628" s="137">
        <f t="shared" si="294"/>
        <v>0</v>
      </c>
      <c r="EC628" s="138">
        <f t="shared" si="295"/>
        <v>0</v>
      </c>
      <c r="ED628" s="137">
        <f t="shared" si="296"/>
        <v>0</v>
      </c>
      <c r="EE628" s="132">
        <f t="shared" si="297"/>
        <v>0</v>
      </c>
      <c r="EF628" s="29"/>
      <c r="EG628" s="134"/>
      <c r="EH628" s="134"/>
      <c r="EI628" s="134"/>
      <c r="EK628" s="29"/>
    </row>
    <row r="629" spans="1:141" ht="15" customHeight="1" x14ac:dyDescent="0.25">
      <c r="A629" s="87"/>
      <c r="B629" s="5"/>
      <c r="C629" s="72"/>
      <c r="D629" s="73"/>
      <c r="E629" s="73"/>
      <c r="F629" s="141"/>
      <c r="G629" s="74"/>
      <c r="H629" s="75"/>
      <c r="I629" s="76"/>
      <c r="J629" s="135"/>
      <c r="K629" s="135"/>
      <c r="L629" s="77">
        <f t="shared" si="266"/>
        <v>0</v>
      </c>
      <c r="M629" s="78"/>
      <c r="N629" s="142"/>
      <c r="O629" s="142"/>
      <c r="P629" s="77">
        <f t="shared" si="267"/>
        <v>0</v>
      </c>
      <c r="Q629" s="78"/>
      <c r="R629" s="143"/>
      <c r="S629" s="143"/>
      <c r="T629" s="77">
        <f t="shared" si="268"/>
        <v>0</v>
      </c>
      <c r="U629" s="75"/>
      <c r="V629" s="76"/>
      <c r="W629" s="135"/>
      <c r="X629" s="135"/>
      <c r="Y629" s="77">
        <f t="shared" si="269"/>
        <v>0</v>
      </c>
      <c r="Z629" s="78"/>
      <c r="AA629" s="142"/>
      <c r="AB629" s="142"/>
      <c r="AC629" s="77">
        <f t="shared" si="270"/>
        <v>0</v>
      </c>
      <c r="AD629" s="78"/>
      <c r="AE629" s="143"/>
      <c r="AF629" s="143"/>
      <c r="AG629" s="79">
        <f t="shared" si="271"/>
        <v>0</v>
      </c>
      <c r="AH629" s="75"/>
      <c r="AI629" s="76"/>
      <c r="AJ629" s="135"/>
      <c r="AK629" s="135"/>
      <c r="AL629" s="77">
        <f t="shared" si="272"/>
        <v>0</v>
      </c>
      <c r="AM629" s="76"/>
      <c r="AN629" s="142"/>
      <c r="AO629" s="142"/>
      <c r="AP629" s="77">
        <f t="shared" si="273"/>
        <v>0</v>
      </c>
      <c r="AQ629" s="78"/>
      <c r="AR629" s="142"/>
      <c r="AS629" s="142"/>
      <c r="AT629" s="79">
        <f t="shared" si="274"/>
        <v>0</v>
      </c>
      <c r="AU629" s="75"/>
      <c r="AV629" s="76"/>
      <c r="AW629" s="135"/>
      <c r="AX629" s="135"/>
      <c r="AY629" s="77">
        <f t="shared" si="275"/>
        <v>0</v>
      </c>
      <c r="AZ629" s="76"/>
      <c r="BA629" s="142"/>
      <c r="BB629" s="142"/>
      <c r="BC629" s="77">
        <f t="shared" si="276"/>
        <v>0</v>
      </c>
      <c r="BD629" s="78"/>
      <c r="BE629" s="142"/>
      <c r="BF629" s="142"/>
      <c r="BG629" s="79">
        <f t="shared" si="277"/>
        <v>0</v>
      </c>
      <c r="BH629" s="75"/>
      <c r="BI629" s="76"/>
      <c r="BJ629" s="135"/>
      <c r="BK629" s="135"/>
      <c r="BL629" s="77">
        <f t="shared" si="278"/>
        <v>0</v>
      </c>
      <c r="BM629" s="78"/>
      <c r="BN629" s="142"/>
      <c r="BO629" s="142"/>
      <c r="BP629" s="77">
        <f t="shared" si="279"/>
        <v>0</v>
      </c>
      <c r="BQ629" s="78"/>
      <c r="BR629" s="142"/>
      <c r="BS629" s="142"/>
      <c r="BT629" s="79">
        <f t="shared" si="280"/>
        <v>0</v>
      </c>
      <c r="BU629" s="75"/>
      <c r="BV629" s="76"/>
      <c r="BW629" s="135"/>
      <c r="BX629" s="135"/>
      <c r="BY629" s="77">
        <f t="shared" si="281"/>
        <v>0</v>
      </c>
      <c r="BZ629" s="78"/>
      <c r="CA629" s="142"/>
      <c r="CB629" s="142"/>
      <c r="CC629" s="77">
        <f t="shared" si="282"/>
        <v>0</v>
      </c>
      <c r="CD629" s="78"/>
      <c r="CE629" s="142"/>
      <c r="CF629" s="142"/>
      <c r="CG629" s="79">
        <f t="shared" si="283"/>
        <v>0</v>
      </c>
      <c r="CH629" s="75"/>
      <c r="CI629" s="76"/>
      <c r="CJ629" s="86"/>
      <c r="CK629" s="86"/>
      <c r="CL629" s="77">
        <f t="shared" si="284"/>
        <v>0</v>
      </c>
      <c r="CM629" s="78"/>
      <c r="CN629" s="85"/>
      <c r="CO629" s="85"/>
      <c r="CP629" s="77">
        <f t="shared" si="285"/>
        <v>0</v>
      </c>
      <c r="CQ629" s="78"/>
      <c r="CR629" s="85"/>
      <c r="CS629" s="85"/>
      <c r="CT629" s="79">
        <f t="shared" si="286"/>
        <v>0</v>
      </c>
      <c r="CU629" s="80">
        <f t="shared" si="288"/>
        <v>0</v>
      </c>
      <c r="CV629" s="81">
        <f t="shared" si="289"/>
        <v>0</v>
      </c>
      <c r="CW629" s="144"/>
      <c r="CX629" s="145">
        <f>IF(ISERROR(VLOOKUP($A629,FIJOS!$B$11:$O$590,14,FALSE)),0,VLOOKUP($A629,FIJOS!$B$11:$O$590,14,FALSE))</f>
        <v>0</v>
      </c>
      <c r="CY629" s="145">
        <f>IF(ISERROR(VLOOKUP(A629,FIJOS!$B$10:$P$590,15,FALSE)),0,VLOOKUP(A629,FIJOS!$B$10:$P$590,15,FALSE))</f>
        <v>0</v>
      </c>
      <c r="CZ629" s="155"/>
      <c r="DA629" s="147"/>
      <c r="DB629" s="147"/>
      <c r="DC629" s="147"/>
      <c r="DD629" s="147"/>
      <c r="DE629" s="147"/>
      <c r="DF629" s="145">
        <f>IF(ISERROR(VLOOKUP($A629,FIJOS!$B$11:$N$590,13,FALSE)),0,VLOOKUP($A629,FIJOS!$B$11:$N$590,13,FALSE))</f>
        <v>0</v>
      </c>
      <c r="DG629" s="145">
        <f>IF(ISERROR(VLOOKUP($A629,FIJOS!$B$11:$P$447,12,FALSE)),0,VLOOKUP($A629,FIJOS!$B$11:$P$447,12,FALSE))</f>
        <v>0</v>
      </c>
      <c r="DH629" s="82">
        <f t="shared" si="290"/>
        <v>0</v>
      </c>
      <c r="DI629" s="83" t="b">
        <f>IF($C629=1,(VLOOKUP($A629,FIJOS!$B$11:$P$545,10,FALSE)/7)*(7-$CU629),IF(AND($C629=2,CV629&lt;$DJ$1),(VLOOKUP($D629,HORAS!$B$4:$C$42,2,FALSE)*24)*$CV629,IF(AND($C629=2,CV629&gt;=$DJ$1),VLOOKUP($D629,HORAS!$B$4:$D$42,3,FALSE),IF(AND($C629=3,$CV629&gt;=$DJ$1),VLOOKUP($A629,FIJOS!$B$11:$P$545,10,FALSE),IF(AND($C629=3,$CV629&lt;$DJ$1),((VLOOKUP($A629,FIJOS!$B$11:$P$545,10,FALSE)/48)*24)*$CV629,IF(AND($C629=4,$CV629&gt;=(42/24)),VLOOKUP($D629,HORAS!$B$4:$D$42,3,FALSE),IF(AND($C629=5,$CV629&gt;=(36/24)),VLOOKUP($D629,HORAS!$B$4:$D$42,3,FALSE))))))))</f>
        <v>0</v>
      </c>
      <c r="DJ629" s="145">
        <f>IF(OR($C629=2),VLOOKUP($D629,HORAS!$B$4:$E$42,4,FALSE)*$EC629,IF(ISERROR(VLOOKUP($A629,FIJOS!$B$11:$P$108,9,FALSE)),0,VLOOKUP($A629,FIJOS!$B$11:$P$231,9,FALSE)*$EC629))</f>
        <v>0</v>
      </c>
      <c r="DK629" s="145">
        <f>IF(OR($C629=2),VLOOKUP($D629,HORAS!$B$4:$F$42,5,FALSE)*$EE629,IF(ISERROR(VLOOKUP($A629,FIJOS!$B$11:$P$108,9,FALSE)),0,VLOOKUP($A629,FIJOS!$B$11:$P$231,9,FALSE)*$EE629))</f>
        <v>0</v>
      </c>
      <c r="DL629" s="144"/>
      <c r="DM629" s="145">
        <f>IF(ISERROR(VLOOKUP($A629,FIJOS!$B$11:$L$646,11,FALSE)),0,VLOOKUP($A629,FIJOS!$B$11:$L$646,11,FALSE))</f>
        <v>0</v>
      </c>
      <c r="DN629" s="148" t="e">
        <f>IF(OR($C629=1,$C629=3),0,IF((VLOOKUP(CAPTURA!D629,HORAS!$B$4:$K$42,10,FALSE)/4)*COUNTIF($H629:$CT629,3)&gt;100,100,(VLOOKUP(CAPTURA!D629,HORAS!$B$4:$K$42,10,FALSE)/4)*COUNTIF($H629:$CT629,3)))</f>
        <v>#N/A</v>
      </c>
      <c r="DO629" s="144" t="e">
        <f>IF(OR($C629=1,$C629=3),0,IF($C629=5,VLOOKUP(D629,HORAS!$B$4:$G$42,6,FALSE),IF(AND($C629=4,$CV629&gt;=(42/24)),VLOOKUP(D629,HORAS!$B$4:$G$42,6,FALSE),IF(COUNTIF($H629:$CL629,"F")&gt;0,0,IF(CV629&gt;$DJ$1,$DJ$1*(VLOOKUP(D629,HORAS!$B$4:$G$42,6,FALSE)/$DJ$1),CV629*(VLOOKUP(D629,HORAS!$B$4:$G$42,6,FALSE)/$DJ$1))))))</f>
        <v>#N/A</v>
      </c>
      <c r="DP629" s="156"/>
      <c r="DQ629" s="148"/>
      <c r="DR629" s="148"/>
      <c r="DS629" s="83" t="e">
        <f t="shared" si="287"/>
        <v>#N/A</v>
      </c>
      <c r="DT629" s="84"/>
      <c r="DU629" s="149" t="e">
        <f t="shared" si="291"/>
        <v>#N/A</v>
      </c>
      <c r="DV629" s="149" t="e">
        <f t="shared" si="292"/>
        <v>#N/A</v>
      </c>
      <c r="DW629" s="144" t="e">
        <f t="shared" si="293"/>
        <v>#N/A</v>
      </c>
      <c r="DX629" s="168"/>
      <c r="DY629" s="29"/>
      <c r="DZ629" s="150"/>
      <c r="EA629" s="134"/>
      <c r="EB629" s="137">
        <f t="shared" si="294"/>
        <v>0</v>
      </c>
      <c r="EC629" s="138">
        <f t="shared" si="295"/>
        <v>0</v>
      </c>
      <c r="ED629" s="137">
        <f t="shared" si="296"/>
        <v>0</v>
      </c>
      <c r="EE629" s="132">
        <f t="shared" si="297"/>
        <v>0</v>
      </c>
      <c r="EF629" s="29"/>
      <c r="EG629" s="134"/>
      <c r="EH629" s="134"/>
      <c r="EI629" s="134"/>
      <c r="EK629" s="29"/>
    </row>
    <row r="630" spans="1:141" ht="15" customHeight="1" x14ac:dyDescent="0.25">
      <c r="A630" s="87"/>
      <c r="B630" s="5"/>
      <c r="C630" s="72"/>
      <c r="D630" s="73"/>
      <c r="E630" s="73"/>
      <c r="F630" s="141"/>
      <c r="G630" s="74"/>
      <c r="H630" s="75"/>
      <c r="I630" s="76"/>
      <c r="J630" s="135"/>
      <c r="K630" s="135"/>
      <c r="L630" s="77">
        <f t="shared" si="266"/>
        <v>0</v>
      </c>
      <c r="M630" s="78"/>
      <c r="N630" s="142"/>
      <c r="O630" s="142"/>
      <c r="P630" s="77">
        <f t="shared" si="267"/>
        <v>0</v>
      </c>
      <c r="Q630" s="78"/>
      <c r="R630" s="143"/>
      <c r="S630" s="143"/>
      <c r="T630" s="77">
        <f t="shared" si="268"/>
        <v>0</v>
      </c>
      <c r="U630" s="75"/>
      <c r="V630" s="76"/>
      <c r="W630" s="135"/>
      <c r="X630" s="135"/>
      <c r="Y630" s="77">
        <f t="shared" si="269"/>
        <v>0</v>
      </c>
      <c r="Z630" s="78"/>
      <c r="AA630" s="142"/>
      <c r="AB630" s="142"/>
      <c r="AC630" s="77">
        <f t="shared" si="270"/>
        <v>0</v>
      </c>
      <c r="AD630" s="78"/>
      <c r="AE630" s="143"/>
      <c r="AF630" s="143"/>
      <c r="AG630" s="79">
        <f t="shared" si="271"/>
        <v>0</v>
      </c>
      <c r="AH630" s="75"/>
      <c r="AI630" s="76"/>
      <c r="AJ630" s="135"/>
      <c r="AK630" s="135"/>
      <c r="AL630" s="77">
        <f t="shared" si="272"/>
        <v>0</v>
      </c>
      <c r="AM630" s="76"/>
      <c r="AN630" s="142"/>
      <c r="AO630" s="142"/>
      <c r="AP630" s="77">
        <f t="shared" si="273"/>
        <v>0</v>
      </c>
      <c r="AQ630" s="78"/>
      <c r="AR630" s="142"/>
      <c r="AS630" s="142"/>
      <c r="AT630" s="79">
        <f t="shared" si="274"/>
        <v>0</v>
      </c>
      <c r="AU630" s="75"/>
      <c r="AV630" s="76"/>
      <c r="AW630" s="135"/>
      <c r="AX630" s="135"/>
      <c r="AY630" s="77">
        <f t="shared" si="275"/>
        <v>0</v>
      </c>
      <c r="AZ630" s="76"/>
      <c r="BA630" s="142"/>
      <c r="BB630" s="142"/>
      <c r="BC630" s="77">
        <f t="shared" si="276"/>
        <v>0</v>
      </c>
      <c r="BD630" s="78"/>
      <c r="BE630" s="142"/>
      <c r="BF630" s="142"/>
      <c r="BG630" s="79">
        <f t="shared" si="277"/>
        <v>0</v>
      </c>
      <c r="BH630" s="75"/>
      <c r="BI630" s="76"/>
      <c r="BJ630" s="135"/>
      <c r="BK630" s="135"/>
      <c r="BL630" s="77">
        <f t="shared" si="278"/>
        <v>0</v>
      </c>
      <c r="BM630" s="78"/>
      <c r="BN630" s="142"/>
      <c r="BO630" s="142"/>
      <c r="BP630" s="77">
        <f t="shared" si="279"/>
        <v>0</v>
      </c>
      <c r="BQ630" s="78"/>
      <c r="BR630" s="142"/>
      <c r="BS630" s="142"/>
      <c r="BT630" s="79">
        <f t="shared" si="280"/>
        <v>0</v>
      </c>
      <c r="BU630" s="75"/>
      <c r="BV630" s="76"/>
      <c r="BW630" s="135"/>
      <c r="BX630" s="135"/>
      <c r="BY630" s="77">
        <f t="shared" si="281"/>
        <v>0</v>
      </c>
      <c r="BZ630" s="78"/>
      <c r="CA630" s="142"/>
      <c r="CB630" s="142"/>
      <c r="CC630" s="77">
        <f t="shared" si="282"/>
        <v>0</v>
      </c>
      <c r="CD630" s="78"/>
      <c r="CE630" s="142"/>
      <c r="CF630" s="142"/>
      <c r="CG630" s="79">
        <f t="shared" si="283"/>
        <v>0</v>
      </c>
      <c r="CH630" s="75"/>
      <c r="CI630" s="76"/>
      <c r="CJ630" s="86"/>
      <c r="CK630" s="86"/>
      <c r="CL630" s="77">
        <f t="shared" si="284"/>
        <v>0</v>
      </c>
      <c r="CM630" s="78"/>
      <c r="CN630" s="85"/>
      <c r="CO630" s="85"/>
      <c r="CP630" s="77">
        <f t="shared" si="285"/>
        <v>0</v>
      </c>
      <c r="CQ630" s="78"/>
      <c r="CR630" s="85"/>
      <c r="CS630" s="85"/>
      <c r="CT630" s="79">
        <f t="shared" si="286"/>
        <v>0</v>
      </c>
      <c r="CU630" s="80">
        <f t="shared" si="288"/>
        <v>0</v>
      </c>
      <c r="CV630" s="81">
        <f t="shared" si="289"/>
        <v>0</v>
      </c>
      <c r="CW630" s="144"/>
      <c r="CX630" s="145">
        <f>IF(ISERROR(VLOOKUP($A630,FIJOS!$B$11:$O$590,14,FALSE)),0,VLOOKUP($A630,FIJOS!$B$11:$O$590,14,FALSE))</f>
        <v>0</v>
      </c>
      <c r="CY630" s="145">
        <f>IF(ISERROR(VLOOKUP(A630,FIJOS!$B$10:$P$590,15,FALSE)),0,VLOOKUP(A630,FIJOS!$B$10:$P$590,15,FALSE))</f>
        <v>0</v>
      </c>
      <c r="CZ630" s="155"/>
      <c r="DA630" s="147"/>
      <c r="DB630" s="147"/>
      <c r="DC630" s="147"/>
      <c r="DD630" s="147"/>
      <c r="DE630" s="147"/>
      <c r="DF630" s="145">
        <f>IF(ISERROR(VLOOKUP($A630,FIJOS!$B$11:$N$590,13,FALSE)),0,VLOOKUP($A630,FIJOS!$B$11:$N$590,13,FALSE))</f>
        <v>0</v>
      </c>
      <c r="DG630" s="145">
        <f>IF(ISERROR(VLOOKUP($A630,FIJOS!$B$11:$P$447,12,FALSE)),0,VLOOKUP($A630,FIJOS!$B$11:$P$447,12,FALSE))</f>
        <v>0</v>
      </c>
      <c r="DH630" s="82">
        <f t="shared" si="290"/>
        <v>0</v>
      </c>
      <c r="DI630" s="83" t="b">
        <f>IF($C630=1,(VLOOKUP($A630,FIJOS!$B$11:$P$545,10,FALSE)/7)*(7-$CU630),IF(AND($C630=2,CV630&lt;$DJ$1),(VLOOKUP($D630,HORAS!$B$4:$C$42,2,FALSE)*24)*$CV630,IF(AND($C630=2,CV630&gt;=$DJ$1),VLOOKUP($D630,HORAS!$B$4:$D$42,3,FALSE),IF(AND($C630=3,$CV630&gt;=$DJ$1),VLOOKUP($A630,FIJOS!$B$11:$P$545,10,FALSE),IF(AND($C630=3,$CV630&lt;$DJ$1),((VLOOKUP($A630,FIJOS!$B$11:$P$545,10,FALSE)/48)*24)*$CV630,IF(AND($C630=4,$CV630&gt;=(42/24)),VLOOKUP($D630,HORAS!$B$4:$D$42,3,FALSE),IF(AND($C630=5,$CV630&gt;=(36/24)),VLOOKUP($D630,HORAS!$B$4:$D$42,3,FALSE))))))))</f>
        <v>0</v>
      </c>
      <c r="DJ630" s="145">
        <f>IF(OR($C630=2),VLOOKUP($D630,HORAS!$B$4:$E$42,4,FALSE)*$EC630,IF(ISERROR(VLOOKUP($A630,FIJOS!$B$11:$P$108,9,FALSE)),0,VLOOKUP($A630,FIJOS!$B$11:$P$231,9,FALSE)*$EC630))</f>
        <v>0</v>
      </c>
      <c r="DK630" s="145">
        <f>IF(OR($C630=2),VLOOKUP($D630,HORAS!$B$4:$F$42,5,FALSE)*$EE630,IF(ISERROR(VLOOKUP($A630,FIJOS!$B$11:$P$108,9,FALSE)),0,VLOOKUP($A630,FIJOS!$B$11:$P$231,9,FALSE)*$EE630))</f>
        <v>0</v>
      </c>
      <c r="DL630" s="144"/>
      <c r="DM630" s="145">
        <f>IF(ISERROR(VLOOKUP($A630,FIJOS!$B$11:$L$646,11,FALSE)),0,VLOOKUP($A630,FIJOS!$B$11:$L$646,11,FALSE))</f>
        <v>0</v>
      </c>
      <c r="DN630" s="148" t="e">
        <f>IF(OR($C630=1,$C630=3),0,IF((VLOOKUP(CAPTURA!D630,HORAS!$B$4:$K$42,10,FALSE)/4)*COUNTIF($H630:$CT630,3)&gt;100,100,(VLOOKUP(CAPTURA!D630,HORAS!$B$4:$K$42,10,FALSE)/4)*COUNTIF($H630:$CT630,3)))</f>
        <v>#N/A</v>
      </c>
      <c r="DO630" s="144" t="e">
        <f>IF(OR($C630=1,$C630=3),0,IF($C630=5,VLOOKUP(D630,HORAS!$B$4:$G$42,6,FALSE),IF(AND($C630=4,$CV630&gt;=(42/24)),VLOOKUP(D630,HORAS!$B$4:$G$42,6,FALSE),IF(COUNTIF($H630:$CL630,"F")&gt;0,0,IF(CV630&gt;$DJ$1,$DJ$1*(VLOOKUP(D630,HORAS!$B$4:$G$42,6,FALSE)/$DJ$1),CV630*(VLOOKUP(D630,HORAS!$B$4:$G$42,6,FALSE)/$DJ$1))))))</f>
        <v>#N/A</v>
      </c>
      <c r="DP630" s="156"/>
      <c r="DQ630" s="148"/>
      <c r="DR630" s="148"/>
      <c r="DS630" s="83" t="e">
        <f t="shared" si="287"/>
        <v>#N/A</v>
      </c>
      <c r="DT630" s="84"/>
      <c r="DU630" s="149" t="e">
        <f t="shared" si="291"/>
        <v>#N/A</v>
      </c>
      <c r="DV630" s="149" t="e">
        <f t="shared" si="292"/>
        <v>#N/A</v>
      </c>
      <c r="DW630" s="144" t="e">
        <f t="shared" si="293"/>
        <v>#N/A</v>
      </c>
      <c r="DX630" s="168"/>
      <c r="DY630" s="29"/>
      <c r="DZ630" s="150"/>
      <c r="EA630" s="134"/>
      <c r="EB630" s="137">
        <f t="shared" si="294"/>
        <v>0</v>
      </c>
      <c r="EC630" s="138">
        <f t="shared" si="295"/>
        <v>0</v>
      </c>
      <c r="ED630" s="137">
        <f t="shared" si="296"/>
        <v>0</v>
      </c>
      <c r="EE630" s="132">
        <f t="shared" si="297"/>
        <v>0</v>
      </c>
      <c r="EF630" s="29"/>
      <c r="EG630" s="134"/>
      <c r="EH630" s="134"/>
      <c r="EI630" s="134"/>
      <c r="EK630" s="29"/>
    </row>
    <row r="631" spans="1:141" ht="15" customHeight="1" x14ac:dyDescent="0.25">
      <c r="A631" s="87"/>
      <c r="B631" s="5"/>
      <c r="C631" s="72"/>
      <c r="D631" s="73"/>
      <c r="E631" s="73"/>
      <c r="F631" s="141"/>
      <c r="G631" s="74"/>
      <c r="H631" s="75"/>
      <c r="I631" s="76"/>
      <c r="J631" s="135"/>
      <c r="K631" s="135"/>
      <c r="L631" s="77">
        <f t="shared" si="266"/>
        <v>0</v>
      </c>
      <c r="M631" s="78"/>
      <c r="N631" s="142"/>
      <c r="O631" s="142"/>
      <c r="P631" s="77">
        <f t="shared" si="267"/>
        <v>0</v>
      </c>
      <c r="Q631" s="78"/>
      <c r="R631" s="143"/>
      <c r="S631" s="143"/>
      <c r="T631" s="77">
        <f t="shared" si="268"/>
        <v>0</v>
      </c>
      <c r="U631" s="75"/>
      <c r="V631" s="76"/>
      <c r="W631" s="135"/>
      <c r="X631" s="135"/>
      <c r="Y631" s="77">
        <f t="shared" si="269"/>
        <v>0</v>
      </c>
      <c r="Z631" s="78"/>
      <c r="AA631" s="142"/>
      <c r="AB631" s="142"/>
      <c r="AC631" s="77">
        <f t="shared" si="270"/>
        <v>0</v>
      </c>
      <c r="AD631" s="78"/>
      <c r="AE631" s="143"/>
      <c r="AF631" s="143"/>
      <c r="AG631" s="79">
        <f t="shared" si="271"/>
        <v>0</v>
      </c>
      <c r="AH631" s="75"/>
      <c r="AI631" s="76"/>
      <c r="AJ631" s="135"/>
      <c r="AK631" s="135"/>
      <c r="AL631" s="77">
        <f t="shared" si="272"/>
        <v>0</v>
      </c>
      <c r="AM631" s="76"/>
      <c r="AN631" s="142"/>
      <c r="AO631" s="142"/>
      <c r="AP631" s="77">
        <f t="shared" si="273"/>
        <v>0</v>
      </c>
      <c r="AQ631" s="78"/>
      <c r="AR631" s="142"/>
      <c r="AS631" s="142"/>
      <c r="AT631" s="79">
        <f t="shared" si="274"/>
        <v>0</v>
      </c>
      <c r="AU631" s="75"/>
      <c r="AV631" s="76"/>
      <c r="AW631" s="135"/>
      <c r="AX631" s="135"/>
      <c r="AY631" s="77">
        <f t="shared" si="275"/>
        <v>0</v>
      </c>
      <c r="AZ631" s="76"/>
      <c r="BA631" s="142"/>
      <c r="BB631" s="142"/>
      <c r="BC631" s="77">
        <f t="shared" si="276"/>
        <v>0</v>
      </c>
      <c r="BD631" s="78"/>
      <c r="BE631" s="142"/>
      <c r="BF631" s="142"/>
      <c r="BG631" s="79">
        <f t="shared" si="277"/>
        <v>0</v>
      </c>
      <c r="BH631" s="75"/>
      <c r="BI631" s="76"/>
      <c r="BJ631" s="135"/>
      <c r="BK631" s="135"/>
      <c r="BL631" s="77">
        <f t="shared" si="278"/>
        <v>0</v>
      </c>
      <c r="BM631" s="78"/>
      <c r="BN631" s="142"/>
      <c r="BO631" s="142"/>
      <c r="BP631" s="77">
        <f t="shared" si="279"/>
        <v>0</v>
      </c>
      <c r="BQ631" s="78"/>
      <c r="BR631" s="142"/>
      <c r="BS631" s="142"/>
      <c r="BT631" s="79">
        <f t="shared" si="280"/>
        <v>0</v>
      </c>
      <c r="BU631" s="75"/>
      <c r="BV631" s="76"/>
      <c r="BW631" s="135"/>
      <c r="BX631" s="135"/>
      <c r="BY631" s="77">
        <f t="shared" si="281"/>
        <v>0</v>
      </c>
      <c r="BZ631" s="78"/>
      <c r="CA631" s="142"/>
      <c r="CB631" s="142"/>
      <c r="CC631" s="77">
        <f t="shared" si="282"/>
        <v>0</v>
      </c>
      <c r="CD631" s="78"/>
      <c r="CE631" s="142"/>
      <c r="CF631" s="142"/>
      <c r="CG631" s="79">
        <f t="shared" si="283"/>
        <v>0</v>
      </c>
      <c r="CH631" s="75"/>
      <c r="CI631" s="76"/>
      <c r="CJ631" s="86"/>
      <c r="CK631" s="86"/>
      <c r="CL631" s="77">
        <f t="shared" si="284"/>
        <v>0</v>
      </c>
      <c r="CM631" s="78"/>
      <c r="CN631" s="85"/>
      <c r="CO631" s="85"/>
      <c r="CP631" s="77">
        <f t="shared" si="285"/>
        <v>0</v>
      </c>
      <c r="CQ631" s="78"/>
      <c r="CR631" s="85"/>
      <c r="CS631" s="85"/>
      <c r="CT631" s="79">
        <f t="shared" si="286"/>
        <v>0</v>
      </c>
      <c r="CU631" s="80">
        <f t="shared" si="288"/>
        <v>0</v>
      </c>
      <c r="CV631" s="81">
        <f t="shared" si="289"/>
        <v>0</v>
      </c>
      <c r="CW631" s="144"/>
      <c r="CX631" s="145">
        <f>IF(ISERROR(VLOOKUP($A631,FIJOS!$B$11:$O$590,14,FALSE)),0,VLOOKUP($A631,FIJOS!$B$11:$O$590,14,FALSE))</f>
        <v>0</v>
      </c>
      <c r="CY631" s="145">
        <f>IF(ISERROR(VLOOKUP(A631,FIJOS!$B$10:$P$590,15,FALSE)),0,VLOOKUP(A631,FIJOS!$B$10:$P$590,15,FALSE))</f>
        <v>0</v>
      </c>
      <c r="CZ631" s="155"/>
      <c r="DA631" s="147"/>
      <c r="DB631" s="147"/>
      <c r="DC631" s="147"/>
      <c r="DD631" s="147"/>
      <c r="DE631" s="147"/>
      <c r="DF631" s="145">
        <f>IF(ISERROR(VLOOKUP($A631,FIJOS!$B$11:$N$590,13,FALSE)),0,VLOOKUP($A631,FIJOS!$B$11:$N$590,13,FALSE))</f>
        <v>0</v>
      </c>
      <c r="DG631" s="145">
        <f>IF(ISERROR(VLOOKUP($A631,FIJOS!$B$11:$P$447,12,FALSE)),0,VLOOKUP($A631,FIJOS!$B$11:$P$447,12,FALSE))</f>
        <v>0</v>
      </c>
      <c r="DH631" s="82">
        <f t="shared" si="290"/>
        <v>0</v>
      </c>
      <c r="DI631" s="83" t="b">
        <f>IF($C631=1,(VLOOKUP($A631,FIJOS!$B$11:$P$545,10,FALSE)/7)*(7-$CU631),IF(AND($C631=2,CV631&lt;$DJ$1),(VLOOKUP($D631,HORAS!$B$4:$C$42,2,FALSE)*24)*$CV631,IF(AND($C631=2,CV631&gt;=$DJ$1),VLOOKUP($D631,HORAS!$B$4:$D$42,3,FALSE),IF(AND($C631=3,$CV631&gt;=$DJ$1),VLOOKUP($A631,FIJOS!$B$11:$P$545,10,FALSE),IF(AND($C631=3,$CV631&lt;$DJ$1),((VLOOKUP($A631,FIJOS!$B$11:$P$545,10,FALSE)/48)*24)*$CV631,IF(AND($C631=4,$CV631&gt;=(42/24)),VLOOKUP($D631,HORAS!$B$4:$D$42,3,FALSE),IF(AND($C631=5,$CV631&gt;=(36/24)),VLOOKUP($D631,HORAS!$B$4:$D$42,3,FALSE))))))))</f>
        <v>0</v>
      </c>
      <c r="DJ631" s="145">
        <f>IF(OR($C631=2),VLOOKUP($D631,HORAS!$B$4:$E$42,4,FALSE)*$EC631,IF(ISERROR(VLOOKUP($A631,FIJOS!$B$11:$P$108,9,FALSE)),0,VLOOKUP($A631,FIJOS!$B$11:$P$231,9,FALSE)*$EC631))</f>
        <v>0</v>
      </c>
      <c r="DK631" s="145">
        <f>IF(OR($C631=2),VLOOKUP($D631,HORAS!$B$4:$F$42,5,FALSE)*$EE631,IF(ISERROR(VLOOKUP($A631,FIJOS!$B$11:$P$108,9,FALSE)),0,VLOOKUP($A631,FIJOS!$B$11:$P$231,9,FALSE)*$EE631))</f>
        <v>0</v>
      </c>
      <c r="DL631" s="144"/>
      <c r="DM631" s="145">
        <f>IF(ISERROR(VLOOKUP($A631,FIJOS!$B$11:$L$646,11,FALSE)),0,VLOOKUP($A631,FIJOS!$B$11:$L$646,11,FALSE))</f>
        <v>0</v>
      </c>
      <c r="DN631" s="148" t="e">
        <f>IF(OR($C631=1,$C631=3),0,IF((VLOOKUP(CAPTURA!D631,HORAS!$B$4:$K$42,10,FALSE)/4)*COUNTIF($H631:$CT631,3)&gt;100,100,(VLOOKUP(CAPTURA!D631,HORAS!$B$4:$K$42,10,FALSE)/4)*COUNTIF($H631:$CT631,3)))</f>
        <v>#N/A</v>
      </c>
      <c r="DO631" s="144" t="e">
        <f>IF(OR($C631=1,$C631=3),0,IF($C631=5,VLOOKUP(D631,HORAS!$B$4:$G$42,6,FALSE),IF(AND($C631=4,$CV631&gt;=(42/24)),VLOOKUP(D631,HORAS!$B$4:$G$42,6,FALSE),IF(COUNTIF($H631:$CL631,"F")&gt;0,0,IF(CV631&gt;$DJ$1,$DJ$1*(VLOOKUP(D631,HORAS!$B$4:$G$42,6,FALSE)/$DJ$1),CV631*(VLOOKUP(D631,HORAS!$B$4:$G$42,6,FALSE)/$DJ$1))))))</f>
        <v>#N/A</v>
      </c>
      <c r="DP631" s="156"/>
      <c r="DQ631" s="148"/>
      <c r="DR631" s="148"/>
      <c r="DS631" s="83" t="e">
        <f t="shared" si="287"/>
        <v>#N/A</v>
      </c>
      <c r="DT631" s="84"/>
      <c r="DU631" s="149" t="e">
        <f t="shared" si="291"/>
        <v>#N/A</v>
      </c>
      <c r="DV631" s="149" t="e">
        <f t="shared" si="292"/>
        <v>#N/A</v>
      </c>
      <c r="DW631" s="144" t="e">
        <f t="shared" si="293"/>
        <v>#N/A</v>
      </c>
      <c r="DX631" s="168"/>
      <c r="DY631" s="29"/>
      <c r="DZ631" s="150"/>
      <c r="EA631" s="134"/>
      <c r="EB631" s="137">
        <f t="shared" si="294"/>
        <v>0</v>
      </c>
      <c r="EC631" s="138">
        <f t="shared" si="295"/>
        <v>0</v>
      </c>
      <c r="ED631" s="137">
        <f t="shared" si="296"/>
        <v>0</v>
      </c>
      <c r="EE631" s="132">
        <f t="shared" si="297"/>
        <v>0</v>
      </c>
      <c r="EF631" s="29"/>
      <c r="EG631" s="134"/>
      <c r="EH631" s="134"/>
      <c r="EI631" s="134"/>
      <c r="EK631" s="29"/>
    </row>
    <row r="632" spans="1:141" ht="15" customHeight="1" x14ac:dyDescent="0.25">
      <c r="A632" s="87"/>
      <c r="B632" s="5"/>
      <c r="C632" s="72"/>
      <c r="D632" s="73"/>
      <c r="E632" s="73"/>
      <c r="F632" s="141"/>
      <c r="G632" s="74"/>
      <c r="H632" s="75"/>
      <c r="I632" s="76"/>
      <c r="J632" s="135"/>
      <c r="K632" s="135"/>
      <c r="L632" s="77">
        <f t="shared" si="266"/>
        <v>0</v>
      </c>
      <c r="M632" s="78"/>
      <c r="N632" s="142"/>
      <c r="O632" s="142"/>
      <c r="P632" s="77">
        <f t="shared" si="267"/>
        <v>0</v>
      </c>
      <c r="Q632" s="78"/>
      <c r="R632" s="143"/>
      <c r="S632" s="143"/>
      <c r="T632" s="77">
        <f t="shared" si="268"/>
        <v>0</v>
      </c>
      <c r="U632" s="75"/>
      <c r="V632" s="76"/>
      <c r="W632" s="135"/>
      <c r="X632" s="135"/>
      <c r="Y632" s="77">
        <f t="shared" si="269"/>
        <v>0</v>
      </c>
      <c r="Z632" s="78"/>
      <c r="AA632" s="142"/>
      <c r="AB632" s="142"/>
      <c r="AC632" s="77">
        <f t="shared" si="270"/>
        <v>0</v>
      </c>
      <c r="AD632" s="78"/>
      <c r="AE632" s="143"/>
      <c r="AF632" s="143"/>
      <c r="AG632" s="79">
        <f t="shared" si="271"/>
        <v>0</v>
      </c>
      <c r="AH632" s="75"/>
      <c r="AI632" s="76"/>
      <c r="AJ632" s="135"/>
      <c r="AK632" s="135"/>
      <c r="AL632" s="77">
        <f t="shared" si="272"/>
        <v>0</v>
      </c>
      <c r="AM632" s="76"/>
      <c r="AN632" s="142"/>
      <c r="AO632" s="142"/>
      <c r="AP632" s="77">
        <f t="shared" si="273"/>
        <v>0</v>
      </c>
      <c r="AQ632" s="78"/>
      <c r="AR632" s="142"/>
      <c r="AS632" s="142"/>
      <c r="AT632" s="79">
        <f t="shared" si="274"/>
        <v>0</v>
      </c>
      <c r="AU632" s="75"/>
      <c r="AV632" s="76"/>
      <c r="AW632" s="135"/>
      <c r="AX632" s="135"/>
      <c r="AY632" s="77">
        <f t="shared" si="275"/>
        <v>0</v>
      </c>
      <c r="AZ632" s="76"/>
      <c r="BA632" s="142"/>
      <c r="BB632" s="142"/>
      <c r="BC632" s="77">
        <f t="shared" si="276"/>
        <v>0</v>
      </c>
      <c r="BD632" s="78"/>
      <c r="BE632" s="142"/>
      <c r="BF632" s="142"/>
      <c r="BG632" s="79">
        <f t="shared" si="277"/>
        <v>0</v>
      </c>
      <c r="BH632" s="75"/>
      <c r="BI632" s="76"/>
      <c r="BJ632" s="135"/>
      <c r="BK632" s="135"/>
      <c r="BL632" s="77">
        <f t="shared" si="278"/>
        <v>0</v>
      </c>
      <c r="BM632" s="78"/>
      <c r="BN632" s="142"/>
      <c r="BO632" s="142"/>
      <c r="BP632" s="77">
        <f t="shared" si="279"/>
        <v>0</v>
      </c>
      <c r="BQ632" s="78"/>
      <c r="BR632" s="142"/>
      <c r="BS632" s="142"/>
      <c r="BT632" s="79">
        <f t="shared" si="280"/>
        <v>0</v>
      </c>
      <c r="BU632" s="75"/>
      <c r="BV632" s="76"/>
      <c r="BW632" s="135"/>
      <c r="BX632" s="135"/>
      <c r="BY632" s="77">
        <f t="shared" si="281"/>
        <v>0</v>
      </c>
      <c r="BZ632" s="78"/>
      <c r="CA632" s="142"/>
      <c r="CB632" s="142"/>
      <c r="CC632" s="77">
        <f t="shared" si="282"/>
        <v>0</v>
      </c>
      <c r="CD632" s="78"/>
      <c r="CE632" s="142"/>
      <c r="CF632" s="142"/>
      <c r="CG632" s="79">
        <f t="shared" si="283"/>
        <v>0</v>
      </c>
      <c r="CH632" s="75"/>
      <c r="CI632" s="76"/>
      <c r="CJ632" s="86"/>
      <c r="CK632" s="86"/>
      <c r="CL632" s="77">
        <f t="shared" si="284"/>
        <v>0</v>
      </c>
      <c r="CM632" s="78"/>
      <c r="CN632" s="85"/>
      <c r="CO632" s="85"/>
      <c r="CP632" s="77">
        <f t="shared" si="285"/>
        <v>0</v>
      </c>
      <c r="CQ632" s="78"/>
      <c r="CR632" s="85"/>
      <c r="CS632" s="85"/>
      <c r="CT632" s="79">
        <f t="shared" si="286"/>
        <v>0</v>
      </c>
      <c r="CU632" s="80">
        <f t="shared" si="288"/>
        <v>0</v>
      </c>
      <c r="CV632" s="81">
        <f t="shared" si="289"/>
        <v>0</v>
      </c>
      <c r="CW632" s="144"/>
      <c r="CX632" s="145">
        <f>IF(ISERROR(VLOOKUP($A632,FIJOS!$B$11:$O$590,14,FALSE)),0,VLOOKUP($A632,FIJOS!$B$11:$O$590,14,FALSE))</f>
        <v>0</v>
      </c>
      <c r="CY632" s="145">
        <f>IF(ISERROR(VLOOKUP(A632,FIJOS!$B$10:$P$590,15,FALSE)),0,VLOOKUP(A632,FIJOS!$B$10:$P$590,15,FALSE))</f>
        <v>0</v>
      </c>
      <c r="CZ632" s="155"/>
      <c r="DA632" s="147"/>
      <c r="DB632" s="147"/>
      <c r="DC632" s="147"/>
      <c r="DD632" s="147"/>
      <c r="DE632" s="147"/>
      <c r="DF632" s="145">
        <f>IF(ISERROR(VLOOKUP($A632,FIJOS!$B$11:$N$590,13,FALSE)),0,VLOOKUP($A632,FIJOS!$B$11:$N$590,13,FALSE))</f>
        <v>0</v>
      </c>
      <c r="DG632" s="145">
        <f>IF(ISERROR(VLOOKUP($A632,FIJOS!$B$11:$P$447,12,FALSE)),0,VLOOKUP($A632,FIJOS!$B$11:$P$447,12,FALSE))</f>
        <v>0</v>
      </c>
      <c r="DH632" s="82">
        <f t="shared" si="290"/>
        <v>0</v>
      </c>
      <c r="DI632" s="83" t="b">
        <f>IF($C632=1,(VLOOKUP($A632,FIJOS!$B$11:$P$545,10,FALSE)/7)*(7-$CU632),IF(AND($C632=2,CV632&lt;$DJ$1),(VLOOKUP($D632,HORAS!$B$4:$C$42,2,FALSE)*24)*$CV632,IF(AND($C632=2,CV632&gt;=$DJ$1),VLOOKUP($D632,HORAS!$B$4:$D$42,3,FALSE),IF(AND($C632=3,$CV632&gt;=$DJ$1),VLOOKUP($A632,FIJOS!$B$11:$P$545,10,FALSE),IF(AND($C632=3,$CV632&lt;$DJ$1),((VLOOKUP($A632,FIJOS!$B$11:$P$545,10,FALSE)/48)*24)*$CV632,IF(AND($C632=4,$CV632&gt;=(42/24)),VLOOKUP($D632,HORAS!$B$4:$D$42,3,FALSE),IF(AND($C632=5,$CV632&gt;=(36/24)),VLOOKUP($D632,HORAS!$B$4:$D$42,3,FALSE))))))))</f>
        <v>0</v>
      </c>
      <c r="DJ632" s="145">
        <f>IF(OR($C632=2),VLOOKUP($D632,HORAS!$B$4:$E$42,4,FALSE)*$EC632,IF(ISERROR(VLOOKUP($A632,FIJOS!$B$11:$P$108,9,FALSE)),0,VLOOKUP($A632,FIJOS!$B$11:$P$231,9,FALSE)*$EC632))</f>
        <v>0</v>
      </c>
      <c r="DK632" s="145">
        <f>IF(OR($C632=2),VLOOKUP($D632,HORAS!$B$4:$F$42,5,FALSE)*$EE632,IF(ISERROR(VLOOKUP($A632,FIJOS!$B$11:$P$108,9,FALSE)),0,VLOOKUP($A632,FIJOS!$B$11:$P$231,9,FALSE)*$EE632))</f>
        <v>0</v>
      </c>
      <c r="DL632" s="144"/>
      <c r="DM632" s="145">
        <f>IF(ISERROR(VLOOKUP($A632,FIJOS!$B$11:$L$646,11,FALSE)),0,VLOOKUP($A632,FIJOS!$B$11:$L$646,11,FALSE))</f>
        <v>0</v>
      </c>
      <c r="DN632" s="148" t="e">
        <f>IF(OR($C632=1,$C632=3),0,IF((VLOOKUP(CAPTURA!D632,HORAS!$B$4:$K$42,10,FALSE)/4)*COUNTIF($H632:$CT632,3)&gt;100,100,(VLOOKUP(CAPTURA!D632,HORAS!$B$4:$K$42,10,FALSE)/4)*COUNTIF($H632:$CT632,3)))</f>
        <v>#N/A</v>
      </c>
      <c r="DO632" s="144" t="e">
        <f>IF(OR($C632=1,$C632=3),0,IF($C632=5,VLOOKUP(D632,HORAS!$B$4:$G$42,6,FALSE),IF(AND($C632=4,$CV632&gt;=(42/24)),VLOOKUP(D632,HORAS!$B$4:$G$42,6,FALSE),IF(COUNTIF($H632:$CL632,"F")&gt;0,0,IF(CV632&gt;$DJ$1,$DJ$1*(VLOOKUP(D632,HORAS!$B$4:$G$42,6,FALSE)/$DJ$1),CV632*(VLOOKUP(D632,HORAS!$B$4:$G$42,6,FALSE)/$DJ$1))))))</f>
        <v>#N/A</v>
      </c>
      <c r="DP632" s="156"/>
      <c r="DQ632" s="148"/>
      <c r="DR632" s="148"/>
      <c r="DS632" s="83" t="e">
        <f t="shared" si="287"/>
        <v>#N/A</v>
      </c>
      <c r="DT632" s="84"/>
      <c r="DU632" s="149" t="e">
        <f t="shared" si="291"/>
        <v>#N/A</v>
      </c>
      <c r="DV632" s="149" t="e">
        <f t="shared" si="292"/>
        <v>#N/A</v>
      </c>
      <c r="DW632" s="144" t="e">
        <f t="shared" si="293"/>
        <v>#N/A</v>
      </c>
      <c r="DX632" s="168"/>
      <c r="DY632" s="29"/>
      <c r="DZ632" s="150"/>
      <c r="EA632" s="134"/>
      <c r="EB632" s="137">
        <f t="shared" si="294"/>
        <v>0</v>
      </c>
      <c r="EC632" s="138">
        <f t="shared" si="295"/>
        <v>0</v>
      </c>
      <c r="ED632" s="137">
        <f t="shared" si="296"/>
        <v>0</v>
      </c>
      <c r="EE632" s="132">
        <f t="shared" si="297"/>
        <v>0</v>
      </c>
      <c r="EF632" s="29"/>
      <c r="EG632" s="134"/>
      <c r="EH632" s="134"/>
      <c r="EI632" s="134"/>
      <c r="EK632" s="29"/>
    </row>
    <row r="633" spans="1:141" ht="15" customHeight="1" x14ac:dyDescent="0.25">
      <c r="A633" s="87"/>
      <c r="B633" s="5"/>
      <c r="C633" s="72"/>
      <c r="D633" s="73"/>
      <c r="E633" s="73"/>
      <c r="F633" s="141"/>
      <c r="G633" s="74"/>
      <c r="H633" s="75"/>
      <c r="I633" s="76"/>
      <c r="J633" s="135"/>
      <c r="K633" s="135"/>
      <c r="L633" s="77">
        <f t="shared" ref="L633:L677" si="298">IF((K633-J633)&gt;=0,(K633-J633),$A$1+(K633-J633))</f>
        <v>0</v>
      </c>
      <c r="M633" s="78"/>
      <c r="N633" s="142"/>
      <c r="O633" s="142"/>
      <c r="P633" s="77">
        <f t="shared" ref="P633:P677" si="299">IF((O633-N633)&gt;=0,(O633-N633),$A$1+(O633-N633))</f>
        <v>0</v>
      </c>
      <c r="Q633" s="78"/>
      <c r="R633" s="143"/>
      <c r="S633" s="143"/>
      <c r="T633" s="77">
        <f t="shared" ref="T633:T677" si="300">IF((S633-R633)&gt;=0,(S633-R633),$A$1+(S633-R633))</f>
        <v>0</v>
      </c>
      <c r="U633" s="75"/>
      <c r="V633" s="76"/>
      <c r="W633" s="135"/>
      <c r="X633" s="135"/>
      <c r="Y633" s="77">
        <f t="shared" ref="Y633:Y677" si="301">IF((X633-W633)&gt;=0,(X633-W633),$A$1+(X633-W633))</f>
        <v>0</v>
      </c>
      <c r="Z633" s="78"/>
      <c r="AA633" s="142"/>
      <c r="AB633" s="142"/>
      <c r="AC633" s="77">
        <f t="shared" ref="AC633:AC677" si="302">IF((AB633-AA633)&gt;=0,(AB633-AA633),$A$1+(AB633-AA633))</f>
        <v>0</v>
      </c>
      <c r="AD633" s="78"/>
      <c r="AE633" s="143"/>
      <c r="AF633" s="143"/>
      <c r="AG633" s="79">
        <f t="shared" ref="AG633:AG677" si="303">IF((AF633-AE633)&gt;=0,(AF633-AE633),$A$1+(AF633-AE633))</f>
        <v>0</v>
      </c>
      <c r="AH633" s="75"/>
      <c r="AI633" s="76"/>
      <c r="AJ633" s="135"/>
      <c r="AK633" s="135"/>
      <c r="AL633" s="77">
        <f t="shared" ref="AL633:AL677" si="304">IF((AK633-AJ633)&gt;=0,(AK633-AJ633),$A$1+(AK633-AJ633))</f>
        <v>0</v>
      </c>
      <c r="AM633" s="76"/>
      <c r="AN633" s="142"/>
      <c r="AO633" s="142"/>
      <c r="AP633" s="77">
        <f t="shared" ref="AP633:AP677" si="305">IF((AO633-AN633)&gt;=0,(AO633-AN633),$A$1+(AO633-AN633))</f>
        <v>0</v>
      </c>
      <c r="AQ633" s="78"/>
      <c r="AR633" s="142"/>
      <c r="AS633" s="142"/>
      <c r="AT633" s="79">
        <f t="shared" ref="AT633:AT677" si="306">IF((AS633-AR633)&gt;=0,(AS633-AR633),$A$1+(AS633-AR633))</f>
        <v>0</v>
      </c>
      <c r="AU633" s="75"/>
      <c r="AV633" s="76"/>
      <c r="AW633" s="135"/>
      <c r="AX633" s="135"/>
      <c r="AY633" s="77">
        <f t="shared" ref="AY633:AY677" si="307">IF((AX633-AW633)&gt;=0,(AX633-AW633),$A$1+(AX633-AW633))</f>
        <v>0</v>
      </c>
      <c r="AZ633" s="76"/>
      <c r="BA633" s="142"/>
      <c r="BB633" s="142"/>
      <c r="BC633" s="77">
        <f t="shared" ref="BC633:BC677" si="308">IF((BB633-BA633)&gt;=0,(BB633-BA633),$A$1+(BB633-BA633))</f>
        <v>0</v>
      </c>
      <c r="BD633" s="78"/>
      <c r="BE633" s="142"/>
      <c r="BF633" s="142"/>
      <c r="BG633" s="79">
        <f t="shared" ref="BG633:BG677" si="309">IF((BF633-BE633)&gt;=0,(BF633-BE633),$A$1+(BF633-BE633))</f>
        <v>0</v>
      </c>
      <c r="BH633" s="75"/>
      <c r="BI633" s="76"/>
      <c r="BJ633" s="135"/>
      <c r="BK633" s="135"/>
      <c r="BL633" s="77">
        <f t="shared" ref="BL633:BL677" si="310">IF((BK633-BJ633)&gt;=0,(BK633-BJ633),$A$1+(BK633-BJ633))</f>
        <v>0</v>
      </c>
      <c r="BM633" s="78"/>
      <c r="BN633" s="142"/>
      <c r="BO633" s="142"/>
      <c r="BP633" s="77">
        <f t="shared" ref="BP633:BP677" si="311">IF((BO633-BN633)&gt;=0,(BO633-BN633),$A$1+(BO633-BN633))</f>
        <v>0</v>
      </c>
      <c r="BQ633" s="78"/>
      <c r="BR633" s="142"/>
      <c r="BS633" s="142"/>
      <c r="BT633" s="79">
        <f t="shared" ref="BT633:BT677" si="312">IF((BS633-BR633)&gt;=0,(BS633-BR633),$A$1+(BS633-BR633))</f>
        <v>0</v>
      </c>
      <c r="BU633" s="75"/>
      <c r="BV633" s="76"/>
      <c r="BW633" s="135"/>
      <c r="BX633" s="135"/>
      <c r="BY633" s="77">
        <f t="shared" ref="BY633:BY677" si="313">IF((BX633-BW633)&gt;=0,(BX633-BW633),$A$1+(BX633-BW633))</f>
        <v>0</v>
      </c>
      <c r="BZ633" s="78"/>
      <c r="CA633" s="142"/>
      <c r="CB633" s="142"/>
      <c r="CC633" s="77">
        <f t="shared" ref="CC633:CC677" si="314">IF((CB633-CA633)&gt;=0,(CB633-CA633),$A$1+(CB633-CA633))</f>
        <v>0</v>
      </c>
      <c r="CD633" s="78"/>
      <c r="CE633" s="142"/>
      <c r="CF633" s="142"/>
      <c r="CG633" s="79">
        <f t="shared" ref="CG633:CG677" si="315">IF((CF633-CE633)&gt;=0,(CF633-CE633),$A$1+(CF633-CE633))</f>
        <v>0</v>
      </c>
      <c r="CH633" s="75"/>
      <c r="CI633" s="76"/>
      <c r="CJ633" s="86"/>
      <c r="CK633" s="86"/>
      <c r="CL633" s="77">
        <f t="shared" ref="CL633:CL677" si="316">IF((CK633-CJ633)&gt;=0,(CK633-CJ633),$A$1+(CK633-CJ633))</f>
        <v>0</v>
      </c>
      <c r="CM633" s="78"/>
      <c r="CN633" s="85"/>
      <c r="CO633" s="85"/>
      <c r="CP633" s="77">
        <f t="shared" ref="CP633:CP677" si="317">IF((CO633-CN633)&gt;=0,(CO633-CN633),$A$1+(CO633-CN633))</f>
        <v>0</v>
      </c>
      <c r="CQ633" s="78"/>
      <c r="CR633" s="85"/>
      <c r="CS633" s="85"/>
      <c r="CT633" s="79">
        <f t="shared" ref="CT633:CT677" si="318">IF((CS633-CR633)&gt;=0,(CS633-CR633),$A$1+(CS633-CR633))</f>
        <v>0</v>
      </c>
      <c r="CU633" s="80">
        <f t="shared" si="288"/>
        <v>0</v>
      </c>
      <c r="CV633" s="81">
        <f t="shared" si="289"/>
        <v>0</v>
      </c>
      <c r="CW633" s="144"/>
      <c r="CX633" s="145">
        <f>IF(ISERROR(VLOOKUP($A633,FIJOS!$B$11:$O$590,14,FALSE)),0,VLOOKUP($A633,FIJOS!$B$11:$O$590,14,FALSE))</f>
        <v>0</v>
      </c>
      <c r="CY633" s="145">
        <f>IF(ISERROR(VLOOKUP(A633,FIJOS!$B$10:$P$590,15,FALSE)),0,VLOOKUP(A633,FIJOS!$B$10:$P$590,15,FALSE))</f>
        <v>0</v>
      </c>
      <c r="CZ633" s="155"/>
      <c r="DA633" s="147"/>
      <c r="DB633" s="147"/>
      <c r="DC633" s="147"/>
      <c r="DD633" s="147"/>
      <c r="DE633" s="147"/>
      <c r="DF633" s="145">
        <f>IF(ISERROR(VLOOKUP($A633,FIJOS!$B$11:$N$590,13,FALSE)),0,VLOOKUP($A633,FIJOS!$B$11:$N$590,13,FALSE))</f>
        <v>0</v>
      </c>
      <c r="DG633" s="145">
        <f>IF(ISERROR(VLOOKUP($A633,FIJOS!$B$11:$P$447,12,FALSE)),0,VLOOKUP($A633,FIJOS!$B$11:$P$447,12,FALSE))</f>
        <v>0</v>
      </c>
      <c r="DH633" s="82">
        <f t="shared" si="290"/>
        <v>0</v>
      </c>
      <c r="DI633" s="83" t="b">
        <f>IF($C633=1,(VLOOKUP($A633,FIJOS!$B$11:$P$545,10,FALSE)/7)*(7-$CU633),IF(AND($C633=2,CV633&lt;$DJ$1),(VLOOKUP($D633,HORAS!$B$4:$C$42,2,FALSE)*24)*$CV633,IF(AND($C633=2,CV633&gt;=$DJ$1),VLOOKUP($D633,HORAS!$B$4:$D$42,3,FALSE),IF(AND($C633=3,$CV633&gt;=$DJ$1),VLOOKUP($A633,FIJOS!$B$11:$P$545,10,FALSE),IF(AND($C633=3,$CV633&lt;$DJ$1),((VLOOKUP($A633,FIJOS!$B$11:$P$545,10,FALSE)/48)*24)*$CV633,IF(AND($C633=4,$CV633&gt;=(42/24)),VLOOKUP($D633,HORAS!$B$4:$D$42,3,FALSE),IF(AND($C633=5,$CV633&gt;=(36/24)),VLOOKUP($D633,HORAS!$B$4:$D$42,3,FALSE))))))))</f>
        <v>0</v>
      </c>
      <c r="DJ633" s="145">
        <f>IF(OR($C633=2),VLOOKUP($D633,HORAS!$B$4:$E$42,4,FALSE)*$EC633,IF(ISERROR(VLOOKUP($A633,FIJOS!$B$11:$P$108,9,FALSE)),0,VLOOKUP($A633,FIJOS!$B$11:$P$231,9,FALSE)*$EC633))</f>
        <v>0</v>
      </c>
      <c r="DK633" s="145">
        <f>IF(OR($C633=2),VLOOKUP($D633,HORAS!$B$4:$F$42,5,FALSE)*$EE633,IF(ISERROR(VLOOKUP($A633,FIJOS!$B$11:$P$108,9,FALSE)),0,VLOOKUP($A633,FIJOS!$B$11:$P$231,9,FALSE)*$EE633))</f>
        <v>0</v>
      </c>
      <c r="DL633" s="144"/>
      <c r="DM633" s="145">
        <f>IF(ISERROR(VLOOKUP($A633,FIJOS!$B$11:$L$646,11,FALSE)),0,VLOOKUP($A633,FIJOS!$B$11:$L$646,11,FALSE))</f>
        <v>0</v>
      </c>
      <c r="DN633" s="148" t="e">
        <f>IF(OR($C633=1,$C633=3),0,IF((VLOOKUP(CAPTURA!D633,HORAS!$B$4:$K$42,10,FALSE)/4)*COUNTIF($H633:$CT633,3)&gt;100,100,(VLOOKUP(CAPTURA!D633,HORAS!$B$4:$K$42,10,FALSE)/4)*COUNTIF($H633:$CT633,3)))</f>
        <v>#N/A</v>
      </c>
      <c r="DO633" s="144" t="e">
        <f>IF(OR($C633=1,$C633=3),0,IF($C633=5,VLOOKUP(D633,HORAS!$B$4:$G$42,6,FALSE),IF(AND($C633=4,$CV633&gt;=(42/24)),VLOOKUP(D633,HORAS!$B$4:$G$42,6,FALSE),IF(COUNTIF($H633:$CL633,"F")&gt;0,0,IF(CV633&gt;$DJ$1,$DJ$1*(VLOOKUP(D633,HORAS!$B$4:$G$42,6,FALSE)/$DJ$1),CV633*(VLOOKUP(D633,HORAS!$B$4:$G$42,6,FALSE)/$DJ$1))))))</f>
        <v>#N/A</v>
      </c>
      <c r="DP633" s="156"/>
      <c r="DQ633" s="148"/>
      <c r="DR633" s="148"/>
      <c r="DS633" s="83" t="e">
        <f t="shared" si="287"/>
        <v>#N/A</v>
      </c>
      <c r="DT633" s="84"/>
      <c r="DU633" s="149" t="e">
        <f t="shared" si="291"/>
        <v>#N/A</v>
      </c>
      <c r="DV633" s="149" t="e">
        <f t="shared" si="292"/>
        <v>#N/A</v>
      </c>
      <c r="DW633" s="144" t="e">
        <f t="shared" si="293"/>
        <v>#N/A</v>
      </c>
      <c r="DX633" s="168"/>
      <c r="DY633" s="29"/>
      <c r="DZ633" s="150"/>
      <c r="EA633" s="134"/>
      <c r="EB633" s="137">
        <f t="shared" si="294"/>
        <v>0</v>
      </c>
      <c r="EC633" s="138">
        <f t="shared" si="295"/>
        <v>0</v>
      </c>
      <c r="ED633" s="137">
        <f t="shared" si="296"/>
        <v>0</v>
      </c>
      <c r="EE633" s="132">
        <f t="shared" si="297"/>
        <v>0</v>
      </c>
      <c r="EF633" s="29"/>
      <c r="EG633" s="134"/>
      <c r="EH633" s="134"/>
      <c r="EI633" s="134"/>
      <c r="EK633" s="29"/>
    </row>
    <row r="634" spans="1:141" ht="15" customHeight="1" x14ac:dyDescent="0.25">
      <c r="A634" s="87"/>
      <c r="B634" s="5"/>
      <c r="C634" s="72"/>
      <c r="D634" s="73"/>
      <c r="E634" s="73"/>
      <c r="F634" s="141"/>
      <c r="G634" s="74"/>
      <c r="H634" s="75"/>
      <c r="I634" s="76"/>
      <c r="J634" s="135"/>
      <c r="K634" s="135"/>
      <c r="L634" s="77">
        <f t="shared" si="298"/>
        <v>0</v>
      </c>
      <c r="M634" s="78"/>
      <c r="N634" s="142"/>
      <c r="O634" s="142"/>
      <c r="P634" s="77">
        <f t="shared" si="299"/>
        <v>0</v>
      </c>
      <c r="Q634" s="78"/>
      <c r="R634" s="143"/>
      <c r="S634" s="143"/>
      <c r="T634" s="77">
        <f t="shared" si="300"/>
        <v>0</v>
      </c>
      <c r="U634" s="75"/>
      <c r="V634" s="76"/>
      <c r="W634" s="135"/>
      <c r="X634" s="135"/>
      <c r="Y634" s="77">
        <f t="shared" si="301"/>
        <v>0</v>
      </c>
      <c r="Z634" s="78"/>
      <c r="AA634" s="142"/>
      <c r="AB634" s="142"/>
      <c r="AC634" s="77">
        <f t="shared" si="302"/>
        <v>0</v>
      </c>
      <c r="AD634" s="78"/>
      <c r="AE634" s="143"/>
      <c r="AF634" s="143"/>
      <c r="AG634" s="79">
        <f t="shared" si="303"/>
        <v>0</v>
      </c>
      <c r="AH634" s="75"/>
      <c r="AI634" s="76"/>
      <c r="AJ634" s="135"/>
      <c r="AK634" s="135"/>
      <c r="AL634" s="77">
        <f t="shared" si="304"/>
        <v>0</v>
      </c>
      <c r="AM634" s="76"/>
      <c r="AN634" s="142"/>
      <c r="AO634" s="142"/>
      <c r="AP634" s="77">
        <f t="shared" si="305"/>
        <v>0</v>
      </c>
      <c r="AQ634" s="78"/>
      <c r="AR634" s="142"/>
      <c r="AS634" s="142"/>
      <c r="AT634" s="79">
        <f t="shared" si="306"/>
        <v>0</v>
      </c>
      <c r="AU634" s="75"/>
      <c r="AV634" s="76"/>
      <c r="AW634" s="135"/>
      <c r="AX634" s="135"/>
      <c r="AY634" s="77">
        <f t="shared" si="307"/>
        <v>0</v>
      </c>
      <c r="AZ634" s="76"/>
      <c r="BA634" s="142"/>
      <c r="BB634" s="142"/>
      <c r="BC634" s="77">
        <f t="shared" si="308"/>
        <v>0</v>
      </c>
      <c r="BD634" s="78"/>
      <c r="BE634" s="142"/>
      <c r="BF634" s="142"/>
      <c r="BG634" s="79">
        <f t="shared" si="309"/>
        <v>0</v>
      </c>
      <c r="BH634" s="75"/>
      <c r="BI634" s="76"/>
      <c r="BJ634" s="135"/>
      <c r="BK634" s="135"/>
      <c r="BL634" s="77">
        <f t="shared" si="310"/>
        <v>0</v>
      </c>
      <c r="BM634" s="78"/>
      <c r="BN634" s="142"/>
      <c r="BO634" s="142"/>
      <c r="BP634" s="77">
        <f t="shared" si="311"/>
        <v>0</v>
      </c>
      <c r="BQ634" s="78"/>
      <c r="BR634" s="142"/>
      <c r="BS634" s="142"/>
      <c r="BT634" s="79">
        <f t="shared" si="312"/>
        <v>0</v>
      </c>
      <c r="BU634" s="75"/>
      <c r="BV634" s="76"/>
      <c r="BW634" s="135"/>
      <c r="BX634" s="135"/>
      <c r="BY634" s="77">
        <f t="shared" si="313"/>
        <v>0</v>
      </c>
      <c r="BZ634" s="78"/>
      <c r="CA634" s="142"/>
      <c r="CB634" s="142"/>
      <c r="CC634" s="77">
        <f t="shared" si="314"/>
        <v>0</v>
      </c>
      <c r="CD634" s="78"/>
      <c r="CE634" s="142"/>
      <c r="CF634" s="142"/>
      <c r="CG634" s="79">
        <f t="shared" si="315"/>
        <v>0</v>
      </c>
      <c r="CH634" s="75"/>
      <c r="CI634" s="76"/>
      <c r="CJ634" s="86"/>
      <c r="CK634" s="86"/>
      <c r="CL634" s="77">
        <f t="shared" si="316"/>
        <v>0</v>
      </c>
      <c r="CM634" s="78"/>
      <c r="CN634" s="85"/>
      <c r="CO634" s="85"/>
      <c r="CP634" s="77">
        <f t="shared" si="317"/>
        <v>0</v>
      </c>
      <c r="CQ634" s="78"/>
      <c r="CR634" s="85"/>
      <c r="CS634" s="85"/>
      <c r="CT634" s="79">
        <f t="shared" si="318"/>
        <v>0</v>
      </c>
      <c r="CU634" s="80">
        <f t="shared" si="288"/>
        <v>0</v>
      </c>
      <c r="CV634" s="81">
        <f t="shared" si="289"/>
        <v>0</v>
      </c>
      <c r="CW634" s="144"/>
      <c r="CX634" s="145">
        <f>IF(ISERROR(VLOOKUP($A634,FIJOS!$B$11:$O$590,14,FALSE)),0,VLOOKUP($A634,FIJOS!$B$11:$O$590,14,FALSE))</f>
        <v>0</v>
      </c>
      <c r="CY634" s="145">
        <f>IF(ISERROR(VLOOKUP(A634,FIJOS!$B$10:$P$590,15,FALSE)),0,VLOOKUP(A634,FIJOS!$B$10:$P$590,15,FALSE))</f>
        <v>0</v>
      </c>
      <c r="CZ634" s="155"/>
      <c r="DA634" s="147"/>
      <c r="DB634" s="147"/>
      <c r="DC634" s="147"/>
      <c r="DD634" s="147"/>
      <c r="DE634" s="147"/>
      <c r="DF634" s="145">
        <f>IF(ISERROR(VLOOKUP($A634,FIJOS!$B$11:$N$590,13,FALSE)),0,VLOOKUP($A634,FIJOS!$B$11:$N$590,13,FALSE))</f>
        <v>0</v>
      </c>
      <c r="DG634" s="145">
        <f>IF(ISERROR(VLOOKUP($A634,FIJOS!$B$11:$P$447,12,FALSE)),0,VLOOKUP($A634,FIJOS!$B$11:$P$447,12,FALSE))</f>
        <v>0</v>
      </c>
      <c r="DH634" s="82">
        <f t="shared" si="290"/>
        <v>0</v>
      </c>
      <c r="DI634" s="83" t="b">
        <f>IF($C634=1,(VLOOKUP($A634,FIJOS!$B$11:$P$545,10,FALSE)/7)*(7-$CU634),IF(AND($C634=2,CV634&lt;$DJ$1),(VLOOKUP($D634,HORAS!$B$4:$C$42,2,FALSE)*24)*$CV634,IF(AND($C634=2,CV634&gt;=$DJ$1),VLOOKUP($D634,HORAS!$B$4:$D$42,3,FALSE),IF(AND($C634=3,$CV634&gt;=$DJ$1),VLOOKUP($A634,FIJOS!$B$11:$P$545,10,FALSE),IF(AND($C634=3,$CV634&lt;$DJ$1),((VLOOKUP($A634,FIJOS!$B$11:$P$545,10,FALSE)/48)*24)*$CV634,IF(AND($C634=4,$CV634&gt;=(42/24)),VLOOKUP($D634,HORAS!$B$4:$D$42,3,FALSE),IF(AND($C634=5,$CV634&gt;=(36/24)),VLOOKUP($D634,HORAS!$B$4:$D$42,3,FALSE))))))))</f>
        <v>0</v>
      </c>
      <c r="DJ634" s="145">
        <f>IF(OR($C634=2),VLOOKUP($D634,HORAS!$B$4:$E$42,4,FALSE)*$EC634,IF(ISERROR(VLOOKUP($A634,FIJOS!$B$11:$P$108,9,FALSE)),0,VLOOKUP($A634,FIJOS!$B$11:$P$231,9,FALSE)*$EC634))</f>
        <v>0</v>
      </c>
      <c r="DK634" s="145">
        <f>IF(OR($C634=2),VLOOKUP($D634,HORAS!$B$4:$F$42,5,FALSE)*$EE634,IF(ISERROR(VLOOKUP($A634,FIJOS!$B$11:$P$108,9,FALSE)),0,VLOOKUP($A634,FIJOS!$B$11:$P$231,9,FALSE)*$EE634))</f>
        <v>0</v>
      </c>
      <c r="DL634" s="144"/>
      <c r="DM634" s="145">
        <f>IF(ISERROR(VLOOKUP($A634,FIJOS!$B$11:$L$646,11,FALSE)),0,VLOOKUP($A634,FIJOS!$B$11:$L$646,11,FALSE))</f>
        <v>0</v>
      </c>
      <c r="DN634" s="148" t="e">
        <f>IF(OR($C634=1,$C634=3),0,IF((VLOOKUP(CAPTURA!D634,HORAS!$B$4:$K$42,10,FALSE)/4)*COUNTIF($H634:$CT634,3)&gt;100,100,(VLOOKUP(CAPTURA!D634,HORAS!$B$4:$K$42,10,FALSE)/4)*COUNTIF($H634:$CT634,3)))</f>
        <v>#N/A</v>
      </c>
      <c r="DO634" s="144" t="e">
        <f>IF(OR($C634=1,$C634=3),0,IF($C634=5,VLOOKUP(D634,HORAS!$B$4:$G$42,6,FALSE),IF(AND($C634=4,$CV634&gt;=(42/24)),VLOOKUP(D634,HORAS!$B$4:$G$42,6,FALSE),IF(COUNTIF($H634:$CL634,"F")&gt;0,0,IF(CV634&gt;$DJ$1,$DJ$1*(VLOOKUP(D634,HORAS!$B$4:$G$42,6,FALSE)/$DJ$1),CV634*(VLOOKUP(D634,HORAS!$B$4:$G$42,6,FALSE)/$DJ$1))))))</f>
        <v>#N/A</v>
      </c>
      <c r="DP634" s="156"/>
      <c r="DQ634" s="148"/>
      <c r="DR634" s="148"/>
      <c r="DS634" s="83" t="e">
        <f t="shared" ref="DS634:DS677" si="319">SUM(DI634:DR634)</f>
        <v>#N/A</v>
      </c>
      <c r="DT634" s="84"/>
      <c r="DU634" s="149" t="e">
        <f t="shared" si="291"/>
        <v>#N/A</v>
      </c>
      <c r="DV634" s="149" t="e">
        <f t="shared" si="292"/>
        <v>#N/A</v>
      </c>
      <c r="DW634" s="144" t="e">
        <f t="shared" si="293"/>
        <v>#N/A</v>
      </c>
      <c r="DX634" s="168"/>
      <c r="DY634" s="29"/>
      <c r="DZ634" s="150"/>
      <c r="EA634" s="134"/>
      <c r="EB634" s="137">
        <f t="shared" si="294"/>
        <v>0</v>
      </c>
      <c r="EC634" s="138">
        <f t="shared" si="295"/>
        <v>0</v>
      </c>
      <c r="ED634" s="137">
        <f t="shared" si="296"/>
        <v>0</v>
      </c>
      <c r="EE634" s="132">
        <f t="shared" si="297"/>
        <v>0</v>
      </c>
      <c r="EF634" s="29"/>
      <c r="EG634" s="134"/>
      <c r="EH634" s="134"/>
      <c r="EI634" s="134"/>
      <c r="EK634" s="29"/>
    </row>
    <row r="635" spans="1:141" ht="15" customHeight="1" x14ac:dyDescent="0.25">
      <c r="A635" s="87"/>
      <c r="B635" s="5"/>
      <c r="C635" s="72"/>
      <c r="D635" s="73"/>
      <c r="E635" s="73"/>
      <c r="F635" s="141"/>
      <c r="G635" s="74"/>
      <c r="H635" s="75"/>
      <c r="I635" s="76"/>
      <c r="J635" s="135"/>
      <c r="K635" s="135"/>
      <c r="L635" s="77">
        <f t="shared" si="298"/>
        <v>0</v>
      </c>
      <c r="M635" s="78"/>
      <c r="N635" s="142"/>
      <c r="O635" s="142"/>
      <c r="P635" s="77">
        <f t="shared" si="299"/>
        <v>0</v>
      </c>
      <c r="Q635" s="78"/>
      <c r="R635" s="143"/>
      <c r="S635" s="143"/>
      <c r="T635" s="77">
        <f t="shared" si="300"/>
        <v>0</v>
      </c>
      <c r="U635" s="75"/>
      <c r="V635" s="76"/>
      <c r="W635" s="135"/>
      <c r="X635" s="135"/>
      <c r="Y635" s="77">
        <f t="shared" si="301"/>
        <v>0</v>
      </c>
      <c r="Z635" s="78"/>
      <c r="AA635" s="142"/>
      <c r="AB635" s="142"/>
      <c r="AC635" s="77">
        <f t="shared" si="302"/>
        <v>0</v>
      </c>
      <c r="AD635" s="78"/>
      <c r="AE635" s="143"/>
      <c r="AF635" s="143"/>
      <c r="AG635" s="79">
        <f t="shared" si="303"/>
        <v>0</v>
      </c>
      <c r="AH635" s="75"/>
      <c r="AI635" s="76"/>
      <c r="AJ635" s="135"/>
      <c r="AK635" s="135"/>
      <c r="AL635" s="77">
        <f t="shared" si="304"/>
        <v>0</v>
      </c>
      <c r="AM635" s="76"/>
      <c r="AN635" s="142"/>
      <c r="AO635" s="142"/>
      <c r="AP635" s="77">
        <f t="shared" si="305"/>
        <v>0</v>
      </c>
      <c r="AQ635" s="78"/>
      <c r="AR635" s="142"/>
      <c r="AS635" s="142"/>
      <c r="AT635" s="79">
        <f t="shared" si="306"/>
        <v>0</v>
      </c>
      <c r="AU635" s="75"/>
      <c r="AV635" s="76"/>
      <c r="AW635" s="135"/>
      <c r="AX635" s="135"/>
      <c r="AY635" s="77">
        <f t="shared" si="307"/>
        <v>0</v>
      </c>
      <c r="AZ635" s="76"/>
      <c r="BA635" s="142"/>
      <c r="BB635" s="142"/>
      <c r="BC635" s="77">
        <f t="shared" si="308"/>
        <v>0</v>
      </c>
      <c r="BD635" s="78"/>
      <c r="BE635" s="142"/>
      <c r="BF635" s="142"/>
      <c r="BG635" s="79">
        <f t="shared" si="309"/>
        <v>0</v>
      </c>
      <c r="BH635" s="75"/>
      <c r="BI635" s="76"/>
      <c r="BJ635" s="135"/>
      <c r="BK635" s="135"/>
      <c r="BL635" s="77">
        <f t="shared" si="310"/>
        <v>0</v>
      </c>
      <c r="BM635" s="78"/>
      <c r="BN635" s="142"/>
      <c r="BO635" s="142"/>
      <c r="BP635" s="77">
        <f t="shared" si="311"/>
        <v>0</v>
      </c>
      <c r="BQ635" s="78"/>
      <c r="BR635" s="142"/>
      <c r="BS635" s="142"/>
      <c r="BT635" s="79">
        <f t="shared" si="312"/>
        <v>0</v>
      </c>
      <c r="BU635" s="75"/>
      <c r="BV635" s="76"/>
      <c r="BW635" s="135"/>
      <c r="BX635" s="135"/>
      <c r="BY635" s="77">
        <f t="shared" si="313"/>
        <v>0</v>
      </c>
      <c r="BZ635" s="78"/>
      <c r="CA635" s="142"/>
      <c r="CB635" s="142"/>
      <c r="CC635" s="77">
        <f t="shared" si="314"/>
        <v>0</v>
      </c>
      <c r="CD635" s="78"/>
      <c r="CE635" s="142"/>
      <c r="CF635" s="142"/>
      <c r="CG635" s="79">
        <f t="shared" si="315"/>
        <v>0</v>
      </c>
      <c r="CH635" s="75"/>
      <c r="CI635" s="76"/>
      <c r="CJ635" s="86"/>
      <c r="CK635" s="86"/>
      <c r="CL635" s="77">
        <f t="shared" si="316"/>
        <v>0</v>
      </c>
      <c r="CM635" s="78"/>
      <c r="CN635" s="85"/>
      <c r="CO635" s="85"/>
      <c r="CP635" s="77">
        <f t="shared" si="317"/>
        <v>0</v>
      </c>
      <c r="CQ635" s="78"/>
      <c r="CR635" s="85"/>
      <c r="CS635" s="85"/>
      <c r="CT635" s="79">
        <f t="shared" si="318"/>
        <v>0</v>
      </c>
      <c r="CU635" s="80">
        <f t="shared" si="288"/>
        <v>0</v>
      </c>
      <c r="CV635" s="81">
        <f t="shared" si="289"/>
        <v>0</v>
      </c>
      <c r="CW635" s="144"/>
      <c r="CX635" s="145">
        <f>IF(ISERROR(VLOOKUP($A635,FIJOS!$B$11:$O$590,14,FALSE)),0,VLOOKUP($A635,FIJOS!$B$11:$O$590,14,FALSE))</f>
        <v>0</v>
      </c>
      <c r="CY635" s="145">
        <f>IF(ISERROR(VLOOKUP(A635,FIJOS!$B$10:$P$590,15,FALSE)),0,VLOOKUP(A635,FIJOS!$B$10:$P$590,15,FALSE))</f>
        <v>0</v>
      </c>
      <c r="CZ635" s="155"/>
      <c r="DA635" s="147"/>
      <c r="DB635" s="147"/>
      <c r="DC635" s="147"/>
      <c r="DD635" s="147"/>
      <c r="DE635" s="147"/>
      <c r="DF635" s="145">
        <f>IF(ISERROR(VLOOKUP($A635,FIJOS!$B$11:$N$590,13,FALSE)),0,VLOOKUP($A635,FIJOS!$B$11:$N$590,13,FALSE))</f>
        <v>0</v>
      </c>
      <c r="DG635" s="145">
        <f>IF(ISERROR(VLOOKUP($A635,FIJOS!$B$11:$P$447,12,FALSE)),0,VLOOKUP($A635,FIJOS!$B$11:$P$447,12,FALSE))</f>
        <v>0</v>
      </c>
      <c r="DH635" s="82">
        <f t="shared" si="290"/>
        <v>0</v>
      </c>
      <c r="DI635" s="83" t="b">
        <f>IF($C635=1,(VLOOKUP($A635,FIJOS!$B$11:$P$545,10,FALSE)/7)*(7-$CU635),IF(AND($C635=2,CV635&lt;$DJ$1),(VLOOKUP($D635,HORAS!$B$4:$C$42,2,FALSE)*24)*$CV635,IF(AND($C635=2,CV635&gt;=$DJ$1),VLOOKUP($D635,HORAS!$B$4:$D$42,3,FALSE),IF(AND($C635=3,$CV635&gt;=$DJ$1),VLOOKUP($A635,FIJOS!$B$11:$P$545,10,FALSE),IF(AND($C635=3,$CV635&lt;$DJ$1),((VLOOKUP($A635,FIJOS!$B$11:$P$545,10,FALSE)/48)*24)*$CV635,IF(AND($C635=4,$CV635&gt;=(42/24)),VLOOKUP($D635,HORAS!$B$4:$D$42,3,FALSE),IF(AND($C635=5,$CV635&gt;=(36/24)),VLOOKUP($D635,HORAS!$B$4:$D$42,3,FALSE))))))))</f>
        <v>0</v>
      </c>
      <c r="DJ635" s="145">
        <f>IF(OR($C635=2),VLOOKUP($D635,HORAS!$B$4:$E$42,4,FALSE)*$EC635,IF(ISERROR(VLOOKUP($A635,FIJOS!$B$11:$P$108,9,FALSE)),0,VLOOKUP($A635,FIJOS!$B$11:$P$231,9,FALSE)*$EC635))</f>
        <v>0</v>
      </c>
      <c r="DK635" s="145">
        <f>IF(OR($C635=2),VLOOKUP($D635,HORAS!$B$4:$F$42,5,FALSE)*$EE635,IF(ISERROR(VLOOKUP($A635,FIJOS!$B$11:$P$108,9,FALSE)),0,VLOOKUP($A635,FIJOS!$B$11:$P$231,9,FALSE)*$EE635))</f>
        <v>0</v>
      </c>
      <c r="DL635" s="144"/>
      <c r="DM635" s="145">
        <f>IF(ISERROR(VLOOKUP($A635,FIJOS!$B$11:$L$646,11,FALSE)),0,VLOOKUP($A635,FIJOS!$B$11:$L$646,11,FALSE))</f>
        <v>0</v>
      </c>
      <c r="DN635" s="148" t="e">
        <f>IF(OR($C635=1,$C635=3),0,IF((VLOOKUP(CAPTURA!D635,HORAS!$B$4:$K$42,10,FALSE)/4)*COUNTIF($H635:$CT635,3)&gt;100,100,(VLOOKUP(CAPTURA!D635,HORAS!$B$4:$K$42,10,FALSE)/4)*COUNTIF($H635:$CT635,3)))</f>
        <v>#N/A</v>
      </c>
      <c r="DO635" s="144" t="e">
        <f>IF(OR($C635=1,$C635=3),0,IF($C635=5,VLOOKUP(D635,HORAS!$B$4:$G$42,6,FALSE),IF(AND($C635=4,$CV635&gt;=(42/24)),VLOOKUP(D635,HORAS!$B$4:$G$42,6,FALSE),IF(COUNTIF($H635:$CL635,"F")&gt;0,0,IF(CV635&gt;$DJ$1,$DJ$1*(VLOOKUP(D635,HORAS!$B$4:$G$42,6,FALSE)/$DJ$1),CV635*(VLOOKUP(D635,HORAS!$B$4:$G$42,6,FALSE)/$DJ$1))))))</f>
        <v>#N/A</v>
      </c>
      <c r="DP635" s="156"/>
      <c r="DQ635" s="148"/>
      <c r="DR635" s="148"/>
      <c r="DS635" s="83" t="e">
        <f t="shared" si="319"/>
        <v>#N/A</v>
      </c>
      <c r="DT635" s="84"/>
      <c r="DU635" s="149" t="e">
        <f t="shared" si="291"/>
        <v>#N/A</v>
      </c>
      <c r="DV635" s="149" t="e">
        <f t="shared" si="292"/>
        <v>#N/A</v>
      </c>
      <c r="DW635" s="144" t="e">
        <f t="shared" si="293"/>
        <v>#N/A</v>
      </c>
      <c r="DX635" s="168"/>
      <c r="DY635" s="29"/>
      <c r="DZ635" s="150"/>
      <c r="EA635" s="134"/>
      <c r="EB635" s="137">
        <f t="shared" si="294"/>
        <v>0</v>
      </c>
      <c r="EC635" s="138">
        <f t="shared" si="295"/>
        <v>0</v>
      </c>
      <c r="ED635" s="137">
        <f t="shared" si="296"/>
        <v>0</v>
      </c>
      <c r="EE635" s="132">
        <f t="shared" si="297"/>
        <v>0</v>
      </c>
      <c r="EF635" s="29"/>
      <c r="EG635" s="134"/>
      <c r="EH635" s="134"/>
      <c r="EI635" s="134"/>
      <c r="EK635" s="29"/>
    </row>
    <row r="636" spans="1:141" ht="15" customHeight="1" x14ac:dyDescent="0.25">
      <c r="A636" s="87"/>
      <c r="B636" s="5"/>
      <c r="C636" s="72"/>
      <c r="D636" s="73"/>
      <c r="E636" s="73"/>
      <c r="F636" s="141"/>
      <c r="G636" s="74"/>
      <c r="H636" s="75"/>
      <c r="I636" s="76"/>
      <c r="J636" s="135"/>
      <c r="K636" s="135"/>
      <c r="L636" s="77">
        <f t="shared" si="298"/>
        <v>0</v>
      </c>
      <c r="M636" s="78"/>
      <c r="N636" s="142"/>
      <c r="O636" s="142"/>
      <c r="P636" s="77">
        <f t="shared" si="299"/>
        <v>0</v>
      </c>
      <c r="Q636" s="78"/>
      <c r="R636" s="143"/>
      <c r="S636" s="143"/>
      <c r="T636" s="77">
        <f t="shared" si="300"/>
        <v>0</v>
      </c>
      <c r="U636" s="75"/>
      <c r="V636" s="76"/>
      <c r="W636" s="135"/>
      <c r="X636" s="135"/>
      <c r="Y636" s="77">
        <f t="shared" si="301"/>
        <v>0</v>
      </c>
      <c r="Z636" s="78"/>
      <c r="AA636" s="142"/>
      <c r="AB636" s="142"/>
      <c r="AC636" s="77">
        <f t="shared" si="302"/>
        <v>0</v>
      </c>
      <c r="AD636" s="78"/>
      <c r="AE636" s="143"/>
      <c r="AF636" s="143"/>
      <c r="AG636" s="79">
        <f t="shared" si="303"/>
        <v>0</v>
      </c>
      <c r="AH636" s="75"/>
      <c r="AI636" s="76"/>
      <c r="AJ636" s="135"/>
      <c r="AK636" s="135"/>
      <c r="AL636" s="77">
        <f t="shared" si="304"/>
        <v>0</v>
      </c>
      <c r="AM636" s="76"/>
      <c r="AN636" s="142"/>
      <c r="AO636" s="142"/>
      <c r="AP636" s="77">
        <f t="shared" si="305"/>
        <v>0</v>
      </c>
      <c r="AQ636" s="78"/>
      <c r="AR636" s="142"/>
      <c r="AS636" s="142"/>
      <c r="AT636" s="79">
        <f t="shared" si="306"/>
        <v>0</v>
      </c>
      <c r="AU636" s="75"/>
      <c r="AV636" s="76"/>
      <c r="AW636" s="135"/>
      <c r="AX636" s="135"/>
      <c r="AY636" s="77">
        <f t="shared" si="307"/>
        <v>0</v>
      </c>
      <c r="AZ636" s="76"/>
      <c r="BA636" s="142"/>
      <c r="BB636" s="142"/>
      <c r="BC636" s="77">
        <f t="shared" si="308"/>
        <v>0</v>
      </c>
      <c r="BD636" s="78"/>
      <c r="BE636" s="142"/>
      <c r="BF636" s="142"/>
      <c r="BG636" s="79">
        <f t="shared" si="309"/>
        <v>0</v>
      </c>
      <c r="BH636" s="75"/>
      <c r="BI636" s="76"/>
      <c r="BJ636" s="135"/>
      <c r="BK636" s="135"/>
      <c r="BL636" s="77">
        <f t="shared" si="310"/>
        <v>0</v>
      </c>
      <c r="BM636" s="78"/>
      <c r="BN636" s="142"/>
      <c r="BO636" s="142"/>
      <c r="BP636" s="77">
        <f t="shared" si="311"/>
        <v>0</v>
      </c>
      <c r="BQ636" s="78"/>
      <c r="BR636" s="142"/>
      <c r="BS636" s="142"/>
      <c r="BT636" s="79">
        <f t="shared" si="312"/>
        <v>0</v>
      </c>
      <c r="BU636" s="75"/>
      <c r="BV636" s="76"/>
      <c r="BW636" s="135"/>
      <c r="BX636" s="135"/>
      <c r="BY636" s="77">
        <f t="shared" si="313"/>
        <v>0</v>
      </c>
      <c r="BZ636" s="78"/>
      <c r="CA636" s="142"/>
      <c r="CB636" s="142"/>
      <c r="CC636" s="77">
        <f t="shared" si="314"/>
        <v>0</v>
      </c>
      <c r="CD636" s="78"/>
      <c r="CE636" s="142"/>
      <c r="CF636" s="142"/>
      <c r="CG636" s="79">
        <f t="shared" si="315"/>
        <v>0</v>
      </c>
      <c r="CH636" s="75"/>
      <c r="CI636" s="76"/>
      <c r="CJ636" s="86"/>
      <c r="CK636" s="86"/>
      <c r="CL636" s="77">
        <f t="shared" si="316"/>
        <v>0</v>
      </c>
      <c r="CM636" s="78"/>
      <c r="CN636" s="85"/>
      <c r="CO636" s="85"/>
      <c r="CP636" s="77">
        <f t="shared" si="317"/>
        <v>0</v>
      </c>
      <c r="CQ636" s="78"/>
      <c r="CR636" s="85"/>
      <c r="CS636" s="85"/>
      <c r="CT636" s="79">
        <f t="shared" si="318"/>
        <v>0</v>
      </c>
      <c r="CU636" s="80">
        <f t="shared" si="288"/>
        <v>0</v>
      </c>
      <c r="CV636" s="81">
        <f t="shared" si="289"/>
        <v>0</v>
      </c>
      <c r="CW636" s="144"/>
      <c r="CX636" s="145">
        <f>IF(ISERROR(VLOOKUP($A636,FIJOS!$B$11:$O$590,14,FALSE)),0,VLOOKUP($A636,FIJOS!$B$11:$O$590,14,FALSE))</f>
        <v>0</v>
      </c>
      <c r="CY636" s="145">
        <f>IF(ISERROR(VLOOKUP(A636,FIJOS!$B$10:$P$590,15,FALSE)),0,VLOOKUP(A636,FIJOS!$B$10:$P$590,15,FALSE))</f>
        <v>0</v>
      </c>
      <c r="CZ636" s="155"/>
      <c r="DA636" s="147"/>
      <c r="DB636" s="147"/>
      <c r="DC636" s="147"/>
      <c r="DD636" s="147"/>
      <c r="DE636" s="147"/>
      <c r="DF636" s="145">
        <f>IF(ISERROR(VLOOKUP($A636,FIJOS!$B$11:$N$590,13,FALSE)),0,VLOOKUP($A636,FIJOS!$B$11:$N$590,13,FALSE))</f>
        <v>0</v>
      </c>
      <c r="DG636" s="145">
        <f>IF(ISERROR(VLOOKUP($A636,FIJOS!$B$11:$P$447,12,FALSE)),0,VLOOKUP($A636,FIJOS!$B$11:$P$447,12,FALSE))</f>
        <v>0</v>
      </c>
      <c r="DH636" s="82">
        <f t="shared" si="290"/>
        <v>0</v>
      </c>
      <c r="DI636" s="83" t="b">
        <f>IF($C636=1,(VLOOKUP($A636,FIJOS!$B$11:$P$545,10,FALSE)/7)*(7-$CU636),IF(AND($C636=2,CV636&lt;$DJ$1),(VLOOKUP($D636,HORAS!$B$4:$C$42,2,FALSE)*24)*$CV636,IF(AND($C636=2,CV636&gt;=$DJ$1),VLOOKUP($D636,HORAS!$B$4:$D$42,3,FALSE),IF(AND($C636=3,$CV636&gt;=$DJ$1),VLOOKUP($A636,FIJOS!$B$11:$P$545,10,FALSE),IF(AND($C636=3,$CV636&lt;$DJ$1),((VLOOKUP($A636,FIJOS!$B$11:$P$545,10,FALSE)/48)*24)*$CV636,IF(AND($C636=4,$CV636&gt;=(42/24)),VLOOKUP($D636,HORAS!$B$4:$D$42,3,FALSE),IF(AND($C636=5,$CV636&gt;=(36/24)),VLOOKUP($D636,HORAS!$B$4:$D$42,3,FALSE))))))))</f>
        <v>0</v>
      </c>
      <c r="DJ636" s="145">
        <f>IF(OR($C636=2),VLOOKUP($D636,HORAS!$B$4:$E$42,4,FALSE)*$EC636,IF(ISERROR(VLOOKUP($A636,FIJOS!$B$11:$P$108,9,FALSE)),0,VLOOKUP($A636,FIJOS!$B$11:$P$231,9,FALSE)*$EC636))</f>
        <v>0</v>
      </c>
      <c r="DK636" s="145">
        <f>IF(OR($C636=2),VLOOKUP($D636,HORAS!$B$4:$F$42,5,FALSE)*$EE636,IF(ISERROR(VLOOKUP($A636,FIJOS!$B$11:$P$108,9,FALSE)),0,VLOOKUP($A636,FIJOS!$B$11:$P$231,9,FALSE)*$EE636))</f>
        <v>0</v>
      </c>
      <c r="DL636" s="144"/>
      <c r="DM636" s="145">
        <f>IF(ISERROR(VLOOKUP($A636,FIJOS!$B$11:$L$646,11,FALSE)),0,VLOOKUP($A636,FIJOS!$B$11:$L$646,11,FALSE))</f>
        <v>0</v>
      </c>
      <c r="DN636" s="148" t="e">
        <f>IF(OR($C636=1,$C636=3),0,IF((VLOOKUP(CAPTURA!D636,HORAS!$B$4:$K$42,10,FALSE)/4)*COUNTIF($H636:$CT636,3)&gt;100,100,(VLOOKUP(CAPTURA!D636,HORAS!$B$4:$K$42,10,FALSE)/4)*COUNTIF($H636:$CT636,3)))</f>
        <v>#N/A</v>
      </c>
      <c r="DO636" s="144" t="e">
        <f>IF(OR($C636=1,$C636=3),0,IF($C636=5,VLOOKUP(D636,HORAS!$B$4:$G$42,6,FALSE),IF(AND($C636=4,$CV636&gt;=(42/24)),VLOOKUP(D636,HORAS!$B$4:$G$42,6,FALSE),IF(COUNTIF($H636:$CL636,"F")&gt;0,0,IF(CV636&gt;$DJ$1,$DJ$1*(VLOOKUP(D636,HORAS!$B$4:$G$42,6,FALSE)/$DJ$1),CV636*(VLOOKUP(D636,HORAS!$B$4:$G$42,6,FALSE)/$DJ$1))))))</f>
        <v>#N/A</v>
      </c>
      <c r="DP636" s="156"/>
      <c r="DQ636" s="148"/>
      <c r="DR636" s="148"/>
      <c r="DS636" s="83" t="e">
        <f t="shared" si="319"/>
        <v>#N/A</v>
      </c>
      <c r="DT636" s="84"/>
      <c r="DU636" s="149" t="e">
        <f t="shared" si="291"/>
        <v>#N/A</v>
      </c>
      <c r="DV636" s="149" t="e">
        <f t="shared" si="292"/>
        <v>#N/A</v>
      </c>
      <c r="DW636" s="144" t="e">
        <f t="shared" si="293"/>
        <v>#N/A</v>
      </c>
      <c r="DX636" s="168"/>
      <c r="DY636" s="29"/>
      <c r="DZ636" s="150"/>
      <c r="EA636" s="134"/>
      <c r="EB636" s="137">
        <f t="shared" si="294"/>
        <v>0</v>
      </c>
      <c r="EC636" s="138">
        <f t="shared" si="295"/>
        <v>0</v>
      </c>
      <c r="ED636" s="137">
        <f t="shared" si="296"/>
        <v>0</v>
      </c>
      <c r="EE636" s="132">
        <f t="shared" si="297"/>
        <v>0</v>
      </c>
      <c r="EF636" s="29"/>
      <c r="EG636" s="134"/>
      <c r="EH636" s="134"/>
      <c r="EI636" s="134"/>
      <c r="EK636" s="29"/>
    </row>
    <row r="637" spans="1:141" ht="15" customHeight="1" x14ac:dyDescent="0.25">
      <c r="A637" s="87"/>
      <c r="B637" s="5"/>
      <c r="C637" s="72"/>
      <c r="D637" s="73"/>
      <c r="E637" s="73"/>
      <c r="F637" s="141"/>
      <c r="G637" s="74"/>
      <c r="H637" s="75"/>
      <c r="I637" s="76"/>
      <c r="J637" s="135"/>
      <c r="K637" s="135"/>
      <c r="L637" s="77">
        <f t="shared" si="298"/>
        <v>0</v>
      </c>
      <c r="M637" s="78"/>
      <c r="N637" s="142"/>
      <c r="O637" s="142"/>
      <c r="P637" s="77">
        <f t="shared" si="299"/>
        <v>0</v>
      </c>
      <c r="Q637" s="78"/>
      <c r="R637" s="143"/>
      <c r="S637" s="143"/>
      <c r="T637" s="77">
        <f t="shared" si="300"/>
        <v>0</v>
      </c>
      <c r="U637" s="75"/>
      <c r="V637" s="76"/>
      <c r="W637" s="135"/>
      <c r="X637" s="135"/>
      <c r="Y637" s="77">
        <f t="shared" si="301"/>
        <v>0</v>
      </c>
      <c r="Z637" s="78"/>
      <c r="AA637" s="142"/>
      <c r="AB637" s="142"/>
      <c r="AC637" s="77">
        <f t="shared" si="302"/>
        <v>0</v>
      </c>
      <c r="AD637" s="78"/>
      <c r="AE637" s="143"/>
      <c r="AF637" s="143"/>
      <c r="AG637" s="79">
        <f t="shared" si="303"/>
        <v>0</v>
      </c>
      <c r="AH637" s="75"/>
      <c r="AI637" s="76"/>
      <c r="AJ637" s="135"/>
      <c r="AK637" s="135"/>
      <c r="AL637" s="77">
        <f t="shared" si="304"/>
        <v>0</v>
      </c>
      <c r="AM637" s="76"/>
      <c r="AN637" s="142"/>
      <c r="AO637" s="142"/>
      <c r="AP637" s="77">
        <f t="shared" si="305"/>
        <v>0</v>
      </c>
      <c r="AQ637" s="78"/>
      <c r="AR637" s="142"/>
      <c r="AS637" s="142"/>
      <c r="AT637" s="79">
        <f t="shared" si="306"/>
        <v>0</v>
      </c>
      <c r="AU637" s="75"/>
      <c r="AV637" s="76"/>
      <c r="AW637" s="135"/>
      <c r="AX637" s="135"/>
      <c r="AY637" s="77">
        <f t="shared" si="307"/>
        <v>0</v>
      </c>
      <c r="AZ637" s="76"/>
      <c r="BA637" s="142"/>
      <c r="BB637" s="142"/>
      <c r="BC637" s="77">
        <f t="shared" si="308"/>
        <v>0</v>
      </c>
      <c r="BD637" s="78"/>
      <c r="BE637" s="142"/>
      <c r="BF637" s="142"/>
      <c r="BG637" s="79">
        <f t="shared" si="309"/>
        <v>0</v>
      </c>
      <c r="BH637" s="75"/>
      <c r="BI637" s="76"/>
      <c r="BJ637" s="135"/>
      <c r="BK637" s="135"/>
      <c r="BL637" s="77">
        <f t="shared" si="310"/>
        <v>0</v>
      </c>
      <c r="BM637" s="78"/>
      <c r="BN637" s="142"/>
      <c r="BO637" s="142"/>
      <c r="BP637" s="77">
        <f t="shared" si="311"/>
        <v>0</v>
      </c>
      <c r="BQ637" s="78"/>
      <c r="BR637" s="142"/>
      <c r="BS637" s="142"/>
      <c r="BT637" s="79">
        <f t="shared" si="312"/>
        <v>0</v>
      </c>
      <c r="BU637" s="75"/>
      <c r="BV637" s="76"/>
      <c r="BW637" s="135"/>
      <c r="BX637" s="135"/>
      <c r="BY637" s="77">
        <f t="shared" si="313"/>
        <v>0</v>
      </c>
      <c r="BZ637" s="78"/>
      <c r="CA637" s="142"/>
      <c r="CB637" s="142"/>
      <c r="CC637" s="77">
        <f t="shared" si="314"/>
        <v>0</v>
      </c>
      <c r="CD637" s="78"/>
      <c r="CE637" s="142"/>
      <c r="CF637" s="142"/>
      <c r="CG637" s="79">
        <f t="shared" si="315"/>
        <v>0</v>
      </c>
      <c r="CH637" s="75"/>
      <c r="CI637" s="76"/>
      <c r="CJ637" s="86"/>
      <c r="CK637" s="86"/>
      <c r="CL637" s="77">
        <f t="shared" si="316"/>
        <v>0</v>
      </c>
      <c r="CM637" s="78"/>
      <c r="CN637" s="85"/>
      <c r="CO637" s="85"/>
      <c r="CP637" s="77">
        <f t="shared" si="317"/>
        <v>0</v>
      </c>
      <c r="CQ637" s="78"/>
      <c r="CR637" s="85"/>
      <c r="CS637" s="85"/>
      <c r="CT637" s="79">
        <f t="shared" si="318"/>
        <v>0</v>
      </c>
      <c r="CU637" s="80">
        <f t="shared" si="288"/>
        <v>0</v>
      </c>
      <c r="CV637" s="81">
        <f t="shared" si="289"/>
        <v>0</v>
      </c>
      <c r="CW637" s="144"/>
      <c r="CX637" s="145">
        <f>IF(ISERROR(VLOOKUP($A637,FIJOS!$B$11:$O$590,14,FALSE)),0,VLOOKUP($A637,FIJOS!$B$11:$O$590,14,FALSE))</f>
        <v>0</v>
      </c>
      <c r="CY637" s="145">
        <f>IF(ISERROR(VLOOKUP(A637,FIJOS!$B$10:$P$590,15,FALSE)),0,VLOOKUP(A637,FIJOS!$B$10:$P$590,15,FALSE))</f>
        <v>0</v>
      </c>
      <c r="CZ637" s="155"/>
      <c r="DA637" s="147"/>
      <c r="DB637" s="147"/>
      <c r="DC637" s="147"/>
      <c r="DD637" s="147"/>
      <c r="DE637" s="147"/>
      <c r="DF637" s="145">
        <f>IF(ISERROR(VLOOKUP($A637,FIJOS!$B$11:$N$590,13,FALSE)),0,VLOOKUP($A637,FIJOS!$B$11:$N$590,13,FALSE))</f>
        <v>0</v>
      </c>
      <c r="DG637" s="145">
        <f>IF(ISERROR(VLOOKUP($A637,FIJOS!$B$11:$P$447,12,FALSE)),0,VLOOKUP($A637,FIJOS!$B$11:$P$447,12,FALSE))</f>
        <v>0</v>
      </c>
      <c r="DH637" s="82">
        <f t="shared" si="290"/>
        <v>0</v>
      </c>
      <c r="DI637" s="83" t="b">
        <f>IF($C637=1,(VLOOKUP($A637,FIJOS!$B$11:$P$545,10,FALSE)/7)*(7-$CU637),IF(AND($C637=2,CV637&lt;$DJ$1),(VLOOKUP($D637,HORAS!$B$4:$C$42,2,FALSE)*24)*$CV637,IF(AND($C637=2,CV637&gt;=$DJ$1),VLOOKUP($D637,HORAS!$B$4:$D$42,3,FALSE),IF(AND($C637=3,$CV637&gt;=$DJ$1),VLOOKUP($A637,FIJOS!$B$11:$P$545,10,FALSE),IF(AND($C637=3,$CV637&lt;$DJ$1),((VLOOKUP($A637,FIJOS!$B$11:$P$545,10,FALSE)/48)*24)*$CV637,IF(AND($C637=4,$CV637&gt;=(42/24)),VLOOKUP($D637,HORAS!$B$4:$D$42,3,FALSE),IF(AND($C637=5,$CV637&gt;=(36/24)),VLOOKUP($D637,HORAS!$B$4:$D$42,3,FALSE))))))))</f>
        <v>0</v>
      </c>
      <c r="DJ637" s="145">
        <f>IF(OR($C637=2),VLOOKUP($D637,HORAS!$B$4:$E$42,4,FALSE)*$EC637,IF(ISERROR(VLOOKUP($A637,FIJOS!$B$11:$P$108,9,FALSE)),0,VLOOKUP($A637,FIJOS!$B$11:$P$231,9,FALSE)*$EC637))</f>
        <v>0</v>
      </c>
      <c r="DK637" s="145">
        <f>IF(OR($C637=2),VLOOKUP($D637,HORAS!$B$4:$F$42,5,FALSE)*$EE637,IF(ISERROR(VLOOKUP($A637,FIJOS!$B$11:$P$108,9,FALSE)),0,VLOOKUP($A637,FIJOS!$B$11:$P$231,9,FALSE)*$EE637))</f>
        <v>0</v>
      </c>
      <c r="DL637" s="144"/>
      <c r="DM637" s="145">
        <f>IF(ISERROR(VLOOKUP($A637,FIJOS!$B$11:$L$646,11,FALSE)),0,VLOOKUP($A637,FIJOS!$B$11:$L$646,11,FALSE))</f>
        <v>0</v>
      </c>
      <c r="DN637" s="148" t="e">
        <f>IF(OR($C637=1,$C637=3),0,IF((VLOOKUP(CAPTURA!D637,HORAS!$B$4:$K$42,10,FALSE)/4)*COUNTIF($H637:$CT637,3)&gt;100,100,(VLOOKUP(CAPTURA!D637,HORAS!$B$4:$K$42,10,FALSE)/4)*COUNTIF($H637:$CT637,3)))</f>
        <v>#N/A</v>
      </c>
      <c r="DO637" s="144" t="e">
        <f>IF(OR($C637=1,$C637=3),0,IF($C637=5,VLOOKUP(D637,HORAS!$B$4:$G$42,6,FALSE),IF(AND($C637=4,$CV637&gt;=(42/24)),VLOOKUP(D637,HORAS!$B$4:$G$42,6,FALSE),IF(COUNTIF($H637:$CL637,"F")&gt;0,0,IF(CV637&gt;$DJ$1,$DJ$1*(VLOOKUP(D637,HORAS!$B$4:$G$42,6,FALSE)/$DJ$1),CV637*(VLOOKUP(D637,HORAS!$B$4:$G$42,6,FALSE)/$DJ$1))))))</f>
        <v>#N/A</v>
      </c>
      <c r="DP637" s="156"/>
      <c r="DQ637" s="148"/>
      <c r="DR637" s="148"/>
      <c r="DS637" s="83" t="e">
        <f t="shared" si="319"/>
        <v>#N/A</v>
      </c>
      <c r="DT637" s="84"/>
      <c r="DU637" s="149" t="e">
        <f t="shared" si="291"/>
        <v>#N/A</v>
      </c>
      <c r="DV637" s="149" t="e">
        <f t="shared" si="292"/>
        <v>#N/A</v>
      </c>
      <c r="DW637" s="144" t="e">
        <f t="shared" si="293"/>
        <v>#N/A</v>
      </c>
      <c r="DX637" s="168"/>
      <c r="DY637" s="29"/>
      <c r="DZ637" s="150"/>
      <c r="EA637" s="134"/>
      <c r="EB637" s="137">
        <f t="shared" si="294"/>
        <v>0</v>
      </c>
      <c r="EC637" s="138">
        <f t="shared" si="295"/>
        <v>0</v>
      </c>
      <c r="ED637" s="137">
        <f t="shared" si="296"/>
        <v>0</v>
      </c>
      <c r="EE637" s="132">
        <f t="shared" si="297"/>
        <v>0</v>
      </c>
      <c r="EF637" s="29"/>
      <c r="EG637" s="134"/>
      <c r="EH637" s="134"/>
      <c r="EI637" s="134"/>
      <c r="EK637" s="29"/>
    </row>
    <row r="638" spans="1:141" ht="15" customHeight="1" x14ac:dyDescent="0.25">
      <c r="A638" s="87"/>
      <c r="B638" s="5"/>
      <c r="C638" s="72"/>
      <c r="D638" s="73"/>
      <c r="E638" s="73"/>
      <c r="F638" s="141"/>
      <c r="G638" s="74"/>
      <c r="H638" s="75"/>
      <c r="I638" s="76"/>
      <c r="J638" s="135"/>
      <c r="K638" s="135"/>
      <c r="L638" s="77">
        <f t="shared" si="298"/>
        <v>0</v>
      </c>
      <c r="M638" s="78"/>
      <c r="N638" s="142"/>
      <c r="O638" s="142"/>
      <c r="P638" s="77">
        <f t="shared" si="299"/>
        <v>0</v>
      </c>
      <c r="Q638" s="78"/>
      <c r="R638" s="143"/>
      <c r="S638" s="143"/>
      <c r="T638" s="77">
        <f t="shared" si="300"/>
        <v>0</v>
      </c>
      <c r="U638" s="75"/>
      <c r="V638" s="76"/>
      <c r="W638" s="135"/>
      <c r="X638" s="135"/>
      <c r="Y638" s="77">
        <f t="shared" si="301"/>
        <v>0</v>
      </c>
      <c r="Z638" s="78"/>
      <c r="AA638" s="142"/>
      <c r="AB638" s="142"/>
      <c r="AC638" s="77">
        <f t="shared" si="302"/>
        <v>0</v>
      </c>
      <c r="AD638" s="78"/>
      <c r="AE638" s="143"/>
      <c r="AF638" s="143"/>
      <c r="AG638" s="79">
        <f t="shared" si="303"/>
        <v>0</v>
      </c>
      <c r="AH638" s="75"/>
      <c r="AI638" s="76"/>
      <c r="AJ638" s="135"/>
      <c r="AK638" s="135"/>
      <c r="AL638" s="77">
        <f t="shared" si="304"/>
        <v>0</v>
      </c>
      <c r="AM638" s="76"/>
      <c r="AN638" s="142"/>
      <c r="AO638" s="142"/>
      <c r="AP638" s="77">
        <f t="shared" si="305"/>
        <v>0</v>
      </c>
      <c r="AQ638" s="78"/>
      <c r="AR638" s="142"/>
      <c r="AS638" s="142"/>
      <c r="AT638" s="79">
        <f t="shared" si="306"/>
        <v>0</v>
      </c>
      <c r="AU638" s="75"/>
      <c r="AV638" s="76"/>
      <c r="AW638" s="135"/>
      <c r="AX638" s="135"/>
      <c r="AY638" s="77">
        <f t="shared" si="307"/>
        <v>0</v>
      </c>
      <c r="AZ638" s="76"/>
      <c r="BA638" s="142"/>
      <c r="BB638" s="142"/>
      <c r="BC638" s="77">
        <f t="shared" si="308"/>
        <v>0</v>
      </c>
      <c r="BD638" s="78"/>
      <c r="BE638" s="142"/>
      <c r="BF638" s="142"/>
      <c r="BG638" s="79">
        <f t="shared" si="309"/>
        <v>0</v>
      </c>
      <c r="BH638" s="75"/>
      <c r="BI638" s="76"/>
      <c r="BJ638" s="135"/>
      <c r="BK638" s="135"/>
      <c r="BL638" s="77">
        <f t="shared" si="310"/>
        <v>0</v>
      </c>
      <c r="BM638" s="78"/>
      <c r="BN638" s="142"/>
      <c r="BO638" s="142"/>
      <c r="BP638" s="77">
        <f t="shared" si="311"/>
        <v>0</v>
      </c>
      <c r="BQ638" s="78"/>
      <c r="BR638" s="142"/>
      <c r="BS638" s="142"/>
      <c r="BT638" s="79">
        <f t="shared" si="312"/>
        <v>0</v>
      </c>
      <c r="BU638" s="75"/>
      <c r="BV638" s="76"/>
      <c r="BW638" s="135"/>
      <c r="BX638" s="135"/>
      <c r="BY638" s="77">
        <f t="shared" si="313"/>
        <v>0</v>
      </c>
      <c r="BZ638" s="78"/>
      <c r="CA638" s="142"/>
      <c r="CB638" s="142"/>
      <c r="CC638" s="77">
        <f t="shared" si="314"/>
        <v>0</v>
      </c>
      <c r="CD638" s="78"/>
      <c r="CE638" s="142"/>
      <c r="CF638" s="142"/>
      <c r="CG638" s="79">
        <f t="shared" si="315"/>
        <v>0</v>
      </c>
      <c r="CH638" s="75"/>
      <c r="CI638" s="76"/>
      <c r="CJ638" s="86"/>
      <c r="CK638" s="86"/>
      <c r="CL638" s="77">
        <f t="shared" si="316"/>
        <v>0</v>
      </c>
      <c r="CM638" s="78"/>
      <c r="CN638" s="85"/>
      <c r="CO638" s="85"/>
      <c r="CP638" s="77">
        <f t="shared" si="317"/>
        <v>0</v>
      </c>
      <c r="CQ638" s="78"/>
      <c r="CR638" s="85"/>
      <c r="CS638" s="85"/>
      <c r="CT638" s="79">
        <f t="shared" si="318"/>
        <v>0</v>
      </c>
      <c r="CU638" s="80">
        <f t="shared" si="288"/>
        <v>0</v>
      </c>
      <c r="CV638" s="81">
        <f t="shared" si="289"/>
        <v>0</v>
      </c>
      <c r="CW638" s="144"/>
      <c r="CX638" s="145">
        <f>IF(ISERROR(VLOOKUP($A638,FIJOS!$B$11:$O$590,14,FALSE)),0,VLOOKUP($A638,FIJOS!$B$11:$O$590,14,FALSE))</f>
        <v>0</v>
      </c>
      <c r="CY638" s="145">
        <f>IF(ISERROR(VLOOKUP(A638,FIJOS!$B$10:$P$590,15,FALSE)),0,VLOOKUP(A638,FIJOS!$B$10:$P$590,15,FALSE))</f>
        <v>0</v>
      </c>
      <c r="CZ638" s="155"/>
      <c r="DA638" s="147"/>
      <c r="DB638" s="147"/>
      <c r="DC638" s="147"/>
      <c r="DD638" s="147"/>
      <c r="DE638" s="147"/>
      <c r="DF638" s="145">
        <f>IF(ISERROR(VLOOKUP($A638,FIJOS!$B$11:$N$590,13,FALSE)),0,VLOOKUP($A638,FIJOS!$B$11:$N$590,13,FALSE))</f>
        <v>0</v>
      </c>
      <c r="DG638" s="145">
        <f>IF(ISERROR(VLOOKUP($A638,FIJOS!$B$11:$P$447,12,FALSE)),0,VLOOKUP($A638,FIJOS!$B$11:$P$447,12,FALSE))</f>
        <v>0</v>
      </c>
      <c r="DH638" s="82">
        <f t="shared" si="290"/>
        <v>0</v>
      </c>
      <c r="DI638" s="83" t="b">
        <f>IF($C638=1,(VLOOKUP($A638,FIJOS!$B$11:$P$545,10,FALSE)/7)*(7-$CU638),IF(AND($C638=2,CV638&lt;$DJ$1),(VLOOKUP($D638,HORAS!$B$4:$C$42,2,FALSE)*24)*$CV638,IF(AND($C638=2,CV638&gt;=$DJ$1),VLOOKUP($D638,HORAS!$B$4:$D$42,3,FALSE),IF(AND($C638=3,$CV638&gt;=$DJ$1),VLOOKUP($A638,FIJOS!$B$11:$P$545,10,FALSE),IF(AND($C638=3,$CV638&lt;$DJ$1),((VLOOKUP($A638,FIJOS!$B$11:$P$545,10,FALSE)/48)*24)*$CV638,IF(AND($C638=4,$CV638&gt;=(42/24)),VLOOKUP($D638,HORAS!$B$4:$D$42,3,FALSE),IF(AND($C638=5,$CV638&gt;=(36/24)),VLOOKUP($D638,HORAS!$B$4:$D$42,3,FALSE))))))))</f>
        <v>0</v>
      </c>
      <c r="DJ638" s="145">
        <f>IF(OR($C638=2),VLOOKUP($D638,HORAS!$B$4:$E$42,4,FALSE)*$EC638,IF(ISERROR(VLOOKUP($A638,FIJOS!$B$11:$P$108,9,FALSE)),0,VLOOKUP($A638,FIJOS!$B$11:$P$231,9,FALSE)*$EC638))</f>
        <v>0</v>
      </c>
      <c r="DK638" s="145">
        <f>IF(OR($C638=2),VLOOKUP($D638,HORAS!$B$4:$F$42,5,FALSE)*$EE638,IF(ISERROR(VLOOKUP($A638,FIJOS!$B$11:$P$108,9,FALSE)),0,VLOOKUP($A638,FIJOS!$B$11:$P$231,9,FALSE)*$EE638))</f>
        <v>0</v>
      </c>
      <c r="DL638" s="144"/>
      <c r="DM638" s="145">
        <f>IF(ISERROR(VLOOKUP($A638,FIJOS!$B$11:$L$646,11,FALSE)),0,VLOOKUP($A638,FIJOS!$B$11:$L$646,11,FALSE))</f>
        <v>0</v>
      </c>
      <c r="DN638" s="148" t="e">
        <f>IF(OR($C638=1,$C638=3),0,IF((VLOOKUP(CAPTURA!D638,HORAS!$B$4:$K$42,10,FALSE)/4)*COUNTIF($H638:$CT638,3)&gt;100,100,(VLOOKUP(CAPTURA!D638,HORAS!$B$4:$K$42,10,FALSE)/4)*COUNTIF($H638:$CT638,3)))</f>
        <v>#N/A</v>
      </c>
      <c r="DO638" s="144" t="e">
        <f>IF(OR($C638=1,$C638=3),0,IF($C638=5,VLOOKUP(D638,HORAS!$B$4:$G$42,6,FALSE),IF(AND($C638=4,$CV638&gt;=(42/24)),VLOOKUP(D638,HORAS!$B$4:$G$42,6,FALSE),IF(COUNTIF($H638:$CL638,"F")&gt;0,0,IF(CV638&gt;$DJ$1,$DJ$1*(VLOOKUP(D638,HORAS!$B$4:$G$42,6,FALSE)/$DJ$1),CV638*(VLOOKUP(D638,HORAS!$B$4:$G$42,6,FALSE)/$DJ$1))))))</f>
        <v>#N/A</v>
      </c>
      <c r="DP638" s="156"/>
      <c r="DQ638" s="148"/>
      <c r="DR638" s="148"/>
      <c r="DS638" s="83" t="e">
        <f t="shared" si="319"/>
        <v>#N/A</v>
      </c>
      <c r="DT638" s="84"/>
      <c r="DU638" s="149" t="e">
        <f t="shared" si="291"/>
        <v>#N/A</v>
      </c>
      <c r="DV638" s="149" t="e">
        <f t="shared" si="292"/>
        <v>#N/A</v>
      </c>
      <c r="DW638" s="144" t="e">
        <f t="shared" si="293"/>
        <v>#N/A</v>
      </c>
      <c r="DX638" s="168"/>
      <c r="DY638" s="29"/>
      <c r="DZ638" s="150"/>
      <c r="EA638" s="134"/>
      <c r="EB638" s="137">
        <f t="shared" si="294"/>
        <v>0</v>
      </c>
      <c r="EC638" s="138">
        <f t="shared" si="295"/>
        <v>0</v>
      </c>
      <c r="ED638" s="137">
        <f t="shared" si="296"/>
        <v>0</v>
      </c>
      <c r="EE638" s="132">
        <f t="shared" si="297"/>
        <v>0</v>
      </c>
      <c r="EF638" s="29"/>
      <c r="EG638" s="134"/>
      <c r="EH638" s="134"/>
      <c r="EI638" s="134"/>
      <c r="EK638" s="29"/>
    </row>
    <row r="639" spans="1:141" ht="15" customHeight="1" x14ac:dyDescent="0.25">
      <c r="A639" s="87"/>
      <c r="B639" s="5"/>
      <c r="C639" s="72"/>
      <c r="D639" s="73"/>
      <c r="E639" s="73"/>
      <c r="F639" s="141"/>
      <c r="G639" s="74"/>
      <c r="H639" s="75"/>
      <c r="I639" s="76"/>
      <c r="J639" s="135"/>
      <c r="K639" s="135"/>
      <c r="L639" s="77">
        <f t="shared" si="298"/>
        <v>0</v>
      </c>
      <c r="M639" s="78"/>
      <c r="N639" s="142"/>
      <c r="O639" s="142"/>
      <c r="P639" s="77">
        <f t="shared" si="299"/>
        <v>0</v>
      </c>
      <c r="Q639" s="78"/>
      <c r="R639" s="143"/>
      <c r="S639" s="143"/>
      <c r="T639" s="77">
        <f t="shared" si="300"/>
        <v>0</v>
      </c>
      <c r="U639" s="75"/>
      <c r="V639" s="76"/>
      <c r="W639" s="135"/>
      <c r="X639" s="135"/>
      <c r="Y639" s="77">
        <f t="shared" si="301"/>
        <v>0</v>
      </c>
      <c r="Z639" s="78"/>
      <c r="AA639" s="142"/>
      <c r="AB639" s="142"/>
      <c r="AC639" s="77">
        <f t="shared" si="302"/>
        <v>0</v>
      </c>
      <c r="AD639" s="78"/>
      <c r="AE639" s="143"/>
      <c r="AF639" s="143"/>
      <c r="AG639" s="79">
        <f t="shared" si="303"/>
        <v>0</v>
      </c>
      <c r="AH639" s="75"/>
      <c r="AI639" s="76"/>
      <c r="AJ639" s="135"/>
      <c r="AK639" s="135"/>
      <c r="AL639" s="77">
        <f t="shared" si="304"/>
        <v>0</v>
      </c>
      <c r="AM639" s="76"/>
      <c r="AN639" s="142"/>
      <c r="AO639" s="142"/>
      <c r="AP639" s="77">
        <f t="shared" si="305"/>
        <v>0</v>
      </c>
      <c r="AQ639" s="78"/>
      <c r="AR639" s="142"/>
      <c r="AS639" s="142"/>
      <c r="AT639" s="79">
        <f t="shared" si="306"/>
        <v>0</v>
      </c>
      <c r="AU639" s="75"/>
      <c r="AV639" s="76"/>
      <c r="AW639" s="135"/>
      <c r="AX639" s="135"/>
      <c r="AY639" s="77">
        <f t="shared" si="307"/>
        <v>0</v>
      </c>
      <c r="AZ639" s="76"/>
      <c r="BA639" s="142"/>
      <c r="BB639" s="142"/>
      <c r="BC639" s="77">
        <f t="shared" si="308"/>
        <v>0</v>
      </c>
      <c r="BD639" s="78"/>
      <c r="BE639" s="142"/>
      <c r="BF639" s="142"/>
      <c r="BG639" s="79">
        <f t="shared" si="309"/>
        <v>0</v>
      </c>
      <c r="BH639" s="75"/>
      <c r="BI639" s="76"/>
      <c r="BJ639" s="135"/>
      <c r="BK639" s="135"/>
      <c r="BL639" s="77">
        <f t="shared" si="310"/>
        <v>0</v>
      </c>
      <c r="BM639" s="78"/>
      <c r="BN639" s="142"/>
      <c r="BO639" s="142"/>
      <c r="BP639" s="77">
        <f t="shared" si="311"/>
        <v>0</v>
      </c>
      <c r="BQ639" s="78"/>
      <c r="BR639" s="142"/>
      <c r="BS639" s="142"/>
      <c r="BT639" s="79">
        <f t="shared" si="312"/>
        <v>0</v>
      </c>
      <c r="BU639" s="75"/>
      <c r="BV639" s="76"/>
      <c r="BW639" s="135"/>
      <c r="BX639" s="135"/>
      <c r="BY639" s="77">
        <f t="shared" si="313"/>
        <v>0</v>
      </c>
      <c r="BZ639" s="78"/>
      <c r="CA639" s="142"/>
      <c r="CB639" s="142"/>
      <c r="CC639" s="77">
        <f t="shared" si="314"/>
        <v>0</v>
      </c>
      <c r="CD639" s="78"/>
      <c r="CE639" s="142"/>
      <c r="CF639" s="142"/>
      <c r="CG639" s="79">
        <f t="shared" si="315"/>
        <v>0</v>
      </c>
      <c r="CH639" s="75"/>
      <c r="CI639" s="76"/>
      <c r="CJ639" s="86"/>
      <c r="CK639" s="86"/>
      <c r="CL639" s="77">
        <f t="shared" si="316"/>
        <v>0</v>
      </c>
      <c r="CM639" s="78"/>
      <c r="CN639" s="85"/>
      <c r="CO639" s="85"/>
      <c r="CP639" s="77">
        <f t="shared" si="317"/>
        <v>0</v>
      </c>
      <c r="CQ639" s="78"/>
      <c r="CR639" s="85"/>
      <c r="CS639" s="85"/>
      <c r="CT639" s="79">
        <f t="shared" si="318"/>
        <v>0</v>
      </c>
      <c r="CU639" s="80">
        <f t="shared" si="288"/>
        <v>0</v>
      </c>
      <c r="CV639" s="81">
        <f t="shared" si="289"/>
        <v>0</v>
      </c>
      <c r="CW639" s="144"/>
      <c r="CX639" s="145">
        <f>IF(ISERROR(VLOOKUP($A639,FIJOS!$B$11:$O$590,14,FALSE)),0,VLOOKUP($A639,FIJOS!$B$11:$O$590,14,FALSE))</f>
        <v>0</v>
      </c>
      <c r="CY639" s="145">
        <f>IF(ISERROR(VLOOKUP(A639,FIJOS!$B$10:$P$590,15,FALSE)),0,VLOOKUP(A639,FIJOS!$B$10:$P$590,15,FALSE))</f>
        <v>0</v>
      </c>
      <c r="CZ639" s="155"/>
      <c r="DA639" s="147"/>
      <c r="DB639" s="147"/>
      <c r="DC639" s="147"/>
      <c r="DD639" s="147"/>
      <c r="DE639" s="147"/>
      <c r="DF639" s="145">
        <f>IF(ISERROR(VLOOKUP($A639,FIJOS!$B$11:$N$590,13,FALSE)),0,VLOOKUP($A639,FIJOS!$B$11:$N$590,13,FALSE))</f>
        <v>0</v>
      </c>
      <c r="DG639" s="145">
        <f>IF(ISERROR(VLOOKUP($A639,FIJOS!$B$11:$P$447,12,FALSE)),0,VLOOKUP($A639,FIJOS!$B$11:$P$447,12,FALSE))</f>
        <v>0</v>
      </c>
      <c r="DH639" s="82">
        <f t="shared" si="290"/>
        <v>0</v>
      </c>
      <c r="DI639" s="83" t="b">
        <f>IF($C639=1,(VLOOKUP($A639,FIJOS!$B$11:$P$545,10,FALSE)/7)*(7-$CU639),IF(AND($C639=2,CV639&lt;$DJ$1),(VLOOKUP($D639,HORAS!$B$4:$C$42,2,FALSE)*24)*$CV639,IF(AND($C639=2,CV639&gt;=$DJ$1),VLOOKUP($D639,HORAS!$B$4:$D$42,3,FALSE),IF(AND($C639=3,$CV639&gt;=$DJ$1),VLOOKUP($A639,FIJOS!$B$11:$P$545,10,FALSE),IF(AND($C639=3,$CV639&lt;$DJ$1),((VLOOKUP($A639,FIJOS!$B$11:$P$545,10,FALSE)/48)*24)*$CV639,IF(AND($C639=4,$CV639&gt;=(42/24)),VLOOKUP($D639,HORAS!$B$4:$D$42,3,FALSE),IF(AND($C639=5,$CV639&gt;=(36/24)),VLOOKUP($D639,HORAS!$B$4:$D$42,3,FALSE))))))))</f>
        <v>0</v>
      </c>
      <c r="DJ639" s="145">
        <f>IF(OR($C639=2),VLOOKUP($D639,HORAS!$B$4:$E$42,4,FALSE)*$EC639,IF(ISERROR(VLOOKUP($A639,FIJOS!$B$11:$P$108,9,FALSE)),0,VLOOKUP($A639,FIJOS!$B$11:$P$231,9,FALSE)*$EC639))</f>
        <v>0</v>
      </c>
      <c r="DK639" s="145">
        <f>IF(OR($C639=2),VLOOKUP($D639,HORAS!$B$4:$F$42,5,FALSE)*$EE639,IF(ISERROR(VLOOKUP($A639,FIJOS!$B$11:$P$108,9,FALSE)),0,VLOOKUP($A639,FIJOS!$B$11:$P$231,9,FALSE)*$EE639))</f>
        <v>0</v>
      </c>
      <c r="DL639" s="144"/>
      <c r="DM639" s="145">
        <f>IF(ISERROR(VLOOKUP($A639,FIJOS!$B$11:$L$646,11,FALSE)),0,VLOOKUP($A639,FIJOS!$B$11:$L$646,11,FALSE))</f>
        <v>0</v>
      </c>
      <c r="DN639" s="148" t="e">
        <f>IF(OR($C639=1,$C639=3),0,IF((VLOOKUP(CAPTURA!D639,HORAS!$B$4:$K$42,10,FALSE)/4)*COUNTIF($H639:$CT639,3)&gt;100,100,(VLOOKUP(CAPTURA!D639,HORAS!$B$4:$K$42,10,FALSE)/4)*COUNTIF($H639:$CT639,3)))</f>
        <v>#N/A</v>
      </c>
      <c r="DO639" s="144" t="e">
        <f>IF(OR($C639=1,$C639=3),0,IF($C639=5,VLOOKUP(D639,HORAS!$B$4:$G$42,6,FALSE),IF(AND($C639=4,$CV639&gt;=(42/24)),VLOOKUP(D639,HORAS!$B$4:$G$42,6,FALSE),IF(COUNTIF($H639:$CL639,"F")&gt;0,0,IF(CV639&gt;$DJ$1,$DJ$1*(VLOOKUP(D639,HORAS!$B$4:$G$42,6,FALSE)/$DJ$1),CV639*(VLOOKUP(D639,HORAS!$B$4:$G$42,6,FALSE)/$DJ$1))))))</f>
        <v>#N/A</v>
      </c>
      <c r="DP639" s="156"/>
      <c r="DQ639" s="148"/>
      <c r="DR639" s="148"/>
      <c r="DS639" s="83" t="e">
        <f t="shared" si="319"/>
        <v>#N/A</v>
      </c>
      <c r="DT639" s="84"/>
      <c r="DU639" s="149" t="e">
        <f t="shared" si="291"/>
        <v>#N/A</v>
      </c>
      <c r="DV639" s="149" t="e">
        <f t="shared" si="292"/>
        <v>#N/A</v>
      </c>
      <c r="DW639" s="144" t="e">
        <f t="shared" si="293"/>
        <v>#N/A</v>
      </c>
      <c r="DX639" s="168"/>
      <c r="DY639" s="29"/>
      <c r="DZ639" s="150"/>
      <c r="EA639" s="134"/>
      <c r="EB639" s="137">
        <f t="shared" si="294"/>
        <v>0</v>
      </c>
      <c r="EC639" s="138">
        <f t="shared" si="295"/>
        <v>0</v>
      </c>
      <c r="ED639" s="137">
        <f t="shared" si="296"/>
        <v>0</v>
      </c>
      <c r="EE639" s="132">
        <f t="shared" si="297"/>
        <v>0</v>
      </c>
      <c r="EF639" s="29"/>
      <c r="EG639" s="134"/>
      <c r="EH639" s="134"/>
      <c r="EI639" s="134"/>
      <c r="EK639" s="29"/>
    </row>
    <row r="640" spans="1:141" ht="15" customHeight="1" x14ac:dyDescent="0.25">
      <c r="A640" s="87"/>
      <c r="B640" s="5"/>
      <c r="C640" s="72"/>
      <c r="D640" s="73"/>
      <c r="E640" s="73"/>
      <c r="F640" s="141"/>
      <c r="G640" s="74"/>
      <c r="H640" s="75"/>
      <c r="I640" s="76"/>
      <c r="J640" s="135"/>
      <c r="K640" s="135"/>
      <c r="L640" s="77">
        <f t="shared" si="298"/>
        <v>0</v>
      </c>
      <c r="M640" s="78"/>
      <c r="N640" s="142"/>
      <c r="O640" s="142"/>
      <c r="P640" s="77">
        <f t="shared" si="299"/>
        <v>0</v>
      </c>
      <c r="Q640" s="78"/>
      <c r="R640" s="143"/>
      <c r="S640" s="143"/>
      <c r="T640" s="77">
        <f t="shared" si="300"/>
        <v>0</v>
      </c>
      <c r="U640" s="75"/>
      <c r="V640" s="76"/>
      <c r="W640" s="135"/>
      <c r="X640" s="135"/>
      <c r="Y640" s="77">
        <f t="shared" si="301"/>
        <v>0</v>
      </c>
      <c r="Z640" s="78"/>
      <c r="AA640" s="142"/>
      <c r="AB640" s="142"/>
      <c r="AC640" s="77">
        <f t="shared" si="302"/>
        <v>0</v>
      </c>
      <c r="AD640" s="78"/>
      <c r="AE640" s="143"/>
      <c r="AF640" s="143"/>
      <c r="AG640" s="79">
        <f t="shared" si="303"/>
        <v>0</v>
      </c>
      <c r="AH640" s="75"/>
      <c r="AI640" s="76"/>
      <c r="AJ640" s="135"/>
      <c r="AK640" s="135"/>
      <c r="AL640" s="77">
        <f t="shared" si="304"/>
        <v>0</v>
      </c>
      <c r="AM640" s="76"/>
      <c r="AN640" s="142"/>
      <c r="AO640" s="142"/>
      <c r="AP640" s="77">
        <f t="shared" si="305"/>
        <v>0</v>
      </c>
      <c r="AQ640" s="78"/>
      <c r="AR640" s="142"/>
      <c r="AS640" s="142"/>
      <c r="AT640" s="79">
        <f t="shared" si="306"/>
        <v>0</v>
      </c>
      <c r="AU640" s="75"/>
      <c r="AV640" s="76"/>
      <c r="AW640" s="135"/>
      <c r="AX640" s="135"/>
      <c r="AY640" s="77">
        <f t="shared" si="307"/>
        <v>0</v>
      </c>
      <c r="AZ640" s="76"/>
      <c r="BA640" s="142"/>
      <c r="BB640" s="142"/>
      <c r="BC640" s="77">
        <f t="shared" si="308"/>
        <v>0</v>
      </c>
      <c r="BD640" s="78"/>
      <c r="BE640" s="142"/>
      <c r="BF640" s="142"/>
      <c r="BG640" s="79">
        <f t="shared" si="309"/>
        <v>0</v>
      </c>
      <c r="BH640" s="75"/>
      <c r="BI640" s="76"/>
      <c r="BJ640" s="135"/>
      <c r="BK640" s="135"/>
      <c r="BL640" s="77">
        <f t="shared" si="310"/>
        <v>0</v>
      </c>
      <c r="BM640" s="78"/>
      <c r="BN640" s="142"/>
      <c r="BO640" s="142"/>
      <c r="BP640" s="77">
        <f t="shared" si="311"/>
        <v>0</v>
      </c>
      <c r="BQ640" s="78"/>
      <c r="BR640" s="142"/>
      <c r="BS640" s="142"/>
      <c r="BT640" s="79">
        <f t="shared" si="312"/>
        <v>0</v>
      </c>
      <c r="BU640" s="75"/>
      <c r="BV640" s="76"/>
      <c r="BW640" s="135"/>
      <c r="BX640" s="135"/>
      <c r="BY640" s="77">
        <f t="shared" si="313"/>
        <v>0</v>
      </c>
      <c r="BZ640" s="78"/>
      <c r="CA640" s="142"/>
      <c r="CB640" s="142"/>
      <c r="CC640" s="77">
        <f t="shared" si="314"/>
        <v>0</v>
      </c>
      <c r="CD640" s="78"/>
      <c r="CE640" s="142"/>
      <c r="CF640" s="142"/>
      <c r="CG640" s="79">
        <f t="shared" si="315"/>
        <v>0</v>
      </c>
      <c r="CH640" s="75"/>
      <c r="CI640" s="76"/>
      <c r="CJ640" s="86"/>
      <c r="CK640" s="86"/>
      <c r="CL640" s="77">
        <f t="shared" si="316"/>
        <v>0</v>
      </c>
      <c r="CM640" s="78"/>
      <c r="CN640" s="85"/>
      <c r="CO640" s="85"/>
      <c r="CP640" s="77">
        <f t="shared" si="317"/>
        <v>0</v>
      </c>
      <c r="CQ640" s="78"/>
      <c r="CR640" s="85"/>
      <c r="CS640" s="85"/>
      <c r="CT640" s="79">
        <f t="shared" si="318"/>
        <v>0</v>
      </c>
      <c r="CU640" s="80">
        <f t="shared" si="288"/>
        <v>0</v>
      </c>
      <c r="CV640" s="81">
        <f t="shared" si="289"/>
        <v>0</v>
      </c>
      <c r="CW640" s="144"/>
      <c r="CX640" s="145">
        <f>IF(ISERROR(VLOOKUP($A640,FIJOS!$B$11:$O$590,14,FALSE)),0,VLOOKUP($A640,FIJOS!$B$11:$O$590,14,FALSE))</f>
        <v>0</v>
      </c>
      <c r="CY640" s="145">
        <f>IF(ISERROR(VLOOKUP(A640,FIJOS!$B$10:$P$590,15,FALSE)),0,VLOOKUP(A640,FIJOS!$B$10:$P$590,15,FALSE))</f>
        <v>0</v>
      </c>
      <c r="CZ640" s="155"/>
      <c r="DA640" s="147"/>
      <c r="DB640" s="147"/>
      <c r="DC640" s="147"/>
      <c r="DD640" s="147"/>
      <c r="DE640" s="147"/>
      <c r="DF640" s="145">
        <f>IF(ISERROR(VLOOKUP($A640,FIJOS!$B$11:$N$590,13,FALSE)),0,VLOOKUP($A640,FIJOS!$B$11:$N$590,13,FALSE))</f>
        <v>0</v>
      </c>
      <c r="DG640" s="145">
        <f>IF(ISERROR(VLOOKUP($A640,FIJOS!$B$11:$P$447,12,FALSE)),0,VLOOKUP($A640,FIJOS!$B$11:$P$447,12,FALSE))</f>
        <v>0</v>
      </c>
      <c r="DH640" s="82">
        <f t="shared" si="290"/>
        <v>0</v>
      </c>
      <c r="DI640" s="83" t="b">
        <f>IF($C640=1,(VLOOKUP($A640,FIJOS!$B$11:$P$545,10,FALSE)/7)*(7-$CU640),IF(AND($C640=2,CV640&lt;$DJ$1),(VLOOKUP($D640,HORAS!$B$4:$C$42,2,FALSE)*24)*$CV640,IF(AND($C640=2,CV640&gt;=$DJ$1),VLOOKUP($D640,HORAS!$B$4:$D$42,3,FALSE),IF(AND($C640=3,$CV640&gt;=$DJ$1),VLOOKUP($A640,FIJOS!$B$11:$P$545,10,FALSE),IF(AND($C640=3,$CV640&lt;$DJ$1),((VLOOKUP($A640,FIJOS!$B$11:$P$545,10,FALSE)/48)*24)*$CV640,IF(AND($C640=4,$CV640&gt;=(42/24)),VLOOKUP($D640,HORAS!$B$4:$D$42,3,FALSE),IF(AND($C640=5,$CV640&gt;=(36/24)),VLOOKUP($D640,HORAS!$B$4:$D$42,3,FALSE))))))))</f>
        <v>0</v>
      </c>
      <c r="DJ640" s="145">
        <f>IF(OR($C640=2),VLOOKUP($D640,HORAS!$B$4:$E$42,4,FALSE)*$EC640,IF(ISERROR(VLOOKUP($A640,FIJOS!$B$11:$P$108,9,FALSE)),0,VLOOKUP($A640,FIJOS!$B$11:$P$231,9,FALSE)*$EC640))</f>
        <v>0</v>
      </c>
      <c r="DK640" s="145">
        <f>IF(OR($C640=2),VLOOKUP($D640,HORAS!$B$4:$F$42,5,FALSE)*$EE640,IF(ISERROR(VLOOKUP($A640,FIJOS!$B$11:$P$108,9,FALSE)),0,VLOOKUP($A640,FIJOS!$B$11:$P$231,9,FALSE)*$EE640))</f>
        <v>0</v>
      </c>
      <c r="DL640" s="144"/>
      <c r="DM640" s="145">
        <f>IF(ISERROR(VLOOKUP($A640,FIJOS!$B$11:$L$646,11,FALSE)),0,VLOOKUP($A640,FIJOS!$B$11:$L$646,11,FALSE))</f>
        <v>0</v>
      </c>
      <c r="DN640" s="148" t="e">
        <f>IF(OR($C640=1,$C640=3),0,IF((VLOOKUP(CAPTURA!D640,HORAS!$B$4:$K$42,10,FALSE)/4)*COUNTIF($H640:$CT640,3)&gt;100,100,(VLOOKUP(CAPTURA!D640,HORAS!$B$4:$K$42,10,FALSE)/4)*COUNTIF($H640:$CT640,3)))</f>
        <v>#N/A</v>
      </c>
      <c r="DO640" s="144" t="e">
        <f>IF(OR($C640=1,$C640=3),0,IF($C640=5,VLOOKUP(D640,HORAS!$B$4:$G$42,6,FALSE),IF(AND($C640=4,$CV640&gt;=(42/24)),VLOOKUP(D640,HORAS!$B$4:$G$42,6,FALSE),IF(COUNTIF($H640:$CL640,"F")&gt;0,0,IF(CV640&gt;$DJ$1,$DJ$1*(VLOOKUP(D640,HORAS!$B$4:$G$42,6,FALSE)/$DJ$1),CV640*(VLOOKUP(D640,HORAS!$B$4:$G$42,6,FALSE)/$DJ$1))))))</f>
        <v>#N/A</v>
      </c>
      <c r="DP640" s="156"/>
      <c r="DQ640" s="148"/>
      <c r="DR640" s="148"/>
      <c r="DS640" s="83" t="e">
        <f t="shared" si="319"/>
        <v>#N/A</v>
      </c>
      <c r="DT640" s="84"/>
      <c r="DU640" s="149" t="e">
        <f t="shared" si="291"/>
        <v>#N/A</v>
      </c>
      <c r="DV640" s="149" t="e">
        <f t="shared" si="292"/>
        <v>#N/A</v>
      </c>
      <c r="DW640" s="144" t="e">
        <f t="shared" si="293"/>
        <v>#N/A</v>
      </c>
      <c r="DX640" s="168"/>
      <c r="DY640" s="29"/>
      <c r="DZ640" s="150"/>
      <c r="EA640" s="134"/>
      <c r="EB640" s="137">
        <f t="shared" si="294"/>
        <v>0</v>
      </c>
      <c r="EC640" s="138">
        <f t="shared" si="295"/>
        <v>0</v>
      </c>
      <c r="ED640" s="137">
        <f t="shared" si="296"/>
        <v>0</v>
      </c>
      <c r="EE640" s="132">
        <f t="shared" si="297"/>
        <v>0</v>
      </c>
      <c r="EF640" s="29"/>
      <c r="EG640" s="134"/>
      <c r="EH640" s="134"/>
      <c r="EI640" s="134"/>
      <c r="EK640" s="29"/>
    </row>
    <row r="641" spans="1:141" ht="15" customHeight="1" x14ac:dyDescent="0.25">
      <c r="A641" s="87"/>
      <c r="B641" s="5"/>
      <c r="C641" s="72"/>
      <c r="D641" s="73"/>
      <c r="E641" s="73"/>
      <c r="F641" s="141"/>
      <c r="G641" s="74"/>
      <c r="H641" s="75"/>
      <c r="I641" s="76"/>
      <c r="J641" s="135"/>
      <c r="K641" s="135"/>
      <c r="L641" s="77">
        <f t="shared" si="298"/>
        <v>0</v>
      </c>
      <c r="M641" s="78"/>
      <c r="N641" s="142"/>
      <c r="O641" s="142"/>
      <c r="P641" s="77">
        <f t="shared" si="299"/>
        <v>0</v>
      </c>
      <c r="Q641" s="78"/>
      <c r="R641" s="143"/>
      <c r="S641" s="143"/>
      <c r="T641" s="77">
        <f t="shared" si="300"/>
        <v>0</v>
      </c>
      <c r="U641" s="75"/>
      <c r="V641" s="76"/>
      <c r="W641" s="135"/>
      <c r="X641" s="135"/>
      <c r="Y641" s="77">
        <f t="shared" si="301"/>
        <v>0</v>
      </c>
      <c r="Z641" s="78"/>
      <c r="AA641" s="142"/>
      <c r="AB641" s="142"/>
      <c r="AC641" s="77">
        <f t="shared" si="302"/>
        <v>0</v>
      </c>
      <c r="AD641" s="78"/>
      <c r="AE641" s="143"/>
      <c r="AF641" s="143"/>
      <c r="AG641" s="79">
        <f t="shared" si="303"/>
        <v>0</v>
      </c>
      <c r="AH641" s="75"/>
      <c r="AI641" s="76"/>
      <c r="AJ641" s="135"/>
      <c r="AK641" s="135"/>
      <c r="AL641" s="77">
        <f t="shared" si="304"/>
        <v>0</v>
      </c>
      <c r="AM641" s="76"/>
      <c r="AN641" s="142"/>
      <c r="AO641" s="142"/>
      <c r="AP641" s="77">
        <f t="shared" si="305"/>
        <v>0</v>
      </c>
      <c r="AQ641" s="78"/>
      <c r="AR641" s="142"/>
      <c r="AS641" s="142"/>
      <c r="AT641" s="79">
        <f t="shared" si="306"/>
        <v>0</v>
      </c>
      <c r="AU641" s="75"/>
      <c r="AV641" s="76"/>
      <c r="AW641" s="135"/>
      <c r="AX641" s="135"/>
      <c r="AY641" s="77">
        <f t="shared" si="307"/>
        <v>0</v>
      </c>
      <c r="AZ641" s="76"/>
      <c r="BA641" s="142"/>
      <c r="BB641" s="142"/>
      <c r="BC641" s="77">
        <f t="shared" si="308"/>
        <v>0</v>
      </c>
      <c r="BD641" s="78"/>
      <c r="BE641" s="142"/>
      <c r="BF641" s="142"/>
      <c r="BG641" s="79">
        <f t="shared" si="309"/>
        <v>0</v>
      </c>
      <c r="BH641" s="75"/>
      <c r="BI641" s="76"/>
      <c r="BJ641" s="135"/>
      <c r="BK641" s="135"/>
      <c r="BL641" s="77">
        <f t="shared" si="310"/>
        <v>0</v>
      </c>
      <c r="BM641" s="78"/>
      <c r="BN641" s="142"/>
      <c r="BO641" s="142"/>
      <c r="BP641" s="77">
        <f t="shared" si="311"/>
        <v>0</v>
      </c>
      <c r="BQ641" s="78"/>
      <c r="BR641" s="142"/>
      <c r="BS641" s="142"/>
      <c r="BT641" s="79">
        <f t="shared" si="312"/>
        <v>0</v>
      </c>
      <c r="BU641" s="75"/>
      <c r="BV641" s="76"/>
      <c r="BW641" s="135"/>
      <c r="BX641" s="135"/>
      <c r="BY641" s="77">
        <f t="shared" si="313"/>
        <v>0</v>
      </c>
      <c r="BZ641" s="78"/>
      <c r="CA641" s="142"/>
      <c r="CB641" s="142"/>
      <c r="CC641" s="77">
        <f t="shared" si="314"/>
        <v>0</v>
      </c>
      <c r="CD641" s="78"/>
      <c r="CE641" s="142"/>
      <c r="CF641" s="142"/>
      <c r="CG641" s="79">
        <f t="shared" si="315"/>
        <v>0</v>
      </c>
      <c r="CH641" s="75"/>
      <c r="CI641" s="76"/>
      <c r="CJ641" s="86"/>
      <c r="CK641" s="86"/>
      <c r="CL641" s="77">
        <f t="shared" si="316"/>
        <v>0</v>
      </c>
      <c r="CM641" s="78"/>
      <c r="CN641" s="85"/>
      <c r="CO641" s="85"/>
      <c r="CP641" s="77">
        <f t="shared" si="317"/>
        <v>0</v>
      </c>
      <c r="CQ641" s="78"/>
      <c r="CR641" s="85"/>
      <c r="CS641" s="85"/>
      <c r="CT641" s="79">
        <f t="shared" si="318"/>
        <v>0</v>
      </c>
      <c r="CU641" s="80">
        <f t="shared" si="288"/>
        <v>0</v>
      </c>
      <c r="CV641" s="81">
        <f t="shared" si="289"/>
        <v>0</v>
      </c>
      <c r="CW641" s="144"/>
      <c r="CX641" s="145">
        <f>IF(ISERROR(VLOOKUP($A641,FIJOS!$B$11:$O$590,14,FALSE)),0,VLOOKUP($A641,FIJOS!$B$11:$O$590,14,FALSE))</f>
        <v>0</v>
      </c>
      <c r="CY641" s="145">
        <f>IF(ISERROR(VLOOKUP(A641,FIJOS!$B$10:$P$590,15,FALSE)),0,VLOOKUP(A641,FIJOS!$B$10:$P$590,15,FALSE))</f>
        <v>0</v>
      </c>
      <c r="CZ641" s="155"/>
      <c r="DA641" s="147"/>
      <c r="DB641" s="147"/>
      <c r="DC641" s="147"/>
      <c r="DD641" s="147"/>
      <c r="DE641" s="147"/>
      <c r="DF641" s="145">
        <f>IF(ISERROR(VLOOKUP($A641,FIJOS!$B$11:$N$590,13,FALSE)),0,VLOOKUP($A641,FIJOS!$B$11:$N$590,13,FALSE))</f>
        <v>0</v>
      </c>
      <c r="DG641" s="145">
        <f>IF(ISERROR(VLOOKUP($A641,FIJOS!$B$11:$P$447,12,FALSE)),0,VLOOKUP($A641,FIJOS!$B$11:$P$447,12,FALSE))</f>
        <v>0</v>
      </c>
      <c r="DH641" s="82">
        <f t="shared" si="290"/>
        <v>0</v>
      </c>
      <c r="DI641" s="83" t="b">
        <f>IF($C641=1,(VLOOKUP($A641,FIJOS!$B$11:$P$545,10,FALSE)/7)*(7-$CU641),IF(AND($C641=2,CV641&lt;$DJ$1),(VLOOKUP($D641,HORAS!$B$4:$C$42,2,FALSE)*24)*$CV641,IF(AND($C641=2,CV641&gt;=$DJ$1),VLOOKUP($D641,HORAS!$B$4:$D$42,3,FALSE),IF(AND($C641=3,$CV641&gt;=$DJ$1),VLOOKUP($A641,FIJOS!$B$11:$P$545,10,FALSE),IF(AND($C641=3,$CV641&lt;$DJ$1),((VLOOKUP($A641,FIJOS!$B$11:$P$545,10,FALSE)/48)*24)*$CV641,IF(AND($C641=4,$CV641&gt;=(42/24)),VLOOKUP($D641,HORAS!$B$4:$D$42,3,FALSE),IF(AND($C641=5,$CV641&gt;=(36/24)),VLOOKUP($D641,HORAS!$B$4:$D$42,3,FALSE))))))))</f>
        <v>0</v>
      </c>
      <c r="DJ641" s="145">
        <f>IF(OR($C641=2),VLOOKUP($D641,HORAS!$B$4:$E$42,4,FALSE)*$EC641,IF(ISERROR(VLOOKUP($A641,FIJOS!$B$11:$P$108,9,FALSE)),0,VLOOKUP($A641,FIJOS!$B$11:$P$231,9,FALSE)*$EC641))</f>
        <v>0</v>
      </c>
      <c r="DK641" s="145">
        <f>IF(OR($C641=2),VLOOKUP($D641,HORAS!$B$4:$F$42,5,FALSE)*$EE641,IF(ISERROR(VLOOKUP($A641,FIJOS!$B$11:$P$108,9,FALSE)),0,VLOOKUP($A641,FIJOS!$B$11:$P$231,9,FALSE)*$EE641))</f>
        <v>0</v>
      </c>
      <c r="DL641" s="144"/>
      <c r="DM641" s="145">
        <f>IF(ISERROR(VLOOKUP($A641,FIJOS!$B$11:$L$646,11,FALSE)),0,VLOOKUP($A641,FIJOS!$B$11:$L$646,11,FALSE))</f>
        <v>0</v>
      </c>
      <c r="DN641" s="148" t="e">
        <f>IF(OR($C641=1,$C641=3),0,IF((VLOOKUP(CAPTURA!D641,HORAS!$B$4:$K$42,10,FALSE)/4)*COUNTIF($H641:$CT641,3)&gt;100,100,(VLOOKUP(CAPTURA!D641,HORAS!$B$4:$K$42,10,FALSE)/4)*COUNTIF($H641:$CT641,3)))</f>
        <v>#N/A</v>
      </c>
      <c r="DO641" s="144" t="e">
        <f>IF(OR($C641=1,$C641=3),0,IF($C641=5,VLOOKUP(D641,HORAS!$B$4:$G$42,6,FALSE),IF(AND($C641=4,$CV641&gt;=(42/24)),VLOOKUP(D641,HORAS!$B$4:$G$42,6,FALSE),IF(COUNTIF($H641:$CL641,"F")&gt;0,0,IF(CV641&gt;$DJ$1,$DJ$1*(VLOOKUP(D641,HORAS!$B$4:$G$42,6,FALSE)/$DJ$1),CV641*(VLOOKUP(D641,HORAS!$B$4:$G$42,6,FALSE)/$DJ$1))))))</f>
        <v>#N/A</v>
      </c>
      <c r="DP641" s="156"/>
      <c r="DQ641" s="148"/>
      <c r="DR641" s="148"/>
      <c r="DS641" s="83" t="e">
        <f t="shared" si="319"/>
        <v>#N/A</v>
      </c>
      <c r="DT641" s="84"/>
      <c r="DU641" s="149" t="e">
        <f t="shared" si="291"/>
        <v>#N/A</v>
      </c>
      <c r="DV641" s="149" t="e">
        <f t="shared" si="292"/>
        <v>#N/A</v>
      </c>
      <c r="DW641" s="144" t="e">
        <f t="shared" si="293"/>
        <v>#N/A</v>
      </c>
      <c r="DX641" s="168"/>
      <c r="DY641" s="29"/>
      <c r="DZ641" s="150"/>
      <c r="EA641" s="134"/>
      <c r="EB641" s="137">
        <f t="shared" si="294"/>
        <v>0</v>
      </c>
      <c r="EC641" s="138">
        <f t="shared" si="295"/>
        <v>0</v>
      </c>
      <c r="ED641" s="137">
        <f t="shared" si="296"/>
        <v>0</v>
      </c>
      <c r="EE641" s="132">
        <f t="shared" si="297"/>
        <v>0</v>
      </c>
      <c r="EF641" s="29"/>
      <c r="EG641" s="134"/>
      <c r="EH641" s="134"/>
      <c r="EI641" s="134"/>
      <c r="EK641" s="29"/>
    </row>
    <row r="642" spans="1:141" ht="15" customHeight="1" x14ac:dyDescent="0.25">
      <c r="A642" s="87"/>
      <c r="B642" s="5"/>
      <c r="C642" s="72"/>
      <c r="D642" s="73"/>
      <c r="E642" s="73"/>
      <c r="F642" s="141"/>
      <c r="G642" s="74"/>
      <c r="H642" s="75"/>
      <c r="I642" s="76"/>
      <c r="J642" s="135"/>
      <c r="K642" s="135"/>
      <c r="L642" s="77">
        <f t="shared" si="298"/>
        <v>0</v>
      </c>
      <c r="M642" s="78"/>
      <c r="N642" s="142"/>
      <c r="O642" s="142"/>
      <c r="P642" s="77">
        <f t="shared" si="299"/>
        <v>0</v>
      </c>
      <c r="Q642" s="78"/>
      <c r="R642" s="143"/>
      <c r="S642" s="143"/>
      <c r="T642" s="77">
        <f t="shared" si="300"/>
        <v>0</v>
      </c>
      <c r="U642" s="75"/>
      <c r="V642" s="76"/>
      <c r="W642" s="135"/>
      <c r="X642" s="135"/>
      <c r="Y642" s="77">
        <f t="shared" si="301"/>
        <v>0</v>
      </c>
      <c r="Z642" s="78"/>
      <c r="AA642" s="142"/>
      <c r="AB642" s="142"/>
      <c r="AC642" s="77">
        <f t="shared" si="302"/>
        <v>0</v>
      </c>
      <c r="AD642" s="78"/>
      <c r="AE642" s="143"/>
      <c r="AF642" s="143"/>
      <c r="AG642" s="79">
        <f t="shared" si="303"/>
        <v>0</v>
      </c>
      <c r="AH642" s="75"/>
      <c r="AI642" s="76"/>
      <c r="AJ642" s="135"/>
      <c r="AK642" s="135"/>
      <c r="AL642" s="77">
        <f t="shared" si="304"/>
        <v>0</v>
      </c>
      <c r="AM642" s="76"/>
      <c r="AN642" s="142"/>
      <c r="AO642" s="142"/>
      <c r="AP642" s="77">
        <f t="shared" si="305"/>
        <v>0</v>
      </c>
      <c r="AQ642" s="78"/>
      <c r="AR642" s="142"/>
      <c r="AS642" s="142"/>
      <c r="AT642" s="79">
        <f t="shared" si="306"/>
        <v>0</v>
      </c>
      <c r="AU642" s="75"/>
      <c r="AV642" s="76"/>
      <c r="AW642" s="135"/>
      <c r="AX642" s="135"/>
      <c r="AY642" s="77">
        <f t="shared" si="307"/>
        <v>0</v>
      </c>
      <c r="AZ642" s="76"/>
      <c r="BA642" s="142"/>
      <c r="BB642" s="142"/>
      <c r="BC642" s="77">
        <f t="shared" si="308"/>
        <v>0</v>
      </c>
      <c r="BD642" s="78"/>
      <c r="BE642" s="142"/>
      <c r="BF642" s="142"/>
      <c r="BG642" s="79">
        <f t="shared" si="309"/>
        <v>0</v>
      </c>
      <c r="BH642" s="75"/>
      <c r="BI642" s="76"/>
      <c r="BJ642" s="135"/>
      <c r="BK642" s="135"/>
      <c r="BL642" s="77">
        <f t="shared" si="310"/>
        <v>0</v>
      </c>
      <c r="BM642" s="78"/>
      <c r="BN642" s="142"/>
      <c r="BO642" s="142"/>
      <c r="BP642" s="77">
        <f t="shared" si="311"/>
        <v>0</v>
      </c>
      <c r="BQ642" s="78"/>
      <c r="BR642" s="142"/>
      <c r="BS642" s="142"/>
      <c r="BT642" s="79">
        <f t="shared" si="312"/>
        <v>0</v>
      </c>
      <c r="BU642" s="75"/>
      <c r="BV642" s="76"/>
      <c r="BW642" s="135"/>
      <c r="BX642" s="135"/>
      <c r="BY642" s="77">
        <f t="shared" si="313"/>
        <v>0</v>
      </c>
      <c r="BZ642" s="78"/>
      <c r="CA642" s="142"/>
      <c r="CB642" s="142"/>
      <c r="CC642" s="77">
        <f t="shared" si="314"/>
        <v>0</v>
      </c>
      <c r="CD642" s="78"/>
      <c r="CE642" s="142"/>
      <c r="CF642" s="142"/>
      <c r="CG642" s="79">
        <f t="shared" si="315"/>
        <v>0</v>
      </c>
      <c r="CH642" s="75"/>
      <c r="CI642" s="76"/>
      <c r="CJ642" s="86"/>
      <c r="CK642" s="86"/>
      <c r="CL642" s="77">
        <f t="shared" si="316"/>
        <v>0</v>
      </c>
      <c r="CM642" s="78"/>
      <c r="CN642" s="85"/>
      <c r="CO642" s="85"/>
      <c r="CP642" s="77">
        <f t="shared" si="317"/>
        <v>0</v>
      </c>
      <c r="CQ642" s="78"/>
      <c r="CR642" s="85"/>
      <c r="CS642" s="85"/>
      <c r="CT642" s="79">
        <f t="shared" si="318"/>
        <v>0</v>
      </c>
      <c r="CU642" s="80">
        <f t="shared" si="288"/>
        <v>0</v>
      </c>
      <c r="CV642" s="81">
        <f t="shared" si="289"/>
        <v>0</v>
      </c>
      <c r="CW642" s="144"/>
      <c r="CX642" s="145">
        <f>IF(ISERROR(VLOOKUP($A642,FIJOS!$B$11:$O$590,14,FALSE)),0,VLOOKUP($A642,FIJOS!$B$11:$O$590,14,FALSE))</f>
        <v>0</v>
      </c>
      <c r="CY642" s="145">
        <f>IF(ISERROR(VLOOKUP(A642,FIJOS!$B$10:$P$590,15,FALSE)),0,VLOOKUP(A642,FIJOS!$B$10:$P$590,15,FALSE))</f>
        <v>0</v>
      </c>
      <c r="CZ642" s="155"/>
      <c r="DA642" s="147"/>
      <c r="DB642" s="147"/>
      <c r="DC642" s="147"/>
      <c r="DD642" s="147"/>
      <c r="DE642" s="147"/>
      <c r="DF642" s="145">
        <f>IF(ISERROR(VLOOKUP($A642,FIJOS!$B$11:$N$590,13,FALSE)),0,VLOOKUP($A642,FIJOS!$B$11:$N$590,13,FALSE))</f>
        <v>0</v>
      </c>
      <c r="DG642" s="145">
        <f>IF(ISERROR(VLOOKUP($A642,FIJOS!$B$11:$P$447,12,FALSE)),0,VLOOKUP($A642,FIJOS!$B$11:$P$447,12,FALSE))</f>
        <v>0</v>
      </c>
      <c r="DH642" s="82">
        <f t="shared" si="290"/>
        <v>0</v>
      </c>
      <c r="DI642" s="83" t="b">
        <f>IF($C642=1,(VLOOKUP($A642,FIJOS!$B$11:$P$545,10,FALSE)/7)*(7-$CU642),IF(AND($C642=2,CV642&lt;$DJ$1),(VLOOKUP($D642,HORAS!$B$4:$C$42,2,FALSE)*24)*$CV642,IF(AND($C642=2,CV642&gt;=$DJ$1),VLOOKUP($D642,HORAS!$B$4:$D$42,3,FALSE),IF(AND($C642=3,$CV642&gt;=$DJ$1),VLOOKUP($A642,FIJOS!$B$11:$P$545,10,FALSE),IF(AND($C642=3,$CV642&lt;$DJ$1),((VLOOKUP($A642,FIJOS!$B$11:$P$545,10,FALSE)/48)*24)*$CV642,IF(AND($C642=4,$CV642&gt;=(42/24)),VLOOKUP($D642,HORAS!$B$4:$D$42,3,FALSE),IF(AND($C642=5,$CV642&gt;=(36/24)),VLOOKUP($D642,HORAS!$B$4:$D$42,3,FALSE))))))))</f>
        <v>0</v>
      </c>
      <c r="DJ642" s="145">
        <f>IF(OR($C642=2),VLOOKUP($D642,HORAS!$B$4:$E$42,4,FALSE)*$EC642,IF(ISERROR(VLOOKUP($A642,FIJOS!$B$11:$P$108,9,FALSE)),0,VLOOKUP($A642,FIJOS!$B$11:$P$231,9,FALSE)*$EC642))</f>
        <v>0</v>
      </c>
      <c r="DK642" s="145">
        <f>IF(OR($C642=2),VLOOKUP($D642,HORAS!$B$4:$F$42,5,FALSE)*$EE642,IF(ISERROR(VLOOKUP($A642,FIJOS!$B$11:$P$108,9,FALSE)),0,VLOOKUP($A642,FIJOS!$B$11:$P$231,9,FALSE)*$EE642))</f>
        <v>0</v>
      </c>
      <c r="DL642" s="144"/>
      <c r="DM642" s="145">
        <f>IF(ISERROR(VLOOKUP($A642,FIJOS!$B$11:$L$646,11,FALSE)),0,VLOOKUP($A642,FIJOS!$B$11:$L$646,11,FALSE))</f>
        <v>0</v>
      </c>
      <c r="DN642" s="148" t="e">
        <f>IF(OR($C642=1,$C642=3),0,IF((VLOOKUP(CAPTURA!D642,HORAS!$B$4:$K$42,10,FALSE)/4)*COUNTIF($H642:$CT642,3)&gt;100,100,(VLOOKUP(CAPTURA!D642,HORAS!$B$4:$K$42,10,FALSE)/4)*COUNTIF($H642:$CT642,3)))</f>
        <v>#N/A</v>
      </c>
      <c r="DO642" s="144" t="e">
        <f>IF(OR($C642=1,$C642=3),0,IF($C642=5,VLOOKUP(D642,HORAS!$B$4:$G$42,6,FALSE),IF(AND($C642=4,$CV642&gt;=(42/24)),VLOOKUP(D642,HORAS!$B$4:$G$42,6,FALSE),IF(COUNTIF($H642:$CL642,"F")&gt;0,0,IF(CV642&gt;$DJ$1,$DJ$1*(VLOOKUP(D642,HORAS!$B$4:$G$42,6,FALSE)/$DJ$1),CV642*(VLOOKUP(D642,HORAS!$B$4:$G$42,6,FALSE)/$DJ$1))))))</f>
        <v>#N/A</v>
      </c>
      <c r="DP642" s="156"/>
      <c r="DQ642" s="148"/>
      <c r="DR642" s="148"/>
      <c r="DS642" s="83" t="e">
        <f t="shared" si="319"/>
        <v>#N/A</v>
      </c>
      <c r="DT642" s="84"/>
      <c r="DU642" s="149" t="e">
        <f t="shared" si="291"/>
        <v>#N/A</v>
      </c>
      <c r="DV642" s="149" t="e">
        <f t="shared" si="292"/>
        <v>#N/A</v>
      </c>
      <c r="DW642" s="144" t="e">
        <f t="shared" si="293"/>
        <v>#N/A</v>
      </c>
      <c r="DX642" s="168"/>
      <c r="DY642" s="29"/>
      <c r="DZ642" s="150"/>
      <c r="EA642" s="134"/>
      <c r="EB642" s="137">
        <f t="shared" si="294"/>
        <v>0</v>
      </c>
      <c r="EC642" s="138">
        <f t="shared" si="295"/>
        <v>0</v>
      </c>
      <c r="ED642" s="137">
        <f t="shared" si="296"/>
        <v>0</v>
      </c>
      <c r="EE642" s="132">
        <f t="shared" si="297"/>
        <v>0</v>
      </c>
      <c r="EF642" s="29"/>
      <c r="EG642" s="134"/>
      <c r="EH642" s="134"/>
      <c r="EI642" s="134"/>
      <c r="EK642" s="29"/>
    </row>
    <row r="643" spans="1:141" ht="15" customHeight="1" x14ac:dyDescent="0.25">
      <c r="A643" s="87"/>
      <c r="B643" s="5"/>
      <c r="C643" s="72"/>
      <c r="D643" s="73"/>
      <c r="E643" s="73"/>
      <c r="F643" s="141"/>
      <c r="G643" s="74"/>
      <c r="H643" s="75"/>
      <c r="I643" s="76"/>
      <c r="J643" s="135"/>
      <c r="K643" s="135"/>
      <c r="L643" s="77">
        <f t="shared" si="298"/>
        <v>0</v>
      </c>
      <c r="M643" s="78"/>
      <c r="N643" s="142"/>
      <c r="O643" s="142"/>
      <c r="P643" s="77">
        <f t="shared" si="299"/>
        <v>0</v>
      </c>
      <c r="Q643" s="78"/>
      <c r="R643" s="143"/>
      <c r="S643" s="143"/>
      <c r="T643" s="77">
        <f t="shared" si="300"/>
        <v>0</v>
      </c>
      <c r="U643" s="75"/>
      <c r="V643" s="76"/>
      <c r="W643" s="135"/>
      <c r="X643" s="135"/>
      <c r="Y643" s="77">
        <f t="shared" si="301"/>
        <v>0</v>
      </c>
      <c r="Z643" s="78"/>
      <c r="AA643" s="142"/>
      <c r="AB643" s="142"/>
      <c r="AC643" s="77">
        <f t="shared" si="302"/>
        <v>0</v>
      </c>
      <c r="AD643" s="78"/>
      <c r="AE643" s="143"/>
      <c r="AF643" s="143"/>
      <c r="AG643" s="79">
        <f t="shared" si="303"/>
        <v>0</v>
      </c>
      <c r="AH643" s="75"/>
      <c r="AI643" s="76"/>
      <c r="AJ643" s="135"/>
      <c r="AK643" s="135"/>
      <c r="AL643" s="77">
        <f t="shared" si="304"/>
        <v>0</v>
      </c>
      <c r="AM643" s="76"/>
      <c r="AN643" s="142"/>
      <c r="AO643" s="142"/>
      <c r="AP643" s="77">
        <f t="shared" si="305"/>
        <v>0</v>
      </c>
      <c r="AQ643" s="78"/>
      <c r="AR643" s="142"/>
      <c r="AS643" s="142"/>
      <c r="AT643" s="79">
        <f t="shared" si="306"/>
        <v>0</v>
      </c>
      <c r="AU643" s="75"/>
      <c r="AV643" s="76"/>
      <c r="AW643" s="135"/>
      <c r="AX643" s="135"/>
      <c r="AY643" s="77">
        <f t="shared" si="307"/>
        <v>0</v>
      </c>
      <c r="AZ643" s="76"/>
      <c r="BA643" s="142"/>
      <c r="BB643" s="142"/>
      <c r="BC643" s="77">
        <f t="shared" si="308"/>
        <v>0</v>
      </c>
      <c r="BD643" s="78"/>
      <c r="BE643" s="142"/>
      <c r="BF643" s="142"/>
      <c r="BG643" s="79">
        <f t="shared" si="309"/>
        <v>0</v>
      </c>
      <c r="BH643" s="75"/>
      <c r="BI643" s="76"/>
      <c r="BJ643" s="135"/>
      <c r="BK643" s="135"/>
      <c r="BL643" s="77">
        <f t="shared" si="310"/>
        <v>0</v>
      </c>
      <c r="BM643" s="78"/>
      <c r="BN643" s="142"/>
      <c r="BO643" s="142"/>
      <c r="BP643" s="77">
        <f t="shared" si="311"/>
        <v>0</v>
      </c>
      <c r="BQ643" s="78"/>
      <c r="BR643" s="142"/>
      <c r="BS643" s="142"/>
      <c r="BT643" s="79">
        <f t="shared" si="312"/>
        <v>0</v>
      </c>
      <c r="BU643" s="75"/>
      <c r="BV643" s="76"/>
      <c r="BW643" s="135"/>
      <c r="BX643" s="135"/>
      <c r="BY643" s="77">
        <f t="shared" si="313"/>
        <v>0</v>
      </c>
      <c r="BZ643" s="78"/>
      <c r="CA643" s="142"/>
      <c r="CB643" s="142"/>
      <c r="CC643" s="77">
        <f t="shared" si="314"/>
        <v>0</v>
      </c>
      <c r="CD643" s="78"/>
      <c r="CE643" s="142"/>
      <c r="CF643" s="142"/>
      <c r="CG643" s="79">
        <f t="shared" si="315"/>
        <v>0</v>
      </c>
      <c r="CH643" s="75"/>
      <c r="CI643" s="76"/>
      <c r="CJ643" s="86"/>
      <c r="CK643" s="86"/>
      <c r="CL643" s="77">
        <f t="shared" si="316"/>
        <v>0</v>
      </c>
      <c r="CM643" s="78"/>
      <c r="CN643" s="85"/>
      <c r="CO643" s="85"/>
      <c r="CP643" s="77">
        <f t="shared" si="317"/>
        <v>0</v>
      </c>
      <c r="CQ643" s="78"/>
      <c r="CR643" s="85"/>
      <c r="CS643" s="85"/>
      <c r="CT643" s="79">
        <f t="shared" si="318"/>
        <v>0</v>
      </c>
      <c r="CU643" s="80">
        <f t="shared" si="288"/>
        <v>0</v>
      </c>
      <c r="CV643" s="81">
        <f t="shared" si="289"/>
        <v>0</v>
      </c>
      <c r="CW643" s="144"/>
      <c r="CX643" s="145">
        <f>IF(ISERROR(VLOOKUP($A643,FIJOS!$B$11:$O$590,14,FALSE)),0,VLOOKUP($A643,FIJOS!$B$11:$O$590,14,FALSE))</f>
        <v>0</v>
      </c>
      <c r="CY643" s="145">
        <f>IF(ISERROR(VLOOKUP(A643,FIJOS!$B$10:$P$590,15,FALSE)),0,VLOOKUP(A643,FIJOS!$B$10:$P$590,15,FALSE))</f>
        <v>0</v>
      </c>
      <c r="CZ643" s="155"/>
      <c r="DA643" s="147"/>
      <c r="DB643" s="147"/>
      <c r="DC643" s="147"/>
      <c r="DD643" s="147"/>
      <c r="DE643" s="147"/>
      <c r="DF643" s="145">
        <f>IF(ISERROR(VLOOKUP($A643,FIJOS!$B$11:$N$590,13,FALSE)),0,VLOOKUP($A643,FIJOS!$B$11:$N$590,13,FALSE))</f>
        <v>0</v>
      </c>
      <c r="DG643" s="145">
        <f>IF(ISERROR(VLOOKUP($A643,FIJOS!$B$11:$P$447,12,FALSE)),0,VLOOKUP($A643,FIJOS!$B$11:$P$447,12,FALSE))</f>
        <v>0</v>
      </c>
      <c r="DH643" s="82">
        <f t="shared" si="290"/>
        <v>0</v>
      </c>
      <c r="DI643" s="83" t="b">
        <f>IF($C643=1,(VLOOKUP($A643,FIJOS!$B$11:$P$545,10,FALSE)/7)*(7-$CU643),IF(AND($C643=2,CV643&lt;$DJ$1),(VLOOKUP($D643,HORAS!$B$4:$C$42,2,FALSE)*24)*$CV643,IF(AND($C643=2,CV643&gt;=$DJ$1),VLOOKUP($D643,HORAS!$B$4:$D$42,3,FALSE),IF(AND($C643=3,$CV643&gt;=$DJ$1),VLOOKUP($A643,FIJOS!$B$11:$P$545,10,FALSE),IF(AND($C643=3,$CV643&lt;$DJ$1),((VLOOKUP($A643,FIJOS!$B$11:$P$545,10,FALSE)/48)*24)*$CV643,IF(AND($C643=4,$CV643&gt;=(42/24)),VLOOKUP($D643,HORAS!$B$4:$D$42,3,FALSE),IF(AND($C643=5,$CV643&gt;=(36/24)),VLOOKUP($D643,HORAS!$B$4:$D$42,3,FALSE))))))))</f>
        <v>0</v>
      </c>
      <c r="DJ643" s="145">
        <f>IF(OR($C643=2),VLOOKUP($D643,HORAS!$B$4:$E$42,4,FALSE)*$EC643,IF(ISERROR(VLOOKUP($A643,FIJOS!$B$11:$P$108,9,FALSE)),0,VLOOKUP($A643,FIJOS!$B$11:$P$231,9,FALSE)*$EC643))</f>
        <v>0</v>
      </c>
      <c r="DK643" s="145">
        <f>IF(OR($C643=2),VLOOKUP($D643,HORAS!$B$4:$F$42,5,FALSE)*$EE643,IF(ISERROR(VLOOKUP($A643,FIJOS!$B$11:$P$108,9,FALSE)),0,VLOOKUP($A643,FIJOS!$B$11:$P$231,9,FALSE)*$EE643))</f>
        <v>0</v>
      </c>
      <c r="DL643" s="144"/>
      <c r="DM643" s="145">
        <f>IF(ISERROR(VLOOKUP($A643,FIJOS!$B$11:$L$646,11,FALSE)),0,VLOOKUP($A643,FIJOS!$B$11:$L$646,11,FALSE))</f>
        <v>0</v>
      </c>
      <c r="DN643" s="148" t="e">
        <f>IF(OR($C643=1,$C643=3),0,IF((VLOOKUP(CAPTURA!D643,HORAS!$B$4:$K$42,10,FALSE)/4)*COUNTIF($H643:$CT643,3)&gt;100,100,(VLOOKUP(CAPTURA!D643,HORAS!$B$4:$K$42,10,FALSE)/4)*COUNTIF($H643:$CT643,3)))</f>
        <v>#N/A</v>
      </c>
      <c r="DO643" s="144" t="e">
        <f>IF(OR($C643=1,$C643=3),0,IF($C643=5,VLOOKUP(D643,HORAS!$B$4:$G$42,6,FALSE),IF(AND($C643=4,$CV643&gt;=(42/24)),VLOOKUP(D643,HORAS!$B$4:$G$42,6,FALSE),IF(COUNTIF($H643:$CL643,"F")&gt;0,0,IF(CV643&gt;$DJ$1,$DJ$1*(VLOOKUP(D643,HORAS!$B$4:$G$42,6,FALSE)/$DJ$1),CV643*(VLOOKUP(D643,HORAS!$B$4:$G$42,6,FALSE)/$DJ$1))))))</f>
        <v>#N/A</v>
      </c>
      <c r="DP643" s="156"/>
      <c r="DQ643" s="148"/>
      <c r="DR643" s="148"/>
      <c r="DS643" s="83" t="e">
        <f t="shared" si="319"/>
        <v>#N/A</v>
      </c>
      <c r="DT643" s="84"/>
      <c r="DU643" s="149" t="e">
        <f t="shared" si="291"/>
        <v>#N/A</v>
      </c>
      <c r="DV643" s="149" t="e">
        <f t="shared" si="292"/>
        <v>#N/A</v>
      </c>
      <c r="DW643" s="144" t="e">
        <f t="shared" si="293"/>
        <v>#N/A</v>
      </c>
      <c r="DX643" s="168"/>
      <c r="DY643" s="29"/>
      <c r="DZ643" s="150"/>
      <c r="EA643" s="134"/>
      <c r="EB643" s="137">
        <f t="shared" si="294"/>
        <v>0</v>
      </c>
      <c r="EC643" s="138">
        <f t="shared" si="295"/>
        <v>0</v>
      </c>
      <c r="ED643" s="137">
        <f t="shared" si="296"/>
        <v>0</v>
      </c>
      <c r="EE643" s="132">
        <f t="shared" si="297"/>
        <v>0</v>
      </c>
      <c r="EF643" s="29"/>
      <c r="EG643" s="134"/>
      <c r="EH643" s="134"/>
      <c r="EI643" s="134"/>
      <c r="EK643" s="29"/>
    </row>
    <row r="644" spans="1:141" ht="15" customHeight="1" x14ac:dyDescent="0.25">
      <c r="A644" s="87"/>
      <c r="B644" s="5"/>
      <c r="C644" s="72"/>
      <c r="D644" s="73"/>
      <c r="E644" s="73"/>
      <c r="F644" s="141"/>
      <c r="G644" s="74"/>
      <c r="H644" s="75"/>
      <c r="I644" s="76"/>
      <c r="J644" s="135"/>
      <c r="K644" s="135"/>
      <c r="L644" s="77">
        <f t="shared" si="298"/>
        <v>0</v>
      </c>
      <c r="M644" s="78"/>
      <c r="N644" s="142"/>
      <c r="O644" s="142"/>
      <c r="P644" s="77">
        <f t="shared" si="299"/>
        <v>0</v>
      </c>
      <c r="Q644" s="78"/>
      <c r="R644" s="143"/>
      <c r="S644" s="143"/>
      <c r="T644" s="77">
        <f t="shared" si="300"/>
        <v>0</v>
      </c>
      <c r="U644" s="75"/>
      <c r="V644" s="76"/>
      <c r="W644" s="135"/>
      <c r="X644" s="135"/>
      <c r="Y644" s="77">
        <f t="shared" si="301"/>
        <v>0</v>
      </c>
      <c r="Z644" s="78"/>
      <c r="AA644" s="142"/>
      <c r="AB644" s="142"/>
      <c r="AC644" s="77">
        <f t="shared" si="302"/>
        <v>0</v>
      </c>
      <c r="AD644" s="78"/>
      <c r="AE644" s="143"/>
      <c r="AF644" s="143"/>
      <c r="AG644" s="79">
        <f t="shared" si="303"/>
        <v>0</v>
      </c>
      <c r="AH644" s="75"/>
      <c r="AI644" s="76"/>
      <c r="AJ644" s="135"/>
      <c r="AK644" s="135"/>
      <c r="AL644" s="77">
        <f t="shared" si="304"/>
        <v>0</v>
      </c>
      <c r="AM644" s="76"/>
      <c r="AN644" s="142"/>
      <c r="AO644" s="142"/>
      <c r="AP644" s="77">
        <f t="shared" si="305"/>
        <v>0</v>
      </c>
      <c r="AQ644" s="78"/>
      <c r="AR644" s="142"/>
      <c r="AS644" s="142"/>
      <c r="AT644" s="79">
        <f t="shared" si="306"/>
        <v>0</v>
      </c>
      <c r="AU644" s="75"/>
      <c r="AV644" s="76"/>
      <c r="AW644" s="135"/>
      <c r="AX644" s="135"/>
      <c r="AY644" s="77">
        <f t="shared" si="307"/>
        <v>0</v>
      </c>
      <c r="AZ644" s="76"/>
      <c r="BA644" s="142"/>
      <c r="BB644" s="142"/>
      <c r="BC644" s="77">
        <f t="shared" si="308"/>
        <v>0</v>
      </c>
      <c r="BD644" s="78"/>
      <c r="BE644" s="142"/>
      <c r="BF644" s="142"/>
      <c r="BG644" s="79">
        <f t="shared" si="309"/>
        <v>0</v>
      </c>
      <c r="BH644" s="75"/>
      <c r="BI644" s="76"/>
      <c r="BJ644" s="135"/>
      <c r="BK644" s="135"/>
      <c r="BL644" s="77">
        <f t="shared" si="310"/>
        <v>0</v>
      </c>
      <c r="BM644" s="78"/>
      <c r="BN644" s="142"/>
      <c r="BO644" s="142"/>
      <c r="BP644" s="77">
        <f t="shared" si="311"/>
        <v>0</v>
      </c>
      <c r="BQ644" s="78"/>
      <c r="BR644" s="142"/>
      <c r="BS644" s="142"/>
      <c r="BT644" s="79">
        <f t="shared" si="312"/>
        <v>0</v>
      </c>
      <c r="BU644" s="75"/>
      <c r="BV644" s="76"/>
      <c r="BW644" s="135"/>
      <c r="BX644" s="135"/>
      <c r="BY644" s="77">
        <f t="shared" si="313"/>
        <v>0</v>
      </c>
      <c r="BZ644" s="78"/>
      <c r="CA644" s="142"/>
      <c r="CB644" s="142"/>
      <c r="CC644" s="77">
        <f t="shared" si="314"/>
        <v>0</v>
      </c>
      <c r="CD644" s="78"/>
      <c r="CE644" s="142"/>
      <c r="CF644" s="142"/>
      <c r="CG644" s="79">
        <f t="shared" si="315"/>
        <v>0</v>
      </c>
      <c r="CH644" s="75"/>
      <c r="CI644" s="76"/>
      <c r="CJ644" s="86"/>
      <c r="CK644" s="86"/>
      <c r="CL644" s="77">
        <f t="shared" si="316"/>
        <v>0</v>
      </c>
      <c r="CM644" s="78"/>
      <c r="CN644" s="85"/>
      <c r="CO644" s="85"/>
      <c r="CP644" s="77">
        <f t="shared" si="317"/>
        <v>0</v>
      </c>
      <c r="CQ644" s="78"/>
      <c r="CR644" s="85"/>
      <c r="CS644" s="85"/>
      <c r="CT644" s="79">
        <f t="shared" si="318"/>
        <v>0</v>
      </c>
      <c r="CU644" s="80">
        <f t="shared" si="288"/>
        <v>0</v>
      </c>
      <c r="CV644" s="81">
        <f t="shared" si="289"/>
        <v>0</v>
      </c>
      <c r="CW644" s="144"/>
      <c r="CX644" s="145">
        <f>IF(ISERROR(VLOOKUP($A644,FIJOS!$B$11:$O$590,14,FALSE)),0,VLOOKUP($A644,FIJOS!$B$11:$O$590,14,FALSE))</f>
        <v>0</v>
      </c>
      <c r="CY644" s="145">
        <f>IF(ISERROR(VLOOKUP(A644,FIJOS!$B$10:$P$590,15,FALSE)),0,VLOOKUP(A644,FIJOS!$B$10:$P$590,15,FALSE))</f>
        <v>0</v>
      </c>
      <c r="CZ644" s="155"/>
      <c r="DA644" s="147"/>
      <c r="DB644" s="147"/>
      <c r="DC644" s="147"/>
      <c r="DD644" s="147"/>
      <c r="DE644" s="147"/>
      <c r="DF644" s="145">
        <f>IF(ISERROR(VLOOKUP($A644,FIJOS!$B$11:$N$590,13,FALSE)),0,VLOOKUP($A644,FIJOS!$B$11:$N$590,13,FALSE))</f>
        <v>0</v>
      </c>
      <c r="DG644" s="145">
        <f>IF(ISERROR(VLOOKUP($A644,FIJOS!$B$11:$P$447,12,FALSE)),0,VLOOKUP($A644,FIJOS!$B$11:$P$447,12,FALSE))</f>
        <v>0</v>
      </c>
      <c r="DH644" s="82">
        <f t="shared" si="290"/>
        <v>0</v>
      </c>
      <c r="DI644" s="83" t="b">
        <f>IF($C644=1,(VLOOKUP($A644,FIJOS!$B$11:$P$545,10,FALSE)/7)*(7-$CU644),IF(AND($C644=2,CV644&lt;$DJ$1),(VLOOKUP($D644,HORAS!$B$4:$C$42,2,FALSE)*24)*$CV644,IF(AND($C644=2,CV644&gt;=$DJ$1),VLOOKUP($D644,HORAS!$B$4:$D$42,3,FALSE),IF(AND($C644=3,$CV644&gt;=$DJ$1),VLOOKUP($A644,FIJOS!$B$11:$P$545,10,FALSE),IF(AND($C644=3,$CV644&lt;$DJ$1),((VLOOKUP($A644,FIJOS!$B$11:$P$545,10,FALSE)/48)*24)*$CV644,IF(AND($C644=4,$CV644&gt;=(42/24)),VLOOKUP($D644,HORAS!$B$4:$D$42,3,FALSE),IF(AND($C644=5,$CV644&gt;=(36/24)),VLOOKUP($D644,HORAS!$B$4:$D$42,3,FALSE))))))))</f>
        <v>0</v>
      </c>
      <c r="DJ644" s="145">
        <f>IF(OR($C644=2),VLOOKUP($D644,HORAS!$B$4:$E$42,4,FALSE)*$EC644,IF(ISERROR(VLOOKUP($A644,FIJOS!$B$11:$P$108,9,FALSE)),0,VLOOKUP($A644,FIJOS!$B$11:$P$231,9,FALSE)*$EC644))</f>
        <v>0</v>
      </c>
      <c r="DK644" s="145">
        <f>IF(OR($C644=2),VLOOKUP($D644,HORAS!$B$4:$F$42,5,FALSE)*$EE644,IF(ISERROR(VLOOKUP($A644,FIJOS!$B$11:$P$108,9,FALSE)),0,VLOOKUP($A644,FIJOS!$B$11:$P$231,9,FALSE)*$EE644))</f>
        <v>0</v>
      </c>
      <c r="DL644" s="144"/>
      <c r="DM644" s="145">
        <f>IF(ISERROR(VLOOKUP($A644,FIJOS!$B$11:$L$646,11,FALSE)),0,VLOOKUP($A644,FIJOS!$B$11:$L$646,11,FALSE))</f>
        <v>0</v>
      </c>
      <c r="DN644" s="148" t="e">
        <f>IF(OR($C644=1,$C644=3),0,IF((VLOOKUP(CAPTURA!D644,HORAS!$B$4:$K$42,10,FALSE)/4)*COUNTIF($H644:$CT644,3)&gt;100,100,(VLOOKUP(CAPTURA!D644,HORAS!$B$4:$K$42,10,FALSE)/4)*COUNTIF($H644:$CT644,3)))</f>
        <v>#N/A</v>
      </c>
      <c r="DO644" s="144" t="e">
        <f>IF(OR($C644=1,$C644=3),0,IF($C644=5,VLOOKUP(D644,HORAS!$B$4:$G$42,6,FALSE),IF(AND($C644=4,$CV644&gt;=(42/24)),VLOOKUP(D644,HORAS!$B$4:$G$42,6,FALSE),IF(COUNTIF($H644:$CL644,"F")&gt;0,0,IF(CV644&gt;$DJ$1,$DJ$1*(VLOOKUP(D644,HORAS!$B$4:$G$42,6,FALSE)/$DJ$1),CV644*(VLOOKUP(D644,HORAS!$B$4:$G$42,6,FALSE)/$DJ$1))))))</f>
        <v>#N/A</v>
      </c>
      <c r="DP644" s="156"/>
      <c r="DQ644" s="148"/>
      <c r="DR644" s="148"/>
      <c r="DS644" s="83" t="e">
        <f t="shared" si="319"/>
        <v>#N/A</v>
      </c>
      <c r="DT644" s="84"/>
      <c r="DU644" s="149" t="e">
        <f t="shared" si="291"/>
        <v>#N/A</v>
      </c>
      <c r="DV644" s="149" t="e">
        <f t="shared" si="292"/>
        <v>#N/A</v>
      </c>
      <c r="DW644" s="144" t="e">
        <f t="shared" si="293"/>
        <v>#N/A</v>
      </c>
      <c r="DX644" s="168"/>
      <c r="DY644" s="29"/>
      <c r="DZ644" s="150"/>
      <c r="EA644" s="134"/>
      <c r="EB644" s="137">
        <f t="shared" si="294"/>
        <v>0</v>
      </c>
      <c r="EC644" s="138">
        <f t="shared" si="295"/>
        <v>0</v>
      </c>
      <c r="ED644" s="137">
        <f t="shared" si="296"/>
        <v>0</v>
      </c>
      <c r="EE644" s="132">
        <f t="shared" si="297"/>
        <v>0</v>
      </c>
      <c r="EF644" s="29"/>
      <c r="EG644" s="134"/>
      <c r="EH644" s="134"/>
      <c r="EI644" s="134"/>
      <c r="EK644" s="29"/>
    </row>
    <row r="645" spans="1:141" ht="15" customHeight="1" x14ac:dyDescent="0.25">
      <c r="A645" s="87"/>
      <c r="B645" s="5"/>
      <c r="C645" s="72"/>
      <c r="D645" s="73"/>
      <c r="E645" s="73"/>
      <c r="F645" s="141"/>
      <c r="G645" s="74"/>
      <c r="H645" s="75"/>
      <c r="I645" s="76"/>
      <c r="J645" s="135"/>
      <c r="K645" s="135"/>
      <c r="L645" s="77">
        <f t="shared" si="298"/>
        <v>0</v>
      </c>
      <c r="M645" s="78"/>
      <c r="N645" s="142"/>
      <c r="O645" s="142"/>
      <c r="P645" s="77">
        <f t="shared" si="299"/>
        <v>0</v>
      </c>
      <c r="Q645" s="78"/>
      <c r="R645" s="143"/>
      <c r="S645" s="143"/>
      <c r="T645" s="77">
        <f t="shared" si="300"/>
        <v>0</v>
      </c>
      <c r="U645" s="75"/>
      <c r="V645" s="76"/>
      <c r="W645" s="135"/>
      <c r="X645" s="135"/>
      <c r="Y645" s="77">
        <f t="shared" si="301"/>
        <v>0</v>
      </c>
      <c r="Z645" s="78"/>
      <c r="AA645" s="142"/>
      <c r="AB645" s="142"/>
      <c r="AC645" s="77">
        <f t="shared" si="302"/>
        <v>0</v>
      </c>
      <c r="AD645" s="78"/>
      <c r="AE645" s="143"/>
      <c r="AF645" s="143"/>
      <c r="AG645" s="79">
        <f t="shared" si="303"/>
        <v>0</v>
      </c>
      <c r="AH645" s="75"/>
      <c r="AI645" s="76"/>
      <c r="AJ645" s="135"/>
      <c r="AK645" s="135"/>
      <c r="AL645" s="77">
        <f t="shared" si="304"/>
        <v>0</v>
      </c>
      <c r="AM645" s="76"/>
      <c r="AN645" s="142"/>
      <c r="AO645" s="142"/>
      <c r="AP645" s="77">
        <f t="shared" si="305"/>
        <v>0</v>
      </c>
      <c r="AQ645" s="78"/>
      <c r="AR645" s="142"/>
      <c r="AS645" s="142"/>
      <c r="AT645" s="79">
        <f t="shared" si="306"/>
        <v>0</v>
      </c>
      <c r="AU645" s="75"/>
      <c r="AV645" s="76"/>
      <c r="AW645" s="135"/>
      <c r="AX645" s="135"/>
      <c r="AY645" s="77">
        <f t="shared" si="307"/>
        <v>0</v>
      </c>
      <c r="AZ645" s="76"/>
      <c r="BA645" s="142"/>
      <c r="BB645" s="142"/>
      <c r="BC645" s="77">
        <f t="shared" si="308"/>
        <v>0</v>
      </c>
      <c r="BD645" s="78"/>
      <c r="BE645" s="142"/>
      <c r="BF645" s="142"/>
      <c r="BG645" s="79">
        <f t="shared" si="309"/>
        <v>0</v>
      </c>
      <c r="BH645" s="75"/>
      <c r="BI645" s="76"/>
      <c r="BJ645" s="135"/>
      <c r="BK645" s="135"/>
      <c r="BL645" s="77">
        <f t="shared" si="310"/>
        <v>0</v>
      </c>
      <c r="BM645" s="78"/>
      <c r="BN645" s="142"/>
      <c r="BO645" s="142"/>
      <c r="BP645" s="77">
        <f t="shared" si="311"/>
        <v>0</v>
      </c>
      <c r="BQ645" s="78"/>
      <c r="BR645" s="142"/>
      <c r="BS645" s="142"/>
      <c r="BT645" s="79">
        <f t="shared" si="312"/>
        <v>0</v>
      </c>
      <c r="BU645" s="75"/>
      <c r="BV645" s="76"/>
      <c r="BW645" s="135"/>
      <c r="BX645" s="135"/>
      <c r="BY645" s="77">
        <f t="shared" si="313"/>
        <v>0</v>
      </c>
      <c r="BZ645" s="78"/>
      <c r="CA645" s="142"/>
      <c r="CB645" s="142"/>
      <c r="CC645" s="77">
        <f t="shared" si="314"/>
        <v>0</v>
      </c>
      <c r="CD645" s="78"/>
      <c r="CE645" s="142"/>
      <c r="CF645" s="142"/>
      <c r="CG645" s="79">
        <f t="shared" si="315"/>
        <v>0</v>
      </c>
      <c r="CH645" s="75"/>
      <c r="CI645" s="76"/>
      <c r="CJ645" s="86"/>
      <c r="CK645" s="86"/>
      <c r="CL645" s="77">
        <f t="shared" si="316"/>
        <v>0</v>
      </c>
      <c r="CM645" s="78"/>
      <c r="CN645" s="85"/>
      <c r="CO645" s="85"/>
      <c r="CP645" s="77">
        <f t="shared" si="317"/>
        <v>0</v>
      </c>
      <c r="CQ645" s="78"/>
      <c r="CR645" s="85"/>
      <c r="CS645" s="85"/>
      <c r="CT645" s="79">
        <f t="shared" si="318"/>
        <v>0</v>
      </c>
      <c r="CU645" s="80">
        <f t="shared" si="288"/>
        <v>0</v>
      </c>
      <c r="CV645" s="81">
        <f t="shared" si="289"/>
        <v>0</v>
      </c>
      <c r="CW645" s="144"/>
      <c r="CX645" s="145">
        <f>IF(ISERROR(VLOOKUP($A645,FIJOS!$B$11:$O$590,14,FALSE)),0,VLOOKUP($A645,FIJOS!$B$11:$O$590,14,FALSE))</f>
        <v>0</v>
      </c>
      <c r="CY645" s="145">
        <f>IF(ISERROR(VLOOKUP(A645,FIJOS!$B$10:$P$590,15,FALSE)),0,VLOOKUP(A645,FIJOS!$B$10:$P$590,15,FALSE))</f>
        <v>0</v>
      </c>
      <c r="CZ645" s="155"/>
      <c r="DA645" s="147"/>
      <c r="DB645" s="147"/>
      <c r="DC645" s="147"/>
      <c r="DD645" s="147"/>
      <c r="DE645" s="147"/>
      <c r="DF645" s="145">
        <f>IF(ISERROR(VLOOKUP($A645,FIJOS!$B$11:$N$590,13,FALSE)),0,VLOOKUP($A645,FIJOS!$B$11:$N$590,13,FALSE))</f>
        <v>0</v>
      </c>
      <c r="DG645" s="145">
        <f>IF(ISERROR(VLOOKUP($A645,FIJOS!$B$11:$P$447,12,FALSE)),0,VLOOKUP($A645,FIJOS!$B$11:$P$447,12,FALSE))</f>
        <v>0</v>
      </c>
      <c r="DH645" s="82">
        <f t="shared" si="290"/>
        <v>0</v>
      </c>
      <c r="DI645" s="83" t="b">
        <f>IF($C645=1,(VLOOKUP($A645,FIJOS!$B$11:$P$545,10,FALSE)/7)*(7-$CU645),IF(AND($C645=2,CV645&lt;$DJ$1),(VLOOKUP($D645,HORAS!$B$4:$C$42,2,FALSE)*24)*$CV645,IF(AND($C645=2,CV645&gt;=$DJ$1),VLOOKUP($D645,HORAS!$B$4:$D$42,3,FALSE),IF(AND($C645=3,$CV645&gt;=$DJ$1),VLOOKUP($A645,FIJOS!$B$11:$P$545,10,FALSE),IF(AND($C645=3,$CV645&lt;$DJ$1),((VLOOKUP($A645,FIJOS!$B$11:$P$545,10,FALSE)/48)*24)*$CV645,IF(AND($C645=4,$CV645&gt;=(42/24)),VLOOKUP($D645,HORAS!$B$4:$D$42,3,FALSE),IF(AND($C645=5,$CV645&gt;=(36/24)),VLOOKUP($D645,HORAS!$B$4:$D$42,3,FALSE))))))))</f>
        <v>0</v>
      </c>
      <c r="DJ645" s="145">
        <f>IF(OR($C645=2),VLOOKUP($D645,HORAS!$B$4:$E$42,4,FALSE)*$EC645,IF(ISERROR(VLOOKUP($A645,FIJOS!$B$11:$P$108,9,FALSE)),0,VLOOKUP($A645,FIJOS!$B$11:$P$231,9,FALSE)*$EC645))</f>
        <v>0</v>
      </c>
      <c r="DK645" s="145">
        <f>IF(OR($C645=2),VLOOKUP($D645,HORAS!$B$4:$F$42,5,FALSE)*$EE645,IF(ISERROR(VLOOKUP($A645,FIJOS!$B$11:$P$108,9,FALSE)),0,VLOOKUP($A645,FIJOS!$B$11:$P$231,9,FALSE)*$EE645))</f>
        <v>0</v>
      </c>
      <c r="DL645" s="144"/>
      <c r="DM645" s="145">
        <f>IF(ISERROR(VLOOKUP($A645,FIJOS!$B$11:$L$646,11,FALSE)),0,VLOOKUP($A645,FIJOS!$B$11:$L$646,11,FALSE))</f>
        <v>0</v>
      </c>
      <c r="DN645" s="148" t="e">
        <f>IF(OR($C645=1,$C645=3),0,IF((VLOOKUP(CAPTURA!D645,HORAS!$B$4:$K$42,10,FALSE)/4)*COUNTIF($H645:$CT645,3)&gt;100,100,(VLOOKUP(CAPTURA!D645,HORAS!$B$4:$K$42,10,FALSE)/4)*COUNTIF($H645:$CT645,3)))</f>
        <v>#N/A</v>
      </c>
      <c r="DO645" s="144" t="e">
        <f>IF(OR($C645=1,$C645=3),0,IF($C645=5,VLOOKUP(D645,HORAS!$B$4:$G$42,6,FALSE),IF(AND($C645=4,$CV645&gt;=(42/24)),VLOOKUP(D645,HORAS!$B$4:$G$42,6,FALSE),IF(COUNTIF($H645:$CL645,"F")&gt;0,0,IF(CV645&gt;$DJ$1,$DJ$1*(VLOOKUP(D645,HORAS!$B$4:$G$42,6,FALSE)/$DJ$1),CV645*(VLOOKUP(D645,HORAS!$B$4:$G$42,6,FALSE)/$DJ$1))))))</f>
        <v>#N/A</v>
      </c>
      <c r="DP645" s="156"/>
      <c r="DQ645" s="148"/>
      <c r="DR645" s="148"/>
      <c r="DS645" s="83" t="e">
        <f t="shared" si="319"/>
        <v>#N/A</v>
      </c>
      <c r="DT645" s="84"/>
      <c r="DU645" s="149" t="e">
        <f t="shared" si="291"/>
        <v>#N/A</v>
      </c>
      <c r="DV645" s="149" t="e">
        <f t="shared" si="292"/>
        <v>#N/A</v>
      </c>
      <c r="DW645" s="144" t="e">
        <f t="shared" si="293"/>
        <v>#N/A</v>
      </c>
      <c r="DX645" s="168"/>
      <c r="DY645" s="29"/>
      <c r="DZ645" s="150"/>
      <c r="EA645" s="134"/>
      <c r="EB645" s="137">
        <f t="shared" si="294"/>
        <v>0</v>
      </c>
      <c r="EC645" s="138">
        <f t="shared" si="295"/>
        <v>0</v>
      </c>
      <c r="ED645" s="137">
        <f t="shared" si="296"/>
        <v>0</v>
      </c>
      <c r="EE645" s="132">
        <f t="shared" si="297"/>
        <v>0</v>
      </c>
      <c r="EF645" s="29"/>
      <c r="EG645" s="134"/>
      <c r="EH645" s="134"/>
      <c r="EI645" s="134"/>
      <c r="EK645" s="29"/>
    </row>
    <row r="646" spans="1:141" ht="15" customHeight="1" x14ac:dyDescent="0.25">
      <c r="A646" s="87"/>
      <c r="B646" s="5"/>
      <c r="C646" s="72"/>
      <c r="D646" s="73"/>
      <c r="E646" s="73"/>
      <c r="F646" s="141"/>
      <c r="G646" s="74"/>
      <c r="H646" s="75"/>
      <c r="I646" s="76"/>
      <c r="J646" s="135"/>
      <c r="K646" s="135"/>
      <c r="L646" s="77">
        <f t="shared" si="298"/>
        <v>0</v>
      </c>
      <c r="M646" s="78"/>
      <c r="N646" s="142"/>
      <c r="O646" s="142"/>
      <c r="P646" s="77">
        <f t="shared" si="299"/>
        <v>0</v>
      </c>
      <c r="Q646" s="78"/>
      <c r="R646" s="143"/>
      <c r="S646" s="143"/>
      <c r="T646" s="77">
        <f t="shared" si="300"/>
        <v>0</v>
      </c>
      <c r="U646" s="75"/>
      <c r="V646" s="76"/>
      <c r="W646" s="135"/>
      <c r="X646" s="135"/>
      <c r="Y646" s="77">
        <f t="shared" si="301"/>
        <v>0</v>
      </c>
      <c r="Z646" s="78"/>
      <c r="AA646" s="142"/>
      <c r="AB646" s="142"/>
      <c r="AC646" s="77">
        <f t="shared" si="302"/>
        <v>0</v>
      </c>
      <c r="AD646" s="78"/>
      <c r="AE646" s="143"/>
      <c r="AF646" s="143"/>
      <c r="AG646" s="79">
        <f t="shared" si="303"/>
        <v>0</v>
      </c>
      <c r="AH646" s="75"/>
      <c r="AI646" s="76"/>
      <c r="AJ646" s="135"/>
      <c r="AK646" s="135"/>
      <c r="AL646" s="77">
        <f t="shared" si="304"/>
        <v>0</v>
      </c>
      <c r="AM646" s="76"/>
      <c r="AN646" s="142"/>
      <c r="AO646" s="142"/>
      <c r="AP646" s="77">
        <f t="shared" si="305"/>
        <v>0</v>
      </c>
      <c r="AQ646" s="78"/>
      <c r="AR646" s="142"/>
      <c r="AS646" s="142"/>
      <c r="AT646" s="79">
        <f t="shared" si="306"/>
        <v>0</v>
      </c>
      <c r="AU646" s="75"/>
      <c r="AV646" s="76"/>
      <c r="AW646" s="135"/>
      <c r="AX646" s="135"/>
      <c r="AY646" s="77">
        <f t="shared" si="307"/>
        <v>0</v>
      </c>
      <c r="AZ646" s="76"/>
      <c r="BA646" s="142"/>
      <c r="BB646" s="142"/>
      <c r="BC646" s="77">
        <f t="shared" si="308"/>
        <v>0</v>
      </c>
      <c r="BD646" s="78"/>
      <c r="BE646" s="142"/>
      <c r="BF646" s="142"/>
      <c r="BG646" s="79">
        <f t="shared" si="309"/>
        <v>0</v>
      </c>
      <c r="BH646" s="75"/>
      <c r="BI646" s="76"/>
      <c r="BJ646" s="135"/>
      <c r="BK646" s="135"/>
      <c r="BL646" s="77">
        <f t="shared" si="310"/>
        <v>0</v>
      </c>
      <c r="BM646" s="78"/>
      <c r="BN646" s="142"/>
      <c r="BO646" s="142"/>
      <c r="BP646" s="77">
        <f t="shared" si="311"/>
        <v>0</v>
      </c>
      <c r="BQ646" s="78"/>
      <c r="BR646" s="142"/>
      <c r="BS646" s="142"/>
      <c r="BT646" s="79">
        <f t="shared" si="312"/>
        <v>0</v>
      </c>
      <c r="BU646" s="75"/>
      <c r="BV646" s="76"/>
      <c r="BW646" s="135"/>
      <c r="BX646" s="135"/>
      <c r="BY646" s="77">
        <f t="shared" si="313"/>
        <v>0</v>
      </c>
      <c r="BZ646" s="78"/>
      <c r="CA646" s="142"/>
      <c r="CB646" s="142"/>
      <c r="CC646" s="77">
        <f t="shared" si="314"/>
        <v>0</v>
      </c>
      <c r="CD646" s="78"/>
      <c r="CE646" s="142"/>
      <c r="CF646" s="142"/>
      <c r="CG646" s="79">
        <f t="shared" si="315"/>
        <v>0</v>
      </c>
      <c r="CH646" s="75"/>
      <c r="CI646" s="76"/>
      <c r="CJ646" s="86"/>
      <c r="CK646" s="86"/>
      <c r="CL646" s="77">
        <f t="shared" si="316"/>
        <v>0</v>
      </c>
      <c r="CM646" s="78"/>
      <c r="CN646" s="85"/>
      <c r="CO646" s="85"/>
      <c r="CP646" s="77">
        <f t="shared" si="317"/>
        <v>0</v>
      </c>
      <c r="CQ646" s="78"/>
      <c r="CR646" s="85"/>
      <c r="CS646" s="85"/>
      <c r="CT646" s="79">
        <f t="shared" si="318"/>
        <v>0</v>
      </c>
      <c r="CU646" s="80">
        <f t="shared" si="288"/>
        <v>0</v>
      </c>
      <c r="CV646" s="81">
        <f t="shared" si="289"/>
        <v>0</v>
      </c>
      <c r="CW646" s="144"/>
      <c r="CX646" s="145">
        <f>IF(ISERROR(VLOOKUP($A646,FIJOS!$B$11:$O$590,14,FALSE)),0,VLOOKUP($A646,FIJOS!$B$11:$O$590,14,FALSE))</f>
        <v>0</v>
      </c>
      <c r="CY646" s="145">
        <f>IF(ISERROR(VLOOKUP(A646,FIJOS!$B$10:$P$590,15,FALSE)),0,VLOOKUP(A646,FIJOS!$B$10:$P$590,15,FALSE))</f>
        <v>0</v>
      </c>
      <c r="CZ646" s="155"/>
      <c r="DA646" s="147"/>
      <c r="DB646" s="147"/>
      <c r="DC646" s="147"/>
      <c r="DD646" s="147"/>
      <c r="DE646" s="147"/>
      <c r="DF646" s="145">
        <f>IF(ISERROR(VLOOKUP($A646,FIJOS!$B$11:$N$590,13,FALSE)),0,VLOOKUP($A646,FIJOS!$B$11:$N$590,13,FALSE))</f>
        <v>0</v>
      </c>
      <c r="DG646" s="145">
        <f>IF(ISERROR(VLOOKUP($A646,FIJOS!$B$11:$P$447,12,FALSE)),0,VLOOKUP($A646,FIJOS!$B$11:$P$447,12,FALSE))</f>
        <v>0</v>
      </c>
      <c r="DH646" s="82">
        <f t="shared" si="290"/>
        <v>0</v>
      </c>
      <c r="DI646" s="83" t="b">
        <f>IF($C646=1,(VLOOKUP($A646,FIJOS!$B$11:$P$545,10,FALSE)/7)*(7-$CU646),IF(AND($C646=2,CV646&lt;$DJ$1),(VLOOKUP($D646,HORAS!$B$4:$C$42,2,FALSE)*24)*$CV646,IF(AND($C646=2,CV646&gt;=$DJ$1),VLOOKUP($D646,HORAS!$B$4:$D$42,3,FALSE),IF(AND($C646=3,$CV646&gt;=$DJ$1),VLOOKUP($A646,FIJOS!$B$11:$P$545,10,FALSE),IF(AND($C646=3,$CV646&lt;$DJ$1),((VLOOKUP($A646,FIJOS!$B$11:$P$545,10,FALSE)/48)*24)*$CV646,IF(AND($C646=4,$CV646&gt;=(42/24)),VLOOKUP($D646,HORAS!$B$4:$D$42,3,FALSE),IF(AND($C646=5,$CV646&gt;=(36/24)),VLOOKUP($D646,HORAS!$B$4:$D$42,3,FALSE))))))))</f>
        <v>0</v>
      </c>
      <c r="DJ646" s="145">
        <f>IF(OR($C646=2),VLOOKUP($D646,HORAS!$B$4:$E$42,4,FALSE)*$EC646,IF(ISERROR(VLOOKUP($A646,FIJOS!$B$11:$P$108,9,FALSE)),0,VLOOKUP($A646,FIJOS!$B$11:$P$231,9,FALSE)*$EC646))</f>
        <v>0</v>
      </c>
      <c r="DK646" s="145">
        <f>IF(OR($C646=2),VLOOKUP($D646,HORAS!$B$4:$F$42,5,FALSE)*$EE646,IF(ISERROR(VLOOKUP($A646,FIJOS!$B$11:$P$108,9,FALSE)),0,VLOOKUP($A646,FIJOS!$B$11:$P$231,9,FALSE)*$EE646))</f>
        <v>0</v>
      </c>
      <c r="DL646" s="144"/>
      <c r="DM646" s="145">
        <f>IF(ISERROR(VLOOKUP($A646,FIJOS!$B$11:$L$646,11,FALSE)),0,VLOOKUP($A646,FIJOS!$B$11:$L$646,11,FALSE))</f>
        <v>0</v>
      </c>
      <c r="DN646" s="148" t="e">
        <f>IF(OR($C646=1,$C646=3),0,IF((VLOOKUP(CAPTURA!D646,HORAS!$B$4:$K$42,10,FALSE)/4)*COUNTIF($H646:$CT646,3)&gt;100,100,(VLOOKUP(CAPTURA!D646,HORAS!$B$4:$K$42,10,FALSE)/4)*COUNTIF($H646:$CT646,3)))</f>
        <v>#N/A</v>
      </c>
      <c r="DO646" s="144" t="e">
        <f>IF(OR($C646=1,$C646=3),0,IF($C646=5,VLOOKUP(D646,HORAS!$B$4:$G$42,6,FALSE),IF(AND($C646=4,$CV646&gt;=(42/24)),VLOOKUP(D646,HORAS!$B$4:$G$42,6,FALSE),IF(COUNTIF($H646:$CL646,"F")&gt;0,0,IF(CV646&gt;$DJ$1,$DJ$1*(VLOOKUP(D646,HORAS!$B$4:$G$42,6,FALSE)/$DJ$1),CV646*(VLOOKUP(D646,HORAS!$B$4:$G$42,6,FALSE)/$DJ$1))))))</f>
        <v>#N/A</v>
      </c>
      <c r="DP646" s="156"/>
      <c r="DQ646" s="148"/>
      <c r="DR646" s="148"/>
      <c r="DS646" s="83" t="e">
        <f t="shared" si="319"/>
        <v>#N/A</v>
      </c>
      <c r="DT646" s="84"/>
      <c r="DU646" s="149" t="e">
        <f t="shared" si="291"/>
        <v>#N/A</v>
      </c>
      <c r="DV646" s="149" t="e">
        <f t="shared" si="292"/>
        <v>#N/A</v>
      </c>
      <c r="DW646" s="144" t="e">
        <f t="shared" si="293"/>
        <v>#N/A</v>
      </c>
      <c r="DX646" s="168"/>
      <c r="DY646" s="29"/>
      <c r="DZ646" s="150"/>
      <c r="EA646" s="134"/>
      <c r="EB646" s="137">
        <f t="shared" si="294"/>
        <v>0</v>
      </c>
      <c r="EC646" s="138">
        <f t="shared" si="295"/>
        <v>0</v>
      </c>
      <c r="ED646" s="137">
        <f t="shared" si="296"/>
        <v>0</v>
      </c>
      <c r="EE646" s="132">
        <f t="shared" si="297"/>
        <v>0</v>
      </c>
      <c r="EF646" s="29"/>
      <c r="EG646" s="134"/>
      <c r="EH646" s="134"/>
      <c r="EI646" s="134"/>
      <c r="EK646" s="29"/>
    </row>
    <row r="647" spans="1:141" ht="15" customHeight="1" x14ac:dyDescent="0.25">
      <c r="A647" s="87"/>
      <c r="B647" s="5"/>
      <c r="C647" s="72"/>
      <c r="D647" s="73"/>
      <c r="E647" s="73"/>
      <c r="F647" s="141"/>
      <c r="G647" s="74"/>
      <c r="H647" s="75"/>
      <c r="I647" s="76"/>
      <c r="J647" s="135"/>
      <c r="K647" s="135"/>
      <c r="L647" s="77">
        <f t="shared" si="298"/>
        <v>0</v>
      </c>
      <c r="M647" s="78"/>
      <c r="N647" s="142"/>
      <c r="O647" s="142"/>
      <c r="P647" s="77">
        <f t="shared" si="299"/>
        <v>0</v>
      </c>
      <c r="Q647" s="78"/>
      <c r="R647" s="143"/>
      <c r="S647" s="143"/>
      <c r="T647" s="77">
        <f t="shared" si="300"/>
        <v>0</v>
      </c>
      <c r="U647" s="75"/>
      <c r="V647" s="76"/>
      <c r="W647" s="135"/>
      <c r="X647" s="135"/>
      <c r="Y647" s="77">
        <f t="shared" si="301"/>
        <v>0</v>
      </c>
      <c r="Z647" s="78"/>
      <c r="AA647" s="142"/>
      <c r="AB647" s="142"/>
      <c r="AC647" s="77">
        <f t="shared" si="302"/>
        <v>0</v>
      </c>
      <c r="AD647" s="78"/>
      <c r="AE647" s="143"/>
      <c r="AF647" s="143"/>
      <c r="AG647" s="79">
        <f t="shared" si="303"/>
        <v>0</v>
      </c>
      <c r="AH647" s="75"/>
      <c r="AI647" s="76"/>
      <c r="AJ647" s="135"/>
      <c r="AK647" s="135"/>
      <c r="AL647" s="77">
        <f t="shared" si="304"/>
        <v>0</v>
      </c>
      <c r="AM647" s="76"/>
      <c r="AN647" s="142"/>
      <c r="AO647" s="142"/>
      <c r="AP647" s="77">
        <f t="shared" si="305"/>
        <v>0</v>
      </c>
      <c r="AQ647" s="78"/>
      <c r="AR647" s="142"/>
      <c r="AS647" s="142"/>
      <c r="AT647" s="79">
        <f t="shared" si="306"/>
        <v>0</v>
      </c>
      <c r="AU647" s="75"/>
      <c r="AV647" s="76"/>
      <c r="AW647" s="135"/>
      <c r="AX647" s="135"/>
      <c r="AY647" s="77">
        <f t="shared" si="307"/>
        <v>0</v>
      </c>
      <c r="AZ647" s="76"/>
      <c r="BA647" s="142"/>
      <c r="BB647" s="142"/>
      <c r="BC647" s="77">
        <f t="shared" si="308"/>
        <v>0</v>
      </c>
      <c r="BD647" s="78"/>
      <c r="BE647" s="142"/>
      <c r="BF647" s="142"/>
      <c r="BG647" s="79">
        <f t="shared" si="309"/>
        <v>0</v>
      </c>
      <c r="BH647" s="75"/>
      <c r="BI647" s="76"/>
      <c r="BJ647" s="135"/>
      <c r="BK647" s="135"/>
      <c r="BL647" s="77">
        <f t="shared" si="310"/>
        <v>0</v>
      </c>
      <c r="BM647" s="78"/>
      <c r="BN647" s="142"/>
      <c r="BO647" s="142"/>
      <c r="BP647" s="77">
        <f t="shared" si="311"/>
        <v>0</v>
      </c>
      <c r="BQ647" s="78"/>
      <c r="BR647" s="142"/>
      <c r="BS647" s="142"/>
      <c r="BT647" s="79">
        <f t="shared" si="312"/>
        <v>0</v>
      </c>
      <c r="BU647" s="75"/>
      <c r="BV647" s="76"/>
      <c r="BW647" s="135"/>
      <c r="BX647" s="135"/>
      <c r="BY647" s="77">
        <f t="shared" si="313"/>
        <v>0</v>
      </c>
      <c r="BZ647" s="78"/>
      <c r="CA647" s="142"/>
      <c r="CB647" s="142"/>
      <c r="CC647" s="77">
        <f t="shared" si="314"/>
        <v>0</v>
      </c>
      <c r="CD647" s="78"/>
      <c r="CE647" s="142"/>
      <c r="CF647" s="142"/>
      <c r="CG647" s="79">
        <f t="shared" si="315"/>
        <v>0</v>
      </c>
      <c r="CH647" s="75"/>
      <c r="CI647" s="76"/>
      <c r="CJ647" s="86"/>
      <c r="CK647" s="86"/>
      <c r="CL647" s="77">
        <f t="shared" si="316"/>
        <v>0</v>
      </c>
      <c r="CM647" s="78"/>
      <c r="CN647" s="85"/>
      <c r="CO647" s="85"/>
      <c r="CP647" s="77">
        <f t="shared" si="317"/>
        <v>0</v>
      </c>
      <c r="CQ647" s="78"/>
      <c r="CR647" s="85"/>
      <c r="CS647" s="85"/>
      <c r="CT647" s="79">
        <f t="shared" si="318"/>
        <v>0</v>
      </c>
      <c r="CU647" s="80">
        <f t="shared" si="288"/>
        <v>0</v>
      </c>
      <c r="CV647" s="81">
        <f t="shared" si="289"/>
        <v>0</v>
      </c>
      <c r="CW647" s="144"/>
      <c r="CX647" s="145">
        <f>IF(ISERROR(VLOOKUP($A647,FIJOS!$B$11:$O$590,14,FALSE)),0,VLOOKUP($A647,FIJOS!$B$11:$O$590,14,FALSE))</f>
        <v>0</v>
      </c>
      <c r="CY647" s="145">
        <f>IF(ISERROR(VLOOKUP(A647,FIJOS!$B$10:$P$590,15,FALSE)),0,VLOOKUP(A647,FIJOS!$B$10:$P$590,15,FALSE))</f>
        <v>0</v>
      </c>
      <c r="CZ647" s="155"/>
      <c r="DA647" s="147"/>
      <c r="DB647" s="147"/>
      <c r="DC647" s="147"/>
      <c r="DD647" s="147"/>
      <c r="DE647" s="147"/>
      <c r="DF647" s="145">
        <f>IF(ISERROR(VLOOKUP($A647,FIJOS!$B$11:$N$590,13,FALSE)),0,VLOOKUP($A647,FIJOS!$B$11:$N$590,13,FALSE))</f>
        <v>0</v>
      </c>
      <c r="DG647" s="145">
        <f>IF(ISERROR(VLOOKUP($A647,FIJOS!$B$11:$P$447,12,FALSE)),0,VLOOKUP($A647,FIJOS!$B$11:$P$447,12,FALSE))</f>
        <v>0</v>
      </c>
      <c r="DH647" s="82">
        <f t="shared" si="290"/>
        <v>0</v>
      </c>
      <c r="DI647" s="83" t="b">
        <f>IF($C647=1,(VLOOKUP($A647,FIJOS!$B$11:$P$545,10,FALSE)/7)*(7-$CU647),IF(AND($C647=2,CV647&lt;$DJ$1),(VLOOKUP($D647,HORAS!$B$4:$C$42,2,FALSE)*24)*$CV647,IF(AND($C647=2,CV647&gt;=$DJ$1),VLOOKUP($D647,HORAS!$B$4:$D$42,3,FALSE),IF(AND($C647=3,$CV647&gt;=$DJ$1),VLOOKUP($A647,FIJOS!$B$11:$P$545,10,FALSE),IF(AND($C647=3,$CV647&lt;$DJ$1),((VLOOKUP($A647,FIJOS!$B$11:$P$545,10,FALSE)/48)*24)*$CV647,IF(AND($C647=4,$CV647&gt;=(42/24)),VLOOKUP($D647,HORAS!$B$4:$D$42,3,FALSE),IF(AND($C647=5,$CV647&gt;=(36/24)),VLOOKUP($D647,HORAS!$B$4:$D$42,3,FALSE))))))))</f>
        <v>0</v>
      </c>
      <c r="DJ647" s="145">
        <f>IF(OR($C647=2),VLOOKUP($D647,HORAS!$B$4:$E$42,4,FALSE)*$EC647,IF(ISERROR(VLOOKUP($A647,FIJOS!$B$11:$P$108,9,FALSE)),0,VLOOKUP($A647,FIJOS!$B$11:$P$231,9,FALSE)*$EC647))</f>
        <v>0</v>
      </c>
      <c r="DK647" s="145">
        <f>IF(OR($C647=2),VLOOKUP($D647,HORAS!$B$4:$F$42,5,FALSE)*$EE647,IF(ISERROR(VLOOKUP($A647,FIJOS!$B$11:$P$108,9,FALSE)),0,VLOOKUP($A647,FIJOS!$B$11:$P$231,9,FALSE)*$EE647))</f>
        <v>0</v>
      </c>
      <c r="DL647" s="144"/>
      <c r="DM647" s="145">
        <f>IF(ISERROR(VLOOKUP($A647,FIJOS!$B$11:$L$646,11,FALSE)),0,VLOOKUP($A647,FIJOS!$B$11:$L$646,11,FALSE))</f>
        <v>0</v>
      </c>
      <c r="DN647" s="148" t="e">
        <f>IF(OR($C647=1,$C647=3),0,IF((VLOOKUP(CAPTURA!D647,HORAS!$B$4:$K$42,10,FALSE)/4)*COUNTIF($H647:$CT647,3)&gt;100,100,(VLOOKUP(CAPTURA!D647,HORAS!$B$4:$K$42,10,FALSE)/4)*COUNTIF($H647:$CT647,3)))</f>
        <v>#N/A</v>
      </c>
      <c r="DO647" s="144" t="e">
        <f>IF(OR($C647=1,$C647=3),0,IF($C647=5,VLOOKUP(D647,HORAS!$B$4:$G$42,6,FALSE),IF(AND($C647=4,$CV647&gt;=(42/24)),VLOOKUP(D647,HORAS!$B$4:$G$42,6,FALSE),IF(COUNTIF($H647:$CL647,"F")&gt;0,0,IF(CV647&gt;$DJ$1,$DJ$1*(VLOOKUP(D647,HORAS!$B$4:$G$42,6,FALSE)/$DJ$1),CV647*(VLOOKUP(D647,HORAS!$B$4:$G$42,6,FALSE)/$DJ$1))))))</f>
        <v>#N/A</v>
      </c>
      <c r="DP647" s="156"/>
      <c r="DQ647" s="148"/>
      <c r="DR647" s="148"/>
      <c r="DS647" s="83" t="e">
        <f t="shared" si="319"/>
        <v>#N/A</v>
      </c>
      <c r="DT647" s="84"/>
      <c r="DU647" s="149" t="e">
        <f t="shared" si="291"/>
        <v>#N/A</v>
      </c>
      <c r="DV647" s="149" t="e">
        <f t="shared" si="292"/>
        <v>#N/A</v>
      </c>
      <c r="DW647" s="144" t="e">
        <f t="shared" si="293"/>
        <v>#N/A</v>
      </c>
      <c r="DX647" s="168"/>
      <c r="DY647" s="29"/>
      <c r="DZ647" s="150"/>
      <c r="EA647" s="134"/>
      <c r="EB647" s="137">
        <f t="shared" si="294"/>
        <v>0</v>
      </c>
      <c r="EC647" s="138">
        <f t="shared" si="295"/>
        <v>0</v>
      </c>
      <c r="ED647" s="137">
        <f t="shared" si="296"/>
        <v>0</v>
      </c>
      <c r="EE647" s="132">
        <f t="shared" si="297"/>
        <v>0</v>
      </c>
      <c r="EF647" s="29"/>
      <c r="EG647" s="134"/>
      <c r="EH647" s="134"/>
      <c r="EI647" s="134"/>
      <c r="EK647" s="29"/>
    </row>
    <row r="648" spans="1:141" ht="15" customHeight="1" x14ac:dyDescent="0.25">
      <c r="A648" s="87"/>
      <c r="B648" s="5"/>
      <c r="C648" s="72"/>
      <c r="D648" s="73"/>
      <c r="E648" s="73"/>
      <c r="F648" s="141"/>
      <c r="G648" s="74"/>
      <c r="H648" s="75"/>
      <c r="I648" s="76"/>
      <c r="J648" s="135"/>
      <c r="K648" s="135"/>
      <c r="L648" s="77">
        <f t="shared" si="298"/>
        <v>0</v>
      </c>
      <c r="M648" s="78"/>
      <c r="N648" s="142"/>
      <c r="O648" s="142"/>
      <c r="P648" s="77">
        <f t="shared" si="299"/>
        <v>0</v>
      </c>
      <c r="Q648" s="78"/>
      <c r="R648" s="143"/>
      <c r="S648" s="143"/>
      <c r="T648" s="77">
        <f t="shared" si="300"/>
        <v>0</v>
      </c>
      <c r="U648" s="75"/>
      <c r="V648" s="76"/>
      <c r="W648" s="135"/>
      <c r="X648" s="135"/>
      <c r="Y648" s="77">
        <f t="shared" si="301"/>
        <v>0</v>
      </c>
      <c r="Z648" s="78"/>
      <c r="AA648" s="142"/>
      <c r="AB648" s="142"/>
      <c r="AC648" s="77">
        <f t="shared" si="302"/>
        <v>0</v>
      </c>
      <c r="AD648" s="78"/>
      <c r="AE648" s="143"/>
      <c r="AF648" s="143"/>
      <c r="AG648" s="79">
        <f t="shared" si="303"/>
        <v>0</v>
      </c>
      <c r="AH648" s="75"/>
      <c r="AI648" s="76"/>
      <c r="AJ648" s="135"/>
      <c r="AK648" s="135"/>
      <c r="AL648" s="77">
        <f t="shared" si="304"/>
        <v>0</v>
      </c>
      <c r="AM648" s="76"/>
      <c r="AN648" s="142"/>
      <c r="AO648" s="142"/>
      <c r="AP648" s="77">
        <f t="shared" si="305"/>
        <v>0</v>
      </c>
      <c r="AQ648" s="78"/>
      <c r="AR648" s="142"/>
      <c r="AS648" s="142"/>
      <c r="AT648" s="79">
        <f t="shared" si="306"/>
        <v>0</v>
      </c>
      <c r="AU648" s="75"/>
      <c r="AV648" s="76"/>
      <c r="AW648" s="135"/>
      <c r="AX648" s="135"/>
      <c r="AY648" s="77">
        <f t="shared" si="307"/>
        <v>0</v>
      </c>
      <c r="AZ648" s="76"/>
      <c r="BA648" s="142"/>
      <c r="BB648" s="142"/>
      <c r="BC648" s="77">
        <f t="shared" si="308"/>
        <v>0</v>
      </c>
      <c r="BD648" s="78"/>
      <c r="BE648" s="142"/>
      <c r="BF648" s="142"/>
      <c r="BG648" s="79">
        <f t="shared" si="309"/>
        <v>0</v>
      </c>
      <c r="BH648" s="75"/>
      <c r="BI648" s="76"/>
      <c r="BJ648" s="135"/>
      <c r="BK648" s="135"/>
      <c r="BL648" s="77">
        <f t="shared" si="310"/>
        <v>0</v>
      </c>
      <c r="BM648" s="78"/>
      <c r="BN648" s="142"/>
      <c r="BO648" s="142"/>
      <c r="BP648" s="77">
        <f t="shared" si="311"/>
        <v>0</v>
      </c>
      <c r="BQ648" s="78"/>
      <c r="BR648" s="142"/>
      <c r="BS648" s="142"/>
      <c r="BT648" s="79">
        <f t="shared" si="312"/>
        <v>0</v>
      </c>
      <c r="BU648" s="75"/>
      <c r="BV648" s="76"/>
      <c r="BW648" s="135"/>
      <c r="BX648" s="135"/>
      <c r="BY648" s="77">
        <f t="shared" si="313"/>
        <v>0</v>
      </c>
      <c r="BZ648" s="78"/>
      <c r="CA648" s="142"/>
      <c r="CB648" s="142"/>
      <c r="CC648" s="77">
        <f t="shared" si="314"/>
        <v>0</v>
      </c>
      <c r="CD648" s="78"/>
      <c r="CE648" s="142"/>
      <c r="CF648" s="142"/>
      <c r="CG648" s="79">
        <f t="shared" si="315"/>
        <v>0</v>
      </c>
      <c r="CH648" s="75"/>
      <c r="CI648" s="76"/>
      <c r="CJ648" s="86"/>
      <c r="CK648" s="86"/>
      <c r="CL648" s="77">
        <f t="shared" si="316"/>
        <v>0</v>
      </c>
      <c r="CM648" s="78"/>
      <c r="CN648" s="85"/>
      <c r="CO648" s="85"/>
      <c r="CP648" s="77">
        <f t="shared" si="317"/>
        <v>0</v>
      </c>
      <c r="CQ648" s="78"/>
      <c r="CR648" s="85"/>
      <c r="CS648" s="85"/>
      <c r="CT648" s="79">
        <f t="shared" si="318"/>
        <v>0</v>
      </c>
      <c r="CU648" s="80">
        <f t="shared" si="288"/>
        <v>0</v>
      </c>
      <c r="CV648" s="81">
        <f t="shared" si="289"/>
        <v>0</v>
      </c>
      <c r="CW648" s="144"/>
      <c r="CX648" s="145">
        <f>IF(ISERROR(VLOOKUP($A648,FIJOS!$B$11:$O$590,14,FALSE)),0,VLOOKUP($A648,FIJOS!$B$11:$O$590,14,FALSE))</f>
        <v>0</v>
      </c>
      <c r="CY648" s="145">
        <f>IF(ISERROR(VLOOKUP(A648,FIJOS!$B$10:$P$590,15,FALSE)),0,VLOOKUP(A648,FIJOS!$B$10:$P$590,15,FALSE))</f>
        <v>0</v>
      </c>
      <c r="CZ648" s="155"/>
      <c r="DA648" s="147"/>
      <c r="DB648" s="147"/>
      <c r="DC648" s="147"/>
      <c r="DD648" s="147"/>
      <c r="DE648" s="147"/>
      <c r="DF648" s="145">
        <f>IF(ISERROR(VLOOKUP($A648,FIJOS!$B$11:$N$590,13,FALSE)),0,VLOOKUP($A648,FIJOS!$B$11:$N$590,13,FALSE))</f>
        <v>0</v>
      </c>
      <c r="DG648" s="145">
        <f>IF(ISERROR(VLOOKUP($A648,FIJOS!$B$11:$P$447,12,FALSE)),0,VLOOKUP($A648,FIJOS!$B$11:$P$447,12,FALSE))</f>
        <v>0</v>
      </c>
      <c r="DH648" s="82">
        <f t="shared" si="290"/>
        <v>0</v>
      </c>
      <c r="DI648" s="83" t="b">
        <f>IF($C648=1,(VLOOKUP($A648,FIJOS!$B$11:$P$545,10,FALSE)/7)*(7-$CU648),IF(AND($C648=2,CV648&lt;$DJ$1),(VLOOKUP($D648,HORAS!$B$4:$C$42,2,FALSE)*24)*$CV648,IF(AND($C648=2,CV648&gt;=$DJ$1),VLOOKUP($D648,HORAS!$B$4:$D$42,3,FALSE),IF(AND($C648=3,$CV648&gt;=$DJ$1),VLOOKUP($A648,FIJOS!$B$11:$P$545,10,FALSE),IF(AND($C648=3,$CV648&lt;$DJ$1),((VLOOKUP($A648,FIJOS!$B$11:$P$545,10,FALSE)/48)*24)*$CV648,IF(AND($C648=4,$CV648&gt;=(42/24)),VLOOKUP($D648,HORAS!$B$4:$D$42,3,FALSE),IF(AND($C648=5,$CV648&gt;=(36/24)),VLOOKUP($D648,HORAS!$B$4:$D$42,3,FALSE))))))))</f>
        <v>0</v>
      </c>
      <c r="DJ648" s="145">
        <f>IF(OR($C648=2),VLOOKUP($D648,HORAS!$B$4:$E$42,4,FALSE)*$EC648,IF(ISERROR(VLOOKUP($A648,FIJOS!$B$11:$P$108,9,FALSE)),0,VLOOKUP($A648,FIJOS!$B$11:$P$231,9,FALSE)*$EC648))</f>
        <v>0</v>
      </c>
      <c r="DK648" s="145">
        <f>IF(OR($C648=2),VLOOKUP($D648,HORAS!$B$4:$F$42,5,FALSE)*$EE648,IF(ISERROR(VLOOKUP($A648,FIJOS!$B$11:$P$108,9,FALSE)),0,VLOOKUP($A648,FIJOS!$B$11:$P$231,9,FALSE)*$EE648))</f>
        <v>0</v>
      </c>
      <c r="DL648" s="144"/>
      <c r="DM648" s="145">
        <f>IF(ISERROR(VLOOKUP($A648,FIJOS!$B$11:$L$646,11,FALSE)),0,VLOOKUP($A648,FIJOS!$B$11:$L$646,11,FALSE))</f>
        <v>0</v>
      </c>
      <c r="DN648" s="148" t="e">
        <f>IF(OR($C648=1,$C648=3),0,IF((VLOOKUP(CAPTURA!D648,HORAS!$B$4:$K$42,10,FALSE)/4)*COUNTIF($H648:$CT648,3)&gt;100,100,(VLOOKUP(CAPTURA!D648,HORAS!$B$4:$K$42,10,FALSE)/4)*COUNTIF($H648:$CT648,3)))</f>
        <v>#N/A</v>
      </c>
      <c r="DO648" s="144" t="e">
        <f>IF(OR($C648=1,$C648=3),0,IF($C648=5,VLOOKUP(D648,HORAS!$B$4:$G$42,6,FALSE),IF(AND($C648=4,$CV648&gt;=(42/24)),VLOOKUP(D648,HORAS!$B$4:$G$42,6,FALSE),IF(COUNTIF($H648:$CL648,"F")&gt;0,0,IF(CV648&gt;$DJ$1,$DJ$1*(VLOOKUP(D648,HORAS!$B$4:$G$42,6,FALSE)/$DJ$1),CV648*(VLOOKUP(D648,HORAS!$B$4:$G$42,6,FALSE)/$DJ$1))))))</f>
        <v>#N/A</v>
      </c>
      <c r="DP648" s="156"/>
      <c r="DQ648" s="148"/>
      <c r="DR648" s="148"/>
      <c r="DS648" s="83" t="e">
        <f t="shared" si="319"/>
        <v>#N/A</v>
      </c>
      <c r="DT648" s="84"/>
      <c r="DU648" s="149" t="e">
        <f t="shared" si="291"/>
        <v>#N/A</v>
      </c>
      <c r="DV648" s="149" t="e">
        <f t="shared" si="292"/>
        <v>#N/A</v>
      </c>
      <c r="DW648" s="144" t="e">
        <f t="shared" si="293"/>
        <v>#N/A</v>
      </c>
      <c r="DX648" s="168"/>
      <c r="DY648" s="29"/>
      <c r="DZ648" s="150"/>
      <c r="EA648" s="134"/>
      <c r="EB648" s="137">
        <f t="shared" si="294"/>
        <v>0</v>
      </c>
      <c r="EC648" s="138">
        <f t="shared" si="295"/>
        <v>0</v>
      </c>
      <c r="ED648" s="137">
        <f t="shared" si="296"/>
        <v>0</v>
      </c>
      <c r="EE648" s="132">
        <f t="shared" si="297"/>
        <v>0</v>
      </c>
      <c r="EF648" s="29"/>
      <c r="EG648" s="134"/>
      <c r="EH648" s="134"/>
      <c r="EI648" s="134"/>
      <c r="EK648" s="29"/>
    </row>
    <row r="649" spans="1:141" ht="15" customHeight="1" x14ac:dyDescent="0.25">
      <c r="A649" s="87"/>
      <c r="B649" s="5"/>
      <c r="C649" s="72"/>
      <c r="D649" s="73"/>
      <c r="E649" s="73"/>
      <c r="F649" s="141"/>
      <c r="G649" s="74"/>
      <c r="H649" s="75"/>
      <c r="I649" s="76"/>
      <c r="J649" s="135"/>
      <c r="K649" s="135"/>
      <c r="L649" s="77">
        <f t="shared" si="298"/>
        <v>0</v>
      </c>
      <c r="M649" s="78"/>
      <c r="N649" s="142"/>
      <c r="O649" s="142"/>
      <c r="P649" s="77">
        <f t="shared" si="299"/>
        <v>0</v>
      </c>
      <c r="Q649" s="78"/>
      <c r="R649" s="143"/>
      <c r="S649" s="143"/>
      <c r="T649" s="77">
        <f t="shared" si="300"/>
        <v>0</v>
      </c>
      <c r="U649" s="75"/>
      <c r="V649" s="76"/>
      <c r="W649" s="135"/>
      <c r="X649" s="135"/>
      <c r="Y649" s="77">
        <f t="shared" si="301"/>
        <v>0</v>
      </c>
      <c r="Z649" s="78"/>
      <c r="AA649" s="142"/>
      <c r="AB649" s="142"/>
      <c r="AC649" s="77">
        <f t="shared" si="302"/>
        <v>0</v>
      </c>
      <c r="AD649" s="78"/>
      <c r="AE649" s="143"/>
      <c r="AF649" s="143"/>
      <c r="AG649" s="79">
        <f t="shared" si="303"/>
        <v>0</v>
      </c>
      <c r="AH649" s="75"/>
      <c r="AI649" s="76"/>
      <c r="AJ649" s="135"/>
      <c r="AK649" s="135"/>
      <c r="AL649" s="77">
        <f t="shared" si="304"/>
        <v>0</v>
      </c>
      <c r="AM649" s="76"/>
      <c r="AN649" s="142"/>
      <c r="AO649" s="142"/>
      <c r="AP649" s="77">
        <f t="shared" si="305"/>
        <v>0</v>
      </c>
      <c r="AQ649" s="78"/>
      <c r="AR649" s="142"/>
      <c r="AS649" s="142"/>
      <c r="AT649" s="79">
        <f t="shared" si="306"/>
        <v>0</v>
      </c>
      <c r="AU649" s="75"/>
      <c r="AV649" s="76"/>
      <c r="AW649" s="135"/>
      <c r="AX649" s="135"/>
      <c r="AY649" s="77">
        <f t="shared" si="307"/>
        <v>0</v>
      </c>
      <c r="AZ649" s="76"/>
      <c r="BA649" s="142"/>
      <c r="BB649" s="142"/>
      <c r="BC649" s="77">
        <f t="shared" si="308"/>
        <v>0</v>
      </c>
      <c r="BD649" s="78"/>
      <c r="BE649" s="142"/>
      <c r="BF649" s="142"/>
      <c r="BG649" s="79">
        <f t="shared" si="309"/>
        <v>0</v>
      </c>
      <c r="BH649" s="75"/>
      <c r="BI649" s="76"/>
      <c r="BJ649" s="135"/>
      <c r="BK649" s="135"/>
      <c r="BL649" s="77">
        <f t="shared" si="310"/>
        <v>0</v>
      </c>
      <c r="BM649" s="78"/>
      <c r="BN649" s="142"/>
      <c r="BO649" s="142"/>
      <c r="BP649" s="77">
        <f t="shared" si="311"/>
        <v>0</v>
      </c>
      <c r="BQ649" s="78"/>
      <c r="BR649" s="142"/>
      <c r="BS649" s="142"/>
      <c r="BT649" s="79">
        <f t="shared" si="312"/>
        <v>0</v>
      </c>
      <c r="BU649" s="75"/>
      <c r="BV649" s="76"/>
      <c r="BW649" s="135"/>
      <c r="BX649" s="135"/>
      <c r="BY649" s="77">
        <f t="shared" si="313"/>
        <v>0</v>
      </c>
      <c r="BZ649" s="78"/>
      <c r="CA649" s="142"/>
      <c r="CB649" s="142"/>
      <c r="CC649" s="77">
        <f t="shared" si="314"/>
        <v>0</v>
      </c>
      <c r="CD649" s="78"/>
      <c r="CE649" s="142"/>
      <c r="CF649" s="142"/>
      <c r="CG649" s="79">
        <f t="shared" si="315"/>
        <v>0</v>
      </c>
      <c r="CH649" s="75"/>
      <c r="CI649" s="76"/>
      <c r="CJ649" s="86"/>
      <c r="CK649" s="86"/>
      <c r="CL649" s="77">
        <f t="shared" si="316"/>
        <v>0</v>
      </c>
      <c r="CM649" s="78"/>
      <c r="CN649" s="85"/>
      <c r="CO649" s="85"/>
      <c r="CP649" s="77">
        <f t="shared" si="317"/>
        <v>0</v>
      </c>
      <c r="CQ649" s="78"/>
      <c r="CR649" s="85"/>
      <c r="CS649" s="85"/>
      <c r="CT649" s="79">
        <f t="shared" si="318"/>
        <v>0</v>
      </c>
      <c r="CU649" s="80">
        <f t="shared" si="288"/>
        <v>0</v>
      </c>
      <c r="CV649" s="81">
        <f t="shared" si="289"/>
        <v>0</v>
      </c>
      <c r="CW649" s="144"/>
      <c r="CX649" s="145">
        <f>IF(ISERROR(VLOOKUP($A649,FIJOS!$B$11:$O$590,14,FALSE)),0,VLOOKUP($A649,FIJOS!$B$11:$O$590,14,FALSE))</f>
        <v>0</v>
      </c>
      <c r="CY649" s="145">
        <f>IF(ISERROR(VLOOKUP(A649,FIJOS!$B$10:$P$590,15,FALSE)),0,VLOOKUP(A649,FIJOS!$B$10:$P$590,15,FALSE))</f>
        <v>0</v>
      </c>
      <c r="CZ649" s="155"/>
      <c r="DA649" s="147"/>
      <c r="DB649" s="147"/>
      <c r="DC649" s="147"/>
      <c r="DD649" s="147"/>
      <c r="DE649" s="147"/>
      <c r="DF649" s="145">
        <f>IF(ISERROR(VLOOKUP($A649,FIJOS!$B$11:$N$590,13,FALSE)),0,VLOOKUP($A649,FIJOS!$B$11:$N$590,13,FALSE))</f>
        <v>0</v>
      </c>
      <c r="DG649" s="145">
        <f>IF(ISERROR(VLOOKUP($A649,FIJOS!$B$11:$P$447,12,FALSE)),0,VLOOKUP($A649,FIJOS!$B$11:$P$447,12,FALSE))</f>
        <v>0</v>
      </c>
      <c r="DH649" s="82">
        <f t="shared" si="290"/>
        <v>0</v>
      </c>
      <c r="DI649" s="83" t="b">
        <f>IF($C649=1,(VLOOKUP($A649,FIJOS!$B$11:$P$545,10,FALSE)/7)*(7-$CU649),IF(AND($C649=2,CV649&lt;$DJ$1),(VLOOKUP($D649,HORAS!$B$4:$C$42,2,FALSE)*24)*$CV649,IF(AND($C649=2,CV649&gt;=$DJ$1),VLOOKUP($D649,HORAS!$B$4:$D$42,3,FALSE),IF(AND($C649=3,$CV649&gt;=$DJ$1),VLOOKUP($A649,FIJOS!$B$11:$P$545,10,FALSE),IF(AND($C649=3,$CV649&lt;$DJ$1),((VLOOKUP($A649,FIJOS!$B$11:$P$545,10,FALSE)/48)*24)*$CV649,IF(AND($C649=4,$CV649&gt;=(42/24)),VLOOKUP($D649,HORAS!$B$4:$D$42,3,FALSE),IF(AND($C649=5,$CV649&gt;=(36/24)),VLOOKUP($D649,HORAS!$B$4:$D$42,3,FALSE))))))))</f>
        <v>0</v>
      </c>
      <c r="DJ649" s="145">
        <f>IF(OR($C649=2),VLOOKUP($D649,HORAS!$B$4:$E$42,4,FALSE)*$EC649,IF(ISERROR(VLOOKUP($A649,FIJOS!$B$11:$P$108,9,FALSE)),0,VLOOKUP($A649,FIJOS!$B$11:$P$231,9,FALSE)*$EC649))</f>
        <v>0</v>
      </c>
      <c r="DK649" s="145">
        <f>IF(OR($C649=2),VLOOKUP($D649,HORAS!$B$4:$F$42,5,FALSE)*$EE649,IF(ISERROR(VLOOKUP($A649,FIJOS!$B$11:$P$108,9,FALSE)),0,VLOOKUP($A649,FIJOS!$B$11:$P$231,9,FALSE)*$EE649))</f>
        <v>0</v>
      </c>
      <c r="DL649" s="144"/>
      <c r="DM649" s="145">
        <f>IF(ISERROR(VLOOKUP($A649,FIJOS!$B$11:$L$646,11,FALSE)),0,VLOOKUP($A649,FIJOS!$B$11:$L$646,11,FALSE))</f>
        <v>0</v>
      </c>
      <c r="DN649" s="148" t="e">
        <f>IF(OR($C649=1,$C649=3),0,IF((VLOOKUP(CAPTURA!D649,HORAS!$B$4:$K$42,10,FALSE)/4)*COUNTIF($H649:$CT649,3)&gt;100,100,(VLOOKUP(CAPTURA!D649,HORAS!$B$4:$K$42,10,FALSE)/4)*COUNTIF($H649:$CT649,3)))</f>
        <v>#N/A</v>
      </c>
      <c r="DO649" s="144" t="e">
        <f>IF(OR($C649=1,$C649=3),0,IF($C649=5,VLOOKUP(D649,HORAS!$B$4:$G$42,6,FALSE),IF(AND($C649=4,$CV649&gt;=(42/24)),VLOOKUP(D649,HORAS!$B$4:$G$42,6,FALSE),IF(COUNTIF($H649:$CL649,"F")&gt;0,0,IF(CV649&gt;$DJ$1,$DJ$1*(VLOOKUP(D649,HORAS!$B$4:$G$42,6,FALSE)/$DJ$1),CV649*(VLOOKUP(D649,HORAS!$B$4:$G$42,6,FALSE)/$DJ$1))))))</f>
        <v>#N/A</v>
      </c>
      <c r="DP649" s="156"/>
      <c r="DQ649" s="148"/>
      <c r="DR649" s="148"/>
      <c r="DS649" s="83" t="e">
        <f t="shared" si="319"/>
        <v>#N/A</v>
      </c>
      <c r="DT649" s="84"/>
      <c r="DU649" s="149" t="e">
        <f t="shared" si="291"/>
        <v>#N/A</v>
      </c>
      <c r="DV649" s="149" t="e">
        <f t="shared" si="292"/>
        <v>#N/A</v>
      </c>
      <c r="DW649" s="144" t="e">
        <f t="shared" si="293"/>
        <v>#N/A</v>
      </c>
      <c r="DX649" s="168"/>
      <c r="DY649" s="29"/>
      <c r="DZ649" s="150"/>
      <c r="EA649" s="134"/>
      <c r="EB649" s="137">
        <f t="shared" si="294"/>
        <v>0</v>
      </c>
      <c r="EC649" s="138">
        <f t="shared" si="295"/>
        <v>0</v>
      </c>
      <c r="ED649" s="137">
        <f t="shared" si="296"/>
        <v>0</v>
      </c>
      <c r="EE649" s="132">
        <f t="shared" si="297"/>
        <v>0</v>
      </c>
      <c r="EF649" s="29"/>
      <c r="EG649" s="134"/>
      <c r="EH649" s="134"/>
      <c r="EI649" s="134"/>
      <c r="EK649" s="29"/>
    </row>
    <row r="650" spans="1:141" ht="15" customHeight="1" x14ac:dyDescent="0.25">
      <c r="A650" s="87"/>
      <c r="B650" s="5"/>
      <c r="C650" s="72"/>
      <c r="D650" s="73"/>
      <c r="E650" s="73"/>
      <c r="F650" s="141"/>
      <c r="G650" s="74"/>
      <c r="H650" s="75"/>
      <c r="I650" s="76"/>
      <c r="J650" s="135"/>
      <c r="K650" s="135"/>
      <c r="L650" s="77">
        <f t="shared" si="298"/>
        <v>0</v>
      </c>
      <c r="M650" s="78"/>
      <c r="N650" s="142"/>
      <c r="O650" s="142"/>
      <c r="P650" s="77">
        <f t="shared" si="299"/>
        <v>0</v>
      </c>
      <c r="Q650" s="78"/>
      <c r="R650" s="143"/>
      <c r="S650" s="143"/>
      <c r="T650" s="77">
        <f t="shared" si="300"/>
        <v>0</v>
      </c>
      <c r="U650" s="75"/>
      <c r="V650" s="76"/>
      <c r="W650" s="135"/>
      <c r="X650" s="135"/>
      <c r="Y650" s="77">
        <f t="shared" si="301"/>
        <v>0</v>
      </c>
      <c r="Z650" s="78"/>
      <c r="AA650" s="142"/>
      <c r="AB650" s="142"/>
      <c r="AC650" s="77">
        <f t="shared" si="302"/>
        <v>0</v>
      </c>
      <c r="AD650" s="78"/>
      <c r="AE650" s="143"/>
      <c r="AF650" s="143"/>
      <c r="AG650" s="79">
        <f t="shared" si="303"/>
        <v>0</v>
      </c>
      <c r="AH650" s="75"/>
      <c r="AI650" s="76"/>
      <c r="AJ650" s="135"/>
      <c r="AK650" s="135"/>
      <c r="AL650" s="77">
        <f t="shared" si="304"/>
        <v>0</v>
      </c>
      <c r="AM650" s="76"/>
      <c r="AN650" s="142"/>
      <c r="AO650" s="142"/>
      <c r="AP650" s="77">
        <f t="shared" si="305"/>
        <v>0</v>
      </c>
      <c r="AQ650" s="78"/>
      <c r="AR650" s="142"/>
      <c r="AS650" s="142"/>
      <c r="AT650" s="79">
        <f t="shared" si="306"/>
        <v>0</v>
      </c>
      <c r="AU650" s="75"/>
      <c r="AV650" s="76"/>
      <c r="AW650" s="135"/>
      <c r="AX650" s="135"/>
      <c r="AY650" s="77">
        <f t="shared" si="307"/>
        <v>0</v>
      </c>
      <c r="AZ650" s="76"/>
      <c r="BA650" s="142"/>
      <c r="BB650" s="142"/>
      <c r="BC650" s="77">
        <f t="shared" si="308"/>
        <v>0</v>
      </c>
      <c r="BD650" s="78"/>
      <c r="BE650" s="142"/>
      <c r="BF650" s="142"/>
      <c r="BG650" s="79">
        <f t="shared" si="309"/>
        <v>0</v>
      </c>
      <c r="BH650" s="75"/>
      <c r="BI650" s="76"/>
      <c r="BJ650" s="135"/>
      <c r="BK650" s="135"/>
      <c r="BL650" s="77">
        <f t="shared" si="310"/>
        <v>0</v>
      </c>
      <c r="BM650" s="78"/>
      <c r="BN650" s="142"/>
      <c r="BO650" s="142"/>
      <c r="BP650" s="77">
        <f t="shared" si="311"/>
        <v>0</v>
      </c>
      <c r="BQ650" s="78"/>
      <c r="BR650" s="142"/>
      <c r="BS650" s="142"/>
      <c r="BT650" s="79">
        <f t="shared" si="312"/>
        <v>0</v>
      </c>
      <c r="BU650" s="75"/>
      <c r="BV650" s="76"/>
      <c r="BW650" s="135"/>
      <c r="BX650" s="135"/>
      <c r="BY650" s="77">
        <f t="shared" si="313"/>
        <v>0</v>
      </c>
      <c r="BZ650" s="78"/>
      <c r="CA650" s="142"/>
      <c r="CB650" s="142"/>
      <c r="CC650" s="77">
        <f t="shared" si="314"/>
        <v>0</v>
      </c>
      <c r="CD650" s="78"/>
      <c r="CE650" s="142"/>
      <c r="CF650" s="142"/>
      <c r="CG650" s="79">
        <f t="shared" si="315"/>
        <v>0</v>
      </c>
      <c r="CH650" s="75"/>
      <c r="CI650" s="76"/>
      <c r="CJ650" s="86"/>
      <c r="CK650" s="86"/>
      <c r="CL650" s="77">
        <f t="shared" si="316"/>
        <v>0</v>
      </c>
      <c r="CM650" s="78"/>
      <c r="CN650" s="85"/>
      <c r="CO650" s="85"/>
      <c r="CP650" s="77">
        <f t="shared" si="317"/>
        <v>0</v>
      </c>
      <c r="CQ650" s="78"/>
      <c r="CR650" s="85"/>
      <c r="CS650" s="85"/>
      <c r="CT650" s="79">
        <f t="shared" si="318"/>
        <v>0</v>
      </c>
      <c r="CU650" s="80">
        <f t="shared" si="288"/>
        <v>0</v>
      </c>
      <c r="CV650" s="81">
        <f t="shared" si="289"/>
        <v>0</v>
      </c>
      <c r="CW650" s="144"/>
      <c r="CX650" s="145">
        <f>IF(ISERROR(VLOOKUP($A650,FIJOS!$B$11:$O$590,14,FALSE)),0,VLOOKUP($A650,FIJOS!$B$11:$O$590,14,FALSE))</f>
        <v>0</v>
      </c>
      <c r="CY650" s="145">
        <f>IF(ISERROR(VLOOKUP(A650,FIJOS!$B$10:$P$590,15,FALSE)),0,VLOOKUP(A650,FIJOS!$B$10:$P$590,15,FALSE))</f>
        <v>0</v>
      </c>
      <c r="CZ650" s="155"/>
      <c r="DA650" s="147"/>
      <c r="DB650" s="147"/>
      <c r="DC650" s="147"/>
      <c r="DD650" s="147"/>
      <c r="DE650" s="147"/>
      <c r="DF650" s="145">
        <f>IF(ISERROR(VLOOKUP($A650,FIJOS!$B$11:$N$590,13,FALSE)),0,VLOOKUP($A650,FIJOS!$B$11:$N$590,13,FALSE))</f>
        <v>0</v>
      </c>
      <c r="DG650" s="145">
        <f>IF(ISERROR(VLOOKUP($A650,FIJOS!$B$11:$P$447,12,FALSE)),0,VLOOKUP($A650,FIJOS!$B$11:$P$447,12,FALSE))</f>
        <v>0</v>
      </c>
      <c r="DH650" s="82">
        <f t="shared" si="290"/>
        <v>0</v>
      </c>
      <c r="DI650" s="83" t="b">
        <f>IF($C650=1,(VLOOKUP($A650,FIJOS!$B$11:$P$545,10,FALSE)/7)*(7-$CU650),IF(AND($C650=2,CV650&lt;$DJ$1),(VLOOKUP($D650,HORAS!$B$4:$C$42,2,FALSE)*24)*$CV650,IF(AND($C650=2,CV650&gt;=$DJ$1),VLOOKUP($D650,HORAS!$B$4:$D$42,3,FALSE),IF(AND($C650=3,$CV650&gt;=$DJ$1),VLOOKUP($A650,FIJOS!$B$11:$P$545,10,FALSE),IF(AND($C650=3,$CV650&lt;$DJ$1),((VLOOKUP($A650,FIJOS!$B$11:$P$545,10,FALSE)/48)*24)*$CV650,IF(AND($C650=4,$CV650&gt;=(42/24)),VLOOKUP($D650,HORAS!$B$4:$D$42,3,FALSE),IF(AND($C650=5,$CV650&gt;=(36/24)),VLOOKUP($D650,HORAS!$B$4:$D$42,3,FALSE))))))))</f>
        <v>0</v>
      </c>
      <c r="DJ650" s="145">
        <f>IF(OR($C650=2),VLOOKUP($D650,HORAS!$B$4:$E$42,4,FALSE)*$EC650,IF(ISERROR(VLOOKUP($A650,FIJOS!$B$11:$P$108,9,FALSE)),0,VLOOKUP($A650,FIJOS!$B$11:$P$231,9,FALSE)*$EC650))</f>
        <v>0</v>
      </c>
      <c r="DK650" s="145">
        <f>IF(OR($C650=2),VLOOKUP($D650,HORAS!$B$4:$F$42,5,FALSE)*$EE650,IF(ISERROR(VLOOKUP($A650,FIJOS!$B$11:$P$108,9,FALSE)),0,VLOOKUP($A650,FIJOS!$B$11:$P$231,9,FALSE)*$EE650))</f>
        <v>0</v>
      </c>
      <c r="DL650" s="144"/>
      <c r="DM650" s="145">
        <f>IF(ISERROR(VLOOKUP($A650,FIJOS!$B$11:$L$646,11,FALSE)),0,VLOOKUP($A650,FIJOS!$B$11:$L$646,11,FALSE))</f>
        <v>0</v>
      </c>
      <c r="DN650" s="148" t="e">
        <f>IF(OR($C650=1,$C650=3),0,IF((VLOOKUP(CAPTURA!D650,HORAS!$B$4:$K$42,10,FALSE)/4)*COUNTIF($H650:$CT650,3)&gt;100,100,(VLOOKUP(CAPTURA!D650,HORAS!$B$4:$K$42,10,FALSE)/4)*COUNTIF($H650:$CT650,3)))</f>
        <v>#N/A</v>
      </c>
      <c r="DO650" s="144" t="e">
        <f>IF(OR($C650=1,$C650=3),0,IF($C650=5,VLOOKUP(D650,HORAS!$B$4:$G$42,6,FALSE),IF(AND($C650=4,$CV650&gt;=(42/24)),VLOOKUP(D650,HORAS!$B$4:$G$42,6,FALSE),IF(COUNTIF($H650:$CL650,"F")&gt;0,0,IF(CV650&gt;$DJ$1,$DJ$1*(VLOOKUP(D650,HORAS!$B$4:$G$42,6,FALSE)/$DJ$1),CV650*(VLOOKUP(D650,HORAS!$B$4:$G$42,6,FALSE)/$DJ$1))))))</f>
        <v>#N/A</v>
      </c>
      <c r="DP650" s="156"/>
      <c r="DQ650" s="148"/>
      <c r="DR650" s="148"/>
      <c r="DS650" s="83" t="e">
        <f t="shared" si="319"/>
        <v>#N/A</v>
      </c>
      <c r="DT650" s="84"/>
      <c r="DU650" s="149" t="e">
        <f t="shared" si="291"/>
        <v>#N/A</v>
      </c>
      <c r="DV650" s="149" t="e">
        <f t="shared" si="292"/>
        <v>#N/A</v>
      </c>
      <c r="DW650" s="144" t="e">
        <f t="shared" si="293"/>
        <v>#N/A</v>
      </c>
      <c r="DX650" s="168"/>
      <c r="DY650" s="29"/>
      <c r="DZ650" s="150"/>
      <c r="EA650" s="134"/>
      <c r="EB650" s="137">
        <f t="shared" si="294"/>
        <v>0</v>
      </c>
      <c r="EC650" s="138">
        <f t="shared" si="295"/>
        <v>0</v>
      </c>
      <c r="ED650" s="137">
        <f t="shared" si="296"/>
        <v>0</v>
      </c>
      <c r="EE650" s="132">
        <f t="shared" si="297"/>
        <v>0</v>
      </c>
      <c r="EF650" s="29"/>
      <c r="EG650" s="134"/>
      <c r="EH650" s="134"/>
      <c r="EI650" s="134"/>
      <c r="EK650" s="29"/>
    </row>
    <row r="651" spans="1:141" ht="15" customHeight="1" x14ac:dyDescent="0.25">
      <c r="A651" s="87"/>
      <c r="B651" s="5"/>
      <c r="C651" s="72"/>
      <c r="D651" s="73"/>
      <c r="E651" s="73"/>
      <c r="F651" s="141"/>
      <c r="G651" s="74"/>
      <c r="H651" s="75"/>
      <c r="I651" s="76"/>
      <c r="J651" s="135"/>
      <c r="K651" s="135"/>
      <c r="L651" s="77">
        <f t="shared" si="298"/>
        <v>0</v>
      </c>
      <c r="M651" s="78"/>
      <c r="N651" s="142"/>
      <c r="O651" s="142"/>
      <c r="P651" s="77">
        <f t="shared" si="299"/>
        <v>0</v>
      </c>
      <c r="Q651" s="78"/>
      <c r="R651" s="143"/>
      <c r="S651" s="143"/>
      <c r="T651" s="77">
        <f t="shared" si="300"/>
        <v>0</v>
      </c>
      <c r="U651" s="75"/>
      <c r="V651" s="76"/>
      <c r="W651" s="135"/>
      <c r="X651" s="135"/>
      <c r="Y651" s="77">
        <f t="shared" si="301"/>
        <v>0</v>
      </c>
      <c r="Z651" s="78"/>
      <c r="AA651" s="142"/>
      <c r="AB651" s="142"/>
      <c r="AC651" s="77">
        <f t="shared" si="302"/>
        <v>0</v>
      </c>
      <c r="AD651" s="78"/>
      <c r="AE651" s="143"/>
      <c r="AF651" s="143"/>
      <c r="AG651" s="79">
        <f t="shared" si="303"/>
        <v>0</v>
      </c>
      <c r="AH651" s="75"/>
      <c r="AI651" s="76"/>
      <c r="AJ651" s="135"/>
      <c r="AK651" s="135"/>
      <c r="AL651" s="77">
        <f t="shared" si="304"/>
        <v>0</v>
      </c>
      <c r="AM651" s="76"/>
      <c r="AN651" s="142"/>
      <c r="AO651" s="142"/>
      <c r="AP651" s="77">
        <f t="shared" si="305"/>
        <v>0</v>
      </c>
      <c r="AQ651" s="78"/>
      <c r="AR651" s="142"/>
      <c r="AS651" s="142"/>
      <c r="AT651" s="79">
        <f t="shared" si="306"/>
        <v>0</v>
      </c>
      <c r="AU651" s="75"/>
      <c r="AV651" s="76"/>
      <c r="AW651" s="135"/>
      <c r="AX651" s="135"/>
      <c r="AY651" s="77">
        <f t="shared" si="307"/>
        <v>0</v>
      </c>
      <c r="AZ651" s="76"/>
      <c r="BA651" s="142"/>
      <c r="BB651" s="142"/>
      <c r="BC651" s="77">
        <f t="shared" si="308"/>
        <v>0</v>
      </c>
      <c r="BD651" s="78"/>
      <c r="BE651" s="142"/>
      <c r="BF651" s="142"/>
      <c r="BG651" s="79">
        <f t="shared" si="309"/>
        <v>0</v>
      </c>
      <c r="BH651" s="75"/>
      <c r="BI651" s="76"/>
      <c r="BJ651" s="135"/>
      <c r="BK651" s="135"/>
      <c r="BL651" s="77">
        <f t="shared" si="310"/>
        <v>0</v>
      </c>
      <c r="BM651" s="78"/>
      <c r="BN651" s="142"/>
      <c r="BO651" s="142"/>
      <c r="BP651" s="77">
        <f t="shared" si="311"/>
        <v>0</v>
      </c>
      <c r="BQ651" s="78"/>
      <c r="BR651" s="142"/>
      <c r="BS651" s="142"/>
      <c r="BT651" s="79">
        <f t="shared" si="312"/>
        <v>0</v>
      </c>
      <c r="BU651" s="75"/>
      <c r="BV651" s="76"/>
      <c r="BW651" s="135"/>
      <c r="BX651" s="135"/>
      <c r="BY651" s="77">
        <f t="shared" si="313"/>
        <v>0</v>
      </c>
      <c r="BZ651" s="78"/>
      <c r="CA651" s="142"/>
      <c r="CB651" s="142"/>
      <c r="CC651" s="77">
        <f t="shared" si="314"/>
        <v>0</v>
      </c>
      <c r="CD651" s="78"/>
      <c r="CE651" s="142"/>
      <c r="CF651" s="142"/>
      <c r="CG651" s="79">
        <f t="shared" si="315"/>
        <v>0</v>
      </c>
      <c r="CH651" s="75"/>
      <c r="CI651" s="76"/>
      <c r="CJ651" s="86"/>
      <c r="CK651" s="86"/>
      <c r="CL651" s="77">
        <f t="shared" si="316"/>
        <v>0</v>
      </c>
      <c r="CM651" s="78"/>
      <c r="CN651" s="85"/>
      <c r="CO651" s="85"/>
      <c r="CP651" s="77">
        <f t="shared" si="317"/>
        <v>0</v>
      </c>
      <c r="CQ651" s="78"/>
      <c r="CR651" s="85"/>
      <c r="CS651" s="85"/>
      <c r="CT651" s="79">
        <f t="shared" si="318"/>
        <v>0</v>
      </c>
      <c r="CU651" s="80">
        <f t="shared" si="288"/>
        <v>0</v>
      </c>
      <c r="CV651" s="81">
        <f t="shared" si="289"/>
        <v>0</v>
      </c>
      <c r="CW651" s="144"/>
      <c r="CX651" s="145">
        <f>IF(ISERROR(VLOOKUP($A651,FIJOS!$B$11:$O$590,14,FALSE)),0,VLOOKUP($A651,FIJOS!$B$11:$O$590,14,FALSE))</f>
        <v>0</v>
      </c>
      <c r="CY651" s="145">
        <f>IF(ISERROR(VLOOKUP(A651,FIJOS!$B$10:$P$590,15,FALSE)),0,VLOOKUP(A651,FIJOS!$B$10:$P$590,15,FALSE))</f>
        <v>0</v>
      </c>
      <c r="CZ651" s="155"/>
      <c r="DA651" s="147"/>
      <c r="DB651" s="147"/>
      <c r="DC651" s="147"/>
      <c r="DD651" s="147"/>
      <c r="DE651" s="147"/>
      <c r="DF651" s="145">
        <f>IF(ISERROR(VLOOKUP($A651,FIJOS!$B$11:$N$590,13,FALSE)),0,VLOOKUP($A651,FIJOS!$B$11:$N$590,13,FALSE))</f>
        <v>0</v>
      </c>
      <c r="DG651" s="145">
        <f>IF(ISERROR(VLOOKUP($A651,FIJOS!$B$11:$P$447,12,FALSE)),0,VLOOKUP($A651,FIJOS!$B$11:$P$447,12,FALSE))</f>
        <v>0</v>
      </c>
      <c r="DH651" s="82">
        <f t="shared" si="290"/>
        <v>0</v>
      </c>
      <c r="DI651" s="83" t="b">
        <f>IF($C651=1,(VLOOKUP($A651,FIJOS!$B$11:$P$545,10,FALSE)/7)*(7-$CU651),IF(AND($C651=2,CV651&lt;$DJ$1),(VLOOKUP($D651,HORAS!$B$4:$C$42,2,FALSE)*24)*$CV651,IF(AND($C651=2,CV651&gt;=$DJ$1),VLOOKUP($D651,HORAS!$B$4:$D$42,3,FALSE),IF(AND($C651=3,$CV651&gt;=$DJ$1),VLOOKUP($A651,FIJOS!$B$11:$P$545,10,FALSE),IF(AND($C651=3,$CV651&lt;$DJ$1),((VLOOKUP($A651,FIJOS!$B$11:$P$545,10,FALSE)/48)*24)*$CV651,IF(AND($C651=4,$CV651&gt;=(42/24)),VLOOKUP($D651,HORAS!$B$4:$D$42,3,FALSE),IF(AND($C651=5,$CV651&gt;=(36/24)),VLOOKUP($D651,HORAS!$B$4:$D$42,3,FALSE))))))))</f>
        <v>0</v>
      </c>
      <c r="DJ651" s="145">
        <f>IF(OR($C651=2),VLOOKUP($D651,HORAS!$B$4:$E$42,4,FALSE)*$EC651,IF(ISERROR(VLOOKUP($A651,FIJOS!$B$11:$P$108,9,FALSE)),0,VLOOKUP($A651,FIJOS!$B$11:$P$231,9,FALSE)*$EC651))</f>
        <v>0</v>
      </c>
      <c r="DK651" s="145">
        <f>IF(OR($C651=2),VLOOKUP($D651,HORAS!$B$4:$F$42,5,FALSE)*$EE651,IF(ISERROR(VLOOKUP($A651,FIJOS!$B$11:$P$108,9,FALSE)),0,VLOOKUP($A651,FIJOS!$B$11:$P$231,9,FALSE)*$EE651))</f>
        <v>0</v>
      </c>
      <c r="DL651" s="144"/>
      <c r="DM651" s="145">
        <f>IF(ISERROR(VLOOKUP($A651,FIJOS!$B$11:$L$646,11,FALSE)),0,VLOOKUP($A651,FIJOS!$B$11:$L$646,11,FALSE))</f>
        <v>0</v>
      </c>
      <c r="DN651" s="148" t="e">
        <f>IF(OR($C651=1,$C651=3),0,IF((VLOOKUP(CAPTURA!D651,HORAS!$B$4:$K$42,10,FALSE)/4)*COUNTIF($H651:$CT651,3)&gt;100,100,(VLOOKUP(CAPTURA!D651,HORAS!$B$4:$K$42,10,FALSE)/4)*COUNTIF($H651:$CT651,3)))</f>
        <v>#N/A</v>
      </c>
      <c r="DO651" s="144" t="e">
        <f>IF(OR($C651=1,$C651=3),0,IF($C651=5,VLOOKUP(D651,HORAS!$B$4:$G$42,6,FALSE),IF(AND($C651=4,$CV651&gt;=(42/24)),VLOOKUP(D651,HORAS!$B$4:$G$42,6,FALSE),IF(COUNTIF($H651:$CL651,"F")&gt;0,0,IF(CV651&gt;$DJ$1,$DJ$1*(VLOOKUP(D651,HORAS!$B$4:$G$42,6,FALSE)/$DJ$1),CV651*(VLOOKUP(D651,HORAS!$B$4:$G$42,6,FALSE)/$DJ$1))))))</f>
        <v>#N/A</v>
      </c>
      <c r="DP651" s="156"/>
      <c r="DQ651" s="148"/>
      <c r="DR651" s="148"/>
      <c r="DS651" s="83" t="e">
        <f t="shared" si="319"/>
        <v>#N/A</v>
      </c>
      <c r="DT651" s="84"/>
      <c r="DU651" s="149" t="e">
        <f t="shared" si="291"/>
        <v>#N/A</v>
      </c>
      <c r="DV651" s="149" t="e">
        <f t="shared" si="292"/>
        <v>#N/A</v>
      </c>
      <c r="DW651" s="144" t="e">
        <f t="shared" si="293"/>
        <v>#N/A</v>
      </c>
      <c r="DX651" s="168"/>
      <c r="DY651" s="29"/>
      <c r="DZ651" s="150"/>
      <c r="EA651" s="134"/>
      <c r="EB651" s="137">
        <f t="shared" si="294"/>
        <v>0</v>
      </c>
      <c r="EC651" s="138">
        <f t="shared" si="295"/>
        <v>0</v>
      </c>
      <c r="ED651" s="137">
        <f t="shared" si="296"/>
        <v>0</v>
      </c>
      <c r="EE651" s="132">
        <f t="shared" si="297"/>
        <v>0</v>
      </c>
      <c r="EF651" s="29"/>
      <c r="EG651" s="134"/>
      <c r="EH651" s="134"/>
      <c r="EI651" s="134"/>
      <c r="EK651" s="29"/>
    </row>
    <row r="652" spans="1:141" ht="15" customHeight="1" x14ac:dyDescent="0.25">
      <c r="A652" s="87"/>
      <c r="B652" s="5"/>
      <c r="C652" s="72"/>
      <c r="D652" s="73"/>
      <c r="E652" s="73"/>
      <c r="F652" s="141"/>
      <c r="G652" s="74"/>
      <c r="H652" s="75"/>
      <c r="I652" s="76"/>
      <c r="J652" s="135"/>
      <c r="K652" s="135"/>
      <c r="L652" s="77">
        <f t="shared" si="298"/>
        <v>0</v>
      </c>
      <c r="M652" s="78"/>
      <c r="N652" s="142"/>
      <c r="O652" s="142"/>
      <c r="P652" s="77">
        <f t="shared" si="299"/>
        <v>0</v>
      </c>
      <c r="Q652" s="78"/>
      <c r="R652" s="143"/>
      <c r="S652" s="143"/>
      <c r="T652" s="77">
        <f t="shared" si="300"/>
        <v>0</v>
      </c>
      <c r="U652" s="75"/>
      <c r="V652" s="76"/>
      <c r="W652" s="135"/>
      <c r="X652" s="135"/>
      <c r="Y652" s="77">
        <f t="shared" si="301"/>
        <v>0</v>
      </c>
      <c r="Z652" s="78"/>
      <c r="AA652" s="142"/>
      <c r="AB652" s="142"/>
      <c r="AC652" s="77">
        <f t="shared" si="302"/>
        <v>0</v>
      </c>
      <c r="AD652" s="78"/>
      <c r="AE652" s="143"/>
      <c r="AF652" s="143"/>
      <c r="AG652" s="79">
        <f t="shared" si="303"/>
        <v>0</v>
      </c>
      <c r="AH652" s="75"/>
      <c r="AI652" s="76"/>
      <c r="AJ652" s="135"/>
      <c r="AK652" s="135"/>
      <c r="AL652" s="77">
        <f t="shared" si="304"/>
        <v>0</v>
      </c>
      <c r="AM652" s="76"/>
      <c r="AN652" s="142"/>
      <c r="AO652" s="142"/>
      <c r="AP652" s="77">
        <f t="shared" si="305"/>
        <v>0</v>
      </c>
      <c r="AQ652" s="78"/>
      <c r="AR652" s="142"/>
      <c r="AS652" s="142"/>
      <c r="AT652" s="79">
        <f t="shared" si="306"/>
        <v>0</v>
      </c>
      <c r="AU652" s="75"/>
      <c r="AV652" s="76"/>
      <c r="AW652" s="135"/>
      <c r="AX652" s="135"/>
      <c r="AY652" s="77">
        <f t="shared" si="307"/>
        <v>0</v>
      </c>
      <c r="AZ652" s="76"/>
      <c r="BA652" s="142"/>
      <c r="BB652" s="142"/>
      <c r="BC652" s="77">
        <f t="shared" si="308"/>
        <v>0</v>
      </c>
      <c r="BD652" s="78"/>
      <c r="BE652" s="142"/>
      <c r="BF652" s="142"/>
      <c r="BG652" s="79">
        <f t="shared" si="309"/>
        <v>0</v>
      </c>
      <c r="BH652" s="75"/>
      <c r="BI652" s="76"/>
      <c r="BJ652" s="135"/>
      <c r="BK652" s="135"/>
      <c r="BL652" s="77">
        <f t="shared" si="310"/>
        <v>0</v>
      </c>
      <c r="BM652" s="78"/>
      <c r="BN652" s="142"/>
      <c r="BO652" s="142"/>
      <c r="BP652" s="77">
        <f t="shared" si="311"/>
        <v>0</v>
      </c>
      <c r="BQ652" s="78"/>
      <c r="BR652" s="142"/>
      <c r="BS652" s="142"/>
      <c r="BT652" s="79">
        <f t="shared" si="312"/>
        <v>0</v>
      </c>
      <c r="BU652" s="75"/>
      <c r="BV652" s="76"/>
      <c r="BW652" s="135"/>
      <c r="BX652" s="135"/>
      <c r="BY652" s="77">
        <f t="shared" si="313"/>
        <v>0</v>
      </c>
      <c r="BZ652" s="78"/>
      <c r="CA652" s="142"/>
      <c r="CB652" s="142"/>
      <c r="CC652" s="77">
        <f t="shared" si="314"/>
        <v>0</v>
      </c>
      <c r="CD652" s="78"/>
      <c r="CE652" s="142"/>
      <c r="CF652" s="142"/>
      <c r="CG652" s="79">
        <f t="shared" si="315"/>
        <v>0</v>
      </c>
      <c r="CH652" s="75"/>
      <c r="CI652" s="76"/>
      <c r="CJ652" s="86"/>
      <c r="CK652" s="86"/>
      <c r="CL652" s="77">
        <f t="shared" si="316"/>
        <v>0</v>
      </c>
      <c r="CM652" s="78"/>
      <c r="CN652" s="85"/>
      <c r="CO652" s="85"/>
      <c r="CP652" s="77">
        <f t="shared" si="317"/>
        <v>0</v>
      </c>
      <c r="CQ652" s="78"/>
      <c r="CR652" s="85"/>
      <c r="CS652" s="85"/>
      <c r="CT652" s="79">
        <f t="shared" si="318"/>
        <v>0</v>
      </c>
      <c r="CU652" s="80">
        <f t="shared" si="288"/>
        <v>0</v>
      </c>
      <c r="CV652" s="81">
        <f t="shared" si="289"/>
        <v>0</v>
      </c>
      <c r="CW652" s="144"/>
      <c r="CX652" s="145">
        <f>IF(ISERROR(VLOOKUP($A652,FIJOS!$B$11:$O$590,14,FALSE)),0,VLOOKUP($A652,FIJOS!$B$11:$O$590,14,FALSE))</f>
        <v>0</v>
      </c>
      <c r="CY652" s="145">
        <f>IF(ISERROR(VLOOKUP(A652,FIJOS!$B$10:$P$590,15,FALSE)),0,VLOOKUP(A652,FIJOS!$B$10:$P$590,15,FALSE))</f>
        <v>0</v>
      </c>
      <c r="CZ652" s="155"/>
      <c r="DA652" s="147"/>
      <c r="DB652" s="147"/>
      <c r="DC652" s="147"/>
      <c r="DD652" s="147"/>
      <c r="DE652" s="147"/>
      <c r="DF652" s="145">
        <f>IF(ISERROR(VLOOKUP($A652,FIJOS!$B$11:$N$590,13,FALSE)),0,VLOOKUP($A652,FIJOS!$B$11:$N$590,13,FALSE))</f>
        <v>0</v>
      </c>
      <c r="DG652" s="145">
        <f>IF(ISERROR(VLOOKUP($A652,FIJOS!$B$11:$P$447,12,FALSE)),0,VLOOKUP($A652,FIJOS!$B$11:$P$447,12,FALSE))</f>
        <v>0</v>
      </c>
      <c r="DH652" s="82">
        <f t="shared" si="290"/>
        <v>0</v>
      </c>
      <c r="DI652" s="83" t="b">
        <f>IF($C652=1,(VLOOKUP($A652,FIJOS!$B$11:$P$545,10,FALSE)/7)*(7-$CU652),IF(AND($C652=2,CV652&lt;$DJ$1),(VLOOKUP($D652,HORAS!$B$4:$C$42,2,FALSE)*24)*$CV652,IF(AND($C652=2,CV652&gt;=$DJ$1),VLOOKUP($D652,HORAS!$B$4:$D$42,3,FALSE),IF(AND($C652=3,$CV652&gt;=$DJ$1),VLOOKUP($A652,FIJOS!$B$11:$P$545,10,FALSE),IF(AND($C652=3,$CV652&lt;$DJ$1),((VLOOKUP($A652,FIJOS!$B$11:$P$545,10,FALSE)/48)*24)*$CV652,IF(AND($C652=4,$CV652&gt;=(42/24)),VLOOKUP($D652,HORAS!$B$4:$D$42,3,FALSE),IF(AND($C652=5,$CV652&gt;=(36/24)),VLOOKUP($D652,HORAS!$B$4:$D$42,3,FALSE))))))))</f>
        <v>0</v>
      </c>
      <c r="DJ652" s="145">
        <f>IF(OR($C652=2),VLOOKUP($D652,HORAS!$B$4:$E$42,4,FALSE)*$EC652,IF(ISERROR(VLOOKUP($A652,FIJOS!$B$11:$P$108,9,FALSE)),0,VLOOKUP($A652,FIJOS!$B$11:$P$231,9,FALSE)*$EC652))</f>
        <v>0</v>
      </c>
      <c r="DK652" s="145">
        <f>IF(OR($C652=2),VLOOKUP($D652,HORAS!$B$4:$F$42,5,FALSE)*$EE652,IF(ISERROR(VLOOKUP($A652,FIJOS!$B$11:$P$108,9,FALSE)),0,VLOOKUP($A652,FIJOS!$B$11:$P$231,9,FALSE)*$EE652))</f>
        <v>0</v>
      </c>
      <c r="DL652" s="144"/>
      <c r="DM652" s="145">
        <f>IF(ISERROR(VLOOKUP($A652,FIJOS!$B$11:$L$646,11,FALSE)),0,VLOOKUP($A652,FIJOS!$B$11:$L$646,11,FALSE))</f>
        <v>0</v>
      </c>
      <c r="DN652" s="148" t="e">
        <f>IF(OR($C652=1,$C652=3),0,IF((VLOOKUP(CAPTURA!D652,HORAS!$B$4:$K$42,10,FALSE)/4)*COUNTIF($H652:$CT652,3)&gt;100,100,(VLOOKUP(CAPTURA!D652,HORAS!$B$4:$K$42,10,FALSE)/4)*COUNTIF($H652:$CT652,3)))</f>
        <v>#N/A</v>
      </c>
      <c r="DO652" s="144" t="e">
        <f>IF(OR($C652=1,$C652=3),0,IF($C652=5,VLOOKUP(D652,HORAS!$B$4:$G$42,6,FALSE),IF(AND($C652=4,$CV652&gt;=(42/24)),VLOOKUP(D652,HORAS!$B$4:$G$42,6,FALSE),IF(COUNTIF($H652:$CL652,"F")&gt;0,0,IF(CV652&gt;$DJ$1,$DJ$1*(VLOOKUP(D652,HORAS!$B$4:$G$42,6,FALSE)/$DJ$1),CV652*(VLOOKUP(D652,HORAS!$B$4:$G$42,6,FALSE)/$DJ$1))))))</f>
        <v>#N/A</v>
      </c>
      <c r="DP652" s="156"/>
      <c r="DQ652" s="148"/>
      <c r="DR652" s="148"/>
      <c r="DS652" s="83" t="e">
        <f t="shared" si="319"/>
        <v>#N/A</v>
      </c>
      <c r="DT652" s="84"/>
      <c r="DU652" s="149" t="e">
        <f t="shared" si="291"/>
        <v>#N/A</v>
      </c>
      <c r="DV652" s="149" t="e">
        <f t="shared" si="292"/>
        <v>#N/A</v>
      </c>
      <c r="DW652" s="144" t="e">
        <f t="shared" si="293"/>
        <v>#N/A</v>
      </c>
      <c r="DX652" s="168"/>
      <c r="DY652" s="29"/>
      <c r="DZ652" s="150"/>
      <c r="EA652" s="134"/>
      <c r="EB652" s="137">
        <f t="shared" si="294"/>
        <v>0</v>
      </c>
      <c r="EC652" s="138">
        <f t="shared" si="295"/>
        <v>0</v>
      </c>
      <c r="ED652" s="137">
        <f t="shared" si="296"/>
        <v>0</v>
      </c>
      <c r="EE652" s="132">
        <f t="shared" si="297"/>
        <v>0</v>
      </c>
      <c r="EF652" s="29"/>
      <c r="EG652" s="134"/>
      <c r="EH652" s="134"/>
      <c r="EI652" s="134"/>
      <c r="EK652" s="29"/>
    </row>
    <row r="653" spans="1:141" ht="15" customHeight="1" x14ac:dyDescent="0.25">
      <c r="A653" s="87"/>
      <c r="B653" s="5"/>
      <c r="C653" s="72"/>
      <c r="D653" s="73"/>
      <c r="E653" s="73"/>
      <c r="F653" s="141"/>
      <c r="G653" s="74"/>
      <c r="H653" s="75"/>
      <c r="I653" s="76"/>
      <c r="J653" s="135"/>
      <c r="K653" s="135"/>
      <c r="L653" s="77">
        <f t="shared" si="298"/>
        <v>0</v>
      </c>
      <c r="M653" s="78"/>
      <c r="N653" s="142"/>
      <c r="O653" s="142"/>
      <c r="P653" s="77">
        <f t="shared" si="299"/>
        <v>0</v>
      </c>
      <c r="Q653" s="78"/>
      <c r="R653" s="143"/>
      <c r="S653" s="143"/>
      <c r="T653" s="77">
        <f t="shared" si="300"/>
        <v>0</v>
      </c>
      <c r="U653" s="75"/>
      <c r="V653" s="76"/>
      <c r="W653" s="135"/>
      <c r="X653" s="135"/>
      <c r="Y653" s="77">
        <f t="shared" si="301"/>
        <v>0</v>
      </c>
      <c r="Z653" s="78"/>
      <c r="AA653" s="142"/>
      <c r="AB653" s="142"/>
      <c r="AC653" s="77">
        <f t="shared" si="302"/>
        <v>0</v>
      </c>
      <c r="AD653" s="78"/>
      <c r="AE653" s="143"/>
      <c r="AF653" s="143"/>
      <c r="AG653" s="79">
        <f t="shared" si="303"/>
        <v>0</v>
      </c>
      <c r="AH653" s="75"/>
      <c r="AI653" s="76"/>
      <c r="AJ653" s="135"/>
      <c r="AK653" s="135"/>
      <c r="AL653" s="77">
        <f t="shared" si="304"/>
        <v>0</v>
      </c>
      <c r="AM653" s="76"/>
      <c r="AN653" s="142"/>
      <c r="AO653" s="142"/>
      <c r="AP653" s="77">
        <f t="shared" si="305"/>
        <v>0</v>
      </c>
      <c r="AQ653" s="78"/>
      <c r="AR653" s="142"/>
      <c r="AS653" s="142"/>
      <c r="AT653" s="79">
        <f t="shared" si="306"/>
        <v>0</v>
      </c>
      <c r="AU653" s="75"/>
      <c r="AV653" s="76"/>
      <c r="AW653" s="135"/>
      <c r="AX653" s="135"/>
      <c r="AY653" s="77">
        <f t="shared" si="307"/>
        <v>0</v>
      </c>
      <c r="AZ653" s="76"/>
      <c r="BA653" s="142"/>
      <c r="BB653" s="142"/>
      <c r="BC653" s="77">
        <f t="shared" si="308"/>
        <v>0</v>
      </c>
      <c r="BD653" s="78"/>
      <c r="BE653" s="142"/>
      <c r="BF653" s="142"/>
      <c r="BG653" s="79">
        <f t="shared" si="309"/>
        <v>0</v>
      </c>
      <c r="BH653" s="75"/>
      <c r="BI653" s="76"/>
      <c r="BJ653" s="135"/>
      <c r="BK653" s="135"/>
      <c r="BL653" s="77">
        <f t="shared" si="310"/>
        <v>0</v>
      </c>
      <c r="BM653" s="78"/>
      <c r="BN653" s="142"/>
      <c r="BO653" s="142"/>
      <c r="BP653" s="77">
        <f t="shared" si="311"/>
        <v>0</v>
      </c>
      <c r="BQ653" s="78"/>
      <c r="BR653" s="142"/>
      <c r="BS653" s="142"/>
      <c r="BT653" s="79">
        <f t="shared" si="312"/>
        <v>0</v>
      </c>
      <c r="BU653" s="75"/>
      <c r="BV653" s="76"/>
      <c r="BW653" s="135"/>
      <c r="BX653" s="135"/>
      <c r="BY653" s="77">
        <f t="shared" si="313"/>
        <v>0</v>
      </c>
      <c r="BZ653" s="78"/>
      <c r="CA653" s="142"/>
      <c r="CB653" s="142"/>
      <c r="CC653" s="77">
        <f t="shared" si="314"/>
        <v>0</v>
      </c>
      <c r="CD653" s="78"/>
      <c r="CE653" s="142"/>
      <c r="CF653" s="142"/>
      <c r="CG653" s="79">
        <f t="shared" si="315"/>
        <v>0</v>
      </c>
      <c r="CH653" s="75"/>
      <c r="CI653" s="76"/>
      <c r="CJ653" s="86"/>
      <c r="CK653" s="86"/>
      <c r="CL653" s="77">
        <f t="shared" si="316"/>
        <v>0</v>
      </c>
      <c r="CM653" s="78"/>
      <c r="CN653" s="85"/>
      <c r="CO653" s="85"/>
      <c r="CP653" s="77">
        <f t="shared" si="317"/>
        <v>0</v>
      </c>
      <c r="CQ653" s="78"/>
      <c r="CR653" s="85"/>
      <c r="CS653" s="85"/>
      <c r="CT653" s="79">
        <f t="shared" si="318"/>
        <v>0</v>
      </c>
      <c r="CU653" s="80">
        <f t="shared" si="288"/>
        <v>0</v>
      </c>
      <c r="CV653" s="81">
        <f t="shared" si="289"/>
        <v>0</v>
      </c>
      <c r="CW653" s="144"/>
      <c r="CX653" s="145">
        <f>IF(ISERROR(VLOOKUP($A653,FIJOS!$B$11:$O$590,14,FALSE)),0,VLOOKUP($A653,FIJOS!$B$11:$O$590,14,FALSE))</f>
        <v>0</v>
      </c>
      <c r="CY653" s="145">
        <f>IF(ISERROR(VLOOKUP(A653,FIJOS!$B$10:$P$590,15,FALSE)),0,VLOOKUP(A653,FIJOS!$B$10:$P$590,15,FALSE))</f>
        <v>0</v>
      </c>
      <c r="CZ653" s="155"/>
      <c r="DA653" s="147"/>
      <c r="DB653" s="147"/>
      <c r="DC653" s="147"/>
      <c r="DD653" s="147"/>
      <c r="DE653" s="147"/>
      <c r="DF653" s="145">
        <f>IF(ISERROR(VLOOKUP($A653,FIJOS!$B$11:$N$590,13,FALSE)),0,VLOOKUP($A653,FIJOS!$B$11:$N$590,13,FALSE))</f>
        <v>0</v>
      </c>
      <c r="DG653" s="145">
        <f>IF(ISERROR(VLOOKUP($A653,FIJOS!$B$11:$P$447,12,FALSE)),0,VLOOKUP($A653,FIJOS!$B$11:$P$447,12,FALSE))</f>
        <v>0</v>
      </c>
      <c r="DH653" s="82">
        <f t="shared" si="290"/>
        <v>0</v>
      </c>
      <c r="DI653" s="83" t="b">
        <f>IF($C653=1,(VLOOKUP($A653,FIJOS!$B$11:$P$545,10,FALSE)/7)*(7-$CU653),IF(AND($C653=2,CV653&lt;$DJ$1),(VLOOKUP($D653,HORAS!$B$4:$C$42,2,FALSE)*24)*$CV653,IF(AND($C653=2,CV653&gt;=$DJ$1),VLOOKUP($D653,HORAS!$B$4:$D$42,3,FALSE),IF(AND($C653=3,$CV653&gt;=$DJ$1),VLOOKUP($A653,FIJOS!$B$11:$P$545,10,FALSE),IF(AND($C653=3,$CV653&lt;$DJ$1),((VLOOKUP($A653,FIJOS!$B$11:$P$545,10,FALSE)/48)*24)*$CV653,IF(AND($C653=4,$CV653&gt;=(42/24)),VLOOKUP($D653,HORAS!$B$4:$D$42,3,FALSE),IF(AND($C653=5,$CV653&gt;=(36/24)),VLOOKUP($D653,HORAS!$B$4:$D$42,3,FALSE))))))))</f>
        <v>0</v>
      </c>
      <c r="DJ653" s="145">
        <f>IF(OR($C653=2),VLOOKUP($D653,HORAS!$B$4:$E$42,4,FALSE)*$EC653,IF(ISERROR(VLOOKUP($A653,FIJOS!$B$11:$P$108,9,FALSE)),0,VLOOKUP($A653,FIJOS!$B$11:$P$231,9,FALSE)*$EC653))</f>
        <v>0</v>
      </c>
      <c r="DK653" s="145">
        <f>IF(OR($C653=2),VLOOKUP($D653,HORAS!$B$4:$F$42,5,FALSE)*$EE653,IF(ISERROR(VLOOKUP($A653,FIJOS!$B$11:$P$108,9,FALSE)),0,VLOOKUP($A653,FIJOS!$B$11:$P$231,9,FALSE)*$EE653))</f>
        <v>0</v>
      </c>
      <c r="DL653" s="144"/>
      <c r="DM653" s="145">
        <f>IF(ISERROR(VLOOKUP($A653,FIJOS!$B$11:$L$646,11,FALSE)),0,VLOOKUP($A653,FIJOS!$B$11:$L$646,11,FALSE))</f>
        <v>0</v>
      </c>
      <c r="DN653" s="148" t="e">
        <f>IF(OR($C653=1,$C653=3),0,IF((VLOOKUP(CAPTURA!D653,HORAS!$B$4:$K$42,10,FALSE)/4)*COUNTIF($H653:$CT653,3)&gt;100,100,(VLOOKUP(CAPTURA!D653,HORAS!$B$4:$K$42,10,FALSE)/4)*COUNTIF($H653:$CT653,3)))</f>
        <v>#N/A</v>
      </c>
      <c r="DO653" s="144" t="e">
        <f>IF(OR($C653=1,$C653=3),0,IF($C653=5,VLOOKUP(D653,HORAS!$B$4:$G$42,6,FALSE),IF(AND($C653=4,$CV653&gt;=(42/24)),VLOOKUP(D653,HORAS!$B$4:$G$42,6,FALSE),IF(COUNTIF($H653:$CL653,"F")&gt;0,0,IF(CV653&gt;$DJ$1,$DJ$1*(VLOOKUP(D653,HORAS!$B$4:$G$42,6,FALSE)/$DJ$1),CV653*(VLOOKUP(D653,HORAS!$B$4:$G$42,6,FALSE)/$DJ$1))))))</f>
        <v>#N/A</v>
      </c>
      <c r="DP653" s="156"/>
      <c r="DQ653" s="148"/>
      <c r="DR653" s="148"/>
      <c r="DS653" s="83" t="e">
        <f t="shared" si="319"/>
        <v>#N/A</v>
      </c>
      <c r="DT653" s="84"/>
      <c r="DU653" s="149" t="e">
        <f t="shared" si="291"/>
        <v>#N/A</v>
      </c>
      <c r="DV653" s="149" t="e">
        <f t="shared" si="292"/>
        <v>#N/A</v>
      </c>
      <c r="DW653" s="144" t="e">
        <f t="shared" si="293"/>
        <v>#N/A</v>
      </c>
      <c r="DX653" s="168"/>
      <c r="DY653" s="29"/>
      <c r="DZ653" s="150"/>
      <c r="EA653" s="134"/>
      <c r="EB653" s="137">
        <f t="shared" si="294"/>
        <v>0</v>
      </c>
      <c r="EC653" s="138">
        <f t="shared" si="295"/>
        <v>0</v>
      </c>
      <c r="ED653" s="137">
        <f t="shared" si="296"/>
        <v>0</v>
      </c>
      <c r="EE653" s="132">
        <f t="shared" si="297"/>
        <v>0</v>
      </c>
      <c r="EF653" s="29"/>
      <c r="EG653" s="134"/>
      <c r="EH653" s="134"/>
      <c r="EI653" s="134"/>
      <c r="EK653" s="29"/>
    </row>
    <row r="654" spans="1:141" ht="15" customHeight="1" x14ac:dyDescent="0.25">
      <c r="A654" s="87"/>
      <c r="B654" s="5"/>
      <c r="C654" s="72"/>
      <c r="D654" s="73"/>
      <c r="E654" s="73"/>
      <c r="F654" s="141"/>
      <c r="G654" s="74"/>
      <c r="H654" s="75"/>
      <c r="I654" s="76"/>
      <c r="J654" s="135"/>
      <c r="K654" s="135"/>
      <c r="L654" s="77">
        <f t="shared" si="298"/>
        <v>0</v>
      </c>
      <c r="M654" s="78"/>
      <c r="N654" s="142"/>
      <c r="O654" s="142"/>
      <c r="P654" s="77">
        <f t="shared" si="299"/>
        <v>0</v>
      </c>
      <c r="Q654" s="78"/>
      <c r="R654" s="143"/>
      <c r="S654" s="143"/>
      <c r="T654" s="77">
        <f t="shared" si="300"/>
        <v>0</v>
      </c>
      <c r="U654" s="75"/>
      <c r="V654" s="76"/>
      <c r="W654" s="135"/>
      <c r="X654" s="135"/>
      <c r="Y654" s="77">
        <f t="shared" si="301"/>
        <v>0</v>
      </c>
      <c r="Z654" s="78"/>
      <c r="AA654" s="142"/>
      <c r="AB654" s="142"/>
      <c r="AC654" s="77">
        <f t="shared" si="302"/>
        <v>0</v>
      </c>
      <c r="AD654" s="78"/>
      <c r="AE654" s="143"/>
      <c r="AF654" s="143"/>
      <c r="AG654" s="79">
        <f t="shared" si="303"/>
        <v>0</v>
      </c>
      <c r="AH654" s="75"/>
      <c r="AI654" s="76"/>
      <c r="AJ654" s="135"/>
      <c r="AK654" s="135"/>
      <c r="AL654" s="77">
        <f t="shared" si="304"/>
        <v>0</v>
      </c>
      <c r="AM654" s="76"/>
      <c r="AN654" s="142"/>
      <c r="AO654" s="142"/>
      <c r="AP654" s="77">
        <f t="shared" si="305"/>
        <v>0</v>
      </c>
      <c r="AQ654" s="78"/>
      <c r="AR654" s="142"/>
      <c r="AS654" s="142"/>
      <c r="AT654" s="79">
        <f t="shared" si="306"/>
        <v>0</v>
      </c>
      <c r="AU654" s="75"/>
      <c r="AV654" s="76"/>
      <c r="AW654" s="135"/>
      <c r="AX654" s="135"/>
      <c r="AY654" s="77">
        <f t="shared" si="307"/>
        <v>0</v>
      </c>
      <c r="AZ654" s="76"/>
      <c r="BA654" s="142"/>
      <c r="BB654" s="142"/>
      <c r="BC654" s="77">
        <f t="shared" si="308"/>
        <v>0</v>
      </c>
      <c r="BD654" s="78"/>
      <c r="BE654" s="142"/>
      <c r="BF654" s="142"/>
      <c r="BG654" s="79">
        <f t="shared" si="309"/>
        <v>0</v>
      </c>
      <c r="BH654" s="75"/>
      <c r="BI654" s="76"/>
      <c r="BJ654" s="135"/>
      <c r="BK654" s="135"/>
      <c r="BL654" s="77">
        <f t="shared" si="310"/>
        <v>0</v>
      </c>
      <c r="BM654" s="78"/>
      <c r="BN654" s="142"/>
      <c r="BO654" s="142"/>
      <c r="BP654" s="77">
        <f t="shared" si="311"/>
        <v>0</v>
      </c>
      <c r="BQ654" s="78"/>
      <c r="BR654" s="142"/>
      <c r="BS654" s="142"/>
      <c r="BT654" s="79">
        <f t="shared" si="312"/>
        <v>0</v>
      </c>
      <c r="BU654" s="75"/>
      <c r="BV654" s="76"/>
      <c r="BW654" s="135"/>
      <c r="BX654" s="135"/>
      <c r="BY654" s="77">
        <f t="shared" si="313"/>
        <v>0</v>
      </c>
      <c r="BZ654" s="78"/>
      <c r="CA654" s="142"/>
      <c r="CB654" s="142"/>
      <c r="CC654" s="77">
        <f t="shared" si="314"/>
        <v>0</v>
      </c>
      <c r="CD654" s="78"/>
      <c r="CE654" s="142"/>
      <c r="CF654" s="142"/>
      <c r="CG654" s="79">
        <f t="shared" si="315"/>
        <v>0</v>
      </c>
      <c r="CH654" s="75"/>
      <c r="CI654" s="76"/>
      <c r="CJ654" s="86"/>
      <c r="CK654" s="86"/>
      <c r="CL654" s="77">
        <f t="shared" si="316"/>
        <v>0</v>
      </c>
      <c r="CM654" s="78"/>
      <c r="CN654" s="85"/>
      <c r="CO654" s="85"/>
      <c r="CP654" s="77">
        <f t="shared" si="317"/>
        <v>0</v>
      </c>
      <c r="CQ654" s="78"/>
      <c r="CR654" s="85"/>
      <c r="CS654" s="85"/>
      <c r="CT654" s="79">
        <f t="shared" si="318"/>
        <v>0</v>
      </c>
      <c r="CU654" s="80">
        <f t="shared" si="288"/>
        <v>0</v>
      </c>
      <c r="CV654" s="81">
        <f t="shared" si="289"/>
        <v>0</v>
      </c>
      <c r="CW654" s="144"/>
      <c r="CX654" s="145">
        <f>IF(ISERROR(VLOOKUP($A654,FIJOS!$B$11:$O$590,14,FALSE)),0,VLOOKUP($A654,FIJOS!$B$11:$O$590,14,FALSE))</f>
        <v>0</v>
      </c>
      <c r="CY654" s="145">
        <f>IF(ISERROR(VLOOKUP(A654,FIJOS!$B$10:$P$590,15,FALSE)),0,VLOOKUP(A654,FIJOS!$B$10:$P$590,15,FALSE))</f>
        <v>0</v>
      </c>
      <c r="CZ654" s="155"/>
      <c r="DA654" s="147"/>
      <c r="DB654" s="147"/>
      <c r="DC654" s="147"/>
      <c r="DD654" s="147"/>
      <c r="DE654" s="147"/>
      <c r="DF654" s="145">
        <f>IF(ISERROR(VLOOKUP($A654,FIJOS!$B$11:$N$590,13,FALSE)),0,VLOOKUP($A654,FIJOS!$B$11:$N$590,13,FALSE))</f>
        <v>0</v>
      </c>
      <c r="DG654" s="145">
        <f>IF(ISERROR(VLOOKUP($A654,FIJOS!$B$11:$P$447,12,FALSE)),0,VLOOKUP($A654,FIJOS!$B$11:$P$447,12,FALSE))</f>
        <v>0</v>
      </c>
      <c r="DH654" s="82">
        <f t="shared" si="290"/>
        <v>0</v>
      </c>
      <c r="DI654" s="83" t="b">
        <f>IF($C654=1,(VLOOKUP($A654,FIJOS!$B$11:$P$545,10,FALSE)/7)*(7-$CU654),IF(AND($C654=2,CV654&lt;$DJ$1),(VLOOKUP($D654,HORAS!$B$4:$C$42,2,FALSE)*24)*$CV654,IF(AND($C654=2,CV654&gt;=$DJ$1),VLOOKUP($D654,HORAS!$B$4:$D$42,3,FALSE),IF(AND($C654=3,$CV654&gt;=$DJ$1),VLOOKUP($A654,FIJOS!$B$11:$P$545,10,FALSE),IF(AND($C654=3,$CV654&lt;$DJ$1),((VLOOKUP($A654,FIJOS!$B$11:$P$545,10,FALSE)/48)*24)*$CV654,IF(AND($C654=4,$CV654&gt;=(42/24)),VLOOKUP($D654,HORAS!$B$4:$D$42,3,FALSE),IF(AND($C654=5,$CV654&gt;=(36/24)),VLOOKUP($D654,HORAS!$B$4:$D$42,3,FALSE))))))))</f>
        <v>0</v>
      </c>
      <c r="DJ654" s="145">
        <f>IF(OR($C654=2),VLOOKUP($D654,HORAS!$B$4:$E$42,4,FALSE)*$EC654,IF(ISERROR(VLOOKUP($A654,FIJOS!$B$11:$P$108,9,FALSE)),0,VLOOKUP($A654,FIJOS!$B$11:$P$231,9,FALSE)*$EC654))</f>
        <v>0</v>
      </c>
      <c r="DK654" s="145">
        <f>IF(OR($C654=2),VLOOKUP($D654,HORAS!$B$4:$F$42,5,FALSE)*$EE654,IF(ISERROR(VLOOKUP($A654,FIJOS!$B$11:$P$108,9,FALSE)),0,VLOOKUP($A654,FIJOS!$B$11:$P$231,9,FALSE)*$EE654))</f>
        <v>0</v>
      </c>
      <c r="DL654" s="144"/>
      <c r="DM654" s="145">
        <f>IF(ISERROR(VLOOKUP($A654,FIJOS!$B$11:$L$646,11,FALSE)),0,VLOOKUP($A654,FIJOS!$B$11:$L$646,11,FALSE))</f>
        <v>0</v>
      </c>
      <c r="DN654" s="148" t="e">
        <f>IF(OR($C654=1,$C654=3),0,IF((VLOOKUP(CAPTURA!D654,HORAS!$B$4:$K$42,10,FALSE)/4)*COUNTIF($H654:$CT654,3)&gt;100,100,(VLOOKUP(CAPTURA!D654,HORAS!$B$4:$K$42,10,FALSE)/4)*COUNTIF($H654:$CT654,3)))</f>
        <v>#N/A</v>
      </c>
      <c r="DO654" s="144" t="e">
        <f>IF(OR($C654=1,$C654=3),0,IF($C654=5,VLOOKUP(D654,HORAS!$B$4:$G$42,6,FALSE),IF(AND($C654=4,$CV654&gt;=(42/24)),VLOOKUP(D654,HORAS!$B$4:$G$42,6,FALSE),IF(COUNTIF($H654:$CL654,"F")&gt;0,0,IF(CV654&gt;$DJ$1,$DJ$1*(VLOOKUP(D654,HORAS!$B$4:$G$42,6,FALSE)/$DJ$1),CV654*(VLOOKUP(D654,HORAS!$B$4:$G$42,6,FALSE)/$DJ$1))))))</f>
        <v>#N/A</v>
      </c>
      <c r="DP654" s="156"/>
      <c r="DQ654" s="148"/>
      <c r="DR654" s="148"/>
      <c r="DS654" s="83" t="e">
        <f t="shared" si="319"/>
        <v>#N/A</v>
      </c>
      <c r="DT654" s="84"/>
      <c r="DU654" s="149" t="e">
        <f t="shared" si="291"/>
        <v>#N/A</v>
      </c>
      <c r="DV654" s="149" t="e">
        <f t="shared" si="292"/>
        <v>#N/A</v>
      </c>
      <c r="DW654" s="144" t="e">
        <f t="shared" si="293"/>
        <v>#N/A</v>
      </c>
      <c r="DX654" s="168"/>
      <c r="DY654" s="29"/>
      <c r="DZ654" s="150"/>
      <c r="EA654" s="134"/>
      <c r="EB654" s="137">
        <f t="shared" si="294"/>
        <v>0</v>
      </c>
      <c r="EC654" s="138">
        <f t="shared" si="295"/>
        <v>0</v>
      </c>
      <c r="ED654" s="137">
        <f t="shared" si="296"/>
        <v>0</v>
      </c>
      <c r="EE654" s="132">
        <f t="shared" si="297"/>
        <v>0</v>
      </c>
      <c r="EF654" s="29"/>
      <c r="EG654" s="134"/>
      <c r="EH654" s="134"/>
      <c r="EI654" s="134"/>
      <c r="EK654" s="29"/>
    </row>
    <row r="655" spans="1:141" ht="15" customHeight="1" x14ac:dyDescent="0.25">
      <c r="A655" s="87"/>
      <c r="B655" s="5"/>
      <c r="C655" s="72"/>
      <c r="D655" s="73"/>
      <c r="E655" s="73"/>
      <c r="F655" s="141"/>
      <c r="G655" s="74"/>
      <c r="H655" s="75"/>
      <c r="I655" s="76"/>
      <c r="J655" s="135"/>
      <c r="K655" s="135"/>
      <c r="L655" s="77">
        <f t="shared" si="298"/>
        <v>0</v>
      </c>
      <c r="M655" s="78"/>
      <c r="N655" s="142"/>
      <c r="O655" s="142"/>
      <c r="P655" s="77">
        <f t="shared" si="299"/>
        <v>0</v>
      </c>
      <c r="Q655" s="78"/>
      <c r="R655" s="143"/>
      <c r="S655" s="143"/>
      <c r="T655" s="77">
        <f t="shared" si="300"/>
        <v>0</v>
      </c>
      <c r="U655" s="75"/>
      <c r="V655" s="76"/>
      <c r="W655" s="135"/>
      <c r="X655" s="135"/>
      <c r="Y655" s="77">
        <f t="shared" si="301"/>
        <v>0</v>
      </c>
      <c r="Z655" s="78"/>
      <c r="AA655" s="142"/>
      <c r="AB655" s="142"/>
      <c r="AC655" s="77">
        <f t="shared" si="302"/>
        <v>0</v>
      </c>
      <c r="AD655" s="78"/>
      <c r="AE655" s="143"/>
      <c r="AF655" s="143"/>
      <c r="AG655" s="79">
        <f t="shared" si="303"/>
        <v>0</v>
      </c>
      <c r="AH655" s="75"/>
      <c r="AI655" s="76"/>
      <c r="AJ655" s="135"/>
      <c r="AK655" s="135"/>
      <c r="AL655" s="77">
        <f t="shared" si="304"/>
        <v>0</v>
      </c>
      <c r="AM655" s="76"/>
      <c r="AN655" s="142"/>
      <c r="AO655" s="142"/>
      <c r="AP655" s="77">
        <f t="shared" si="305"/>
        <v>0</v>
      </c>
      <c r="AQ655" s="78"/>
      <c r="AR655" s="142"/>
      <c r="AS655" s="142"/>
      <c r="AT655" s="79">
        <f t="shared" si="306"/>
        <v>0</v>
      </c>
      <c r="AU655" s="75"/>
      <c r="AV655" s="76"/>
      <c r="AW655" s="135"/>
      <c r="AX655" s="135"/>
      <c r="AY655" s="77">
        <f t="shared" si="307"/>
        <v>0</v>
      </c>
      <c r="AZ655" s="76"/>
      <c r="BA655" s="142"/>
      <c r="BB655" s="142"/>
      <c r="BC655" s="77">
        <f t="shared" si="308"/>
        <v>0</v>
      </c>
      <c r="BD655" s="78"/>
      <c r="BE655" s="142"/>
      <c r="BF655" s="142"/>
      <c r="BG655" s="79">
        <f t="shared" si="309"/>
        <v>0</v>
      </c>
      <c r="BH655" s="75"/>
      <c r="BI655" s="76"/>
      <c r="BJ655" s="135"/>
      <c r="BK655" s="135"/>
      <c r="BL655" s="77">
        <f t="shared" si="310"/>
        <v>0</v>
      </c>
      <c r="BM655" s="78"/>
      <c r="BN655" s="142"/>
      <c r="BO655" s="142"/>
      <c r="BP655" s="77">
        <f t="shared" si="311"/>
        <v>0</v>
      </c>
      <c r="BQ655" s="78"/>
      <c r="BR655" s="142"/>
      <c r="BS655" s="142"/>
      <c r="BT655" s="79">
        <f t="shared" si="312"/>
        <v>0</v>
      </c>
      <c r="BU655" s="75"/>
      <c r="BV655" s="76"/>
      <c r="BW655" s="135"/>
      <c r="BX655" s="135"/>
      <c r="BY655" s="77">
        <f t="shared" si="313"/>
        <v>0</v>
      </c>
      <c r="BZ655" s="78"/>
      <c r="CA655" s="142"/>
      <c r="CB655" s="142"/>
      <c r="CC655" s="77">
        <f t="shared" si="314"/>
        <v>0</v>
      </c>
      <c r="CD655" s="78"/>
      <c r="CE655" s="142"/>
      <c r="CF655" s="142"/>
      <c r="CG655" s="79">
        <f t="shared" si="315"/>
        <v>0</v>
      </c>
      <c r="CH655" s="75"/>
      <c r="CI655" s="76"/>
      <c r="CJ655" s="86"/>
      <c r="CK655" s="86"/>
      <c r="CL655" s="77">
        <f t="shared" si="316"/>
        <v>0</v>
      </c>
      <c r="CM655" s="78"/>
      <c r="CN655" s="85"/>
      <c r="CO655" s="85"/>
      <c r="CP655" s="77">
        <f t="shared" si="317"/>
        <v>0</v>
      </c>
      <c r="CQ655" s="78"/>
      <c r="CR655" s="85"/>
      <c r="CS655" s="85"/>
      <c r="CT655" s="79">
        <f t="shared" si="318"/>
        <v>0</v>
      </c>
      <c r="CU655" s="80">
        <f t="shared" si="288"/>
        <v>0</v>
      </c>
      <c r="CV655" s="81">
        <f t="shared" si="289"/>
        <v>0</v>
      </c>
      <c r="CW655" s="144"/>
      <c r="CX655" s="145">
        <f>IF(ISERROR(VLOOKUP($A655,FIJOS!$B$11:$O$590,14,FALSE)),0,VLOOKUP($A655,FIJOS!$B$11:$O$590,14,FALSE))</f>
        <v>0</v>
      </c>
      <c r="CY655" s="145">
        <f>IF(ISERROR(VLOOKUP(A655,FIJOS!$B$10:$P$590,15,FALSE)),0,VLOOKUP(A655,FIJOS!$B$10:$P$590,15,FALSE))</f>
        <v>0</v>
      </c>
      <c r="CZ655" s="155"/>
      <c r="DA655" s="147"/>
      <c r="DB655" s="147"/>
      <c r="DC655" s="147"/>
      <c r="DD655" s="147"/>
      <c r="DE655" s="147"/>
      <c r="DF655" s="145">
        <f>IF(ISERROR(VLOOKUP($A655,FIJOS!$B$11:$N$590,13,FALSE)),0,VLOOKUP($A655,FIJOS!$B$11:$N$590,13,FALSE))</f>
        <v>0</v>
      </c>
      <c r="DG655" s="145">
        <f>IF(ISERROR(VLOOKUP($A655,FIJOS!$B$11:$P$447,12,FALSE)),0,VLOOKUP($A655,FIJOS!$B$11:$P$447,12,FALSE))</f>
        <v>0</v>
      </c>
      <c r="DH655" s="82">
        <f t="shared" si="290"/>
        <v>0</v>
      </c>
      <c r="DI655" s="83" t="b">
        <f>IF($C655=1,(VLOOKUP($A655,FIJOS!$B$11:$P$545,10,FALSE)/7)*(7-$CU655),IF(AND($C655=2,CV655&lt;$DJ$1),(VLOOKUP($D655,HORAS!$B$4:$C$42,2,FALSE)*24)*$CV655,IF(AND($C655=2,CV655&gt;=$DJ$1),VLOOKUP($D655,HORAS!$B$4:$D$42,3,FALSE),IF(AND($C655=3,$CV655&gt;=$DJ$1),VLOOKUP($A655,FIJOS!$B$11:$P$545,10,FALSE),IF(AND($C655=3,$CV655&lt;$DJ$1),((VLOOKUP($A655,FIJOS!$B$11:$P$545,10,FALSE)/48)*24)*$CV655,IF(AND($C655=4,$CV655&gt;=(42/24)),VLOOKUP($D655,HORAS!$B$4:$D$42,3,FALSE),IF(AND($C655=5,$CV655&gt;=(36/24)),VLOOKUP($D655,HORAS!$B$4:$D$42,3,FALSE))))))))</f>
        <v>0</v>
      </c>
      <c r="DJ655" s="145">
        <f>IF(OR($C655=2),VLOOKUP($D655,HORAS!$B$4:$E$42,4,FALSE)*$EC655,IF(ISERROR(VLOOKUP($A655,FIJOS!$B$11:$P$108,9,FALSE)),0,VLOOKUP($A655,FIJOS!$B$11:$P$231,9,FALSE)*$EC655))</f>
        <v>0</v>
      </c>
      <c r="DK655" s="145">
        <f>IF(OR($C655=2),VLOOKUP($D655,HORAS!$B$4:$F$42,5,FALSE)*$EE655,IF(ISERROR(VLOOKUP($A655,FIJOS!$B$11:$P$108,9,FALSE)),0,VLOOKUP($A655,FIJOS!$B$11:$P$231,9,FALSE)*$EE655))</f>
        <v>0</v>
      </c>
      <c r="DL655" s="144"/>
      <c r="DM655" s="145">
        <f>IF(ISERROR(VLOOKUP($A655,FIJOS!$B$11:$L$646,11,FALSE)),0,VLOOKUP($A655,FIJOS!$B$11:$L$646,11,FALSE))</f>
        <v>0</v>
      </c>
      <c r="DN655" s="148" t="e">
        <f>IF(OR($C655=1,$C655=3),0,IF((VLOOKUP(CAPTURA!D655,HORAS!$B$4:$K$42,10,FALSE)/4)*COUNTIF($H655:$CT655,3)&gt;100,100,(VLOOKUP(CAPTURA!D655,HORAS!$B$4:$K$42,10,FALSE)/4)*COUNTIF($H655:$CT655,3)))</f>
        <v>#N/A</v>
      </c>
      <c r="DO655" s="144" t="e">
        <f>IF(OR($C655=1,$C655=3),0,IF($C655=5,VLOOKUP(D655,HORAS!$B$4:$G$42,6,FALSE),IF(AND($C655=4,$CV655&gt;=(42/24)),VLOOKUP(D655,HORAS!$B$4:$G$42,6,FALSE),IF(COUNTIF($H655:$CL655,"F")&gt;0,0,IF(CV655&gt;$DJ$1,$DJ$1*(VLOOKUP(D655,HORAS!$B$4:$G$42,6,FALSE)/$DJ$1),CV655*(VLOOKUP(D655,HORAS!$B$4:$G$42,6,FALSE)/$DJ$1))))))</f>
        <v>#N/A</v>
      </c>
      <c r="DP655" s="156"/>
      <c r="DQ655" s="148"/>
      <c r="DR655" s="148"/>
      <c r="DS655" s="83" t="e">
        <f t="shared" si="319"/>
        <v>#N/A</v>
      </c>
      <c r="DT655" s="84"/>
      <c r="DU655" s="149" t="e">
        <f t="shared" si="291"/>
        <v>#N/A</v>
      </c>
      <c r="DV655" s="149" t="e">
        <f t="shared" si="292"/>
        <v>#N/A</v>
      </c>
      <c r="DW655" s="144" t="e">
        <f t="shared" si="293"/>
        <v>#N/A</v>
      </c>
      <c r="DX655" s="168"/>
      <c r="DY655" s="29"/>
      <c r="DZ655" s="150"/>
      <c r="EA655" s="134"/>
      <c r="EB655" s="137">
        <f t="shared" si="294"/>
        <v>0</v>
      </c>
      <c r="EC655" s="138">
        <f t="shared" si="295"/>
        <v>0</v>
      </c>
      <c r="ED655" s="137">
        <f t="shared" si="296"/>
        <v>0</v>
      </c>
      <c r="EE655" s="132">
        <f t="shared" si="297"/>
        <v>0</v>
      </c>
      <c r="EF655" s="29"/>
      <c r="EG655" s="134"/>
      <c r="EH655" s="134"/>
      <c r="EI655" s="134"/>
      <c r="EK655" s="29"/>
    </row>
    <row r="656" spans="1:141" ht="15" customHeight="1" x14ac:dyDescent="0.25">
      <c r="A656" s="87"/>
      <c r="B656" s="5"/>
      <c r="C656" s="72"/>
      <c r="D656" s="73"/>
      <c r="E656" s="73"/>
      <c r="F656" s="141"/>
      <c r="G656" s="74"/>
      <c r="H656" s="75"/>
      <c r="I656" s="76"/>
      <c r="J656" s="135"/>
      <c r="K656" s="135"/>
      <c r="L656" s="77">
        <f t="shared" si="298"/>
        <v>0</v>
      </c>
      <c r="M656" s="78"/>
      <c r="N656" s="142"/>
      <c r="O656" s="142"/>
      <c r="P656" s="77">
        <f t="shared" si="299"/>
        <v>0</v>
      </c>
      <c r="Q656" s="78"/>
      <c r="R656" s="143"/>
      <c r="S656" s="143"/>
      <c r="T656" s="77">
        <f t="shared" si="300"/>
        <v>0</v>
      </c>
      <c r="U656" s="75"/>
      <c r="V656" s="76"/>
      <c r="W656" s="135"/>
      <c r="X656" s="135"/>
      <c r="Y656" s="77">
        <f t="shared" si="301"/>
        <v>0</v>
      </c>
      <c r="Z656" s="78"/>
      <c r="AA656" s="142"/>
      <c r="AB656" s="142"/>
      <c r="AC656" s="77">
        <f t="shared" si="302"/>
        <v>0</v>
      </c>
      <c r="AD656" s="78"/>
      <c r="AE656" s="143"/>
      <c r="AF656" s="143"/>
      <c r="AG656" s="79">
        <f t="shared" si="303"/>
        <v>0</v>
      </c>
      <c r="AH656" s="75"/>
      <c r="AI656" s="76"/>
      <c r="AJ656" s="135"/>
      <c r="AK656" s="135"/>
      <c r="AL656" s="77">
        <f t="shared" si="304"/>
        <v>0</v>
      </c>
      <c r="AM656" s="76"/>
      <c r="AN656" s="142"/>
      <c r="AO656" s="142"/>
      <c r="AP656" s="77">
        <f t="shared" si="305"/>
        <v>0</v>
      </c>
      <c r="AQ656" s="78"/>
      <c r="AR656" s="142"/>
      <c r="AS656" s="142"/>
      <c r="AT656" s="79">
        <f t="shared" si="306"/>
        <v>0</v>
      </c>
      <c r="AU656" s="75"/>
      <c r="AV656" s="76"/>
      <c r="AW656" s="135"/>
      <c r="AX656" s="135"/>
      <c r="AY656" s="77">
        <f t="shared" si="307"/>
        <v>0</v>
      </c>
      <c r="AZ656" s="76"/>
      <c r="BA656" s="142"/>
      <c r="BB656" s="142"/>
      <c r="BC656" s="77">
        <f t="shared" si="308"/>
        <v>0</v>
      </c>
      <c r="BD656" s="78"/>
      <c r="BE656" s="142"/>
      <c r="BF656" s="142"/>
      <c r="BG656" s="79">
        <f t="shared" si="309"/>
        <v>0</v>
      </c>
      <c r="BH656" s="75"/>
      <c r="BI656" s="76"/>
      <c r="BJ656" s="135"/>
      <c r="BK656" s="135"/>
      <c r="BL656" s="77">
        <f t="shared" si="310"/>
        <v>0</v>
      </c>
      <c r="BM656" s="78"/>
      <c r="BN656" s="142"/>
      <c r="BO656" s="142"/>
      <c r="BP656" s="77">
        <f t="shared" si="311"/>
        <v>0</v>
      </c>
      <c r="BQ656" s="78"/>
      <c r="BR656" s="142"/>
      <c r="BS656" s="142"/>
      <c r="BT656" s="79">
        <f t="shared" si="312"/>
        <v>0</v>
      </c>
      <c r="BU656" s="75"/>
      <c r="BV656" s="76"/>
      <c r="BW656" s="135"/>
      <c r="BX656" s="135"/>
      <c r="BY656" s="77">
        <f t="shared" si="313"/>
        <v>0</v>
      </c>
      <c r="BZ656" s="78"/>
      <c r="CA656" s="142"/>
      <c r="CB656" s="142"/>
      <c r="CC656" s="77">
        <f t="shared" si="314"/>
        <v>0</v>
      </c>
      <c r="CD656" s="78"/>
      <c r="CE656" s="142"/>
      <c r="CF656" s="142"/>
      <c r="CG656" s="79">
        <f t="shared" si="315"/>
        <v>0</v>
      </c>
      <c r="CH656" s="75"/>
      <c r="CI656" s="76"/>
      <c r="CJ656" s="86"/>
      <c r="CK656" s="86"/>
      <c r="CL656" s="77">
        <f t="shared" si="316"/>
        <v>0</v>
      </c>
      <c r="CM656" s="78"/>
      <c r="CN656" s="85"/>
      <c r="CO656" s="85"/>
      <c r="CP656" s="77">
        <f t="shared" si="317"/>
        <v>0</v>
      </c>
      <c r="CQ656" s="78"/>
      <c r="CR656" s="85"/>
      <c r="CS656" s="85"/>
      <c r="CT656" s="79">
        <f t="shared" si="318"/>
        <v>0</v>
      </c>
      <c r="CU656" s="80">
        <f t="shared" si="288"/>
        <v>0</v>
      </c>
      <c r="CV656" s="81">
        <f t="shared" si="289"/>
        <v>0</v>
      </c>
      <c r="CW656" s="144"/>
      <c r="CX656" s="145">
        <f>IF(ISERROR(VLOOKUP($A656,FIJOS!$B$11:$O$590,14,FALSE)),0,VLOOKUP($A656,FIJOS!$B$11:$O$590,14,FALSE))</f>
        <v>0</v>
      </c>
      <c r="CY656" s="145">
        <f>IF(ISERROR(VLOOKUP(A656,FIJOS!$B$10:$P$590,15,FALSE)),0,VLOOKUP(A656,FIJOS!$B$10:$P$590,15,FALSE))</f>
        <v>0</v>
      </c>
      <c r="CZ656" s="155"/>
      <c r="DA656" s="147"/>
      <c r="DB656" s="147"/>
      <c r="DC656" s="147"/>
      <c r="DD656" s="147"/>
      <c r="DE656" s="147"/>
      <c r="DF656" s="145">
        <f>IF(ISERROR(VLOOKUP($A656,FIJOS!$B$11:$N$590,13,FALSE)),0,VLOOKUP($A656,FIJOS!$B$11:$N$590,13,FALSE))</f>
        <v>0</v>
      </c>
      <c r="DG656" s="145">
        <f>IF(ISERROR(VLOOKUP($A656,FIJOS!$B$11:$P$447,12,FALSE)),0,VLOOKUP($A656,FIJOS!$B$11:$P$447,12,FALSE))</f>
        <v>0</v>
      </c>
      <c r="DH656" s="82">
        <f t="shared" si="290"/>
        <v>0</v>
      </c>
      <c r="DI656" s="83" t="b">
        <f>IF($C656=1,(VLOOKUP($A656,FIJOS!$B$11:$P$545,10,FALSE)/7)*(7-$CU656),IF(AND($C656=2,CV656&lt;$DJ$1),(VLOOKUP($D656,HORAS!$B$4:$C$42,2,FALSE)*24)*$CV656,IF(AND($C656=2,CV656&gt;=$DJ$1),VLOOKUP($D656,HORAS!$B$4:$D$42,3,FALSE),IF(AND($C656=3,$CV656&gt;=$DJ$1),VLOOKUP($A656,FIJOS!$B$11:$P$545,10,FALSE),IF(AND($C656=3,$CV656&lt;$DJ$1),((VLOOKUP($A656,FIJOS!$B$11:$P$545,10,FALSE)/48)*24)*$CV656,IF(AND($C656=4,$CV656&gt;=(42/24)),VLOOKUP($D656,HORAS!$B$4:$D$42,3,FALSE),IF(AND($C656=5,$CV656&gt;=(36/24)),VLOOKUP($D656,HORAS!$B$4:$D$42,3,FALSE))))))))</f>
        <v>0</v>
      </c>
      <c r="DJ656" s="145">
        <f>IF(OR($C656=2),VLOOKUP($D656,HORAS!$B$4:$E$42,4,FALSE)*$EC656,IF(ISERROR(VLOOKUP($A656,FIJOS!$B$11:$P$108,9,FALSE)),0,VLOOKUP($A656,FIJOS!$B$11:$P$231,9,FALSE)*$EC656))</f>
        <v>0</v>
      </c>
      <c r="DK656" s="145">
        <f>IF(OR($C656=2),VLOOKUP($D656,HORAS!$B$4:$F$42,5,FALSE)*$EE656,IF(ISERROR(VLOOKUP($A656,FIJOS!$B$11:$P$108,9,FALSE)),0,VLOOKUP($A656,FIJOS!$B$11:$P$231,9,FALSE)*$EE656))</f>
        <v>0</v>
      </c>
      <c r="DL656" s="144"/>
      <c r="DM656" s="145">
        <f>IF(ISERROR(VLOOKUP($A656,FIJOS!$B$11:$L$646,11,FALSE)),0,VLOOKUP($A656,FIJOS!$B$11:$L$646,11,FALSE))</f>
        <v>0</v>
      </c>
      <c r="DN656" s="148" t="e">
        <f>IF(OR($C656=1,$C656=3),0,IF((VLOOKUP(CAPTURA!D656,HORAS!$B$4:$K$42,10,FALSE)/4)*COUNTIF($H656:$CT656,3)&gt;100,100,(VLOOKUP(CAPTURA!D656,HORAS!$B$4:$K$42,10,FALSE)/4)*COUNTIF($H656:$CT656,3)))</f>
        <v>#N/A</v>
      </c>
      <c r="DO656" s="144" t="e">
        <f>IF(OR($C656=1,$C656=3),0,IF($C656=5,VLOOKUP(D656,HORAS!$B$4:$G$42,6,FALSE),IF(AND($C656=4,$CV656&gt;=(42/24)),VLOOKUP(D656,HORAS!$B$4:$G$42,6,FALSE),IF(COUNTIF($H656:$CL656,"F")&gt;0,0,IF(CV656&gt;$DJ$1,$DJ$1*(VLOOKUP(D656,HORAS!$B$4:$G$42,6,FALSE)/$DJ$1),CV656*(VLOOKUP(D656,HORAS!$B$4:$G$42,6,FALSE)/$DJ$1))))))</f>
        <v>#N/A</v>
      </c>
      <c r="DP656" s="156"/>
      <c r="DQ656" s="148"/>
      <c r="DR656" s="148"/>
      <c r="DS656" s="83" t="e">
        <f t="shared" si="319"/>
        <v>#N/A</v>
      </c>
      <c r="DT656" s="84"/>
      <c r="DU656" s="149" t="e">
        <f t="shared" si="291"/>
        <v>#N/A</v>
      </c>
      <c r="DV656" s="149" t="e">
        <f t="shared" si="292"/>
        <v>#N/A</v>
      </c>
      <c r="DW656" s="144" t="e">
        <f t="shared" si="293"/>
        <v>#N/A</v>
      </c>
      <c r="DX656" s="168"/>
      <c r="DY656" s="29"/>
      <c r="DZ656" s="150"/>
      <c r="EA656" s="134"/>
      <c r="EB656" s="137">
        <f t="shared" si="294"/>
        <v>0</v>
      </c>
      <c r="EC656" s="138">
        <f t="shared" si="295"/>
        <v>0</v>
      </c>
      <c r="ED656" s="137">
        <f t="shared" si="296"/>
        <v>0</v>
      </c>
      <c r="EE656" s="132">
        <f t="shared" si="297"/>
        <v>0</v>
      </c>
      <c r="EF656" s="29"/>
      <c r="EG656" s="134"/>
      <c r="EH656" s="134"/>
      <c r="EI656" s="134"/>
      <c r="EK656" s="29"/>
    </row>
    <row r="657" spans="1:141" ht="15" customHeight="1" x14ac:dyDescent="0.25">
      <c r="A657" s="87"/>
      <c r="B657" s="5"/>
      <c r="C657" s="72"/>
      <c r="D657" s="73"/>
      <c r="E657" s="73"/>
      <c r="F657" s="141"/>
      <c r="G657" s="74"/>
      <c r="H657" s="75"/>
      <c r="I657" s="76"/>
      <c r="J657" s="135"/>
      <c r="K657" s="135"/>
      <c r="L657" s="77">
        <f t="shared" si="298"/>
        <v>0</v>
      </c>
      <c r="M657" s="78"/>
      <c r="N657" s="142"/>
      <c r="O657" s="142"/>
      <c r="P657" s="77">
        <f t="shared" si="299"/>
        <v>0</v>
      </c>
      <c r="Q657" s="78"/>
      <c r="R657" s="143"/>
      <c r="S657" s="143"/>
      <c r="T657" s="77">
        <f t="shared" si="300"/>
        <v>0</v>
      </c>
      <c r="U657" s="75"/>
      <c r="V657" s="76"/>
      <c r="W657" s="135"/>
      <c r="X657" s="135"/>
      <c r="Y657" s="77">
        <f t="shared" si="301"/>
        <v>0</v>
      </c>
      <c r="Z657" s="78"/>
      <c r="AA657" s="142"/>
      <c r="AB657" s="142"/>
      <c r="AC657" s="77">
        <f t="shared" si="302"/>
        <v>0</v>
      </c>
      <c r="AD657" s="78"/>
      <c r="AE657" s="143"/>
      <c r="AF657" s="143"/>
      <c r="AG657" s="79">
        <f t="shared" si="303"/>
        <v>0</v>
      </c>
      <c r="AH657" s="75"/>
      <c r="AI657" s="76"/>
      <c r="AJ657" s="135"/>
      <c r="AK657" s="135"/>
      <c r="AL657" s="77">
        <f t="shared" si="304"/>
        <v>0</v>
      </c>
      <c r="AM657" s="76"/>
      <c r="AN657" s="142"/>
      <c r="AO657" s="142"/>
      <c r="AP657" s="77">
        <f t="shared" si="305"/>
        <v>0</v>
      </c>
      <c r="AQ657" s="78"/>
      <c r="AR657" s="142"/>
      <c r="AS657" s="142"/>
      <c r="AT657" s="79">
        <f t="shared" si="306"/>
        <v>0</v>
      </c>
      <c r="AU657" s="75"/>
      <c r="AV657" s="76"/>
      <c r="AW657" s="135"/>
      <c r="AX657" s="135"/>
      <c r="AY657" s="77">
        <f t="shared" si="307"/>
        <v>0</v>
      </c>
      <c r="AZ657" s="76"/>
      <c r="BA657" s="142"/>
      <c r="BB657" s="142"/>
      <c r="BC657" s="77">
        <f t="shared" si="308"/>
        <v>0</v>
      </c>
      <c r="BD657" s="78"/>
      <c r="BE657" s="142"/>
      <c r="BF657" s="142"/>
      <c r="BG657" s="79">
        <f t="shared" si="309"/>
        <v>0</v>
      </c>
      <c r="BH657" s="75"/>
      <c r="BI657" s="76"/>
      <c r="BJ657" s="135"/>
      <c r="BK657" s="135"/>
      <c r="BL657" s="77">
        <f t="shared" si="310"/>
        <v>0</v>
      </c>
      <c r="BM657" s="78"/>
      <c r="BN657" s="142"/>
      <c r="BO657" s="142"/>
      <c r="BP657" s="77">
        <f t="shared" si="311"/>
        <v>0</v>
      </c>
      <c r="BQ657" s="78"/>
      <c r="BR657" s="142"/>
      <c r="BS657" s="142"/>
      <c r="BT657" s="79">
        <f t="shared" si="312"/>
        <v>0</v>
      </c>
      <c r="BU657" s="75"/>
      <c r="BV657" s="76"/>
      <c r="BW657" s="135"/>
      <c r="BX657" s="135"/>
      <c r="BY657" s="77">
        <f t="shared" si="313"/>
        <v>0</v>
      </c>
      <c r="BZ657" s="78"/>
      <c r="CA657" s="142"/>
      <c r="CB657" s="142"/>
      <c r="CC657" s="77">
        <f t="shared" si="314"/>
        <v>0</v>
      </c>
      <c r="CD657" s="78"/>
      <c r="CE657" s="142"/>
      <c r="CF657" s="142"/>
      <c r="CG657" s="79">
        <f t="shared" si="315"/>
        <v>0</v>
      </c>
      <c r="CH657" s="75"/>
      <c r="CI657" s="76"/>
      <c r="CJ657" s="86"/>
      <c r="CK657" s="86"/>
      <c r="CL657" s="77">
        <f t="shared" si="316"/>
        <v>0</v>
      </c>
      <c r="CM657" s="78"/>
      <c r="CN657" s="85"/>
      <c r="CO657" s="85"/>
      <c r="CP657" s="77">
        <f t="shared" si="317"/>
        <v>0</v>
      </c>
      <c r="CQ657" s="78"/>
      <c r="CR657" s="85"/>
      <c r="CS657" s="85"/>
      <c r="CT657" s="79">
        <f t="shared" si="318"/>
        <v>0</v>
      </c>
      <c r="CU657" s="80">
        <f t="shared" si="288"/>
        <v>0</v>
      </c>
      <c r="CV657" s="81">
        <f t="shared" si="289"/>
        <v>0</v>
      </c>
      <c r="CW657" s="144"/>
      <c r="CX657" s="145">
        <f>IF(ISERROR(VLOOKUP($A657,FIJOS!$B$11:$O$590,14,FALSE)),0,VLOOKUP($A657,FIJOS!$B$11:$O$590,14,FALSE))</f>
        <v>0</v>
      </c>
      <c r="CY657" s="145">
        <f>IF(ISERROR(VLOOKUP(A657,FIJOS!$B$10:$P$590,15,FALSE)),0,VLOOKUP(A657,FIJOS!$B$10:$P$590,15,FALSE))</f>
        <v>0</v>
      </c>
      <c r="CZ657" s="155"/>
      <c r="DA657" s="147"/>
      <c r="DB657" s="147"/>
      <c r="DC657" s="147"/>
      <c r="DD657" s="147"/>
      <c r="DE657" s="147"/>
      <c r="DF657" s="145">
        <f>IF(ISERROR(VLOOKUP($A657,FIJOS!$B$11:$N$590,13,FALSE)),0,VLOOKUP($A657,FIJOS!$B$11:$N$590,13,FALSE))</f>
        <v>0</v>
      </c>
      <c r="DG657" s="145">
        <f>IF(ISERROR(VLOOKUP($A657,FIJOS!$B$11:$P$447,12,FALSE)),0,VLOOKUP($A657,FIJOS!$B$11:$P$447,12,FALSE))</f>
        <v>0</v>
      </c>
      <c r="DH657" s="82">
        <f t="shared" si="290"/>
        <v>0</v>
      </c>
      <c r="DI657" s="83" t="b">
        <f>IF($C657=1,(VLOOKUP($A657,FIJOS!$B$11:$P$545,10,FALSE)/7)*(7-$CU657),IF(AND($C657=2,CV657&lt;$DJ$1),(VLOOKUP($D657,HORAS!$B$4:$C$42,2,FALSE)*24)*$CV657,IF(AND($C657=2,CV657&gt;=$DJ$1),VLOOKUP($D657,HORAS!$B$4:$D$42,3,FALSE),IF(AND($C657=3,$CV657&gt;=$DJ$1),VLOOKUP($A657,FIJOS!$B$11:$P$545,10,FALSE),IF(AND($C657=3,$CV657&lt;$DJ$1),((VLOOKUP($A657,FIJOS!$B$11:$P$545,10,FALSE)/48)*24)*$CV657,IF(AND($C657=4,$CV657&gt;=(42/24)),VLOOKUP($D657,HORAS!$B$4:$D$42,3,FALSE),IF(AND($C657=5,$CV657&gt;=(36/24)),VLOOKUP($D657,HORAS!$B$4:$D$42,3,FALSE))))))))</f>
        <v>0</v>
      </c>
      <c r="DJ657" s="145">
        <f>IF(OR($C657=2),VLOOKUP($D657,HORAS!$B$4:$E$42,4,FALSE)*$EC657,IF(ISERROR(VLOOKUP($A657,FIJOS!$B$11:$P$108,9,FALSE)),0,VLOOKUP($A657,FIJOS!$B$11:$P$231,9,FALSE)*$EC657))</f>
        <v>0</v>
      </c>
      <c r="DK657" s="145">
        <f>IF(OR($C657=2),VLOOKUP($D657,HORAS!$B$4:$F$42,5,FALSE)*$EE657,IF(ISERROR(VLOOKUP($A657,FIJOS!$B$11:$P$108,9,FALSE)),0,VLOOKUP($A657,FIJOS!$B$11:$P$231,9,FALSE)*$EE657))</f>
        <v>0</v>
      </c>
      <c r="DL657" s="144"/>
      <c r="DM657" s="145">
        <f>IF(ISERROR(VLOOKUP($A657,FIJOS!$B$11:$L$646,11,FALSE)),0,VLOOKUP($A657,FIJOS!$B$11:$L$646,11,FALSE))</f>
        <v>0</v>
      </c>
      <c r="DN657" s="148" t="e">
        <f>IF(OR($C657=1,$C657=3),0,IF((VLOOKUP(CAPTURA!D657,HORAS!$B$4:$K$42,10,FALSE)/4)*COUNTIF($H657:$CT657,3)&gt;100,100,(VLOOKUP(CAPTURA!D657,HORAS!$B$4:$K$42,10,FALSE)/4)*COUNTIF($H657:$CT657,3)))</f>
        <v>#N/A</v>
      </c>
      <c r="DO657" s="144" t="e">
        <f>IF(OR($C657=1,$C657=3),0,IF($C657=5,VLOOKUP(D657,HORAS!$B$4:$G$42,6,FALSE),IF(AND($C657=4,$CV657&gt;=(42/24)),VLOOKUP(D657,HORAS!$B$4:$G$42,6,FALSE),IF(COUNTIF($H657:$CL657,"F")&gt;0,0,IF(CV657&gt;$DJ$1,$DJ$1*(VLOOKUP(D657,HORAS!$B$4:$G$42,6,FALSE)/$DJ$1),CV657*(VLOOKUP(D657,HORAS!$B$4:$G$42,6,FALSE)/$DJ$1))))))</f>
        <v>#N/A</v>
      </c>
      <c r="DP657" s="156"/>
      <c r="DQ657" s="148"/>
      <c r="DR657" s="148"/>
      <c r="DS657" s="83" t="e">
        <f t="shared" si="319"/>
        <v>#N/A</v>
      </c>
      <c r="DT657" s="84"/>
      <c r="DU657" s="149" t="e">
        <f t="shared" si="291"/>
        <v>#N/A</v>
      </c>
      <c r="DV657" s="149" t="e">
        <f t="shared" si="292"/>
        <v>#N/A</v>
      </c>
      <c r="DW657" s="144" t="e">
        <f t="shared" si="293"/>
        <v>#N/A</v>
      </c>
      <c r="DX657" s="168"/>
      <c r="DY657" s="29"/>
      <c r="DZ657" s="150"/>
      <c r="EA657" s="134"/>
      <c r="EB657" s="137">
        <f t="shared" si="294"/>
        <v>0</v>
      </c>
      <c r="EC657" s="138">
        <f t="shared" si="295"/>
        <v>0</v>
      </c>
      <c r="ED657" s="137">
        <f t="shared" si="296"/>
        <v>0</v>
      </c>
      <c r="EE657" s="132">
        <f t="shared" si="297"/>
        <v>0</v>
      </c>
      <c r="EF657" s="29"/>
      <c r="EG657" s="134"/>
      <c r="EH657" s="134"/>
      <c r="EI657" s="134"/>
      <c r="EK657" s="29"/>
    </row>
    <row r="658" spans="1:141" ht="15" customHeight="1" x14ac:dyDescent="0.25">
      <c r="A658" s="87"/>
      <c r="B658" s="5"/>
      <c r="C658" s="72"/>
      <c r="D658" s="73"/>
      <c r="E658" s="73"/>
      <c r="F658" s="141"/>
      <c r="G658" s="74"/>
      <c r="H658" s="75"/>
      <c r="I658" s="76"/>
      <c r="J658" s="135"/>
      <c r="K658" s="135"/>
      <c r="L658" s="77">
        <f t="shared" si="298"/>
        <v>0</v>
      </c>
      <c r="M658" s="78"/>
      <c r="N658" s="142"/>
      <c r="O658" s="142"/>
      <c r="P658" s="77">
        <f t="shared" si="299"/>
        <v>0</v>
      </c>
      <c r="Q658" s="78"/>
      <c r="R658" s="143"/>
      <c r="S658" s="143"/>
      <c r="T658" s="77">
        <f t="shared" si="300"/>
        <v>0</v>
      </c>
      <c r="U658" s="75"/>
      <c r="V658" s="76"/>
      <c r="W658" s="135"/>
      <c r="X658" s="135"/>
      <c r="Y658" s="77">
        <f t="shared" si="301"/>
        <v>0</v>
      </c>
      <c r="Z658" s="78"/>
      <c r="AA658" s="142"/>
      <c r="AB658" s="142"/>
      <c r="AC658" s="77">
        <f t="shared" si="302"/>
        <v>0</v>
      </c>
      <c r="AD658" s="78"/>
      <c r="AE658" s="143"/>
      <c r="AF658" s="143"/>
      <c r="AG658" s="79">
        <f t="shared" si="303"/>
        <v>0</v>
      </c>
      <c r="AH658" s="75"/>
      <c r="AI658" s="76"/>
      <c r="AJ658" s="135"/>
      <c r="AK658" s="135"/>
      <c r="AL658" s="77">
        <f t="shared" si="304"/>
        <v>0</v>
      </c>
      <c r="AM658" s="76"/>
      <c r="AN658" s="142"/>
      <c r="AO658" s="142"/>
      <c r="AP658" s="77">
        <f t="shared" si="305"/>
        <v>0</v>
      </c>
      <c r="AQ658" s="78"/>
      <c r="AR658" s="142"/>
      <c r="AS658" s="142"/>
      <c r="AT658" s="79">
        <f t="shared" si="306"/>
        <v>0</v>
      </c>
      <c r="AU658" s="75"/>
      <c r="AV658" s="76"/>
      <c r="AW658" s="135"/>
      <c r="AX658" s="135"/>
      <c r="AY658" s="77">
        <f t="shared" si="307"/>
        <v>0</v>
      </c>
      <c r="AZ658" s="76"/>
      <c r="BA658" s="142"/>
      <c r="BB658" s="142"/>
      <c r="BC658" s="77">
        <f t="shared" si="308"/>
        <v>0</v>
      </c>
      <c r="BD658" s="78"/>
      <c r="BE658" s="142"/>
      <c r="BF658" s="142"/>
      <c r="BG658" s="79">
        <f t="shared" si="309"/>
        <v>0</v>
      </c>
      <c r="BH658" s="75"/>
      <c r="BI658" s="76"/>
      <c r="BJ658" s="135"/>
      <c r="BK658" s="135"/>
      <c r="BL658" s="77">
        <f t="shared" si="310"/>
        <v>0</v>
      </c>
      <c r="BM658" s="78"/>
      <c r="BN658" s="142"/>
      <c r="BO658" s="142"/>
      <c r="BP658" s="77">
        <f t="shared" si="311"/>
        <v>0</v>
      </c>
      <c r="BQ658" s="78"/>
      <c r="BR658" s="142"/>
      <c r="BS658" s="142"/>
      <c r="BT658" s="79">
        <f t="shared" si="312"/>
        <v>0</v>
      </c>
      <c r="BU658" s="75"/>
      <c r="BV658" s="76"/>
      <c r="BW658" s="135"/>
      <c r="BX658" s="135"/>
      <c r="BY658" s="77">
        <f t="shared" si="313"/>
        <v>0</v>
      </c>
      <c r="BZ658" s="78"/>
      <c r="CA658" s="142"/>
      <c r="CB658" s="142"/>
      <c r="CC658" s="77">
        <f t="shared" si="314"/>
        <v>0</v>
      </c>
      <c r="CD658" s="78"/>
      <c r="CE658" s="142"/>
      <c r="CF658" s="142"/>
      <c r="CG658" s="79">
        <f t="shared" si="315"/>
        <v>0</v>
      </c>
      <c r="CH658" s="75"/>
      <c r="CI658" s="76"/>
      <c r="CJ658" s="86"/>
      <c r="CK658" s="86"/>
      <c r="CL658" s="77">
        <f t="shared" si="316"/>
        <v>0</v>
      </c>
      <c r="CM658" s="78"/>
      <c r="CN658" s="85"/>
      <c r="CO658" s="85"/>
      <c r="CP658" s="77">
        <f t="shared" si="317"/>
        <v>0</v>
      </c>
      <c r="CQ658" s="78"/>
      <c r="CR658" s="85"/>
      <c r="CS658" s="85"/>
      <c r="CT658" s="79">
        <f t="shared" si="318"/>
        <v>0</v>
      </c>
      <c r="CU658" s="80">
        <f t="shared" si="288"/>
        <v>0</v>
      </c>
      <c r="CV658" s="81">
        <f t="shared" si="289"/>
        <v>0</v>
      </c>
      <c r="CW658" s="144"/>
      <c r="CX658" s="145">
        <f>IF(ISERROR(VLOOKUP($A658,FIJOS!$B$11:$O$590,14,FALSE)),0,VLOOKUP($A658,FIJOS!$B$11:$O$590,14,FALSE))</f>
        <v>0</v>
      </c>
      <c r="CY658" s="145">
        <f>IF(ISERROR(VLOOKUP(A658,FIJOS!$B$10:$P$590,15,FALSE)),0,VLOOKUP(A658,FIJOS!$B$10:$P$590,15,FALSE))</f>
        <v>0</v>
      </c>
      <c r="CZ658" s="155"/>
      <c r="DA658" s="147"/>
      <c r="DB658" s="147"/>
      <c r="DC658" s="147"/>
      <c r="DD658" s="147"/>
      <c r="DE658" s="147"/>
      <c r="DF658" s="145">
        <f>IF(ISERROR(VLOOKUP($A658,FIJOS!$B$11:$N$590,13,FALSE)),0,VLOOKUP($A658,FIJOS!$B$11:$N$590,13,FALSE))</f>
        <v>0</v>
      </c>
      <c r="DG658" s="145">
        <f>IF(ISERROR(VLOOKUP($A658,FIJOS!$B$11:$P$447,12,FALSE)),0,VLOOKUP($A658,FIJOS!$B$11:$P$447,12,FALSE))</f>
        <v>0</v>
      </c>
      <c r="DH658" s="82">
        <f t="shared" si="290"/>
        <v>0</v>
      </c>
      <c r="DI658" s="83" t="b">
        <f>IF($C658=1,(VLOOKUP($A658,FIJOS!$B$11:$P$545,10,FALSE)/7)*(7-$CU658),IF(AND($C658=2,CV658&lt;$DJ$1),(VLOOKUP($D658,HORAS!$B$4:$C$42,2,FALSE)*24)*$CV658,IF(AND($C658=2,CV658&gt;=$DJ$1),VLOOKUP($D658,HORAS!$B$4:$D$42,3,FALSE),IF(AND($C658=3,$CV658&gt;=$DJ$1),VLOOKUP($A658,FIJOS!$B$11:$P$545,10,FALSE),IF(AND($C658=3,$CV658&lt;$DJ$1),((VLOOKUP($A658,FIJOS!$B$11:$P$545,10,FALSE)/48)*24)*$CV658,IF(AND($C658=4,$CV658&gt;=(42/24)),VLOOKUP($D658,HORAS!$B$4:$D$42,3,FALSE),IF(AND($C658=5,$CV658&gt;=(36/24)),VLOOKUP($D658,HORAS!$B$4:$D$42,3,FALSE))))))))</f>
        <v>0</v>
      </c>
      <c r="DJ658" s="145">
        <f>IF(OR($C658=2),VLOOKUP($D658,HORAS!$B$4:$E$42,4,FALSE)*$EC658,IF(ISERROR(VLOOKUP($A658,FIJOS!$B$11:$P$108,9,FALSE)),0,VLOOKUP($A658,FIJOS!$B$11:$P$231,9,FALSE)*$EC658))</f>
        <v>0</v>
      </c>
      <c r="DK658" s="145">
        <f>IF(OR($C658=2),VLOOKUP($D658,HORAS!$B$4:$F$42,5,FALSE)*$EE658,IF(ISERROR(VLOOKUP($A658,FIJOS!$B$11:$P$108,9,FALSE)),0,VLOOKUP($A658,FIJOS!$B$11:$P$231,9,FALSE)*$EE658))</f>
        <v>0</v>
      </c>
      <c r="DL658" s="144"/>
      <c r="DM658" s="145">
        <f>IF(ISERROR(VLOOKUP($A658,FIJOS!$B$11:$L$646,11,FALSE)),0,VLOOKUP($A658,FIJOS!$B$11:$L$646,11,FALSE))</f>
        <v>0</v>
      </c>
      <c r="DN658" s="148" t="e">
        <f>IF(OR($C658=1,$C658=3),0,IF((VLOOKUP(CAPTURA!D658,HORAS!$B$4:$K$42,10,FALSE)/4)*COUNTIF($H658:$CT658,3)&gt;100,100,(VLOOKUP(CAPTURA!D658,HORAS!$B$4:$K$42,10,FALSE)/4)*COUNTIF($H658:$CT658,3)))</f>
        <v>#N/A</v>
      </c>
      <c r="DO658" s="144" t="e">
        <f>IF(OR($C658=1,$C658=3),0,IF($C658=5,VLOOKUP(D658,HORAS!$B$4:$G$42,6,FALSE),IF(AND($C658=4,$CV658&gt;=(42/24)),VLOOKUP(D658,HORAS!$B$4:$G$42,6,FALSE),IF(COUNTIF($H658:$CL658,"F")&gt;0,0,IF(CV658&gt;$DJ$1,$DJ$1*(VLOOKUP(D658,HORAS!$B$4:$G$42,6,FALSE)/$DJ$1),CV658*(VLOOKUP(D658,HORAS!$B$4:$G$42,6,FALSE)/$DJ$1))))))</f>
        <v>#N/A</v>
      </c>
      <c r="DP658" s="156"/>
      <c r="DQ658" s="148"/>
      <c r="DR658" s="148"/>
      <c r="DS658" s="83" t="e">
        <f t="shared" si="319"/>
        <v>#N/A</v>
      </c>
      <c r="DT658" s="84"/>
      <c r="DU658" s="149" t="e">
        <f t="shared" si="291"/>
        <v>#N/A</v>
      </c>
      <c r="DV658" s="149" t="e">
        <f t="shared" si="292"/>
        <v>#N/A</v>
      </c>
      <c r="DW658" s="144" t="e">
        <f t="shared" si="293"/>
        <v>#N/A</v>
      </c>
      <c r="DX658" s="168"/>
      <c r="DY658" s="29"/>
      <c r="DZ658" s="150"/>
      <c r="EA658" s="134"/>
      <c r="EB658" s="137">
        <f t="shared" si="294"/>
        <v>0</v>
      </c>
      <c r="EC658" s="138">
        <f t="shared" si="295"/>
        <v>0</v>
      </c>
      <c r="ED658" s="137">
        <f t="shared" si="296"/>
        <v>0</v>
      </c>
      <c r="EE658" s="132">
        <f t="shared" si="297"/>
        <v>0</v>
      </c>
      <c r="EF658" s="29"/>
      <c r="EG658" s="134"/>
      <c r="EH658" s="134"/>
      <c r="EI658" s="134"/>
      <c r="EK658" s="29"/>
    </row>
    <row r="659" spans="1:141" ht="15" customHeight="1" x14ac:dyDescent="0.25">
      <c r="A659" s="87"/>
      <c r="B659" s="5"/>
      <c r="C659" s="72"/>
      <c r="D659" s="73"/>
      <c r="E659" s="73"/>
      <c r="F659" s="141"/>
      <c r="G659" s="74"/>
      <c r="H659" s="75"/>
      <c r="I659" s="76"/>
      <c r="J659" s="135"/>
      <c r="K659" s="135"/>
      <c r="L659" s="77">
        <f t="shared" si="298"/>
        <v>0</v>
      </c>
      <c r="M659" s="78"/>
      <c r="N659" s="142"/>
      <c r="O659" s="142"/>
      <c r="P659" s="77">
        <f t="shared" si="299"/>
        <v>0</v>
      </c>
      <c r="Q659" s="78"/>
      <c r="R659" s="143"/>
      <c r="S659" s="143"/>
      <c r="T659" s="77">
        <f t="shared" si="300"/>
        <v>0</v>
      </c>
      <c r="U659" s="75"/>
      <c r="V659" s="76"/>
      <c r="W659" s="135"/>
      <c r="X659" s="135"/>
      <c r="Y659" s="77">
        <f t="shared" si="301"/>
        <v>0</v>
      </c>
      <c r="Z659" s="78"/>
      <c r="AA659" s="142"/>
      <c r="AB659" s="142"/>
      <c r="AC659" s="77">
        <f t="shared" si="302"/>
        <v>0</v>
      </c>
      <c r="AD659" s="78"/>
      <c r="AE659" s="143"/>
      <c r="AF659" s="143"/>
      <c r="AG659" s="79">
        <f t="shared" si="303"/>
        <v>0</v>
      </c>
      <c r="AH659" s="75"/>
      <c r="AI659" s="76"/>
      <c r="AJ659" s="135"/>
      <c r="AK659" s="135"/>
      <c r="AL659" s="77">
        <f t="shared" si="304"/>
        <v>0</v>
      </c>
      <c r="AM659" s="76"/>
      <c r="AN659" s="142"/>
      <c r="AO659" s="142"/>
      <c r="AP659" s="77">
        <f t="shared" si="305"/>
        <v>0</v>
      </c>
      <c r="AQ659" s="78"/>
      <c r="AR659" s="142"/>
      <c r="AS659" s="142"/>
      <c r="AT659" s="79">
        <f t="shared" si="306"/>
        <v>0</v>
      </c>
      <c r="AU659" s="75"/>
      <c r="AV659" s="76"/>
      <c r="AW659" s="135"/>
      <c r="AX659" s="135"/>
      <c r="AY659" s="77">
        <f t="shared" si="307"/>
        <v>0</v>
      </c>
      <c r="AZ659" s="76"/>
      <c r="BA659" s="142"/>
      <c r="BB659" s="142"/>
      <c r="BC659" s="77">
        <f t="shared" si="308"/>
        <v>0</v>
      </c>
      <c r="BD659" s="78"/>
      <c r="BE659" s="142"/>
      <c r="BF659" s="142"/>
      <c r="BG659" s="79">
        <f t="shared" si="309"/>
        <v>0</v>
      </c>
      <c r="BH659" s="75"/>
      <c r="BI659" s="76"/>
      <c r="BJ659" s="135"/>
      <c r="BK659" s="135"/>
      <c r="BL659" s="77">
        <f t="shared" si="310"/>
        <v>0</v>
      </c>
      <c r="BM659" s="78"/>
      <c r="BN659" s="142"/>
      <c r="BO659" s="142"/>
      <c r="BP659" s="77">
        <f t="shared" si="311"/>
        <v>0</v>
      </c>
      <c r="BQ659" s="78"/>
      <c r="BR659" s="142"/>
      <c r="BS659" s="142"/>
      <c r="BT659" s="79">
        <f t="shared" si="312"/>
        <v>0</v>
      </c>
      <c r="BU659" s="75"/>
      <c r="BV659" s="76"/>
      <c r="BW659" s="135"/>
      <c r="BX659" s="135"/>
      <c r="BY659" s="77">
        <f t="shared" si="313"/>
        <v>0</v>
      </c>
      <c r="BZ659" s="78"/>
      <c r="CA659" s="142"/>
      <c r="CB659" s="142"/>
      <c r="CC659" s="77">
        <f t="shared" si="314"/>
        <v>0</v>
      </c>
      <c r="CD659" s="78"/>
      <c r="CE659" s="142"/>
      <c r="CF659" s="142"/>
      <c r="CG659" s="79">
        <f t="shared" si="315"/>
        <v>0</v>
      </c>
      <c r="CH659" s="75"/>
      <c r="CI659" s="76"/>
      <c r="CJ659" s="86"/>
      <c r="CK659" s="86"/>
      <c r="CL659" s="77">
        <f t="shared" si="316"/>
        <v>0</v>
      </c>
      <c r="CM659" s="78"/>
      <c r="CN659" s="85"/>
      <c r="CO659" s="85"/>
      <c r="CP659" s="77">
        <f t="shared" si="317"/>
        <v>0</v>
      </c>
      <c r="CQ659" s="78"/>
      <c r="CR659" s="85"/>
      <c r="CS659" s="85"/>
      <c r="CT659" s="79">
        <f t="shared" si="318"/>
        <v>0</v>
      </c>
      <c r="CU659" s="80">
        <f t="shared" si="288"/>
        <v>0</v>
      </c>
      <c r="CV659" s="81">
        <f t="shared" si="289"/>
        <v>0</v>
      </c>
      <c r="CW659" s="144"/>
      <c r="CX659" s="145">
        <f>IF(ISERROR(VLOOKUP($A659,FIJOS!$B$11:$O$590,14,FALSE)),0,VLOOKUP($A659,FIJOS!$B$11:$O$590,14,FALSE))</f>
        <v>0</v>
      </c>
      <c r="CY659" s="145">
        <f>IF(ISERROR(VLOOKUP(A659,FIJOS!$B$10:$P$590,15,FALSE)),0,VLOOKUP(A659,FIJOS!$B$10:$P$590,15,FALSE))</f>
        <v>0</v>
      </c>
      <c r="CZ659" s="155"/>
      <c r="DA659" s="147"/>
      <c r="DB659" s="147"/>
      <c r="DC659" s="147"/>
      <c r="DD659" s="147"/>
      <c r="DE659" s="147"/>
      <c r="DF659" s="145">
        <f>IF(ISERROR(VLOOKUP($A659,FIJOS!$B$11:$N$590,13,FALSE)),0,VLOOKUP($A659,FIJOS!$B$11:$N$590,13,FALSE))</f>
        <v>0</v>
      </c>
      <c r="DG659" s="145">
        <f>IF(ISERROR(VLOOKUP($A659,FIJOS!$B$11:$P$447,12,FALSE)),0,VLOOKUP($A659,FIJOS!$B$11:$P$447,12,FALSE))</f>
        <v>0</v>
      </c>
      <c r="DH659" s="82">
        <f t="shared" si="290"/>
        <v>0</v>
      </c>
      <c r="DI659" s="83" t="b">
        <f>IF($C659=1,(VLOOKUP($A659,FIJOS!$B$11:$P$545,10,FALSE)/7)*(7-$CU659),IF(AND($C659=2,CV659&lt;$DJ$1),(VLOOKUP($D659,HORAS!$B$4:$C$42,2,FALSE)*24)*$CV659,IF(AND($C659=2,CV659&gt;=$DJ$1),VLOOKUP($D659,HORAS!$B$4:$D$42,3,FALSE),IF(AND($C659=3,$CV659&gt;=$DJ$1),VLOOKUP($A659,FIJOS!$B$11:$P$545,10,FALSE),IF(AND($C659=3,$CV659&lt;$DJ$1),((VLOOKUP($A659,FIJOS!$B$11:$P$545,10,FALSE)/48)*24)*$CV659,IF(AND($C659=4,$CV659&gt;=(42/24)),VLOOKUP($D659,HORAS!$B$4:$D$42,3,FALSE),IF(AND($C659=5,$CV659&gt;=(36/24)),VLOOKUP($D659,HORAS!$B$4:$D$42,3,FALSE))))))))</f>
        <v>0</v>
      </c>
      <c r="DJ659" s="145">
        <f>IF(OR($C659=2),VLOOKUP($D659,HORAS!$B$4:$E$42,4,FALSE)*$EC659,IF(ISERROR(VLOOKUP($A659,FIJOS!$B$11:$P$108,9,FALSE)),0,VLOOKUP($A659,FIJOS!$B$11:$P$231,9,FALSE)*$EC659))</f>
        <v>0</v>
      </c>
      <c r="DK659" s="145">
        <f>IF(OR($C659=2),VLOOKUP($D659,HORAS!$B$4:$F$42,5,FALSE)*$EE659,IF(ISERROR(VLOOKUP($A659,FIJOS!$B$11:$P$108,9,FALSE)),0,VLOOKUP($A659,FIJOS!$B$11:$P$231,9,FALSE)*$EE659))</f>
        <v>0</v>
      </c>
      <c r="DL659" s="144"/>
      <c r="DM659" s="145">
        <f>IF(ISERROR(VLOOKUP($A659,FIJOS!$B$11:$L$646,11,FALSE)),0,VLOOKUP($A659,FIJOS!$B$11:$L$646,11,FALSE))</f>
        <v>0</v>
      </c>
      <c r="DN659" s="148" t="e">
        <f>IF(OR($C659=1,$C659=3),0,IF((VLOOKUP(CAPTURA!D659,HORAS!$B$4:$K$42,10,FALSE)/4)*COUNTIF($H659:$CT659,3)&gt;100,100,(VLOOKUP(CAPTURA!D659,HORAS!$B$4:$K$42,10,FALSE)/4)*COUNTIF($H659:$CT659,3)))</f>
        <v>#N/A</v>
      </c>
      <c r="DO659" s="144" t="e">
        <f>IF(OR($C659=1,$C659=3),0,IF($C659=5,VLOOKUP(D659,HORAS!$B$4:$G$42,6,FALSE),IF(AND($C659=4,$CV659&gt;=(42/24)),VLOOKUP(D659,HORAS!$B$4:$G$42,6,FALSE),IF(COUNTIF($H659:$CL659,"F")&gt;0,0,IF(CV659&gt;$DJ$1,$DJ$1*(VLOOKUP(D659,HORAS!$B$4:$G$42,6,FALSE)/$DJ$1),CV659*(VLOOKUP(D659,HORAS!$B$4:$G$42,6,FALSE)/$DJ$1))))))</f>
        <v>#N/A</v>
      </c>
      <c r="DP659" s="156"/>
      <c r="DQ659" s="148"/>
      <c r="DR659" s="148"/>
      <c r="DS659" s="83" t="e">
        <f t="shared" si="319"/>
        <v>#N/A</v>
      </c>
      <c r="DT659" s="84"/>
      <c r="DU659" s="149" t="e">
        <f t="shared" si="291"/>
        <v>#N/A</v>
      </c>
      <c r="DV659" s="149" t="e">
        <f t="shared" si="292"/>
        <v>#N/A</v>
      </c>
      <c r="DW659" s="144" t="e">
        <f t="shared" si="293"/>
        <v>#N/A</v>
      </c>
      <c r="DX659" s="168"/>
      <c r="DY659" s="29"/>
      <c r="DZ659" s="150"/>
      <c r="EA659" s="134"/>
      <c r="EB659" s="137">
        <f t="shared" si="294"/>
        <v>0</v>
      </c>
      <c r="EC659" s="138">
        <f t="shared" si="295"/>
        <v>0</v>
      </c>
      <c r="ED659" s="137">
        <f t="shared" si="296"/>
        <v>0</v>
      </c>
      <c r="EE659" s="132">
        <f t="shared" si="297"/>
        <v>0</v>
      </c>
      <c r="EF659" s="29"/>
      <c r="EG659" s="134"/>
      <c r="EH659" s="134"/>
      <c r="EI659" s="134"/>
      <c r="EK659" s="29"/>
    </row>
    <row r="660" spans="1:141" ht="15" customHeight="1" x14ac:dyDescent="0.25">
      <c r="A660" s="87"/>
      <c r="B660" s="5"/>
      <c r="C660" s="72"/>
      <c r="D660" s="73"/>
      <c r="E660" s="73"/>
      <c r="F660" s="141"/>
      <c r="G660" s="74"/>
      <c r="H660" s="75"/>
      <c r="I660" s="76"/>
      <c r="J660" s="135"/>
      <c r="K660" s="135"/>
      <c r="L660" s="77">
        <f t="shared" si="298"/>
        <v>0</v>
      </c>
      <c r="M660" s="78"/>
      <c r="N660" s="142"/>
      <c r="O660" s="142"/>
      <c r="P660" s="77">
        <f t="shared" si="299"/>
        <v>0</v>
      </c>
      <c r="Q660" s="78"/>
      <c r="R660" s="143"/>
      <c r="S660" s="143"/>
      <c r="T660" s="77">
        <f t="shared" si="300"/>
        <v>0</v>
      </c>
      <c r="U660" s="75"/>
      <c r="V660" s="76"/>
      <c r="W660" s="135"/>
      <c r="X660" s="135"/>
      <c r="Y660" s="77">
        <f t="shared" si="301"/>
        <v>0</v>
      </c>
      <c r="Z660" s="78"/>
      <c r="AA660" s="142"/>
      <c r="AB660" s="142"/>
      <c r="AC660" s="77">
        <f t="shared" si="302"/>
        <v>0</v>
      </c>
      <c r="AD660" s="78"/>
      <c r="AE660" s="143"/>
      <c r="AF660" s="143"/>
      <c r="AG660" s="79">
        <f t="shared" si="303"/>
        <v>0</v>
      </c>
      <c r="AH660" s="75"/>
      <c r="AI660" s="76"/>
      <c r="AJ660" s="135"/>
      <c r="AK660" s="135"/>
      <c r="AL660" s="77">
        <f t="shared" si="304"/>
        <v>0</v>
      </c>
      <c r="AM660" s="76"/>
      <c r="AN660" s="142"/>
      <c r="AO660" s="142"/>
      <c r="AP660" s="77">
        <f t="shared" si="305"/>
        <v>0</v>
      </c>
      <c r="AQ660" s="78"/>
      <c r="AR660" s="142"/>
      <c r="AS660" s="142"/>
      <c r="AT660" s="79">
        <f t="shared" si="306"/>
        <v>0</v>
      </c>
      <c r="AU660" s="75"/>
      <c r="AV660" s="76"/>
      <c r="AW660" s="135"/>
      <c r="AX660" s="135"/>
      <c r="AY660" s="77">
        <f t="shared" si="307"/>
        <v>0</v>
      </c>
      <c r="AZ660" s="76"/>
      <c r="BA660" s="142"/>
      <c r="BB660" s="142"/>
      <c r="BC660" s="77">
        <f t="shared" si="308"/>
        <v>0</v>
      </c>
      <c r="BD660" s="78"/>
      <c r="BE660" s="142"/>
      <c r="BF660" s="142"/>
      <c r="BG660" s="79">
        <f t="shared" si="309"/>
        <v>0</v>
      </c>
      <c r="BH660" s="75"/>
      <c r="BI660" s="76"/>
      <c r="BJ660" s="135"/>
      <c r="BK660" s="135"/>
      <c r="BL660" s="77">
        <f t="shared" si="310"/>
        <v>0</v>
      </c>
      <c r="BM660" s="78"/>
      <c r="BN660" s="142"/>
      <c r="BO660" s="142"/>
      <c r="BP660" s="77">
        <f t="shared" si="311"/>
        <v>0</v>
      </c>
      <c r="BQ660" s="78"/>
      <c r="BR660" s="142"/>
      <c r="BS660" s="142"/>
      <c r="BT660" s="79">
        <f t="shared" si="312"/>
        <v>0</v>
      </c>
      <c r="BU660" s="75"/>
      <c r="BV660" s="76"/>
      <c r="BW660" s="135"/>
      <c r="BX660" s="135"/>
      <c r="BY660" s="77">
        <f t="shared" si="313"/>
        <v>0</v>
      </c>
      <c r="BZ660" s="78"/>
      <c r="CA660" s="142"/>
      <c r="CB660" s="142"/>
      <c r="CC660" s="77">
        <f t="shared" si="314"/>
        <v>0</v>
      </c>
      <c r="CD660" s="78"/>
      <c r="CE660" s="142"/>
      <c r="CF660" s="142"/>
      <c r="CG660" s="79">
        <f t="shared" si="315"/>
        <v>0</v>
      </c>
      <c r="CH660" s="75"/>
      <c r="CI660" s="76"/>
      <c r="CJ660" s="86"/>
      <c r="CK660" s="86"/>
      <c r="CL660" s="77">
        <f t="shared" si="316"/>
        <v>0</v>
      </c>
      <c r="CM660" s="78"/>
      <c r="CN660" s="85"/>
      <c r="CO660" s="85"/>
      <c r="CP660" s="77">
        <f t="shared" si="317"/>
        <v>0</v>
      </c>
      <c r="CQ660" s="78"/>
      <c r="CR660" s="85"/>
      <c r="CS660" s="85"/>
      <c r="CT660" s="79">
        <f t="shared" si="318"/>
        <v>0</v>
      </c>
      <c r="CU660" s="80">
        <f t="shared" si="288"/>
        <v>0</v>
      </c>
      <c r="CV660" s="81">
        <f t="shared" si="289"/>
        <v>0</v>
      </c>
      <c r="CW660" s="144"/>
      <c r="CX660" s="145">
        <f>IF(ISERROR(VLOOKUP($A660,FIJOS!$B$11:$O$590,14,FALSE)),0,VLOOKUP($A660,FIJOS!$B$11:$O$590,14,FALSE))</f>
        <v>0</v>
      </c>
      <c r="CY660" s="145">
        <f>IF(ISERROR(VLOOKUP(A660,FIJOS!$B$10:$P$590,15,FALSE)),0,VLOOKUP(A660,FIJOS!$B$10:$P$590,15,FALSE))</f>
        <v>0</v>
      </c>
      <c r="CZ660" s="155"/>
      <c r="DA660" s="147"/>
      <c r="DB660" s="147"/>
      <c r="DC660" s="147"/>
      <c r="DD660" s="147"/>
      <c r="DE660" s="147"/>
      <c r="DF660" s="145">
        <f>IF(ISERROR(VLOOKUP($A660,FIJOS!$B$11:$N$590,13,FALSE)),0,VLOOKUP($A660,FIJOS!$B$11:$N$590,13,FALSE))</f>
        <v>0</v>
      </c>
      <c r="DG660" s="145">
        <f>IF(ISERROR(VLOOKUP($A660,FIJOS!$B$11:$P$447,12,FALSE)),0,VLOOKUP($A660,FIJOS!$B$11:$P$447,12,FALSE))</f>
        <v>0</v>
      </c>
      <c r="DH660" s="82">
        <f t="shared" si="290"/>
        <v>0</v>
      </c>
      <c r="DI660" s="83" t="b">
        <f>IF($C660=1,(VLOOKUP($A660,FIJOS!$B$11:$P$545,10,FALSE)/7)*(7-$CU660),IF(AND($C660=2,CV660&lt;$DJ$1),(VLOOKUP($D660,HORAS!$B$4:$C$42,2,FALSE)*24)*$CV660,IF(AND($C660=2,CV660&gt;=$DJ$1),VLOOKUP($D660,HORAS!$B$4:$D$42,3,FALSE),IF(AND($C660=3,$CV660&gt;=$DJ$1),VLOOKUP($A660,FIJOS!$B$11:$P$545,10,FALSE),IF(AND($C660=3,$CV660&lt;$DJ$1),((VLOOKUP($A660,FIJOS!$B$11:$P$545,10,FALSE)/48)*24)*$CV660,IF(AND($C660=4,$CV660&gt;=(42/24)),VLOOKUP($D660,HORAS!$B$4:$D$42,3,FALSE),IF(AND($C660=5,$CV660&gt;=(36/24)),VLOOKUP($D660,HORAS!$B$4:$D$42,3,FALSE))))))))</f>
        <v>0</v>
      </c>
      <c r="DJ660" s="145">
        <f>IF(OR($C660=2),VLOOKUP($D660,HORAS!$B$4:$E$42,4,FALSE)*$EC660,IF(ISERROR(VLOOKUP($A660,FIJOS!$B$11:$P$108,9,FALSE)),0,VLOOKUP($A660,FIJOS!$B$11:$P$231,9,FALSE)*$EC660))</f>
        <v>0</v>
      </c>
      <c r="DK660" s="145">
        <f>IF(OR($C660=2),VLOOKUP($D660,HORAS!$B$4:$F$42,5,FALSE)*$EE660,IF(ISERROR(VLOOKUP($A660,FIJOS!$B$11:$P$108,9,FALSE)),0,VLOOKUP($A660,FIJOS!$B$11:$P$231,9,FALSE)*$EE660))</f>
        <v>0</v>
      </c>
      <c r="DL660" s="144"/>
      <c r="DM660" s="145">
        <f>IF(ISERROR(VLOOKUP($A660,FIJOS!$B$11:$L$646,11,FALSE)),0,VLOOKUP($A660,FIJOS!$B$11:$L$646,11,FALSE))</f>
        <v>0</v>
      </c>
      <c r="DN660" s="148" t="e">
        <f>IF(OR($C660=1,$C660=3),0,IF((VLOOKUP(CAPTURA!D660,HORAS!$B$4:$K$42,10,FALSE)/4)*COUNTIF($H660:$CT660,3)&gt;100,100,(VLOOKUP(CAPTURA!D660,HORAS!$B$4:$K$42,10,FALSE)/4)*COUNTIF($H660:$CT660,3)))</f>
        <v>#N/A</v>
      </c>
      <c r="DO660" s="144" t="e">
        <f>IF(OR($C660=1,$C660=3),0,IF($C660=5,VLOOKUP(D660,HORAS!$B$4:$G$42,6,FALSE),IF(AND($C660=4,$CV660&gt;=(42/24)),VLOOKUP(D660,HORAS!$B$4:$G$42,6,FALSE),IF(COUNTIF($H660:$CL660,"F")&gt;0,0,IF(CV660&gt;$DJ$1,$DJ$1*(VLOOKUP(D660,HORAS!$B$4:$G$42,6,FALSE)/$DJ$1),CV660*(VLOOKUP(D660,HORAS!$B$4:$G$42,6,FALSE)/$DJ$1))))))</f>
        <v>#N/A</v>
      </c>
      <c r="DP660" s="156"/>
      <c r="DQ660" s="148"/>
      <c r="DR660" s="148"/>
      <c r="DS660" s="83" t="e">
        <f t="shared" si="319"/>
        <v>#N/A</v>
      </c>
      <c r="DT660" s="84"/>
      <c r="DU660" s="149" t="e">
        <f t="shared" si="291"/>
        <v>#N/A</v>
      </c>
      <c r="DV660" s="149" t="e">
        <f t="shared" si="292"/>
        <v>#N/A</v>
      </c>
      <c r="DW660" s="144" t="e">
        <f t="shared" si="293"/>
        <v>#N/A</v>
      </c>
      <c r="DX660" s="168"/>
      <c r="DY660" s="29"/>
      <c r="DZ660" s="150"/>
      <c r="EA660" s="134"/>
      <c r="EB660" s="137">
        <f t="shared" si="294"/>
        <v>0</v>
      </c>
      <c r="EC660" s="138">
        <f t="shared" si="295"/>
        <v>0</v>
      </c>
      <c r="ED660" s="137">
        <f t="shared" si="296"/>
        <v>0</v>
      </c>
      <c r="EE660" s="132">
        <f t="shared" si="297"/>
        <v>0</v>
      </c>
      <c r="EF660" s="29"/>
      <c r="EG660" s="134"/>
      <c r="EH660" s="134"/>
      <c r="EI660" s="134"/>
      <c r="EK660" s="29"/>
    </row>
    <row r="661" spans="1:141" ht="15" customHeight="1" x14ac:dyDescent="0.25">
      <c r="A661" s="87"/>
      <c r="B661" s="5"/>
      <c r="C661" s="72"/>
      <c r="D661" s="73"/>
      <c r="E661" s="73"/>
      <c r="F661" s="141"/>
      <c r="G661" s="74"/>
      <c r="H661" s="75"/>
      <c r="I661" s="76"/>
      <c r="J661" s="135"/>
      <c r="K661" s="135"/>
      <c r="L661" s="77">
        <f t="shared" si="298"/>
        <v>0</v>
      </c>
      <c r="M661" s="78"/>
      <c r="N661" s="142"/>
      <c r="O661" s="142"/>
      <c r="P661" s="77">
        <f t="shared" si="299"/>
        <v>0</v>
      </c>
      <c r="Q661" s="78"/>
      <c r="R661" s="143"/>
      <c r="S661" s="143"/>
      <c r="T661" s="77">
        <f t="shared" si="300"/>
        <v>0</v>
      </c>
      <c r="U661" s="75"/>
      <c r="V661" s="76"/>
      <c r="W661" s="135"/>
      <c r="X661" s="135"/>
      <c r="Y661" s="77">
        <f t="shared" si="301"/>
        <v>0</v>
      </c>
      <c r="Z661" s="78"/>
      <c r="AA661" s="142"/>
      <c r="AB661" s="142"/>
      <c r="AC661" s="77">
        <f t="shared" si="302"/>
        <v>0</v>
      </c>
      <c r="AD661" s="78"/>
      <c r="AE661" s="143"/>
      <c r="AF661" s="143"/>
      <c r="AG661" s="79">
        <f t="shared" si="303"/>
        <v>0</v>
      </c>
      <c r="AH661" s="75"/>
      <c r="AI661" s="76"/>
      <c r="AJ661" s="135"/>
      <c r="AK661" s="135"/>
      <c r="AL661" s="77">
        <f t="shared" si="304"/>
        <v>0</v>
      </c>
      <c r="AM661" s="76"/>
      <c r="AN661" s="142"/>
      <c r="AO661" s="142"/>
      <c r="AP661" s="77">
        <f t="shared" si="305"/>
        <v>0</v>
      </c>
      <c r="AQ661" s="78"/>
      <c r="AR661" s="142"/>
      <c r="AS661" s="142"/>
      <c r="AT661" s="79">
        <f t="shared" si="306"/>
        <v>0</v>
      </c>
      <c r="AU661" s="75"/>
      <c r="AV661" s="76"/>
      <c r="AW661" s="135"/>
      <c r="AX661" s="135"/>
      <c r="AY661" s="77">
        <f t="shared" si="307"/>
        <v>0</v>
      </c>
      <c r="AZ661" s="76"/>
      <c r="BA661" s="142"/>
      <c r="BB661" s="142"/>
      <c r="BC661" s="77">
        <f t="shared" si="308"/>
        <v>0</v>
      </c>
      <c r="BD661" s="78"/>
      <c r="BE661" s="142"/>
      <c r="BF661" s="142"/>
      <c r="BG661" s="79">
        <f t="shared" si="309"/>
        <v>0</v>
      </c>
      <c r="BH661" s="75"/>
      <c r="BI661" s="76"/>
      <c r="BJ661" s="135"/>
      <c r="BK661" s="135"/>
      <c r="BL661" s="77">
        <f t="shared" si="310"/>
        <v>0</v>
      </c>
      <c r="BM661" s="78"/>
      <c r="BN661" s="142"/>
      <c r="BO661" s="142"/>
      <c r="BP661" s="77">
        <f t="shared" si="311"/>
        <v>0</v>
      </c>
      <c r="BQ661" s="78"/>
      <c r="BR661" s="142"/>
      <c r="BS661" s="142"/>
      <c r="BT661" s="79">
        <f t="shared" si="312"/>
        <v>0</v>
      </c>
      <c r="BU661" s="75"/>
      <c r="BV661" s="76"/>
      <c r="BW661" s="135"/>
      <c r="BX661" s="135"/>
      <c r="BY661" s="77">
        <f t="shared" si="313"/>
        <v>0</v>
      </c>
      <c r="BZ661" s="78"/>
      <c r="CA661" s="142"/>
      <c r="CB661" s="142"/>
      <c r="CC661" s="77">
        <f t="shared" si="314"/>
        <v>0</v>
      </c>
      <c r="CD661" s="78"/>
      <c r="CE661" s="142"/>
      <c r="CF661" s="142"/>
      <c r="CG661" s="79">
        <f t="shared" si="315"/>
        <v>0</v>
      </c>
      <c r="CH661" s="75"/>
      <c r="CI661" s="76"/>
      <c r="CJ661" s="86"/>
      <c r="CK661" s="86"/>
      <c r="CL661" s="77">
        <f t="shared" si="316"/>
        <v>0</v>
      </c>
      <c r="CM661" s="78"/>
      <c r="CN661" s="85"/>
      <c r="CO661" s="85"/>
      <c r="CP661" s="77">
        <f t="shared" si="317"/>
        <v>0</v>
      </c>
      <c r="CQ661" s="78"/>
      <c r="CR661" s="85"/>
      <c r="CS661" s="85"/>
      <c r="CT661" s="79">
        <f t="shared" si="318"/>
        <v>0</v>
      </c>
      <c r="CU661" s="80">
        <f t="shared" si="288"/>
        <v>0</v>
      </c>
      <c r="CV661" s="81">
        <f t="shared" si="289"/>
        <v>0</v>
      </c>
      <c r="CW661" s="144"/>
      <c r="CX661" s="145">
        <f>IF(ISERROR(VLOOKUP($A661,FIJOS!$B$11:$O$590,14,FALSE)),0,VLOOKUP($A661,FIJOS!$B$11:$O$590,14,FALSE))</f>
        <v>0</v>
      </c>
      <c r="CY661" s="145">
        <f>IF(ISERROR(VLOOKUP(A661,FIJOS!$B$10:$P$590,15,FALSE)),0,VLOOKUP(A661,FIJOS!$B$10:$P$590,15,FALSE))</f>
        <v>0</v>
      </c>
      <c r="CZ661" s="155"/>
      <c r="DA661" s="147"/>
      <c r="DB661" s="147"/>
      <c r="DC661" s="147"/>
      <c r="DD661" s="147"/>
      <c r="DE661" s="147"/>
      <c r="DF661" s="145">
        <f>IF(ISERROR(VLOOKUP($A661,FIJOS!$B$11:$N$590,13,FALSE)),0,VLOOKUP($A661,FIJOS!$B$11:$N$590,13,FALSE))</f>
        <v>0</v>
      </c>
      <c r="DG661" s="145">
        <f>IF(ISERROR(VLOOKUP($A661,FIJOS!$B$11:$P$447,12,FALSE)),0,VLOOKUP($A661,FIJOS!$B$11:$P$447,12,FALSE))</f>
        <v>0</v>
      </c>
      <c r="DH661" s="82">
        <f t="shared" si="290"/>
        <v>0</v>
      </c>
      <c r="DI661" s="83" t="b">
        <f>IF($C661=1,(VLOOKUP($A661,FIJOS!$B$11:$P$545,10,FALSE)/7)*(7-$CU661),IF(AND($C661=2,CV661&lt;$DJ$1),(VLOOKUP($D661,HORAS!$B$4:$C$42,2,FALSE)*24)*$CV661,IF(AND($C661=2,CV661&gt;=$DJ$1),VLOOKUP($D661,HORAS!$B$4:$D$42,3,FALSE),IF(AND($C661=3,$CV661&gt;=$DJ$1),VLOOKUP($A661,FIJOS!$B$11:$P$545,10,FALSE),IF(AND($C661=3,$CV661&lt;$DJ$1),((VLOOKUP($A661,FIJOS!$B$11:$P$545,10,FALSE)/48)*24)*$CV661,IF(AND($C661=4,$CV661&gt;=(42/24)),VLOOKUP($D661,HORAS!$B$4:$D$42,3,FALSE),IF(AND($C661=5,$CV661&gt;=(36/24)),VLOOKUP($D661,HORAS!$B$4:$D$42,3,FALSE))))))))</f>
        <v>0</v>
      </c>
      <c r="DJ661" s="145">
        <f>IF(OR($C661=2),VLOOKUP($D661,HORAS!$B$4:$E$42,4,FALSE)*$EC661,IF(ISERROR(VLOOKUP($A661,FIJOS!$B$11:$P$108,9,FALSE)),0,VLOOKUP($A661,FIJOS!$B$11:$P$231,9,FALSE)*$EC661))</f>
        <v>0</v>
      </c>
      <c r="DK661" s="145">
        <f>IF(OR($C661=2),VLOOKUP($D661,HORAS!$B$4:$F$42,5,FALSE)*$EE661,IF(ISERROR(VLOOKUP($A661,FIJOS!$B$11:$P$108,9,FALSE)),0,VLOOKUP($A661,FIJOS!$B$11:$P$231,9,FALSE)*$EE661))</f>
        <v>0</v>
      </c>
      <c r="DL661" s="144"/>
      <c r="DM661" s="145">
        <f>IF(ISERROR(VLOOKUP($A661,FIJOS!$B$11:$L$646,11,FALSE)),0,VLOOKUP($A661,FIJOS!$B$11:$L$646,11,FALSE))</f>
        <v>0</v>
      </c>
      <c r="DN661" s="148" t="e">
        <f>IF(OR($C661=1,$C661=3),0,IF((VLOOKUP(CAPTURA!D661,HORAS!$B$4:$K$42,10,FALSE)/4)*COUNTIF($H661:$CT661,3)&gt;100,100,(VLOOKUP(CAPTURA!D661,HORAS!$B$4:$K$42,10,FALSE)/4)*COUNTIF($H661:$CT661,3)))</f>
        <v>#N/A</v>
      </c>
      <c r="DO661" s="144" t="e">
        <f>IF(OR($C661=1,$C661=3),0,IF($C661=5,VLOOKUP(D661,HORAS!$B$4:$G$42,6,FALSE),IF(AND($C661=4,$CV661&gt;=(42/24)),VLOOKUP(D661,HORAS!$B$4:$G$42,6,FALSE),IF(COUNTIF($H661:$CL661,"F")&gt;0,0,IF(CV661&gt;$DJ$1,$DJ$1*(VLOOKUP(D661,HORAS!$B$4:$G$42,6,FALSE)/$DJ$1),CV661*(VLOOKUP(D661,HORAS!$B$4:$G$42,6,FALSE)/$DJ$1))))))</f>
        <v>#N/A</v>
      </c>
      <c r="DP661" s="156"/>
      <c r="DQ661" s="148"/>
      <c r="DR661" s="148"/>
      <c r="DS661" s="83" t="e">
        <f t="shared" si="319"/>
        <v>#N/A</v>
      </c>
      <c r="DT661" s="84"/>
      <c r="DU661" s="149" t="e">
        <f t="shared" si="291"/>
        <v>#N/A</v>
      </c>
      <c r="DV661" s="149" t="e">
        <f t="shared" si="292"/>
        <v>#N/A</v>
      </c>
      <c r="DW661" s="144" t="e">
        <f t="shared" si="293"/>
        <v>#N/A</v>
      </c>
      <c r="DX661" s="168"/>
      <c r="DY661" s="29"/>
      <c r="DZ661" s="150"/>
      <c r="EA661" s="134"/>
      <c r="EB661" s="137">
        <f t="shared" si="294"/>
        <v>0</v>
      </c>
      <c r="EC661" s="138">
        <f t="shared" si="295"/>
        <v>0</v>
      </c>
      <c r="ED661" s="137">
        <f t="shared" si="296"/>
        <v>0</v>
      </c>
      <c r="EE661" s="132">
        <f t="shared" si="297"/>
        <v>0</v>
      </c>
      <c r="EF661" s="29"/>
      <c r="EG661" s="134"/>
      <c r="EH661" s="134"/>
      <c r="EI661" s="134"/>
      <c r="EK661" s="29"/>
    </row>
    <row r="662" spans="1:141" ht="15" customHeight="1" x14ac:dyDescent="0.25">
      <c r="A662" s="87"/>
      <c r="B662" s="5"/>
      <c r="C662" s="72"/>
      <c r="D662" s="73"/>
      <c r="E662" s="73"/>
      <c r="F662" s="141"/>
      <c r="G662" s="74"/>
      <c r="H662" s="75"/>
      <c r="I662" s="76"/>
      <c r="J662" s="135"/>
      <c r="K662" s="135"/>
      <c r="L662" s="77">
        <f t="shared" si="298"/>
        <v>0</v>
      </c>
      <c r="M662" s="78"/>
      <c r="N662" s="142"/>
      <c r="O662" s="142"/>
      <c r="P662" s="77">
        <f t="shared" si="299"/>
        <v>0</v>
      </c>
      <c r="Q662" s="78"/>
      <c r="R662" s="143"/>
      <c r="S662" s="143"/>
      <c r="T662" s="77">
        <f t="shared" si="300"/>
        <v>0</v>
      </c>
      <c r="U662" s="75"/>
      <c r="V662" s="76"/>
      <c r="W662" s="135"/>
      <c r="X662" s="135"/>
      <c r="Y662" s="77">
        <f t="shared" si="301"/>
        <v>0</v>
      </c>
      <c r="Z662" s="78"/>
      <c r="AA662" s="142"/>
      <c r="AB662" s="142"/>
      <c r="AC662" s="77">
        <f t="shared" si="302"/>
        <v>0</v>
      </c>
      <c r="AD662" s="78"/>
      <c r="AE662" s="143"/>
      <c r="AF662" s="143"/>
      <c r="AG662" s="79">
        <f t="shared" si="303"/>
        <v>0</v>
      </c>
      <c r="AH662" s="75"/>
      <c r="AI662" s="76"/>
      <c r="AJ662" s="135"/>
      <c r="AK662" s="135"/>
      <c r="AL662" s="77">
        <f t="shared" si="304"/>
        <v>0</v>
      </c>
      <c r="AM662" s="76"/>
      <c r="AN662" s="142"/>
      <c r="AO662" s="142"/>
      <c r="AP662" s="77">
        <f t="shared" si="305"/>
        <v>0</v>
      </c>
      <c r="AQ662" s="78"/>
      <c r="AR662" s="142"/>
      <c r="AS662" s="142"/>
      <c r="AT662" s="79">
        <f t="shared" si="306"/>
        <v>0</v>
      </c>
      <c r="AU662" s="75"/>
      <c r="AV662" s="76"/>
      <c r="AW662" s="135"/>
      <c r="AX662" s="135"/>
      <c r="AY662" s="77">
        <f t="shared" si="307"/>
        <v>0</v>
      </c>
      <c r="AZ662" s="76"/>
      <c r="BA662" s="142"/>
      <c r="BB662" s="142"/>
      <c r="BC662" s="77">
        <f t="shared" si="308"/>
        <v>0</v>
      </c>
      <c r="BD662" s="78"/>
      <c r="BE662" s="142"/>
      <c r="BF662" s="142"/>
      <c r="BG662" s="79">
        <f t="shared" si="309"/>
        <v>0</v>
      </c>
      <c r="BH662" s="75"/>
      <c r="BI662" s="76"/>
      <c r="BJ662" s="135"/>
      <c r="BK662" s="135"/>
      <c r="BL662" s="77">
        <f t="shared" si="310"/>
        <v>0</v>
      </c>
      <c r="BM662" s="78"/>
      <c r="BN662" s="142"/>
      <c r="BO662" s="142"/>
      <c r="BP662" s="77">
        <f t="shared" si="311"/>
        <v>0</v>
      </c>
      <c r="BQ662" s="78"/>
      <c r="BR662" s="142"/>
      <c r="BS662" s="142"/>
      <c r="BT662" s="79">
        <f t="shared" si="312"/>
        <v>0</v>
      </c>
      <c r="BU662" s="75"/>
      <c r="BV662" s="76"/>
      <c r="BW662" s="135"/>
      <c r="BX662" s="135"/>
      <c r="BY662" s="77">
        <f t="shared" si="313"/>
        <v>0</v>
      </c>
      <c r="BZ662" s="78"/>
      <c r="CA662" s="142"/>
      <c r="CB662" s="142"/>
      <c r="CC662" s="77">
        <f t="shared" si="314"/>
        <v>0</v>
      </c>
      <c r="CD662" s="78"/>
      <c r="CE662" s="142"/>
      <c r="CF662" s="142"/>
      <c r="CG662" s="79">
        <f t="shared" si="315"/>
        <v>0</v>
      </c>
      <c r="CH662" s="75"/>
      <c r="CI662" s="76"/>
      <c r="CJ662" s="86"/>
      <c r="CK662" s="86"/>
      <c r="CL662" s="77">
        <f t="shared" si="316"/>
        <v>0</v>
      </c>
      <c r="CM662" s="78"/>
      <c r="CN662" s="85"/>
      <c r="CO662" s="85"/>
      <c r="CP662" s="77">
        <f t="shared" si="317"/>
        <v>0</v>
      </c>
      <c r="CQ662" s="78"/>
      <c r="CR662" s="85"/>
      <c r="CS662" s="85"/>
      <c r="CT662" s="79">
        <f t="shared" si="318"/>
        <v>0</v>
      </c>
      <c r="CU662" s="80">
        <f t="shared" si="288"/>
        <v>0</v>
      </c>
      <c r="CV662" s="81">
        <f t="shared" si="289"/>
        <v>0</v>
      </c>
      <c r="CW662" s="144"/>
      <c r="CX662" s="145">
        <f>IF(ISERROR(VLOOKUP($A662,FIJOS!$B$11:$O$590,14,FALSE)),0,VLOOKUP($A662,FIJOS!$B$11:$O$590,14,FALSE))</f>
        <v>0</v>
      </c>
      <c r="CY662" s="145">
        <f>IF(ISERROR(VLOOKUP(A662,FIJOS!$B$10:$P$590,15,FALSE)),0,VLOOKUP(A662,FIJOS!$B$10:$P$590,15,FALSE))</f>
        <v>0</v>
      </c>
      <c r="CZ662" s="155"/>
      <c r="DA662" s="147"/>
      <c r="DB662" s="147"/>
      <c r="DC662" s="147"/>
      <c r="DD662" s="147"/>
      <c r="DE662" s="147"/>
      <c r="DF662" s="145">
        <f>IF(ISERROR(VLOOKUP($A662,FIJOS!$B$11:$N$590,13,FALSE)),0,VLOOKUP($A662,FIJOS!$B$11:$N$590,13,FALSE))</f>
        <v>0</v>
      </c>
      <c r="DG662" s="145">
        <f>IF(ISERROR(VLOOKUP($A662,FIJOS!$B$11:$P$447,12,FALSE)),0,VLOOKUP($A662,FIJOS!$B$11:$P$447,12,FALSE))</f>
        <v>0</v>
      </c>
      <c r="DH662" s="82">
        <f t="shared" si="290"/>
        <v>0</v>
      </c>
      <c r="DI662" s="83" t="b">
        <f>IF($C662=1,(VLOOKUP($A662,FIJOS!$B$11:$P$545,10,FALSE)/7)*(7-$CU662),IF(AND($C662=2,CV662&lt;$DJ$1),(VLOOKUP($D662,HORAS!$B$4:$C$42,2,FALSE)*24)*$CV662,IF(AND($C662=2,CV662&gt;=$DJ$1),VLOOKUP($D662,HORAS!$B$4:$D$42,3,FALSE),IF(AND($C662=3,$CV662&gt;=$DJ$1),VLOOKUP($A662,FIJOS!$B$11:$P$545,10,FALSE),IF(AND($C662=3,$CV662&lt;$DJ$1),((VLOOKUP($A662,FIJOS!$B$11:$P$545,10,FALSE)/48)*24)*$CV662,IF(AND($C662=4,$CV662&gt;=(42/24)),VLOOKUP($D662,HORAS!$B$4:$D$42,3,FALSE),IF(AND($C662=5,$CV662&gt;=(36/24)),VLOOKUP($D662,HORAS!$B$4:$D$42,3,FALSE))))))))</f>
        <v>0</v>
      </c>
      <c r="DJ662" s="145">
        <f>IF(OR($C662=2),VLOOKUP($D662,HORAS!$B$4:$E$42,4,FALSE)*$EC662,IF(ISERROR(VLOOKUP($A662,FIJOS!$B$11:$P$108,9,FALSE)),0,VLOOKUP($A662,FIJOS!$B$11:$P$231,9,FALSE)*$EC662))</f>
        <v>0</v>
      </c>
      <c r="DK662" s="145">
        <f>IF(OR($C662=2),VLOOKUP($D662,HORAS!$B$4:$F$42,5,FALSE)*$EE662,IF(ISERROR(VLOOKUP($A662,FIJOS!$B$11:$P$108,9,FALSE)),0,VLOOKUP($A662,FIJOS!$B$11:$P$231,9,FALSE)*$EE662))</f>
        <v>0</v>
      </c>
      <c r="DL662" s="144"/>
      <c r="DM662" s="145">
        <f>IF(ISERROR(VLOOKUP($A662,FIJOS!$B$11:$L$646,11,FALSE)),0,VLOOKUP($A662,FIJOS!$B$11:$L$646,11,FALSE))</f>
        <v>0</v>
      </c>
      <c r="DN662" s="148" t="e">
        <f>IF(OR($C662=1,$C662=3),0,IF((VLOOKUP(CAPTURA!D662,HORAS!$B$4:$K$42,10,FALSE)/4)*COUNTIF($H662:$CT662,3)&gt;100,100,(VLOOKUP(CAPTURA!D662,HORAS!$B$4:$K$42,10,FALSE)/4)*COUNTIF($H662:$CT662,3)))</f>
        <v>#N/A</v>
      </c>
      <c r="DO662" s="144" t="e">
        <f>IF(OR($C662=1,$C662=3),0,IF($C662=5,VLOOKUP(D662,HORAS!$B$4:$G$42,6,FALSE),IF(AND($C662=4,$CV662&gt;=(42/24)),VLOOKUP(D662,HORAS!$B$4:$G$42,6,FALSE),IF(COUNTIF($H662:$CL662,"F")&gt;0,0,IF(CV662&gt;$DJ$1,$DJ$1*(VLOOKUP(D662,HORAS!$B$4:$G$42,6,FALSE)/$DJ$1),CV662*(VLOOKUP(D662,HORAS!$B$4:$G$42,6,FALSE)/$DJ$1))))))</f>
        <v>#N/A</v>
      </c>
      <c r="DP662" s="156"/>
      <c r="DQ662" s="148"/>
      <c r="DR662" s="148"/>
      <c r="DS662" s="83" t="e">
        <f t="shared" si="319"/>
        <v>#N/A</v>
      </c>
      <c r="DT662" s="84"/>
      <c r="DU662" s="149" t="e">
        <f t="shared" si="291"/>
        <v>#N/A</v>
      </c>
      <c r="DV662" s="149" t="e">
        <f t="shared" si="292"/>
        <v>#N/A</v>
      </c>
      <c r="DW662" s="144" t="e">
        <f t="shared" si="293"/>
        <v>#N/A</v>
      </c>
      <c r="DX662" s="168"/>
      <c r="DY662" s="29"/>
      <c r="DZ662" s="150"/>
      <c r="EA662" s="134"/>
      <c r="EB662" s="137">
        <f t="shared" si="294"/>
        <v>0</v>
      </c>
      <c r="EC662" s="138">
        <f t="shared" si="295"/>
        <v>0</v>
      </c>
      <c r="ED662" s="137">
        <f t="shared" si="296"/>
        <v>0</v>
      </c>
      <c r="EE662" s="132">
        <f t="shared" si="297"/>
        <v>0</v>
      </c>
      <c r="EF662" s="29"/>
      <c r="EG662" s="134"/>
      <c r="EH662" s="134"/>
      <c r="EI662" s="134"/>
      <c r="EK662" s="29"/>
    </row>
    <row r="663" spans="1:141" ht="15" customHeight="1" x14ac:dyDescent="0.25">
      <c r="A663" s="87"/>
      <c r="B663" s="5"/>
      <c r="C663" s="72"/>
      <c r="D663" s="73"/>
      <c r="E663" s="73"/>
      <c r="F663" s="141"/>
      <c r="G663" s="74"/>
      <c r="H663" s="75"/>
      <c r="I663" s="76"/>
      <c r="J663" s="135"/>
      <c r="K663" s="135"/>
      <c r="L663" s="77">
        <f t="shared" si="298"/>
        <v>0</v>
      </c>
      <c r="M663" s="78"/>
      <c r="N663" s="142"/>
      <c r="O663" s="142"/>
      <c r="P663" s="77">
        <f t="shared" si="299"/>
        <v>0</v>
      </c>
      <c r="Q663" s="78"/>
      <c r="R663" s="143"/>
      <c r="S663" s="143"/>
      <c r="T663" s="77">
        <f t="shared" si="300"/>
        <v>0</v>
      </c>
      <c r="U663" s="75"/>
      <c r="V663" s="76"/>
      <c r="W663" s="135"/>
      <c r="X663" s="135"/>
      <c r="Y663" s="77">
        <f t="shared" si="301"/>
        <v>0</v>
      </c>
      <c r="Z663" s="78"/>
      <c r="AA663" s="142"/>
      <c r="AB663" s="142"/>
      <c r="AC663" s="77">
        <f t="shared" si="302"/>
        <v>0</v>
      </c>
      <c r="AD663" s="78"/>
      <c r="AE663" s="143"/>
      <c r="AF663" s="143"/>
      <c r="AG663" s="79">
        <f t="shared" si="303"/>
        <v>0</v>
      </c>
      <c r="AH663" s="75"/>
      <c r="AI663" s="76"/>
      <c r="AJ663" s="135"/>
      <c r="AK663" s="135"/>
      <c r="AL663" s="77">
        <f t="shared" si="304"/>
        <v>0</v>
      </c>
      <c r="AM663" s="76"/>
      <c r="AN663" s="142"/>
      <c r="AO663" s="142"/>
      <c r="AP663" s="77">
        <f t="shared" si="305"/>
        <v>0</v>
      </c>
      <c r="AQ663" s="78"/>
      <c r="AR663" s="142"/>
      <c r="AS663" s="142"/>
      <c r="AT663" s="79">
        <f t="shared" si="306"/>
        <v>0</v>
      </c>
      <c r="AU663" s="75"/>
      <c r="AV663" s="76"/>
      <c r="AW663" s="135"/>
      <c r="AX663" s="135"/>
      <c r="AY663" s="77">
        <f t="shared" si="307"/>
        <v>0</v>
      </c>
      <c r="AZ663" s="76"/>
      <c r="BA663" s="142"/>
      <c r="BB663" s="142"/>
      <c r="BC663" s="77">
        <f t="shared" si="308"/>
        <v>0</v>
      </c>
      <c r="BD663" s="78"/>
      <c r="BE663" s="142"/>
      <c r="BF663" s="142"/>
      <c r="BG663" s="79">
        <f t="shared" si="309"/>
        <v>0</v>
      </c>
      <c r="BH663" s="75"/>
      <c r="BI663" s="76"/>
      <c r="BJ663" s="135"/>
      <c r="BK663" s="135"/>
      <c r="BL663" s="77">
        <f t="shared" si="310"/>
        <v>0</v>
      </c>
      <c r="BM663" s="78"/>
      <c r="BN663" s="142"/>
      <c r="BO663" s="142"/>
      <c r="BP663" s="77">
        <f t="shared" si="311"/>
        <v>0</v>
      </c>
      <c r="BQ663" s="78"/>
      <c r="BR663" s="142"/>
      <c r="BS663" s="142"/>
      <c r="BT663" s="79">
        <f t="shared" si="312"/>
        <v>0</v>
      </c>
      <c r="BU663" s="75"/>
      <c r="BV663" s="76"/>
      <c r="BW663" s="135"/>
      <c r="BX663" s="135"/>
      <c r="BY663" s="77">
        <f t="shared" si="313"/>
        <v>0</v>
      </c>
      <c r="BZ663" s="78"/>
      <c r="CA663" s="142"/>
      <c r="CB663" s="142"/>
      <c r="CC663" s="77">
        <f t="shared" si="314"/>
        <v>0</v>
      </c>
      <c r="CD663" s="78"/>
      <c r="CE663" s="142"/>
      <c r="CF663" s="142"/>
      <c r="CG663" s="79">
        <f t="shared" si="315"/>
        <v>0</v>
      </c>
      <c r="CH663" s="75"/>
      <c r="CI663" s="76"/>
      <c r="CJ663" s="86"/>
      <c r="CK663" s="86"/>
      <c r="CL663" s="77">
        <f t="shared" si="316"/>
        <v>0</v>
      </c>
      <c r="CM663" s="78"/>
      <c r="CN663" s="85"/>
      <c r="CO663" s="85"/>
      <c r="CP663" s="77">
        <f t="shared" si="317"/>
        <v>0</v>
      </c>
      <c r="CQ663" s="78"/>
      <c r="CR663" s="85"/>
      <c r="CS663" s="85"/>
      <c r="CT663" s="79">
        <f t="shared" si="318"/>
        <v>0</v>
      </c>
      <c r="CU663" s="80">
        <f t="shared" si="288"/>
        <v>0</v>
      </c>
      <c r="CV663" s="81">
        <f t="shared" si="289"/>
        <v>0</v>
      </c>
      <c r="CW663" s="144"/>
      <c r="CX663" s="145">
        <f>IF(ISERROR(VLOOKUP($A663,FIJOS!$B$11:$O$590,14,FALSE)),0,VLOOKUP($A663,FIJOS!$B$11:$O$590,14,FALSE))</f>
        <v>0</v>
      </c>
      <c r="CY663" s="145">
        <f>IF(ISERROR(VLOOKUP(A663,FIJOS!$B$10:$P$590,15,FALSE)),0,VLOOKUP(A663,FIJOS!$B$10:$P$590,15,FALSE))</f>
        <v>0</v>
      </c>
      <c r="CZ663" s="155"/>
      <c r="DA663" s="147"/>
      <c r="DB663" s="147"/>
      <c r="DC663" s="147"/>
      <c r="DD663" s="147"/>
      <c r="DE663" s="147"/>
      <c r="DF663" s="145">
        <f>IF(ISERROR(VLOOKUP($A663,FIJOS!$B$11:$N$590,13,FALSE)),0,VLOOKUP($A663,FIJOS!$B$11:$N$590,13,FALSE))</f>
        <v>0</v>
      </c>
      <c r="DG663" s="145">
        <f>IF(ISERROR(VLOOKUP($A663,FIJOS!$B$11:$P$447,12,FALSE)),0,VLOOKUP($A663,FIJOS!$B$11:$P$447,12,FALSE))</f>
        <v>0</v>
      </c>
      <c r="DH663" s="82">
        <f t="shared" si="290"/>
        <v>0</v>
      </c>
      <c r="DI663" s="83" t="b">
        <f>IF($C663=1,(VLOOKUP($A663,FIJOS!$B$11:$P$545,10,FALSE)/7)*(7-$CU663),IF(AND($C663=2,CV663&lt;$DJ$1),(VLOOKUP($D663,HORAS!$B$4:$C$42,2,FALSE)*24)*$CV663,IF(AND($C663=2,CV663&gt;=$DJ$1),VLOOKUP($D663,HORAS!$B$4:$D$42,3,FALSE),IF(AND($C663=3,$CV663&gt;=$DJ$1),VLOOKUP($A663,FIJOS!$B$11:$P$545,10,FALSE),IF(AND($C663=3,$CV663&lt;$DJ$1),((VLOOKUP($A663,FIJOS!$B$11:$P$545,10,FALSE)/48)*24)*$CV663,IF(AND($C663=4,$CV663&gt;=(42/24)),VLOOKUP($D663,HORAS!$B$4:$D$42,3,FALSE),IF(AND($C663=5,$CV663&gt;=(36/24)),VLOOKUP($D663,HORAS!$B$4:$D$42,3,FALSE))))))))</f>
        <v>0</v>
      </c>
      <c r="DJ663" s="145">
        <f>IF(OR($C663=2),VLOOKUP($D663,HORAS!$B$4:$E$42,4,FALSE)*$EC663,IF(ISERROR(VLOOKUP($A663,FIJOS!$B$11:$P$108,9,FALSE)),0,VLOOKUP($A663,FIJOS!$B$11:$P$231,9,FALSE)*$EC663))</f>
        <v>0</v>
      </c>
      <c r="DK663" s="145">
        <f>IF(OR($C663=2),VLOOKUP($D663,HORAS!$B$4:$F$42,5,FALSE)*$EE663,IF(ISERROR(VLOOKUP($A663,FIJOS!$B$11:$P$108,9,FALSE)),0,VLOOKUP($A663,FIJOS!$B$11:$P$231,9,FALSE)*$EE663))</f>
        <v>0</v>
      </c>
      <c r="DL663" s="144"/>
      <c r="DM663" s="145">
        <f>IF(ISERROR(VLOOKUP($A663,FIJOS!$B$11:$L$646,11,FALSE)),0,VLOOKUP($A663,FIJOS!$B$11:$L$646,11,FALSE))</f>
        <v>0</v>
      </c>
      <c r="DN663" s="148" t="e">
        <f>IF(OR($C663=1,$C663=3),0,IF((VLOOKUP(CAPTURA!D663,HORAS!$B$4:$K$42,10,FALSE)/4)*COUNTIF($H663:$CT663,3)&gt;100,100,(VLOOKUP(CAPTURA!D663,HORAS!$B$4:$K$42,10,FALSE)/4)*COUNTIF($H663:$CT663,3)))</f>
        <v>#N/A</v>
      </c>
      <c r="DO663" s="144" t="e">
        <f>IF(OR($C663=1,$C663=3),0,IF($C663=5,VLOOKUP(D663,HORAS!$B$4:$G$42,6,FALSE),IF(AND($C663=4,$CV663&gt;=(42/24)),VLOOKUP(D663,HORAS!$B$4:$G$42,6,FALSE),IF(COUNTIF($H663:$CL663,"F")&gt;0,0,IF(CV663&gt;$DJ$1,$DJ$1*(VLOOKUP(D663,HORAS!$B$4:$G$42,6,FALSE)/$DJ$1),CV663*(VLOOKUP(D663,HORAS!$B$4:$G$42,6,FALSE)/$DJ$1))))))</f>
        <v>#N/A</v>
      </c>
      <c r="DP663" s="156"/>
      <c r="DQ663" s="148"/>
      <c r="DR663" s="148"/>
      <c r="DS663" s="83" t="e">
        <f t="shared" si="319"/>
        <v>#N/A</v>
      </c>
      <c r="DT663" s="84"/>
      <c r="DU663" s="149" t="e">
        <f t="shared" si="291"/>
        <v>#N/A</v>
      </c>
      <c r="DV663" s="149" t="e">
        <f t="shared" si="292"/>
        <v>#N/A</v>
      </c>
      <c r="DW663" s="144" t="e">
        <f t="shared" si="293"/>
        <v>#N/A</v>
      </c>
      <c r="DX663" s="168"/>
      <c r="DY663" s="29"/>
      <c r="DZ663" s="150"/>
      <c r="EA663" s="134"/>
      <c r="EB663" s="137">
        <f t="shared" si="294"/>
        <v>0</v>
      </c>
      <c r="EC663" s="138">
        <f t="shared" si="295"/>
        <v>0</v>
      </c>
      <c r="ED663" s="137">
        <f t="shared" si="296"/>
        <v>0</v>
      </c>
      <c r="EE663" s="132">
        <f t="shared" si="297"/>
        <v>0</v>
      </c>
      <c r="EF663" s="29"/>
      <c r="EG663" s="134"/>
      <c r="EH663" s="134"/>
      <c r="EI663" s="134"/>
      <c r="EK663" s="29"/>
    </row>
    <row r="664" spans="1:141" ht="15" customHeight="1" x14ac:dyDescent="0.25">
      <c r="A664" s="87"/>
      <c r="B664" s="5"/>
      <c r="C664" s="72"/>
      <c r="D664" s="73"/>
      <c r="E664" s="73"/>
      <c r="F664" s="141"/>
      <c r="G664" s="74"/>
      <c r="H664" s="75"/>
      <c r="I664" s="76"/>
      <c r="J664" s="135"/>
      <c r="K664" s="135"/>
      <c r="L664" s="77">
        <f t="shared" si="298"/>
        <v>0</v>
      </c>
      <c r="M664" s="78"/>
      <c r="N664" s="142"/>
      <c r="O664" s="142"/>
      <c r="P664" s="77">
        <f t="shared" si="299"/>
        <v>0</v>
      </c>
      <c r="Q664" s="78"/>
      <c r="R664" s="143"/>
      <c r="S664" s="143"/>
      <c r="T664" s="77">
        <f t="shared" si="300"/>
        <v>0</v>
      </c>
      <c r="U664" s="75"/>
      <c r="V664" s="76"/>
      <c r="W664" s="135"/>
      <c r="X664" s="135"/>
      <c r="Y664" s="77">
        <f t="shared" si="301"/>
        <v>0</v>
      </c>
      <c r="Z664" s="78"/>
      <c r="AA664" s="142"/>
      <c r="AB664" s="142"/>
      <c r="AC664" s="77">
        <f t="shared" si="302"/>
        <v>0</v>
      </c>
      <c r="AD664" s="78"/>
      <c r="AE664" s="143"/>
      <c r="AF664" s="143"/>
      <c r="AG664" s="79">
        <f t="shared" si="303"/>
        <v>0</v>
      </c>
      <c r="AH664" s="75"/>
      <c r="AI664" s="76"/>
      <c r="AJ664" s="135"/>
      <c r="AK664" s="135"/>
      <c r="AL664" s="77">
        <f t="shared" si="304"/>
        <v>0</v>
      </c>
      <c r="AM664" s="76"/>
      <c r="AN664" s="142"/>
      <c r="AO664" s="142"/>
      <c r="AP664" s="77">
        <f t="shared" si="305"/>
        <v>0</v>
      </c>
      <c r="AQ664" s="78"/>
      <c r="AR664" s="142"/>
      <c r="AS664" s="142"/>
      <c r="AT664" s="79">
        <f t="shared" si="306"/>
        <v>0</v>
      </c>
      <c r="AU664" s="75"/>
      <c r="AV664" s="76"/>
      <c r="AW664" s="135"/>
      <c r="AX664" s="135"/>
      <c r="AY664" s="77">
        <f t="shared" si="307"/>
        <v>0</v>
      </c>
      <c r="AZ664" s="76"/>
      <c r="BA664" s="142"/>
      <c r="BB664" s="142"/>
      <c r="BC664" s="77">
        <f t="shared" si="308"/>
        <v>0</v>
      </c>
      <c r="BD664" s="78"/>
      <c r="BE664" s="142"/>
      <c r="BF664" s="142"/>
      <c r="BG664" s="79">
        <f t="shared" si="309"/>
        <v>0</v>
      </c>
      <c r="BH664" s="75"/>
      <c r="BI664" s="76"/>
      <c r="BJ664" s="135"/>
      <c r="BK664" s="135"/>
      <c r="BL664" s="77">
        <f t="shared" si="310"/>
        <v>0</v>
      </c>
      <c r="BM664" s="78"/>
      <c r="BN664" s="142"/>
      <c r="BO664" s="142"/>
      <c r="BP664" s="77">
        <f t="shared" si="311"/>
        <v>0</v>
      </c>
      <c r="BQ664" s="78"/>
      <c r="BR664" s="142"/>
      <c r="BS664" s="142"/>
      <c r="BT664" s="79">
        <f t="shared" si="312"/>
        <v>0</v>
      </c>
      <c r="BU664" s="75"/>
      <c r="BV664" s="76"/>
      <c r="BW664" s="135"/>
      <c r="BX664" s="135"/>
      <c r="BY664" s="77">
        <f t="shared" si="313"/>
        <v>0</v>
      </c>
      <c r="BZ664" s="78"/>
      <c r="CA664" s="142"/>
      <c r="CB664" s="142"/>
      <c r="CC664" s="77">
        <f t="shared" si="314"/>
        <v>0</v>
      </c>
      <c r="CD664" s="78"/>
      <c r="CE664" s="142"/>
      <c r="CF664" s="142"/>
      <c r="CG664" s="79">
        <f t="shared" si="315"/>
        <v>0</v>
      </c>
      <c r="CH664" s="75"/>
      <c r="CI664" s="76"/>
      <c r="CJ664" s="86"/>
      <c r="CK664" s="86"/>
      <c r="CL664" s="77">
        <f t="shared" si="316"/>
        <v>0</v>
      </c>
      <c r="CM664" s="78"/>
      <c r="CN664" s="85"/>
      <c r="CO664" s="85"/>
      <c r="CP664" s="77">
        <f t="shared" si="317"/>
        <v>0</v>
      </c>
      <c r="CQ664" s="78"/>
      <c r="CR664" s="85"/>
      <c r="CS664" s="85"/>
      <c r="CT664" s="79">
        <f t="shared" si="318"/>
        <v>0</v>
      </c>
      <c r="CU664" s="80">
        <f t="shared" si="288"/>
        <v>0</v>
      </c>
      <c r="CV664" s="81">
        <f t="shared" si="289"/>
        <v>0</v>
      </c>
      <c r="CW664" s="144"/>
      <c r="CX664" s="145">
        <f>IF(ISERROR(VLOOKUP($A664,FIJOS!$B$11:$O$590,14,FALSE)),0,VLOOKUP($A664,FIJOS!$B$11:$O$590,14,FALSE))</f>
        <v>0</v>
      </c>
      <c r="CY664" s="145">
        <f>IF(ISERROR(VLOOKUP(A664,FIJOS!$B$10:$P$590,15,FALSE)),0,VLOOKUP(A664,FIJOS!$B$10:$P$590,15,FALSE))</f>
        <v>0</v>
      </c>
      <c r="CZ664" s="155"/>
      <c r="DA664" s="147"/>
      <c r="DB664" s="147"/>
      <c r="DC664" s="147"/>
      <c r="DD664" s="147"/>
      <c r="DE664" s="147"/>
      <c r="DF664" s="145">
        <f>IF(ISERROR(VLOOKUP($A664,FIJOS!$B$11:$N$590,13,FALSE)),0,VLOOKUP($A664,FIJOS!$B$11:$N$590,13,FALSE))</f>
        <v>0</v>
      </c>
      <c r="DG664" s="145">
        <f>IF(ISERROR(VLOOKUP($A664,FIJOS!$B$11:$P$447,12,FALSE)),0,VLOOKUP($A664,FIJOS!$B$11:$P$447,12,FALSE))</f>
        <v>0</v>
      </c>
      <c r="DH664" s="82">
        <f t="shared" si="290"/>
        <v>0</v>
      </c>
      <c r="DI664" s="83" t="b">
        <f>IF($C664=1,(VLOOKUP($A664,FIJOS!$B$11:$P$545,10,FALSE)/7)*(7-$CU664),IF(AND($C664=2,CV664&lt;$DJ$1),(VLOOKUP($D664,HORAS!$B$4:$C$42,2,FALSE)*24)*$CV664,IF(AND($C664=2,CV664&gt;=$DJ$1),VLOOKUP($D664,HORAS!$B$4:$D$42,3,FALSE),IF(AND($C664=3,$CV664&gt;=$DJ$1),VLOOKUP($A664,FIJOS!$B$11:$P$545,10,FALSE),IF(AND($C664=3,$CV664&lt;$DJ$1),((VLOOKUP($A664,FIJOS!$B$11:$P$545,10,FALSE)/48)*24)*$CV664,IF(AND($C664=4,$CV664&gt;=(42/24)),VLOOKUP($D664,HORAS!$B$4:$D$42,3,FALSE),IF(AND($C664=5,$CV664&gt;=(36/24)),VLOOKUP($D664,HORAS!$B$4:$D$42,3,FALSE))))))))</f>
        <v>0</v>
      </c>
      <c r="DJ664" s="145">
        <f>IF(OR($C664=2),VLOOKUP($D664,HORAS!$B$4:$E$42,4,FALSE)*$EC664,IF(ISERROR(VLOOKUP($A664,FIJOS!$B$11:$P$108,9,FALSE)),0,VLOOKUP($A664,FIJOS!$B$11:$P$231,9,FALSE)*$EC664))</f>
        <v>0</v>
      </c>
      <c r="DK664" s="145">
        <f>IF(OR($C664=2),VLOOKUP($D664,HORAS!$B$4:$F$42,5,FALSE)*$EE664,IF(ISERROR(VLOOKUP($A664,FIJOS!$B$11:$P$108,9,FALSE)),0,VLOOKUP($A664,FIJOS!$B$11:$P$231,9,FALSE)*$EE664))</f>
        <v>0</v>
      </c>
      <c r="DL664" s="144"/>
      <c r="DM664" s="145">
        <f>IF(ISERROR(VLOOKUP($A664,FIJOS!$B$11:$L$646,11,FALSE)),0,VLOOKUP($A664,FIJOS!$B$11:$L$646,11,FALSE))</f>
        <v>0</v>
      </c>
      <c r="DN664" s="148" t="e">
        <f>IF(OR($C664=1,$C664=3),0,IF((VLOOKUP(CAPTURA!D664,HORAS!$B$4:$K$42,10,FALSE)/4)*COUNTIF($H664:$CT664,3)&gt;100,100,(VLOOKUP(CAPTURA!D664,HORAS!$B$4:$K$42,10,FALSE)/4)*COUNTIF($H664:$CT664,3)))</f>
        <v>#N/A</v>
      </c>
      <c r="DO664" s="144" t="e">
        <f>IF(OR($C664=1,$C664=3),0,IF($C664=5,VLOOKUP(D664,HORAS!$B$4:$G$42,6,FALSE),IF(AND($C664=4,$CV664&gt;=(42/24)),VLOOKUP(D664,HORAS!$B$4:$G$42,6,FALSE),IF(COUNTIF($H664:$CL664,"F")&gt;0,0,IF(CV664&gt;$DJ$1,$DJ$1*(VLOOKUP(D664,HORAS!$B$4:$G$42,6,FALSE)/$DJ$1),CV664*(VLOOKUP(D664,HORAS!$B$4:$G$42,6,FALSE)/$DJ$1))))))</f>
        <v>#N/A</v>
      </c>
      <c r="DP664" s="156"/>
      <c r="DQ664" s="148"/>
      <c r="DR664" s="148"/>
      <c r="DS664" s="83" t="e">
        <f t="shared" si="319"/>
        <v>#N/A</v>
      </c>
      <c r="DT664" s="84"/>
      <c r="DU664" s="149" t="e">
        <f t="shared" si="291"/>
        <v>#N/A</v>
      </c>
      <c r="DV664" s="149" t="e">
        <f t="shared" si="292"/>
        <v>#N/A</v>
      </c>
      <c r="DW664" s="144" t="e">
        <f t="shared" si="293"/>
        <v>#N/A</v>
      </c>
      <c r="DX664" s="168"/>
      <c r="DY664" s="29"/>
      <c r="DZ664" s="150"/>
      <c r="EA664" s="134"/>
      <c r="EB664" s="137">
        <f t="shared" si="294"/>
        <v>0</v>
      </c>
      <c r="EC664" s="138">
        <f t="shared" si="295"/>
        <v>0</v>
      </c>
      <c r="ED664" s="137">
        <f t="shared" si="296"/>
        <v>0</v>
      </c>
      <c r="EE664" s="132">
        <f t="shared" si="297"/>
        <v>0</v>
      </c>
      <c r="EF664" s="29"/>
      <c r="EG664" s="134"/>
      <c r="EH664" s="134"/>
      <c r="EI664" s="134"/>
      <c r="EK664" s="29"/>
    </row>
    <row r="665" spans="1:141" ht="15" customHeight="1" x14ac:dyDescent="0.25">
      <c r="A665" s="87"/>
      <c r="B665" s="5"/>
      <c r="C665" s="72"/>
      <c r="D665" s="73"/>
      <c r="E665" s="73"/>
      <c r="F665" s="141"/>
      <c r="G665" s="74"/>
      <c r="H665" s="75"/>
      <c r="I665" s="76"/>
      <c r="J665" s="135"/>
      <c r="K665" s="135"/>
      <c r="L665" s="77">
        <f t="shared" si="298"/>
        <v>0</v>
      </c>
      <c r="M665" s="78"/>
      <c r="N665" s="142"/>
      <c r="O665" s="142"/>
      <c r="P665" s="77">
        <f t="shared" si="299"/>
        <v>0</v>
      </c>
      <c r="Q665" s="78"/>
      <c r="R665" s="143"/>
      <c r="S665" s="143"/>
      <c r="T665" s="77">
        <f t="shared" si="300"/>
        <v>0</v>
      </c>
      <c r="U665" s="75"/>
      <c r="V665" s="76"/>
      <c r="W665" s="135"/>
      <c r="X665" s="135"/>
      <c r="Y665" s="77">
        <f t="shared" si="301"/>
        <v>0</v>
      </c>
      <c r="Z665" s="78"/>
      <c r="AA665" s="142"/>
      <c r="AB665" s="142"/>
      <c r="AC665" s="77">
        <f t="shared" si="302"/>
        <v>0</v>
      </c>
      <c r="AD665" s="78"/>
      <c r="AE665" s="143"/>
      <c r="AF665" s="143"/>
      <c r="AG665" s="79">
        <f t="shared" si="303"/>
        <v>0</v>
      </c>
      <c r="AH665" s="75"/>
      <c r="AI665" s="76"/>
      <c r="AJ665" s="135"/>
      <c r="AK665" s="135"/>
      <c r="AL665" s="77">
        <f t="shared" si="304"/>
        <v>0</v>
      </c>
      <c r="AM665" s="76"/>
      <c r="AN665" s="142"/>
      <c r="AO665" s="142"/>
      <c r="AP665" s="77">
        <f t="shared" si="305"/>
        <v>0</v>
      </c>
      <c r="AQ665" s="78"/>
      <c r="AR665" s="142"/>
      <c r="AS665" s="142"/>
      <c r="AT665" s="79">
        <f t="shared" si="306"/>
        <v>0</v>
      </c>
      <c r="AU665" s="75"/>
      <c r="AV665" s="76"/>
      <c r="AW665" s="135"/>
      <c r="AX665" s="135"/>
      <c r="AY665" s="77">
        <f t="shared" si="307"/>
        <v>0</v>
      </c>
      <c r="AZ665" s="76"/>
      <c r="BA665" s="142"/>
      <c r="BB665" s="142"/>
      <c r="BC665" s="77">
        <f t="shared" si="308"/>
        <v>0</v>
      </c>
      <c r="BD665" s="78"/>
      <c r="BE665" s="142"/>
      <c r="BF665" s="142"/>
      <c r="BG665" s="79">
        <f t="shared" si="309"/>
        <v>0</v>
      </c>
      <c r="BH665" s="75"/>
      <c r="BI665" s="76"/>
      <c r="BJ665" s="135"/>
      <c r="BK665" s="135"/>
      <c r="BL665" s="77">
        <f t="shared" si="310"/>
        <v>0</v>
      </c>
      <c r="BM665" s="78"/>
      <c r="BN665" s="142"/>
      <c r="BO665" s="142"/>
      <c r="BP665" s="77">
        <f t="shared" si="311"/>
        <v>0</v>
      </c>
      <c r="BQ665" s="78"/>
      <c r="BR665" s="142"/>
      <c r="BS665" s="142"/>
      <c r="BT665" s="79">
        <f t="shared" si="312"/>
        <v>0</v>
      </c>
      <c r="BU665" s="75"/>
      <c r="BV665" s="76"/>
      <c r="BW665" s="135"/>
      <c r="BX665" s="135"/>
      <c r="BY665" s="77">
        <f t="shared" si="313"/>
        <v>0</v>
      </c>
      <c r="BZ665" s="78"/>
      <c r="CA665" s="142"/>
      <c r="CB665" s="142"/>
      <c r="CC665" s="77">
        <f t="shared" si="314"/>
        <v>0</v>
      </c>
      <c r="CD665" s="78"/>
      <c r="CE665" s="142"/>
      <c r="CF665" s="142"/>
      <c r="CG665" s="79">
        <f t="shared" si="315"/>
        <v>0</v>
      </c>
      <c r="CH665" s="75"/>
      <c r="CI665" s="76"/>
      <c r="CJ665" s="86"/>
      <c r="CK665" s="86"/>
      <c r="CL665" s="77">
        <f t="shared" si="316"/>
        <v>0</v>
      </c>
      <c r="CM665" s="78"/>
      <c r="CN665" s="85"/>
      <c r="CO665" s="85"/>
      <c r="CP665" s="77">
        <f t="shared" si="317"/>
        <v>0</v>
      </c>
      <c r="CQ665" s="78"/>
      <c r="CR665" s="85"/>
      <c r="CS665" s="85"/>
      <c r="CT665" s="79">
        <f t="shared" si="318"/>
        <v>0</v>
      </c>
      <c r="CU665" s="80">
        <f t="shared" si="288"/>
        <v>0</v>
      </c>
      <c r="CV665" s="81">
        <f t="shared" si="289"/>
        <v>0</v>
      </c>
      <c r="CW665" s="144"/>
      <c r="CX665" s="145">
        <f>IF(ISERROR(VLOOKUP($A665,FIJOS!$B$11:$O$590,14,FALSE)),0,VLOOKUP($A665,FIJOS!$B$11:$O$590,14,FALSE))</f>
        <v>0</v>
      </c>
      <c r="CY665" s="145">
        <f>IF(ISERROR(VLOOKUP(A665,FIJOS!$B$10:$P$590,15,FALSE)),0,VLOOKUP(A665,FIJOS!$B$10:$P$590,15,FALSE))</f>
        <v>0</v>
      </c>
      <c r="CZ665" s="155"/>
      <c r="DA665" s="147"/>
      <c r="DB665" s="147"/>
      <c r="DC665" s="147"/>
      <c r="DD665" s="147"/>
      <c r="DE665" s="147"/>
      <c r="DF665" s="145">
        <f>IF(ISERROR(VLOOKUP($A665,FIJOS!$B$11:$N$590,13,FALSE)),0,VLOOKUP($A665,FIJOS!$B$11:$N$590,13,FALSE))</f>
        <v>0</v>
      </c>
      <c r="DG665" s="145">
        <f>IF(ISERROR(VLOOKUP($A665,FIJOS!$B$11:$P$447,12,FALSE)),0,VLOOKUP($A665,FIJOS!$B$11:$P$447,12,FALSE))</f>
        <v>0</v>
      </c>
      <c r="DH665" s="82">
        <f t="shared" si="290"/>
        <v>0</v>
      </c>
      <c r="DI665" s="83" t="b">
        <f>IF($C665=1,(VLOOKUP($A665,FIJOS!$B$11:$P$545,10,FALSE)/7)*(7-$CU665),IF(AND($C665=2,CV665&lt;$DJ$1),(VLOOKUP($D665,HORAS!$B$4:$C$42,2,FALSE)*24)*$CV665,IF(AND($C665=2,CV665&gt;=$DJ$1),VLOOKUP($D665,HORAS!$B$4:$D$42,3,FALSE),IF(AND($C665=3,$CV665&gt;=$DJ$1),VLOOKUP($A665,FIJOS!$B$11:$P$545,10,FALSE),IF(AND($C665=3,$CV665&lt;$DJ$1),((VLOOKUP($A665,FIJOS!$B$11:$P$545,10,FALSE)/48)*24)*$CV665,IF(AND($C665=4,$CV665&gt;=(42/24)),VLOOKUP($D665,HORAS!$B$4:$D$42,3,FALSE),IF(AND($C665=5,$CV665&gt;=(36/24)),VLOOKUP($D665,HORAS!$B$4:$D$42,3,FALSE))))))))</f>
        <v>0</v>
      </c>
      <c r="DJ665" s="145">
        <f>IF(OR($C665=2),VLOOKUP($D665,HORAS!$B$4:$E$42,4,FALSE)*$EC665,IF(ISERROR(VLOOKUP($A665,FIJOS!$B$11:$P$108,9,FALSE)),0,VLOOKUP($A665,FIJOS!$B$11:$P$231,9,FALSE)*$EC665))</f>
        <v>0</v>
      </c>
      <c r="DK665" s="145">
        <f>IF(OR($C665=2),VLOOKUP($D665,HORAS!$B$4:$F$42,5,FALSE)*$EE665,IF(ISERROR(VLOOKUP($A665,FIJOS!$B$11:$P$108,9,FALSE)),0,VLOOKUP($A665,FIJOS!$B$11:$P$231,9,FALSE)*$EE665))</f>
        <v>0</v>
      </c>
      <c r="DL665" s="144"/>
      <c r="DM665" s="145">
        <f>IF(ISERROR(VLOOKUP($A665,FIJOS!$B$11:$L$646,11,FALSE)),0,VLOOKUP($A665,FIJOS!$B$11:$L$646,11,FALSE))</f>
        <v>0</v>
      </c>
      <c r="DN665" s="148" t="e">
        <f>IF(OR($C665=1,$C665=3),0,IF((VLOOKUP(CAPTURA!D665,HORAS!$B$4:$K$42,10,FALSE)/4)*COUNTIF($H665:$CT665,3)&gt;100,100,(VLOOKUP(CAPTURA!D665,HORAS!$B$4:$K$42,10,FALSE)/4)*COUNTIF($H665:$CT665,3)))</f>
        <v>#N/A</v>
      </c>
      <c r="DO665" s="144" t="e">
        <f>IF(OR($C665=1,$C665=3),0,IF($C665=5,VLOOKUP(D665,HORAS!$B$4:$G$42,6,FALSE),IF(AND($C665=4,$CV665&gt;=(42/24)),VLOOKUP(D665,HORAS!$B$4:$G$42,6,FALSE),IF(COUNTIF($H665:$CL665,"F")&gt;0,0,IF(CV665&gt;$DJ$1,$DJ$1*(VLOOKUP(D665,HORAS!$B$4:$G$42,6,FALSE)/$DJ$1),CV665*(VLOOKUP(D665,HORAS!$B$4:$G$42,6,FALSE)/$DJ$1))))))</f>
        <v>#N/A</v>
      </c>
      <c r="DP665" s="156"/>
      <c r="DQ665" s="148"/>
      <c r="DR665" s="148"/>
      <c r="DS665" s="83" t="e">
        <f t="shared" si="319"/>
        <v>#N/A</v>
      </c>
      <c r="DT665" s="84"/>
      <c r="DU665" s="149" t="e">
        <f t="shared" si="291"/>
        <v>#N/A</v>
      </c>
      <c r="DV665" s="149" t="e">
        <f t="shared" si="292"/>
        <v>#N/A</v>
      </c>
      <c r="DW665" s="144" t="e">
        <f t="shared" si="293"/>
        <v>#N/A</v>
      </c>
      <c r="DX665" s="168"/>
      <c r="DY665" s="29"/>
      <c r="DZ665" s="150"/>
      <c r="EA665" s="134"/>
      <c r="EB665" s="137">
        <f t="shared" si="294"/>
        <v>0</v>
      </c>
      <c r="EC665" s="138">
        <f t="shared" si="295"/>
        <v>0</v>
      </c>
      <c r="ED665" s="137">
        <f t="shared" si="296"/>
        <v>0</v>
      </c>
      <c r="EE665" s="132">
        <f t="shared" si="297"/>
        <v>0</v>
      </c>
      <c r="EF665" s="29"/>
      <c r="EG665" s="134"/>
      <c r="EH665" s="134"/>
      <c r="EI665" s="134"/>
      <c r="EK665" s="29"/>
    </row>
    <row r="666" spans="1:141" ht="15" customHeight="1" x14ac:dyDescent="0.25">
      <c r="A666" s="87"/>
      <c r="B666" s="5"/>
      <c r="C666" s="72"/>
      <c r="D666" s="73"/>
      <c r="E666" s="73"/>
      <c r="F666" s="141"/>
      <c r="G666" s="74"/>
      <c r="H666" s="75"/>
      <c r="I666" s="76"/>
      <c r="J666" s="135"/>
      <c r="K666" s="135"/>
      <c r="L666" s="77">
        <f t="shared" si="298"/>
        <v>0</v>
      </c>
      <c r="M666" s="78"/>
      <c r="N666" s="142"/>
      <c r="O666" s="142"/>
      <c r="P666" s="77">
        <f t="shared" si="299"/>
        <v>0</v>
      </c>
      <c r="Q666" s="78"/>
      <c r="R666" s="143"/>
      <c r="S666" s="143"/>
      <c r="T666" s="77">
        <f t="shared" si="300"/>
        <v>0</v>
      </c>
      <c r="U666" s="75"/>
      <c r="V666" s="76"/>
      <c r="W666" s="135"/>
      <c r="X666" s="135"/>
      <c r="Y666" s="77">
        <f t="shared" si="301"/>
        <v>0</v>
      </c>
      <c r="Z666" s="78"/>
      <c r="AA666" s="142"/>
      <c r="AB666" s="142"/>
      <c r="AC666" s="77">
        <f t="shared" si="302"/>
        <v>0</v>
      </c>
      <c r="AD666" s="78"/>
      <c r="AE666" s="143"/>
      <c r="AF666" s="143"/>
      <c r="AG666" s="79">
        <f t="shared" si="303"/>
        <v>0</v>
      </c>
      <c r="AH666" s="75"/>
      <c r="AI666" s="76"/>
      <c r="AJ666" s="135"/>
      <c r="AK666" s="135"/>
      <c r="AL666" s="77">
        <f t="shared" si="304"/>
        <v>0</v>
      </c>
      <c r="AM666" s="76"/>
      <c r="AN666" s="142"/>
      <c r="AO666" s="142"/>
      <c r="AP666" s="77">
        <f t="shared" si="305"/>
        <v>0</v>
      </c>
      <c r="AQ666" s="78"/>
      <c r="AR666" s="142"/>
      <c r="AS666" s="142"/>
      <c r="AT666" s="79">
        <f t="shared" si="306"/>
        <v>0</v>
      </c>
      <c r="AU666" s="75"/>
      <c r="AV666" s="76"/>
      <c r="AW666" s="135"/>
      <c r="AX666" s="135"/>
      <c r="AY666" s="77">
        <f t="shared" si="307"/>
        <v>0</v>
      </c>
      <c r="AZ666" s="76"/>
      <c r="BA666" s="142"/>
      <c r="BB666" s="142"/>
      <c r="BC666" s="77">
        <f t="shared" si="308"/>
        <v>0</v>
      </c>
      <c r="BD666" s="78"/>
      <c r="BE666" s="142"/>
      <c r="BF666" s="142"/>
      <c r="BG666" s="79">
        <f t="shared" si="309"/>
        <v>0</v>
      </c>
      <c r="BH666" s="75"/>
      <c r="BI666" s="76"/>
      <c r="BJ666" s="135"/>
      <c r="BK666" s="135"/>
      <c r="BL666" s="77">
        <f t="shared" si="310"/>
        <v>0</v>
      </c>
      <c r="BM666" s="78"/>
      <c r="BN666" s="142"/>
      <c r="BO666" s="142"/>
      <c r="BP666" s="77">
        <f t="shared" si="311"/>
        <v>0</v>
      </c>
      <c r="BQ666" s="78"/>
      <c r="BR666" s="142"/>
      <c r="BS666" s="142"/>
      <c r="BT666" s="79">
        <f t="shared" si="312"/>
        <v>0</v>
      </c>
      <c r="BU666" s="75"/>
      <c r="BV666" s="76"/>
      <c r="BW666" s="135"/>
      <c r="BX666" s="135"/>
      <c r="BY666" s="77">
        <f t="shared" si="313"/>
        <v>0</v>
      </c>
      <c r="BZ666" s="78"/>
      <c r="CA666" s="142"/>
      <c r="CB666" s="142"/>
      <c r="CC666" s="77">
        <f t="shared" si="314"/>
        <v>0</v>
      </c>
      <c r="CD666" s="78"/>
      <c r="CE666" s="142"/>
      <c r="CF666" s="142"/>
      <c r="CG666" s="79">
        <f t="shared" si="315"/>
        <v>0</v>
      </c>
      <c r="CH666" s="75"/>
      <c r="CI666" s="76"/>
      <c r="CJ666" s="86"/>
      <c r="CK666" s="86"/>
      <c r="CL666" s="77">
        <f t="shared" si="316"/>
        <v>0</v>
      </c>
      <c r="CM666" s="78"/>
      <c r="CN666" s="85"/>
      <c r="CO666" s="85"/>
      <c r="CP666" s="77">
        <f t="shared" si="317"/>
        <v>0</v>
      </c>
      <c r="CQ666" s="78"/>
      <c r="CR666" s="85"/>
      <c r="CS666" s="85"/>
      <c r="CT666" s="79">
        <f t="shared" si="318"/>
        <v>0</v>
      </c>
      <c r="CU666" s="80">
        <f t="shared" si="288"/>
        <v>0</v>
      </c>
      <c r="CV666" s="81">
        <f t="shared" si="289"/>
        <v>0</v>
      </c>
      <c r="CW666" s="144"/>
      <c r="CX666" s="145">
        <f>IF(ISERROR(VLOOKUP($A666,FIJOS!$B$11:$O$590,14,FALSE)),0,VLOOKUP($A666,FIJOS!$B$11:$O$590,14,FALSE))</f>
        <v>0</v>
      </c>
      <c r="CY666" s="145">
        <f>IF(ISERROR(VLOOKUP(A666,FIJOS!$B$10:$P$590,15,FALSE)),0,VLOOKUP(A666,FIJOS!$B$10:$P$590,15,FALSE))</f>
        <v>0</v>
      </c>
      <c r="CZ666" s="155"/>
      <c r="DA666" s="147"/>
      <c r="DB666" s="147"/>
      <c r="DC666" s="147"/>
      <c r="DD666" s="147"/>
      <c r="DE666" s="147"/>
      <c r="DF666" s="145">
        <f>IF(ISERROR(VLOOKUP($A666,FIJOS!$B$11:$N$590,13,FALSE)),0,VLOOKUP($A666,FIJOS!$B$11:$N$590,13,FALSE))</f>
        <v>0</v>
      </c>
      <c r="DG666" s="145">
        <f>IF(ISERROR(VLOOKUP($A666,FIJOS!$B$11:$P$447,12,FALSE)),0,VLOOKUP($A666,FIJOS!$B$11:$P$447,12,FALSE))</f>
        <v>0</v>
      </c>
      <c r="DH666" s="82">
        <f t="shared" si="290"/>
        <v>0</v>
      </c>
      <c r="DI666" s="83" t="b">
        <f>IF($C666=1,(VLOOKUP($A666,FIJOS!$B$11:$P$545,10,FALSE)/7)*(7-$CU666),IF(AND($C666=2,CV666&lt;$DJ$1),(VLOOKUP($D666,HORAS!$B$4:$C$42,2,FALSE)*24)*$CV666,IF(AND($C666=2,CV666&gt;=$DJ$1),VLOOKUP($D666,HORAS!$B$4:$D$42,3,FALSE),IF(AND($C666=3,$CV666&gt;=$DJ$1),VLOOKUP($A666,FIJOS!$B$11:$P$545,10,FALSE),IF(AND($C666=3,$CV666&lt;$DJ$1),((VLOOKUP($A666,FIJOS!$B$11:$P$545,10,FALSE)/48)*24)*$CV666,IF(AND($C666=4,$CV666&gt;=(42/24)),VLOOKUP($D666,HORAS!$B$4:$D$42,3,FALSE),IF(AND($C666=5,$CV666&gt;=(36/24)),VLOOKUP($D666,HORAS!$B$4:$D$42,3,FALSE))))))))</f>
        <v>0</v>
      </c>
      <c r="DJ666" s="145">
        <f>IF(OR($C666=2),VLOOKUP($D666,HORAS!$B$4:$E$42,4,FALSE)*$EC666,IF(ISERROR(VLOOKUP($A666,FIJOS!$B$11:$P$108,9,FALSE)),0,VLOOKUP($A666,FIJOS!$B$11:$P$231,9,FALSE)*$EC666))</f>
        <v>0</v>
      </c>
      <c r="DK666" s="145">
        <f>IF(OR($C666=2),VLOOKUP($D666,HORAS!$B$4:$F$42,5,FALSE)*$EE666,IF(ISERROR(VLOOKUP($A666,FIJOS!$B$11:$P$108,9,FALSE)),0,VLOOKUP($A666,FIJOS!$B$11:$P$231,9,FALSE)*$EE666))</f>
        <v>0</v>
      </c>
      <c r="DL666" s="144"/>
      <c r="DM666" s="145">
        <f>IF(ISERROR(VLOOKUP($A666,FIJOS!$B$11:$L$646,11,FALSE)),0,VLOOKUP($A666,FIJOS!$B$11:$L$646,11,FALSE))</f>
        <v>0</v>
      </c>
      <c r="DN666" s="148" t="e">
        <f>IF(OR($C666=1,$C666=3),0,IF((VLOOKUP(CAPTURA!D666,HORAS!$B$4:$K$42,10,FALSE)/4)*COUNTIF($H666:$CT666,3)&gt;100,100,(VLOOKUP(CAPTURA!D666,HORAS!$B$4:$K$42,10,FALSE)/4)*COUNTIF($H666:$CT666,3)))</f>
        <v>#N/A</v>
      </c>
      <c r="DO666" s="144" t="e">
        <f>IF(OR($C666=1,$C666=3),0,IF($C666=5,VLOOKUP(D666,HORAS!$B$4:$G$42,6,FALSE),IF(AND($C666=4,$CV666&gt;=(42/24)),VLOOKUP(D666,HORAS!$B$4:$G$42,6,FALSE),IF(COUNTIF($H666:$CL666,"F")&gt;0,0,IF(CV666&gt;$DJ$1,$DJ$1*(VLOOKUP(D666,HORAS!$B$4:$G$42,6,FALSE)/$DJ$1),CV666*(VLOOKUP(D666,HORAS!$B$4:$G$42,6,FALSE)/$DJ$1))))))</f>
        <v>#N/A</v>
      </c>
      <c r="DP666" s="156"/>
      <c r="DQ666" s="148"/>
      <c r="DR666" s="148"/>
      <c r="DS666" s="83" t="e">
        <f t="shared" si="319"/>
        <v>#N/A</v>
      </c>
      <c r="DT666" s="84"/>
      <c r="DU666" s="149" t="e">
        <f t="shared" si="291"/>
        <v>#N/A</v>
      </c>
      <c r="DV666" s="149" t="e">
        <f t="shared" si="292"/>
        <v>#N/A</v>
      </c>
      <c r="DW666" s="144" t="e">
        <f t="shared" si="293"/>
        <v>#N/A</v>
      </c>
      <c r="DX666" s="168"/>
      <c r="DY666" s="29"/>
      <c r="DZ666" s="150"/>
      <c r="EA666" s="134"/>
      <c r="EB666" s="137">
        <f t="shared" si="294"/>
        <v>0</v>
      </c>
      <c r="EC666" s="138">
        <f t="shared" si="295"/>
        <v>0</v>
      </c>
      <c r="ED666" s="137">
        <f t="shared" si="296"/>
        <v>0</v>
      </c>
      <c r="EE666" s="132">
        <f t="shared" si="297"/>
        <v>0</v>
      </c>
      <c r="EF666" s="29"/>
      <c r="EG666" s="134"/>
      <c r="EH666" s="134"/>
      <c r="EI666" s="134"/>
      <c r="EK666" s="29"/>
    </row>
    <row r="667" spans="1:141" ht="15" customHeight="1" x14ac:dyDescent="0.25">
      <c r="A667" s="87"/>
      <c r="B667" s="5"/>
      <c r="C667" s="72"/>
      <c r="D667" s="73"/>
      <c r="E667" s="73"/>
      <c r="F667" s="141"/>
      <c r="G667" s="74"/>
      <c r="H667" s="75"/>
      <c r="I667" s="76"/>
      <c r="J667" s="135"/>
      <c r="K667" s="135"/>
      <c r="L667" s="77">
        <f t="shared" si="298"/>
        <v>0</v>
      </c>
      <c r="M667" s="78"/>
      <c r="N667" s="142"/>
      <c r="O667" s="142"/>
      <c r="P667" s="77">
        <f t="shared" si="299"/>
        <v>0</v>
      </c>
      <c r="Q667" s="78"/>
      <c r="R667" s="143"/>
      <c r="S667" s="143"/>
      <c r="T667" s="77">
        <f t="shared" si="300"/>
        <v>0</v>
      </c>
      <c r="U667" s="75"/>
      <c r="V667" s="76"/>
      <c r="W667" s="135"/>
      <c r="X667" s="135"/>
      <c r="Y667" s="77">
        <f t="shared" si="301"/>
        <v>0</v>
      </c>
      <c r="Z667" s="78"/>
      <c r="AA667" s="142"/>
      <c r="AB667" s="142"/>
      <c r="AC667" s="77">
        <f t="shared" si="302"/>
        <v>0</v>
      </c>
      <c r="AD667" s="78"/>
      <c r="AE667" s="143"/>
      <c r="AF667" s="143"/>
      <c r="AG667" s="79">
        <f t="shared" si="303"/>
        <v>0</v>
      </c>
      <c r="AH667" s="75"/>
      <c r="AI667" s="76"/>
      <c r="AJ667" s="135"/>
      <c r="AK667" s="135"/>
      <c r="AL667" s="77">
        <f t="shared" si="304"/>
        <v>0</v>
      </c>
      <c r="AM667" s="76"/>
      <c r="AN667" s="142"/>
      <c r="AO667" s="142"/>
      <c r="AP667" s="77">
        <f t="shared" si="305"/>
        <v>0</v>
      </c>
      <c r="AQ667" s="78"/>
      <c r="AR667" s="142"/>
      <c r="AS667" s="142"/>
      <c r="AT667" s="79">
        <f t="shared" si="306"/>
        <v>0</v>
      </c>
      <c r="AU667" s="75"/>
      <c r="AV667" s="76"/>
      <c r="AW667" s="135"/>
      <c r="AX667" s="135"/>
      <c r="AY667" s="77">
        <f t="shared" si="307"/>
        <v>0</v>
      </c>
      <c r="AZ667" s="76"/>
      <c r="BA667" s="142"/>
      <c r="BB667" s="142"/>
      <c r="BC667" s="77">
        <f t="shared" si="308"/>
        <v>0</v>
      </c>
      <c r="BD667" s="78"/>
      <c r="BE667" s="142"/>
      <c r="BF667" s="142"/>
      <c r="BG667" s="79">
        <f t="shared" si="309"/>
        <v>0</v>
      </c>
      <c r="BH667" s="75"/>
      <c r="BI667" s="76"/>
      <c r="BJ667" s="135"/>
      <c r="BK667" s="135"/>
      <c r="BL667" s="77">
        <f t="shared" si="310"/>
        <v>0</v>
      </c>
      <c r="BM667" s="78"/>
      <c r="BN667" s="142"/>
      <c r="BO667" s="142"/>
      <c r="BP667" s="77">
        <f t="shared" si="311"/>
        <v>0</v>
      </c>
      <c r="BQ667" s="78"/>
      <c r="BR667" s="142"/>
      <c r="BS667" s="142"/>
      <c r="BT667" s="79">
        <f t="shared" si="312"/>
        <v>0</v>
      </c>
      <c r="BU667" s="75"/>
      <c r="BV667" s="76"/>
      <c r="BW667" s="135"/>
      <c r="BX667" s="135"/>
      <c r="BY667" s="77">
        <f t="shared" si="313"/>
        <v>0</v>
      </c>
      <c r="BZ667" s="78"/>
      <c r="CA667" s="142"/>
      <c r="CB667" s="142"/>
      <c r="CC667" s="77">
        <f t="shared" si="314"/>
        <v>0</v>
      </c>
      <c r="CD667" s="78"/>
      <c r="CE667" s="142"/>
      <c r="CF667" s="142"/>
      <c r="CG667" s="79">
        <f t="shared" si="315"/>
        <v>0</v>
      </c>
      <c r="CH667" s="75"/>
      <c r="CI667" s="76"/>
      <c r="CJ667" s="86"/>
      <c r="CK667" s="86"/>
      <c r="CL667" s="77">
        <f t="shared" si="316"/>
        <v>0</v>
      </c>
      <c r="CM667" s="78"/>
      <c r="CN667" s="85"/>
      <c r="CO667" s="85"/>
      <c r="CP667" s="77">
        <f t="shared" si="317"/>
        <v>0</v>
      </c>
      <c r="CQ667" s="78"/>
      <c r="CR667" s="85"/>
      <c r="CS667" s="85"/>
      <c r="CT667" s="79">
        <f t="shared" si="318"/>
        <v>0</v>
      </c>
      <c r="CU667" s="80">
        <f t="shared" ref="CU667:CU677" si="320">COUNTIF($H667:$CL667,"F")+COUNTIF($H667:$CL667,"PSG")+COUNTIF($H667:$CL667,"INC")</f>
        <v>0</v>
      </c>
      <c r="CV667" s="81">
        <f t="shared" ref="CV667:CV677" si="321">SUMIFS($J667:$CT667,$J$6:$CT$6,$CV$5)</f>
        <v>0</v>
      </c>
      <c r="CW667" s="144"/>
      <c r="CX667" s="145">
        <f>IF(ISERROR(VLOOKUP($A667,FIJOS!$B$11:$O$590,14,FALSE)),0,VLOOKUP($A667,FIJOS!$B$11:$O$590,14,FALSE))</f>
        <v>0</v>
      </c>
      <c r="CY667" s="145">
        <f>IF(ISERROR(VLOOKUP(A667,FIJOS!$B$10:$P$590,15,FALSE)),0,VLOOKUP(A667,FIJOS!$B$10:$P$590,15,FALSE))</f>
        <v>0</v>
      </c>
      <c r="CZ667" s="155"/>
      <c r="DA667" s="147"/>
      <c r="DB667" s="147"/>
      <c r="DC667" s="147"/>
      <c r="DD667" s="147"/>
      <c r="DE667" s="147"/>
      <c r="DF667" s="145">
        <f>IF(ISERROR(VLOOKUP($A667,FIJOS!$B$11:$N$590,13,FALSE)),0,VLOOKUP($A667,FIJOS!$B$11:$N$590,13,FALSE))</f>
        <v>0</v>
      </c>
      <c r="DG667" s="145">
        <f>IF(ISERROR(VLOOKUP($A667,FIJOS!$B$11:$P$447,12,FALSE)),0,VLOOKUP($A667,FIJOS!$B$11:$P$447,12,FALSE))</f>
        <v>0</v>
      </c>
      <c r="DH667" s="82">
        <f t="shared" si="290"/>
        <v>0</v>
      </c>
      <c r="DI667" s="83" t="b">
        <f>IF($C667=1,(VLOOKUP($A667,FIJOS!$B$11:$P$545,10,FALSE)/7)*(7-$CU667),IF(AND($C667=2,CV667&lt;$DJ$1),(VLOOKUP($D667,HORAS!$B$4:$C$42,2,FALSE)*24)*$CV667,IF(AND($C667=2,CV667&gt;=$DJ$1),VLOOKUP($D667,HORAS!$B$4:$D$42,3,FALSE),IF(AND($C667=3,$CV667&gt;=$DJ$1),VLOOKUP($A667,FIJOS!$B$11:$P$545,10,FALSE),IF(AND($C667=3,$CV667&lt;$DJ$1),((VLOOKUP($A667,FIJOS!$B$11:$P$545,10,FALSE)/48)*24)*$CV667,IF(AND($C667=4,$CV667&gt;=(42/24)),VLOOKUP($D667,HORAS!$B$4:$D$42,3,FALSE),IF(AND($C667=5,$CV667&gt;=(36/24)),VLOOKUP($D667,HORAS!$B$4:$D$42,3,FALSE))))))))</f>
        <v>0</v>
      </c>
      <c r="DJ667" s="145">
        <f>IF(OR($C667=2),VLOOKUP($D667,HORAS!$B$4:$E$42,4,FALSE)*$EC667,IF(ISERROR(VLOOKUP($A667,FIJOS!$B$11:$P$108,9,FALSE)),0,VLOOKUP($A667,FIJOS!$B$11:$P$231,9,FALSE)*$EC667))</f>
        <v>0</v>
      </c>
      <c r="DK667" s="145">
        <f>IF(OR($C667=2),VLOOKUP($D667,HORAS!$B$4:$F$42,5,FALSE)*$EE667,IF(ISERROR(VLOOKUP($A667,FIJOS!$B$11:$P$108,9,FALSE)),0,VLOOKUP($A667,FIJOS!$B$11:$P$231,9,FALSE)*$EE667))</f>
        <v>0</v>
      </c>
      <c r="DL667" s="144"/>
      <c r="DM667" s="145">
        <f>IF(ISERROR(VLOOKUP($A667,FIJOS!$B$11:$L$646,11,FALSE)),0,VLOOKUP($A667,FIJOS!$B$11:$L$646,11,FALSE))</f>
        <v>0</v>
      </c>
      <c r="DN667" s="148" t="e">
        <f>IF(OR($C667=1,$C667=3),0,IF((VLOOKUP(CAPTURA!D667,HORAS!$B$4:$K$42,10,FALSE)/4)*COUNTIF($H667:$CT667,3)&gt;100,100,(VLOOKUP(CAPTURA!D667,HORAS!$B$4:$K$42,10,FALSE)/4)*COUNTIF($H667:$CT667,3)))</f>
        <v>#N/A</v>
      </c>
      <c r="DO667" s="144" t="e">
        <f>IF(OR($C667=1,$C667=3),0,IF($C667=5,VLOOKUP(D667,HORAS!$B$4:$G$42,6,FALSE),IF(AND($C667=4,$CV667&gt;=(42/24)),VLOOKUP(D667,HORAS!$B$4:$G$42,6,FALSE),IF(COUNTIF($H667:$CL667,"F")&gt;0,0,IF(CV667&gt;$DJ$1,$DJ$1*(VLOOKUP(D667,HORAS!$B$4:$G$42,6,FALSE)/$DJ$1),CV667*(VLOOKUP(D667,HORAS!$B$4:$G$42,6,FALSE)/$DJ$1))))))</f>
        <v>#N/A</v>
      </c>
      <c r="DP667" s="156"/>
      <c r="DQ667" s="148"/>
      <c r="DR667" s="148"/>
      <c r="DS667" s="83" t="e">
        <f t="shared" si="319"/>
        <v>#N/A</v>
      </c>
      <c r="DT667" s="84"/>
      <c r="DU667" s="149" t="e">
        <f t="shared" si="291"/>
        <v>#N/A</v>
      </c>
      <c r="DV667" s="149" t="e">
        <f t="shared" si="292"/>
        <v>#N/A</v>
      </c>
      <c r="DW667" s="144" t="e">
        <f t="shared" si="293"/>
        <v>#N/A</v>
      </c>
      <c r="DX667" s="168"/>
      <c r="DY667" s="29"/>
      <c r="DZ667" s="150"/>
      <c r="EA667" s="134"/>
      <c r="EB667" s="137">
        <f t="shared" si="294"/>
        <v>0</v>
      </c>
      <c r="EC667" s="138">
        <f t="shared" si="295"/>
        <v>0</v>
      </c>
      <c r="ED667" s="137">
        <f t="shared" si="296"/>
        <v>0</v>
      </c>
      <c r="EE667" s="132">
        <f t="shared" si="297"/>
        <v>0</v>
      </c>
      <c r="EF667" s="29"/>
      <c r="EG667" s="134"/>
      <c r="EH667" s="134"/>
      <c r="EI667" s="134"/>
      <c r="EK667" s="29"/>
    </row>
    <row r="668" spans="1:141" ht="15" customHeight="1" x14ac:dyDescent="0.25">
      <c r="A668" s="87"/>
      <c r="B668" s="5"/>
      <c r="C668" s="72"/>
      <c r="D668" s="73"/>
      <c r="E668" s="73"/>
      <c r="F668" s="141"/>
      <c r="G668" s="74"/>
      <c r="H668" s="75"/>
      <c r="I668" s="76"/>
      <c r="J668" s="135"/>
      <c r="K668" s="135"/>
      <c r="L668" s="77">
        <f t="shared" si="298"/>
        <v>0</v>
      </c>
      <c r="M668" s="78"/>
      <c r="N668" s="142"/>
      <c r="O668" s="142"/>
      <c r="P668" s="77">
        <f t="shared" si="299"/>
        <v>0</v>
      </c>
      <c r="Q668" s="78"/>
      <c r="R668" s="143"/>
      <c r="S668" s="143"/>
      <c r="T668" s="77">
        <f t="shared" si="300"/>
        <v>0</v>
      </c>
      <c r="U668" s="75"/>
      <c r="V668" s="76"/>
      <c r="W668" s="135"/>
      <c r="X668" s="135"/>
      <c r="Y668" s="77">
        <f t="shared" si="301"/>
        <v>0</v>
      </c>
      <c r="Z668" s="78"/>
      <c r="AA668" s="142"/>
      <c r="AB668" s="142"/>
      <c r="AC668" s="77">
        <f t="shared" si="302"/>
        <v>0</v>
      </c>
      <c r="AD668" s="78"/>
      <c r="AE668" s="143"/>
      <c r="AF668" s="143"/>
      <c r="AG668" s="79">
        <f t="shared" si="303"/>
        <v>0</v>
      </c>
      <c r="AH668" s="75"/>
      <c r="AI668" s="76"/>
      <c r="AJ668" s="135"/>
      <c r="AK668" s="135"/>
      <c r="AL668" s="77">
        <f t="shared" si="304"/>
        <v>0</v>
      </c>
      <c r="AM668" s="76"/>
      <c r="AN668" s="142"/>
      <c r="AO668" s="142"/>
      <c r="AP668" s="77">
        <f t="shared" si="305"/>
        <v>0</v>
      </c>
      <c r="AQ668" s="78"/>
      <c r="AR668" s="142"/>
      <c r="AS668" s="142"/>
      <c r="AT668" s="79">
        <f t="shared" si="306"/>
        <v>0</v>
      </c>
      <c r="AU668" s="75"/>
      <c r="AV668" s="76"/>
      <c r="AW668" s="135"/>
      <c r="AX668" s="135"/>
      <c r="AY668" s="77">
        <f t="shared" si="307"/>
        <v>0</v>
      </c>
      <c r="AZ668" s="76"/>
      <c r="BA668" s="142"/>
      <c r="BB668" s="142"/>
      <c r="BC668" s="77">
        <f t="shared" si="308"/>
        <v>0</v>
      </c>
      <c r="BD668" s="78"/>
      <c r="BE668" s="142"/>
      <c r="BF668" s="142"/>
      <c r="BG668" s="79">
        <f t="shared" si="309"/>
        <v>0</v>
      </c>
      <c r="BH668" s="75"/>
      <c r="BI668" s="76"/>
      <c r="BJ668" s="135"/>
      <c r="BK668" s="135"/>
      <c r="BL668" s="77">
        <f t="shared" si="310"/>
        <v>0</v>
      </c>
      <c r="BM668" s="78"/>
      <c r="BN668" s="142"/>
      <c r="BO668" s="142"/>
      <c r="BP668" s="77">
        <f t="shared" si="311"/>
        <v>0</v>
      </c>
      <c r="BQ668" s="78"/>
      <c r="BR668" s="142"/>
      <c r="BS668" s="142"/>
      <c r="BT668" s="79">
        <f t="shared" si="312"/>
        <v>0</v>
      </c>
      <c r="BU668" s="75"/>
      <c r="BV668" s="76"/>
      <c r="BW668" s="135"/>
      <c r="BX668" s="135"/>
      <c r="BY668" s="77">
        <f t="shared" si="313"/>
        <v>0</v>
      </c>
      <c r="BZ668" s="78"/>
      <c r="CA668" s="142"/>
      <c r="CB668" s="142"/>
      <c r="CC668" s="77">
        <f t="shared" si="314"/>
        <v>0</v>
      </c>
      <c r="CD668" s="78"/>
      <c r="CE668" s="142"/>
      <c r="CF668" s="142"/>
      <c r="CG668" s="79">
        <f t="shared" si="315"/>
        <v>0</v>
      </c>
      <c r="CH668" s="75"/>
      <c r="CI668" s="76"/>
      <c r="CJ668" s="86"/>
      <c r="CK668" s="86"/>
      <c r="CL668" s="77">
        <f t="shared" si="316"/>
        <v>0</v>
      </c>
      <c r="CM668" s="78"/>
      <c r="CN668" s="85"/>
      <c r="CO668" s="85"/>
      <c r="CP668" s="77">
        <f t="shared" si="317"/>
        <v>0</v>
      </c>
      <c r="CQ668" s="78"/>
      <c r="CR668" s="85"/>
      <c r="CS668" s="85"/>
      <c r="CT668" s="79">
        <f t="shared" si="318"/>
        <v>0</v>
      </c>
      <c r="CU668" s="80">
        <f t="shared" si="320"/>
        <v>0</v>
      </c>
      <c r="CV668" s="81">
        <f t="shared" si="321"/>
        <v>0</v>
      </c>
      <c r="CW668" s="144"/>
      <c r="CX668" s="145">
        <f>IF(ISERROR(VLOOKUP($A668,FIJOS!$B$11:$O$590,14,FALSE)),0,VLOOKUP($A668,FIJOS!$B$11:$O$590,14,FALSE))</f>
        <v>0</v>
      </c>
      <c r="CY668" s="145">
        <f>IF(ISERROR(VLOOKUP(A668,FIJOS!$B$10:$P$590,15,FALSE)),0,VLOOKUP(A668,FIJOS!$B$10:$P$590,15,FALSE))</f>
        <v>0</v>
      </c>
      <c r="CZ668" s="155"/>
      <c r="DA668" s="147"/>
      <c r="DB668" s="147"/>
      <c r="DC668" s="147"/>
      <c r="DD668" s="147"/>
      <c r="DE668" s="147"/>
      <c r="DF668" s="145">
        <f>IF(ISERROR(VLOOKUP($A668,FIJOS!$B$11:$N$590,13,FALSE)),0,VLOOKUP($A668,FIJOS!$B$11:$N$590,13,FALSE))</f>
        <v>0</v>
      </c>
      <c r="DG668" s="145">
        <f>IF(ISERROR(VLOOKUP($A668,FIJOS!$B$11:$P$447,12,FALSE)),0,VLOOKUP($A668,FIJOS!$B$11:$P$447,12,FALSE))</f>
        <v>0</v>
      </c>
      <c r="DH668" s="82">
        <f t="shared" si="290"/>
        <v>0</v>
      </c>
      <c r="DI668" s="83" t="b">
        <f>IF($C668=1,(VLOOKUP($A668,FIJOS!$B$11:$P$545,10,FALSE)/7)*(7-$CU668),IF(AND($C668=2,CV668&lt;$DJ$1),(VLOOKUP($D668,HORAS!$B$4:$C$42,2,FALSE)*24)*$CV668,IF(AND($C668=2,CV668&gt;=$DJ$1),VLOOKUP($D668,HORAS!$B$4:$D$42,3,FALSE),IF(AND($C668=3,$CV668&gt;=$DJ$1),VLOOKUP($A668,FIJOS!$B$11:$P$545,10,FALSE),IF(AND($C668=3,$CV668&lt;$DJ$1),((VLOOKUP($A668,FIJOS!$B$11:$P$545,10,FALSE)/48)*24)*$CV668,IF(AND($C668=4,$CV668&gt;=(42/24)),VLOOKUP($D668,HORAS!$B$4:$D$42,3,FALSE),IF(AND($C668=5,$CV668&gt;=(36/24)),VLOOKUP($D668,HORAS!$B$4:$D$42,3,FALSE))))))))</f>
        <v>0</v>
      </c>
      <c r="DJ668" s="145">
        <f>IF(OR($C668=2),VLOOKUP($D668,HORAS!$B$4:$E$42,4,FALSE)*$EC668,IF(ISERROR(VLOOKUP($A668,FIJOS!$B$11:$P$108,9,FALSE)),0,VLOOKUP($A668,FIJOS!$B$11:$P$231,9,FALSE)*$EC668))</f>
        <v>0</v>
      </c>
      <c r="DK668" s="145">
        <f>IF(OR($C668=2),VLOOKUP($D668,HORAS!$B$4:$F$42,5,FALSE)*$EE668,IF(ISERROR(VLOOKUP($A668,FIJOS!$B$11:$P$108,9,FALSE)),0,VLOOKUP($A668,FIJOS!$B$11:$P$231,9,FALSE)*$EE668))</f>
        <v>0</v>
      </c>
      <c r="DL668" s="144"/>
      <c r="DM668" s="145">
        <f>IF(ISERROR(VLOOKUP($A668,FIJOS!$B$11:$L$646,11,FALSE)),0,VLOOKUP($A668,FIJOS!$B$11:$L$646,11,FALSE))</f>
        <v>0</v>
      </c>
      <c r="DN668" s="148" t="e">
        <f>IF(OR($C668=1,$C668=3),0,IF((VLOOKUP(CAPTURA!D668,HORAS!$B$4:$K$42,10,FALSE)/4)*COUNTIF($H668:$CT668,3)&gt;100,100,(VLOOKUP(CAPTURA!D668,HORAS!$B$4:$K$42,10,FALSE)/4)*COUNTIF($H668:$CT668,3)))</f>
        <v>#N/A</v>
      </c>
      <c r="DO668" s="144" t="e">
        <f>IF(OR($C668=1,$C668=3),0,IF($C668=5,VLOOKUP(D668,HORAS!$B$4:$G$42,6,FALSE),IF(AND($C668=4,$CV668&gt;=(42/24)),VLOOKUP(D668,HORAS!$B$4:$G$42,6,FALSE),IF(COUNTIF($H668:$CL668,"F")&gt;0,0,IF(CV668&gt;$DJ$1,$DJ$1*(VLOOKUP(D668,HORAS!$B$4:$G$42,6,FALSE)/$DJ$1),CV668*(VLOOKUP(D668,HORAS!$B$4:$G$42,6,FALSE)/$DJ$1))))))</f>
        <v>#N/A</v>
      </c>
      <c r="DP668" s="156"/>
      <c r="DQ668" s="148"/>
      <c r="DR668" s="148"/>
      <c r="DS668" s="83" t="e">
        <f t="shared" si="319"/>
        <v>#N/A</v>
      </c>
      <c r="DT668" s="84"/>
      <c r="DU668" s="149" t="e">
        <f t="shared" si="291"/>
        <v>#N/A</v>
      </c>
      <c r="DV668" s="149" t="e">
        <f t="shared" si="292"/>
        <v>#N/A</v>
      </c>
      <c r="DW668" s="144" t="e">
        <f t="shared" si="293"/>
        <v>#N/A</v>
      </c>
      <c r="DX668" s="168"/>
      <c r="DY668" s="29"/>
      <c r="DZ668" s="150"/>
      <c r="EA668" s="134"/>
      <c r="EB668" s="137">
        <f t="shared" si="294"/>
        <v>0</v>
      </c>
      <c r="EC668" s="138">
        <f t="shared" si="295"/>
        <v>0</v>
      </c>
      <c r="ED668" s="137">
        <f t="shared" si="296"/>
        <v>0</v>
      </c>
      <c r="EE668" s="132">
        <f t="shared" si="297"/>
        <v>0</v>
      </c>
      <c r="EF668" s="29"/>
      <c r="EG668" s="134"/>
      <c r="EH668" s="134"/>
      <c r="EI668" s="134"/>
      <c r="EK668" s="29"/>
    </row>
    <row r="669" spans="1:141" ht="15" customHeight="1" x14ac:dyDescent="0.25">
      <c r="A669" s="87"/>
      <c r="B669" s="5"/>
      <c r="C669" s="72"/>
      <c r="D669" s="73"/>
      <c r="E669" s="73"/>
      <c r="F669" s="141"/>
      <c r="G669" s="74"/>
      <c r="H669" s="75"/>
      <c r="I669" s="76"/>
      <c r="J669" s="135"/>
      <c r="K669" s="135"/>
      <c r="L669" s="77">
        <f t="shared" si="298"/>
        <v>0</v>
      </c>
      <c r="M669" s="78"/>
      <c r="N669" s="142"/>
      <c r="O669" s="142"/>
      <c r="P669" s="77">
        <f t="shared" si="299"/>
        <v>0</v>
      </c>
      <c r="Q669" s="78"/>
      <c r="R669" s="143"/>
      <c r="S669" s="143"/>
      <c r="T669" s="77">
        <f t="shared" si="300"/>
        <v>0</v>
      </c>
      <c r="U669" s="75"/>
      <c r="V669" s="76"/>
      <c r="W669" s="135"/>
      <c r="X669" s="135"/>
      <c r="Y669" s="77">
        <f t="shared" si="301"/>
        <v>0</v>
      </c>
      <c r="Z669" s="78"/>
      <c r="AA669" s="142"/>
      <c r="AB669" s="142"/>
      <c r="AC669" s="77">
        <f t="shared" si="302"/>
        <v>0</v>
      </c>
      <c r="AD669" s="78"/>
      <c r="AE669" s="143"/>
      <c r="AF669" s="143"/>
      <c r="AG669" s="79">
        <f t="shared" si="303"/>
        <v>0</v>
      </c>
      <c r="AH669" s="75"/>
      <c r="AI669" s="76"/>
      <c r="AJ669" s="135"/>
      <c r="AK669" s="135"/>
      <c r="AL669" s="77">
        <f t="shared" si="304"/>
        <v>0</v>
      </c>
      <c r="AM669" s="76"/>
      <c r="AN669" s="142"/>
      <c r="AO669" s="142"/>
      <c r="AP669" s="77">
        <f t="shared" si="305"/>
        <v>0</v>
      </c>
      <c r="AQ669" s="78"/>
      <c r="AR669" s="142"/>
      <c r="AS669" s="142"/>
      <c r="AT669" s="79">
        <f t="shared" si="306"/>
        <v>0</v>
      </c>
      <c r="AU669" s="75"/>
      <c r="AV669" s="76"/>
      <c r="AW669" s="135"/>
      <c r="AX669" s="135"/>
      <c r="AY669" s="77">
        <f t="shared" si="307"/>
        <v>0</v>
      </c>
      <c r="AZ669" s="76"/>
      <c r="BA669" s="142"/>
      <c r="BB669" s="142"/>
      <c r="BC669" s="77">
        <f t="shared" si="308"/>
        <v>0</v>
      </c>
      <c r="BD669" s="78"/>
      <c r="BE669" s="142"/>
      <c r="BF669" s="142"/>
      <c r="BG669" s="79">
        <f t="shared" si="309"/>
        <v>0</v>
      </c>
      <c r="BH669" s="75"/>
      <c r="BI669" s="76"/>
      <c r="BJ669" s="135"/>
      <c r="BK669" s="135"/>
      <c r="BL669" s="77">
        <f t="shared" si="310"/>
        <v>0</v>
      </c>
      <c r="BM669" s="78"/>
      <c r="BN669" s="142"/>
      <c r="BO669" s="142"/>
      <c r="BP669" s="77">
        <f t="shared" si="311"/>
        <v>0</v>
      </c>
      <c r="BQ669" s="78"/>
      <c r="BR669" s="142"/>
      <c r="BS669" s="142"/>
      <c r="BT669" s="79">
        <f t="shared" si="312"/>
        <v>0</v>
      </c>
      <c r="BU669" s="75"/>
      <c r="BV669" s="76"/>
      <c r="BW669" s="135"/>
      <c r="BX669" s="135"/>
      <c r="BY669" s="77">
        <f t="shared" si="313"/>
        <v>0</v>
      </c>
      <c r="BZ669" s="78"/>
      <c r="CA669" s="142"/>
      <c r="CB669" s="142"/>
      <c r="CC669" s="77">
        <f t="shared" si="314"/>
        <v>0</v>
      </c>
      <c r="CD669" s="78"/>
      <c r="CE669" s="142"/>
      <c r="CF669" s="142"/>
      <c r="CG669" s="79">
        <f t="shared" si="315"/>
        <v>0</v>
      </c>
      <c r="CH669" s="75"/>
      <c r="CI669" s="76"/>
      <c r="CJ669" s="86"/>
      <c r="CK669" s="86"/>
      <c r="CL669" s="77">
        <f t="shared" si="316"/>
        <v>0</v>
      </c>
      <c r="CM669" s="78"/>
      <c r="CN669" s="85"/>
      <c r="CO669" s="85"/>
      <c r="CP669" s="77">
        <f t="shared" si="317"/>
        <v>0</v>
      </c>
      <c r="CQ669" s="78"/>
      <c r="CR669" s="85"/>
      <c r="CS669" s="85"/>
      <c r="CT669" s="79">
        <f t="shared" si="318"/>
        <v>0</v>
      </c>
      <c r="CU669" s="80">
        <f t="shared" si="320"/>
        <v>0</v>
      </c>
      <c r="CV669" s="81">
        <f t="shared" si="321"/>
        <v>0</v>
      </c>
      <c r="CW669" s="144"/>
      <c r="CX669" s="145">
        <f>IF(ISERROR(VLOOKUP($A669,FIJOS!$B$11:$O$590,14,FALSE)),0,VLOOKUP($A669,FIJOS!$B$11:$O$590,14,FALSE))</f>
        <v>0</v>
      </c>
      <c r="CY669" s="145">
        <f>IF(ISERROR(VLOOKUP(A669,FIJOS!$B$10:$P$590,15,FALSE)),0,VLOOKUP(A669,FIJOS!$B$10:$P$590,15,FALSE))</f>
        <v>0</v>
      </c>
      <c r="CZ669" s="155"/>
      <c r="DA669" s="147"/>
      <c r="DB669" s="147"/>
      <c r="DC669" s="147"/>
      <c r="DD669" s="147"/>
      <c r="DE669" s="147"/>
      <c r="DF669" s="145">
        <f>IF(ISERROR(VLOOKUP($A669,FIJOS!$B$11:$N$590,13,FALSE)),0,VLOOKUP($A669,FIJOS!$B$11:$N$590,13,FALSE))</f>
        <v>0</v>
      </c>
      <c r="DG669" s="145">
        <f>IF(ISERROR(VLOOKUP($A669,FIJOS!$B$11:$P$447,12,FALSE)),0,VLOOKUP($A669,FIJOS!$B$11:$P$447,12,FALSE))</f>
        <v>0</v>
      </c>
      <c r="DH669" s="82">
        <f t="shared" si="290"/>
        <v>0</v>
      </c>
      <c r="DI669" s="83" t="b">
        <f>IF($C669=1,(VLOOKUP($A669,FIJOS!$B$11:$P$545,10,FALSE)/7)*(7-$CU669),IF(AND($C669=2,CV669&lt;$DJ$1),(VLOOKUP($D669,HORAS!$B$4:$C$42,2,FALSE)*24)*$CV669,IF(AND($C669=2,CV669&gt;=$DJ$1),VLOOKUP($D669,HORAS!$B$4:$D$42,3,FALSE),IF(AND($C669=3,$CV669&gt;=$DJ$1),VLOOKUP($A669,FIJOS!$B$11:$P$545,10,FALSE),IF(AND($C669=3,$CV669&lt;$DJ$1),((VLOOKUP($A669,FIJOS!$B$11:$P$545,10,FALSE)/48)*24)*$CV669,IF(AND($C669=4,$CV669&gt;=(42/24)),VLOOKUP($D669,HORAS!$B$4:$D$42,3,FALSE),IF(AND($C669=5,$CV669&gt;=(36/24)),VLOOKUP($D669,HORAS!$B$4:$D$42,3,FALSE))))))))</f>
        <v>0</v>
      </c>
      <c r="DJ669" s="145">
        <f>IF(OR($C669=2),VLOOKUP($D669,HORAS!$B$4:$E$42,4,FALSE)*$EC669,IF(ISERROR(VLOOKUP($A669,FIJOS!$B$11:$P$108,9,FALSE)),0,VLOOKUP($A669,FIJOS!$B$11:$P$231,9,FALSE)*$EC669))</f>
        <v>0</v>
      </c>
      <c r="DK669" s="145">
        <f>IF(OR($C669=2),VLOOKUP($D669,HORAS!$B$4:$F$42,5,FALSE)*$EE669,IF(ISERROR(VLOOKUP($A669,FIJOS!$B$11:$P$108,9,FALSE)),0,VLOOKUP($A669,FIJOS!$B$11:$P$231,9,FALSE)*$EE669))</f>
        <v>0</v>
      </c>
      <c r="DL669" s="144"/>
      <c r="DM669" s="145">
        <f>IF(ISERROR(VLOOKUP($A669,FIJOS!$B$11:$L$646,11,FALSE)),0,VLOOKUP($A669,FIJOS!$B$11:$L$646,11,FALSE))</f>
        <v>0</v>
      </c>
      <c r="DN669" s="148" t="e">
        <f>IF(OR($C669=1,$C669=3),0,IF((VLOOKUP(CAPTURA!D669,HORAS!$B$4:$K$42,10,FALSE)/4)*COUNTIF($H669:$CT669,3)&gt;100,100,(VLOOKUP(CAPTURA!D669,HORAS!$B$4:$K$42,10,FALSE)/4)*COUNTIF($H669:$CT669,3)))</f>
        <v>#N/A</v>
      </c>
      <c r="DO669" s="144" t="e">
        <f>IF(OR($C669=1,$C669=3),0,IF($C669=5,VLOOKUP(D669,HORAS!$B$4:$G$42,6,FALSE),IF(AND($C669=4,$CV669&gt;=(42/24)),VLOOKUP(D669,HORAS!$B$4:$G$42,6,FALSE),IF(COUNTIF($H669:$CL669,"F")&gt;0,0,IF(CV669&gt;$DJ$1,$DJ$1*(VLOOKUP(D669,HORAS!$B$4:$G$42,6,FALSE)/$DJ$1),CV669*(VLOOKUP(D669,HORAS!$B$4:$G$42,6,FALSE)/$DJ$1))))))</f>
        <v>#N/A</v>
      </c>
      <c r="DP669" s="156"/>
      <c r="DQ669" s="148"/>
      <c r="DR669" s="148"/>
      <c r="DS669" s="83" t="e">
        <f t="shared" si="319"/>
        <v>#N/A</v>
      </c>
      <c r="DT669" s="84"/>
      <c r="DU669" s="149" t="e">
        <f t="shared" si="291"/>
        <v>#N/A</v>
      </c>
      <c r="DV669" s="149" t="e">
        <f t="shared" si="292"/>
        <v>#N/A</v>
      </c>
      <c r="DW669" s="144" t="e">
        <f t="shared" si="293"/>
        <v>#N/A</v>
      </c>
      <c r="DX669" s="168"/>
      <c r="DY669" s="29"/>
      <c r="DZ669" s="150"/>
      <c r="EA669" s="134"/>
      <c r="EB669" s="137">
        <f t="shared" si="294"/>
        <v>0</v>
      </c>
      <c r="EC669" s="138">
        <f t="shared" si="295"/>
        <v>0</v>
      </c>
      <c r="ED669" s="137">
        <f t="shared" si="296"/>
        <v>0</v>
      </c>
      <c r="EE669" s="132">
        <f t="shared" si="297"/>
        <v>0</v>
      </c>
      <c r="EF669" s="29"/>
      <c r="EG669" s="134"/>
      <c r="EH669" s="134"/>
      <c r="EI669" s="134"/>
      <c r="EK669" s="29"/>
    </row>
    <row r="670" spans="1:141" ht="15" customHeight="1" x14ac:dyDescent="0.25">
      <c r="A670" s="87"/>
      <c r="B670" s="5"/>
      <c r="C670" s="72"/>
      <c r="D670" s="73"/>
      <c r="E670" s="73"/>
      <c r="F670" s="141"/>
      <c r="G670" s="74"/>
      <c r="H670" s="75"/>
      <c r="I670" s="76"/>
      <c r="J670" s="135"/>
      <c r="K670" s="135"/>
      <c r="L670" s="77">
        <f t="shared" si="298"/>
        <v>0</v>
      </c>
      <c r="M670" s="78"/>
      <c r="N670" s="142"/>
      <c r="O670" s="142"/>
      <c r="P670" s="77">
        <f t="shared" si="299"/>
        <v>0</v>
      </c>
      <c r="Q670" s="78"/>
      <c r="R670" s="143"/>
      <c r="S670" s="143"/>
      <c r="T670" s="77">
        <f t="shared" si="300"/>
        <v>0</v>
      </c>
      <c r="U670" s="75"/>
      <c r="V670" s="76"/>
      <c r="W670" s="135"/>
      <c r="X670" s="135"/>
      <c r="Y670" s="77">
        <f t="shared" si="301"/>
        <v>0</v>
      </c>
      <c r="Z670" s="78"/>
      <c r="AA670" s="142"/>
      <c r="AB670" s="142"/>
      <c r="AC670" s="77">
        <f t="shared" si="302"/>
        <v>0</v>
      </c>
      <c r="AD670" s="78"/>
      <c r="AE670" s="143"/>
      <c r="AF670" s="143"/>
      <c r="AG670" s="79">
        <f t="shared" si="303"/>
        <v>0</v>
      </c>
      <c r="AH670" s="75"/>
      <c r="AI670" s="76"/>
      <c r="AJ670" s="135"/>
      <c r="AK670" s="135"/>
      <c r="AL670" s="77">
        <f t="shared" si="304"/>
        <v>0</v>
      </c>
      <c r="AM670" s="76"/>
      <c r="AN670" s="142"/>
      <c r="AO670" s="142"/>
      <c r="AP670" s="77">
        <f t="shared" si="305"/>
        <v>0</v>
      </c>
      <c r="AQ670" s="78"/>
      <c r="AR670" s="142"/>
      <c r="AS670" s="142"/>
      <c r="AT670" s="79">
        <f t="shared" si="306"/>
        <v>0</v>
      </c>
      <c r="AU670" s="75"/>
      <c r="AV670" s="76"/>
      <c r="AW670" s="135"/>
      <c r="AX670" s="135"/>
      <c r="AY670" s="77">
        <f t="shared" si="307"/>
        <v>0</v>
      </c>
      <c r="AZ670" s="76"/>
      <c r="BA670" s="142"/>
      <c r="BB670" s="142"/>
      <c r="BC670" s="77">
        <f t="shared" si="308"/>
        <v>0</v>
      </c>
      <c r="BD670" s="78"/>
      <c r="BE670" s="142"/>
      <c r="BF670" s="142"/>
      <c r="BG670" s="79">
        <f t="shared" si="309"/>
        <v>0</v>
      </c>
      <c r="BH670" s="75"/>
      <c r="BI670" s="76"/>
      <c r="BJ670" s="135"/>
      <c r="BK670" s="135"/>
      <c r="BL670" s="77">
        <f t="shared" si="310"/>
        <v>0</v>
      </c>
      <c r="BM670" s="78"/>
      <c r="BN670" s="142"/>
      <c r="BO670" s="142"/>
      <c r="BP670" s="77">
        <f t="shared" si="311"/>
        <v>0</v>
      </c>
      <c r="BQ670" s="78"/>
      <c r="BR670" s="142"/>
      <c r="BS670" s="142"/>
      <c r="BT670" s="79">
        <f t="shared" si="312"/>
        <v>0</v>
      </c>
      <c r="BU670" s="75"/>
      <c r="BV670" s="76"/>
      <c r="BW670" s="135"/>
      <c r="BX670" s="135"/>
      <c r="BY670" s="77">
        <f t="shared" si="313"/>
        <v>0</v>
      </c>
      <c r="BZ670" s="78"/>
      <c r="CA670" s="142"/>
      <c r="CB670" s="142"/>
      <c r="CC670" s="77">
        <f t="shared" si="314"/>
        <v>0</v>
      </c>
      <c r="CD670" s="78"/>
      <c r="CE670" s="142"/>
      <c r="CF670" s="142"/>
      <c r="CG670" s="79">
        <f t="shared" si="315"/>
        <v>0</v>
      </c>
      <c r="CH670" s="75"/>
      <c r="CI670" s="76"/>
      <c r="CJ670" s="86"/>
      <c r="CK670" s="86"/>
      <c r="CL670" s="77">
        <f t="shared" si="316"/>
        <v>0</v>
      </c>
      <c r="CM670" s="78"/>
      <c r="CN670" s="85"/>
      <c r="CO670" s="85"/>
      <c r="CP670" s="77">
        <f t="shared" si="317"/>
        <v>0</v>
      </c>
      <c r="CQ670" s="78"/>
      <c r="CR670" s="85"/>
      <c r="CS670" s="85"/>
      <c r="CT670" s="79">
        <f t="shared" si="318"/>
        <v>0</v>
      </c>
      <c r="CU670" s="80">
        <f t="shared" si="320"/>
        <v>0</v>
      </c>
      <c r="CV670" s="81">
        <f t="shared" si="321"/>
        <v>0</v>
      </c>
      <c r="CW670" s="144"/>
      <c r="CX670" s="145">
        <f>IF(ISERROR(VLOOKUP($A670,FIJOS!$B$11:$O$590,14,FALSE)),0,VLOOKUP($A670,FIJOS!$B$11:$O$590,14,FALSE))</f>
        <v>0</v>
      </c>
      <c r="CY670" s="145">
        <f>IF(ISERROR(VLOOKUP(A670,FIJOS!$B$10:$P$590,15,FALSE)),0,VLOOKUP(A670,FIJOS!$B$10:$P$590,15,FALSE))</f>
        <v>0</v>
      </c>
      <c r="CZ670" s="155"/>
      <c r="DA670" s="147"/>
      <c r="DB670" s="147"/>
      <c r="DC670" s="147"/>
      <c r="DD670" s="147"/>
      <c r="DE670" s="147"/>
      <c r="DF670" s="145">
        <f>IF(ISERROR(VLOOKUP($A670,FIJOS!$B$11:$N$590,13,FALSE)),0,VLOOKUP($A670,FIJOS!$B$11:$N$590,13,FALSE))</f>
        <v>0</v>
      </c>
      <c r="DG670" s="145">
        <f>IF(ISERROR(VLOOKUP($A670,FIJOS!$B$11:$P$447,12,FALSE)),0,VLOOKUP($A670,FIJOS!$B$11:$P$447,12,FALSE))</f>
        <v>0</v>
      </c>
      <c r="DH670" s="82">
        <f t="shared" si="290"/>
        <v>0</v>
      </c>
      <c r="DI670" s="83" t="b">
        <f>IF($C670=1,(VLOOKUP($A670,FIJOS!$B$11:$P$545,10,FALSE)/7)*(7-$CU670),IF(AND($C670=2,CV670&lt;$DJ$1),(VLOOKUP($D670,HORAS!$B$4:$C$42,2,FALSE)*24)*$CV670,IF(AND($C670=2,CV670&gt;=$DJ$1),VLOOKUP($D670,HORAS!$B$4:$D$42,3,FALSE),IF(AND($C670=3,$CV670&gt;=$DJ$1),VLOOKUP($A670,FIJOS!$B$11:$P$545,10,FALSE),IF(AND($C670=3,$CV670&lt;$DJ$1),((VLOOKUP($A670,FIJOS!$B$11:$P$545,10,FALSE)/48)*24)*$CV670,IF(AND($C670=4,$CV670&gt;=(42/24)),VLOOKUP($D670,HORAS!$B$4:$D$42,3,FALSE),IF(AND($C670=5,$CV670&gt;=(36/24)),VLOOKUP($D670,HORAS!$B$4:$D$42,3,FALSE))))))))</f>
        <v>0</v>
      </c>
      <c r="DJ670" s="145">
        <f>IF(OR($C670=2),VLOOKUP($D670,HORAS!$B$4:$E$42,4,FALSE)*$EC670,IF(ISERROR(VLOOKUP($A670,FIJOS!$B$11:$P$108,9,FALSE)),0,VLOOKUP($A670,FIJOS!$B$11:$P$231,9,FALSE)*$EC670))</f>
        <v>0</v>
      </c>
      <c r="DK670" s="145">
        <f>IF(OR($C670=2),VLOOKUP($D670,HORAS!$B$4:$F$42,5,FALSE)*$EE670,IF(ISERROR(VLOOKUP($A670,FIJOS!$B$11:$P$108,9,FALSE)),0,VLOOKUP($A670,FIJOS!$B$11:$P$231,9,FALSE)*$EE670))</f>
        <v>0</v>
      </c>
      <c r="DL670" s="144"/>
      <c r="DM670" s="145">
        <f>IF(ISERROR(VLOOKUP($A670,FIJOS!$B$11:$L$646,11,FALSE)),0,VLOOKUP($A670,FIJOS!$B$11:$L$646,11,FALSE))</f>
        <v>0</v>
      </c>
      <c r="DN670" s="148" t="e">
        <f>IF(OR($C670=1,$C670=3),0,IF((VLOOKUP(CAPTURA!D670,HORAS!$B$4:$K$42,10,FALSE)/4)*COUNTIF($H670:$CT670,3)&gt;100,100,(VLOOKUP(CAPTURA!D670,HORAS!$B$4:$K$42,10,FALSE)/4)*COUNTIF($H670:$CT670,3)))</f>
        <v>#N/A</v>
      </c>
      <c r="DO670" s="144" t="e">
        <f>IF(OR($C670=1,$C670=3),0,IF($C670=5,VLOOKUP(D670,HORAS!$B$4:$G$42,6,FALSE),IF(AND($C670=4,$CV670&gt;=(42/24)),VLOOKUP(D670,HORAS!$B$4:$G$42,6,FALSE),IF(COUNTIF($H670:$CL670,"F")&gt;0,0,IF(CV670&gt;$DJ$1,$DJ$1*(VLOOKUP(D670,HORAS!$B$4:$G$42,6,FALSE)/$DJ$1),CV670*(VLOOKUP(D670,HORAS!$B$4:$G$42,6,FALSE)/$DJ$1))))))</f>
        <v>#N/A</v>
      </c>
      <c r="DP670" s="156"/>
      <c r="DQ670" s="148"/>
      <c r="DR670" s="148"/>
      <c r="DS670" s="83" t="e">
        <f t="shared" si="319"/>
        <v>#N/A</v>
      </c>
      <c r="DT670" s="84"/>
      <c r="DU670" s="149" t="e">
        <f t="shared" si="291"/>
        <v>#N/A</v>
      </c>
      <c r="DV670" s="149" t="e">
        <f t="shared" si="292"/>
        <v>#N/A</v>
      </c>
      <c r="DW670" s="144" t="e">
        <f t="shared" si="293"/>
        <v>#N/A</v>
      </c>
      <c r="DX670" s="168"/>
      <c r="DY670" s="29"/>
      <c r="DZ670" s="150"/>
      <c r="EA670" s="134"/>
      <c r="EB670" s="137">
        <f t="shared" si="294"/>
        <v>0</v>
      </c>
      <c r="EC670" s="138">
        <f t="shared" si="295"/>
        <v>0</v>
      </c>
      <c r="ED670" s="137">
        <f t="shared" si="296"/>
        <v>0</v>
      </c>
      <c r="EE670" s="132">
        <f t="shared" si="297"/>
        <v>0</v>
      </c>
      <c r="EF670" s="29"/>
      <c r="EG670" s="134"/>
      <c r="EH670" s="134"/>
      <c r="EI670" s="134"/>
      <c r="EK670" s="29"/>
    </row>
    <row r="671" spans="1:141" ht="15" customHeight="1" x14ac:dyDescent="0.25">
      <c r="A671" s="87"/>
      <c r="B671" s="5"/>
      <c r="C671" s="72"/>
      <c r="D671" s="73"/>
      <c r="E671" s="73"/>
      <c r="F671" s="141"/>
      <c r="G671" s="74"/>
      <c r="H671" s="75"/>
      <c r="I671" s="76"/>
      <c r="J671" s="135"/>
      <c r="K671" s="135"/>
      <c r="L671" s="77">
        <f t="shared" si="298"/>
        <v>0</v>
      </c>
      <c r="M671" s="78"/>
      <c r="N671" s="142"/>
      <c r="O671" s="142"/>
      <c r="P671" s="77">
        <f t="shared" si="299"/>
        <v>0</v>
      </c>
      <c r="Q671" s="78"/>
      <c r="R671" s="143"/>
      <c r="S671" s="143"/>
      <c r="T671" s="77">
        <f t="shared" si="300"/>
        <v>0</v>
      </c>
      <c r="U671" s="75"/>
      <c r="V671" s="76"/>
      <c r="W671" s="135"/>
      <c r="X671" s="135"/>
      <c r="Y671" s="77">
        <f t="shared" si="301"/>
        <v>0</v>
      </c>
      <c r="Z671" s="78"/>
      <c r="AA671" s="142"/>
      <c r="AB671" s="142"/>
      <c r="AC671" s="77">
        <f t="shared" si="302"/>
        <v>0</v>
      </c>
      <c r="AD671" s="78"/>
      <c r="AE671" s="143"/>
      <c r="AF671" s="143"/>
      <c r="AG671" s="79">
        <f t="shared" si="303"/>
        <v>0</v>
      </c>
      <c r="AH671" s="75"/>
      <c r="AI671" s="76"/>
      <c r="AJ671" s="135"/>
      <c r="AK671" s="135"/>
      <c r="AL671" s="77">
        <f t="shared" si="304"/>
        <v>0</v>
      </c>
      <c r="AM671" s="76"/>
      <c r="AN671" s="142"/>
      <c r="AO671" s="142"/>
      <c r="AP671" s="77">
        <f t="shared" si="305"/>
        <v>0</v>
      </c>
      <c r="AQ671" s="78"/>
      <c r="AR671" s="142"/>
      <c r="AS671" s="142"/>
      <c r="AT671" s="79">
        <f t="shared" si="306"/>
        <v>0</v>
      </c>
      <c r="AU671" s="75"/>
      <c r="AV671" s="76"/>
      <c r="AW671" s="135"/>
      <c r="AX671" s="135"/>
      <c r="AY671" s="77">
        <f t="shared" si="307"/>
        <v>0</v>
      </c>
      <c r="AZ671" s="76"/>
      <c r="BA671" s="142"/>
      <c r="BB671" s="142"/>
      <c r="BC671" s="77">
        <f t="shared" si="308"/>
        <v>0</v>
      </c>
      <c r="BD671" s="78"/>
      <c r="BE671" s="142"/>
      <c r="BF671" s="142"/>
      <c r="BG671" s="79">
        <f t="shared" si="309"/>
        <v>0</v>
      </c>
      <c r="BH671" s="75"/>
      <c r="BI671" s="76"/>
      <c r="BJ671" s="135"/>
      <c r="BK671" s="135"/>
      <c r="BL671" s="77">
        <f t="shared" si="310"/>
        <v>0</v>
      </c>
      <c r="BM671" s="78"/>
      <c r="BN671" s="142"/>
      <c r="BO671" s="142"/>
      <c r="BP671" s="77">
        <f t="shared" si="311"/>
        <v>0</v>
      </c>
      <c r="BQ671" s="78"/>
      <c r="BR671" s="142"/>
      <c r="BS671" s="142"/>
      <c r="BT671" s="79">
        <f t="shared" si="312"/>
        <v>0</v>
      </c>
      <c r="BU671" s="75"/>
      <c r="BV671" s="76"/>
      <c r="BW671" s="135"/>
      <c r="BX671" s="135"/>
      <c r="BY671" s="77">
        <f t="shared" si="313"/>
        <v>0</v>
      </c>
      <c r="BZ671" s="78"/>
      <c r="CA671" s="142"/>
      <c r="CB671" s="142"/>
      <c r="CC671" s="77">
        <f t="shared" si="314"/>
        <v>0</v>
      </c>
      <c r="CD671" s="78"/>
      <c r="CE671" s="142"/>
      <c r="CF671" s="142"/>
      <c r="CG671" s="79">
        <f t="shared" si="315"/>
        <v>0</v>
      </c>
      <c r="CH671" s="75"/>
      <c r="CI671" s="76"/>
      <c r="CJ671" s="86"/>
      <c r="CK671" s="86"/>
      <c r="CL671" s="77">
        <f t="shared" si="316"/>
        <v>0</v>
      </c>
      <c r="CM671" s="78"/>
      <c r="CN671" s="85"/>
      <c r="CO671" s="85"/>
      <c r="CP671" s="77">
        <f t="shared" si="317"/>
        <v>0</v>
      </c>
      <c r="CQ671" s="78"/>
      <c r="CR671" s="85"/>
      <c r="CS671" s="85"/>
      <c r="CT671" s="79">
        <f t="shared" si="318"/>
        <v>0</v>
      </c>
      <c r="CU671" s="80">
        <f t="shared" si="320"/>
        <v>0</v>
      </c>
      <c r="CV671" s="81">
        <f t="shared" si="321"/>
        <v>0</v>
      </c>
      <c r="CW671" s="144"/>
      <c r="CX671" s="145">
        <f>IF(ISERROR(VLOOKUP($A671,FIJOS!$B$11:$O$590,14,FALSE)),0,VLOOKUP($A671,FIJOS!$B$11:$O$590,14,FALSE))</f>
        <v>0</v>
      </c>
      <c r="CY671" s="145">
        <f>IF(ISERROR(VLOOKUP(A671,FIJOS!$B$10:$P$590,15,FALSE)),0,VLOOKUP(A671,FIJOS!$B$10:$P$590,15,FALSE))</f>
        <v>0</v>
      </c>
      <c r="CZ671" s="155"/>
      <c r="DA671" s="147"/>
      <c r="DB671" s="147"/>
      <c r="DC671" s="147"/>
      <c r="DD671" s="147"/>
      <c r="DE671" s="147"/>
      <c r="DF671" s="145">
        <f>IF(ISERROR(VLOOKUP($A671,FIJOS!$B$11:$N$590,13,FALSE)),0,VLOOKUP($A671,FIJOS!$B$11:$N$590,13,FALSE))</f>
        <v>0</v>
      </c>
      <c r="DG671" s="145">
        <f>IF(ISERROR(VLOOKUP($A671,FIJOS!$B$11:$P$447,12,FALSE)),0,VLOOKUP($A671,FIJOS!$B$11:$P$447,12,FALSE))</f>
        <v>0</v>
      </c>
      <c r="DH671" s="82">
        <f t="shared" si="290"/>
        <v>0</v>
      </c>
      <c r="DI671" s="83" t="b">
        <f>IF($C671=1,(VLOOKUP($A671,FIJOS!$B$11:$P$545,10,FALSE)/7)*(7-$CU671),IF(AND($C671=2,CV671&lt;$DJ$1),(VLOOKUP($D671,HORAS!$B$4:$C$42,2,FALSE)*24)*$CV671,IF(AND($C671=2,CV671&gt;=$DJ$1),VLOOKUP($D671,HORAS!$B$4:$D$42,3,FALSE),IF(AND($C671=3,$CV671&gt;=$DJ$1),VLOOKUP($A671,FIJOS!$B$11:$P$545,10,FALSE),IF(AND($C671=3,$CV671&lt;$DJ$1),((VLOOKUP($A671,FIJOS!$B$11:$P$545,10,FALSE)/48)*24)*$CV671,IF(AND($C671=4,$CV671&gt;=(42/24)),VLOOKUP($D671,HORAS!$B$4:$D$42,3,FALSE),IF(AND($C671=5,$CV671&gt;=(36/24)),VLOOKUP($D671,HORAS!$B$4:$D$42,3,FALSE))))))))</f>
        <v>0</v>
      </c>
      <c r="DJ671" s="145">
        <f>IF(OR($C671=2),VLOOKUP($D671,HORAS!$B$4:$E$42,4,FALSE)*$EC671,IF(ISERROR(VLOOKUP($A671,FIJOS!$B$11:$P$108,9,FALSE)),0,VLOOKUP($A671,FIJOS!$B$11:$P$231,9,FALSE)*$EC671))</f>
        <v>0</v>
      </c>
      <c r="DK671" s="145">
        <f>IF(OR($C671=2),VLOOKUP($D671,HORAS!$B$4:$F$42,5,FALSE)*$EE671,IF(ISERROR(VLOOKUP($A671,FIJOS!$B$11:$P$108,9,FALSE)),0,VLOOKUP($A671,FIJOS!$B$11:$P$231,9,FALSE)*$EE671))</f>
        <v>0</v>
      </c>
      <c r="DL671" s="144"/>
      <c r="DM671" s="145">
        <f>IF(ISERROR(VLOOKUP($A671,FIJOS!$B$11:$L$646,11,FALSE)),0,VLOOKUP($A671,FIJOS!$B$11:$L$646,11,FALSE))</f>
        <v>0</v>
      </c>
      <c r="DN671" s="148" t="e">
        <f>IF(OR($C671=1,$C671=3),0,IF((VLOOKUP(CAPTURA!D671,HORAS!$B$4:$K$42,10,FALSE)/4)*COUNTIF($H671:$CT671,3)&gt;100,100,(VLOOKUP(CAPTURA!D671,HORAS!$B$4:$K$42,10,FALSE)/4)*COUNTIF($H671:$CT671,3)))</f>
        <v>#N/A</v>
      </c>
      <c r="DO671" s="144" t="e">
        <f>IF(OR($C671=1,$C671=3),0,IF($C671=5,VLOOKUP(D671,HORAS!$B$4:$G$42,6,FALSE),IF(AND($C671=4,$CV671&gt;=(42/24)),VLOOKUP(D671,HORAS!$B$4:$G$42,6,FALSE),IF(COUNTIF($H671:$CL671,"F")&gt;0,0,IF(CV671&gt;$DJ$1,$DJ$1*(VLOOKUP(D671,HORAS!$B$4:$G$42,6,FALSE)/$DJ$1),CV671*(VLOOKUP(D671,HORAS!$B$4:$G$42,6,FALSE)/$DJ$1))))))</f>
        <v>#N/A</v>
      </c>
      <c r="DP671" s="156"/>
      <c r="DQ671" s="148"/>
      <c r="DR671" s="148"/>
      <c r="DS671" s="83" t="e">
        <f t="shared" si="319"/>
        <v>#N/A</v>
      </c>
      <c r="DT671" s="84"/>
      <c r="DU671" s="149" t="e">
        <f t="shared" si="291"/>
        <v>#N/A</v>
      </c>
      <c r="DV671" s="149" t="e">
        <f t="shared" si="292"/>
        <v>#N/A</v>
      </c>
      <c r="DW671" s="144" t="e">
        <f t="shared" si="293"/>
        <v>#N/A</v>
      </c>
      <c r="DX671" s="168"/>
      <c r="DY671" s="29"/>
      <c r="DZ671" s="150"/>
      <c r="EA671" s="134"/>
      <c r="EB671" s="137">
        <f t="shared" si="294"/>
        <v>0</v>
      </c>
      <c r="EC671" s="138">
        <f t="shared" si="295"/>
        <v>0</v>
      </c>
      <c r="ED671" s="137">
        <f t="shared" si="296"/>
        <v>0</v>
      </c>
      <c r="EE671" s="132">
        <f t="shared" si="297"/>
        <v>0</v>
      </c>
      <c r="EF671" s="29"/>
      <c r="EG671" s="134"/>
      <c r="EH671" s="134"/>
      <c r="EI671" s="134"/>
      <c r="EK671" s="29"/>
    </row>
    <row r="672" spans="1:141" ht="15" customHeight="1" x14ac:dyDescent="0.25">
      <c r="A672" s="87"/>
      <c r="B672" s="5"/>
      <c r="C672" s="72"/>
      <c r="D672" s="73"/>
      <c r="E672" s="73"/>
      <c r="F672" s="141"/>
      <c r="G672" s="74"/>
      <c r="H672" s="75"/>
      <c r="I672" s="76"/>
      <c r="J672" s="135"/>
      <c r="K672" s="135"/>
      <c r="L672" s="77">
        <f t="shared" si="298"/>
        <v>0</v>
      </c>
      <c r="M672" s="78"/>
      <c r="N672" s="142"/>
      <c r="O672" s="142"/>
      <c r="P672" s="77">
        <f t="shared" si="299"/>
        <v>0</v>
      </c>
      <c r="Q672" s="78"/>
      <c r="R672" s="143"/>
      <c r="S672" s="143"/>
      <c r="T672" s="77">
        <f t="shared" si="300"/>
        <v>0</v>
      </c>
      <c r="U672" s="75"/>
      <c r="V672" s="76"/>
      <c r="W672" s="135"/>
      <c r="X672" s="135"/>
      <c r="Y672" s="77">
        <f t="shared" si="301"/>
        <v>0</v>
      </c>
      <c r="Z672" s="78"/>
      <c r="AA672" s="142"/>
      <c r="AB672" s="142"/>
      <c r="AC672" s="77">
        <f t="shared" si="302"/>
        <v>0</v>
      </c>
      <c r="AD672" s="78"/>
      <c r="AE672" s="143"/>
      <c r="AF672" s="143"/>
      <c r="AG672" s="79">
        <f t="shared" si="303"/>
        <v>0</v>
      </c>
      <c r="AH672" s="75"/>
      <c r="AI672" s="76"/>
      <c r="AJ672" s="135"/>
      <c r="AK672" s="135"/>
      <c r="AL672" s="77">
        <f t="shared" si="304"/>
        <v>0</v>
      </c>
      <c r="AM672" s="76"/>
      <c r="AN672" s="142"/>
      <c r="AO672" s="142"/>
      <c r="AP672" s="77">
        <f t="shared" si="305"/>
        <v>0</v>
      </c>
      <c r="AQ672" s="78"/>
      <c r="AR672" s="142"/>
      <c r="AS672" s="142"/>
      <c r="AT672" s="79">
        <f t="shared" si="306"/>
        <v>0</v>
      </c>
      <c r="AU672" s="75"/>
      <c r="AV672" s="76"/>
      <c r="AW672" s="135"/>
      <c r="AX672" s="135"/>
      <c r="AY672" s="77">
        <f t="shared" si="307"/>
        <v>0</v>
      </c>
      <c r="AZ672" s="76"/>
      <c r="BA672" s="142"/>
      <c r="BB672" s="142"/>
      <c r="BC672" s="77">
        <f t="shared" si="308"/>
        <v>0</v>
      </c>
      <c r="BD672" s="78"/>
      <c r="BE672" s="142"/>
      <c r="BF672" s="142"/>
      <c r="BG672" s="79">
        <f t="shared" si="309"/>
        <v>0</v>
      </c>
      <c r="BH672" s="75"/>
      <c r="BI672" s="76"/>
      <c r="BJ672" s="135"/>
      <c r="BK672" s="135"/>
      <c r="BL672" s="77">
        <f t="shared" si="310"/>
        <v>0</v>
      </c>
      <c r="BM672" s="78"/>
      <c r="BN672" s="142"/>
      <c r="BO672" s="142"/>
      <c r="BP672" s="77">
        <f t="shared" si="311"/>
        <v>0</v>
      </c>
      <c r="BQ672" s="78"/>
      <c r="BR672" s="142"/>
      <c r="BS672" s="142"/>
      <c r="BT672" s="79">
        <f t="shared" si="312"/>
        <v>0</v>
      </c>
      <c r="BU672" s="75"/>
      <c r="BV672" s="76"/>
      <c r="BW672" s="135"/>
      <c r="BX672" s="135"/>
      <c r="BY672" s="77">
        <f t="shared" si="313"/>
        <v>0</v>
      </c>
      <c r="BZ672" s="78"/>
      <c r="CA672" s="142"/>
      <c r="CB672" s="142"/>
      <c r="CC672" s="77">
        <f t="shared" si="314"/>
        <v>0</v>
      </c>
      <c r="CD672" s="78"/>
      <c r="CE672" s="142"/>
      <c r="CF672" s="142"/>
      <c r="CG672" s="79">
        <f t="shared" si="315"/>
        <v>0</v>
      </c>
      <c r="CH672" s="75"/>
      <c r="CI672" s="76"/>
      <c r="CJ672" s="86"/>
      <c r="CK672" s="86"/>
      <c r="CL672" s="77">
        <f t="shared" si="316"/>
        <v>0</v>
      </c>
      <c r="CM672" s="78"/>
      <c r="CN672" s="85"/>
      <c r="CO672" s="85"/>
      <c r="CP672" s="77">
        <f t="shared" si="317"/>
        <v>0</v>
      </c>
      <c r="CQ672" s="78"/>
      <c r="CR672" s="85"/>
      <c r="CS672" s="85"/>
      <c r="CT672" s="79">
        <f t="shared" si="318"/>
        <v>0</v>
      </c>
      <c r="CU672" s="80">
        <f t="shared" si="320"/>
        <v>0</v>
      </c>
      <c r="CV672" s="81">
        <f t="shared" si="321"/>
        <v>0</v>
      </c>
      <c r="CW672" s="144"/>
      <c r="CX672" s="145">
        <f>IF(ISERROR(VLOOKUP($A672,FIJOS!$B$11:$O$590,14,FALSE)),0,VLOOKUP($A672,FIJOS!$B$11:$O$590,14,FALSE))</f>
        <v>0</v>
      </c>
      <c r="CY672" s="145">
        <f>IF(ISERROR(VLOOKUP(A672,FIJOS!$B$10:$P$590,15,FALSE)),0,VLOOKUP(A672,FIJOS!$B$10:$P$590,15,FALSE))</f>
        <v>0</v>
      </c>
      <c r="CZ672" s="155"/>
      <c r="DA672" s="147"/>
      <c r="DB672" s="147"/>
      <c r="DC672" s="147"/>
      <c r="DD672" s="147"/>
      <c r="DE672" s="147"/>
      <c r="DF672" s="145">
        <f>IF(ISERROR(VLOOKUP($A672,FIJOS!$B$11:$N$590,13,FALSE)),0,VLOOKUP($A672,FIJOS!$B$11:$N$590,13,FALSE))</f>
        <v>0</v>
      </c>
      <c r="DG672" s="145">
        <f>IF(ISERROR(VLOOKUP($A672,FIJOS!$B$11:$P$447,12,FALSE)),0,VLOOKUP($A672,FIJOS!$B$11:$P$447,12,FALSE))</f>
        <v>0</v>
      </c>
      <c r="DH672" s="82">
        <f t="shared" si="290"/>
        <v>0</v>
      </c>
      <c r="DI672" s="83" t="b">
        <f>IF($C672=1,(VLOOKUP($A672,FIJOS!$B$11:$P$545,10,FALSE)/7)*(7-$CU672),IF(AND($C672=2,CV672&lt;$DJ$1),(VLOOKUP($D672,HORAS!$B$4:$C$42,2,FALSE)*24)*$CV672,IF(AND($C672=2,CV672&gt;=$DJ$1),VLOOKUP($D672,HORAS!$B$4:$D$42,3,FALSE),IF(AND($C672=3,$CV672&gt;=$DJ$1),VLOOKUP($A672,FIJOS!$B$11:$P$545,10,FALSE),IF(AND($C672=3,$CV672&lt;$DJ$1),((VLOOKUP($A672,FIJOS!$B$11:$P$545,10,FALSE)/48)*24)*$CV672,IF(AND($C672=4,$CV672&gt;=(42/24)),VLOOKUP($D672,HORAS!$B$4:$D$42,3,FALSE),IF(AND($C672=5,$CV672&gt;=(36/24)),VLOOKUP($D672,HORAS!$B$4:$D$42,3,FALSE))))))))</f>
        <v>0</v>
      </c>
      <c r="DJ672" s="145">
        <f>IF(OR($C672=2),VLOOKUP($D672,HORAS!$B$4:$E$42,4,FALSE)*$EC672,IF(ISERROR(VLOOKUP($A672,FIJOS!$B$11:$P$108,9,FALSE)),0,VLOOKUP($A672,FIJOS!$B$11:$P$231,9,FALSE)*$EC672))</f>
        <v>0</v>
      </c>
      <c r="DK672" s="145">
        <f>IF(OR($C672=2),VLOOKUP($D672,HORAS!$B$4:$F$42,5,FALSE)*$EE672,IF(ISERROR(VLOOKUP($A672,FIJOS!$B$11:$P$108,9,FALSE)),0,VLOOKUP($A672,FIJOS!$B$11:$P$231,9,FALSE)*$EE672))</f>
        <v>0</v>
      </c>
      <c r="DL672" s="144"/>
      <c r="DM672" s="145">
        <f>IF(ISERROR(VLOOKUP($A672,FIJOS!$B$11:$L$646,11,FALSE)),0,VLOOKUP($A672,FIJOS!$B$11:$L$646,11,FALSE))</f>
        <v>0</v>
      </c>
      <c r="DN672" s="148" t="e">
        <f>IF(OR($C672=1,$C672=3),0,IF((VLOOKUP(CAPTURA!D672,HORAS!$B$4:$K$42,10,FALSE)/4)*COUNTIF($H672:$CT672,3)&gt;100,100,(VLOOKUP(CAPTURA!D672,HORAS!$B$4:$K$42,10,FALSE)/4)*COUNTIF($H672:$CT672,3)))</f>
        <v>#N/A</v>
      </c>
      <c r="DO672" s="144" t="e">
        <f>IF(OR($C672=1,$C672=3),0,IF($C672=5,VLOOKUP(D672,HORAS!$B$4:$G$42,6,FALSE),IF(AND($C672=4,$CV672&gt;=(42/24)),VLOOKUP(D672,HORAS!$B$4:$G$42,6,FALSE),IF(COUNTIF($H672:$CL672,"F")&gt;0,0,IF(CV672&gt;$DJ$1,$DJ$1*(VLOOKUP(D672,HORAS!$B$4:$G$42,6,FALSE)/$DJ$1),CV672*(VLOOKUP(D672,HORAS!$B$4:$G$42,6,FALSE)/$DJ$1))))))</f>
        <v>#N/A</v>
      </c>
      <c r="DP672" s="156"/>
      <c r="DQ672" s="148"/>
      <c r="DR672" s="148"/>
      <c r="DS672" s="83" t="e">
        <f t="shared" si="319"/>
        <v>#N/A</v>
      </c>
      <c r="DT672" s="84"/>
      <c r="DU672" s="149" t="e">
        <f t="shared" si="291"/>
        <v>#N/A</v>
      </c>
      <c r="DV672" s="149" t="e">
        <f t="shared" si="292"/>
        <v>#N/A</v>
      </c>
      <c r="DW672" s="144" t="e">
        <f t="shared" si="293"/>
        <v>#N/A</v>
      </c>
      <c r="DX672" s="168"/>
      <c r="DY672" s="29"/>
      <c r="DZ672" s="150"/>
      <c r="EA672" s="134"/>
      <c r="EB672" s="137">
        <f t="shared" si="294"/>
        <v>0</v>
      </c>
      <c r="EC672" s="138">
        <f t="shared" si="295"/>
        <v>0</v>
      </c>
      <c r="ED672" s="137">
        <f t="shared" si="296"/>
        <v>0</v>
      </c>
      <c r="EE672" s="132">
        <f t="shared" si="297"/>
        <v>0</v>
      </c>
      <c r="EF672" s="29"/>
      <c r="EG672" s="134"/>
      <c r="EH672" s="134"/>
      <c r="EI672" s="134"/>
      <c r="EK672" s="29"/>
    </row>
    <row r="673" spans="1:141" ht="15" customHeight="1" x14ac:dyDescent="0.25">
      <c r="A673" s="87"/>
      <c r="B673" s="5"/>
      <c r="C673" s="72"/>
      <c r="D673" s="73"/>
      <c r="E673" s="73"/>
      <c r="F673" s="141"/>
      <c r="G673" s="74"/>
      <c r="H673" s="75"/>
      <c r="I673" s="76"/>
      <c r="J673" s="135"/>
      <c r="K673" s="135"/>
      <c r="L673" s="77">
        <f t="shared" si="298"/>
        <v>0</v>
      </c>
      <c r="M673" s="78"/>
      <c r="N673" s="142"/>
      <c r="O673" s="142"/>
      <c r="P673" s="77">
        <f t="shared" si="299"/>
        <v>0</v>
      </c>
      <c r="Q673" s="78"/>
      <c r="R673" s="143"/>
      <c r="S673" s="143"/>
      <c r="T673" s="77">
        <f t="shared" si="300"/>
        <v>0</v>
      </c>
      <c r="U673" s="75"/>
      <c r="V673" s="76"/>
      <c r="W673" s="135"/>
      <c r="X673" s="135"/>
      <c r="Y673" s="77">
        <f t="shared" si="301"/>
        <v>0</v>
      </c>
      <c r="Z673" s="78"/>
      <c r="AA673" s="142"/>
      <c r="AB673" s="142"/>
      <c r="AC673" s="77">
        <f t="shared" si="302"/>
        <v>0</v>
      </c>
      <c r="AD673" s="78"/>
      <c r="AE673" s="143"/>
      <c r="AF673" s="143"/>
      <c r="AG673" s="79">
        <f t="shared" si="303"/>
        <v>0</v>
      </c>
      <c r="AH673" s="75"/>
      <c r="AI673" s="76"/>
      <c r="AJ673" s="135"/>
      <c r="AK673" s="135"/>
      <c r="AL673" s="77">
        <f t="shared" si="304"/>
        <v>0</v>
      </c>
      <c r="AM673" s="76"/>
      <c r="AN673" s="142"/>
      <c r="AO673" s="142"/>
      <c r="AP673" s="77">
        <f t="shared" si="305"/>
        <v>0</v>
      </c>
      <c r="AQ673" s="78"/>
      <c r="AR673" s="142"/>
      <c r="AS673" s="142"/>
      <c r="AT673" s="79">
        <f t="shared" si="306"/>
        <v>0</v>
      </c>
      <c r="AU673" s="75"/>
      <c r="AV673" s="76"/>
      <c r="AW673" s="135"/>
      <c r="AX673" s="135"/>
      <c r="AY673" s="77">
        <f t="shared" si="307"/>
        <v>0</v>
      </c>
      <c r="AZ673" s="76"/>
      <c r="BA673" s="142"/>
      <c r="BB673" s="142"/>
      <c r="BC673" s="77">
        <f t="shared" si="308"/>
        <v>0</v>
      </c>
      <c r="BD673" s="78"/>
      <c r="BE673" s="142"/>
      <c r="BF673" s="142"/>
      <c r="BG673" s="79">
        <f t="shared" si="309"/>
        <v>0</v>
      </c>
      <c r="BH673" s="75"/>
      <c r="BI673" s="76"/>
      <c r="BJ673" s="135"/>
      <c r="BK673" s="135"/>
      <c r="BL673" s="77">
        <f t="shared" si="310"/>
        <v>0</v>
      </c>
      <c r="BM673" s="78"/>
      <c r="BN673" s="142"/>
      <c r="BO673" s="142"/>
      <c r="BP673" s="77">
        <f t="shared" si="311"/>
        <v>0</v>
      </c>
      <c r="BQ673" s="78"/>
      <c r="BR673" s="142"/>
      <c r="BS673" s="142"/>
      <c r="BT673" s="79">
        <f t="shared" si="312"/>
        <v>0</v>
      </c>
      <c r="BU673" s="75"/>
      <c r="BV673" s="76"/>
      <c r="BW673" s="135"/>
      <c r="BX673" s="135"/>
      <c r="BY673" s="77">
        <f t="shared" si="313"/>
        <v>0</v>
      </c>
      <c r="BZ673" s="78"/>
      <c r="CA673" s="142"/>
      <c r="CB673" s="142"/>
      <c r="CC673" s="77">
        <f t="shared" si="314"/>
        <v>0</v>
      </c>
      <c r="CD673" s="78"/>
      <c r="CE673" s="142"/>
      <c r="CF673" s="142"/>
      <c r="CG673" s="79">
        <f t="shared" si="315"/>
        <v>0</v>
      </c>
      <c r="CH673" s="75"/>
      <c r="CI673" s="76"/>
      <c r="CJ673" s="86"/>
      <c r="CK673" s="86"/>
      <c r="CL673" s="77">
        <f t="shared" si="316"/>
        <v>0</v>
      </c>
      <c r="CM673" s="78"/>
      <c r="CN673" s="85"/>
      <c r="CO673" s="85"/>
      <c r="CP673" s="77">
        <f t="shared" si="317"/>
        <v>0</v>
      </c>
      <c r="CQ673" s="78"/>
      <c r="CR673" s="85"/>
      <c r="CS673" s="85"/>
      <c r="CT673" s="79">
        <f t="shared" si="318"/>
        <v>0</v>
      </c>
      <c r="CU673" s="80">
        <f t="shared" si="320"/>
        <v>0</v>
      </c>
      <c r="CV673" s="81">
        <f t="shared" si="321"/>
        <v>0</v>
      </c>
      <c r="CW673" s="144"/>
      <c r="CX673" s="145">
        <f>IF(ISERROR(VLOOKUP($A673,FIJOS!$B$11:$O$590,14,FALSE)),0,VLOOKUP($A673,FIJOS!$B$11:$O$590,14,FALSE))</f>
        <v>0</v>
      </c>
      <c r="CY673" s="145">
        <f>IF(ISERROR(VLOOKUP(A673,FIJOS!$B$10:$P$590,15,FALSE)),0,VLOOKUP(A673,FIJOS!$B$10:$P$590,15,FALSE))</f>
        <v>0</v>
      </c>
      <c r="CZ673" s="155"/>
      <c r="DA673" s="147"/>
      <c r="DB673" s="147"/>
      <c r="DC673" s="147"/>
      <c r="DD673" s="147"/>
      <c r="DE673" s="147"/>
      <c r="DF673" s="145">
        <f>IF(ISERROR(VLOOKUP($A673,FIJOS!$B$11:$N$590,13,FALSE)),0,VLOOKUP($A673,FIJOS!$B$11:$N$590,13,FALSE))</f>
        <v>0</v>
      </c>
      <c r="DG673" s="145">
        <f>IF(ISERROR(VLOOKUP($A673,FIJOS!$B$11:$P$447,12,FALSE)),0,VLOOKUP($A673,FIJOS!$B$11:$P$447,12,FALSE))</f>
        <v>0</v>
      </c>
      <c r="DH673" s="82">
        <f t="shared" si="290"/>
        <v>0</v>
      </c>
      <c r="DI673" s="83" t="b">
        <f>IF($C673=1,(VLOOKUP($A673,FIJOS!$B$11:$P$545,10,FALSE)/7)*(7-$CU673),IF(AND($C673=2,CV673&lt;$DJ$1),(VLOOKUP($D673,HORAS!$B$4:$C$42,2,FALSE)*24)*$CV673,IF(AND($C673=2,CV673&gt;=$DJ$1),VLOOKUP($D673,HORAS!$B$4:$D$42,3,FALSE),IF(AND($C673=3,$CV673&gt;=$DJ$1),VLOOKUP($A673,FIJOS!$B$11:$P$545,10,FALSE),IF(AND($C673=3,$CV673&lt;$DJ$1),((VLOOKUP($A673,FIJOS!$B$11:$P$545,10,FALSE)/48)*24)*$CV673,IF(AND($C673=4,$CV673&gt;=(42/24)),VLOOKUP($D673,HORAS!$B$4:$D$42,3,FALSE),IF(AND($C673=5,$CV673&gt;=(36/24)),VLOOKUP($D673,HORAS!$B$4:$D$42,3,FALSE))))))))</f>
        <v>0</v>
      </c>
      <c r="DJ673" s="145">
        <f>IF(OR($C673=2),VLOOKUP($D673,HORAS!$B$4:$E$42,4,FALSE)*$EC673,IF(ISERROR(VLOOKUP($A673,FIJOS!$B$11:$P$108,9,FALSE)),0,VLOOKUP($A673,FIJOS!$B$11:$P$231,9,FALSE)*$EC673))</f>
        <v>0</v>
      </c>
      <c r="DK673" s="145">
        <f>IF(OR($C673=2),VLOOKUP($D673,HORAS!$B$4:$F$42,5,FALSE)*$EE673,IF(ISERROR(VLOOKUP($A673,FIJOS!$B$11:$P$108,9,FALSE)),0,VLOOKUP($A673,FIJOS!$B$11:$P$231,9,FALSE)*$EE673))</f>
        <v>0</v>
      </c>
      <c r="DL673" s="144"/>
      <c r="DM673" s="145">
        <f>IF(ISERROR(VLOOKUP($A673,FIJOS!$B$11:$L$646,11,FALSE)),0,VLOOKUP($A673,FIJOS!$B$11:$L$646,11,FALSE))</f>
        <v>0</v>
      </c>
      <c r="DN673" s="148" t="e">
        <f>IF(OR($C673=1,$C673=3),0,IF((VLOOKUP(CAPTURA!D673,HORAS!$B$4:$K$42,10,FALSE)/4)*COUNTIF($H673:$CT673,3)&gt;100,100,(VLOOKUP(CAPTURA!D673,HORAS!$B$4:$K$42,10,FALSE)/4)*COUNTIF($H673:$CT673,3)))</f>
        <v>#N/A</v>
      </c>
      <c r="DO673" s="144" t="e">
        <f>IF(OR($C673=1,$C673=3),0,IF($C673=5,VLOOKUP(D673,HORAS!$B$4:$G$42,6,FALSE),IF(AND($C673=4,$CV673&gt;=(42/24)),VLOOKUP(D673,HORAS!$B$4:$G$42,6,FALSE),IF(COUNTIF($H673:$CL673,"F")&gt;0,0,IF(CV673&gt;$DJ$1,$DJ$1*(VLOOKUP(D673,HORAS!$B$4:$G$42,6,FALSE)/$DJ$1),CV673*(VLOOKUP(D673,HORAS!$B$4:$G$42,6,FALSE)/$DJ$1))))))</f>
        <v>#N/A</v>
      </c>
      <c r="DP673" s="156"/>
      <c r="DQ673" s="148"/>
      <c r="DR673" s="148"/>
      <c r="DS673" s="83" t="e">
        <f t="shared" si="319"/>
        <v>#N/A</v>
      </c>
      <c r="DT673" s="84"/>
      <c r="DU673" s="149" t="e">
        <f t="shared" si="291"/>
        <v>#N/A</v>
      </c>
      <c r="DV673" s="149" t="e">
        <f t="shared" si="292"/>
        <v>#N/A</v>
      </c>
      <c r="DW673" s="144" t="e">
        <f t="shared" si="293"/>
        <v>#N/A</v>
      </c>
      <c r="DX673" s="168"/>
      <c r="DY673" s="29"/>
      <c r="DZ673" s="150"/>
      <c r="EA673" s="134"/>
      <c r="EB673" s="137">
        <f t="shared" si="294"/>
        <v>0</v>
      </c>
      <c r="EC673" s="138">
        <f t="shared" si="295"/>
        <v>0</v>
      </c>
      <c r="ED673" s="137">
        <f t="shared" si="296"/>
        <v>0</v>
      </c>
      <c r="EE673" s="132">
        <f t="shared" si="297"/>
        <v>0</v>
      </c>
      <c r="EF673" s="29"/>
      <c r="EG673" s="134"/>
      <c r="EH673" s="134"/>
      <c r="EI673" s="134"/>
      <c r="EK673" s="29"/>
    </row>
    <row r="674" spans="1:141" ht="15" customHeight="1" x14ac:dyDescent="0.25">
      <c r="A674" s="87"/>
      <c r="B674" s="5"/>
      <c r="C674" s="72"/>
      <c r="D674" s="73"/>
      <c r="E674" s="73"/>
      <c r="F674" s="141"/>
      <c r="G674" s="74"/>
      <c r="H674" s="75"/>
      <c r="I674" s="76"/>
      <c r="J674" s="135"/>
      <c r="K674" s="135"/>
      <c r="L674" s="77">
        <f t="shared" si="298"/>
        <v>0</v>
      </c>
      <c r="M674" s="78"/>
      <c r="N674" s="142"/>
      <c r="O674" s="142"/>
      <c r="P674" s="77">
        <f t="shared" si="299"/>
        <v>0</v>
      </c>
      <c r="Q674" s="78"/>
      <c r="R674" s="143"/>
      <c r="S674" s="143"/>
      <c r="T674" s="77">
        <f t="shared" si="300"/>
        <v>0</v>
      </c>
      <c r="U674" s="75"/>
      <c r="V674" s="76"/>
      <c r="W674" s="135"/>
      <c r="X674" s="135"/>
      <c r="Y674" s="77">
        <f t="shared" si="301"/>
        <v>0</v>
      </c>
      <c r="Z674" s="78"/>
      <c r="AA674" s="142"/>
      <c r="AB674" s="142"/>
      <c r="AC674" s="77">
        <f t="shared" si="302"/>
        <v>0</v>
      </c>
      <c r="AD674" s="78"/>
      <c r="AE674" s="143"/>
      <c r="AF674" s="143"/>
      <c r="AG674" s="79">
        <f t="shared" si="303"/>
        <v>0</v>
      </c>
      <c r="AH674" s="75"/>
      <c r="AI674" s="76"/>
      <c r="AJ674" s="135"/>
      <c r="AK674" s="135"/>
      <c r="AL674" s="77">
        <f t="shared" si="304"/>
        <v>0</v>
      </c>
      <c r="AM674" s="76"/>
      <c r="AN674" s="142"/>
      <c r="AO674" s="142"/>
      <c r="AP674" s="77">
        <f t="shared" si="305"/>
        <v>0</v>
      </c>
      <c r="AQ674" s="78"/>
      <c r="AR674" s="142"/>
      <c r="AS674" s="142"/>
      <c r="AT674" s="79">
        <f t="shared" si="306"/>
        <v>0</v>
      </c>
      <c r="AU674" s="75"/>
      <c r="AV674" s="76"/>
      <c r="AW674" s="135"/>
      <c r="AX674" s="135"/>
      <c r="AY674" s="77">
        <f t="shared" si="307"/>
        <v>0</v>
      </c>
      <c r="AZ674" s="76"/>
      <c r="BA674" s="142"/>
      <c r="BB674" s="142"/>
      <c r="BC674" s="77">
        <f t="shared" si="308"/>
        <v>0</v>
      </c>
      <c r="BD674" s="78"/>
      <c r="BE674" s="142"/>
      <c r="BF674" s="142"/>
      <c r="BG674" s="79">
        <f t="shared" si="309"/>
        <v>0</v>
      </c>
      <c r="BH674" s="75"/>
      <c r="BI674" s="76"/>
      <c r="BJ674" s="135"/>
      <c r="BK674" s="135"/>
      <c r="BL674" s="77">
        <f t="shared" si="310"/>
        <v>0</v>
      </c>
      <c r="BM674" s="78"/>
      <c r="BN674" s="142"/>
      <c r="BO674" s="142"/>
      <c r="BP674" s="77">
        <f t="shared" si="311"/>
        <v>0</v>
      </c>
      <c r="BQ674" s="78"/>
      <c r="BR674" s="142"/>
      <c r="BS674" s="142"/>
      <c r="BT674" s="79">
        <f t="shared" si="312"/>
        <v>0</v>
      </c>
      <c r="BU674" s="75"/>
      <c r="BV674" s="76"/>
      <c r="BW674" s="135"/>
      <c r="BX674" s="135"/>
      <c r="BY674" s="77">
        <f t="shared" si="313"/>
        <v>0</v>
      </c>
      <c r="BZ674" s="78"/>
      <c r="CA674" s="142"/>
      <c r="CB674" s="142"/>
      <c r="CC674" s="77">
        <f t="shared" si="314"/>
        <v>0</v>
      </c>
      <c r="CD674" s="78"/>
      <c r="CE674" s="142"/>
      <c r="CF674" s="142"/>
      <c r="CG674" s="79">
        <f t="shared" si="315"/>
        <v>0</v>
      </c>
      <c r="CH674" s="75"/>
      <c r="CI674" s="76"/>
      <c r="CJ674" s="86"/>
      <c r="CK674" s="86"/>
      <c r="CL674" s="77">
        <f t="shared" si="316"/>
        <v>0</v>
      </c>
      <c r="CM674" s="78"/>
      <c r="CN674" s="85"/>
      <c r="CO674" s="85"/>
      <c r="CP674" s="77">
        <f t="shared" si="317"/>
        <v>0</v>
      </c>
      <c r="CQ674" s="78"/>
      <c r="CR674" s="85"/>
      <c r="CS674" s="85"/>
      <c r="CT674" s="79">
        <f t="shared" si="318"/>
        <v>0</v>
      </c>
      <c r="CU674" s="80">
        <f t="shared" si="320"/>
        <v>0</v>
      </c>
      <c r="CV674" s="81">
        <f t="shared" si="321"/>
        <v>0</v>
      </c>
      <c r="CW674" s="144"/>
      <c r="CX674" s="145">
        <f>IF(ISERROR(VLOOKUP($A674,FIJOS!$B$11:$O$590,14,FALSE)),0,VLOOKUP($A674,FIJOS!$B$11:$O$590,14,FALSE))</f>
        <v>0</v>
      </c>
      <c r="CY674" s="145">
        <f>IF(ISERROR(VLOOKUP(A674,FIJOS!$B$10:$P$590,15,FALSE)),0,VLOOKUP(A674,FIJOS!$B$10:$P$590,15,FALSE))</f>
        <v>0</v>
      </c>
      <c r="CZ674" s="155"/>
      <c r="DA674" s="147"/>
      <c r="DB674" s="147"/>
      <c r="DC674" s="147"/>
      <c r="DD674" s="147"/>
      <c r="DE674" s="147"/>
      <c r="DF674" s="145">
        <f>IF(ISERROR(VLOOKUP($A674,FIJOS!$B$11:$N$590,13,FALSE)),0,VLOOKUP($A674,FIJOS!$B$11:$N$590,13,FALSE))</f>
        <v>0</v>
      </c>
      <c r="DG674" s="145">
        <f>IF(ISERROR(VLOOKUP($A674,FIJOS!$B$11:$P$447,12,FALSE)),0,VLOOKUP($A674,FIJOS!$B$11:$P$447,12,FALSE))</f>
        <v>0</v>
      </c>
      <c r="DH674" s="82">
        <f t="shared" si="290"/>
        <v>0</v>
      </c>
      <c r="DI674" s="83" t="b">
        <f>IF($C674=1,(VLOOKUP($A674,FIJOS!$B$11:$P$545,10,FALSE)/7)*(7-$CU674),IF(AND($C674=2,CV674&lt;$DJ$1),(VLOOKUP($D674,HORAS!$B$4:$C$42,2,FALSE)*24)*$CV674,IF(AND($C674=2,CV674&gt;=$DJ$1),VLOOKUP($D674,HORAS!$B$4:$D$42,3,FALSE),IF(AND($C674=3,$CV674&gt;=$DJ$1),VLOOKUP($A674,FIJOS!$B$11:$P$545,10,FALSE),IF(AND($C674=3,$CV674&lt;$DJ$1),((VLOOKUP($A674,FIJOS!$B$11:$P$545,10,FALSE)/48)*24)*$CV674,IF(AND($C674=4,$CV674&gt;=(42/24)),VLOOKUP($D674,HORAS!$B$4:$D$42,3,FALSE),IF(AND($C674=5,$CV674&gt;=(36/24)),VLOOKUP($D674,HORAS!$B$4:$D$42,3,FALSE))))))))</f>
        <v>0</v>
      </c>
      <c r="DJ674" s="145">
        <f>IF(OR($C674=2),VLOOKUP($D674,HORAS!$B$4:$E$42,4,FALSE)*$EC674,IF(ISERROR(VLOOKUP($A674,FIJOS!$B$11:$P$108,9,FALSE)),0,VLOOKUP($A674,FIJOS!$B$11:$P$231,9,FALSE)*$EC674))</f>
        <v>0</v>
      </c>
      <c r="DK674" s="145">
        <f>IF(OR($C674=2),VLOOKUP($D674,HORAS!$B$4:$F$42,5,FALSE)*$EE674,IF(ISERROR(VLOOKUP($A674,FIJOS!$B$11:$P$108,9,FALSE)),0,VLOOKUP($A674,FIJOS!$B$11:$P$231,9,FALSE)*$EE674))</f>
        <v>0</v>
      </c>
      <c r="DL674" s="144"/>
      <c r="DM674" s="145">
        <f>IF(ISERROR(VLOOKUP($A674,FIJOS!$B$11:$L$646,11,FALSE)),0,VLOOKUP($A674,FIJOS!$B$11:$L$646,11,FALSE))</f>
        <v>0</v>
      </c>
      <c r="DN674" s="148" t="e">
        <f>IF(OR($C674=1,$C674=3),0,IF((VLOOKUP(CAPTURA!D674,HORAS!$B$4:$K$42,10,FALSE)/4)*COUNTIF($H674:$CT674,3)&gt;100,100,(VLOOKUP(CAPTURA!D674,HORAS!$B$4:$K$42,10,FALSE)/4)*COUNTIF($H674:$CT674,3)))</f>
        <v>#N/A</v>
      </c>
      <c r="DO674" s="144" t="e">
        <f>IF(OR($C674=1,$C674=3),0,IF($C674=5,VLOOKUP(D674,HORAS!$B$4:$G$42,6,FALSE),IF(AND($C674=4,$CV674&gt;=(42/24)),VLOOKUP(D674,HORAS!$B$4:$G$42,6,FALSE),IF(COUNTIF($H674:$CL674,"F")&gt;0,0,IF(CV674&gt;$DJ$1,$DJ$1*(VLOOKUP(D674,HORAS!$B$4:$G$42,6,FALSE)/$DJ$1),CV674*(VLOOKUP(D674,HORAS!$B$4:$G$42,6,FALSE)/$DJ$1))))))</f>
        <v>#N/A</v>
      </c>
      <c r="DP674" s="156"/>
      <c r="DQ674" s="148"/>
      <c r="DR674" s="148"/>
      <c r="DS674" s="83" t="e">
        <f t="shared" si="319"/>
        <v>#N/A</v>
      </c>
      <c r="DT674" s="84"/>
      <c r="DU674" s="149" t="e">
        <f t="shared" si="291"/>
        <v>#N/A</v>
      </c>
      <c r="DV674" s="149" t="e">
        <f t="shared" si="292"/>
        <v>#N/A</v>
      </c>
      <c r="DW674" s="144" t="e">
        <f t="shared" si="293"/>
        <v>#N/A</v>
      </c>
      <c r="DX674" s="168"/>
      <c r="DY674" s="29"/>
      <c r="DZ674" s="150"/>
      <c r="EA674" s="134"/>
      <c r="EB674" s="137">
        <f t="shared" si="294"/>
        <v>0</v>
      </c>
      <c r="EC674" s="138">
        <f t="shared" si="295"/>
        <v>0</v>
      </c>
      <c r="ED674" s="137">
        <f t="shared" si="296"/>
        <v>0</v>
      </c>
      <c r="EE674" s="132">
        <f t="shared" si="297"/>
        <v>0</v>
      </c>
      <c r="EF674" s="29"/>
      <c r="EG674" s="134"/>
      <c r="EH674" s="134"/>
      <c r="EI674" s="134"/>
      <c r="EK674" s="29"/>
    </row>
    <row r="675" spans="1:141" ht="15" customHeight="1" x14ac:dyDescent="0.25">
      <c r="A675" s="87"/>
      <c r="B675" s="5"/>
      <c r="C675" s="72"/>
      <c r="D675" s="73"/>
      <c r="E675" s="73"/>
      <c r="F675" s="141"/>
      <c r="G675" s="74"/>
      <c r="H675" s="75"/>
      <c r="I675" s="76"/>
      <c r="J675" s="135"/>
      <c r="K675" s="135"/>
      <c r="L675" s="77">
        <f t="shared" si="298"/>
        <v>0</v>
      </c>
      <c r="M675" s="78"/>
      <c r="N675" s="142"/>
      <c r="O675" s="142"/>
      <c r="P675" s="77">
        <f t="shared" si="299"/>
        <v>0</v>
      </c>
      <c r="Q675" s="78"/>
      <c r="R675" s="143"/>
      <c r="S675" s="143"/>
      <c r="T675" s="77">
        <f t="shared" si="300"/>
        <v>0</v>
      </c>
      <c r="U675" s="75"/>
      <c r="V675" s="76"/>
      <c r="W675" s="135"/>
      <c r="X675" s="135"/>
      <c r="Y675" s="77">
        <f t="shared" si="301"/>
        <v>0</v>
      </c>
      <c r="Z675" s="78"/>
      <c r="AA675" s="142"/>
      <c r="AB675" s="142"/>
      <c r="AC675" s="77">
        <f t="shared" si="302"/>
        <v>0</v>
      </c>
      <c r="AD675" s="78"/>
      <c r="AE675" s="143"/>
      <c r="AF675" s="143"/>
      <c r="AG675" s="79">
        <f t="shared" si="303"/>
        <v>0</v>
      </c>
      <c r="AH675" s="75"/>
      <c r="AI675" s="76"/>
      <c r="AJ675" s="135"/>
      <c r="AK675" s="135"/>
      <c r="AL675" s="77">
        <f t="shared" si="304"/>
        <v>0</v>
      </c>
      <c r="AM675" s="76"/>
      <c r="AN675" s="142"/>
      <c r="AO675" s="142"/>
      <c r="AP675" s="77">
        <f t="shared" si="305"/>
        <v>0</v>
      </c>
      <c r="AQ675" s="78"/>
      <c r="AR675" s="142"/>
      <c r="AS675" s="142"/>
      <c r="AT675" s="79">
        <f t="shared" si="306"/>
        <v>0</v>
      </c>
      <c r="AU675" s="75"/>
      <c r="AV675" s="76"/>
      <c r="AW675" s="135"/>
      <c r="AX675" s="135"/>
      <c r="AY675" s="77">
        <f t="shared" si="307"/>
        <v>0</v>
      </c>
      <c r="AZ675" s="76"/>
      <c r="BA675" s="142"/>
      <c r="BB675" s="142"/>
      <c r="BC675" s="77">
        <f t="shared" si="308"/>
        <v>0</v>
      </c>
      <c r="BD675" s="78"/>
      <c r="BE675" s="142"/>
      <c r="BF675" s="142"/>
      <c r="BG675" s="79">
        <f t="shared" si="309"/>
        <v>0</v>
      </c>
      <c r="BH675" s="75"/>
      <c r="BI675" s="76"/>
      <c r="BJ675" s="135"/>
      <c r="BK675" s="135"/>
      <c r="BL675" s="77">
        <f t="shared" si="310"/>
        <v>0</v>
      </c>
      <c r="BM675" s="78"/>
      <c r="BN675" s="142"/>
      <c r="BO675" s="142"/>
      <c r="BP675" s="77">
        <f t="shared" si="311"/>
        <v>0</v>
      </c>
      <c r="BQ675" s="78"/>
      <c r="BR675" s="142"/>
      <c r="BS675" s="142"/>
      <c r="BT675" s="79">
        <f t="shared" si="312"/>
        <v>0</v>
      </c>
      <c r="BU675" s="75"/>
      <c r="BV675" s="76"/>
      <c r="BW675" s="135"/>
      <c r="BX675" s="135"/>
      <c r="BY675" s="77">
        <f t="shared" si="313"/>
        <v>0</v>
      </c>
      <c r="BZ675" s="78"/>
      <c r="CA675" s="142"/>
      <c r="CB675" s="142"/>
      <c r="CC675" s="77">
        <f t="shared" si="314"/>
        <v>0</v>
      </c>
      <c r="CD675" s="78"/>
      <c r="CE675" s="142"/>
      <c r="CF675" s="142"/>
      <c r="CG675" s="79">
        <f t="shared" si="315"/>
        <v>0</v>
      </c>
      <c r="CH675" s="75"/>
      <c r="CI675" s="76"/>
      <c r="CJ675" s="86"/>
      <c r="CK675" s="86"/>
      <c r="CL675" s="77">
        <f t="shared" si="316"/>
        <v>0</v>
      </c>
      <c r="CM675" s="78"/>
      <c r="CN675" s="85"/>
      <c r="CO675" s="85"/>
      <c r="CP675" s="77">
        <f t="shared" si="317"/>
        <v>0</v>
      </c>
      <c r="CQ675" s="78"/>
      <c r="CR675" s="85"/>
      <c r="CS675" s="85"/>
      <c r="CT675" s="79">
        <f t="shared" si="318"/>
        <v>0</v>
      </c>
      <c r="CU675" s="80">
        <f t="shared" si="320"/>
        <v>0</v>
      </c>
      <c r="CV675" s="81">
        <f t="shared" si="321"/>
        <v>0</v>
      </c>
      <c r="CW675" s="144"/>
      <c r="CX675" s="145">
        <f>IF(ISERROR(VLOOKUP($A675,FIJOS!$B$11:$O$590,14,FALSE)),0,VLOOKUP($A675,FIJOS!$B$11:$O$590,14,FALSE))</f>
        <v>0</v>
      </c>
      <c r="CY675" s="145">
        <f>IF(ISERROR(VLOOKUP(A675,FIJOS!$B$10:$P$590,15,FALSE)),0,VLOOKUP(A675,FIJOS!$B$10:$P$590,15,FALSE))</f>
        <v>0</v>
      </c>
      <c r="CZ675" s="155"/>
      <c r="DA675" s="147"/>
      <c r="DB675" s="147"/>
      <c r="DC675" s="147"/>
      <c r="DD675" s="147"/>
      <c r="DE675" s="147"/>
      <c r="DF675" s="145">
        <f>IF(ISERROR(VLOOKUP($A675,FIJOS!$B$11:$N$590,13,FALSE)),0,VLOOKUP($A675,FIJOS!$B$11:$N$590,13,FALSE))</f>
        <v>0</v>
      </c>
      <c r="DG675" s="145">
        <f>IF(ISERROR(VLOOKUP($A675,FIJOS!$B$11:$P$447,12,FALSE)),0,VLOOKUP($A675,FIJOS!$B$11:$P$447,12,FALSE))</f>
        <v>0</v>
      </c>
      <c r="DH675" s="82">
        <f t="shared" si="290"/>
        <v>0</v>
      </c>
      <c r="DI675" s="83" t="b">
        <f>IF($C675=1,(VLOOKUP($A675,FIJOS!$B$11:$P$545,10,FALSE)/7)*(7-$CU675),IF(AND($C675=2,CV675&lt;$DJ$1),(VLOOKUP($D675,HORAS!$B$4:$C$42,2,FALSE)*24)*$CV675,IF(AND($C675=2,CV675&gt;=$DJ$1),VLOOKUP($D675,HORAS!$B$4:$D$42,3,FALSE),IF(AND($C675=3,$CV675&gt;=$DJ$1),VLOOKUP($A675,FIJOS!$B$11:$P$545,10,FALSE),IF(AND($C675=3,$CV675&lt;$DJ$1),((VLOOKUP($A675,FIJOS!$B$11:$P$545,10,FALSE)/48)*24)*$CV675,IF(AND($C675=4,$CV675&gt;=(42/24)),VLOOKUP($D675,HORAS!$B$4:$D$42,3,FALSE),IF(AND($C675=5,$CV675&gt;=(36/24)),VLOOKUP($D675,HORAS!$B$4:$D$42,3,FALSE))))))))</f>
        <v>0</v>
      </c>
      <c r="DJ675" s="145">
        <f>IF(OR($C675=2),VLOOKUP($D675,HORAS!$B$4:$E$42,4,FALSE)*$EC675,IF(ISERROR(VLOOKUP($A675,FIJOS!$B$11:$P$108,9,FALSE)),0,VLOOKUP($A675,FIJOS!$B$11:$P$231,9,FALSE)*$EC675))</f>
        <v>0</v>
      </c>
      <c r="DK675" s="145">
        <f>IF(OR($C675=2),VLOOKUP($D675,HORAS!$B$4:$F$42,5,FALSE)*$EE675,IF(ISERROR(VLOOKUP($A675,FIJOS!$B$11:$P$108,9,FALSE)),0,VLOOKUP($A675,FIJOS!$B$11:$P$231,9,FALSE)*$EE675))</f>
        <v>0</v>
      </c>
      <c r="DL675" s="144"/>
      <c r="DM675" s="145">
        <f>IF(ISERROR(VLOOKUP($A675,FIJOS!$B$11:$L$646,11,FALSE)),0,VLOOKUP($A675,FIJOS!$B$11:$L$646,11,FALSE))</f>
        <v>0</v>
      </c>
      <c r="DN675" s="148" t="e">
        <f>IF(OR($C675=1,$C675=3),0,IF((VLOOKUP(CAPTURA!D675,HORAS!$B$4:$K$42,10,FALSE)/4)*COUNTIF($H675:$CT675,3)&gt;100,100,(VLOOKUP(CAPTURA!D675,HORAS!$B$4:$K$42,10,FALSE)/4)*COUNTIF($H675:$CT675,3)))</f>
        <v>#N/A</v>
      </c>
      <c r="DO675" s="144" t="e">
        <f>IF(OR($C675=1,$C675=3),0,IF($C675=5,VLOOKUP(D675,HORAS!$B$4:$G$42,6,FALSE),IF(AND($C675=4,$CV675&gt;=(42/24)),VLOOKUP(D675,HORAS!$B$4:$G$42,6,FALSE),IF(COUNTIF($H675:$CL675,"F")&gt;0,0,IF(CV675&gt;$DJ$1,$DJ$1*(VLOOKUP(D675,HORAS!$B$4:$G$42,6,FALSE)/$DJ$1),CV675*(VLOOKUP(D675,HORAS!$B$4:$G$42,6,FALSE)/$DJ$1))))))</f>
        <v>#N/A</v>
      </c>
      <c r="DP675" s="156"/>
      <c r="DQ675" s="148"/>
      <c r="DR675" s="148"/>
      <c r="DS675" s="83" t="e">
        <f t="shared" si="319"/>
        <v>#N/A</v>
      </c>
      <c r="DT675" s="84"/>
      <c r="DU675" s="149" t="e">
        <f t="shared" si="291"/>
        <v>#N/A</v>
      </c>
      <c r="DV675" s="149" t="e">
        <f t="shared" si="292"/>
        <v>#N/A</v>
      </c>
      <c r="DW675" s="144" t="e">
        <f t="shared" si="293"/>
        <v>#N/A</v>
      </c>
      <c r="DX675" s="168"/>
      <c r="DY675" s="29"/>
      <c r="DZ675" s="150"/>
      <c r="EA675" s="134"/>
      <c r="EB675" s="137">
        <f t="shared" si="294"/>
        <v>0</v>
      </c>
      <c r="EC675" s="138">
        <f t="shared" si="295"/>
        <v>0</v>
      </c>
      <c r="ED675" s="137">
        <f t="shared" si="296"/>
        <v>0</v>
      </c>
      <c r="EE675" s="132">
        <f t="shared" si="297"/>
        <v>0</v>
      </c>
      <c r="EF675" s="29"/>
      <c r="EG675" s="134"/>
      <c r="EH675" s="134"/>
      <c r="EI675" s="134"/>
      <c r="EK675" s="29"/>
    </row>
    <row r="676" spans="1:141" ht="15" customHeight="1" x14ac:dyDescent="0.25">
      <c r="A676" s="87"/>
      <c r="B676" s="5"/>
      <c r="C676" s="72"/>
      <c r="D676" s="73"/>
      <c r="E676" s="73"/>
      <c r="F676" s="141"/>
      <c r="G676" s="74"/>
      <c r="H676" s="75"/>
      <c r="I676" s="76"/>
      <c r="J676" s="135"/>
      <c r="K676" s="135"/>
      <c r="L676" s="77">
        <f t="shared" si="298"/>
        <v>0</v>
      </c>
      <c r="M676" s="78"/>
      <c r="N676" s="142"/>
      <c r="O676" s="142"/>
      <c r="P676" s="77">
        <f t="shared" si="299"/>
        <v>0</v>
      </c>
      <c r="Q676" s="78"/>
      <c r="R676" s="143"/>
      <c r="S676" s="143"/>
      <c r="T676" s="77">
        <f t="shared" si="300"/>
        <v>0</v>
      </c>
      <c r="U676" s="75"/>
      <c r="V676" s="76"/>
      <c r="W676" s="135"/>
      <c r="X676" s="135"/>
      <c r="Y676" s="77">
        <f t="shared" si="301"/>
        <v>0</v>
      </c>
      <c r="Z676" s="78"/>
      <c r="AA676" s="142"/>
      <c r="AB676" s="142"/>
      <c r="AC676" s="77">
        <f t="shared" si="302"/>
        <v>0</v>
      </c>
      <c r="AD676" s="78"/>
      <c r="AE676" s="143"/>
      <c r="AF676" s="143"/>
      <c r="AG676" s="79">
        <f t="shared" si="303"/>
        <v>0</v>
      </c>
      <c r="AH676" s="75"/>
      <c r="AI676" s="76"/>
      <c r="AJ676" s="135"/>
      <c r="AK676" s="135"/>
      <c r="AL676" s="77">
        <f t="shared" si="304"/>
        <v>0</v>
      </c>
      <c r="AM676" s="76"/>
      <c r="AN676" s="142"/>
      <c r="AO676" s="142"/>
      <c r="AP676" s="77">
        <f t="shared" si="305"/>
        <v>0</v>
      </c>
      <c r="AQ676" s="78"/>
      <c r="AR676" s="142"/>
      <c r="AS676" s="142"/>
      <c r="AT676" s="79">
        <f t="shared" si="306"/>
        <v>0</v>
      </c>
      <c r="AU676" s="75"/>
      <c r="AV676" s="76"/>
      <c r="AW676" s="135"/>
      <c r="AX676" s="135"/>
      <c r="AY676" s="77">
        <f t="shared" si="307"/>
        <v>0</v>
      </c>
      <c r="AZ676" s="76"/>
      <c r="BA676" s="142"/>
      <c r="BB676" s="142"/>
      <c r="BC676" s="77">
        <f t="shared" si="308"/>
        <v>0</v>
      </c>
      <c r="BD676" s="78"/>
      <c r="BE676" s="142"/>
      <c r="BF676" s="142"/>
      <c r="BG676" s="79">
        <f t="shared" si="309"/>
        <v>0</v>
      </c>
      <c r="BH676" s="75"/>
      <c r="BI676" s="76"/>
      <c r="BJ676" s="135"/>
      <c r="BK676" s="135"/>
      <c r="BL676" s="77">
        <f t="shared" si="310"/>
        <v>0</v>
      </c>
      <c r="BM676" s="78"/>
      <c r="BN676" s="142"/>
      <c r="BO676" s="142"/>
      <c r="BP676" s="77">
        <f t="shared" si="311"/>
        <v>0</v>
      </c>
      <c r="BQ676" s="78"/>
      <c r="BR676" s="142"/>
      <c r="BS676" s="142"/>
      <c r="BT676" s="79">
        <f t="shared" si="312"/>
        <v>0</v>
      </c>
      <c r="BU676" s="75"/>
      <c r="BV676" s="76"/>
      <c r="BW676" s="135"/>
      <c r="BX676" s="135"/>
      <c r="BY676" s="77">
        <f t="shared" si="313"/>
        <v>0</v>
      </c>
      <c r="BZ676" s="78"/>
      <c r="CA676" s="142"/>
      <c r="CB676" s="142"/>
      <c r="CC676" s="77">
        <f t="shared" si="314"/>
        <v>0</v>
      </c>
      <c r="CD676" s="78"/>
      <c r="CE676" s="142"/>
      <c r="CF676" s="142"/>
      <c r="CG676" s="79">
        <f t="shared" si="315"/>
        <v>0</v>
      </c>
      <c r="CH676" s="75"/>
      <c r="CI676" s="76"/>
      <c r="CJ676" s="86"/>
      <c r="CK676" s="86"/>
      <c r="CL676" s="77">
        <f t="shared" si="316"/>
        <v>0</v>
      </c>
      <c r="CM676" s="78"/>
      <c r="CN676" s="85"/>
      <c r="CO676" s="85"/>
      <c r="CP676" s="77">
        <f t="shared" si="317"/>
        <v>0</v>
      </c>
      <c r="CQ676" s="78"/>
      <c r="CR676" s="85"/>
      <c r="CS676" s="85"/>
      <c r="CT676" s="79">
        <f t="shared" si="318"/>
        <v>0</v>
      </c>
      <c r="CU676" s="80">
        <f t="shared" si="320"/>
        <v>0</v>
      </c>
      <c r="CV676" s="81">
        <f t="shared" si="321"/>
        <v>0</v>
      </c>
      <c r="CW676" s="144"/>
      <c r="CX676" s="145">
        <f>IF(ISERROR(VLOOKUP($A676,FIJOS!$B$11:$O$590,14,FALSE)),0,VLOOKUP($A676,FIJOS!$B$11:$O$590,14,FALSE))</f>
        <v>0</v>
      </c>
      <c r="CY676" s="145">
        <f>IF(ISERROR(VLOOKUP(A676,FIJOS!$B$10:$P$590,15,FALSE)),0,VLOOKUP(A676,FIJOS!$B$10:$P$590,15,FALSE))</f>
        <v>0</v>
      </c>
      <c r="CZ676" s="155"/>
      <c r="DA676" s="147"/>
      <c r="DB676" s="147"/>
      <c r="DC676" s="147"/>
      <c r="DD676" s="147"/>
      <c r="DE676" s="147"/>
      <c r="DF676" s="145">
        <f>IF(ISERROR(VLOOKUP($A676,FIJOS!$B$11:$N$590,13,FALSE)),0,VLOOKUP($A676,FIJOS!$B$11:$N$590,13,FALSE))</f>
        <v>0</v>
      </c>
      <c r="DG676" s="145">
        <f>IF(ISERROR(VLOOKUP($A676,FIJOS!$B$11:$P$447,12,FALSE)),0,VLOOKUP($A676,FIJOS!$B$11:$P$447,12,FALSE))</f>
        <v>0</v>
      </c>
      <c r="DH676" s="82">
        <f t="shared" si="290"/>
        <v>0</v>
      </c>
      <c r="DI676" s="83" t="b">
        <f>IF($C676=1,(VLOOKUP($A676,FIJOS!$B$11:$P$545,10,FALSE)/7)*(7-$CU676),IF(AND($C676=2,CV676&lt;$DJ$1),(VLOOKUP($D676,HORAS!$B$4:$C$42,2,FALSE)*24)*$CV676,IF(AND($C676=2,CV676&gt;=$DJ$1),VLOOKUP($D676,HORAS!$B$4:$D$42,3,FALSE),IF(AND($C676=3,$CV676&gt;=$DJ$1),VLOOKUP($A676,FIJOS!$B$11:$P$545,10,FALSE),IF(AND($C676=3,$CV676&lt;$DJ$1),((VLOOKUP($A676,FIJOS!$B$11:$P$545,10,FALSE)/48)*24)*$CV676,IF(AND($C676=4,$CV676&gt;=(42/24)),VLOOKUP($D676,HORAS!$B$4:$D$42,3,FALSE),IF(AND($C676=5,$CV676&gt;=(36/24)),VLOOKUP($D676,HORAS!$B$4:$D$42,3,FALSE))))))))</f>
        <v>0</v>
      </c>
      <c r="DJ676" s="145">
        <f>IF(OR($C676=2),VLOOKUP($D676,HORAS!$B$4:$E$42,4,FALSE)*$EC676,IF(ISERROR(VLOOKUP($A676,FIJOS!$B$11:$P$108,9,FALSE)),0,VLOOKUP($A676,FIJOS!$B$11:$P$231,9,FALSE)*$EC676))</f>
        <v>0</v>
      </c>
      <c r="DK676" s="145">
        <f>IF(OR($C676=2),VLOOKUP($D676,HORAS!$B$4:$F$42,5,FALSE)*$EE676,IF(ISERROR(VLOOKUP($A676,FIJOS!$B$11:$P$108,9,FALSE)),0,VLOOKUP($A676,FIJOS!$B$11:$P$231,9,FALSE)*$EE676))</f>
        <v>0</v>
      </c>
      <c r="DL676" s="144"/>
      <c r="DM676" s="145">
        <f>IF(ISERROR(VLOOKUP($A676,FIJOS!$B$11:$L$646,11,FALSE)),0,VLOOKUP($A676,FIJOS!$B$11:$L$646,11,FALSE))</f>
        <v>0</v>
      </c>
      <c r="DN676" s="148" t="e">
        <f>IF(OR($C676=1,$C676=3),0,IF((VLOOKUP(CAPTURA!D676,HORAS!$B$4:$K$42,10,FALSE)/4)*COUNTIF($H676:$CT676,3)&gt;100,100,(VLOOKUP(CAPTURA!D676,HORAS!$B$4:$K$42,10,FALSE)/4)*COUNTIF($H676:$CT676,3)))</f>
        <v>#N/A</v>
      </c>
      <c r="DO676" s="144" t="e">
        <f>IF(OR($C676=1,$C676=3),0,IF($C676=5,VLOOKUP(D676,HORAS!$B$4:$G$42,6,FALSE),IF(AND($C676=4,$CV676&gt;=(42/24)),VLOOKUP(D676,HORAS!$B$4:$G$42,6,FALSE),IF(COUNTIF($H676:$CL676,"F")&gt;0,0,IF(CV676&gt;$DJ$1,$DJ$1*(VLOOKUP(D676,HORAS!$B$4:$G$42,6,FALSE)/$DJ$1),CV676*(VLOOKUP(D676,HORAS!$B$4:$G$42,6,FALSE)/$DJ$1))))))</f>
        <v>#N/A</v>
      </c>
      <c r="DP676" s="156"/>
      <c r="DQ676" s="148"/>
      <c r="DR676" s="148"/>
      <c r="DS676" s="83" t="e">
        <f t="shared" si="319"/>
        <v>#N/A</v>
      </c>
      <c r="DT676" s="84"/>
      <c r="DU676" s="149" t="e">
        <f t="shared" si="291"/>
        <v>#N/A</v>
      </c>
      <c r="DV676" s="149" t="e">
        <f t="shared" si="292"/>
        <v>#N/A</v>
      </c>
      <c r="DW676" s="144" t="e">
        <f t="shared" si="293"/>
        <v>#N/A</v>
      </c>
      <c r="DX676" s="168"/>
      <c r="DY676" s="29"/>
      <c r="DZ676" s="150"/>
      <c r="EA676" s="134"/>
      <c r="EB676" s="137">
        <f t="shared" si="294"/>
        <v>0</v>
      </c>
      <c r="EC676" s="138">
        <f t="shared" si="295"/>
        <v>0</v>
      </c>
      <c r="ED676" s="137">
        <f t="shared" si="296"/>
        <v>0</v>
      </c>
      <c r="EE676" s="132">
        <f t="shared" si="297"/>
        <v>0</v>
      </c>
      <c r="EF676" s="29"/>
      <c r="EG676" s="134"/>
      <c r="EH676" s="134"/>
      <c r="EI676" s="134"/>
      <c r="EK676" s="29"/>
    </row>
    <row r="677" spans="1:141" ht="15" customHeight="1" x14ac:dyDescent="0.25">
      <c r="A677" s="87"/>
      <c r="B677" s="5"/>
      <c r="C677" s="72"/>
      <c r="D677" s="73"/>
      <c r="E677" s="73"/>
      <c r="F677" s="141"/>
      <c r="G677" s="74"/>
      <c r="H677" s="75"/>
      <c r="I677" s="76"/>
      <c r="J677" s="135"/>
      <c r="K677" s="135"/>
      <c r="L677" s="77">
        <f t="shared" si="298"/>
        <v>0</v>
      </c>
      <c r="M677" s="78"/>
      <c r="N677" s="142"/>
      <c r="O677" s="142"/>
      <c r="P677" s="77">
        <f t="shared" si="299"/>
        <v>0</v>
      </c>
      <c r="Q677" s="78"/>
      <c r="R677" s="143"/>
      <c r="S677" s="143"/>
      <c r="T677" s="77">
        <f t="shared" si="300"/>
        <v>0</v>
      </c>
      <c r="U677" s="75"/>
      <c r="V677" s="76"/>
      <c r="W677" s="135"/>
      <c r="X677" s="135"/>
      <c r="Y677" s="77">
        <f t="shared" si="301"/>
        <v>0</v>
      </c>
      <c r="Z677" s="78"/>
      <c r="AA677" s="142"/>
      <c r="AB677" s="142"/>
      <c r="AC677" s="77">
        <f t="shared" si="302"/>
        <v>0</v>
      </c>
      <c r="AD677" s="78"/>
      <c r="AE677" s="143"/>
      <c r="AF677" s="143"/>
      <c r="AG677" s="79">
        <f t="shared" si="303"/>
        <v>0</v>
      </c>
      <c r="AH677" s="75"/>
      <c r="AI677" s="76"/>
      <c r="AJ677" s="135"/>
      <c r="AK677" s="135"/>
      <c r="AL677" s="77">
        <f t="shared" si="304"/>
        <v>0</v>
      </c>
      <c r="AM677" s="76"/>
      <c r="AN677" s="142"/>
      <c r="AO677" s="142"/>
      <c r="AP677" s="77">
        <f t="shared" si="305"/>
        <v>0</v>
      </c>
      <c r="AQ677" s="78"/>
      <c r="AR677" s="142"/>
      <c r="AS677" s="142"/>
      <c r="AT677" s="79">
        <f t="shared" si="306"/>
        <v>0</v>
      </c>
      <c r="AU677" s="75"/>
      <c r="AV677" s="76"/>
      <c r="AW677" s="135"/>
      <c r="AX677" s="135"/>
      <c r="AY677" s="77">
        <f t="shared" si="307"/>
        <v>0</v>
      </c>
      <c r="AZ677" s="76"/>
      <c r="BA677" s="142"/>
      <c r="BB677" s="142"/>
      <c r="BC677" s="77">
        <f t="shared" si="308"/>
        <v>0</v>
      </c>
      <c r="BD677" s="78"/>
      <c r="BE677" s="142"/>
      <c r="BF677" s="142"/>
      <c r="BG677" s="79">
        <f t="shared" si="309"/>
        <v>0</v>
      </c>
      <c r="BH677" s="75"/>
      <c r="BI677" s="76"/>
      <c r="BJ677" s="135"/>
      <c r="BK677" s="135"/>
      <c r="BL677" s="77">
        <f t="shared" si="310"/>
        <v>0</v>
      </c>
      <c r="BM677" s="78"/>
      <c r="BN677" s="142"/>
      <c r="BO677" s="142"/>
      <c r="BP677" s="77">
        <f t="shared" si="311"/>
        <v>0</v>
      </c>
      <c r="BQ677" s="78"/>
      <c r="BR677" s="142"/>
      <c r="BS677" s="142"/>
      <c r="BT677" s="79">
        <f t="shared" si="312"/>
        <v>0</v>
      </c>
      <c r="BU677" s="75"/>
      <c r="BV677" s="76"/>
      <c r="BW677" s="135"/>
      <c r="BX677" s="135"/>
      <c r="BY677" s="77">
        <f t="shared" si="313"/>
        <v>0</v>
      </c>
      <c r="BZ677" s="78"/>
      <c r="CA677" s="142"/>
      <c r="CB677" s="142"/>
      <c r="CC677" s="77">
        <f t="shared" si="314"/>
        <v>0</v>
      </c>
      <c r="CD677" s="78"/>
      <c r="CE677" s="142"/>
      <c r="CF677" s="142"/>
      <c r="CG677" s="79">
        <f t="shared" si="315"/>
        <v>0</v>
      </c>
      <c r="CH677" s="75"/>
      <c r="CI677" s="76"/>
      <c r="CJ677" s="86"/>
      <c r="CK677" s="86"/>
      <c r="CL677" s="77">
        <f t="shared" si="316"/>
        <v>0</v>
      </c>
      <c r="CM677" s="78"/>
      <c r="CN677" s="85"/>
      <c r="CO677" s="85"/>
      <c r="CP677" s="77">
        <f t="shared" si="317"/>
        <v>0</v>
      </c>
      <c r="CQ677" s="78"/>
      <c r="CR677" s="85"/>
      <c r="CS677" s="85"/>
      <c r="CT677" s="79">
        <f t="shared" si="318"/>
        <v>0</v>
      </c>
      <c r="CU677" s="80">
        <f t="shared" si="320"/>
        <v>0</v>
      </c>
      <c r="CV677" s="81">
        <f t="shared" si="321"/>
        <v>0</v>
      </c>
      <c r="CW677" s="144"/>
      <c r="CX677" s="145">
        <f>IF(ISERROR(VLOOKUP($A677,FIJOS!$B$11:$O$590,14,FALSE)),0,VLOOKUP($A677,FIJOS!$B$11:$O$590,14,FALSE))</f>
        <v>0</v>
      </c>
      <c r="CY677" s="145">
        <f>IF(ISERROR(VLOOKUP(A677,FIJOS!$B$10:$P$590,15,FALSE)),0,VLOOKUP(A677,FIJOS!$B$10:$P$590,15,FALSE))</f>
        <v>0</v>
      </c>
      <c r="CZ677" s="155"/>
      <c r="DA677" s="147"/>
      <c r="DB677" s="147"/>
      <c r="DC677" s="147"/>
      <c r="DD677" s="147"/>
      <c r="DE677" s="147"/>
      <c r="DF677" s="145">
        <f>IF(ISERROR(VLOOKUP($A677,FIJOS!$B$11:$N$590,13,FALSE)),0,VLOOKUP($A677,FIJOS!$B$11:$N$590,13,FALSE))</f>
        <v>0</v>
      </c>
      <c r="DG677" s="145">
        <f>IF(ISERROR(VLOOKUP($A677,FIJOS!$B$11:$P$447,12,FALSE)),0,VLOOKUP($A677,FIJOS!$B$11:$P$447,12,FALSE))</f>
        <v>0</v>
      </c>
      <c r="DH677" s="82">
        <f t="shared" ref="DH677" si="322">SUM(CW677:DG677)</f>
        <v>0</v>
      </c>
      <c r="DI677" s="83" t="b">
        <f>IF($C677=1,(VLOOKUP($A677,FIJOS!$B$11:$P$545,10,FALSE)/7)*(7-$CU677),IF(AND($C677=2,CV677&lt;$DJ$1),(VLOOKUP($D677,HORAS!$B$4:$C$42,2,FALSE)*24)*$CV677,IF(AND($C677=2,CV677&gt;=$DJ$1),VLOOKUP($D677,HORAS!$B$4:$D$42,3,FALSE),IF(AND($C677=3,$CV677&gt;=$DJ$1),VLOOKUP($A677,FIJOS!$B$11:$P$545,10,FALSE),IF(AND($C677=3,$CV677&lt;$DJ$1),((VLOOKUP($A677,FIJOS!$B$11:$P$545,10,FALSE)/48)*24)*$CV677,IF(AND($C677=4,$CV677&gt;=(42/24)),VLOOKUP($D677,HORAS!$B$4:$D$42,3,FALSE),IF(AND($C677=5,$CV677&gt;=(36/24)),VLOOKUP($D677,HORAS!$B$4:$D$42,3,FALSE))))))))</f>
        <v>0</v>
      </c>
      <c r="DJ677" s="145">
        <f>IF(OR($C677=2),VLOOKUP($D677,HORAS!$B$4:$E$42,4,FALSE)*$EC677,IF(ISERROR(VLOOKUP($A677,FIJOS!$B$11:$P$108,9,FALSE)),0,VLOOKUP($A677,FIJOS!$B$11:$P$231,9,FALSE)*$EC677))</f>
        <v>0</v>
      </c>
      <c r="DK677" s="145">
        <f>IF(OR($C677=2),VLOOKUP($D677,HORAS!$B$4:$F$42,5,FALSE)*$EE677,IF(ISERROR(VLOOKUP($A677,FIJOS!$B$11:$P$108,9,FALSE)),0,VLOOKUP($A677,FIJOS!$B$11:$P$231,9,FALSE)*$EE677))</f>
        <v>0</v>
      </c>
      <c r="DL677" s="144"/>
      <c r="DM677" s="145">
        <f>IF(ISERROR(VLOOKUP($A677,FIJOS!$B$11:$L$646,11,FALSE)),0,VLOOKUP($A677,FIJOS!$B$11:$L$646,11,FALSE))</f>
        <v>0</v>
      </c>
      <c r="DN677" s="148" t="e">
        <f>IF(OR($C677=1,$C677=3),0,IF((VLOOKUP(CAPTURA!D677,HORAS!$B$4:$K$42,10,FALSE)/4)*COUNTIF($H677:$CT677,3)&gt;100,100,(VLOOKUP(CAPTURA!D677,HORAS!$B$4:$K$42,10,FALSE)/4)*COUNTIF($H677:$CT677,3)))</f>
        <v>#N/A</v>
      </c>
      <c r="DO677" s="144" t="e">
        <f>IF(OR($C677=1,$C677=3),0,IF($C677=5,VLOOKUP(D677,HORAS!$B$4:$G$42,6,FALSE),IF(AND($C677=4,$CV677&gt;=(42/24)),VLOOKUP(D677,HORAS!$B$4:$G$42,6,FALSE),IF(COUNTIF($H677:$CL677,"F")&gt;0,0,IF(CV677&gt;$DJ$1,$DJ$1*(VLOOKUP(D677,HORAS!$B$4:$G$42,6,FALSE)/$DJ$1),CV677*(VLOOKUP(D677,HORAS!$B$4:$G$42,6,FALSE)/$DJ$1))))))</f>
        <v>#N/A</v>
      </c>
      <c r="DP677" s="156"/>
      <c r="DQ677" s="148"/>
      <c r="DR677" s="148"/>
      <c r="DS677" s="83" t="e">
        <f t="shared" si="319"/>
        <v>#N/A</v>
      </c>
      <c r="DT677" s="84"/>
      <c r="DU677" s="149" t="e">
        <f t="shared" ref="DU677" si="323">IF(DW677-DV677=0,0,DW677-DV677)</f>
        <v>#N/A</v>
      </c>
      <c r="DV677" s="149" t="e">
        <f t="shared" ref="DV677" si="324">IF(DS677&gt;DY677,DY677,DS677)-(CZ677+CY677)</f>
        <v>#N/A</v>
      </c>
      <c r="DW677" s="144" t="e">
        <f t="shared" ref="DW677" si="325">DS677-DH677</f>
        <v>#N/A</v>
      </c>
      <c r="DX677" s="168"/>
      <c r="DY677" s="29"/>
      <c r="DZ677" s="150"/>
      <c r="EA677" s="134"/>
      <c r="EB677" s="137">
        <f t="shared" ref="EB677" si="326">IF(CV677&lt;=$DJ$1,0,IF((CV677-$DJ$1)&gt;$EB$1,$EB$1,CV677-$DJ$1))</f>
        <v>0</v>
      </c>
      <c r="EC677" s="138">
        <f t="shared" ref="EC677" si="327">EB677*24</f>
        <v>0</v>
      </c>
      <c r="ED677" s="137">
        <f t="shared" ref="ED677" si="328">IF(CV677&lt;=($EB$1+$DJ$1),0,CV677-($EB$1+$DJ$1))</f>
        <v>0</v>
      </c>
      <c r="EE677" s="132">
        <f t="shared" ref="EE677" si="329">ED677*24</f>
        <v>0</v>
      </c>
      <c r="EF677" s="29"/>
      <c r="EG677" s="134"/>
      <c r="EH677" s="134"/>
      <c r="EI677" s="134"/>
      <c r="EK677" s="29"/>
    </row>
    <row r="678" spans="1:141" ht="15" customHeight="1" x14ac:dyDescent="0.25">
      <c r="A678" s="87"/>
      <c r="B678" s="5"/>
      <c r="C678" s="72"/>
      <c r="D678" s="73"/>
      <c r="E678" s="73"/>
      <c r="F678" s="141"/>
      <c r="G678" s="74"/>
      <c r="H678" s="75"/>
      <c r="I678" s="76"/>
      <c r="J678" s="135"/>
      <c r="K678" s="135"/>
      <c r="L678" s="77">
        <f t="shared" si="138"/>
        <v>0</v>
      </c>
      <c r="M678" s="78"/>
      <c r="N678" s="142"/>
      <c r="O678" s="142"/>
      <c r="P678" s="77">
        <f t="shared" si="139"/>
        <v>0</v>
      </c>
      <c r="Q678" s="78"/>
      <c r="R678" s="143"/>
      <c r="S678" s="143"/>
      <c r="T678" s="77">
        <f t="shared" si="140"/>
        <v>0</v>
      </c>
      <c r="U678" s="75"/>
      <c r="V678" s="76"/>
      <c r="W678" s="135"/>
      <c r="X678" s="135"/>
      <c r="Y678" s="77">
        <f t="shared" si="141"/>
        <v>0</v>
      </c>
      <c r="Z678" s="78"/>
      <c r="AA678" s="142"/>
      <c r="AB678" s="142"/>
      <c r="AC678" s="77">
        <f t="shared" si="142"/>
        <v>0</v>
      </c>
      <c r="AD678" s="78"/>
      <c r="AE678" s="143"/>
      <c r="AF678" s="143"/>
      <c r="AG678" s="79">
        <f t="shared" si="143"/>
        <v>0</v>
      </c>
      <c r="AH678" s="75"/>
      <c r="AI678" s="76"/>
      <c r="AJ678" s="135"/>
      <c r="AK678" s="135"/>
      <c r="AL678" s="77">
        <f t="shared" si="144"/>
        <v>0</v>
      </c>
      <c r="AM678" s="76"/>
      <c r="AN678" s="142"/>
      <c r="AO678" s="142"/>
      <c r="AP678" s="77">
        <f t="shared" si="145"/>
        <v>0</v>
      </c>
      <c r="AQ678" s="78"/>
      <c r="AR678" s="142"/>
      <c r="AS678" s="142"/>
      <c r="AT678" s="79">
        <f t="shared" si="146"/>
        <v>0</v>
      </c>
      <c r="AU678" s="75"/>
      <c r="AV678" s="76"/>
      <c r="AW678" s="135"/>
      <c r="AX678" s="135"/>
      <c r="AY678" s="77">
        <f t="shared" si="147"/>
        <v>0</v>
      </c>
      <c r="AZ678" s="76"/>
      <c r="BA678" s="142"/>
      <c r="BB678" s="142"/>
      <c r="BC678" s="77">
        <f t="shared" si="148"/>
        <v>0</v>
      </c>
      <c r="BD678" s="78"/>
      <c r="BE678" s="142"/>
      <c r="BF678" s="142"/>
      <c r="BG678" s="79">
        <f t="shared" si="149"/>
        <v>0</v>
      </c>
      <c r="BH678" s="75"/>
      <c r="BI678" s="76"/>
      <c r="BJ678" s="135"/>
      <c r="BK678" s="135"/>
      <c r="BL678" s="77">
        <f t="shared" si="150"/>
        <v>0</v>
      </c>
      <c r="BM678" s="78"/>
      <c r="BN678" s="142"/>
      <c r="BO678" s="142"/>
      <c r="BP678" s="77">
        <f t="shared" si="151"/>
        <v>0</v>
      </c>
      <c r="BQ678" s="78"/>
      <c r="BR678" s="142"/>
      <c r="BS678" s="142"/>
      <c r="BT678" s="79">
        <f t="shared" si="152"/>
        <v>0</v>
      </c>
      <c r="BU678" s="75"/>
      <c r="BV678" s="76"/>
      <c r="BW678" s="135"/>
      <c r="BX678" s="135"/>
      <c r="BY678" s="77">
        <f t="shared" si="153"/>
        <v>0</v>
      </c>
      <c r="BZ678" s="78"/>
      <c r="CA678" s="142"/>
      <c r="CB678" s="142"/>
      <c r="CC678" s="77">
        <f t="shared" si="154"/>
        <v>0</v>
      </c>
      <c r="CD678" s="78"/>
      <c r="CE678" s="142"/>
      <c r="CF678" s="142"/>
      <c r="CG678" s="79">
        <f t="shared" si="155"/>
        <v>0</v>
      </c>
      <c r="CH678" s="75"/>
      <c r="CI678" s="76"/>
      <c r="CJ678" s="86"/>
      <c r="CK678" s="86"/>
      <c r="CL678" s="77">
        <f t="shared" si="156"/>
        <v>0</v>
      </c>
      <c r="CM678" s="78"/>
      <c r="CN678" s="85"/>
      <c r="CO678" s="85"/>
      <c r="CP678" s="77">
        <f t="shared" si="157"/>
        <v>0</v>
      </c>
      <c r="CQ678" s="78"/>
      <c r="CR678" s="85"/>
      <c r="CS678" s="85"/>
      <c r="CT678" s="79">
        <f t="shared" si="158"/>
        <v>0</v>
      </c>
      <c r="CU678" s="80">
        <f t="shared" si="168"/>
        <v>0</v>
      </c>
      <c r="CV678" s="81">
        <f t="shared" si="169"/>
        <v>0</v>
      </c>
      <c r="CW678" s="144"/>
      <c r="CX678" s="145">
        <f>IF(ISERROR(VLOOKUP($A678,FIJOS!$B$11:$O$590,14,FALSE)),0,VLOOKUP($A678,FIJOS!$B$11:$O$590,14,FALSE))</f>
        <v>0</v>
      </c>
      <c r="CY678" s="145">
        <f>IF(ISERROR(VLOOKUP(A678,FIJOS!$B$10:$P$590,15,FALSE)),0,VLOOKUP(A678,FIJOS!$B$10:$P$590,15,FALSE))</f>
        <v>0</v>
      </c>
      <c r="CZ678" s="155"/>
      <c r="DA678" s="147"/>
      <c r="DB678" s="147"/>
      <c r="DC678" s="147"/>
      <c r="DD678" s="147"/>
      <c r="DE678" s="147"/>
      <c r="DF678" s="145">
        <f>IF(ISERROR(VLOOKUP($A678,FIJOS!$B$11:$N$590,13,FALSE)),0,VLOOKUP($A678,FIJOS!$B$11:$N$590,13,FALSE))</f>
        <v>0</v>
      </c>
      <c r="DG678" s="145">
        <f>IF(ISERROR(VLOOKUP($A678,FIJOS!$B$11:$P$447,12,FALSE)),0,VLOOKUP($A678,FIJOS!$B$11:$P$447,12,FALSE))</f>
        <v>0</v>
      </c>
      <c r="DH678" s="82">
        <f t="shared" si="159"/>
        <v>0</v>
      </c>
      <c r="DI678" s="83" t="b">
        <f>IF($C678=1,(VLOOKUP($A678,FIJOS!$B$11:$P$545,10,FALSE)/7)*(7-$CU678),IF(AND($C678=2,CV678&lt;$DJ$1),(VLOOKUP($D678,HORAS!$B$4:$C$42,2,FALSE)*24)*$CV678,IF(AND($C678=2,CV678&gt;=$DJ$1),VLOOKUP($D678,HORAS!$B$4:$D$42,3,FALSE),IF(AND($C678=3,$CV678&gt;=$DJ$1),VLOOKUP($A678,FIJOS!$B$11:$P$545,10,FALSE),IF(AND($C678=3,$CV678&lt;$DJ$1),((VLOOKUP($A678,FIJOS!$B$11:$P$545,10,FALSE)/48)*24)*$CV678,IF(AND($C678=4,$CV678&gt;=(42/24)),VLOOKUP($D678,HORAS!$B$4:$D$42,3,FALSE),IF(AND($C678=5,$CV678&gt;=(36/24)),VLOOKUP($D678,HORAS!$B$4:$D$42,3,FALSE))))))))</f>
        <v>0</v>
      </c>
      <c r="DJ678" s="145">
        <f>IF(OR($C678=2),VLOOKUP($D678,HORAS!$B$4:$E$42,4,FALSE)*$EC678,IF(ISERROR(VLOOKUP($A678,FIJOS!$B$11:$P$108,9,FALSE)),0,VLOOKUP($A678,FIJOS!$B$11:$P$231,9,FALSE)*$EC678))</f>
        <v>0</v>
      </c>
      <c r="DK678" s="145">
        <f>IF(OR($C678=2),VLOOKUP($D678,HORAS!$B$4:$F$42,5,FALSE)*$EE678,IF(ISERROR(VLOOKUP($A678,FIJOS!$B$11:$P$108,9,FALSE)),0,VLOOKUP($A678,FIJOS!$B$11:$P$231,9,FALSE)*$EE678))</f>
        <v>0</v>
      </c>
      <c r="DL678" s="144"/>
      <c r="DM678" s="145">
        <f>IF(ISERROR(VLOOKUP($A678,FIJOS!$B$11:$L$646,11,FALSE)),0,VLOOKUP($A678,FIJOS!$B$11:$L$646,11,FALSE))</f>
        <v>0</v>
      </c>
      <c r="DN678" s="148" t="e">
        <f>IF(OR($C678=1,$C678=3),0,IF((VLOOKUP(CAPTURA!D678,HORAS!$B$4:$K$42,10,FALSE)/4)*COUNTIF($H678:$CT678,3)&gt;100,100,(VLOOKUP(CAPTURA!D678,HORAS!$B$4:$K$42,10,FALSE)/4)*COUNTIF($H678:$CT678,3)))</f>
        <v>#N/A</v>
      </c>
      <c r="DO678" s="144" t="e">
        <f>IF(OR($C678=1,$C678=3),0,IF($C678=5,VLOOKUP(D678,HORAS!$B$4:$G$42,6,FALSE),IF(AND($C678=4,$CV678&gt;=(42/24)),VLOOKUP(D678,HORAS!$B$4:$G$42,6,FALSE),IF(COUNTIF($H678:$CL678,"F")&gt;0,0,IF(CV678&gt;$DJ$1,$DJ$1*(VLOOKUP(D678,HORAS!$B$4:$G$42,6,FALSE)/$DJ$1),CV678*(VLOOKUP(D678,HORAS!$B$4:$G$42,6,FALSE)/$DJ$1))))))</f>
        <v>#N/A</v>
      </c>
      <c r="DP678" s="156"/>
      <c r="DQ678" s="148"/>
      <c r="DR678" s="148"/>
      <c r="DS678" s="83" t="e">
        <f t="shared" si="162"/>
        <v>#N/A</v>
      </c>
      <c r="DT678" s="84"/>
      <c r="DU678" s="149" t="e">
        <f t="shared" si="163"/>
        <v>#N/A</v>
      </c>
      <c r="DV678" s="149" t="e">
        <f t="shared" si="164"/>
        <v>#N/A</v>
      </c>
      <c r="DW678" s="144" t="e">
        <f t="shared" si="165"/>
        <v>#N/A</v>
      </c>
      <c r="DX678"/>
      <c r="DY678" s="29"/>
      <c r="DZ678" s="150"/>
      <c r="EA678" s="134"/>
      <c r="EB678" s="137">
        <f t="shared" si="166"/>
        <v>0</v>
      </c>
      <c r="EC678" s="138">
        <f t="shared" si="160"/>
        <v>0</v>
      </c>
      <c r="ED678" s="137">
        <f t="shared" si="167"/>
        <v>0</v>
      </c>
      <c r="EE678" s="132">
        <f t="shared" si="161"/>
        <v>0</v>
      </c>
      <c r="EF678" s="29"/>
      <c r="EG678" s="134"/>
      <c r="EH678" s="134"/>
      <c r="EI678" s="134"/>
      <c r="EK678" s="29"/>
    </row>
    <row r="679" spans="1:141" customFormat="1" x14ac:dyDescent="0.25">
      <c r="A679" s="95"/>
      <c r="B679" s="96"/>
      <c r="C679" s="97"/>
      <c r="D679" s="96"/>
      <c r="E679" s="96"/>
      <c r="F679" s="96"/>
      <c r="G679" s="98"/>
      <c r="H679" s="97"/>
      <c r="I679" s="97"/>
      <c r="J679" s="97"/>
      <c r="K679" s="97"/>
      <c r="L679" s="97"/>
      <c r="M679" s="97"/>
      <c r="N679" s="97"/>
      <c r="O679" s="97"/>
      <c r="P679" s="97"/>
      <c r="Q679" s="97"/>
      <c r="R679" s="97"/>
      <c r="S679" s="97"/>
      <c r="T679" s="97"/>
      <c r="U679" s="97"/>
      <c r="V679" s="99"/>
      <c r="W679" s="97"/>
      <c r="X679" s="97"/>
      <c r="Y679" s="97"/>
      <c r="Z679" s="99"/>
      <c r="AA679" s="97"/>
      <c r="AB679" s="97"/>
      <c r="AC679" s="97"/>
      <c r="AD679" s="99"/>
      <c r="AE679" s="97"/>
      <c r="AF679" s="97"/>
      <c r="AG679" s="97"/>
      <c r="AH679" s="97"/>
      <c r="AI679" s="99"/>
      <c r="AJ679" s="97"/>
      <c r="AK679" s="97"/>
      <c r="AL679" s="97"/>
      <c r="AM679" s="99"/>
      <c r="AN679" s="97"/>
      <c r="AO679" s="97"/>
      <c r="AP679" s="97"/>
      <c r="AQ679" s="99"/>
      <c r="AR679" s="97"/>
      <c r="AS679" s="97"/>
      <c r="AT679" s="97"/>
      <c r="AU679" s="97"/>
      <c r="AV679" s="99"/>
      <c r="AW679" s="97"/>
      <c r="AX679" s="97"/>
      <c r="AY679" s="97"/>
      <c r="AZ679" s="99"/>
      <c r="BA679" s="97"/>
      <c r="BB679" s="97"/>
      <c r="BC679" s="97"/>
      <c r="BD679" s="99"/>
      <c r="BE679" s="97"/>
      <c r="BF679" s="97"/>
      <c r="BG679" s="97"/>
      <c r="BH679" s="97"/>
      <c r="BI679" s="99"/>
      <c r="BJ679" s="97"/>
      <c r="BK679" s="97"/>
      <c r="BL679" s="97"/>
      <c r="BM679" s="99"/>
      <c r="BN679" s="97"/>
      <c r="BO679" s="97"/>
      <c r="BP679" s="97"/>
      <c r="BQ679" s="99"/>
      <c r="BR679" s="97"/>
      <c r="BS679" s="97"/>
      <c r="BT679" s="97"/>
      <c r="BU679" s="97"/>
      <c r="BV679" s="99"/>
      <c r="BW679" s="97"/>
      <c r="BX679" s="97"/>
      <c r="BY679" s="97"/>
      <c r="BZ679" s="99"/>
      <c r="CA679" s="97"/>
      <c r="CB679" s="97"/>
      <c r="CC679" s="97"/>
      <c r="CD679" s="99"/>
      <c r="CE679" s="97"/>
      <c r="CF679" s="97"/>
      <c r="CG679" s="97"/>
      <c r="CH679" s="97"/>
      <c r="CI679" s="99"/>
      <c r="CJ679" s="97"/>
      <c r="CK679" s="97"/>
      <c r="CL679" s="97"/>
      <c r="CM679" s="99"/>
      <c r="CN679" s="97"/>
      <c r="CO679" s="97"/>
      <c r="CP679" s="97"/>
      <c r="CQ679" s="99"/>
      <c r="CR679" s="97"/>
      <c r="CS679" s="97"/>
      <c r="CT679" s="97"/>
      <c r="CU679" s="97"/>
      <c r="CV679" s="97"/>
      <c r="CW679" s="97"/>
      <c r="CX679" s="97"/>
      <c r="CY679" s="97"/>
      <c r="CZ679" s="130"/>
      <c r="DA679" s="97"/>
      <c r="DB679" s="97"/>
      <c r="DC679" s="97"/>
      <c r="DD679" s="97"/>
      <c r="DE679" s="97"/>
      <c r="DF679" s="97"/>
      <c r="DG679" s="97"/>
      <c r="DH679" s="97"/>
      <c r="DI679" s="97"/>
      <c r="DJ679" s="97"/>
      <c r="DK679" s="97"/>
      <c r="DL679" s="97"/>
      <c r="DM679" s="97"/>
      <c r="DN679" s="97"/>
      <c r="DO679" s="97"/>
      <c r="DP679" s="97"/>
      <c r="DQ679" s="97"/>
      <c r="DR679" s="97"/>
      <c r="DS679" s="97"/>
      <c r="DT679" s="97"/>
      <c r="DU679" s="97"/>
      <c r="DV679" s="97"/>
      <c r="DW679" s="97"/>
      <c r="DY679" s="35"/>
      <c r="DZ679" s="93"/>
      <c r="EB679" s="36"/>
      <c r="EC679" s="94"/>
      <c r="EE679" s="35"/>
      <c r="EF679" s="35"/>
      <c r="EJ679" s="35"/>
      <c r="EK679" s="35"/>
    </row>
    <row r="680" spans="1:141" ht="27.75" customHeight="1" x14ac:dyDescent="0.5">
      <c r="A680" s="134"/>
      <c r="B680" s="100" t="s">
        <v>78</v>
      </c>
      <c r="C680" s="101">
        <f>SUMIFS($DV$7:$DV$678,$DT$7:$DT$678,F680)</f>
        <v>0</v>
      </c>
      <c r="D680" s="100"/>
      <c r="E680" s="100"/>
      <c r="F680" s="100" t="s">
        <v>113</v>
      </c>
      <c r="G680" s="101"/>
      <c r="H680" s="137"/>
      <c r="I680" s="100"/>
      <c r="J680" s="137"/>
      <c r="K680" s="100" t="s">
        <v>114</v>
      </c>
      <c r="L680" s="100"/>
      <c r="M680" s="100"/>
      <c r="N680" s="102"/>
      <c r="O680" s="102"/>
      <c r="P680" s="102"/>
      <c r="Q680" s="100"/>
      <c r="R680" s="102"/>
      <c r="S680" s="102"/>
      <c r="T680" s="102"/>
      <c r="U680" s="137"/>
      <c r="V680" s="103"/>
      <c r="W680" s="102"/>
      <c r="X680" s="102"/>
      <c r="Y680" s="137"/>
      <c r="Z680" s="103"/>
      <c r="AA680" s="134"/>
      <c r="AB680" s="134"/>
      <c r="AC680" s="134"/>
      <c r="AD680" s="103"/>
      <c r="AE680" s="134"/>
      <c r="AF680" s="134"/>
      <c r="AG680" s="134"/>
      <c r="AH680" s="137"/>
      <c r="AI680" s="103"/>
      <c r="AJ680" s="137"/>
      <c r="AK680" s="137"/>
      <c r="AL680" s="137"/>
      <c r="AM680" s="103"/>
      <c r="AN680" s="134"/>
      <c r="AO680" s="134"/>
      <c r="AP680" s="134"/>
      <c r="AQ680" s="103"/>
      <c r="AR680" s="134"/>
      <c r="AS680" s="134"/>
      <c r="AT680" s="134"/>
      <c r="AU680" s="137"/>
      <c r="AV680" s="103"/>
      <c r="AW680" s="137"/>
      <c r="AX680" s="137"/>
      <c r="AY680" s="137"/>
      <c r="AZ680" s="103"/>
      <c r="BA680" s="134"/>
      <c r="BB680" s="134"/>
      <c r="BC680" s="134"/>
      <c r="BD680" s="103"/>
      <c r="BE680" s="134"/>
      <c r="BF680" s="134"/>
      <c r="BG680" s="134"/>
      <c r="BH680" s="137"/>
      <c r="BI680" s="103"/>
      <c r="BJ680" s="137"/>
      <c r="BK680" s="137"/>
      <c r="BL680" s="137"/>
      <c r="BM680" s="103"/>
      <c r="BN680" s="134"/>
      <c r="BO680" s="134"/>
      <c r="BP680" s="134"/>
      <c r="BQ680" s="103"/>
      <c r="BR680" s="134"/>
      <c r="BS680" s="134"/>
      <c r="BT680" s="134"/>
      <c r="BU680" s="137"/>
      <c r="BV680" s="103"/>
      <c r="BW680" s="137"/>
      <c r="BX680" s="137"/>
      <c r="BY680" s="137"/>
      <c r="BZ680" s="103"/>
      <c r="CA680" s="134"/>
      <c r="CB680" s="134"/>
      <c r="CC680" s="134"/>
      <c r="CD680" s="103"/>
      <c r="CE680" s="134"/>
      <c r="CF680" s="134"/>
      <c r="CG680" s="134"/>
      <c r="CH680" s="137"/>
      <c r="CI680" s="103"/>
      <c r="CJ680" s="137"/>
      <c r="CK680" s="137"/>
      <c r="CL680" s="137"/>
      <c r="CM680" s="103"/>
      <c r="CN680" s="134"/>
      <c r="CO680" s="134"/>
      <c r="CP680" s="134"/>
      <c r="CQ680" s="103"/>
      <c r="CR680" s="134"/>
      <c r="CS680" s="134"/>
      <c r="CT680" s="134"/>
      <c r="CU680" s="101"/>
      <c r="CV680" s="134"/>
      <c r="CW680" s="134"/>
      <c r="CX680" s="134"/>
      <c r="CY680" s="134"/>
      <c r="CZ680" s="134"/>
      <c r="DA680" s="134"/>
      <c r="DB680" s="134"/>
      <c r="DC680" s="134"/>
      <c r="DD680" s="134"/>
      <c r="DE680" s="134"/>
      <c r="DF680" s="134"/>
      <c r="DG680" s="134"/>
      <c r="DH680" s="134"/>
      <c r="DJ680" s="134"/>
      <c r="DK680" s="134"/>
      <c r="DL680" s="134"/>
      <c r="DM680" s="134"/>
      <c r="DN680" s="150"/>
      <c r="DO680" s="134"/>
      <c r="DP680" s="134"/>
      <c r="DQ680" s="134"/>
      <c r="DR680" s="134"/>
      <c r="DT680" s="134"/>
      <c r="DU680" s="134"/>
      <c r="DV680" s="134"/>
      <c r="DW680" s="134"/>
      <c r="DX680" s="134"/>
      <c r="DY680" s="29"/>
      <c r="DZ680" s="134"/>
      <c r="EA680" s="134"/>
      <c r="EB680" s="134"/>
      <c r="EC680" s="134"/>
      <c r="ED680" s="134"/>
      <c r="EE680" s="134"/>
      <c r="EF680" s="134"/>
      <c r="EG680" s="134"/>
      <c r="EH680" s="134"/>
      <c r="EI680" s="134"/>
      <c r="EK680" s="134"/>
    </row>
    <row r="681" spans="1:141" ht="27.75" customHeight="1" x14ac:dyDescent="0.5">
      <c r="A681" s="134"/>
      <c r="B681" s="100" t="s">
        <v>106</v>
      </c>
      <c r="C681" s="101">
        <f>SUMIFS($DU$7:$DU$678,$DT$7:$DT$678,F681)</f>
        <v>0</v>
      </c>
      <c r="D681" s="100"/>
      <c r="E681" s="100"/>
      <c r="F681" s="100" t="s">
        <v>113</v>
      </c>
      <c r="G681" s="101"/>
      <c r="H681" s="137"/>
      <c r="I681" s="137"/>
      <c r="J681" s="137"/>
      <c r="K681" s="137"/>
      <c r="L681" s="137"/>
      <c r="M681" s="137"/>
      <c r="N681" s="134"/>
      <c r="O681" s="134"/>
      <c r="P681" s="134"/>
      <c r="Q681" s="137"/>
      <c r="R681" s="134"/>
      <c r="S681" s="134"/>
      <c r="T681" s="134"/>
      <c r="U681" s="137"/>
      <c r="W681" s="137"/>
      <c r="X681" s="137"/>
      <c r="Y681" s="137"/>
      <c r="AA681" s="134"/>
      <c r="AB681" s="134"/>
      <c r="AC681" s="134"/>
      <c r="AE681" s="134"/>
      <c r="AF681" s="134"/>
      <c r="AG681" s="134"/>
      <c r="AH681" s="137"/>
      <c r="AJ681" s="137"/>
      <c r="AK681" s="137"/>
      <c r="AL681" s="137"/>
      <c r="AN681" s="134"/>
      <c r="AO681" s="134"/>
      <c r="AP681" s="134"/>
      <c r="AR681" s="134"/>
      <c r="AS681" s="134"/>
      <c r="AT681" s="134"/>
      <c r="AU681" s="137"/>
      <c r="AW681" s="137"/>
      <c r="AX681" s="137"/>
      <c r="AY681" s="137"/>
      <c r="BA681" s="134"/>
      <c r="BB681" s="134"/>
      <c r="BC681" s="134"/>
      <c r="BE681" s="134"/>
      <c r="BF681" s="134"/>
      <c r="BG681" s="134"/>
      <c r="BH681" s="137"/>
      <c r="BJ681" s="137"/>
      <c r="BK681" s="137"/>
      <c r="BL681" s="137"/>
      <c r="BN681" s="134"/>
      <c r="BO681" s="134"/>
      <c r="BP681" s="134"/>
      <c r="BR681" s="134"/>
      <c r="BS681" s="134"/>
      <c r="BT681" s="134"/>
      <c r="BU681" s="137"/>
      <c r="BW681" s="137"/>
      <c r="BX681" s="137"/>
      <c r="BY681" s="137"/>
      <c r="CA681" s="134"/>
      <c r="CB681" s="134"/>
      <c r="CC681" s="134"/>
      <c r="CE681" s="134"/>
      <c r="CF681" s="134"/>
      <c r="CG681" s="134"/>
      <c r="CH681" s="137"/>
      <c r="CJ681" s="137"/>
      <c r="CK681" s="137"/>
      <c r="CL681" s="137"/>
      <c r="CN681" s="134"/>
      <c r="CO681" s="134"/>
      <c r="CP681" s="134"/>
      <c r="CR681" s="134"/>
      <c r="CS681" s="134"/>
      <c r="CT681" s="134"/>
      <c r="CU681" s="101"/>
      <c r="CV681" s="134"/>
      <c r="CW681" s="134"/>
      <c r="CX681" s="134"/>
      <c r="CY681" s="134"/>
      <c r="CZ681" s="134"/>
      <c r="DA681" s="134"/>
      <c r="DB681" s="134"/>
      <c r="DC681" s="134"/>
      <c r="DD681" s="134"/>
      <c r="DE681" s="134"/>
      <c r="DF681" s="134"/>
      <c r="DG681" s="134"/>
      <c r="DH681" s="134"/>
      <c r="DJ681" s="134"/>
      <c r="DK681" s="134"/>
      <c r="DL681" s="134"/>
      <c r="DM681" s="134"/>
      <c r="DN681" s="134"/>
      <c r="DO681" s="134"/>
      <c r="DP681" s="134"/>
      <c r="DQ681" s="134"/>
      <c r="DR681" s="134"/>
      <c r="DT681" s="134"/>
      <c r="DU681" s="134"/>
      <c r="DV681" s="134"/>
      <c r="DW681" s="134"/>
      <c r="DX681" s="150"/>
      <c r="DY681" s="134"/>
      <c r="DZ681" s="134"/>
      <c r="EA681" s="134"/>
      <c r="EB681" s="134"/>
      <c r="EC681" s="134"/>
      <c r="ED681" s="134"/>
      <c r="EE681" s="134"/>
      <c r="EF681" s="134"/>
      <c r="EG681" s="134"/>
      <c r="EH681" s="134"/>
      <c r="EI681" s="134"/>
      <c r="EK681" s="134"/>
    </row>
    <row r="682" spans="1:141" ht="27.75" customHeight="1" x14ac:dyDescent="0.5">
      <c r="A682" s="134"/>
      <c r="B682" s="100"/>
      <c r="C682" s="101"/>
      <c r="D682" s="100"/>
      <c r="E682" s="100"/>
      <c r="F682" s="100"/>
      <c r="G682" s="101"/>
      <c r="H682" s="102"/>
      <c r="I682" s="137"/>
      <c r="J682" s="137"/>
      <c r="K682" s="137"/>
      <c r="L682" s="137"/>
      <c r="M682" s="137"/>
      <c r="N682" s="134"/>
      <c r="O682" s="134"/>
      <c r="P682" s="134"/>
      <c r="Q682" s="137"/>
      <c r="R682" s="134"/>
      <c r="S682" s="134"/>
      <c r="T682" s="134"/>
      <c r="U682" s="137"/>
      <c r="W682" s="137"/>
      <c r="X682" s="137"/>
      <c r="Y682" s="137"/>
      <c r="AA682" s="134"/>
      <c r="AB682" s="134"/>
      <c r="AC682" s="134"/>
      <c r="AE682" s="134"/>
      <c r="AF682" s="134"/>
      <c r="AG682" s="134"/>
      <c r="AH682" s="137"/>
      <c r="AJ682" s="137"/>
      <c r="AK682" s="137"/>
      <c r="AL682" s="137"/>
      <c r="AN682" s="134"/>
      <c r="AO682" s="134"/>
      <c r="AP682" s="134"/>
      <c r="AR682" s="134"/>
      <c r="AS682" s="134"/>
      <c r="AT682" s="134"/>
      <c r="AU682" s="137"/>
      <c r="AW682" s="137"/>
      <c r="AX682" s="137"/>
      <c r="AY682" s="137"/>
      <c r="BA682" s="134"/>
      <c r="BB682" s="134"/>
      <c r="BC682" s="134"/>
      <c r="BE682" s="134"/>
      <c r="BF682" s="134"/>
      <c r="BG682" s="134"/>
      <c r="BH682" s="137"/>
      <c r="BJ682" s="137"/>
      <c r="BK682" s="137"/>
      <c r="BL682" s="137"/>
      <c r="BN682" s="134"/>
      <c r="BO682" s="134"/>
      <c r="BP682" s="134"/>
      <c r="BR682" s="134"/>
      <c r="BS682" s="134"/>
      <c r="BT682" s="134"/>
      <c r="BU682" s="137"/>
      <c r="BW682" s="137"/>
      <c r="BX682" s="137"/>
      <c r="BY682" s="137"/>
      <c r="CA682" s="134"/>
      <c r="CB682" s="134"/>
      <c r="CC682" s="134"/>
      <c r="CE682" s="134"/>
      <c r="CF682" s="134"/>
      <c r="CG682" s="134"/>
      <c r="CH682" s="137"/>
      <c r="CJ682" s="137"/>
      <c r="CK682" s="137"/>
      <c r="CL682" s="137"/>
      <c r="CN682" s="134"/>
      <c r="CO682" s="134"/>
      <c r="CP682" s="134"/>
      <c r="CR682" s="134"/>
      <c r="CS682" s="134"/>
      <c r="CT682" s="134"/>
      <c r="CU682" s="101"/>
      <c r="CV682" s="134"/>
      <c r="CW682" s="134"/>
      <c r="CX682" s="134"/>
      <c r="CY682" s="134"/>
      <c r="CZ682" s="134"/>
      <c r="DA682" s="134"/>
      <c r="DB682" s="134"/>
      <c r="DC682" s="134"/>
      <c r="DD682" s="134"/>
      <c r="DE682" s="134"/>
      <c r="DF682" s="134"/>
      <c r="DG682" s="134"/>
      <c r="DH682" s="134"/>
      <c r="DJ682" s="134"/>
      <c r="DK682" s="134"/>
      <c r="DL682" s="134"/>
      <c r="DM682" s="134"/>
      <c r="DN682" s="134"/>
      <c r="DO682" s="134"/>
      <c r="DP682" s="134"/>
      <c r="DQ682" s="134"/>
      <c r="DR682" s="134"/>
      <c r="DT682" s="134"/>
      <c r="DU682" s="134"/>
      <c r="DV682" s="134"/>
      <c r="DW682" s="134"/>
      <c r="DX682" s="150"/>
      <c r="DY682" s="134"/>
      <c r="DZ682" s="134"/>
      <c r="EA682" s="134"/>
      <c r="EB682" s="134"/>
      <c r="EC682" s="134"/>
      <c r="ED682" s="134"/>
      <c r="EE682" s="134"/>
      <c r="EF682" s="134"/>
      <c r="EG682" s="134"/>
      <c r="EH682" s="134"/>
      <c r="EI682" s="134"/>
      <c r="EK682" s="134"/>
    </row>
    <row r="683" spans="1:141" ht="27.75" customHeight="1" x14ac:dyDescent="0.5">
      <c r="A683" s="134"/>
      <c r="B683" s="104"/>
      <c r="C683" s="102"/>
      <c r="D683" s="100"/>
      <c r="E683" s="100"/>
      <c r="F683" s="100"/>
      <c r="G683" s="102"/>
      <c r="H683" s="137"/>
      <c r="I683" s="137"/>
      <c r="J683" s="137"/>
      <c r="K683" s="137"/>
      <c r="L683" s="137"/>
      <c r="M683" s="137"/>
      <c r="N683" s="134"/>
      <c r="O683" s="134"/>
      <c r="P683" s="134"/>
      <c r="Q683" s="137"/>
      <c r="R683" s="134"/>
      <c r="S683" s="134"/>
      <c r="T683" s="134"/>
      <c r="U683" s="137"/>
      <c r="W683" s="137"/>
      <c r="X683" s="137"/>
      <c r="Y683" s="137"/>
      <c r="AA683" s="134"/>
      <c r="AB683" s="134"/>
      <c r="AC683" s="134"/>
      <c r="AE683" s="134"/>
      <c r="AF683" s="134"/>
      <c r="AG683" s="134"/>
      <c r="AH683" s="137"/>
      <c r="AJ683" s="137"/>
      <c r="AK683" s="137"/>
      <c r="AL683" s="137"/>
      <c r="AN683" s="134"/>
      <c r="AO683" s="134"/>
      <c r="AP683" s="134"/>
      <c r="AR683" s="134"/>
      <c r="AS683" s="134"/>
      <c r="AT683" s="134"/>
      <c r="AU683" s="137"/>
      <c r="AW683" s="137"/>
      <c r="AX683" s="137"/>
      <c r="AY683" s="137"/>
      <c r="BA683" s="134"/>
      <c r="BB683" s="134"/>
      <c r="BC683" s="134"/>
      <c r="BE683" s="134"/>
      <c r="BF683" s="134"/>
      <c r="BG683" s="134"/>
      <c r="BH683" s="137"/>
      <c r="BJ683" s="137"/>
      <c r="BK683" s="137"/>
      <c r="BL683" s="137"/>
      <c r="BN683" s="134"/>
      <c r="BO683" s="134"/>
      <c r="BP683" s="134"/>
      <c r="BR683" s="134"/>
      <c r="BS683" s="134"/>
      <c r="BT683" s="134"/>
      <c r="BU683" s="137"/>
      <c r="BW683" s="137"/>
      <c r="BX683" s="137"/>
      <c r="BY683" s="137"/>
      <c r="CA683" s="134"/>
      <c r="CB683" s="134"/>
      <c r="CC683" s="134"/>
      <c r="CE683" s="134"/>
      <c r="CF683" s="134"/>
      <c r="CG683" s="134"/>
      <c r="CH683" s="137"/>
      <c r="CJ683" s="137"/>
      <c r="CK683" s="137"/>
      <c r="CL683" s="137"/>
      <c r="CN683" s="134"/>
      <c r="CO683" s="134"/>
      <c r="CP683" s="134"/>
      <c r="CR683" s="134"/>
      <c r="CS683" s="134"/>
      <c r="CT683" s="134"/>
      <c r="CU683" s="102"/>
      <c r="CV683" s="134"/>
      <c r="CW683" s="134"/>
      <c r="CX683" s="134"/>
      <c r="CY683" s="134"/>
      <c r="CZ683" s="134"/>
      <c r="DA683" s="134"/>
      <c r="DB683" s="134"/>
      <c r="DC683" s="134"/>
      <c r="DD683" s="134"/>
      <c r="DE683" s="134"/>
      <c r="DF683" s="134"/>
      <c r="DG683" s="134"/>
      <c r="DH683" s="134"/>
      <c r="DJ683" s="134"/>
      <c r="DK683" s="134"/>
      <c r="DL683" s="134"/>
      <c r="DM683" s="134"/>
      <c r="DN683" s="134"/>
      <c r="DO683" s="134"/>
      <c r="DP683" s="134"/>
      <c r="DQ683" s="134"/>
      <c r="DR683" s="134"/>
      <c r="DT683" s="134"/>
      <c r="DU683" s="134"/>
      <c r="DV683" s="134"/>
      <c r="DW683" s="134"/>
      <c r="DX683" s="134"/>
      <c r="DY683" s="134"/>
      <c r="DZ683" s="134"/>
      <c r="EA683" s="134"/>
      <c r="EB683" s="134"/>
      <c r="EC683" s="134"/>
      <c r="ED683" s="134"/>
      <c r="EE683" s="134"/>
      <c r="EF683" s="134"/>
      <c r="EG683" s="134"/>
      <c r="EH683" s="134"/>
      <c r="EI683" s="134"/>
      <c r="EK683" s="134"/>
    </row>
    <row r="684" spans="1:141" ht="27.75" customHeight="1" x14ac:dyDescent="0.5">
      <c r="A684" s="134">
        <v>1</v>
      </c>
      <c r="B684" s="104">
        <v>2</v>
      </c>
      <c r="C684" s="134">
        <v>3</v>
      </c>
      <c r="D684" s="104">
        <v>4</v>
      </c>
      <c r="E684" s="134">
        <v>5</v>
      </c>
      <c r="F684" s="104">
        <v>6</v>
      </c>
      <c r="G684" s="134">
        <v>7</v>
      </c>
      <c r="H684" s="104">
        <v>8</v>
      </c>
      <c r="I684" s="134">
        <v>9</v>
      </c>
      <c r="J684" s="104">
        <v>10</v>
      </c>
      <c r="K684" s="134">
        <v>11</v>
      </c>
      <c r="L684" s="104">
        <v>12</v>
      </c>
      <c r="M684" s="134">
        <v>13</v>
      </c>
      <c r="N684" s="104">
        <v>14</v>
      </c>
      <c r="O684" s="134">
        <v>15</v>
      </c>
      <c r="P684" s="104">
        <v>16</v>
      </c>
      <c r="Q684" s="134">
        <v>17</v>
      </c>
      <c r="R684" s="104">
        <v>18</v>
      </c>
      <c r="S684" s="134">
        <v>19</v>
      </c>
      <c r="T684" s="104">
        <v>20</v>
      </c>
      <c r="U684" s="134">
        <v>21</v>
      </c>
      <c r="V684" s="104">
        <v>22</v>
      </c>
      <c r="W684" s="134">
        <v>23</v>
      </c>
      <c r="X684" s="104">
        <v>24</v>
      </c>
      <c r="Y684" s="134">
        <v>25</v>
      </c>
      <c r="Z684" s="104">
        <v>26</v>
      </c>
      <c r="AA684" s="134">
        <v>27</v>
      </c>
      <c r="AB684" s="104">
        <v>28</v>
      </c>
      <c r="AC684" s="134">
        <v>29</v>
      </c>
      <c r="AD684" s="104">
        <v>30</v>
      </c>
      <c r="AE684" s="134">
        <v>31</v>
      </c>
      <c r="AF684" s="104">
        <v>32</v>
      </c>
      <c r="AG684" s="134">
        <v>33</v>
      </c>
      <c r="AH684" s="104">
        <v>34</v>
      </c>
      <c r="AI684" s="134">
        <v>35</v>
      </c>
      <c r="AJ684" s="104">
        <v>36</v>
      </c>
      <c r="AK684" s="134">
        <v>37</v>
      </c>
      <c r="AL684" s="104">
        <v>38</v>
      </c>
      <c r="AM684" s="134">
        <v>39</v>
      </c>
      <c r="AN684" s="104">
        <v>40</v>
      </c>
      <c r="AO684" s="134">
        <v>41</v>
      </c>
      <c r="AP684" s="104">
        <v>42</v>
      </c>
      <c r="AQ684" s="134">
        <v>43</v>
      </c>
      <c r="AR684" s="104">
        <v>44</v>
      </c>
      <c r="AS684" s="134">
        <v>45</v>
      </c>
      <c r="AT684" s="104">
        <v>46</v>
      </c>
      <c r="AU684" s="134">
        <v>47</v>
      </c>
      <c r="AV684" s="104">
        <v>48</v>
      </c>
      <c r="AW684" s="134">
        <v>49</v>
      </c>
      <c r="AX684" s="104">
        <v>50</v>
      </c>
      <c r="AY684" s="134">
        <v>51</v>
      </c>
      <c r="AZ684" s="104">
        <v>52</v>
      </c>
      <c r="BA684" s="134">
        <v>53</v>
      </c>
      <c r="BB684" s="104">
        <v>54</v>
      </c>
      <c r="BC684" s="134">
        <v>55</v>
      </c>
      <c r="BD684" s="104">
        <v>56</v>
      </c>
      <c r="BE684" s="134">
        <v>57</v>
      </c>
      <c r="BF684" s="104">
        <v>58</v>
      </c>
      <c r="BG684" s="134">
        <v>59</v>
      </c>
      <c r="BH684" s="104">
        <v>60</v>
      </c>
      <c r="BI684" s="134">
        <v>61</v>
      </c>
      <c r="BJ684" s="104">
        <v>62</v>
      </c>
      <c r="BK684" s="134">
        <v>63</v>
      </c>
      <c r="BL684" s="104">
        <v>64</v>
      </c>
      <c r="BM684" s="134">
        <v>65</v>
      </c>
      <c r="BN684" s="104">
        <v>66</v>
      </c>
      <c r="BO684" s="134">
        <v>67</v>
      </c>
      <c r="BP684" s="104">
        <v>68</v>
      </c>
      <c r="BQ684" s="134">
        <v>69</v>
      </c>
      <c r="BR684" s="104">
        <v>70</v>
      </c>
      <c r="BS684" s="134">
        <v>71</v>
      </c>
      <c r="BT684" s="104">
        <v>72</v>
      </c>
      <c r="BU684" s="134">
        <v>73</v>
      </c>
      <c r="BV684" s="104">
        <v>74</v>
      </c>
      <c r="BW684" s="134">
        <v>75</v>
      </c>
      <c r="BX684" s="104">
        <v>76</v>
      </c>
      <c r="BY684" s="134">
        <v>77</v>
      </c>
      <c r="BZ684" s="104">
        <v>78</v>
      </c>
      <c r="CA684" s="134">
        <v>79</v>
      </c>
      <c r="CB684" s="104">
        <v>80</v>
      </c>
      <c r="CC684" s="134">
        <v>81</v>
      </c>
      <c r="CD684" s="104">
        <v>82</v>
      </c>
      <c r="CE684" s="134">
        <v>83</v>
      </c>
      <c r="CF684" s="104">
        <v>84</v>
      </c>
      <c r="CG684" s="134">
        <v>85</v>
      </c>
      <c r="CH684" s="104">
        <v>86</v>
      </c>
      <c r="CI684" s="134">
        <v>87</v>
      </c>
      <c r="CJ684" s="104">
        <v>88</v>
      </c>
      <c r="CK684" s="134">
        <v>89</v>
      </c>
      <c r="CL684" s="104">
        <v>90</v>
      </c>
      <c r="CM684" s="134">
        <v>91</v>
      </c>
      <c r="CN684" s="104">
        <v>92</v>
      </c>
      <c r="CO684" s="134">
        <v>93</v>
      </c>
      <c r="CP684" s="104">
        <v>94</v>
      </c>
      <c r="CQ684" s="134">
        <v>95</v>
      </c>
      <c r="CR684" s="104">
        <v>96</v>
      </c>
      <c r="CS684" s="134">
        <v>97</v>
      </c>
      <c r="CT684" s="104">
        <v>98</v>
      </c>
      <c r="CU684" s="134">
        <v>99</v>
      </c>
      <c r="CV684" s="104">
        <v>100</v>
      </c>
      <c r="CW684" s="134">
        <v>101</v>
      </c>
      <c r="CX684" s="104">
        <v>102</v>
      </c>
      <c r="CY684" s="134">
        <v>103</v>
      </c>
      <c r="CZ684" s="104">
        <v>104</v>
      </c>
      <c r="DA684" s="134">
        <v>105</v>
      </c>
      <c r="DB684" s="104">
        <v>106</v>
      </c>
      <c r="DC684" s="134">
        <v>107</v>
      </c>
      <c r="DD684" s="104">
        <v>108</v>
      </c>
      <c r="DE684" s="134">
        <v>109</v>
      </c>
      <c r="DF684" s="104">
        <v>110</v>
      </c>
      <c r="DG684" s="134">
        <v>111</v>
      </c>
      <c r="DH684" s="104">
        <v>112</v>
      </c>
      <c r="DI684" s="134">
        <v>113</v>
      </c>
      <c r="DJ684" s="104">
        <v>114</v>
      </c>
      <c r="DK684" s="134">
        <v>115</v>
      </c>
      <c r="DL684" s="104">
        <v>116</v>
      </c>
      <c r="DM684" s="134">
        <v>117</v>
      </c>
      <c r="DN684" s="104">
        <v>118</v>
      </c>
      <c r="DO684" s="134">
        <v>119</v>
      </c>
      <c r="DP684" s="104">
        <v>120</v>
      </c>
      <c r="DQ684" s="134">
        <v>121</v>
      </c>
      <c r="DR684" s="104">
        <v>122</v>
      </c>
      <c r="DS684" s="134">
        <v>123</v>
      </c>
      <c r="DT684" s="104">
        <v>124</v>
      </c>
      <c r="DU684" s="134">
        <v>125</v>
      </c>
      <c r="DV684" s="104">
        <v>126</v>
      </c>
      <c r="DW684" s="134">
        <v>127</v>
      </c>
      <c r="DX684" s="104">
        <v>128</v>
      </c>
      <c r="DY684" s="134">
        <v>129</v>
      </c>
      <c r="DZ684" s="104">
        <v>130</v>
      </c>
      <c r="EA684" s="134">
        <v>131</v>
      </c>
      <c r="EB684" s="104">
        <v>132</v>
      </c>
      <c r="EC684" s="134">
        <v>133</v>
      </c>
      <c r="ED684" s="104">
        <v>134</v>
      </c>
      <c r="EE684" s="134">
        <v>135</v>
      </c>
      <c r="EF684" s="104">
        <v>136</v>
      </c>
      <c r="EG684" s="134">
        <v>137</v>
      </c>
      <c r="EH684" s="104">
        <v>138</v>
      </c>
      <c r="EI684" s="134">
        <v>139</v>
      </c>
      <c r="EK684" s="134"/>
    </row>
    <row r="685" spans="1:141" ht="27.75" customHeight="1" x14ac:dyDescent="0.5">
      <c r="A685" s="134"/>
      <c r="B685" s="104"/>
      <c r="C685" s="101"/>
      <c r="D685" s="100"/>
      <c r="E685" s="100"/>
      <c r="F685" s="100"/>
      <c r="G685" s="101"/>
      <c r="H685" s="137"/>
      <c r="I685" s="137"/>
      <c r="J685" s="137"/>
      <c r="K685" s="137"/>
      <c r="L685" s="137"/>
      <c r="M685" s="137"/>
      <c r="N685" s="134"/>
      <c r="O685" s="134"/>
      <c r="P685" s="134"/>
      <c r="Q685" s="137"/>
      <c r="R685" s="134"/>
      <c r="S685" s="134"/>
      <c r="T685" s="134"/>
      <c r="U685" s="137"/>
      <c r="W685" s="137"/>
      <c r="X685" s="137"/>
      <c r="Y685" s="137"/>
      <c r="AA685" s="134"/>
      <c r="AB685" s="134"/>
      <c r="AC685" s="134"/>
      <c r="AE685" s="134"/>
      <c r="AF685" s="134"/>
      <c r="AG685" s="134"/>
      <c r="AH685" s="137"/>
      <c r="AJ685" s="137"/>
      <c r="AK685" s="137"/>
      <c r="AL685" s="137"/>
      <c r="AN685" s="134"/>
      <c r="AO685" s="134"/>
      <c r="AP685" s="134"/>
      <c r="AR685" s="134"/>
      <c r="AS685" s="134"/>
      <c r="AT685" s="134"/>
      <c r="AU685" s="137"/>
      <c r="AW685" s="137"/>
      <c r="AX685" s="137"/>
      <c r="AY685" s="137"/>
      <c r="BA685" s="134"/>
      <c r="BB685" s="134"/>
      <c r="BC685" s="134"/>
      <c r="BE685" s="134"/>
      <c r="BF685" s="134"/>
      <c r="BG685" s="134"/>
      <c r="BH685" s="137"/>
      <c r="BJ685" s="137"/>
      <c r="BK685" s="137"/>
      <c r="BL685" s="137"/>
      <c r="BN685" s="134"/>
      <c r="BO685" s="134"/>
      <c r="BP685" s="134"/>
      <c r="BR685" s="134"/>
      <c r="BS685" s="134"/>
      <c r="BT685" s="134"/>
      <c r="BU685" s="137"/>
      <c r="BW685" s="137"/>
      <c r="BX685" s="137"/>
      <c r="BY685" s="137"/>
      <c r="CA685" s="134"/>
      <c r="CB685" s="134"/>
      <c r="CC685" s="134"/>
      <c r="CE685" s="134"/>
      <c r="CF685" s="134"/>
      <c r="CG685" s="134"/>
      <c r="CH685" s="137"/>
      <c r="CJ685" s="137"/>
      <c r="CK685" s="137"/>
      <c r="CL685" s="137"/>
      <c r="CN685" s="134"/>
      <c r="CO685" s="134"/>
      <c r="CP685" s="134"/>
      <c r="CR685" s="134"/>
      <c r="CS685" s="134"/>
      <c r="CT685" s="134"/>
      <c r="CU685" s="101"/>
      <c r="CV685" s="134"/>
      <c r="CW685" s="134"/>
      <c r="CX685" s="134"/>
      <c r="CY685" s="134"/>
      <c r="CZ685" s="134"/>
      <c r="DA685" s="134"/>
      <c r="DB685" s="134"/>
      <c r="DC685" s="134"/>
      <c r="DD685" s="134"/>
      <c r="DE685" s="134"/>
      <c r="DF685" s="134"/>
      <c r="DG685" s="134"/>
      <c r="DH685" s="134"/>
      <c r="DJ685" s="134"/>
      <c r="DK685" s="134"/>
      <c r="DL685" s="134"/>
      <c r="DM685" s="134"/>
      <c r="DN685" s="134"/>
      <c r="DO685" s="134"/>
      <c r="DP685" s="134"/>
      <c r="DQ685" s="134"/>
      <c r="DR685" s="134"/>
      <c r="DT685" s="134"/>
      <c r="DU685" s="134"/>
      <c r="DV685" s="134"/>
      <c r="DW685" s="134"/>
      <c r="DX685" s="134"/>
      <c r="DY685" s="134"/>
      <c r="DZ685" s="134"/>
      <c r="EA685" s="134"/>
      <c r="EB685" s="134"/>
      <c r="EC685" s="134"/>
      <c r="ED685" s="134"/>
      <c r="EE685" s="134"/>
      <c r="EF685" s="134"/>
      <c r="EG685" s="134"/>
      <c r="EH685" s="134"/>
      <c r="EI685" s="134"/>
      <c r="EK685" s="134"/>
    </row>
    <row r="686" spans="1:141" ht="27.75" customHeight="1" x14ac:dyDescent="0.5">
      <c r="A686" s="134"/>
      <c r="B686" s="100"/>
      <c r="C686" s="101"/>
      <c r="D686" s="100"/>
      <c r="E686" s="100"/>
      <c r="F686" s="100"/>
      <c r="G686" s="101"/>
      <c r="H686" s="137"/>
      <c r="I686" s="137"/>
      <c r="J686" s="137"/>
      <c r="K686" s="137"/>
      <c r="L686" s="137"/>
      <c r="M686" s="137"/>
      <c r="N686" s="134"/>
      <c r="O686" s="134"/>
      <c r="P686" s="134"/>
      <c r="Q686" s="137"/>
      <c r="R686" s="134"/>
      <c r="S686" s="134"/>
      <c r="T686" s="134"/>
      <c r="U686" s="137"/>
      <c r="W686" s="137"/>
      <c r="X686" s="137"/>
      <c r="Y686" s="137"/>
      <c r="AA686" s="134"/>
      <c r="AB686" s="134"/>
      <c r="AC686" s="134"/>
      <c r="AE686" s="134"/>
      <c r="AF686" s="134"/>
      <c r="AG686" s="134"/>
      <c r="AH686" s="137"/>
      <c r="AJ686" s="137"/>
      <c r="AK686" s="137"/>
      <c r="AL686" s="137"/>
      <c r="AN686" s="134"/>
      <c r="AO686" s="134"/>
      <c r="AP686" s="134"/>
      <c r="AR686" s="134"/>
      <c r="AS686" s="134"/>
      <c r="AT686" s="134"/>
      <c r="AU686" s="137"/>
      <c r="AW686" s="137"/>
      <c r="AX686" s="137"/>
      <c r="AY686" s="137"/>
      <c r="BA686" s="134"/>
      <c r="BB686" s="134"/>
      <c r="BC686" s="134"/>
      <c r="BE686" s="134"/>
      <c r="BF686" s="134"/>
      <c r="BG686" s="134"/>
      <c r="BH686" s="137"/>
      <c r="BJ686" s="137"/>
      <c r="BK686" s="137"/>
      <c r="BL686" s="137"/>
      <c r="BN686" s="134"/>
      <c r="BO686" s="134"/>
      <c r="BP686" s="134"/>
      <c r="BR686" s="134"/>
      <c r="BS686" s="134"/>
      <c r="BT686" s="134"/>
      <c r="BU686" s="137"/>
      <c r="BW686" s="137"/>
      <c r="BX686" s="137"/>
      <c r="BY686" s="137"/>
      <c r="CA686" s="134"/>
      <c r="CB686" s="134"/>
      <c r="CC686" s="134"/>
      <c r="CE686" s="134"/>
      <c r="CF686" s="134"/>
      <c r="CG686" s="134"/>
      <c r="CH686" s="137"/>
      <c r="CJ686" s="137"/>
      <c r="CK686" s="137"/>
      <c r="CL686" s="137"/>
      <c r="CN686" s="134"/>
      <c r="CO686" s="134"/>
      <c r="CP686" s="134"/>
      <c r="CR686" s="134"/>
      <c r="CS686" s="134"/>
      <c r="CT686" s="134"/>
      <c r="CU686" s="101"/>
      <c r="CV686" s="134"/>
      <c r="CW686" s="134"/>
      <c r="CX686" s="134"/>
      <c r="CY686" s="134"/>
      <c r="CZ686" s="134"/>
      <c r="DA686" s="134"/>
      <c r="DB686" s="134"/>
      <c r="DC686" s="134"/>
      <c r="DD686" s="134"/>
      <c r="DE686" s="134"/>
      <c r="DF686" s="134"/>
      <c r="DG686" s="134"/>
      <c r="DH686" s="134"/>
      <c r="DJ686" s="134"/>
      <c r="DK686" s="134"/>
      <c r="DL686" s="134"/>
      <c r="DM686" s="134"/>
      <c r="DN686" s="134"/>
      <c r="DO686" s="134"/>
      <c r="DP686" s="134"/>
      <c r="DQ686" s="134"/>
      <c r="DR686" s="134"/>
      <c r="DT686" s="134"/>
      <c r="DU686" s="134"/>
      <c r="DV686" s="134"/>
      <c r="DW686" s="134"/>
      <c r="DX686" s="134"/>
      <c r="DY686" s="134"/>
      <c r="DZ686" s="134"/>
      <c r="EA686" s="134"/>
      <c r="EB686" s="134"/>
      <c r="EC686" s="134"/>
      <c r="ED686" s="134"/>
      <c r="EE686" s="134"/>
      <c r="EF686" s="134"/>
      <c r="EG686" s="134"/>
      <c r="EH686" s="134"/>
      <c r="EI686" s="134"/>
      <c r="EK686" s="134"/>
    </row>
    <row r="687" spans="1:141" ht="31.5" x14ac:dyDescent="0.5">
      <c r="A687" s="134"/>
      <c r="B687" s="100"/>
      <c r="C687" s="101"/>
      <c r="D687" s="100"/>
      <c r="E687" s="100"/>
      <c r="F687" s="100"/>
      <c r="G687" s="101"/>
      <c r="H687" s="137"/>
      <c r="I687" s="137"/>
      <c r="J687" s="137"/>
      <c r="K687" s="137"/>
      <c r="L687" s="137"/>
      <c r="M687" s="137"/>
      <c r="N687" s="134"/>
      <c r="O687" s="134"/>
      <c r="P687" s="134"/>
      <c r="Q687" s="137"/>
      <c r="R687" s="134"/>
      <c r="S687" s="134"/>
      <c r="T687" s="134"/>
      <c r="U687" s="137"/>
      <c r="W687" s="137"/>
      <c r="X687" s="137"/>
      <c r="Y687" s="137"/>
      <c r="AA687" s="134"/>
      <c r="AB687" s="134"/>
      <c r="AC687" s="134"/>
      <c r="AE687" s="134"/>
      <c r="AF687" s="134"/>
      <c r="AG687" s="134"/>
      <c r="AH687" s="137"/>
      <c r="AJ687" s="137"/>
      <c r="AK687" s="137"/>
      <c r="AL687" s="137"/>
      <c r="AN687" s="134"/>
      <c r="AO687" s="134"/>
      <c r="AP687" s="134"/>
      <c r="AR687" s="134"/>
      <c r="AS687" s="134"/>
      <c r="AT687" s="134"/>
      <c r="AU687" s="137"/>
      <c r="AW687" s="137"/>
      <c r="AX687" s="137"/>
      <c r="AY687" s="137"/>
      <c r="BA687" s="134"/>
      <c r="BB687" s="134"/>
      <c r="BC687" s="134"/>
      <c r="BE687" s="134"/>
      <c r="BF687" s="134"/>
      <c r="BG687" s="134"/>
      <c r="BH687" s="137"/>
      <c r="BJ687" s="137"/>
      <c r="BK687" s="137"/>
      <c r="BL687" s="137"/>
      <c r="BN687" s="134"/>
      <c r="BO687" s="134"/>
      <c r="BP687" s="134"/>
      <c r="BR687" s="134"/>
      <c r="BS687" s="134"/>
      <c r="BT687" s="134"/>
      <c r="BU687" s="137"/>
      <c r="BW687" s="137"/>
      <c r="BX687" s="137"/>
      <c r="BY687" s="137"/>
      <c r="CA687" s="134"/>
      <c r="CB687" s="134"/>
      <c r="CC687" s="134"/>
      <c r="CE687" s="134"/>
      <c r="CF687" s="134"/>
      <c r="CG687" s="134"/>
      <c r="CH687" s="137"/>
      <c r="CJ687" s="137"/>
      <c r="CK687" s="137"/>
      <c r="CL687" s="137"/>
      <c r="CN687" s="134"/>
      <c r="CO687" s="134"/>
      <c r="CP687" s="134"/>
      <c r="CR687" s="134"/>
      <c r="CS687" s="134"/>
      <c r="CT687" s="134"/>
      <c r="CU687" s="101"/>
      <c r="CV687" s="134"/>
      <c r="CW687" s="134"/>
      <c r="CX687" s="134"/>
      <c r="CY687" s="134"/>
      <c r="CZ687" s="134"/>
      <c r="DA687" s="134"/>
      <c r="DB687" s="134"/>
      <c r="DC687" s="134"/>
      <c r="DD687" s="134"/>
      <c r="DE687" s="134"/>
      <c r="DF687" s="134"/>
      <c r="DG687" s="6"/>
      <c r="DH687" s="134"/>
      <c r="DJ687" s="134"/>
      <c r="DK687" s="134"/>
      <c r="DL687" s="134"/>
      <c r="DM687" s="134"/>
      <c r="DN687" s="134"/>
      <c r="DO687" s="134"/>
      <c r="DP687" s="134"/>
      <c r="DQ687" s="134"/>
      <c r="DR687" s="134"/>
      <c r="DT687" s="134"/>
      <c r="DU687" s="134"/>
      <c r="DV687" s="134"/>
      <c r="DW687" s="134"/>
      <c r="DX687" s="134"/>
      <c r="DY687" s="134"/>
      <c r="DZ687" s="134"/>
      <c r="EA687" s="134"/>
      <c r="EB687" s="134"/>
      <c r="EC687" s="134"/>
      <c r="ED687" s="134"/>
      <c r="EE687" s="134"/>
      <c r="EF687" s="134"/>
      <c r="EG687" s="134"/>
      <c r="EH687" s="134"/>
      <c r="EI687" s="134"/>
      <c r="EK687" s="134"/>
    </row>
    <row r="688" spans="1:141" ht="31.5" x14ac:dyDescent="0.5">
      <c r="A688" s="134"/>
      <c r="B688" s="100"/>
      <c r="C688" s="101"/>
      <c r="D688" s="134"/>
      <c r="E688" s="134"/>
      <c r="F688" s="100"/>
      <c r="G688" s="101"/>
      <c r="H688" s="137"/>
      <c r="I688" s="137"/>
      <c r="J688" s="137"/>
      <c r="K688" s="137"/>
      <c r="L688" s="137"/>
      <c r="M688" s="137"/>
      <c r="N688" s="134"/>
      <c r="O688" s="134"/>
      <c r="P688" s="134"/>
      <c r="Q688" s="137"/>
      <c r="R688" s="134"/>
      <c r="S688" s="134"/>
      <c r="T688" s="134"/>
      <c r="U688" s="137"/>
      <c r="W688" s="137"/>
      <c r="X688" s="137"/>
      <c r="Y688" s="137"/>
      <c r="AA688" s="134"/>
      <c r="AB688" s="134"/>
      <c r="AC688" s="134"/>
      <c r="AE688" s="134"/>
      <c r="AF688" s="134"/>
      <c r="AG688" s="134"/>
      <c r="AH688" s="137"/>
      <c r="AJ688" s="137"/>
      <c r="AK688" s="137"/>
      <c r="AL688" s="137"/>
      <c r="AN688" s="134"/>
      <c r="AO688" s="134"/>
      <c r="AP688" s="134"/>
      <c r="AR688" s="134"/>
      <c r="AS688" s="134"/>
      <c r="AT688" s="134"/>
      <c r="AU688" s="137"/>
      <c r="AW688" s="137"/>
      <c r="AX688" s="137"/>
      <c r="AY688" s="137"/>
      <c r="BA688" s="134"/>
      <c r="BB688" s="134"/>
      <c r="BC688" s="134"/>
      <c r="BE688" s="134"/>
      <c r="BF688" s="134"/>
      <c r="BG688" s="134"/>
      <c r="BH688" s="137"/>
      <c r="BJ688" s="137"/>
      <c r="BK688" s="137"/>
      <c r="BL688" s="137"/>
      <c r="BN688" s="134"/>
      <c r="BO688" s="134"/>
      <c r="BP688" s="134"/>
      <c r="BR688" s="134"/>
      <c r="BS688" s="134"/>
      <c r="BT688" s="134"/>
      <c r="BU688" s="137"/>
      <c r="BW688" s="137"/>
      <c r="BX688" s="137"/>
      <c r="BY688" s="137"/>
      <c r="CA688" s="134"/>
      <c r="CB688" s="134"/>
      <c r="CC688" s="134"/>
      <c r="CE688" s="134"/>
      <c r="CF688" s="134"/>
      <c r="CG688" s="134"/>
      <c r="CH688" s="137"/>
      <c r="CJ688" s="137"/>
      <c r="CK688" s="137"/>
      <c r="CL688" s="137"/>
      <c r="CN688" s="134"/>
      <c r="CO688" s="134"/>
      <c r="CP688" s="134"/>
      <c r="CR688" s="134"/>
      <c r="CS688" s="134"/>
      <c r="CT688" s="134"/>
      <c r="CU688" s="101"/>
      <c r="CV688" s="134"/>
      <c r="CW688" s="134"/>
      <c r="CX688" s="134"/>
      <c r="CY688" s="134"/>
      <c r="CZ688" s="134"/>
      <c r="DA688" s="134"/>
      <c r="DB688" s="134"/>
      <c r="DC688" s="134"/>
      <c r="DD688" s="134"/>
      <c r="DE688" s="134"/>
      <c r="DF688" s="134"/>
      <c r="DG688" s="134"/>
      <c r="DH688" s="134"/>
      <c r="DJ688" s="134"/>
      <c r="DK688" s="134"/>
      <c r="DL688" s="134"/>
      <c r="DM688" s="134"/>
      <c r="DN688" s="134"/>
      <c r="DO688" s="134"/>
      <c r="DP688" s="134"/>
      <c r="DQ688" s="134"/>
      <c r="DR688" s="134"/>
      <c r="DT688" s="134"/>
      <c r="DU688" s="134"/>
      <c r="DV688" s="134"/>
      <c r="DW688" s="134"/>
      <c r="DX688" s="134"/>
      <c r="DY688" s="134"/>
      <c r="DZ688" s="134"/>
      <c r="EA688" s="134"/>
      <c r="EB688" s="134"/>
      <c r="EC688" s="134"/>
      <c r="ED688" s="134"/>
      <c r="EE688" s="134"/>
      <c r="EF688" s="134"/>
      <c r="EG688" s="134"/>
      <c r="EH688" s="134"/>
      <c r="EI688" s="134"/>
      <c r="EK688" s="134"/>
    </row>
    <row r="689" spans="1:141" x14ac:dyDescent="0.25">
      <c r="A689" s="134"/>
      <c r="B689" s="134"/>
      <c r="D689" s="134"/>
      <c r="E689" s="134"/>
      <c r="F689" s="134"/>
      <c r="H689" s="137"/>
      <c r="I689" s="137"/>
      <c r="J689" s="137"/>
      <c r="K689" s="137"/>
      <c r="L689" s="137"/>
      <c r="M689" s="137"/>
      <c r="N689" s="134"/>
      <c r="O689" s="134"/>
      <c r="P689" s="134"/>
      <c r="Q689" s="137"/>
      <c r="R689" s="134"/>
      <c r="S689" s="134"/>
      <c r="T689" s="134"/>
      <c r="U689" s="137"/>
      <c r="W689" s="137"/>
      <c r="X689" s="137"/>
      <c r="Y689" s="137"/>
      <c r="AA689" s="134"/>
      <c r="AB689" s="134"/>
      <c r="AC689" s="134"/>
      <c r="AE689" s="134"/>
      <c r="AF689" s="134"/>
      <c r="AG689" s="134"/>
      <c r="AH689" s="137"/>
      <c r="AJ689" s="137"/>
      <c r="AK689" s="137"/>
      <c r="AL689" s="137"/>
      <c r="AN689" s="134"/>
      <c r="AO689" s="134"/>
      <c r="AP689" s="134"/>
      <c r="AR689" s="134"/>
      <c r="AS689" s="134"/>
      <c r="AT689" s="134"/>
      <c r="AU689" s="137"/>
      <c r="AW689" s="137"/>
      <c r="AX689" s="137"/>
      <c r="AY689" s="137"/>
      <c r="BA689" s="134"/>
      <c r="BB689" s="134"/>
      <c r="BC689" s="134"/>
      <c r="BE689" s="134"/>
      <c r="BF689" s="134"/>
      <c r="BG689" s="134"/>
      <c r="BH689" s="137"/>
      <c r="BJ689" s="137"/>
      <c r="BK689" s="137"/>
      <c r="BL689" s="137"/>
      <c r="BN689" s="134"/>
      <c r="BO689" s="134"/>
      <c r="BP689" s="134"/>
      <c r="BR689" s="134"/>
      <c r="BS689" s="134"/>
      <c r="BT689" s="134"/>
      <c r="BU689" s="137"/>
      <c r="BW689" s="137"/>
      <c r="BX689" s="137"/>
      <c r="BY689" s="137"/>
      <c r="CA689" s="134"/>
      <c r="CB689" s="134"/>
      <c r="CC689" s="134"/>
      <c r="CE689" s="134"/>
      <c r="CF689" s="134"/>
      <c r="CG689" s="134"/>
      <c r="CH689" s="137"/>
      <c r="CJ689" s="137"/>
      <c r="CK689" s="137"/>
      <c r="CL689" s="137"/>
      <c r="CN689" s="134"/>
      <c r="CO689" s="134"/>
      <c r="CP689" s="134"/>
      <c r="CR689" s="134"/>
      <c r="CS689" s="134"/>
      <c r="CT689" s="134"/>
      <c r="CV689" s="134"/>
      <c r="CW689" s="134"/>
      <c r="CX689" s="134"/>
      <c r="CY689" s="134"/>
      <c r="CZ689" s="134"/>
      <c r="DA689" s="134"/>
      <c r="DB689" s="134"/>
      <c r="DC689" s="134"/>
      <c r="DD689" s="134"/>
      <c r="DE689" s="134"/>
      <c r="DF689" s="134"/>
      <c r="DG689" s="134"/>
      <c r="DH689" s="134"/>
      <c r="DJ689" s="134"/>
      <c r="DK689" s="134"/>
      <c r="DL689" s="134"/>
      <c r="DM689" s="134"/>
      <c r="DN689" s="134"/>
      <c r="DO689" s="134"/>
      <c r="DP689" s="134"/>
      <c r="DQ689" s="134"/>
      <c r="DR689" s="134"/>
      <c r="DT689" s="134"/>
      <c r="DU689" s="134"/>
      <c r="DV689" s="134"/>
      <c r="DW689" s="134"/>
      <c r="DX689" s="134"/>
      <c r="DY689" s="134"/>
      <c r="DZ689" s="134"/>
      <c r="EA689" s="134"/>
      <c r="EB689" s="134"/>
      <c r="EC689" s="134"/>
      <c r="ED689" s="134"/>
      <c r="EE689" s="134"/>
      <c r="EF689" s="134"/>
      <c r="EG689" s="134"/>
      <c r="EH689" s="134"/>
      <c r="EI689" s="134"/>
      <c r="EK689"/>
    </row>
    <row r="690" spans="1:141" x14ac:dyDescent="0.25">
      <c r="A690" s="134"/>
      <c r="B690" s="134"/>
      <c r="D690" s="134"/>
      <c r="E690" s="134"/>
      <c r="F690" s="134"/>
      <c r="H690" s="137"/>
      <c r="I690" s="137"/>
      <c r="J690" s="137"/>
      <c r="K690" s="137"/>
      <c r="L690" s="137"/>
      <c r="M690" s="137"/>
      <c r="N690" s="134"/>
      <c r="O690" s="134"/>
      <c r="P690" s="134"/>
      <c r="Q690" s="137"/>
      <c r="R690" s="134"/>
      <c r="S690" s="134"/>
      <c r="T690" s="134"/>
      <c r="U690" s="137"/>
      <c r="W690" s="137"/>
      <c r="X690" s="137"/>
      <c r="Y690" s="137"/>
      <c r="AA690" s="134"/>
      <c r="AB690" s="134"/>
      <c r="AC690" s="134"/>
      <c r="AE690" s="134"/>
      <c r="AF690" s="134"/>
      <c r="AG690" s="134"/>
      <c r="AH690" s="137"/>
      <c r="AJ690" s="137"/>
      <c r="AK690" s="137"/>
      <c r="AL690" s="137"/>
      <c r="AN690" s="134"/>
      <c r="AO690" s="134"/>
      <c r="AP690" s="134"/>
      <c r="AR690" s="134"/>
      <c r="AS690" s="134"/>
      <c r="AT690" s="134"/>
      <c r="AU690" s="137"/>
      <c r="AW690" s="137"/>
      <c r="AX690" s="137"/>
      <c r="AY690" s="137"/>
      <c r="BA690" s="134"/>
      <c r="BB690" s="134"/>
      <c r="BC690" s="134"/>
      <c r="BE690" s="134"/>
      <c r="BF690" s="134"/>
      <c r="BG690" s="134"/>
      <c r="BH690" s="137"/>
      <c r="BJ690" s="137"/>
      <c r="BK690" s="137"/>
      <c r="BL690" s="137"/>
      <c r="BN690" s="134"/>
      <c r="BO690" s="134"/>
      <c r="BP690" s="134"/>
      <c r="BR690" s="134"/>
      <c r="BS690" s="134"/>
      <c r="BT690" s="134"/>
      <c r="BU690" s="137"/>
      <c r="BW690" s="137"/>
      <c r="BX690" s="137"/>
      <c r="BY690" s="137"/>
      <c r="CA690" s="134"/>
      <c r="CB690" s="134"/>
      <c r="CC690" s="134"/>
      <c r="CE690" s="134"/>
      <c r="CF690" s="134"/>
      <c r="CG690" s="134"/>
      <c r="CH690" s="137"/>
      <c r="CJ690" s="137"/>
      <c r="CK690" s="137"/>
      <c r="CL690" s="137"/>
      <c r="CN690" s="134"/>
      <c r="CO690" s="134"/>
      <c r="CP690" s="134"/>
      <c r="CR690" s="134"/>
      <c r="CS690" s="134"/>
      <c r="CT690" s="134"/>
      <c r="CV690" s="134"/>
      <c r="CW690" s="134"/>
      <c r="CX690" s="134"/>
      <c r="CY690" s="134"/>
      <c r="CZ690" s="134"/>
      <c r="DA690" s="134"/>
      <c r="DB690" s="134"/>
      <c r="DC690" s="134"/>
      <c r="DD690" s="134"/>
      <c r="DE690" s="134"/>
      <c r="DF690" s="134"/>
      <c r="DG690" s="134"/>
      <c r="DH690" s="134"/>
      <c r="DJ690" s="134"/>
      <c r="DK690" s="134"/>
      <c r="DL690" s="134"/>
      <c r="DM690" s="134"/>
      <c r="DN690" s="134"/>
      <c r="DO690" s="134"/>
      <c r="DP690" s="134"/>
      <c r="DQ690" s="134"/>
      <c r="DR690" s="134"/>
      <c r="DT690" s="134"/>
      <c r="DU690" s="134"/>
      <c r="DV690" s="134"/>
      <c r="DW690" s="134"/>
      <c r="DX690" s="134"/>
      <c r="DY690" s="134"/>
      <c r="DZ690" s="134"/>
      <c r="EA690" s="134"/>
      <c r="EB690" s="134"/>
      <c r="EC690" s="134"/>
      <c r="ED690" s="134"/>
      <c r="EE690" s="134"/>
      <c r="EF690" s="134"/>
      <c r="EG690" s="134"/>
      <c r="EH690" s="134"/>
      <c r="EI690" s="134"/>
      <c r="EK690" s="134"/>
    </row>
    <row r="691" spans="1:141" x14ac:dyDescent="0.25">
      <c r="A691" s="134"/>
      <c r="B691" s="134"/>
      <c r="D691" s="134"/>
      <c r="E691" s="134"/>
      <c r="F691" s="134"/>
      <c r="H691" s="137"/>
      <c r="I691" s="137"/>
      <c r="J691" s="137"/>
      <c r="K691" s="137"/>
      <c r="L691" s="137"/>
      <c r="M691" s="137"/>
      <c r="N691" s="134"/>
      <c r="O691" s="134"/>
      <c r="P691" s="134"/>
      <c r="Q691" s="137"/>
      <c r="R691" s="134"/>
      <c r="S691" s="134"/>
      <c r="T691" s="134"/>
      <c r="U691" s="137"/>
      <c r="W691" s="137"/>
      <c r="X691" s="137"/>
      <c r="Y691" s="137"/>
      <c r="AA691" s="134"/>
      <c r="AB691" s="134"/>
      <c r="AC691" s="134"/>
      <c r="AE691" s="134"/>
      <c r="AF691" s="134"/>
      <c r="AG691" s="134"/>
      <c r="AH691" s="137"/>
      <c r="AJ691" s="137"/>
      <c r="AK691" s="137"/>
      <c r="AL691" s="137"/>
      <c r="AN691" s="134"/>
      <c r="AO691" s="134"/>
      <c r="AP691" s="134"/>
      <c r="AR691" s="134"/>
      <c r="AS691" s="134"/>
      <c r="AT691" s="134"/>
      <c r="AU691" s="137"/>
      <c r="AW691" s="137"/>
      <c r="AX691" s="137"/>
      <c r="AY691" s="137"/>
      <c r="BA691" s="134"/>
      <c r="BB691" s="134"/>
      <c r="BC691" s="134"/>
      <c r="BE691" s="134"/>
      <c r="BF691" s="134"/>
      <c r="BG691" s="134"/>
      <c r="BH691" s="137"/>
      <c r="BJ691" s="137"/>
      <c r="BK691" s="137"/>
      <c r="BL691" s="137"/>
      <c r="BN691" s="134"/>
      <c r="BO691" s="134"/>
      <c r="BP691" s="134"/>
      <c r="BR691" s="134"/>
      <c r="BS691" s="134"/>
      <c r="BT691" s="134"/>
      <c r="BU691" s="137"/>
      <c r="BW691" s="137"/>
      <c r="BX691" s="137"/>
      <c r="BY691" s="137"/>
      <c r="CA691" s="134"/>
      <c r="CB691" s="134"/>
      <c r="CC691" s="134"/>
      <c r="CE691" s="134"/>
      <c r="CF691" s="134"/>
      <c r="CG691" s="134"/>
      <c r="CH691" s="137"/>
      <c r="CJ691" s="137"/>
      <c r="CK691" s="137"/>
      <c r="CL691" s="137"/>
      <c r="CN691" s="134"/>
      <c r="CO691" s="134"/>
      <c r="CP691" s="134"/>
      <c r="CR691" s="134"/>
      <c r="CS691" s="134"/>
      <c r="CT691" s="134"/>
      <c r="CV691" s="134"/>
      <c r="CW691" s="134"/>
      <c r="CX691" s="134"/>
      <c r="CY691" s="134"/>
      <c r="CZ691" s="134"/>
      <c r="DA691" s="134"/>
      <c r="DB691" s="134"/>
      <c r="DC691" s="134"/>
      <c r="DD691" s="134"/>
      <c r="DE691" s="134"/>
      <c r="DF691" s="134"/>
      <c r="DG691" s="134"/>
      <c r="DH691" s="134"/>
      <c r="DJ691" s="134"/>
      <c r="DK691" s="134"/>
      <c r="DL691" s="134"/>
      <c r="DM691" s="134"/>
      <c r="DN691" s="134"/>
      <c r="DO691" s="134"/>
      <c r="DP691" s="134"/>
      <c r="DQ691" s="134"/>
      <c r="DR691" s="134"/>
      <c r="DT691" s="134"/>
      <c r="DU691" s="134"/>
      <c r="DV691" s="134"/>
      <c r="DW691" s="134"/>
      <c r="DX691" s="134"/>
      <c r="DY691" s="134"/>
      <c r="DZ691" s="134"/>
      <c r="EA691" s="134"/>
      <c r="EB691" s="134"/>
      <c r="EC691" s="134"/>
      <c r="ED691" s="134"/>
      <c r="EE691" s="134"/>
      <c r="EF691" s="134"/>
      <c r="EG691" s="134"/>
      <c r="EH691" s="134"/>
      <c r="EI691" s="134"/>
      <c r="EK691" s="134"/>
    </row>
    <row r="692" spans="1:141" x14ac:dyDescent="0.25">
      <c r="A692" s="134"/>
      <c r="B692" s="134"/>
      <c r="D692" s="134"/>
      <c r="E692" s="134"/>
      <c r="F692" s="134"/>
      <c r="H692" s="137"/>
      <c r="I692" s="137"/>
      <c r="J692" s="137"/>
      <c r="K692" s="137"/>
      <c r="L692" s="137"/>
      <c r="M692" s="137"/>
      <c r="N692" s="134"/>
      <c r="O692" s="134"/>
      <c r="P692" s="134"/>
      <c r="Q692" s="137"/>
      <c r="R692" s="134"/>
      <c r="S692" s="134"/>
      <c r="T692" s="134"/>
      <c r="U692" s="137"/>
      <c r="W692" s="137"/>
      <c r="X692" s="137"/>
      <c r="Y692" s="137"/>
      <c r="AA692" s="134"/>
      <c r="AB692" s="134"/>
      <c r="AC692" s="134"/>
      <c r="AE692" s="134"/>
      <c r="AF692" s="134"/>
      <c r="AG692" s="134"/>
      <c r="AH692" s="137"/>
      <c r="AJ692" s="137"/>
      <c r="AK692" s="137"/>
      <c r="AL692" s="137"/>
      <c r="AN692" s="134"/>
      <c r="AO692" s="134"/>
      <c r="AP692" s="134"/>
      <c r="AR692" s="134"/>
      <c r="AS692" s="134"/>
      <c r="AT692" s="134"/>
      <c r="AU692" s="137"/>
      <c r="AW692" s="137"/>
      <c r="AX692" s="137"/>
      <c r="AY692" s="137"/>
      <c r="BA692" s="134"/>
      <c r="BB692" s="134"/>
      <c r="BC692" s="134"/>
      <c r="BE692" s="134"/>
      <c r="BF692" s="134"/>
      <c r="BG692" s="134"/>
      <c r="BH692" s="137"/>
      <c r="BJ692" s="137"/>
      <c r="BK692" s="137"/>
      <c r="BL692" s="137"/>
      <c r="BN692" s="134"/>
      <c r="BO692" s="134"/>
      <c r="BP692" s="134"/>
      <c r="BR692" s="134"/>
      <c r="BS692" s="134"/>
      <c r="BT692" s="134"/>
      <c r="BU692" s="137"/>
      <c r="BW692" s="137"/>
      <c r="BX692" s="137"/>
      <c r="BY692" s="137"/>
      <c r="CA692" s="134"/>
      <c r="CB692" s="134"/>
      <c r="CC692" s="134"/>
      <c r="CE692" s="134"/>
      <c r="CF692" s="134"/>
      <c r="CG692" s="134"/>
      <c r="CH692" s="137"/>
      <c r="CJ692" s="137"/>
      <c r="CK692" s="137"/>
      <c r="CL692" s="137"/>
      <c r="CN692" s="134"/>
      <c r="CO692" s="134"/>
      <c r="CP692" s="134"/>
      <c r="CR692" s="134"/>
      <c r="CS692" s="134"/>
      <c r="CT692" s="134"/>
      <c r="CV692" s="134"/>
      <c r="CW692" s="134"/>
      <c r="CX692" s="134"/>
      <c r="CY692" s="134"/>
      <c r="CZ692" s="134"/>
      <c r="DA692" s="134"/>
      <c r="DB692" s="134"/>
      <c r="DC692" s="134"/>
      <c r="DD692" s="134"/>
      <c r="DE692" s="134"/>
      <c r="DF692" s="134"/>
      <c r="DG692" s="134"/>
      <c r="DH692" s="134"/>
      <c r="DJ692" s="134"/>
      <c r="DK692" s="134"/>
      <c r="DL692" s="134"/>
      <c r="DM692" s="134"/>
      <c r="DN692" s="134"/>
      <c r="DO692" s="134"/>
      <c r="DP692" s="134"/>
      <c r="DQ692" s="134"/>
      <c r="DR692" s="134"/>
      <c r="DT692" s="134"/>
      <c r="DU692" s="134"/>
      <c r="DV692" s="134"/>
      <c r="DW692" s="134"/>
      <c r="DX692" s="134"/>
      <c r="DY692" s="134"/>
      <c r="DZ692" s="134"/>
      <c r="EA692" s="134"/>
      <c r="EB692" s="134"/>
      <c r="EC692" s="134"/>
      <c r="ED692" s="134"/>
      <c r="EE692" s="134"/>
      <c r="EF692" s="134"/>
      <c r="EG692" s="134"/>
      <c r="EH692" s="134"/>
      <c r="EI692" s="134"/>
      <c r="EK692" s="134"/>
    </row>
    <row r="693" spans="1:141" x14ac:dyDescent="0.25">
      <c r="A693" s="134"/>
      <c r="B693" s="134"/>
      <c r="D693" s="134"/>
      <c r="E693" s="134"/>
      <c r="F693" s="134"/>
      <c r="H693" s="137"/>
      <c r="I693" s="137"/>
      <c r="J693" s="137"/>
      <c r="K693" s="137"/>
      <c r="L693" s="137"/>
      <c r="M693" s="137"/>
      <c r="N693" s="134"/>
      <c r="O693" s="134"/>
      <c r="P693" s="134"/>
      <c r="Q693" s="137"/>
      <c r="R693" s="134"/>
      <c r="S693" s="134"/>
      <c r="T693" s="134"/>
      <c r="U693" s="137"/>
      <c r="W693" s="137"/>
      <c r="X693" s="137"/>
      <c r="Y693" s="137"/>
      <c r="AA693" s="134"/>
      <c r="AB693" s="134"/>
      <c r="AC693" s="134"/>
      <c r="AE693" s="134"/>
      <c r="AF693" s="134"/>
      <c r="AG693" s="134"/>
      <c r="AH693" s="137"/>
      <c r="AJ693" s="137"/>
      <c r="AK693" s="137"/>
      <c r="AL693" s="137"/>
      <c r="AN693" s="134"/>
      <c r="AO693" s="134"/>
      <c r="AP693" s="134"/>
      <c r="AR693" s="134"/>
      <c r="AS693" s="134"/>
      <c r="AT693" s="134"/>
      <c r="AU693" s="137"/>
      <c r="AW693" s="137"/>
      <c r="AX693" s="137"/>
      <c r="AY693" s="137"/>
      <c r="BA693" s="134"/>
      <c r="BB693" s="134"/>
      <c r="BC693" s="134"/>
      <c r="BE693" s="134"/>
      <c r="BF693" s="134"/>
      <c r="BG693" s="134"/>
      <c r="BH693" s="137"/>
      <c r="BJ693" s="137"/>
      <c r="BK693" s="137"/>
      <c r="BL693" s="137"/>
      <c r="BN693" s="134"/>
      <c r="BO693" s="134"/>
      <c r="BP693" s="134"/>
      <c r="BR693" s="134"/>
      <c r="BS693" s="134"/>
      <c r="BT693" s="134"/>
      <c r="BU693" s="137"/>
      <c r="BW693" s="137"/>
      <c r="BX693" s="137"/>
      <c r="BY693" s="137"/>
      <c r="CA693" s="134"/>
      <c r="CB693" s="134"/>
      <c r="CC693" s="134"/>
      <c r="CE693" s="134"/>
      <c r="CF693" s="134"/>
      <c r="CG693" s="134"/>
      <c r="CH693" s="137"/>
      <c r="CJ693" s="137"/>
      <c r="CK693" s="137"/>
      <c r="CL693" s="137"/>
      <c r="CN693" s="134"/>
      <c r="CO693" s="134"/>
      <c r="CP693" s="134"/>
      <c r="CR693" s="134"/>
      <c r="CS693" s="134"/>
      <c r="CT693" s="134"/>
      <c r="CV693" s="134"/>
      <c r="CW693" s="134"/>
      <c r="CX693" s="134"/>
      <c r="CY693" s="134"/>
      <c r="CZ693" s="134"/>
      <c r="DA693" s="134"/>
      <c r="DB693" s="134"/>
      <c r="DC693" s="134"/>
      <c r="DD693" s="134"/>
      <c r="DE693" s="134"/>
      <c r="DF693" s="134"/>
      <c r="DG693" s="134"/>
      <c r="DH693" s="134"/>
      <c r="DJ693" s="134"/>
      <c r="DK693" s="134"/>
      <c r="DL693" s="134"/>
      <c r="DM693" s="134"/>
      <c r="DN693" s="134"/>
      <c r="DO693" s="134"/>
      <c r="DP693" s="134"/>
      <c r="DQ693" s="134"/>
      <c r="DR693" s="134"/>
      <c r="DT693" s="134"/>
      <c r="DU693" s="134"/>
      <c r="DV693" s="134"/>
      <c r="DW693" s="134"/>
      <c r="DX693" s="134"/>
      <c r="DY693" s="134"/>
      <c r="DZ693" s="134"/>
      <c r="EA693" s="134"/>
      <c r="EB693" s="134"/>
      <c r="EC693" s="134"/>
      <c r="ED693" s="134"/>
      <c r="EE693" s="134"/>
      <c r="EF693" s="134"/>
      <c r="EG693" s="134"/>
      <c r="EH693" s="134"/>
      <c r="EI693" s="134"/>
      <c r="EK693" s="134"/>
    </row>
  </sheetData>
  <autoFilter ref="A6:EK678" xr:uid="{00000000-0009-0000-0000-000002000000}"/>
  <dataConsolidate link="1"/>
  <customSheetViews>
    <customSheetView guid="{DB9894F0-96BC-4C04-8D04-FF3607BEBF53}" scale="90" showPageBreaks="1" showGridLines="0" printArea="1" showAutoFilter="1">
      <pane xSplit="7" ySplit="6" topLeftCell="H238" activePane="bottomRight" state="frozen"/>
      <selection pane="bottomRight" activeCell="F223" sqref="F223:F256"/>
      <pageMargins left="0" right="0" top="0" bottom="0" header="0" footer="0"/>
      <pageSetup paperSize="5" scale="43" fitToHeight="4" orientation="landscape" r:id="rId1"/>
      <headerFooter>
        <oddHeader>&amp;C&amp;"-,Negrita"&amp;18FECHA DE PAGO 11/10/2019</oddHeader>
        <oddFooter>&amp;R&amp;P de &amp;N</oddFooter>
      </headerFooter>
      <autoFilter ref="A6:EK261" xr:uid="{E5F74D34-80A9-46E4-B44F-ED80658DA94F}"/>
    </customSheetView>
    <customSheetView guid="{8D8BE001-C296-444A-B8AC-56385A059ADB}" scale="90" showPageBreaks="1" showGridLines="0" printArea="1" showAutoFilter="1">
      <pane xSplit="7" ySplit="6" topLeftCell="H258" activePane="bottomRight" state="frozen"/>
      <selection pane="bottomRight" activeCell="Q274" sqref="Q274"/>
      <pageMargins left="0" right="0" top="0" bottom="0" header="0" footer="0"/>
      <pageSetup paperSize="5" scale="43" fitToHeight="4" orientation="landscape" r:id="rId2"/>
      <headerFooter>
        <oddHeader>&amp;C&amp;"-,Negrita"&amp;18FECHA DE PAGO 11/10/2019</oddHeader>
        <oddFooter>&amp;R&amp;P de &amp;N</oddFooter>
      </headerFooter>
      <autoFilter ref="A6:EJ274" xr:uid="{193B8E8E-AB5C-44C3-A2AE-AB8E3D41A9A6}"/>
    </customSheetView>
    <customSheetView guid="{5A7B666F-E305-4A9E-98DD-F5DEC8A780A3}" scale="90" showPageBreaks="1" showGridLines="0" printArea="1" showAutoFilter="1">
      <pane xSplit="7" ySplit="6" topLeftCell="DP7" activePane="bottomRight" state="frozen"/>
      <selection pane="bottomRight" activeCell="DR4" sqref="DR4"/>
      <pageMargins left="0" right="0" top="0" bottom="0" header="0" footer="0"/>
      <pageSetup paperSize="5" scale="43" fitToHeight="4" orientation="landscape" r:id="rId3"/>
      <headerFooter>
        <oddHeader>&amp;C&amp;"-,Negrita"&amp;18FECHA DE PAGO 11/10/2019</oddHeader>
        <oddFooter>&amp;R&amp;P de &amp;N</oddFooter>
      </headerFooter>
      <autoFilter ref="A6:EJ470" xr:uid="{D37C5E44-81EF-4C53-A711-E7111886534E}"/>
    </customSheetView>
    <customSheetView guid="{A8BCBFE8-6A1E-4872-B017-B3136BC584DB}" scale="90" showPageBreaks="1" showGridLines="0" printArea="1" showAutoFilter="1">
      <pane xSplit="7" ySplit="6" topLeftCell="H244" activePane="bottomRight" state="frozen"/>
      <selection pane="bottomRight" activeCell="B248" sqref="B248"/>
      <pageMargins left="0" right="0" top="0" bottom="0" header="0" footer="0"/>
      <pageSetup paperSize="5" scale="43" fitToHeight="4" orientation="landscape" r:id="rId4"/>
      <headerFooter>
        <oddHeader>&amp;C&amp;"-,Negrita"&amp;18FECHA DE PAGO 11/10/2019</oddHeader>
        <oddFooter>&amp;R&amp;P de &amp;N</oddFooter>
      </headerFooter>
      <autoFilter ref="A6:EK278" xr:uid="{91B9C77C-75E7-4922-A077-F46FCA808503}"/>
    </customSheetView>
  </customSheetViews>
  <conditionalFormatting sqref="R681:T683 V44 AV44 CI263:CI264 I105 I192:I197 I199:I205 V198 I130:I134 V131:V134 BV143 V143 I136:I143 BV126 I107:I112 I219:I222 I114:I122 I188:I190 I211:I217 V189 V214 V191 I124:I126 BV128:BV129 I224:I238 R685:T975">
    <cfRule type="cellIs" dxfId="4445" priority="7367" stopIfTrue="1" operator="equal">
      <formula>"PCG"</formula>
    </cfRule>
    <cfRule type="cellIs" dxfId="4444" priority="7368" stopIfTrue="1" operator="equal">
      <formula>"VAC"</formula>
    </cfRule>
    <cfRule type="cellIs" dxfId="4443" priority="7369" stopIfTrue="1" operator="equal">
      <formula>"INC"</formula>
    </cfRule>
    <cfRule type="cellIs" dxfId="4442" priority="7370" stopIfTrue="1" operator="equal">
      <formula>"PSG"</formula>
    </cfRule>
    <cfRule type="cellIs" dxfId="4441" priority="7371" stopIfTrue="1" operator="equal">
      <formula>"FALTA"</formula>
    </cfRule>
  </conditionalFormatting>
  <conditionalFormatting sqref="AE680:AG683 AE685:AG975">
    <cfRule type="cellIs" dxfId="4440" priority="7362" stopIfTrue="1" operator="equal">
      <formula>"PCG"</formula>
    </cfRule>
    <cfRule type="cellIs" dxfId="4439" priority="7363" stopIfTrue="1" operator="equal">
      <formula>"VAC"</formula>
    </cfRule>
    <cfRule type="cellIs" dxfId="4438" priority="7364" stopIfTrue="1" operator="equal">
      <formula>"INC"</formula>
    </cfRule>
    <cfRule type="cellIs" dxfId="4437" priority="7365" stopIfTrue="1" operator="equal">
      <formula>"PSG"</formula>
    </cfRule>
    <cfRule type="cellIs" dxfId="4436" priority="7366" stopIfTrue="1" operator="equal">
      <formula>"FALTA"</formula>
    </cfRule>
  </conditionalFormatting>
  <conditionalFormatting sqref="AR680:AT683 AR685:AT975">
    <cfRule type="cellIs" dxfId="4435" priority="7357" stopIfTrue="1" operator="equal">
      <formula>"PCG"</formula>
    </cfRule>
    <cfRule type="cellIs" dxfId="4434" priority="7358" stopIfTrue="1" operator="equal">
      <formula>"VAC"</formula>
    </cfRule>
    <cfRule type="cellIs" dxfId="4433" priority="7359" stopIfTrue="1" operator="equal">
      <formula>"INC"</formula>
    </cfRule>
    <cfRule type="cellIs" dxfId="4432" priority="7360" stopIfTrue="1" operator="equal">
      <formula>"PSG"</formula>
    </cfRule>
    <cfRule type="cellIs" dxfId="4431" priority="7361" stopIfTrue="1" operator="equal">
      <formula>"FALTA"</formula>
    </cfRule>
  </conditionalFormatting>
  <conditionalFormatting sqref="BE680:BG683 BE685:BG975">
    <cfRule type="cellIs" dxfId="4430" priority="7352" stopIfTrue="1" operator="equal">
      <formula>"PCG"</formula>
    </cfRule>
    <cfRule type="cellIs" dxfId="4429" priority="7353" stopIfTrue="1" operator="equal">
      <formula>"VAC"</formula>
    </cfRule>
    <cfRule type="cellIs" dxfId="4428" priority="7354" stopIfTrue="1" operator="equal">
      <formula>"INC"</formula>
    </cfRule>
    <cfRule type="cellIs" dxfId="4427" priority="7355" stopIfTrue="1" operator="equal">
      <formula>"PSG"</formula>
    </cfRule>
    <cfRule type="cellIs" dxfId="4426" priority="7356" stopIfTrue="1" operator="equal">
      <formula>"FALTA"</formula>
    </cfRule>
  </conditionalFormatting>
  <conditionalFormatting sqref="BR680:BT683 BR685:BT975">
    <cfRule type="cellIs" dxfId="4425" priority="7347" stopIfTrue="1" operator="equal">
      <formula>"PCG"</formula>
    </cfRule>
    <cfRule type="cellIs" dxfId="4424" priority="7348" stopIfTrue="1" operator="equal">
      <formula>"VAC"</formula>
    </cfRule>
    <cfRule type="cellIs" dxfId="4423" priority="7349" stopIfTrue="1" operator="equal">
      <formula>"INC"</formula>
    </cfRule>
    <cfRule type="cellIs" dxfId="4422" priority="7350" stopIfTrue="1" operator="equal">
      <formula>"PSG"</formula>
    </cfRule>
    <cfRule type="cellIs" dxfId="4421" priority="7351" stopIfTrue="1" operator="equal">
      <formula>"FALTA"</formula>
    </cfRule>
  </conditionalFormatting>
  <conditionalFormatting sqref="CE680:CG683 CE685:CG975">
    <cfRule type="cellIs" dxfId="4420" priority="7342" stopIfTrue="1" operator="equal">
      <formula>"PCG"</formula>
    </cfRule>
    <cfRule type="cellIs" dxfId="4419" priority="7343" stopIfTrue="1" operator="equal">
      <formula>"VAC"</formula>
    </cfRule>
    <cfRule type="cellIs" dxfId="4418" priority="7344" stopIfTrue="1" operator="equal">
      <formula>"INC"</formula>
    </cfRule>
    <cfRule type="cellIs" dxfId="4417" priority="7345" stopIfTrue="1" operator="equal">
      <formula>"PSG"</formula>
    </cfRule>
    <cfRule type="cellIs" dxfId="4416" priority="7346" stopIfTrue="1" operator="equal">
      <formula>"FALTA"</formula>
    </cfRule>
  </conditionalFormatting>
  <conditionalFormatting sqref="CR680:CU683 CR685:CU975">
    <cfRule type="cellIs" dxfId="4415" priority="7337" stopIfTrue="1" operator="equal">
      <formula>"PCG"</formula>
    </cfRule>
    <cfRule type="cellIs" dxfId="4414" priority="7338" stopIfTrue="1" operator="equal">
      <formula>"VAC"</formula>
    </cfRule>
    <cfRule type="cellIs" dxfId="4413" priority="7339" stopIfTrue="1" operator="equal">
      <formula>"INC"</formula>
    </cfRule>
    <cfRule type="cellIs" dxfId="4412" priority="7340" stopIfTrue="1" operator="equal">
      <formula>"PSG"</formula>
    </cfRule>
    <cfRule type="cellIs" dxfId="4411" priority="7341" stopIfTrue="1" operator="equal">
      <formula>"FALTA"</formula>
    </cfRule>
  </conditionalFormatting>
  <conditionalFormatting sqref="BV269">
    <cfRule type="cellIs" dxfId="4410" priority="7292" stopIfTrue="1" operator="equal">
      <formula>"PCG"</formula>
    </cfRule>
    <cfRule type="cellIs" dxfId="4409" priority="7293" stopIfTrue="1" operator="equal">
      <formula>"VAC"</formula>
    </cfRule>
    <cfRule type="cellIs" dxfId="4408" priority="7294" stopIfTrue="1" operator="equal">
      <formula>"INC"</formula>
    </cfRule>
    <cfRule type="cellIs" dxfId="4407" priority="7295" stopIfTrue="1" operator="equal">
      <formula>"PSG"</formula>
    </cfRule>
    <cfRule type="cellIs" dxfId="4406" priority="7296" stopIfTrue="1" operator="equal">
      <formula>"FALTA"</formula>
    </cfRule>
  </conditionalFormatting>
  <conditionalFormatting sqref="CI55 CI260">
    <cfRule type="cellIs" dxfId="4405" priority="7287" stopIfTrue="1" operator="equal">
      <formula>"PCG"</formula>
    </cfRule>
    <cfRule type="cellIs" dxfId="4404" priority="7288" stopIfTrue="1" operator="equal">
      <formula>"VAC"</formula>
    </cfRule>
    <cfRule type="cellIs" dxfId="4403" priority="7289" stopIfTrue="1" operator="equal">
      <formula>"INC"</formula>
    </cfRule>
    <cfRule type="cellIs" dxfId="4402" priority="7290" stopIfTrue="1" operator="equal">
      <formula>"PSG"</formula>
    </cfRule>
    <cfRule type="cellIs" dxfId="4401" priority="7291" stopIfTrue="1" operator="equal">
      <formula>"FALTA"</formula>
    </cfRule>
  </conditionalFormatting>
  <conditionalFormatting sqref="I55">
    <cfRule type="cellIs" dxfId="4400" priority="7147" stopIfTrue="1" operator="equal">
      <formula>"PCG"</formula>
    </cfRule>
    <cfRule type="cellIs" dxfId="4399" priority="7148" stopIfTrue="1" operator="equal">
      <formula>"VAC"</formula>
    </cfRule>
    <cfRule type="cellIs" dxfId="4398" priority="7149" stopIfTrue="1" operator="equal">
      <formula>"INC"</formula>
    </cfRule>
    <cfRule type="cellIs" dxfId="4397" priority="7150" stopIfTrue="1" operator="equal">
      <formula>"PSG"</formula>
    </cfRule>
    <cfRule type="cellIs" dxfId="4396" priority="7151" stopIfTrue="1" operator="equal">
      <formula>"FALTA"</formula>
    </cfRule>
  </conditionalFormatting>
  <conditionalFormatting sqref="I265">
    <cfRule type="cellIs" dxfId="4395" priority="7182" stopIfTrue="1" operator="equal">
      <formula>"PCG"</formula>
    </cfRule>
    <cfRule type="cellIs" dxfId="4394" priority="7183" stopIfTrue="1" operator="equal">
      <formula>"VAC"</formula>
    </cfRule>
    <cfRule type="cellIs" dxfId="4393" priority="7184" stopIfTrue="1" operator="equal">
      <formula>"INC"</formula>
    </cfRule>
    <cfRule type="cellIs" dxfId="4392" priority="7185" stopIfTrue="1" operator="equal">
      <formula>"PSG"</formula>
    </cfRule>
    <cfRule type="cellIs" dxfId="4391" priority="7186" stopIfTrue="1" operator="equal">
      <formula>"FALTA"</formula>
    </cfRule>
  </conditionalFormatting>
  <conditionalFormatting sqref="BV260">
    <cfRule type="cellIs" dxfId="4390" priority="7267" stopIfTrue="1" operator="equal">
      <formula>"PCG"</formula>
    </cfRule>
    <cfRule type="cellIs" dxfId="4389" priority="7268" stopIfTrue="1" operator="equal">
      <formula>"VAC"</formula>
    </cfRule>
    <cfRule type="cellIs" dxfId="4388" priority="7269" stopIfTrue="1" operator="equal">
      <formula>"INC"</formula>
    </cfRule>
    <cfRule type="cellIs" dxfId="4387" priority="7270" stopIfTrue="1" operator="equal">
      <formula>"PSG"</formula>
    </cfRule>
    <cfRule type="cellIs" dxfId="4386" priority="7271" stopIfTrue="1" operator="equal">
      <formula>"FALTA"</formula>
    </cfRule>
  </conditionalFormatting>
  <conditionalFormatting sqref="Z260">
    <cfRule type="cellIs" dxfId="4385" priority="7247" stopIfTrue="1" operator="equal">
      <formula>"PCG"</formula>
    </cfRule>
    <cfRule type="cellIs" dxfId="4384" priority="7248" stopIfTrue="1" operator="equal">
      <formula>"VAC"</formula>
    </cfRule>
    <cfRule type="cellIs" dxfId="4383" priority="7249" stopIfTrue="1" operator="equal">
      <formula>"INC"</formula>
    </cfRule>
    <cfRule type="cellIs" dxfId="4382" priority="7250" stopIfTrue="1" operator="equal">
      <formula>"PSG"</formula>
    </cfRule>
    <cfRule type="cellIs" dxfId="4381" priority="7251" stopIfTrue="1" operator="equal">
      <formula>"FALTA"</formula>
    </cfRule>
  </conditionalFormatting>
  <conditionalFormatting sqref="BV59 BV175 BV120 BV245:BV247 BV91:BV92 BV153:BV154 BV202:BV203 BV163 BV157 BV209:BV210 BV81:BV84 BV250 BV69:BV72 BV110:BV112 BV253 BV117:BV118 BV217 BV221:BV222 BV233 BV114:BV115 BV147 BV168:BV173 BV224:BV225 BV206 BV193 BV215 BV145 BV235 BV238:BV239 BV199:BV200 BV122 BV180 BV65:BV67 BV132:BV133 BV189:BV190 BV103:BV104 BV241 BV182 BV77:BV78 BV86:BV88 BV177 BV165 BV74:BV75 BV230:BV231 BV135:BV138 BV94 BV96:BV101 BV140 BV195:BV197">
    <cfRule type="cellIs" dxfId="4380" priority="7192" stopIfTrue="1" operator="equal">
      <formula>"PCG"</formula>
    </cfRule>
    <cfRule type="cellIs" dxfId="4379" priority="7193" stopIfTrue="1" operator="equal">
      <formula>"VAC"</formula>
    </cfRule>
    <cfRule type="cellIs" dxfId="4378" priority="7194" stopIfTrue="1" operator="equal">
      <formula>"INC"</formula>
    </cfRule>
    <cfRule type="cellIs" dxfId="4377" priority="7195" stopIfTrue="1" operator="equal">
      <formula>"PSG"</formula>
    </cfRule>
    <cfRule type="cellIs" dxfId="4376" priority="7196" stopIfTrue="1" operator="equal">
      <formula>"FALTA"</formula>
    </cfRule>
  </conditionalFormatting>
  <conditionalFormatting sqref="V266">
    <cfRule type="cellIs" dxfId="4375" priority="7237" stopIfTrue="1" operator="equal">
      <formula>"PCG"</formula>
    </cfRule>
    <cfRule type="cellIs" dxfId="4374" priority="7238" stopIfTrue="1" operator="equal">
      <formula>"VAC"</formula>
    </cfRule>
    <cfRule type="cellIs" dxfId="4373" priority="7239" stopIfTrue="1" operator="equal">
      <formula>"INC"</formula>
    </cfRule>
    <cfRule type="cellIs" dxfId="4372" priority="7240" stopIfTrue="1" operator="equal">
      <formula>"PSG"</formula>
    </cfRule>
    <cfRule type="cellIs" dxfId="4371" priority="7241" stopIfTrue="1" operator="equal">
      <formula>"FALTA"</formula>
    </cfRule>
  </conditionalFormatting>
  <conditionalFormatting sqref="AI266">
    <cfRule type="cellIs" dxfId="4370" priority="7232" stopIfTrue="1" operator="equal">
      <formula>"PCG"</formula>
    </cfRule>
    <cfRule type="cellIs" dxfId="4369" priority="7233" stopIfTrue="1" operator="equal">
      <formula>"VAC"</formula>
    </cfRule>
    <cfRule type="cellIs" dxfId="4368" priority="7234" stopIfTrue="1" operator="equal">
      <formula>"INC"</formula>
    </cfRule>
    <cfRule type="cellIs" dxfId="4367" priority="7235" stopIfTrue="1" operator="equal">
      <formula>"PSG"</formula>
    </cfRule>
    <cfRule type="cellIs" dxfId="4366" priority="7236" stopIfTrue="1" operator="equal">
      <formula>"FALTA"</formula>
    </cfRule>
  </conditionalFormatting>
  <conditionalFormatting sqref="AV266">
    <cfRule type="cellIs" dxfId="4365" priority="7227" stopIfTrue="1" operator="equal">
      <formula>"PCG"</formula>
    </cfRule>
    <cfRule type="cellIs" dxfId="4364" priority="7228" stopIfTrue="1" operator="equal">
      <formula>"VAC"</formula>
    </cfRule>
    <cfRule type="cellIs" dxfId="4363" priority="7229" stopIfTrue="1" operator="equal">
      <formula>"INC"</formula>
    </cfRule>
    <cfRule type="cellIs" dxfId="4362" priority="7230" stopIfTrue="1" operator="equal">
      <formula>"PSG"</formula>
    </cfRule>
    <cfRule type="cellIs" dxfId="4361" priority="7231" stopIfTrue="1" operator="equal">
      <formula>"FALTA"</formula>
    </cfRule>
  </conditionalFormatting>
  <conditionalFormatting sqref="I59 I209 I240:I242 I185 I128 I77:I103 I145:I149 I61:I72 I250:I255 I245:I248 I165 I152:I163 I74:I75 I167:I183">
    <cfRule type="cellIs" dxfId="4360" priority="7212" stopIfTrue="1" operator="equal">
      <formula>"PCG"</formula>
    </cfRule>
    <cfRule type="cellIs" dxfId="4359" priority="7213" stopIfTrue="1" operator="equal">
      <formula>"VAC"</formula>
    </cfRule>
    <cfRule type="cellIs" dxfId="4358" priority="7214" stopIfTrue="1" operator="equal">
      <formula>"INC"</formula>
    </cfRule>
    <cfRule type="cellIs" dxfId="4357" priority="7215" stopIfTrue="1" operator="equal">
      <formula>"PSG"</formula>
    </cfRule>
    <cfRule type="cellIs" dxfId="4356" priority="7216" stopIfTrue="1" operator="equal">
      <formula>"FALTA"</formula>
    </cfRule>
  </conditionalFormatting>
  <conditionalFormatting sqref="AV117 AV120 AV154:AV155 AV182 AV245 AV126 AV91:AV92 AV202:AV203 AV231 AV143 AV157 AV210 AV241 AV81:AV82 AV248 AV69:AV70 AV226 AV185 AV86 AV170 AV199 AV217 AV100:AV101 AV172:AV173 AV163 AV233 AV128:AV129 AV147 AV168 AV215 AV193 AV72 AV165 AV88 AV96 AV111 AV235 AV237:AV238 AV122 AV64:AV65 AV94 AV189 AV103 AV131:AV132 AV220">
    <cfRule type="cellIs" dxfId="4355" priority="7202" stopIfTrue="1" operator="equal">
      <formula>"PCG"</formula>
    </cfRule>
    <cfRule type="cellIs" dxfId="4354" priority="7203" stopIfTrue="1" operator="equal">
      <formula>"VAC"</formula>
    </cfRule>
    <cfRule type="cellIs" dxfId="4353" priority="7204" stopIfTrue="1" operator="equal">
      <formula>"INC"</formula>
    </cfRule>
    <cfRule type="cellIs" dxfId="4352" priority="7205" stopIfTrue="1" operator="equal">
      <formula>"PSG"</formula>
    </cfRule>
    <cfRule type="cellIs" dxfId="4351" priority="7206" stopIfTrue="1" operator="equal">
      <formula>"FALTA"</formula>
    </cfRule>
  </conditionalFormatting>
  <conditionalFormatting sqref="BI117 BI120 BI245 BI126 BI91:BI92 BI203 BI231 BI143 BI155 BI157 BI209 BI241 BI81:BI82 BI248 BI109 BI170 BI78 BI137 BI199 BI217 BI100:BI101 BI172:BI173 BI85 BI163 BI233 BI128 BI147 BI168 BI70 BI215 BI140 BI165 BI88 BI96 BI62 BI111 BI238 BI122 BI65 BI94 BI189 BI103 BI220:BI221 BI72">
    <cfRule type="cellIs" dxfId="4350" priority="7197" stopIfTrue="1" operator="equal">
      <formula>"PCG"</formula>
    </cfRule>
    <cfRule type="cellIs" dxfId="4349" priority="7198" stopIfTrue="1" operator="equal">
      <formula>"VAC"</formula>
    </cfRule>
    <cfRule type="cellIs" dxfId="4348" priority="7199" stopIfTrue="1" operator="equal">
      <formula>"INC"</formula>
    </cfRule>
    <cfRule type="cellIs" dxfId="4347" priority="7200" stopIfTrue="1" operator="equal">
      <formula>"PSG"</formula>
    </cfRule>
    <cfRule type="cellIs" dxfId="4346" priority="7201" stopIfTrue="1" operator="equal">
      <formula>"FALTA"</formula>
    </cfRule>
  </conditionalFormatting>
  <conditionalFormatting sqref="I46">
    <cfRule type="cellIs" dxfId="4345" priority="7187" stopIfTrue="1" operator="equal">
      <formula>"PCG"</formula>
    </cfRule>
    <cfRule type="cellIs" dxfId="4344" priority="7188" stopIfTrue="1" operator="equal">
      <formula>"VAC"</formula>
    </cfRule>
    <cfRule type="cellIs" dxfId="4343" priority="7189" stopIfTrue="1" operator="equal">
      <formula>"INC"</formula>
    </cfRule>
    <cfRule type="cellIs" dxfId="4342" priority="7190" stopIfTrue="1" operator="equal">
      <formula>"PSG"</formula>
    </cfRule>
    <cfRule type="cellIs" dxfId="4341" priority="7191" stopIfTrue="1" operator="equal">
      <formula>"FALTA"</formula>
    </cfRule>
  </conditionalFormatting>
  <conditionalFormatting sqref="Z267">
    <cfRule type="cellIs" dxfId="4340" priority="7167" stopIfTrue="1" operator="equal">
      <formula>"PCG"</formula>
    </cfRule>
    <cfRule type="cellIs" dxfId="4339" priority="7168" stopIfTrue="1" operator="equal">
      <formula>"VAC"</formula>
    </cfRule>
    <cfRule type="cellIs" dxfId="4338" priority="7169" stopIfTrue="1" operator="equal">
      <formula>"INC"</formula>
    </cfRule>
    <cfRule type="cellIs" dxfId="4337" priority="7170" stopIfTrue="1" operator="equal">
      <formula>"PSG"</formula>
    </cfRule>
    <cfRule type="cellIs" dxfId="4336" priority="7171" stopIfTrue="1" operator="equal">
      <formula>"FALTA"</formula>
    </cfRule>
  </conditionalFormatting>
  <conditionalFormatting sqref="Z268">
    <cfRule type="cellIs" dxfId="4335" priority="7152" stopIfTrue="1" operator="equal">
      <formula>"PCG"</formula>
    </cfRule>
    <cfRule type="cellIs" dxfId="4334" priority="7153" stopIfTrue="1" operator="equal">
      <formula>"VAC"</formula>
    </cfRule>
    <cfRule type="cellIs" dxfId="4333" priority="7154" stopIfTrue="1" operator="equal">
      <formula>"INC"</formula>
    </cfRule>
    <cfRule type="cellIs" dxfId="4332" priority="7155" stopIfTrue="1" operator="equal">
      <formula>"PSG"</formula>
    </cfRule>
    <cfRule type="cellIs" dxfId="4331" priority="7156" stopIfTrue="1" operator="equal">
      <formula>"FALTA"</formula>
    </cfRule>
  </conditionalFormatting>
  <conditionalFormatting sqref="Q55">
    <cfRule type="cellIs" dxfId="4330" priority="7142" stopIfTrue="1" operator="equal">
      <formula>"PCG"</formula>
    </cfRule>
    <cfRule type="cellIs" dxfId="4329" priority="7143" stopIfTrue="1" operator="equal">
      <formula>"VAC"</formula>
    </cfRule>
    <cfRule type="cellIs" dxfId="4328" priority="7144" stopIfTrue="1" operator="equal">
      <formula>"INC"</formula>
    </cfRule>
    <cfRule type="cellIs" dxfId="4327" priority="7145" stopIfTrue="1" operator="equal">
      <formula>"PSG"</formula>
    </cfRule>
    <cfRule type="cellIs" dxfId="4326" priority="7146" stopIfTrue="1" operator="equal">
      <formula>"FALTA"</formula>
    </cfRule>
  </conditionalFormatting>
  <conditionalFormatting sqref="BV8:BV41">
    <cfRule type="cellIs" dxfId="4325" priority="7097" stopIfTrue="1" operator="equal">
      <formula>"PCG"</formula>
    </cfRule>
    <cfRule type="cellIs" dxfId="4324" priority="7098" stopIfTrue="1" operator="equal">
      <formula>"VAC"</formula>
    </cfRule>
    <cfRule type="cellIs" dxfId="4323" priority="7099" stopIfTrue="1" operator="equal">
      <formula>"INC"</formula>
    </cfRule>
    <cfRule type="cellIs" dxfId="4322" priority="7100" stopIfTrue="1" operator="equal">
      <formula>"PSG"</formula>
    </cfRule>
    <cfRule type="cellIs" dxfId="4321" priority="7101" stopIfTrue="1" operator="equal">
      <formula>"FALTA"</formula>
    </cfRule>
  </conditionalFormatting>
  <conditionalFormatting sqref="AD265 AM265:AO265 AQ265:AS265">
    <cfRule type="cellIs" dxfId="4320" priority="7082" stopIfTrue="1" operator="equal">
      <formula>"PCG"</formula>
    </cfRule>
    <cfRule type="cellIs" dxfId="4319" priority="7083" stopIfTrue="1" operator="equal">
      <formula>"VAC"</formula>
    </cfRule>
    <cfRule type="cellIs" dxfId="4318" priority="7084" stopIfTrue="1" operator="equal">
      <formula>"INC"</formula>
    </cfRule>
    <cfRule type="cellIs" dxfId="4317" priority="7085" stopIfTrue="1" operator="equal">
      <formula>"PSG"</formula>
    </cfRule>
    <cfRule type="cellIs" dxfId="4316" priority="7086" stopIfTrue="1" operator="equal">
      <formula>"FALTA"</formula>
    </cfRule>
  </conditionalFormatting>
  <conditionalFormatting sqref="AA265:AB265">
    <cfRule type="cellIs" dxfId="4315" priority="7077" stopIfTrue="1" operator="equal">
      <formula>"PCG"</formula>
    </cfRule>
    <cfRule type="cellIs" dxfId="4314" priority="7078" stopIfTrue="1" operator="equal">
      <formula>"VAC"</formula>
    </cfRule>
    <cfRule type="cellIs" dxfId="4313" priority="7079" stopIfTrue="1" operator="equal">
      <formula>"INC"</formula>
    </cfRule>
    <cfRule type="cellIs" dxfId="4312" priority="7080" stopIfTrue="1" operator="equal">
      <formula>"PSG"</formula>
    </cfRule>
    <cfRule type="cellIs" dxfId="4311" priority="7081" stopIfTrue="1" operator="equal">
      <formula>"FALTA"</formula>
    </cfRule>
  </conditionalFormatting>
  <conditionalFormatting sqref="AE265:AF265">
    <cfRule type="cellIs" dxfId="4310" priority="7072" stopIfTrue="1" operator="equal">
      <formula>"PCG"</formula>
    </cfRule>
    <cfRule type="cellIs" dxfId="4309" priority="7073" stopIfTrue="1" operator="equal">
      <formula>"VAC"</formula>
    </cfRule>
    <cfRule type="cellIs" dxfId="4308" priority="7074" stopIfTrue="1" operator="equal">
      <formula>"INC"</formula>
    </cfRule>
    <cfRule type="cellIs" dxfId="4307" priority="7075" stopIfTrue="1" operator="equal">
      <formula>"PSG"</formula>
    </cfRule>
    <cfRule type="cellIs" dxfId="4306" priority="7076" stopIfTrue="1" operator="equal">
      <formula>"FALTA"</formula>
    </cfRule>
  </conditionalFormatting>
  <conditionalFormatting sqref="Z265">
    <cfRule type="cellIs" dxfId="4305" priority="7067" stopIfTrue="1" operator="equal">
      <formula>"PCG"</formula>
    </cfRule>
    <cfRule type="cellIs" dxfId="4304" priority="7068" stopIfTrue="1" operator="equal">
      <formula>"VAC"</formula>
    </cfRule>
    <cfRule type="cellIs" dxfId="4303" priority="7069" stopIfTrue="1" operator="equal">
      <formula>"INC"</formula>
    </cfRule>
    <cfRule type="cellIs" dxfId="4302" priority="7070" stopIfTrue="1" operator="equal">
      <formula>"PSG"</formula>
    </cfRule>
    <cfRule type="cellIs" dxfId="4301" priority="7071" stopIfTrue="1" operator="equal">
      <formula>"FALTA"</formula>
    </cfRule>
  </conditionalFormatting>
  <conditionalFormatting sqref="AD257 AM257:AO257 AQ257:AS257">
    <cfRule type="cellIs" dxfId="4300" priority="7062" stopIfTrue="1" operator="equal">
      <formula>"PCG"</formula>
    </cfRule>
    <cfRule type="cellIs" dxfId="4299" priority="7063" stopIfTrue="1" operator="equal">
      <formula>"VAC"</formula>
    </cfRule>
    <cfRule type="cellIs" dxfId="4298" priority="7064" stopIfTrue="1" operator="equal">
      <formula>"INC"</formula>
    </cfRule>
    <cfRule type="cellIs" dxfId="4297" priority="7065" stopIfTrue="1" operator="equal">
      <formula>"PSG"</formula>
    </cfRule>
    <cfRule type="cellIs" dxfId="4296" priority="7066" stopIfTrue="1" operator="equal">
      <formula>"FALTA"</formula>
    </cfRule>
  </conditionalFormatting>
  <conditionalFormatting sqref="AA257:AB257">
    <cfRule type="cellIs" dxfId="4295" priority="7057" stopIfTrue="1" operator="equal">
      <formula>"PCG"</formula>
    </cfRule>
    <cfRule type="cellIs" dxfId="4294" priority="7058" stopIfTrue="1" operator="equal">
      <formula>"VAC"</formula>
    </cfRule>
    <cfRule type="cellIs" dxfId="4293" priority="7059" stopIfTrue="1" operator="equal">
      <formula>"INC"</formula>
    </cfRule>
    <cfRule type="cellIs" dxfId="4292" priority="7060" stopIfTrue="1" operator="equal">
      <formula>"PSG"</formula>
    </cfRule>
    <cfRule type="cellIs" dxfId="4291" priority="7061" stopIfTrue="1" operator="equal">
      <formula>"FALTA"</formula>
    </cfRule>
  </conditionalFormatting>
  <conditionalFormatting sqref="AE257:AF257">
    <cfRule type="cellIs" dxfId="4290" priority="7052" stopIfTrue="1" operator="equal">
      <formula>"PCG"</formula>
    </cfRule>
    <cfRule type="cellIs" dxfId="4289" priority="7053" stopIfTrue="1" operator="equal">
      <formula>"VAC"</formula>
    </cfRule>
    <cfRule type="cellIs" dxfId="4288" priority="7054" stopIfTrue="1" operator="equal">
      <formula>"INC"</formula>
    </cfRule>
    <cfRule type="cellIs" dxfId="4287" priority="7055" stopIfTrue="1" operator="equal">
      <formula>"PSG"</formula>
    </cfRule>
    <cfRule type="cellIs" dxfId="4286" priority="7056" stopIfTrue="1" operator="equal">
      <formula>"FALTA"</formula>
    </cfRule>
  </conditionalFormatting>
  <conditionalFormatting sqref="Z257">
    <cfRule type="cellIs" dxfId="4285" priority="7047" stopIfTrue="1" operator="equal">
      <formula>"PCG"</formula>
    </cfRule>
    <cfRule type="cellIs" dxfId="4284" priority="7048" stopIfTrue="1" operator="equal">
      <formula>"VAC"</formula>
    </cfRule>
    <cfRule type="cellIs" dxfId="4283" priority="7049" stopIfTrue="1" operator="equal">
      <formula>"INC"</formula>
    </cfRule>
    <cfRule type="cellIs" dxfId="4282" priority="7050" stopIfTrue="1" operator="equal">
      <formula>"PSG"</formula>
    </cfRule>
    <cfRule type="cellIs" dxfId="4281" priority="7051" stopIfTrue="1" operator="equal">
      <formula>"FALTA"</formula>
    </cfRule>
  </conditionalFormatting>
  <conditionalFormatting sqref="BQ257 BZ257:CB257 CD257:CF257">
    <cfRule type="cellIs" dxfId="4280" priority="7042" stopIfTrue="1" operator="equal">
      <formula>"PCG"</formula>
    </cfRule>
    <cfRule type="cellIs" dxfId="4279" priority="7043" stopIfTrue="1" operator="equal">
      <formula>"VAC"</formula>
    </cfRule>
    <cfRule type="cellIs" dxfId="4278" priority="7044" stopIfTrue="1" operator="equal">
      <formula>"INC"</formula>
    </cfRule>
    <cfRule type="cellIs" dxfId="4277" priority="7045" stopIfTrue="1" operator="equal">
      <formula>"PSG"</formula>
    </cfRule>
    <cfRule type="cellIs" dxfId="4276" priority="7046" stopIfTrue="1" operator="equal">
      <formula>"FALTA"</formula>
    </cfRule>
  </conditionalFormatting>
  <conditionalFormatting sqref="BN257:BO257">
    <cfRule type="cellIs" dxfId="4275" priority="7037" stopIfTrue="1" operator="equal">
      <formula>"PCG"</formula>
    </cfRule>
    <cfRule type="cellIs" dxfId="4274" priority="7038" stopIfTrue="1" operator="equal">
      <formula>"VAC"</formula>
    </cfRule>
    <cfRule type="cellIs" dxfId="4273" priority="7039" stopIfTrue="1" operator="equal">
      <formula>"INC"</formula>
    </cfRule>
    <cfRule type="cellIs" dxfId="4272" priority="7040" stopIfTrue="1" operator="equal">
      <formula>"PSG"</formula>
    </cfRule>
    <cfRule type="cellIs" dxfId="4271" priority="7041" stopIfTrue="1" operator="equal">
      <formula>"FALTA"</formula>
    </cfRule>
  </conditionalFormatting>
  <conditionalFormatting sqref="BM257">
    <cfRule type="cellIs" dxfId="4270" priority="7032" stopIfTrue="1" operator="equal">
      <formula>"PCG"</formula>
    </cfRule>
    <cfRule type="cellIs" dxfId="4269" priority="7033" stopIfTrue="1" operator="equal">
      <formula>"VAC"</formula>
    </cfRule>
    <cfRule type="cellIs" dxfId="4268" priority="7034" stopIfTrue="1" operator="equal">
      <formula>"INC"</formula>
    </cfRule>
    <cfRule type="cellIs" dxfId="4267" priority="7035" stopIfTrue="1" operator="equal">
      <formula>"PSG"</formula>
    </cfRule>
    <cfRule type="cellIs" dxfId="4266" priority="7036" stopIfTrue="1" operator="equal">
      <formula>"FALTA"</formula>
    </cfRule>
  </conditionalFormatting>
  <conditionalFormatting sqref="CI257">
    <cfRule type="cellIs" dxfId="4265" priority="7027" stopIfTrue="1" operator="equal">
      <formula>"PCG"</formula>
    </cfRule>
    <cfRule type="cellIs" dxfId="4264" priority="7028" stopIfTrue="1" operator="equal">
      <formula>"VAC"</formula>
    </cfRule>
    <cfRule type="cellIs" dxfId="4263" priority="7029" stopIfTrue="1" operator="equal">
      <formula>"INC"</formula>
    </cfRule>
    <cfRule type="cellIs" dxfId="4262" priority="7030" stopIfTrue="1" operator="equal">
      <formula>"PSG"</formula>
    </cfRule>
    <cfRule type="cellIs" dxfId="4261" priority="7031" stopIfTrue="1" operator="equal">
      <formula>"FALTA"</formula>
    </cfRule>
  </conditionalFormatting>
  <conditionalFormatting sqref="BE259:BF259 AR259:AS259 BA259:BB259 AN259:AO259 BN259:BO259">
    <cfRule type="cellIs" dxfId="4260" priority="6992" stopIfTrue="1" operator="equal">
      <formula>"PCG"</formula>
    </cfRule>
    <cfRule type="cellIs" dxfId="4259" priority="6993" stopIfTrue="1" operator="equal">
      <formula>"VAC"</formula>
    </cfRule>
    <cfRule type="cellIs" dxfId="4258" priority="6994" stopIfTrue="1" operator="equal">
      <formula>"INC"</formula>
    </cfRule>
    <cfRule type="cellIs" dxfId="4257" priority="6995" stopIfTrue="1" operator="equal">
      <formula>"PSG"</formula>
    </cfRule>
    <cfRule type="cellIs" dxfId="4256" priority="6996" stopIfTrue="1" operator="equal">
      <formula>"FALTA"</formula>
    </cfRule>
  </conditionalFormatting>
  <conditionalFormatting sqref="BN259:BO259 BA259:BB259 AN259:AO259">
    <cfRule type="cellIs" dxfId="4255" priority="6987" stopIfTrue="1" operator="equal">
      <formula>"PCG"</formula>
    </cfRule>
    <cfRule type="cellIs" dxfId="4254" priority="6988" stopIfTrue="1" operator="equal">
      <formula>"VAC"</formula>
    </cfRule>
    <cfRule type="cellIs" dxfId="4253" priority="6989" stopIfTrue="1" operator="equal">
      <formula>"INC"</formula>
    </cfRule>
    <cfRule type="cellIs" dxfId="4252" priority="6990" stopIfTrue="1" operator="equal">
      <formula>"PSG"</formula>
    </cfRule>
    <cfRule type="cellIs" dxfId="4251" priority="6991" stopIfTrue="1" operator="equal">
      <formula>"FALTA"</formula>
    </cfRule>
  </conditionalFormatting>
  <conditionalFormatting sqref="AR259:AS259">
    <cfRule type="cellIs" dxfId="4250" priority="6982" stopIfTrue="1" operator="equal">
      <formula>"PCG"</formula>
    </cfRule>
    <cfRule type="cellIs" dxfId="4249" priority="6983" stopIfTrue="1" operator="equal">
      <formula>"VAC"</formula>
    </cfRule>
    <cfRule type="cellIs" dxfId="4248" priority="6984" stopIfTrue="1" operator="equal">
      <formula>"INC"</formula>
    </cfRule>
    <cfRule type="cellIs" dxfId="4247" priority="6985" stopIfTrue="1" operator="equal">
      <formula>"PSG"</formula>
    </cfRule>
    <cfRule type="cellIs" dxfId="4246" priority="6986" stopIfTrue="1" operator="equal">
      <formula>"FALTA"</formula>
    </cfRule>
  </conditionalFormatting>
  <conditionalFormatting sqref="BE259:BF259">
    <cfRule type="cellIs" dxfId="4245" priority="6977" stopIfTrue="1" operator="equal">
      <formula>"PCG"</formula>
    </cfRule>
    <cfRule type="cellIs" dxfId="4244" priority="6978" stopIfTrue="1" operator="equal">
      <formula>"VAC"</formula>
    </cfRule>
    <cfRule type="cellIs" dxfId="4243" priority="6979" stopIfTrue="1" operator="equal">
      <formula>"INC"</formula>
    </cfRule>
    <cfRule type="cellIs" dxfId="4242" priority="6980" stopIfTrue="1" operator="equal">
      <formula>"PSG"</formula>
    </cfRule>
    <cfRule type="cellIs" dxfId="4241" priority="6981" stopIfTrue="1" operator="equal">
      <formula>"FALTA"</formula>
    </cfRule>
  </conditionalFormatting>
  <conditionalFormatting sqref="BR259:BS259">
    <cfRule type="cellIs" dxfId="4240" priority="6972" stopIfTrue="1" operator="equal">
      <formula>"PCG"</formula>
    </cfRule>
    <cfRule type="cellIs" dxfId="4239" priority="6973" stopIfTrue="1" operator="equal">
      <formula>"VAC"</formula>
    </cfRule>
    <cfRule type="cellIs" dxfId="4238" priority="6974" stopIfTrue="1" operator="equal">
      <formula>"INC"</formula>
    </cfRule>
    <cfRule type="cellIs" dxfId="4237" priority="6975" stopIfTrue="1" operator="equal">
      <formula>"PSG"</formula>
    </cfRule>
    <cfRule type="cellIs" dxfId="4236" priority="6976" stopIfTrue="1" operator="equal">
      <formula>"FALTA"</formula>
    </cfRule>
  </conditionalFormatting>
  <conditionalFormatting sqref="BR259:BS259">
    <cfRule type="cellIs" dxfId="4235" priority="6967" stopIfTrue="1" operator="equal">
      <formula>"PCG"</formula>
    </cfRule>
    <cfRule type="cellIs" dxfId="4234" priority="6968" stopIfTrue="1" operator="equal">
      <formula>"VAC"</formula>
    </cfRule>
    <cfRule type="cellIs" dxfId="4233" priority="6969" stopIfTrue="1" operator="equal">
      <formula>"INC"</formula>
    </cfRule>
    <cfRule type="cellIs" dxfId="4232" priority="6970" stopIfTrue="1" operator="equal">
      <formula>"PSG"</formula>
    </cfRule>
    <cfRule type="cellIs" dxfId="4231" priority="6971" stopIfTrue="1" operator="equal">
      <formula>"FALTA"</formula>
    </cfRule>
  </conditionalFormatting>
  <conditionalFormatting sqref="AA259:AB259">
    <cfRule type="cellIs" dxfId="4230" priority="6962" stopIfTrue="1" operator="equal">
      <formula>"PCG"</formula>
    </cfRule>
    <cfRule type="cellIs" dxfId="4229" priority="6963" stopIfTrue="1" operator="equal">
      <formula>"VAC"</formula>
    </cfRule>
    <cfRule type="cellIs" dxfId="4228" priority="6964" stopIfTrue="1" operator="equal">
      <formula>"INC"</formula>
    </cfRule>
    <cfRule type="cellIs" dxfId="4227" priority="6965" stopIfTrue="1" operator="equal">
      <formula>"PSG"</formula>
    </cfRule>
    <cfRule type="cellIs" dxfId="4226" priority="6966" stopIfTrue="1" operator="equal">
      <formula>"FALTA"</formula>
    </cfRule>
  </conditionalFormatting>
  <conditionalFormatting sqref="AE259:AF259">
    <cfRule type="cellIs" dxfId="4225" priority="6957" stopIfTrue="1" operator="equal">
      <formula>"PCG"</formula>
    </cfRule>
    <cfRule type="cellIs" dxfId="4224" priority="6958" stopIfTrue="1" operator="equal">
      <formula>"VAC"</formula>
    </cfRule>
    <cfRule type="cellIs" dxfId="4223" priority="6959" stopIfTrue="1" operator="equal">
      <formula>"INC"</formula>
    </cfRule>
    <cfRule type="cellIs" dxfId="4222" priority="6960" stopIfTrue="1" operator="equal">
      <formula>"PSG"</formula>
    </cfRule>
    <cfRule type="cellIs" dxfId="4221" priority="6961" stopIfTrue="1" operator="equal">
      <formula>"FALTA"</formula>
    </cfRule>
  </conditionalFormatting>
  <conditionalFormatting sqref="Z259">
    <cfRule type="cellIs" dxfId="4220" priority="6947" stopIfTrue="1" operator="equal">
      <formula>"PCG"</formula>
    </cfRule>
    <cfRule type="cellIs" dxfId="4219" priority="6948" stopIfTrue="1" operator="equal">
      <formula>"VAC"</formula>
    </cfRule>
    <cfRule type="cellIs" dxfId="4218" priority="6949" stopIfTrue="1" operator="equal">
      <formula>"INC"</formula>
    </cfRule>
    <cfRule type="cellIs" dxfId="4217" priority="6950" stopIfTrue="1" operator="equal">
      <formula>"PSG"</formula>
    </cfRule>
    <cfRule type="cellIs" dxfId="4216" priority="6951" stopIfTrue="1" operator="equal">
      <formula>"FALTA"</formula>
    </cfRule>
  </conditionalFormatting>
  <conditionalFormatting sqref="AD259">
    <cfRule type="cellIs" dxfId="4215" priority="6942" stopIfTrue="1" operator="equal">
      <formula>"PCG"</formula>
    </cfRule>
    <cfRule type="cellIs" dxfId="4214" priority="6943" stopIfTrue="1" operator="equal">
      <formula>"VAC"</formula>
    </cfRule>
    <cfRule type="cellIs" dxfId="4213" priority="6944" stopIfTrue="1" operator="equal">
      <formula>"INC"</formula>
    </cfRule>
    <cfRule type="cellIs" dxfId="4212" priority="6945" stopIfTrue="1" operator="equal">
      <formula>"PSG"</formula>
    </cfRule>
    <cfRule type="cellIs" dxfId="4211" priority="6946" stopIfTrue="1" operator="equal">
      <formula>"FALTA"</formula>
    </cfRule>
  </conditionalFormatting>
  <conditionalFormatting sqref="AM259">
    <cfRule type="cellIs" dxfId="4210" priority="6937" stopIfTrue="1" operator="equal">
      <formula>"PCG"</formula>
    </cfRule>
    <cfRule type="cellIs" dxfId="4209" priority="6938" stopIfTrue="1" operator="equal">
      <formula>"VAC"</formula>
    </cfRule>
    <cfRule type="cellIs" dxfId="4208" priority="6939" stopIfTrue="1" operator="equal">
      <formula>"INC"</formula>
    </cfRule>
    <cfRule type="cellIs" dxfId="4207" priority="6940" stopIfTrue="1" operator="equal">
      <formula>"PSG"</formula>
    </cfRule>
    <cfRule type="cellIs" dxfId="4206" priority="6941" stopIfTrue="1" operator="equal">
      <formula>"FALTA"</formula>
    </cfRule>
  </conditionalFormatting>
  <conditionalFormatting sqref="AQ259">
    <cfRule type="cellIs" dxfId="4205" priority="6932" stopIfTrue="1" operator="equal">
      <formula>"PCG"</formula>
    </cfRule>
    <cfRule type="cellIs" dxfId="4204" priority="6933" stopIfTrue="1" operator="equal">
      <formula>"VAC"</formula>
    </cfRule>
    <cfRule type="cellIs" dxfId="4203" priority="6934" stopIfTrue="1" operator="equal">
      <formula>"INC"</formula>
    </cfRule>
    <cfRule type="cellIs" dxfId="4202" priority="6935" stopIfTrue="1" operator="equal">
      <formula>"PSG"</formula>
    </cfRule>
    <cfRule type="cellIs" dxfId="4201" priority="6936" stopIfTrue="1" operator="equal">
      <formula>"FALTA"</formula>
    </cfRule>
  </conditionalFormatting>
  <conditionalFormatting sqref="AZ259">
    <cfRule type="cellIs" dxfId="4200" priority="6927" stopIfTrue="1" operator="equal">
      <formula>"PCG"</formula>
    </cfRule>
    <cfRule type="cellIs" dxfId="4199" priority="6928" stopIfTrue="1" operator="equal">
      <formula>"VAC"</formula>
    </cfRule>
    <cfRule type="cellIs" dxfId="4198" priority="6929" stopIfTrue="1" operator="equal">
      <formula>"INC"</formula>
    </cfRule>
    <cfRule type="cellIs" dxfId="4197" priority="6930" stopIfTrue="1" operator="equal">
      <formula>"PSG"</formula>
    </cfRule>
    <cfRule type="cellIs" dxfId="4196" priority="6931" stopIfTrue="1" operator="equal">
      <formula>"FALTA"</formula>
    </cfRule>
  </conditionalFormatting>
  <conditionalFormatting sqref="BD259">
    <cfRule type="cellIs" dxfId="4195" priority="6922" stopIfTrue="1" operator="equal">
      <formula>"PCG"</formula>
    </cfRule>
    <cfRule type="cellIs" dxfId="4194" priority="6923" stopIfTrue="1" operator="equal">
      <formula>"VAC"</formula>
    </cfRule>
    <cfRule type="cellIs" dxfId="4193" priority="6924" stopIfTrue="1" operator="equal">
      <formula>"INC"</formula>
    </cfRule>
    <cfRule type="cellIs" dxfId="4192" priority="6925" stopIfTrue="1" operator="equal">
      <formula>"PSG"</formula>
    </cfRule>
    <cfRule type="cellIs" dxfId="4191" priority="6926" stopIfTrue="1" operator="equal">
      <formula>"FALTA"</formula>
    </cfRule>
  </conditionalFormatting>
  <conditionalFormatting sqref="BM259">
    <cfRule type="cellIs" dxfId="4190" priority="6917" stopIfTrue="1" operator="equal">
      <formula>"PCG"</formula>
    </cfRule>
    <cfRule type="cellIs" dxfId="4189" priority="6918" stopIfTrue="1" operator="equal">
      <formula>"VAC"</formula>
    </cfRule>
    <cfRule type="cellIs" dxfId="4188" priority="6919" stopIfTrue="1" operator="equal">
      <formula>"INC"</formula>
    </cfRule>
    <cfRule type="cellIs" dxfId="4187" priority="6920" stopIfTrue="1" operator="equal">
      <formula>"PSG"</formula>
    </cfRule>
    <cfRule type="cellIs" dxfId="4186" priority="6921" stopIfTrue="1" operator="equal">
      <formula>"FALTA"</formula>
    </cfRule>
  </conditionalFormatting>
  <conditionalFormatting sqref="BQ259">
    <cfRule type="cellIs" dxfId="4185" priority="6912" stopIfTrue="1" operator="equal">
      <formula>"PCG"</formula>
    </cfRule>
    <cfRule type="cellIs" dxfId="4184" priority="6913" stopIfTrue="1" operator="equal">
      <formula>"VAC"</formula>
    </cfRule>
    <cfRule type="cellIs" dxfId="4183" priority="6914" stopIfTrue="1" operator="equal">
      <formula>"INC"</formula>
    </cfRule>
    <cfRule type="cellIs" dxfId="4182" priority="6915" stopIfTrue="1" operator="equal">
      <formula>"PSG"</formula>
    </cfRule>
    <cfRule type="cellIs" dxfId="4181" priority="6916" stopIfTrue="1" operator="equal">
      <formula>"FALTA"</formula>
    </cfRule>
  </conditionalFormatting>
  <conditionalFormatting sqref="BV271">
    <cfRule type="cellIs" dxfId="4180" priority="6732" stopIfTrue="1" operator="equal">
      <formula>"PCG"</formula>
    </cfRule>
    <cfRule type="cellIs" dxfId="4179" priority="6733" stopIfTrue="1" operator="equal">
      <formula>"VAC"</formula>
    </cfRule>
    <cfRule type="cellIs" dxfId="4178" priority="6734" stopIfTrue="1" operator="equal">
      <formula>"INC"</formula>
    </cfRule>
    <cfRule type="cellIs" dxfId="4177" priority="6735" stopIfTrue="1" operator="equal">
      <formula>"PSG"</formula>
    </cfRule>
    <cfRule type="cellIs" dxfId="4176" priority="6736" stopIfTrue="1" operator="equal">
      <formula>"FALTA"</formula>
    </cfRule>
  </conditionalFormatting>
  <conditionalFormatting sqref="AQ56">
    <cfRule type="cellIs" dxfId="4175" priority="6702" stopIfTrue="1" operator="equal">
      <formula>"PCG"</formula>
    </cfRule>
    <cfRule type="cellIs" dxfId="4174" priority="6703" stopIfTrue="1" operator="equal">
      <formula>"VAC"</formula>
    </cfRule>
    <cfRule type="cellIs" dxfId="4173" priority="6704" stopIfTrue="1" operator="equal">
      <formula>"INC"</formula>
    </cfRule>
    <cfRule type="cellIs" dxfId="4172" priority="6705" stopIfTrue="1" operator="equal">
      <formula>"PSG"</formula>
    </cfRule>
    <cfRule type="cellIs" dxfId="4171" priority="6706" stopIfTrue="1" operator="equal">
      <formula>"FALTA"</formula>
    </cfRule>
  </conditionalFormatting>
  <conditionalFormatting sqref="BV45">
    <cfRule type="cellIs" dxfId="4170" priority="6692" stopIfTrue="1" operator="equal">
      <formula>"PCG"</formula>
    </cfRule>
    <cfRule type="cellIs" dxfId="4169" priority="6693" stopIfTrue="1" operator="equal">
      <formula>"VAC"</formula>
    </cfRule>
    <cfRule type="cellIs" dxfId="4168" priority="6694" stopIfTrue="1" operator="equal">
      <formula>"INC"</formula>
    </cfRule>
    <cfRule type="cellIs" dxfId="4167" priority="6695" stopIfTrue="1" operator="equal">
      <formula>"PSG"</formula>
    </cfRule>
    <cfRule type="cellIs" dxfId="4166" priority="6696" stopIfTrue="1" operator="equal">
      <formula>"FALTA"</formula>
    </cfRule>
  </conditionalFormatting>
  <conditionalFormatting sqref="BI268">
    <cfRule type="cellIs" dxfId="4165" priority="6672" stopIfTrue="1" operator="equal">
      <formula>"PCG"</formula>
    </cfRule>
    <cfRule type="cellIs" dxfId="4164" priority="6673" stopIfTrue="1" operator="equal">
      <formula>"VAC"</formula>
    </cfRule>
    <cfRule type="cellIs" dxfId="4163" priority="6674" stopIfTrue="1" operator="equal">
      <formula>"INC"</formula>
    </cfRule>
    <cfRule type="cellIs" dxfId="4162" priority="6675" stopIfTrue="1" operator="equal">
      <formula>"PSG"</formula>
    </cfRule>
    <cfRule type="cellIs" dxfId="4161" priority="6676" stopIfTrue="1" operator="equal">
      <formula>"FALTA"</formula>
    </cfRule>
  </conditionalFormatting>
  <conditionalFormatting sqref="BV268">
    <cfRule type="cellIs" dxfId="4160" priority="6667" stopIfTrue="1" operator="equal">
      <formula>"PCG"</formula>
    </cfRule>
    <cfRule type="cellIs" dxfId="4159" priority="6668" stopIfTrue="1" operator="equal">
      <formula>"VAC"</formula>
    </cfRule>
    <cfRule type="cellIs" dxfId="4158" priority="6669" stopIfTrue="1" operator="equal">
      <formula>"INC"</formula>
    </cfRule>
    <cfRule type="cellIs" dxfId="4157" priority="6670" stopIfTrue="1" operator="equal">
      <formula>"PSG"</formula>
    </cfRule>
    <cfRule type="cellIs" dxfId="4156" priority="6671" stopIfTrue="1" operator="equal">
      <formula>"FALTA"</formula>
    </cfRule>
  </conditionalFormatting>
  <conditionalFormatting sqref="AV50">
    <cfRule type="cellIs" dxfId="4155" priority="6652" stopIfTrue="1" operator="equal">
      <formula>"PCG"</formula>
    </cfRule>
    <cfRule type="cellIs" dxfId="4154" priority="6653" stopIfTrue="1" operator="equal">
      <formula>"VAC"</formula>
    </cfRule>
    <cfRule type="cellIs" dxfId="4153" priority="6654" stopIfTrue="1" operator="equal">
      <formula>"INC"</formula>
    </cfRule>
    <cfRule type="cellIs" dxfId="4152" priority="6655" stopIfTrue="1" operator="equal">
      <formula>"PSG"</formula>
    </cfRule>
    <cfRule type="cellIs" dxfId="4151" priority="6656" stopIfTrue="1" operator="equal">
      <formula>"FALTA"</formula>
    </cfRule>
  </conditionalFormatting>
  <conditionalFormatting sqref="BI50">
    <cfRule type="cellIs" dxfId="4150" priority="6647" stopIfTrue="1" operator="equal">
      <formula>"PCG"</formula>
    </cfRule>
    <cfRule type="cellIs" dxfId="4149" priority="6648" stopIfTrue="1" operator="equal">
      <formula>"VAC"</formula>
    </cfRule>
    <cfRule type="cellIs" dxfId="4148" priority="6649" stopIfTrue="1" operator="equal">
      <formula>"INC"</formula>
    </cfRule>
    <cfRule type="cellIs" dxfId="4147" priority="6650" stopIfTrue="1" operator="equal">
      <formula>"PSG"</formula>
    </cfRule>
    <cfRule type="cellIs" dxfId="4146" priority="6651" stopIfTrue="1" operator="equal">
      <formula>"FALTA"</formula>
    </cfRule>
  </conditionalFormatting>
  <conditionalFormatting sqref="BV50">
    <cfRule type="cellIs" dxfId="4145" priority="6642" stopIfTrue="1" operator="equal">
      <formula>"PCG"</formula>
    </cfRule>
    <cfRule type="cellIs" dxfId="4144" priority="6643" stopIfTrue="1" operator="equal">
      <formula>"VAC"</formula>
    </cfRule>
    <cfRule type="cellIs" dxfId="4143" priority="6644" stopIfTrue="1" operator="equal">
      <formula>"INC"</formula>
    </cfRule>
    <cfRule type="cellIs" dxfId="4142" priority="6645" stopIfTrue="1" operator="equal">
      <formula>"PSG"</formula>
    </cfRule>
    <cfRule type="cellIs" dxfId="4141" priority="6646" stopIfTrue="1" operator="equal">
      <formula>"FALTA"</formula>
    </cfRule>
  </conditionalFormatting>
  <conditionalFormatting sqref="CI50">
    <cfRule type="cellIs" dxfId="4140" priority="6637" stopIfTrue="1" operator="equal">
      <formula>"PCG"</formula>
    </cfRule>
    <cfRule type="cellIs" dxfId="4139" priority="6638" stopIfTrue="1" operator="equal">
      <formula>"VAC"</formula>
    </cfRule>
    <cfRule type="cellIs" dxfId="4138" priority="6639" stopIfTrue="1" operator="equal">
      <formula>"INC"</formula>
    </cfRule>
    <cfRule type="cellIs" dxfId="4137" priority="6640" stopIfTrue="1" operator="equal">
      <formula>"PSG"</formula>
    </cfRule>
    <cfRule type="cellIs" dxfId="4136" priority="6641" stopIfTrue="1" operator="equal">
      <formula>"FALTA"</formula>
    </cfRule>
  </conditionalFormatting>
  <conditionalFormatting sqref="V46">
    <cfRule type="cellIs" dxfId="4135" priority="6632" stopIfTrue="1" operator="equal">
      <formula>"PCG"</formula>
    </cfRule>
    <cfRule type="cellIs" dxfId="4134" priority="6633" stopIfTrue="1" operator="equal">
      <formula>"VAC"</formula>
    </cfRule>
    <cfRule type="cellIs" dxfId="4133" priority="6634" stopIfTrue="1" operator="equal">
      <formula>"INC"</formula>
    </cfRule>
    <cfRule type="cellIs" dxfId="4132" priority="6635" stopIfTrue="1" operator="equal">
      <formula>"PSG"</formula>
    </cfRule>
    <cfRule type="cellIs" dxfId="4131" priority="6636" stopIfTrue="1" operator="equal">
      <formula>"FALTA"</formula>
    </cfRule>
  </conditionalFormatting>
  <conditionalFormatting sqref="AI46">
    <cfRule type="cellIs" dxfId="4130" priority="6627" stopIfTrue="1" operator="equal">
      <formula>"PCG"</formula>
    </cfRule>
    <cfRule type="cellIs" dxfId="4129" priority="6628" stopIfTrue="1" operator="equal">
      <formula>"VAC"</formula>
    </cfRule>
    <cfRule type="cellIs" dxfId="4128" priority="6629" stopIfTrue="1" operator="equal">
      <formula>"INC"</formula>
    </cfRule>
    <cfRule type="cellIs" dxfId="4127" priority="6630" stopIfTrue="1" operator="equal">
      <formula>"PSG"</formula>
    </cfRule>
    <cfRule type="cellIs" dxfId="4126" priority="6631" stopIfTrue="1" operator="equal">
      <formula>"FALTA"</formula>
    </cfRule>
  </conditionalFormatting>
  <conditionalFormatting sqref="AV46">
    <cfRule type="cellIs" dxfId="4125" priority="6622" stopIfTrue="1" operator="equal">
      <formula>"PCG"</formula>
    </cfRule>
    <cfRule type="cellIs" dxfId="4124" priority="6623" stopIfTrue="1" operator="equal">
      <formula>"VAC"</formula>
    </cfRule>
    <cfRule type="cellIs" dxfId="4123" priority="6624" stopIfTrue="1" operator="equal">
      <formula>"INC"</formula>
    </cfRule>
    <cfRule type="cellIs" dxfId="4122" priority="6625" stopIfTrue="1" operator="equal">
      <formula>"PSG"</formula>
    </cfRule>
    <cfRule type="cellIs" dxfId="4121" priority="6626" stopIfTrue="1" operator="equal">
      <formula>"FALTA"</formula>
    </cfRule>
  </conditionalFormatting>
  <conditionalFormatting sqref="BI47">
    <cfRule type="cellIs" dxfId="4120" priority="6617" stopIfTrue="1" operator="equal">
      <formula>"PCG"</formula>
    </cfRule>
    <cfRule type="cellIs" dxfId="4119" priority="6618" stopIfTrue="1" operator="equal">
      <formula>"VAC"</formula>
    </cfRule>
    <cfRule type="cellIs" dxfId="4118" priority="6619" stopIfTrue="1" operator="equal">
      <formula>"INC"</formula>
    </cfRule>
    <cfRule type="cellIs" dxfId="4117" priority="6620" stopIfTrue="1" operator="equal">
      <formula>"PSG"</formula>
    </cfRule>
    <cfRule type="cellIs" dxfId="4116" priority="6621" stopIfTrue="1" operator="equal">
      <formula>"FALTA"</formula>
    </cfRule>
  </conditionalFormatting>
  <conditionalFormatting sqref="BV47">
    <cfRule type="cellIs" dxfId="4115" priority="6612" stopIfTrue="1" operator="equal">
      <formula>"PCG"</formula>
    </cfRule>
    <cfRule type="cellIs" dxfId="4114" priority="6613" stopIfTrue="1" operator="equal">
      <formula>"VAC"</formula>
    </cfRule>
    <cfRule type="cellIs" dxfId="4113" priority="6614" stopIfTrue="1" operator="equal">
      <formula>"INC"</formula>
    </cfRule>
    <cfRule type="cellIs" dxfId="4112" priority="6615" stopIfTrue="1" operator="equal">
      <formula>"PSG"</formula>
    </cfRule>
    <cfRule type="cellIs" dxfId="4111" priority="6616" stopIfTrue="1" operator="equal">
      <formula>"FALTA"</formula>
    </cfRule>
  </conditionalFormatting>
  <conditionalFormatting sqref="BR257:BS257">
    <cfRule type="cellIs" dxfId="4110" priority="6607" stopIfTrue="1" operator="equal">
      <formula>"PCG"</formula>
    </cfRule>
    <cfRule type="cellIs" dxfId="4109" priority="6608" stopIfTrue="1" operator="equal">
      <formula>"VAC"</formula>
    </cfRule>
    <cfRule type="cellIs" dxfId="4108" priority="6609" stopIfTrue="1" operator="equal">
      <formula>"INC"</formula>
    </cfRule>
    <cfRule type="cellIs" dxfId="4107" priority="6610" stopIfTrue="1" operator="equal">
      <formula>"PSG"</formula>
    </cfRule>
    <cfRule type="cellIs" dxfId="4106" priority="6611" stopIfTrue="1" operator="equal">
      <formula>"FALTA"</formula>
    </cfRule>
  </conditionalFormatting>
  <conditionalFormatting sqref="AA52:AB52">
    <cfRule type="cellIs" dxfId="4105" priority="6602" stopIfTrue="1" operator="equal">
      <formula>"PCG"</formula>
    </cfRule>
    <cfRule type="cellIs" dxfId="4104" priority="6603" stopIfTrue="1" operator="equal">
      <formula>"VAC"</formula>
    </cfRule>
    <cfRule type="cellIs" dxfId="4103" priority="6604" stopIfTrue="1" operator="equal">
      <formula>"INC"</formula>
    </cfRule>
    <cfRule type="cellIs" dxfId="4102" priority="6605" stopIfTrue="1" operator="equal">
      <formula>"PSG"</formula>
    </cfRule>
    <cfRule type="cellIs" dxfId="4101" priority="6606" stopIfTrue="1" operator="equal">
      <formula>"FALTA"</formula>
    </cfRule>
  </conditionalFormatting>
  <conditionalFormatting sqref="AM270:AO270 BA270:BB270 AD270 BM270:BO270 BD270:BF270 R270:S270 M270:O270 AQ270:AS270 BQ270">
    <cfRule type="cellIs" dxfId="4100" priority="6597" stopIfTrue="1" operator="equal">
      <formula>"PCG"</formula>
    </cfRule>
    <cfRule type="cellIs" dxfId="4099" priority="6598" stopIfTrue="1" operator="equal">
      <formula>"VAC"</formula>
    </cfRule>
    <cfRule type="cellIs" dxfId="4098" priority="6599" stopIfTrue="1" operator="equal">
      <formula>"INC"</formula>
    </cfRule>
    <cfRule type="cellIs" dxfId="4097" priority="6600" stopIfTrue="1" operator="equal">
      <formula>"PSG"</formula>
    </cfRule>
    <cfRule type="cellIs" dxfId="4096" priority="6601" stopIfTrue="1" operator="equal">
      <formula>"FALTA"</formula>
    </cfRule>
  </conditionalFormatting>
  <conditionalFormatting sqref="BR270:BS270">
    <cfRule type="cellIs" dxfId="4095" priority="6592" stopIfTrue="1" operator="equal">
      <formula>"PCG"</formula>
    </cfRule>
    <cfRule type="cellIs" dxfId="4094" priority="6593" stopIfTrue="1" operator="equal">
      <formula>"VAC"</formula>
    </cfRule>
    <cfRule type="cellIs" dxfId="4093" priority="6594" stopIfTrue="1" operator="equal">
      <formula>"INC"</formula>
    </cfRule>
    <cfRule type="cellIs" dxfId="4092" priority="6595" stopIfTrue="1" operator="equal">
      <formula>"PSG"</formula>
    </cfRule>
    <cfRule type="cellIs" dxfId="4091" priority="6596" stopIfTrue="1" operator="equal">
      <formula>"FALTA"</formula>
    </cfRule>
  </conditionalFormatting>
  <conditionalFormatting sqref="AA270:AB270">
    <cfRule type="cellIs" dxfId="4090" priority="6587" stopIfTrue="1" operator="equal">
      <formula>"PCG"</formula>
    </cfRule>
    <cfRule type="cellIs" dxfId="4089" priority="6588" stopIfTrue="1" operator="equal">
      <formula>"VAC"</formula>
    </cfRule>
    <cfRule type="cellIs" dxfId="4088" priority="6589" stopIfTrue="1" operator="equal">
      <formula>"INC"</formula>
    </cfRule>
    <cfRule type="cellIs" dxfId="4087" priority="6590" stopIfTrue="1" operator="equal">
      <formula>"PSG"</formula>
    </cfRule>
    <cfRule type="cellIs" dxfId="4086" priority="6591" stopIfTrue="1" operator="equal">
      <formula>"FALTA"</formula>
    </cfRule>
  </conditionalFormatting>
  <conditionalFormatting sqref="AE270:AF270">
    <cfRule type="cellIs" dxfId="4085" priority="6582" stopIfTrue="1" operator="equal">
      <formula>"PCG"</formula>
    </cfRule>
    <cfRule type="cellIs" dxfId="4084" priority="6583" stopIfTrue="1" operator="equal">
      <formula>"VAC"</formula>
    </cfRule>
    <cfRule type="cellIs" dxfId="4083" priority="6584" stopIfTrue="1" operator="equal">
      <formula>"INC"</formula>
    </cfRule>
    <cfRule type="cellIs" dxfId="4082" priority="6585" stopIfTrue="1" operator="equal">
      <formula>"PSG"</formula>
    </cfRule>
    <cfRule type="cellIs" dxfId="4081" priority="6586" stopIfTrue="1" operator="equal">
      <formula>"FALTA"</formula>
    </cfRule>
  </conditionalFormatting>
  <conditionalFormatting sqref="Q270">
    <cfRule type="cellIs" dxfId="4080" priority="6577" stopIfTrue="1" operator="equal">
      <formula>"PCG"</formula>
    </cfRule>
    <cfRule type="cellIs" dxfId="4079" priority="6578" stopIfTrue="1" operator="equal">
      <formula>"VAC"</formula>
    </cfRule>
    <cfRule type="cellIs" dxfId="4078" priority="6579" stopIfTrue="1" operator="equal">
      <formula>"INC"</formula>
    </cfRule>
    <cfRule type="cellIs" dxfId="4077" priority="6580" stopIfTrue="1" operator="equal">
      <formula>"PSG"</formula>
    </cfRule>
    <cfRule type="cellIs" dxfId="4076" priority="6581" stopIfTrue="1" operator="equal">
      <formula>"FALTA"</formula>
    </cfRule>
  </conditionalFormatting>
  <conditionalFormatting sqref="Z270">
    <cfRule type="cellIs" dxfId="4075" priority="6572" stopIfTrue="1" operator="equal">
      <formula>"PCG"</formula>
    </cfRule>
    <cfRule type="cellIs" dxfId="4074" priority="6573" stopIfTrue="1" operator="equal">
      <formula>"VAC"</formula>
    </cfRule>
    <cfRule type="cellIs" dxfId="4073" priority="6574" stopIfTrue="1" operator="equal">
      <formula>"INC"</formula>
    </cfRule>
    <cfRule type="cellIs" dxfId="4072" priority="6575" stopIfTrue="1" operator="equal">
      <formula>"PSG"</formula>
    </cfRule>
    <cfRule type="cellIs" dxfId="4071" priority="6576" stopIfTrue="1" operator="equal">
      <formula>"FALTA"</formula>
    </cfRule>
  </conditionalFormatting>
  <conditionalFormatting sqref="AZ270">
    <cfRule type="cellIs" dxfId="4070" priority="6567" stopIfTrue="1" operator="equal">
      <formula>"PCG"</formula>
    </cfRule>
    <cfRule type="cellIs" dxfId="4069" priority="6568" stopIfTrue="1" operator="equal">
      <formula>"VAC"</formula>
    </cfRule>
    <cfRule type="cellIs" dxfId="4068" priority="6569" stopIfTrue="1" operator="equal">
      <formula>"INC"</formula>
    </cfRule>
    <cfRule type="cellIs" dxfId="4067" priority="6570" stopIfTrue="1" operator="equal">
      <formula>"PSG"</formula>
    </cfRule>
    <cfRule type="cellIs" dxfId="4066" priority="6571" stopIfTrue="1" operator="equal">
      <formula>"FALTA"</formula>
    </cfRule>
  </conditionalFormatting>
  <conditionalFormatting sqref="BI270">
    <cfRule type="cellIs" dxfId="4065" priority="6562" stopIfTrue="1" operator="equal">
      <formula>"PCG"</formula>
    </cfRule>
    <cfRule type="cellIs" dxfId="4064" priority="6563" stopIfTrue="1" operator="equal">
      <formula>"VAC"</formula>
    </cfRule>
    <cfRule type="cellIs" dxfId="4063" priority="6564" stopIfTrue="1" operator="equal">
      <formula>"INC"</formula>
    </cfRule>
    <cfRule type="cellIs" dxfId="4062" priority="6565" stopIfTrue="1" operator="equal">
      <formula>"PSG"</formula>
    </cfRule>
    <cfRule type="cellIs" dxfId="4061" priority="6566" stopIfTrue="1" operator="equal">
      <formula>"FALTA"</formula>
    </cfRule>
  </conditionalFormatting>
  <conditionalFormatting sqref="BV270">
    <cfRule type="cellIs" dxfId="4060" priority="6557" stopIfTrue="1" operator="equal">
      <formula>"PCG"</formula>
    </cfRule>
    <cfRule type="cellIs" dxfId="4059" priority="6558" stopIfTrue="1" operator="equal">
      <formula>"VAC"</formula>
    </cfRule>
    <cfRule type="cellIs" dxfId="4058" priority="6559" stopIfTrue="1" operator="equal">
      <formula>"INC"</formula>
    </cfRule>
    <cfRule type="cellIs" dxfId="4057" priority="6560" stopIfTrue="1" operator="equal">
      <formula>"PSG"</formula>
    </cfRule>
    <cfRule type="cellIs" dxfId="4056" priority="6561" stopIfTrue="1" operator="equal">
      <formula>"FALTA"</formula>
    </cfRule>
  </conditionalFormatting>
  <conditionalFormatting sqref="N52:O52 Q52:S52">
    <cfRule type="cellIs" dxfId="4055" priority="6547" stopIfTrue="1" operator="equal">
      <formula>"PCG"</formula>
    </cfRule>
    <cfRule type="cellIs" dxfId="4054" priority="6548" stopIfTrue="1" operator="equal">
      <formula>"VAC"</formula>
    </cfRule>
    <cfRule type="cellIs" dxfId="4053" priority="6549" stopIfTrue="1" operator="equal">
      <formula>"INC"</formula>
    </cfRule>
    <cfRule type="cellIs" dxfId="4052" priority="6550" stopIfTrue="1" operator="equal">
      <formula>"PSG"</formula>
    </cfRule>
    <cfRule type="cellIs" dxfId="4051" priority="6551" stopIfTrue="1" operator="equal">
      <formula>"FALTA"</formula>
    </cfRule>
  </conditionalFormatting>
  <conditionalFormatting sqref="AX49">
    <cfRule type="cellIs" dxfId="4050" priority="6527" stopIfTrue="1" operator="equal">
      <formula>"PCG"</formula>
    </cfRule>
    <cfRule type="cellIs" dxfId="4049" priority="6528" stopIfTrue="1" operator="equal">
      <formula>"VAC"</formula>
    </cfRule>
    <cfRule type="cellIs" dxfId="4048" priority="6529" stopIfTrue="1" operator="equal">
      <formula>"INC"</formula>
    </cfRule>
    <cfRule type="cellIs" dxfId="4047" priority="6530" stopIfTrue="1" operator="equal">
      <formula>"PSG"</formula>
    </cfRule>
    <cfRule type="cellIs" dxfId="4046" priority="6531" stopIfTrue="1" operator="equal">
      <formula>"FALTA"</formula>
    </cfRule>
  </conditionalFormatting>
  <conditionalFormatting sqref="BJ47:BK47">
    <cfRule type="cellIs" dxfId="4045" priority="6497" stopIfTrue="1" operator="equal">
      <formula>"PCG"</formula>
    </cfRule>
    <cfRule type="cellIs" dxfId="4044" priority="6498" stopIfTrue="1" operator="equal">
      <formula>"VAC"</formula>
    </cfRule>
    <cfRule type="cellIs" dxfId="4043" priority="6499" stopIfTrue="1" operator="equal">
      <formula>"INC"</formula>
    </cfRule>
    <cfRule type="cellIs" dxfId="4042" priority="6500" stopIfTrue="1" operator="equal">
      <formula>"PSG"</formula>
    </cfRule>
    <cfRule type="cellIs" dxfId="4041" priority="6501" stopIfTrue="1" operator="equal">
      <formula>"FALTA"</formula>
    </cfRule>
  </conditionalFormatting>
  <conditionalFormatting sqref="G7:G678">
    <cfRule type="containsText" dxfId="4040" priority="6491" operator="containsText" text="BAJA">
      <formula>NOT(ISERROR(SEARCH("BAJA",G7)))</formula>
    </cfRule>
  </conditionalFormatting>
  <conditionalFormatting sqref="V209 V245:V248 V126 V211 V241 V167:V168 V182 V69:V70 V109 V226:V227 V203 V185 V170 V177:V178 V138 V172 V128:V129 V147:V148 V215:V217 V72 V75 V77:V78 V88:V92 V96 V111 V145 V221 V253 V195:V197 V94 V193 V115 V199 V156:V160 V250 V64:V65 V233 V162:V163 V86 V122 V235:V238 V180 V117:V120 V81:V84 V100:V101 V174:V175 V152:V154 V103:V104 V229:V231">
    <cfRule type="cellIs" dxfId="4039" priority="6426" stopIfTrue="1" operator="equal">
      <formula>"PCG"</formula>
    </cfRule>
    <cfRule type="cellIs" dxfId="4038" priority="6427" stopIfTrue="1" operator="equal">
      <formula>"VAC"</formula>
    </cfRule>
    <cfRule type="cellIs" dxfId="4037" priority="6428" stopIfTrue="1" operator="equal">
      <formula>"INC"</formula>
    </cfRule>
    <cfRule type="cellIs" dxfId="4036" priority="6429" stopIfTrue="1" operator="equal">
      <formula>"PSG"</formula>
    </cfRule>
    <cfRule type="cellIs" dxfId="4035" priority="6430" stopIfTrue="1" operator="equal">
      <formula>"FALTA"</formula>
    </cfRule>
  </conditionalFormatting>
  <conditionalFormatting sqref="AI117 AI120 AI210 AI154:AI155 AI126 AI91:AI92 AI203 AI231 AI197 AI143 AI157 AI81:AI82 AI248 AI69:AI70 AI238 AI226 AI253 AI160:AI163 AI170 AI217 AI100:AI101 AI172 AI233 AI128 AI168 AI215 AI193 AI72 AI131:AI132 AI88 AI96 AI111 AI145 AI235 AI250 AI199 AI64:AI65 AI94 AI189 AI103">
    <cfRule type="cellIs" dxfId="4034" priority="6421" stopIfTrue="1" operator="equal">
      <formula>"PCG"</formula>
    </cfRule>
    <cfRule type="cellIs" dxfId="4033" priority="6422" stopIfTrue="1" operator="equal">
      <formula>"VAC"</formula>
    </cfRule>
    <cfRule type="cellIs" dxfId="4032" priority="6423" stopIfTrue="1" operator="equal">
      <formula>"INC"</formula>
    </cfRule>
    <cfRule type="cellIs" dxfId="4031" priority="6424" stopIfTrue="1" operator="equal">
      <formula>"PSG"</formula>
    </cfRule>
    <cfRule type="cellIs" dxfId="4030" priority="6425" stopIfTrue="1" operator="equal">
      <formula>"FALTA"</formula>
    </cfRule>
  </conditionalFormatting>
  <conditionalFormatting sqref="AI78">
    <cfRule type="cellIs" dxfId="4029" priority="6406" stopIfTrue="1" operator="equal">
      <formula>"PCG"</formula>
    </cfRule>
    <cfRule type="cellIs" dxfId="4028" priority="6407" stopIfTrue="1" operator="equal">
      <formula>"VAC"</formula>
    </cfRule>
    <cfRule type="cellIs" dxfId="4027" priority="6408" stopIfTrue="1" operator="equal">
      <formula>"INC"</formula>
    </cfRule>
    <cfRule type="cellIs" dxfId="4026" priority="6409" stopIfTrue="1" operator="equal">
      <formula>"PSG"</formula>
    </cfRule>
    <cfRule type="cellIs" dxfId="4025" priority="6410" stopIfTrue="1" operator="equal">
      <formula>"FALTA"</formula>
    </cfRule>
  </conditionalFormatting>
  <conditionalFormatting sqref="AV78">
    <cfRule type="cellIs" dxfId="4024" priority="6401" stopIfTrue="1" operator="equal">
      <formula>"PCG"</formula>
    </cfRule>
    <cfRule type="cellIs" dxfId="4023" priority="6402" stopIfTrue="1" operator="equal">
      <formula>"VAC"</formula>
    </cfRule>
    <cfRule type="cellIs" dxfId="4022" priority="6403" stopIfTrue="1" operator="equal">
      <formula>"INC"</formula>
    </cfRule>
    <cfRule type="cellIs" dxfId="4021" priority="6404" stopIfTrue="1" operator="equal">
      <formula>"PSG"</formula>
    </cfRule>
    <cfRule type="cellIs" dxfId="4020" priority="6405" stopIfTrue="1" operator="equal">
      <formula>"FALTA"</formula>
    </cfRule>
  </conditionalFormatting>
  <conditionalFormatting sqref="AI115">
    <cfRule type="cellIs" dxfId="4019" priority="6396" stopIfTrue="1" operator="equal">
      <formula>"PCG"</formula>
    </cfRule>
    <cfRule type="cellIs" dxfId="4018" priority="6397" stopIfTrue="1" operator="equal">
      <formula>"VAC"</formula>
    </cfRule>
    <cfRule type="cellIs" dxfId="4017" priority="6398" stopIfTrue="1" operator="equal">
      <formula>"INC"</formula>
    </cfRule>
    <cfRule type="cellIs" dxfId="4016" priority="6399" stopIfTrue="1" operator="equal">
      <formula>"PSG"</formula>
    </cfRule>
    <cfRule type="cellIs" dxfId="4015" priority="6400" stopIfTrue="1" operator="equal">
      <formula>"FALTA"</formula>
    </cfRule>
  </conditionalFormatting>
  <conditionalFormatting sqref="AV115">
    <cfRule type="cellIs" dxfId="4014" priority="6391" stopIfTrue="1" operator="equal">
      <formula>"PCG"</formula>
    </cfRule>
    <cfRule type="cellIs" dxfId="4013" priority="6392" stopIfTrue="1" operator="equal">
      <formula>"VAC"</formula>
    </cfRule>
    <cfRule type="cellIs" dxfId="4012" priority="6393" stopIfTrue="1" operator="equal">
      <formula>"INC"</formula>
    </cfRule>
    <cfRule type="cellIs" dxfId="4011" priority="6394" stopIfTrue="1" operator="equal">
      <formula>"PSG"</formula>
    </cfRule>
    <cfRule type="cellIs" dxfId="4010" priority="6395" stopIfTrue="1" operator="equal">
      <formula>"FALTA"</formula>
    </cfRule>
  </conditionalFormatting>
  <conditionalFormatting sqref="BI115">
    <cfRule type="cellIs" dxfId="4009" priority="6386" stopIfTrue="1" operator="equal">
      <formula>"PCG"</formula>
    </cfRule>
    <cfRule type="cellIs" dxfId="4008" priority="6387" stopIfTrue="1" operator="equal">
      <formula>"VAC"</formula>
    </cfRule>
    <cfRule type="cellIs" dxfId="4007" priority="6388" stopIfTrue="1" operator="equal">
      <formula>"INC"</formula>
    </cfRule>
    <cfRule type="cellIs" dxfId="4006" priority="6389" stopIfTrue="1" operator="equal">
      <formula>"PSG"</formula>
    </cfRule>
    <cfRule type="cellIs" dxfId="4005" priority="6390" stopIfTrue="1" operator="equal">
      <formula>"FALTA"</formula>
    </cfRule>
  </conditionalFormatting>
  <conditionalFormatting sqref="V54">
    <cfRule type="cellIs" dxfId="4004" priority="6381" stopIfTrue="1" operator="equal">
      <formula>"PCG"</formula>
    </cfRule>
    <cfRule type="cellIs" dxfId="4003" priority="6382" stopIfTrue="1" operator="equal">
      <formula>"VAC"</formula>
    </cfRule>
    <cfRule type="cellIs" dxfId="4002" priority="6383" stopIfTrue="1" operator="equal">
      <formula>"INC"</formula>
    </cfRule>
    <cfRule type="cellIs" dxfId="4001" priority="6384" stopIfTrue="1" operator="equal">
      <formula>"PSG"</formula>
    </cfRule>
    <cfRule type="cellIs" dxfId="4000" priority="6385" stopIfTrue="1" operator="equal">
      <formula>"FALTA"</formula>
    </cfRule>
  </conditionalFormatting>
  <conditionalFormatting sqref="AI54">
    <cfRule type="cellIs" dxfId="3999" priority="6376" stopIfTrue="1" operator="equal">
      <formula>"PCG"</formula>
    </cfRule>
    <cfRule type="cellIs" dxfId="3998" priority="6377" stopIfTrue="1" operator="equal">
      <formula>"VAC"</formula>
    </cfRule>
    <cfRule type="cellIs" dxfId="3997" priority="6378" stopIfTrue="1" operator="equal">
      <formula>"INC"</formula>
    </cfRule>
    <cfRule type="cellIs" dxfId="3996" priority="6379" stopIfTrue="1" operator="equal">
      <formula>"PSG"</formula>
    </cfRule>
    <cfRule type="cellIs" dxfId="3995" priority="6380" stopIfTrue="1" operator="equal">
      <formula>"FALTA"</formula>
    </cfRule>
  </conditionalFormatting>
  <conditionalFormatting sqref="AV54">
    <cfRule type="cellIs" dxfId="3994" priority="6371" stopIfTrue="1" operator="equal">
      <formula>"PCG"</formula>
    </cfRule>
    <cfRule type="cellIs" dxfId="3993" priority="6372" stopIfTrue="1" operator="equal">
      <formula>"VAC"</formula>
    </cfRule>
    <cfRule type="cellIs" dxfId="3992" priority="6373" stopIfTrue="1" operator="equal">
      <formula>"INC"</formula>
    </cfRule>
    <cfRule type="cellIs" dxfId="3991" priority="6374" stopIfTrue="1" operator="equal">
      <formula>"PSG"</formula>
    </cfRule>
    <cfRule type="cellIs" dxfId="3990" priority="6375" stopIfTrue="1" operator="equal">
      <formula>"FALTA"</formula>
    </cfRule>
  </conditionalFormatting>
  <conditionalFormatting sqref="BI54">
    <cfRule type="cellIs" dxfId="3989" priority="6366" stopIfTrue="1" operator="equal">
      <formula>"PCG"</formula>
    </cfRule>
    <cfRule type="cellIs" dxfId="3988" priority="6367" stopIfTrue="1" operator="equal">
      <formula>"VAC"</formula>
    </cfRule>
    <cfRule type="cellIs" dxfId="3987" priority="6368" stopIfTrue="1" operator="equal">
      <formula>"INC"</formula>
    </cfRule>
    <cfRule type="cellIs" dxfId="3986" priority="6369" stopIfTrue="1" operator="equal">
      <formula>"PSG"</formula>
    </cfRule>
    <cfRule type="cellIs" dxfId="3985" priority="6370" stopIfTrue="1" operator="equal">
      <formula>"FALTA"</formula>
    </cfRule>
  </conditionalFormatting>
  <conditionalFormatting sqref="BI89">
    <cfRule type="cellIs" dxfId="3984" priority="6101" stopIfTrue="1" operator="equal">
      <formula>"PCG"</formula>
    </cfRule>
    <cfRule type="cellIs" dxfId="3983" priority="6102" stopIfTrue="1" operator="equal">
      <formula>"VAC"</formula>
    </cfRule>
    <cfRule type="cellIs" dxfId="3982" priority="6103" stopIfTrue="1" operator="equal">
      <formula>"INC"</formula>
    </cfRule>
    <cfRule type="cellIs" dxfId="3981" priority="6104" stopIfTrue="1" operator="equal">
      <formula>"PSG"</formula>
    </cfRule>
    <cfRule type="cellIs" dxfId="3980" priority="6105" stopIfTrue="1" operator="equal">
      <formula>"FALTA"</formula>
    </cfRule>
  </conditionalFormatting>
  <conditionalFormatting sqref="AI119">
    <cfRule type="cellIs" dxfId="3979" priority="6336" stopIfTrue="1" operator="equal">
      <formula>"PCG"</formula>
    </cfRule>
    <cfRule type="cellIs" dxfId="3978" priority="6337" stopIfTrue="1" operator="equal">
      <formula>"VAC"</formula>
    </cfRule>
    <cfRule type="cellIs" dxfId="3977" priority="6338" stopIfTrue="1" operator="equal">
      <formula>"INC"</formula>
    </cfRule>
    <cfRule type="cellIs" dxfId="3976" priority="6339" stopIfTrue="1" operator="equal">
      <formula>"PSG"</formula>
    </cfRule>
    <cfRule type="cellIs" dxfId="3975" priority="6340" stopIfTrue="1" operator="equal">
      <formula>"FALTA"</formula>
    </cfRule>
  </conditionalFormatting>
  <conditionalFormatting sqref="AV119">
    <cfRule type="cellIs" dxfId="3974" priority="6331" stopIfTrue="1" operator="equal">
      <formula>"PCG"</formula>
    </cfRule>
    <cfRule type="cellIs" dxfId="3973" priority="6332" stopIfTrue="1" operator="equal">
      <formula>"VAC"</formula>
    </cfRule>
    <cfRule type="cellIs" dxfId="3972" priority="6333" stopIfTrue="1" operator="equal">
      <formula>"INC"</formula>
    </cfRule>
    <cfRule type="cellIs" dxfId="3971" priority="6334" stopIfTrue="1" operator="equal">
      <formula>"PSG"</formula>
    </cfRule>
    <cfRule type="cellIs" dxfId="3970" priority="6335" stopIfTrue="1" operator="equal">
      <formula>"FALTA"</formula>
    </cfRule>
  </conditionalFormatting>
  <conditionalFormatting sqref="BI119">
    <cfRule type="cellIs" dxfId="3969" priority="6326" stopIfTrue="1" operator="equal">
      <formula>"PCG"</formula>
    </cfRule>
    <cfRule type="cellIs" dxfId="3968" priority="6327" stopIfTrue="1" operator="equal">
      <formula>"VAC"</formula>
    </cfRule>
    <cfRule type="cellIs" dxfId="3967" priority="6328" stopIfTrue="1" operator="equal">
      <formula>"INC"</formula>
    </cfRule>
    <cfRule type="cellIs" dxfId="3966" priority="6329" stopIfTrue="1" operator="equal">
      <formula>"PSG"</formula>
    </cfRule>
    <cfRule type="cellIs" dxfId="3965" priority="6330" stopIfTrue="1" operator="equal">
      <formula>"FALTA"</formula>
    </cfRule>
  </conditionalFormatting>
  <conditionalFormatting sqref="BV119">
    <cfRule type="cellIs" dxfId="3964" priority="6321" stopIfTrue="1" operator="equal">
      <formula>"PCG"</formula>
    </cfRule>
    <cfRule type="cellIs" dxfId="3963" priority="6322" stopIfTrue="1" operator="equal">
      <formula>"VAC"</formula>
    </cfRule>
    <cfRule type="cellIs" dxfId="3962" priority="6323" stopIfTrue="1" operator="equal">
      <formula>"INC"</formula>
    </cfRule>
    <cfRule type="cellIs" dxfId="3961" priority="6324" stopIfTrue="1" operator="equal">
      <formula>"PSG"</formula>
    </cfRule>
    <cfRule type="cellIs" dxfId="3960" priority="6325" stopIfTrue="1" operator="equal">
      <formula>"FALTA"</formula>
    </cfRule>
  </conditionalFormatting>
  <conditionalFormatting sqref="AI177">
    <cfRule type="cellIs" dxfId="3959" priority="6316" stopIfTrue="1" operator="equal">
      <formula>"PCG"</formula>
    </cfRule>
    <cfRule type="cellIs" dxfId="3958" priority="6317" stopIfTrue="1" operator="equal">
      <formula>"VAC"</formula>
    </cfRule>
    <cfRule type="cellIs" dxfId="3957" priority="6318" stopIfTrue="1" operator="equal">
      <formula>"INC"</formula>
    </cfRule>
    <cfRule type="cellIs" dxfId="3956" priority="6319" stopIfTrue="1" operator="equal">
      <formula>"PSG"</formula>
    </cfRule>
    <cfRule type="cellIs" dxfId="3955" priority="6320" stopIfTrue="1" operator="equal">
      <formula>"FALTA"</formula>
    </cfRule>
  </conditionalFormatting>
  <conditionalFormatting sqref="AV177">
    <cfRule type="cellIs" dxfId="3954" priority="6311" stopIfTrue="1" operator="equal">
      <formula>"PCG"</formula>
    </cfRule>
    <cfRule type="cellIs" dxfId="3953" priority="6312" stopIfTrue="1" operator="equal">
      <formula>"VAC"</formula>
    </cfRule>
    <cfRule type="cellIs" dxfId="3952" priority="6313" stopIfTrue="1" operator="equal">
      <formula>"INC"</formula>
    </cfRule>
    <cfRule type="cellIs" dxfId="3951" priority="6314" stopIfTrue="1" operator="equal">
      <formula>"PSG"</formula>
    </cfRule>
    <cfRule type="cellIs" dxfId="3950" priority="6315" stopIfTrue="1" operator="equal">
      <formula>"FALTA"</formula>
    </cfRule>
  </conditionalFormatting>
  <conditionalFormatting sqref="BI177">
    <cfRule type="cellIs" dxfId="3949" priority="6306" stopIfTrue="1" operator="equal">
      <formula>"PCG"</formula>
    </cfRule>
    <cfRule type="cellIs" dxfId="3948" priority="6307" stopIfTrue="1" operator="equal">
      <formula>"VAC"</formula>
    </cfRule>
    <cfRule type="cellIs" dxfId="3947" priority="6308" stopIfTrue="1" operator="equal">
      <formula>"INC"</formula>
    </cfRule>
    <cfRule type="cellIs" dxfId="3946" priority="6309" stopIfTrue="1" operator="equal">
      <formula>"PSG"</formula>
    </cfRule>
    <cfRule type="cellIs" dxfId="3945" priority="6310" stopIfTrue="1" operator="equal">
      <formula>"FALTA"</formula>
    </cfRule>
  </conditionalFormatting>
  <conditionalFormatting sqref="AI147">
    <cfRule type="cellIs" dxfId="3944" priority="6301" stopIfTrue="1" operator="equal">
      <formula>"PCG"</formula>
    </cfRule>
    <cfRule type="cellIs" dxfId="3943" priority="6302" stopIfTrue="1" operator="equal">
      <formula>"VAC"</formula>
    </cfRule>
    <cfRule type="cellIs" dxfId="3942" priority="6303" stopIfTrue="1" operator="equal">
      <formula>"INC"</formula>
    </cfRule>
    <cfRule type="cellIs" dxfId="3941" priority="6304" stopIfTrue="1" operator="equal">
      <formula>"PSG"</formula>
    </cfRule>
    <cfRule type="cellIs" dxfId="3940" priority="6305" stopIfTrue="1" operator="equal">
      <formula>"FALTA"</formula>
    </cfRule>
  </conditionalFormatting>
  <conditionalFormatting sqref="AV133">
    <cfRule type="cellIs" dxfId="3939" priority="5411" stopIfTrue="1" operator="equal">
      <formula>"PCG"</formula>
    </cfRule>
    <cfRule type="cellIs" dxfId="3938" priority="5412" stopIfTrue="1" operator="equal">
      <formula>"VAC"</formula>
    </cfRule>
    <cfRule type="cellIs" dxfId="3937" priority="5413" stopIfTrue="1" operator="equal">
      <formula>"INC"</formula>
    </cfRule>
    <cfRule type="cellIs" dxfId="3936" priority="5414" stopIfTrue="1" operator="equal">
      <formula>"PSG"</formula>
    </cfRule>
    <cfRule type="cellIs" dxfId="3935" priority="5415" stopIfTrue="1" operator="equal">
      <formula>"FALTA"</formula>
    </cfRule>
  </conditionalFormatting>
  <conditionalFormatting sqref="AI123">
    <cfRule type="cellIs" dxfId="3934" priority="6266" stopIfTrue="1" operator="equal">
      <formula>"PCG"</formula>
    </cfRule>
    <cfRule type="cellIs" dxfId="3933" priority="6267" stopIfTrue="1" operator="equal">
      <formula>"VAC"</formula>
    </cfRule>
    <cfRule type="cellIs" dxfId="3932" priority="6268" stopIfTrue="1" operator="equal">
      <formula>"INC"</formula>
    </cfRule>
    <cfRule type="cellIs" dxfId="3931" priority="6269" stopIfTrue="1" operator="equal">
      <formula>"PSG"</formula>
    </cfRule>
    <cfRule type="cellIs" dxfId="3930" priority="6270" stopIfTrue="1" operator="equal">
      <formula>"FALTA"</formula>
    </cfRule>
  </conditionalFormatting>
  <conditionalFormatting sqref="AV123">
    <cfRule type="cellIs" dxfId="3929" priority="6261" stopIfTrue="1" operator="equal">
      <formula>"PCG"</formula>
    </cfRule>
    <cfRule type="cellIs" dxfId="3928" priority="6262" stopIfTrue="1" operator="equal">
      <formula>"VAC"</formula>
    </cfRule>
    <cfRule type="cellIs" dxfId="3927" priority="6263" stopIfTrue="1" operator="equal">
      <formula>"INC"</formula>
    </cfRule>
    <cfRule type="cellIs" dxfId="3926" priority="6264" stopIfTrue="1" operator="equal">
      <formula>"PSG"</formula>
    </cfRule>
    <cfRule type="cellIs" dxfId="3925" priority="6265" stopIfTrue="1" operator="equal">
      <formula>"FALTA"</formula>
    </cfRule>
  </conditionalFormatting>
  <conditionalFormatting sqref="BI123">
    <cfRule type="cellIs" dxfId="3924" priority="6256" stopIfTrue="1" operator="equal">
      <formula>"PCG"</formula>
    </cfRule>
    <cfRule type="cellIs" dxfId="3923" priority="6257" stopIfTrue="1" operator="equal">
      <formula>"VAC"</formula>
    </cfRule>
    <cfRule type="cellIs" dxfId="3922" priority="6258" stopIfTrue="1" operator="equal">
      <formula>"INC"</formula>
    </cfRule>
    <cfRule type="cellIs" dxfId="3921" priority="6259" stopIfTrue="1" operator="equal">
      <formula>"PSG"</formula>
    </cfRule>
    <cfRule type="cellIs" dxfId="3920" priority="6260" stopIfTrue="1" operator="equal">
      <formula>"FALTA"</formula>
    </cfRule>
  </conditionalFormatting>
  <conditionalFormatting sqref="BV123">
    <cfRule type="cellIs" dxfId="3919" priority="6251" stopIfTrue="1" operator="equal">
      <formula>"PCG"</formula>
    </cfRule>
    <cfRule type="cellIs" dxfId="3918" priority="6252" stopIfTrue="1" operator="equal">
      <formula>"VAC"</formula>
    </cfRule>
    <cfRule type="cellIs" dxfId="3917" priority="6253" stopIfTrue="1" operator="equal">
      <formula>"INC"</formula>
    </cfRule>
    <cfRule type="cellIs" dxfId="3916" priority="6254" stopIfTrue="1" operator="equal">
      <formula>"PSG"</formula>
    </cfRule>
    <cfRule type="cellIs" dxfId="3915" priority="6255" stopIfTrue="1" operator="equal">
      <formula>"FALTA"</formula>
    </cfRule>
  </conditionalFormatting>
  <conditionalFormatting sqref="AI153">
    <cfRule type="cellIs" dxfId="3914" priority="6246" stopIfTrue="1" operator="equal">
      <formula>"PCG"</formula>
    </cfRule>
    <cfRule type="cellIs" dxfId="3913" priority="6247" stopIfTrue="1" operator="equal">
      <formula>"VAC"</formula>
    </cfRule>
    <cfRule type="cellIs" dxfId="3912" priority="6248" stopIfTrue="1" operator="equal">
      <formula>"INC"</formula>
    </cfRule>
    <cfRule type="cellIs" dxfId="3911" priority="6249" stopIfTrue="1" operator="equal">
      <formula>"PSG"</formula>
    </cfRule>
    <cfRule type="cellIs" dxfId="3910" priority="6250" stopIfTrue="1" operator="equal">
      <formula>"FALTA"</formula>
    </cfRule>
  </conditionalFormatting>
  <conditionalFormatting sqref="AV153">
    <cfRule type="cellIs" dxfId="3909" priority="6241" stopIfTrue="1" operator="equal">
      <formula>"PCG"</formula>
    </cfRule>
    <cfRule type="cellIs" dxfId="3908" priority="6242" stopIfTrue="1" operator="equal">
      <formula>"VAC"</formula>
    </cfRule>
    <cfRule type="cellIs" dxfId="3907" priority="6243" stopIfTrue="1" operator="equal">
      <formula>"INC"</formula>
    </cfRule>
    <cfRule type="cellIs" dxfId="3906" priority="6244" stopIfTrue="1" operator="equal">
      <formula>"PSG"</formula>
    </cfRule>
    <cfRule type="cellIs" dxfId="3905" priority="6245" stopIfTrue="1" operator="equal">
      <formula>"FALTA"</formula>
    </cfRule>
  </conditionalFormatting>
  <conditionalFormatting sqref="BI153">
    <cfRule type="cellIs" dxfId="3904" priority="6236" stopIfTrue="1" operator="equal">
      <formula>"PCG"</formula>
    </cfRule>
    <cfRule type="cellIs" dxfId="3903" priority="6237" stopIfTrue="1" operator="equal">
      <formula>"VAC"</formula>
    </cfRule>
    <cfRule type="cellIs" dxfId="3902" priority="6238" stopIfTrue="1" operator="equal">
      <formula>"INC"</formula>
    </cfRule>
    <cfRule type="cellIs" dxfId="3901" priority="6239" stopIfTrue="1" operator="equal">
      <formula>"PSG"</formula>
    </cfRule>
    <cfRule type="cellIs" dxfId="3900" priority="6240" stopIfTrue="1" operator="equal">
      <formula>"FALTA"</formula>
    </cfRule>
  </conditionalFormatting>
  <conditionalFormatting sqref="AI148">
    <cfRule type="cellIs" dxfId="3899" priority="6131" stopIfTrue="1" operator="equal">
      <formula>"PCG"</formula>
    </cfRule>
    <cfRule type="cellIs" dxfId="3898" priority="6132" stopIfTrue="1" operator="equal">
      <formula>"VAC"</formula>
    </cfRule>
    <cfRule type="cellIs" dxfId="3897" priority="6133" stopIfTrue="1" operator="equal">
      <formula>"INC"</formula>
    </cfRule>
    <cfRule type="cellIs" dxfId="3896" priority="6134" stopIfTrue="1" operator="equal">
      <formula>"PSG"</formula>
    </cfRule>
    <cfRule type="cellIs" dxfId="3895" priority="6135" stopIfTrue="1" operator="equal">
      <formula>"FALTA"</formula>
    </cfRule>
  </conditionalFormatting>
  <conditionalFormatting sqref="AV244">
    <cfRule type="cellIs" dxfId="3894" priority="6176" stopIfTrue="1" operator="equal">
      <formula>"PCG"</formula>
    </cfRule>
    <cfRule type="cellIs" dxfId="3893" priority="6177" stopIfTrue="1" operator="equal">
      <formula>"VAC"</formula>
    </cfRule>
    <cfRule type="cellIs" dxfId="3892" priority="6178" stopIfTrue="1" operator="equal">
      <formula>"INC"</formula>
    </cfRule>
    <cfRule type="cellIs" dxfId="3891" priority="6179" stopIfTrue="1" operator="equal">
      <formula>"PSG"</formula>
    </cfRule>
    <cfRule type="cellIs" dxfId="3890" priority="6180" stopIfTrue="1" operator="equal">
      <formula>"FALTA"</formula>
    </cfRule>
  </conditionalFormatting>
  <conditionalFormatting sqref="AV124">
    <cfRule type="cellIs" dxfId="3889" priority="6151" stopIfTrue="1" operator="equal">
      <formula>"PCG"</formula>
    </cfRule>
    <cfRule type="cellIs" dxfId="3888" priority="6152" stopIfTrue="1" operator="equal">
      <formula>"VAC"</formula>
    </cfRule>
    <cfRule type="cellIs" dxfId="3887" priority="6153" stopIfTrue="1" operator="equal">
      <formula>"INC"</formula>
    </cfRule>
    <cfRule type="cellIs" dxfId="3886" priority="6154" stopIfTrue="1" operator="equal">
      <formula>"PSG"</formula>
    </cfRule>
    <cfRule type="cellIs" dxfId="3885" priority="6155" stopIfTrue="1" operator="equal">
      <formula>"FALTA"</formula>
    </cfRule>
  </conditionalFormatting>
  <conditionalFormatting sqref="AV253">
    <cfRule type="cellIs" dxfId="3884" priority="6141" stopIfTrue="1" operator="equal">
      <formula>"PCG"</formula>
    </cfRule>
    <cfRule type="cellIs" dxfId="3883" priority="6142" stopIfTrue="1" operator="equal">
      <formula>"VAC"</formula>
    </cfRule>
    <cfRule type="cellIs" dxfId="3882" priority="6143" stopIfTrue="1" operator="equal">
      <formula>"INC"</formula>
    </cfRule>
    <cfRule type="cellIs" dxfId="3881" priority="6144" stopIfTrue="1" operator="equal">
      <formula>"PSG"</formula>
    </cfRule>
    <cfRule type="cellIs" dxfId="3880" priority="6145" stopIfTrue="1" operator="equal">
      <formula>"FALTA"</formula>
    </cfRule>
  </conditionalFormatting>
  <conditionalFormatting sqref="BI253">
    <cfRule type="cellIs" dxfId="3879" priority="6136" stopIfTrue="1" operator="equal">
      <formula>"PCG"</formula>
    </cfRule>
    <cfRule type="cellIs" dxfId="3878" priority="6137" stopIfTrue="1" operator="equal">
      <formula>"VAC"</formula>
    </cfRule>
    <cfRule type="cellIs" dxfId="3877" priority="6138" stopIfTrue="1" operator="equal">
      <formula>"INC"</formula>
    </cfRule>
    <cfRule type="cellIs" dxfId="3876" priority="6139" stopIfTrue="1" operator="equal">
      <formula>"PSG"</formula>
    </cfRule>
    <cfRule type="cellIs" dxfId="3875" priority="6140" stopIfTrue="1" operator="equal">
      <formula>"FALTA"</formula>
    </cfRule>
  </conditionalFormatting>
  <conditionalFormatting sqref="AV148">
    <cfRule type="cellIs" dxfId="3874" priority="6126" stopIfTrue="1" operator="equal">
      <formula>"PCG"</formula>
    </cfRule>
    <cfRule type="cellIs" dxfId="3873" priority="6127" stopIfTrue="1" operator="equal">
      <formula>"VAC"</formula>
    </cfRule>
    <cfRule type="cellIs" dxfId="3872" priority="6128" stopIfTrue="1" operator="equal">
      <formula>"INC"</formula>
    </cfRule>
    <cfRule type="cellIs" dxfId="3871" priority="6129" stopIfTrue="1" operator="equal">
      <formula>"PSG"</formula>
    </cfRule>
    <cfRule type="cellIs" dxfId="3870" priority="6130" stopIfTrue="1" operator="equal">
      <formula>"FALTA"</formula>
    </cfRule>
  </conditionalFormatting>
  <conditionalFormatting sqref="BI148">
    <cfRule type="cellIs" dxfId="3869" priority="6121" stopIfTrue="1" operator="equal">
      <formula>"PCG"</formula>
    </cfRule>
    <cfRule type="cellIs" dxfId="3868" priority="6122" stopIfTrue="1" operator="equal">
      <formula>"VAC"</formula>
    </cfRule>
    <cfRule type="cellIs" dxfId="3867" priority="6123" stopIfTrue="1" operator="equal">
      <formula>"INC"</formula>
    </cfRule>
    <cfRule type="cellIs" dxfId="3866" priority="6124" stopIfTrue="1" operator="equal">
      <formula>"PSG"</formula>
    </cfRule>
    <cfRule type="cellIs" dxfId="3865" priority="6125" stopIfTrue="1" operator="equal">
      <formula>"FALTA"</formula>
    </cfRule>
  </conditionalFormatting>
  <conditionalFormatting sqref="BV148">
    <cfRule type="cellIs" dxfId="3864" priority="6116" stopIfTrue="1" operator="equal">
      <formula>"PCG"</formula>
    </cfRule>
    <cfRule type="cellIs" dxfId="3863" priority="6117" stopIfTrue="1" operator="equal">
      <formula>"VAC"</formula>
    </cfRule>
    <cfRule type="cellIs" dxfId="3862" priority="6118" stopIfTrue="1" operator="equal">
      <formula>"INC"</formula>
    </cfRule>
    <cfRule type="cellIs" dxfId="3861" priority="6119" stopIfTrue="1" operator="equal">
      <formula>"PSG"</formula>
    </cfRule>
    <cfRule type="cellIs" dxfId="3860" priority="6120" stopIfTrue="1" operator="equal">
      <formula>"FALTA"</formula>
    </cfRule>
  </conditionalFormatting>
  <conditionalFormatting sqref="AI89">
    <cfRule type="cellIs" dxfId="3859" priority="6111" stopIfTrue="1" operator="equal">
      <formula>"PCG"</formula>
    </cfRule>
    <cfRule type="cellIs" dxfId="3858" priority="6112" stopIfTrue="1" operator="equal">
      <formula>"VAC"</formula>
    </cfRule>
    <cfRule type="cellIs" dxfId="3857" priority="6113" stopIfTrue="1" operator="equal">
      <formula>"INC"</formula>
    </cfRule>
    <cfRule type="cellIs" dxfId="3856" priority="6114" stopIfTrue="1" operator="equal">
      <formula>"PSG"</formula>
    </cfRule>
    <cfRule type="cellIs" dxfId="3855" priority="6115" stopIfTrue="1" operator="equal">
      <formula>"FALTA"</formula>
    </cfRule>
  </conditionalFormatting>
  <conditionalFormatting sqref="AV89">
    <cfRule type="cellIs" dxfId="3854" priority="6106" stopIfTrue="1" operator="equal">
      <formula>"PCG"</formula>
    </cfRule>
    <cfRule type="cellIs" dxfId="3853" priority="6107" stopIfTrue="1" operator="equal">
      <formula>"VAC"</formula>
    </cfRule>
    <cfRule type="cellIs" dxfId="3852" priority="6108" stopIfTrue="1" operator="equal">
      <formula>"INC"</formula>
    </cfRule>
    <cfRule type="cellIs" dxfId="3851" priority="6109" stopIfTrue="1" operator="equal">
      <formula>"PSG"</formula>
    </cfRule>
    <cfRule type="cellIs" dxfId="3850" priority="6110" stopIfTrue="1" operator="equal">
      <formula>"FALTA"</formula>
    </cfRule>
  </conditionalFormatting>
  <conditionalFormatting sqref="BV89">
    <cfRule type="cellIs" dxfId="3849" priority="6096" stopIfTrue="1" operator="equal">
      <formula>"PCG"</formula>
    </cfRule>
    <cfRule type="cellIs" dxfId="3848" priority="6097" stopIfTrue="1" operator="equal">
      <formula>"VAC"</formula>
    </cfRule>
    <cfRule type="cellIs" dxfId="3847" priority="6098" stopIfTrue="1" operator="equal">
      <formula>"INC"</formula>
    </cfRule>
    <cfRule type="cellIs" dxfId="3846" priority="6099" stopIfTrue="1" operator="equal">
      <formula>"PSG"</formula>
    </cfRule>
    <cfRule type="cellIs" dxfId="3845" priority="6100" stopIfTrue="1" operator="equal">
      <formula>"FALTA"</formula>
    </cfRule>
  </conditionalFormatting>
  <conditionalFormatting sqref="AI152">
    <cfRule type="cellIs" dxfId="3844" priority="6091" stopIfTrue="1" operator="equal">
      <formula>"PCG"</formula>
    </cfRule>
    <cfRule type="cellIs" dxfId="3843" priority="6092" stopIfTrue="1" operator="equal">
      <formula>"VAC"</formula>
    </cfRule>
    <cfRule type="cellIs" dxfId="3842" priority="6093" stopIfTrue="1" operator="equal">
      <formula>"INC"</formula>
    </cfRule>
    <cfRule type="cellIs" dxfId="3841" priority="6094" stopIfTrue="1" operator="equal">
      <formula>"PSG"</formula>
    </cfRule>
    <cfRule type="cellIs" dxfId="3840" priority="6095" stopIfTrue="1" operator="equal">
      <formula>"FALTA"</formula>
    </cfRule>
  </conditionalFormatting>
  <conditionalFormatting sqref="AV152">
    <cfRule type="cellIs" dxfId="3839" priority="6086" stopIfTrue="1" operator="equal">
      <formula>"PCG"</formula>
    </cfRule>
    <cfRule type="cellIs" dxfId="3838" priority="6087" stopIfTrue="1" operator="equal">
      <formula>"VAC"</formula>
    </cfRule>
    <cfRule type="cellIs" dxfId="3837" priority="6088" stopIfTrue="1" operator="equal">
      <formula>"INC"</formula>
    </cfRule>
    <cfRule type="cellIs" dxfId="3836" priority="6089" stopIfTrue="1" operator="equal">
      <formula>"PSG"</formula>
    </cfRule>
    <cfRule type="cellIs" dxfId="3835" priority="6090" stopIfTrue="1" operator="equal">
      <formula>"FALTA"</formula>
    </cfRule>
  </conditionalFormatting>
  <conditionalFormatting sqref="BV152">
    <cfRule type="cellIs" dxfId="3834" priority="6076" stopIfTrue="1" operator="equal">
      <formula>"PCG"</formula>
    </cfRule>
    <cfRule type="cellIs" dxfId="3833" priority="6077" stopIfTrue="1" operator="equal">
      <formula>"VAC"</formula>
    </cfRule>
    <cfRule type="cellIs" dxfId="3832" priority="6078" stopIfTrue="1" operator="equal">
      <formula>"INC"</formula>
    </cfRule>
    <cfRule type="cellIs" dxfId="3831" priority="6079" stopIfTrue="1" operator="equal">
      <formula>"PSG"</formula>
    </cfRule>
    <cfRule type="cellIs" dxfId="3830" priority="6080" stopIfTrue="1" operator="equal">
      <formula>"FALTA"</formula>
    </cfRule>
  </conditionalFormatting>
  <conditionalFormatting sqref="BV201">
    <cfRule type="cellIs" dxfId="3829" priority="6021" stopIfTrue="1" operator="equal">
      <formula>"PCG"</formula>
    </cfRule>
    <cfRule type="cellIs" dxfId="3828" priority="6022" stopIfTrue="1" operator="equal">
      <formula>"VAC"</formula>
    </cfRule>
    <cfRule type="cellIs" dxfId="3827" priority="6023" stopIfTrue="1" operator="equal">
      <formula>"INC"</formula>
    </cfRule>
    <cfRule type="cellIs" dxfId="3826" priority="6024" stopIfTrue="1" operator="equal">
      <formula>"PSG"</formula>
    </cfRule>
    <cfRule type="cellIs" dxfId="3825" priority="6025" stopIfTrue="1" operator="equal">
      <formula>"FALTA"</formula>
    </cfRule>
  </conditionalFormatting>
  <conditionalFormatting sqref="AI195">
    <cfRule type="cellIs" dxfId="3824" priority="6006" stopIfTrue="1" operator="equal">
      <formula>"PCG"</formula>
    </cfRule>
    <cfRule type="cellIs" dxfId="3823" priority="6007" stopIfTrue="1" operator="equal">
      <formula>"VAC"</formula>
    </cfRule>
    <cfRule type="cellIs" dxfId="3822" priority="6008" stopIfTrue="1" operator="equal">
      <formula>"INC"</formula>
    </cfRule>
    <cfRule type="cellIs" dxfId="3821" priority="6009" stopIfTrue="1" operator="equal">
      <formula>"PSG"</formula>
    </cfRule>
    <cfRule type="cellIs" dxfId="3820" priority="6010" stopIfTrue="1" operator="equal">
      <formula>"FALTA"</formula>
    </cfRule>
  </conditionalFormatting>
  <conditionalFormatting sqref="BI171">
    <cfRule type="cellIs" dxfId="3819" priority="5136" stopIfTrue="1" operator="equal">
      <formula>"PCG"</formula>
    </cfRule>
    <cfRule type="cellIs" dxfId="3818" priority="5137" stopIfTrue="1" operator="equal">
      <formula>"VAC"</formula>
    </cfRule>
    <cfRule type="cellIs" dxfId="3817" priority="5138" stopIfTrue="1" operator="equal">
      <formula>"INC"</formula>
    </cfRule>
    <cfRule type="cellIs" dxfId="3816" priority="5139" stopIfTrue="1" operator="equal">
      <formula>"PSG"</formula>
    </cfRule>
    <cfRule type="cellIs" dxfId="3815" priority="5140" stopIfTrue="1" operator="equal">
      <formula>"FALTA"</formula>
    </cfRule>
  </conditionalFormatting>
  <conditionalFormatting sqref="BV185">
    <cfRule type="cellIs" dxfId="3814" priority="5976" stopIfTrue="1" operator="equal">
      <formula>"PCG"</formula>
    </cfRule>
    <cfRule type="cellIs" dxfId="3813" priority="5977" stopIfTrue="1" operator="equal">
      <formula>"VAC"</formula>
    </cfRule>
    <cfRule type="cellIs" dxfId="3812" priority="5978" stopIfTrue="1" operator="equal">
      <formula>"INC"</formula>
    </cfRule>
    <cfRule type="cellIs" dxfId="3811" priority="5979" stopIfTrue="1" operator="equal">
      <formula>"PSG"</formula>
    </cfRule>
    <cfRule type="cellIs" dxfId="3810" priority="5980" stopIfTrue="1" operator="equal">
      <formula>"FALTA"</formula>
    </cfRule>
  </conditionalFormatting>
  <conditionalFormatting sqref="AI156">
    <cfRule type="cellIs" dxfId="3809" priority="5956" stopIfTrue="1" operator="equal">
      <formula>"PCG"</formula>
    </cfRule>
    <cfRule type="cellIs" dxfId="3808" priority="5957" stopIfTrue="1" operator="equal">
      <formula>"VAC"</formula>
    </cfRule>
    <cfRule type="cellIs" dxfId="3807" priority="5958" stopIfTrue="1" operator="equal">
      <formula>"INC"</formula>
    </cfRule>
    <cfRule type="cellIs" dxfId="3806" priority="5959" stopIfTrue="1" operator="equal">
      <formula>"PSG"</formula>
    </cfRule>
    <cfRule type="cellIs" dxfId="3805" priority="5960" stopIfTrue="1" operator="equal">
      <formula>"FALTA"</formula>
    </cfRule>
  </conditionalFormatting>
  <conditionalFormatting sqref="AV156">
    <cfRule type="cellIs" dxfId="3804" priority="5951" stopIfTrue="1" operator="equal">
      <formula>"PCG"</formula>
    </cfRule>
    <cfRule type="cellIs" dxfId="3803" priority="5952" stopIfTrue="1" operator="equal">
      <formula>"VAC"</formula>
    </cfRule>
    <cfRule type="cellIs" dxfId="3802" priority="5953" stopIfTrue="1" operator="equal">
      <formula>"INC"</formula>
    </cfRule>
    <cfRule type="cellIs" dxfId="3801" priority="5954" stopIfTrue="1" operator="equal">
      <formula>"PSG"</formula>
    </cfRule>
    <cfRule type="cellIs" dxfId="3800" priority="5955" stopIfTrue="1" operator="equal">
      <formula>"FALTA"</formula>
    </cfRule>
  </conditionalFormatting>
  <conditionalFormatting sqref="BI156">
    <cfRule type="cellIs" dxfId="3799" priority="5946" stopIfTrue="1" operator="equal">
      <formula>"PCG"</formula>
    </cfRule>
    <cfRule type="cellIs" dxfId="3798" priority="5947" stopIfTrue="1" operator="equal">
      <formula>"VAC"</formula>
    </cfRule>
    <cfRule type="cellIs" dxfId="3797" priority="5948" stopIfTrue="1" operator="equal">
      <formula>"INC"</formula>
    </cfRule>
    <cfRule type="cellIs" dxfId="3796" priority="5949" stopIfTrue="1" operator="equal">
      <formula>"PSG"</formula>
    </cfRule>
    <cfRule type="cellIs" dxfId="3795" priority="5950" stopIfTrue="1" operator="equal">
      <formula>"FALTA"</formula>
    </cfRule>
  </conditionalFormatting>
  <conditionalFormatting sqref="BV156">
    <cfRule type="cellIs" dxfId="3794" priority="5941" stopIfTrue="1" operator="equal">
      <formula>"PCG"</formula>
    </cfRule>
    <cfRule type="cellIs" dxfId="3793" priority="5942" stopIfTrue="1" operator="equal">
      <formula>"VAC"</formula>
    </cfRule>
    <cfRule type="cellIs" dxfId="3792" priority="5943" stopIfTrue="1" operator="equal">
      <formula>"INC"</formula>
    </cfRule>
    <cfRule type="cellIs" dxfId="3791" priority="5944" stopIfTrue="1" operator="equal">
      <formula>"PSG"</formula>
    </cfRule>
    <cfRule type="cellIs" dxfId="3790" priority="5945" stopIfTrue="1" operator="equal">
      <formula>"FALTA"</formula>
    </cfRule>
  </conditionalFormatting>
  <conditionalFormatting sqref="V141">
    <cfRule type="cellIs" dxfId="3789" priority="5931" stopIfTrue="1" operator="equal">
      <formula>"PCG"</formula>
    </cfRule>
    <cfRule type="cellIs" dxfId="3788" priority="5932" stopIfTrue="1" operator="equal">
      <formula>"VAC"</formula>
    </cfRule>
    <cfRule type="cellIs" dxfId="3787" priority="5933" stopIfTrue="1" operator="equal">
      <formula>"INC"</formula>
    </cfRule>
    <cfRule type="cellIs" dxfId="3786" priority="5934" stopIfTrue="1" operator="equal">
      <formula>"PSG"</formula>
    </cfRule>
    <cfRule type="cellIs" dxfId="3785" priority="5935" stopIfTrue="1" operator="equal">
      <formula>"FALTA"</formula>
    </cfRule>
  </conditionalFormatting>
  <conditionalFormatting sqref="AI141">
    <cfRule type="cellIs" dxfId="3784" priority="5926" stopIfTrue="1" operator="equal">
      <formula>"PCG"</formula>
    </cfRule>
    <cfRule type="cellIs" dxfId="3783" priority="5927" stopIfTrue="1" operator="equal">
      <formula>"VAC"</formula>
    </cfRule>
    <cfRule type="cellIs" dxfId="3782" priority="5928" stopIfTrue="1" operator="equal">
      <formula>"INC"</formula>
    </cfRule>
    <cfRule type="cellIs" dxfId="3781" priority="5929" stopIfTrue="1" operator="equal">
      <formula>"PSG"</formula>
    </cfRule>
    <cfRule type="cellIs" dxfId="3780" priority="5930" stopIfTrue="1" operator="equal">
      <formula>"FALTA"</formula>
    </cfRule>
  </conditionalFormatting>
  <conditionalFormatting sqref="AV141">
    <cfRule type="cellIs" dxfId="3779" priority="5921" stopIfTrue="1" operator="equal">
      <formula>"PCG"</formula>
    </cfRule>
    <cfRule type="cellIs" dxfId="3778" priority="5922" stopIfTrue="1" operator="equal">
      <formula>"VAC"</formula>
    </cfRule>
    <cfRule type="cellIs" dxfId="3777" priority="5923" stopIfTrue="1" operator="equal">
      <formula>"INC"</formula>
    </cfRule>
    <cfRule type="cellIs" dxfId="3776" priority="5924" stopIfTrue="1" operator="equal">
      <formula>"PSG"</formula>
    </cfRule>
    <cfRule type="cellIs" dxfId="3775" priority="5925" stopIfTrue="1" operator="equal">
      <formula>"FALTA"</formula>
    </cfRule>
  </conditionalFormatting>
  <conditionalFormatting sqref="BI141">
    <cfRule type="cellIs" dxfId="3774" priority="5916" stopIfTrue="1" operator="equal">
      <formula>"PCG"</formula>
    </cfRule>
    <cfRule type="cellIs" dxfId="3773" priority="5917" stopIfTrue="1" operator="equal">
      <formula>"VAC"</formula>
    </cfRule>
    <cfRule type="cellIs" dxfId="3772" priority="5918" stopIfTrue="1" operator="equal">
      <formula>"INC"</formula>
    </cfRule>
    <cfRule type="cellIs" dxfId="3771" priority="5919" stopIfTrue="1" operator="equal">
      <formula>"PSG"</formula>
    </cfRule>
    <cfRule type="cellIs" dxfId="3770" priority="5920" stopIfTrue="1" operator="equal">
      <formula>"FALTA"</formula>
    </cfRule>
  </conditionalFormatting>
  <conditionalFormatting sqref="BV141">
    <cfRule type="cellIs" dxfId="3769" priority="5911" stopIfTrue="1" operator="equal">
      <formula>"PCG"</formula>
    </cfRule>
    <cfRule type="cellIs" dxfId="3768" priority="5912" stopIfTrue="1" operator="equal">
      <formula>"VAC"</formula>
    </cfRule>
    <cfRule type="cellIs" dxfId="3767" priority="5913" stopIfTrue="1" operator="equal">
      <formula>"INC"</formula>
    </cfRule>
    <cfRule type="cellIs" dxfId="3766" priority="5914" stopIfTrue="1" operator="equal">
      <formula>"PSG"</formula>
    </cfRule>
    <cfRule type="cellIs" dxfId="3765" priority="5915" stopIfTrue="1" operator="equal">
      <formula>"FALTA"</formula>
    </cfRule>
  </conditionalFormatting>
  <conditionalFormatting sqref="V112">
    <cfRule type="cellIs" dxfId="3764" priority="5906" stopIfTrue="1" operator="equal">
      <formula>"PCG"</formula>
    </cfRule>
    <cfRule type="cellIs" dxfId="3763" priority="5907" stopIfTrue="1" operator="equal">
      <formula>"VAC"</formula>
    </cfRule>
    <cfRule type="cellIs" dxfId="3762" priority="5908" stopIfTrue="1" operator="equal">
      <formula>"INC"</formula>
    </cfRule>
    <cfRule type="cellIs" dxfId="3761" priority="5909" stopIfTrue="1" operator="equal">
      <formula>"PSG"</formula>
    </cfRule>
    <cfRule type="cellIs" dxfId="3760" priority="5910" stopIfTrue="1" operator="equal">
      <formula>"FALTA"</formula>
    </cfRule>
  </conditionalFormatting>
  <conditionalFormatting sqref="AI112">
    <cfRule type="cellIs" dxfId="3759" priority="5901" stopIfTrue="1" operator="equal">
      <formula>"PCG"</formula>
    </cfRule>
    <cfRule type="cellIs" dxfId="3758" priority="5902" stopIfTrue="1" operator="equal">
      <formula>"VAC"</formula>
    </cfRule>
    <cfRule type="cellIs" dxfId="3757" priority="5903" stopIfTrue="1" operator="equal">
      <formula>"INC"</formula>
    </cfRule>
    <cfRule type="cellIs" dxfId="3756" priority="5904" stopIfTrue="1" operator="equal">
      <formula>"PSG"</formula>
    </cfRule>
    <cfRule type="cellIs" dxfId="3755" priority="5905" stopIfTrue="1" operator="equal">
      <formula>"FALTA"</formula>
    </cfRule>
  </conditionalFormatting>
  <conditionalFormatting sqref="AV112">
    <cfRule type="cellIs" dxfId="3754" priority="5896" stopIfTrue="1" operator="equal">
      <formula>"PCG"</formula>
    </cfRule>
    <cfRule type="cellIs" dxfId="3753" priority="5897" stopIfTrue="1" operator="equal">
      <formula>"VAC"</formula>
    </cfRule>
    <cfRule type="cellIs" dxfId="3752" priority="5898" stopIfTrue="1" operator="equal">
      <formula>"INC"</formula>
    </cfRule>
    <cfRule type="cellIs" dxfId="3751" priority="5899" stopIfTrue="1" operator="equal">
      <formula>"PSG"</formula>
    </cfRule>
    <cfRule type="cellIs" dxfId="3750" priority="5900" stopIfTrue="1" operator="equal">
      <formula>"FALTA"</formula>
    </cfRule>
  </conditionalFormatting>
  <conditionalFormatting sqref="BI112">
    <cfRule type="cellIs" dxfId="3749" priority="5891" stopIfTrue="1" operator="equal">
      <formula>"PCG"</formula>
    </cfRule>
    <cfRule type="cellIs" dxfId="3748" priority="5892" stopIfTrue="1" operator="equal">
      <formula>"VAC"</formula>
    </cfRule>
    <cfRule type="cellIs" dxfId="3747" priority="5893" stopIfTrue="1" operator="equal">
      <formula>"INC"</formula>
    </cfRule>
    <cfRule type="cellIs" dxfId="3746" priority="5894" stopIfTrue="1" operator="equal">
      <formula>"PSG"</formula>
    </cfRule>
    <cfRule type="cellIs" dxfId="3745" priority="5895" stopIfTrue="1" operator="equal">
      <formula>"FALTA"</formula>
    </cfRule>
  </conditionalFormatting>
  <conditionalFormatting sqref="I208">
    <cfRule type="cellIs" dxfId="3744" priority="5866" stopIfTrue="1" operator="equal">
      <formula>"PCG"</formula>
    </cfRule>
    <cfRule type="cellIs" dxfId="3743" priority="5867" stopIfTrue="1" operator="equal">
      <formula>"VAC"</formula>
    </cfRule>
    <cfRule type="cellIs" dxfId="3742" priority="5868" stopIfTrue="1" operator="equal">
      <formula>"INC"</formula>
    </cfRule>
    <cfRule type="cellIs" dxfId="3741" priority="5869" stopIfTrue="1" operator="equal">
      <formula>"PSG"</formula>
    </cfRule>
    <cfRule type="cellIs" dxfId="3740" priority="5870" stopIfTrue="1" operator="equal">
      <formula>"FALTA"</formula>
    </cfRule>
  </conditionalFormatting>
  <conditionalFormatting sqref="V208">
    <cfRule type="cellIs" dxfId="3739" priority="5861" stopIfTrue="1" operator="equal">
      <formula>"PCG"</formula>
    </cfRule>
    <cfRule type="cellIs" dxfId="3738" priority="5862" stopIfTrue="1" operator="equal">
      <formula>"VAC"</formula>
    </cfRule>
    <cfRule type="cellIs" dxfId="3737" priority="5863" stopIfTrue="1" operator="equal">
      <formula>"INC"</formula>
    </cfRule>
    <cfRule type="cellIs" dxfId="3736" priority="5864" stopIfTrue="1" operator="equal">
      <formula>"PSG"</formula>
    </cfRule>
    <cfRule type="cellIs" dxfId="3735" priority="5865" stopIfTrue="1" operator="equal">
      <formula>"FALTA"</formula>
    </cfRule>
  </conditionalFormatting>
  <conditionalFormatting sqref="AI208">
    <cfRule type="cellIs" dxfId="3734" priority="5856" stopIfTrue="1" operator="equal">
      <formula>"PCG"</formula>
    </cfRule>
    <cfRule type="cellIs" dxfId="3733" priority="5857" stopIfTrue="1" operator="equal">
      <formula>"VAC"</formula>
    </cfRule>
    <cfRule type="cellIs" dxfId="3732" priority="5858" stopIfTrue="1" operator="equal">
      <formula>"INC"</formula>
    </cfRule>
    <cfRule type="cellIs" dxfId="3731" priority="5859" stopIfTrue="1" operator="equal">
      <formula>"PSG"</formula>
    </cfRule>
    <cfRule type="cellIs" dxfId="3730" priority="5860" stopIfTrue="1" operator="equal">
      <formula>"FALTA"</formula>
    </cfRule>
  </conditionalFormatting>
  <conditionalFormatting sqref="AV208">
    <cfRule type="cellIs" dxfId="3729" priority="5851" stopIfTrue="1" operator="equal">
      <formula>"PCG"</formula>
    </cfRule>
    <cfRule type="cellIs" dxfId="3728" priority="5852" stopIfTrue="1" operator="equal">
      <formula>"VAC"</formula>
    </cfRule>
    <cfRule type="cellIs" dxfId="3727" priority="5853" stopIfTrue="1" operator="equal">
      <formula>"INC"</formula>
    </cfRule>
    <cfRule type="cellIs" dxfId="3726" priority="5854" stopIfTrue="1" operator="equal">
      <formula>"PSG"</formula>
    </cfRule>
    <cfRule type="cellIs" dxfId="3725" priority="5855" stopIfTrue="1" operator="equal">
      <formula>"FALTA"</formula>
    </cfRule>
  </conditionalFormatting>
  <conditionalFormatting sqref="BV208">
    <cfRule type="cellIs" dxfId="3724" priority="5841" stopIfTrue="1" operator="equal">
      <formula>"PCG"</formula>
    </cfRule>
    <cfRule type="cellIs" dxfId="3723" priority="5842" stopIfTrue="1" operator="equal">
      <formula>"VAC"</formula>
    </cfRule>
    <cfRule type="cellIs" dxfId="3722" priority="5843" stopIfTrue="1" operator="equal">
      <formula>"INC"</formula>
    </cfRule>
    <cfRule type="cellIs" dxfId="3721" priority="5844" stopIfTrue="1" operator="equal">
      <formula>"PSG"</formula>
    </cfRule>
    <cfRule type="cellIs" dxfId="3720" priority="5845" stopIfTrue="1" operator="equal">
      <formula>"FALTA"</formula>
    </cfRule>
  </conditionalFormatting>
  <conditionalFormatting sqref="I51">
    <cfRule type="cellIs" dxfId="3719" priority="5836" stopIfTrue="1" operator="equal">
      <formula>"PCG"</formula>
    </cfRule>
    <cfRule type="cellIs" dxfId="3718" priority="5837" stopIfTrue="1" operator="equal">
      <formula>"VAC"</formula>
    </cfRule>
    <cfRule type="cellIs" dxfId="3717" priority="5838" stopIfTrue="1" operator="equal">
      <formula>"INC"</formula>
    </cfRule>
    <cfRule type="cellIs" dxfId="3716" priority="5839" stopIfTrue="1" operator="equal">
      <formula>"PSG"</formula>
    </cfRule>
    <cfRule type="cellIs" dxfId="3715" priority="5840" stopIfTrue="1" operator="equal">
      <formula>"FALTA"</formula>
    </cfRule>
  </conditionalFormatting>
  <conditionalFormatting sqref="AI185">
    <cfRule type="cellIs" dxfId="3714" priority="5806" stopIfTrue="1" operator="equal">
      <formula>"PCG"</formula>
    </cfRule>
    <cfRule type="cellIs" dxfId="3713" priority="5807" stopIfTrue="1" operator="equal">
      <formula>"VAC"</formula>
    </cfRule>
    <cfRule type="cellIs" dxfId="3712" priority="5808" stopIfTrue="1" operator="equal">
      <formula>"INC"</formula>
    </cfRule>
    <cfRule type="cellIs" dxfId="3711" priority="5809" stopIfTrue="1" operator="equal">
      <formula>"PSG"</formula>
    </cfRule>
    <cfRule type="cellIs" dxfId="3710" priority="5810" stopIfTrue="1" operator="equal">
      <formula>"FALTA"</formula>
    </cfRule>
  </conditionalFormatting>
  <conditionalFormatting sqref="AI165">
    <cfRule type="cellIs" dxfId="3709" priority="5786" stopIfTrue="1" operator="equal">
      <formula>"PCG"</formula>
    </cfRule>
    <cfRule type="cellIs" dxfId="3708" priority="5787" stopIfTrue="1" operator="equal">
      <formula>"VAC"</formula>
    </cfRule>
    <cfRule type="cellIs" dxfId="3707" priority="5788" stopIfTrue="1" operator="equal">
      <formula>"INC"</formula>
    </cfRule>
    <cfRule type="cellIs" dxfId="3706" priority="5789" stopIfTrue="1" operator="equal">
      <formula>"PSG"</formula>
    </cfRule>
    <cfRule type="cellIs" dxfId="3705" priority="5790" stopIfTrue="1" operator="equal">
      <formula>"FALTA"</formula>
    </cfRule>
  </conditionalFormatting>
  <conditionalFormatting sqref="BV80">
    <cfRule type="cellIs" dxfId="3704" priority="5766" stopIfTrue="1" operator="equal">
      <formula>"PCG"</formula>
    </cfRule>
    <cfRule type="cellIs" dxfId="3703" priority="5767" stopIfTrue="1" operator="equal">
      <formula>"VAC"</formula>
    </cfRule>
    <cfRule type="cellIs" dxfId="3702" priority="5768" stopIfTrue="1" operator="equal">
      <formula>"INC"</formula>
    </cfRule>
    <cfRule type="cellIs" dxfId="3701" priority="5769" stopIfTrue="1" operator="equal">
      <formula>"PSG"</formula>
    </cfRule>
    <cfRule type="cellIs" dxfId="3700" priority="5770" stopIfTrue="1" operator="equal">
      <formula>"FALTA"</formula>
    </cfRule>
  </conditionalFormatting>
  <conditionalFormatting sqref="V165">
    <cfRule type="cellIs" dxfId="3699" priority="5731" stopIfTrue="1" operator="equal">
      <formula>"PCG"</formula>
    </cfRule>
    <cfRule type="cellIs" dxfId="3698" priority="5732" stopIfTrue="1" operator="equal">
      <formula>"VAC"</formula>
    </cfRule>
    <cfRule type="cellIs" dxfId="3697" priority="5733" stopIfTrue="1" operator="equal">
      <formula>"INC"</formula>
    </cfRule>
    <cfRule type="cellIs" dxfId="3696" priority="5734" stopIfTrue="1" operator="equal">
      <formula>"PSG"</formula>
    </cfRule>
    <cfRule type="cellIs" dxfId="3695" priority="5735" stopIfTrue="1" operator="equal">
      <formula>"FALTA"</formula>
    </cfRule>
  </conditionalFormatting>
  <conditionalFormatting sqref="AI246">
    <cfRule type="cellIs" dxfId="3694" priority="5721" stopIfTrue="1" operator="equal">
      <formula>"PCG"</formula>
    </cfRule>
    <cfRule type="cellIs" dxfId="3693" priority="5722" stopIfTrue="1" operator="equal">
      <formula>"VAC"</formula>
    </cfRule>
    <cfRule type="cellIs" dxfId="3692" priority="5723" stopIfTrue="1" operator="equal">
      <formula>"INC"</formula>
    </cfRule>
    <cfRule type="cellIs" dxfId="3691" priority="5724" stopIfTrue="1" operator="equal">
      <formula>"PSG"</formula>
    </cfRule>
    <cfRule type="cellIs" dxfId="3690" priority="5725" stopIfTrue="1" operator="equal">
      <formula>"FALTA"</formula>
    </cfRule>
  </conditionalFormatting>
  <conditionalFormatting sqref="AV246">
    <cfRule type="cellIs" dxfId="3689" priority="5716" stopIfTrue="1" operator="equal">
      <formula>"PCG"</formula>
    </cfRule>
    <cfRule type="cellIs" dxfId="3688" priority="5717" stopIfTrue="1" operator="equal">
      <formula>"VAC"</formula>
    </cfRule>
    <cfRule type="cellIs" dxfId="3687" priority="5718" stopIfTrue="1" operator="equal">
      <formula>"INC"</formula>
    </cfRule>
    <cfRule type="cellIs" dxfId="3686" priority="5719" stopIfTrue="1" operator="equal">
      <formula>"PSG"</formula>
    </cfRule>
    <cfRule type="cellIs" dxfId="3685" priority="5720" stopIfTrue="1" operator="equal">
      <formula>"FALTA"</formula>
    </cfRule>
  </conditionalFormatting>
  <conditionalFormatting sqref="BI246">
    <cfRule type="cellIs" dxfId="3684" priority="5711" stopIfTrue="1" operator="equal">
      <formula>"PCG"</formula>
    </cfRule>
    <cfRule type="cellIs" dxfId="3683" priority="5712" stopIfTrue="1" operator="equal">
      <formula>"VAC"</formula>
    </cfRule>
    <cfRule type="cellIs" dxfId="3682" priority="5713" stopIfTrue="1" operator="equal">
      <formula>"INC"</formula>
    </cfRule>
    <cfRule type="cellIs" dxfId="3681" priority="5714" stopIfTrue="1" operator="equal">
      <formula>"PSG"</formula>
    </cfRule>
    <cfRule type="cellIs" dxfId="3680" priority="5715" stopIfTrue="1" operator="equal">
      <formula>"FALTA"</formula>
    </cfRule>
  </conditionalFormatting>
  <conditionalFormatting sqref="V107">
    <cfRule type="cellIs" dxfId="3679" priority="5666" stopIfTrue="1" operator="equal">
      <formula>"PCG"</formula>
    </cfRule>
    <cfRule type="cellIs" dxfId="3678" priority="5667" stopIfTrue="1" operator="equal">
      <formula>"VAC"</formula>
    </cfRule>
    <cfRule type="cellIs" dxfId="3677" priority="5668" stopIfTrue="1" operator="equal">
      <formula>"INC"</formula>
    </cfRule>
    <cfRule type="cellIs" dxfId="3676" priority="5669" stopIfTrue="1" operator="equal">
      <formula>"PSG"</formula>
    </cfRule>
    <cfRule type="cellIs" dxfId="3675" priority="5670" stopIfTrue="1" operator="equal">
      <formula>"FALTA"</formula>
    </cfRule>
  </conditionalFormatting>
  <conditionalFormatting sqref="AI107">
    <cfRule type="cellIs" dxfId="3674" priority="5661" stopIfTrue="1" operator="equal">
      <formula>"PCG"</formula>
    </cfRule>
    <cfRule type="cellIs" dxfId="3673" priority="5662" stopIfTrue="1" operator="equal">
      <formula>"VAC"</formula>
    </cfRule>
    <cfRule type="cellIs" dxfId="3672" priority="5663" stopIfTrue="1" operator="equal">
      <formula>"INC"</formula>
    </cfRule>
    <cfRule type="cellIs" dxfId="3671" priority="5664" stopIfTrue="1" operator="equal">
      <formula>"PSG"</formula>
    </cfRule>
    <cfRule type="cellIs" dxfId="3670" priority="5665" stopIfTrue="1" operator="equal">
      <formula>"FALTA"</formula>
    </cfRule>
  </conditionalFormatting>
  <conditionalFormatting sqref="AV107">
    <cfRule type="cellIs" dxfId="3669" priority="5656" stopIfTrue="1" operator="equal">
      <formula>"PCG"</formula>
    </cfRule>
    <cfRule type="cellIs" dxfId="3668" priority="5657" stopIfTrue="1" operator="equal">
      <formula>"VAC"</formula>
    </cfRule>
    <cfRule type="cellIs" dxfId="3667" priority="5658" stopIfTrue="1" operator="equal">
      <formula>"INC"</formula>
    </cfRule>
    <cfRule type="cellIs" dxfId="3666" priority="5659" stopIfTrue="1" operator="equal">
      <formula>"PSG"</formula>
    </cfRule>
    <cfRule type="cellIs" dxfId="3665" priority="5660" stopIfTrue="1" operator="equal">
      <formula>"FALTA"</formula>
    </cfRule>
  </conditionalFormatting>
  <conditionalFormatting sqref="AV116">
    <cfRule type="cellIs" dxfId="3664" priority="5291" stopIfTrue="1" operator="equal">
      <formula>"PCG"</formula>
    </cfRule>
    <cfRule type="cellIs" dxfId="3663" priority="5292" stopIfTrue="1" operator="equal">
      <formula>"VAC"</formula>
    </cfRule>
    <cfRule type="cellIs" dxfId="3662" priority="5293" stopIfTrue="1" operator="equal">
      <formula>"INC"</formula>
    </cfRule>
    <cfRule type="cellIs" dxfId="3661" priority="5294" stopIfTrue="1" operator="equal">
      <formula>"PSG"</formula>
    </cfRule>
    <cfRule type="cellIs" dxfId="3660" priority="5295" stopIfTrue="1" operator="equal">
      <formula>"FALTA"</formula>
    </cfRule>
  </conditionalFormatting>
  <conditionalFormatting sqref="BV107">
    <cfRule type="cellIs" dxfId="3659" priority="5646" stopIfTrue="1" operator="equal">
      <formula>"PCG"</formula>
    </cfRule>
    <cfRule type="cellIs" dxfId="3658" priority="5647" stopIfTrue="1" operator="equal">
      <formula>"VAC"</formula>
    </cfRule>
    <cfRule type="cellIs" dxfId="3657" priority="5648" stopIfTrue="1" operator="equal">
      <formula>"INC"</formula>
    </cfRule>
    <cfRule type="cellIs" dxfId="3656" priority="5649" stopIfTrue="1" operator="equal">
      <formula>"PSG"</formula>
    </cfRule>
    <cfRule type="cellIs" dxfId="3655" priority="5650" stopIfTrue="1" operator="equal">
      <formula>"FALTA"</formula>
    </cfRule>
  </conditionalFormatting>
  <conditionalFormatting sqref="AI237">
    <cfRule type="cellIs" dxfId="3654" priority="5631" stopIfTrue="1" operator="equal">
      <formula>"PCG"</formula>
    </cfRule>
    <cfRule type="cellIs" dxfId="3653" priority="5632" stopIfTrue="1" operator="equal">
      <formula>"VAC"</formula>
    </cfRule>
    <cfRule type="cellIs" dxfId="3652" priority="5633" stopIfTrue="1" operator="equal">
      <formula>"INC"</formula>
    </cfRule>
    <cfRule type="cellIs" dxfId="3651" priority="5634" stopIfTrue="1" operator="equal">
      <formula>"PSG"</formula>
    </cfRule>
    <cfRule type="cellIs" dxfId="3650" priority="5635" stopIfTrue="1" operator="equal">
      <formula>"FALTA"</formula>
    </cfRule>
  </conditionalFormatting>
  <conditionalFormatting sqref="BI131">
    <cfRule type="cellIs" dxfId="3649" priority="5616" stopIfTrue="1" operator="equal">
      <formula>"PCG"</formula>
    </cfRule>
    <cfRule type="cellIs" dxfId="3648" priority="5617" stopIfTrue="1" operator="equal">
      <formula>"VAC"</formula>
    </cfRule>
    <cfRule type="cellIs" dxfId="3647" priority="5618" stopIfTrue="1" operator="equal">
      <formula>"INC"</formula>
    </cfRule>
    <cfRule type="cellIs" dxfId="3646" priority="5619" stopIfTrue="1" operator="equal">
      <formula>"PSG"</formula>
    </cfRule>
    <cfRule type="cellIs" dxfId="3645" priority="5620" stopIfTrue="1" operator="equal">
      <formula>"FALTA"</formula>
    </cfRule>
  </conditionalFormatting>
  <conditionalFormatting sqref="BV131">
    <cfRule type="cellIs" dxfId="3644" priority="5611" stopIfTrue="1" operator="equal">
      <formula>"PCG"</formula>
    </cfRule>
    <cfRule type="cellIs" dxfId="3643" priority="5612" stopIfTrue="1" operator="equal">
      <formula>"VAC"</formula>
    </cfRule>
    <cfRule type="cellIs" dxfId="3642" priority="5613" stopIfTrue="1" operator="equal">
      <formula>"INC"</formula>
    </cfRule>
    <cfRule type="cellIs" dxfId="3641" priority="5614" stopIfTrue="1" operator="equal">
      <formula>"PSG"</formula>
    </cfRule>
    <cfRule type="cellIs" dxfId="3640" priority="5615" stopIfTrue="1" operator="equal">
      <formula>"FALTA"</formula>
    </cfRule>
  </conditionalFormatting>
  <conditionalFormatting sqref="BV252">
    <cfRule type="cellIs" dxfId="3639" priority="5591" stopIfTrue="1" operator="equal">
      <formula>"PCG"</formula>
    </cfRule>
    <cfRule type="cellIs" dxfId="3638" priority="5592" stopIfTrue="1" operator="equal">
      <formula>"VAC"</formula>
    </cfRule>
    <cfRule type="cellIs" dxfId="3637" priority="5593" stopIfTrue="1" operator="equal">
      <formula>"INC"</formula>
    </cfRule>
    <cfRule type="cellIs" dxfId="3636" priority="5594" stopIfTrue="1" operator="equal">
      <formula>"PSG"</formula>
    </cfRule>
    <cfRule type="cellIs" dxfId="3635" priority="5595" stopIfTrue="1" operator="equal">
      <formula>"FALTA"</formula>
    </cfRule>
  </conditionalFormatting>
  <conditionalFormatting sqref="CI252">
    <cfRule type="cellIs" dxfId="3634" priority="5586" stopIfTrue="1" operator="equal">
      <formula>"PCG"</formula>
    </cfRule>
    <cfRule type="cellIs" dxfId="3633" priority="5587" stopIfTrue="1" operator="equal">
      <formula>"VAC"</formula>
    </cfRule>
    <cfRule type="cellIs" dxfId="3632" priority="5588" stopIfTrue="1" operator="equal">
      <formula>"INC"</formula>
    </cfRule>
    <cfRule type="cellIs" dxfId="3631" priority="5589" stopIfTrue="1" operator="equal">
      <formula>"PSG"</formula>
    </cfRule>
    <cfRule type="cellIs" dxfId="3630" priority="5590" stopIfTrue="1" operator="equal">
      <formula>"FALTA"</formula>
    </cfRule>
  </conditionalFormatting>
  <conditionalFormatting sqref="AI159">
    <cfRule type="cellIs" dxfId="3629" priority="5581" stopIfTrue="1" operator="equal">
      <formula>"PCG"</formula>
    </cfRule>
    <cfRule type="cellIs" dxfId="3628" priority="5582" stopIfTrue="1" operator="equal">
      <formula>"VAC"</formula>
    </cfRule>
    <cfRule type="cellIs" dxfId="3627" priority="5583" stopIfTrue="1" operator="equal">
      <formula>"INC"</formula>
    </cfRule>
    <cfRule type="cellIs" dxfId="3626" priority="5584" stopIfTrue="1" operator="equal">
      <formula>"PSG"</formula>
    </cfRule>
    <cfRule type="cellIs" dxfId="3625" priority="5585" stopIfTrue="1" operator="equal">
      <formula>"FALTA"</formula>
    </cfRule>
  </conditionalFormatting>
  <conditionalFormatting sqref="AV159">
    <cfRule type="cellIs" dxfId="3624" priority="5576" stopIfTrue="1" operator="equal">
      <formula>"PCG"</formula>
    </cfRule>
    <cfRule type="cellIs" dxfId="3623" priority="5577" stopIfTrue="1" operator="equal">
      <formula>"VAC"</formula>
    </cfRule>
    <cfRule type="cellIs" dxfId="3622" priority="5578" stopIfTrue="1" operator="equal">
      <formula>"INC"</formula>
    </cfRule>
    <cfRule type="cellIs" dxfId="3621" priority="5579" stopIfTrue="1" operator="equal">
      <formula>"PSG"</formula>
    </cfRule>
    <cfRule type="cellIs" dxfId="3620" priority="5580" stopIfTrue="1" operator="equal">
      <formula>"FALTA"</formula>
    </cfRule>
  </conditionalFormatting>
  <conditionalFormatting sqref="BI159">
    <cfRule type="cellIs" dxfId="3619" priority="5571" stopIfTrue="1" operator="equal">
      <formula>"PCG"</formula>
    </cfRule>
    <cfRule type="cellIs" dxfId="3618" priority="5572" stopIfTrue="1" operator="equal">
      <formula>"VAC"</formula>
    </cfRule>
    <cfRule type="cellIs" dxfId="3617" priority="5573" stopIfTrue="1" operator="equal">
      <formula>"INC"</formula>
    </cfRule>
    <cfRule type="cellIs" dxfId="3616" priority="5574" stopIfTrue="1" operator="equal">
      <formula>"PSG"</formula>
    </cfRule>
    <cfRule type="cellIs" dxfId="3615" priority="5575" stopIfTrue="1" operator="equal">
      <formula>"FALTA"</formula>
    </cfRule>
  </conditionalFormatting>
  <conditionalFormatting sqref="BV159">
    <cfRule type="cellIs" dxfId="3614" priority="5566" stopIfTrue="1" operator="equal">
      <formula>"PCG"</formula>
    </cfRule>
    <cfRule type="cellIs" dxfId="3613" priority="5567" stopIfTrue="1" operator="equal">
      <formula>"VAC"</formula>
    </cfRule>
    <cfRule type="cellIs" dxfId="3612" priority="5568" stopIfTrue="1" operator="equal">
      <formula>"INC"</formula>
    </cfRule>
    <cfRule type="cellIs" dxfId="3611" priority="5569" stopIfTrue="1" operator="equal">
      <formula>"PSG"</formula>
    </cfRule>
    <cfRule type="cellIs" dxfId="3610" priority="5570" stopIfTrue="1" operator="equal">
      <formula>"FALTA"</formula>
    </cfRule>
  </conditionalFormatting>
  <conditionalFormatting sqref="CI159">
    <cfRule type="cellIs" dxfId="3609" priority="5561" stopIfTrue="1" operator="equal">
      <formula>"PCG"</formula>
    </cfRule>
    <cfRule type="cellIs" dxfId="3608" priority="5562" stopIfTrue="1" operator="equal">
      <formula>"VAC"</formula>
    </cfRule>
    <cfRule type="cellIs" dxfId="3607" priority="5563" stopIfTrue="1" operator="equal">
      <formula>"INC"</formula>
    </cfRule>
    <cfRule type="cellIs" dxfId="3606" priority="5564" stopIfTrue="1" operator="equal">
      <formula>"PSG"</formula>
    </cfRule>
    <cfRule type="cellIs" dxfId="3605" priority="5565" stopIfTrue="1" operator="equal">
      <formula>"FALTA"</formula>
    </cfRule>
  </conditionalFormatting>
  <conditionalFormatting sqref="AV84">
    <cfRule type="cellIs" dxfId="3604" priority="5551" stopIfTrue="1" operator="equal">
      <formula>"PCG"</formula>
    </cfRule>
    <cfRule type="cellIs" dxfId="3603" priority="5552" stopIfTrue="1" operator="equal">
      <formula>"VAC"</formula>
    </cfRule>
    <cfRule type="cellIs" dxfId="3602" priority="5553" stopIfTrue="1" operator="equal">
      <formula>"INC"</formula>
    </cfRule>
    <cfRule type="cellIs" dxfId="3601" priority="5554" stopIfTrue="1" operator="equal">
      <formula>"PSG"</formula>
    </cfRule>
    <cfRule type="cellIs" dxfId="3600" priority="5555" stopIfTrue="1" operator="equal">
      <formula>"FALTA"</formula>
    </cfRule>
  </conditionalFormatting>
  <conditionalFormatting sqref="V169">
    <cfRule type="cellIs" dxfId="3599" priority="5546" stopIfTrue="1" operator="equal">
      <formula>"PCG"</formula>
    </cfRule>
    <cfRule type="cellIs" dxfId="3598" priority="5547" stopIfTrue="1" operator="equal">
      <formula>"VAC"</formula>
    </cfRule>
    <cfRule type="cellIs" dxfId="3597" priority="5548" stopIfTrue="1" operator="equal">
      <formula>"INC"</formula>
    </cfRule>
    <cfRule type="cellIs" dxfId="3596" priority="5549" stopIfTrue="1" operator="equal">
      <formula>"PSG"</formula>
    </cfRule>
    <cfRule type="cellIs" dxfId="3595" priority="5550" stopIfTrue="1" operator="equal">
      <formula>"FALTA"</formula>
    </cfRule>
  </conditionalFormatting>
  <conditionalFormatting sqref="AI169">
    <cfRule type="cellIs" dxfId="3594" priority="5541" stopIfTrue="1" operator="equal">
      <formula>"PCG"</formula>
    </cfRule>
    <cfRule type="cellIs" dxfId="3593" priority="5542" stopIfTrue="1" operator="equal">
      <formula>"VAC"</formula>
    </cfRule>
    <cfRule type="cellIs" dxfId="3592" priority="5543" stopIfTrue="1" operator="equal">
      <formula>"INC"</formula>
    </cfRule>
    <cfRule type="cellIs" dxfId="3591" priority="5544" stopIfTrue="1" operator="equal">
      <formula>"PSG"</formula>
    </cfRule>
    <cfRule type="cellIs" dxfId="3590" priority="5545" stopIfTrue="1" operator="equal">
      <formula>"FALTA"</formula>
    </cfRule>
  </conditionalFormatting>
  <conditionalFormatting sqref="AV169">
    <cfRule type="cellIs" dxfId="3589" priority="5536" stopIfTrue="1" operator="equal">
      <formula>"PCG"</formula>
    </cfRule>
    <cfRule type="cellIs" dxfId="3588" priority="5537" stopIfTrue="1" operator="equal">
      <formula>"VAC"</formula>
    </cfRule>
    <cfRule type="cellIs" dxfId="3587" priority="5538" stopIfTrue="1" operator="equal">
      <formula>"INC"</formula>
    </cfRule>
    <cfRule type="cellIs" dxfId="3586" priority="5539" stopIfTrue="1" operator="equal">
      <formula>"PSG"</formula>
    </cfRule>
    <cfRule type="cellIs" dxfId="3585" priority="5540" stopIfTrue="1" operator="equal">
      <formula>"FALTA"</formula>
    </cfRule>
  </conditionalFormatting>
  <conditionalFormatting sqref="BI169">
    <cfRule type="cellIs" dxfId="3584" priority="5531" stopIfTrue="1" operator="equal">
      <formula>"PCG"</formula>
    </cfRule>
    <cfRule type="cellIs" dxfId="3583" priority="5532" stopIfTrue="1" operator="equal">
      <formula>"VAC"</formula>
    </cfRule>
    <cfRule type="cellIs" dxfId="3582" priority="5533" stopIfTrue="1" operator="equal">
      <formula>"INC"</formula>
    </cfRule>
    <cfRule type="cellIs" dxfId="3581" priority="5534" stopIfTrue="1" operator="equal">
      <formula>"PSG"</formula>
    </cfRule>
    <cfRule type="cellIs" dxfId="3580" priority="5535" stopIfTrue="1" operator="equal">
      <formula>"FALTA"</formula>
    </cfRule>
  </conditionalFormatting>
  <conditionalFormatting sqref="AI209">
    <cfRule type="cellIs" dxfId="3579" priority="5491" stopIfTrue="1" operator="equal">
      <formula>"PCG"</formula>
    </cfRule>
    <cfRule type="cellIs" dxfId="3578" priority="5492" stopIfTrue="1" operator="equal">
      <formula>"VAC"</formula>
    </cfRule>
    <cfRule type="cellIs" dxfId="3577" priority="5493" stopIfTrue="1" operator="equal">
      <formula>"INC"</formula>
    </cfRule>
    <cfRule type="cellIs" dxfId="3576" priority="5494" stopIfTrue="1" operator="equal">
      <formula>"PSG"</formula>
    </cfRule>
    <cfRule type="cellIs" dxfId="3575" priority="5495" stopIfTrue="1" operator="equal">
      <formula>"FALTA"</formula>
    </cfRule>
  </conditionalFormatting>
  <conditionalFormatting sqref="AV209">
    <cfRule type="cellIs" dxfId="3574" priority="5486" stopIfTrue="1" operator="equal">
      <formula>"PCG"</formula>
    </cfRule>
    <cfRule type="cellIs" dxfId="3573" priority="5487" stopIfTrue="1" operator="equal">
      <formula>"VAC"</formula>
    </cfRule>
    <cfRule type="cellIs" dxfId="3572" priority="5488" stopIfTrue="1" operator="equal">
      <formula>"INC"</formula>
    </cfRule>
    <cfRule type="cellIs" dxfId="3571" priority="5489" stopIfTrue="1" operator="equal">
      <formula>"PSG"</formula>
    </cfRule>
    <cfRule type="cellIs" dxfId="3570" priority="5490" stopIfTrue="1" operator="equal">
      <formula>"FALTA"</formula>
    </cfRule>
  </conditionalFormatting>
  <conditionalFormatting sqref="AI47">
    <cfRule type="cellIs" dxfId="3569" priority="5476" stopIfTrue="1" operator="equal">
      <formula>"PCG"</formula>
    </cfRule>
    <cfRule type="cellIs" dxfId="3568" priority="5477" stopIfTrue="1" operator="equal">
      <formula>"VAC"</formula>
    </cfRule>
    <cfRule type="cellIs" dxfId="3567" priority="5478" stopIfTrue="1" operator="equal">
      <formula>"INC"</formula>
    </cfRule>
    <cfRule type="cellIs" dxfId="3566" priority="5479" stopIfTrue="1" operator="equal">
      <formula>"PSG"</formula>
    </cfRule>
    <cfRule type="cellIs" dxfId="3565" priority="5480" stopIfTrue="1" operator="equal">
      <formula>"FALTA"</formula>
    </cfRule>
  </conditionalFormatting>
  <conditionalFormatting sqref="AV160">
    <cfRule type="cellIs" dxfId="3564" priority="5461" stopIfTrue="1" operator="equal">
      <formula>"PCG"</formula>
    </cfRule>
    <cfRule type="cellIs" dxfId="3563" priority="5462" stopIfTrue="1" operator="equal">
      <formula>"VAC"</formula>
    </cfRule>
    <cfRule type="cellIs" dxfId="3562" priority="5463" stopIfTrue="1" operator="equal">
      <formula>"INC"</formula>
    </cfRule>
    <cfRule type="cellIs" dxfId="3561" priority="5464" stopIfTrue="1" operator="equal">
      <formula>"PSG"</formula>
    </cfRule>
    <cfRule type="cellIs" dxfId="3560" priority="5465" stopIfTrue="1" operator="equal">
      <formula>"FALTA"</formula>
    </cfRule>
  </conditionalFormatting>
  <conditionalFormatting sqref="AQ160">
    <cfRule type="cellIs" dxfId="3559" priority="5466" stopIfTrue="1" operator="equal">
      <formula>"PCG"</formula>
    </cfRule>
    <cfRule type="cellIs" dxfId="3558" priority="5467" stopIfTrue="1" operator="equal">
      <formula>"VAC"</formula>
    </cfRule>
    <cfRule type="cellIs" dxfId="3557" priority="5468" stopIfTrue="1" operator="equal">
      <formula>"INC"</formula>
    </cfRule>
    <cfRule type="cellIs" dxfId="3556" priority="5469" stopIfTrue="1" operator="equal">
      <formula>"PSG"</formula>
    </cfRule>
    <cfRule type="cellIs" dxfId="3555" priority="5470" stopIfTrue="1" operator="equal">
      <formula>"FALTA"</formula>
    </cfRule>
  </conditionalFormatting>
  <conditionalFormatting sqref="BD160">
    <cfRule type="cellIs" dxfId="3554" priority="5456" stopIfTrue="1" operator="equal">
      <formula>"PCG"</formula>
    </cfRule>
    <cfRule type="cellIs" dxfId="3553" priority="5457" stopIfTrue="1" operator="equal">
      <formula>"VAC"</formula>
    </cfRule>
    <cfRule type="cellIs" dxfId="3552" priority="5458" stopIfTrue="1" operator="equal">
      <formula>"INC"</formula>
    </cfRule>
    <cfRule type="cellIs" dxfId="3551" priority="5459" stopIfTrue="1" operator="equal">
      <formula>"PSG"</formula>
    </cfRule>
    <cfRule type="cellIs" dxfId="3550" priority="5460" stopIfTrue="1" operator="equal">
      <formula>"FALTA"</formula>
    </cfRule>
  </conditionalFormatting>
  <conditionalFormatting sqref="AV184">
    <cfRule type="cellIs" dxfId="3549" priority="5166" stopIfTrue="1" operator="equal">
      <formula>"PCG"</formula>
    </cfRule>
    <cfRule type="cellIs" dxfId="3548" priority="5167" stopIfTrue="1" operator="equal">
      <formula>"VAC"</formula>
    </cfRule>
    <cfRule type="cellIs" dxfId="3547" priority="5168" stopIfTrue="1" operator="equal">
      <formula>"INC"</formula>
    </cfRule>
    <cfRule type="cellIs" dxfId="3546" priority="5169" stopIfTrue="1" operator="equal">
      <formula>"PSG"</formula>
    </cfRule>
    <cfRule type="cellIs" dxfId="3545" priority="5170" stopIfTrue="1" operator="equal">
      <formula>"FALTA"</formula>
    </cfRule>
  </conditionalFormatting>
  <conditionalFormatting sqref="BQ160">
    <cfRule type="cellIs" dxfId="3544" priority="5446" stopIfTrue="1" operator="equal">
      <formula>"PCG"</formula>
    </cfRule>
    <cfRule type="cellIs" dxfId="3543" priority="5447" stopIfTrue="1" operator="equal">
      <formula>"VAC"</formula>
    </cfRule>
    <cfRule type="cellIs" dxfId="3542" priority="5448" stopIfTrue="1" operator="equal">
      <formula>"INC"</formula>
    </cfRule>
    <cfRule type="cellIs" dxfId="3541" priority="5449" stopIfTrue="1" operator="equal">
      <formula>"PSG"</formula>
    </cfRule>
    <cfRule type="cellIs" dxfId="3540" priority="5450" stopIfTrue="1" operator="equal">
      <formula>"FALTA"</formula>
    </cfRule>
  </conditionalFormatting>
  <conditionalFormatting sqref="AI221">
    <cfRule type="cellIs" dxfId="3539" priority="5441" stopIfTrue="1" operator="equal">
      <formula>"PCG"</formula>
    </cfRule>
    <cfRule type="cellIs" dxfId="3538" priority="5442" stopIfTrue="1" operator="equal">
      <formula>"VAC"</formula>
    </cfRule>
    <cfRule type="cellIs" dxfId="3537" priority="5443" stopIfTrue="1" operator="equal">
      <formula>"INC"</formula>
    </cfRule>
    <cfRule type="cellIs" dxfId="3536" priority="5444" stopIfTrue="1" operator="equal">
      <formula>"PSG"</formula>
    </cfRule>
    <cfRule type="cellIs" dxfId="3535" priority="5445" stopIfTrue="1" operator="equal">
      <formula>"FALTA"</formula>
    </cfRule>
  </conditionalFormatting>
  <conditionalFormatting sqref="AV221">
    <cfRule type="cellIs" dxfId="3534" priority="5436" stopIfTrue="1" operator="equal">
      <formula>"PCG"</formula>
    </cfRule>
    <cfRule type="cellIs" dxfId="3533" priority="5437" stopIfTrue="1" operator="equal">
      <formula>"VAC"</formula>
    </cfRule>
    <cfRule type="cellIs" dxfId="3532" priority="5438" stopIfTrue="1" operator="equal">
      <formula>"INC"</formula>
    </cfRule>
    <cfRule type="cellIs" dxfId="3531" priority="5439" stopIfTrue="1" operator="equal">
      <formula>"PSG"</formula>
    </cfRule>
    <cfRule type="cellIs" dxfId="3530" priority="5440" stopIfTrue="1" operator="equal">
      <formula>"FALTA"</formula>
    </cfRule>
  </conditionalFormatting>
  <conditionalFormatting sqref="AI264">
    <cfRule type="cellIs" dxfId="3529" priority="4676" stopIfTrue="1" operator="equal">
      <formula>"PCG"</formula>
    </cfRule>
    <cfRule type="cellIs" dxfId="3528" priority="4677" stopIfTrue="1" operator="equal">
      <formula>"VAC"</formula>
    </cfRule>
    <cfRule type="cellIs" dxfId="3527" priority="4678" stopIfTrue="1" operator="equal">
      <formula>"INC"</formula>
    </cfRule>
    <cfRule type="cellIs" dxfId="3526" priority="4679" stopIfTrue="1" operator="equal">
      <formula>"PSG"</formula>
    </cfRule>
    <cfRule type="cellIs" dxfId="3525" priority="4680" stopIfTrue="1" operator="equal">
      <formula>"FALTA"</formula>
    </cfRule>
  </conditionalFormatting>
  <conditionalFormatting sqref="AI133">
    <cfRule type="cellIs" dxfId="3524" priority="5416" stopIfTrue="1" operator="equal">
      <formula>"PCG"</formula>
    </cfRule>
    <cfRule type="cellIs" dxfId="3523" priority="5417" stopIfTrue="1" operator="equal">
      <formula>"VAC"</formula>
    </cfRule>
    <cfRule type="cellIs" dxfId="3522" priority="5418" stopIfTrue="1" operator="equal">
      <formula>"INC"</formula>
    </cfRule>
    <cfRule type="cellIs" dxfId="3521" priority="5419" stopIfTrue="1" operator="equal">
      <formula>"PSG"</formula>
    </cfRule>
    <cfRule type="cellIs" dxfId="3520" priority="5420" stopIfTrue="1" operator="equal">
      <formula>"FALTA"</formula>
    </cfRule>
  </conditionalFormatting>
  <conditionalFormatting sqref="BI133">
    <cfRule type="cellIs" dxfId="3519" priority="5406" stopIfTrue="1" operator="equal">
      <formula>"PCG"</formula>
    </cfRule>
    <cfRule type="cellIs" dxfId="3518" priority="5407" stopIfTrue="1" operator="equal">
      <formula>"VAC"</formula>
    </cfRule>
    <cfRule type="cellIs" dxfId="3517" priority="5408" stopIfTrue="1" operator="equal">
      <formula>"INC"</formula>
    </cfRule>
    <cfRule type="cellIs" dxfId="3516" priority="5409" stopIfTrue="1" operator="equal">
      <formula>"PSG"</formula>
    </cfRule>
    <cfRule type="cellIs" dxfId="3515" priority="5410" stopIfTrue="1" operator="equal">
      <formula>"FALTA"</formula>
    </cfRule>
  </conditionalFormatting>
  <conditionalFormatting sqref="AV197">
    <cfRule type="cellIs" dxfId="3514" priority="5396" stopIfTrue="1" operator="equal">
      <formula>"PCG"</formula>
    </cfRule>
    <cfRule type="cellIs" dxfId="3513" priority="5397" stopIfTrue="1" operator="equal">
      <formula>"VAC"</formula>
    </cfRule>
    <cfRule type="cellIs" dxfId="3512" priority="5398" stopIfTrue="1" operator="equal">
      <formula>"INC"</formula>
    </cfRule>
    <cfRule type="cellIs" dxfId="3511" priority="5399" stopIfTrue="1" operator="equal">
      <formula>"PSG"</formula>
    </cfRule>
    <cfRule type="cellIs" dxfId="3510" priority="5400" stopIfTrue="1" operator="equal">
      <formula>"FALTA"</formula>
    </cfRule>
  </conditionalFormatting>
  <conditionalFormatting sqref="BI197">
    <cfRule type="cellIs" dxfId="3509" priority="5391" stopIfTrue="1" operator="equal">
      <formula>"PCG"</formula>
    </cfRule>
    <cfRule type="cellIs" dxfId="3508" priority="5392" stopIfTrue="1" operator="equal">
      <formula>"VAC"</formula>
    </cfRule>
    <cfRule type="cellIs" dxfId="3507" priority="5393" stopIfTrue="1" operator="equal">
      <formula>"INC"</formula>
    </cfRule>
    <cfRule type="cellIs" dxfId="3506" priority="5394" stopIfTrue="1" operator="equal">
      <formula>"PSG"</formula>
    </cfRule>
    <cfRule type="cellIs" dxfId="3505" priority="5395" stopIfTrue="1" operator="equal">
      <formula>"FALTA"</formula>
    </cfRule>
  </conditionalFormatting>
  <conditionalFormatting sqref="AI227">
    <cfRule type="cellIs" dxfId="3504" priority="5201" stopIfTrue="1" operator="equal">
      <formula>"PCG"</formula>
    </cfRule>
    <cfRule type="cellIs" dxfId="3503" priority="5202" stopIfTrue="1" operator="equal">
      <formula>"VAC"</formula>
    </cfRule>
    <cfRule type="cellIs" dxfId="3502" priority="5203" stopIfTrue="1" operator="equal">
      <formula>"INC"</formula>
    </cfRule>
    <cfRule type="cellIs" dxfId="3501" priority="5204" stopIfTrue="1" operator="equal">
      <formula>"PSG"</formula>
    </cfRule>
    <cfRule type="cellIs" dxfId="3500" priority="5205" stopIfTrue="1" operator="equal">
      <formula>"FALTA"</formula>
    </cfRule>
  </conditionalFormatting>
  <conditionalFormatting sqref="BV223">
    <cfRule type="cellIs" dxfId="3499" priority="5356" stopIfTrue="1" operator="equal">
      <formula>"PCG"</formula>
    </cfRule>
    <cfRule type="cellIs" dxfId="3498" priority="5357" stopIfTrue="1" operator="equal">
      <formula>"VAC"</formula>
    </cfRule>
    <cfRule type="cellIs" dxfId="3497" priority="5358" stopIfTrue="1" operator="equal">
      <formula>"INC"</formula>
    </cfRule>
    <cfRule type="cellIs" dxfId="3496" priority="5359" stopIfTrue="1" operator="equal">
      <formula>"PSG"</formula>
    </cfRule>
    <cfRule type="cellIs" dxfId="3495" priority="5360" stopIfTrue="1" operator="equal">
      <formula>"FALTA"</formula>
    </cfRule>
  </conditionalFormatting>
  <conditionalFormatting sqref="CI187">
    <cfRule type="cellIs" dxfId="3494" priority="5326" stopIfTrue="1" operator="equal">
      <formula>"PCG"</formula>
    </cfRule>
    <cfRule type="cellIs" dxfId="3493" priority="5327" stopIfTrue="1" operator="equal">
      <formula>"VAC"</formula>
    </cfRule>
    <cfRule type="cellIs" dxfId="3492" priority="5328" stopIfTrue="1" operator="equal">
      <formula>"INC"</formula>
    </cfRule>
    <cfRule type="cellIs" dxfId="3491" priority="5329" stopIfTrue="1" operator="equal">
      <formula>"PSG"</formula>
    </cfRule>
    <cfRule type="cellIs" dxfId="3490" priority="5330" stopIfTrue="1" operator="equal">
      <formula>"FALTA"</formula>
    </cfRule>
  </conditionalFormatting>
  <conditionalFormatting sqref="BI116">
    <cfRule type="cellIs" dxfId="3489" priority="5286" stopIfTrue="1" operator="equal">
      <formula>"PCG"</formula>
    </cfRule>
    <cfRule type="cellIs" dxfId="3488" priority="5287" stopIfTrue="1" operator="equal">
      <formula>"VAC"</formula>
    </cfRule>
    <cfRule type="cellIs" dxfId="3487" priority="5288" stopIfTrue="1" operator="equal">
      <formula>"INC"</formula>
    </cfRule>
    <cfRule type="cellIs" dxfId="3486" priority="5289" stopIfTrue="1" operator="equal">
      <formula>"PSG"</formula>
    </cfRule>
    <cfRule type="cellIs" dxfId="3485" priority="5290" stopIfTrue="1" operator="equal">
      <formula>"FALTA"</formula>
    </cfRule>
  </conditionalFormatting>
  <conditionalFormatting sqref="BV116">
    <cfRule type="cellIs" dxfId="3484" priority="5281" stopIfTrue="1" operator="equal">
      <formula>"PCG"</formula>
    </cfRule>
    <cfRule type="cellIs" dxfId="3483" priority="5282" stopIfTrue="1" operator="equal">
      <formula>"VAC"</formula>
    </cfRule>
    <cfRule type="cellIs" dxfId="3482" priority="5283" stopIfTrue="1" operator="equal">
      <formula>"INC"</formula>
    </cfRule>
    <cfRule type="cellIs" dxfId="3481" priority="5284" stopIfTrue="1" operator="equal">
      <formula>"PSG"</formula>
    </cfRule>
    <cfRule type="cellIs" dxfId="3480" priority="5285" stopIfTrue="1" operator="equal">
      <formula>"FALTA"</formula>
    </cfRule>
  </conditionalFormatting>
  <conditionalFormatting sqref="CI116">
    <cfRule type="cellIs" dxfId="3479" priority="5276" stopIfTrue="1" operator="equal">
      <formula>"PCG"</formula>
    </cfRule>
    <cfRule type="cellIs" dxfId="3478" priority="5277" stopIfTrue="1" operator="equal">
      <formula>"VAC"</formula>
    </cfRule>
    <cfRule type="cellIs" dxfId="3477" priority="5278" stopIfTrue="1" operator="equal">
      <formula>"INC"</formula>
    </cfRule>
    <cfRule type="cellIs" dxfId="3476" priority="5279" stopIfTrue="1" operator="equal">
      <formula>"PSG"</formula>
    </cfRule>
    <cfRule type="cellIs" dxfId="3475" priority="5280" stopIfTrue="1" operator="equal">
      <formula>"FALTA"</formula>
    </cfRule>
  </conditionalFormatting>
  <conditionalFormatting sqref="AI216">
    <cfRule type="cellIs" dxfId="3474" priority="5266" stopIfTrue="1" operator="equal">
      <formula>"PCG"</formula>
    </cfRule>
    <cfRule type="cellIs" dxfId="3473" priority="5267" stopIfTrue="1" operator="equal">
      <formula>"VAC"</formula>
    </cfRule>
    <cfRule type="cellIs" dxfId="3472" priority="5268" stopIfTrue="1" operator="equal">
      <formula>"INC"</formula>
    </cfRule>
    <cfRule type="cellIs" dxfId="3471" priority="5269" stopIfTrue="1" operator="equal">
      <formula>"PSG"</formula>
    </cfRule>
    <cfRule type="cellIs" dxfId="3470" priority="5270" stopIfTrue="1" operator="equal">
      <formula>"FALTA"</formula>
    </cfRule>
  </conditionalFormatting>
  <conditionalFormatting sqref="AV216">
    <cfRule type="cellIs" dxfId="3469" priority="5261" stopIfTrue="1" operator="equal">
      <formula>"PCG"</formula>
    </cfRule>
    <cfRule type="cellIs" dxfId="3468" priority="5262" stopIfTrue="1" operator="equal">
      <formula>"VAC"</formula>
    </cfRule>
    <cfRule type="cellIs" dxfId="3467" priority="5263" stopIfTrue="1" operator="equal">
      <formula>"INC"</formula>
    </cfRule>
    <cfRule type="cellIs" dxfId="3466" priority="5264" stopIfTrue="1" operator="equal">
      <formula>"PSG"</formula>
    </cfRule>
    <cfRule type="cellIs" dxfId="3465" priority="5265" stopIfTrue="1" operator="equal">
      <formula>"FALTA"</formula>
    </cfRule>
  </conditionalFormatting>
  <conditionalFormatting sqref="BI216">
    <cfRule type="cellIs" dxfId="3464" priority="5256" stopIfTrue="1" operator="equal">
      <formula>"PCG"</formula>
    </cfRule>
    <cfRule type="cellIs" dxfId="3463" priority="5257" stopIfTrue="1" operator="equal">
      <formula>"VAC"</formula>
    </cfRule>
    <cfRule type="cellIs" dxfId="3462" priority="5258" stopIfTrue="1" operator="equal">
      <formula>"INC"</formula>
    </cfRule>
    <cfRule type="cellIs" dxfId="3461" priority="5259" stopIfTrue="1" operator="equal">
      <formula>"PSG"</formula>
    </cfRule>
    <cfRule type="cellIs" dxfId="3460" priority="5260" stopIfTrue="1" operator="equal">
      <formula>"FALTA"</formula>
    </cfRule>
  </conditionalFormatting>
  <conditionalFormatting sqref="BV216">
    <cfRule type="cellIs" dxfId="3459" priority="5251" stopIfTrue="1" operator="equal">
      <formula>"PCG"</formula>
    </cfRule>
    <cfRule type="cellIs" dxfId="3458" priority="5252" stopIfTrue="1" operator="equal">
      <formula>"VAC"</formula>
    </cfRule>
    <cfRule type="cellIs" dxfId="3457" priority="5253" stopIfTrue="1" operator="equal">
      <formula>"INC"</formula>
    </cfRule>
    <cfRule type="cellIs" dxfId="3456" priority="5254" stopIfTrue="1" operator="equal">
      <formula>"PSG"</formula>
    </cfRule>
    <cfRule type="cellIs" dxfId="3455" priority="5255" stopIfTrue="1" operator="equal">
      <formula>"FALTA"</formula>
    </cfRule>
  </conditionalFormatting>
  <conditionalFormatting sqref="CI216">
    <cfRule type="cellIs" dxfId="3454" priority="5246" stopIfTrue="1" operator="equal">
      <formula>"PCG"</formula>
    </cfRule>
    <cfRule type="cellIs" dxfId="3453" priority="5247" stopIfTrue="1" operator="equal">
      <formula>"VAC"</formula>
    </cfRule>
    <cfRule type="cellIs" dxfId="3452" priority="5248" stopIfTrue="1" operator="equal">
      <formula>"INC"</formula>
    </cfRule>
    <cfRule type="cellIs" dxfId="3451" priority="5249" stopIfTrue="1" operator="equal">
      <formula>"PSG"</formula>
    </cfRule>
    <cfRule type="cellIs" dxfId="3450" priority="5250" stopIfTrue="1" operator="equal">
      <formula>"FALTA"</formula>
    </cfRule>
  </conditionalFormatting>
  <conditionalFormatting sqref="AI90">
    <cfRule type="cellIs" dxfId="3449" priority="5241" stopIfTrue="1" operator="equal">
      <formula>"PCG"</formula>
    </cfRule>
    <cfRule type="cellIs" dxfId="3448" priority="5242" stopIfTrue="1" operator="equal">
      <formula>"VAC"</formula>
    </cfRule>
    <cfRule type="cellIs" dxfId="3447" priority="5243" stopIfTrue="1" operator="equal">
      <formula>"INC"</formula>
    </cfRule>
    <cfRule type="cellIs" dxfId="3446" priority="5244" stopIfTrue="1" operator="equal">
      <formula>"PSG"</formula>
    </cfRule>
    <cfRule type="cellIs" dxfId="3445" priority="5245" stopIfTrue="1" operator="equal">
      <formula>"FALTA"</formula>
    </cfRule>
  </conditionalFormatting>
  <conditionalFormatting sqref="AV90">
    <cfRule type="cellIs" dxfId="3444" priority="5236" stopIfTrue="1" operator="equal">
      <formula>"PCG"</formula>
    </cfRule>
    <cfRule type="cellIs" dxfId="3443" priority="5237" stopIfTrue="1" operator="equal">
      <formula>"VAC"</formula>
    </cfRule>
    <cfRule type="cellIs" dxfId="3442" priority="5238" stopIfTrue="1" operator="equal">
      <formula>"INC"</formula>
    </cfRule>
    <cfRule type="cellIs" dxfId="3441" priority="5239" stopIfTrue="1" operator="equal">
      <formula>"PSG"</formula>
    </cfRule>
    <cfRule type="cellIs" dxfId="3440" priority="5240" stopIfTrue="1" operator="equal">
      <formula>"FALTA"</formula>
    </cfRule>
  </conditionalFormatting>
  <conditionalFormatting sqref="BI90">
    <cfRule type="cellIs" dxfId="3439" priority="5231" stopIfTrue="1" operator="equal">
      <formula>"PCG"</formula>
    </cfRule>
    <cfRule type="cellIs" dxfId="3438" priority="5232" stopIfTrue="1" operator="equal">
      <formula>"VAC"</formula>
    </cfRule>
    <cfRule type="cellIs" dxfId="3437" priority="5233" stopIfTrue="1" operator="equal">
      <formula>"INC"</formula>
    </cfRule>
    <cfRule type="cellIs" dxfId="3436" priority="5234" stopIfTrue="1" operator="equal">
      <formula>"PSG"</formula>
    </cfRule>
    <cfRule type="cellIs" dxfId="3435" priority="5235" stopIfTrue="1" operator="equal">
      <formula>"FALTA"</formula>
    </cfRule>
  </conditionalFormatting>
  <conditionalFormatting sqref="BV90">
    <cfRule type="cellIs" dxfId="3434" priority="5226" stopIfTrue="1" operator="equal">
      <formula>"PCG"</formula>
    </cfRule>
    <cfRule type="cellIs" dxfId="3433" priority="5227" stopIfTrue="1" operator="equal">
      <formula>"VAC"</formula>
    </cfRule>
    <cfRule type="cellIs" dxfId="3432" priority="5228" stopIfTrue="1" operator="equal">
      <formula>"INC"</formula>
    </cfRule>
    <cfRule type="cellIs" dxfId="3431" priority="5229" stopIfTrue="1" operator="equal">
      <formula>"PSG"</formula>
    </cfRule>
    <cfRule type="cellIs" dxfId="3430" priority="5230" stopIfTrue="1" operator="equal">
      <formula>"FALTA"</formula>
    </cfRule>
  </conditionalFormatting>
  <conditionalFormatting sqref="V99">
    <cfRule type="cellIs" dxfId="3429" priority="5221" stopIfTrue="1" operator="equal">
      <formula>"PCG"</formula>
    </cfRule>
    <cfRule type="cellIs" dxfId="3428" priority="5222" stopIfTrue="1" operator="equal">
      <formula>"VAC"</formula>
    </cfRule>
    <cfRule type="cellIs" dxfId="3427" priority="5223" stopIfTrue="1" operator="equal">
      <formula>"INC"</formula>
    </cfRule>
    <cfRule type="cellIs" dxfId="3426" priority="5224" stopIfTrue="1" operator="equal">
      <formula>"PSG"</formula>
    </cfRule>
    <cfRule type="cellIs" dxfId="3425" priority="5225" stopIfTrue="1" operator="equal">
      <formula>"FALTA"</formula>
    </cfRule>
  </conditionalFormatting>
  <conditionalFormatting sqref="AI99">
    <cfRule type="cellIs" dxfId="3424" priority="5216" stopIfTrue="1" operator="equal">
      <formula>"PCG"</formula>
    </cfRule>
    <cfRule type="cellIs" dxfId="3423" priority="5217" stopIfTrue="1" operator="equal">
      <formula>"VAC"</formula>
    </cfRule>
    <cfRule type="cellIs" dxfId="3422" priority="5218" stopIfTrue="1" operator="equal">
      <formula>"INC"</formula>
    </cfRule>
    <cfRule type="cellIs" dxfId="3421" priority="5219" stopIfTrue="1" operator="equal">
      <formula>"PSG"</formula>
    </cfRule>
    <cfRule type="cellIs" dxfId="3420" priority="5220" stopIfTrue="1" operator="equal">
      <formula>"FALTA"</formula>
    </cfRule>
  </conditionalFormatting>
  <conditionalFormatting sqref="AV99">
    <cfRule type="cellIs" dxfId="3419" priority="5211" stopIfTrue="1" operator="equal">
      <formula>"PCG"</formula>
    </cfRule>
    <cfRule type="cellIs" dxfId="3418" priority="5212" stopIfTrue="1" operator="equal">
      <formula>"VAC"</formula>
    </cfRule>
    <cfRule type="cellIs" dxfId="3417" priority="5213" stopIfTrue="1" operator="equal">
      <formula>"INC"</formula>
    </cfRule>
    <cfRule type="cellIs" dxfId="3416" priority="5214" stopIfTrue="1" operator="equal">
      <formula>"PSG"</formula>
    </cfRule>
    <cfRule type="cellIs" dxfId="3415" priority="5215" stopIfTrue="1" operator="equal">
      <formula>"FALTA"</formula>
    </cfRule>
  </conditionalFormatting>
  <conditionalFormatting sqref="BI99">
    <cfRule type="cellIs" dxfId="3414" priority="5206" stopIfTrue="1" operator="equal">
      <formula>"PCG"</formula>
    </cfRule>
    <cfRule type="cellIs" dxfId="3413" priority="5207" stopIfTrue="1" operator="equal">
      <formula>"VAC"</formula>
    </cfRule>
    <cfRule type="cellIs" dxfId="3412" priority="5208" stopIfTrue="1" operator="equal">
      <formula>"INC"</formula>
    </cfRule>
    <cfRule type="cellIs" dxfId="3411" priority="5209" stopIfTrue="1" operator="equal">
      <formula>"PSG"</formula>
    </cfRule>
    <cfRule type="cellIs" dxfId="3410" priority="5210" stopIfTrue="1" operator="equal">
      <formula>"FALTA"</formula>
    </cfRule>
  </conditionalFormatting>
  <conditionalFormatting sqref="AV227">
    <cfRule type="cellIs" dxfId="3409" priority="5196" stopIfTrue="1" operator="equal">
      <formula>"PCG"</formula>
    </cfRule>
    <cfRule type="cellIs" dxfId="3408" priority="5197" stopIfTrue="1" operator="equal">
      <formula>"VAC"</formula>
    </cfRule>
    <cfRule type="cellIs" dxfId="3407" priority="5198" stopIfTrue="1" operator="equal">
      <formula>"INC"</formula>
    </cfRule>
    <cfRule type="cellIs" dxfId="3406" priority="5199" stopIfTrue="1" operator="equal">
      <formula>"PSG"</formula>
    </cfRule>
    <cfRule type="cellIs" dxfId="3405" priority="5200" stopIfTrue="1" operator="equal">
      <formula>"FALTA"</formula>
    </cfRule>
  </conditionalFormatting>
  <conditionalFormatting sqref="BI227">
    <cfRule type="cellIs" dxfId="3404" priority="5191" stopIfTrue="1" operator="equal">
      <formula>"PCG"</formula>
    </cfRule>
    <cfRule type="cellIs" dxfId="3403" priority="5192" stopIfTrue="1" operator="equal">
      <formula>"VAC"</formula>
    </cfRule>
    <cfRule type="cellIs" dxfId="3402" priority="5193" stopIfTrue="1" operator="equal">
      <formula>"INC"</formula>
    </cfRule>
    <cfRule type="cellIs" dxfId="3401" priority="5194" stopIfTrue="1" operator="equal">
      <formula>"PSG"</formula>
    </cfRule>
    <cfRule type="cellIs" dxfId="3400" priority="5195" stopIfTrue="1" operator="equal">
      <formula>"FALTA"</formula>
    </cfRule>
  </conditionalFormatting>
  <conditionalFormatting sqref="BV227">
    <cfRule type="cellIs" dxfId="3399" priority="5186" stopIfTrue="1" operator="equal">
      <formula>"PCG"</formula>
    </cfRule>
    <cfRule type="cellIs" dxfId="3398" priority="5187" stopIfTrue="1" operator="equal">
      <formula>"VAC"</formula>
    </cfRule>
    <cfRule type="cellIs" dxfId="3397" priority="5188" stopIfTrue="1" operator="equal">
      <formula>"INC"</formula>
    </cfRule>
    <cfRule type="cellIs" dxfId="3396" priority="5189" stopIfTrue="1" operator="equal">
      <formula>"PSG"</formula>
    </cfRule>
    <cfRule type="cellIs" dxfId="3395" priority="5190" stopIfTrue="1" operator="equal">
      <formula>"FALTA"</formula>
    </cfRule>
  </conditionalFormatting>
  <conditionalFormatting sqref="I184">
    <cfRule type="cellIs" dxfId="3394" priority="5181" stopIfTrue="1" operator="equal">
      <formula>"PCG"</formula>
    </cfRule>
    <cfRule type="cellIs" dxfId="3393" priority="5182" stopIfTrue="1" operator="equal">
      <formula>"VAC"</formula>
    </cfRule>
    <cfRule type="cellIs" dxfId="3392" priority="5183" stopIfTrue="1" operator="equal">
      <formula>"INC"</formula>
    </cfRule>
    <cfRule type="cellIs" dxfId="3391" priority="5184" stopIfTrue="1" operator="equal">
      <formula>"PSG"</formula>
    </cfRule>
    <cfRule type="cellIs" dxfId="3390" priority="5185" stopIfTrue="1" operator="equal">
      <formula>"FALTA"</formula>
    </cfRule>
  </conditionalFormatting>
  <conditionalFormatting sqref="V184">
    <cfRule type="cellIs" dxfId="3389" priority="5176" stopIfTrue="1" operator="equal">
      <formula>"PCG"</formula>
    </cfRule>
    <cfRule type="cellIs" dxfId="3388" priority="5177" stopIfTrue="1" operator="equal">
      <formula>"VAC"</formula>
    </cfRule>
    <cfRule type="cellIs" dxfId="3387" priority="5178" stopIfTrue="1" operator="equal">
      <formula>"INC"</formula>
    </cfRule>
    <cfRule type="cellIs" dxfId="3386" priority="5179" stopIfTrue="1" operator="equal">
      <formula>"PSG"</formula>
    </cfRule>
    <cfRule type="cellIs" dxfId="3385" priority="5180" stopIfTrue="1" operator="equal">
      <formula>"FALTA"</formula>
    </cfRule>
  </conditionalFormatting>
  <conditionalFormatting sqref="AI184">
    <cfRule type="cellIs" dxfId="3384" priority="5171" stopIfTrue="1" operator="equal">
      <formula>"PCG"</formula>
    </cfRule>
    <cfRule type="cellIs" dxfId="3383" priority="5172" stopIfTrue="1" operator="equal">
      <formula>"VAC"</formula>
    </cfRule>
    <cfRule type="cellIs" dxfId="3382" priority="5173" stopIfTrue="1" operator="equal">
      <formula>"INC"</formula>
    </cfRule>
    <cfRule type="cellIs" dxfId="3381" priority="5174" stopIfTrue="1" operator="equal">
      <formula>"PSG"</formula>
    </cfRule>
    <cfRule type="cellIs" dxfId="3380" priority="5175" stopIfTrue="1" operator="equal">
      <formula>"FALTA"</formula>
    </cfRule>
  </conditionalFormatting>
  <conditionalFormatting sqref="BV184">
    <cfRule type="cellIs" dxfId="3379" priority="5156" stopIfTrue="1" operator="equal">
      <formula>"PCG"</formula>
    </cfRule>
    <cfRule type="cellIs" dxfId="3378" priority="5157" stopIfTrue="1" operator="equal">
      <formula>"VAC"</formula>
    </cfRule>
    <cfRule type="cellIs" dxfId="3377" priority="5158" stopIfTrue="1" operator="equal">
      <formula>"INC"</formula>
    </cfRule>
    <cfRule type="cellIs" dxfId="3376" priority="5159" stopIfTrue="1" operator="equal">
      <formula>"PSG"</formula>
    </cfRule>
    <cfRule type="cellIs" dxfId="3375" priority="5160" stopIfTrue="1" operator="equal">
      <formula>"FALTA"</formula>
    </cfRule>
  </conditionalFormatting>
  <conditionalFormatting sqref="V171">
    <cfRule type="cellIs" dxfId="3374" priority="5151" stopIfTrue="1" operator="equal">
      <formula>"PCG"</formula>
    </cfRule>
    <cfRule type="cellIs" dxfId="3373" priority="5152" stopIfTrue="1" operator="equal">
      <formula>"VAC"</formula>
    </cfRule>
    <cfRule type="cellIs" dxfId="3372" priority="5153" stopIfTrue="1" operator="equal">
      <formula>"INC"</formula>
    </cfRule>
    <cfRule type="cellIs" dxfId="3371" priority="5154" stopIfTrue="1" operator="equal">
      <formula>"PSG"</formula>
    </cfRule>
    <cfRule type="cellIs" dxfId="3370" priority="5155" stopIfTrue="1" operator="equal">
      <formula>"FALTA"</formula>
    </cfRule>
  </conditionalFormatting>
  <conditionalFormatting sqref="AI171">
    <cfRule type="cellIs" dxfId="3369" priority="5146" stopIfTrue="1" operator="equal">
      <formula>"PCG"</formula>
    </cfRule>
    <cfRule type="cellIs" dxfId="3368" priority="5147" stopIfTrue="1" operator="equal">
      <formula>"VAC"</formula>
    </cfRule>
    <cfRule type="cellIs" dxfId="3367" priority="5148" stopIfTrue="1" operator="equal">
      <formula>"INC"</formula>
    </cfRule>
    <cfRule type="cellIs" dxfId="3366" priority="5149" stopIfTrue="1" operator="equal">
      <formula>"PSG"</formula>
    </cfRule>
    <cfRule type="cellIs" dxfId="3365" priority="5150" stopIfTrue="1" operator="equal">
      <formula>"FALTA"</formula>
    </cfRule>
  </conditionalFormatting>
  <conditionalFormatting sqref="AV171">
    <cfRule type="cellIs" dxfId="3364" priority="5141" stopIfTrue="1" operator="equal">
      <formula>"PCG"</formula>
    </cfRule>
    <cfRule type="cellIs" dxfId="3363" priority="5142" stopIfTrue="1" operator="equal">
      <formula>"VAC"</formula>
    </cfRule>
    <cfRule type="cellIs" dxfId="3362" priority="5143" stopIfTrue="1" operator="equal">
      <formula>"INC"</formula>
    </cfRule>
    <cfRule type="cellIs" dxfId="3361" priority="5144" stopIfTrue="1" operator="equal">
      <formula>"PSG"</formula>
    </cfRule>
    <cfRule type="cellIs" dxfId="3360" priority="5145" stopIfTrue="1" operator="equal">
      <formula>"FALTA"</formula>
    </cfRule>
  </conditionalFormatting>
  <conditionalFormatting sqref="AI245">
    <cfRule type="cellIs" dxfId="3359" priority="5126" stopIfTrue="1" operator="equal">
      <formula>"PCG"</formula>
    </cfRule>
    <cfRule type="cellIs" dxfId="3358" priority="5127" stopIfTrue="1" operator="equal">
      <formula>"VAC"</formula>
    </cfRule>
    <cfRule type="cellIs" dxfId="3357" priority="5128" stopIfTrue="1" operator="equal">
      <formula>"INC"</formula>
    </cfRule>
    <cfRule type="cellIs" dxfId="3356" priority="5129" stopIfTrue="1" operator="equal">
      <formula>"PSG"</formula>
    </cfRule>
    <cfRule type="cellIs" dxfId="3355" priority="5130" stopIfTrue="1" operator="equal">
      <formula>"FALTA"</formula>
    </cfRule>
  </conditionalFormatting>
  <conditionalFormatting sqref="V105">
    <cfRule type="cellIs" dxfId="3354" priority="5121" stopIfTrue="1" operator="equal">
      <formula>"PCG"</formula>
    </cfRule>
    <cfRule type="cellIs" dxfId="3353" priority="5122" stopIfTrue="1" operator="equal">
      <formula>"VAC"</formula>
    </cfRule>
    <cfRule type="cellIs" dxfId="3352" priority="5123" stopIfTrue="1" operator="equal">
      <formula>"INC"</formula>
    </cfRule>
    <cfRule type="cellIs" dxfId="3351" priority="5124" stopIfTrue="1" operator="equal">
      <formula>"PSG"</formula>
    </cfRule>
    <cfRule type="cellIs" dxfId="3350" priority="5125" stopIfTrue="1" operator="equal">
      <formula>"FALTA"</formula>
    </cfRule>
  </conditionalFormatting>
  <conditionalFormatting sqref="AI105">
    <cfRule type="cellIs" dxfId="3349" priority="5116" stopIfTrue="1" operator="equal">
      <formula>"PCG"</formula>
    </cfRule>
    <cfRule type="cellIs" dxfId="3348" priority="5117" stopIfTrue="1" operator="equal">
      <formula>"VAC"</formula>
    </cfRule>
    <cfRule type="cellIs" dxfId="3347" priority="5118" stopIfTrue="1" operator="equal">
      <formula>"INC"</formula>
    </cfRule>
    <cfRule type="cellIs" dxfId="3346" priority="5119" stopIfTrue="1" operator="equal">
      <formula>"PSG"</formula>
    </cfRule>
    <cfRule type="cellIs" dxfId="3345" priority="5120" stopIfTrue="1" operator="equal">
      <formula>"FALTA"</formula>
    </cfRule>
  </conditionalFormatting>
  <conditionalFormatting sqref="AV105">
    <cfRule type="cellIs" dxfId="3344" priority="5111" stopIfTrue="1" operator="equal">
      <formula>"PCG"</formula>
    </cfRule>
    <cfRule type="cellIs" dxfId="3343" priority="5112" stopIfTrue="1" operator="equal">
      <formula>"VAC"</formula>
    </cfRule>
    <cfRule type="cellIs" dxfId="3342" priority="5113" stopIfTrue="1" operator="equal">
      <formula>"INC"</formula>
    </cfRule>
    <cfRule type="cellIs" dxfId="3341" priority="5114" stopIfTrue="1" operator="equal">
      <formula>"PSG"</formula>
    </cfRule>
    <cfRule type="cellIs" dxfId="3340" priority="5115" stopIfTrue="1" operator="equal">
      <formula>"FALTA"</formula>
    </cfRule>
  </conditionalFormatting>
  <conditionalFormatting sqref="BI105">
    <cfRule type="cellIs" dxfId="3339" priority="5106" stopIfTrue="1" operator="equal">
      <formula>"PCG"</formula>
    </cfRule>
    <cfRule type="cellIs" dxfId="3338" priority="5107" stopIfTrue="1" operator="equal">
      <formula>"VAC"</formula>
    </cfRule>
    <cfRule type="cellIs" dxfId="3337" priority="5108" stopIfTrue="1" operator="equal">
      <formula>"INC"</formula>
    </cfRule>
    <cfRule type="cellIs" dxfId="3336" priority="5109" stopIfTrue="1" operator="equal">
      <formula>"PSG"</formula>
    </cfRule>
    <cfRule type="cellIs" dxfId="3335" priority="5110" stopIfTrue="1" operator="equal">
      <formula>"FALTA"</formula>
    </cfRule>
  </conditionalFormatting>
  <conditionalFormatting sqref="BV105">
    <cfRule type="cellIs" dxfId="3334" priority="5101" stopIfTrue="1" operator="equal">
      <formula>"PCG"</formula>
    </cfRule>
    <cfRule type="cellIs" dxfId="3333" priority="5102" stopIfTrue="1" operator="equal">
      <formula>"VAC"</formula>
    </cfRule>
    <cfRule type="cellIs" dxfId="3332" priority="5103" stopIfTrue="1" operator="equal">
      <formula>"INC"</formula>
    </cfRule>
    <cfRule type="cellIs" dxfId="3331" priority="5104" stopIfTrue="1" operator="equal">
      <formula>"PSG"</formula>
    </cfRule>
    <cfRule type="cellIs" dxfId="3330" priority="5105" stopIfTrue="1" operator="equal">
      <formula>"FALTA"</formula>
    </cfRule>
  </conditionalFormatting>
  <conditionalFormatting sqref="AI83">
    <cfRule type="cellIs" dxfId="3329" priority="5096" stopIfTrue="1" operator="equal">
      <formula>"PCG"</formula>
    </cfRule>
    <cfRule type="cellIs" dxfId="3328" priority="5097" stopIfTrue="1" operator="equal">
      <formula>"VAC"</formula>
    </cfRule>
    <cfRule type="cellIs" dxfId="3327" priority="5098" stopIfTrue="1" operator="equal">
      <formula>"INC"</formula>
    </cfRule>
    <cfRule type="cellIs" dxfId="3326" priority="5099" stopIfTrue="1" operator="equal">
      <formula>"PSG"</formula>
    </cfRule>
    <cfRule type="cellIs" dxfId="3325" priority="5100" stopIfTrue="1" operator="equal">
      <formula>"FALTA"</formula>
    </cfRule>
  </conditionalFormatting>
  <conditionalFormatting sqref="AV83">
    <cfRule type="cellIs" dxfId="3324" priority="5091" stopIfTrue="1" operator="equal">
      <formula>"PCG"</formula>
    </cfRule>
    <cfRule type="cellIs" dxfId="3323" priority="5092" stopIfTrue="1" operator="equal">
      <formula>"VAC"</formula>
    </cfRule>
    <cfRule type="cellIs" dxfId="3322" priority="5093" stopIfTrue="1" operator="equal">
      <formula>"INC"</formula>
    </cfRule>
    <cfRule type="cellIs" dxfId="3321" priority="5094" stopIfTrue="1" operator="equal">
      <formula>"PSG"</formula>
    </cfRule>
    <cfRule type="cellIs" dxfId="3320" priority="5095" stopIfTrue="1" operator="equal">
      <formula>"FALTA"</formula>
    </cfRule>
  </conditionalFormatting>
  <conditionalFormatting sqref="BI83">
    <cfRule type="cellIs" dxfId="3319" priority="5086" stopIfTrue="1" operator="equal">
      <formula>"PCG"</formula>
    </cfRule>
    <cfRule type="cellIs" dxfId="3318" priority="5087" stopIfTrue="1" operator="equal">
      <formula>"VAC"</formula>
    </cfRule>
    <cfRule type="cellIs" dxfId="3317" priority="5088" stopIfTrue="1" operator="equal">
      <formula>"INC"</formula>
    </cfRule>
    <cfRule type="cellIs" dxfId="3316" priority="5089" stopIfTrue="1" operator="equal">
      <formula>"PSG"</formula>
    </cfRule>
    <cfRule type="cellIs" dxfId="3315" priority="5090" stopIfTrue="1" operator="equal">
      <formula>"FALTA"</formula>
    </cfRule>
  </conditionalFormatting>
  <conditionalFormatting sqref="V79">
    <cfRule type="cellIs" dxfId="3314" priority="5081" stopIfTrue="1" operator="equal">
      <formula>"PCG"</formula>
    </cfRule>
    <cfRule type="cellIs" dxfId="3313" priority="5082" stopIfTrue="1" operator="equal">
      <formula>"VAC"</formula>
    </cfRule>
    <cfRule type="cellIs" dxfId="3312" priority="5083" stopIfTrue="1" operator="equal">
      <formula>"INC"</formula>
    </cfRule>
    <cfRule type="cellIs" dxfId="3311" priority="5084" stopIfTrue="1" operator="equal">
      <formula>"PSG"</formula>
    </cfRule>
    <cfRule type="cellIs" dxfId="3310" priority="5085" stopIfTrue="1" operator="equal">
      <formula>"FALTA"</formula>
    </cfRule>
  </conditionalFormatting>
  <conditionalFormatting sqref="BV259">
    <cfRule type="cellIs" dxfId="3309" priority="5051" stopIfTrue="1" operator="equal">
      <formula>"PCG"</formula>
    </cfRule>
    <cfRule type="cellIs" dxfId="3308" priority="5052" stopIfTrue="1" operator="equal">
      <formula>"VAC"</formula>
    </cfRule>
    <cfRule type="cellIs" dxfId="3307" priority="5053" stopIfTrue="1" operator="equal">
      <formula>"INC"</formula>
    </cfRule>
    <cfRule type="cellIs" dxfId="3306" priority="5054" stopIfTrue="1" operator="equal">
      <formula>"PSG"</formula>
    </cfRule>
    <cfRule type="cellIs" dxfId="3305" priority="5055" stopIfTrue="1" operator="equal">
      <formula>"FALTA"</formula>
    </cfRule>
  </conditionalFormatting>
  <conditionalFormatting sqref="I135">
    <cfRule type="cellIs" dxfId="3304" priority="5046" stopIfTrue="1" operator="equal">
      <formula>"PCG"</formula>
    </cfRule>
    <cfRule type="cellIs" dxfId="3303" priority="5047" stopIfTrue="1" operator="equal">
      <formula>"VAC"</formula>
    </cfRule>
    <cfRule type="cellIs" dxfId="3302" priority="5048" stopIfTrue="1" operator="equal">
      <formula>"INC"</formula>
    </cfRule>
    <cfRule type="cellIs" dxfId="3301" priority="5049" stopIfTrue="1" operator="equal">
      <formula>"PSG"</formula>
    </cfRule>
    <cfRule type="cellIs" dxfId="3300" priority="5050" stopIfTrue="1" operator="equal">
      <formula>"FALTA"</formula>
    </cfRule>
  </conditionalFormatting>
  <conditionalFormatting sqref="V135">
    <cfRule type="cellIs" dxfId="3299" priority="5041" stopIfTrue="1" operator="equal">
      <formula>"PCG"</formula>
    </cfRule>
    <cfRule type="cellIs" dxfId="3298" priority="5042" stopIfTrue="1" operator="equal">
      <formula>"VAC"</formula>
    </cfRule>
    <cfRule type="cellIs" dxfId="3297" priority="5043" stopIfTrue="1" operator="equal">
      <formula>"INC"</formula>
    </cfRule>
    <cfRule type="cellIs" dxfId="3296" priority="5044" stopIfTrue="1" operator="equal">
      <formula>"PSG"</formula>
    </cfRule>
    <cfRule type="cellIs" dxfId="3295" priority="5045" stopIfTrue="1" operator="equal">
      <formula>"FALTA"</formula>
    </cfRule>
  </conditionalFormatting>
  <conditionalFormatting sqref="AI135">
    <cfRule type="cellIs" dxfId="3294" priority="5036" stopIfTrue="1" operator="equal">
      <formula>"PCG"</formula>
    </cfRule>
    <cfRule type="cellIs" dxfId="3293" priority="5037" stopIfTrue="1" operator="equal">
      <formula>"VAC"</formula>
    </cfRule>
    <cfRule type="cellIs" dxfId="3292" priority="5038" stopIfTrue="1" operator="equal">
      <formula>"INC"</formula>
    </cfRule>
    <cfRule type="cellIs" dxfId="3291" priority="5039" stopIfTrue="1" operator="equal">
      <formula>"PSG"</formula>
    </cfRule>
    <cfRule type="cellIs" dxfId="3290" priority="5040" stopIfTrue="1" operator="equal">
      <formula>"FALTA"</formula>
    </cfRule>
  </conditionalFormatting>
  <conditionalFormatting sqref="AV135">
    <cfRule type="cellIs" dxfId="3289" priority="5031" stopIfTrue="1" operator="equal">
      <formula>"PCG"</formula>
    </cfRule>
    <cfRule type="cellIs" dxfId="3288" priority="5032" stopIfTrue="1" operator="equal">
      <formula>"VAC"</formula>
    </cfRule>
    <cfRule type="cellIs" dxfId="3287" priority="5033" stopIfTrue="1" operator="equal">
      <formula>"INC"</formula>
    </cfRule>
    <cfRule type="cellIs" dxfId="3286" priority="5034" stopIfTrue="1" operator="equal">
      <formula>"PSG"</formula>
    </cfRule>
    <cfRule type="cellIs" dxfId="3285" priority="5035" stopIfTrue="1" operator="equal">
      <formula>"FALTA"</formula>
    </cfRule>
  </conditionalFormatting>
  <conditionalFormatting sqref="BI135">
    <cfRule type="cellIs" dxfId="3284" priority="5026" stopIfTrue="1" operator="equal">
      <formula>"PCG"</formula>
    </cfRule>
    <cfRule type="cellIs" dxfId="3283" priority="5027" stopIfTrue="1" operator="equal">
      <formula>"VAC"</formula>
    </cfRule>
    <cfRule type="cellIs" dxfId="3282" priority="5028" stopIfTrue="1" operator="equal">
      <formula>"INC"</formula>
    </cfRule>
    <cfRule type="cellIs" dxfId="3281" priority="5029" stopIfTrue="1" operator="equal">
      <formula>"PSG"</formula>
    </cfRule>
    <cfRule type="cellIs" dxfId="3280" priority="5030" stopIfTrue="1" operator="equal">
      <formula>"FALTA"</formula>
    </cfRule>
  </conditionalFormatting>
  <conditionalFormatting sqref="AV162">
    <cfRule type="cellIs" dxfId="3279" priority="5011" stopIfTrue="1" operator="equal">
      <formula>"PCG"</formula>
    </cfRule>
    <cfRule type="cellIs" dxfId="3278" priority="5012" stopIfTrue="1" operator="equal">
      <formula>"VAC"</formula>
    </cfRule>
    <cfRule type="cellIs" dxfId="3277" priority="5013" stopIfTrue="1" operator="equal">
      <formula>"INC"</formula>
    </cfRule>
    <cfRule type="cellIs" dxfId="3276" priority="5014" stopIfTrue="1" operator="equal">
      <formula>"PSG"</formula>
    </cfRule>
    <cfRule type="cellIs" dxfId="3275" priority="5015" stopIfTrue="1" operator="equal">
      <formula>"FALTA"</formula>
    </cfRule>
  </conditionalFormatting>
  <conditionalFormatting sqref="BI162">
    <cfRule type="cellIs" dxfId="3274" priority="5006" stopIfTrue="1" operator="equal">
      <formula>"PCG"</formula>
    </cfRule>
    <cfRule type="cellIs" dxfId="3273" priority="5007" stopIfTrue="1" operator="equal">
      <formula>"VAC"</formula>
    </cfRule>
    <cfRule type="cellIs" dxfId="3272" priority="5008" stopIfTrue="1" operator="equal">
      <formula>"INC"</formula>
    </cfRule>
    <cfRule type="cellIs" dxfId="3271" priority="5009" stopIfTrue="1" operator="equal">
      <formula>"PSG"</formula>
    </cfRule>
    <cfRule type="cellIs" dxfId="3270" priority="5010" stopIfTrue="1" operator="equal">
      <formula>"FALTA"</formula>
    </cfRule>
  </conditionalFormatting>
  <conditionalFormatting sqref="BV162">
    <cfRule type="cellIs" dxfId="3269" priority="5001" stopIfTrue="1" operator="equal">
      <formula>"PCG"</formula>
    </cfRule>
    <cfRule type="cellIs" dxfId="3268" priority="5002" stopIfTrue="1" operator="equal">
      <formula>"VAC"</formula>
    </cfRule>
    <cfRule type="cellIs" dxfId="3267" priority="5003" stopIfTrue="1" operator="equal">
      <formula>"INC"</formula>
    </cfRule>
    <cfRule type="cellIs" dxfId="3266" priority="5004" stopIfTrue="1" operator="equal">
      <formula>"PSG"</formula>
    </cfRule>
    <cfRule type="cellIs" dxfId="3265" priority="5005" stopIfTrue="1" operator="equal">
      <formula>"FALTA"</formula>
    </cfRule>
  </conditionalFormatting>
  <conditionalFormatting sqref="CI162">
    <cfRule type="cellIs" dxfId="3264" priority="4996" stopIfTrue="1" operator="equal">
      <formula>"PCG"</formula>
    </cfRule>
    <cfRule type="cellIs" dxfId="3263" priority="4997" stopIfTrue="1" operator="equal">
      <formula>"VAC"</formula>
    </cfRule>
    <cfRule type="cellIs" dxfId="3262" priority="4998" stopIfTrue="1" operator="equal">
      <formula>"INC"</formula>
    </cfRule>
    <cfRule type="cellIs" dxfId="3261" priority="4999" stopIfTrue="1" operator="equal">
      <formula>"PSG"</formula>
    </cfRule>
    <cfRule type="cellIs" dxfId="3260" priority="5000" stopIfTrue="1" operator="equal">
      <formula>"FALTA"</formula>
    </cfRule>
  </conditionalFormatting>
  <conditionalFormatting sqref="V200">
    <cfRule type="cellIs" dxfId="3259" priority="4951" stopIfTrue="1" operator="equal">
      <formula>"PCG"</formula>
    </cfRule>
    <cfRule type="cellIs" dxfId="3258" priority="4952" stopIfTrue="1" operator="equal">
      <formula>"VAC"</formula>
    </cfRule>
    <cfRule type="cellIs" dxfId="3257" priority="4953" stopIfTrue="1" operator="equal">
      <formula>"INC"</formula>
    </cfRule>
    <cfRule type="cellIs" dxfId="3256" priority="4954" stopIfTrue="1" operator="equal">
      <formula>"PSG"</formula>
    </cfRule>
    <cfRule type="cellIs" dxfId="3255" priority="4955" stopIfTrue="1" operator="equal">
      <formula>"FALTA"</formula>
    </cfRule>
  </conditionalFormatting>
  <conditionalFormatting sqref="AI200">
    <cfRule type="cellIs" dxfId="3254" priority="4946" stopIfTrue="1" operator="equal">
      <formula>"PCG"</formula>
    </cfRule>
    <cfRule type="cellIs" dxfId="3253" priority="4947" stopIfTrue="1" operator="equal">
      <formula>"VAC"</formula>
    </cfRule>
    <cfRule type="cellIs" dxfId="3252" priority="4948" stopIfTrue="1" operator="equal">
      <formula>"INC"</formula>
    </cfRule>
    <cfRule type="cellIs" dxfId="3251" priority="4949" stopIfTrue="1" operator="equal">
      <formula>"PSG"</formula>
    </cfRule>
    <cfRule type="cellIs" dxfId="3250" priority="4950" stopIfTrue="1" operator="equal">
      <formula>"FALTA"</formula>
    </cfRule>
  </conditionalFormatting>
  <conditionalFormatting sqref="AV200">
    <cfRule type="cellIs" dxfId="3249" priority="4941" stopIfTrue="1" operator="equal">
      <formula>"PCG"</formula>
    </cfRule>
    <cfRule type="cellIs" dxfId="3248" priority="4942" stopIfTrue="1" operator="equal">
      <formula>"VAC"</formula>
    </cfRule>
    <cfRule type="cellIs" dxfId="3247" priority="4943" stopIfTrue="1" operator="equal">
      <formula>"INC"</formula>
    </cfRule>
    <cfRule type="cellIs" dxfId="3246" priority="4944" stopIfTrue="1" operator="equal">
      <formula>"PSG"</formula>
    </cfRule>
    <cfRule type="cellIs" dxfId="3245" priority="4945" stopIfTrue="1" operator="equal">
      <formula>"FALTA"</formula>
    </cfRule>
  </conditionalFormatting>
  <conditionalFormatting sqref="BI200">
    <cfRule type="cellIs" dxfId="3244" priority="4936" stopIfTrue="1" operator="equal">
      <formula>"PCG"</formula>
    </cfRule>
    <cfRule type="cellIs" dxfId="3243" priority="4937" stopIfTrue="1" operator="equal">
      <formula>"VAC"</formula>
    </cfRule>
    <cfRule type="cellIs" dxfId="3242" priority="4938" stopIfTrue="1" operator="equal">
      <formula>"INC"</formula>
    </cfRule>
    <cfRule type="cellIs" dxfId="3241" priority="4939" stopIfTrue="1" operator="equal">
      <formula>"PSG"</formula>
    </cfRule>
    <cfRule type="cellIs" dxfId="3240" priority="4940" stopIfTrue="1" operator="equal">
      <formula>"FALTA"</formula>
    </cfRule>
  </conditionalFormatting>
  <conditionalFormatting sqref="CI200">
    <cfRule type="cellIs" dxfId="3239" priority="4931" stopIfTrue="1" operator="equal">
      <formula>"PCG"</formula>
    </cfRule>
    <cfRule type="cellIs" dxfId="3238" priority="4932" stopIfTrue="1" operator="equal">
      <formula>"VAC"</formula>
    </cfRule>
    <cfRule type="cellIs" dxfId="3237" priority="4933" stopIfTrue="1" operator="equal">
      <formula>"INC"</formula>
    </cfRule>
    <cfRule type="cellIs" dxfId="3236" priority="4934" stopIfTrue="1" operator="equal">
      <formula>"PSG"</formula>
    </cfRule>
    <cfRule type="cellIs" dxfId="3235" priority="4935" stopIfTrue="1" operator="equal">
      <formula>"FALTA"</formula>
    </cfRule>
  </conditionalFormatting>
  <conditionalFormatting sqref="I8:I41">
    <cfRule type="cellIs" dxfId="3234" priority="4926" stopIfTrue="1" operator="equal">
      <formula>"PCG"</formula>
    </cfRule>
    <cfRule type="cellIs" dxfId="3233" priority="4927" stopIfTrue="1" operator="equal">
      <formula>"VAC"</formula>
    </cfRule>
    <cfRule type="cellIs" dxfId="3232" priority="4928" stopIfTrue="1" operator="equal">
      <formula>"INC"</formula>
    </cfRule>
    <cfRule type="cellIs" dxfId="3231" priority="4929" stopIfTrue="1" operator="equal">
      <formula>"PSG"</formula>
    </cfRule>
    <cfRule type="cellIs" dxfId="3230" priority="4930" stopIfTrue="1" operator="equal">
      <formula>"FALTA"</formula>
    </cfRule>
  </conditionalFormatting>
  <conditionalFormatting sqref="V8:V41">
    <cfRule type="cellIs" dxfId="3229" priority="4921" stopIfTrue="1" operator="equal">
      <formula>"PCG"</formula>
    </cfRule>
    <cfRule type="cellIs" dxfId="3228" priority="4922" stopIfTrue="1" operator="equal">
      <formula>"VAC"</formula>
    </cfRule>
    <cfRule type="cellIs" dxfId="3227" priority="4923" stopIfTrue="1" operator="equal">
      <formula>"INC"</formula>
    </cfRule>
    <cfRule type="cellIs" dxfId="3226" priority="4924" stopIfTrue="1" operator="equal">
      <formula>"PSG"</formula>
    </cfRule>
    <cfRule type="cellIs" dxfId="3225" priority="4925" stopIfTrue="1" operator="equal">
      <formula>"FALTA"</formula>
    </cfRule>
  </conditionalFormatting>
  <conditionalFormatting sqref="AI8:AI41">
    <cfRule type="cellIs" dxfId="3224" priority="4916" stopIfTrue="1" operator="equal">
      <formula>"PCG"</formula>
    </cfRule>
    <cfRule type="cellIs" dxfId="3223" priority="4917" stopIfTrue="1" operator="equal">
      <formula>"VAC"</formula>
    </cfRule>
    <cfRule type="cellIs" dxfId="3222" priority="4918" stopIfTrue="1" operator="equal">
      <formula>"INC"</formula>
    </cfRule>
    <cfRule type="cellIs" dxfId="3221" priority="4919" stopIfTrue="1" operator="equal">
      <formula>"PSG"</formula>
    </cfRule>
    <cfRule type="cellIs" dxfId="3220" priority="4920" stopIfTrue="1" operator="equal">
      <formula>"FALTA"</formula>
    </cfRule>
  </conditionalFormatting>
  <conditionalFormatting sqref="AV8:AV41">
    <cfRule type="cellIs" dxfId="3219" priority="4911" stopIfTrue="1" operator="equal">
      <formula>"PCG"</formula>
    </cfRule>
    <cfRule type="cellIs" dxfId="3218" priority="4912" stopIfTrue="1" operator="equal">
      <formula>"VAC"</formula>
    </cfRule>
    <cfRule type="cellIs" dxfId="3217" priority="4913" stopIfTrue="1" operator="equal">
      <formula>"INC"</formula>
    </cfRule>
    <cfRule type="cellIs" dxfId="3216" priority="4914" stopIfTrue="1" operator="equal">
      <formula>"PSG"</formula>
    </cfRule>
    <cfRule type="cellIs" dxfId="3215" priority="4915" stopIfTrue="1" operator="equal">
      <formula>"FALTA"</formula>
    </cfRule>
  </conditionalFormatting>
  <conditionalFormatting sqref="BI8:BI41">
    <cfRule type="cellIs" dxfId="3214" priority="4906" stopIfTrue="1" operator="equal">
      <formula>"PCG"</formula>
    </cfRule>
    <cfRule type="cellIs" dxfId="3213" priority="4907" stopIfTrue="1" operator="equal">
      <formula>"VAC"</formula>
    </cfRule>
    <cfRule type="cellIs" dxfId="3212" priority="4908" stopIfTrue="1" operator="equal">
      <formula>"INC"</formula>
    </cfRule>
    <cfRule type="cellIs" dxfId="3211" priority="4909" stopIfTrue="1" operator="equal">
      <formula>"PSG"</formula>
    </cfRule>
    <cfRule type="cellIs" dxfId="3210" priority="4910" stopIfTrue="1" operator="equal">
      <formula>"FALTA"</formula>
    </cfRule>
  </conditionalFormatting>
  <conditionalFormatting sqref="CI8:CI41">
    <cfRule type="cellIs" dxfId="3209" priority="4901" stopIfTrue="1" operator="equal">
      <formula>"PCG"</formula>
    </cfRule>
    <cfRule type="cellIs" dxfId="3208" priority="4902" stopIfTrue="1" operator="equal">
      <formula>"VAC"</formula>
    </cfRule>
    <cfRule type="cellIs" dxfId="3207" priority="4903" stopIfTrue="1" operator="equal">
      <formula>"INC"</formula>
    </cfRule>
    <cfRule type="cellIs" dxfId="3206" priority="4904" stopIfTrue="1" operator="equal">
      <formula>"PSG"</formula>
    </cfRule>
    <cfRule type="cellIs" dxfId="3205" priority="4905" stopIfTrue="1" operator="equal">
      <formula>"FALTA"</formula>
    </cfRule>
  </conditionalFormatting>
  <conditionalFormatting sqref="BV113">
    <cfRule type="cellIs" dxfId="3204" priority="4881" stopIfTrue="1" operator="equal">
      <formula>"PCG"</formula>
    </cfRule>
    <cfRule type="cellIs" dxfId="3203" priority="4882" stopIfTrue="1" operator="equal">
      <formula>"VAC"</formula>
    </cfRule>
    <cfRule type="cellIs" dxfId="3202" priority="4883" stopIfTrue="1" operator="equal">
      <formula>"INC"</formula>
    </cfRule>
    <cfRule type="cellIs" dxfId="3201" priority="4884" stopIfTrue="1" operator="equal">
      <formula>"PSG"</formula>
    </cfRule>
    <cfRule type="cellIs" dxfId="3200" priority="4885" stopIfTrue="1" operator="equal">
      <formula>"FALTA"</formula>
    </cfRule>
  </conditionalFormatting>
  <conditionalFormatting sqref="V98">
    <cfRule type="cellIs" dxfId="3199" priority="4876" stopIfTrue="1" operator="equal">
      <formula>"PCG"</formula>
    </cfRule>
    <cfRule type="cellIs" dxfId="3198" priority="4877" stopIfTrue="1" operator="equal">
      <formula>"VAC"</formula>
    </cfRule>
    <cfRule type="cellIs" dxfId="3197" priority="4878" stopIfTrue="1" operator="equal">
      <formula>"INC"</formula>
    </cfRule>
    <cfRule type="cellIs" dxfId="3196" priority="4879" stopIfTrue="1" operator="equal">
      <formula>"PSG"</formula>
    </cfRule>
    <cfRule type="cellIs" dxfId="3195" priority="4880" stopIfTrue="1" operator="equal">
      <formula>"FALTA"</formula>
    </cfRule>
  </conditionalFormatting>
  <conditionalFormatting sqref="AI98">
    <cfRule type="cellIs" dxfId="3194" priority="4871" stopIfTrue="1" operator="equal">
      <formula>"PCG"</formula>
    </cfRule>
    <cfRule type="cellIs" dxfId="3193" priority="4872" stopIfTrue="1" operator="equal">
      <formula>"VAC"</formula>
    </cfRule>
    <cfRule type="cellIs" dxfId="3192" priority="4873" stopIfTrue="1" operator="equal">
      <formula>"INC"</formula>
    </cfRule>
    <cfRule type="cellIs" dxfId="3191" priority="4874" stopIfTrue="1" operator="equal">
      <formula>"PSG"</formula>
    </cfRule>
    <cfRule type="cellIs" dxfId="3190" priority="4875" stopIfTrue="1" operator="equal">
      <formula>"FALTA"</formula>
    </cfRule>
  </conditionalFormatting>
  <conditionalFormatting sqref="AV98">
    <cfRule type="cellIs" dxfId="3189" priority="4866" stopIfTrue="1" operator="equal">
      <formula>"PCG"</formula>
    </cfRule>
    <cfRule type="cellIs" dxfId="3188" priority="4867" stopIfTrue="1" operator="equal">
      <formula>"VAC"</formula>
    </cfRule>
    <cfRule type="cellIs" dxfId="3187" priority="4868" stopIfTrue="1" operator="equal">
      <formula>"INC"</formula>
    </cfRule>
    <cfRule type="cellIs" dxfId="3186" priority="4869" stopIfTrue="1" operator="equal">
      <formula>"PSG"</formula>
    </cfRule>
    <cfRule type="cellIs" dxfId="3185" priority="4870" stopIfTrue="1" operator="equal">
      <formula>"FALTA"</formula>
    </cfRule>
  </conditionalFormatting>
  <conditionalFormatting sqref="BI98">
    <cfRule type="cellIs" dxfId="3184" priority="4861" stopIfTrue="1" operator="equal">
      <formula>"PCG"</formula>
    </cfRule>
    <cfRule type="cellIs" dxfId="3183" priority="4862" stopIfTrue="1" operator="equal">
      <formula>"VAC"</formula>
    </cfRule>
    <cfRule type="cellIs" dxfId="3182" priority="4863" stopIfTrue="1" operator="equal">
      <formula>"INC"</formula>
    </cfRule>
    <cfRule type="cellIs" dxfId="3181" priority="4864" stopIfTrue="1" operator="equal">
      <formula>"PSG"</formula>
    </cfRule>
    <cfRule type="cellIs" dxfId="3180" priority="4865" stopIfTrue="1" operator="equal">
      <formula>"FALTA"</formula>
    </cfRule>
  </conditionalFormatting>
  <conditionalFormatting sqref="BV212">
    <cfRule type="cellIs" dxfId="3179" priority="4161" stopIfTrue="1" operator="equal">
      <formula>"PCG"</formula>
    </cfRule>
    <cfRule type="cellIs" dxfId="3178" priority="4162" stopIfTrue="1" operator="equal">
      <formula>"VAC"</formula>
    </cfRule>
    <cfRule type="cellIs" dxfId="3177" priority="4163" stopIfTrue="1" operator="equal">
      <formula>"INC"</formula>
    </cfRule>
    <cfRule type="cellIs" dxfId="3176" priority="4164" stopIfTrue="1" operator="equal">
      <formula>"PSG"</formula>
    </cfRule>
    <cfRule type="cellIs" dxfId="3175" priority="4165" stopIfTrue="1" operator="equal">
      <formula>"FALTA"</formula>
    </cfRule>
  </conditionalFormatting>
  <conditionalFormatting sqref="V108">
    <cfRule type="cellIs" dxfId="3174" priority="4831" stopIfTrue="1" operator="equal">
      <formula>"PCG"</formula>
    </cfRule>
    <cfRule type="cellIs" dxfId="3173" priority="4832" stopIfTrue="1" operator="equal">
      <formula>"VAC"</formula>
    </cfRule>
    <cfRule type="cellIs" dxfId="3172" priority="4833" stopIfTrue="1" operator="equal">
      <formula>"INC"</formula>
    </cfRule>
    <cfRule type="cellIs" dxfId="3171" priority="4834" stopIfTrue="1" operator="equal">
      <formula>"PSG"</formula>
    </cfRule>
    <cfRule type="cellIs" dxfId="3170" priority="4835" stopIfTrue="1" operator="equal">
      <formula>"FALTA"</formula>
    </cfRule>
  </conditionalFormatting>
  <conditionalFormatting sqref="AI108">
    <cfRule type="cellIs" dxfId="3169" priority="4826" stopIfTrue="1" operator="equal">
      <formula>"PCG"</formula>
    </cfRule>
    <cfRule type="cellIs" dxfId="3168" priority="4827" stopIfTrue="1" operator="equal">
      <formula>"VAC"</formula>
    </cfRule>
    <cfRule type="cellIs" dxfId="3167" priority="4828" stopIfTrue="1" operator="equal">
      <formula>"INC"</formula>
    </cfRule>
    <cfRule type="cellIs" dxfId="3166" priority="4829" stopIfTrue="1" operator="equal">
      <formula>"PSG"</formula>
    </cfRule>
    <cfRule type="cellIs" dxfId="3165" priority="4830" stopIfTrue="1" operator="equal">
      <formula>"FALTA"</formula>
    </cfRule>
  </conditionalFormatting>
  <conditionalFormatting sqref="AV108">
    <cfRule type="cellIs" dxfId="3164" priority="4821" stopIfTrue="1" operator="equal">
      <formula>"PCG"</formula>
    </cfRule>
    <cfRule type="cellIs" dxfId="3163" priority="4822" stopIfTrue="1" operator="equal">
      <formula>"VAC"</formula>
    </cfRule>
    <cfRule type="cellIs" dxfId="3162" priority="4823" stopIfTrue="1" operator="equal">
      <formula>"INC"</formula>
    </cfRule>
    <cfRule type="cellIs" dxfId="3161" priority="4824" stopIfTrue="1" operator="equal">
      <formula>"PSG"</formula>
    </cfRule>
    <cfRule type="cellIs" dxfId="3160" priority="4825" stopIfTrue="1" operator="equal">
      <formula>"FALTA"</formula>
    </cfRule>
  </conditionalFormatting>
  <conditionalFormatting sqref="BV108">
    <cfRule type="cellIs" dxfId="3159" priority="4811" stopIfTrue="1" operator="equal">
      <formula>"PCG"</formula>
    </cfRule>
    <cfRule type="cellIs" dxfId="3158" priority="4812" stopIfTrue="1" operator="equal">
      <formula>"VAC"</formula>
    </cfRule>
    <cfRule type="cellIs" dxfId="3157" priority="4813" stopIfTrue="1" operator="equal">
      <formula>"INC"</formula>
    </cfRule>
    <cfRule type="cellIs" dxfId="3156" priority="4814" stopIfTrue="1" operator="equal">
      <formula>"PSG"</formula>
    </cfRule>
    <cfRule type="cellIs" dxfId="3155" priority="4815" stopIfTrue="1" operator="equal">
      <formula>"FALTA"</formula>
    </cfRule>
  </conditionalFormatting>
  <conditionalFormatting sqref="AI167">
    <cfRule type="cellIs" dxfId="3154" priority="4806" stopIfTrue="1" operator="equal">
      <formula>"PCG"</formula>
    </cfRule>
    <cfRule type="cellIs" dxfId="3153" priority="4807" stopIfTrue="1" operator="equal">
      <formula>"VAC"</formula>
    </cfRule>
    <cfRule type="cellIs" dxfId="3152" priority="4808" stopIfTrue="1" operator="equal">
      <formula>"INC"</formula>
    </cfRule>
    <cfRule type="cellIs" dxfId="3151" priority="4809" stopIfTrue="1" operator="equal">
      <formula>"PSG"</formula>
    </cfRule>
    <cfRule type="cellIs" dxfId="3150" priority="4810" stopIfTrue="1" operator="equal">
      <formula>"FALTA"</formula>
    </cfRule>
  </conditionalFormatting>
  <conditionalFormatting sqref="AV167">
    <cfRule type="cellIs" dxfId="3149" priority="4801" stopIfTrue="1" operator="equal">
      <formula>"PCG"</formula>
    </cfRule>
    <cfRule type="cellIs" dxfId="3148" priority="4802" stopIfTrue="1" operator="equal">
      <formula>"VAC"</formula>
    </cfRule>
    <cfRule type="cellIs" dxfId="3147" priority="4803" stopIfTrue="1" operator="equal">
      <formula>"INC"</formula>
    </cfRule>
    <cfRule type="cellIs" dxfId="3146" priority="4804" stopIfTrue="1" operator="equal">
      <formula>"PSG"</formula>
    </cfRule>
    <cfRule type="cellIs" dxfId="3145" priority="4805" stopIfTrue="1" operator="equal">
      <formula>"FALTA"</formula>
    </cfRule>
  </conditionalFormatting>
  <conditionalFormatting sqref="BI167">
    <cfRule type="cellIs" dxfId="3144" priority="4796" stopIfTrue="1" operator="equal">
      <formula>"PCG"</formula>
    </cfRule>
    <cfRule type="cellIs" dxfId="3143" priority="4797" stopIfTrue="1" operator="equal">
      <formula>"VAC"</formula>
    </cfRule>
    <cfRule type="cellIs" dxfId="3142" priority="4798" stopIfTrue="1" operator="equal">
      <formula>"INC"</formula>
    </cfRule>
    <cfRule type="cellIs" dxfId="3141" priority="4799" stopIfTrue="1" operator="equal">
      <formula>"PSG"</formula>
    </cfRule>
    <cfRule type="cellIs" dxfId="3140" priority="4800" stopIfTrue="1" operator="equal">
      <formula>"FALTA"</formula>
    </cfRule>
  </conditionalFormatting>
  <conditionalFormatting sqref="BV167">
    <cfRule type="cellIs" dxfId="3139" priority="4791" stopIfTrue="1" operator="equal">
      <formula>"PCG"</formula>
    </cfRule>
    <cfRule type="cellIs" dxfId="3138" priority="4792" stopIfTrue="1" operator="equal">
      <formula>"VAC"</formula>
    </cfRule>
    <cfRule type="cellIs" dxfId="3137" priority="4793" stopIfTrue="1" operator="equal">
      <formula>"INC"</formula>
    </cfRule>
    <cfRule type="cellIs" dxfId="3136" priority="4794" stopIfTrue="1" operator="equal">
      <formula>"PSG"</formula>
    </cfRule>
    <cfRule type="cellIs" dxfId="3135" priority="4795" stopIfTrue="1" operator="equal">
      <formula>"FALTA"</formula>
    </cfRule>
  </conditionalFormatting>
  <conditionalFormatting sqref="V67">
    <cfRule type="cellIs" dxfId="3134" priority="4776" stopIfTrue="1" operator="equal">
      <formula>"PCG"</formula>
    </cfRule>
    <cfRule type="cellIs" dxfId="3133" priority="4777" stopIfTrue="1" operator="equal">
      <formula>"VAC"</formula>
    </cfRule>
    <cfRule type="cellIs" dxfId="3132" priority="4778" stopIfTrue="1" operator="equal">
      <formula>"INC"</formula>
    </cfRule>
    <cfRule type="cellIs" dxfId="3131" priority="4779" stopIfTrue="1" operator="equal">
      <formula>"PSG"</formula>
    </cfRule>
    <cfRule type="cellIs" dxfId="3130" priority="4780" stopIfTrue="1" operator="equal">
      <formula>"FALTA"</formula>
    </cfRule>
  </conditionalFormatting>
  <conditionalFormatting sqref="AI67">
    <cfRule type="cellIs" dxfId="3129" priority="4771" stopIfTrue="1" operator="equal">
      <formula>"PCG"</formula>
    </cfRule>
    <cfRule type="cellIs" dxfId="3128" priority="4772" stopIfTrue="1" operator="equal">
      <formula>"VAC"</formula>
    </cfRule>
    <cfRule type="cellIs" dxfId="3127" priority="4773" stopIfTrue="1" operator="equal">
      <formula>"INC"</formula>
    </cfRule>
    <cfRule type="cellIs" dxfId="3126" priority="4774" stopIfTrue="1" operator="equal">
      <formula>"PSG"</formula>
    </cfRule>
    <cfRule type="cellIs" dxfId="3125" priority="4775" stopIfTrue="1" operator="equal">
      <formula>"FALTA"</formula>
    </cfRule>
  </conditionalFormatting>
  <conditionalFormatting sqref="AV67">
    <cfRule type="cellIs" dxfId="3124" priority="4766" stopIfTrue="1" operator="equal">
      <formula>"PCG"</formula>
    </cfRule>
    <cfRule type="cellIs" dxfId="3123" priority="4767" stopIfTrue="1" operator="equal">
      <formula>"VAC"</formula>
    </cfRule>
    <cfRule type="cellIs" dxfId="3122" priority="4768" stopIfTrue="1" operator="equal">
      <formula>"INC"</formula>
    </cfRule>
    <cfRule type="cellIs" dxfId="3121" priority="4769" stopIfTrue="1" operator="equal">
      <formula>"PSG"</formula>
    </cfRule>
    <cfRule type="cellIs" dxfId="3120" priority="4770" stopIfTrue="1" operator="equal">
      <formula>"FALTA"</formula>
    </cfRule>
  </conditionalFormatting>
  <conditionalFormatting sqref="BI67">
    <cfRule type="cellIs" dxfId="3119" priority="4761" stopIfTrue="1" operator="equal">
      <formula>"PCG"</formula>
    </cfRule>
    <cfRule type="cellIs" dxfId="3118" priority="4762" stopIfTrue="1" operator="equal">
      <formula>"VAC"</formula>
    </cfRule>
    <cfRule type="cellIs" dxfId="3117" priority="4763" stopIfTrue="1" operator="equal">
      <formula>"INC"</formula>
    </cfRule>
    <cfRule type="cellIs" dxfId="3116" priority="4764" stopIfTrue="1" operator="equal">
      <formula>"PSG"</formula>
    </cfRule>
    <cfRule type="cellIs" dxfId="3115" priority="4765" stopIfTrue="1" operator="equal">
      <formula>"FALTA"</formula>
    </cfRule>
  </conditionalFormatting>
  <conditionalFormatting sqref="BI110">
    <cfRule type="cellIs" dxfId="3114" priority="4261" stopIfTrue="1" operator="equal">
      <formula>"PCG"</formula>
    </cfRule>
    <cfRule type="cellIs" dxfId="3113" priority="4262" stopIfTrue="1" operator="equal">
      <formula>"VAC"</formula>
    </cfRule>
    <cfRule type="cellIs" dxfId="3112" priority="4263" stopIfTrue="1" operator="equal">
      <formula>"INC"</formula>
    </cfRule>
    <cfRule type="cellIs" dxfId="3111" priority="4264" stopIfTrue="1" operator="equal">
      <formula>"PSG"</formula>
    </cfRule>
    <cfRule type="cellIs" dxfId="3110" priority="4265" stopIfTrue="1" operator="equal">
      <formula>"FALTA"</formula>
    </cfRule>
  </conditionalFormatting>
  <conditionalFormatting sqref="V213:V214">
    <cfRule type="cellIs" dxfId="3109" priority="4706" stopIfTrue="1" operator="equal">
      <formula>"PCG"</formula>
    </cfRule>
    <cfRule type="cellIs" dxfId="3108" priority="4707" stopIfTrue="1" operator="equal">
      <formula>"VAC"</formula>
    </cfRule>
    <cfRule type="cellIs" dxfId="3107" priority="4708" stopIfTrue="1" operator="equal">
      <formula>"INC"</formula>
    </cfRule>
    <cfRule type="cellIs" dxfId="3106" priority="4709" stopIfTrue="1" operator="equal">
      <formula>"PSG"</formula>
    </cfRule>
    <cfRule type="cellIs" dxfId="3105" priority="4710" stopIfTrue="1" operator="equal">
      <formula>"FALTA"</formula>
    </cfRule>
  </conditionalFormatting>
  <conditionalFormatting sqref="AI213:AI214">
    <cfRule type="cellIs" dxfId="3104" priority="4701" stopIfTrue="1" operator="equal">
      <formula>"PCG"</formula>
    </cfRule>
    <cfRule type="cellIs" dxfId="3103" priority="4702" stopIfTrue="1" operator="equal">
      <formula>"VAC"</formula>
    </cfRule>
    <cfRule type="cellIs" dxfId="3102" priority="4703" stopIfTrue="1" operator="equal">
      <formula>"INC"</formula>
    </cfRule>
    <cfRule type="cellIs" dxfId="3101" priority="4704" stopIfTrue="1" operator="equal">
      <formula>"PSG"</formula>
    </cfRule>
    <cfRule type="cellIs" dxfId="3100" priority="4705" stopIfTrue="1" operator="equal">
      <formula>"FALTA"</formula>
    </cfRule>
  </conditionalFormatting>
  <conditionalFormatting sqref="AV213:AV214">
    <cfRule type="cellIs" dxfId="3099" priority="4696" stopIfTrue="1" operator="equal">
      <formula>"PCG"</formula>
    </cfRule>
    <cfRule type="cellIs" dxfId="3098" priority="4697" stopIfTrue="1" operator="equal">
      <formula>"VAC"</formula>
    </cfRule>
    <cfRule type="cellIs" dxfId="3097" priority="4698" stopIfTrue="1" operator="equal">
      <formula>"INC"</formula>
    </cfRule>
    <cfRule type="cellIs" dxfId="3096" priority="4699" stopIfTrue="1" operator="equal">
      <formula>"PSG"</formula>
    </cfRule>
    <cfRule type="cellIs" dxfId="3095" priority="4700" stopIfTrue="1" operator="equal">
      <formula>"FALTA"</formula>
    </cfRule>
  </conditionalFormatting>
  <conditionalFormatting sqref="AI242">
    <cfRule type="cellIs" dxfId="3094" priority="4336" stopIfTrue="1" operator="equal">
      <formula>"PCG"</formula>
    </cfRule>
    <cfRule type="cellIs" dxfId="3093" priority="4337" stopIfTrue="1" operator="equal">
      <formula>"VAC"</formula>
    </cfRule>
    <cfRule type="cellIs" dxfId="3092" priority="4338" stopIfTrue="1" operator="equal">
      <formula>"INC"</formula>
    </cfRule>
    <cfRule type="cellIs" dxfId="3091" priority="4339" stopIfTrue="1" operator="equal">
      <formula>"PSG"</formula>
    </cfRule>
    <cfRule type="cellIs" dxfId="3090" priority="4340" stopIfTrue="1" operator="equal">
      <formula>"FALTA"</formula>
    </cfRule>
  </conditionalFormatting>
  <conditionalFormatting sqref="CI213">
    <cfRule type="cellIs" dxfId="3089" priority="4686" stopIfTrue="1" operator="equal">
      <formula>"PCG"</formula>
    </cfRule>
    <cfRule type="cellIs" dxfId="3088" priority="4687" stopIfTrue="1" operator="equal">
      <formula>"VAC"</formula>
    </cfRule>
    <cfRule type="cellIs" dxfId="3087" priority="4688" stopIfTrue="1" operator="equal">
      <formula>"INC"</formula>
    </cfRule>
    <cfRule type="cellIs" dxfId="3086" priority="4689" stopIfTrue="1" operator="equal">
      <formula>"PSG"</formula>
    </cfRule>
    <cfRule type="cellIs" dxfId="3085" priority="4690" stopIfTrue="1" operator="equal">
      <formula>"FALTA"</formula>
    </cfRule>
  </conditionalFormatting>
  <conditionalFormatting sqref="V264">
    <cfRule type="cellIs" dxfId="3084" priority="4681" stopIfTrue="1" operator="equal">
      <formula>"PCG"</formula>
    </cfRule>
    <cfRule type="cellIs" dxfId="3083" priority="4682" stopIfTrue="1" operator="equal">
      <formula>"VAC"</formula>
    </cfRule>
    <cfRule type="cellIs" dxfId="3082" priority="4683" stopIfTrue="1" operator="equal">
      <formula>"INC"</formula>
    </cfRule>
    <cfRule type="cellIs" dxfId="3081" priority="4684" stopIfTrue="1" operator="equal">
      <formula>"PSG"</formula>
    </cfRule>
    <cfRule type="cellIs" dxfId="3080" priority="4685" stopIfTrue="1" operator="equal">
      <formula>"FALTA"</formula>
    </cfRule>
  </conditionalFormatting>
  <conditionalFormatting sqref="AV264">
    <cfRule type="cellIs" dxfId="3079" priority="4671" stopIfTrue="1" operator="equal">
      <formula>"PCG"</formula>
    </cfRule>
    <cfRule type="cellIs" dxfId="3078" priority="4672" stopIfTrue="1" operator="equal">
      <formula>"VAC"</formula>
    </cfRule>
    <cfRule type="cellIs" dxfId="3077" priority="4673" stopIfTrue="1" operator="equal">
      <formula>"INC"</formula>
    </cfRule>
    <cfRule type="cellIs" dxfId="3076" priority="4674" stopIfTrue="1" operator="equal">
      <formula>"PSG"</formula>
    </cfRule>
    <cfRule type="cellIs" dxfId="3075" priority="4675" stopIfTrue="1" operator="equal">
      <formula>"FALTA"</formula>
    </cfRule>
  </conditionalFormatting>
  <conditionalFormatting sqref="V139">
    <cfRule type="cellIs" dxfId="3074" priority="4651" stopIfTrue="1" operator="equal">
      <formula>"PCG"</formula>
    </cfRule>
    <cfRule type="cellIs" dxfId="3073" priority="4652" stopIfTrue="1" operator="equal">
      <formula>"VAC"</formula>
    </cfRule>
    <cfRule type="cellIs" dxfId="3072" priority="4653" stopIfTrue="1" operator="equal">
      <formula>"INC"</formula>
    </cfRule>
    <cfRule type="cellIs" dxfId="3071" priority="4654" stopIfTrue="1" operator="equal">
      <formula>"PSG"</formula>
    </cfRule>
    <cfRule type="cellIs" dxfId="3070" priority="4655" stopIfTrue="1" operator="equal">
      <formula>"FALTA"</formula>
    </cfRule>
  </conditionalFormatting>
  <conditionalFormatting sqref="AI139">
    <cfRule type="cellIs" dxfId="3069" priority="4646" stopIfTrue="1" operator="equal">
      <formula>"PCG"</formula>
    </cfRule>
    <cfRule type="cellIs" dxfId="3068" priority="4647" stopIfTrue="1" operator="equal">
      <formula>"VAC"</formula>
    </cfRule>
    <cfRule type="cellIs" dxfId="3067" priority="4648" stopIfTrue="1" operator="equal">
      <formula>"INC"</formula>
    </cfRule>
    <cfRule type="cellIs" dxfId="3066" priority="4649" stopIfTrue="1" operator="equal">
      <formula>"PSG"</formula>
    </cfRule>
    <cfRule type="cellIs" dxfId="3065" priority="4650" stopIfTrue="1" operator="equal">
      <formula>"FALTA"</formula>
    </cfRule>
  </conditionalFormatting>
  <conditionalFormatting sqref="AI140">
    <cfRule type="cellIs" dxfId="3064" priority="4091" stopIfTrue="1" operator="equal">
      <formula>"PCG"</formula>
    </cfRule>
    <cfRule type="cellIs" dxfId="3063" priority="4092" stopIfTrue="1" operator="equal">
      <formula>"VAC"</formula>
    </cfRule>
    <cfRule type="cellIs" dxfId="3062" priority="4093" stopIfTrue="1" operator="equal">
      <formula>"INC"</formula>
    </cfRule>
    <cfRule type="cellIs" dxfId="3061" priority="4094" stopIfTrue="1" operator="equal">
      <formula>"PSG"</formula>
    </cfRule>
    <cfRule type="cellIs" dxfId="3060" priority="4095" stopIfTrue="1" operator="equal">
      <formula>"FALTA"</formula>
    </cfRule>
  </conditionalFormatting>
  <conditionalFormatting sqref="I191">
    <cfRule type="cellIs" dxfId="3059" priority="4631" stopIfTrue="1" operator="equal">
      <formula>"PCG"</formula>
    </cfRule>
    <cfRule type="cellIs" dxfId="3058" priority="4632" stopIfTrue="1" operator="equal">
      <formula>"VAC"</formula>
    </cfRule>
    <cfRule type="cellIs" dxfId="3057" priority="4633" stopIfTrue="1" operator="equal">
      <formula>"INC"</formula>
    </cfRule>
    <cfRule type="cellIs" dxfId="3056" priority="4634" stopIfTrue="1" operator="equal">
      <formula>"PSG"</formula>
    </cfRule>
    <cfRule type="cellIs" dxfId="3055" priority="4635" stopIfTrue="1" operator="equal">
      <formula>"FALTA"</formula>
    </cfRule>
  </conditionalFormatting>
  <conditionalFormatting sqref="AI191">
    <cfRule type="cellIs" dxfId="3054" priority="4626" stopIfTrue="1" operator="equal">
      <formula>"PCG"</formula>
    </cfRule>
    <cfRule type="cellIs" dxfId="3053" priority="4627" stopIfTrue="1" operator="equal">
      <formula>"VAC"</formula>
    </cfRule>
    <cfRule type="cellIs" dxfId="3052" priority="4628" stopIfTrue="1" operator="equal">
      <formula>"INC"</formula>
    </cfRule>
    <cfRule type="cellIs" dxfId="3051" priority="4629" stopIfTrue="1" operator="equal">
      <formula>"PSG"</formula>
    </cfRule>
    <cfRule type="cellIs" dxfId="3050" priority="4630" stopIfTrue="1" operator="equal">
      <formula>"FALTA"</formula>
    </cfRule>
  </conditionalFormatting>
  <conditionalFormatting sqref="AV191">
    <cfRule type="cellIs" dxfId="3049" priority="4621" stopIfTrue="1" operator="equal">
      <formula>"PCG"</formula>
    </cfRule>
    <cfRule type="cellIs" dxfId="3048" priority="4622" stopIfTrue="1" operator="equal">
      <formula>"VAC"</formula>
    </cfRule>
    <cfRule type="cellIs" dxfId="3047" priority="4623" stopIfTrue="1" operator="equal">
      <formula>"INC"</formula>
    </cfRule>
    <cfRule type="cellIs" dxfId="3046" priority="4624" stopIfTrue="1" operator="equal">
      <formula>"PSG"</formula>
    </cfRule>
    <cfRule type="cellIs" dxfId="3045" priority="4625" stopIfTrue="1" operator="equal">
      <formula>"FALTA"</formula>
    </cfRule>
  </conditionalFormatting>
  <conditionalFormatting sqref="BI191">
    <cfRule type="cellIs" dxfId="3044" priority="4616" stopIfTrue="1" operator="equal">
      <formula>"PCG"</formula>
    </cfRule>
    <cfRule type="cellIs" dxfId="3043" priority="4617" stopIfTrue="1" operator="equal">
      <formula>"VAC"</formula>
    </cfRule>
    <cfRule type="cellIs" dxfId="3042" priority="4618" stopIfTrue="1" operator="equal">
      <formula>"INC"</formula>
    </cfRule>
    <cfRule type="cellIs" dxfId="3041" priority="4619" stopIfTrue="1" operator="equal">
      <formula>"PSG"</formula>
    </cfRule>
    <cfRule type="cellIs" dxfId="3040" priority="4620" stopIfTrue="1" operator="equal">
      <formula>"FALTA"</formula>
    </cfRule>
  </conditionalFormatting>
  <conditionalFormatting sqref="BV191">
    <cfRule type="cellIs" dxfId="3039" priority="4611" stopIfTrue="1" operator="equal">
      <formula>"PCG"</formula>
    </cfRule>
    <cfRule type="cellIs" dxfId="3038" priority="4612" stopIfTrue="1" operator="equal">
      <formula>"VAC"</formula>
    </cfRule>
    <cfRule type="cellIs" dxfId="3037" priority="4613" stopIfTrue="1" operator="equal">
      <formula>"INC"</formula>
    </cfRule>
    <cfRule type="cellIs" dxfId="3036" priority="4614" stopIfTrue="1" operator="equal">
      <formula>"PSG"</formula>
    </cfRule>
    <cfRule type="cellIs" dxfId="3035" priority="4615" stopIfTrue="1" operator="equal">
      <formula>"FALTA"</formula>
    </cfRule>
  </conditionalFormatting>
  <conditionalFormatting sqref="BI87">
    <cfRule type="cellIs" dxfId="3034" priority="4371" stopIfTrue="1" operator="equal">
      <formula>"PCG"</formula>
    </cfRule>
    <cfRule type="cellIs" dxfId="3033" priority="4372" stopIfTrue="1" operator="equal">
      <formula>"VAC"</formula>
    </cfRule>
    <cfRule type="cellIs" dxfId="3032" priority="4373" stopIfTrue="1" operator="equal">
      <formula>"INC"</formula>
    </cfRule>
    <cfRule type="cellIs" dxfId="3031" priority="4374" stopIfTrue="1" operator="equal">
      <formula>"PSG"</formula>
    </cfRule>
    <cfRule type="cellIs" dxfId="3030" priority="4375" stopIfTrue="1" operator="equal">
      <formula>"FALTA"</formula>
    </cfRule>
  </conditionalFormatting>
  <conditionalFormatting sqref="AV254">
    <cfRule type="cellIs" dxfId="3029" priority="4576" stopIfTrue="1" operator="equal">
      <formula>"PCG"</formula>
    </cfRule>
    <cfRule type="cellIs" dxfId="3028" priority="4577" stopIfTrue="1" operator="equal">
      <formula>"VAC"</formula>
    </cfRule>
    <cfRule type="cellIs" dxfId="3027" priority="4578" stopIfTrue="1" operator="equal">
      <formula>"INC"</formula>
    </cfRule>
    <cfRule type="cellIs" dxfId="3026" priority="4579" stopIfTrue="1" operator="equal">
      <formula>"PSG"</formula>
    </cfRule>
    <cfRule type="cellIs" dxfId="3025" priority="4580" stopIfTrue="1" operator="equal">
      <formula>"FALTA"</formula>
    </cfRule>
  </conditionalFormatting>
  <conditionalFormatting sqref="V242">
    <cfRule type="cellIs" dxfId="3024" priority="4341" stopIfTrue="1" operator="equal">
      <formula>"PCG"</formula>
    </cfRule>
    <cfRule type="cellIs" dxfId="3023" priority="4342" stopIfTrue="1" operator="equal">
      <formula>"VAC"</formula>
    </cfRule>
    <cfRule type="cellIs" dxfId="3022" priority="4343" stopIfTrue="1" operator="equal">
      <formula>"INC"</formula>
    </cfRule>
    <cfRule type="cellIs" dxfId="3021" priority="4344" stopIfTrue="1" operator="equal">
      <formula>"PSG"</formula>
    </cfRule>
    <cfRule type="cellIs" dxfId="3020" priority="4345" stopIfTrue="1" operator="equal">
      <formula>"FALTA"</formula>
    </cfRule>
  </conditionalFormatting>
  <conditionalFormatting sqref="V74">
    <cfRule type="cellIs" dxfId="3019" priority="4556" stopIfTrue="1" operator="equal">
      <formula>"PCG"</formula>
    </cfRule>
    <cfRule type="cellIs" dxfId="3018" priority="4557" stopIfTrue="1" operator="equal">
      <formula>"VAC"</formula>
    </cfRule>
    <cfRule type="cellIs" dxfId="3017" priority="4558" stopIfTrue="1" operator="equal">
      <formula>"INC"</formula>
    </cfRule>
    <cfRule type="cellIs" dxfId="3016" priority="4559" stopIfTrue="1" operator="equal">
      <formula>"PSG"</formula>
    </cfRule>
    <cfRule type="cellIs" dxfId="3015" priority="4560" stopIfTrue="1" operator="equal">
      <formula>"FALTA"</formula>
    </cfRule>
  </conditionalFormatting>
  <conditionalFormatting sqref="AI74">
    <cfRule type="cellIs" dxfId="3014" priority="4551" stopIfTrue="1" operator="equal">
      <formula>"PCG"</formula>
    </cfRule>
    <cfRule type="cellIs" dxfId="3013" priority="4552" stopIfTrue="1" operator="equal">
      <formula>"VAC"</formula>
    </cfRule>
    <cfRule type="cellIs" dxfId="3012" priority="4553" stopIfTrue="1" operator="equal">
      <formula>"INC"</formula>
    </cfRule>
    <cfRule type="cellIs" dxfId="3011" priority="4554" stopIfTrue="1" operator="equal">
      <formula>"PSG"</formula>
    </cfRule>
    <cfRule type="cellIs" dxfId="3010" priority="4555" stopIfTrue="1" operator="equal">
      <formula>"FALTA"</formula>
    </cfRule>
  </conditionalFormatting>
  <conditionalFormatting sqref="AV74">
    <cfRule type="cellIs" dxfId="3009" priority="4546" stopIfTrue="1" operator="equal">
      <formula>"PCG"</formula>
    </cfRule>
    <cfRule type="cellIs" dxfId="3008" priority="4547" stopIfTrue="1" operator="equal">
      <formula>"VAC"</formula>
    </cfRule>
    <cfRule type="cellIs" dxfId="3007" priority="4548" stopIfTrue="1" operator="equal">
      <formula>"INC"</formula>
    </cfRule>
    <cfRule type="cellIs" dxfId="3006" priority="4549" stopIfTrue="1" operator="equal">
      <formula>"PSG"</formula>
    </cfRule>
    <cfRule type="cellIs" dxfId="3005" priority="4550" stopIfTrue="1" operator="equal">
      <formula>"FALTA"</formula>
    </cfRule>
  </conditionalFormatting>
  <conditionalFormatting sqref="CI74">
    <cfRule type="cellIs" dxfId="3004" priority="4536" stopIfTrue="1" operator="equal">
      <formula>"PCG"</formula>
    </cfRule>
    <cfRule type="cellIs" dxfId="3003" priority="4537" stopIfTrue="1" operator="equal">
      <formula>"VAC"</formula>
    </cfRule>
    <cfRule type="cellIs" dxfId="3002" priority="4538" stopIfTrue="1" operator="equal">
      <formula>"INC"</formula>
    </cfRule>
    <cfRule type="cellIs" dxfId="3001" priority="4539" stopIfTrue="1" operator="equal">
      <formula>"PSG"</formula>
    </cfRule>
    <cfRule type="cellIs" dxfId="3000" priority="4540" stopIfTrue="1" operator="equal">
      <formula>"FALTA"</formula>
    </cfRule>
  </conditionalFormatting>
  <conditionalFormatting sqref="V59">
    <cfRule type="cellIs" dxfId="2999" priority="4526" stopIfTrue="1" operator="equal">
      <formula>"PCG"</formula>
    </cfRule>
    <cfRule type="cellIs" dxfId="2998" priority="4527" stopIfTrue="1" operator="equal">
      <formula>"VAC"</formula>
    </cfRule>
    <cfRule type="cellIs" dxfId="2997" priority="4528" stopIfTrue="1" operator="equal">
      <formula>"INC"</formula>
    </cfRule>
    <cfRule type="cellIs" dxfId="2996" priority="4529" stopIfTrue="1" operator="equal">
      <formula>"PSG"</formula>
    </cfRule>
    <cfRule type="cellIs" dxfId="2995" priority="4530" stopIfTrue="1" operator="equal">
      <formula>"FALTA"</formula>
    </cfRule>
  </conditionalFormatting>
  <conditionalFormatting sqref="AI59">
    <cfRule type="cellIs" dxfId="2994" priority="4521" stopIfTrue="1" operator="equal">
      <formula>"PCG"</formula>
    </cfRule>
    <cfRule type="cellIs" dxfId="2993" priority="4522" stopIfTrue="1" operator="equal">
      <formula>"VAC"</formula>
    </cfRule>
    <cfRule type="cellIs" dxfId="2992" priority="4523" stopIfTrue="1" operator="equal">
      <formula>"INC"</formula>
    </cfRule>
    <cfRule type="cellIs" dxfId="2991" priority="4524" stopIfTrue="1" operator="equal">
      <formula>"PSG"</formula>
    </cfRule>
    <cfRule type="cellIs" dxfId="2990" priority="4525" stopIfTrue="1" operator="equal">
      <formula>"FALTA"</formula>
    </cfRule>
  </conditionalFormatting>
  <conditionalFormatting sqref="AV59">
    <cfRule type="cellIs" dxfId="2989" priority="4516" stopIfTrue="1" operator="equal">
      <formula>"PCG"</formula>
    </cfRule>
    <cfRule type="cellIs" dxfId="2988" priority="4517" stopIfTrue="1" operator="equal">
      <formula>"VAC"</formula>
    </cfRule>
    <cfRule type="cellIs" dxfId="2987" priority="4518" stopIfTrue="1" operator="equal">
      <formula>"INC"</formula>
    </cfRule>
    <cfRule type="cellIs" dxfId="2986" priority="4519" stopIfTrue="1" operator="equal">
      <formula>"PSG"</formula>
    </cfRule>
    <cfRule type="cellIs" dxfId="2985" priority="4520" stopIfTrue="1" operator="equal">
      <formula>"FALTA"</formula>
    </cfRule>
  </conditionalFormatting>
  <conditionalFormatting sqref="BI59">
    <cfRule type="cellIs" dxfId="2984" priority="4511" stopIfTrue="1" operator="equal">
      <formula>"PCG"</formula>
    </cfRule>
    <cfRule type="cellIs" dxfId="2983" priority="4512" stopIfTrue="1" operator="equal">
      <formula>"VAC"</formula>
    </cfRule>
    <cfRule type="cellIs" dxfId="2982" priority="4513" stopIfTrue="1" operator="equal">
      <formula>"INC"</formula>
    </cfRule>
    <cfRule type="cellIs" dxfId="2981" priority="4514" stopIfTrue="1" operator="equal">
      <formula>"PSG"</formula>
    </cfRule>
    <cfRule type="cellIs" dxfId="2980" priority="4515" stopIfTrue="1" operator="equal">
      <formula>"FALTA"</formula>
    </cfRule>
  </conditionalFormatting>
  <conditionalFormatting sqref="AI196">
    <cfRule type="cellIs" dxfId="2979" priority="4506" stopIfTrue="1" operator="equal">
      <formula>"PCG"</formula>
    </cfRule>
    <cfRule type="cellIs" dxfId="2978" priority="4507" stopIfTrue="1" operator="equal">
      <formula>"VAC"</formula>
    </cfRule>
    <cfRule type="cellIs" dxfId="2977" priority="4508" stopIfTrue="1" operator="equal">
      <formula>"INC"</formula>
    </cfRule>
    <cfRule type="cellIs" dxfId="2976" priority="4509" stopIfTrue="1" operator="equal">
      <formula>"PSG"</formula>
    </cfRule>
    <cfRule type="cellIs" dxfId="2975" priority="4510" stopIfTrue="1" operator="equal">
      <formula>"FALTA"</formula>
    </cfRule>
  </conditionalFormatting>
  <conditionalFormatting sqref="AV196">
    <cfRule type="cellIs" dxfId="2974" priority="4501" stopIfTrue="1" operator="equal">
      <formula>"PCG"</formula>
    </cfRule>
    <cfRule type="cellIs" dxfId="2973" priority="4502" stopIfTrue="1" operator="equal">
      <formula>"VAC"</formula>
    </cfRule>
    <cfRule type="cellIs" dxfId="2972" priority="4503" stopIfTrue="1" operator="equal">
      <formula>"INC"</formula>
    </cfRule>
    <cfRule type="cellIs" dxfId="2971" priority="4504" stopIfTrue="1" operator="equal">
      <formula>"PSG"</formula>
    </cfRule>
    <cfRule type="cellIs" dxfId="2970" priority="4505" stopIfTrue="1" operator="equal">
      <formula>"FALTA"</formula>
    </cfRule>
  </conditionalFormatting>
  <conditionalFormatting sqref="BI196">
    <cfRule type="cellIs" dxfId="2969" priority="4496" stopIfTrue="1" operator="equal">
      <formula>"PCG"</formula>
    </cfRule>
    <cfRule type="cellIs" dxfId="2968" priority="4497" stopIfTrue="1" operator="equal">
      <formula>"VAC"</formula>
    </cfRule>
    <cfRule type="cellIs" dxfId="2967" priority="4498" stopIfTrue="1" operator="equal">
      <formula>"INC"</formula>
    </cfRule>
    <cfRule type="cellIs" dxfId="2966" priority="4499" stopIfTrue="1" operator="equal">
      <formula>"PSG"</formula>
    </cfRule>
    <cfRule type="cellIs" dxfId="2965" priority="4500" stopIfTrue="1" operator="equal">
      <formula>"FALTA"</formula>
    </cfRule>
  </conditionalFormatting>
  <conditionalFormatting sqref="CI196">
    <cfRule type="cellIs" dxfId="2964" priority="4491" stopIfTrue="1" operator="equal">
      <formula>"PCG"</formula>
    </cfRule>
    <cfRule type="cellIs" dxfId="2963" priority="4492" stopIfTrue="1" operator="equal">
      <formula>"VAC"</formula>
    </cfRule>
    <cfRule type="cellIs" dxfId="2962" priority="4493" stopIfTrue="1" operator="equal">
      <formula>"INC"</formula>
    </cfRule>
    <cfRule type="cellIs" dxfId="2961" priority="4494" stopIfTrue="1" operator="equal">
      <formula>"PSG"</formula>
    </cfRule>
    <cfRule type="cellIs" dxfId="2960" priority="4495" stopIfTrue="1" operator="equal">
      <formula>"FALTA"</formula>
    </cfRule>
  </conditionalFormatting>
  <conditionalFormatting sqref="CI164">
    <cfRule type="cellIs" dxfId="2959" priority="4436" stopIfTrue="1" operator="equal">
      <formula>"PCG"</formula>
    </cfRule>
    <cfRule type="cellIs" dxfId="2958" priority="4437" stopIfTrue="1" operator="equal">
      <formula>"VAC"</formula>
    </cfRule>
    <cfRule type="cellIs" dxfId="2957" priority="4438" stopIfTrue="1" operator="equal">
      <formula>"INC"</formula>
    </cfRule>
    <cfRule type="cellIs" dxfId="2956" priority="4439" stopIfTrue="1" operator="equal">
      <formula>"PSG"</formula>
    </cfRule>
    <cfRule type="cellIs" dxfId="2955" priority="4440" stopIfTrue="1" operator="equal">
      <formula>"FALTA"</formula>
    </cfRule>
  </conditionalFormatting>
  <conditionalFormatting sqref="I43">
    <cfRule type="cellIs" dxfId="2954" priority="4431" stopIfTrue="1" operator="equal">
      <formula>"PCG"</formula>
    </cfRule>
    <cfRule type="cellIs" dxfId="2953" priority="4432" stopIfTrue="1" operator="equal">
      <formula>"VAC"</formula>
    </cfRule>
    <cfRule type="cellIs" dxfId="2952" priority="4433" stopIfTrue="1" operator="equal">
      <formula>"INC"</formula>
    </cfRule>
    <cfRule type="cellIs" dxfId="2951" priority="4434" stopIfTrue="1" operator="equal">
      <formula>"PSG"</formula>
    </cfRule>
    <cfRule type="cellIs" dxfId="2950" priority="4435" stopIfTrue="1" operator="equal">
      <formula>"FALTA"</formula>
    </cfRule>
  </conditionalFormatting>
  <conditionalFormatting sqref="CI43">
    <cfRule type="cellIs" dxfId="2949" priority="4406" stopIfTrue="1" operator="equal">
      <formula>"PCG"</formula>
    </cfRule>
    <cfRule type="cellIs" dxfId="2948" priority="4407" stopIfTrue="1" operator="equal">
      <formula>"VAC"</formula>
    </cfRule>
    <cfRule type="cellIs" dxfId="2947" priority="4408" stopIfTrue="1" operator="equal">
      <formula>"INC"</formula>
    </cfRule>
    <cfRule type="cellIs" dxfId="2946" priority="4409" stopIfTrue="1" operator="equal">
      <formula>"PSG"</formula>
    </cfRule>
    <cfRule type="cellIs" dxfId="2945" priority="4410" stopIfTrue="1" operator="equal">
      <formula>"FALTA"</formula>
    </cfRule>
  </conditionalFormatting>
  <conditionalFormatting sqref="I129">
    <cfRule type="cellIs" dxfId="2944" priority="4401" stopIfTrue="1" operator="equal">
      <formula>"PCG"</formula>
    </cfRule>
    <cfRule type="cellIs" dxfId="2943" priority="4402" stopIfTrue="1" operator="equal">
      <formula>"VAC"</formula>
    </cfRule>
    <cfRule type="cellIs" dxfId="2942" priority="4403" stopIfTrue="1" operator="equal">
      <formula>"INC"</formula>
    </cfRule>
    <cfRule type="cellIs" dxfId="2941" priority="4404" stopIfTrue="1" operator="equal">
      <formula>"PSG"</formula>
    </cfRule>
    <cfRule type="cellIs" dxfId="2940" priority="4405" stopIfTrue="1" operator="equal">
      <formula>"FALTA"</formula>
    </cfRule>
  </conditionalFormatting>
  <conditionalFormatting sqref="AI129">
    <cfRule type="cellIs" dxfId="2939" priority="4396" stopIfTrue="1" operator="equal">
      <formula>"PCG"</formula>
    </cfRule>
    <cfRule type="cellIs" dxfId="2938" priority="4397" stopIfTrue="1" operator="equal">
      <formula>"VAC"</formula>
    </cfRule>
    <cfRule type="cellIs" dxfId="2937" priority="4398" stopIfTrue="1" operator="equal">
      <formula>"INC"</formula>
    </cfRule>
    <cfRule type="cellIs" dxfId="2936" priority="4399" stopIfTrue="1" operator="equal">
      <formula>"PSG"</formula>
    </cfRule>
    <cfRule type="cellIs" dxfId="2935" priority="4400" stopIfTrue="1" operator="equal">
      <formula>"FALTA"</formula>
    </cfRule>
  </conditionalFormatting>
  <conditionalFormatting sqref="BI129">
    <cfRule type="cellIs" dxfId="2934" priority="4391" stopIfTrue="1" operator="equal">
      <formula>"PCG"</formula>
    </cfRule>
    <cfRule type="cellIs" dxfId="2933" priority="4392" stopIfTrue="1" operator="equal">
      <formula>"VAC"</formula>
    </cfRule>
    <cfRule type="cellIs" dxfId="2932" priority="4393" stopIfTrue="1" operator="equal">
      <formula>"INC"</formula>
    </cfRule>
    <cfRule type="cellIs" dxfId="2931" priority="4394" stopIfTrue="1" operator="equal">
      <formula>"PSG"</formula>
    </cfRule>
    <cfRule type="cellIs" dxfId="2930" priority="4395" stopIfTrue="1" operator="equal">
      <formula>"FALTA"</formula>
    </cfRule>
  </conditionalFormatting>
  <conditionalFormatting sqref="V87">
    <cfRule type="cellIs" dxfId="2929" priority="4386" stopIfTrue="1" operator="equal">
      <formula>"PCG"</formula>
    </cfRule>
    <cfRule type="cellIs" dxfId="2928" priority="4387" stopIfTrue="1" operator="equal">
      <formula>"VAC"</formula>
    </cfRule>
    <cfRule type="cellIs" dxfId="2927" priority="4388" stopIfTrue="1" operator="equal">
      <formula>"INC"</formula>
    </cfRule>
    <cfRule type="cellIs" dxfId="2926" priority="4389" stopIfTrue="1" operator="equal">
      <formula>"PSG"</formula>
    </cfRule>
    <cfRule type="cellIs" dxfId="2925" priority="4390" stopIfTrue="1" operator="equal">
      <formula>"FALTA"</formula>
    </cfRule>
  </conditionalFormatting>
  <conditionalFormatting sqref="AI87">
    <cfRule type="cellIs" dxfId="2924" priority="4381" stopIfTrue="1" operator="equal">
      <formula>"PCG"</formula>
    </cfRule>
    <cfRule type="cellIs" dxfId="2923" priority="4382" stopIfTrue="1" operator="equal">
      <formula>"VAC"</formula>
    </cfRule>
    <cfRule type="cellIs" dxfId="2922" priority="4383" stopIfTrue="1" operator="equal">
      <formula>"INC"</formula>
    </cfRule>
    <cfRule type="cellIs" dxfId="2921" priority="4384" stopIfTrue="1" operator="equal">
      <formula>"PSG"</formula>
    </cfRule>
    <cfRule type="cellIs" dxfId="2920" priority="4385" stopIfTrue="1" operator="equal">
      <formula>"FALTA"</formula>
    </cfRule>
  </conditionalFormatting>
  <conditionalFormatting sqref="AV87">
    <cfRule type="cellIs" dxfId="2919" priority="4376" stopIfTrue="1" operator="equal">
      <formula>"PCG"</formula>
    </cfRule>
    <cfRule type="cellIs" dxfId="2918" priority="4377" stopIfTrue="1" operator="equal">
      <formula>"VAC"</formula>
    </cfRule>
    <cfRule type="cellIs" dxfId="2917" priority="4378" stopIfTrue="1" operator="equal">
      <formula>"INC"</formula>
    </cfRule>
    <cfRule type="cellIs" dxfId="2916" priority="4379" stopIfTrue="1" operator="equal">
      <formula>"PSG"</formula>
    </cfRule>
    <cfRule type="cellIs" dxfId="2915" priority="4380" stopIfTrue="1" operator="equal">
      <formula>"FALTA"</formula>
    </cfRule>
  </conditionalFormatting>
  <conditionalFormatting sqref="CI87">
    <cfRule type="cellIs" dxfId="2914" priority="4366" stopIfTrue="1" operator="equal">
      <formula>"PCG"</formula>
    </cfRule>
    <cfRule type="cellIs" dxfId="2913" priority="4367" stopIfTrue="1" operator="equal">
      <formula>"VAC"</formula>
    </cfRule>
    <cfRule type="cellIs" dxfId="2912" priority="4368" stopIfTrue="1" operator="equal">
      <formula>"INC"</formula>
    </cfRule>
    <cfRule type="cellIs" dxfId="2911" priority="4369" stopIfTrue="1" operator="equal">
      <formula>"PSG"</formula>
    </cfRule>
    <cfRule type="cellIs" dxfId="2910" priority="4370" stopIfTrue="1" operator="equal">
      <formula>"FALTA"</formula>
    </cfRule>
  </conditionalFormatting>
  <conditionalFormatting sqref="CI242">
    <cfRule type="cellIs" dxfId="2909" priority="4321" stopIfTrue="1" operator="equal">
      <formula>"PCG"</formula>
    </cfRule>
    <cfRule type="cellIs" dxfId="2908" priority="4322" stopIfTrue="1" operator="equal">
      <formula>"VAC"</formula>
    </cfRule>
    <cfRule type="cellIs" dxfId="2907" priority="4323" stopIfTrue="1" operator="equal">
      <formula>"INC"</formula>
    </cfRule>
    <cfRule type="cellIs" dxfId="2906" priority="4324" stopIfTrue="1" operator="equal">
      <formula>"PSG"</formula>
    </cfRule>
    <cfRule type="cellIs" dxfId="2905" priority="4325" stopIfTrue="1" operator="equal">
      <formula>"FALTA"</formula>
    </cfRule>
  </conditionalFormatting>
  <conditionalFormatting sqref="V95">
    <cfRule type="cellIs" dxfId="2904" priority="4316" stopIfTrue="1" operator="equal">
      <formula>"PCG"</formula>
    </cfRule>
    <cfRule type="cellIs" dxfId="2903" priority="4317" stopIfTrue="1" operator="equal">
      <formula>"VAC"</formula>
    </cfRule>
    <cfRule type="cellIs" dxfId="2902" priority="4318" stopIfTrue="1" operator="equal">
      <formula>"INC"</formula>
    </cfRule>
    <cfRule type="cellIs" dxfId="2901" priority="4319" stopIfTrue="1" operator="equal">
      <formula>"PSG"</formula>
    </cfRule>
    <cfRule type="cellIs" dxfId="2900" priority="4320" stopIfTrue="1" operator="equal">
      <formula>"FALTA"</formula>
    </cfRule>
  </conditionalFormatting>
  <conditionalFormatting sqref="AI95">
    <cfRule type="cellIs" dxfId="2899" priority="4311" stopIfTrue="1" operator="equal">
      <formula>"PCG"</formula>
    </cfRule>
    <cfRule type="cellIs" dxfId="2898" priority="4312" stopIfTrue="1" operator="equal">
      <formula>"VAC"</formula>
    </cfRule>
    <cfRule type="cellIs" dxfId="2897" priority="4313" stopIfTrue="1" operator="equal">
      <formula>"INC"</formula>
    </cfRule>
    <cfRule type="cellIs" dxfId="2896" priority="4314" stopIfTrue="1" operator="equal">
      <formula>"PSG"</formula>
    </cfRule>
    <cfRule type="cellIs" dxfId="2895" priority="4315" stopIfTrue="1" operator="equal">
      <formula>"FALTA"</formula>
    </cfRule>
  </conditionalFormatting>
  <conditionalFormatting sqref="AV95">
    <cfRule type="cellIs" dxfId="2894" priority="4306" stopIfTrue="1" operator="equal">
      <formula>"PCG"</formula>
    </cfRule>
    <cfRule type="cellIs" dxfId="2893" priority="4307" stopIfTrue="1" operator="equal">
      <formula>"VAC"</formula>
    </cfRule>
    <cfRule type="cellIs" dxfId="2892" priority="4308" stopIfTrue="1" operator="equal">
      <formula>"INC"</formula>
    </cfRule>
    <cfRule type="cellIs" dxfId="2891" priority="4309" stopIfTrue="1" operator="equal">
      <formula>"PSG"</formula>
    </cfRule>
    <cfRule type="cellIs" dxfId="2890" priority="4310" stopIfTrue="1" operator="equal">
      <formula>"FALTA"</formula>
    </cfRule>
  </conditionalFormatting>
  <conditionalFormatting sqref="CI95">
    <cfRule type="cellIs" dxfId="2889" priority="4296" stopIfTrue="1" operator="equal">
      <formula>"PCG"</formula>
    </cfRule>
    <cfRule type="cellIs" dxfId="2888" priority="4297" stopIfTrue="1" operator="equal">
      <formula>"VAC"</formula>
    </cfRule>
    <cfRule type="cellIs" dxfId="2887" priority="4298" stopIfTrue="1" operator="equal">
      <formula>"INC"</formula>
    </cfRule>
    <cfRule type="cellIs" dxfId="2886" priority="4299" stopIfTrue="1" operator="equal">
      <formula>"PSG"</formula>
    </cfRule>
    <cfRule type="cellIs" dxfId="2885" priority="4300" stopIfTrue="1" operator="equal">
      <formula>"FALTA"</formula>
    </cfRule>
  </conditionalFormatting>
  <conditionalFormatting sqref="BI61">
    <cfRule type="cellIs" dxfId="2884" priority="4281" stopIfTrue="1" operator="equal">
      <formula>"PCG"</formula>
    </cfRule>
    <cfRule type="cellIs" dxfId="2883" priority="4282" stopIfTrue="1" operator="equal">
      <formula>"VAC"</formula>
    </cfRule>
    <cfRule type="cellIs" dxfId="2882" priority="4283" stopIfTrue="1" operator="equal">
      <formula>"INC"</formula>
    </cfRule>
    <cfRule type="cellIs" dxfId="2881" priority="4284" stopIfTrue="1" operator="equal">
      <formula>"PSG"</formula>
    </cfRule>
    <cfRule type="cellIs" dxfId="2880" priority="4285" stopIfTrue="1" operator="equal">
      <formula>"FALTA"</formula>
    </cfRule>
  </conditionalFormatting>
  <conditionalFormatting sqref="V110">
    <cfRule type="cellIs" dxfId="2879" priority="4276" stopIfTrue="1" operator="equal">
      <formula>"PCG"</formula>
    </cfRule>
    <cfRule type="cellIs" dxfId="2878" priority="4277" stopIfTrue="1" operator="equal">
      <formula>"VAC"</formula>
    </cfRule>
    <cfRule type="cellIs" dxfId="2877" priority="4278" stopIfTrue="1" operator="equal">
      <formula>"INC"</formula>
    </cfRule>
    <cfRule type="cellIs" dxfId="2876" priority="4279" stopIfTrue="1" operator="equal">
      <formula>"PSG"</formula>
    </cfRule>
    <cfRule type="cellIs" dxfId="2875" priority="4280" stopIfTrue="1" operator="equal">
      <formula>"FALTA"</formula>
    </cfRule>
  </conditionalFormatting>
  <conditionalFormatting sqref="AI110">
    <cfRule type="cellIs" dxfId="2874" priority="4271" stopIfTrue="1" operator="equal">
      <formula>"PCG"</formula>
    </cfRule>
    <cfRule type="cellIs" dxfId="2873" priority="4272" stopIfTrue="1" operator="equal">
      <formula>"VAC"</formula>
    </cfRule>
    <cfRule type="cellIs" dxfId="2872" priority="4273" stopIfTrue="1" operator="equal">
      <formula>"INC"</formula>
    </cfRule>
    <cfRule type="cellIs" dxfId="2871" priority="4274" stopIfTrue="1" operator="equal">
      <formula>"PSG"</formula>
    </cfRule>
    <cfRule type="cellIs" dxfId="2870" priority="4275" stopIfTrue="1" operator="equal">
      <formula>"FALTA"</formula>
    </cfRule>
  </conditionalFormatting>
  <conditionalFormatting sqref="AV110">
    <cfRule type="cellIs" dxfId="2869" priority="4266" stopIfTrue="1" operator="equal">
      <formula>"PCG"</formula>
    </cfRule>
    <cfRule type="cellIs" dxfId="2868" priority="4267" stopIfTrue="1" operator="equal">
      <formula>"VAC"</formula>
    </cfRule>
    <cfRule type="cellIs" dxfId="2867" priority="4268" stopIfTrue="1" operator="equal">
      <formula>"INC"</formula>
    </cfRule>
    <cfRule type="cellIs" dxfId="2866" priority="4269" stopIfTrue="1" operator="equal">
      <formula>"PSG"</formula>
    </cfRule>
    <cfRule type="cellIs" dxfId="2865" priority="4270" stopIfTrue="1" operator="equal">
      <formula>"FALTA"</formula>
    </cfRule>
  </conditionalFormatting>
  <conditionalFormatting sqref="CI110">
    <cfRule type="cellIs" dxfId="2864" priority="4256" stopIfTrue="1" operator="equal">
      <formula>"PCG"</formula>
    </cfRule>
    <cfRule type="cellIs" dxfId="2863" priority="4257" stopIfTrue="1" operator="equal">
      <formula>"VAC"</formula>
    </cfRule>
    <cfRule type="cellIs" dxfId="2862" priority="4258" stopIfTrue="1" operator="equal">
      <formula>"INC"</formula>
    </cfRule>
    <cfRule type="cellIs" dxfId="2861" priority="4259" stopIfTrue="1" operator="equal">
      <formula>"PSG"</formula>
    </cfRule>
    <cfRule type="cellIs" dxfId="2860" priority="4260" stopIfTrue="1" operator="equal">
      <formula>"FALTA"</formula>
    </cfRule>
  </conditionalFormatting>
  <conditionalFormatting sqref="V137">
    <cfRule type="cellIs" dxfId="2859" priority="4196" stopIfTrue="1" operator="equal">
      <formula>"PCG"</formula>
    </cfRule>
    <cfRule type="cellIs" dxfId="2858" priority="4197" stopIfTrue="1" operator="equal">
      <formula>"VAC"</formula>
    </cfRule>
    <cfRule type="cellIs" dxfId="2857" priority="4198" stopIfTrue="1" operator="equal">
      <formula>"INC"</formula>
    </cfRule>
    <cfRule type="cellIs" dxfId="2856" priority="4199" stopIfTrue="1" operator="equal">
      <formula>"PSG"</formula>
    </cfRule>
    <cfRule type="cellIs" dxfId="2855" priority="4200" stopIfTrue="1" operator="equal">
      <formula>"FALTA"</formula>
    </cfRule>
  </conditionalFormatting>
  <conditionalFormatting sqref="BV166">
    <cfRule type="cellIs" dxfId="2854" priority="4231" stopIfTrue="1" operator="equal">
      <formula>"PCG"</formula>
    </cfRule>
    <cfRule type="cellIs" dxfId="2853" priority="4232" stopIfTrue="1" operator="equal">
      <formula>"VAC"</formula>
    </cfRule>
    <cfRule type="cellIs" dxfId="2852" priority="4233" stopIfTrue="1" operator="equal">
      <formula>"INC"</formula>
    </cfRule>
    <cfRule type="cellIs" dxfId="2851" priority="4234" stopIfTrue="1" operator="equal">
      <formula>"PSG"</formula>
    </cfRule>
    <cfRule type="cellIs" dxfId="2850" priority="4235" stopIfTrue="1" operator="equal">
      <formula>"FALTA"</formula>
    </cfRule>
  </conditionalFormatting>
  <conditionalFormatting sqref="AI137">
    <cfRule type="cellIs" dxfId="2849" priority="4191" stopIfTrue="1" operator="equal">
      <formula>"PCG"</formula>
    </cfRule>
    <cfRule type="cellIs" dxfId="2848" priority="4192" stopIfTrue="1" operator="equal">
      <formula>"VAC"</formula>
    </cfRule>
    <cfRule type="cellIs" dxfId="2847" priority="4193" stopIfTrue="1" operator="equal">
      <formula>"INC"</formula>
    </cfRule>
    <cfRule type="cellIs" dxfId="2846" priority="4194" stopIfTrue="1" operator="equal">
      <formula>"PSG"</formula>
    </cfRule>
    <cfRule type="cellIs" dxfId="2845" priority="4195" stopIfTrue="1" operator="equal">
      <formula>"FALTA"</formula>
    </cfRule>
  </conditionalFormatting>
  <conditionalFormatting sqref="AV137">
    <cfRule type="cellIs" dxfId="2844" priority="4186" stopIfTrue="1" operator="equal">
      <formula>"PCG"</formula>
    </cfRule>
    <cfRule type="cellIs" dxfId="2843" priority="4187" stopIfTrue="1" operator="equal">
      <formula>"VAC"</formula>
    </cfRule>
    <cfRule type="cellIs" dxfId="2842" priority="4188" stopIfTrue="1" operator="equal">
      <formula>"INC"</formula>
    </cfRule>
    <cfRule type="cellIs" dxfId="2841" priority="4189" stopIfTrue="1" operator="equal">
      <formula>"PSG"</formula>
    </cfRule>
    <cfRule type="cellIs" dxfId="2840" priority="4190" stopIfTrue="1" operator="equal">
      <formula>"FALTA"</formula>
    </cfRule>
  </conditionalFormatting>
  <conditionalFormatting sqref="V212">
    <cfRule type="cellIs" dxfId="2839" priority="4181" stopIfTrue="1" operator="equal">
      <formula>"PCG"</formula>
    </cfRule>
    <cfRule type="cellIs" dxfId="2838" priority="4182" stopIfTrue="1" operator="equal">
      <formula>"VAC"</formula>
    </cfRule>
    <cfRule type="cellIs" dxfId="2837" priority="4183" stopIfTrue="1" operator="equal">
      <formula>"INC"</formula>
    </cfRule>
    <cfRule type="cellIs" dxfId="2836" priority="4184" stopIfTrue="1" operator="equal">
      <formula>"PSG"</formula>
    </cfRule>
    <cfRule type="cellIs" dxfId="2835" priority="4185" stopIfTrue="1" operator="equal">
      <formula>"FALTA"</formula>
    </cfRule>
  </conditionalFormatting>
  <conditionalFormatting sqref="AI212">
    <cfRule type="cellIs" dxfId="2834" priority="4176" stopIfTrue="1" operator="equal">
      <formula>"PCG"</formula>
    </cfRule>
    <cfRule type="cellIs" dxfId="2833" priority="4177" stopIfTrue="1" operator="equal">
      <formula>"VAC"</formula>
    </cfRule>
    <cfRule type="cellIs" dxfId="2832" priority="4178" stopIfTrue="1" operator="equal">
      <formula>"INC"</formula>
    </cfRule>
    <cfRule type="cellIs" dxfId="2831" priority="4179" stopIfTrue="1" operator="equal">
      <formula>"PSG"</formula>
    </cfRule>
    <cfRule type="cellIs" dxfId="2830" priority="4180" stopIfTrue="1" operator="equal">
      <formula>"FALTA"</formula>
    </cfRule>
  </conditionalFormatting>
  <conditionalFormatting sqref="AV212">
    <cfRule type="cellIs" dxfId="2829" priority="4171" stopIfTrue="1" operator="equal">
      <formula>"PCG"</formula>
    </cfRule>
    <cfRule type="cellIs" dxfId="2828" priority="4172" stopIfTrue="1" operator="equal">
      <formula>"VAC"</formula>
    </cfRule>
    <cfRule type="cellIs" dxfId="2827" priority="4173" stopIfTrue="1" operator="equal">
      <formula>"INC"</formula>
    </cfRule>
    <cfRule type="cellIs" dxfId="2826" priority="4174" stopIfTrue="1" operator="equal">
      <formula>"PSG"</formula>
    </cfRule>
    <cfRule type="cellIs" dxfId="2825" priority="4175" stopIfTrue="1" operator="equal">
      <formula>"FALTA"</formula>
    </cfRule>
  </conditionalFormatting>
  <conditionalFormatting sqref="V188">
    <cfRule type="cellIs" dxfId="2824" priority="4141" stopIfTrue="1" operator="equal">
      <formula>"PCG"</formula>
    </cfRule>
    <cfRule type="cellIs" dxfId="2823" priority="4142" stopIfTrue="1" operator="equal">
      <formula>"VAC"</formula>
    </cfRule>
    <cfRule type="cellIs" dxfId="2822" priority="4143" stopIfTrue="1" operator="equal">
      <formula>"INC"</formula>
    </cfRule>
    <cfRule type="cellIs" dxfId="2821" priority="4144" stopIfTrue="1" operator="equal">
      <formula>"PSG"</formula>
    </cfRule>
    <cfRule type="cellIs" dxfId="2820" priority="4145" stopIfTrue="1" operator="equal">
      <formula>"FALTA"</formula>
    </cfRule>
  </conditionalFormatting>
  <conditionalFormatting sqref="AI188">
    <cfRule type="cellIs" dxfId="2819" priority="4136" stopIfTrue="1" operator="equal">
      <formula>"PCG"</formula>
    </cfRule>
    <cfRule type="cellIs" dxfId="2818" priority="4137" stopIfTrue="1" operator="equal">
      <formula>"VAC"</formula>
    </cfRule>
    <cfRule type="cellIs" dxfId="2817" priority="4138" stopIfTrue="1" operator="equal">
      <formula>"INC"</formula>
    </cfRule>
    <cfRule type="cellIs" dxfId="2816" priority="4139" stopIfTrue="1" operator="equal">
      <formula>"PSG"</formula>
    </cfRule>
    <cfRule type="cellIs" dxfId="2815" priority="4140" stopIfTrue="1" operator="equal">
      <formula>"FALTA"</formula>
    </cfRule>
  </conditionalFormatting>
  <conditionalFormatting sqref="AV188">
    <cfRule type="cellIs" dxfId="2814" priority="4131" stopIfTrue="1" operator="equal">
      <formula>"PCG"</formula>
    </cfRule>
    <cfRule type="cellIs" dxfId="2813" priority="4132" stopIfTrue="1" operator="equal">
      <formula>"VAC"</formula>
    </cfRule>
    <cfRule type="cellIs" dxfId="2812" priority="4133" stopIfTrue="1" operator="equal">
      <formula>"INC"</formula>
    </cfRule>
    <cfRule type="cellIs" dxfId="2811" priority="4134" stopIfTrue="1" operator="equal">
      <formula>"PSG"</formula>
    </cfRule>
    <cfRule type="cellIs" dxfId="2810" priority="4135" stopIfTrue="1" operator="equal">
      <formula>"FALTA"</formula>
    </cfRule>
  </conditionalFormatting>
  <conditionalFormatting sqref="V274">
    <cfRule type="cellIs" dxfId="2809" priority="3331" stopIfTrue="1" operator="equal">
      <formula>"PCG"</formula>
    </cfRule>
    <cfRule type="cellIs" dxfId="2808" priority="3332" stopIfTrue="1" operator="equal">
      <formula>"VAC"</formula>
    </cfRule>
    <cfRule type="cellIs" dxfId="2807" priority="3333" stopIfTrue="1" operator="equal">
      <formula>"INC"</formula>
    </cfRule>
    <cfRule type="cellIs" dxfId="2806" priority="3334" stopIfTrue="1" operator="equal">
      <formula>"PSG"</formula>
    </cfRule>
    <cfRule type="cellIs" dxfId="2805" priority="3335" stopIfTrue="1" operator="equal">
      <formula>"FALTA"</formula>
    </cfRule>
  </conditionalFormatting>
  <conditionalFormatting sqref="BV188">
    <cfRule type="cellIs" dxfId="2804" priority="4121" stopIfTrue="1" operator="equal">
      <formula>"PCG"</formula>
    </cfRule>
    <cfRule type="cellIs" dxfId="2803" priority="4122" stopIfTrue="1" operator="equal">
      <formula>"VAC"</formula>
    </cfRule>
    <cfRule type="cellIs" dxfId="2802" priority="4123" stopIfTrue="1" operator="equal">
      <formula>"INC"</formula>
    </cfRule>
    <cfRule type="cellIs" dxfId="2801" priority="4124" stopIfTrue="1" operator="equal">
      <formula>"PSG"</formula>
    </cfRule>
    <cfRule type="cellIs" dxfId="2800" priority="4125" stopIfTrue="1" operator="equal">
      <formula>"FALTA"</formula>
    </cfRule>
  </conditionalFormatting>
  <conditionalFormatting sqref="V140">
    <cfRule type="cellIs" dxfId="2799" priority="4096" stopIfTrue="1" operator="equal">
      <formula>"PCG"</formula>
    </cfRule>
    <cfRule type="cellIs" dxfId="2798" priority="4097" stopIfTrue="1" operator="equal">
      <formula>"VAC"</formula>
    </cfRule>
    <cfRule type="cellIs" dxfId="2797" priority="4098" stopIfTrue="1" operator="equal">
      <formula>"INC"</formula>
    </cfRule>
    <cfRule type="cellIs" dxfId="2796" priority="4099" stopIfTrue="1" operator="equal">
      <formula>"PSG"</formula>
    </cfRule>
    <cfRule type="cellIs" dxfId="2795" priority="4100" stopIfTrue="1" operator="equal">
      <formula>"FALTA"</formula>
    </cfRule>
  </conditionalFormatting>
  <conditionalFormatting sqref="AV140">
    <cfRule type="cellIs" dxfId="2794" priority="4086" stopIfTrue="1" operator="equal">
      <formula>"PCG"</formula>
    </cfRule>
    <cfRule type="cellIs" dxfId="2793" priority="4087" stopIfTrue="1" operator="equal">
      <formula>"VAC"</formula>
    </cfRule>
    <cfRule type="cellIs" dxfId="2792" priority="4088" stopIfTrue="1" operator="equal">
      <formula>"INC"</formula>
    </cfRule>
    <cfRule type="cellIs" dxfId="2791" priority="4089" stopIfTrue="1" operator="equal">
      <formula>"PSG"</formula>
    </cfRule>
    <cfRule type="cellIs" dxfId="2790" priority="4090" stopIfTrue="1" operator="equal">
      <formula>"FALTA"</formula>
    </cfRule>
  </conditionalFormatting>
  <conditionalFormatting sqref="V234">
    <cfRule type="cellIs" dxfId="2789" priority="4081" stopIfTrue="1" operator="equal">
      <formula>"PCG"</formula>
    </cfRule>
    <cfRule type="cellIs" dxfId="2788" priority="4082" stopIfTrue="1" operator="equal">
      <formula>"VAC"</formula>
    </cfRule>
    <cfRule type="cellIs" dxfId="2787" priority="4083" stopIfTrue="1" operator="equal">
      <formula>"INC"</formula>
    </cfRule>
    <cfRule type="cellIs" dxfId="2786" priority="4084" stopIfTrue="1" operator="equal">
      <formula>"PSG"</formula>
    </cfRule>
    <cfRule type="cellIs" dxfId="2785" priority="4085" stopIfTrue="1" operator="equal">
      <formula>"FALTA"</formula>
    </cfRule>
  </conditionalFormatting>
  <conditionalFormatting sqref="BV234">
    <cfRule type="cellIs" dxfId="2784" priority="4061" stopIfTrue="1" operator="equal">
      <formula>"PCG"</formula>
    </cfRule>
    <cfRule type="cellIs" dxfId="2783" priority="4062" stopIfTrue="1" operator="equal">
      <formula>"VAC"</formula>
    </cfRule>
    <cfRule type="cellIs" dxfId="2782" priority="4063" stopIfTrue="1" operator="equal">
      <formula>"INC"</formula>
    </cfRule>
    <cfRule type="cellIs" dxfId="2781" priority="4064" stopIfTrue="1" operator="equal">
      <formula>"PSG"</formula>
    </cfRule>
    <cfRule type="cellIs" dxfId="2780" priority="4065" stopIfTrue="1" operator="equal">
      <formula>"FALTA"</formula>
    </cfRule>
  </conditionalFormatting>
  <conditionalFormatting sqref="V220">
    <cfRule type="cellIs" dxfId="2779" priority="4056" stopIfTrue="1" operator="equal">
      <formula>"PCG"</formula>
    </cfRule>
    <cfRule type="cellIs" dxfId="2778" priority="4057" stopIfTrue="1" operator="equal">
      <formula>"VAC"</formula>
    </cfRule>
    <cfRule type="cellIs" dxfId="2777" priority="4058" stopIfTrue="1" operator="equal">
      <formula>"INC"</formula>
    </cfRule>
    <cfRule type="cellIs" dxfId="2776" priority="4059" stopIfTrue="1" operator="equal">
      <formula>"PSG"</formula>
    </cfRule>
    <cfRule type="cellIs" dxfId="2775" priority="4060" stopIfTrue="1" operator="equal">
      <formula>"FALTA"</formula>
    </cfRule>
  </conditionalFormatting>
  <conditionalFormatting sqref="AI220">
    <cfRule type="cellIs" dxfId="2774" priority="4051" stopIfTrue="1" operator="equal">
      <formula>"PCG"</formula>
    </cfRule>
    <cfRule type="cellIs" dxfId="2773" priority="4052" stopIfTrue="1" operator="equal">
      <formula>"VAC"</formula>
    </cfRule>
    <cfRule type="cellIs" dxfId="2772" priority="4053" stopIfTrue="1" operator="equal">
      <formula>"INC"</formula>
    </cfRule>
    <cfRule type="cellIs" dxfId="2771" priority="4054" stopIfTrue="1" operator="equal">
      <formula>"PSG"</formula>
    </cfRule>
    <cfRule type="cellIs" dxfId="2770" priority="4055" stopIfTrue="1" operator="equal">
      <formula>"FALTA"</formula>
    </cfRule>
  </conditionalFormatting>
  <conditionalFormatting sqref="BV220">
    <cfRule type="cellIs" dxfId="2769" priority="4046" stopIfTrue="1" operator="equal">
      <formula>"PCG"</formula>
    </cfRule>
    <cfRule type="cellIs" dxfId="2768" priority="4047" stopIfTrue="1" operator="equal">
      <formula>"VAC"</formula>
    </cfRule>
    <cfRule type="cellIs" dxfId="2767" priority="4048" stopIfTrue="1" operator="equal">
      <formula>"INC"</formula>
    </cfRule>
    <cfRule type="cellIs" dxfId="2766" priority="4049" stopIfTrue="1" operator="equal">
      <formula>"PSG"</formula>
    </cfRule>
    <cfRule type="cellIs" dxfId="2765" priority="4050" stopIfTrue="1" operator="equal">
      <formula>"FALTA"</formula>
    </cfRule>
  </conditionalFormatting>
  <conditionalFormatting sqref="AI236">
    <cfRule type="cellIs" dxfId="2764" priority="4041" stopIfTrue="1" operator="equal">
      <formula>"PCG"</formula>
    </cfRule>
    <cfRule type="cellIs" dxfId="2763" priority="4042" stopIfTrue="1" operator="equal">
      <formula>"VAC"</formula>
    </cfRule>
    <cfRule type="cellIs" dxfId="2762" priority="4043" stopIfTrue="1" operator="equal">
      <formula>"INC"</formula>
    </cfRule>
    <cfRule type="cellIs" dxfId="2761" priority="4044" stopIfTrue="1" operator="equal">
      <formula>"PSG"</formula>
    </cfRule>
    <cfRule type="cellIs" dxfId="2760" priority="4045" stopIfTrue="1" operator="equal">
      <formula>"FALTA"</formula>
    </cfRule>
  </conditionalFormatting>
  <conditionalFormatting sqref="AV236">
    <cfRule type="cellIs" dxfId="2759" priority="4036" stopIfTrue="1" operator="equal">
      <formula>"PCG"</formula>
    </cfRule>
    <cfRule type="cellIs" dxfId="2758" priority="4037" stopIfTrue="1" operator="equal">
      <formula>"VAC"</formula>
    </cfRule>
    <cfRule type="cellIs" dxfId="2757" priority="4038" stopIfTrue="1" operator="equal">
      <formula>"INC"</formula>
    </cfRule>
    <cfRule type="cellIs" dxfId="2756" priority="4039" stopIfTrue="1" operator="equal">
      <formula>"PSG"</formula>
    </cfRule>
    <cfRule type="cellIs" dxfId="2755" priority="4040" stopIfTrue="1" operator="equal">
      <formula>"FALTA"</formula>
    </cfRule>
  </conditionalFormatting>
  <conditionalFormatting sqref="BI236">
    <cfRule type="cellIs" dxfId="2754" priority="4031" stopIfTrue="1" operator="equal">
      <formula>"PCG"</formula>
    </cfRule>
    <cfRule type="cellIs" dxfId="2753" priority="4032" stopIfTrue="1" operator="equal">
      <formula>"VAC"</formula>
    </cfRule>
    <cfRule type="cellIs" dxfId="2752" priority="4033" stopIfTrue="1" operator="equal">
      <formula>"INC"</formula>
    </cfRule>
    <cfRule type="cellIs" dxfId="2751" priority="4034" stopIfTrue="1" operator="equal">
      <formula>"PSG"</formula>
    </cfRule>
    <cfRule type="cellIs" dxfId="2750" priority="4035" stopIfTrue="1" operator="equal">
      <formula>"FALTA"</formula>
    </cfRule>
  </conditionalFormatting>
  <conditionalFormatting sqref="BV236">
    <cfRule type="cellIs" dxfId="2749" priority="4026" stopIfTrue="1" operator="equal">
      <formula>"PCG"</formula>
    </cfRule>
    <cfRule type="cellIs" dxfId="2748" priority="4027" stopIfTrue="1" operator="equal">
      <formula>"VAC"</formula>
    </cfRule>
    <cfRule type="cellIs" dxfId="2747" priority="4028" stopIfTrue="1" operator="equal">
      <formula>"INC"</formula>
    </cfRule>
    <cfRule type="cellIs" dxfId="2746" priority="4029" stopIfTrue="1" operator="equal">
      <formula>"PSG"</formula>
    </cfRule>
    <cfRule type="cellIs" dxfId="2745" priority="4030" stopIfTrue="1" operator="equal">
      <formula>"FALTA"</formula>
    </cfRule>
  </conditionalFormatting>
  <conditionalFormatting sqref="AI109">
    <cfRule type="cellIs" dxfId="2744" priority="4016" stopIfTrue="1" operator="equal">
      <formula>"PCG"</formula>
    </cfRule>
    <cfRule type="cellIs" dxfId="2743" priority="4017" stopIfTrue="1" operator="equal">
      <formula>"VAC"</formula>
    </cfRule>
    <cfRule type="cellIs" dxfId="2742" priority="4018" stopIfTrue="1" operator="equal">
      <formula>"INC"</formula>
    </cfRule>
    <cfRule type="cellIs" dxfId="2741" priority="4019" stopIfTrue="1" operator="equal">
      <formula>"PSG"</formula>
    </cfRule>
    <cfRule type="cellIs" dxfId="2740" priority="4020" stopIfTrue="1" operator="equal">
      <formula>"FALTA"</formula>
    </cfRule>
  </conditionalFormatting>
  <conditionalFormatting sqref="BV109">
    <cfRule type="cellIs" dxfId="2739" priority="4011" stopIfTrue="1" operator="equal">
      <formula>"PCG"</formula>
    </cfRule>
    <cfRule type="cellIs" dxfId="2738" priority="4012" stopIfTrue="1" operator="equal">
      <formula>"VAC"</formula>
    </cfRule>
    <cfRule type="cellIs" dxfId="2737" priority="4013" stopIfTrue="1" operator="equal">
      <formula>"INC"</formula>
    </cfRule>
    <cfRule type="cellIs" dxfId="2736" priority="4014" stopIfTrue="1" operator="equal">
      <formula>"PSG"</formula>
    </cfRule>
    <cfRule type="cellIs" dxfId="2735" priority="4015" stopIfTrue="1" operator="equal">
      <formula>"FALTA"</formula>
    </cfRule>
  </conditionalFormatting>
  <conditionalFormatting sqref="BV57">
    <cfRule type="cellIs" dxfId="2734" priority="3356" stopIfTrue="1" operator="equal">
      <formula>"PCG"</formula>
    </cfRule>
    <cfRule type="cellIs" dxfId="2733" priority="3357" stopIfTrue="1" operator="equal">
      <formula>"VAC"</formula>
    </cfRule>
    <cfRule type="cellIs" dxfId="2732" priority="3358" stopIfTrue="1" operator="equal">
      <formula>"INC"</formula>
    </cfRule>
    <cfRule type="cellIs" dxfId="2731" priority="3359" stopIfTrue="1" operator="equal">
      <formula>"PSG"</formula>
    </cfRule>
    <cfRule type="cellIs" dxfId="2730" priority="3360" stopIfTrue="1" operator="equal">
      <formula>"FALTA"</formula>
    </cfRule>
  </conditionalFormatting>
  <conditionalFormatting sqref="CI198">
    <cfRule type="cellIs" dxfId="2729" priority="3986" stopIfTrue="1" operator="equal">
      <formula>"PCG"</formula>
    </cfRule>
    <cfRule type="cellIs" dxfId="2728" priority="3987" stopIfTrue="1" operator="equal">
      <formula>"VAC"</formula>
    </cfRule>
    <cfRule type="cellIs" dxfId="2727" priority="3988" stopIfTrue="1" operator="equal">
      <formula>"INC"</formula>
    </cfRule>
    <cfRule type="cellIs" dxfId="2726" priority="3989" stopIfTrue="1" operator="equal">
      <formula>"PSG"</formula>
    </cfRule>
    <cfRule type="cellIs" dxfId="2725" priority="3990" stopIfTrue="1" operator="equal">
      <formula>"FALTA"</formula>
    </cfRule>
  </conditionalFormatting>
  <conditionalFormatting sqref="V66">
    <cfRule type="cellIs" dxfId="2724" priority="3981" stopIfTrue="1" operator="equal">
      <formula>"PCG"</formula>
    </cfRule>
    <cfRule type="cellIs" dxfId="2723" priority="3982" stopIfTrue="1" operator="equal">
      <formula>"VAC"</formula>
    </cfRule>
    <cfRule type="cellIs" dxfId="2722" priority="3983" stopIfTrue="1" operator="equal">
      <formula>"INC"</formula>
    </cfRule>
    <cfRule type="cellIs" dxfId="2721" priority="3984" stopIfTrue="1" operator="equal">
      <formula>"PSG"</formula>
    </cfRule>
    <cfRule type="cellIs" dxfId="2720" priority="3985" stopIfTrue="1" operator="equal">
      <formula>"FALTA"</formula>
    </cfRule>
  </conditionalFormatting>
  <conditionalFormatting sqref="AI66">
    <cfRule type="cellIs" dxfId="2719" priority="3976" stopIfTrue="1" operator="equal">
      <formula>"PCG"</formula>
    </cfRule>
    <cfRule type="cellIs" dxfId="2718" priority="3977" stopIfTrue="1" operator="equal">
      <formula>"VAC"</formula>
    </cfRule>
    <cfRule type="cellIs" dxfId="2717" priority="3978" stopIfTrue="1" operator="equal">
      <formula>"INC"</formula>
    </cfRule>
    <cfRule type="cellIs" dxfId="2716" priority="3979" stopIfTrue="1" operator="equal">
      <formula>"PSG"</formula>
    </cfRule>
    <cfRule type="cellIs" dxfId="2715" priority="3980" stopIfTrue="1" operator="equal">
      <formula>"FALTA"</formula>
    </cfRule>
  </conditionalFormatting>
  <conditionalFormatting sqref="AV66">
    <cfRule type="cellIs" dxfId="2714" priority="3971" stopIfTrue="1" operator="equal">
      <formula>"PCG"</formula>
    </cfRule>
    <cfRule type="cellIs" dxfId="2713" priority="3972" stopIfTrue="1" operator="equal">
      <formula>"VAC"</formula>
    </cfRule>
    <cfRule type="cellIs" dxfId="2712" priority="3973" stopIfTrue="1" operator="equal">
      <formula>"INC"</formula>
    </cfRule>
    <cfRule type="cellIs" dxfId="2711" priority="3974" stopIfTrue="1" operator="equal">
      <formula>"PSG"</formula>
    </cfRule>
    <cfRule type="cellIs" dxfId="2710" priority="3975" stopIfTrue="1" operator="equal">
      <formula>"FALTA"</formula>
    </cfRule>
  </conditionalFormatting>
  <conditionalFormatting sqref="BI66">
    <cfRule type="cellIs" dxfId="2709" priority="3966" stopIfTrue="1" operator="equal">
      <formula>"PCG"</formula>
    </cfRule>
    <cfRule type="cellIs" dxfId="2708" priority="3967" stopIfTrue="1" operator="equal">
      <formula>"VAC"</formula>
    </cfRule>
    <cfRule type="cellIs" dxfId="2707" priority="3968" stopIfTrue="1" operator="equal">
      <formula>"INC"</formula>
    </cfRule>
    <cfRule type="cellIs" dxfId="2706" priority="3969" stopIfTrue="1" operator="equal">
      <formula>"PSG"</formula>
    </cfRule>
    <cfRule type="cellIs" dxfId="2705" priority="3970" stopIfTrue="1" operator="equal">
      <formula>"FALTA"</formula>
    </cfRule>
  </conditionalFormatting>
  <conditionalFormatting sqref="BI226">
    <cfRule type="cellIs" dxfId="2704" priority="3961" stopIfTrue="1" operator="equal">
      <formula>"PCG"</formula>
    </cfRule>
    <cfRule type="cellIs" dxfId="2703" priority="3962" stopIfTrue="1" operator="equal">
      <formula>"VAC"</formula>
    </cfRule>
    <cfRule type="cellIs" dxfId="2702" priority="3963" stopIfTrue="1" operator="equal">
      <formula>"INC"</formula>
    </cfRule>
    <cfRule type="cellIs" dxfId="2701" priority="3964" stopIfTrue="1" operator="equal">
      <formula>"PSG"</formula>
    </cfRule>
    <cfRule type="cellIs" dxfId="2700" priority="3965" stopIfTrue="1" operator="equal">
      <formula>"FALTA"</formula>
    </cfRule>
  </conditionalFormatting>
  <conditionalFormatting sqref="BV226">
    <cfRule type="cellIs" dxfId="2699" priority="3956" stopIfTrue="1" operator="equal">
      <formula>"PCG"</formula>
    </cfRule>
    <cfRule type="cellIs" dxfId="2698" priority="3957" stopIfTrue="1" operator="equal">
      <formula>"VAC"</formula>
    </cfRule>
    <cfRule type="cellIs" dxfId="2697" priority="3958" stopIfTrue="1" operator="equal">
      <formula>"INC"</formula>
    </cfRule>
    <cfRule type="cellIs" dxfId="2696" priority="3959" stopIfTrue="1" operator="equal">
      <formula>"PSG"</formula>
    </cfRule>
    <cfRule type="cellIs" dxfId="2695" priority="3960" stopIfTrue="1" operator="equal">
      <formula>"FALTA"</formula>
    </cfRule>
  </conditionalFormatting>
  <conditionalFormatting sqref="AI86">
    <cfRule type="cellIs" dxfId="2694" priority="3951" stopIfTrue="1" operator="equal">
      <formula>"PCG"</formula>
    </cfRule>
    <cfRule type="cellIs" dxfId="2693" priority="3952" stopIfTrue="1" operator="equal">
      <formula>"VAC"</formula>
    </cfRule>
    <cfRule type="cellIs" dxfId="2692" priority="3953" stopIfTrue="1" operator="equal">
      <formula>"INC"</formula>
    </cfRule>
    <cfRule type="cellIs" dxfId="2691" priority="3954" stopIfTrue="1" operator="equal">
      <formula>"PSG"</formula>
    </cfRule>
    <cfRule type="cellIs" dxfId="2690" priority="3955" stopIfTrue="1" operator="equal">
      <formula>"FALTA"</formula>
    </cfRule>
  </conditionalFormatting>
  <conditionalFormatting sqref="BI86">
    <cfRule type="cellIs" dxfId="2689" priority="3946" stopIfTrue="1" operator="equal">
      <formula>"PCG"</formula>
    </cfRule>
    <cfRule type="cellIs" dxfId="2688" priority="3947" stopIfTrue="1" operator="equal">
      <formula>"VAC"</formula>
    </cfRule>
    <cfRule type="cellIs" dxfId="2687" priority="3948" stopIfTrue="1" operator="equal">
      <formula>"INC"</formula>
    </cfRule>
    <cfRule type="cellIs" dxfId="2686" priority="3949" stopIfTrue="1" operator="equal">
      <formula>"PSG"</formula>
    </cfRule>
    <cfRule type="cellIs" dxfId="2685" priority="3950" stopIfTrue="1" operator="equal">
      <formula>"FALTA"</formula>
    </cfRule>
  </conditionalFormatting>
  <conditionalFormatting sqref="AI247">
    <cfRule type="cellIs" dxfId="2684" priority="3941" stopIfTrue="1" operator="equal">
      <formula>"PCG"</formula>
    </cfRule>
    <cfRule type="cellIs" dxfId="2683" priority="3942" stopIfTrue="1" operator="equal">
      <formula>"VAC"</formula>
    </cfRule>
    <cfRule type="cellIs" dxfId="2682" priority="3943" stopIfTrue="1" operator="equal">
      <formula>"INC"</formula>
    </cfRule>
    <cfRule type="cellIs" dxfId="2681" priority="3944" stopIfTrue="1" operator="equal">
      <formula>"PSG"</formula>
    </cfRule>
    <cfRule type="cellIs" dxfId="2680" priority="3945" stopIfTrue="1" operator="equal">
      <formula>"FALTA"</formula>
    </cfRule>
  </conditionalFormatting>
  <conditionalFormatting sqref="BI247">
    <cfRule type="cellIs" dxfId="2679" priority="3936" stopIfTrue="1" operator="equal">
      <formula>"PCG"</formula>
    </cfRule>
    <cfRule type="cellIs" dxfId="2678" priority="3937" stopIfTrue="1" operator="equal">
      <formula>"VAC"</formula>
    </cfRule>
    <cfRule type="cellIs" dxfId="2677" priority="3938" stopIfTrue="1" operator="equal">
      <formula>"INC"</formula>
    </cfRule>
    <cfRule type="cellIs" dxfId="2676" priority="3939" stopIfTrue="1" operator="equal">
      <formula>"PSG"</formula>
    </cfRule>
    <cfRule type="cellIs" dxfId="2675" priority="3940" stopIfTrue="1" operator="equal">
      <formula>"FALTA"</formula>
    </cfRule>
  </conditionalFormatting>
  <conditionalFormatting sqref="BI267">
    <cfRule type="cellIs" dxfId="2674" priority="3901" stopIfTrue="1" operator="equal">
      <formula>"PCG"</formula>
    </cfRule>
    <cfRule type="cellIs" dxfId="2673" priority="3902" stopIfTrue="1" operator="equal">
      <formula>"VAC"</formula>
    </cfRule>
    <cfRule type="cellIs" dxfId="2672" priority="3903" stopIfTrue="1" operator="equal">
      <formula>"INC"</formula>
    </cfRule>
    <cfRule type="cellIs" dxfId="2671" priority="3904" stopIfTrue="1" operator="equal">
      <formula>"PSG"</formula>
    </cfRule>
    <cfRule type="cellIs" dxfId="2670" priority="3905" stopIfTrue="1" operator="equal">
      <formula>"FALTA"</formula>
    </cfRule>
  </conditionalFormatting>
  <conditionalFormatting sqref="AI178">
    <cfRule type="cellIs" dxfId="2669" priority="3896" stopIfTrue="1" operator="equal">
      <formula>"PCG"</formula>
    </cfRule>
    <cfRule type="cellIs" dxfId="2668" priority="3897" stopIfTrue="1" operator="equal">
      <formula>"VAC"</formula>
    </cfRule>
    <cfRule type="cellIs" dxfId="2667" priority="3898" stopIfTrue="1" operator="equal">
      <formula>"INC"</formula>
    </cfRule>
    <cfRule type="cellIs" dxfId="2666" priority="3899" stopIfTrue="1" operator="equal">
      <formula>"PSG"</formula>
    </cfRule>
    <cfRule type="cellIs" dxfId="2665" priority="3900" stopIfTrue="1" operator="equal">
      <formula>"FALTA"</formula>
    </cfRule>
  </conditionalFormatting>
  <conditionalFormatting sqref="AV178">
    <cfRule type="cellIs" dxfId="2664" priority="3891" stopIfTrue="1" operator="equal">
      <formula>"PCG"</formula>
    </cfRule>
    <cfRule type="cellIs" dxfId="2663" priority="3892" stopIfTrue="1" operator="equal">
      <formula>"VAC"</formula>
    </cfRule>
    <cfRule type="cellIs" dxfId="2662" priority="3893" stopIfTrue="1" operator="equal">
      <formula>"INC"</formula>
    </cfRule>
    <cfRule type="cellIs" dxfId="2661" priority="3894" stopIfTrue="1" operator="equal">
      <formula>"PSG"</formula>
    </cfRule>
    <cfRule type="cellIs" dxfId="2660" priority="3895" stopIfTrue="1" operator="equal">
      <formula>"FALTA"</formula>
    </cfRule>
  </conditionalFormatting>
  <conditionalFormatting sqref="AI52">
    <cfRule type="cellIs" dxfId="2659" priority="3401" stopIfTrue="1" operator="equal">
      <formula>"PCG"</formula>
    </cfRule>
    <cfRule type="cellIs" dxfId="2658" priority="3402" stopIfTrue="1" operator="equal">
      <formula>"VAC"</formula>
    </cfRule>
    <cfRule type="cellIs" dxfId="2657" priority="3403" stopIfTrue="1" operator="equal">
      <formula>"INC"</formula>
    </cfRule>
    <cfRule type="cellIs" dxfId="2656" priority="3404" stopIfTrue="1" operator="equal">
      <formula>"PSG"</formula>
    </cfRule>
    <cfRule type="cellIs" dxfId="2655" priority="3405" stopIfTrue="1" operator="equal">
      <formula>"FALTA"</formula>
    </cfRule>
  </conditionalFormatting>
  <conditionalFormatting sqref="AI44">
    <cfRule type="cellIs" dxfId="2654" priority="3851" stopIfTrue="1" operator="equal">
      <formula>"PCG"</formula>
    </cfRule>
    <cfRule type="cellIs" dxfId="2653" priority="3852" stopIfTrue="1" operator="equal">
      <formula>"VAC"</formula>
    </cfRule>
    <cfRule type="cellIs" dxfId="2652" priority="3853" stopIfTrue="1" operator="equal">
      <formula>"INC"</formula>
    </cfRule>
    <cfRule type="cellIs" dxfId="2651" priority="3854" stopIfTrue="1" operator="equal">
      <formula>"PSG"</formula>
    </cfRule>
    <cfRule type="cellIs" dxfId="2650" priority="3855" stopIfTrue="1" operator="equal">
      <formula>"FALTA"</formula>
    </cfRule>
  </conditionalFormatting>
  <conditionalFormatting sqref="BI44">
    <cfRule type="cellIs" dxfId="2649" priority="3846" stopIfTrue="1" operator="equal">
      <formula>"PCG"</formula>
    </cfRule>
    <cfRule type="cellIs" dxfId="2648" priority="3847" stopIfTrue="1" operator="equal">
      <formula>"VAC"</formula>
    </cfRule>
    <cfRule type="cellIs" dxfId="2647" priority="3848" stopIfTrue="1" operator="equal">
      <formula>"INC"</formula>
    </cfRule>
    <cfRule type="cellIs" dxfId="2646" priority="3849" stopIfTrue="1" operator="equal">
      <formula>"PSG"</formula>
    </cfRule>
    <cfRule type="cellIs" dxfId="2645" priority="3850" stopIfTrue="1" operator="equal">
      <formula>"FALTA"</formula>
    </cfRule>
  </conditionalFormatting>
  <conditionalFormatting sqref="BV44">
    <cfRule type="cellIs" dxfId="2644" priority="3841" stopIfTrue="1" operator="equal">
      <formula>"PCG"</formula>
    </cfRule>
    <cfRule type="cellIs" dxfId="2643" priority="3842" stopIfTrue="1" operator="equal">
      <formula>"VAC"</formula>
    </cfRule>
    <cfRule type="cellIs" dxfId="2642" priority="3843" stopIfTrue="1" operator="equal">
      <formula>"INC"</formula>
    </cfRule>
    <cfRule type="cellIs" dxfId="2641" priority="3844" stopIfTrue="1" operator="equal">
      <formula>"PSG"</formula>
    </cfRule>
    <cfRule type="cellIs" dxfId="2640" priority="3845" stopIfTrue="1" operator="equal">
      <formula>"FALTA"</formula>
    </cfRule>
  </conditionalFormatting>
  <conditionalFormatting sqref="CI44">
    <cfRule type="cellIs" dxfId="2639" priority="3836" stopIfTrue="1" operator="equal">
      <formula>"PCG"</formula>
    </cfRule>
    <cfRule type="cellIs" dxfId="2638" priority="3837" stopIfTrue="1" operator="equal">
      <formula>"VAC"</formula>
    </cfRule>
    <cfRule type="cellIs" dxfId="2637" priority="3838" stopIfTrue="1" operator="equal">
      <formula>"INC"</formula>
    </cfRule>
    <cfRule type="cellIs" dxfId="2636" priority="3839" stopIfTrue="1" operator="equal">
      <formula>"PSG"</formula>
    </cfRule>
    <cfRule type="cellIs" dxfId="2635" priority="3840" stopIfTrue="1" operator="equal">
      <formula>"FALTA"</formula>
    </cfRule>
  </conditionalFormatting>
  <conditionalFormatting sqref="AI122">
    <cfRule type="cellIs" dxfId="2634" priority="3831" stopIfTrue="1" operator="equal">
      <formula>"PCG"</formula>
    </cfRule>
    <cfRule type="cellIs" dxfId="2633" priority="3832" stopIfTrue="1" operator="equal">
      <formula>"VAC"</formula>
    </cfRule>
    <cfRule type="cellIs" dxfId="2632" priority="3833" stopIfTrue="1" operator="equal">
      <formula>"INC"</formula>
    </cfRule>
    <cfRule type="cellIs" dxfId="2631" priority="3834" stopIfTrue="1" operator="equal">
      <formula>"PSG"</formula>
    </cfRule>
    <cfRule type="cellIs" dxfId="2630" priority="3835" stopIfTrue="1" operator="equal">
      <formula>"FALTA"</formula>
    </cfRule>
  </conditionalFormatting>
  <conditionalFormatting sqref="AI138">
    <cfRule type="cellIs" dxfId="2629" priority="3826" stopIfTrue="1" operator="equal">
      <formula>"PCG"</formula>
    </cfRule>
    <cfRule type="cellIs" dxfId="2628" priority="3827" stopIfTrue="1" operator="equal">
      <formula>"VAC"</formula>
    </cfRule>
    <cfRule type="cellIs" dxfId="2627" priority="3828" stopIfTrue="1" operator="equal">
      <formula>"INC"</formula>
    </cfRule>
    <cfRule type="cellIs" dxfId="2626" priority="3829" stopIfTrue="1" operator="equal">
      <formula>"PSG"</formula>
    </cfRule>
    <cfRule type="cellIs" dxfId="2625" priority="3830" stopIfTrue="1" operator="equal">
      <formula>"FALTA"</formula>
    </cfRule>
  </conditionalFormatting>
  <conditionalFormatting sqref="AV138">
    <cfRule type="cellIs" dxfId="2624" priority="3821" stopIfTrue="1" operator="equal">
      <formula>"PCG"</formula>
    </cfRule>
    <cfRule type="cellIs" dxfId="2623" priority="3822" stopIfTrue="1" operator="equal">
      <formula>"VAC"</formula>
    </cfRule>
    <cfRule type="cellIs" dxfId="2622" priority="3823" stopIfTrue="1" operator="equal">
      <formula>"INC"</formula>
    </cfRule>
    <cfRule type="cellIs" dxfId="2621" priority="3824" stopIfTrue="1" operator="equal">
      <formula>"PSG"</formula>
    </cfRule>
    <cfRule type="cellIs" dxfId="2620" priority="3825" stopIfTrue="1" operator="equal">
      <formula>"FALTA"</formula>
    </cfRule>
  </conditionalFormatting>
  <conditionalFormatting sqref="BI138">
    <cfRule type="cellIs" dxfId="2619" priority="3816" stopIfTrue="1" operator="equal">
      <formula>"PCG"</formula>
    </cfRule>
    <cfRule type="cellIs" dxfId="2618" priority="3817" stopIfTrue="1" operator="equal">
      <formula>"VAC"</formula>
    </cfRule>
    <cfRule type="cellIs" dxfId="2617" priority="3818" stopIfTrue="1" operator="equal">
      <formula>"INC"</formula>
    </cfRule>
    <cfRule type="cellIs" dxfId="2616" priority="3819" stopIfTrue="1" operator="equal">
      <formula>"PSG"</formula>
    </cfRule>
    <cfRule type="cellIs" dxfId="2615" priority="3820" stopIfTrue="1" operator="equal">
      <formula>"FALTA"</formula>
    </cfRule>
  </conditionalFormatting>
  <conditionalFormatting sqref="V155">
    <cfRule type="cellIs" dxfId="2614" priority="3771" stopIfTrue="1" operator="equal">
      <formula>"PCG"</formula>
    </cfRule>
    <cfRule type="cellIs" dxfId="2613" priority="3772" stopIfTrue="1" operator="equal">
      <formula>"VAC"</formula>
    </cfRule>
    <cfRule type="cellIs" dxfId="2612" priority="3773" stopIfTrue="1" operator="equal">
      <formula>"INC"</formula>
    </cfRule>
    <cfRule type="cellIs" dxfId="2611" priority="3774" stopIfTrue="1" operator="equal">
      <formula>"PSG"</formula>
    </cfRule>
    <cfRule type="cellIs" dxfId="2610" priority="3775" stopIfTrue="1" operator="equal">
      <formula>"FALTA"</formula>
    </cfRule>
  </conditionalFormatting>
  <conditionalFormatting sqref="BV155">
    <cfRule type="cellIs" dxfId="2609" priority="3766" stopIfTrue="1" operator="equal">
      <formula>"PCG"</formula>
    </cfRule>
    <cfRule type="cellIs" dxfId="2608" priority="3767" stopIfTrue="1" operator="equal">
      <formula>"VAC"</formula>
    </cfRule>
    <cfRule type="cellIs" dxfId="2607" priority="3768" stopIfTrue="1" operator="equal">
      <formula>"INC"</formula>
    </cfRule>
    <cfRule type="cellIs" dxfId="2606" priority="3769" stopIfTrue="1" operator="equal">
      <formula>"PSG"</formula>
    </cfRule>
    <cfRule type="cellIs" dxfId="2605" priority="3770" stopIfTrue="1" operator="equal">
      <formula>"FALTA"</formula>
    </cfRule>
  </conditionalFormatting>
  <conditionalFormatting sqref="AI77">
    <cfRule type="cellIs" dxfId="2604" priority="3761" stopIfTrue="1" operator="equal">
      <formula>"PCG"</formula>
    </cfRule>
    <cfRule type="cellIs" dxfId="2603" priority="3762" stopIfTrue="1" operator="equal">
      <formula>"VAC"</formula>
    </cfRule>
    <cfRule type="cellIs" dxfId="2602" priority="3763" stopIfTrue="1" operator="equal">
      <formula>"INC"</formula>
    </cfRule>
    <cfRule type="cellIs" dxfId="2601" priority="3764" stopIfTrue="1" operator="equal">
      <formula>"PSG"</formula>
    </cfRule>
    <cfRule type="cellIs" dxfId="2600" priority="3765" stopIfTrue="1" operator="equal">
      <formula>"FALTA"</formula>
    </cfRule>
  </conditionalFormatting>
  <conditionalFormatting sqref="AV77">
    <cfRule type="cellIs" dxfId="2599" priority="3756" stopIfTrue="1" operator="equal">
      <formula>"PCG"</formula>
    </cfRule>
    <cfRule type="cellIs" dxfId="2598" priority="3757" stopIfTrue="1" operator="equal">
      <formula>"VAC"</formula>
    </cfRule>
    <cfRule type="cellIs" dxfId="2597" priority="3758" stopIfTrue="1" operator="equal">
      <formula>"INC"</formula>
    </cfRule>
    <cfRule type="cellIs" dxfId="2596" priority="3759" stopIfTrue="1" operator="equal">
      <formula>"PSG"</formula>
    </cfRule>
    <cfRule type="cellIs" dxfId="2595" priority="3760" stopIfTrue="1" operator="equal">
      <formula>"FALTA"</formula>
    </cfRule>
  </conditionalFormatting>
  <conditionalFormatting sqref="BI77">
    <cfRule type="cellIs" dxfId="2594" priority="3751" stopIfTrue="1" operator="equal">
      <formula>"PCG"</formula>
    </cfRule>
    <cfRule type="cellIs" dxfId="2593" priority="3752" stopIfTrue="1" operator="equal">
      <formula>"VAC"</formula>
    </cfRule>
    <cfRule type="cellIs" dxfId="2592" priority="3753" stopIfTrue="1" operator="equal">
      <formula>"INC"</formula>
    </cfRule>
    <cfRule type="cellIs" dxfId="2591" priority="3754" stopIfTrue="1" operator="equal">
      <formula>"PSG"</formula>
    </cfRule>
    <cfRule type="cellIs" dxfId="2590" priority="3755" stopIfTrue="1" operator="equal">
      <formula>"FALTA"</formula>
    </cfRule>
  </conditionalFormatting>
  <conditionalFormatting sqref="V93">
    <cfRule type="cellIs" dxfId="2589" priority="3691" stopIfTrue="1" operator="equal">
      <formula>"PCG"</formula>
    </cfRule>
    <cfRule type="cellIs" dxfId="2588" priority="3692" stopIfTrue="1" operator="equal">
      <formula>"VAC"</formula>
    </cfRule>
    <cfRule type="cellIs" dxfId="2587" priority="3693" stopIfTrue="1" operator="equal">
      <formula>"INC"</formula>
    </cfRule>
    <cfRule type="cellIs" dxfId="2586" priority="3694" stopIfTrue="1" operator="equal">
      <formula>"PSG"</formula>
    </cfRule>
    <cfRule type="cellIs" dxfId="2585" priority="3695" stopIfTrue="1" operator="equal">
      <formula>"FALTA"</formula>
    </cfRule>
  </conditionalFormatting>
  <conditionalFormatting sqref="AV192">
    <cfRule type="cellIs" dxfId="2584" priority="3641" stopIfTrue="1" operator="equal">
      <formula>"PCG"</formula>
    </cfRule>
    <cfRule type="cellIs" dxfId="2583" priority="3642" stopIfTrue="1" operator="equal">
      <formula>"VAC"</formula>
    </cfRule>
    <cfRule type="cellIs" dxfId="2582" priority="3643" stopIfTrue="1" operator="equal">
      <formula>"INC"</formula>
    </cfRule>
    <cfRule type="cellIs" dxfId="2581" priority="3644" stopIfTrue="1" operator="equal">
      <formula>"PSG"</formula>
    </cfRule>
    <cfRule type="cellIs" dxfId="2580" priority="3645" stopIfTrue="1" operator="equal">
      <formula>"FALTA"</formula>
    </cfRule>
  </conditionalFormatting>
  <conditionalFormatting sqref="V224">
    <cfRule type="cellIs" dxfId="2579" priority="3631" stopIfTrue="1" operator="equal">
      <formula>"PCG"</formula>
    </cfRule>
    <cfRule type="cellIs" dxfId="2578" priority="3632" stopIfTrue="1" operator="equal">
      <formula>"VAC"</formula>
    </cfRule>
    <cfRule type="cellIs" dxfId="2577" priority="3633" stopIfTrue="1" operator="equal">
      <formula>"INC"</formula>
    </cfRule>
    <cfRule type="cellIs" dxfId="2576" priority="3634" stopIfTrue="1" operator="equal">
      <formula>"PSG"</formula>
    </cfRule>
    <cfRule type="cellIs" dxfId="2575" priority="3635" stopIfTrue="1" operator="equal">
      <formula>"FALTA"</formula>
    </cfRule>
  </conditionalFormatting>
  <conditionalFormatting sqref="AI224">
    <cfRule type="cellIs" dxfId="2574" priority="3626" stopIfTrue="1" operator="equal">
      <formula>"PCG"</formula>
    </cfRule>
    <cfRule type="cellIs" dxfId="2573" priority="3627" stopIfTrue="1" operator="equal">
      <formula>"VAC"</formula>
    </cfRule>
    <cfRule type="cellIs" dxfId="2572" priority="3628" stopIfTrue="1" operator="equal">
      <formula>"INC"</formula>
    </cfRule>
    <cfRule type="cellIs" dxfId="2571" priority="3629" stopIfTrue="1" operator="equal">
      <formula>"PSG"</formula>
    </cfRule>
    <cfRule type="cellIs" dxfId="2570" priority="3630" stopIfTrue="1" operator="equal">
      <formula>"FALTA"</formula>
    </cfRule>
  </conditionalFormatting>
  <conditionalFormatting sqref="AV224">
    <cfRule type="cellIs" dxfId="2569" priority="3621" stopIfTrue="1" operator="equal">
      <formula>"PCG"</formula>
    </cfRule>
    <cfRule type="cellIs" dxfId="2568" priority="3622" stopIfTrue="1" operator="equal">
      <formula>"VAC"</formula>
    </cfRule>
    <cfRule type="cellIs" dxfId="2567" priority="3623" stopIfTrue="1" operator="equal">
      <formula>"INC"</formula>
    </cfRule>
    <cfRule type="cellIs" dxfId="2566" priority="3624" stopIfTrue="1" operator="equal">
      <formula>"PSG"</formula>
    </cfRule>
    <cfRule type="cellIs" dxfId="2565" priority="3625" stopIfTrue="1" operator="equal">
      <formula>"FALTA"</formula>
    </cfRule>
  </conditionalFormatting>
  <conditionalFormatting sqref="V53">
    <cfRule type="cellIs" dxfId="2564" priority="3606" stopIfTrue="1" operator="equal">
      <formula>"PCG"</formula>
    </cfRule>
    <cfRule type="cellIs" dxfId="2563" priority="3607" stopIfTrue="1" operator="equal">
      <formula>"VAC"</formula>
    </cfRule>
    <cfRule type="cellIs" dxfId="2562" priority="3608" stopIfTrue="1" operator="equal">
      <formula>"INC"</formula>
    </cfRule>
    <cfRule type="cellIs" dxfId="2561" priority="3609" stopIfTrue="1" operator="equal">
      <formula>"PSG"</formula>
    </cfRule>
    <cfRule type="cellIs" dxfId="2560" priority="3610" stopIfTrue="1" operator="equal">
      <formula>"FALTA"</formula>
    </cfRule>
  </conditionalFormatting>
  <conditionalFormatting sqref="AI53">
    <cfRule type="cellIs" dxfId="2559" priority="3601" stopIfTrue="1" operator="equal">
      <formula>"PCG"</formula>
    </cfRule>
    <cfRule type="cellIs" dxfId="2558" priority="3602" stopIfTrue="1" operator="equal">
      <formula>"VAC"</formula>
    </cfRule>
    <cfRule type="cellIs" dxfId="2557" priority="3603" stopIfTrue="1" operator="equal">
      <formula>"INC"</formula>
    </cfRule>
    <cfRule type="cellIs" dxfId="2556" priority="3604" stopIfTrue="1" operator="equal">
      <formula>"PSG"</formula>
    </cfRule>
    <cfRule type="cellIs" dxfId="2555" priority="3605" stopIfTrue="1" operator="equal">
      <formula>"FALTA"</formula>
    </cfRule>
  </conditionalFormatting>
  <conditionalFormatting sqref="AV53">
    <cfRule type="cellIs" dxfId="2554" priority="3596" stopIfTrue="1" operator="equal">
      <formula>"PCG"</formula>
    </cfRule>
    <cfRule type="cellIs" dxfId="2553" priority="3597" stopIfTrue="1" operator="equal">
      <formula>"VAC"</formula>
    </cfRule>
    <cfRule type="cellIs" dxfId="2552" priority="3598" stopIfTrue="1" operator="equal">
      <formula>"INC"</formula>
    </cfRule>
    <cfRule type="cellIs" dxfId="2551" priority="3599" stopIfTrue="1" operator="equal">
      <formula>"PSG"</formula>
    </cfRule>
    <cfRule type="cellIs" dxfId="2550" priority="3600" stopIfTrue="1" operator="equal">
      <formula>"FALTA"</formula>
    </cfRule>
  </conditionalFormatting>
  <conditionalFormatting sqref="AV260">
    <cfRule type="cellIs" dxfId="2549" priority="3586" stopIfTrue="1" operator="equal">
      <formula>"PCG"</formula>
    </cfRule>
    <cfRule type="cellIs" dxfId="2548" priority="3587" stopIfTrue="1" operator="equal">
      <formula>"VAC"</formula>
    </cfRule>
    <cfRule type="cellIs" dxfId="2547" priority="3588" stopIfTrue="1" operator="equal">
      <formula>"INC"</formula>
    </cfRule>
    <cfRule type="cellIs" dxfId="2546" priority="3589" stopIfTrue="1" operator="equal">
      <formula>"PSG"</formula>
    </cfRule>
    <cfRule type="cellIs" dxfId="2545" priority="3590" stopIfTrue="1" operator="equal">
      <formula>"FALTA"</formula>
    </cfRule>
  </conditionalFormatting>
  <conditionalFormatting sqref="AI241">
    <cfRule type="cellIs" dxfId="2544" priority="3581" stopIfTrue="1" operator="equal">
      <formula>"PCG"</formula>
    </cfRule>
    <cfRule type="cellIs" dxfId="2543" priority="3582" stopIfTrue="1" operator="equal">
      <formula>"VAC"</formula>
    </cfRule>
    <cfRule type="cellIs" dxfId="2542" priority="3583" stopIfTrue="1" operator="equal">
      <formula>"INC"</formula>
    </cfRule>
    <cfRule type="cellIs" dxfId="2541" priority="3584" stopIfTrue="1" operator="equal">
      <formula>"PSG"</formula>
    </cfRule>
    <cfRule type="cellIs" dxfId="2540" priority="3585" stopIfTrue="1" operator="equal">
      <formula>"FALTA"</formula>
    </cfRule>
  </conditionalFormatting>
  <conditionalFormatting sqref="V260">
    <cfRule type="cellIs" dxfId="2539" priority="3556" stopIfTrue="1" operator="equal">
      <formula>"PCG"</formula>
    </cfRule>
    <cfRule type="cellIs" dxfId="2538" priority="3557" stopIfTrue="1" operator="equal">
      <formula>"VAC"</formula>
    </cfRule>
    <cfRule type="cellIs" dxfId="2537" priority="3558" stopIfTrue="1" operator="equal">
      <formula>"INC"</formula>
    </cfRule>
    <cfRule type="cellIs" dxfId="2536" priority="3559" stopIfTrue="1" operator="equal">
      <formula>"PSG"</formula>
    </cfRule>
    <cfRule type="cellIs" dxfId="2535" priority="3560" stopIfTrue="1" operator="equal">
      <formula>"FALTA"</formula>
    </cfRule>
  </conditionalFormatting>
  <conditionalFormatting sqref="AI260">
    <cfRule type="cellIs" dxfId="2534" priority="3551" stopIfTrue="1" operator="equal">
      <formula>"PCG"</formula>
    </cfRule>
    <cfRule type="cellIs" dxfId="2533" priority="3552" stopIfTrue="1" operator="equal">
      <formula>"VAC"</formula>
    </cfRule>
    <cfRule type="cellIs" dxfId="2532" priority="3553" stopIfTrue="1" operator="equal">
      <formula>"INC"</formula>
    </cfRule>
    <cfRule type="cellIs" dxfId="2531" priority="3554" stopIfTrue="1" operator="equal">
      <formula>"PSG"</formula>
    </cfRule>
    <cfRule type="cellIs" dxfId="2530" priority="3555" stopIfTrue="1" operator="equal">
      <formula>"FALTA"</formula>
    </cfRule>
  </conditionalFormatting>
  <conditionalFormatting sqref="BI260">
    <cfRule type="cellIs" dxfId="2529" priority="3546" stopIfTrue="1" operator="equal">
      <formula>"PCG"</formula>
    </cfRule>
    <cfRule type="cellIs" dxfId="2528" priority="3547" stopIfTrue="1" operator="equal">
      <formula>"VAC"</formula>
    </cfRule>
    <cfRule type="cellIs" dxfId="2527" priority="3548" stopIfTrue="1" operator="equal">
      <formula>"INC"</formula>
    </cfRule>
    <cfRule type="cellIs" dxfId="2526" priority="3549" stopIfTrue="1" operator="equal">
      <formula>"PSG"</formula>
    </cfRule>
    <cfRule type="cellIs" dxfId="2525" priority="3550" stopIfTrue="1" operator="equal">
      <formula>"FALTA"</formula>
    </cfRule>
  </conditionalFormatting>
  <conditionalFormatting sqref="V114">
    <cfRule type="cellIs" dxfId="2524" priority="3541" stopIfTrue="1" operator="equal">
      <formula>"PCG"</formula>
    </cfRule>
    <cfRule type="cellIs" dxfId="2523" priority="3542" stopIfTrue="1" operator="equal">
      <formula>"VAC"</formula>
    </cfRule>
    <cfRule type="cellIs" dxfId="2522" priority="3543" stopIfTrue="1" operator="equal">
      <formula>"INC"</formula>
    </cfRule>
    <cfRule type="cellIs" dxfId="2521" priority="3544" stopIfTrue="1" operator="equal">
      <formula>"PSG"</formula>
    </cfRule>
    <cfRule type="cellIs" dxfId="2520" priority="3545" stopIfTrue="1" operator="equal">
      <formula>"FALTA"</formula>
    </cfRule>
  </conditionalFormatting>
  <conditionalFormatting sqref="AI114">
    <cfRule type="cellIs" dxfId="2519" priority="3536" stopIfTrue="1" operator="equal">
      <formula>"PCG"</formula>
    </cfRule>
    <cfRule type="cellIs" dxfId="2518" priority="3537" stopIfTrue="1" operator="equal">
      <formula>"VAC"</formula>
    </cfRule>
    <cfRule type="cellIs" dxfId="2517" priority="3538" stopIfTrue="1" operator="equal">
      <formula>"INC"</formula>
    </cfRule>
    <cfRule type="cellIs" dxfId="2516" priority="3539" stopIfTrue="1" operator="equal">
      <formula>"PSG"</formula>
    </cfRule>
    <cfRule type="cellIs" dxfId="2515" priority="3540" stopIfTrue="1" operator="equal">
      <formula>"FALTA"</formula>
    </cfRule>
  </conditionalFormatting>
  <conditionalFormatting sqref="AV114">
    <cfRule type="cellIs" dxfId="2514" priority="3531" stopIfTrue="1" operator="equal">
      <formula>"PCG"</formula>
    </cfRule>
    <cfRule type="cellIs" dxfId="2513" priority="3532" stopIfTrue="1" operator="equal">
      <formula>"VAC"</formula>
    </cfRule>
    <cfRule type="cellIs" dxfId="2512" priority="3533" stopIfTrue="1" operator="equal">
      <formula>"INC"</formula>
    </cfRule>
    <cfRule type="cellIs" dxfId="2511" priority="3534" stopIfTrue="1" operator="equal">
      <formula>"PSG"</formula>
    </cfRule>
    <cfRule type="cellIs" dxfId="2510" priority="3535" stopIfTrue="1" operator="equal">
      <formula>"FALTA"</formula>
    </cfRule>
  </conditionalFormatting>
  <conditionalFormatting sqref="BI114">
    <cfRule type="cellIs" dxfId="2509" priority="3526" stopIfTrue="1" operator="equal">
      <formula>"PCG"</formula>
    </cfRule>
    <cfRule type="cellIs" dxfId="2508" priority="3527" stopIfTrue="1" operator="equal">
      <formula>"VAC"</formula>
    </cfRule>
    <cfRule type="cellIs" dxfId="2507" priority="3528" stopIfTrue="1" operator="equal">
      <formula>"INC"</formula>
    </cfRule>
    <cfRule type="cellIs" dxfId="2506" priority="3529" stopIfTrue="1" operator="equal">
      <formula>"PSG"</formula>
    </cfRule>
    <cfRule type="cellIs" dxfId="2505" priority="3530" stopIfTrue="1" operator="equal">
      <formula>"FALTA"</formula>
    </cfRule>
  </conditionalFormatting>
  <conditionalFormatting sqref="AV145">
    <cfRule type="cellIs" dxfId="2504" priority="3506" stopIfTrue="1" operator="equal">
      <formula>"PCG"</formula>
    </cfRule>
    <cfRule type="cellIs" dxfId="2503" priority="3507" stopIfTrue="1" operator="equal">
      <formula>"VAC"</formula>
    </cfRule>
    <cfRule type="cellIs" dxfId="2502" priority="3508" stopIfTrue="1" operator="equal">
      <formula>"INC"</formula>
    </cfRule>
    <cfRule type="cellIs" dxfId="2501" priority="3509" stopIfTrue="1" operator="equal">
      <formula>"PSG"</formula>
    </cfRule>
    <cfRule type="cellIs" dxfId="2500" priority="3510" stopIfTrue="1" operator="equal">
      <formula>"FALTA"</formula>
    </cfRule>
  </conditionalFormatting>
  <conditionalFormatting sqref="AI214">
    <cfRule type="cellIs" dxfId="2499" priority="3481" stopIfTrue="1" operator="equal">
      <formula>"PCG"</formula>
    </cfRule>
    <cfRule type="cellIs" dxfId="2498" priority="3482" stopIfTrue="1" operator="equal">
      <formula>"VAC"</formula>
    </cfRule>
    <cfRule type="cellIs" dxfId="2497" priority="3483" stopIfTrue="1" operator="equal">
      <formula>"INC"</formula>
    </cfRule>
    <cfRule type="cellIs" dxfId="2496" priority="3484" stopIfTrue="1" operator="equal">
      <formula>"PSG"</formula>
    </cfRule>
    <cfRule type="cellIs" dxfId="2495" priority="3485" stopIfTrue="1" operator="equal">
      <formula>"FALTA"</formula>
    </cfRule>
  </conditionalFormatting>
  <conditionalFormatting sqref="AV214">
    <cfRule type="cellIs" dxfId="2494" priority="3476" stopIfTrue="1" operator="equal">
      <formula>"PCG"</formula>
    </cfRule>
    <cfRule type="cellIs" dxfId="2493" priority="3477" stopIfTrue="1" operator="equal">
      <formula>"VAC"</formula>
    </cfRule>
    <cfRule type="cellIs" dxfId="2492" priority="3478" stopIfTrue="1" operator="equal">
      <formula>"INC"</formula>
    </cfRule>
    <cfRule type="cellIs" dxfId="2491" priority="3479" stopIfTrue="1" operator="equal">
      <formula>"PSG"</formula>
    </cfRule>
    <cfRule type="cellIs" dxfId="2490" priority="3480" stopIfTrue="1" operator="equal">
      <formula>"FALTA"</formula>
    </cfRule>
  </conditionalFormatting>
  <conditionalFormatting sqref="AV139">
    <cfRule type="cellIs" dxfId="2489" priority="3451" stopIfTrue="1" operator="equal">
      <formula>"PCG"</formula>
    </cfRule>
    <cfRule type="cellIs" dxfId="2488" priority="3452" stopIfTrue="1" operator="equal">
      <formula>"VAC"</formula>
    </cfRule>
    <cfRule type="cellIs" dxfId="2487" priority="3453" stopIfTrue="1" operator="equal">
      <formula>"INC"</formula>
    </cfRule>
    <cfRule type="cellIs" dxfId="2486" priority="3454" stopIfTrue="1" operator="equal">
      <formula>"PSG"</formula>
    </cfRule>
    <cfRule type="cellIs" dxfId="2485" priority="3455" stopIfTrue="1" operator="equal">
      <formula>"FALTA"</formula>
    </cfRule>
  </conditionalFormatting>
  <conditionalFormatting sqref="AV47">
    <cfRule type="cellIs" dxfId="2484" priority="3456" stopIfTrue="1" operator="equal">
      <formula>"PCG"</formula>
    </cfRule>
    <cfRule type="cellIs" dxfId="2483" priority="3457" stopIfTrue="1" operator="equal">
      <formula>"VAC"</formula>
    </cfRule>
    <cfRule type="cellIs" dxfId="2482" priority="3458" stopIfTrue="1" operator="equal">
      <formula>"INC"</formula>
    </cfRule>
    <cfRule type="cellIs" dxfId="2481" priority="3459" stopIfTrue="1" operator="equal">
      <formula>"PSG"</formula>
    </cfRule>
    <cfRule type="cellIs" dxfId="2480" priority="3460" stopIfTrue="1" operator="equal">
      <formula>"FALTA"</formula>
    </cfRule>
  </conditionalFormatting>
  <conditionalFormatting sqref="AI234">
    <cfRule type="cellIs" dxfId="2479" priority="3446" stopIfTrue="1" operator="equal">
      <formula>"PCG"</formula>
    </cfRule>
    <cfRule type="cellIs" dxfId="2478" priority="3447" stopIfTrue="1" operator="equal">
      <formula>"VAC"</formula>
    </cfRule>
    <cfRule type="cellIs" dxfId="2477" priority="3448" stopIfTrue="1" operator="equal">
      <formula>"INC"</formula>
    </cfRule>
    <cfRule type="cellIs" dxfId="2476" priority="3449" stopIfTrue="1" operator="equal">
      <formula>"PSG"</formula>
    </cfRule>
    <cfRule type="cellIs" dxfId="2475" priority="3450" stopIfTrue="1" operator="equal">
      <formula>"FALTA"</formula>
    </cfRule>
  </conditionalFormatting>
  <conditionalFormatting sqref="AV234">
    <cfRule type="cellIs" dxfId="2474" priority="3441" stopIfTrue="1" operator="equal">
      <formula>"PCG"</formula>
    </cfRule>
    <cfRule type="cellIs" dxfId="2473" priority="3442" stopIfTrue="1" operator="equal">
      <formula>"VAC"</formula>
    </cfRule>
    <cfRule type="cellIs" dxfId="2472" priority="3443" stopIfTrue="1" operator="equal">
      <formula>"INC"</formula>
    </cfRule>
    <cfRule type="cellIs" dxfId="2471" priority="3444" stopIfTrue="1" operator="equal">
      <formula>"PSG"</formula>
    </cfRule>
    <cfRule type="cellIs" dxfId="2470" priority="3445" stopIfTrue="1" operator="equal">
      <formula>"FALTA"</formula>
    </cfRule>
  </conditionalFormatting>
  <conditionalFormatting sqref="BI234">
    <cfRule type="cellIs" dxfId="2469" priority="3436" stopIfTrue="1" operator="equal">
      <formula>"PCG"</formula>
    </cfRule>
    <cfRule type="cellIs" dxfId="2468" priority="3437" stopIfTrue="1" operator="equal">
      <formula>"VAC"</formula>
    </cfRule>
    <cfRule type="cellIs" dxfId="2467" priority="3438" stopIfTrue="1" operator="equal">
      <formula>"INC"</formula>
    </cfRule>
    <cfRule type="cellIs" dxfId="2466" priority="3439" stopIfTrue="1" operator="equal">
      <formula>"PSG"</formula>
    </cfRule>
    <cfRule type="cellIs" dxfId="2465" priority="3440" stopIfTrue="1" operator="equal">
      <formula>"FALTA"</formula>
    </cfRule>
  </conditionalFormatting>
  <conditionalFormatting sqref="CI234">
    <cfRule type="cellIs" dxfId="2464" priority="3431" stopIfTrue="1" operator="equal">
      <formula>"PCG"</formula>
    </cfRule>
    <cfRule type="cellIs" dxfId="2463" priority="3432" stopIfTrue="1" operator="equal">
      <formula>"VAC"</formula>
    </cfRule>
    <cfRule type="cellIs" dxfId="2462" priority="3433" stopIfTrue="1" operator="equal">
      <formula>"INC"</formula>
    </cfRule>
    <cfRule type="cellIs" dxfId="2461" priority="3434" stopIfTrue="1" operator="equal">
      <formula>"PSG"</formula>
    </cfRule>
    <cfRule type="cellIs" dxfId="2460" priority="3435" stopIfTrue="1" operator="equal">
      <formula>"FALTA"</formula>
    </cfRule>
  </conditionalFormatting>
  <conditionalFormatting sqref="V52">
    <cfRule type="cellIs" dxfId="2459" priority="3406" stopIfTrue="1" operator="equal">
      <formula>"PCG"</formula>
    </cfRule>
    <cfRule type="cellIs" dxfId="2458" priority="3407" stopIfTrue="1" operator="equal">
      <formula>"VAC"</formula>
    </cfRule>
    <cfRule type="cellIs" dxfId="2457" priority="3408" stopIfTrue="1" operator="equal">
      <formula>"INC"</formula>
    </cfRule>
    <cfRule type="cellIs" dxfId="2456" priority="3409" stopIfTrue="1" operator="equal">
      <formula>"PSG"</formula>
    </cfRule>
    <cfRule type="cellIs" dxfId="2455" priority="3410" stopIfTrue="1" operator="equal">
      <formula>"FALTA"</formula>
    </cfRule>
  </conditionalFormatting>
  <conditionalFormatting sqref="BI280">
    <cfRule type="cellIs" dxfId="2454" priority="3266" stopIfTrue="1" operator="equal">
      <formula>"PCG"</formula>
    </cfRule>
    <cfRule type="cellIs" dxfId="2453" priority="3267" stopIfTrue="1" operator="equal">
      <formula>"VAC"</formula>
    </cfRule>
    <cfRule type="cellIs" dxfId="2452" priority="3268" stopIfTrue="1" operator="equal">
      <formula>"INC"</formula>
    </cfRule>
    <cfRule type="cellIs" dxfId="2451" priority="3269" stopIfTrue="1" operator="equal">
      <formula>"PSG"</formula>
    </cfRule>
    <cfRule type="cellIs" dxfId="2450" priority="3270" stopIfTrue="1" operator="equal">
      <formula>"FALTA"</formula>
    </cfRule>
  </conditionalFormatting>
  <conditionalFormatting sqref="BV102">
    <cfRule type="cellIs" dxfId="2449" priority="3381" stopIfTrue="1" operator="equal">
      <formula>"PCG"</formula>
    </cfRule>
    <cfRule type="cellIs" dxfId="2448" priority="3382" stopIfTrue="1" operator="equal">
      <formula>"VAC"</formula>
    </cfRule>
    <cfRule type="cellIs" dxfId="2447" priority="3383" stopIfTrue="1" operator="equal">
      <formula>"INC"</formula>
    </cfRule>
    <cfRule type="cellIs" dxfId="2446" priority="3384" stopIfTrue="1" operator="equal">
      <formula>"PSG"</formula>
    </cfRule>
    <cfRule type="cellIs" dxfId="2445" priority="3385" stopIfTrue="1" operator="equal">
      <formula>"FALTA"</formula>
    </cfRule>
  </conditionalFormatting>
  <conditionalFormatting sqref="V57">
    <cfRule type="cellIs" dxfId="2444" priority="3376" stopIfTrue="1" operator="equal">
      <formula>"PCG"</formula>
    </cfRule>
    <cfRule type="cellIs" dxfId="2443" priority="3377" stopIfTrue="1" operator="equal">
      <formula>"VAC"</formula>
    </cfRule>
    <cfRule type="cellIs" dxfId="2442" priority="3378" stopIfTrue="1" operator="equal">
      <formula>"INC"</formula>
    </cfRule>
    <cfRule type="cellIs" dxfId="2441" priority="3379" stopIfTrue="1" operator="equal">
      <formula>"PSG"</formula>
    </cfRule>
    <cfRule type="cellIs" dxfId="2440" priority="3380" stopIfTrue="1" operator="equal">
      <formula>"FALTA"</formula>
    </cfRule>
  </conditionalFormatting>
  <conditionalFormatting sqref="AI57">
    <cfRule type="cellIs" dxfId="2439" priority="3371" stopIfTrue="1" operator="equal">
      <formula>"PCG"</formula>
    </cfRule>
    <cfRule type="cellIs" dxfId="2438" priority="3372" stopIfTrue="1" operator="equal">
      <formula>"VAC"</formula>
    </cfRule>
    <cfRule type="cellIs" dxfId="2437" priority="3373" stopIfTrue="1" operator="equal">
      <formula>"INC"</formula>
    </cfRule>
    <cfRule type="cellIs" dxfId="2436" priority="3374" stopIfTrue="1" operator="equal">
      <formula>"PSG"</formula>
    </cfRule>
    <cfRule type="cellIs" dxfId="2435" priority="3375" stopIfTrue="1" operator="equal">
      <formula>"FALTA"</formula>
    </cfRule>
  </conditionalFormatting>
  <conditionalFormatting sqref="AV57">
    <cfRule type="cellIs" dxfId="2434" priority="3366" stopIfTrue="1" operator="equal">
      <formula>"PCG"</formula>
    </cfRule>
    <cfRule type="cellIs" dxfId="2433" priority="3367" stopIfTrue="1" operator="equal">
      <formula>"VAC"</formula>
    </cfRule>
    <cfRule type="cellIs" dxfId="2432" priority="3368" stopIfTrue="1" operator="equal">
      <formula>"INC"</formula>
    </cfRule>
    <cfRule type="cellIs" dxfId="2431" priority="3369" stopIfTrue="1" operator="equal">
      <formula>"PSG"</formula>
    </cfRule>
    <cfRule type="cellIs" dxfId="2430" priority="3370" stopIfTrue="1" operator="equal">
      <formula>"FALTA"</formula>
    </cfRule>
  </conditionalFormatting>
  <conditionalFormatting sqref="BI57">
    <cfRule type="cellIs" dxfId="2429" priority="3361" stopIfTrue="1" operator="equal">
      <formula>"PCG"</formula>
    </cfRule>
    <cfRule type="cellIs" dxfId="2428" priority="3362" stopIfTrue="1" operator="equal">
      <formula>"VAC"</formula>
    </cfRule>
    <cfRule type="cellIs" dxfId="2427" priority="3363" stopIfTrue="1" operator="equal">
      <formula>"INC"</formula>
    </cfRule>
    <cfRule type="cellIs" dxfId="2426" priority="3364" stopIfTrue="1" operator="equal">
      <formula>"PSG"</formula>
    </cfRule>
    <cfRule type="cellIs" dxfId="2425" priority="3365" stopIfTrue="1" operator="equal">
      <formula>"FALTA"</formula>
    </cfRule>
  </conditionalFormatting>
  <conditionalFormatting sqref="AI158">
    <cfRule type="cellIs" dxfId="2424" priority="3351" stopIfTrue="1" operator="equal">
      <formula>"PCG"</formula>
    </cfRule>
    <cfRule type="cellIs" dxfId="2423" priority="3352" stopIfTrue="1" operator="equal">
      <formula>"VAC"</formula>
    </cfRule>
    <cfRule type="cellIs" dxfId="2422" priority="3353" stopIfTrue="1" operator="equal">
      <formula>"INC"</formula>
    </cfRule>
    <cfRule type="cellIs" dxfId="2421" priority="3354" stopIfTrue="1" operator="equal">
      <formula>"PSG"</formula>
    </cfRule>
    <cfRule type="cellIs" dxfId="2420" priority="3355" stopIfTrue="1" operator="equal">
      <formula>"FALTA"</formula>
    </cfRule>
  </conditionalFormatting>
  <conditionalFormatting sqref="AV158">
    <cfRule type="cellIs" dxfId="2419" priority="3346" stopIfTrue="1" operator="equal">
      <formula>"PCG"</formula>
    </cfRule>
    <cfRule type="cellIs" dxfId="2418" priority="3347" stopIfTrue="1" operator="equal">
      <formula>"VAC"</formula>
    </cfRule>
    <cfRule type="cellIs" dxfId="2417" priority="3348" stopIfTrue="1" operator="equal">
      <formula>"INC"</formula>
    </cfRule>
    <cfRule type="cellIs" dxfId="2416" priority="3349" stopIfTrue="1" operator="equal">
      <formula>"PSG"</formula>
    </cfRule>
    <cfRule type="cellIs" dxfId="2415" priority="3350" stopIfTrue="1" operator="equal">
      <formula>"FALTA"</formula>
    </cfRule>
  </conditionalFormatting>
  <conditionalFormatting sqref="BI158">
    <cfRule type="cellIs" dxfId="2414" priority="3341" stopIfTrue="1" operator="equal">
      <formula>"PCG"</formula>
    </cfRule>
    <cfRule type="cellIs" dxfId="2413" priority="3342" stopIfTrue="1" operator="equal">
      <formula>"VAC"</formula>
    </cfRule>
    <cfRule type="cellIs" dxfId="2412" priority="3343" stopIfTrue="1" operator="equal">
      <formula>"INC"</formula>
    </cfRule>
    <cfRule type="cellIs" dxfId="2411" priority="3344" stopIfTrue="1" operator="equal">
      <formula>"PSG"</formula>
    </cfRule>
    <cfRule type="cellIs" dxfId="2410" priority="3345" stopIfTrue="1" operator="equal">
      <formula>"FALTA"</formula>
    </cfRule>
  </conditionalFormatting>
  <conditionalFormatting sqref="BV158">
    <cfRule type="cellIs" dxfId="2409" priority="3336" stopIfTrue="1" operator="equal">
      <formula>"PCG"</formula>
    </cfRule>
    <cfRule type="cellIs" dxfId="2408" priority="3337" stopIfTrue="1" operator="equal">
      <formula>"VAC"</formula>
    </cfRule>
    <cfRule type="cellIs" dxfId="2407" priority="3338" stopIfTrue="1" operator="equal">
      <formula>"INC"</formula>
    </cfRule>
    <cfRule type="cellIs" dxfId="2406" priority="3339" stopIfTrue="1" operator="equal">
      <formula>"PSG"</formula>
    </cfRule>
    <cfRule type="cellIs" dxfId="2405" priority="3340" stopIfTrue="1" operator="equal">
      <formula>"FALTA"</formula>
    </cfRule>
  </conditionalFormatting>
  <conditionalFormatting sqref="AI274">
    <cfRule type="cellIs" dxfId="2404" priority="3326" stopIfTrue="1" operator="equal">
      <formula>"PCG"</formula>
    </cfRule>
    <cfRule type="cellIs" dxfId="2403" priority="3327" stopIfTrue="1" operator="equal">
      <formula>"VAC"</formula>
    </cfRule>
    <cfRule type="cellIs" dxfId="2402" priority="3328" stopIfTrue="1" operator="equal">
      <formula>"INC"</formula>
    </cfRule>
    <cfRule type="cellIs" dxfId="2401" priority="3329" stopIfTrue="1" operator="equal">
      <formula>"PSG"</formula>
    </cfRule>
    <cfRule type="cellIs" dxfId="2400" priority="3330" stopIfTrue="1" operator="equal">
      <formula>"FALTA"</formula>
    </cfRule>
  </conditionalFormatting>
  <conditionalFormatting sqref="AV274">
    <cfRule type="cellIs" dxfId="2399" priority="3321" stopIfTrue="1" operator="equal">
      <formula>"PCG"</formula>
    </cfRule>
    <cfRule type="cellIs" dxfId="2398" priority="3322" stopIfTrue="1" operator="equal">
      <formula>"VAC"</formula>
    </cfRule>
    <cfRule type="cellIs" dxfId="2397" priority="3323" stopIfTrue="1" operator="equal">
      <formula>"INC"</formula>
    </cfRule>
    <cfRule type="cellIs" dxfId="2396" priority="3324" stopIfTrue="1" operator="equal">
      <formula>"PSG"</formula>
    </cfRule>
    <cfRule type="cellIs" dxfId="2395" priority="3325" stopIfTrue="1" operator="equal">
      <formula>"FALTA"</formula>
    </cfRule>
  </conditionalFormatting>
  <conditionalFormatting sqref="BV274">
    <cfRule type="cellIs" dxfId="2394" priority="3311" stopIfTrue="1" operator="equal">
      <formula>"PCG"</formula>
    </cfRule>
    <cfRule type="cellIs" dxfId="2393" priority="3312" stopIfTrue="1" operator="equal">
      <formula>"VAC"</formula>
    </cfRule>
    <cfRule type="cellIs" dxfId="2392" priority="3313" stopIfTrue="1" operator="equal">
      <formula>"INC"</formula>
    </cfRule>
    <cfRule type="cellIs" dxfId="2391" priority="3314" stopIfTrue="1" operator="equal">
      <formula>"PSG"</formula>
    </cfRule>
    <cfRule type="cellIs" dxfId="2390" priority="3315" stopIfTrue="1" operator="equal">
      <formula>"FALTA"</formula>
    </cfRule>
  </conditionalFormatting>
  <conditionalFormatting sqref="V51">
    <cfRule type="cellIs" dxfId="2389" priority="3306" stopIfTrue="1" operator="equal">
      <formula>"PCG"</formula>
    </cfRule>
    <cfRule type="cellIs" dxfId="2388" priority="3307" stopIfTrue="1" operator="equal">
      <formula>"VAC"</formula>
    </cfRule>
    <cfRule type="cellIs" dxfId="2387" priority="3308" stopIfTrue="1" operator="equal">
      <formula>"INC"</formula>
    </cfRule>
    <cfRule type="cellIs" dxfId="2386" priority="3309" stopIfTrue="1" operator="equal">
      <formula>"PSG"</formula>
    </cfRule>
    <cfRule type="cellIs" dxfId="2385" priority="3310" stopIfTrue="1" operator="equal">
      <formula>"FALTA"</formula>
    </cfRule>
  </conditionalFormatting>
  <conditionalFormatting sqref="AI51">
    <cfRule type="cellIs" dxfId="2384" priority="3301" stopIfTrue="1" operator="equal">
      <formula>"PCG"</formula>
    </cfRule>
    <cfRule type="cellIs" dxfId="2383" priority="3302" stopIfTrue="1" operator="equal">
      <formula>"VAC"</formula>
    </cfRule>
    <cfRule type="cellIs" dxfId="2382" priority="3303" stopIfTrue="1" operator="equal">
      <formula>"INC"</formula>
    </cfRule>
    <cfRule type="cellIs" dxfId="2381" priority="3304" stopIfTrue="1" operator="equal">
      <formula>"PSG"</formula>
    </cfRule>
    <cfRule type="cellIs" dxfId="2380" priority="3305" stopIfTrue="1" operator="equal">
      <formula>"FALTA"</formula>
    </cfRule>
  </conditionalFormatting>
  <conditionalFormatting sqref="AV51">
    <cfRule type="cellIs" dxfId="2379" priority="3296" stopIfTrue="1" operator="equal">
      <formula>"PCG"</formula>
    </cfRule>
    <cfRule type="cellIs" dxfId="2378" priority="3297" stopIfTrue="1" operator="equal">
      <formula>"VAC"</formula>
    </cfRule>
    <cfRule type="cellIs" dxfId="2377" priority="3298" stopIfTrue="1" operator="equal">
      <formula>"INC"</formula>
    </cfRule>
    <cfRule type="cellIs" dxfId="2376" priority="3299" stopIfTrue="1" operator="equal">
      <formula>"PSG"</formula>
    </cfRule>
    <cfRule type="cellIs" dxfId="2375" priority="3300" stopIfTrue="1" operator="equal">
      <formula>"FALTA"</formula>
    </cfRule>
  </conditionalFormatting>
  <conditionalFormatting sqref="BI51">
    <cfRule type="cellIs" dxfId="2374" priority="3291" stopIfTrue="1" operator="equal">
      <formula>"PCG"</formula>
    </cfRule>
    <cfRule type="cellIs" dxfId="2373" priority="3292" stopIfTrue="1" operator="equal">
      <formula>"VAC"</formula>
    </cfRule>
    <cfRule type="cellIs" dxfId="2372" priority="3293" stopIfTrue="1" operator="equal">
      <formula>"INC"</formula>
    </cfRule>
    <cfRule type="cellIs" dxfId="2371" priority="3294" stopIfTrue="1" operator="equal">
      <formula>"PSG"</formula>
    </cfRule>
    <cfRule type="cellIs" dxfId="2370" priority="3295" stopIfTrue="1" operator="equal">
      <formula>"FALTA"</formula>
    </cfRule>
  </conditionalFormatting>
  <conditionalFormatting sqref="BV51">
    <cfRule type="cellIs" dxfId="2369" priority="3286" stopIfTrue="1" operator="equal">
      <formula>"PCG"</formula>
    </cfRule>
    <cfRule type="cellIs" dxfId="2368" priority="3287" stopIfTrue="1" operator="equal">
      <formula>"VAC"</formula>
    </cfRule>
    <cfRule type="cellIs" dxfId="2367" priority="3288" stopIfTrue="1" operator="equal">
      <formula>"INC"</formula>
    </cfRule>
    <cfRule type="cellIs" dxfId="2366" priority="3289" stopIfTrue="1" operator="equal">
      <formula>"PSG"</formula>
    </cfRule>
    <cfRule type="cellIs" dxfId="2365" priority="3290" stopIfTrue="1" operator="equal">
      <formula>"FALTA"</formula>
    </cfRule>
  </conditionalFormatting>
  <conditionalFormatting sqref="V280">
    <cfRule type="cellIs" dxfId="2364" priority="3281" stopIfTrue="1" operator="equal">
      <formula>"PCG"</formula>
    </cfRule>
    <cfRule type="cellIs" dxfId="2363" priority="3282" stopIfTrue="1" operator="equal">
      <formula>"VAC"</formula>
    </cfRule>
    <cfRule type="cellIs" dxfId="2362" priority="3283" stopIfTrue="1" operator="equal">
      <formula>"INC"</formula>
    </cfRule>
    <cfRule type="cellIs" dxfId="2361" priority="3284" stopIfTrue="1" operator="equal">
      <formula>"PSG"</formula>
    </cfRule>
    <cfRule type="cellIs" dxfId="2360" priority="3285" stopIfTrue="1" operator="equal">
      <formula>"FALTA"</formula>
    </cfRule>
  </conditionalFormatting>
  <conditionalFormatting sqref="AI280">
    <cfRule type="cellIs" dxfId="2359" priority="3276" stopIfTrue="1" operator="equal">
      <formula>"PCG"</formula>
    </cfRule>
    <cfRule type="cellIs" dxfId="2358" priority="3277" stopIfTrue="1" operator="equal">
      <formula>"VAC"</formula>
    </cfRule>
    <cfRule type="cellIs" dxfId="2357" priority="3278" stopIfTrue="1" operator="equal">
      <formula>"INC"</formula>
    </cfRule>
    <cfRule type="cellIs" dxfId="2356" priority="3279" stopIfTrue="1" operator="equal">
      <formula>"PSG"</formula>
    </cfRule>
    <cfRule type="cellIs" dxfId="2355" priority="3280" stopIfTrue="1" operator="equal">
      <formula>"FALTA"</formula>
    </cfRule>
  </conditionalFormatting>
  <conditionalFormatting sqref="AV280">
    <cfRule type="cellIs" dxfId="2354" priority="3271" stopIfTrue="1" operator="equal">
      <formula>"PCG"</formula>
    </cfRule>
    <cfRule type="cellIs" dxfId="2353" priority="3272" stopIfTrue="1" operator="equal">
      <formula>"VAC"</formula>
    </cfRule>
    <cfRule type="cellIs" dxfId="2352" priority="3273" stopIfTrue="1" operator="equal">
      <formula>"INC"</formula>
    </cfRule>
    <cfRule type="cellIs" dxfId="2351" priority="3274" stopIfTrue="1" operator="equal">
      <formula>"PSG"</formula>
    </cfRule>
    <cfRule type="cellIs" dxfId="2350" priority="3275" stopIfTrue="1" operator="equal">
      <formula>"FALTA"</formula>
    </cfRule>
  </conditionalFormatting>
  <conditionalFormatting sqref="V205">
    <cfRule type="cellIs" dxfId="2349" priority="3261" stopIfTrue="1" operator="equal">
      <formula>"PCG"</formula>
    </cfRule>
    <cfRule type="cellIs" dxfId="2348" priority="3262" stopIfTrue="1" operator="equal">
      <formula>"VAC"</formula>
    </cfRule>
    <cfRule type="cellIs" dxfId="2347" priority="3263" stopIfTrue="1" operator="equal">
      <formula>"INC"</formula>
    </cfRule>
    <cfRule type="cellIs" dxfId="2346" priority="3264" stopIfTrue="1" operator="equal">
      <formula>"PSG"</formula>
    </cfRule>
    <cfRule type="cellIs" dxfId="2345" priority="3265" stopIfTrue="1" operator="equal">
      <formula>"FALTA"</formula>
    </cfRule>
  </conditionalFormatting>
  <conditionalFormatting sqref="AI205">
    <cfRule type="cellIs" dxfId="2344" priority="3256" stopIfTrue="1" operator="equal">
      <formula>"PCG"</formula>
    </cfRule>
    <cfRule type="cellIs" dxfId="2343" priority="3257" stopIfTrue="1" operator="equal">
      <formula>"VAC"</formula>
    </cfRule>
    <cfRule type="cellIs" dxfId="2342" priority="3258" stopIfTrue="1" operator="equal">
      <formula>"INC"</formula>
    </cfRule>
    <cfRule type="cellIs" dxfId="2341" priority="3259" stopIfTrue="1" operator="equal">
      <formula>"PSG"</formula>
    </cfRule>
    <cfRule type="cellIs" dxfId="2340" priority="3260" stopIfTrue="1" operator="equal">
      <formula>"FALTA"</formula>
    </cfRule>
  </conditionalFormatting>
  <conditionalFormatting sqref="AV205">
    <cfRule type="cellIs" dxfId="2339" priority="3251" stopIfTrue="1" operator="equal">
      <formula>"PCG"</formula>
    </cfRule>
    <cfRule type="cellIs" dxfId="2338" priority="3252" stopIfTrue="1" operator="equal">
      <formula>"VAC"</formula>
    </cfRule>
    <cfRule type="cellIs" dxfId="2337" priority="3253" stopIfTrue="1" operator="equal">
      <formula>"INC"</formula>
    </cfRule>
    <cfRule type="cellIs" dxfId="2336" priority="3254" stopIfTrue="1" operator="equal">
      <formula>"PSG"</formula>
    </cfRule>
    <cfRule type="cellIs" dxfId="2335" priority="3255" stopIfTrue="1" operator="equal">
      <formula>"FALTA"</formula>
    </cfRule>
  </conditionalFormatting>
  <conditionalFormatting sqref="V259">
    <cfRule type="cellIs" dxfId="2334" priority="3241" stopIfTrue="1" operator="equal">
      <formula>"PCG"</formula>
    </cfRule>
    <cfRule type="cellIs" dxfId="2333" priority="3242" stopIfTrue="1" operator="equal">
      <formula>"VAC"</formula>
    </cfRule>
    <cfRule type="cellIs" dxfId="2332" priority="3243" stopIfTrue="1" operator="equal">
      <formula>"INC"</formula>
    </cfRule>
    <cfRule type="cellIs" dxfId="2331" priority="3244" stopIfTrue="1" operator="equal">
      <formula>"PSG"</formula>
    </cfRule>
    <cfRule type="cellIs" dxfId="2330" priority="3245" stopIfTrue="1" operator="equal">
      <formula>"FALTA"</formula>
    </cfRule>
  </conditionalFormatting>
  <conditionalFormatting sqref="AI259">
    <cfRule type="cellIs" dxfId="2329" priority="3236" stopIfTrue="1" operator="equal">
      <formula>"PCG"</formula>
    </cfRule>
    <cfRule type="cellIs" dxfId="2328" priority="3237" stopIfTrue="1" operator="equal">
      <formula>"VAC"</formula>
    </cfRule>
    <cfRule type="cellIs" dxfId="2327" priority="3238" stopIfTrue="1" operator="equal">
      <formula>"INC"</formula>
    </cfRule>
    <cfRule type="cellIs" dxfId="2326" priority="3239" stopIfTrue="1" operator="equal">
      <formula>"PSG"</formula>
    </cfRule>
    <cfRule type="cellIs" dxfId="2325" priority="3240" stopIfTrue="1" operator="equal">
      <formula>"FALTA"</formula>
    </cfRule>
  </conditionalFormatting>
  <conditionalFormatting sqref="AV259">
    <cfRule type="cellIs" dxfId="2324" priority="3231" stopIfTrue="1" operator="equal">
      <formula>"PCG"</formula>
    </cfRule>
    <cfRule type="cellIs" dxfId="2323" priority="3232" stopIfTrue="1" operator="equal">
      <formula>"VAC"</formula>
    </cfRule>
    <cfRule type="cellIs" dxfId="2322" priority="3233" stopIfTrue="1" operator="equal">
      <formula>"INC"</formula>
    </cfRule>
    <cfRule type="cellIs" dxfId="2321" priority="3234" stopIfTrue="1" operator="equal">
      <formula>"PSG"</formula>
    </cfRule>
    <cfRule type="cellIs" dxfId="2320" priority="3235" stopIfTrue="1" operator="equal">
      <formula>"FALTA"</formula>
    </cfRule>
  </conditionalFormatting>
  <conditionalFormatting sqref="BI259">
    <cfRule type="cellIs" dxfId="2319" priority="3226" stopIfTrue="1" operator="equal">
      <formula>"PCG"</formula>
    </cfRule>
    <cfRule type="cellIs" dxfId="2318" priority="3227" stopIfTrue="1" operator="equal">
      <formula>"VAC"</formula>
    </cfRule>
    <cfRule type="cellIs" dxfId="2317" priority="3228" stopIfTrue="1" operator="equal">
      <formula>"INC"</formula>
    </cfRule>
    <cfRule type="cellIs" dxfId="2316" priority="3229" stopIfTrue="1" operator="equal">
      <formula>"PSG"</formula>
    </cfRule>
    <cfRule type="cellIs" dxfId="2315" priority="3230" stopIfTrue="1" operator="equal">
      <formula>"FALTA"</formula>
    </cfRule>
  </conditionalFormatting>
  <conditionalFormatting sqref="V258">
    <cfRule type="cellIs" dxfId="2314" priority="3221" stopIfTrue="1" operator="equal">
      <formula>"PCG"</formula>
    </cfRule>
    <cfRule type="cellIs" dxfId="2313" priority="3222" stopIfTrue="1" operator="equal">
      <formula>"VAC"</formula>
    </cfRule>
    <cfRule type="cellIs" dxfId="2312" priority="3223" stopIfTrue="1" operator="equal">
      <formula>"INC"</formula>
    </cfRule>
    <cfRule type="cellIs" dxfId="2311" priority="3224" stopIfTrue="1" operator="equal">
      <formula>"PSG"</formula>
    </cfRule>
    <cfRule type="cellIs" dxfId="2310" priority="3225" stopIfTrue="1" operator="equal">
      <formula>"FALTA"</formula>
    </cfRule>
  </conditionalFormatting>
  <conditionalFormatting sqref="I259">
    <cfRule type="cellIs" dxfId="2309" priority="2481" stopIfTrue="1" operator="equal">
      <formula>"PCG"</formula>
    </cfRule>
    <cfRule type="cellIs" dxfId="2308" priority="2482" stopIfTrue="1" operator="equal">
      <formula>"VAC"</formula>
    </cfRule>
    <cfRule type="cellIs" dxfId="2307" priority="2483" stopIfTrue="1" operator="equal">
      <formula>"INC"</formula>
    </cfRule>
    <cfRule type="cellIs" dxfId="2306" priority="2484" stopIfTrue="1" operator="equal">
      <formula>"PSG"</formula>
    </cfRule>
    <cfRule type="cellIs" dxfId="2305" priority="2485" stopIfTrue="1" operator="equal">
      <formula>"FALTA"</formula>
    </cfRule>
  </conditionalFormatting>
  <conditionalFormatting sqref="BV258">
    <cfRule type="cellIs" dxfId="2304" priority="3201" stopIfTrue="1" operator="equal">
      <formula>"PCG"</formula>
    </cfRule>
    <cfRule type="cellIs" dxfId="2303" priority="3202" stopIfTrue="1" operator="equal">
      <formula>"VAC"</formula>
    </cfRule>
    <cfRule type="cellIs" dxfId="2302" priority="3203" stopIfTrue="1" operator="equal">
      <formula>"INC"</formula>
    </cfRule>
    <cfRule type="cellIs" dxfId="2301" priority="3204" stopIfTrue="1" operator="equal">
      <formula>"PSG"</formula>
    </cfRule>
    <cfRule type="cellIs" dxfId="2300" priority="3205" stopIfTrue="1" operator="equal">
      <formula>"FALTA"</formula>
    </cfRule>
  </conditionalFormatting>
  <conditionalFormatting sqref="I164">
    <cfRule type="cellIs" dxfId="2299" priority="2536" stopIfTrue="1" operator="equal">
      <formula>"PCG"</formula>
    </cfRule>
    <cfRule type="cellIs" dxfId="2298" priority="2537" stopIfTrue="1" operator="equal">
      <formula>"VAC"</formula>
    </cfRule>
    <cfRule type="cellIs" dxfId="2297" priority="2538" stopIfTrue="1" operator="equal">
      <formula>"INC"</formula>
    </cfRule>
    <cfRule type="cellIs" dxfId="2296" priority="2539" stopIfTrue="1" operator="equal">
      <formula>"PSG"</formula>
    </cfRule>
    <cfRule type="cellIs" dxfId="2295" priority="2540" stopIfTrue="1" operator="equal">
      <formula>"FALTA"</formula>
    </cfRule>
  </conditionalFormatting>
  <conditionalFormatting sqref="V164">
    <cfRule type="cellIs" dxfId="2294" priority="2506" stopIfTrue="1" operator="equal">
      <formula>"PCG"</formula>
    </cfRule>
    <cfRule type="cellIs" dxfId="2293" priority="2507" stopIfTrue="1" operator="equal">
      <formula>"VAC"</formula>
    </cfRule>
    <cfRule type="cellIs" dxfId="2292" priority="2508" stopIfTrue="1" operator="equal">
      <formula>"INC"</formula>
    </cfRule>
    <cfRule type="cellIs" dxfId="2291" priority="2509" stopIfTrue="1" operator="equal">
      <formula>"PSG"</formula>
    </cfRule>
    <cfRule type="cellIs" dxfId="2290" priority="2510" stopIfTrue="1" operator="equal">
      <formula>"FALTA"</formula>
    </cfRule>
  </conditionalFormatting>
  <conditionalFormatting sqref="AI164">
    <cfRule type="cellIs" dxfId="2289" priority="2501" stopIfTrue="1" operator="equal">
      <formula>"PCG"</formula>
    </cfRule>
    <cfRule type="cellIs" dxfId="2288" priority="2502" stopIfTrue="1" operator="equal">
      <formula>"VAC"</formula>
    </cfRule>
    <cfRule type="cellIs" dxfId="2287" priority="2503" stopIfTrue="1" operator="equal">
      <formula>"INC"</formula>
    </cfRule>
    <cfRule type="cellIs" dxfId="2286" priority="2504" stopIfTrue="1" operator="equal">
      <formula>"PSG"</formula>
    </cfRule>
    <cfRule type="cellIs" dxfId="2285" priority="2505" stopIfTrue="1" operator="equal">
      <formula>"FALTA"</formula>
    </cfRule>
  </conditionalFormatting>
  <conditionalFormatting sqref="BI164">
    <cfRule type="cellIs" dxfId="2284" priority="2491" stopIfTrue="1" operator="equal">
      <formula>"PCG"</formula>
    </cfRule>
    <cfRule type="cellIs" dxfId="2283" priority="2492" stopIfTrue="1" operator="equal">
      <formula>"VAC"</formula>
    </cfRule>
    <cfRule type="cellIs" dxfId="2282" priority="2493" stopIfTrue="1" operator="equal">
      <formula>"INC"</formula>
    </cfRule>
    <cfRule type="cellIs" dxfId="2281" priority="2494" stopIfTrue="1" operator="equal">
      <formula>"PSG"</formula>
    </cfRule>
    <cfRule type="cellIs" dxfId="2280" priority="2495" stopIfTrue="1" operator="equal">
      <formula>"FALTA"</formula>
    </cfRule>
  </conditionalFormatting>
  <conditionalFormatting sqref="BV164">
    <cfRule type="cellIs" dxfId="2279" priority="2486" stopIfTrue="1" operator="equal">
      <formula>"PCG"</formula>
    </cfRule>
    <cfRule type="cellIs" dxfId="2278" priority="2487" stopIfTrue="1" operator="equal">
      <formula>"VAC"</formula>
    </cfRule>
    <cfRule type="cellIs" dxfId="2277" priority="2488" stopIfTrue="1" operator="equal">
      <formula>"INC"</formula>
    </cfRule>
    <cfRule type="cellIs" dxfId="2276" priority="2489" stopIfTrue="1" operator="equal">
      <formula>"PSG"</formula>
    </cfRule>
    <cfRule type="cellIs" dxfId="2275" priority="2490" stopIfTrue="1" operator="equal">
      <formula>"FALTA"</formula>
    </cfRule>
  </conditionalFormatting>
  <conditionalFormatting sqref="CI259">
    <cfRule type="cellIs" dxfId="2274" priority="2476" stopIfTrue="1" operator="equal">
      <formula>"PCG"</formula>
    </cfRule>
    <cfRule type="cellIs" dxfId="2273" priority="2477" stopIfTrue="1" operator="equal">
      <formula>"VAC"</formula>
    </cfRule>
    <cfRule type="cellIs" dxfId="2272" priority="2478" stopIfTrue="1" operator="equal">
      <formula>"INC"</formula>
    </cfRule>
    <cfRule type="cellIs" dxfId="2271" priority="2479" stopIfTrue="1" operator="equal">
      <formula>"PSG"</formula>
    </cfRule>
    <cfRule type="cellIs" dxfId="2270" priority="2480" stopIfTrue="1" operator="equal">
      <formula>"FALTA"</formula>
    </cfRule>
  </conditionalFormatting>
  <conditionalFormatting sqref="I207">
    <cfRule type="cellIs" dxfId="2269" priority="2471" stopIfTrue="1" operator="equal">
      <formula>"PCG"</formula>
    </cfRule>
    <cfRule type="cellIs" dxfId="2268" priority="2472" stopIfTrue="1" operator="equal">
      <formula>"VAC"</formula>
    </cfRule>
    <cfRule type="cellIs" dxfId="2267" priority="2473" stopIfTrue="1" operator="equal">
      <formula>"INC"</formula>
    </cfRule>
    <cfRule type="cellIs" dxfId="2266" priority="2474" stopIfTrue="1" operator="equal">
      <formula>"PSG"</formula>
    </cfRule>
    <cfRule type="cellIs" dxfId="2265" priority="2475" stopIfTrue="1" operator="equal">
      <formula>"FALTA"</formula>
    </cfRule>
  </conditionalFormatting>
  <conditionalFormatting sqref="V207">
    <cfRule type="cellIs" dxfId="2264" priority="2466" stopIfTrue="1" operator="equal">
      <formula>"PCG"</formula>
    </cfRule>
    <cfRule type="cellIs" dxfId="2263" priority="2467" stopIfTrue="1" operator="equal">
      <formula>"VAC"</formula>
    </cfRule>
    <cfRule type="cellIs" dxfId="2262" priority="2468" stopIfTrue="1" operator="equal">
      <formula>"INC"</formula>
    </cfRule>
    <cfRule type="cellIs" dxfId="2261" priority="2469" stopIfTrue="1" operator="equal">
      <formula>"PSG"</formula>
    </cfRule>
    <cfRule type="cellIs" dxfId="2260" priority="2470" stopIfTrue="1" operator="equal">
      <formula>"FALTA"</formula>
    </cfRule>
  </conditionalFormatting>
  <conditionalFormatting sqref="AI207">
    <cfRule type="cellIs" dxfId="2259" priority="2461" stopIfTrue="1" operator="equal">
      <formula>"PCG"</formula>
    </cfRule>
    <cfRule type="cellIs" dxfId="2258" priority="2462" stopIfTrue="1" operator="equal">
      <formula>"VAC"</formula>
    </cfRule>
    <cfRule type="cellIs" dxfId="2257" priority="2463" stopIfTrue="1" operator="equal">
      <formula>"INC"</formula>
    </cfRule>
    <cfRule type="cellIs" dxfId="2256" priority="2464" stopIfTrue="1" operator="equal">
      <formula>"PSG"</formula>
    </cfRule>
    <cfRule type="cellIs" dxfId="2255" priority="2465" stopIfTrue="1" operator="equal">
      <formula>"FALTA"</formula>
    </cfRule>
  </conditionalFormatting>
  <conditionalFormatting sqref="AV207">
    <cfRule type="cellIs" dxfId="2254" priority="2456" stopIfTrue="1" operator="equal">
      <formula>"PCG"</formula>
    </cfRule>
    <cfRule type="cellIs" dxfId="2253" priority="2457" stopIfTrue="1" operator="equal">
      <formula>"VAC"</formula>
    </cfRule>
    <cfRule type="cellIs" dxfId="2252" priority="2458" stopIfTrue="1" operator="equal">
      <formula>"INC"</formula>
    </cfRule>
    <cfRule type="cellIs" dxfId="2251" priority="2459" stopIfTrue="1" operator="equal">
      <formula>"PSG"</formula>
    </cfRule>
    <cfRule type="cellIs" dxfId="2250" priority="2460" stopIfTrue="1" operator="equal">
      <formula>"FALTA"</formula>
    </cfRule>
  </conditionalFormatting>
  <conditionalFormatting sqref="BI207">
    <cfRule type="cellIs" dxfId="2249" priority="2451" stopIfTrue="1" operator="equal">
      <formula>"PCG"</formula>
    </cfRule>
    <cfRule type="cellIs" dxfId="2248" priority="2452" stopIfTrue="1" operator="equal">
      <formula>"VAC"</formula>
    </cfRule>
    <cfRule type="cellIs" dxfId="2247" priority="2453" stopIfTrue="1" operator="equal">
      <formula>"INC"</formula>
    </cfRule>
    <cfRule type="cellIs" dxfId="2246" priority="2454" stopIfTrue="1" operator="equal">
      <formula>"PSG"</formula>
    </cfRule>
    <cfRule type="cellIs" dxfId="2245" priority="2455" stopIfTrue="1" operator="equal">
      <formula>"FALTA"</formula>
    </cfRule>
  </conditionalFormatting>
  <conditionalFormatting sqref="BV207">
    <cfRule type="cellIs" dxfId="2244" priority="2446" stopIfTrue="1" operator="equal">
      <formula>"PCG"</formula>
    </cfRule>
    <cfRule type="cellIs" dxfId="2243" priority="2447" stopIfTrue="1" operator="equal">
      <formula>"VAC"</formula>
    </cfRule>
    <cfRule type="cellIs" dxfId="2242" priority="2448" stopIfTrue="1" operator="equal">
      <formula>"INC"</formula>
    </cfRule>
    <cfRule type="cellIs" dxfId="2241" priority="2449" stopIfTrue="1" operator="equal">
      <formula>"PSG"</formula>
    </cfRule>
    <cfRule type="cellIs" dxfId="2240" priority="2450" stopIfTrue="1" operator="equal">
      <formula>"FALTA"</formula>
    </cfRule>
  </conditionalFormatting>
  <conditionalFormatting sqref="CI207">
    <cfRule type="cellIs" dxfId="2239" priority="2441" stopIfTrue="1" operator="equal">
      <formula>"PCG"</formula>
    </cfRule>
    <cfRule type="cellIs" dxfId="2238" priority="2442" stopIfTrue="1" operator="equal">
      <formula>"VAC"</formula>
    </cfRule>
    <cfRule type="cellIs" dxfId="2237" priority="2443" stopIfTrue="1" operator="equal">
      <formula>"INC"</formula>
    </cfRule>
    <cfRule type="cellIs" dxfId="2236" priority="2444" stopIfTrue="1" operator="equal">
      <formula>"PSG"</formula>
    </cfRule>
    <cfRule type="cellIs" dxfId="2235" priority="2445" stopIfTrue="1" operator="equal">
      <formula>"FALTA"</formula>
    </cfRule>
  </conditionalFormatting>
  <conditionalFormatting sqref="V144">
    <cfRule type="cellIs" dxfId="2234" priority="2436" stopIfTrue="1" operator="equal">
      <formula>"PCG"</formula>
    </cfRule>
    <cfRule type="cellIs" dxfId="2233" priority="2437" stopIfTrue="1" operator="equal">
      <formula>"VAC"</formula>
    </cfRule>
    <cfRule type="cellIs" dxfId="2232" priority="2438" stopIfTrue="1" operator="equal">
      <formula>"INC"</formula>
    </cfRule>
    <cfRule type="cellIs" dxfId="2231" priority="2439" stopIfTrue="1" operator="equal">
      <formula>"PSG"</formula>
    </cfRule>
    <cfRule type="cellIs" dxfId="2230" priority="2440" stopIfTrue="1" operator="equal">
      <formula>"FALTA"</formula>
    </cfRule>
  </conditionalFormatting>
  <conditionalFormatting sqref="AI144">
    <cfRule type="cellIs" dxfId="2229" priority="2431" stopIfTrue="1" operator="equal">
      <formula>"PCG"</formula>
    </cfRule>
    <cfRule type="cellIs" dxfId="2228" priority="2432" stopIfTrue="1" operator="equal">
      <formula>"VAC"</formula>
    </cfRule>
    <cfRule type="cellIs" dxfId="2227" priority="2433" stopIfTrue="1" operator="equal">
      <formula>"INC"</formula>
    </cfRule>
    <cfRule type="cellIs" dxfId="2226" priority="2434" stopIfTrue="1" operator="equal">
      <formula>"PSG"</formula>
    </cfRule>
    <cfRule type="cellIs" dxfId="2225" priority="2435" stopIfTrue="1" operator="equal">
      <formula>"FALTA"</formula>
    </cfRule>
  </conditionalFormatting>
  <conditionalFormatting sqref="AV144">
    <cfRule type="cellIs" dxfId="2224" priority="2426" stopIfTrue="1" operator="equal">
      <formula>"PCG"</formula>
    </cfRule>
    <cfRule type="cellIs" dxfId="2223" priority="2427" stopIfTrue="1" operator="equal">
      <formula>"VAC"</formula>
    </cfRule>
    <cfRule type="cellIs" dxfId="2222" priority="2428" stopIfTrue="1" operator="equal">
      <formula>"INC"</formula>
    </cfRule>
    <cfRule type="cellIs" dxfId="2221" priority="2429" stopIfTrue="1" operator="equal">
      <formula>"PSG"</formula>
    </cfRule>
    <cfRule type="cellIs" dxfId="2220" priority="2430" stopIfTrue="1" operator="equal">
      <formula>"FALTA"</formula>
    </cfRule>
  </conditionalFormatting>
  <conditionalFormatting sqref="BV144">
    <cfRule type="cellIs" dxfId="2219" priority="2421" stopIfTrue="1" operator="equal">
      <formula>"PCG"</formula>
    </cfRule>
    <cfRule type="cellIs" dxfId="2218" priority="2422" stopIfTrue="1" operator="equal">
      <formula>"VAC"</formula>
    </cfRule>
    <cfRule type="cellIs" dxfId="2217" priority="2423" stopIfTrue="1" operator="equal">
      <formula>"INC"</formula>
    </cfRule>
    <cfRule type="cellIs" dxfId="2216" priority="2424" stopIfTrue="1" operator="equal">
      <formula>"PSG"</formula>
    </cfRule>
    <cfRule type="cellIs" dxfId="2215" priority="2425" stopIfTrue="1" operator="equal">
      <formula>"FALTA"</formula>
    </cfRule>
  </conditionalFormatting>
  <conditionalFormatting sqref="CI144">
    <cfRule type="cellIs" dxfId="2214" priority="2416" stopIfTrue="1" operator="equal">
      <formula>"PCG"</formula>
    </cfRule>
    <cfRule type="cellIs" dxfId="2213" priority="2417" stopIfTrue="1" operator="equal">
      <formula>"VAC"</formula>
    </cfRule>
    <cfRule type="cellIs" dxfId="2212" priority="2418" stopIfTrue="1" operator="equal">
      <formula>"INC"</formula>
    </cfRule>
    <cfRule type="cellIs" dxfId="2211" priority="2419" stopIfTrue="1" operator="equal">
      <formula>"PSG"</formula>
    </cfRule>
    <cfRule type="cellIs" dxfId="2210" priority="2420" stopIfTrue="1" operator="equal">
      <formula>"FALTA"</formula>
    </cfRule>
  </conditionalFormatting>
  <conditionalFormatting sqref="I276">
    <cfRule type="cellIs" dxfId="2209" priority="2411" stopIfTrue="1" operator="equal">
      <formula>"PCG"</formula>
    </cfRule>
    <cfRule type="cellIs" dxfId="2208" priority="2412" stopIfTrue="1" operator="equal">
      <formula>"VAC"</formula>
    </cfRule>
    <cfRule type="cellIs" dxfId="2207" priority="2413" stopIfTrue="1" operator="equal">
      <formula>"INC"</formula>
    </cfRule>
    <cfRule type="cellIs" dxfId="2206" priority="2414" stopIfTrue="1" operator="equal">
      <formula>"PSG"</formula>
    </cfRule>
    <cfRule type="cellIs" dxfId="2205" priority="2415" stopIfTrue="1" operator="equal">
      <formula>"FALTA"</formula>
    </cfRule>
  </conditionalFormatting>
  <conditionalFormatting sqref="V276">
    <cfRule type="cellIs" dxfId="2204" priority="2406" stopIfTrue="1" operator="equal">
      <formula>"PCG"</formula>
    </cfRule>
    <cfRule type="cellIs" dxfId="2203" priority="2407" stopIfTrue="1" operator="equal">
      <formula>"VAC"</formula>
    </cfRule>
    <cfRule type="cellIs" dxfId="2202" priority="2408" stopIfTrue="1" operator="equal">
      <formula>"INC"</formula>
    </cfRule>
    <cfRule type="cellIs" dxfId="2201" priority="2409" stopIfTrue="1" operator="equal">
      <formula>"PSG"</formula>
    </cfRule>
    <cfRule type="cellIs" dxfId="2200" priority="2410" stopIfTrue="1" operator="equal">
      <formula>"FALTA"</formula>
    </cfRule>
  </conditionalFormatting>
  <conditionalFormatting sqref="AI276">
    <cfRule type="cellIs" dxfId="2199" priority="2401" stopIfTrue="1" operator="equal">
      <formula>"PCG"</formula>
    </cfRule>
    <cfRule type="cellIs" dxfId="2198" priority="2402" stopIfTrue="1" operator="equal">
      <formula>"VAC"</formula>
    </cfRule>
    <cfRule type="cellIs" dxfId="2197" priority="2403" stopIfTrue="1" operator="equal">
      <formula>"INC"</formula>
    </cfRule>
    <cfRule type="cellIs" dxfId="2196" priority="2404" stopIfTrue="1" operator="equal">
      <formula>"PSG"</formula>
    </cfRule>
    <cfRule type="cellIs" dxfId="2195" priority="2405" stopIfTrue="1" operator="equal">
      <formula>"FALTA"</formula>
    </cfRule>
  </conditionalFormatting>
  <conditionalFormatting sqref="AV276">
    <cfRule type="cellIs" dxfId="2194" priority="2396" stopIfTrue="1" operator="equal">
      <formula>"PCG"</formula>
    </cfRule>
    <cfRule type="cellIs" dxfId="2193" priority="2397" stopIfTrue="1" operator="equal">
      <formula>"VAC"</formula>
    </cfRule>
    <cfRule type="cellIs" dxfId="2192" priority="2398" stopIfTrue="1" operator="equal">
      <formula>"INC"</formula>
    </cfRule>
    <cfRule type="cellIs" dxfId="2191" priority="2399" stopIfTrue="1" operator="equal">
      <formula>"PSG"</formula>
    </cfRule>
    <cfRule type="cellIs" dxfId="2190" priority="2400" stopIfTrue="1" operator="equal">
      <formula>"FALTA"</formula>
    </cfRule>
  </conditionalFormatting>
  <conditionalFormatting sqref="BV181">
    <cfRule type="cellIs" dxfId="2189" priority="2011" stopIfTrue="1" operator="equal">
      <formula>"PCG"</formula>
    </cfRule>
    <cfRule type="cellIs" dxfId="2188" priority="2012" stopIfTrue="1" operator="equal">
      <formula>"VAC"</formula>
    </cfRule>
    <cfRule type="cellIs" dxfId="2187" priority="2013" stopIfTrue="1" operator="equal">
      <formula>"INC"</formula>
    </cfRule>
    <cfRule type="cellIs" dxfId="2186" priority="2014" stopIfTrue="1" operator="equal">
      <formula>"PSG"</formula>
    </cfRule>
    <cfRule type="cellIs" dxfId="2185" priority="2015" stopIfTrue="1" operator="equal">
      <formula>"FALTA"</formula>
    </cfRule>
  </conditionalFormatting>
  <conditionalFormatting sqref="CI276">
    <cfRule type="cellIs" dxfId="2184" priority="2381" stopIfTrue="1" operator="equal">
      <formula>"PCG"</formula>
    </cfRule>
    <cfRule type="cellIs" dxfId="2183" priority="2382" stopIfTrue="1" operator="equal">
      <formula>"VAC"</formula>
    </cfRule>
    <cfRule type="cellIs" dxfId="2182" priority="2383" stopIfTrue="1" operator="equal">
      <formula>"INC"</formula>
    </cfRule>
    <cfRule type="cellIs" dxfId="2181" priority="2384" stopIfTrue="1" operator="equal">
      <formula>"PSG"</formula>
    </cfRule>
    <cfRule type="cellIs" dxfId="2180" priority="2385" stopIfTrue="1" operator="equal">
      <formula>"FALTA"</formula>
    </cfRule>
  </conditionalFormatting>
  <conditionalFormatting sqref="V176">
    <cfRule type="cellIs" dxfId="2179" priority="2376" stopIfTrue="1" operator="equal">
      <formula>"PCG"</formula>
    </cfRule>
    <cfRule type="cellIs" dxfId="2178" priority="2377" stopIfTrue="1" operator="equal">
      <formula>"VAC"</formula>
    </cfRule>
    <cfRule type="cellIs" dxfId="2177" priority="2378" stopIfTrue="1" operator="equal">
      <formula>"INC"</formula>
    </cfRule>
    <cfRule type="cellIs" dxfId="2176" priority="2379" stopIfTrue="1" operator="equal">
      <formula>"PSG"</formula>
    </cfRule>
    <cfRule type="cellIs" dxfId="2175" priority="2380" stopIfTrue="1" operator="equal">
      <formula>"FALTA"</formula>
    </cfRule>
  </conditionalFormatting>
  <conditionalFormatting sqref="AI176">
    <cfRule type="cellIs" dxfId="2174" priority="2371" stopIfTrue="1" operator="equal">
      <formula>"PCG"</formula>
    </cfRule>
    <cfRule type="cellIs" dxfId="2173" priority="2372" stopIfTrue="1" operator="equal">
      <formula>"VAC"</formula>
    </cfRule>
    <cfRule type="cellIs" dxfId="2172" priority="2373" stopIfTrue="1" operator="equal">
      <formula>"INC"</formula>
    </cfRule>
    <cfRule type="cellIs" dxfId="2171" priority="2374" stopIfTrue="1" operator="equal">
      <formula>"PSG"</formula>
    </cfRule>
    <cfRule type="cellIs" dxfId="2170" priority="2375" stopIfTrue="1" operator="equal">
      <formula>"FALTA"</formula>
    </cfRule>
  </conditionalFormatting>
  <conditionalFormatting sqref="AV176">
    <cfRule type="cellIs" dxfId="2169" priority="2366" stopIfTrue="1" operator="equal">
      <formula>"PCG"</formula>
    </cfRule>
    <cfRule type="cellIs" dxfId="2168" priority="2367" stopIfTrue="1" operator="equal">
      <formula>"VAC"</formula>
    </cfRule>
    <cfRule type="cellIs" dxfId="2167" priority="2368" stopIfTrue="1" operator="equal">
      <formula>"INC"</formula>
    </cfRule>
    <cfRule type="cellIs" dxfId="2166" priority="2369" stopIfTrue="1" operator="equal">
      <formula>"PSG"</formula>
    </cfRule>
    <cfRule type="cellIs" dxfId="2165" priority="2370" stopIfTrue="1" operator="equal">
      <formula>"FALTA"</formula>
    </cfRule>
  </conditionalFormatting>
  <conditionalFormatting sqref="BI161">
    <cfRule type="cellIs" dxfId="2164" priority="1866" stopIfTrue="1" operator="equal">
      <formula>"PCG"</formula>
    </cfRule>
    <cfRule type="cellIs" dxfId="2163" priority="1867" stopIfTrue="1" operator="equal">
      <formula>"VAC"</formula>
    </cfRule>
    <cfRule type="cellIs" dxfId="2162" priority="1868" stopIfTrue="1" operator="equal">
      <formula>"INC"</formula>
    </cfRule>
    <cfRule type="cellIs" dxfId="2161" priority="1869" stopIfTrue="1" operator="equal">
      <formula>"PSG"</formula>
    </cfRule>
    <cfRule type="cellIs" dxfId="2160" priority="1870" stopIfTrue="1" operator="equal">
      <formula>"FALTA"</formula>
    </cfRule>
  </conditionalFormatting>
  <conditionalFormatting sqref="I186">
    <cfRule type="cellIs" dxfId="2159" priority="2351" stopIfTrue="1" operator="equal">
      <formula>"PCG"</formula>
    </cfRule>
    <cfRule type="cellIs" dxfId="2158" priority="2352" stopIfTrue="1" operator="equal">
      <formula>"VAC"</formula>
    </cfRule>
    <cfRule type="cellIs" dxfId="2157" priority="2353" stopIfTrue="1" operator="equal">
      <formula>"INC"</formula>
    </cfRule>
    <cfRule type="cellIs" dxfId="2156" priority="2354" stopIfTrue="1" operator="equal">
      <formula>"PSG"</formula>
    </cfRule>
    <cfRule type="cellIs" dxfId="2155" priority="2355" stopIfTrue="1" operator="equal">
      <formula>"FALTA"</formula>
    </cfRule>
  </conditionalFormatting>
  <conditionalFormatting sqref="V186">
    <cfRule type="cellIs" dxfId="2154" priority="2346" stopIfTrue="1" operator="equal">
      <formula>"PCG"</formula>
    </cfRule>
    <cfRule type="cellIs" dxfId="2153" priority="2347" stopIfTrue="1" operator="equal">
      <formula>"VAC"</formula>
    </cfRule>
    <cfRule type="cellIs" dxfId="2152" priority="2348" stopIfTrue="1" operator="equal">
      <formula>"INC"</formula>
    </cfRule>
    <cfRule type="cellIs" dxfId="2151" priority="2349" stopIfTrue="1" operator="equal">
      <formula>"PSG"</formula>
    </cfRule>
    <cfRule type="cellIs" dxfId="2150" priority="2350" stopIfTrue="1" operator="equal">
      <formula>"FALTA"</formula>
    </cfRule>
  </conditionalFormatting>
  <conditionalFormatting sqref="AI186">
    <cfRule type="cellIs" dxfId="2149" priority="2341" stopIfTrue="1" operator="equal">
      <formula>"PCG"</formula>
    </cfRule>
    <cfRule type="cellIs" dxfId="2148" priority="2342" stopIfTrue="1" operator="equal">
      <formula>"VAC"</formula>
    </cfRule>
    <cfRule type="cellIs" dxfId="2147" priority="2343" stopIfTrue="1" operator="equal">
      <formula>"INC"</formula>
    </cfRule>
    <cfRule type="cellIs" dxfId="2146" priority="2344" stopIfTrue="1" operator="equal">
      <formula>"PSG"</formula>
    </cfRule>
    <cfRule type="cellIs" dxfId="2145" priority="2345" stopIfTrue="1" operator="equal">
      <formula>"FALTA"</formula>
    </cfRule>
  </conditionalFormatting>
  <conditionalFormatting sqref="AV186">
    <cfRule type="cellIs" dxfId="2144" priority="2336" stopIfTrue="1" operator="equal">
      <formula>"PCG"</formula>
    </cfRule>
    <cfRule type="cellIs" dxfId="2143" priority="2337" stopIfTrue="1" operator="equal">
      <formula>"VAC"</formula>
    </cfRule>
    <cfRule type="cellIs" dxfId="2142" priority="2338" stopIfTrue="1" operator="equal">
      <formula>"INC"</formula>
    </cfRule>
    <cfRule type="cellIs" dxfId="2141" priority="2339" stopIfTrue="1" operator="equal">
      <formula>"PSG"</formula>
    </cfRule>
    <cfRule type="cellIs" dxfId="2140" priority="2340" stopIfTrue="1" operator="equal">
      <formula>"FALTA"</formula>
    </cfRule>
  </conditionalFormatting>
  <conditionalFormatting sqref="BI186">
    <cfRule type="cellIs" dxfId="2139" priority="2331" stopIfTrue="1" operator="equal">
      <formula>"PCG"</formula>
    </cfRule>
    <cfRule type="cellIs" dxfId="2138" priority="2332" stopIfTrue="1" operator="equal">
      <formula>"VAC"</formula>
    </cfRule>
    <cfRule type="cellIs" dxfId="2137" priority="2333" stopIfTrue="1" operator="equal">
      <formula>"INC"</formula>
    </cfRule>
    <cfRule type="cellIs" dxfId="2136" priority="2334" stopIfTrue="1" operator="equal">
      <formula>"PSG"</formula>
    </cfRule>
    <cfRule type="cellIs" dxfId="2135" priority="2335" stopIfTrue="1" operator="equal">
      <formula>"FALTA"</formula>
    </cfRule>
  </conditionalFormatting>
  <conditionalFormatting sqref="BV186">
    <cfRule type="cellIs" dxfId="2134" priority="2326" stopIfTrue="1" operator="equal">
      <formula>"PCG"</formula>
    </cfRule>
    <cfRule type="cellIs" dxfId="2133" priority="2327" stopIfTrue="1" operator="equal">
      <formula>"VAC"</formula>
    </cfRule>
    <cfRule type="cellIs" dxfId="2132" priority="2328" stopIfTrue="1" operator="equal">
      <formula>"INC"</formula>
    </cfRule>
    <cfRule type="cellIs" dxfId="2131" priority="2329" stopIfTrue="1" operator="equal">
      <formula>"PSG"</formula>
    </cfRule>
    <cfRule type="cellIs" dxfId="2130" priority="2330" stopIfTrue="1" operator="equal">
      <formula>"FALTA"</formula>
    </cfRule>
  </conditionalFormatting>
  <conditionalFormatting sqref="V85">
    <cfRule type="cellIs" dxfId="2129" priority="2321" stopIfTrue="1" operator="equal">
      <formula>"PCG"</formula>
    </cfRule>
    <cfRule type="cellIs" dxfId="2128" priority="2322" stopIfTrue="1" operator="equal">
      <formula>"VAC"</formula>
    </cfRule>
    <cfRule type="cellIs" dxfId="2127" priority="2323" stopIfTrue="1" operator="equal">
      <formula>"INC"</formula>
    </cfRule>
    <cfRule type="cellIs" dxfId="2126" priority="2324" stopIfTrue="1" operator="equal">
      <formula>"PSG"</formula>
    </cfRule>
    <cfRule type="cellIs" dxfId="2125" priority="2325" stopIfTrue="1" operator="equal">
      <formula>"FALTA"</formula>
    </cfRule>
  </conditionalFormatting>
  <conditionalFormatting sqref="AI85">
    <cfRule type="cellIs" dxfId="2124" priority="2316" stopIfTrue="1" operator="equal">
      <formula>"PCG"</formula>
    </cfRule>
    <cfRule type="cellIs" dxfId="2123" priority="2317" stopIfTrue="1" operator="equal">
      <formula>"VAC"</formula>
    </cfRule>
    <cfRule type="cellIs" dxfId="2122" priority="2318" stopIfTrue="1" operator="equal">
      <formula>"INC"</formula>
    </cfRule>
    <cfRule type="cellIs" dxfId="2121" priority="2319" stopIfTrue="1" operator="equal">
      <formula>"PSG"</formula>
    </cfRule>
    <cfRule type="cellIs" dxfId="2120" priority="2320" stopIfTrue="1" operator="equal">
      <formula>"FALTA"</formula>
    </cfRule>
  </conditionalFormatting>
  <conditionalFormatting sqref="AV85">
    <cfRule type="cellIs" dxfId="2119" priority="2311" stopIfTrue="1" operator="equal">
      <formula>"PCG"</formula>
    </cfRule>
    <cfRule type="cellIs" dxfId="2118" priority="2312" stopIfTrue="1" operator="equal">
      <formula>"VAC"</formula>
    </cfRule>
    <cfRule type="cellIs" dxfId="2117" priority="2313" stopIfTrue="1" operator="equal">
      <formula>"INC"</formula>
    </cfRule>
    <cfRule type="cellIs" dxfId="2116" priority="2314" stopIfTrue="1" operator="equal">
      <formula>"PSG"</formula>
    </cfRule>
    <cfRule type="cellIs" dxfId="2115" priority="2315" stopIfTrue="1" operator="equal">
      <formula>"FALTA"</formula>
    </cfRule>
  </conditionalFormatting>
  <conditionalFormatting sqref="BV85">
    <cfRule type="cellIs" dxfId="2114" priority="2306" stopIfTrue="1" operator="equal">
      <formula>"PCG"</formula>
    </cfRule>
    <cfRule type="cellIs" dxfId="2113" priority="2307" stopIfTrue="1" operator="equal">
      <formula>"VAC"</formula>
    </cfRule>
    <cfRule type="cellIs" dxfId="2112" priority="2308" stopIfTrue="1" operator="equal">
      <formula>"INC"</formula>
    </cfRule>
    <cfRule type="cellIs" dxfId="2111" priority="2309" stopIfTrue="1" operator="equal">
      <formula>"PSG"</formula>
    </cfRule>
    <cfRule type="cellIs" dxfId="2110" priority="2310" stopIfTrue="1" operator="equal">
      <formula>"FALTA"</formula>
    </cfRule>
  </conditionalFormatting>
  <conditionalFormatting sqref="CI85">
    <cfRule type="cellIs" dxfId="2109" priority="2301" stopIfTrue="1" operator="equal">
      <formula>"PCG"</formula>
    </cfRule>
    <cfRule type="cellIs" dxfId="2108" priority="2302" stopIfTrue="1" operator="equal">
      <formula>"VAC"</formula>
    </cfRule>
    <cfRule type="cellIs" dxfId="2107" priority="2303" stopIfTrue="1" operator="equal">
      <formula>"INC"</formula>
    </cfRule>
    <cfRule type="cellIs" dxfId="2106" priority="2304" stopIfTrue="1" operator="equal">
      <formula>"PSG"</formula>
    </cfRule>
    <cfRule type="cellIs" dxfId="2105" priority="2305" stopIfTrue="1" operator="equal">
      <formula>"FALTA"</formula>
    </cfRule>
  </conditionalFormatting>
  <conditionalFormatting sqref="I76">
    <cfRule type="cellIs" dxfId="2104" priority="2296" stopIfTrue="1" operator="equal">
      <formula>"PCG"</formula>
    </cfRule>
    <cfRule type="cellIs" dxfId="2103" priority="2297" stopIfTrue="1" operator="equal">
      <formula>"VAC"</formula>
    </cfRule>
    <cfRule type="cellIs" dxfId="2102" priority="2298" stopIfTrue="1" operator="equal">
      <formula>"INC"</formula>
    </cfRule>
    <cfRule type="cellIs" dxfId="2101" priority="2299" stopIfTrue="1" operator="equal">
      <formula>"PSG"</formula>
    </cfRule>
    <cfRule type="cellIs" dxfId="2100" priority="2300" stopIfTrue="1" operator="equal">
      <formula>"FALTA"</formula>
    </cfRule>
  </conditionalFormatting>
  <conditionalFormatting sqref="V76">
    <cfRule type="cellIs" dxfId="2099" priority="2291" stopIfTrue="1" operator="equal">
      <formula>"PCG"</formula>
    </cfRule>
    <cfRule type="cellIs" dxfId="2098" priority="2292" stopIfTrue="1" operator="equal">
      <formula>"VAC"</formula>
    </cfRule>
    <cfRule type="cellIs" dxfId="2097" priority="2293" stopIfTrue="1" operator="equal">
      <formula>"INC"</formula>
    </cfRule>
    <cfRule type="cellIs" dxfId="2096" priority="2294" stopIfTrue="1" operator="equal">
      <formula>"PSG"</formula>
    </cfRule>
    <cfRule type="cellIs" dxfId="2095" priority="2295" stopIfTrue="1" operator="equal">
      <formula>"FALTA"</formula>
    </cfRule>
  </conditionalFormatting>
  <conditionalFormatting sqref="AI76">
    <cfRule type="cellIs" dxfId="2094" priority="2286" stopIfTrue="1" operator="equal">
      <formula>"PCG"</formula>
    </cfRule>
    <cfRule type="cellIs" dxfId="2093" priority="2287" stopIfTrue="1" operator="equal">
      <formula>"VAC"</formula>
    </cfRule>
    <cfRule type="cellIs" dxfId="2092" priority="2288" stopIfTrue="1" operator="equal">
      <formula>"INC"</formula>
    </cfRule>
    <cfRule type="cellIs" dxfId="2091" priority="2289" stopIfTrue="1" operator="equal">
      <formula>"PSG"</formula>
    </cfRule>
    <cfRule type="cellIs" dxfId="2090" priority="2290" stopIfTrue="1" operator="equal">
      <formula>"FALTA"</formula>
    </cfRule>
  </conditionalFormatting>
  <conditionalFormatting sqref="AV76">
    <cfRule type="cellIs" dxfId="2089" priority="2281" stopIfTrue="1" operator="equal">
      <formula>"PCG"</formula>
    </cfRule>
    <cfRule type="cellIs" dxfId="2088" priority="2282" stopIfTrue="1" operator="equal">
      <formula>"VAC"</formula>
    </cfRule>
    <cfRule type="cellIs" dxfId="2087" priority="2283" stopIfTrue="1" operator="equal">
      <formula>"INC"</formula>
    </cfRule>
    <cfRule type="cellIs" dxfId="2086" priority="2284" stopIfTrue="1" operator="equal">
      <formula>"PSG"</formula>
    </cfRule>
    <cfRule type="cellIs" dxfId="2085" priority="2285" stopIfTrue="1" operator="equal">
      <formula>"FALTA"</formula>
    </cfRule>
  </conditionalFormatting>
  <conditionalFormatting sqref="BI76">
    <cfRule type="cellIs" dxfId="2084" priority="2276" stopIfTrue="1" operator="equal">
      <formula>"PCG"</formula>
    </cfRule>
    <cfRule type="cellIs" dxfId="2083" priority="2277" stopIfTrue="1" operator="equal">
      <formula>"VAC"</formula>
    </cfRule>
    <cfRule type="cellIs" dxfId="2082" priority="2278" stopIfTrue="1" operator="equal">
      <formula>"INC"</formula>
    </cfRule>
    <cfRule type="cellIs" dxfId="2081" priority="2279" stopIfTrue="1" operator="equal">
      <formula>"PSG"</formula>
    </cfRule>
    <cfRule type="cellIs" dxfId="2080" priority="2280" stopIfTrue="1" operator="equal">
      <formula>"FALTA"</formula>
    </cfRule>
  </conditionalFormatting>
  <conditionalFormatting sqref="BV76">
    <cfRule type="cellIs" dxfId="2079" priority="2271" stopIfTrue="1" operator="equal">
      <formula>"PCG"</formula>
    </cfRule>
    <cfRule type="cellIs" dxfId="2078" priority="2272" stopIfTrue="1" operator="equal">
      <formula>"VAC"</formula>
    </cfRule>
    <cfRule type="cellIs" dxfId="2077" priority="2273" stopIfTrue="1" operator="equal">
      <formula>"INC"</formula>
    </cfRule>
    <cfRule type="cellIs" dxfId="2076" priority="2274" stopIfTrue="1" operator="equal">
      <formula>"PSG"</formula>
    </cfRule>
    <cfRule type="cellIs" dxfId="2075" priority="2275" stopIfTrue="1" operator="equal">
      <formula>"FALTA"</formula>
    </cfRule>
  </conditionalFormatting>
  <conditionalFormatting sqref="CI76">
    <cfRule type="cellIs" dxfId="2074" priority="2266" stopIfTrue="1" operator="equal">
      <formula>"PCG"</formula>
    </cfRule>
    <cfRule type="cellIs" dxfId="2073" priority="2267" stopIfTrue="1" operator="equal">
      <formula>"VAC"</formula>
    </cfRule>
    <cfRule type="cellIs" dxfId="2072" priority="2268" stopIfTrue="1" operator="equal">
      <formula>"INC"</formula>
    </cfRule>
    <cfRule type="cellIs" dxfId="2071" priority="2269" stopIfTrue="1" operator="equal">
      <formula>"PSG"</formula>
    </cfRule>
    <cfRule type="cellIs" dxfId="2070" priority="2270" stopIfTrue="1" operator="equal">
      <formula>"FALTA"</formula>
    </cfRule>
  </conditionalFormatting>
  <conditionalFormatting sqref="I244">
    <cfRule type="cellIs" dxfId="2069" priority="2261" stopIfTrue="1" operator="equal">
      <formula>"PCG"</formula>
    </cfRule>
    <cfRule type="cellIs" dxfId="2068" priority="2262" stopIfTrue="1" operator="equal">
      <formula>"VAC"</formula>
    </cfRule>
    <cfRule type="cellIs" dxfId="2067" priority="2263" stopIfTrue="1" operator="equal">
      <formula>"INC"</formula>
    </cfRule>
    <cfRule type="cellIs" dxfId="2066" priority="2264" stopIfTrue="1" operator="equal">
      <formula>"PSG"</formula>
    </cfRule>
    <cfRule type="cellIs" dxfId="2065" priority="2265" stopIfTrue="1" operator="equal">
      <formula>"FALTA"</formula>
    </cfRule>
  </conditionalFormatting>
  <conditionalFormatting sqref="V244">
    <cfRule type="cellIs" dxfId="2064" priority="2256" stopIfTrue="1" operator="equal">
      <formula>"PCG"</formula>
    </cfRule>
    <cfRule type="cellIs" dxfId="2063" priority="2257" stopIfTrue="1" operator="equal">
      <formula>"VAC"</formula>
    </cfRule>
    <cfRule type="cellIs" dxfId="2062" priority="2258" stopIfTrue="1" operator="equal">
      <formula>"INC"</formula>
    </cfRule>
    <cfRule type="cellIs" dxfId="2061" priority="2259" stopIfTrue="1" operator="equal">
      <formula>"PSG"</formula>
    </cfRule>
    <cfRule type="cellIs" dxfId="2060" priority="2260" stopIfTrue="1" operator="equal">
      <formula>"FALTA"</formula>
    </cfRule>
  </conditionalFormatting>
  <conditionalFormatting sqref="AI244">
    <cfRule type="cellIs" dxfId="2059" priority="2251" stopIfTrue="1" operator="equal">
      <formula>"PCG"</formula>
    </cfRule>
    <cfRule type="cellIs" dxfId="2058" priority="2252" stopIfTrue="1" operator="equal">
      <formula>"VAC"</formula>
    </cfRule>
    <cfRule type="cellIs" dxfId="2057" priority="2253" stopIfTrue="1" operator="equal">
      <formula>"INC"</formula>
    </cfRule>
    <cfRule type="cellIs" dxfId="2056" priority="2254" stopIfTrue="1" operator="equal">
      <formula>"PSG"</formula>
    </cfRule>
    <cfRule type="cellIs" dxfId="2055" priority="2255" stopIfTrue="1" operator="equal">
      <formula>"FALTA"</formula>
    </cfRule>
  </conditionalFormatting>
  <conditionalFormatting sqref="CI244">
    <cfRule type="cellIs" dxfId="2054" priority="2236" stopIfTrue="1" operator="equal">
      <formula>"PCG"</formula>
    </cfRule>
    <cfRule type="cellIs" dxfId="2053" priority="2237" stopIfTrue="1" operator="equal">
      <formula>"VAC"</formula>
    </cfRule>
    <cfRule type="cellIs" dxfId="2052" priority="2238" stopIfTrue="1" operator="equal">
      <formula>"INC"</formula>
    </cfRule>
    <cfRule type="cellIs" dxfId="2051" priority="2239" stopIfTrue="1" operator="equal">
      <formula>"PSG"</formula>
    </cfRule>
    <cfRule type="cellIs" dxfId="2050" priority="2240" stopIfTrue="1" operator="equal">
      <formula>"FALTA"</formula>
    </cfRule>
  </conditionalFormatting>
  <conditionalFormatting sqref="V201">
    <cfRule type="cellIs" dxfId="2049" priority="2231" stopIfTrue="1" operator="equal">
      <formula>"PCG"</formula>
    </cfRule>
    <cfRule type="cellIs" dxfId="2048" priority="2232" stopIfTrue="1" operator="equal">
      <formula>"VAC"</formula>
    </cfRule>
    <cfRule type="cellIs" dxfId="2047" priority="2233" stopIfTrue="1" operator="equal">
      <formula>"INC"</formula>
    </cfRule>
    <cfRule type="cellIs" dxfId="2046" priority="2234" stopIfTrue="1" operator="equal">
      <formula>"PSG"</formula>
    </cfRule>
    <cfRule type="cellIs" dxfId="2045" priority="2235" stopIfTrue="1" operator="equal">
      <formula>"FALTA"</formula>
    </cfRule>
  </conditionalFormatting>
  <conditionalFormatting sqref="AI201">
    <cfRule type="cellIs" dxfId="2044" priority="2226" stopIfTrue="1" operator="equal">
      <formula>"PCG"</formula>
    </cfRule>
    <cfRule type="cellIs" dxfId="2043" priority="2227" stopIfTrue="1" operator="equal">
      <formula>"VAC"</formula>
    </cfRule>
    <cfRule type="cellIs" dxfId="2042" priority="2228" stopIfTrue="1" operator="equal">
      <formula>"INC"</formula>
    </cfRule>
    <cfRule type="cellIs" dxfId="2041" priority="2229" stopIfTrue="1" operator="equal">
      <formula>"PSG"</formula>
    </cfRule>
    <cfRule type="cellIs" dxfId="2040" priority="2230" stopIfTrue="1" operator="equal">
      <formula>"FALTA"</formula>
    </cfRule>
  </conditionalFormatting>
  <conditionalFormatting sqref="AV201">
    <cfRule type="cellIs" dxfId="2039" priority="2221" stopIfTrue="1" operator="equal">
      <formula>"PCG"</formula>
    </cfRule>
    <cfRule type="cellIs" dxfId="2038" priority="2222" stopIfTrue="1" operator="equal">
      <formula>"VAC"</formula>
    </cfRule>
    <cfRule type="cellIs" dxfId="2037" priority="2223" stopIfTrue="1" operator="equal">
      <formula>"INC"</formula>
    </cfRule>
    <cfRule type="cellIs" dxfId="2036" priority="2224" stopIfTrue="1" operator="equal">
      <formula>"PSG"</formula>
    </cfRule>
    <cfRule type="cellIs" dxfId="2035" priority="2225" stopIfTrue="1" operator="equal">
      <formula>"FALTA"</formula>
    </cfRule>
  </conditionalFormatting>
  <conditionalFormatting sqref="BI201">
    <cfRule type="cellIs" dxfId="2034" priority="2216" stopIfTrue="1" operator="equal">
      <formula>"PCG"</formula>
    </cfRule>
    <cfRule type="cellIs" dxfId="2033" priority="2217" stopIfTrue="1" operator="equal">
      <formula>"VAC"</formula>
    </cfRule>
    <cfRule type="cellIs" dxfId="2032" priority="2218" stopIfTrue="1" operator="equal">
      <formula>"INC"</formula>
    </cfRule>
    <cfRule type="cellIs" dxfId="2031" priority="2219" stopIfTrue="1" operator="equal">
      <formula>"PSG"</formula>
    </cfRule>
    <cfRule type="cellIs" dxfId="2030" priority="2220" stopIfTrue="1" operator="equal">
      <formula>"FALTA"</formula>
    </cfRule>
  </conditionalFormatting>
  <conditionalFormatting sqref="V45">
    <cfRule type="cellIs" dxfId="2029" priority="2211" stopIfTrue="1" operator="equal">
      <formula>"PCG"</formula>
    </cfRule>
    <cfRule type="cellIs" dxfId="2028" priority="2212" stopIfTrue="1" operator="equal">
      <formula>"VAC"</formula>
    </cfRule>
    <cfRule type="cellIs" dxfId="2027" priority="2213" stopIfTrue="1" operator="equal">
      <formula>"INC"</formula>
    </cfRule>
    <cfRule type="cellIs" dxfId="2026" priority="2214" stopIfTrue="1" operator="equal">
      <formula>"PSG"</formula>
    </cfRule>
    <cfRule type="cellIs" dxfId="2025" priority="2215" stopIfTrue="1" operator="equal">
      <formula>"FALTA"</formula>
    </cfRule>
  </conditionalFormatting>
  <conditionalFormatting sqref="AI45">
    <cfRule type="cellIs" dxfId="2024" priority="2206" stopIfTrue="1" operator="equal">
      <formula>"PCG"</formula>
    </cfRule>
    <cfRule type="cellIs" dxfId="2023" priority="2207" stopIfTrue="1" operator="equal">
      <formula>"VAC"</formula>
    </cfRule>
    <cfRule type="cellIs" dxfId="2022" priority="2208" stopIfTrue="1" operator="equal">
      <formula>"INC"</formula>
    </cfRule>
    <cfRule type="cellIs" dxfId="2021" priority="2209" stopIfTrue="1" operator="equal">
      <formula>"PSG"</formula>
    </cfRule>
    <cfRule type="cellIs" dxfId="2020" priority="2210" stopIfTrue="1" operator="equal">
      <formula>"FALTA"</formula>
    </cfRule>
  </conditionalFormatting>
  <conditionalFormatting sqref="AV45">
    <cfRule type="cellIs" dxfId="2019" priority="2201" stopIfTrue="1" operator="equal">
      <formula>"PCG"</formula>
    </cfRule>
    <cfRule type="cellIs" dxfId="2018" priority="2202" stopIfTrue="1" operator="equal">
      <formula>"VAC"</formula>
    </cfRule>
    <cfRule type="cellIs" dxfId="2017" priority="2203" stopIfTrue="1" operator="equal">
      <formula>"INC"</formula>
    </cfRule>
    <cfRule type="cellIs" dxfId="2016" priority="2204" stopIfTrue="1" operator="equal">
      <formula>"PSG"</formula>
    </cfRule>
    <cfRule type="cellIs" dxfId="2015" priority="2205" stopIfTrue="1" operator="equal">
      <formula>"FALTA"</formula>
    </cfRule>
  </conditionalFormatting>
  <conditionalFormatting sqref="BI45">
    <cfRule type="cellIs" dxfId="2014" priority="2196" stopIfTrue="1" operator="equal">
      <formula>"PCG"</formula>
    </cfRule>
    <cfRule type="cellIs" dxfId="2013" priority="2197" stopIfTrue="1" operator="equal">
      <formula>"VAC"</formula>
    </cfRule>
    <cfRule type="cellIs" dxfId="2012" priority="2198" stopIfTrue="1" operator="equal">
      <formula>"INC"</formula>
    </cfRule>
    <cfRule type="cellIs" dxfId="2011" priority="2199" stopIfTrue="1" operator="equal">
      <formula>"PSG"</formula>
    </cfRule>
    <cfRule type="cellIs" dxfId="2010" priority="2200" stopIfTrue="1" operator="equal">
      <formula>"FALTA"</formula>
    </cfRule>
  </conditionalFormatting>
  <conditionalFormatting sqref="I206">
    <cfRule type="cellIs" dxfId="2009" priority="2191" stopIfTrue="1" operator="equal">
      <formula>"PCG"</formula>
    </cfRule>
    <cfRule type="cellIs" dxfId="2008" priority="2192" stopIfTrue="1" operator="equal">
      <formula>"VAC"</formula>
    </cfRule>
    <cfRule type="cellIs" dxfId="2007" priority="2193" stopIfTrue="1" operator="equal">
      <formula>"INC"</formula>
    </cfRule>
    <cfRule type="cellIs" dxfId="2006" priority="2194" stopIfTrue="1" operator="equal">
      <formula>"PSG"</formula>
    </cfRule>
    <cfRule type="cellIs" dxfId="2005" priority="2195" stopIfTrue="1" operator="equal">
      <formula>"FALTA"</formula>
    </cfRule>
  </conditionalFormatting>
  <conditionalFormatting sqref="V206">
    <cfRule type="cellIs" dxfId="2004" priority="2186" stopIfTrue="1" operator="equal">
      <formula>"PCG"</formula>
    </cfRule>
    <cfRule type="cellIs" dxfId="2003" priority="2187" stopIfTrue="1" operator="equal">
      <formula>"VAC"</formula>
    </cfRule>
    <cfRule type="cellIs" dxfId="2002" priority="2188" stopIfTrue="1" operator="equal">
      <formula>"INC"</formula>
    </cfRule>
    <cfRule type="cellIs" dxfId="2001" priority="2189" stopIfTrue="1" operator="equal">
      <formula>"PSG"</formula>
    </cfRule>
    <cfRule type="cellIs" dxfId="2000" priority="2190" stopIfTrue="1" operator="equal">
      <formula>"FALTA"</formula>
    </cfRule>
  </conditionalFormatting>
  <conditionalFormatting sqref="AI206">
    <cfRule type="cellIs" dxfId="1999" priority="2181" stopIfTrue="1" operator="equal">
      <formula>"PCG"</formula>
    </cfRule>
    <cfRule type="cellIs" dxfId="1998" priority="2182" stopIfTrue="1" operator="equal">
      <formula>"VAC"</formula>
    </cfRule>
    <cfRule type="cellIs" dxfId="1997" priority="2183" stopIfTrue="1" operator="equal">
      <formula>"INC"</formula>
    </cfRule>
    <cfRule type="cellIs" dxfId="1996" priority="2184" stopIfTrue="1" operator="equal">
      <formula>"PSG"</formula>
    </cfRule>
    <cfRule type="cellIs" dxfId="1995" priority="2185" stopIfTrue="1" operator="equal">
      <formula>"FALTA"</formula>
    </cfRule>
  </conditionalFormatting>
  <conditionalFormatting sqref="AV206">
    <cfRule type="cellIs" dxfId="1994" priority="2176" stopIfTrue="1" operator="equal">
      <formula>"PCG"</formula>
    </cfRule>
    <cfRule type="cellIs" dxfId="1993" priority="2177" stopIfTrue="1" operator="equal">
      <formula>"VAC"</formula>
    </cfRule>
    <cfRule type="cellIs" dxfId="1992" priority="2178" stopIfTrue="1" operator="equal">
      <formula>"INC"</formula>
    </cfRule>
    <cfRule type="cellIs" dxfId="1991" priority="2179" stopIfTrue="1" operator="equal">
      <formula>"PSG"</formula>
    </cfRule>
    <cfRule type="cellIs" dxfId="1990" priority="2180" stopIfTrue="1" operator="equal">
      <formula>"FALTA"</formula>
    </cfRule>
  </conditionalFormatting>
  <conditionalFormatting sqref="BI79">
    <cfRule type="cellIs" dxfId="1989" priority="1386" stopIfTrue="1" operator="equal">
      <formula>"PCG"</formula>
    </cfRule>
    <cfRule type="cellIs" dxfId="1988" priority="1387" stopIfTrue="1" operator="equal">
      <formula>"VAC"</formula>
    </cfRule>
    <cfRule type="cellIs" dxfId="1987" priority="1388" stopIfTrue="1" operator="equal">
      <formula>"INC"</formula>
    </cfRule>
    <cfRule type="cellIs" dxfId="1986" priority="1389" stopIfTrue="1" operator="equal">
      <formula>"PSG"</formula>
    </cfRule>
    <cfRule type="cellIs" dxfId="1985" priority="1390" stopIfTrue="1" operator="equal">
      <formula>"FALTA"</formula>
    </cfRule>
  </conditionalFormatting>
  <conditionalFormatting sqref="CI206">
    <cfRule type="cellIs" dxfId="1984" priority="2166" stopIfTrue="1" operator="equal">
      <formula>"PCG"</formula>
    </cfRule>
    <cfRule type="cellIs" dxfId="1983" priority="2167" stopIfTrue="1" operator="equal">
      <formula>"VAC"</formula>
    </cfRule>
    <cfRule type="cellIs" dxfId="1982" priority="2168" stopIfTrue="1" operator="equal">
      <formula>"INC"</formula>
    </cfRule>
    <cfRule type="cellIs" dxfId="1981" priority="2169" stopIfTrue="1" operator="equal">
      <formula>"PSG"</formula>
    </cfRule>
    <cfRule type="cellIs" dxfId="1980" priority="2170" stopIfTrue="1" operator="equal">
      <formula>"FALTA"</formula>
    </cfRule>
  </conditionalFormatting>
  <conditionalFormatting sqref="I47">
    <cfRule type="cellIs" dxfId="1979" priority="2161" stopIfTrue="1" operator="equal">
      <formula>"PCG"</formula>
    </cfRule>
    <cfRule type="cellIs" dxfId="1978" priority="2162" stopIfTrue="1" operator="equal">
      <formula>"VAC"</formula>
    </cfRule>
    <cfRule type="cellIs" dxfId="1977" priority="2163" stopIfTrue="1" operator="equal">
      <formula>"INC"</formula>
    </cfRule>
    <cfRule type="cellIs" dxfId="1976" priority="2164" stopIfTrue="1" operator="equal">
      <formula>"PSG"</formula>
    </cfRule>
    <cfRule type="cellIs" dxfId="1975" priority="2165" stopIfTrue="1" operator="equal">
      <formula>"FALTA"</formula>
    </cfRule>
  </conditionalFormatting>
  <conditionalFormatting sqref="V47">
    <cfRule type="cellIs" dxfId="1974" priority="2156" stopIfTrue="1" operator="equal">
      <formula>"PCG"</formula>
    </cfRule>
    <cfRule type="cellIs" dxfId="1973" priority="2157" stopIfTrue="1" operator="equal">
      <formula>"VAC"</formula>
    </cfRule>
    <cfRule type="cellIs" dxfId="1972" priority="2158" stopIfTrue="1" operator="equal">
      <formula>"INC"</formula>
    </cfRule>
    <cfRule type="cellIs" dxfId="1971" priority="2159" stopIfTrue="1" operator="equal">
      <formula>"PSG"</formula>
    </cfRule>
    <cfRule type="cellIs" dxfId="1970" priority="2160" stopIfTrue="1" operator="equal">
      <formula>"FALTA"</formula>
    </cfRule>
  </conditionalFormatting>
  <conditionalFormatting sqref="V183">
    <cfRule type="cellIs" dxfId="1969" priority="2151" stopIfTrue="1" operator="equal">
      <formula>"PCG"</formula>
    </cfRule>
    <cfRule type="cellIs" dxfId="1968" priority="2152" stopIfTrue="1" operator="equal">
      <formula>"VAC"</formula>
    </cfRule>
    <cfRule type="cellIs" dxfId="1967" priority="2153" stopIfTrue="1" operator="equal">
      <formula>"INC"</formula>
    </cfRule>
    <cfRule type="cellIs" dxfId="1966" priority="2154" stopIfTrue="1" operator="equal">
      <formula>"PSG"</formula>
    </cfRule>
    <cfRule type="cellIs" dxfId="1965" priority="2155" stopIfTrue="1" operator="equal">
      <formula>"FALTA"</formula>
    </cfRule>
  </conditionalFormatting>
  <conditionalFormatting sqref="AI183">
    <cfRule type="cellIs" dxfId="1964" priority="2146" stopIfTrue="1" operator="equal">
      <formula>"PCG"</formula>
    </cfRule>
    <cfRule type="cellIs" dxfId="1963" priority="2147" stopIfTrue="1" operator="equal">
      <formula>"VAC"</formula>
    </cfRule>
    <cfRule type="cellIs" dxfId="1962" priority="2148" stopIfTrue="1" operator="equal">
      <formula>"INC"</formula>
    </cfRule>
    <cfRule type="cellIs" dxfId="1961" priority="2149" stopIfTrue="1" operator="equal">
      <formula>"PSG"</formula>
    </cfRule>
    <cfRule type="cellIs" dxfId="1960" priority="2150" stopIfTrue="1" operator="equal">
      <formula>"FALTA"</formula>
    </cfRule>
  </conditionalFormatting>
  <conditionalFormatting sqref="AV183">
    <cfRule type="cellIs" dxfId="1959" priority="2141" stopIfTrue="1" operator="equal">
      <formula>"PCG"</formula>
    </cfRule>
    <cfRule type="cellIs" dxfId="1958" priority="2142" stopIfTrue="1" operator="equal">
      <formula>"VAC"</formula>
    </cfRule>
    <cfRule type="cellIs" dxfId="1957" priority="2143" stopIfTrue="1" operator="equal">
      <formula>"INC"</formula>
    </cfRule>
    <cfRule type="cellIs" dxfId="1956" priority="2144" stopIfTrue="1" operator="equal">
      <formula>"PSG"</formula>
    </cfRule>
    <cfRule type="cellIs" dxfId="1955" priority="2145" stopIfTrue="1" operator="equal">
      <formula>"FALTA"</formula>
    </cfRule>
  </conditionalFormatting>
  <conditionalFormatting sqref="BI183">
    <cfRule type="cellIs" dxfId="1954" priority="2136" stopIfTrue="1" operator="equal">
      <formula>"PCG"</formula>
    </cfRule>
    <cfRule type="cellIs" dxfId="1953" priority="2137" stopIfTrue="1" operator="equal">
      <formula>"VAC"</formula>
    </cfRule>
    <cfRule type="cellIs" dxfId="1952" priority="2138" stopIfTrue="1" operator="equal">
      <formula>"INC"</formula>
    </cfRule>
    <cfRule type="cellIs" dxfId="1951" priority="2139" stopIfTrue="1" operator="equal">
      <formula>"PSG"</formula>
    </cfRule>
    <cfRule type="cellIs" dxfId="1950" priority="2140" stopIfTrue="1" operator="equal">
      <formula>"FALTA"</formula>
    </cfRule>
  </conditionalFormatting>
  <conditionalFormatting sqref="BV183">
    <cfRule type="cellIs" dxfId="1949" priority="2131" stopIfTrue="1" operator="equal">
      <formula>"PCG"</formula>
    </cfRule>
    <cfRule type="cellIs" dxfId="1948" priority="2132" stopIfTrue="1" operator="equal">
      <formula>"VAC"</formula>
    </cfRule>
    <cfRule type="cellIs" dxfId="1947" priority="2133" stopIfTrue="1" operator="equal">
      <formula>"INC"</formula>
    </cfRule>
    <cfRule type="cellIs" dxfId="1946" priority="2134" stopIfTrue="1" operator="equal">
      <formula>"PSG"</formula>
    </cfRule>
    <cfRule type="cellIs" dxfId="1945" priority="2135" stopIfTrue="1" operator="equal">
      <formula>"FALTA"</formula>
    </cfRule>
  </conditionalFormatting>
  <conditionalFormatting sqref="V62">
    <cfRule type="cellIs" dxfId="1944" priority="2126" stopIfTrue="1" operator="equal">
      <formula>"PCG"</formula>
    </cfRule>
    <cfRule type="cellIs" dxfId="1943" priority="2127" stopIfTrue="1" operator="equal">
      <formula>"VAC"</formula>
    </cfRule>
    <cfRule type="cellIs" dxfId="1942" priority="2128" stopIfTrue="1" operator="equal">
      <formula>"INC"</formula>
    </cfRule>
    <cfRule type="cellIs" dxfId="1941" priority="2129" stopIfTrue="1" operator="equal">
      <formula>"PSG"</formula>
    </cfRule>
    <cfRule type="cellIs" dxfId="1940" priority="2130" stopIfTrue="1" operator="equal">
      <formula>"FALTA"</formula>
    </cfRule>
  </conditionalFormatting>
  <conditionalFormatting sqref="AI62">
    <cfRule type="cellIs" dxfId="1939" priority="2121" stopIfTrue="1" operator="equal">
      <formula>"PCG"</formula>
    </cfRule>
    <cfRule type="cellIs" dxfId="1938" priority="2122" stopIfTrue="1" operator="equal">
      <formula>"VAC"</formula>
    </cfRule>
    <cfRule type="cellIs" dxfId="1937" priority="2123" stopIfTrue="1" operator="equal">
      <formula>"INC"</formula>
    </cfRule>
    <cfRule type="cellIs" dxfId="1936" priority="2124" stopIfTrue="1" operator="equal">
      <formula>"PSG"</formula>
    </cfRule>
    <cfRule type="cellIs" dxfId="1935" priority="2125" stopIfTrue="1" operator="equal">
      <formula>"FALTA"</formula>
    </cfRule>
  </conditionalFormatting>
  <conditionalFormatting sqref="AV62">
    <cfRule type="cellIs" dxfId="1934" priority="2116" stopIfTrue="1" operator="equal">
      <formula>"PCG"</formula>
    </cfRule>
    <cfRule type="cellIs" dxfId="1933" priority="2117" stopIfTrue="1" operator="equal">
      <formula>"VAC"</formula>
    </cfRule>
    <cfRule type="cellIs" dxfId="1932" priority="2118" stopIfTrue="1" operator="equal">
      <formula>"INC"</formula>
    </cfRule>
    <cfRule type="cellIs" dxfId="1931" priority="2119" stopIfTrue="1" operator="equal">
      <formula>"PSG"</formula>
    </cfRule>
    <cfRule type="cellIs" dxfId="1930" priority="2120" stopIfTrue="1" operator="equal">
      <formula>"FALTA"</formula>
    </cfRule>
  </conditionalFormatting>
  <conditionalFormatting sqref="BV62">
    <cfRule type="cellIs" dxfId="1929" priority="2111" stopIfTrue="1" operator="equal">
      <formula>"PCG"</formula>
    </cfRule>
    <cfRule type="cellIs" dxfId="1928" priority="2112" stopIfTrue="1" operator="equal">
      <formula>"VAC"</formula>
    </cfRule>
    <cfRule type="cellIs" dxfId="1927" priority="2113" stopIfTrue="1" operator="equal">
      <formula>"INC"</formula>
    </cfRule>
    <cfRule type="cellIs" dxfId="1926" priority="2114" stopIfTrue="1" operator="equal">
      <formula>"PSG"</formula>
    </cfRule>
    <cfRule type="cellIs" dxfId="1925" priority="2115" stopIfTrue="1" operator="equal">
      <formula>"FALTA"</formula>
    </cfRule>
  </conditionalFormatting>
  <conditionalFormatting sqref="V232">
    <cfRule type="cellIs" dxfId="1924" priority="2106" stopIfTrue="1" operator="equal">
      <formula>"PCG"</formula>
    </cfRule>
    <cfRule type="cellIs" dxfId="1923" priority="2107" stopIfTrue="1" operator="equal">
      <formula>"VAC"</formula>
    </cfRule>
    <cfRule type="cellIs" dxfId="1922" priority="2108" stopIfTrue="1" operator="equal">
      <formula>"INC"</formula>
    </cfRule>
    <cfRule type="cellIs" dxfId="1921" priority="2109" stopIfTrue="1" operator="equal">
      <formula>"PSG"</formula>
    </cfRule>
    <cfRule type="cellIs" dxfId="1920" priority="2110" stopIfTrue="1" operator="equal">
      <formula>"FALTA"</formula>
    </cfRule>
  </conditionalFormatting>
  <conditionalFormatting sqref="AI232">
    <cfRule type="cellIs" dxfId="1919" priority="2101" stopIfTrue="1" operator="equal">
      <formula>"PCG"</formula>
    </cfRule>
    <cfRule type="cellIs" dxfId="1918" priority="2102" stopIfTrue="1" operator="equal">
      <formula>"VAC"</formula>
    </cfRule>
    <cfRule type="cellIs" dxfId="1917" priority="2103" stopIfTrue="1" operator="equal">
      <formula>"INC"</formula>
    </cfRule>
    <cfRule type="cellIs" dxfId="1916" priority="2104" stopIfTrue="1" operator="equal">
      <formula>"PSG"</formula>
    </cfRule>
    <cfRule type="cellIs" dxfId="1915" priority="2105" stopIfTrue="1" operator="equal">
      <formula>"FALTA"</formula>
    </cfRule>
  </conditionalFormatting>
  <conditionalFormatting sqref="AV232">
    <cfRule type="cellIs" dxfId="1914" priority="2096" stopIfTrue="1" operator="equal">
      <formula>"PCG"</formula>
    </cfRule>
    <cfRule type="cellIs" dxfId="1913" priority="2097" stopIfTrue="1" operator="equal">
      <formula>"VAC"</formula>
    </cfRule>
    <cfRule type="cellIs" dxfId="1912" priority="2098" stopIfTrue="1" operator="equal">
      <formula>"INC"</formula>
    </cfRule>
    <cfRule type="cellIs" dxfId="1911" priority="2099" stopIfTrue="1" operator="equal">
      <formula>"PSG"</formula>
    </cfRule>
    <cfRule type="cellIs" dxfId="1910" priority="2100" stopIfTrue="1" operator="equal">
      <formula>"FALTA"</formula>
    </cfRule>
  </conditionalFormatting>
  <conditionalFormatting sqref="BI232">
    <cfRule type="cellIs" dxfId="1909" priority="2091" stopIfTrue="1" operator="equal">
      <formula>"PCG"</formula>
    </cfRule>
    <cfRule type="cellIs" dxfId="1908" priority="2092" stopIfTrue="1" operator="equal">
      <formula>"VAC"</formula>
    </cfRule>
    <cfRule type="cellIs" dxfId="1907" priority="2093" stopIfTrue="1" operator="equal">
      <formula>"INC"</formula>
    </cfRule>
    <cfRule type="cellIs" dxfId="1906" priority="2094" stopIfTrue="1" operator="equal">
      <formula>"PSG"</formula>
    </cfRule>
    <cfRule type="cellIs" dxfId="1905" priority="2095" stopIfTrue="1" operator="equal">
      <formula>"FALTA"</formula>
    </cfRule>
  </conditionalFormatting>
  <conditionalFormatting sqref="BV232">
    <cfRule type="cellIs" dxfId="1904" priority="2086" stopIfTrue="1" operator="equal">
      <formula>"PCG"</formula>
    </cfRule>
    <cfRule type="cellIs" dxfId="1903" priority="2087" stopIfTrue="1" operator="equal">
      <formula>"VAC"</formula>
    </cfRule>
    <cfRule type="cellIs" dxfId="1902" priority="2088" stopIfTrue="1" operator="equal">
      <formula>"INC"</formula>
    </cfRule>
    <cfRule type="cellIs" dxfId="1901" priority="2089" stopIfTrue="1" operator="equal">
      <formula>"PSG"</formula>
    </cfRule>
    <cfRule type="cellIs" dxfId="1900" priority="2090" stopIfTrue="1" operator="equal">
      <formula>"FALTA"</formula>
    </cfRule>
  </conditionalFormatting>
  <conditionalFormatting sqref="V240">
    <cfRule type="cellIs" dxfId="1899" priority="2081" stopIfTrue="1" operator="equal">
      <formula>"PCG"</formula>
    </cfRule>
    <cfRule type="cellIs" dxfId="1898" priority="2082" stopIfTrue="1" operator="equal">
      <formula>"VAC"</formula>
    </cfRule>
    <cfRule type="cellIs" dxfId="1897" priority="2083" stopIfTrue="1" operator="equal">
      <formula>"INC"</formula>
    </cfRule>
    <cfRule type="cellIs" dxfId="1896" priority="2084" stopIfTrue="1" operator="equal">
      <formula>"PSG"</formula>
    </cfRule>
    <cfRule type="cellIs" dxfId="1895" priority="2085" stopIfTrue="1" operator="equal">
      <formula>"FALTA"</formula>
    </cfRule>
  </conditionalFormatting>
  <conditionalFormatting sqref="AI240">
    <cfRule type="cellIs" dxfId="1894" priority="2076" stopIfTrue="1" operator="equal">
      <formula>"PCG"</formula>
    </cfRule>
    <cfRule type="cellIs" dxfId="1893" priority="2077" stopIfTrue="1" operator="equal">
      <formula>"VAC"</formula>
    </cfRule>
    <cfRule type="cellIs" dxfId="1892" priority="2078" stopIfTrue="1" operator="equal">
      <formula>"INC"</formula>
    </cfRule>
    <cfRule type="cellIs" dxfId="1891" priority="2079" stopIfTrue="1" operator="equal">
      <formula>"PSG"</formula>
    </cfRule>
    <cfRule type="cellIs" dxfId="1890" priority="2080" stopIfTrue="1" operator="equal">
      <formula>"FALTA"</formula>
    </cfRule>
  </conditionalFormatting>
  <conditionalFormatting sqref="AV240">
    <cfRule type="cellIs" dxfId="1889" priority="2071" stopIfTrue="1" operator="equal">
      <formula>"PCG"</formula>
    </cfRule>
    <cfRule type="cellIs" dxfId="1888" priority="2072" stopIfTrue="1" operator="equal">
      <formula>"VAC"</formula>
    </cfRule>
    <cfRule type="cellIs" dxfId="1887" priority="2073" stopIfTrue="1" operator="equal">
      <formula>"INC"</formula>
    </cfRule>
    <cfRule type="cellIs" dxfId="1886" priority="2074" stopIfTrue="1" operator="equal">
      <formula>"PSG"</formula>
    </cfRule>
    <cfRule type="cellIs" dxfId="1885" priority="2075" stopIfTrue="1" operator="equal">
      <formula>"FALTA"</formula>
    </cfRule>
  </conditionalFormatting>
  <conditionalFormatting sqref="AV150">
    <cfRule type="cellIs" dxfId="1884" priority="1731" stopIfTrue="1" operator="equal">
      <formula>"PCG"</formula>
    </cfRule>
    <cfRule type="cellIs" dxfId="1883" priority="1732" stopIfTrue="1" operator="equal">
      <formula>"VAC"</formula>
    </cfRule>
    <cfRule type="cellIs" dxfId="1882" priority="1733" stopIfTrue="1" operator="equal">
      <formula>"INC"</formula>
    </cfRule>
    <cfRule type="cellIs" dxfId="1881" priority="1734" stopIfTrue="1" operator="equal">
      <formula>"PSG"</formula>
    </cfRule>
    <cfRule type="cellIs" dxfId="1880" priority="1735" stopIfTrue="1" operator="equal">
      <formula>"FALTA"</formula>
    </cfRule>
  </conditionalFormatting>
  <conditionalFormatting sqref="V263">
    <cfRule type="cellIs" dxfId="1879" priority="2056" stopIfTrue="1" operator="equal">
      <formula>"PCG"</formula>
    </cfRule>
    <cfRule type="cellIs" dxfId="1878" priority="2057" stopIfTrue="1" operator="equal">
      <formula>"VAC"</formula>
    </cfRule>
    <cfRule type="cellIs" dxfId="1877" priority="2058" stopIfTrue="1" operator="equal">
      <formula>"INC"</formula>
    </cfRule>
    <cfRule type="cellIs" dxfId="1876" priority="2059" stopIfTrue="1" operator="equal">
      <formula>"PSG"</formula>
    </cfRule>
    <cfRule type="cellIs" dxfId="1875" priority="2060" stopIfTrue="1" operator="equal">
      <formula>"FALTA"</formula>
    </cfRule>
  </conditionalFormatting>
  <conditionalFormatting sqref="AI263">
    <cfRule type="cellIs" dxfId="1874" priority="2051" stopIfTrue="1" operator="equal">
      <formula>"PCG"</formula>
    </cfRule>
    <cfRule type="cellIs" dxfId="1873" priority="2052" stopIfTrue="1" operator="equal">
      <formula>"VAC"</formula>
    </cfRule>
    <cfRule type="cellIs" dxfId="1872" priority="2053" stopIfTrue="1" operator="equal">
      <formula>"INC"</formula>
    </cfRule>
    <cfRule type="cellIs" dxfId="1871" priority="2054" stopIfTrue="1" operator="equal">
      <formula>"PSG"</formula>
    </cfRule>
    <cfRule type="cellIs" dxfId="1870" priority="2055" stopIfTrue="1" operator="equal">
      <formula>"FALTA"</formula>
    </cfRule>
  </conditionalFormatting>
  <conditionalFormatting sqref="AV263">
    <cfRule type="cellIs" dxfId="1869" priority="2046" stopIfTrue="1" operator="equal">
      <formula>"PCG"</formula>
    </cfRule>
    <cfRule type="cellIs" dxfId="1868" priority="2047" stopIfTrue="1" operator="equal">
      <formula>"VAC"</formula>
    </cfRule>
    <cfRule type="cellIs" dxfId="1867" priority="2048" stopIfTrue="1" operator="equal">
      <formula>"INC"</formula>
    </cfRule>
    <cfRule type="cellIs" dxfId="1866" priority="2049" stopIfTrue="1" operator="equal">
      <formula>"PSG"</formula>
    </cfRule>
    <cfRule type="cellIs" dxfId="1865" priority="2050" stopIfTrue="1" operator="equal">
      <formula>"FALTA"</formula>
    </cfRule>
  </conditionalFormatting>
  <conditionalFormatting sqref="CI52">
    <cfRule type="cellIs" dxfId="1864" priority="1751" stopIfTrue="1" operator="equal">
      <formula>"PCG"</formula>
    </cfRule>
    <cfRule type="cellIs" dxfId="1863" priority="1752" stopIfTrue="1" operator="equal">
      <formula>"VAC"</formula>
    </cfRule>
    <cfRule type="cellIs" dxfId="1862" priority="1753" stopIfTrue="1" operator="equal">
      <formula>"INC"</formula>
    </cfRule>
    <cfRule type="cellIs" dxfId="1861" priority="1754" stopIfTrue="1" operator="equal">
      <formula>"PSG"</formula>
    </cfRule>
    <cfRule type="cellIs" dxfId="1860" priority="1755" stopIfTrue="1" operator="equal">
      <formula>"FALTA"</formula>
    </cfRule>
  </conditionalFormatting>
  <conditionalFormatting sqref="BV263">
    <cfRule type="cellIs" dxfId="1859" priority="2036" stopIfTrue="1" operator="equal">
      <formula>"PCG"</formula>
    </cfRule>
    <cfRule type="cellIs" dxfId="1858" priority="2037" stopIfTrue="1" operator="equal">
      <formula>"VAC"</formula>
    </cfRule>
    <cfRule type="cellIs" dxfId="1857" priority="2038" stopIfTrue="1" operator="equal">
      <formula>"INC"</formula>
    </cfRule>
    <cfRule type="cellIs" dxfId="1856" priority="2039" stopIfTrue="1" operator="equal">
      <formula>"PSG"</formula>
    </cfRule>
    <cfRule type="cellIs" dxfId="1855" priority="2040" stopIfTrue="1" operator="equal">
      <formula>"FALTA"</formula>
    </cfRule>
  </conditionalFormatting>
  <conditionalFormatting sqref="V181">
    <cfRule type="cellIs" dxfId="1854" priority="2031" stopIfTrue="1" operator="equal">
      <formula>"PCG"</formula>
    </cfRule>
    <cfRule type="cellIs" dxfId="1853" priority="2032" stopIfTrue="1" operator="equal">
      <formula>"VAC"</formula>
    </cfRule>
    <cfRule type="cellIs" dxfId="1852" priority="2033" stopIfTrue="1" operator="equal">
      <formula>"INC"</formula>
    </cfRule>
    <cfRule type="cellIs" dxfId="1851" priority="2034" stopIfTrue="1" operator="equal">
      <formula>"PSG"</formula>
    </cfRule>
    <cfRule type="cellIs" dxfId="1850" priority="2035" stopIfTrue="1" operator="equal">
      <formula>"FALTA"</formula>
    </cfRule>
  </conditionalFormatting>
  <conditionalFormatting sqref="AI181">
    <cfRule type="cellIs" dxfId="1849" priority="2026" stopIfTrue="1" operator="equal">
      <formula>"PCG"</formula>
    </cfRule>
    <cfRule type="cellIs" dxfId="1848" priority="2027" stopIfTrue="1" operator="equal">
      <formula>"VAC"</formula>
    </cfRule>
    <cfRule type="cellIs" dxfId="1847" priority="2028" stopIfTrue="1" operator="equal">
      <formula>"INC"</formula>
    </cfRule>
    <cfRule type="cellIs" dxfId="1846" priority="2029" stopIfTrue="1" operator="equal">
      <formula>"PSG"</formula>
    </cfRule>
    <cfRule type="cellIs" dxfId="1845" priority="2030" stopIfTrue="1" operator="equal">
      <formula>"FALTA"</formula>
    </cfRule>
  </conditionalFormatting>
  <conditionalFormatting sqref="AV181">
    <cfRule type="cellIs" dxfId="1844" priority="2021" stopIfTrue="1" operator="equal">
      <formula>"PCG"</formula>
    </cfRule>
    <cfRule type="cellIs" dxfId="1843" priority="2022" stopIfTrue="1" operator="equal">
      <formula>"VAC"</formula>
    </cfRule>
    <cfRule type="cellIs" dxfId="1842" priority="2023" stopIfTrue="1" operator="equal">
      <formula>"INC"</formula>
    </cfRule>
    <cfRule type="cellIs" dxfId="1841" priority="2024" stopIfTrue="1" operator="equal">
      <formula>"PSG"</formula>
    </cfRule>
    <cfRule type="cellIs" dxfId="1840" priority="2025" stopIfTrue="1" operator="equal">
      <formula>"FALTA"</formula>
    </cfRule>
  </conditionalFormatting>
  <conditionalFormatting sqref="BI181">
    <cfRule type="cellIs" dxfId="1839" priority="2016" stopIfTrue="1" operator="equal">
      <formula>"PCG"</formula>
    </cfRule>
    <cfRule type="cellIs" dxfId="1838" priority="2017" stopIfTrue="1" operator="equal">
      <formula>"VAC"</formula>
    </cfRule>
    <cfRule type="cellIs" dxfId="1837" priority="2018" stopIfTrue="1" operator="equal">
      <formula>"INC"</formula>
    </cfRule>
    <cfRule type="cellIs" dxfId="1836" priority="2019" stopIfTrue="1" operator="equal">
      <formula>"PSG"</formula>
    </cfRule>
    <cfRule type="cellIs" dxfId="1835" priority="2020" stopIfTrue="1" operator="equal">
      <formula>"FALTA"</formula>
    </cfRule>
  </conditionalFormatting>
  <conditionalFormatting sqref="V130">
    <cfRule type="cellIs" dxfId="1834" priority="2006" stopIfTrue="1" operator="equal">
      <formula>"PCG"</formula>
    </cfRule>
    <cfRule type="cellIs" dxfId="1833" priority="2007" stopIfTrue="1" operator="equal">
      <formula>"VAC"</formula>
    </cfRule>
    <cfRule type="cellIs" dxfId="1832" priority="2008" stopIfTrue="1" operator="equal">
      <formula>"INC"</formula>
    </cfRule>
    <cfRule type="cellIs" dxfId="1831" priority="2009" stopIfTrue="1" operator="equal">
      <formula>"PSG"</formula>
    </cfRule>
    <cfRule type="cellIs" dxfId="1830" priority="2010" stopIfTrue="1" operator="equal">
      <formula>"FALTA"</formula>
    </cfRule>
  </conditionalFormatting>
  <conditionalFormatting sqref="AI130">
    <cfRule type="cellIs" dxfId="1829" priority="2001" stopIfTrue="1" operator="equal">
      <formula>"PCG"</formula>
    </cfRule>
    <cfRule type="cellIs" dxfId="1828" priority="2002" stopIfTrue="1" operator="equal">
      <formula>"VAC"</formula>
    </cfRule>
    <cfRule type="cellIs" dxfId="1827" priority="2003" stopIfTrue="1" operator="equal">
      <formula>"INC"</formula>
    </cfRule>
    <cfRule type="cellIs" dxfId="1826" priority="2004" stopIfTrue="1" operator="equal">
      <formula>"PSG"</formula>
    </cfRule>
    <cfRule type="cellIs" dxfId="1825" priority="2005" stopIfTrue="1" operator="equal">
      <formula>"FALTA"</formula>
    </cfRule>
  </conditionalFormatting>
  <conditionalFormatting sqref="AV130">
    <cfRule type="cellIs" dxfId="1824" priority="1996" stopIfTrue="1" operator="equal">
      <formula>"PCG"</formula>
    </cfRule>
    <cfRule type="cellIs" dxfId="1823" priority="1997" stopIfTrue="1" operator="equal">
      <formula>"VAC"</formula>
    </cfRule>
    <cfRule type="cellIs" dxfId="1822" priority="1998" stopIfTrue="1" operator="equal">
      <formula>"INC"</formula>
    </cfRule>
    <cfRule type="cellIs" dxfId="1821" priority="1999" stopIfTrue="1" operator="equal">
      <formula>"PSG"</formula>
    </cfRule>
    <cfRule type="cellIs" dxfId="1820" priority="2000" stopIfTrue="1" operator="equal">
      <formula>"FALTA"</formula>
    </cfRule>
  </conditionalFormatting>
  <conditionalFormatting sqref="BI130">
    <cfRule type="cellIs" dxfId="1819" priority="1991" stopIfTrue="1" operator="equal">
      <formula>"PCG"</formula>
    </cfRule>
    <cfRule type="cellIs" dxfId="1818" priority="1992" stopIfTrue="1" operator="equal">
      <formula>"VAC"</formula>
    </cfRule>
    <cfRule type="cellIs" dxfId="1817" priority="1993" stopIfTrue="1" operator="equal">
      <formula>"INC"</formula>
    </cfRule>
    <cfRule type="cellIs" dxfId="1816" priority="1994" stopIfTrue="1" operator="equal">
      <formula>"PSG"</formula>
    </cfRule>
    <cfRule type="cellIs" dxfId="1815" priority="1995" stopIfTrue="1" operator="equal">
      <formula>"FALTA"</formula>
    </cfRule>
  </conditionalFormatting>
  <conditionalFormatting sqref="BV130">
    <cfRule type="cellIs" dxfId="1814" priority="1986" stopIfTrue="1" operator="equal">
      <formula>"PCG"</formula>
    </cfRule>
    <cfRule type="cellIs" dxfId="1813" priority="1987" stopIfTrue="1" operator="equal">
      <formula>"VAC"</formula>
    </cfRule>
    <cfRule type="cellIs" dxfId="1812" priority="1988" stopIfTrue="1" operator="equal">
      <formula>"INC"</formula>
    </cfRule>
    <cfRule type="cellIs" dxfId="1811" priority="1989" stopIfTrue="1" operator="equal">
      <formula>"PSG"</formula>
    </cfRule>
    <cfRule type="cellIs" dxfId="1810" priority="1990" stopIfTrue="1" operator="equal">
      <formula>"FALTA"</formula>
    </cfRule>
  </conditionalFormatting>
  <conditionalFormatting sqref="V142">
    <cfRule type="cellIs" dxfId="1809" priority="1981" stopIfTrue="1" operator="equal">
      <formula>"PCG"</formula>
    </cfRule>
    <cfRule type="cellIs" dxfId="1808" priority="1982" stopIfTrue="1" operator="equal">
      <formula>"VAC"</formula>
    </cfRule>
    <cfRule type="cellIs" dxfId="1807" priority="1983" stopIfTrue="1" operator="equal">
      <formula>"INC"</formula>
    </cfRule>
    <cfRule type="cellIs" dxfId="1806" priority="1984" stopIfTrue="1" operator="equal">
      <formula>"PSG"</formula>
    </cfRule>
    <cfRule type="cellIs" dxfId="1805" priority="1985" stopIfTrue="1" operator="equal">
      <formula>"FALTA"</formula>
    </cfRule>
  </conditionalFormatting>
  <conditionalFormatting sqref="AU142">
    <cfRule type="cellIs" dxfId="1804" priority="1971" stopIfTrue="1" operator="equal">
      <formula>"PCG"</formula>
    </cfRule>
    <cfRule type="cellIs" dxfId="1803" priority="1972" stopIfTrue="1" operator="equal">
      <formula>"VAC"</formula>
    </cfRule>
    <cfRule type="cellIs" dxfId="1802" priority="1973" stopIfTrue="1" operator="equal">
      <formula>"INC"</formula>
    </cfRule>
    <cfRule type="cellIs" dxfId="1801" priority="1974" stopIfTrue="1" operator="equal">
      <formula>"PSG"</formula>
    </cfRule>
    <cfRule type="cellIs" dxfId="1800" priority="1975" stopIfTrue="1" operator="equal">
      <formula>"FALTA"</formula>
    </cfRule>
  </conditionalFormatting>
  <conditionalFormatting sqref="BM219">
    <cfRule type="cellIs" dxfId="1799" priority="1436" stopIfTrue="1" operator="equal">
      <formula>"PCG"</formula>
    </cfRule>
    <cfRule type="cellIs" dxfId="1798" priority="1437" stopIfTrue="1" operator="equal">
      <formula>"VAC"</formula>
    </cfRule>
    <cfRule type="cellIs" dxfId="1797" priority="1438" stopIfTrue="1" operator="equal">
      <formula>"INC"</formula>
    </cfRule>
    <cfRule type="cellIs" dxfId="1796" priority="1439" stopIfTrue="1" operator="equal">
      <formula>"PSG"</formula>
    </cfRule>
    <cfRule type="cellIs" dxfId="1795" priority="1440" stopIfTrue="1" operator="equal">
      <formula>"FALTA"</formula>
    </cfRule>
  </conditionalFormatting>
  <conditionalFormatting sqref="BV142">
    <cfRule type="cellIs" dxfId="1794" priority="1956" stopIfTrue="1" operator="equal">
      <formula>"PCG"</formula>
    </cfRule>
    <cfRule type="cellIs" dxfId="1793" priority="1957" stopIfTrue="1" operator="equal">
      <formula>"VAC"</formula>
    </cfRule>
    <cfRule type="cellIs" dxfId="1792" priority="1958" stopIfTrue="1" operator="equal">
      <formula>"INC"</formula>
    </cfRule>
    <cfRule type="cellIs" dxfId="1791" priority="1959" stopIfTrue="1" operator="equal">
      <formula>"PSG"</formula>
    </cfRule>
    <cfRule type="cellIs" dxfId="1790" priority="1960" stopIfTrue="1" operator="equal">
      <formula>"FALTA"</formula>
    </cfRule>
  </conditionalFormatting>
  <conditionalFormatting sqref="V265">
    <cfRule type="cellIs" dxfId="1789" priority="1951" stopIfTrue="1" operator="equal">
      <formula>"PCG"</formula>
    </cfRule>
    <cfRule type="cellIs" dxfId="1788" priority="1952" stopIfTrue="1" operator="equal">
      <formula>"VAC"</formula>
    </cfRule>
    <cfRule type="cellIs" dxfId="1787" priority="1953" stopIfTrue="1" operator="equal">
      <formula>"INC"</formula>
    </cfRule>
    <cfRule type="cellIs" dxfId="1786" priority="1954" stopIfTrue="1" operator="equal">
      <formula>"PSG"</formula>
    </cfRule>
    <cfRule type="cellIs" dxfId="1785" priority="1955" stopIfTrue="1" operator="equal">
      <formula>"FALTA"</formula>
    </cfRule>
  </conditionalFormatting>
  <conditionalFormatting sqref="AI265">
    <cfRule type="cellIs" dxfId="1784" priority="1946" stopIfTrue="1" operator="equal">
      <formula>"PCG"</formula>
    </cfRule>
    <cfRule type="cellIs" dxfId="1783" priority="1947" stopIfTrue="1" operator="equal">
      <formula>"VAC"</formula>
    </cfRule>
    <cfRule type="cellIs" dxfId="1782" priority="1948" stopIfTrue="1" operator="equal">
      <formula>"INC"</formula>
    </cfRule>
    <cfRule type="cellIs" dxfId="1781" priority="1949" stopIfTrue="1" operator="equal">
      <formula>"PSG"</formula>
    </cfRule>
    <cfRule type="cellIs" dxfId="1780" priority="1950" stopIfTrue="1" operator="equal">
      <formula>"FALTA"</formula>
    </cfRule>
  </conditionalFormatting>
  <conditionalFormatting sqref="AV265">
    <cfRule type="cellIs" dxfId="1779" priority="1941" stopIfTrue="1" operator="equal">
      <formula>"PCG"</formula>
    </cfRule>
    <cfRule type="cellIs" dxfId="1778" priority="1942" stopIfTrue="1" operator="equal">
      <formula>"VAC"</formula>
    </cfRule>
    <cfRule type="cellIs" dxfId="1777" priority="1943" stopIfTrue="1" operator="equal">
      <formula>"INC"</formula>
    </cfRule>
    <cfRule type="cellIs" dxfId="1776" priority="1944" stopIfTrue="1" operator="equal">
      <formula>"PSG"</formula>
    </cfRule>
    <cfRule type="cellIs" dxfId="1775" priority="1945" stopIfTrue="1" operator="equal">
      <formula>"FALTA"</formula>
    </cfRule>
  </conditionalFormatting>
  <conditionalFormatting sqref="BI265">
    <cfRule type="cellIs" dxfId="1774" priority="1936" stopIfTrue="1" operator="equal">
      <formula>"PCG"</formula>
    </cfRule>
    <cfRule type="cellIs" dxfId="1773" priority="1937" stopIfTrue="1" operator="equal">
      <formula>"VAC"</formula>
    </cfRule>
    <cfRule type="cellIs" dxfId="1772" priority="1938" stopIfTrue="1" operator="equal">
      <formula>"INC"</formula>
    </cfRule>
    <cfRule type="cellIs" dxfId="1771" priority="1939" stopIfTrue="1" operator="equal">
      <formula>"PSG"</formula>
    </cfRule>
    <cfRule type="cellIs" dxfId="1770" priority="1940" stopIfTrue="1" operator="equal">
      <formula>"FALTA"</formula>
    </cfRule>
  </conditionalFormatting>
  <conditionalFormatting sqref="BV265">
    <cfRule type="cellIs" dxfId="1769" priority="1931" stopIfTrue="1" operator="equal">
      <formula>"PCG"</formula>
    </cfRule>
    <cfRule type="cellIs" dxfId="1768" priority="1932" stopIfTrue="1" operator="equal">
      <formula>"VAC"</formula>
    </cfRule>
    <cfRule type="cellIs" dxfId="1767" priority="1933" stopIfTrue="1" operator="equal">
      <formula>"INC"</formula>
    </cfRule>
    <cfRule type="cellIs" dxfId="1766" priority="1934" stopIfTrue="1" operator="equal">
      <formula>"PSG"</formula>
    </cfRule>
    <cfRule type="cellIs" dxfId="1765" priority="1935" stopIfTrue="1" operator="equal">
      <formula>"FALTA"</formula>
    </cfRule>
  </conditionalFormatting>
  <conditionalFormatting sqref="V125">
    <cfRule type="cellIs" dxfId="1764" priority="1926" stopIfTrue="1" operator="equal">
      <formula>"PCG"</formula>
    </cfRule>
    <cfRule type="cellIs" dxfId="1763" priority="1927" stopIfTrue="1" operator="equal">
      <formula>"VAC"</formula>
    </cfRule>
    <cfRule type="cellIs" dxfId="1762" priority="1928" stopIfTrue="1" operator="equal">
      <formula>"INC"</formula>
    </cfRule>
    <cfRule type="cellIs" dxfId="1761" priority="1929" stopIfTrue="1" operator="equal">
      <formula>"PSG"</formula>
    </cfRule>
    <cfRule type="cellIs" dxfId="1760" priority="1930" stopIfTrue="1" operator="equal">
      <formula>"FALTA"</formula>
    </cfRule>
  </conditionalFormatting>
  <conditionalFormatting sqref="AI125">
    <cfRule type="cellIs" dxfId="1759" priority="1921" stopIfTrue="1" operator="equal">
      <formula>"PCG"</formula>
    </cfRule>
    <cfRule type="cellIs" dxfId="1758" priority="1922" stopIfTrue="1" operator="equal">
      <formula>"VAC"</formula>
    </cfRule>
    <cfRule type="cellIs" dxfId="1757" priority="1923" stopIfTrue="1" operator="equal">
      <formula>"INC"</formula>
    </cfRule>
    <cfRule type="cellIs" dxfId="1756" priority="1924" stopIfTrue="1" operator="equal">
      <formula>"PSG"</formula>
    </cfRule>
    <cfRule type="cellIs" dxfId="1755" priority="1925" stopIfTrue="1" operator="equal">
      <formula>"FALTA"</formula>
    </cfRule>
  </conditionalFormatting>
  <conditionalFormatting sqref="AV125">
    <cfRule type="cellIs" dxfId="1754" priority="1916" stopIfTrue="1" operator="equal">
      <formula>"PCG"</formula>
    </cfRule>
    <cfRule type="cellIs" dxfId="1753" priority="1917" stopIfTrue="1" operator="equal">
      <formula>"VAC"</formula>
    </cfRule>
    <cfRule type="cellIs" dxfId="1752" priority="1918" stopIfTrue="1" operator="equal">
      <formula>"INC"</formula>
    </cfRule>
    <cfRule type="cellIs" dxfId="1751" priority="1919" stopIfTrue="1" operator="equal">
      <formula>"PSG"</formula>
    </cfRule>
    <cfRule type="cellIs" dxfId="1750" priority="1920" stopIfTrue="1" operator="equal">
      <formula>"FALTA"</formula>
    </cfRule>
  </conditionalFormatting>
  <conditionalFormatting sqref="BI125">
    <cfRule type="cellIs" dxfId="1749" priority="1911" stopIfTrue="1" operator="equal">
      <formula>"PCG"</formula>
    </cfRule>
    <cfRule type="cellIs" dxfId="1748" priority="1912" stopIfTrue="1" operator="equal">
      <formula>"VAC"</formula>
    </cfRule>
    <cfRule type="cellIs" dxfId="1747" priority="1913" stopIfTrue="1" operator="equal">
      <formula>"INC"</formula>
    </cfRule>
    <cfRule type="cellIs" dxfId="1746" priority="1914" stopIfTrue="1" operator="equal">
      <formula>"PSG"</formula>
    </cfRule>
    <cfRule type="cellIs" dxfId="1745" priority="1915" stopIfTrue="1" operator="equal">
      <formula>"FALTA"</formula>
    </cfRule>
  </conditionalFormatting>
  <conditionalFormatting sqref="BV125">
    <cfRule type="cellIs" dxfId="1744" priority="1906" stopIfTrue="1" operator="equal">
      <formula>"PCG"</formula>
    </cfRule>
    <cfRule type="cellIs" dxfId="1743" priority="1907" stopIfTrue="1" operator="equal">
      <formula>"VAC"</formula>
    </cfRule>
    <cfRule type="cellIs" dxfId="1742" priority="1908" stopIfTrue="1" operator="equal">
      <formula>"INC"</formula>
    </cfRule>
    <cfRule type="cellIs" dxfId="1741" priority="1909" stopIfTrue="1" operator="equal">
      <formula>"PSG"</formula>
    </cfRule>
    <cfRule type="cellIs" dxfId="1740" priority="1910" stopIfTrue="1" operator="equal">
      <formula>"FALTA"</formula>
    </cfRule>
  </conditionalFormatting>
  <conditionalFormatting sqref="CI125">
    <cfRule type="cellIs" dxfId="1739" priority="1901" stopIfTrue="1" operator="equal">
      <formula>"PCG"</formula>
    </cfRule>
    <cfRule type="cellIs" dxfId="1738" priority="1902" stopIfTrue="1" operator="equal">
      <formula>"VAC"</formula>
    </cfRule>
    <cfRule type="cellIs" dxfId="1737" priority="1903" stopIfTrue="1" operator="equal">
      <formula>"INC"</formula>
    </cfRule>
    <cfRule type="cellIs" dxfId="1736" priority="1904" stopIfTrue="1" operator="equal">
      <formula>"PSG"</formula>
    </cfRule>
    <cfRule type="cellIs" dxfId="1735" priority="1905" stopIfTrue="1" operator="equal">
      <formula>"FALTA"</formula>
    </cfRule>
  </conditionalFormatting>
  <conditionalFormatting sqref="AI256">
    <cfRule type="cellIs" dxfId="1734" priority="1846" stopIfTrue="1" operator="equal">
      <formula>"PCG"</formula>
    </cfRule>
    <cfRule type="cellIs" dxfId="1733" priority="1847" stopIfTrue="1" operator="equal">
      <formula>"VAC"</formula>
    </cfRule>
    <cfRule type="cellIs" dxfId="1732" priority="1848" stopIfTrue="1" operator="equal">
      <formula>"INC"</formula>
    </cfRule>
    <cfRule type="cellIs" dxfId="1731" priority="1849" stopIfTrue="1" operator="equal">
      <formula>"PSG"</formula>
    </cfRule>
    <cfRule type="cellIs" dxfId="1730" priority="1850" stopIfTrue="1" operator="equal">
      <formula>"FALTA"</formula>
    </cfRule>
  </conditionalFormatting>
  <conditionalFormatting sqref="BV55">
    <cfRule type="cellIs" dxfId="1729" priority="1881" stopIfTrue="1" operator="equal">
      <formula>"PCG"</formula>
    </cfRule>
    <cfRule type="cellIs" dxfId="1728" priority="1882" stopIfTrue="1" operator="equal">
      <formula>"VAC"</formula>
    </cfRule>
    <cfRule type="cellIs" dxfId="1727" priority="1883" stopIfTrue="1" operator="equal">
      <formula>"INC"</formula>
    </cfRule>
    <cfRule type="cellIs" dxfId="1726" priority="1884" stopIfTrue="1" operator="equal">
      <formula>"PSG"</formula>
    </cfRule>
    <cfRule type="cellIs" dxfId="1725" priority="1885" stopIfTrue="1" operator="equal">
      <formula>"FALTA"</formula>
    </cfRule>
  </conditionalFormatting>
  <conditionalFormatting sqref="V161">
    <cfRule type="cellIs" dxfId="1724" priority="1876" stopIfTrue="1" operator="equal">
      <formula>"PCG"</formula>
    </cfRule>
    <cfRule type="cellIs" dxfId="1723" priority="1877" stopIfTrue="1" operator="equal">
      <formula>"VAC"</formula>
    </cfRule>
    <cfRule type="cellIs" dxfId="1722" priority="1878" stopIfTrue="1" operator="equal">
      <formula>"INC"</formula>
    </cfRule>
    <cfRule type="cellIs" dxfId="1721" priority="1879" stopIfTrue="1" operator="equal">
      <formula>"PSG"</formula>
    </cfRule>
    <cfRule type="cellIs" dxfId="1720" priority="1880" stopIfTrue="1" operator="equal">
      <formula>"FALTA"</formula>
    </cfRule>
  </conditionalFormatting>
  <conditionalFormatting sqref="AV161">
    <cfRule type="cellIs" dxfId="1719" priority="1871" stopIfTrue="1" operator="equal">
      <formula>"PCG"</formula>
    </cfRule>
    <cfRule type="cellIs" dxfId="1718" priority="1872" stopIfTrue="1" operator="equal">
      <formula>"VAC"</formula>
    </cfRule>
    <cfRule type="cellIs" dxfId="1717" priority="1873" stopIfTrue="1" operator="equal">
      <formula>"INC"</formula>
    </cfRule>
    <cfRule type="cellIs" dxfId="1716" priority="1874" stopIfTrue="1" operator="equal">
      <formula>"PSG"</formula>
    </cfRule>
    <cfRule type="cellIs" dxfId="1715" priority="1875" stopIfTrue="1" operator="equal">
      <formula>"FALTA"</formula>
    </cfRule>
  </conditionalFormatting>
  <conditionalFormatting sqref="BV161">
    <cfRule type="cellIs" dxfId="1714" priority="1861" stopIfTrue="1" operator="equal">
      <formula>"PCG"</formula>
    </cfRule>
    <cfRule type="cellIs" dxfId="1713" priority="1862" stopIfTrue="1" operator="equal">
      <formula>"VAC"</formula>
    </cfRule>
    <cfRule type="cellIs" dxfId="1712" priority="1863" stopIfTrue="1" operator="equal">
      <formula>"INC"</formula>
    </cfRule>
    <cfRule type="cellIs" dxfId="1711" priority="1864" stopIfTrue="1" operator="equal">
      <formula>"PSG"</formula>
    </cfRule>
    <cfRule type="cellIs" dxfId="1710" priority="1865" stopIfTrue="1" operator="equal">
      <formula>"FALTA"</formula>
    </cfRule>
  </conditionalFormatting>
  <conditionalFormatting sqref="I256">
    <cfRule type="cellIs" dxfId="1709" priority="1856" stopIfTrue="1" operator="equal">
      <formula>"PCG"</formula>
    </cfRule>
    <cfRule type="cellIs" dxfId="1708" priority="1857" stopIfTrue="1" operator="equal">
      <formula>"VAC"</formula>
    </cfRule>
    <cfRule type="cellIs" dxfId="1707" priority="1858" stopIfTrue="1" operator="equal">
      <formula>"INC"</formula>
    </cfRule>
    <cfRule type="cellIs" dxfId="1706" priority="1859" stopIfTrue="1" operator="equal">
      <formula>"PSG"</formula>
    </cfRule>
    <cfRule type="cellIs" dxfId="1705" priority="1860" stopIfTrue="1" operator="equal">
      <formula>"FALTA"</formula>
    </cfRule>
  </conditionalFormatting>
  <conditionalFormatting sqref="V256">
    <cfRule type="cellIs" dxfId="1704" priority="1851" stopIfTrue="1" operator="equal">
      <formula>"PCG"</formula>
    </cfRule>
    <cfRule type="cellIs" dxfId="1703" priority="1852" stopIfTrue="1" operator="equal">
      <formula>"VAC"</formula>
    </cfRule>
    <cfRule type="cellIs" dxfId="1702" priority="1853" stopIfTrue="1" operator="equal">
      <formula>"INC"</formula>
    </cfRule>
    <cfRule type="cellIs" dxfId="1701" priority="1854" stopIfTrue="1" operator="equal">
      <formula>"PSG"</formula>
    </cfRule>
    <cfRule type="cellIs" dxfId="1700" priority="1855" stopIfTrue="1" operator="equal">
      <formula>"FALTA"</formula>
    </cfRule>
  </conditionalFormatting>
  <conditionalFormatting sqref="AV256">
    <cfRule type="cellIs" dxfId="1699" priority="1841" stopIfTrue="1" operator="equal">
      <formula>"PCG"</formula>
    </cfRule>
    <cfRule type="cellIs" dxfId="1698" priority="1842" stopIfTrue="1" operator="equal">
      <formula>"VAC"</formula>
    </cfRule>
    <cfRule type="cellIs" dxfId="1697" priority="1843" stopIfTrue="1" operator="equal">
      <formula>"INC"</formula>
    </cfRule>
    <cfRule type="cellIs" dxfId="1696" priority="1844" stopIfTrue="1" operator="equal">
      <formula>"PSG"</formula>
    </cfRule>
    <cfRule type="cellIs" dxfId="1695" priority="1845" stopIfTrue="1" operator="equal">
      <formula>"FALTA"</formula>
    </cfRule>
  </conditionalFormatting>
  <conditionalFormatting sqref="I151">
    <cfRule type="cellIs" dxfId="1694" priority="1831" stopIfTrue="1" operator="equal">
      <formula>"PCG"</formula>
    </cfRule>
    <cfRule type="cellIs" dxfId="1693" priority="1832" stopIfTrue="1" operator="equal">
      <formula>"VAC"</formula>
    </cfRule>
    <cfRule type="cellIs" dxfId="1692" priority="1833" stopIfTrue="1" operator="equal">
      <formula>"INC"</formula>
    </cfRule>
    <cfRule type="cellIs" dxfId="1691" priority="1834" stopIfTrue="1" operator="equal">
      <formula>"PSG"</formula>
    </cfRule>
    <cfRule type="cellIs" dxfId="1690" priority="1835" stopIfTrue="1" operator="equal">
      <formula>"FALTA"</formula>
    </cfRule>
  </conditionalFormatting>
  <conditionalFormatting sqref="V151">
    <cfRule type="cellIs" dxfId="1689" priority="1826" stopIfTrue="1" operator="equal">
      <formula>"PCG"</formula>
    </cfRule>
    <cfRule type="cellIs" dxfId="1688" priority="1827" stopIfTrue="1" operator="equal">
      <formula>"VAC"</formula>
    </cfRule>
    <cfRule type="cellIs" dxfId="1687" priority="1828" stopIfTrue="1" operator="equal">
      <formula>"INC"</formula>
    </cfRule>
    <cfRule type="cellIs" dxfId="1686" priority="1829" stopIfTrue="1" operator="equal">
      <formula>"PSG"</formula>
    </cfRule>
    <cfRule type="cellIs" dxfId="1685" priority="1830" stopIfTrue="1" operator="equal">
      <formula>"FALTA"</formula>
    </cfRule>
  </conditionalFormatting>
  <conditionalFormatting sqref="AI151">
    <cfRule type="cellIs" dxfId="1684" priority="1821" stopIfTrue="1" operator="equal">
      <formula>"PCG"</formula>
    </cfRule>
    <cfRule type="cellIs" dxfId="1683" priority="1822" stopIfTrue="1" operator="equal">
      <formula>"VAC"</formula>
    </cfRule>
    <cfRule type="cellIs" dxfId="1682" priority="1823" stopIfTrue="1" operator="equal">
      <formula>"INC"</formula>
    </cfRule>
    <cfRule type="cellIs" dxfId="1681" priority="1824" stopIfTrue="1" operator="equal">
      <formula>"PSG"</formula>
    </cfRule>
    <cfRule type="cellIs" dxfId="1680" priority="1825" stopIfTrue="1" operator="equal">
      <formula>"FALTA"</formula>
    </cfRule>
  </conditionalFormatting>
  <conditionalFormatting sqref="AV151">
    <cfRule type="cellIs" dxfId="1679" priority="1816" stopIfTrue="1" operator="equal">
      <formula>"PCG"</formula>
    </cfRule>
    <cfRule type="cellIs" dxfId="1678" priority="1817" stopIfTrue="1" operator="equal">
      <formula>"VAC"</formula>
    </cfRule>
    <cfRule type="cellIs" dxfId="1677" priority="1818" stopIfTrue="1" operator="equal">
      <formula>"INC"</formula>
    </cfRule>
    <cfRule type="cellIs" dxfId="1676" priority="1819" stopIfTrue="1" operator="equal">
      <formula>"PSG"</formula>
    </cfRule>
    <cfRule type="cellIs" dxfId="1675" priority="1820" stopIfTrue="1" operator="equal">
      <formula>"FALTA"</formula>
    </cfRule>
  </conditionalFormatting>
  <conditionalFormatting sqref="BV151">
    <cfRule type="cellIs" dxfId="1674" priority="1811" stopIfTrue="1" operator="equal">
      <formula>"PCG"</formula>
    </cfRule>
    <cfRule type="cellIs" dxfId="1673" priority="1812" stopIfTrue="1" operator="equal">
      <formula>"VAC"</formula>
    </cfRule>
    <cfRule type="cellIs" dxfId="1672" priority="1813" stopIfTrue="1" operator="equal">
      <formula>"INC"</formula>
    </cfRule>
    <cfRule type="cellIs" dxfId="1671" priority="1814" stopIfTrue="1" operator="equal">
      <formula>"PSG"</formula>
    </cfRule>
    <cfRule type="cellIs" dxfId="1670" priority="1815" stopIfTrue="1" operator="equal">
      <formula>"FALTA"</formula>
    </cfRule>
  </conditionalFormatting>
  <conditionalFormatting sqref="I106">
    <cfRule type="cellIs" dxfId="1669" priority="1806" stopIfTrue="1" operator="equal">
      <formula>"PCG"</formula>
    </cfRule>
    <cfRule type="cellIs" dxfId="1668" priority="1807" stopIfTrue="1" operator="equal">
      <formula>"VAC"</formula>
    </cfRule>
    <cfRule type="cellIs" dxfId="1667" priority="1808" stopIfTrue="1" operator="equal">
      <formula>"INC"</formula>
    </cfRule>
    <cfRule type="cellIs" dxfId="1666" priority="1809" stopIfTrue="1" operator="equal">
      <formula>"PSG"</formula>
    </cfRule>
    <cfRule type="cellIs" dxfId="1665" priority="1810" stopIfTrue="1" operator="equal">
      <formula>"FALTA"</formula>
    </cfRule>
  </conditionalFormatting>
  <conditionalFormatting sqref="V106">
    <cfRule type="cellIs" dxfId="1664" priority="1801" stopIfTrue="1" operator="equal">
      <formula>"PCG"</formula>
    </cfRule>
    <cfRule type="cellIs" dxfId="1663" priority="1802" stopIfTrue="1" operator="equal">
      <formula>"VAC"</formula>
    </cfRule>
    <cfRule type="cellIs" dxfId="1662" priority="1803" stopIfTrue="1" operator="equal">
      <formula>"INC"</formula>
    </cfRule>
    <cfRule type="cellIs" dxfId="1661" priority="1804" stopIfTrue="1" operator="equal">
      <formula>"PSG"</formula>
    </cfRule>
    <cfRule type="cellIs" dxfId="1660" priority="1805" stopIfTrue="1" operator="equal">
      <formula>"FALTA"</formula>
    </cfRule>
  </conditionalFormatting>
  <conditionalFormatting sqref="AI106">
    <cfRule type="cellIs" dxfId="1659" priority="1796" stopIfTrue="1" operator="equal">
      <formula>"PCG"</formula>
    </cfRule>
    <cfRule type="cellIs" dxfId="1658" priority="1797" stopIfTrue="1" operator="equal">
      <formula>"VAC"</formula>
    </cfRule>
    <cfRule type="cellIs" dxfId="1657" priority="1798" stopIfTrue="1" operator="equal">
      <formula>"INC"</formula>
    </cfRule>
    <cfRule type="cellIs" dxfId="1656" priority="1799" stopIfTrue="1" operator="equal">
      <formula>"PSG"</formula>
    </cfRule>
    <cfRule type="cellIs" dxfId="1655" priority="1800" stopIfTrue="1" operator="equal">
      <formula>"FALTA"</formula>
    </cfRule>
  </conditionalFormatting>
  <conditionalFormatting sqref="AV106">
    <cfRule type="cellIs" dxfId="1654" priority="1791" stopIfTrue="1" operator="equal">
      <formula>"PCG"</formula>
    </cfRule>
    <cfRule type="cellIs" dxfId="1653" priority="1792" stopIfTrue="1" operator="equal">
      <formula>"VAC"</formula>
    </cfRule>
    <cfRule type="cellIs" dxfId="1652" priority="1793" stopIfTrue="1" operator="equal">
      <formula>"INC"</formula>
    </cfRule>
    <cfRule type="cellIs" dxfId="1651" priority="1794" stopIfTrue="1" operator="equal">
      <formula>"PSG"</formula>
    </cfRule>
    <cfRule type="cellIs" dxfId="1650" priority="1795" stopIfTrue="1" operator="equal">
      <formula>"FALTA"</formula>
    </cfRule>
  </conditionalFormatting>
  <conditionalFormatting sqref="BI106">
    <cfRule type="cellIs" dxfId="1649" priority="1786" stopIfTrue="1" operator="equal">
      <formula>"PCG"</formula>
    </cfRule>
    <cfRule type="cellIs" dxfId="1648" priority="1787" stopIfTrue="1" operator="equal">
      <formula>"VAC"</formula>
    </cfRule>
    <cfRule type="cellIs" dxfId="1647" priority="1788" stopIfTrue="1" operator="equal">
      <formula>"INC"</formula>
    </cfRule>
    <cfRule type="cellIs" dxfId="1646" priority="1789" stopIfTrue="1" operator="equal">
      <formula>"PSG"</formula>
    </cfRule>
    <cfRule type="cellIs" dxfId="1645" priority="1790" stopIfTrue="1" operator="equal">
      <formula>"FALTA"</formula>
    </cfRule>
  </conditionalFormatting>
  <conditionalFormatting sqref="BV106">
    <cfRule type="cellIs" dxfId="1644" priority="1781" stopIfTrue="1" operator="equal">
      <formula>"PCG"</formula>
    </cfRule>
    <cfRule type="cellIs" dxfId="1643" priority="1782" stopIfTrue="1" operator="equal">
      <formula>"VAC"</formula>
    </cfRule>
    <cfRule type="cellIs" dxfId="1642" priority="1783" stopIfTrue="1" operator="equal">
      <formula>"INC"</formula>
    </cfRule>
    <cfRule type="cellIs" dxfId="1641" priority="1784" stopIfTrue="1" operator="equal">
      <formula>"PSG"</formula>
    </cfRule>
    <cfRule type="cellIs" dxfId="1640" priority="1785" stopIfTrue="1" operator="equal">
      <formula>"FALTA"</formula>
    </cfRule>
  </conditionalFormatting>
  <conditionalFormatting sqref="BI175">
    <cfRule type="cellIs" dxfId="1639" priority="1276" stopIfTrue="1" operator="equal">
      <formula>"PCG"</formula>
    </cfRule>
    <cfRule type="cellIs" dxfId="1638" priority="1277" stopIfTrue="1" operator="equal">
      <formula>"VAC"</formula>
    </cfRule>
    <cfRule type="cellIs" dxfId="1637" priority="1278" stopIfTrue="1" operator="equal">
      <formula>"INC"</formula>
    </cfRule>
    <cfRule type="cellIs" dxfId="1636" priority="1279" stopIfTrue="1" operator="equal">
      <formula>"PSG"</formula>
    </cfRule>
    <cfRule type="cellIs" dxfId="1635" priority="1280" stopIfTrue="1" operator="equal">
      <formula>"FALTA"</formula>
    </cfRule>
  </conditionalFormatting>
  <conditionalFormatting sqref="I52">
    <cfRule type="cellIs" dxfId="1634" priority="1771" stopIfTrue="1" operator="equal">
      <formula>"PCG"</formula>
    </cfRule>
    <cfRule type="cellIs" dxfId="1633" priority="1772" stopIfTrue="1" operator="equal">
      <formula>"VAC"</formula>
    </cfRule>
    <cfRule type="cellIs" dxfId="1632" priority="1773" stopIfTrue="1" operator="equal">
      <formula>"INC"</formula>
    </cfRule>
    <cfRule type="cellIs" dxfId="1631" priority="1774" stopIfTrue="1" operator="equal">
      <formula>"PSG"</formula>
    </cfRule>
    <cfRule type="cellIs" dxfId="1630" priority="1775" stopIfTrue="1" operator="equal">
      <formula>"FALTA"</formula>
    </cfRule>
  </conditionalFormatting>
  <conditionalFormatting sqref="AV52">
    <cfRule type="cellIs" dxfId="1629" priority="1766" stopIfTrue="1" operator="equal">
      <formula>"PCG"</formula>
    </cfRule>
    <cfRule type="cellIs" dxfId="1628" priority="1767" stopIfTrue="1" operator="equal">
      <formula>"VAC"</formula>
    </cfRule>
    <cfRule type="cellIs" dxfId="1627" priority="1768" stopIfTrue="1" operator="equal">
      <formula>"INC"</formula>
    </cfRule>
    <cfRule type="cellIs" dxfId="1626" priority="1769" stopIfTrue="1" operator="equal">
      <formula>"PSG"</formula>
    </cfRule>
    <cfRule type="cellIs" dxfId="1625" priority="1770" stopIfTrue="1" operator="equal">
      <formula>"FALTA"</formula>
    </cfRule>
  </conditionalFormatting>
  <conditionalFormatting sqref="BI52">
    <cfRule type="cellIs" dxfId="1624" priority="1761" stopIfTrue="1" operator="equal">
      <formula>"PCG"</formula>
    </cfRule>
    <cfRule type="cellIs" dxfId="1623" priority="1762" stopIfTrue="1" operator="equal">
      <formula>"VAC"</formula>
    </cfRule>
    <cfRule type="cellIs" dxfId="1622" priority="1763" stopIfTrue="1" operator="equal">
      <formula>"INC"</formula>
    </cfRule>
    <cfRule type="cellIs" dxfId="1621" priority="1764" stopIfTrue="1" operator="equal">
      <formula>"PSG"</formula>
    </cfRule>
    <cfRule type="cellIs" dxfId="1620" priority="1765" stopIfTrue="1" operator="equal">
      <formula>"FALTA"</formula>
    </cfRule>
  </conditionalFormatting>
  <conditionalFormatting sqref="BV52">
    <cfRule type="cellIs" dxfId="1619" priority="1756" stopIfTrue="1" operator="equal">
      <formula>"PCG"</formula>
    </cfRule>
    <cfRule type="cellIs" dxfId="1618" priority="1757" stopIfTrue="1" operator="equal">
      <formula>"VAC"</formula>
    </cfRule>
    <cfRule type="cellIs" dxfId="1617" priority="1758" stopIfTrue="1" operator="equal">
      <formula>"INC"</formula>
    </cfRule>
    <cfRule type="cellIs" dxfId="1616" priority="1759" stopIfTrue="1" operator="equal">
      <formula>"PSG"</formula>
    </cfRule>
    <cfRule type="cellIs" dxfId="1615" priority="1760" stopIfTrue="1" operator="equal">
      <formula>"FALTA"</formula>
    </cfRule>
  </conditionalFormatting>
  <conditionalFormatting sqref="I150">
    <cfRule type="cellIs" dxfId="1614" priority="1746" stopIfTrue="1" operator="equal">
      <formula>"PCG"</formula>
    </cfRule>
    <cfRule type="cellIs" dxfId="1613" priority="1747" stopIfTrue="1" operator="equal">
      <formula>"VAC"</formula>
    </cfRule>
    <cfRule type="cellIs" dxfId="1612" priority="1748" stopIfTrue="1" operator="equal">
      <formula>"INC"</formula>
    </cfRule>
    <cfRule type="cellIs" dxfId="1611" priority="1749" stopIfTrue="1" operator="equal">
      <formula>"PSG"</formula>
    </cfRule>
    <cfRule type="cellIs" dxfId="1610" priority="1750" stopIfTrue="1" operator="equal">
      <formula>"FALTA"</formula>
    </cfRule>
  </conditionalFormatting>
  <conditionalFormatting sqref="V150">
    <cfRule type="cellIs" dxfId="1609" priority="1741" stopIfTrue="1" operator="equal">
      <formula>"PCG"</formula>
    </cfRule>
    <cfRule type="cellIs" dxfId="1608" priority="1742" stopIfTrue="1" operator="equal">
      <formula>"VAC"</formula>
    </cfRule>
    <cfRule type="cellIs" dxfId="1607" priority="1743" stopIfTrue="1" operator="equal">
      <formula>"INC"</formula>
    </cfRule>
    <cfRule type="cellIs" dxfId="1606" priority="1744" stopIfTrue="1" operator="equal">
      <formula>"PSG"</formula>
    </cfRule>
    <cfRule type="cellIs" dxfId="1605" priority="1745" stopIfTrue="1" operator="equal">
      <formula>"FALTA"</formula>
    </cfRule>
  </conditionalFormatting>
  <conditionalFormatting sqref="AI150">
    <cfRule type="cellIs" dxfId="1604" priority="1736" stopIfTrue="1" operator="equal">
      <formula>"PCG"</formula>
    </cfRule>
    <cfRule type="cellIs" dxfId="1603" priority="1737" stopIfTrue="1" operator="equal">
      <formula>"VAC"</formula>
    </cfRule>
    <cfRule type="cellIs" dxfId="1602" priority="1738" stopIfTrue="1" operator="equal">
      <formula>"INC"</formula>
    </cfRule>
    <cfRule type="cellIs" dxfId="1601" priority="1739" stopIfTrue="1" operator="equal">
      <formula>"PSG"</formula>
    </cfRule>
    <cfRule type="cellIs" dxfId="1600" priority="1740" stopIfTrue="1" operator="equal">
      <formula>"FALTA"</formula>
    </cfRule>
  </conditionalFormatting>
  <conditionalFormatting sqref="AV97">
    <cfRule type="cellIs" dxfId="1599" priority="911" stopIfTrue="1" operator="equal">
      <formula>"PCG"</formula>
    </cfRule>
    <cfRule type="cellIs" dxfId="1598" priority="912" stopIfTrue="1" operator="equal">
      <formula>"VAC"</formula>
    </cfRule>
    <cfRule type="cellIs" dxfId="1597" priority="913" stopIfTrue="1" operator="equal">
      <formula>"INC"</formula>
    </cfRule>
    <cfRule type="cellIs" dxfId="1596" priority="914" stopIfTrue="1" operator="equal">
      <formula>"PSG"</formula>
    </cfRule>
    <cfRule type="cellIs" dxfId="1595" priority="915" stopIfTrue="1" operator="equal">
      <formula>"FALTA"</formula>
    </cfRule>
  </conditionalFormatting>
  <conditionalFormatting sqref="BV150">
    <cfRule type="cellIs" dxfId="1594" priority="1721" stopIfTrue="1" operator="equal">
      <formula>"PCG"</formula>
    </cfRule>
    <cfRule type="cellIs" dxfId="1593" priority="1722" stopIfTrue="1" operator="equal">
      <formula>"VAC"</formula>
    </cfRule>
    <cfRule type="cellIs" dxfId="1592" priority="1723" stopIfTrue="1" operator="equal">
      <formula>"INC"</formula>
    </cfRule>
    <cfRule type="cellIs" dxfId="1591" priority="1724" stopIfTrue="1" operator="equal">
      <formula>"PSG"</formula>
    </cfRule>
    <cfRule type="cellIs" dxfId="1590" priority="1725" stopIfTrue="1" operator="equal">
      <formula>"FALTA"</formula>
    </cfRule>
  </conditionalFormatting>
  <conditionalFormatting sqref="I243">
    <cfRule type="cellIs" dxfId="1589" priority="1716" stopIfTrue="1" operator="equal">
      <formula>"PCG"</formula>
    </cfRule>
    <cfRule type="cellIs" dxfId="1588" priority="1717" stopIfTrue="1" operator="equal">
      <formula>"VAC"</formula>
    </cfRule>
    <cfRule type="cellIs" dxfId="1587" priority="1718" stopIfTrue="1" operator="equal">
      <formula>"INC"</formula>
    </cfRule>
    <cfRule type="cellIs" dxfId="1586" priority="1719" stopIfTrue="1" operator="equal">
      <formula>"PSG"</formula>
    </cfRule>
    <cfRule type="cellIs" dxfId="1585" priority="1720" stopIfTrue="1" operator="equal">
      <formula>"FALTA"</formula>
    </cfRule>
  </conditionalFormatting>
  <conditionalFormatting sqref="V243">
    <cfRule type="cellIs" dxfId="1584" priority="1711" stopIfTrue="1" operator="equal">
      <formula>"PCG"</formula>
    </cfRule>
    <cfRule type="cellIs" dxfId="1583" priority="1712" stopIfTrue="1" operator="equal">
      <formula>"VAC"</formula>
    </cfRule>
    <cfRule type="cellIs" dxfId="1582" priority="1713" stopIfTrue="1" operator="equal">
      <formula>"INC"</formula>
    </cfRule>
    <cfRule type="cellIs" dxfId="1581" priority="1714" stopIfTrue="1" operator="equal">
      <formula>"PSG"</formula>
    </cfRule>
    <cfRule type="cellIs" dxfId="1580" priority="1715" stopIfTrue="1" operator="equal">
      <formula>"FALTA"</formula>
    </cfRule>
  </conditionalFormatting>
  <conditionalFormatting sqref="AI243">
    <cfRule type="cellIs" dxfId="1579" priority="1706" stopIfTrue="1" operator="equal">
      <formula>"PCG"</formula>
    </cfRule>
    <cfRule type="cellIs" dxfId="1578" priority="1707" stopIfTrue="1" operator="equal">
      <formula>"VAC"</formula>
    </cfRule>
    <cfRule type="cellIs" dxfId="1577" priority="1708" stopIfTrue="1" operator="equal">
      <formula>"INC"</formula>
    </cfRule>
    <cfRule type="cellIs" dxfId="1576" priority="1709" stopIfTrue="1" operator="equal">
      <formula>"PSG"</formula>
    </cfRule>
    <cfRule type="cellIs" dxfId="1575" priority="1710" stopIfTrue="1" operator="equal">
      <formula>"FALTA"</formula>
    </cfRule>
  </conditionalFormatting>
  <conditionalFormatting sqref="AV243">
    <cfRule type="cellIs" dxfId="1574" priority="1701" stopIfTrue="1" operator="equal">
      <formula>"PCG"</formula>
    </cfRule>
    <cfRule type="cellIs" dxfId="1573" priority="1702" stopIfTrue="1" operator="equal">
      <formula>"VAC"</formula>
    </cfRule>
    <cfRule type="cellIs" dxfId="1572" priority="1703" stopIfTrue="1" operator="equal">
      <formula>"INC"</formula>
    </cfRule>
    <cfRule type="cellIs" dxfId="1571" priority="1704" stopIfTrue="1" operator="equal">
      <formula>"PSG"</formula>
    </cfRule>
    <cfRule type="cellIs" dxfId="1570" priority="1705" stopIfTrue="1" operator="equal">
      <formula>"FALTA"</formula>
    </cfRule>
  </conditionalFormatting>
  <conditionalFormatting sqref="CI243">
    <cfRule type="cellIs" dxfId="1569" priority="1686" stopIfTrue="1" operator="equal">
      <formula>"PCG"</formula>
    </cfRule>
    <cfRule type="cellIs" dxfId="1568" priority="1687" stopIfTrue="1" operator="equal">
      <formula>"VAC"</formula>
    </cfRule>
    <cfRule type="cellIs" dxfId="1567" priority="1688" stopIfTrue="1" operator="equal">
      <formula>"INC"</formula>
    </cfRule>
    <cfRule type="cellIs" dxfId="1566" priority="1689" stopIfTrue="1" operator="equal">
      <formula>"PSG"</formula>
    </cfRule>
    <cfRule type="cellIs" dxfId="1565" priority="1690" stopIfTrue="1" operator="equal">
      <formula>"FALTA"</formula>
    </cfRule>
  </conditionalFormatting>
  <conditionalFormatting sqref="I218">
    <cfRule type="cellIs" dxfId="1564" priority="1681" stopIfTrue="1" operator="equal">
      <formula>"PCG"</formula>
    </cfRule>
    <cfRule type="cellIs" dxfId="1563" priority="1682" stopIfTrue="1" operator="equal">
      <formula>"VAC"</formula>
    </cfRule>
    <cfRule type="cellIs" dxfId="1562" priority="1683" stopIfTrue="1" operator="equal">
      <formula>"INC"</formula>
    </cfRule>
    <cfRule type="cellIs" dxfId="1561" priority="1684" stopIfTrue="1" operator="equal">
      <formula>"PSG"</formula>
    </cfRule>
    <cfRule type="cellIs" dxfId="1560" priority="1685" stopIfTrue="1" operator="equal">
      <formula>"FALTA"</formula>
    </cfRule>
  </conditionalFormatting>
  <conditionalFormatting sqref="V218">
    <cfRule type="cellIs" dxfId="1559" priority="1676" stopIfTrue="1" operator="equal">
      <formula>"PCG"</formula>
    </cfRule>
    <cfRule type="cellIs" dxfId="1558" priority="1677" stopIfTrue="1" operator="equal">
      <formula>"VAC"</formula>
    </cfRule>
    <cfRule type="cellIs" dxfId="1557" priority="1678" stopIfTrue="1" operator="equal">
      <formula>"INC"</formula>
    </cfRule>
    <cfRule type="cellIs" dxfId="1556" priority="1679" stopIfTrue="1" operator="equal">
      <formula>"PSG"</formula>
    </cfRule>
    <cfRule type="cellIs" dxfId="1555" priority="1680" stopIfTrue="1" operator="equal">
      <formula>"FALTA"</formula>
    </cfRule>
  </conditionalFormatting>
  <conditionalFormatting sqref="AI218">
    <cfRule type="cellIs" dxfId="1554" priority="1671" stopIfTrue="1" operator="equal">
      <formula>"PCG"</formula>
    </cfRule>
    <cfRule type="cellIs" dxfId="1553" priority="1672" stopIfTrue="1" operator="equal">
      <formula>"VAC"</formula>
    </cfRule>
    <cfRule type="cellIs" dxfId="1552" priority="1673" stopIfTrue="1" operator="equal">
      <formula>"INC"</formula>
    </cfRule>
    <cfRule type="cellIs" dxfId="1551" priority="1674" stopIfTrue="1" operator="equal">
      <formula>"PSG"</formula>
    </cfRule>
    <cfRule type="cellIs" dxfId="1550" priority="1675" stopIfTrue="1" operator="equal">
      <formula>"FALTA"</formula>
    </cfRule>
  </conditionalFormatting>
  <conditionalFormatting sqref="AV218">
    <cfRule type="cellIs" dxfId="1549" priority="1666" stopIfTrue="1" operator="equal">
      <formula>"PCG"</formula>
    </cfRule>
    <cfRule type="cellIs" dxfId="1548" priority="1667" stopIfTrue="1" operator="equal">
      <formula>"VAC"</formula>
    </cfRule>
    <cfRule type="cellIs" dxfId="1547" priority="1668" stopIfTrue="1" operator="equal">
      <formula>"INC"</formula>
    </cfRule>
    <cfRule type="cellIs" dxfId="1546" priority="1669" stopIfTrue="1" operator="equal">
      <formula>"PSG"</formula>
    </cfRule>
    <cfRule type="cellIs" dxfId="1545" priority="1670" stopIfTrue="1" operator="equal">
      <formula>"FALTA"</formula>
    </cfRule>
  </conditionalFormatting>
  <conditionalFormatting sqref="BI218">
    <cfRule type="cellIs" dxfId="1544" priority="1661" stopIfTrue="1" operator="equal">
      <formula>"PCG"</formula>
    </cfRule>
    <cfRule type="cellIs" dxfId="1543" priority="1662" stopIfTrue="1" operator="equal">
      <formula>"VAC"</formula>
    </cfRule>
    <cfRule type="cellIs" dxfId="1542" priority="1663" stopIfTrue="1" operator="equal">
      <formula>"INC"</formula>
    </cfRule>
    <cfRule type="cellIs" dxfId="1541" priority="1664" stopIfTrue="1" operator="equal">
      <formula>"PSG"</formula>
    </cfRule>
    <cfRule type="cellIs" dxfId="1540" priority="1665" stopIfTrue="1" operator="equal">
      <formula>"FALTA"</formula>
    </cfRule>
  </conditionalFormatting>
  <conditionalFormatting sqref="BV218">
    <cfRule type="cellIs" dxfId="1539" priority="1656" stopIfTrue="1" operator="equal">
      <formula>"PCG"</formula>
    </cfRule>
    <cfRule type="cellIs" dxfId="1538" priority="1657" stopIfTrue="1" operator="equal">
      <formula>"VAC"</formula>
    </cfRule>
    <cfRule type="cellIs" dxfId="1537" priority="1658" stopIfTrue="1" operator="equal">
      <formula>"INC"</formula>
    </cfRule>
    <cfRule type="cellIs" dxfId="1536" priority="1659" stopIfTrue="1" operator="equal">
      <formula>"PSG"</formula>
    </cfRule>
    <cfRule type="cellIs" dxfId="1535" priority="1660" stopIfTrue="1" operator="equal">
      <formula>"FALTA"</formula>
    </cfRule>
  </conditionalFormatting>
  <conditionalFormatting sqref="I73">
    <cfRule type="cellIs" dxfId="1534" priority="1651" stopIfTrue="1" operator="equal">
      <formula>"PCG"</formula>
    </cfRule>
    <cfRule type="cellIs" dxfId="1533" priority="1652" stopIfTrue="1" operator="equal">
      <formula>"VAC"</formula>
    </cfRule>
    <cfRule type="cellIs" dxfId="1532" priority="1653" stopIfTrue="1" operator="equal">
      <formula>"INC"</formula>
    </cfRule>
    <cfRule type="cellIs" dxfId="1531" priority="1654" stopIfTrue="1" operator="equal">
      <formula>"PSG"</formula>
    </cfRule>
    <cfRule type="cellIs" dxfId="1530" priority="1655" stopIfTrue="1" operator="equal">
      <formula>"FALTA"</formula>
    </cfRule>
  </conditionalFormatting>
  <conditionalFormatting sqref="V73">
    <cfRule type="cellIs" dxfId="1529" priority="1646" stopIfTrue="1" operator="equal">
      <formula>"PCG"</formula>
    </cfRule>
    <cfRule type="cellIs" dxfId="1528" priority="1647" stopIfTrue="1" operator="equal">
      <formula>"VAC"</formula>
    </cfRule>
    <cfRule type="cellIs" dxfId="1527" priority="1648" stopIfTrue="1" operator="equal">
      <formula>"INC"</formula>
    </cfRule>
    <cfRule type="cellIs" dxfId="1526" priority="1649" stopIfTrue="1" operator="equal">
      <formula>"PSG"</formula>
    </cfRule>
    <cfRule type="cellIs" dxfId="1525" priority="1650" stopIfTrue="1" operator="equal">
      <formula>"FALTA"</formula>
    </cfRule>
  </conditionalFormatting>
  <conditionalFormatting sqref="AV56">
    <cfRule type="cellIs" dxfId="1524" priority="1056" stopIfTrue="1" operator="equal">
      <formula>"PCG"</formula>
    </cfRule>
    <cfRule type="cellIs" dxfId="1523" priority="1057" stopIfTrue="1" operator="equal">
      <formula>"VAC"</formula>
    </cfRule>
    <cfRule type="cellIs" dxfId="1522" priority="1058" stopIfTrue="1" operator="equal">
      <formula>"INC"</formula>
    </cfRule>
    <cfRule type="cellIs" dxfId="1521" priority="1059" stopIfTrue="1" operator="equal">
      <formula>"PSG"</formula>
    </cfRule>
    <cfRule type="cellIs" dxfId="1520" priority="1060" stopIfTrue="1" operator="equal">
      <formula>"FALTA"</formula>
    </cfRule>
  </conditionalFormatting>
  <conditionalFormatting sqref="BV73">
    <cfRule type="cellIs" dxfId="1519" priority="1626" stopIfTrue="1" operator="equal">
      <formula>"PCG"</formula>
    </cfRule>
    <cfRule type="cellIs" dxfId="1518" priority="1627" stopIfTrue="1" operator="equal">
      <formula>"VAC"</formula>
    </cfRule>
    <cfRule type="cellIs" dxfId="1517" priority="1628" stopIfTrue="1" operator="equal">
      <formula>"INC"</formula>
    </cfRule>
    <cfRule type="cellIs" dxfId="1516" priority="1629" stopIfTrue="1" operator="equal">
      <formula>"PSG"</formula>
    </cfRule>
    <cfRule type="cellIs" dxfId="1515" priority="1630" stopIfTrue="1" operator="equal">
      <formula>"FALTA"</formula>
    </cfRule>
  </conditionalFormatting>
  <conditionalFormatting sqref="I113">
    <cfRule type="cellIs" dxfId="1514" priority="1621" stopIfTrue="1" operator="equal">
      <formula>"PCG"</formula>
    </cfRule>
    <cfRule type="cellIs" dxfId="1513" priority="1622" stopIfTrue="1" operator="equal">
      <formula>"VAC"</formula>
    </cfRule>
    <cfRule type="cellIs" dxfId="1512" priority="1623" stopIfTrue="1" operator="equal">
      <formula>"INC"</formula>
    </cfRule>
    <cfRule type="cellIs" dxfId="1511" priority="1624" stopIfTrue="1" operator="equal">
      <formula>"PSG"</formula>
    </cfRule>
    <cfRule type="cellIs" dxfId="1510" priority="1625" stopIfTrue="1" operator="equal">
      <formula>"FALTA"</formula>
    </cfRule>
  </conditionalFormatting>
  <conditionalFormatting sqref="CI113">
    <cfRule type="cellIs" dxfId="1509" priority="1616" stopIfTrue="1" operator="equal">
      <formula>"PCG"</formula>
    </cfRule>
    <cfRule type="cellIs" dxfId="1508" priority="1617" stopIfTrue="1" operator="equal">
      <formula>"VAC"</formula>
    </cfRule>
    <cfRule type="cellIs" dxfId="1507" priority="1618" stopIfTrue="1" operator="equal">
      <formula>"INC"</formula>
    </cfRule>
    <cfRule type="cellIs" dxfId="1506" priority="1619" stopIfTrue="1" operator="equal">
      <formula>"PSG"</formula>
    </cfRule>
    <cfRule type="cellIs" dxfId="1505" priority="1620" stopIfTrue="1" operator="equal">
      <formula>"FALTA"</formula>
    </cfRule>
  </conditionalFormatting>
  <conditionalFormatting sqref="I187">
    <cfRule type="cellIs" dxfId="1504" priority="1611" stopIfTrue="1" operator="equal">
      <formula>"PCG"</formula>
    </cfRule>
    <cfRule type="cellIs" dxfId="1503" priority="1612" stopIfTrue="1" operator="equal">
      <formula>"VAC"</formula>
    </cfRule>
    <cfRule type="cellIs" dxfId="1502" priority="1613" stopIfTrue="1" operator="equal">
      <formula>"INC"</formula>
    </cfRule>
    <cfRule type="cellIs" dxfId="1501" priority="1614" stopIfTrue="1" operator="equal">
      <formula>"PSG"</formula>
    </cfRule>
    <cfRule type="cellIs" dxfId="1500" priority="1615" stopIfTrue="1" operator="equal">
      <formula>"FALTA"</formula>
    </cfRule>
  </conditionalFormatting>
  <conditionalFormatting sqref="V187">
    <cfRule type="cellIs" dxfId="1499" priority="1606" stopIfTrue="1" operator="equal">
      <formula>"PCG"</formula>
    </cfRule>
    <cfRule type="cellIs" dxfId="1498" priority="1607" stopIfTrue="1" operator="equal">
      <formula>"VAC"</formula>
    </cfRule>
    <cfRule type="cellIs" dxfId="1497" priority="1608" stopIfTrue="1" operator="equal">
      <formula>"INC"</formula>
    </cfRule>
    <cfRule type="cellIs" dxfId="1496" priority="1609" stopIfTrue="1" operator="equal">
      <formula>"PSG"</formula>
    </cfRule>
    <cfRule type="cellIs" dxfId="1495" priority="1610" stopIfTrue="1" operator="equal">
      <formula>"FALTA"</formula>
    </cfRule>
  </conditionalFormatting>
  <conditionalFormatting sqref="AI187">
    <cfRule type="cellIs" dxfId="1494" priority="1601" stopIfTrue="1" operator="equal">
      <formula>"PCG"</formula>
    </cfRule>
    <cfRule type="cellIs" dxfId="1493" priority="1602" stopIfTrue="1" operator="equal">
      <formula>"VAC"</formula>
    </cfRule>
    <cfRule type="cellIs" dxfId="1492" priority="1603" stopIfTrue="1" operator="equal">
      <formula>"INC"</formula>
    </cfRule>
    <cfRule type="cellIs" dxfId="1491" priority="1604" stopIfTrue="1" operator="equal">
      <formula>"PSG"</formula>
    </cfRule>
    <cfRule type="cellIs" dxfId="1490" priority="1605" stopIfTrue="1" operator="equal">
      <formula>"FALTA"</formula>
    </cfRule>
  </conditionalFormatting>
  <conditionalFormatting sqref="AV187">
    <cfRule type="cellIs" dxfId="1489" priority="1596" stopIfTrue="1" operator="equal">
      <formula>"PCG"</formula>
    </cfRule>
    <cfRule type="cellIs" dxfId="1488" priority="1597" stopIfTrue="1" operator="equal">
      <formula>"VAC"</formula>
    </cfRule>
    <cfRule type="cellIs" dxfId="1487" priority="1598" stopIfTrue="1" operator="equal">
      <formula>"INC"</formula>
    </cfRule>
    <cfRule type="cellIs" dxfId="1486" priority="1599" stopIfTrue="1" operator="equal">
      <formula>"PSG"</formula>
    </cfRule>
    <cfRule type="cellIs" dxfId="1485" priority="1600" stopIfTrue="1" operator="equal">
      <formula>"FALTA"</formula>
    </cfRule>
  </conditionalFormatting>
  <conditionalFormatting sqref="BI187">
    <cfRule type="cellIs" dxfId="1484" priority="1591" stopIfTrue="1" operator="equal">
      <formula>"PCG"</formula>
    </cfRule>
    <cfRule type="cellIs" dxfId="1483" priority="1592" stopIfTrue="1" operator="equal">
      <formula>"VAC"</formula>
    </cfRule>
    <cfRule type="cellIs" dxfId="1482" priority="1593" stopIfTrue="1" operator="equal">
      <formula>"INC"</formula>
    </cfRule>
    <cfRule type="cellIs" dxfId="1481" priority="1594" stopIfTrue="1" operator="equal">
      <formula>"PSG"</formula>
    </cfRule>
    <cfRule type="cellIs" dxfId="1480" priority="1595" stopIfTrue="1" operator="equal">
      <formula>"FALTA"</formula>
    </cfRule>
  </conditionalFormatting>
  <conditionalFormatting sqref="BV187">
    <cfRule type="cellIs" dxfId="1479" priority="1586" stopIfTrue="1" operator="equal">
      <formula>"PCG"</formula>
    </cfRule>
    <cfRule type="cellIs" dxfId="1478" priority="1587" stopIfTrue="1" operator="equal">
      <formula>"VAC"</formula>
    </cfRule>
    <cfRule type="cellIs" dxfId="1477" priority="1588" stopIfTrue="1" operator="equal">
      <formula>"INC"</formula>
    </cfRule>
    <cfRule type="cellIs" dxfId="1476" priority="1589" stopIfTrue="1" operator="equal">
      <formula>"PSG"</formula>
    </cfRule>
    <cfRule type="cellIs" dxfId="1475" priority="1590" stopIfTrue="1" operator="equal">
      <formula>"FALTA"</formula>
    </cfRule>
  </conditionalFormatting>
  <conditionalFormatting sqref="V257">
    <cfRule type="cellIs" dxfId="1474" priority="1581" stopIfTrue="1" operator="equal">
      <formula>"PCG"</formula>
    </cfRule>
    <cfRule type="cellIs" dxfId="1473" priority="1582" stopIfTrue="1" operator="equal">
      <formula>"VAC"</formula>
    </cfRule>
    <cfRule type="cellIs" dxfId="1472" priority="1583" stopIfTrue="1" operator="equal">
      <formula>"INC"</formula>
    </cfRule>
    <cfRule type="cellIs" dxfId="1471" priority="1584" stopIfTrue="1" operator="equal">
      <formula>"PSG"</formula>
    </cfRule>
    <cfRule type="cellIs" dxfId="1470" priority="1585" stopIfTrue="1" operator="equal">
      <formula>"FALTA"</formula>
    </cfRule>
  </conditionalFormatting>
  <conditionalFormatting sqref="AI257">
    <cfRule type="cellIs" dxfId="1469" priority="1576" stopIfTrue="1" operator="equal">
      <formula>"PCG"</formula>
    </cfRule>
    <cfRule type="cellIs" dxfId="1468" priority="1577" stopIfTrue="1" operator="equal">
      <formula>"VAC"</formula>
    </cfRule>
    <cfRule type="cellIs" dxfId="1467" priority="1578" stopIfTrue="1" operator="equal">
      <formula>"INC"</formula>
    </cfRule>
    <cfRule type="cellIs" dxfId="1466" priority="1579" stopIfTrue="1" operator="equal">
      <formula>"PSG"</formula>
    </cfRule>
    <cfRule type="cellIs" dxfId="1465" priority="1580" stopIfTrue="1" operator="equal">
      <formula>"FALTA"</formula>
    </cfRule>
  </conditionalFormatting>
  <conditionalFormatting sqref="AV257">
    <cfRule type="cellIs" dxfId="1464" priority="1571" stopIfTrue="1" operator="equal">
      <formula>"PCG"</formula>
    </cfRule>
    <cfRule type="cellIs" dxfId="1463" priority="1572" stopIfTrue="1" operator="equal">
      <formula>"VAC"</formula>
    </cfRule>
    <cfRule type="cellIs" dxfId="1462" priority="1573" stopIfTrue="1" operator="equal">
      <formula>"INC"</formula>
    </cfRule>
    <cfRule type="cellIs" dxfId="1461" priority="1574" stopIfTrue="1" operator="equal">
      <formula>"PSG"</formula>
    </cfRule>
    <cfRule type="cellIs" dxfId="1460" priority="1575" stopIfTrue="1" operator="equal">
      <formula>"FALTA"</formula>
    </cfRule>
  </conditionalFormatting>
  <conditionalFormatting sqref="BI257">
    <cfRule type="cellIs" dxfId="1459" priority="1566" stopIfTrue="1" operator="equal">
      <formula>"PCG"</formula>
    </cfRule>
    <cfRule type="cellIs" dxfId="1458" priority="1567" stopIfTrue="1" operator="equal">
      <formula>"VAC"</formula>
    </cfRule>
    <cfRule type="cellIs" dxfId="1457" priority="1568" stopIfTrue="1" operator="equal">
      <formula>"INC"</formula>
    </cfRule>
    <cfRule type="cellIs" dxfId="1456" priority="1569" stopIfTrue="1" operator="equal">
      <formula>"PSG"</formula>
    </cfRule>
    <cfRule type="cellIs" dxfId="1455" priority="1570" stopIfTrue="1" operator="equal">
      <formula>"FALTA"</formula>
    </cfRule>
  </conditionalFormatting>
  <conditionalFormatting sqref="BV257">
    <cfRule type="cellIs" dxfId="1454" priority="1561" stopIfTrue="1" operator="equal">
      <formula>"PCG"</formula>
    </cfRule>
    <cfRule type="cellIs" dxfId="1453" priority="1562" stopIfTrue="1" operator="equal">
      <formula>"VAC"</formula>
    </cfRule>
    <cfRule type="cellIs" dxfId="1452" priority="1563" stopIfTrue="1" operator="equal">
      <formula>"INC"</formula>
    </cfRule>
    <cfRule type="cellIs" dxfId="1451" priority="1564" stopIfTrue="1" operator="equal">
      <formula>"PSG"</formula>
    </cfRule>
    <cfRule type="cellIs" dxfId="1450" priority="1565" stopIfTrue="1" operator="equal">
      <formula>"FALTA"</formula>
    </cfRule>
  </conditionalFormatting>
  <conditionalFormatting sqref="V273">
    <cfRule type="cellIs" dxfId="1449" priority="1556" stopIfTrue="1" operator="equal">
      <formula>"PCG"</formula>
    </cfRule>
    <cfRule type="cellIs" dxfId="1448" priority="1557" stopIfTrue="1" operator="equal">
      <formula>"VAC"</formula>
    </cfRule>
    <cfRule type="cellIs" dxfId="1447" priority="1558" stopIfTrue="1" operator="equal">
      <formula>"INC"</formula>
    </cfRule>
    <cfRule type="cellIs" dxfId="1446" priority="1559" stopIfTrue="1" operator="equal">
      <formula>"PSG"</formula>
    </cfRule>
    <cfRule type="cellIs" dxfId="1445" priority="1560" stopIfTrue="1" operator="equal">
      <formula>"FALTA"</formula>
    </cfRule>
  </conditionalFormatting>
  <conditionalFormatting sqref="AI273">
    <cfRule type="cellIs" dxfId="1444" priority="1551" stopIfTrue="1" operator="equal">
      <formula>"PCG"</formula>
    </cfRule>
    <cfRule type="cellIs" dxfId="1443" priority="1552" stopIfTrue="1" operator="equal">
      <formula>"VAC"</formula>
    </cfRule>
    <cfRule type="cellIs" dxfId="1442" priority="1553" stopIfTrue="1" operator="equal">
      <formula>"INC"</formula>
    </cfRule>
    <cfRule type="cellIs" dxfId="1441" priority="1554" stopIfTrue="1" operator="equal">
      <formula>"PSG"</formula>
    </cfRule>
    <cfRule type="cellIs" dxfId="1440" priority="1555" stopIfTrue="1" operator="equal">
      <formula>"FALTA"</formula>
    </cfRule>
  </conditionalFormatting>
  <conditionalFormatting sqref="AV273">
    <cfRule type="cellIs" dxfId="1439" priority="1546" stopIfTrue="1" operator="equal">
      <formula>"PCG"</formula>
    </cfRule>
    <cfRule type="cellIs" dxfId="1438" priority="1547" stopIfTrue="1" operator="equal">
      <formula>"VAC"</formula>
    </cfRule>
    <cfRule type="cellIs" dxfId="1437" priority="1548" stopIfTrue="1" operator="equal">
      <formula>"INC"</formula>
    </cfRule>
    <cfRule type="cellIs" dxfId="1436" priority="1549" stopIfTrue="1" operator="equal">
      <formula>"PSG"</formula>
    </cfRule>
    <cfRule type="cellIs" dxfId="1435" priority="1550" stopIfTrue="1" operator="equal">
      <formula>"FALTA"</formula>
    </cfRule>
  </conditionalFormatting>
  <conditionalFormatting sqref="BI273">
    <cfRule type="cellIs" dxfId="1434" priority="1541" stopIfTrue="1" operator="equal">
      <formula>"PCG"</formula>
    </cfRule>
    <cfRule type="cellIs" dxfId="1433" priority="1542" stopIfTrue="1" operator="equal">
      <formula>"VAC"</formula>
    </cfRule>
    <cfRule type="cellIs" dxfId="1432" priority="1543" stopIfTrue="1" operator="equal">
      <formula>"INC"</formula>
    </cfRule>
    <cfRule type="cellIs" dxfId="1431" priority="1544" stopIfTrue="1" operator="equal">
      <formula>"PSG"</formula>
    </cfRule>
    <cfRule type="cellIs" dxfId="1430" priority="1545" stopIfTrue="1" operator="equal">
      <formula>"FALTA"</formula>
    </cfRule>
  </conditionalFormatting>
  <conditionalFormatting sqref="I249">
    <cfRule type="cellIs" dxfId="1429" priority="1536" stopIfTrue="1" operator="equal">
      <formula>"PCG"</formula>
    </cfRule>
    <cfRule type="cellIs" dxfId="1428" priority="1537" stopIfTrue="1" operator="equal">
      <formula>"VAC"</formula>
    </cfRule>
    <cfRule type="cellIs" dxfId="1427" priority="1538" stopIfTrue="1" operator="equal">
      <formula>"INC"</formula>
    </cfRule>
    <cfRule type="cellIs" dxfId="1426" priority="1539" stopIfTrue="1" operator="equal">
      <formula>"PSG"</formula>
    </cfRule>
    <cfRule type="cellIs" dxfId="1425" priority="1540" stopIfTrue="1" operator="equal">
      <formula>"FALTA"</formula>
    </cfRule>
  </conditionalFormatting>
  <conditionalFormatting sqref="V249">
    <cfRule type="cellIs" dxfId="1424" priority="1531" stopIfTrue="1" operator="equal">
      <formula>"PCG"</formula>
    </cfRule>
    <cfRule type="cellIs" dxfId="1423" priority="1532" stopIfTrue="1" operator="equal">
      <formula>"VAC"</formula>
    </cfRule>
    <cfRule type="cellIs" dxfId="1422" priority="1533" stopIfTrue="1" operator="equal">
      <formula>"INC"</formula>
    </cfRule>
    <cfRule type="cellIs" dxfId="1421" priority="1534" stopIfTrue="1" operator="equal">
      <formula>"PSG"</formula>
    </cfRule>
    <cfRule type="cellIs" dxfId="1420" priority="1535" stopIfTrue="1" operator="equal">
      <formula>"FALTA"</formula>
    </cfRule>
  </conditionalFormatting>
  <conditionalFormatting sqref="AI249">
    <cfRule type="cellIs" dxfId="1419" priority="1526" stopIfTrue="1" operator="equal">
      <formula>"PCG"</formula>
    </cfRule>
    <cfRule type="cellIs" dxfId="1418" priority="1527" stopIfTrue="1" operator="equal">
      <formula>"VAC"</formula>
    </cfRule>
    <cfRule type="cellIs" dxfId="1417" priority="1528" stopIfTrue="1" operator="equal">
      <formula>"INC"</formula>
    </cfRule>
    <cfRule type="cellIs" dxfId="1416" priority="1529" stopIfTrue="1" operator="equal">
      <formula>"PSG"</formula>
    </cfRule>
    <cfRule type="cellIs" dxfId="1415" priority="1530" stopIfTrue="1" operator="equal">
      <formula>"FALTA"</formula>
    </cfRule>
  </conditionalFormatting>
  <conditionalFormatting sqref="AV249">
    <cfRule type="cellIs" dxfId="1414" priority="1521" stopIfTrue="1" operator="equal">
      <formula>"PCG"</formula>
    </cfRule>
    <cfRule type="cellIs" dxfId="1413" priority="1522" stopIfTrue="1" operator="equal">
      <formula>"VAC"</formula>
    </cfRule>
    <cfRule type="cellIs" dxfId="1412" priority="1523" stopIfTrue="1" operator="equal">
      <formula>"INC"</formula>
    </cfRule>
    <cfRule type="cellIs" dxfId="1411" priority="1524" stopIfTrue="1" operator="equal">
      <formula>"PSG"</formula>
    </cfRule>
    <cfRule type="cellIs" dxfId="1410" priority="1525" stopIfTrue="1" operator="equal">
      <formula>"FALTA"</formula>
    </cfRule>
  </conditionalFormatting>
  <conditionalFormatting sqref="AV229">
    <cfRule type="cellIs" dxfId="1409" priority="1201" stopIfTrue="1" operator="equal">
      <formula>"PCG"</formula>
    </cfRule>
    <cfRule type="cellIs" dxfId="1408" priority="1202" stopIfTrue="1" operator="equal">
      <formula>"VAC"</formula>
    </cfRule>
    <cfRule type="cellIs" dxfId="1407" priority="1203" stopIfTrue="1" operator="equal">
      <formula>"INC"</formula>
    </cfRule>
    <cfRule type="cellIs" dxfId="1406" priority="1204" stopIfTrue="1" operator="equal">
      <formula>"PSG"</formula>
    </cfRule>
    <cfRule type="cellIs" dxfId="1405" priority="1205" stopIfTrue="1" operator="equal">
      <formula>"FALTA"</formula>
    </cfRule>
  </conditionalFormatting>
  <conditionalFormatting sqref="BI145">
    <cfRule type="cellIs" dxfId="1404" priority="1506" stopIfTrue="1" operator="equal">
      <formula>"PCG"</formula>
    </cfRule>
    <cfRule type="cellIs" dxfId="1403" priority="1507" stopIfTrue="1" operator="equal">
      <formula>"VAC"</formula>
    </cfRule>
    <cfRule type="cellIs" dxfId="1402" priority="1508" stopIfTrue="1" operator="equal">
      <formula>"INC"</formula>
    </cfRule>
    <cfRule type="cellIs" dxfId="1401" priority="1509" stopIfTrue="1" operator="equal">
      <formula>"PSG"</formula>
    </cfRule>
    <cfRule type="cellIs" dxfId="1400" priority="1510" stopIfTrue="1" operator="equal">
      <formula>"FALTA"</formula>
    </cfRule>
  </conditionalFormatting>
  <conditionalFormatting sqref="BV139">
    <cfRule type="cellIs" dxfId="1399" priority="536" stopIfTrue="1" operator="equal">
      <formula>"PCG"</formula>
    </cfRule>
    <cfRule type="cellIs" dxfId="1398" priority="537" stopIfTrue="1" operator="equal">
      <formula>"VAC"</formula>
    </cfRule>
    <cfRule type="cellIs" dxfId="1397" priority="538" stopIfTrue="1" operator="equal">
      <formula>"INC"</formula>
    </cfRule>
    <cfRule type="cellIs" dxfId="1396" priority="539" stopIfTrue="1" operator="equal">
      <formula>"PSG"</formula>
    </cfRule>
    <cfRule type="cellIs" dxfId="1395" priority="540" stopIfTrue="1" operator="equal">
      <formula>"FALTA"</formula>
    </cfRule>
  </conditionalFormatting>
  <conditionalFormatting sqref="M219">
    <cfRule type="cellIs" dxfId="1394" priority="1496" stopIfTrue="1" operator="equal">
      <formula>"PCG"</formula>
    </cfRule>
    <cfRule type="cellIs" dxfId="1393" priority="1497" stopIfTrue="1" operator="equal">
      <formula>"VAC"</formula>
    </cfRule>
    <cfRule type="cellIs" dxfId="1392" priority="1498" stopIfTrue="1" operator="equal">
      <formula>"INC"</formula>
    </cfRule>
    <cfRule type="cellIs" dxfId="1391" priority="1499" stopIfTrue="1" operator="equal">
      <formula>"PSG"</formula>
    </cfRule>
    <cfRule type="cellIs" dxfId="1390" priority="1500" stopIfTrue="1" operator="equal">
      <formula>"FALTA"</formula>
    </cfRule>
  </conditionalFormatting>
  <conditionalFormatting sqref="Q219">
    <cfRule type="cellIs" dxfId="1389" priority="1491" stopIfTrue="1" operator="equal">
      <formula>"PCG"</formula>
    </cfRule>
    <cfRule type="cellIs" dxfId="1388" priority="1492" stopIfTrue="1" operator="equal">
      <formula>"VAC"</formula>
    </cfRule>
    <cfRule type="cellIs" dxfId="1387" priority="1493" stopIfTrue="1" operator="equal">
      <formula>"INC"</formula>
    </cfRule>
    <cfRule type="cellIs" dxfId="1386" priority="1494" stopIfTrue="1" operator="equal">
      <formula>"PSG"</formula>
    </cfRule>
    <cfRule type="cellIs" dxfId="1385" priority="1495" stopIfTrue="1" operator="equal">
      <formula>"FALTA"</formula>
    </cfRule>
  </conditionalFormatting>
  <conditionalFormatting sqref="V219">
    <cfRule type="cellIs" dxfId="1384" priority="1486" stopIfTrue="1" operator="equal">
      <formula>"PCG"</formula>
    </cfRule>
    <cfRule type="cellIs" dxfId="1383" priority="1487" stopIfTrue="1" operator="equal">
      <formula>"VAC"</formula>
    </cfRule>
    <cfRule type="cellIs" dxfId="1382" priority="1488" stopIfTrue="1" operator="equal">
      <formula>"INC"</formula>
    </cfRule>
    <cfRule type="cellIs" dxfId="1381" priority="1489" stopIfTrue="1" operator="equal">
      <formula>"PSG"</formula>
    </cfRule>
    <cfRule type="cellIs" dxfId="1380" priority="1490" stopIfTrue="1" operator="equal">
      <formula>"FALTA"</formula>
    </cfRule>
  </conditionalFormatting>
  <conditionalFormatting sqref="Z219">
    <cfRule type="cellIs" dxfId="1379" priority="1481" stopIfTrue="1" operator="equal">
      <formula>"PCG"</formula>
    </cfRule>
    <cfRule type="cellIs" dxfId="1378" priority="1482" stopIfTrue="1" operator="equal">
      <formula>"VAC"</formula>
    </cfRule>
    <cfRule type="cellIs" dxfId="1377" priority="1483" stopIfTrue="1" operator="equal">
      <formula>"INC"</formula>
    </cfRule>
    <cfRule type="cellIs" dxfId="1376" priority="1484" stopIfTrue="1" operator="equal">
      <formula>"PSG"</formula>
    </cfRule>
    <cfRule type="cellIs" dxfId="1375" priority="1485" stopIfTrue="1" operator="equal">
      <formula>"FALTA"</formula>
    </cfRule>
  </conditionalFormatting>
  <conditionalFormatting sqref="AD219">
    <cfRule type="cellIs" dxfId="1374" priority="1476" stopIfTrue="1" operator="equal">
      <formula>"PCG"</formula>
    </cfRule>
    <cfRule type="cellIs" dxfId="1373" priority="1477" stopIfTrue="1" operator="equal">
      <formula>"VAC"</formula>
    </cfRule>
    <cfRule type="cellIs" dxfId="1372" priority="1478" stopIfTrue="1" operator="equal">
      <formula>"INC"</formula>
    </cfRule>
    <cfRule type="cellIs" dxfId="1371" priority="1479" stopIfTrue="1" operator="equal">
      <formula>"PSG"</formula>
    </cfRule>
    <cfRule type="cellIs" dxfId="1370" priority="1480" stopIfTrue="1" operator="equal">
      <formula>"FALTA"</formula>
    </cfRule>
  </conditionalFormatting>
  <conditionalFormatting sqref="AI219">
    <cfRule type="cellIs" dxfId="1369" priority="1471" stopIfTrue="1" operator="equal">
      <formula>"PCG"</formula>
    </cfRule>
    <cfRule type="cellIs" dxfId="1368" priority="1472" stopIfTrue="1" operator="equal">
      <formula>"VAC"</formula>
    </cfRule>
    <cfRule type="cellIs" dxfId="1367" priority="1473" stopIfTrue="1" operator="equal">
      <formula>"INC"</formula>
    </cfRule>
    <cfRule type="cellIs" dxfId="1366" priority="1474" stopIfTrue="1" operator="equal">
      <formula>"PSG"</formula>
    </cfRule>
    <cfRule type="cellIs" dxfId="1365" priority="1475" stopIfTrue="1" operator="equal">
      <formula>"FALTA"</formula>
    </cfRule>
  </conditionalFormatting>
  <conditionalFormatting sqref="AM219">
    <cfRule type="cellIs" dxfId="1364" priority="1466" stopIfTrue="1" operator="equal">
      <formula>"PCG"</formula>
    </cfRule>
    <cfRule type="cellIs" dxfId="1363" priority="1467" stopIfTrue="1" operator="equal">
      <formula>"VAC"</formula>
    </cfRule>
    <cfRule type="cellIs" dxfId="1362" priority="1468" stopIfTrue="1" operator="equal">
      <formula>"INC"</formula>
    </cfRule>
    <cfRule type="cellIs" dxfId="1361" priority="1469" stopIfTrue="1" operator="equal">
      <formula>"PSG"</formula>
    </cfRule>
    <cfRule type="cellIs" dxfId="1360" priority="1470" stopIfTrue="1" operator="equal">
      <formula>"FALTA"</formula>
    </cfRule>
  </conditionalFormatting>
  <conditionalFormatting sqref="AQ219">
    <cfRule type="cellIs" dxfId="1359" priority="1461" stopIfTrue="1" operator="equal">
      <formula>"PCG"</formula>
    </cfRule>
    <cfRule type="cellIs" dxfId="1358" priority="1462" stopIfTrue="1" operator="equal">
      <formula>"VAC"</formula>
    </cfRule>
    <cfRule type="cellIs" dxfId="1357" priority="1463" stopIfTrue="1" operator="equal">
      <formula>"INC"</formula>
    </cfRule>
    <cfRule type="cellIs" dxfId="1356" priority="1464" stopIfTrue="1" operator="equal">
      <formula>"PSG"</formula>
    </cfRule>
    <cfRule type="cellIs" dxfId="1355" priority="1465" stopIfTrue="1" operator="equal">
      <formula>"FALTA"</formula>
    </cfRule>
  </conditionalFormatting>
  <conditionalFormatting sqref="AV219">
    <cfRule type="cellIs" dxfId="1354" priority="1456" stopIfTrue="1" operator="equal">
      <formula>"PCG"</formula>
    </cfRule>
    <cfRule type="cellIs" dxfId="1353" priority="1457" stopIfTrue="1" operator="equal">
      <formula>"VAC"</formula>
    </cfRule>
    <cfRule type="cellIs" dxfId="1352" priority="1458" stopIfTrue="1" operator="equal">
      <formula>"INC"</formula>
    </cfRule>
    <cfRule type="cellIs" dxfId="1351" priority="1459" stopIfTrue="1" operator="equal">
      <formula>"PSG"</formula>
    </cfRule>
    <cfRule type="cellIs" dxfId="1350" priority="1460" stopIfTrue="1" operator="equal">
      <formula>"FALTA"</formula>
    </cfRule>
  </conditionalFormatting>
  <conditionalFormatting sqref="AZ219">
    <cfRule type="cellIs" dxfId="1349" priority="1451" stopIfTrue="1" operator="equal">
      <formula>"PCG"</formula>
    </cfRule>
    <cfRule type="cellIs" dxfId="1348" priority="1452" stopIfTrue="1" operator="equal">
      <formula>"VAC"</formula>
    </cfRule>
    <cfRule type="cellIs" dxfId="1347" priority="1453" stopIfTrue="1" operator="equal">
      <formula>"INC"</formula>
    </cfRule>
    <cfRule type="cellIs" dxfId="1346" priority="1454" stopIfTrue="1" operator="equal">
      <formula>"PSG"</formula>
    </cfRule>
    <cfRule type="cellIs" dxfId="1345" priority="1455" stopIfTrue="1" operator="equal">
      <formula>"FALTA"</formula>
    </cfRule>
  </conditionalFormatting>
  <conditionalFormatting sqref="BD219">
    <cfRule type="cellIs" dxfId="1344" priority="1446" stopIfTrue="1" operator="equal">
      <formula>"PCG"</formula>
    </cfRule>
    <cfRule type="cellIs" dxfId="1343" priority="1447" stopIfTrue="1" operator="equal">
      <formula>"VAC"</formula>
    </cfRule>
    <cfRule type="cellIs" dxfId="1342" priority="1448" stopIfTrue="1" operator="equal">
      <formula>"INC"</formula>
    </cfRule>
    <cfRule type="cellIs" dxfId="1341" priority="1449" stopIfTrue="1" operator="equal">
      <formula>"PSG"</formula>
    </cfRule>
    <cfRule type="cellIs" dxfId="1340" priority="1450" stopIfTrue="1" operator="equal">
      <formula>"FALTA"</formula>
    </cfRule>
  </conditionalFormatting>
  <conditionalFormatting sqref="BI118">
    <cfRule type="cellIs" dxfId="1339" priority="1116" stopIfTrue="1" operator="equal">
      <formula>"PCG"</formula>
    </cfRule>
    <cfRule type="cellIs" dxfId="1338" priority="1117" stopIfTrue="1" operator="equal">
      <formula>"VAC"</formula>
    </cfRule>
    <cfRule type="cellIs" dxfId="1337" priority="1118" stopIfTrue="1" operator="equal">
      <formula>"INC"</formula>
    </cfRule>
    <cfRule type="cellIs" dxfId="1336" priority="1119" stopIfTrue="1" operator="equal">
      <formula>"PSG"</formula>
    </cfRule>
    <cfRule type="cellIs" dxfId="1335" priority="1120" stopIfTrue="1" operator="equal">
      <formula>"FALTA"</formula>
    </cfRule>
  </conditionalFormatting>
  <conditionalFormatting sqref="BQ219">
    <cfRule type="cellIs" dxfId="1334" priority="1431" stopIfTrue="1" operator="equal">
      <formula>"PCG"</formula>
    </cfRule>
    <cfRule type="cellIs" dxfId="1333" priority="1432" stopIfTrue="1" operator="equal">
      <formula>"VAC"</formula>
    </cfRule>
    <cfRule type="cellIs" dxfId="1332" priority="1433" stopIfTrue="1" operator="equal">
      <formula>"INC"</formula>
    </cfRule>
    <cfRule type="cellIs" dxfId="1331" priority="1434" stopIfTrue="1" operator="equal">
      <formula>"PSG"</formula>
    </cfRule>
    <cfRule type="cellIs" dxfId="1330" priority="1435" stopIfTrue="1" operator="equal">
      <formula>"FALTA"</formula>
    </cfRule>
  </conditionalFormatting>
  <conditionalFormatting sqref="BV219">
    <cfRule type="cellIs" dxfId="1329" priority="1426" stopIfTrue="1" operator="equal">
      <formula>"PCG"</formula>
    </cfRule>
    <cfRule type="cellIs" dxfId="1328" priority="1427" stopIfTrue="1" operator="equal">
      <formula>"VAC"</formula>
    </cfRule>
    <cfRule type="cellIs" dxfId="1327" priority="1428" stopIfTrue="1" operator="equal">
      <formula>"INC"</formula>
    </cfRule>
    <cfRule type="cellIs" dxfId="1326" priority="1429" stopIfTrue="1" operator="equal">
      <formula>"PSG"</formula>
    </cfRule>
    <cfRule type="cellIs" dxfId="1325" priority="1430" stopIfTrue="1" operator="equal">
      <formula>"FALTA"</formula>
    </cfRule>
  </conditionalFormatting>
  <conditionalFormatting sqref="BZ219">
    <cfRule type="cellIs" dxfId="1324" priority="1421" stopIfTrue="1" operator="equal">
      <formula>"PCG"</formula>
    </cfRule>
    <cfRule type="cellIs" dxfId="1323" priority="1422" stopIfTrue="1" operator="equal">
      <formula>"VAC"</formula>
    </cfRule>
    <cfRule type="cellIs" dxfId="1322" priority="1423" stopIfTrue="1" operator="equal">
      <formula>"INC"</formula>
    </cfRule>
    <cfRule type="cellIs" dxfId="1321" priority="1424" stopIfTrue="1" operator="equal">
      <formula>"PSG"</formula>
    </cfRule>
    <cfRule type="cellIs" dxfId="1320" priority="1425" stopIfTrue="1" operator="equal">
      <formula>"FALTA"</formula>
    </cfRule>
  </conditionalFormatting>
  <conditionalFormatting sqref="CD219">
    <cfRule type="cellIs" dxfId="1319" priority="1416" stopIfTrue="1" operator="equal">
      <formula>"PCG"</formula>
    </cfRule>
    <cfRule type="cellIs" dxfId="1318" priority="1417" stopIfTrue="1" operator="equal">
      <formula>"VAC"</formula>
    </cfRule>
    <cfRule type="cellIs" dxfId="1317" priority="1418" stopIfTrue="1" operator="equal">
      <formula>"INC"</formula>
    </cfRule>
    <cfRule type="cellIs" dxfId="1316" priority="1419" stopIfTrue="1" operator="equal">
      <formula>"PSG"</formula>
    </cfRule>
    <cfRule type="cellIs" dxfId="1315" priority="1420" stopIfTrue="1" operator="equal">
      <formula>"FALTA"</formula>
    </cfRule>
  </conditionalFormatting>
  <conditionalFormatting sqref="CI219">
    <cfRule type="cellIs" dxfId="1314" priority="1411" stopIfTrue="1" operator="equal">
      <formula>"PCG"</formula>
    </cfRule>
    <cfRule type="cellIs" dxfId="1313" priority="1412" stopIfTrue="1" operator="equal">
      <formula>"VAC"</formula>
    </cfRule>
    <cfRule type="cellIs" dxfId="1312" priority="1413" stopIfTrue="1" operator="equal">
      <formula>"INC"</formula>
    </cfRule>
    <cfRule type="cellIs" dxfId="1311" priority="1414" stopIfTrue="1" operator="equal">
      <formula>"PSG"</formula>
    </cfRule>
    <cfRule type="cellIs" dxfId="1310" priority="1415" stopIfTrue="1" operator="equal">
      <formula>"FALTA"</formula>
    </cfRule>
  </conditionalFormatting>
  <conditionalFormatting sqref="CM219">
    <cfRule type="cellIs" dxfId="1309" priority="1406" stopIfTrue="1" operator="equal">
      <formula>"PCG"</formula>
    </cfRule>
    <cfRule type="cellIs" dxfId="1308" priority="1407" stopIfTrue="1" operator="equal">
      <formula>"VAC"</formula>
    </cfRule>
    <cfRule type="cellIs" dxfId="1307" priority="1408" stopIfTrue="1" operator="equal">
      <formula>"INC"</formula>
    </cfRule>
    <cfRule type="cellIs" dxfId="1306" priority="1409" stopIfTrue="1" operator="equal">
      <formula>"PSG"</formula>
    </cfRule>
    <cfRule type="cellIs" dxfId="1305" priority="1410" stopIfTrue="1" operator="equal">
      <formula>"FALTA"</formula>
    </cfRule>
  </conditionalFormatting>
  <conditionalFormatting sqref="CQ219">
    <cfRule type="cellIs" dxfId="1304" priority="1401" stopIfTrue="1" operator="equal">
      <formula>"PCG"</formula>
    </cfRule>
    <cfRule type="cellIs" dxfId="1303" priority="1402" stopIfTrue="1" operator="equal">
      <formula>"VAC"</formula>
    </cfRule>
    <cfRule type="cellIs" dxfId="1302" priority="1403" stopIfTrue="1" operator="equal">
      <formula>"INC"</formula>
    </cfRule>
    <cfRule type="cellIs" dxfId="1301" priority="1404" stopIfTrue="1" operator="equal">
      <formula>"PSG"</formula>
    </cfRule>
    <cfRule type="cellIs" dxfId="1300" priority="1405" stopIfTrue="1" operator="equal">
      <formula>"FALTA"</formula>
    </cfRule>
  </conditionalFormatting>
  <conditionalFormatting sqref="AI79">
    <cfRule type="cellIs" dxfId="1299" priority="1396" stopIfTrue="1" operator="equal">
      <formula>"PCG"</formula>
    </cfRule>
    <cfRule type="cellIs" dxfId="1298" priority="1397" stopIfTrue="1" operator="equal">
      <formula>"VAC"</formula>
    </cfRule>
    <cfRule type="cellIs" dxfId="1297" priority="1398" stopIfTrue="1" operator="equal">
      <formula>"INC"</formula>
    </cfRule>
    <cfRule type="cellIs" dxfId="1296" priority="1399" stopIfTrue="1" operator="equal">
      <formula>"PSG"</formula>
    </cfRule>
    <cfRule type="cellIs" dxfId="1295" priority="1400" stopIfTrue="1" operator="equal">
      <formula>"FALTA"</formula>
    </cfRule>
  </conditionalFormatting>
  <conditionalFormatting sqref="AV79">
    <cfRule type="cellIs" dxfId="1294" priority="1391" stopIfTrue="1" operator="equal">
      <formula>"PCG"</formula>
    </cfRule>
    <cfRule type="cellIs" dxfId="1293" priority="1392" stopIfTrue="1" operator="equal">
      <formula>"VAC"</formula>
    </cfRule>
    <cfRule type="cellIs" dxfId="1292" priority="1393" stopIfTrue="1" operator="equal">
      <formula>"INC"</formula>
    </cfRule>
    <cfRule type="cellIs" dxfId="1291" priority="1394" stopIfTrue="1" operator="equal">
      <formula>"PSG"</formula>
    </cfRule>
    <cfRule type="cellIs" dxfId="1290" priority="1395" stopIfTrue="1" operator="equal">
      <formula>"FALTA"</formula>
    </cfRule>
  </conditionalFormatting>
  <conditionalFormatting sqref="BV79">
    <cfRule type="cellIs" dxfId="1289" priority="1381" stopIfTrue="1" operator="equal">
      <formula>"PCG"</formula>
    </cfRule>
    <cfRule type="cellIs" dxfId="1288" priority="1382" stopIfTrue="1" operator="equal">
      <formula>"VAC"</formula>
    </cfRule>
    <cfRule type="cellIs" dxfId="1287" priority="1383" stopIfTrue="1" operator="equal">
      <formula>"INC"</formula>
    </cfRule>
    <cfRule type="cellIs" dxfId="1286" priority="1384" stopIfTrue="1" operator="equal">
      <formula>"PSG"</formula>
    </cfRule>
    <cfRule type="cellIs" dxfId="1285" priority="1385" stopIfTrue="1" operator="equal">
      <formula>"FALTA"</formula>
    </cfRule>
  </conditionalFormatting>
  <conditionalFormatting sqref="V252">
    <cfRule type="cellIs" dxfId="1284" priority="1376" stopIfTrue="1" operator="equal">
      <formula>"PCG"</formula>
    </cfRule>
    <cfRule type="cellIs" dxfId="1283" priority="1377" stopIfTrue="1" operator="equal">
      <formula>"VAC"</formula>
    </cfRule>
    <cfRule type="cellIs" dxfId="1282" priority="1378" stopIfTrue="1" operator="equal">
      <formula>"INC"</formula>
    </cfRule>
    <cfRule type="cellIs" dxfId="1281" priority="1379" stopIfTrue="1" operator="equal">
      <formula>"PSG"</formula>
    </cfRule>
    <cfRule type="cellIs" dxfId="1280" priority="1380" stopIfTrue="1" operator="equal">
      <formula>"FALTA"</formula>
    </cfRule>
  </conditionalFormatting>
  <conditionalFormatting sqref="AI252">
    <cfRule type="cellIs" dxfId="1279" priority="1371" stopIfTrue="1" operator="equal">
      <formula>"PCG"</formula>
    </cfRule>
    <cfRule type="cellIs" dxfId="1278" priority="1372" stopIfTrue="1" operator="equal">
      <formula>"VAC"</formula>
    </cfRule>
    <cfRule type="cellIs" dxfId="1277" priority="1373" stopIfTrue="1" operator="equal">
      <formula>"INC"</formula>
    </cfRule>
    <cfRule type="cellIs" dxfId="1276" priority="1374" stopIfTrue="1" operator="equal">
      <formula>"PSG"</formula>
    </cfRule>
    <cfRule type="cellIs" dxfId="1275" priority="1375" stopIfTrue="1" operator="equal">
      <formula>"FALTA"</formula>
    </cfRule>
  </conditionalFormatting>
  <conditionalFormatting sqref="AV252">
    <cfRule type="cellIs" dxfId="1274" priority="1366" stopIfTrue="1" operator="equal">
      <formula>"PCG"</formula>
    </cfRule>
    <cfRule type="cellIs" dxfId="1273" priority="1367" stopIfTrue="1" operator="equal">
      <formula>"VAC"</formula>
    </cfRule>
    <cfRule type="cellIs" dxfId="1272" priority="1368" stopIfTrue="1" operator="equal">
      <formula>"INC"</formula>
    </cfRule>
    <cfRule type="cellIs" dxfId="1271" priority="1369" stopIfTrue="1" operator="equal">
      <formula>"PSG"</formula>
    </cfRule>
    <cfRule type="cellIs" dxfId="1270" priority="1370" stopIfTrue="1" operator="equal">
      <formula>"FALTA"</formula>
    </cfRule>
  </conditionalFormatting>
  <conditionalFormatting sqref="V121">
    <cfRule type="cellIs" dxfId="1269" priority="1361" stopIfTrue="1" operator="equal">
      <formula>"PCG"</formula>
    </cfRule>
    <cfRule type="cellIs" dxfId="1268" priority="1362" stopIfTrue="1" operator="equal">
      <formula>"VAC"</formula>
    </cfRule>
    <cfRule type="cellIs" dxfId="1267" priority="1363" stopIfTrue="1" operator="equal">
      <formula>"INC"</formula>
    </cfRule>
    <cfRule type="cellIs" dxfId="1266" priority="1364" stopIfTrue="1" operator="equal">
      <formula>"PSG"</formula>
    </cfRule>
    <cfRule type="cellIs" dxfId="1265" priority="1365" stopIfTrue="1" operator="equal">
      <formula>"FALTA"</formula>
    </cfRule>
  </conditionalFormatting>
  <conditionalFormatting sqref="AI121">
    <cfRule type="cellIs" dxfId="1264" priority="1356" stopIfTrue="1" operator="equal">
      <formula>"PCG"</formula>
    </cfRule>
    <cfRule type="cellIs" dxfId="1263" priority="1357" stopIfTrue="1" operator="equal">
      <formula>"VAC"</formula>
    </cfRule>
    <cfRule type="cellIs" dxfId="1262" priority="1358" stopIfTrue="1" operator="equal">
      <formula>"INC"</formula>
    </cfRule>
    <cfRule type="cellIs" dxfId="1261" priority="1359" stopIfTrue="1" operator="equal">
      <formula>"PSG"</formula>
    </cfRule>
    <cfRule type="cellIs" dxfId="1260" priority="1360" stopIfTrue="1" operator="equal">
      <formula>"FALTA"</formula>
    </cfRule>
  </conditionalFormatting>
  <conditionalFormatting sqref="AV121">
    <cfRule type="cellIs" dxfId="1259" priority="1351" stopIfTrue="1" operator="equal">
      <formula>"PCG"</formula>
    </cfRule>
    <cfRule type="cellIs" dxfId="1258" priority="1352" stopIfTrue="1" operator="equal">
      <formula>"VAC"</formula>
    </cfRule>
    <cfRule type="cellIs" dxfId="1257" priority="1353" stopIfTrue="1" operator="equal">
      <formula>"INC"</formula>
    </cfRule>
    <cfRule type="cellIs" dxfId="1256" priority="1354" stopIfTrue="1" operator="equal">
      <formula>"PSG"</formula>
    </cfRule>
    <cfRule type="cellIs" dxfId="1255" priority="1355" stopIfTrue="1" operator="equal">
      <formula>"FALTA"</formula>
    </cfRule>
  </conditionalFormatting>
  <conditionalFormatting sqref="BI193">
    <cfRule type="cellIs" dxfId="1254" priority="786" stopIfTrue="1" operator="equal">
      <formula>"PCG"</formula>
    </cfRule>
    <cfRule type="cellIs" dxfId="1253" priority="787" stopIfTrue="1" operator="equal">
      <formula>"VAC"</formula>
    </cfRule>
    <cfRule type="cellIs" dxfId="1252" priority="788" stopIfTrue="1" operator="equal">
      <formula>"INC"</formula>
    </cfRule>
    <cfRule type="cellIs" dxfId="1251" priority="789" stopIfTrue="1" operator="equal">
      <formula>"PSG"</formula>
    </cfRule>
    <cfRule type="cellIs" dxfId="1250" priority="790" stopIfTrue="1" operator="equal">
      <formula>"FALTA"</formula>
    </cfRule>
  </conditionalFormatting>
  <conditionalFormatting sqref="V204">
    <cfRule type="cellIs" dxfId="1249" priority="1336" stopIfTrue="1" operator="equal">
      <formula>"PCG"</formula>
    </cfRule>
    <cfRule type="cellIs" dxfId="1248" priority="1337" stopIfTrue="1" operator="equal">
      <formula>"VAC"</formula>
    </cfRule>
    <cfRule type="cellIs" dxfId="1247" priority="1338" stopIfTrue="1" operator="equal">
      <formula>"INC"</formula>
    </cfRule>
    <cfRule type="cellIs" dxfId="1246" priority="1339" stopIfTrue="1" operator="equal">
      <formula>"PSG"</formula>
    </cfRule>
    <cfRule type="cellIs" dxfId="1245" priority="1340" stopIfTrue="1" operator="equal">
      <formula>"FALTA"</formula>
    </cfRule>
  </conditionalFormatting>
  <conditionalFormatting sqref="AI204">
    <cfRule type="cellIs" dxfId="1244" priority="1331" stopIfTrue="1" operator="equal">
      <formula>"PCG"</formula>
    </cfRule>
    <cfRule type="cellIs" dxfId="1243" priority="1332" stopIfTrue="1" operator="equal">
      <formula>"VAC"</formula>
    </cfRule>
    <cfRule type="cellIs" dxfId="1242" priority="1333" stopIfTrue="1" operator="equal">
      <formula>"INC"</formula>
    </cfRule>
    <cfRule type="cellIs" dxfId="1241" priority="1334" stopIfTrue="1" operator="equal">
      <formula>"PSG"</formula>
    </cfRule>
    <cfRule type="cellIs" dxfId="1240" priority="1335" stopIfTrue="1" operator="equal">
      <formula>"FALTA"</formula>
    </cfRule>
  </conditionalFormatting>
  <conditionalFormatting sqref="AV204">
    <cfRule type="cellIs" dxfId="1239" priority="1326" stopIfTrue="1" operator="equal">
      <formula>"PCG"</formula>
    </cfRule>
    <cfRule type="cellIs" dxfId="1238" priority="1327" stopIfTrue="1" operator="equal">
      <formula>"VAC"</formula>
    </cfRule>
    <cfRule type="cellIs" dxfId="1237" priority="1328" stopIfTrue="1" operator="equal">
      <formula>"INC"</formula>
    </cfRule>
    <cfRule type="cellIs" dxfId="1236" priority="1329" stopIfTrue="1" operator="equal">
      <formula>"PSG"</formula>
    </cfRule>
    <cfRule type="cellIs" dxfId="1235" priority="1330" stopIfTrue="1" operator="equal">
      <formula>"FALTA"</formula>
    </cfRule>
  </conditionalFormatting>
  <conditionalFormatting sqref="BI204">
    <cfRule type="cellIs" dxfId="1234" priority="1321" stopIfTrue="1" operator="equal">
      <formula>"PCG"</formula>
    </cfRule>
    <cfRule type="cellIs" dxfId="1233" priority="1322" stopIfTrue="1" operator="equal">
      <formula>"VAC"</formula>
    </cfRule>
    <cfRule type="cellIs" dxfId="1232" priority="1323" stopIfTrue="1" operator="equal">
      <formula>"INC"</formula>
    </cfRule>
    <cfRule type="cellIs" dxfId="1231" priority="1324" stopIfTrue="1" operator="equal">
      <formula>"PSG"</formula>
    </cfRule>
    <cfRule type="cellIs" dxfId="1230" priority="1325" stopIfTrue="1" operator="equal">
      <formula>"FALTA"</formula>
    </cfRule>
  </conditionalFormatting>
  <conditionalFormatting sqref="BV204">
    <cfRule type="cellIs" dxfId="1229" priority="1316" stopIfTrue="1" operator="equal">
      <formula>"PCG"</formula>
    </cfRule>
    <cfRule type="cellIs" dxfId="1228" priority="1317" stopIfTrue="1" operator="equal">
      <formula>"VAC"</formula>
    </cfRule>
    <cfRule type="cellIs" dxfId="1227" priority="1318" stopIfTrue="1" operator="equal">
      <formula>"INC"</formula>
    </cfRule>
    <cfRule type="cellIs" dxfId="1226" priority="1319" stopIfTrue="1" operator="equal">
      <formula>"PSG"</formula>
    </cfRule>
    <cfRule type="cellIs" dxfId="1225" priority="1320" stopIfTrue="1" operator="equal">
      <formula>"FALTA"</formula>
    </cfRule>
  </conditionalFormatting>
  <conditionalFormatting sqref="BI179">
    <cfRule type="cellIs" dxfId="1224" priority="471" stopIfTrue="1" operator="equal">
      <formula>"PCG"</formula>
    </cfRule>
    <cfRule type="cellIs" dxfId="1223" priority="472" stopIfTrue="1" operator="equal">
      <formula>"VAC"</formula>
    </cfRule>
    <cfRule type="cellIs" dxfId="1222" priority="473" stopIfTrue="1" operator="equal">
      <formula>"INC"</formula>
    </cfRule>
    <cfRule type="cellIs" dxfId="1221" priority="474" stopIfTrue="1" operator="equal">
      <formula>"PSG"</formula>
    </cfRule>
    <cfRule type="cellIs" dxfId="1220" priority="475" stopIfTrue="1" operator="equal">
      <formula>"FALTA"</formula>
    </cfRule>
  </conditionalFormatting>
  <conditionalFormatting sqref="BV255">
    <cfRule type="cellIs" dxfId="1219" priority="1306" stopIfTrue="1" operator="equal">
      <formula>"PCG"</formula>
    </cfRule>
    <cfRule type="cellIs" dxfId="1218" priority="1307" stopIfTrue="1" operator="equal">
      <formula>"VAC"</formula>
    </cfRule>
    <cfRule type="cellIs" dxfId="1217" priority="1308" stopIfTrue="1" operator="equal">
      <formula>"INC"</formula>
    </cfRule>
    <cfRule type="cellIs" dxfId="1216" priority="1309" stopIfTrue="1" operator="equal">
      <formula>"PSG"</formula>
    </cfRule>
    <cfRule type="cellIs" dxfId="1215" priority="1310" stopIfTrue="1" operator="equal">
      <formula>"FALTA"</formula>
    </cfRule>
  </conditionalFormatting>
  <conditionalFormatting sqref="V136">
    <cfRule type="cellIs" dxfId="1214" priority="1301" stopIfTrue="1" operator="equal">
      <formula>"PCG"</formula>
    </cfRule>
    <cfRule type="cellIs" dxfId="1213" priority="1302" stopIfTrue="1" operator="equal">
      <formula>"VAC"</formula>
    </cfRule>
    <cfRule type="cellIs" dxfId="1212" priority="1303" stopIfTrue="1" operator="equal">
      <formula>"INC"</formula>
    </cfRule>
    <cfRule type="cellIs" dxfId="1211" priority="1304" stopIfTrue="1" operator="equal">
      <formula>"PSG"</formula>
    </cfRule>
    <cfRule type="cellIs" dxfId="1210" priority="1305" stopIfTrue="1" operator="equal">
      <formula>"FALTA"</formula>
    </cfRule>
  </conditionalFormatting>
  <conditionalFormatting sqref="BV124">
    <cfRule type="cellIs" dxfId="1209" priority="1296" stopIfTrue="1" operator="equal">
      <formula>"PCG"</formula>
    </cfRule>
    <cfRule type="cellIs" dxfId="1208" priority="1297" stopIfTrue="1" operator="equal">
      <formula>"VAC"</formula>
    </cfRule>
    <cfRule type="cellIs" dxfId="1207" priority="1298" stopIfTrue="1" operator="equal">
      <formula>"INC"</formula>
    </cfRule>
    <cfRule type="cellIs" dxfId="1206" priority="1299" stopIfTrue="1" operator="equal">
      <formula>"PSG"</formula>
    </cfRule>
    <cfRule type="cellIs" dxfId="1205" priority="1300" stopIfTrue="1" operator="equal">
      <formula>"FALTA"</formula>
    </cfRule>
  </conditionalFormatting>
  <conditionalFormatting sqref="BV237">
    <cfRule type="cellIs" dxfId="1204" priority="1291" stopIfTrue="1" operator="equal">
      <formula>"PCG"</formula>
    </cfRule>
    <cfRule type="cellIs" dxfId="1203" priority="1292" stopIfTrue="1" operator="equal">
      <formula>"VAC"</formula>
    </cfRule>
    <cfRule type="cellIs" dxfId="1202" priority="1293" stopIfTrue="1" operator="equal">
      <formula>"INC"</formula>
    </cfRule>
    <cfRule type="cellIs" dxfId="1201" priority="1294" stopIfTrue="1" operator="equal">
      <formula>"PSG"</formula>
    </cfRule>
    <cfRule type="cellIs" dxfId="1200" priority="1295" stopIfTrue="1" operator="equal">
      <formula>"FALTA"</formula>
    </cfRule>
  </conditionalFormatting>
  <conditionalFormatting sqref="AI175">
    <cfRule type="cellIs" dxfId="1199" priority="1286" stopIfTrue="1" operator="equal">
      <formula>"PCG"</formula>
    </cfRule>
    <cfRule type="cellIs" dxfId="1198" priority="1287" stopIfTrue="1" operator="equal">
      <formula>"VAC"</formula>
    </cfRule>
    <cfRule type="cellIs" dxfId="1197" priority="1288" stopIfTrue="1" operator="equal">
      <formula>"INC"</formula>
    </cfRule>
    <cfRule type="cellIs" dxfId="1196" priority="1289" stopIfTrue="1" operator="equal">
      <formula>"PSG"</formula>
    </cfRule>
    <cfRule type="cellIs" dxfId="1195" priority="1290" stopIfTrue="1" operator="equal">
      <formula>"FALTA"</formula>
    </cfRule>
  </conditionalFormatting>
  <conditionalFormatting sqref="AV175">
    <cfRule type="cellIs" dxfId="1194" priority="1281" stopIfTrue="1" operator="equal">
      <formula>"PCG"</formula>
    </cfRule>
    <cfRule type="cellIs" dxfId="1193" priority="1282" stopIfTrue="1" operator="equal">
      <formula>"VAC"</formula>
    </cfRule>
    <cfRule type="cellIs" dxfId="1192" priority="1283" stopIfTrue="1" operator="equal">
      <formula>"INC"</formula>
    </cfRule>
    <cfRule type="cellIs" dxfId="1191" priority="1284" stopIfTrue="1" operator="equal">
      <formula>"PSG"</formula>
    </cfRule>
    <cfRule type="cellIs" dxfId="1190" priority="1285" stopIfTrue="1" operator="equal">
      <formula>"FALTA"</formula>
    </cfRule>
  </conditionalFormatting>
  <conditionalFormatting sqref="BI237">
    <cfRule type="cellIs" dxfId="1189" priority="1271" stopIfTrue="1" operator="equal">
      <formula>"PCG"</formula>
    </cfRule>
    <cfRule type="cellIs" dxfId="1188" priority="1272" stopIfTrue="1" operator="equal">
      <formula>"VAC"</formula>
    </cfRule>
    <cfRule type="cellIs" dxfId="1187" priority="1273" stopIfTrue="1" operator="equal">
      <formula>"INC"</formula>
    </cfRule>
    <cfRule type="cellIs" dxfId="1186" priority="1274" stopIfTrue="1" operator="equal">
      <formula>"PSG"</formula>
    </cfRule>
    <cfRule type="cellIs" dxfId="1185" priority="1275" stopIfTrue="1" operator="equal">
      <formula>"FALTA"</formula>
    </cfRule>
  </conditionalFormatting>
  <conditionalFormatting sqref="BI243">
    <cfRule type="cellIs" dxfId="1184" priority="416" stopIfTrue="1" operator="equal">
      <formula>"PCG"</formula>
    </cfRule>
    <cfRule type="cellIs" dxfId="1183" priority="417" stopIfTrue="1" operator="equal">
      <formula>"VAC"</formula>
    </cfRule>
    <cfRule type="cellIs" dxfId="1182" priority="418" stopIfTrue="1" operator="equal">
      <formula>"INC"</formula>
    </cfRule>
    <cfRule type="cellIs" dxfId="1181" priority="419" stopIfTrue="1" operator="equal">
      <formula>"PSG"</formula>
    </cfRule>
    <cfRule type="cellIs" dxfId="1180" priority="420" stopIfTrue="1" operator="equal">
      <formula>"FALTA"</formula>
    </cfRule>
  </conditionalFormatting>
  <conditionalFormatting sqref="AI136">
    <cfRule type="cellIs" dxfId="1179" priority="1256" stopIfTrue="1" operator="equal">
      <formula>"PCG"</formula>
    </cfRule>
    <cfRule type="cellIs" dxfId="1178" priority="1257" stopIfTrue="1" operator="equal">
      <formula>"VAC"</formula>
    </cfRule>
    <cfRule type="cellIs" dxfId="1177" priority="1258" stopIfTrue="1" operator="equal">
      <formula>"INC"</formula>
    </cfRule>
    <cfRule type="cellIs" dxfId="1176" priority="1259" stopIfTrue="1" operator="equal">
      <formula>"PSG"</formula>
    </cfRule>
    <cfRule type="cellIs" dxfId="1175" priority="1260" stopIfTrue="1" operator="equal">
      <formula>"FALTA"</formula>
    </cfRule>
  </conditionalFormatting>
  <conditionalFormatting sqref="BI136">
    <cfRule type="cellIs" dxfId="1174" priority="1251" stopIfTrue="1" operator="equal">
      <formula>"PCG"</formula>
    </cfRule>
    <cfRule type="cellIs" dxfId="1173" priority="1252" stopIfTrue="1" operator="equal">
      <formula>"VAC"</formula>
    </cfRule>
    <cfRule type="cellIs" dxfId="1172" priority="1253" stopIfTrue="1" operator="equal">
      <formula>"INC"</formula>
    </cfRule>
    <cfRule type="cellIs" dxfId="1171" priority="1254" stopIfTrue="1" operator="equal">
      <formula>"PSG"</formula>
    </cfRule>
    <cfRule type="cellIs" dxfId="1170" priority="1255" stopIfTrue="1" operator="equal">
      <formula>"FALTA"</formula>
    </cfRule>
  </conditionalFormatting>
  <conditionalFormatting sqref="BI252">
    <cfRule type="cellIs" dxfId="1169" priority="1246" stopIfTrue="1" operator="equal">
      <formula>"PCG"</formula>
    </cfRule>
    <cfRule type="cellIs" dxfId="1168" priority="1247" stopIfTrue="1" operator="equal">
      <formula>"VAC"</formula>
    </cfRule>
    <cfRule type="cellIs" dxfId="1167" priority="1248" stopIfTrue="1" operator="equal">
      <formula>"INC"</formula>
    </cfRule>
    <cfRule type="cellIs" dxfId="1166" priority="1249" stopIfTrue="1" operator="equal">
      <formula>"PSG"</formula>
    </cfRule>
    <cfRule type="cellIs" dxfId="1165" priority="1250" stopIfTrue="1" operator="equal">
      <formula>"FALTA"</formula>
    </cfRule>
  </conditionalFormatting>
  <conditionalFormatting sqref="BI124">
    <cfRule type="cellIs" dxfId="1164" priority="1241" stopIfTrue="1" operator="equal">
      <formula>"PCG"</formula>
    </cfRule>
    <cfRule type="cellIs" dxfId="1163" priority="1242" stopIfTrue="1" operator="equal">
      <formula>"VAC"</formula>
    </cfRule>
    <cfRule type="cellIs" dxfId="1162" priority="1243" stopIfTrue="1" operator="equal">
      <formula>"INC"</formula>
    </cfRule>
    <cfRule type="cellIs" dxfId="1161" priority="1244" stopIfTrue="1" operator="equal">
      <formula>"PSG"</formula>
    </cfRule>
    <cfRule type="cellIs" dxfId="1160" priority="1245" stopIfTrue="1" operator="equal">
      <formula>"FALTA"</formula>
    </cfRule>
  </conditionalFormatting>
  <conditionalFormatting sqref="AM237">
    <cfRule type="cellIs" dxfId="1159" priority="1236" stopIfTrue="1" operator="equal">
      <formula>"PCG"</formula>
    </cfRule>
    <cfRule type="cellIs" dxfId="1158" priority="1237" stopIfTrue="1" operator="equal">
      <formula>"VAC"</formula>
    </cfRule>
    <cfRule type="cellIs" dxfId="1157" priority="1238" stopIfTrue="1" operator="equal">
      <formula>"INC"</formula>
    </cfRule>
    <cfRule type="cellIs" dxfId="1156" priority="1239" stopIfTrue="1" operator="equal">
      <formula>"PSG"</formula>
    </cfRule>
    <cfRule type="cellIs" dxfId="1155" priority="1240" stopIfTrue="1" operator="equal">
      <formula>"FALTA"</formula>
    </cfRule>
  </conditionalFormatting>
  <conditionalFormatting sqref="AZ237">
    <cfRule type="cellIs" dxfId="1154" priority="1231" stopIfTrue="1" operator="equal">
      <formula>"PCG"</formula>
    </cfRule>
    <cfRule type="cellIs" dxfId="1153" priority="1232" stopIfTrue="1" operator="equal">
      <formula>"VAC"</formula>
    </cfRule>
    <cfRule type="cellIs" dxfId="1152" priority="1233" stopIfTrue="1" operator="equal">
      <formula>"INC"</formula>
    </cfRule>
    <cfRule type="cellIs" dxfId="1151" priority="1234" stopIfTrue="1" operator="equal">
      <formula>"PSG"</formula>
    </cfRule>
    <cfRule type="cellIs" dxfId="1150" priority="1235" stopIfTrue="1" operator="equal">
      <formula>"FALTA"</formula>
    </cfRule>
  </conditionalFormatting>
  <conditionalFormatting sqref="Z229">
    <cfRule type="cellIs" dxfId="1149" priority="1226" stopIfTrue="1" operator="equal">
      <formula>"PCG"</formula>
    </cfRule>
    <cfRule type="cellIs" dxfId="1148" priority="1227" stopIfTrue="1" operator="equal">
      <formula>"VAC"</formula>
    </cfRule>
    <cfRule type="cellIs" dxfId="1147" priority="1228" stopIfTrue="1" operator="equal">
      <formula>"INC"</formula>
    </cfRule>
    <cfRule type="cellIs" dxfId="1146" priority="1229" stopIfTrue="1" operator="equal">
      <formula>"PSG"</formula>
    </cfRule>
    <cfRule type="cellIs" dxfId="1145" priority="1230" stopIfTrue="1" operator="equal">
      <formula>"FALTA"</formula>
    </cfRule>
  </conditionalFormatting>
  <conditionalFormatting sqref="AD229">
    <cfRule type="cellIs" dxfId="1144" priority="1221" stopIfTrue="1" operator="equal">
      <formula>"PCG"</formula>
    </cfRule>
    <cfRule type="cellIs" dxfId="1143" priority="1222" stopIfTrue="1" operator="equal">
      <formula>"VAC"</formula>
    </cfRule>
    <cfRule type="cellIs" dxfId="1142" priority="1223" stopIfTrue="1" operator="equal">
      <formula>"INC"</formula>
    </cfRule>
    <cfRule type="cellIs" dxfId="1141" priority="1224" stopIfTrue="1" operator="equal">
      <formula>"PSG"</formula>
    </cfRule>
    <cfRule type="cellIs" dxfId="1140" priority="1225" stopIfTrue="1" operator="equal">
      <formula>"FALTA"</formula>
    </cfRule>
  </conditionalFormatting>
  <conditionalFormatting sqref="AI229">
    <cfRule type="cellIs" dxfId="1139" priority="1216" stopIfTrue="1" operator="equal">
      <formula>"PCG"</formula>
    </cfRule>
    <cfRule type="cellIs" dxfId="1138" priority="1217" stopIfTrue="1" operator="equal">
      <formula>"VAC"</formula>
    </cfRule>
    <cfRule type="cellIs" dxfId="1137" priority="1218" stopIfTrue="1" operator="equal">
      <formula>"INC"</formula>
    </cfRule>
    <cfRule type="cellIs" dxfId="1136" priority="1219" stopIfTrue="1" operator="equal">
      <formula>"PSG"</formula>
    </cfRule>
    <cfRule type="cellIs" dxfId="1135" priority="1220" stopIfTrue="1" operator="equal">
      <formula>"FALTA"</formula>
    </cfRule>
  </conditionalFormatting>
  <conditionalFormatting sqref="AM229">
    <cfRule type="cellIs" dxfId="1134" priority="1211" stopIfTrue="1" operator="equal">
      <formula>"PCG"</formula>
    </cfRule>
    <cfRule type="cellIs" dxfId="1133" priority="1212" stopIfTrue="1" operator="equal">
      <formula>"VAC"</formula>
    </cfRule>
    <cfRule type="cellIs" dxfId="1132" priority="1213" stopIfTrue="1" operator="equal">
      <formula>"INC"</formula>
    </cfRule>
    <cfRule type="cellIs" dxfId="1131" priority="1214" stopIfTrue="1" operator="equal">
      <formula>"PSG"</formula>
    </cfRule>
    <cfRule type="cellIs" dxfId="1130" priority="1215" stopIfTrue="1" operator="equal">
      <formula>"FALTA"</formula>
    </cfRule>
  </conditionalFormatting>
  <conditionalFormatting sqref="AQ229">
    <cfRule type="cellIs" dxfId="1129" priority="1206" stopIfTrue="1" operator="equal">
      <formula>"PCG"</formula>
    </cfRule>
    <cfRule type="cellIs" dxfId="1128" priority="1207" stopIfTrue="1" operator="equal">
      <formula>"VAC"</formula>
    </cfRule>
    <cfRule type="cellIs" dxfId="1127" priority="1208" stopIfTrue="1" operator="equal">
      <formula>"INC"</formula>
    </cfRule>
    <cfRule type="cellIs" dxfId="1126" priority="1209" stopIfTrue="1" operator="equal">
      <formula>"PSG"</formula>
    </cfRule>
    <cfRule type="cellIs" dxfId="1125" priority="1210" stopIfTrue="1" operator="equal">
      <formula>"FALTA"</formula>
    </cfRule>
  </conditionalFormatting>
  <conditionalFormatting sqref="AZ229">
    <cfRule type="cellIs" dxfId="1124" priority="1196" stopIfTrue="1" operator="equal">
      <formula>"PCG"</formula>
    </cfRule>
    <cfRule type="cellIs" dxfId="1123" priority="1197" stopIfTrue="1" operator="equal">
      <formula>"VAC"</formula>
    </cfRule>
    <cfRule type="cellIs" dxfId="1122" priority="1198" stopIfTrue="1" operator="equal">
      <formula>"INC"</formula>
    </cfRule>
    <cfRule type="cellIs" dxfId="1121" priority="1199" stopIfTrue="1" operator="equal">
      <formula>"PSG"</formula>
    </cfRule>
    <cfRule type="cellIs" dxfId="1120" priority="1200" stopIfTrue="1" operator="equal">
      <formula>"FALTA"</formula>
    </cfRule>
  </conditionalFormatting>
  <conditionalFormatting sqref="BD229">
    <cfRule type="cellIs" dxfId="1119" priority="1191" stopIfTrue="1" operator="equal">
      <formula>"PCG"</formula>
    </cfRule>
    <cfRule type="cellIs" dxfId="1118" priority="1192" stopIfTrue="1" operator="equal">
      <formula>"VAC"</formula>
    </cfRule>
    <cfRule type="cellIs" dxfId="1117" priority="1193" stopIfTrue="1" operator="equal">
      <formula>"INC"</formula>
    </cfRule>
    <cfRule type="cellIs" dxfId="1116" priority="1194" stopIfTrue="1" operator="equal">
      <formula>"PSG"</formula>
    </cfRule>
    <cfRule type="cellIs" dxfId="1115" priority="1195" stopIfTrue="1" operator="equal">
      <formula>"FALTA"</formula>
    </cfRule>
  </conditionalFormatting>
  <conditionalFormatting sqref="I58">
    <cfRule type="cellIs" dxfId="1114" priority="756" stopIfTrue="1" operator="equal">
      <formula>"PCG"</formula>
    </cfRule>
    <cfRule type="cellIs" dxfId="1113" priority="757" stopIfTrue="1" operator="equal">
      <formula>"VAC"</formula>
    </cfRule>
    <cfRule type="cellIs" dxfId="1112" priority="758" stopIfTrue="1" operator="equal">
      <formula>"INC"</formula>
    </cfRule>
    <cfRule type="cellIs" dxfId="1111" priority="759" stopIfTrue="1" operator="equal">
      <formula>"PSG"</formula>
    </cfRule>
    <cfRule type="cellIs" dxfId="1110" priority="760" stopIfTrue="1" operator="equal">
      <formula>"FALTA"</formula>
    </cfRule>
  </conditionalFormatting>
  <conditionalFormatting sqref="BM229">
    <cfRule type="cellIs" dxfId="1109" priority="1181" stopIfTrue="1" operator="equal">
      <formula>"PCG"</formula>
    </cfRule>
    <cfRule type="cellIs" dxfId="1108" priority="1182" stopIfTrue="1" operator="equal">
      <formula>"VAC"</formula>
    </cfRule>
    <cfRule type="cellIs" dxfId="1107" priority="1183" stopIfTrue="1" operator="equal">
      <formula>"INC"</formula>
    </cfRule>
    <cfRule type="cellIs" dxfId="1106" priority="1184" stopIfTrue="1" operator="equal">
      <formula>"PSG"</formula>
    </cfRule>
    <cfRule type="cellIs" dxfId="1105" priority="1185" stopIfTrue="1" operator="equal">
      <formula>"FALTA"</formula>
    </cfRule>
  </conditionalFormatting>
  <conditionalFormatting sqref="BQ229">
    <cfRule type="cellIs" dxfId="1104" priority="1176" stopIfTrue="1" operator="equal">
      <formula>"PCG"</formula>
    </cfRule>
    <cfRule type="cellIs" dxfId="1103" priority="1177" stopIfTrue="1" operator="equal">
      <formula>"VAC"</formula>
    </cfRule>
    <cfRule type="cellIs" dxfId="1102" priority="1178" stopIfTrue="1" operator="equal">
      <formula>"INC"</formula>
    </cfRule>
    <cfRule type="cellIs" dxfId="1101" priority="1179" stopIfTrue="1" operator="equal">
      <formula>"PSG"</formula>
    </cfRule>
    <cfRule type="cellIs" dxfId="1100" priority="1180" stopIfTrue="1" operator="equal">
      <formula>"FALTA"</formula>
    </cfRule>
  </conditionalFormatting>
  <conditionalFormatting sqref="AV134">
    <cfRule type="cellIs" dxfId="1099" priority="746" stopIfTrue="1" operator="equal">
      <formula>"PCG"</formula>
    </cfRule>
    <cfRule type="cellIs" dxfId="1098" priority="747" stopIfTrue="1" operator="equal">
      <formula>"VAC"</formula>
    </cfRule>
    <cfRule type="cellIs" dxfId="1097" priority="748" stopIfTrue="1" operator="equal">
      <formula>"INC"</formula>
    </cfRule>
    <cfRule type="cellIs" dxfId="1096" priority="749" stopIfTrue="1" operator="equal">
      <formula>"PSG"</formula>
    </cfRule>
    <cfRule type="cellIs" dxfId="1095" priority="750" stopIfTrue="1" operator="equal">
      <formula>"FALTA"</formula>
    </cfRule>
  </conditionalFormatting>
  <conditionalFormatting sqref="BZ229">
    <cfRule type="cellIs" dxfId="1094" priority="1166" stopIfTrue="1" operator="equal">
      <formula>"PCG"</formula>
    </cfRule>
    <cfRule type="cellIs" dxfId="1093" priority="1167" stopIfTrue="1" operator="equal">
      <formula>"VAC"</formula>
    </cfRule>
    <cfRule type="cellIs" dxfId="1092" priority="1168" stopIfTrue="1" operator="equal">
      <formula>"INC"</formula>
    </cfRule>
    <cfRule type="cellIs" dxfId="1091" priority="1169" stopIfTrue="1" operator="equal">
      <formula>"PSG"</formula>
    </cfRule>
    <cfRule type="cellIs" dxfId="1090" priority="1170" stopIfTrue="1" operator="equal">
      <formula>"FALTA"</formula>
    </cfRule>
  </conditionalFormatting>
  <conditionalFormatting sqref="CD229">
    <cfRule type="cellIs" dxfId="1089" priority="1161" stopIfTrue="1" operator="equal">
      <formula>"PCG"</formula>
    </cfRule>
    <cfRule type="cellIs" dxfId="1088" priority="1162" stopIfTrue="1" operator="equal">
      <formula>"VAC"</formula>
    </cfRule>
    <cfRule type="cellIs" dxfId="1087" priority="1163" stopIfTrue="1" operator="equal">
      <formula>"INC"</formula>
    </cfRule>
    <cfRule type="cellIs" dxfId="1086" priority="1164" stopIfTrue="1" operator="equal">
      <formula>"PSG"</formula>
    </cfRule>
    <cfRule type="cellIs" dxfId="1085" priority="1165" stopIfTrue="1" operator="equal">
      <formula>"FALTA"</formula>
    </cfRule>
  </conditionalFormatting>
  <conditionalFormatting sqref="AI75">
    <cfRule type="cellIs" dxfId="1084" priority="1156" stopIfTrue="1" operator="equal">
      <formula>"PCG"</formula>
    </cfRule>
    <cfRule type="cellIs" dxfId="1083" priority="1157" stopIfTrue="1" operator="equal">
      <formula>"VAC"</formula>
    </cfRule>
    <cfRule type="cellIs" dxfId="1082" priority="1158" stopIfTrue="1" operator="equal">
      <formula>"INC"</formula>
    </cfRule>
    <cfRule type="cellIs" dxfId="1081" priority="1159" stopIfTrue="1" operator="equal">
      <formula>"PSG"</formula>
    </cfRule>
    <cfRule type="cellIs" dxfId="1080" priority="1160" stopIfTrue="1" operator="equal">
      <formula>"FALTA"</formula>
    </cfRule>
  </conditionalFormatting>
  <conditionalFormatting sqref="AV75">
    <cfRule type="cellIs" dxfId="1079" priority="1151" stopIfTrue="1" operator="equal">
      <formula>"PCG"</formula>
    </cfRule>
    <cfRule type="cellIs" dxfId="1078" priority="1152" stopIfTrue="1" operator="equal">
      <formula>"VAC"</formula>
    </cfRule>
    <cfRule type="cellIs" dxfId="1077" priority="1153" stopIfTrue="1" operator="equal">
      <formula>"INC"</formula>
    </cfRule>
    <cfRule type="cellIs" dxfId="1076" priority="1154" stopIfTrue="1" operator="equal">
      <formula>"PSG"</formula>
    </cfRule>
    <cfRule type="cellIs" dxfId="1075" priority="1155" stopIfTrue="1" operator="equal">
      <formula>"FALTA"</formula>
    </cfRule>
  </conditionalFormatting>
  <conditionalFormatting sqref="BI75">
    <cfRule type="cellIs" dxfId="1074" priority="1146" stopIfTrue="1" operator="equal">
      <formula>"PCG"</formula>
    </cfRule>
    <cfRule type="cellIs" dxfId="1073" priority="1147" stopIfTrue="1" operator="equal">
      <formula>"VAC"</formula>
    </cfRule>
    <cfRule type="cellIs" dxfId="1072" priority="1148" stopIfTrue="1" operator="equal">
      <formula>"INC"</formula>
    </cfRule>
    <cfRule type="cellIs" dxfId="1071" priority="1149" stopIfTrue="1" operator="equal">
      <formula>"PSG"</formula>
    </cfRule>
    <cfRule type="cellIs" dxfId="1070" priority="1150" stopIfTrue="1" operator="equal">
      <formula>"FALTA"</formula>
    </cfRule>
  </conditionalFormatting>
  <conditionalFormatting sqref="AI180">
    <cfRule type="cellIs" dxfId="1069" priority="1141" stopIfTrue="1" operator="equal">
      <formula>"PCG"</formula>
    </cfRule>
    <cfRule type="cellIs" dxfId="1068" priority="1142" stopIfTrue="1" operator="equal">
      <formula>"VAC"</formula>
    </cfRule>
    <cfRule type="cellIs" dxfId="1067" priority="1143" stopIfTrue="1" operator="equal">
      <formula>"INC"</formula>
    </cfRule>
    <cfRule type="cellIs" dxfId="1066" priority="1144" stopIfTrue="1" operator="equal">
      <formula>"PSG"</formula>
    </cfRule>
    <cfRule type="cellIs" dxfId="1065" priority="1145" stopIfTrue="1" operator="equal">
      <formula>"FALTA"</formula>
    </cfRule>
  </conditionalFormatting>
  <conditionalFormatting sqref="AV180">
    <cfRule type="cellIs" dxfId="1064" priority="1136" stopIfTrue="1" operator="equal">
      <formula>"PCG"</formula>
    </cfRule>
    <cfRule type="cellIs" dxfId="1063" priority="1137" stopIfTrue="1" operator="equal">
      <formula>"VAC"</formula>
    </cfRule>
    <cfRule type="cellIs" dxfId="1062" priority="1138" stopIfTrue="1" operator="equal">
      <formula>"INC"</formula>
    </cfRule>
    <cfRule type="cellIs" dxfId="1061" priority="1139" stopIfTrue="1" operator="equal">
      <formula>"PSG"</formula>
    </cfRule>
    <cfRule type="cellIs" dxfId="1060" priority="1140" stopIfTrue="1" operator="equal">
      <formula>"FALTA"</formula>
    </cfRule>
  </conditionalFormatting>
  <conditionalFormatting sqref="BI180">
    <cfRule type="cellIs" dxfId="1059" priority="1131" stopIfTrue="1" operator="equal">
      <formula>"PCG"</formula>
    </cfRule>
    <cfRule type="cellIs" dxfId="1058" priority="1132" stopIfTrue="1" operator="equal">
      <formula>"VAC"</formula>
    </cfRule>
    <cfRule type="cellIs" dxfId="1057" priority="1133" stopIfTrue="1" operator="equal">
      <formula>"INC"</formula>
    </cfRule>
    <cfRule type="cellIs" dxfId="1056" priority="1134" stopIfTrue="1" operator="equal">
      <formula>"PSG"</formula>
    </cfRule>
    <cfRule type="cellIs" dxfId="1055" priority="1135" stopIfTrue="1" operator="equal">
      <formula>"FALTA"</formula>
    </cfRule>
  </conditionalFormatting>
  <conditionalFormatting sqref="AI118">
    <cfRule type="cellIs" dxfId="1054" priority="1126" stopIfTrue="1" operator="equal">
      <formula>"PCG"</formula>
    </cfRule>
    <cfRule type="cellIs" dxfId="1053" priority="1127" stopIfTrue="1" operator="equal">
      <formula>"VAC"</formula>
    </cfRule>
    <cfRule type="cellIs" dxfId="1052" priority="1128" stopIfTrue="1" operator="equal">
      <formula>"INC"</formula>
    </cfRule>
    <cfRule type="cellIs" dxfId="1051" priority="1129" stopIfTrue="1" operator="equal">
      <formula>"PSG"</formula>
    </cfRule>
    <cfRule type="cellIs" dxfId="1050" priority="1130" stopIfTrue="1" operator="equal">
      <formula>"FALTA"</formula>
    </cfRule>
  </conditionalFormatting>
  <conditionalFormatting sqref="AV118">
    <cfRule type="cellIs" dxfId="1049" priority="1121" stopIfTrue="1" operator="equal">
      <formula>"PCG"</formula>
    </cfRule>
    <cfRule type="cellIs" dxfId="1048" priority="1122" stopIfTrue="1" operator="equal">
      <formula>"VAC"</formula>
    </cfRule>
    <cfRule type="cellIs" dxfId="1047" priority="1123" stopIfTrue="1" operator="equal">
      <formula>"INC"</formula>
    </cfRule>
    <cfRule type="cellIs" dxfId="1046" priority="1124" stopIfTrue="1" operator="equal">
      <formula>"PSG"</formula>
    </cfRule>
    <cfRule type="cellIs" dxfId="1045" priority="1125" stopIfTrue="1" operator="equal">
      <formula>"FALTA"</formula>
    </cfRule>
  </conditionalFormatting>
  <conditionalFormatting sqref="AI84">
    <cfRule type="cellIs" dxfId="1044" priority="1111" stopIfTrue="1" operator="equal">
      <formula>"PCG"</formula>
    </cfRule>
    <cfRule type="cellIs" dxfId="1043" priority="1112" stopIfTrue="1" operator="equal">
      <formula>"VAC"</formula>
    </cfRule>
    <cfRule type="cellIs" dxfId="1042" priority="1113" stopIfTrue="1" operator="equal">
      <formula>"INC"</formula>
    </cfRule>
    <cfRule type="cellIs" dxfId="1041" priority="1114" stopIfTrue="1" operator="equal">
      <formula>"PSG"</formula>
    </cfRule>
    <cfRule type="cellIs" dxfId="1040" priority="1115" stopIfTrue="1" operator="equal">
      <formula>"FALTA"</formula>
    </cfRule>
  </conditionalFormatting>
  <conditionalFormatting sqref="BI84">
    <cfRule type="cellIs" dxfId="1039" priority="1106" stopIfTrue="1" operator="equal">
      <formula>"PCG"</formula>
    </cfRule>
    <cfRule type="cellIs" dxfId="1038" priority="1107" stopIfTrue="1" operator="equal">
      <formula>"VAC"</formula>
    </cfRule>
    <cfRule type="cellIs" dxfId="1037" priority="1108" stopIfTrue="1" operator="equal">
      <formula>"INC"</formula>
    </cfRule>
    <cfRule type="cellIs" dxfId="1036" priority="1109" stopIfTrue="1" operator="equal">
      <formula>"PSG"</formula>
    </cfRule>
    <cfRule type="cellIs" dxfId="1035" priority="1110" stopIfTrue="1" operator="equal">
      <formula>"FALTA"</formula>
    </cfRule>
  </conditionalFormatting>
  <conditionalFormatting sqref="AI104">
    <cfRule type="cellIs" dxfId="1034" priority="1101" stopIfTrue="1" operator="equal">
      <formula>"PCG"</formula>
    </cfRule>
    <cfRule type="cellIs" dxfId="1033" priority="1102" stopIfTrue="1" operator="equal">
      <formula>"VAC"</formula>
    </cfRule>
    <cfRule type="cellIs" dxfId="1032" priority="1103" stopIfTrue="1" operator="equal">
      <formula>"INC"</formula>
    </cfRule>
    <cfRule type="cellIs" dxfId="1031" priority="1104" stopIfTrue="1" operator="equal">
      <formula>"PSG"</formula>
    </cfRule>
    <cfRule type="cellIs" dxfId="1030" priority="1105" stopIfTrue="1" operator="equal">
      <formula>"FALTA"</formula>
    </cfRule>
  </conditionalFormatting>
  <conditionalFormatting sqref="AV104">
    <cfRule type="cellIs" dxfId="1029" priority="1096" stopIfTrue="1" operator="equal">
      <formula>"PCG"</formula>
    </cfRule>
    <cfRule type="cellIs" dxfId="1028" priority="1097" stopIfTrue="1" operator="equal">
      <formula>"VAC"</formula>
    </cfRule>
    <cfRule type="cellIs" dxfId="1027" priority="1098" stopIfTrue="1" operator="equal">
      <formula>"INC"</formula>
    </cfRule>
    <cfRule type="cellIs" dxfId="1026" priority="1099" stopIfTrue="1" operator="equal">
      <formula>"PSG"</formula>
    </cfRule>
    <cfRule type="cellIs" dxfId="1025" priority="1100" stopIfTrue="1" operator="equal">
      <formula>"FALTA"</formula>
    </cfRule>
  </conditionalFormatting>
  <conditionalFormatting sqref="BI104">
    <cfRule type="cellIs" dxfId="1024" priority="1091" stopIfTrue="1" operator="equal">
      <formula>"PCG"</formula>
    </cfRule>
    <cfRule type="cellIs" dxfId="1023" priority="1092" stopIfTrue="1" operator="equal">
      <formula>"VAC"</formula>
    </cfRule>
    <cfRule type="cellIs" dxfId="1022" priority="1093" stopIfTrue="1" operator="equal">
      <formula>"INC"</formula>
    </cfRule>
    <cfRule type="cellIs" dxfId="1021" priority="1094" stopIfTrue="1" operator="equal">
      <formula>"PSG"</formula>
    </cfRule>
    <cfRule type="cellIs" dxfId="1020" priority="1095" stopIfTrue="1" operator="equal">
      <formula>"FALTA"</formula>
    </cfRule>
  </conditionalFormatting>
  <conditionalFormatting sqref="AI174">
    <cfRule type="cellIs" dxfId="1019" priority="1086" stopIfTrue="1" operator="equal">
      <formula>"PCG"</formula>
    </cfRule>
    <cfRule type="cellIs" dxfId="1018" priority="1087" stopIfTrue="1" operator="equal">
      <formula>"VAC"</formula>
    </cfRule>
    <cfRule type="cellIs" dxfId="1017" priority="1088" stopIfTrue="1" operator="equal">
      <formula>"INC"</formula>
    </cfRule>
    <cfRule type="cellIs" dxfId="1016" priority="1089" stopIfTrue="1" operator="equal">
      <formula>"PSG"</formula>
    </cfRule>
    <cfRule type="cellIs" dxfId="1015" priority="1090" stopIfTrue="1" operator="equal">
      <formula>"FALTA"</formula>
    </cfRule>
  </conditionalFormatting>
  <conditionalFormatting sqref="AV174">
    <cfRule type="cellIs" dxfId="1014" priority="1081" stopIfTrue="1" operator="equal">
      <formula>"PCG"</formula>
    </cfRule>
    <cfRule type="cellIs" dxfId="1013" priority="1082" stopIfTrue="1" operator="equal">
      <formula>"VAC"</formula>
    </cfRule>
    <cfRule type="cellIs" dxfId="1012" priority="1083" stopIfTrue="1" operator="equal">
      <formula>"INC"</formula>
    </cfRule>
    <cfRule type="cellIs" dxfId="1011" priority="1084" stopIfTrue="1" operator="equal">
      <formula>"PSG"</formula>
    </cfRule>
    <cfRule type="cellIs" dxfId="1010" priority="1085" stopIfTrue="1" operator="equal">
      <formula>"FALTA"</formula>
    </cfRule>
  </conditionalFormatting>
  <conditionalFormatting sqref="BI69">
    <cfRule type="cellIs" dxfId="1009" priority="831" stopIfTrue="1" operator="equal">
      <formula>"PCG"</formula>
    </cfRule>
    <cfRule type="cellIs" dxfId="1008" priority="832" stopIfTrue="1" operator="equal">
      <formula>"VAC"</formula>
    </cfRule>
    <cfRule type="cellIs" dxfId="1007" priority="833" stopIfTrue="1" operator="equal">
      <formula>"INC"</formula>
    </cfRule>
    <cfRule type="cellIs" dxfId="1006" priority="834" stopIfTrue="1" operator="equal">
      <formula>"PSG"</formula>
    </cfRule>
    <cfRule type="cellIs" dxfId="1005" priority="835" stopIfTrue="1" operator="equal">
      <formula>"FALTA"</formula>
    </cfRule>
  </conditionalFormatting>
  <conditionalFormatting sqref="BI80">
    <cfRule type="cellIs" dxfId="1004" priority="96" stopIfTrue="1" operator="equal">
      <formula>"PCG"</formula>
    </cfRule>
    <cfRule type="cellIs" dxfId="1003" priority="97" stopIfTrue="1" operator="equal">
      <formula>"VAC"</formula>
    </cfRule>
    <cfRule type="cellIs" dxfId="1002" priority="98" stopIfTrue="1" operator="equal">
      <formula>"INC"</formula>
    </cfRule>
    <cfRule type="cellIs" dxfId="1001" priority="99" stopIfTrue="1" operator="equal">
      <formula>"PSG"</formula>
    </cfRule>
    <cfRule type="cellIs" dxfId="1000" priority="100" stopIfTrue="1" operator="equal">
      <formula>"FALTA"</formula>
    </cfRule>
  </conditionalFormatting>
  <conditionalFormatting sqref="V228">
    <cfRule type="cellIs" dxfId="999" priority="91" stopIfTrue="1" operator="equal">
      <formula>"PCG"</formula>
    </cfRule>
    <cfRule type="cellIs" dxfId="998" priority="92" stopIfTrue="1" operator="equal">
      <formula>"VAC"</formula>
    </cfRule>
    <cfRule type="cellIs" dxfId="997" priority="93" stopIfTrue="1" operator="equal">
      <formula>"INC"</formula>
    </cfRule>
    <cfRule type="cellIs" dxfId="996" priority="94" stopIfTrue="1" operator="equal">
      <formula>"PSG"</formula>
    </cfRule>
    <cfRule type="cellIs" dxfId="995" priority="95" stopIfTrue="1" operator="equal">
      <formula>"FALTA"</formula>
    </cfRule>
  </conditionalFormatting>
  <conditionalFormatting sqref="AI56">
    <cfRule type="cellIs" dxfId="994" priority="1061" stopIfTrue="1" operator="equal">
      <formula>"PCG"</formula>
    </cfRule>
    <cfRule type="cellIs" dxfId="993" priority="1062" stopIfTrue="1" operator="equal">
      <formula>"VAC"</formula>
    </cfRule>
    <cfRule type="cellIs" dxfId="992" priority="1063" stopIfTrue="1" operator="equal">
      <formula>"INC"</formula>
    </cfRule>
    <cfRule type="cellIs" dxfId="991" priority="1064" stopIfTrue="1" operator="equal">
      <formula>"PSG"</formula>
    </cfRule>
    <cfRule type="cellIs" dxfId="990" priority="1065" stopIfTrue="1" operator="equal">
      <formula>"FALTA"</formula>
    </cfRule>
  </conditionalFormatting>
  <conditionalFormatting sqref="BI228">
    <cfRule type="cellIs" dxfId="989" priority="76" stopIfTrue="1" operator="equal">
      <formula>"PCG"</formula>
    </cfRule>
    <cfRule type="cellIs" dxfId="988" priority="77" stopIfTrue="1" operator="equal">
      <formula>"VAC"</formula>
    </cfRule>
    <cfRule type="cellIs" dxfId="987" priority="78" stopIfTrue="1" operator="equal">
      <formula>"INC"</formula>
    </cfRule>
    <cfRule type="cellIs" dxfId="986" priority="79" stopIfTrue="1" operator="equal">
      <formula>"PSG"</formula>
    </cfRule>
    <cfRule type="cellIs" dxfId="985" priority="80" stopIfTrue="1" operator="equal">
      <formula>"FALTA"</formula>
    </cfRule>
  </conditionalFormatting>
  <conditionalFormatting sqref="BV228">
    <cfRule type="cellIs" dxfId="984" priority="71" stopIfTrue="1" operator="equal">
      <formula>"PCG"</formula>
    </cfRule>
    <cfRule type="cellIs" dxfId="983" priority="72" stopIfTrue="1" operator="equal">
      <formula>"VAC"</formula>
    </cfRule>
    <cfRule type="cellIs" dxfId="982" priority="73" stopIfTrue="1" operator="equal">
      <formula>"INC"</formula>
    </cfRule>
    <cfRule type="cellIs" dxfId="981" priority="74" stopIfTrue="1" operator="equal">
      <formula>"PSG"</formula>
    </cfRule>
    <cfRule type="cellIs" dxfId="980" priority="75" stopIfTrue="1" operator="equal">
      <formula>"FALTA"</formula>
    </cfRule>
  </conditionalFormatting>
  <conditionalFormatting sqref="BI134">
    <cfRule type="cellIs" dxfId="979" priority="741" stopIfTrue="1" operator="equal">
      <formula>"PCG"</formula>
    </cfRule>
    <cfRule type="cellIs" dxfId="978" priority="742" stopIfTrue="1" operator="equal">
      <formula>"VAC"</formula>
    </cfRule>
    <cfRule type="cellIs" dxfId="977" priority="743" stopIfTrue="1" operator="equal">
      <formula>"INC"</formula>
    </cfRule>
    <cfRule type="cellIs" dxfId="976" priority="744" stopIfTrue="1" operator="equal">
      <formula>"PSG"</formula>
    </cfRule>
    <cfRule type="cellIs" dxfId="975" priority="745" stopIfTrue="1" operator="equal">
      <formula>"FALTA"</formula>
    </cfRule>
  </conditionalFormatting>
  <conditionalFormatting sqref="V288">
    <cfRule type="cellIs" dxfId="974" priority="1036" stopIfTrue="1" operator="equal">
      <formula>"PCG"</formula>
    </cfRule>
    <cfRule type="cellIs" dxfId="973" priority="1037" stopIfTrue="1" operator="equal">
      <formula>"VAC"</formula>
    </cfRule>
    <cfRule type="cellIs" dxfId="972" priority="1038" stopIfTrue="1" operator="equal">
      <formula>"INC"</formula>
    </cfRule>
    <cfRule type="cellIs" dxfId="971" priority="1039" stopIfTrue="1" operator="equal">
      <formula>"PSG"</formula>
    </cfRule>
    <cfRule type="cellIs" dxfId="970" priority="1040" stopIfTrue="1" operator="equal">
      <formula>"FALTA"</formula>
    </cfRule>
  </conditionalFormatting>
  <conditionalFormatting sqref="AI288">
    <cfRule type="cellIs" dxfId="969" priority="1031" stopIfTrue="1" operator="equal">
      <formula>"PCG"</formula>
    </cfRule>
    <cfRule type="cellIs" dxfId="968" priority="1032" stopIfTrue="1" operator="equal">
      <formula>"VAC"</formula>
    </cfRule>
    <cfRule type="cellIs" dxfId="967" priority="1033" stopIfTrue="1" operator="equal">
      <formula>"INC"</formula>
    </cfRule>
    <cfRule type="cellIs" dxfId="966" priority="1034" stopIfTrue="1" operator="equal">
      <formula>"PSG"</formula>
    </cfRule>
    <cfRule type="cellIs" dxfId="965" priority="1035" stopIfTrue="1" operator="equal">
      <formula>"FALTA"</formula>
    </cfRule>
  </conditionalFormatting>
  <conditionalFormatting sqref="AV288">
    <cfRule type="cellIs" dxfId="964" priority="1026" stopIfTrue="1" operator="equal">
      <formula>"PCG"</formula>
    </cfRule>
    <cfRule type="cellIs" dxfId="963" priority="1027" stopIfTrue="1" operator="equal">
      <formula>"VAC"</formula>
    </cfRule>
    <cfRule type="cellIs" dxfId="962" priority="1028" stopIfTrue="1" operator="equal">
      <formula>"INC"</formula>
    </cfRule>
    <cfRule type="cellIs" dxfId="961" priority="1029" stopIfTrue="1" operator="equal">
      <formula>"PSG"</formula>
    </cfRule>
    <cfRule type="cellIs" dxfId="960" priority="1030" stopIfTrue="1" operator="equal">
      <formula>"FALTA"</formula>
    </cfRule>
  </conditionalFormatting>
  <conditionalFormatting sqref="BI288">
    <cfRule type="cellIs" dxfId="959" priority="1021" stopIfTrue="1" operator="equal">
      <formula>"PCG"</formula>
    </cfRule>
    <cfRule type="cellIs" dxfId="958" priority="1022" stopIfTrue="1" operator="equal">
      <formula>"VAC"</formula>
    </cfRule>
    <cfRule type="cellIs" dxfId="957" priority="1023" stopIfTrue="1" operator="equal">
      <formula>"INC"</formula>
    </cfRule>
    <cfRule type="cellIs" dxfId="956" priority="1024" stopIfTrue="1" operator="equal">
      <formula>"PSG"</formula>
    </cfRule>
    <cfRule type="cellIs" dxfId="955" priority="1025" stopIfTrue="1" operator="equal">
      <formula>"FALTA"</formula>
    </cfRule>
  </conditionalFormatting>
  <conditionalFormatting sqref="AV164">
    <cfRule type="cellIs" dxfId="954" priority="1016" stopIfTrue="1" operator="equal">
      <formula>"PCG"</formula>
    </cfRule>
    <cfRule type="cellIs" dxfId="953" priority="1017" stopIfTrue="1" operator="equal">
      <formula>"VAC"</formula>
    </cfRule>
    <cfRule type="cellIs" dxfId="952" priority="1018" stopIfTrue="1" operator="equal">
      <formula>"INC"</formula>
    </cfRule>
    <cfRule type="cellIs" dxfId="951" priority="1019" stopIfTrue="1" operator="equal">
      <formula>"PSG"</formula>
    </cfRule>
    <cfRule type="cellIs" dxfId="950" priority="1020" stopIfTrue="1" operator="equal">
      <formula>"FALTA"</formula>
    </cfRule>
  </conditionalFormatting>
  <conditionalFormatting sqref="AV194">
    <cfRule type="cellIs" dxfId="949" priority="1011" stopIfTrue="1" operator="equal">
      <formula>"PCG"</formula>
    </cfRule>
    <cfRule type="cellIs" dxfId="948" priority="1012" stopIfTrue="1" operator="equal">
      <formula>"VAC"</formula>
    </cfRule>
    <cfRule type="cellIs" dxfId="947" priority="1013" stopIfTrue="1" operator="equal">
      <formula>"INC"</formula>
    </cfRule>
    <cfRule type="cellIs" dxfId="946" priority="1014" stopIfTrue="1" operator="equal">
      <formula>"PSG"</formula>
    </cfRule>
    <cfRule type="cellIs" dxfId="945" priority="1015" stopIfTrue="1" operator="equal">
      <formula>"FALTA"</formula>
    </cfRule>
  </conditionalFormatting>
  <conditionalFormatting sqref="AV250">
    <cfRule type="cellIs" dxfId="944" priority="1006" stopIfTrue="1" operator="equal">
      <formula>"PCG"</formula>
    </cfRule>
    <cfRule type="cellIs" dxfId="943" priority="1007" stopIfTrue="1" operator="equal">
      <formula>"VAC"</formula>
    </cfRule>
    <cfRule type="cellIs" dxfId="942" priority="1008" stopIfTrue="1" operator="equal">
      <formula>"INC"</formula>
    </cfRule>
    <cfRule type="cellIs" dxfId="941" priority="1009" stopIfTrue="1" operator="equal">
      <formula>"PSG"</formula>
    </cfRule>
    <cfRule type="cellIs" dxfId="940" priority="1010" stopIfTrue="1" operator="equal">
      <formula>"FALTA"</formula>
    </cfRule>
  </conditionalFormatting>
  <conditionalFormatting sqref="V190">
    <cfRule type="cellIs" dxfId="939" priority="1001" stopIfTrue="1" operator="equal">
      <formula>"PCG"</formula>
    </cfRule>
    <cfRule type="cellIs" dxfId="938" priority="1002" stopIfTrue="1" operator="equal">
      <formula>"VAC"</formula>
    </cfRule>
    <cfRule type="cellIs" dxfId="937" priority="1003" stopIfTrue="1" operator="equal">
      <formula>"INC"</formula>
    </cfRule>
    <cfRule type="cellIs" dxfId="936" priority="1004" stopIfTrue="1" operator="equal">
      <formula>"PSG"</formula>
    </cfRule>
    <cfRule type="cellIs" dxfId="935" priority="1005" stopIfTrue="1" operator="equal">
      <formula>"FALTA"</formula>
    </cfRule>
  </conditionalFormatting>
  <conditionalFormatting sqref="AI190">
    <cfRule type="cellIs" dxfId="934" priority="996" stopIfTrue="1" operator="equal">
      <formula>"PCG"</formula>
    </cfRule>
    <cfRule type="cellIs" dxfId="933" priority="997" stopIfTrue="1" operator="equal">
      <formula>"VAC"</formula>
    </cfRule>
    <cfRule type="cellIs" dxfId="932" priority="998" stopIfTrue="1" operator="equal">
      <formula>"INC"</formula>
    </cfRule>
    <cfRule type="cellIs" dxfId="931" priority="999" stopIfTrue="1" operator="equal">
      <formula>"PSG"</formula>
    </cfRule>
    <cfRule type="cellIs" dxfId="930" priority="1000" stopIfTrue="1" operator="equal">
      <formula>"FALTA"</formula>
    </cfRule>
  </conditionalFormatting>
  <conditionalFormatting sqref="AV190">
    <cfRule type="cellIs" dxfId="929" priority="991" stopIfTrue="1" operator="equal">
      <formula>"PCG"</formula>
    </cfRule>
    <cfRule type="cellIs" dxfId="928" priority="992" stopIfTrue="1" operator="equal">
      <formula>"VAC"</formula>
    </cfRule>
    <cfRule type="cellIs" dxfId="927" priority="993" stopIfTrue="1" operator="equal">
      <formula>"INC"</formula>
    </cfRule>
    <cfRule type="cellIs" dxfId="926" priority="994" stopIfTrue="1" operator="equal">
      <formula>"PSG"</formula>
    </cfRule>
    <cfRule type="cellIs" dxfId="925" priority="995" stopIfTrue="1" operator="equal">
      <formula>"FALTA"</formula>
    </cfRule>
  </conditionalFormatting>
  <conditionalFormatting sqref="BI190">
    <cfRule type="cellIs" dxfId="924" priority="986" stopIfTrue="1" operator="equal">
      <formula>"PCG"</formula>
    </cfRule>
    <cfRule type="cellIs" dxfId="923" priority="987" stopIfTrue="1" operator="equal">
      <formula>"VAC"</formula>
    </cfRule>
    <cfRule type="cellIs" dxfId="922" priority="988" stopIfTrue="1" operator="equal">
      <formula>"INC"</formula>
    </cfRule>
    <cfRule type="cellIs" dxfId="921" priority="989" stopIfTrue="1" operator="equal">
      <formula>"PSG"</formula>
    </cfRule>
    <cfRule type="cellIs" dxfId="920" priority="990" stopIfTrue="1" operator="equal">
      <formula>"FALTA"</formula>
    </cfRule>
  </conditionalFormatting>
  <conditionalFormatting sqref="I123">
    <cfRule type="cellIs" dxfId="919" priority="981" stopIfTrue="1" operator="equal">
      <formula>"PCG"</formula>
    </cfRule>
    <cfRule type="cellIs" dxfId="918" priority="982" stopIfTrue="1" operator="equal">
      <formula>"VAC"</formula>
    </cfRule>
    <cfRule type="cellIs" dxfId="917" priority="983" stopIfTrue="1" operator="equal">
      <formula>"INC"</formula>
    </cfRule>
    <cfRule type="cellIs" dxfId="916" priority="984" stopIfTrue="1" operator="equal">
      <formula>"PSG"</formula>
    </cfRule>
    <cfRule type="cellIs" dxfId="915" priority="985" stopIfTrue="1" operator="equal">
      <formula>"FALTA"</formula>
    </cfRule>
  </conditionalFormatting>
  <conditionalFormatting sqref="BI271">
    <cfRule type="cellIs" dxfId="914" priority="1" stopIfTrue="1" operator="equal">
      <formula>"PCG"</formula>
    </cfRule>
    <cfRule type="cellIs" dxfId="913" priority="2" stopIfTrue="1" operator="equal">
      <formula>"VAC"</formula>
    </cfRule>
    <cfRule type="cellIs" dxfId="912" priority="3" stopIfTrue="1" operator="equal">
      <formula>"INC"</formula>
    </cfRule>
    <cfRule type="cellIs" dxfId="911" priority="4" stopIfTrue="1" operator="equal">
      <formula>"PSG"</formula>
    </cfRule>
    <cfRule type="cellIs" dxfId="910" priority="5" stopIfTrue="1" operator="equal">
      <formula>"FALTA"</formula>
    </cfRule>
  </conditionalFormatting>
  <conditionalFormatting sqref="V123">
    <cfRule type="cellIs" dxfId="909" priority="976" stopIfTrue="1" operator="equal">
      <formula>"PCG"</formula>
    </cfRule>
    <cfRule type="cellIs" dxfId="908" priority="977" stopIfTrue="1" operator="equal">
      <formula>"VAC"</formula>
    </cfRule>
    <cfRule type="cellIs" dxfId="907" priority="978" stopIfTrue="1" operator="equal">
      <formula>"INC"</formula>
    </cfRule>
    <cfRule type="cellIs" dxfId="906" priority="979" stopIfTrue="1" operator="equal">
      <formula>"PSG"</formula>
    </cfRule>
    <cfRule type="cellIs" dxfId="905" priority="980" stopIfTrue="1" operator="equal">
      <formula>"FALTA"</formula>
    </cfRule>
  </conditionalFormatting>
  <conditionalFormatting sqref="V63">
    <cfRule type="cellIs" dxfId="904" priority="971" stopIfTrue="1" operator="equal">
      <formula>"PCG"</formula>
    </cfRule>
    <cfRule type="cellIs" dxfId="903" priority="972" stopIfTrue="1" operator="equal">
      <formula>"VAC"</formula>
    </cfRule>
    <cfRule type="cellIs" dxfId="902" priority="973" stopIfTrue="1" operator="equal">
      <formula>"INC"</formula>
    </cfRule>
    <cfRule type="cellIs" dxfId="901" priority="974" stopIfTrue="1" operator="equal">
      <formula>"PSG"</formula>
    </cfRule>
    <cfRule type="cellIs" dxfId="900" priority="975" stopIfTrue="1" operator="equal">
      <formula>"FALTA"</formula>
    </cfRule>
  </conditionalFormatting>
  <conditionalFormatting sqref="AI63">
    <cfRule type="cellIs" dxfId="899" priority="966" stopIfTrue="1" operator="equal">
      <formula>"PCG"</formula>
    </cfRule>
    <cfRule type="cellIs" dxfId="898" priority="967" stopIfTrue="1" operator="equal">
      <formula>"VAC"</formula>
    </cfRule>
    <cfRule type="cellIs" dxfId="897" priority="968" stopIfTrue="1" operator="equal">
      <formula>"INC"</formula>
    </cfRule>
    <cfRule type="cellIs" dxfId="896" priority="969" stopIfTrue="1" operator="equal">
      <formula>"PSG"</formula>
    </cfRule>
    <cfRule type="cellIs" dxfId="895" priority="970" stopIfTrue="1" operator="equal">
      <formula>"FALTA"</formula>
    </cfRule>
  </conditionalFormatting>
  <conditionalFormatting sqref="AV63">
    <cfRule type="cellIs" dxfId="894" priority="961" stopIfTrue="1" operator="equal">
      <formula>"PCG"</formula>
    </cfRule>
    <cfRule type="cellIs" dxfId="893" priority="962" stopIfTrue="1" operator="equal">
      <formula>"VAC"</formula>
    </cfRule>
    <cfRule type="cellIs" dxfId="892" priority="963" stopIfTrue="1" operator="equal">
      <formula>"INC"</formula>
    </cfRule>
    <cfRule type="cellIs" dxfId="891" priority="964" stopIfTrue="1" operator="equal">
      <formula>"PSG"</formula>
    </cfRule>
    <cfRule type="cellIs" dxfId="890" priority="965" stopIfTrue="1" operator="equal">
      <formula>"FALTA"</formula>
    </cfRule>
  </conditionalFormatting>
  <conditionalFormatting sqref="BI63">
    <cfRule type="cellIs" dxfId="889" priority="956" stopIfTrue="1" operator="equal">
      <formula>"PCG"</formula>
    </cfRule>
    <cfRule type="cellIs" dxfId="888" priority="957" stopIfTrue="1" operator="equal">
      <formula>"VAC"</formula>
    </cfRule>
    <cfRule type="cellIs" dxfId="887" priority="958" stopIfTrue="1" operator="equal">
      <formula>"INC"</formula>
    </cfRule>
    <cfRule type="cellIs" dxfId="886" priority="959" stopIfTrue="1" operator="equal">
      <formula>"PSG"</formula>
    </cfRule>
    <cfRule type="cellIs" dxfId="885" priority="960" stopIfTrue="1" operator="equal">
      <formula>"FALTA"</formula>
    </cfRule>
  </conditionalFormatting>
  <conditionalFormatting sqref="BV63">
    <cfRule type="cellIs" dxfId="884" priority="951" stopIfTrue="1" operator="equal">
      <formula>"PCG"</formula>
    </cfRule>
    <cfRule type="cellIs" dxfId="883" priority="952" stopIfTrue="1" operator="equal">
      <formula>"VAC"</formula>
    </cfRule>
    <cfRule type="cellIs" dxfId="882" priority="953" stopIfTrue="1" operator="equal">
      <formula>"INC"</formula>
    </cfRule>
    <cfRule type="cellIs" dxfId="881" priority="954" stopIfTrue="1" operator="equal">
      <formula>"PSG"</formula>
    </cfRule>
    <cfRule type="cellIs" dxfId="880" priority="955" stopIfTrue="1" operator="equal">
      <formula>"FALTA"</formula>
    </cfRule>
  </conditionalFormatting>
  <conditionalFormatting sqref="V68">
    <cfRule type="cellIs" dxfId="879" priority="946" stopIfTrue="1" operator="equal">
      <formula>"PCG"</formula>
    </cfRule>
    <cfRule type="cellIs" dxfId="878" priority="947" stopIfTrue="1" operator="equal">
      <formula>"VAC"</formula>
    </cfRule>
    <cfRule type="cellIs" dxfId="877" priority="948" stopIfTrue="1" operator="equal">
      <formula>"INC"</formula>
    </cfRule>
    <cfRule type="cellIs" dxfId="876" priority="949" stopIfTrue="1" operator="equal">
      <formula>"PSG"</formula>
    </cfRule>
    <cfRule type="cellIs" dxfId="875" priority="950" stopIfTrue="1" operator="equal">
      <formula>"FALTA"</formula>
    </cfRule>
  </conditionalFormatting>
  <conditionalFormatting sqref="AI68">
    <cfRule type="cellIs" dxfId="874" priority="941" stopIfTrue="1" operator="equal">
      <formula>"PCG"</formula>
    </cfRule>
    <cfRule type="cellIs" dxfId="873" priority="942" stopIfTrue="1" operator="equal">
      <formula>"VAC"</formula>
    </cfRule>
    <cfRule type="cellIs" dxfId="872" priority="943" stopIfTrue="1" operator="equal">
      <formula>"INC"</formula>
    </cfRule>
    <cfRule type="cellIs" dxfId="871" priority="944" stopIfTrue="1" operator="equal">
      <formula>"PSG"</formula>
    </cfRule>
    <cfRule type="cellIs" dxfId="870" priority="945" stopIfTrue="1" operator="equal">
      <formula>"FALTA"</formula>
    </cfRule>
  </conditionalFormatting>
  <conditionalFormatting sqref="AV68">
    <cfRule type="cellIs" dxfId="869" priority="936" stopIfTrue="1" operator="equal">
      <formula>"PCG"</formula>
    </cfRule>
    <cfRule type="cellIs" dxfId="868" priority="937" stopIfTrue="1" operator="equal">
      <formula>"VAC"</formula>
    </cfRule>
    <cfRule type="cellIs" dxfId="867" priority="938" stopIfTrue="1" operator="equal">
      <formula>"INC"</formula>
    </cfRule>
    <cfRule type="cellIs" dxfId="866" priority="939" stopIfTrue="1" operator="equal">
      <formula>"PSG"</formula>
    </cfRule>
    <cfRule type="cellIs" dxfId="865" priority="940" stopIfTrue="1" operator="equal">
      <formula>"FALTA"</formula>
    </cfRule>
  </conditionalFormatting>
  <conditionalFormatting sqref="BI68">
    <cfRule type="cellIs" dxfId="864" priority="931" stopIfTrue="1" operator="equal">
      <formula>"PCG"</formula>
    </cfRule>
    <cfRule type="cellIs" dxfId="863" priority="932" stopIfTrue="1" operator="equal">
      <formula>"VAC"</formula>
    </cfRule>
    <cfRule type="cellIs" dxfId="862" priority="933" stopIfTrue="1" operator="equal">
      <formula>"INC"</formula>
    </cfRule>
    <cfRule type="cellIs" dxfId="861" priority="934" stopIfTrue="1" operator="equal">
      <formula>"PSG"</formula>
    </cfRule>
    <cfRule type="cellIs" dxfId="860" priority="935" stopIfTrue="1" operator="equal">
      <formula>"FALTA"</formula>
    </cfRule>
  </conditionalFormatting>
  <conditionalFormatting sqref="BV68">
    <cfRule type="cellIs" dxfId="859" priority="926" stopIfTrue="1" operator="equal">
      <formula>"PCG"</formula>
    </cfRule>
    <cfRule type="cellIs" dxfId="858" priority="927" stopIfTrue="1" operator="equal">
      <formula>"VAC"</formula>
    </cfRule>
    <cfRule type="cellIs" dxfId="857" priority="928" stopIfTrue="1" operator="equal">
      <formula>"INC"</formula>
    </cfRule>
    <cfRule type="cellIs" dxfId="856" priority="929" stopIfTrue="1" operator="equal">
      <formula>"PSG"</formula>
    </cfRule>
    <cfRule type="cellIs" dxfId="855" priority="930" stopIfTrue="1" operator="equal">
      <formula>"FALTA"</formula>
    </cfRule>
  </conditionalFormatting>
  <conditionalFormatting sqref="V97">
    <cfRule type="cellIs" dxfId="854" priority="921" stopIfTrue="1" operator="equal">
      <formula>"PCG"</formula>
    </cfRule>
    <cfRule type="cellIs" dxfId="853" priority="922" stopIfTrue="1" operator="equal">
      <formula>"VAC"</formula>
    </cfRule>
    <cfRule type="cellIs" dxfId="852" priority="923" stopIfTrue="1" operator="equal">
      <formula>"INC"</formula>
    </cfRule>
    <cfRule type="cellIs" dxfId="851" priority="924" stopIfTrue="1" operator="equal">
      <formula>"PSG"</formula>
    </cfRule>
    <cfRule type="cellIs" dxfId="850" priority="925" stopIfTrue="1" operator="equal">
      <formula>"FALTA"</formula>
    </cfRule>
  </conditionalFormatting>
  <conditionalFormatting sqref="AI97">
    <cfRule type="cellIs" dxfId="849" priority="916" stopIfTrue="1" operator="equal">
      <formula>"PCG"</formula>
    </cfRule>
    <cfRule type="cellIs" dxfId="848" priority="917" stopIfTrue="1" operator="equal">
      <formula>"VAC"</formula>
    </cfRule>
    <cfRule type="cellIs" dxfId="847" priority="918" stopIfTrue="1" operator="equal">
      <formula>"INC"</formula>
    </cfRule>
    <cfRule type="cellIs" dxfId="846" priority="919" stopIfTrue="1" operator="equal">
      <formula>"PSG"</formula>
    </cfRule>
    <cfRule type="cellIs" dxfId="845" priority="920" stopIfTrue="1" operator="equal">
      <formula>"FALTA"</formula>
    </cfRule>
  </conditionalFormatting>
  <conditionalFormatting sqref="BI97">
    <cfRule type="cellIs" dxfId="844" priority="906" stopIfTrue="1" operator="equal">
      <formula>"PCG"</formula>
    </cfRule>
    <cfRule type="cellIs" dxfId="843" priority="907" stopIfTrue="1" operator="equal">
      <formula>"VAC"</formula>
    </cfRule>
    <cfRule type="cellIs" dxfId="842" priority="908" stopIfTrue="1" operator="equal">
      <formula>"INC"</formula>
    </cfRule>
    <cfRule type="cellIs" dxfId="841" priority="909" stopIfTrue="1" operator="equal">
      <formula>"PSG"</formula>
    </cfRule>
    <cfRule type="cellIs" dxfId="840" priority="910" stopIfTrue="1" operator="equal">
      <formula>"FALTA"</formula>
    </cfRule>
  </conditionalFormatting>
  <conditionalFormatting sqref="V113">
    <cfRule type="cellIs" dxfId="839" priority="901" stopIfTrue="1" operator="equal">
      <formula>"PCG"</formula>
    </cfRule>
    <cfRule type="cellIs" dxfId="838" priority="902" stopIfTrue="1" operator="equal">
      <formula>"VAC"</formula>
    </cfRule>
    <cfRule type="cellIs" dxfId="837" priority="903" stopIfTrue="1" operator="equal">
      <formula>"INC"</formula>
    </cfRule>
    <cfRule type="cellIs" dxfId="836" priority="904" stopIfTrue="1" operator="equal">
      <formula>"PSG"</formula>
    </cfRule>
    <cfRule type="cellIs" dxfId="835" priority="905" stopIfTrue="1" operator="equal">
      <formula>"FALTA"</formula>
    </cfRule>
  </conditionalFormatting>
  <conditionalFormatting sqref="AI113">
    <cfRule type="cellIs" dxfId="834" priority="896" stopIfTrue="1" operator="equal">
      <formula>"PCG"</formula>
    </cfRule>
    <cfRule type="cellIs" dxfId="833" priority="897" stopIfTrue="1" operator="equal">
      <formula>"VAC"</formula>
    </cfRule>
    <cfRule type="cellIs" dxfId="832" priority="898" stopIfTrue="1" operator="equal">
      <formula>"INC"</formula>
    </cfRule>
    <cfRule type="cellIs" dxfId="831" priority="899" stopIfTrue="1" operator="equal">
      <formula>"PSG"</formula>
    </cfRule>
    <cfRule type="cellIs" dxfId="830" priority="900" stopIfTrue="1" operator="equal">
      <formula>"FALTA"</formula>
    </cfRule>
  </conditionalFormatting>
  <conditionalFormatting sqref="AV113">
    <cfRule type="cellIs" dxfId="829" priority="891" stopIfTrue="1" operator="equal">
      <formula>"PCG"</formula>
    </cfRule>
    <cfRule type="cellIs" dxfId="828" priority="892" stopIfTrue="1" operator="equal">
      <formula>"VAC"</formula>
    </cfRule>
    <cfRule type="cellIs" dxfId="827" priority="893" stopIfTrue="1" operator="equal">
      <formula>"INC"</formula>
    </cfRule>
    <cfRule type="cellIs" dxfId="826" priority="894" stopIfTrue="1" operator="equal">
      <formula>"PSG"</formula>
    </cfRule>
    <cfRule type="cellIs" dxfId="825" priority="895" stopIfTrue="1" operator="equal">
      <formula>"FALTA"</formula>
    </cfRule>
  </conditionalFormatting>
  <conditionalFormatting sqref="BI113">
    <cfRule type="cellIs" dxfId="824" priority="886" stopIfTrue="1" operator="equal">
      <formula>"PCG"</formula>
    </cfRule>
    <cfRule type="cellIs" dxfId="823" priority="887" stopIfTrue="1" operator="equal">
      <formula>"VAC"</formula>
    </cfRule>
    <cfRule type="cellIs" dxfId="822" priority="888" stopIfTrue="1" operator="equal">
      <formula>"INC"</formula>
    </cfRule>
    <cfRule type="cellIs" dxfId="821" priority="889" stopIfTrue="1" operator="equal">
      <formula>"PSG"</formula>
    </cfRule>
    <cfRule type="cellIs" dxfId="820" priority="890" stopIfTrue="1" operator="equal">
      <formula>"FALTA"</formula>
    </cfRule>
  </conditionalFormatting>
  <conditionalFormatting sqref="V116">
    <cfRule type="cellIs" dxfId="819" priority="881" stopIfTrue="1" operator="equal">
      <formula>"PCG"</formula>
    </cfRule>
    <cfRule type="cellIs" dxfId="818" priority="882" stopIfTrue="1" operator="equal">
      <formula>"VAC"</formula>
    </cfRule>
    <cfRule type="cellIs" dxfId="817" priority="883" stopIfTrue="1" operator="equal">
      <formula>"INC"</formula>
    </cfRule>
    <cfRule type="cellIs" dxfId="816" priority="884" stopIfTrue="1" operator="equal">
      <formula>"PSG"</formula>
    </cfRule>
    <cfRule type="cellIs" dxfId="815" priority="885" stopIfTrue="1" operator="equal">
      <formula>"FALTA"</formula>
    </cfRule>
  </conditionalFormatting>
  <conditionalFormatting sqref="AI116">
    <cfRule type="cellIs" dxfId="814" priority="876" stopIfTrue="1" operator="equal">
      <formula>"PCG"</formula>
    </cfRule>
    <cfRule type="cellIs" dxfId="813" priority="877" stopIfTrue="1" operator="equal">
      <formula>"VAC"</formula>
    </cfRule>
    <cfRule type="cellIs" dxfId="812" priority="878" stopIfTrue="1" operator="equal">
      <formula>"INC"</formula>
    </cfRule>
    <cfRule type="cellIs" dxfId="811" priority="879" stopIfTrue="1" operator="equal">
      <formula>"PSG"</formula>
    </cfRule>
    <cfRule type="cellIs" dxfId="810" priority="880" stopIfTrue="1" operator="equal">
      <formula>"FALTA"</formula>
    </cfRule>
  </conditionalFormatting>
  <conditionalFormatting sqref="V173">
    <cfRule type="cellIs" dxfId="809" priority="871" stopIfTrue="1" operator="equal">
      <formula>"PCG"</formula>
    </cfRule>
    <cfRule type="cellIs" dxfId="808" priority="872" stopIfTrue="1" operator="equal">
      <formula>"VAC"</formula>
    </cfRule>
    <cfRule type="cellIs" dxfId="807" priority="873" stopIfTrue="1" operator="equal">
      <formula>"INC"</formula>
    </cfRule>
    <cfRule type="cellIs" dxfId="806" priority="874" stopIfTrue="1" operator="equal">
      <formula>"PSG"</formula>
    </cfRule>
    <cfRule type="cellIs" dxfId="805" priority="875" stopIfTrue="1" operator="equal">
      <formula>"FALTA"</formula>
    </cfRule>
  </conditionalFormatting>
  <conditionalFormatting sqref="AI173">
    <cfRule type="cellIs" dxfId="804" priority="866" stopIfTrue="1" operator="equal">
      <formula>"PCG"</formula>
    </cfRule>
    <cfRule type="cellIs" dxfId="803" priority="867" stopIfTrue="1" operator="equal">
      <formula>"VAC"</formula>
    </cfRule>
    <cfRule type="cellIs" dxfId="802" priority="868" stopIfTrue="1" operator="equal">
      <formula>"INC"</formula>
    </cfRule>
    <cfRule type="cellIs" dxfId="801" priority="869" stopIfTrue="1" operator="equal">
      <formula>"PSG"</formula>
    </cfRule>
    <cfRule type="cellIs" dxfId="800" priority="870" stopIfTrue="1" operator="equal">
      <formula>"FALTA"</formula>
    </cfRule>
  </conditionalFormatting>
  <conditionalFormatting sqref="AV195">
    <cfRule type="cellIs" dxfId="799" priority="861" stopIfTrue="1" operator="equal">
      <formula>"PCG"</formula>
    </cfRule>
    <cfRule type="cellIs" dxfId="798" priority="862" stopIfTrue="1" operator="equal">
      <formula>"VAC"</formula>
    </cfRule>
    <cfRule type="cellIs" dxfId="797" priority="863" stopIfTrue="1" operator="equal">
      <formula>"INC"</formula>
    </cfRule>
    <cfRule type="cellIs" dxfId="796" priority="864" stopIfTrue="1" operator="equal">
      <formula>"PSG"</formula>
    </cfRule>
    <cfRule type="cellIs" dxfId="795" priority="865" stopIfTrue="1" operator="equal">
      <formula>"FALTA"</formula>
    </cfRule>
  </conditionalFormatting>
  <conditionalFormatting sqref="BI195">
    <cfRule type="cellIs" dxfId="794" priority="856" stopIfTrue="1" operator="equal">
      <formula>"PCG"</formula>
    </cfRule>
    <cfRule type="cellIs" dxfId="793" priority="857" stopIfTrue="1" operator="equal">
      <formula>"VAC"</formula>
    </cfRule>
    <cfRule type="cellIs" dxfId="792" priority="858" stopIfTrue="1" operator="equal">
      <formula>"INC"</formula>
    </cfRule>
    <cfRule type="cellIs" dxfId="791" priority="859" stopIfTrue="1" operator="equal">
      <formula>"PSG"</formula>
    </cfRule>
    <cfRule type="cellIs" dxfId="790" priority="860" stopIfTrue="1" operator="equal">
      <formula>"FALTA"</formula>
    </cfRule>
  </conditionalFormatting>
  <conditionalFormatting sqref="V255">
    <cfRule type="cellIs" dxfId="789" priority="851" stopIfTrue="1" operator="equal">
      <formula>"PCG"</formula>
    </cfRule>
    <cfRule type="cellIs" dxfId="788" priority="852" stopIfTrue="1" operator="equal">
      <formula>"VAC"</formula>
    </cfRule>
    <cfRule type="cellIs" dxfId="787" priority="853" stopIfTrue="1" operator="equal">
      <formula>"INC"</formula>
    </cfRule>
    <cfRule type="cellIs" dxfId="786" priority="854" stopIfTrue="1" operator="equal">
      <formula>"PSG"</formula>
    </cfRule>
    <cfRule type="cellIs" dxfId="785" priority="855" stopIfTrue="1" operator="equal">
      <formula>"FALTA"</formula>
    </cfRule>
  </conditionalFormatting>
  <conditionalFormatting sqref="AI255">
    <cfRule type="cellIs" dxfId="784" priority="846" stopIfTrue="1" operator="equal">
      <formula>"PCG"</formula>
    </cfRule>
    <cfRule type="cellIs" dxfId="783" priority="847" stopIfTrue="1" operator="equal">
      <formula>"VAC"</formula>
    </cfRule>
    <cfRule type="cellIs" dxfId="782" priority="848" stopIfTrue="1" operator="equal">
      <formula>"INC"</formula>
    </cfRule>
    <cfRule type="cellIs" dxfId="781" priority="849" stopIfTrue="1" operator="equal">
      <formula>"PSG"</formula>
    </cfRule>
    <cfRule type="cellIs" dxfId="780" priority="850" stopIfTrue="1" operator="equal">
      <formula>"FALTA"</formula>
    </cfRule>
  </conditionalFormatting>
  <conditionalFormatting sqref="AV255">
    <cfRule type="cellIs" dxfId="779" priority="841" stopIfTrue="1" operator="equal">
      <formula>"PCG"</formula>
    </cfRule>
    <cfRule type="cellIs" dxfId="778" priority="842" stopIfTrue="1" operator="equal">
      <formula>"VAC"</formula>
    </cfRule>
    <cfRule type="cellIs" dxfId="777" priority="843" stopIfTrue="1" operator="equal">
      <formula>"INC"</formula>
    </cfRule>
    <cfRule type="cellIs" dxfId="776" priority="844" stopIfTrue="1" operator="equal">
      <formula>"PSG"</formula>
    </cfRule>
    <cfRule type="cellIs" dxfId="775" priority="845" stopIfTrue="1" operator="equal">
      <formula>"FALTA"</formula>
    </cfRule>
  </conditionalFormatting>
  <conditionalFormatting sqref="BI255">
    <cfRule type="cellIs" dxfId="774" priority="836" stopIfTrue="1" operator="equal">
      <formula>"PCG"</formula>
    </cfRule>
    <cfRule type="cellIs" dxfId="773" priority="837" stopIfTrue="1" operator="equal">
      <formula>"VAC"</formula>
    </cfRule>
    <cfRule type="cellIs" dxfId="772" priority="838" stopIfTrue="1" operator="equal">
      <formula>"INC"</formula>
    </cfRule>
    <cfRule type="cellIs" dxfId="771" priority="839" stopIfTrue="1" operator="equal">
      <formula>"PSG"</formula>
    </cfRule>
    <cfRule type="cellIs" dxfId="770" priority="840" stopIfTrue="1" operator="equal">
      <formula>"FALTA"</formula>
    </cfRule>
  </conditionalFormatting>
  <conditionalFormatting sqref="BI74">
    <cfRule type="cellIs" dxfId="769" priority="826" stopIfTrue="1" operator="equal">
      <formula>"PCG"</formula>
    </cfRule>
    <cfRule type="cellIs" dxfId="768" priority="827" stopIfTrue="1" operator="equal">
      <formula>"VAC"</formula>
    </cfRule>
    <cfRule type="cellIs" dxfId="767" priority="828" stopIfTrue="1" operator="equal">
      <formula>"INC"</formula>
    </cfRule>
    <cfRule type="cellIs" dxfId="766" priority="829" stopIfTrue="1" operator="equal">
      <formula>"PSG"</formula>
    </cfRule>
    <cfRule type="cellIs" dxfId="765" priority="830" stopIfTrue="1" operator="equal">
      <formula>"FALTA"</formula>
    </cfRule>
  </conditionalFormatting>
  <conditionalFormatting sqref="BI108">
    <cfRule type="cellIs" dxfId="764" priority="821" stopIfTrue="1" operator="equal">
      <formula>"PCG"</formula>
    </cfRule>
    <cfRule type="cellIs" dxfId="763" priority="822" stopIfTrue="1" operator="equal">
      <formula>"VAC"</formula>
    </cfRule>
    <cfRule type="cellIs" dxfId="762" priority="823" stopIfTrue="1" operator="equal">
      <formula>"INC"</formula>
    </cfRule>
    <cfRule type="cellIs" dxfId="761" priority="824" stopIfTrue="1" operator="equal">
      <formula>"PSG"</formula>
    </cfRule>
    <cfRule type="cellIs" dxfId="760" priority="825" stopIfTrue="1" operator="equal">
      <formula>"FALTA"</formula>
    </cfRule>
  </conditionalFormatting>
  <conditionalFormatting sqref="BI132">
    <cfRule type="cellIs" dxfId="759" priority="816" stopIfTrue="1" operator="equal">
      <formula>"PCG"</formula>
    </cfRule>
    <cfRule type="cellIs" dxfId="758" priority="817" stopIfTrue="1" operator="equal">
      <formula>"VAC"</formula>
    </cfRule>
    <cfRule type="cellIs" dxfId="757" priority="818" stopIfTrue="1" operator="equal">
      <formula>"INC"</formula>
    </cfRule>
    <cfRule type="cellIs" dxfId="756" priority="819" stopIfTrue="1" operator="equal">
      <formula>"PSG"</formula>
    </cfRule>
    <cfRule type="cellIs" dxfId="755" priority="820" stopIfTrue="1" operator="equal">
      <formula>"FALTA"</formula>
    </cfRule>
  </conditionalFormatting>
  <conditionalFormatting sqref="BI150">
    <cfRule type="cellIs" dxfId="754" priority="811" stopIfTrue="1" operator="equal">
      <formula>"PCG"</formula>
    </cfRule>
    <cfRule type="cellIs" dxfId="753" priority="812" stopIfTrue="1" operator="equal">
      <formula>"VAC"</formula>
    </cfRule>
    <cfRule type="cellIs" dxfId="752" priority="813" stopIfTrue="1" operator="equal">
      <formula>"INC"</formula>
    </cfRule>
    <cfRule type="cellIs" dxfId="751" priority="814" stopIfTrue="1" operator="equal">
      <formula>"PSG"</formula>
    </cfRule>
    <cfRule type="cellIs" dxfId="750" priority="815" stopIfTrue="1" operator="equal">
      <formula>"FALTA"</formula>
    </cfRule>
  </conditionalFormatting>
  <conditionalFormatting sqref="BI152">
    <cfRule type="cellIs" dxfId="749" priority="806" stopIfTrue="1" operator="equal">
      <formula>"PCG"</formula>
    </cfRule>
    <cfRule type="cellIs" dxfId="748" priority="807" stopIfTrue="1" operator="equal">
      <formula>"VAC"</formula>
    </cfRule>
    <cfRule type="cellIs" dxfId="747" priority="808" stopIfTrue="1" operator="equal">
      <formula>"INC"</formula>
    </cfRule>
    <cfRule type="cellIs" dxfId="746" priority="809" stopIfTrue="1" operator="equal">
      <formula>"PSG"</formula>
    </cfRule>
    <cfRule type="cellIs" dxfId="745" priority="810" stopIfTrue="1" operator="equal">
      <formula>"FALTA"</formula>
    </cfRule>
  </conditionalFormatting>
  <conditionalFormatting sqref="BI184">
    <cfRule type="cellIs" dxfId="744" priority="801" stopIfTrue="1" operator="equal">
      <formula>"PCG"</formula>
    </cfRule>
    <cfRule type="cellIs" dxfId="743" priority="802" stopIfTrue="1" operator="equal">
      <formula>"VAC"</formula>
    </cfRule>
    <cfRule type="cellIs" dxfId="742" priority="803" stopIfTrue="1" operator="equal">
      <formula>"INC"</formula>
    </cfRule>
    <cfRule type="cellIs" dxfId="741" priority="804" stopIfTrue="1" operator="equal">
      <formula>"PSG"</formula>
    </cfRule>
    <cfRule type="cellIs" dxfId="740" priority="805" stopIfTrue="1" operator="equal">
      <formula>"FALTA"</formula>
    </cfRule>
  </conditionalFormatting>
  <conditionalFormatting sqref="BI185">
    <cfRule type="cellIs" dxfId="739" priority="796" stopIfTrue="1" operator="equal">
      <formula>"PCG"</formula>
    </cfRule>
    <cfRule type="cellIs" dxfId="738" priority="797" stopIfTrue="1" operator="equal">
      <formula>"VAC"</formula>
    </cfRule>
    <cfRule type="cellIs" dxfId="737" priority="798" stopIfTrue="1" operator="equal">
      <formula>"INC"</formula>
    </cfRule>
    <cfRule type="cellIs" dxfId="736" priority="799" stopIfTrue="1" operator="equal">
      <formula>"PSG"</formula>
    </cfRule>
    <cfRule type="cellIs" dxfId="735" priority="800" stopIfTrue="1" operator="equal">
      <formula>"FALTA"</formula>
    </cfRule>
  </conditionalFormatting>
  <conditionalFormatting sqref="BI188">
    <cfRule type="cellIs" dxfId="734" priority="791" stopIfTrue="1" operator="equal">
      <formula>"PCG"</formula>
    </cfRule>
    <cfRule type="cellIs" dxfId="733" priority="792" stopIfTrue="1" operator="equal">
      <formula>"VAC"</formula>
    </cfRule>
    <cfRule type="cellIs" dxfId="732" priority="793" stopIfTrue="1" operator="equal">
      <formula>"INC"</formula>
    </cfRule>
    <cfRule type="cellIs" dxfId="731" priority="794" stopIfTrue="1" operator="equal">
      <formula>"PSG"</formula>
    </cfRule>
    <cfRule type="cellIs" dxfId="730" priority="795" stopIfTrue="1" operator="equal">
      <formula>"FALTA"</formula>
    </cfRule>
  </conditionalFormatting>
  <conditionalFormatting sqref="BI206">
    <cfRule type="cellIs" dxfId="729" priority="781" stopIfTrue="1" operator="equal">
      <formula>"PCG"</formula>
    </cfRule>
    <cfRule type="cellIs" dxfId="728" priority="782" stopIfTrue="1" operator="equal">
      <formula>"VAC"</formula>
    </cfRule>
    <cfRule type="cellIs" dxfId="727" priority="783" stopIfTrue="1" operator="equal">
      <formula>"INC"</formula>
    </cfRule>
    <cfRule type="cellIs" dxfId="726" priority="784" stopIfTrue="1" operator="equal">
      <formula>"PSG"</formula>
    </cfRule>
    <cfRule type="cellIs" dxfId="725" priority="785" stopIfTrue="1" operator="equal">
      <formula>"FALTA"</formula>
    </cfRule>
  </conditionalFormatting>
  <conditionalFormatting sqref="BI208">
    <cfRule type="cellIs" dxfId="724" priority="776" stopIfTrue="1" operator="equal">
      <formula>"PCG"</formula>
    </cfRule>
    <cfRule type="cellIs" dxfId="723" priority="777" stopIfTrue="1" operator="equal">
      <formula>"VAC"</formula>
    </cfRule>
    <cfRule type="cellIs" dxfId="722" priority="778" stopIfTrue="1" operator="equal">
      <formula>"INC"</formula>
    </cfRule>
    <cfRule type="cellIs" dxfId="721" priority="779" stopIfTrue="1" operator="equal">
      <formula>"PSG"</formula>
    </cfRule>
    <cfRule type="cellIs" dxfId="720" priority="780" stopIfTrue="1" operator="equal">
      <formula>"FALTA"</formula>
    </cfRule>
  </conditionalFormatting>
  <conditionalFormatting sqref="BI212">
    <cfRule type="cellIs" dxfId="719" priority="771" stopIfTrue="1" operator="equal">
      <formula>"PCG"</formula>
    </cfRule>
    <cfRule type="cellIs" dxfId="718" priority="772" stopIfTrue="1" operator="equal">
      <formula>"VAC"</formula>
    </cfRule>
    <cfRule type="cellIs" dxfId="717" priority="773" stopIfTrue="1" operator="equal">
      <formula>"INC"</formula>
    </cfRule>
    <cfRule type="cellIs" dxfId="716" priority="774" stopIfTrue="1" operator="equal">
      <formula>"PSG"</formula>
    </cfRule>
    <cfRule type="cellIs" dxfId="715" priority="775" stopIfTrue="1" operator="equal">
      <formula>"FALTA"</formula>
    </cfRule>
  </conditionalFormatting>
  <conditionalFormatting sqref="BI224">
    <cfRule type="cellIs" dxfId="714" priority="766" stopIfTrue="1" operator="equal">
      <formula>"PCG"</formula>
    </cfRule>
    <cfRule type="cellIs" dxfId="713" priority="767" stopIfTrue="1" operator="equal">
      <formula>"VAC"</formula>
    </cfRule>
    <cfRule type="cellIs" dxfId="712" priority="768" stopIfTrue="1" operator="equal">
      <formula>"INC"</formula>
    </cfRule>
    <cfRule type="cellIs" dxfId="711" priority="769" stopIfTrue="1" operator="equal">
      <formula>"PSG"</formula>
    </cfRule>
    <cfRule type="cellIs" dxfId="710" priority="770" stopIfTrue="1" operator="equal">
      <formula>"FALTA"</formula>
    </cfRule>
  </conditionalFormatting>
  <conditionalFormatting sqref="AV109">
    <cfRule type="cellIs" dxfId="709" priority="761" stopIfTrue="1" operator="equal">
      <formula>"PCG"</formula>
    </cfRule>
    <cfRule type="cellIs" dxfId="708" priority="762" stopIfTrue="1" operator="equal">
      <formula>"VAC"</formula>
    </cfRule>
    <cfRule type="cellIs" dxfId="707" priority="763" stopIfTrue="1" operator="equal">
      <formula>"INC"</formula>
    </cfRule>
    <cfRule type="cellIs" dxfId="706" priority="764" stopIfTrue="1" operator="equal">
      <formula>"PSG"</formula>
    </cfRule>
    <cfRule type="cellIs" dxfId="705" priority="765" stopIfTrue="1" operator="equal">
      <formula>"FALTA"</formula>
    </cfRule>
  </conditionalFormatting>
  <conditionalFormatting sqref="AI134">
    <cfRule type="cellIs" dxfId="704" priority="751" stopIfTrue="1" operator="equal">
      <formula>"PCG"</formula>
    </cfRule>
    <cfRule type="cellIs" dxfId="703" priority="752" stopIfTrue="1" operator="equal">
      <formula>"VAC"</formula>
    </cfRule>
    <cfRule type="cellIs" dxfId="702" priority="753" stopIfTrue="1" operator="equal">
      <formula>"INC"</formula>
    </cfRule>
    <cfRule type="cellIs" dxfId="701" priority="754" stopIfTrue="1" operator="equal">
      <formula>"PSG"</formula>
    </cfRule>
    <cfRule type="cellIs" dxfId="700" priority="755" stopIfTrue="1" operator="equal">
      <formula>"FALTA"</formula>
    </cfRule>
  </conditionalFormatting>
  <conditionalFormatting sqref="BV134">
    <cfRule type="cellIs" dxfId="699" priority="736" stopIfTrue="1" operator="equal">
      <formula>"PCG"</formula>
    </cfRule>
    <cfRule type="cellIs" dxfId="698" priority="737" stopIfTrue="1" operator="equal">
      <formula>"VAC"</formula>
    </cfRule>
    <cfRule type="cellIs" dxfId="697" priority="738" stopIfTrue="1" operator="equal">
      <formula>"INC"</formula>
    </cfRule>
    <cfRule type="cellIs" dxfId="696" priority="739" stopIfTrue="1" operator="equal">
      <formula>"PSG"</formula>
    </cfRule>
    <cfRule type="cellIs" dxfId="695" priority="740" stopIfTrue="1" operator="equal">
      <formula>"FALTA"</formula>
    </cfRule>
  </conditionalFormatting>
  <conditionalFormatting sqref="AI258">
    <cfRule type="cellIs" dxfId="694" priority="731" stopIfTrue="1" operator="equal">
      <formula>"PCG"</formula>
    </cfRule>
    <cfRule type="cellIs" dxfId="693" priority="732" stopIfTrue="1" operator="equal">
      <formula>"VAC"</formula>
    </cfRule>
    <cfRule type="cellIs" dxfId="692" priority="733" stopIfTrue="1" operator="equal">
      <formula>"INC"</formula>
    </cfRule>
    <cfRule type="cellIs" dxfId="691" priority="734" stopIfTrue="1" operator="equal">
      <formula>"PSG"</formula>
    </cfRule>
    <cfRule type="cellIs" dxfId="690" priority="735" stopIfTrue="1" operator="equal">
      <formula>"FALTA"</formula>
    </cfRule>
  </conditionalFormatting>
  <conditionalFormatting sqref="AV258">
    <cfRule type="cellIs" dxfId="689" priority="726" stopIfTrue="1" operator="equal">
      <formula>"PCG"</formula>
    </cfRule>
    <cfRule type="cellIs" dxfId="688" priority="727" stopIfTrue="1" operator="equal">
      <formula>"VAC"</formula>
    </cfRule>
    <cfRule type="cellIs" dxfId="687" priority="728" stopIfTrue="1" operator="equal">
      <formula>"INC"</formula>
    </cfRule>
    <cfRule type="cellIs" dxfId="686" priority="729" stopIfTrue="1" operator="equal">
      <formula>"PSG"</formula>
    </cfRule>
    <cfRule type="cellIs" dxfId="685" priority="730" stopIfTrue="1" operator="equal">
      <formula>"FALTA"</formula>
    </cfRule>
  </conditionalFormatting>
  <conditionalFormatting sqref="BI258">
    <cfRule type="cellIs" dxfId="684" priority="721" stopIfTrue="1" operator="equal">
      <formula>"PCG"</formula>
    </cfRule>
    <cfRule type="cellIs" dxfId="683" priority="722" stopIfTrue="1" operator="equal">
      <formula>"VAC"</formula>
    </cfRule>
    <cfRule type="cellIs" dxfId="682" priority="723" stopIfTrue="1" operator="equal">
      <formula>"INC"</formula>
    </cfRule>
    <cfRule type="cellIs" dxfId="681" priority="724" stopIfTrue="1" operator="equal">
      <formula>"PSG"</formula>
    </cfRule>
    <cfRule type="cellIs" dxfId="680" priority="725" stopIfTrue="1" operator="equal">
      <formula>"FALTA"</formula>
    </cfRule>
  </conditionalFormatting>
  <conditionalFormatting sqref="V61">
    <cfRule type="cellIs" dxfId="679" priority="716" stopIfTrue="1" operator="equal">
      <formula>"PCG"</formula>
    </cfRule>
    <cfRule type="cellIs" dxfId="678" priority="717" stopIfTrue="1" operator="equal">
      <formula>"VAC"</formula>
    </cfRule>
    <cfRule type="cellIs" dxfId="677" priority="718" stopIfTrue="1" operator="equal">
      <formula>"INC"</formula>
    </cfRule>
    <cfRule type="cellIs" dxfId="676" priority="719" stopIfTrue="1" operator="equal">
      <formula>"PSG"</formula>
    </cfRule>
    <cfRule type="cellIs" dxfId="675" priority="720" stopIfTrue="1" operator="equal">
      <formula>"FALTA"</formula>
    </cfRule>
  </conditionalFormatting>
  <conditionalFormatting sqref="AI61">
    <cfRule type="cellIs" dxfId="674" priority="711" stopIfTrue="1" operator="equal">
      <formula>"PCG"</formula>
    </cfRule>
    <cfRule type="cellIs" dxfId="673" priority="712" stopIfTrue="1" operator="equal">
      <formula>"VAC"</formula>
    </cfRule>
    <cfRule type="cellIs" dxfId="672" priority="713" stopIfTrue="1" operator="equal">
      <formula>"INC"</formula>
    </cfRule>
    <cfRule type="cellIs" dxfId="671" priority="714" stopIfTrue="1" operator="equal">
      <formula>"PSG"</formula>
    </cfRule>
    <cfRule type="cellIs" dxfId="670" priority="715" stopIfTrue="1" operator="equal">
      <formula>"FALTA"</formula>
    </cfRule>
  </conditionalFormatting>
  <conditionalFormatting sqref="AV61">
    <cfRule type="cellIs" dxfId="669" priority="706" stopIfTrue="1" operator="equal">
      <formula>"PCG"</formula>
    </cfRule>
    <cfRule type="cellIs" dxfId="668" priority="707" stopIfTrue="1" operator="equal">
      <formula>"VAC"</formula>
    </cfRule>
    <cfRule type="cellIs" dxfId="667" priority="708" stopIfTrue="1" operator="equal">
      <formula>"INC"</formula>
    </cfRule>
    <cfRule type="cellIs" dxfId="666" priority="709" stopIfTrue="1" operator="equal">
      <formula>"PSG"</formula>
    </cfRule>
    <cfRule type="cellIs" dxfId="665" priority="710" stopIfTrue="1" operator="equal">
      <formula>"FALTA"</formula>
    </cfRule>
  </conditionalFormatting>
  <conditionalFormatting sqref="BV61">
    <cfRule type="cellIs" dxfId="664" priority="701" stopIfTrue="1" operator="equal">
      <formula>"PCG"</formula>
    </cfRule>
    <cfRule type="cellIs" dxfId="663" priority="702" stopIfTrue="1" operator="equal">
      <formula>"VAC"</formula>
    </cfRule>
    <cfRule type="cellIs" dxfId="662" priority="703" stopIfTrue="1" operator="equal">
      <formula>"INC"</formula>
    </cfRule>
    <cfRule type="cellIs" dxfId="661" priority="704" stopIfTrue="1" operator="equal">
      <formula>"PSG"</formula>
    </cfRule>
    <cfRule type="cellIs" dxfId="660" priority="705" stopIfTrue="1" operator="equal">
      <formula>"FALTA"</formula>
    </cfRule>
  </conditionalFormatting>
  <conditionalFormatting sqref="BV267">
    <cfRule type="cellIs" dxfId="659" priority="696" stopIfTrue="1" operator="equal">
      <formula>"PCG"</formula>
    </cfRule>
    <cfRule type="cellIs" dxfId="658" priority="697" stopIfTrue="1" operator="equal">
      <formula>"VAC"</formula>
    </cfRule>
    <cfRule type="cellIs" dxfId="657" priority="698" stopIfTrue="1" operator="equal">
      <formula>"INC"</formula>
    </cfRule>
    <cfRule type="cellIs" dxfId="656" priority="699" stopIfTrue="1" operator="equal">
      <formula>"PSG"</formula>
    </cfRule>
    <cfRule type="cellIs" dxfId="655" priority="700" stopIfTrue="1" operator="equal">
      <formula>"FALTA"</formula>
    </cfRule>
  </conditionalFormatting>
  <conditionalFormatting sqref="V146">
    <cfRule type="cellIs" dxfId="654" priority="691" stopIfTrue="1" operator="equal">
      <formula>"PCG"</formula>
    </cfRule>
    <cfRule type="cellIs" dxfId="653" priority="692" stopIfTrue="1" operator="equal">
      <formula>"VAC"</formula>
    </cfRule>
    <cfRule type="cellIs" dxfId="652" priority="693" stopIfTrue="1" operator="equal">
      <formula>"INC"</formula>
    </cfRule>
    <cfRule type="cellIs" dxfId="651" priority="694" stopIfTrue="1" operator="equal">
      <formula>"PSG"</formula>
    </cfRule>
    <cfRule type="cellIs" dxfId="650" priority="695" stopIfTrue="1" operator="equal">
      <formula>"FALTA"</formula>
    </cfRule>
  </conditionalFormatting>
  <conditionalFormatting sqref="AI146">
    <cfRule type="cellIs" dxfId="649" priority="686" stopIfTrue="1" operator="equal">
      <formula>"PCG"</formula>
    </cfRule>
    <cfRule type="cellIs" dxfId="648" priority="687" stopIfTrue="1" operator="equal">
      <formula>"VAC"</formula>
    </cfRule>
    <cfRule type="cellIs" dxfId="647" priority="688" stopIfTrue="1" operator="equal">
      <formula>"INC"</formula>
    </cfRule>
    <cfRule type="cellIs" dxfId="646" priority="689" stopIfTrue="1" operator="equal">
      <formula>"PSG"</formula>
    </cfRule>
    <cfRule type="cellIs" dxfId="645" priority="690" stopIfTrue="1" operator="equal">
      <formula>"FALTA"</formula>
    </cfRule>
  </conditionalFormatting>
  <conditionalFormatting sqref="AV146">
    <cfRule type="cellIs" dxfId="644" priority="681" stopIfTrue="1" operator="equal">
      <formula>"PCG"</formula>
    </cfRule>
    <cfRule type="cellIs" dxfId="643" priority="682" stopIfTrue="1" operator="equal">
      <formula>"VAC"</formula>
    </cfRule>
    <cfRule type="cellIs" dxfId="642" priority="683" stopIfTrue="1" operator="equal">
      <formula>"INC"</formula>
    </cfRule>
    <cfRule type="cellIs" dxfId="641" priority="684" stopIfTrue="1" operator="equal">
      <formula>"PSG"</formula>
    </cfRule>
    <cfRule type="cellIs" dxfId="640" priority="685" stopIfTrue="1" operator="equal">
      <formula>"FALTA"</formula>
    </cfRule>
  </conditionalFormatting>
  <conditionalFormatting sqref="BI146">
    <cfRule type="cellIs" dxfId="639" priority="676" stopIfTrue="1" operator="equal">
      <formula>"PCG"</formula>
    </cfRule>
    <cfRule type="cellIs" dxfId="638" priority="677" stopIfTrue="1" operator="equal">
      <formula>"VAC"</formula>
    </cfRule>
    <cfRule type="cellIs" dxfId="637" priority="678" stopIfTrue="1" operator="equal">
      <formula>"INC"</formula>
    </cfRule>
    <cfRule type="cellIs" dxfId="636" priority="679" stopIfTrue="1" operator="equal">
      <formula>"PSG"</formula>
    </cfRule>
    <cfRule type="cellIs" dxfId="635" priority="680" stopIfTrue="1" operator="equal">
      <formula>"FALTA"</formula>
    </cfRule>
  </conditionalFormatting>
  <conditionalFormatting sqref="BV146">
    <cfRule type="cellIs" dxfId="634" priority="671" stopIfTrue="1" operator="equal">
      <formula>"PCG"</formula>
    </cfRule>
    <cfRule type="cellIs" dxfId="633" priority="672" stopIfTrue="1" operator="equal">
      <formula>"VAC"</formula>
    </cfRule>
    <cfRule type="cellIs" dxfId="632" priority="673" stopIfTrue="1" operator="equal">
      <formula>"INC"</formula>
    </cfRule>
    <cfRule type="cellIs" dxfId="631" priority="674" stopIfTrue="1" operator="equal">
      <formula>"PSG"</formula>
    </cfRule>
    <cfRule type="cellIs" dxfId="630" priority="675" stopIfTrue="1" operator="equal">
      <formula>"FALTA"</formula>
    </cfRule>
  </conditionalFormatting>
  <conditionalFormatting sqref="AI93">
    <cfRule type="cellIs" dxfId="629" priority="666" stopIfTrue="1" operator="equal">
      <formula>"PCG"</formula>
    </cfRule>
    <cfRule type="cellIs" dxfId="628" priority="667" stopIfTrue="1" operator="equal">
      <formula>"VAC"</formula>
    </cfRule>
    <cfRule type="cellIs" dxfId="627" priority="668" stopIfTrue="1" operator="equal">
      <formula>"INC"</formula>
    </cfRule>
    <cfRule type="cellIs" dxfId="626" priority="669" stopIfTrue="1" operator="equal">
      <formula>"PSG"</formula>
    </cfRule>
    <cfRule type="cellIs" dxfId="625" priority="670" stopIfTrue="1" operator="equal">
      <formula>"FALTA"</formula>
    </cfRule>
  </conditionalFormatting>
  <conditionalFormatting sqref="AV93">
    <cfRule type="cellIs" dxfId="624" priority="661" stopIfTrue="1" operator="equal">
      <formula>"PCG"</formula>
    </cfRule>
    <cfRule type="cellIs" dxfId="623" priority="662" stopIfTrue="1" operator="equal">
      <formula>"VAC"</formula>
    </cfRule>
    <cfRule type="cellIs" dxfId="622" priority="663" stopIfTrue="1" operator="equal">
      <formula>"INC"</formula>
    </cfRule>
    <cfRule type="cellIs" dxfId="621" priority="664" stopIfTrue="1" operator="equal">
      <formula>"PSG"</formula>
    </cfRule>
    <cfRule type="cellIs" dxfId="620" priority="665" stopIfTrue="1" operator="equal">
      <formula>"FALTA"</formula>
    </cfRule>
  </conditionalFormatting>
  <conditionalFormatting sqref="BI93">
    <cfRule type="cellIs" dxfId="619" priority="656" stopIfTrue="1" operator="equal">
      <formula>"PCG"</formula>
    </cfRule>
    <cfRule type="cellIs" dxfId="618" priority="657" stopIfTrue="1" operator="equal">
      <formula>"VAC"</formula>
    </cfRule>
    <cfRule type="cellIs" dxfId="617" priority="658" stopIfTrue="1" operator="equal">
      <formula>"INC"</formula>
    </cfRule>
    <cfRule type="cellIs" dxfId="616" priority="659" stopIfTrue="1" operator="equal">
      <formula>"PSG"</formula>
    </cfRule>
    <cfRule type="cellIs" dxfId="615" priority="660" stopIfTrue="1" operator="equal">
      <formula>"FALTA"</formula>
    </cfRule>
  </conditionalFormatting>
  <conditionalFormatting sqref="BV93">
    <cfRule type="cellIs" dxfId="614" priority="651" stopIfTrue="1" operator="equal">
      <formula>"PCG"</formula>
    </cfRule>
    <cfRule type="cellIs" dxfId="613" priority="652" stopIfTrue="1" operator="equal">
      <formula>"VAC"</formula>
    </cfRule>
    <cfRule type="cellIs" dxfId="612" priority="653" stopIfTrue="1" operator="equal">
      <formula>"INC"</formula>
    </cfRule>
    <cfRule type="cellIs" dxfId="611" priority="654" stopIfTrue="1" operator="equal">
      <formula>"PSG"</formula>
    </cfRule>
    <cfRule type="cellIs" dxfId="610" priority="655" stopIfTrue="1" operator="equal">
      <formula>"FALTA"</formula>
    </cfRule>
  </conditionalFormatting>
  <conditionalFormatting sqref="AI198">
    <cfRule type="cellIs" dxfId="609" priority="646" stopIfTrue="1" operator="equal">
      <formula>"PCG"</formula>
    </cfRule>
    <cfRule type="cellIs" dxfId="608" priority="647" stopIfTrue="1" operator="equal">
      <formula>"VAC"</formula>
    </cfRule>
    <cfRule type="cellIs" dxfId="607" priority="648" stopIfTrue="1" operator="equal">
      <formula>"INC"</formula>
    </cfRule>
    <cfRule type="cellIs" dxfId="606" priority="649" stopIfTrue="1" operator="equal">
      <formula>"PSG"</formula>
    </cfRule>
    <cfRule type="cellIs" dxfId="605" priority="650" stopIfTrue="1" operator="equal">
      <formula>"FALTA"</formula>
    </cfRule>
  </conditionalFormatting>
  <conditionalFormatting sqref="AV198">
    <cfRule type="cellIs" dxfId="604" priority="641" stopIfTrue="1" operator="equal">
      <formula>"PCG"</formula>
    </cfRule>
    <cfRule type="cellIs" dxfId="603" priority="642" stopIfTrue="1" operator="equal">
      <formula>"VAC"</formula>
    </cfRule>
    <cfRule type="cellIs" dxfId="602" priority="643" stopIfTrue="1" operator="equal">
      <formula>"INC"</formula>
    </cfRule>
    <cfRule type="cellIs" dxfId="601" priority="644" stopIfTrue="1" operator="equal">
      <formula>"PSG"</formula>
    </cfRule>
    <cfRule type="cellIs" dxfId="600" priority="645" stopIfTrue="1" operator="equal">
      <formula>"FALTA"</formula>
    </cfRule>
  </conditionalFormatting>
  <conditionalFormatting sqref="BI198">
    <cfRule type="cellIs" dxfId="599" priority="636" stopIfTrue="1" operator="equal">
      <formula>"PCG"</formula>
    </cfRule>
    <cfRule type="cellIs" dxfId="598" priority="637" stopIfTrue="1" operator="equal">
      <formula>"VAC"</formula>
    </cfRule>
    <cfRule type="cellIs" dxfId="597" priority="638" stopIfTrue="1" operator="equal">
      <formula>"INC"</formula>
    </cfRule>
    <cfRule type="cellIs" dxfId="596" priority="639" stopIfTrue="1" operator="equal">
      <formula>"PSG"</formula>
    </cfRule>
    <cfRule type="cellIs" dxfId="595" priority="640" stopIfTrue="1" operator="equal">
      <formula>"FALTA"</formula>
    </cfRule>
  </conditionalFormatting>
  <conditionalFormatting sqref="BV198">
    <cfRule type="cellIs" dxfId="594" priority="631" stopIfTrue="1" operator="equal">
      <formula>"PCG"</formula>
    </cfRule>
    <cfRule type="cellIs" dxfId="593" priority="632" stopIfTrue="1" operator="equal">
      <formula>"VAC"</formula>
    </cfRule>
    <cfRule type="cellIs" dxfId="592" priority="633" stopIfTrue="1" operator="equal">
      <formula>"INC"</formula>
    </cfRule>
    <cfRule type="cellIs" dxfId="591" priority="634" stopIfTrue="1" operator="equal">
      <formula>"PSG"</formula>
    </cfRule>
    <cfRule type="cellIs" dxfId="590" priority="635" stopIfTrue="1" operator="equal">
      <formula>"FALTA"</formula>
    </cfRule>
  </conditionalFormatting>
  <conditionalFormatting sqref="AI211">
    <cfRule type="cellIs" dxfId="589" priority="626" stopIfTrue="1" operator="equal">
      <formula>"PCG"</formula>
    </cfRule>
    <cfRule type="cellIs" dxfId="588" priority="627" stopIfTrue="1" operator="equal">
      <formula>"VAC"</formula>
    </cfRule>
    <cfRule type="cellIs" dxfId="587" priority="628" stopIfTrue="1" operator="equal">
      <formula>"INC"</formula>
    </cfRule>
    <cfRule type="cellIs" dxfId="586" priority="629" stopIfTrue="1" operator="equal">
      <formula>"PSG"</formula>
    </cfRule>
    <cfRule type="cellIs" dxfId="585" priority="630" stopIfTrue="1" operator="equal">
      <formula>"FALTA"</formula>
    </cfRule>
  </conditionalFormatting>
  <conditionalFormatting sqref="AV211">
    <cfRule type="cellIs" dxfId="584" priority="621" stopIfTrue="1" operator="equal">
      <formula>"PCG"</formula>
    </cfRule>
    <cfRule type="cellIs" dxfId="583" priority="622" stopIfTrue="1" operator="equal">
      <formula>"VAC"</formula>
    </cfRule>
    <cfRule type="cellIs" dxfId="582" priority="623" stopIfTrue="1" operator="equal">
      <formula>"INC"</formula>
    </cfRule>
    <cfRule type="cellIs" dxfId="581" priority="624" stopIfTrue="1" operator="equal">
      <formula>"PSG"</formula>
    </cfRule>
    <cfRule type="cellIs" dxfId="580" priority="625" stopIfTrue="1" operator="equal">
      <formula>"FALTA"</formula>
    </cfRule>
  </conditionalFormatting>
  <conditionalFormatting sqref="BI211">
    <cfRule type="cellIs" dxfId="579" priority="616" stopIfTrue="1" operator="equal">
      <formula>"PCG"</formula>
    </cfRule>
    <cfRule type="cellIs" dxfId="578" priority="617" stopIfTrue="1" operator="equal">
      <formula>"VAC"</formula>
    </cfRule>
    <cfRule type="cellIs" dxfId="577" priority="618" stopIfTrue="1" operator="equal">
      <formula>"INC"</formula>
    </cfRule>
    <cfRule type="cellIs" dxfId="576" priority="619" stopIfTrue="1" operator="equal">
      <formula>"PSG"</formula>
    </cfRule>
    <cfRule type="cellIs" dxfId="575" priority="620" stopIfTrue="1" operator="equal">
      <formula>"FALTA"</formula>
    </cfRule>
  </conditionalFormatting>
  <conditionalFormatting sqref="BV211">
    <cfRule type="cellIs" dxfId="574" priority="611" stopIfTrue="1" operator="equal">
      <formula>"PCG"</formula>
    </cfRule>
    <cfRule type="cellIs" dxfId="573" priority="612" stopIfTrue="1" operator="equal">
      <formula>"VAC"</formula>
    </cfRule>
    <cfRule type="cellIs" dxfId="572" priority="613" stopIfTrue="1" operator="equal">
      <formula>"INC"</formula>
    </cfRule>
    <cfRule type="cellIs" dxfId="571" priority="614" stopIfTrue="1" operator="equal">
      <formula>"PSG"</formula>
    </cfRule>
    <cfRule type="cellIs" dxfId="570" priority="615" stopIfTrue="1" operator="equal">
      <formula>"FALTA"</formula>
    </cfRule>
  </conditionalFormatting>
  <conditionalFormatting sqref="BI46">
    <cfRule type="cellIs" dxfId="569" priority="606" stopIfTrue="1" operator="equal">
      <formula>"PCG"</formula>
    </cfRule>
    <cfRule type="cellIs" dxfId="568" priority="607" stopIfTrue="1" operator="equal">
      <formula>"VAC"</formula>
    </cfRule>
    <cfRule type="cellIs" dxfId="567" priority="608" stopIfTrue="1" operator="equal">
      <formula>"INC"</formula>
    </cfRule>
    <cfRule type="cellIs" dxfId="566" priority="609" stopIfTrue="1" operator="equal">
      <formula>"PSG"</formula>
    </cfRule>
    <cfRule type="cellIs" dxfId="565" priority="610" stopIfTrue="1" operator="equal">
      <formula>"FALTA"</formula>
    </cfRule>
  </conditionalFormatting>
  <conditionalFormatting sqref="BV46">
    <cfRule type="cellIs" dxfId="564" priority="601" stopIfTrue="1" operator="equal">
      <formula>"PCG"</formula>
    </cfRule>
    <cfRule type="cellIs" dxfId="563" priority="602" stopIfTrue="1" operator="equal">
      <formula>"VAC"</formula>
    </cfRule>
    <cfRule type="cellIs" dxfId="562" priority="603" stopIfTrue="1" operator="equal">
      <formula>"INC"</formula>
    </cfRule>
    <cfRule type="cellIs" dxfId="561" priority="604" stopIfTrue="1" operator="equal">
      <formula>"PSG"</formula>
    </cfRule>
    <cfRule type="cellIs" dxfId="560" priority="605" stopIfTrue="1" operator="equal">
      <formula>"FALTA"</formula>
    </cfRule>
  </conditionalFormatting>
  <conditionalFormatting sqref="CI46">
    <cfRule type="cellIs" dxfId="559" priority="596" stopIfTrue="1" operator="equal">
      <formula>"PCG"</formula>
    </cfRule>
    <cfRule type="cellIs" dxfId="558" priority="597" stopIfTrue="1" operator="equal">
      <formula>"VAC"</formula>
    </cfRule>
    <cfRule type="cellIs" dxfId="557" priority="598" stopIfTrue="1" operator="equal">
      <formula>"INC"</formula>
    </cfRule>
    <cfRule type="cellIs" dxfId="556" priority="599" stopIfTrue="1" operator="equal">
      <formula>"PSG"</formula>
    </cfRule>
    <cfRule type="cellIs" dxfId="555" priority="600" stopIfTrue="1" operator="equal">
      <formula>"FALTA"</formula>
    </cfRule>
  </conditionalFormatting>
  <conditionalFormatting sqref="BI64">
    <cfRule type="cellIs" dxfId="554" priority="591" stopIfTrue="1" operator="equal">
      <formula>"PCG"</formula>
    </cfRule>
    <cfRule type="cellIs" dxfId="553" priority="592" stopIfTrue="1" operator="equal">
      <formula>"VAC"</formula>
    </cfRule>
    <cfRule type="cellIs" dxfId="552" priority="593" stopIfTrue="1" operator="equal">
      <formula>"INC"</formula>
    </cfRule>
    <cfRule type="cellIs" dxfId="551" priority="594" stopIfTrue="1" operator="equal">
      <formula>"PSG"</formula>
    </cfRule>
    <cfRule type="cellIs" dxfId="550" priority="595" stopIfTrue="1" operator="equal">
      <formula>"FALTA"</formula>
    </cfRule>
  </conditionalFormatting>
  <conditionalFormatting sqref="BV64">
    <cfRule type="cellIs" dxfId="549" priority="586" stopIfTrue="1" operator="equal">
      <formula>"PCG"</formula>
    </cfRule>
    <cfRule type="cellIs" dxfId="548" priority="587" stopIfTrue="1" operator="equal">
      <formula>"VAC"</formula>
    </cfRule>
    <cfRule type="cellIs" dxfId="547" priority="588" stopIfTrue="1" operator="equal">
      <formula>"INC"</formula>
    </cfRule>
    <cfRule type="cellIs" dxfId="546" priority="589" stopIfTrue="1" operator="equal">
      <formula>"PSG"</formula>
    </cfRule>
    <cfRule type="cellIs" dxfId="545" priority="590" stopIfTrue="1" operator="equal">
      <formula>"FALTA"</formula>
    </cfRule>
  </conditionalFormatting>
  <conditionalFormatting sqref="AI73">
    <cfRule type="cellIs" dxfId="544" priority="581" stopIfTrue="1" operator="equal">
      <formula>"PCG"</formula>
    </cfRule>
    <cfRule type="cellIs" dxfId="543" priority="582" stopIfTrue="1" operator="equal">
      <formula>"VAC"</formula>
    </cfRule>
    <cfRule type="cellIs" dxfId="542" priority="583" stopIfTrue="1" operator="equal">
      <formula>"INC"</formula>
    </cfRule>
    <cfRule type="cellIs" dxfId="541" priority="584" stopIfTrue="1" operator="equal">
      <formula>"PSG"</formula>
    </cfRule>
    <cfRule type="cellIs" dxfId="540" priority="585" stopIfTrue="1" operator="equal">
      <formula>"FALTA"</formula>
    </cfRule>
  </conditionalFormatting>
  <conditionalFormatting sqref="AV73">
    <cfRule type="cellIs" dxfId="539" priority="576" stopIfTrue="1" operator="equal">
      <formula>"PCG"</formula>
    </cfRule>
    <cfRule type="cellIs" dxfId="538" priority="577" stopIfTrue="1" operator="equal">
      <formula>"VAC"</formula>
    </cfRule>
    <cfRule type="cellIs" dxfId="537" priority="578" stopIfTrue="1" operator="equal">
      <formula>"INC"</formula>
    </cfRule>
    <cfRule type="cellIs" dxfId="536" priority="579" stopIfTrue="1" operator="equal">
      <formula>"PSG"</formula>
    </cfRule>
    <cfRule type="cellIs" dxfId="535" priority="580" stopIfTrue="1" operator="equal">
      <formula>"FALTA"</formula>
    </cfRule>
  </conditionalFormatting>
  <conditionalFormatting sqref="BI73">
    <cfRule type="cellIs" dxfId="534" priority="571" stopIfTrue="1" operator="equal">
      <formula>"PCG"</formula>
    </cfRule>
    <cfRule type="cellIs" dxfId="533" priority="572" stopIfTrue="1" operator="equal">
      <formula>"VAC"</formula>
    </cfRule>
    <cfRule type="cellIs" dxfId="532" priority="573" stopIfTrue="1" operator="equal">
      <formula>"INC"</formula>
    </cfRule>
    <cfRule type="cellIs" dxfId="531" priority="574" stopIfTrue="1" operator="equal">
      <formula>"PSG"</formula>
    </cfRule>
    <cfRule type="cellIs" dxfId="530" priority="575" stopIfTrue="1" operator="equal">
      <formula>"FALTA"</formula>
    </cfRule>
  </conditionalFormatting>
  <conditionalFormatting sqref="BI95">
    <cfRule type="cellIs" dxfId="529" priority="566" stopIfTrue="1" operator="equal">
      <formula>"PCG"</formula>
    </cfRule>
    <cfRule type="cellIs" dxfId="528" priority="567" stopIfTrue="1" operator="equal">
      <formula>"VAC"</formula>
    </cfRule>
    <cfRule type="cellIs" dxfId="527" priority="568" stopIfTrue="1" operator="equal">
      <formula>"INC"</formula>
    </cfRule>
    <cfRule type="cellIs" dxfId="526" priority="569" stopIfTrue="1" operator="equal">
      <formula>"PSG"</formula>
    </cfRule>
    <cfRule type="cellIs" dxfId="525" priority="570" stopIfTrue="1" operator="equal">
      <formula>"FALTA"</formula>
    </cfRule>
  </conditionalFormatting>
  <conditionalFormatting sqref="BV95">
    <cfRule type="cellIs" dxfId="524" priority="561" stopIfTrue="1" operator="equal">
      <formula>"PCG"</formula>
    </cfRule>
    <cfRule type="cellIs" dxfId="523" priority="562" stopIfTrue="1" operator="equal">
      <formula>"VAC"</formula>
    </cfRule>
    <cfRule type="cellIs" dxfId="522" priority="563" stopIfTrue="1" operator="equal">
      <formula>"INC"</formula>
    </cfRule>
    <cfRule type="cellIs" dxfId="521" priority="564" stopIfTrue="1" operator="equal">
      <formula>"PSG"</formula>
    </cfRule>
    <cfRule type="cellIs" dxfId="520" priority="565" stopIfTrue="1" operator="equal">
      <formula>"FALTA"</formula>
    </cfRule>
  </conditionalFormatting>
  <conditionalFormatting sqref="BI121">
    <cfRule type="cellIs" dxfId="519" priority="556" stopIfTrue="1" operator="equal">
      <formula>"PCG"</formula>
    </cfRule>
    <cfRule type="cellIs" dxfId="518" priority="557" stopIfTrue="1" operator="equal">
      <formula>"VAC"</formula>
    </cfRule>
    <cfRule type="cellIs" dxfId="517" priority="558" stopIfTrue="1" operator="equal">
      <formula>"INC"</formula>
    </cfRule>
    <cfRule type="cellIs" dxfId="516" priority="559" stopIfTrue="1" operator="equal">
      <formula>"PSG"</formula>
    </cfRule>
    <cfRule type="cellIs" dxfId="515" priority="560" stopIfTrue="1" operator="equal">
      <formula>"FALTA"</formula>
    </cfRule>
  </conditionalFormatting>
  <conditionalFormatting sqref="BV121">
    <cfRule type="cellIs" dxfId="514" priority="551" stopIfTrue="1" operator="equal">
      <formula>"PCG"</formula>
    </cfRule>
    <cfRule type="cellIs" dxfId="513" priority="552" stopIfTrue="1" operator="equal">
      <formula>"VAC"</formula>
    </cfRule>
    <cfRule type="cellIs" dxfId="512" priority="553" stopIfTrue="1" operator="equal">
      <formula>"INC"</formula>
    </cfRule>
    <cfRule type="cellIs" dxfId="511" priority="554" stopIfTrue="1" operator="equal">
      <formula>"PSG"</formula>
    </cfRule>
    <cfRule type="cellIs" dxfId="510" priority="555" stopIfTrue="1" operator="equal">
      <formula>"FALTA"</formula>
    </cfRule>
  </conditionalFormatting>
  <conditionalFormatting sqref="CI121">
    <cfRule type="cellIs" dxfId="509" priority="546" stopIfTrue="1" operator="equal">
      <formula>"PCG"</formula>
    </cfRule>
    <cfRule type="cellIs" dxfId="508" priority="547" stopIfTrue="1" operator="equal">
      <formula>"VAC"</formula>
    </cfRule>
    <cfRule type="cellIs" dxfId="507" priority="548" stopIfTrue="1" operator="equal">
      <formula>"INC"</formula>
    </cfRule>
    <cfRule type="cellIs" dxfId="506" priority="549" stopIfTrue="1" operator="equal">
      <formula>"PSG"</formula>
    </cfRule>
    <cfRule type="cellIs" dxfId="505" priority="550" stopIfTrue="1" operator="equal">
      <formula>"FALTA"</formula>
    </cfRule>
  </conditionalFormatting>
  <conditionalFormatting sqref="BI139">
    <cfRule type="cellIs" dxfId="504" priority="541" stopIfTrue="1" operator="equal">
      <formula>"PCG"</formula>
    </cfRule>
    <cfRule type="cellIs" dxfId="503" priority="542" stopIfTrue="1" operator="equal">
      <formula>"VAC"</formula>
    </cfRule>
    <cfRule type="cellIs" dxfId="502" priority="543" stopIfTrue="1" operator="equal">
      <formula>"INC"</formula>
    </cfRule>
    <cfRule type="cellIs" dxfId="501" priority="544" stopIfTrue="1" operator="equal">
      <formula>"PSG"</formula>
    </cfRule>
    <cfRule type="cellIs" dxfId="500" priority="545" stopIfTrue="1" operator="equal">
      <formula>"FALTA"</formula>
    </cfRule>
  </conditionalFormatting>
  <conditionalFormatting sqref="AI142">
    <cfRule type="cellIs" dxfId="499" priority="531" stopIfTrue="1" operator="equal">
      <formula>"PCG"</formula>
    </cfRule>
    <cfRule type="cellIs" dxfId="498" priority="532" stopIfTrue="1" operator="equal">
      <formula>"VAC"</formula>
    </cfRule>
    <cfRule type="cellIs" dxfId="497" priority="533" stopIfTrue="1" operator="equal">
      <formula>"INC"</formula>
    </cfRule>
    <cfRule type="cellIs" dxfId="496" priority="534" stopIfTrue="1" operator="equal">
      <formula>"PSG"</formula>
    </cfRule>
    <cfRule type="cellIs" dxfId="495" priority="535" stopIfTrue="1" operator="equal">
      <formula>"FALTA"</formula>
    </cfRule>
  </conditionalFormatting>
  <conditionalFormatting sqref="AV142">
    <cfRule type="cellIs" dxfId="494" priority="526" stopIfTrue="1" operator="equal">
      <formula>"PCG"</formula>
    </cfRule>
    <cfRule type="cellIs" dxfId="493" priority="527" stopIfTrue="1" operator="equal">
      <formula>"VAC"</formula>
    </cfRule>
    <cfRule type="cellIs" dxfId="492" priority="528" stopIfTrue="1" operator="equal">
      <formula>"INC"</formula>
    </cfRule>
    <cfRule type="cellIs" dxfId="491" priority="529" stopIfTrue="1" operator="equal">
      <formula>"PSG"</formula>
    </cfRule>
    <cfRule type="cellIs" dxfId="490" priority="530" stopIfTrue="1" operator="equal">
      <formula>"FALTA"</formula>
    </cfRule>
  </conditionalFormatting>
  <conditionalFormatting sqref="BI142">
    <cfRule type="cellIs" dxfId="489" priority="521" stopIfTrue="1" operator="equal">
      <formula>"PCG"</formula>
    </cfRule>
    <cfRule type="cellIs" dxfId="488" priority="522" stopIfTrue="1" operator="equal">
      <formula>"VAC"</formula>
    </cfRule>
    <cfRule type="cellIs" dxfId="487" priority="523" stopIfTrue="1" operator="equal">
      <formula>"INC"</formula>
    </cfRule>
    <cfRule type="cellIs" dxfId="486" priority="524" stopIfTrue="1" operator="equal">
      <formula>"PSG"</formula>
    </cfRule>
    <cfRule type="cellIs" dxfId="485" priority="525" stopIfTrue="1" operator="equal">
      <formula>"FALTA"</formula>
    </cfRule>
  </conditionalFormatting>
  <conditionalFormatting sqref="BI149">
    <cfRule type="cellIs" dxfId="484" priority="516" stopIfTrue="1" operator="equal">
      <formula>"PCG"</formula>
    </cfRule>
    <cfRule type="cellIs" dxfId="483" priority="517" stopIfTrue="1" operator="equal">
      <formula>"VAC"</formula>
    </cfRule>
    <cfRule type="cellIs" dxfId="482" priority="518" stopIfTrue="1" operator="equal">
      <formula>"INC"</formula>
    </cfRule>
    <cfRule type="cellIs" dxfId="481" priority="519" stopIfTrue="1" operator="equal">
      <formula>"PSG"</formula>
    </cfRule>
    <cfRule type="cellIs" dxfId="480" priority="520" stopIfTrue="1" operator="equal">
      <formula>"FALTA"</formula>
    </cfRule>
  </conditionalFormatting>
  <conditionalFormatting sqref="BV149">
    <cfRule type="cellIs" dxfId="479" priority="511" stopIfTrue="1" operator="equal">
      <formula>"PCG"</formula>
    </cfRule>
    <cfRule type="cellIs" dxfId="478" priority="512" stopIfTrue="1" operator="equal">
      <formula>"VAC"</formula>
    </cfRule>
    <cfRule type="cellIs" dxfId="477" priority="513" stopIfTrue="1" operator="equal">
      <formula>"INC"</formula>
    </cfRule>
    <cfRule type="cellIs" dxfId="476" priority="514" stopIfTrue="1" operator="equal">
      <formula>"PSG"</formula>
    </cfRule>
    <cfRule type="cellIs" dxfId="475" priority="515" stopIfTrue="1" operator="equal">
      <formula>"FALTA"</formula>
    </cfRule>
  </conditionalFormatting>
  <conditionalFormatting sqref="CI149">
    <cfRule type="cellIs" dxfId="474" priority="506" stopIfTrue="1" operator="equal">
      <formula>"PCG"</formula>
    </cfRule>
    <cfRule type="cellIs" dxfId="473" priority="507" stopIfTrue="1" operator="equal">
      <formula>"VAC"</formula>
    </cfRule>
    <cfRule type="cellIs" dxfId="472" priority="508" stopIfTrue="1" operator="equal">
      <formula>"INC"</formula>
    </cfRule>
    <cfRule type="cellIs" dxfId="471" priority="509" stopIfTrue="1" operator="equal">
      <formula>"PSG"</formula>
    </cfRule>
    <cfRule type="cellIs" dxfId="470" priority="510" stopIfTrue="1" operator="equal">
      <formula>"FALTA"</formula>
    </cfRule>
  </conditionalFormatting>
  <conditionalFormatting sqref="BI151">
    <cfRule type="cellIs" dxfId="469" priority="501" stopIfTrue="1" operator="equal">
      <formula>"PCG"</formula>
    </cfRule>
    <cfRule type="cellIs" dxfId="468" priority="502" stopIfTrue="1" operator="equal">
      <formula>"VAC"</formula>
    </cfRule>
    <cfRule type="cellIs" dxfId="467" priority="503" stopIfTrue="1" operator="equal">
      <formula>"INC"</formula>
    </cfRule>
    <cfRule type="cellIs" dxfId="466" priority="504" stopIfTrue="1" operator="equal">
      <formula>"PSG"</formula>
    </cfRule>
    <cfRule type="cellIs" dxfId="465" priority="505" stopIfTrue="1" operator="equal">
      <formula>"FALTA"</formula>
    </cfRule>
  </conditionalFormatting>
  <conditionalFormatting sqref="CI151">
    <cfRule type="cellIs" dxfId="464" priority="496" stopIfTrue="1" operator="equal">
      <formula>"PCG"</formula>
    </cfRule>
    <cfRule type="cellIs" dxfId="463" priority="497" stopIfTrue="1" operator="equal">
      <formula>"VAC"</formula>
    </cfRule>
    <cfRule type="cellIs" dxfId="462" priority="498" stopIfTrue="1" operator="equal">
      <formula>"INC"</formula>
    </cfRule>
    <cfRule type="cellIs" dxfId="461" priority="499" stopIfTrue="1" operator="equal">
      <formula>"PSG"</formula>
    </cfRule>
    <cfRule type="cellIs" dxfId="460" priority="500" stopIfTrue="1" operator="equal">
      <formula>"FALTA"</formula>
    </cfRule>
  </conditionalFormatting>
  <conditionalFormatting sqref="BI176">
    <cfRule type="cellIs" dxfId="459" priority="491" stopIfTrue="1" operator="equal">
      <formula>"PCG"</formula>
    </cfRule>
    <cfRule type="cellIs" dxfId="458" priority="492" stopIfTrue="1" operator="equal">
      <formula>"VAC"</formula>
    </cfRule>
    <cfRule type="cellIs" dxfId="457" priority="493" stopIfTrue="1" operator="equal">
      <formula>"INC"</formula>
    </cfRule>
    <cfRule type="cellIs" dxfId="456" priority="494" stopIfTrue="1" operator="equal">
      <formula>"PSG"</formula>
    </cfRule>
    <cfRule type="cellIs" dxfId="455" priority="495" stopIfTrue="1" operator="equal">
      <formula>"FALTA"</formula>
    </cfRule>
  </conditionalFormatting>
  <conditionalFormatting sqref="BV176">
    <cfRule type="cellIs" dxfId="454" priority="486" stopIfTrue="1" operator="equal">
      <formula>"PCG"</formula>
    </cfRule>
    <cfRule type="cellIs" dxfId="453" priority="487" stopIfTrue="1" operator="equal">
      <formula>"VAC"</formula>
    </cfRule>
    <cfRule type="cellIs" dxfId="452" priority="488" stopIfTrue="1" operator="equal">
      <formula>"INC"</formula>
    </cfRule>
    <cfRule type="cellIs" dxfId="451" priority="489" stopIfTrue="1" operator="equal">
      <formula>"PSG"</formula>
    </cfRule>
    <cfRule type="cellIs" dxfId="450" priority="490" stopIfTrue="1" operator="equal">
      <formula>"FALTA"</formula>
    </cfRule>
  </conditionalFormatting>
  <conditionalFormatting sqref="BI178">
    <cfRule type="cellIs" dxfId="449" priority="481" stopIfTrue="1" operator="equal">
      <formula>"PCG"</formula>
    </cfRule>
    <cfRule type="cellIs" dxfId="448" priority="482" stopIfTrue="1" operator="equal">
      <formula>"VAC"</formula>
    </cfRule>
    <cfRule type="cellIs" dxfId="447" priority="483" stopIfTrue="1" operator="equal">
      <formula>"INC"</formula>
    </cfRule>
    <cfRule type="cellIs" dxfId="446" priority="484" stopIfTrue="1" operator="equal">
      <formula>"PSG"</formula>
    </cfRule>
    <cfRule type="cellIs" dxfId="445" priority="485" stopIfTrue="1" operator="equal">
      <formula>"FALTA"</formula>
    </cfRule>
  </conditionalFormatting>
  <conditionalFormatting sqref="BV178">
    <cfRule type="cellIs" dxfId="444" priority="476" stopIfTrue="1" operator="equal">
      <formula>"PCG"</formula>
    </cfRule>
    <cfRule type="cellIs" dxfId="443" priority="477" stopIfTrue="1" operator="equal">
      <formula>"VAC"</formula>
    </cfRule>
    <cfRule type="cellIs" dxfId="442" priority="478" stopIfTrue="1" operator="equal">
      <formula>"INC"</formula>
    </cfRule>
    <cfRule type="cellIs" dxfId="441" priority="479" stopIfTrue="1" operator="equal">
      <formula>"PSG"</formula>
    </cfRule>
    <cfRule type="cellIs" dxfId="440" priority="480" stopIfTrue="1" operator="equal">
      <formula>"FALTA"</formula>
    </cfRule>
  </conditionalFormatting>
  <conditionalFormatting sqref="BV179">
    <cfRule type="cellIs" dxfId="439" priority="466" stopIfTrue="1" operator="equal">
      <formula>"PCG"</formula>
    </cfRule>
    <cfRule type="cellIs" dxfId="438" priority="467" stopIfTrue="1" operator="equal">
      <formula>"VAC"</formula>
    </cfRule>
    <cfRule type="cellIs" dxfId="437" priority="468" stopIfTrue="1" operator="equal">
      <formula>"INC"</formula>
    </cfRule>
    <cfRule type="cellIs" dxfId="436" priority="469" stopIfTrue="1" operator="equal">
      <formula>"PSG"</formula>
    </cfRule>
    <cfRule type="cellIs" dxfId="435" priority="470" stopIfTrue="1" operator="equal">
      <formula>"FALTA"</formula>
    </cfRule>
  </conditionalFormatting>
  <conditionalFormatting sqref="BI194">
    <cfRule type="cellIs" dxfId="434" priority="461" stopIfTrue="1" operator="equal">
      <formula>"PCG"</formula>
    </cfRule>
    <cfRule type="cellIs" dxfId="433" priority="462" stopIfTrue="1" operator="equal">
      <formula>"VAC"</formula>
    </cfRule>
    <cfRule type="cellIs" dxfId="432" priority="463" stopIfTrue="1" operator="equal">
      <formula>"INC"</formula>
    </cfRule>
    <cfRule type="cellIs" dxfId="431" priority="464" stopIfTrue="1" operator="equal">
      <formula>"PSG"</formula>
    </cfRule>
    <cfRule type="cellIs" dxfId="430" priority="465" stopIfTrue="1" operator="equal">
      <formula>"FALTA"</formula>
    </cfRule>
  </conditionalFormatting>
  <conditionalFormatting sqref="BV194">
    <cfRule type="cellIs" dxfId="429" priority="456" stopIfTrue="1" operator="equal">
      <formula>"PCG"</formula>
    </cfRule>
    <cfRule type="cellIs" dxfId="428" priority="457" stopIfTrue="1" operator="equal">
      <formula>"VAC"</formula>
    </cfRule>
    <cfRule type="cellIs" dxfId="427" priority="458" stopIfTrue="1" operator="equal">
      <formula>"INC"</formula>
    </cfRule>
    <cfRule type="cellIs" dxfId="426" priority="459" stopIfTrue="1" operator="equal">
      <formula>"PSG"</formula>
    </cfRule>
    <cfRule type="cellIs" dxfId="425" priority="460" stopIfTrue="1" operator="equal">
      <formula>"FALTA"</formula>
    </cfRule>
  </conditionalFormatting>
  <conditionalFormatting sqref="BI205">
    <cfRule type="cellIs" dxfId="424" priority="451" stopIfTrue="1" operator="equal">
      <formula>"PCG"</formula>
    </cfRule>
    <cfRule type="cellIs" dxfId="423" priority="452" stopIfTrue="1" operator="equal">
      <formula>"VAC"</formula>
    </cfRule>
    <cfRule type="cellIs" dxfId="422" priority="453" stopIfTrue="1" operator="equal">
      <formula>"INC"</formula>
    </cfRule>
    <cfRule type="cellIs" dxfId="421" priority="454" stopIfTrue="1" operator="equal">
      <formula>"PSG"</formula>
    </cfRule>
    <cfRule type="cellIs" dxfId="420" priority="455" stopIfTrue="1" operator="equal">
      <formula>"FALTA"</formula>
    </cfRule>
  </conditionalFormatting>
  <conditionalFormatting sqref="BV205">
    <cfRule type="cellIs" dxfId="419" priority="446" stopIfTrue="1" operator="equal">
      <formula>"PCG"</formula>
    </cfRule>
    <cfRule type="cellIs" dxfId="418" priority="447" stopIfTrue="1" operator="equal">
      <formula>"VAC"</formula>
    </cfRule>
    <cfRule type="cellIs" dxfId="417" priority="448" stopIfTrue="1" operator="equal">
      <formula>"INC"</formula>
    </cfRule>
    <cfRule type="cellIs" dxfId="416" priority="449" stopIfTrue="1" operator="equal">
      <formula>"PSG"</formula>
    </cfRule>
    <cfRule type="cellIs" dxfId="415" priority="450" stopIfTrue="1" operator="equal">
      <formula>"FALTA"</formula>
    </cfRule>
  </conditionalFormatting>
  <conditionalFormatting sqref="CI205">
    <cfRule type="cellIs" dxfId="414" priority="441" stopIfTrue="1" operator="equal">
      <formula>"PCG"</formula>
    </cfRule>
    <cfRule type="cellIs" dxfId="413" priority="442" stopIfTrue="1" operator="equal">
      <formula>"VAC"</formula>
    </cfRule>
    <cfRule type="cellIs" dxfId="412" priority="443" stopIfTrue="1" operator="equal">
      <formula>"INC"</formula>
    </cfRule>
    <cfRule type="cellIs" dxfId="411" priority="444" stopIfTrue="1" operator="equal">
      <formula>"PSG"</formula>
    </cfRule>
    <cfRule type="cellIs" dxfId="410" priority="445" stopIfTrue="1" operator="equal">
      <formula>"FALTA"</formula>
    </cfRule>
  </conditionalFormatting>
  <conditionalFormatting sqref="BI213">
    <cfRule type="cellIs" dxfId="409" priority="436" stopIfTrue="1" operator="equal">
      <formula>"PCG"</formula>
    </cfRule>
    <cfRule type="cellIs" dxfId="408" priority="437" stopIfTrue="1" operator="equal">
      <formula>"VAC"</formula>
    </cfRule>
    <cfRule type="cellIs" dxfId="407" priority="438" stopIfTrue="1" operator="equal">
      <formula>"INC"</formula>
    </cfRule>
    <cfRule type="cellIs" dxfId="406" priority="439" stopIfTrue="1" operator="equal">
      <formula>"PSG"</formula>
    </cfRule>
    <cfRule type="cellIs" dxfId="405" priority="440" stopIfTrue="1" operator="equal">
      <formula>"FALTA"</formula>
    </cfRule>
  </conditionalFormatting>
  <conditionalFormatting sqref="BV213">
    <cfRule type="cellIs" dxfId="404" priority="431" stopIfTrue="1" operator="equal">
      <formula>"PCG"</formula>
    </cfRule>
    <cfRule type="cellIs" dxfId="403" priority="432" stopIfTrue="1" operator="equal">
      <formula>"VAC"</formula>
    </cfRule>
    <cfRule type="cellIs" dxfId="402" priority="433" stopIfTrue="1" operator="equal">
      <formula>"INC"</formula>
    </cfRule>
    <cfRule type="cellIs" dxfId="401" priority="434" stopIfTrue="1" operator="equal">
      <formula>"PSG"</formula>
    </cfRule>
    <cfRule type="cellIs" dxfId="400" priority="435" stopIfTrue="1" operator="equal">
      <formula>"FALTA"</formula>
    </cfRule>
  </conditionalFormatting>
  <conditionalFormatting sqref="BI229">
    <cfRule type="cellIs" dxfId="399" priority="426" stopIfTrue="1" operator="equal">
      <formula>"PCG"</formula>
    </cfRule>
    <cfRule type="cellIs" dxfId="398" priority="427" stopIfTrue="1" operator="equal">
      <formula>"VAC"</formula>
    </cfRule>
    <cfRule type="cellIs" dxfId="397" priority="428" stopIfTrue="1" operator="equal">
      <formula>"INC"</formula>
    </cfRule>
    <cfRule type="cellIs" dxfId="396" priority="429" stopIfTrue="1" operator="equal">
      <formula>"PSG"</formula>
    </cfRule>
    <cfRule type="cellIs" dxfId="395" priority="430" stopIfTrue="1" operator="equal">
      <formula>"FALTA"</formula>
    </cfRule>
  </conditionalFormatting>
  <conditionalFormatting sqref="BV229">
    <cfRule type="cellIs" dxfId="394" priority="421" stopIfTrue="1" operator="equal">
      <formula>"PCG"</formula>
    </cfRule>
    <cfRule type="cellIs" dxfId="393" priority="422" stopIfTrue="1" operator="equal">
      <formula>"VAC"</formula>
    </cfRule>
    <cfRule type="cellIs" dxfId="392" priority="423" stopIfTrue="1" operator="equal">
      <formula>"INC"</formula>
    </cfRule>
    <cfRule type="cellIs" dxfId="391" priority="424" stopIfTrue="1" operator="equal">
      <formula>"PSG"</formula>
    </cfRule>
    <cfRule type="cellIs" dxfId="390" priority="425" stopIfTrue="1" operator="equal">
      <formula>"FALTA"</formula>
    </cfRule>
  </conditionalFormatting>
  <conditionalFormatting sqref="BV243">
    <cfRule type="cellIs" dxfId="389" priority="411" stopIfTrue="1" operator="equal">
      <formula>"PCG"</formula>
    </cfRule>
    <cfRule type="cellIs" dxfId="388" priority="412" stopIfTrue="1" operator="equal">
      <formula>"VAC"</formula>
    </cfRule>
    <cfRule type="cellIs" dxfId="387" priority="413" stopIfTrue="1" operator="equal">
      <formula>"INC"</formula>
    </cfRule>
    <cfRule type="cellIs" dxfId="386" priority="414" stopIfTrue="1" operator="equal">
      <formula>"PSG"</formula>
    </cfRule>
    <cfRule type="cellIs" dxfId="385" priority="415" stopIfTrue="1" operator="equal">
      <formula>"FALTA"</formula>
    </cfRule>
  </conditionalFormatting>
  <conditionalFormatting sqref="BI244">
    <cfRule type="cellIs" dxfId="384" priority="406" stopIfTrue="1" operator="equal">
      <formula>"PCG"</formula>
    </cfRule>
    <cfRule type="cellIs" dxfId="383" priority="407" stopIfTrue="1" operator="equal">
      <formula>"VAC"</formula>
    </cfRule>
    <cfRule type="cellIs" dxfId="382" priority="408" stopIfTrue="1" operator="equal">
      <formula>"INC"</formula>
    </cfRule>
    <cfRule type="cellIs" dxfId="381" priority="409" stopIfTrue="1" operator="equal">
      <formula>"PSG"</formula>
    </cfRule>
    <cfRule type="cellIs" dxfId="380" priority="410" stopIfTrue="1" operator="equal">
      <formula>"FALTA"</formula>
    </cfRule>
  </conditionalFormatting>
  <conditionalFormatting sqref="BV244">
    <cfRule type="cellIs" dxfId="379" priority="401" stopIfTrue="1" operator="equal">
      <formula>"PCG"</formula>
    </cfRule>
    <cfRule type="cellIs" dxfId="378" priority="402" stopIfTrue="1" operator="equal">
      <formula>"VAC"</formula>
    </cfRule>
    <cfRule type="cellIs" dxfId="377" priority="403" stopIfTrue="1" operator="equal">
      <formula>"INC"</formula>
    </cfRule>
    <cfRule type="cellIs" dxfId="376" priority="404" stopIfTrue="1" operator="equal">
      <formula>"PSG"</formula>
    </cfRule>
    <cfRule type="cellIs" dxfId="375" priority="405" stopIfTrue="1" operator="equal">
      <formula>"FALTA"</formula>
    </cfRule>
  </conditionalFormatting>
  <conditionalFormatting sqref="BI250">
    <cfRule type="cellIs" dxfId="374" priority="396" stopIfTrue="1" operator="equal">
      <formula>"PCG"</formula>
    </cfRule>
    <cfRule type="cellIs" dxfId="373" priority="397" stopIfTrue="1" operator="equal">
      <formula>"VAC"</formula>
    </cfRule>
    <cfRule type="cellIs" dxfId="372" priority="398" stopIfTrue="1" operator="equal">
      <formula>"INC"</formula>
    </cfRule>
    <cfRule type="cellIs" dxfId="371" priority="399" stopIfTrue="1" operator="equal">
      <formula>"PSG"</formula>
    </cfRule>
    <cfRule type="cellIs" dxfId="370" priority="400" stopIfTrue="1" operator="equal">
      <formula>"FALTA"</formula>
    </cfRule>
  </conditionalFormatting>
  <conditionalFormatting sqref="BI256">
    <cfRule type="cellIs" dxfId="369" priority="391" stopIfTrue="1" operator="equal">
      <formula>"PCG"</formula>
    </cfRule>
    <cfRule type="cellIs" dxfId="368" priority="392" stopIfTrue="1" operator="equal">
      <formula>"VAC"</formula>
    </cfRule>
    <cfRule type="cellIs" dxfId="367" priority="393" stopIfTrue="1" operator="equal">
      <formula>"INC"</formula>
    </cfRule>
    <cfRule type="cellIs" dxfId="366" priority="394" stopIfTrue="1" operator="equal">
      <formula>"PSG"</formula>
    </cfRule>
    <cfRule type="cellIs" dxfId="365" priority="395" stopIfTrue="1" operator="equal">
      <formula>"FALTA"</formula>
    </cfRule>
  </conditionalFormatting>
  <conditionalFormatting sqref="BV256">
    <cfRule type="cellIs" dxfId="364" priority="386" stopIfTrue="1" operator="equal">
      <formula>"PCG"</formula>
    </cfRule>
    <cfRule type="cellIs" dxfId="363" priority="387" stopIfTrue="1" operator="equal">
      <formula>"VAC"</formula>
    </cfRule>
    <cfRule type="cellIs" dxfId="362" priority="388" stopIfTrue="1" operator="equal">
      <formula>"INC"</formula>
    </cfRule>
    <cfRule type="cellIs" dxfId="361" priority="389" stopIfTrue="1" operator="equal">
      <formula>"PSG"</formula>
    </cfRule>
    <cfRule type="cellIs" dxfId="360" priority="390" stopIfTrue="1" operator="equal">
      <formula>"FALTA"</formula>
    </cfRule>
  </conditionalFormatting>
  <conditionalFormatting sqref="CI256">
    <cfRule type="cellIs" dxfId="359" priority="381" stopIfTrue="1" operator="equal">
      <formula>"PCG"</formula>
    </cfRule>
    <cfRule type="cellIs" dxfId="358" priority="382" stopIfTrue="1" operator="equal">
      <formula>"VAC"</formula>
    </cfRule>
    <cfRule type="cellIs" dxfId="357" priority="383" stopIfTrue="1" operator="equal">
      <formula>"INC"</formula>
    </cfRule>
    <cfRule type="cellIs" dxfId="356" priority="384" stopIfTrue="1" operator="equal">
      <formula>"PSG"</formula>
    </cfRule>
    <cfRule type="cellIs" dxfId="355" priority="385" stopIfTrue="1" operator="equal">
      <formula>"FALTA"</formula>
    </cfRule>
  </conditionalFormatting>
  <conditionalFormatting sqref="BI276">
    <cfRule type="cellIs" dxfId="354" priority="376" stopIfTrue="1" operator="equal">
      <formula>"PCG"</formula>
    </cfRule>
    <cfRule type="cellIs" dxfId="353" priority="377" stopIfTrue="1" operator="equal">
      <formula>"VAC"</formula>
    </cfRule>
    <cfRule type="cellIs" dxfId="352" priority="378" stopIfTrue="1" operator="equal">
      <formula>"INC"</formula>
    </cfRule>
    <cfRule type="cellIs" dxfId="351" priority="379" stopIfTrue="1" operator="equal">
      <formula>"PSG"</formula>
    </cfRule>
    <cfRule type="cellIs" dxfId="350" priority="380" stopIfTrue="1" operator="equal">
      <formula>"FALTA"</formula>
    </cfRule>
  </conditionalFormatting>
  <conditionalFormatting sqref="BV276">
    <cfRule type="cellIs" dxfId="349" priority="371" stopIfTrue="1" operator="equal">
      <formula>"PCG"</formula>
    </cfRule>
    <cfRule type="cellIs" dxfId="348" priority="372" stopIfTrue="1" operator="equal">
      <formula>"VAC"</formula>
    </cfRule>
    <cfRule type="cellIs" dxfId="347" priority="373" stopIfTrue="1" operator="equal">
      <formula>"INC"</formula>
    </cfRule>
    <cfRule type="cellIs" dxfId="346" priority="374" stopIfTrue="1" operator="equal">
      <formula>"PSG"</formula>
    </cfRule>
    <cfRule type="cellIs" dxfId="345" priority="375" stopIfTrue="1" operator="equal">
      <formula>"FALTA"</formula>
    </cfRule>
  </conditionalFormatting>
  <conditionalFormatting sqref="BI43">
    <cfRule type="cellIs" dxfId="344" priority="366" stopIfTrue="1" operator="equal">
      <formula>"PCG"</formula>
    </cfRule>
    <cfRule type="cellIs" dxfId="343" priority="367" stopIfTrue="1" operator="equal">
      <formula>"VAC"</formula>
    </cfRule>
    <cfRule type="cellIs" dxfId="342" priority="368" stopIfTrue="1" operator="equal">
      <formula>"INC"</formula>
    </cfRule>
    <cfRule type="cellIs" dxfId="341" priority="369" stopIfTrue="1" operator="equal">
      <formula>"PSG"</formula>
    </cfRule>
    <cfRule type="cellIs" dxfId="340" priority="370" stopIfTrue="1" operator="equal">
      <formula>"FALTA"</formula>
    </cfRule>
  </conditionalFormatting>
  <conditionalFormatting sqref="BV43">
    <cfRule type="cellIs" dxfId="339" priority="361" stopIfTrue="1" operator="equal">
      <formula>"PCG"</formula>
    </cfRule>
    <cfRule type="cellIs" dxfId="338" priority="362" stopIfTrue="1" operator="equal">
      <formula>"VAC"</formula>
    </cfRule>
    <cfRule type="cellIs" dxfId="337" priority="363" stopIfTrue="1" operator="equal">
      <formula>"INC"</formula>
    </cfRule>
    <cfRule type="cellIs" dxfId="336" priority="364" stopIfTrue="1" operator="equal">
      <formula>"PSG"</formula>
    </cfRule>
    <cfRule type="cellIs" dxfId="335" priority="365" stopIfTrue="1" operator="equal">
      <formula>"FALTA"</formula>
    </cfRule>
  </conditionalFormatting>
  <conditionalFormatting sqref="BI107">
    <cfRule type="cellIs" dxfId="334" priority="356" stopIfTrue="1" operator="equal">
      <formula>"PCG"</formula>
    </cfRule>
    <cfRule type="cellIs" dxfId="333" priority="357" stopIfTrue="1" operator="equal">
      <formula>"VAC"</formula>
    </cfRule>
    <cfRule type="cellIs" dxfId="332" priority="358" stopIfTrue="1" operator="equal">
      <formula>"INC"</formula>
    </cfRule>
    <cfRule type="cellIs" dxfId="331" priority="359" stopIfTrue="1" operator="equal">
      <formula>"PSG"</formula>
    </cfRule>
    <cfRule type="cellIs" dxfId="330" priority="360" stopIfTrue="1" operator="equal">
      <formula>"FALTA"</formula>
    </cfRule>
  </conditionalFormatting>
  <conditionalFormatting sqref="BI214">
    <cfRule type="cellIs" dxfId="329" priority="351" stopIfTrue="1" operator="equal">
      <formula>"PCG"</formula>
    </cfRule>
    <cfRule type="cellIs" dxfId="328" priority="352" stopIfTrue="1" operator="equal">
      <formula>"VAC"</formula>
    </cfRule>
    <cfRule type="cellIs" dxfId="327" priority="353" stopIfTrue="1" operator="equal">
      <formula>"INC"</formula>
    </cfRule>
    <cfRule type="cellIs" dxfId="326" priority="354" stopIfTrue="1" operator="equal">
      <formula>"PSG"</formula>
    </cfRule>
    <cfRule type="cellIs" dxfId="325" priority="355" stopIfTrue="1" operator="equal">
      <formula>"FALTA"</formula>
    </cfRule>
  </conditionalFormatting>
  <conditionalFormatting sqref="BV214">
    <cfRule type="cellIs" dxfId="324" priority="346" stopIfTrue="1" operator="equal">
      <formula>"PCG"</formula>
    </cfRule>
    <cfRule type="cellIs" dxfId="323" priority="347" stopIfTrue="1" operator="equal">
      <formula>"VAC"</formula>
    </cfRule>
    <cfRule type="cellIs" dxfId="322" priority="348" stopIfTrue="1" operator="equal">
      <formula>"INC"</formula>
    </cfRule>
    <cfRule type="cellIs" dxfId="321" priority="349" stopIfTrue="1" operator="equal">
      <formula>"PSG"</formula>
    </cfRule>
    <cfRule type="cellIs" dxfId="320" priority="350" stopIfTrue="1" operator="equal">
      <formula>"FALTA"</formula>
    </cfRule>
  </conditionalFormatting>
  <conditionalFormatting sqref="CI214">
    <cfRule type="cellIs" dxfId="319" priority="341" stopIfTrue="1" operator="equal">
      <formula>"PCG"</formula>
    </cfRule>
    <cfRule type="cellIs" dxfId="318" priority="342" stopIfTrue="1" operator="equal">
      <formula>"VAC"</formula>
    </cfRule>
    <cfRule type="cellIs" dxfId="317" priority="343" stopIfTrue="1" operator="equal">
      <formula>"INC"</formula>
    </cfRule>
    <cfRule type="cellIs" dxfId="316" priority="344" stopIfTrue="1" operator="equal">
      <formula>"PSG"</formula>
    </cfRule>
    <cfRule type="cellIs" dxfId="315" priority="345" stopIfTrue="1" operator="equal">
      <formula>"FALTA"</formula>
    </cfRule>
  </conditionalFormatting>
  <conditionalFormatting sqref="BI235">
    <cfRule type="cellIs" dxfId="314" priority="336" stopIfTrue="1" operator="equal">
      <formula>"PCG"</formula>
    </cfRule>
    <cfRule type="cellIs" dxfId="313" priority="337" stopIfTrue="1" operator="equal">
      <formula>"VAC"</formula>
    </cfRule>
    <cfRule type="cellIs" dxfId="312" priority="338" stopIfTrue="1" operator="equal">
      <formula>"INC"</formula>
    </cfRule>
    <cfRule type="cellIs" dxfId="311" priority="339" stopIfTrue="1" operator="equal">
      <formula>"PSG"</formula>
    </cfRule>
    <cfRule type="cellIs" dxfId="310" priority="340" stopIfTrue="1" operator="equal">
      <formula>"FALTA"</formula>
    </cfRule>
  </conditionalFormatting>
  <conditionalFormatting sqref="BI240">
    <cfRule type="cellIs" dxfId="309" priority="331" stopIfTrue="1" operator="equal">
      <formula>"PCG"</formula>
    </cfRule>
    <cfRule type="cellIs" dxfId="308" priority="332" stopIfTrue="1" operator="equal">
      <formula>"VAC"</formula>
    </cfRule>
    <cfRule type="cellIs" dxfId="307" priority="333" stopIfTrue="1" operator="equal">
      <formula>"INC"</formula>
    </cfRule>
    <cfRule type="cellIs" dxfId="306" priority="334" stopIfTrue="1" operator="equal">
      <formula>"PSG"</formula>
    </cfRule>
    <cfRule type="cellIs" dxfId="305" priority="335" stopIfTrue="1" operator="equal">
      <formula>"FALTA"</formula>
    </cfRule>
  </conditionalFormatting>
  <conditionalFormatting sqref="BV240">
    <cfRule type="cellIs" dxfId="304" priority="326" stopIfTrue="1" operator="equal">
      <formula>"PCG"</formula>
    </cfRule>
    <cfRule type="cellIs" dxfId="303" priority="327" stopIfTrue="1" operator="equal">
      <formula>"VAC"</formula>
    </cfRule>
    <cfRule type="cellIs" dxfId="302" priority="328" stopIfTrue="1" operator="equal">
      <formula>"INC"</formula>
    </cfRule>
    <cfRule type="cellIs" dxfId="301" priority="329" stopIfTrue="1" operator="equal">
      <formula>"PSG"</formula>
    </cfRule>
    <cfRule type="cellIs" dxfId="300" priority="330" stopIfTrue="1" operator="equal">
      <formula>"FALTA"</formula>
    </cfRule>
  </conditionalFormatting>
  <conditionalFormatting sqref="BI219">
    <cfRule type="cellIs" dxfId="299" priority="321" stopIfTrue="1" operator="equal">
      <formula>"PCG"</formula>
    </cfRule>
    <cfRule type="cellIs" dxfId="298" priority="322" stopIfTrue="1" operator="equal">
      <formula>"VAC"</formula>
    </cfRule>
    <cfRule type="cellIs" dxfId="297" priority="323" stopIfTrue="1" operator="equal">
      <formula>"INC"</formula>
    </cfRule>
    <cfRule type="cellIs" dxfId="296" priority="324" stopIfTrue="1" operator="equal">
      <formula>"PSG"</formula>
    </cfRule>
    <cfRule type="cellIs" dxfId="295" priority="325" stopIfTrue="1" operator="equal">
      <formula>"FALTA"</formula>
    </cfRule>
  </conditionalFormatting>
  <conditionalFormatting sqref="BM65">
    <cfRule type="cellIs" dxfId="294" priority="316" stopIfTrue="1" operator="equal">
      <formula>"PCG"</formula>
    </cfRule>
    <cfRule type="cellIs" dxfId="293" priority="317" stopIfTrue="1" operator="equal">
      <formula>"VAC"</formula>
    </cfRule>
    <cfRule type="cellIs" dxfId="292" priority="318" stopIfTrue="1" operator="equal">
      <formula>"INC"</formula>
    </cfRule>
    <cfRule type="cellIs" dxfId="291" priority="319" stopIfTrue="1" operator="equal">
      <formula>"PSG"</formula>
    </cfRule>
    <cfRule type="cellIs" dxfId="290" priority="320" stopIfTrue="1" operator="equal">
      <formula>"FALTA"</formula>
    </cfRule>
  </conditionalFormatting>
  <conditionalFormatting sqref="BI249">
    <cfRule type="cellIs" dxfId="289" priority="311" stopIfTrue="1" operator="equal">
      <formula>"PCG"</formula>
    </cfRule>
    <cfRule type="cellIs" dxfId="288" priority="312" stopIfTrue="1" operator="equal">
      <formula>"VAC"</formula>
    </cfRule>
    <cfRule type="cellIs" dxfId="287" priority="313" stopIfTrue="1" operator="equal">
      <formula>"INC"</formula>
    </cfRule>
    <cfRule type="cellIs" dxfId="286" priority="314" stopIfTrue="1" operator="equal">
      <formula>"PSG"</formula>
    </cfRule>
    <cfRule type="cellIs" dxfId="285" priority="315" stopIfTrue="1" operator="equal">
      <formula>"FALTA"</formula>
    </cfRule>
  </conditionalFormatting>
  <conditionalFormatting sqref="BV249">
    <cfRule type="cellIs" dxfId="284" priority="306" stopIfTrue="1" operator="equal">
      <formula>"PCG"</formula>
    </cfRule>
    <cfRule type="cellIs" dxfId="283" priority="307" stopIfTrue="1" operator="equal">
      <formula>"VAC"</formula>
    </cfRule>
    <cfRule type="cellIs" dxfId="282" priority="308" stopIfTrue="1" operator="equal">
      <formula>"INC"</formula>
    </cfRule>
    <cfRule type="cellIs" dxfId="281" priority="309" stopIfTrue="1" operator="equal">
      <formula>"PSG"</formula>
    </cfRule>
    <cfRule type="cellIs" dxfId="280" priority="310" stopIfTrue="1" operator="equal">
      <formula>"FALTA"</formula>
    </cfRule>
  </conditionalFormatting>
  <conditionalFormatting sqref="BI144">
    <cfRule type="cellIs" dxfId="279" priority="301" stopIfTrue="1" operator="equal">
      <formula>"PCG"</formula>
    </cfRule>
    <cfRule type="cellIs" dxfId="278" priority="302" stopIfTrue="1" operator="equal">
      <formula>"VAC"</formula>
    </cfRule>
    <cfRule type="cellIs" dxfId="277" priority="303" stopIfTrue="1" operator="equal">
      <formula>"INC"</formula>
    </cfRule>
    <cfRule type="cellIs" dxfId="276" priority="304" stopIfTrue="1" operator="equal">
      <formula>"PSG"</formula>
    </cfRule>
    <cfRule type="cellIs" dxfId="275" priority="305" stopIfTrue="1" operator="equal">
      <formula>"FALTA"</formula>
    </cfRule>
  </conditionalFormatting>
  <conditionalFormatting sqref="BI56">
    <cfRule type="cellIs" dxfId="274" priority="296" stopIfTrue="1" operator="equal">
      <formula>"PCG"</formula>
    </cfRule>
    <cfRule type="cellIs" dxfId="273" priority="297" stopIfTrue="1" operator="equal">
      <formula>"VAC"</formula>
    </cfRule>
    <cfRule type="cellIs" dxfId="272" priority="298" stopIfTrue="1" operator="equal">
      <formula>"INC"</formula>
    </cfRule>
    <cfRule type="cellIs" dxfId="271" priority="299" stopIfTrue="1" operator="equal">
      <formula>"PSG"</formula>
    </cfRule>
    <cfRule type="cellIs" dxfId="270" priority="300" stopIfTrue="1" operator="equal">
      <formula>"FALTA"</formula>
    </cfRule>
  </conditionalFormatting>
  <conditionalFormatting sqref="BV56">
    <cfRule type="cellIs" dxfId="269" priority="291" stopIfTrue="1" operator="equal">
      <formula>"PCG"</formula>
    </cfRule>
    <cfRule type="cellIs" dxfId="268" priority="292" stopIfTrue="1" operator="equal">
      <formula>"VAC"</formula>
    </cfRule>
    <cfRule type="cellIs" dxfId="267" priority="293" stopIfTrue="1" operator="equal">
      <formula>"INC"</formula>
    </cfRule>
    <cfRule type="cellIs" dxfId="266" priority="294" stopIfTrue="1" operator="equal">
      <formula>"PSG"</formula>
    </cfRule>
    <cfRule type="cellIs" dxfId="265" priority="295" stopIfTrue="1" operator="equal">
      <formula>"FALTA"</formula>
    </cfRule>
  </conditionalFormatting>
  <conditionalFormatting sqref="BI263">
    <cfRule type="cellIs" dxfId="264" priority="286" stopIfTrue="1" operator="equal">
      <formula>"PCG"</formula>
    </cfRule>
    <cfRule type="cellIs" dxfId="263" priority="287" stopIfTrue="1" operator="equal">
      <formula>"VAC"</formula>
    </cfRule>
    <cfRule type="cellIs" dxfId="262" priority="288" stopIfTrue="1" operator="equal">
      <formula>"INC"</formula>
    </cfRule>
    <cfRule type="cellIs" dxfId="261" priority="289" stopIfTrue="1" operator="equal">
      <formula>"PSG"</formula>
    </cfRule>
    <cfRule type="cellIs" dxfId="260" priority="290" stopIfTrue="1" operator="equal">
      <formula>"FALTA"</formula>
    </cfRule>
  </conditionalFormatting>
  <conditionalFormatting sqref="BI160">
    <cfRule type="cellIs" dxfId="259" priority="281" stopIfTrue="1" operator="equal">
      <formula>"PCG"</formula>
    </cfRule>
    <cfRule type="cellIs" dxfId="258" priority="282" stopIfTrue="1" operator="equal">
      <formula>"VAC"</formula>
    </cfRule>
    <cfRule type="cellIs" dxfId="257" priority="283" stopIfTrue="1" operator="equal">
      <formula>"INC"</formula>
    </cfRule>
    <cfRule type="cellIs" dxfId="256" priority="284" stopIfTrue="1" operator="equal">
      <formula>"PSG"</formula>
    </cfRule>
    <cfRule type="cellIs" dxfId="255" priority="285" stopIfTrue="1" operator="equal">
      <formula>"FALTA"</formula>
    </cfRule>
  </conditionalFormatting>
  <conditionalFormatting sqref="BV160">
    <cfRule type="cellIs" dxfId="254" priority="276" stopIfTrue="1" operator="equal">
      <formula>"PCG"</formula>
    </cfRule>
    <cfRule type="cellIs" dxfId="253" priority="277" stopIfTrue="1" operator="equal">
      <formula>"VAC"</formula>
    </cfRule>
    <cfRule type="cellIs" dxfId="252" priority="278" stopIfTrue="1" operator="equal">
      <formula>"INC"</formula>
    </cfRule>
    <cfRule type="cellIs" dxfId="251" priority="279" stopIfTrue="1" operator="equal">
      <formula>"PSG"</formula>
    </cfRule>
    <cfRule type="cellIs" dxfId="250" priority="280" stopIfTrue="1" operator="equal">
      <formula>"FALTA"</formula>
    </cfRule>
  </conditionalFormatting>
  <conditionalFormatting sqref="BV242">
    <cfRule type="cellIs" dxfId="249" priority="271" stopIfTrue="1" operator="equal">
      <formula>"PCG"</formula>
    </cfRule>
    <cfRule type="cellIs" dxfId="248" priority="272" stopIfTrue="1" operator="equal">
      <formula>"VAC"</formula>
    </cfRule>
    <cfRule type="cellIs" dxfId="247" priority="273" stopIfTrue="1" operator="equal">
      <formula>"INC"</formula>
    </cfRule>
    <cfRule type="cellIs" dxfId="246" priority="274" stopIfTrue="1" operator="equal">
      <formula>"PSG"</formula>
    </cfRule>
    <cfRule type="cellIs" dxfId="245" priority="275" stopIfTrue="1" operator="equal">
      <formula>"FALTA"</formula>
    </cfRule>
  </conditionalFormatting>
  <conditionalFormatting sqref="BV192">
    <cfRule type="cellIs" dxfId="244" priority="266" stopIfTrue="1" operator="equal">
      <formula>"PCG"</formula>
    </cfRule>
    <cfRule type="cellIs" dxfId="243" priority="267" stopIfTrue="1" operator="equal">
      <formula>"VAC"</formula>
    </cfRule>
    <cfRule type="cellIs" dxfId="242" priority="268" stopIfTrue="1" operator="equal">
      <formula>"INC"</formula>
    </cfRule>
    <cfRule type="cellIs" dxfId="241" priority="269" stopIfTrue="1" operator="equal">
      <formula>"PSG"</formula>
    </cfRule>
    <cfRule type="cellIs" dxfId="240" priority="270" stopIfTrue="1" operator="equal">
      <formula>"FALTA"</formula>
    </cfRule>
  </conditionalFormatting>
  <conditionalFormatting sqref="CI182">
    <cfRule type="cellIs" dxfId="239" priority="261" stopIfTrue="1" operator="equal">
      <formula>"PCG"</formula>
    </cfRule>
    <cfRule type="cellIs" dxfId="238" priority="262" stopIfTrue="1" operator="equal">
      <formula>"VAC"</formula>
    </cfRule>
    <cfRule type="cellIs" dxfId="237" priority="263" stopIfTrue="1" operator="equal">
      <formula>"INC"</formula>
    </cfRule>
    <cfRule type="cellIs" dxfId="236" priority="264" stopIfTrue="1" operator="equal">
      <formula>"PSG"</formula>
    </cfRule>
    <cfRule type="cellIs" dxfId="235" priority="265" stopIfTrue="1" operator="equal">
      <formula>"FALTA"</formula>
    </cfRule>
  </conditionalFormatting>
  <conditionalFormatting sqref="V192">
    <cfRule type="cellIs" dxfId="234" priority="256" stopIfTrue="1" operator="equal">
      <formula>"PCG"</formula>
    </cfRule>
    <cfRule type="cellIs" dxfId="233" priority="257" stopIfTrue="1" operator="equal">
      <formula>"VAC"</formula>
    </cfRule>
    <cfRule type="cellIs" dxfId="232" priority="258" stopIfTrue="1" operator="equal">
      <formula>"INC"</formula>
    </cfRule>
    <cfRule type="cellIs" dxfId="231" priority="259" stopIfTrue="1" operator="equal">
      <formula>"PSG"</formula>
    </cfRule>
    <cfRule type="cellIs" dxfId="230" priority="260" stopIfTrue="1" operator="equal">
      <formula>"FALTA"</formula>
    </cfRule>
  </conditionalFormatting>
  <conditionalFormatting sqref="AI192">
    <cfRule type="cellIs" dxfId="229" priority="251" stopIfTrue="1" operator="equal">
      <formula>"PCG"</formula>
    </cfRule>
    <cfRule type="cellIs" dxfId="228" priority="252" stopIfTrue="1" operator="equal">
      <formula>"VAC"</formula>
    </cfRule>
    <cfRule type="cellIs" dxfId="227" priority="253" stopIfTrue="1" operator="equal">
      <formula>"INC"</formula>
    </cfRule>
    <cfRule type="cellIs" dxfId="226" priority="254" stopIfTrue="1" operator="equal">
      <formula>"PSG"</formula>
    </cfRule>
    <cfRule type="cellIs" dxfId="225" priority="255" stopIfTrue="1" operator="equal">
      <formula>"FALTA"</formula>
    </cfRule>
  </conditionalFormatting>
  <conditionalFormatting sqref="BI192">
    <cfRule type="cellIs" dxfId="224" priority="246" stopIfTrue="1" operator="equal">
      <formula>"PCG"</formula>
    </cfRule>
    <cfRule type="cellIs" dxfId="223" priority="247" stopIfTrue="1" operator="equal">
      <formula>"VAC"</formula>
    </cfRule>
    <cfRule type="cellIs" dxfId="222" priority="248" stopIfTrue="1" operator="equal">
      <formula>"INC"</formula>
    </cfRule>
    <cfRule type="cellIs" dxfId="221" priority="249" stopIfTrue="1" operator="equal">
      <formula>"PSG"</formula>
    </cfRule>
    <cfRule type="cellIs" dxfId="220" priority="250" stopIfTrue="1" operator="equal">
      <formula>"FALTA"</formula>
    </cfRule>
  </conditionalFormatting>
  <conditionalFormatting sqref="BI174">
    <cfRule type="cellIs" dxfId="219" priority="241" stopIfTrue="1" operator="equal">
      <formula>"PCG"</formula>
    </cfRule>
    <cfRule type="cellIs" dxfId="218" priority="242" stopIfTrue="1" operator="equal">
      <formula>"VAC"</formula>
    </cfRule>
    <cfRule type="cellIs" dxfId="217" priority="243" stopIfTrue="1" operator="equal">
      <formula>"INC"</formula>
    </cfRule>
    <cfRule type="cellIs" dxfId="216" priority="244" stopIfTrue="1" operator="equal">
      <formula>"PSG"</formula>
    </cfRule>
    <cfRule type="cellIs" dxfId="215" priority="245" stopIfTrue="1" operator="equal">
      <formula>"FALTA"</formula>
    </cfRule>
  </conditionalFormatting>
  <conditionalFormatting sqref="BV174">
    <cfRule type="cellIs" dxfId="214" priority="236" stopIfTrue="1" operator="equal">
      <formula>"PCG"</formula>
    </cfRule>
    <cfRule type="cellIs" dxfId="213" priority="237" stopIfTrue="1" operator="equal">
      <formula>"VAC"</formula>
    </cfRule>
    <cfRule type="cellIs" dxfId="212" priority="238" stopIfTrue="1" operator="equal">
      <formula>"INC"</formula>
    </cfRule>
    <cfRule type="cellIs" dxfId="211" priority="239" stopIfTrue="1" operator="equal">
      <formula>"PSG"</formula>
    </cfRule>
    <cfRule type="cellIs" dxfId="210" priority="240" stopIfTrue="1" operator="equal">
      <formula>"FALTA"</formula>
    </cfRule>
  </conditionalFormatting>
  <conditionalFormatting sqref="CI174">
    <cfRule type="cellIs" dxfId="209" priority="231" stopIfTrue="1" operator="equal">
      <formula>"PCG"</formula>
    </cfRule>
    <cfRule type="cellIs" dxfId="208" priority="232" stopIfTrue="1" operator="equal">
      <formula>"VAC"</formula>
    </cfRule>
    <cfRule type="cellIs" dxfId="207" priority="233" stopIfTrue="1" operator="equal">
      <formula>"INC"</formula>
    </cfRule>
    <cfRule type="cellIs" dxfId="206" priority="234" stopIfTrue="1" operator="equal">
      <formula>"PSG"</formula>
    </cfRule>
    <cfRule type="cellIs" dxfId="205" priority="235" stopIfTrue="1" operator="equal">
      <formula>"FALTA"</formula>
    </cfRule>
  </conditionalFormatting>
  <conditionalFormatting sqref="BI254">
    <cfRule type="cellIs" dxfId="204" priority="226" stopIfTrue="1" operator="equal">
      <formula>"PCG"</formula>
    </cfRule>
    <cfRule type="cellIs" dxfId="203" priority="227" stopIfTrue="1" operator="equal">
      <formula>"VAC"</formula>
    </cfRule>
    <cfRule type="cellIs" dxfId="202" priority="228" stopIfTrue="1" operator="equal">
      <formula>"INC"</formula>
    </cfRule>
    <cfRule type="cellIs" dxfId="201" priority="229" stopIfTrue="1" operator="equal">
      <formula>"PSG"</formula>
    </cfRule>
    <cfRule type="cellIs" dxfId="200" priority="230" stopIfTrue="1" operator="equal">
      <formula>"FALTA"</formula>
    </cfRule>
  </conditionalFormatting>
  <conditionalFormatting sqref="BV254">
    <cfRule type="cellIs" dxfId="199" priority="221" stopIfTrue="1" operator="equal">
      <formula>"PCG"</formula>
    </cfRule>
    <cfRule type="cellIs" dxfId="198" priority="222" stopIfTrue="1" operator="equal">
      <formula>"VAC"</formula>
    </cfRule>
    <cfRule type="cellIs" dxfId="197" priority="223" stopIfTrue="1" operator="equal">
      <formula>"INC"</formula>
    </cfRule>
    <cfRule type="cellIs" dxfId="196" priority="224" stopIfTrue="1" operator="equal">
      <formula>"PSG"</formula>
    </cfRule>
    <cfRule type="cellIs" dxfId="195" priority="225" stopIfTrue="1" operator="equal">
      <formula>"FALTA"</formula>
    </cfRule>
  </conditionalFormatting>
  <conditionalFormatting sqref="CI254">
    <cfRule type="cellIs" dxfId="194" priority="216" stopIfTrue="1" operator="equal">
      <formula>"PCG"</formula>
    </cfRule>
    <cfRule type="cellIs" dxfId="193" priority="217" stopIfTrue="1" operator="equal">
      <formula>"VAC"</formula>
    </cfRule>
    <cfRule type="cellIs" dxfId="192" priority="218" stopIfTrue="1" operator="equal">
      <formula>"INC"</formula>
    </cfRule>
    <cfRule type="cellIs" dxfId="191" priority="219" stopIfTrue="1" operator="equal">
      <formula>"PSG"</formula>
    </cfRule>
    <cfRule type="cellIs" dxfId="190" priority="220" stopIfTrue="1" operator="equal">
      <formula>"FALTA"</formula>
    </cfRule>
  </conditionalFormatting>
  <conditionalFormatting sqref="V254">
    <cfRule type="cellIs" dxfId="189" priority="211" stopIfTrue="1" operator="equal">
      <formula>"PCG"</formula>
    </cfRule>
    <cfRule type="cellIs" dxfId="188" priority="212" stopIfTrue="1" operator="equal">
      <formula>"VAC"</formula>
    </cfRule>
    <cfRule type="cellIs" dxfId="187" priority="213" stopIfTrue="1" operator="equal">
      <formula>"INC"</formula>
    </cfRule>
    <cfRule type="cellIs" dxfId="186" priority="214" stopIfTrue="1" operator="equal">
      <formula>"PSG"</formula>
    </cfRule>
    <cfRule type="cellIs" dxfId="185" priority="215" stopIfTrue="1" operator="equal">
      <formula>"FALTA"</formula>
    </cfRule>
  </conditionalFormatting>
  <conditionalFormatting sqref="AI254">
    <cfRule type="cellIs" dxfId="184" priority="206" stopIfTrue="1" operator="equal">
      <formula>"PCG"</formula>
    </cfRule>
    <cfRule type="cellIs" dxfId="183" priority="207" stopIfTrue="1" operator="equal">
      <formula>"VAC"</formula>
    </cfRule>
    <cfRule type="cellIs" dxfId="182" priority="208" stopIfTrue="1" operator="equal">
      <formula>"INC"</formula>
    </cfRule>
    <cfRule type="cellIs" dxfId="181" priority="209" stopIfTrue="1" operator="equal">
      <formula>"PSG"</formula>
    </cfRule>
    <cfRule type="cellIs" dxfId="180" priority="210" stopIfTrue="1" operator="equal">
      <formula>"FALTA"</formula>
    </cfRule>
  </conditionalFormatting>
  <conditionalFormatting sqref="AV242">
    <cfRule type="cellIs" dxfId="179" priority="201" stopIfTrue="1" operator="equal">
      <formula>"PCG"</formula>
    </cfRule>
    <cfRule type="cellIs" dxfId="178" priority="202" stopIfTrue="1" operator="equal">
      <formula>"VAC"</formula>
    </cfRule>
    <cfRule type="cellIs" dxfId="177" priority="203" stopIfTrue="1" operator="equal">
      <formula>"INC"</formula>
    </cfRule>
    <cfRule type="cellIs" dxfId="176" priority="204" stopIfTrue="1" operator="equal">
      <formula>"PSG"</formula>
    </cfRule>
    <cfRule type="cellIs" dxfId="175" priority="205" stopIfTrue="1" operator="equal">
      <formula>"FALTA"</formula>
    </cfRule>
  </conditionalFormatting>
  <conditionalFormatting sqref="BI242">
    <cfRule type="cellIs" dxfId="174" priority="196" stopIfTrue="1" operator="equal">
      <formula>"PCG"</formula>
    </cfRule>
    <cfRule type="cellIs" dxfId="173" priority="197" stopIfTrue="1" operator="equal">
      <formula>"VAC"</formula>
    </cfRule>
    <cfRule type="cellIs" dxfId="172" priority="198" stopIfTrue="1" operator="equal">
      <formula>"INC"</formula>
    </cfRule>
    <cfRule type="cellIs" dxfId="171" priority="199" stopIfTrue="1" operator="equal">
      <formula>"PSG"</formula>
    </cfRule>
    <cfRule type="cellIs" dxfId="170" priority="200" stopIfTrue="1" operator="equal">
      <formula>"FALTA"</formula>
    </cfRule>
  </conditionalFormatting>
  <conditionalFormatting sqref="BI154">
    <cfRule type="cellIs" dxfId="169" priority="191" stopIfTrue="1" operator="equal">
      <formula>"PCG"</formula>
    </cfRule>
    <cfRule type="cellIs" dxfId="168" priority="192" stopIfTrue="1" operator="equal">
      <formula>"VAC"</formula>
    </cfRule>
    <cfRule type="cellIs" dxfId="167" priority="193" stopIfTrue="1" operator="equal">
      <formula>"INC"</formula>
    </cfRule>
    <cfRule type="cellIs" dxfId="166" priority="194" stopIfTrue="1" operator="equal">
      <formula>"PSG"</formula>
    </cfRule>
    <cfRule type="cellIs" dxfId="165" priority="195" stopIfTrue="1" operator="equal">
      <formula>"FALTA"</formula>
    </cfRule>
  </conditionalFormatting>
  <conditionalFormatting sqref="AI182">
    <cfRule type="cellIs" dxfId="164" priority="186" stopIfTrue="1" operator="equal">
      <formula>"PCG"</formula>
    </cfRule>
    <cfRule type="cellIs" dxfId="163" priority="187" stopIfTrue="1" operator="equal">
      <formula>"VAC"</formula>
    </cfRule>
    <cfRule type="cellIs" dxfId="162" priority="188" stopIfTrue="1" operator="equal">
      <formula>"INC"</formula>
    </cfRule>
    <cfRule type="cellIs" dxfId="161" priority="189" stopIfTrue="1" operator="equal">
      <formula>"PSG"</formula>
    </cfRule>
    <cfRule type="cellIs" dxfId="160" priority="190" stopIfTrue="1" operator="equal">
      <formula>"FALTA"</formula>
    </cfRule>
  </conditionalFormatting>
  <conditionalFormatting sqref="BI182">
    <cfRule type="cellIs" dxfId="159" priority="181" stopIfTrue="1" operator="equal">
      <formula>"PCG"</formula>
    </cfRule>
    <cfRule type="cellIs" dxfId="158" priority="182" stopIfTrue="1" operator="equal">
      <formula>"VAC"</formula>
    </cfRule>
    <cfRule type="cellIs" dxfId="157" priority="183" stopIfTrue="1" operator="equal">
      <formula>"INC"</formula>
    </cfRule>
    <cfRule type="cellIs" dxfId="156" priority="184" stopIfTrue="1" operator="equal">
      <formula>"PSG"</formula>
    </cfRule>
    <cfRule type="cellIs" dxfId="155" priority="185" stopIfTrue="1" operator="equal">
      <formula>"FALTA"</formula>
    </cfRule>
  </conditionalFormatting>
  <conditionalFormatting sqref="I223">
    <cfRule type="cellIs" dxfId="154" priority="176" stopIfTrue="1" operator="equal">
      <formula>"PCG"</formula>
    </cfRule>
    <cfRule type="cellIs" dxfId="153" priority="177" stopIfTrue="1" operator="equal">
      <formula>"VAC"</formula>
    </cfRule>
    <cfRule type="cellIs" dxfId="152" priority="178" stopIfTrue="1" operator="equal">
      <formula>"INC"</formula>
    </cfRule>
    <cfRule type="cellIs" dxfId="151" priority="179" stopIfTrue="1" operator="equal">
      <formula>"PSG"</formula>
    </cfRule>
    <cfRule type="cellIs" dxfId="150" priority="180" stopIfTrue="1" operator="equal">
      <formula>"FALTA"</formula>
    </cfRule>
  </conditionalFormatting>
  <conditionalFormatting sqref="V223">
    <cfRule type="cellIs" dxfId="149" priority="171" stopIfTrue="1" operator="equal">
      <formula>"PCG"</formula>
    </cfRule>
    <cfRule type="cellIs" dxfId="148" priority="172" stopIfTrue="1" operator="equal">
      <formula>"VAC"</formula>
    </cfRule>
    <cfRule type="cellIs" dxfId="147" priority="173" stopIfTrue="1" operator="equal">
      <formula>"INC"</formula>
    </cfRule>
    <cfRule type="cellIs" dxfId="146" priority="174" stopIfTrue="1" operator="equal">
      <formula>"PSG"</formula>
    </cfRule>
    <cfRule type="cellIs" dxfId="145" priority="175" stopIfTrue="1" operator="equal">
      <formula>"FALTA"</formula>
    </cfRule>
  </conditionalFormatting>
  <conditionalFormatting sqref="AI223">
    <cfRule type="cellIs" dxfId="144" priority="166" stopIfTrue="1" operator="equal">
      <formula>"PCG"</formula>
    </cfRule>
    <cfRule type="cellIs" dxfId="143" priority="167" stopIfTrue="1" operator="equal">
      <formula>"VAC"</formula>
    </cfRule>
    <cfRule type="cellIs" dxfId="142" priority="168" stopIfTrue="1" operator="equal">
      <formula>"INC"</formula>
    </cfRule>
    <cfRule type="cellIs" dxfId="141" priority="169" stopIfTrue="1" operator="equal">
      <formula>"PSG"</formula>
    </cfRule>
    <cfRule type="cellIs" dxfId="140" priority="170" stopIfTrue="1" operator="equal">
      <formula>"FALTA"</formula>
    </cfRule>
  </conditionalFormatting>
  <conditionalFormatting sqref="AV223">
    <cfRule type="cellIs" dxfId="139" priority="161" stopIfTrue="1" operator="equal">
      <formula>"PCG"</formula>
    </cfRule>
    <cfRule type="cellIs" dxfId="138" priority="162" stopIfTrue="1" operator="equal">
      <formula>"VAC"</formula>
    </cfRule>
    <cfRule type="cellIs" dxfId="137" priority="163" stopIfTrue="1" operator="equal">
      <formula>"INC"</formula>
    </cfRule>
    <cfRule type="cellIs" dxfId="136" priority="164" stopIfTrue="1" operator="equal">
      <formula>"PSG"</formula>
    </cfRule>
    <cfRule type="cellIs" dxfId="135" priority="165" stopIfTrue="1" operator="equal">
      <formula>"FALTA"</formula>
    </cfRule>
  </conditionalFormatting>
  <conditionalFormatting sqref="BI223">
    <cfRule type="cellIs" dxfId="134" priority="156" stopIfTrue="1" operator="equal">
      <formula>"PCG"</formula>
    </cfRule>
    <cfRule type="cellIs" dxfId="133" priority="157" stopIfTrue="1" operator="equal">
      <formula>"VAC"</formula>
    </cfRule>
    <cfRule type="cellIs" dxfId="132" priority="158" stopIfTrue="1" operator="equal">
      <formula>"INC"</formula>
    </cfRule>
    <cfRule type="cellIs" dxfId="131" priority="159" stopIfTrue="1" operator="equal">
      <formula>"PSG"</formula>
    </cfRule>
    <cfRule type="cellIs" dxfId="130" priority="160" stopIfTrue="1" operator="equal">
      <formula>"FALTA"</formula>
    </cfRule>
  </conditionalFormatting>
  <conditionalFormatting sqref="V71">
    <cfRule type="cellIs" dxfId="129" priority="151" stopIfTrue="1" operator="equal">
      <formula>"PCG"</formula>
    </cfRule>
    <cfRule type="cellIs" dxfId="128" priority="152" stopIfTrue="1" operator="equal">
      <formula>"VAC"</formula>
    </cfRule>
    <cfRule type="cellIs" dxfId="127" priority="153" stopIfTrue="1" operator="equal">
      <formula>"INC"</formula>
    </cfRule>
    <cfRule type="cellIs" dxfId="126" priority="154" stopIfTrue="1" operator="equal">
      <formula>"PSG"</formula>
    </cfRule>
    <cfRule type="cellIs" dxfId="125" priority="155" stopIfTrue="1" operator="equal">
      <formula>"FALTA"</formula>
    </cfRule>
  </conditionalFormatting>
  <conditionalFormatting sqref="AI71">
    <cfRule type="cellIs" dxfId="124" priority="146" stopIfTrue="1" operator="equal">
      <formula>"PCG"</formula>
    </cfRule>
    <cfRule type="cellIs" dxfId="123" priority="147" stopIfTrue="1" operator="equal">
      <formula>"VAC"</formula>
    </cfRule>
    <cfRule type="cellIs" dxfId="122" priority="148" stopIfTrue="1" operator="equal">
      <formula>"INC"</formula>
    </cfRule>
    <cfRule type="cellIs" dxfId="121" priority="149" stopIfTrue="1" operator="equal">
      <formula>"PSG"</formula>
    </cfRule>
    <cfRule type="cellIs" dxfId="120" priority="150" stopIfTrue="1" operator="equal">
      <formula>"FALTA"</formula>
    </cfRule>
  </conditionalFormatting>
  <conditionalFormatting sqref="AV71">
    <cfRule type="cellIs" dxfId="119" priority="141" stopIfTrue="1" operator="equal">
      <formula>"PCG"</formula>
    </cfRule>
    <cfRule type="cellIs" dxfId="118" priority="142" stopIfTrue="1" operator="equal">
      <formula>"VAC"</formula>
    </cfRule>
    <cfRule type="cellIs" dxfId="117" priority="143" stopIfTrue="1" operator="equal">
      <formula>"INC"</formula>
    </cfRule>
    <cfRule type="cellIs" dxfId="116" priority="144" stopIfTrue="1" operator="equal">
      <formula>"PSG"</formula>
    </cfRule>
    <cfRule type="cellIs" dxfId="115" priority="145" stopIfTrue="1" operator="equal">
      <formula>"FALTA"</formula>
    </cfRule>
  </conditionalFormatting>
  <conditionalFormatting sqref="BI71">
    <cfRule type="cellIs" dxfId="114" priority="136" stopIfTrue="1" operator="equal">
      <formula>"PCG"</formula>
    </cfRule>
    <cfRule type="cellIs" dxfId="113" priority="137" stopIfTrue="1" operator="equal">
      <formula>"VAC"</formula>
    </cfRule>
    <cfRule type="cellIs" dxfId="112" priority="138" stopIfTrue="1" operator="equal">
      <formula>"INC"</formula>
    </cfRule>
    <cfRule type="cellIs" dxfId="111" priority="139" stopIfTrue="1" operator="equal">
      <formula>"PSG"</formula>
    </cfRule>
    <cfRule type="cellIs" dxfId="110" priority="140" stopIfTrue="1" operator="equal">
      <formula>"FALTA"</formula>
    </cfRule>
  </conditionalFormatting>
  <conditionalFormatting sqref="V102">
    <cfRule type="cellIs" dxfId="109" priority="131" stopIfTrue="1" operator="equal">
      <formula>"PCG"</formula>
    </cfRule>
    <cfRule type="cellIs" dxfId="108" priority="132" stopIfTrue="1" operator="equal">
      <formula>"VAC"</formula>
    </cfRule>
    <cfRule type="cellIs" dxfId="107" priority="133" stopIfTrue="1" operator="equal">
      <formula>"INC"</formula>
    </cfRule>
    <cfRule type="cellIs" dxfId="106" priority="134" stopIfTrue="1" operator="equal">
      <formula>"PSG"</formula>
    </cfRule>
    <cfRule type="cellIs" dxfId="105" priority="135" stopIfTrue="1" operator="equal">
      <formula>"FALTA"</formula>
    </cfRule>
  </conditionalFormatting>
  <conditionalFormatting sqref="AI102">
    <cfRule type="cellIs" dxfId="104" priority="126" stopIfTrue="1" operator="equal">
      <formula>"PCG"</formula>
    </cfRule>
    <cfRule type="cellIs" dxfId="103" priority="127" stopIfTrue="1" operator="equal">
      <formula>"VAC"</formula>
    </cfRule>
    <cfRule type="cellIs" dxfId="102" priority="128" stopIfTrue="1" operator="equal">
      <formula>"INC"</formula>
    </cfRule>
    <cfRule type="cellIs" dxfId="101" priority="129" stopIfTrue="1" operator="equal">
      <formula>"PSG"</formula>
    </cfRule>
    <cfRule type="cellIs" dxfId="100" priority="130" stopIfTrue="1" operator="equal">
      <formula>"FALTA"</formula>
    </cfRule>
  </conditionalFormatting>
  <conditionalFormatting sqref="AV102">
    <cfRule type="cellIs" dxfId="99" priority="121" stopIfTrue="1" operator="equal">
      <formula>"PCG"</formula>
    </cfRule>
    <cfRule type="cellIs" dxfId="98" priority="122" stopIfTrue="1" operator="equal">
      <formula>"VAC"</formula>
    </cfRule>
    <cfRule type="cellIs" dxfId="97" priority="123" stopIfTrue="1" operator="equal">
      <formula>"INC"</formula>
    </cfRule>
    <cfRule type="cellIs" dxfId="96" priority="124" stopIfTrue="1" operator="equal">
      <formula>"PSG"</formula>
    </cfRule>
    <cfRule type="cellIs" dxfId="95" priority="125" stopIfTrue="1" operator="equal">
      <formula>"FALTA"</formula>
    </cfRule>
  </conditionalFormatting>
  <conditionalFormatting sqref="BI102">
    <cfRule type="cellIs" dxfId="94" priority="116" stopIfTrue="1" operator="equal">
      <formula>"PCG"</formula>
    </cfRule>
    <cfRule type="cellIs" dxfId="93" priority="117" stopIfTrue="1" operator="equal">
      <formula>"VAC"</formula>
    </cfRule>
    <cfRule type="cellIs" dxfId="92" priority="118" stopIfTrue="1" operator="equal">
      <formula>"INC"</formula>
    </cfRule>
    <cfRule type="cellIs" dxfId="91" priority="119" stopIfTrue="1" operator="equal">
      <formula>"PSG"</formula>
    </cfRule>
    <cfRule type="cellIs" dxfId="90" priority="120" stopIfTrue="1" operator="equal">
      <formula>"FALTA"</formula>
    </cfRule>
  </conditionalFormatting>
  <conditionalFormatting sqref="V80">
    <cfRule type="cellIs" dxfId="89" priority="111" stopIfTrue="1" operator="equal">
      <formula>"PCG"</formula>
    </cfRule>
    <cfRule type="cellIs" dxfId="88" priority="112" stopIfTrue="1" operator="equal">
      <formula>"VAC"</formula>
    </cfRule>
    <cfRule type="cellIs" dxfId="87" priority="113" stopIfTrue="1" operator="equal">
      <formula>"INC"</formula>
    </cfRule>
    <cfRule type="cellIs" dxfId="86" priority="114" stopIfTrue="1" operator="equal">
      <formula>"PSG"</formula>
    </cfRule>
    <cfRule type="cellIs" dxfId="85" priority="115" stopIfTrue="1" operator="equal">
      <formula>"FALTA"</formula>
    </cfRule>
  </conditionalFormatting>
  <conditionalFormatting sqref="AI80">
    <cfRule type="cellIs" dxfId="84" priority="106" stopIfTrue="1" operator="equal">
      <formula>"PCG"</formula>
    </cfRule>
    <cfRule type="cellIs" dxfId="83" priority="107" stopIfTrue="1" operator="equal">
      <formula>"VAC"</formula>
    </cfRule>
    <cfRule type="cellIs" dxfId="82" priority="108" stopIfTrue="1" operator="equal">
      <formula>"INC"</formula>
    </cfRule>
    <cfRule type="cellIs" dxfId="81" priority="109" stopIfTrue="1" operator="equal">
      <formula>"PSG"</formula>
    </cfRule>
    <cfRule type="cellIs" dxfId="80" priority="110" stopIfTrue="1" operator="equal">
      <formula>"FALTA"</formula>
    </cfRule>
  </conditionalFormatting>
  <conditionalFormatting sqref="AV80">
    <cfRule type="cellIs" dxfId="79" priority="101" stopIfTrue="1" operator="equal">
      <formula>"PCG"</formula>
    </cfRule>
    <cfRule type="cellIs" dxfId="78" priority="102" stopIfTrue="1" operator="equal">
      <formula>"VAC"</formula>
    </cfRule>
    <cfRule type="cellIs" dxfId="77" priority="103" stopIfTrue="1" operator="equal">
      <formula>"INC"</formula>
    </cfRule>
    <cfRule type="cellIs" dxfId="76" priority="104" stopIfTrue="1" operator="equal">
      <formula>"PSG"</formula>
    </cfRule>
    <cfRule type="cellIs" dxfId="75" priority="105" stopIfTrue="1" operator="equal">
      <formula>"FALTA"</formula>
    </cfRule>
  </conditionalFormatting>
  <conditionalFormatting sqref="AI228">
    <cfRule type="cellIs" dxfId="74" priority="86" stopIfTrue="1" operator="equal">
      <formula>"PCG"</formula>
    </cfRule>
    <cfRule type="cellIs" dxfId="73" priority="87" stopIfTrue="1" operator="equal">
      <formula>"VAC"</formula>
    </cfRule>
    <cfRule type="cellIs" dxfId="72" priority="88" stopIfTrue="1" operator="equal">
      <formula>"INC"</formula>
    </cfRule>
    <cfRule type="cellIs" dxfId="71" priority="89" stopIfTrue="1" operator="equal">
      <formula>"PSG"</formula>
    </cfRule>
    <cfRule type="cellIs" dxfId="70" priority="90" stopIfTrue="1" operator="equal">
      <formula>"FALTA"</formula>
    </cfRule>
  </conditionalFormatting>
  <conditionalFormatting sqref="AV228">
    <cfRule type="cellIs" dxfId="69" priority="81" stopIfTrue="1" operator="equal">
      <formula>"PCG"</formula>
    </cfRule>
    <cfRule type="cellIs" dxfId="68" priority="82" stopIfTrue="1" operator="equal">
      <formula>"VAC"</formula>
    </cfRule>
    <cfRule type="cellIs" dxfId="67" priority="83" stopIfTrue="1" operator="equal">
      <formula>"INC"</formula>
    </cfRule>
    <cfRule type="cellIs" dxfId="66" priority="84" stopIfTrue="1" operator="equal">
      <formula>"PSG"</formula>
    </cfRule>
    <cfRule type="cellIs" dxfId="65" priority="85" stopIfTrue="1" operator="equal">
      <formula>"FALTA"</formula>
    </cfRule>
  </conditionalFormatting>
  <conditionalFormatting sqref="I166">
    <cfRule type="cellIs" dxfId="64" priority="66" stopIfTrue="1" operator="equal">
      <formula>"PCG"</formula>
    </cfRule>
    <cfRule type="cellIs" dxfId="63" priority="67" stopIfTrue="1" operator="equal">
      <formula>"VAC"</formula>
    </cfRule>
    <cfRule type="cellIs" dxfId="62" priority="68" stopIfTrue="1" operator="equal">
      <formula>"INC"</formula>
    </cfRule>
    <cfRule type="cellIs" dxfId="61" priority="69" stopIfTrue="1" operator="equal">
      <formula>"PSG"</formula>
    </cfRule>
    <cfRule type="cellIs" dxfId="60" priority="70" stopIfTrue="1" operator="equal">
      <formula>"FALTA"</formula>
    </cfRule>
  </conditionalFormatting>
  <conditionalFormatting sqref="I271">
    <cfRule type="cellIs" dxfId="59" priority="61" stopIfTrue="1" operator="equal">
      <formula>"PCG"</formula>
    </cfRule>
    <cfRule type="cellIs" dxfId="58" priority="62" stopIfTrue="1" operator="equal">
      <formula>"VAC"</formula>
    </cfRule>
    <cfRule type="cellIs" dxfId="57" priority="63" stopIfTrue="1" operator="equal">
      <formula>"INC"</formula>
    </cfRule>
    <cfRule type="cellIs" dxfId="56" priority="64" stopIfTrue="1" operator="equal">
      <formula>"PSG"</formula>
    </cfRule>
    <cfRule type="cellIs" dxfId="55" priority="65" stopIfTrue="1" operator="equal">
      <formula>"FALTA"</formula>
    </cfRule>
  </conditionalFormatting>
  <conditionalFormatting sqref="V271">
    <cfRule type="cellIs" dxfId="54" priority="56" stopIfTrue="1" operator="equal">
      <formula>"PCG"</formula>
    </cfRule>
    <cfRule type="cellIs" dxfId="53" priority="57" stopIfTrue="1" operator="equal">
      <formula>"VAC"</formula>
    </cfRule>
    <cfRule type="cellIs" dxfId="52" priority="58" stopIfTrue="1" operator="equal">
      <formula>"INC"</formula>
    </cfRule>
    <cfRule type="cellIs" dxfId="51" priority="59" stopIfTrue="1" operator="equal">
      <formula>"PSG"</formula>
    </cfRule>
    <cfRule type="cellIs" dxfId="50" priority="60" stopIfTrue="1" operator="equal">
      <formula>"FALTA"</formula>
    </cfRule>
  </conditionalFormatting>
  <conditionalFormatting sqref="V166">
    <cfRule type="cellIs" dxfId="49" priority="51" stopIfTrue="1" operator="equal">
      <formula>"PCG"</formula>
    </cfRule>
    <cfRule type="cellIs" dxfId="48" priority="52" stopIfTrue="1" operator="equal">
      <formula>"VAC"</formula>
    </cfRule>
    <cfRule type="cellIs" dxfId="47" priority="53" stopIfTrue="1" operator="equal">
      <formula>"INC"</formula>
    </cfRule>
    <cfRule type="cellIs" dxfId="46" priority="54" stopIfTrue="1" operator="equal">
      <formula>"PSG"</formula>
    </cfRule>
    <cfRule type="cellIs" dxfId="45" priority="55" stopIfTrue="1" operator="equal">
      <formula>"FALTA"</formula>
    </cfRule>
  </conditionalFormatting>
  <conditionalFormatting sqref="V55">
    <cfRule type="cellIs" dxfId="44" priority="46" stopIfTrue="1" operator="equal">
      <formula>"PCG"</formula>
    </cfRule>
    <cfRule type="cellIs" dxfId="43" priority="47" stopIfTrue="1" operator="equal">
      <formula>"VAC"</formula>
    </cfRule>
    <cfRule type="cellIs" dxfId="42" priority="48" stopIfTrue="1" operator="equal">
      <formula>"INC"</formula>
    </cfRule>
    <cfRule type="cellIs" dxfId="41" priority="49" stopIfTrue="1" operator="equal">
      <formula>"PSG"</formula>
    </cfRule>
    <cfRule type="cellIs" dxfId="40" priority="50" stopIfTrue="1" operator="equal">
      <formula>"FALTA"</formula>
    </cfRule>
  </conditionalFormatting>
  <conditionalFormatting sqref="AI55">
    <cfRule type="cellIs" dxfId="39" priority="41" stopIfTrue="1" operator="equal">
      <formula>"PCG"</formula>
    </cfRule>
    <cfRule type="cellIs" dxfId="38" priority="42" stopIfTrue="1" operator="equal">
      <formula>"VAC"</formula>
    </cfRule>
    <cfRule type="cellIs" dxfId="37" priority="43" stopIfTrue="1" operator="equal">
      <formula>"INC"</formula>
    </cfRule>
    <cfRule type="cellIs" dxfId="36" priority="44" stopIfTrue="1" operator="equal">
      <formula>"PSG"</formula>
    </cfRule>
    <cfRule type="cellIs" dxfId="35" priority="45" stopIfTrue="1" operator="equal">
      <formula>"FALTA"</formula>
    </cfRule>
  </conditionalFormatting>
  <conditionalFormatting sqref="AI166">
    <cfRule type="cellIs" dxfId="34" priority="36" stopIfTrue="1" operator="equal">
      <formula>"PCG"</formula>
    </cfRule>
    <cfRule type="cellIs" dxfId="33" priority="37" stopIfTrue="1" operator="equal">
      <formula>"VAC"</formula>
    </cfRule>
    <cfRule type="cellIs" dxfId="32" priority="38" stopIfTrue="1" operator="equal">
      <formula>"INC"</formula>
    </cfRule>
    <cfRule type="cellIs" dxfId="31" priority="39" stopIfTrue="1" operator="equal">
      <formula>"PSG"</formula>
    </cfRule>
    <cfRule type="cellIs" dxfId="30" priority="40" stopIfTrue="1" operator="equal">
      <formula>"FALTA"</formula>
    </cfRule>
  </conditionalFormatting>
  <conditionalFormatting sqref="AI271">
    <cfRule type="cellIs" dxfId="29" priority="31" stopIfTrue="1" operator="equal">
      <formula>"PCG"</formula>
    </cfRule>
    <cfRule type="cellIs" dxfId="28" priority="32" stopIfTrue="1" operator="equal">
      <formula>"VAC"</formula>
    </cfRule>
    <cfRule type="cellIs" dxfId="27" priority="33" stopIfTrue="1" operator="equal">
      <formula>"INC"</formula>
    </cfRule>
    <cfRule type="cellIs" dxfId="26" priority="34" stopIfTrue="1" operator="equal">
      <formula>"PSG"</formula>
    </cfRule>
    <cfRule type="cellIs" dxfId="25" priority="35" stopIfTrue="1" operator="equal">
      <formula>"FALTA"</formula>
    </cfRule>
  </conditionalFormatting>
  <conditionalFormatting sqref="AV271">
    <cfRule type="cellIs" dxfId="24" priority="26" stopIfTrue="1" operator="equal">
      <formula>"PCG"</formula>
    </cfRule>
    <cfRule type="cellIs" dxfId="23" priority="27" stopIfTrue="1" operator="equal">
      <formula>"VAC"</formula>
    </cfRule>
    <cfRule type="cellIs" dxfId="22" priority="28" stopIfTrue="1" operator="equal">
      <formula>"INC"</formula>
    </cfRule>
    <cfRule type="cellIs" dxfId="21" priority="29" stopIfTrue="1" operator="equal">
      <formula>"PSG"</formula>
    </cfRule>
    <cfRule type="cellIs" dxfId="20" priority="30" stopIfTrue="1" operator="equal">
      <formula>"FALTA"</formula>
    </cfRule>
  </conditionalFormatting>
  <conditionalFormatting sqref="AV166">
    <cfRule type="cellIs" dxfId="19" priority="21" stopIfTrue="1" operator="equal">
      <formula>"PCG"</formula>
    </cfRule>
    <cfRule type="cellIs" dxfId="18" priority="22" stopIfTrue="1" operator="equal">
      <formula>"VAC"</formula>
    </cfRule>
    <cfRule type="cellIs" dxfId="17" priority="23" stopIfTrue="1" operator="equal">
      <formula>"INC"</formula>
    </cfRule>
    <cfRule type="cellIs" dxfId="16" priority="24" stopIfTrue="1" operator="equal">
      <formula>"PSG"</formula>
    </cfRule>
    <cfRule type="cellIs" dxfId="15" priority="25" stopIfTrue="1" operator="equal">
      <formula>"FALTA"</formula>
    </cfRule>
  </conditionalFormatting>
  <conditionalFormatting sqref="AV55">
    <cfRule type="cellIs" dxfId="14" priority="16" stopIfTrue="1" operator="equal">
      <formula>"PCG"</formula>
    </cfRule>
    <cfRule type="cellIs" dxfId="13" priority="17" stopIfTrue="1" operator="equal">
      <formula>"VAC"</formula>
    </cfRule>
    <cfRule type="cellIs" dxfId="12" priority="18" stopIfTrue="1" operator="equal">
      <formula>"INC"</formula>
    </cfRule>
    <cfRule type="cellIs" dxfId="11" priority="19" stopIfTrue="1" operator="equal">
      <formula>"PSG"</formula>
    </cfRule>
    <cfRule type="cellIs" dxfId="10" priority="20" stopIfTrue="1" operator="equal">
      <formula>"FALTA"</formula>
    </cfRule>
  </conditionalFormatting>
  <conditionalFormatting sqref="BI55">
    <cfRule type="cellIs" dxfId="9" priority="11" stopIfTrue="1" operator="equal">
      <formula>"PCG"</formula>
    </cfRule>
    <cfRule type="cellIs" dxfId="8" priority="12" stopIfTrue="1" operator="equal">
      <formula>"VAC"</formula>
    </cfRule>
    <cfRule type="cellIs" dxfId="7" priority="13" stopIfTrue="1" operator="equal">
      <formula>"INC"</formula>
    </cfRule>
    <cfRule type="cellIs" dxfId="6" priority="14" stopIfTrue="1" operator="equal">
      <formula>"PSG"</formula>
    </cfRule>
    <cfRule type="cellIs" dxfId="5" priority="15" stopIfTrue="1" operator="equal">
      <formula>"FALTA"</formula>
    </cfRule>
  </conditionalFormatting>
  <conditionalFormatting sqref="BI166">
    <cfRule type="cellIs" dxfId="4" priority="6" stopIfTrue="1" operator="equal">
      <formula>"PCG"</formula>
    </cfRule>
    <cfRule type="cellIs" dxfId="3" priority="7" stopIfTrue="1" operator="equal">
      <formula>"VAC"</formula>
    </cfRule>
    <cfRule type="cellIs" dxfId="2" priority="8" stopIfTrue="1" operator="equal">
      <formula>"INC"</formula>
    </cfRule>
    <cfRule type="cellIs" dxfId="1" priority="9" stopIfTrue="1" operator="equal">
      <formula>"PSG"</formula>
    </cfRule>
    <cfRule type="cellIs" dxfId="0" priority="10" stopIfTrue="1" operator="equal">
      <formula>"FALTA"</formula>
    </cfRule>
  </conditionalFormatting>
  <dataValidations disablePrompts="1" count="1">
    <dataValidation type="list" allowBlank="1" showInputMessage="1" showErrorMessage="1" sqref="U679 CH679 H679 AU679 AH679 BH679 BU679" xr:uid="{00000000-0002-0000-0200-000000000000}">
      <formula1>$EI$1:$EI$5</formula1>
    </dataValidation>
  </dataValidations>
  <pageMargins left="0.59055118110236227" right="0.74803149606299213" top="0.39370078740157483" bottom="0.31496062992125984" header="0.19685039370078741" footer="0.39370078740157483"/>
  <pageSetup paperSize="5" scale="43" fitToHeight="4" orientation="landscape" r:id="rId5"/>
  <headerFooter>
    <oddHeader>&amp;C&amp;"-,Negrita"&amp;18FECHA DE PAGO 11/10/2019</oddHeader>
    <oddFooter>&amp;R&amp;P de &amp;N</oddFooter>
  </headerFooter>
  <drawing r:id="rId6"/>
  <legacyDrawing r:id="rId7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8" name="Button 1">
              <controlPr defaultSize="0" print="0" autoFill="0" autoPict="0" macro="[0]!llenandoFormato">
                <anchor moveWithCells="1" sizeWithCells="1">
                  <from>
                    <xdr:col>3</xdr:col>
                    <xdr:colOff>819150</xdr:colOff>
                    <xdr:row>1</xdr:row>
                    <xdr:rowOff>0</xdr:rowOff>
                  </from>
                  <to>
                    <xdr:col>5</xdr:col>
                    <xdr:colOff>57150</xdr:colOff>
                    <xdr:row>4</xdr:row>
                    <xdr:rowOff>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disablePrompts="1" count="1">
        <x14:dataValidation type="list" allowBlank="1" showInputMessage="1" showErrorMessage="1" xr:uid="{00000000-0002-0000-0200-000001000000}">
          <x14:formula1>
            <xm:f>HORAS!$B$1:$M$1</xm:f>
          </x14:formula1>
          <xm:sqref>AU7:AU141 BH7:BH678 U7:U678 BU7:BU678 CH7:CH678 AH7:AH678 H7:H678 AU143:AU678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C32871-EAD1-4B49-B3F9-8A661608C0FF}">
  <sheetPr codeName="Hoja5">
    <pageSetUpPr fitToPage="1"/>
  </sheetPr>
  <dimension ref="B1:G27"/>
  <sheetViews>
    <sheetView showGridLines="0" zoomScale="85" zoomScaleNormal="85" workbookViewId="0">
      <selection activeCell="C4" sqref="C4"/>
    </sheetView>
  </sheetViews>
  <sheetFormatPr baseColWidth="10" defaultRowHeight="15" x14ac:dyDescent="0.25"/>
  <cols>
    <col min="2" max="2" width="26" bestFit="1" customWidth="1"/>
    <col min="3" max="3" width="14.85546875" customWidth="1"/>
    <col min="4" max="4" width="19.28515625" customWidth="1"/>
    <col min="5" max="5" width="34.140625" bestFit="1" customWidth="1"/>
    <col min="6" max="6" width="36.42578125" customWidth="1"/>
    <col min="7" max="7" width="15.140625" customWidth="1"/>
  </cols>
  <sheetData>
    <row r="1" spans="2:7" x14ac:dyDescent="0.25">
      <c r="C1" s="168"/>
      <c r="D1" s="168"/>
      <c r="E1" s="168"/>
      <c r="F1" s="168"/>
      <c r="G1" s="168"/>
    </row>
    <row r="3" spans="2:7" ht="15.75" thickBot="1" x14ac:dyDescent="0.3"/>
    <row r="4" spans="2:7" x14ac:dyDescent="0.25">
      <c r="B4" s="180" t="s">
        <v>62</v>
      </c>
      <c r="C4" s="189" t="s">
        <v>154</v>
      </c>
      <c r="D4" s="193" t="s">
        <v>151</v>
      </c>
      <c r="E4" s="181" t="s">
        <v>139</v>
      </c>
      <c r="F4" s="194" t="s">
        <v>155</v>
      </c>
      <c r="G4" s="195" t="s">
        <v>152</v>
      </c>
    </row>
    <row r="5" spans="2:7" x14ac:dyDescent="0.25">
      <c r="B5" s="182" t="s">
        <v>63</v>
      </c>
      <c r="C5" s="168"/>
      <c r="D5" s="168"/>
      <c r="E5" s="183" t="s">
        <v>10</v>
      </c>
      <c r="F5" s="168"/>
      <c r="G5" s="190"/>
    </row>
    <row r="6" spans="2:7" x14ac:dyDescent="0.25">
      <c r="B6" s="182"/>
      <c r="C6" s="168"/>
      <c r="D6" s="168"/>
      <c r="E6" s="183" t="s">
        <v>65</v>
      </c>
      <c r="F6" s="168"/>
      <c r="G6" s="190"/>
    </row>
    <row r="7" spans="2:7" ht="15.75" thickBot="1" x14ac:dyDescent="0.3">
      <c r="B7" s="184"/>
      <c r="C7" s="191"/>
      <c r="D7" s="191"/>
      <c r="E7" s="185" t="s">
        <v>140</v>
      </c>
      <c r="F7" s="171"/>
      <c r="G7" s="192"/>
    </row>
    <row r="8" spans="2:7" ht="15.75" thickBot="1" x14ac:dyDescent="0.3">
      <c r="B8" s="162"/>
      <c r="C8" s="168"/>
      <c r="D8" s="168"/>
      <c r="E8" s="162"/>
      <c r="F8" s="168"/>
      <c r="G8" s="168"/>
    </row>
    <row r="9" spans="2:7" x14ac:dyDescent="0.25">
      <c r="B9" s="186" t="s">
        <v>96</v>
      </c>
      <c r="C9" s="170"/>
      <c r="D9" s="174"/>
      <c r="E9" s="187" t="s">
        <v>28</v>
      </c>
      <c r="F9" s="211"/>
      <c r="G9" s="212"/>
    </row>
    <row r="10" spans="2:7" x14ac:dyDescent="0.25">
      <c r="B10" s="183" t="s">
        <v>13</v>
      </c>
      <c r="C10" s="169"/>
      <c r="D10" s="172"/>
      <c r="E10" s="183" t="s">
        <v>72</v>
      </c>
      <c r="F10" s="203"/>
      <c r="G10" s="204"/>
    </row>
    <row r="11" spans="2:7" x14ac:dyDescent="0.25">
      <c r="B11" s="183" t="s">
        <v>14</v>
      </c>
      <c r="C11" s="169"/>
      <c r="D11" s="172"/>
      <c r="E11" s="183" t="s">
        <v>141</v>
      </c>
      <c r="F11" s="203"/>
      <c r="G11" s="204"/>
    </row>
    <row r="12" spans="2:7" x14ac:dyDescent="0.25">
      <c r="B12" s="183" t="s">
        <v>99</v>
      </c>
      <c r="C12" s="169"/>
      <c r="D12" s="172"/>
      <c r="E12" s="183" t="s">
        <v>92</v>
      </c>
      <c r="F12" s="203"/>
      <c r="G12" s="204"/>
    </row>
    <row r="13" spans="2:7" x14ac:dyDescent="0.25">
      <c r="B13" s="183" t="s">
        <v>69</v>
      </c>
      <c r="C13" s="169"/>
      <c r="D13" s="172"/>
      <c r="E13" s="183" t="s">
        <v>93</v>
      </c>
      <c r="F13" s="203"/>
      <c r="G13" s="204"/>
    </row>
    <row r="14" spans="2:7" x14ac:dyDescent="0.25">
      <c r="B14" s="183" t="s">
        <v>19</v>
      </c>
      <c r="C14" s="169"/>
      <c r="D14" s="172"/>
      <c r="E14" s="183" t="s">
        <v>94</v>
      </c>
      <c r="F14" s="203"/>
      <c r="G14" s="204"/>
    </row>
    <row r="15" spans="2:7" x14ac:dyDescent="0.25">
      <c r="B15" s="183" t="s">
        <v>15</v>
      </c>
      <c r="C15" s="169"/>
      <c r="D15" s="172"/>
      <c r="E15" s="183"/>
      <c r="F15" s="203"/>
      <c r="G15" s="204"/>
    </row>
    <row r="16" spans="2:7" x14ac:dyDescent="0.25">
      <c r="B16" s="183" t="s">
        <v>142</v>
      </c>
      <c r="C16" s="169"/>
      <c r="D16" s="172"/>
      <c r="E16" s="183"/>
      <c r="F16" s="203"/>
      <c r="G16" s="204"/>
    </row>
    <row r="17" spans="2:7" x14ac:dyDescent="0.25">
      <c r="B17" s="183" t="s">
        <v>143</v>
      </c>
      <c r="C17" s="169"/>
      <c r="D17" s="172"/>
      <c r="E17" s="183"/>
      <c r="F17" s="203"/>
      <c r="G17" s="204"/>
    </row>
    <row r="18" spans="2:7" x14ac:dyDescent="0.25">
      <c r="B18" s="183" t="s">
        <v>104</v>
      </c>
      <c r="C18" s="169"/>
      <c r="D18" s="172"/>
      <c r="E18" s="183"/>
      <c r="F18" s="203"/>
      <c r="G18" s="204"/>
    </row>
    <row r="19" spans="2:7" x14ac:dyDescent="0.25">
      <c r="B19" s="183" t="s">
        <v>156</v>
      </c>
      <c r="C19" s="169"/>
      <c r="D19" s="172"/>
      <c r="E19" s="183"/>
      <c r="F19" s="203"/>
      <c r="G19" s="204"/>
    </row>
    <row r="20" spans="2:7" x14ac:dyDescent="0.25">
      <c r="B20" s="183"/>
      <c r="C20" s="169"/>
      <c r="D20" s="172"/>
      <c r="E20" s="183"/>
      <c r="F20" s="203"/>
      <c r="G20" s="204"/>
    </row>
    <row r="21" spans="2:7" ht="15.75" thickBot="1" x14ac:dyDescent="0.3">
      <c r="B21" s="185"/>
      <c r="C21" s="171"/>
      <c r="D21" s="173"/>
      <c r="E21" s="185"/>
      <c r="F21" s="205"/>
      <c r="G21" s="206"/>
    </row>
    <row r="22" spans="2:7" ht="15.75" thickBot="1" x14ac:dyDescent="0.3">
      <c r="B22" s="162"/>
      <c r="C22" s="168"/>
      <c r="D22" s="163"/>
      <c r="E22" s="162"/>
      <c r="F22" s="163"/>
      <c r="G22" s="168"/>
    </row>
    <row r="23" spans="2:7" ht="15.75" thickBot="1" x14ac:dyDescent="0.3">
      <c r="B23" s="164" t="s">
        <v>144</v>
      </c>
      <c r="C23" s="209">
        <f>SUM(D9:D21)</f>
        <v>0</v>
      </c>
      <c r="D23" s="210"/>
      <c r="E23" s="164" t="s">
        <v>145</v>
      </c>
      <c r="F23" s="209">
        <f>SUM(F9:F21)</f>
        <v>0</v>
      </c>
      <c r="G23" s="210"/>
    </row>
    <row r="24" spans="2:7" ht="15.75" thickBot="1" x14ac:dyDescent="0.3">
      <c r="B24" s="168"/>
      <c r="C24" s="168"/>
      <c r="D24" s="168"/>
      <c r="E24" s="162"/>
      <c r="F24" s="168"/>
      <c r="G24" s="168"/>
    </row>
    <row r="25" spans="2:7" x14ac:dyDescent="0.25">
      <c r="B25" s="168"/>
      <c r="C25" s="168"/>
      <c r="D25" s="168"/>
      <c r="E25" s="165" t="s">
        <v>146</v>
      </c>
      <c r="F25" s="207">
        <f>SUM(D9:D21)</f>
        <v>0</v>
      </c>
      <c r="G25" s="208"/>
    </row>
    <row r="26" spans="2:7" x14ac:dyDescent="0.25">
      <c r="B26" s="168"/>
      <c r="C26" s="168"/>
      <c r="D26" s="168"/>
      <c r="E26" s="166" t="s">
        <v>147</v>
      </c>
      <c r="F26" s="199">
        <f>SUM(F9:G21)</f>
        <v>0</v>
      </c>
      <c r="G26" s="200"/>
    </row>
    <row r="27" spans="2:7" ht="21.75" customHeight="1" thickBot="1" x14ac:dyDescent="0.3">
      <c r="B27" s="168"/>
      <c r="C27" s="168"/>
      <c r="D27" s="168"/>
      <c r="E27" s="167" t="s">
        <v>77</v>
      </c>
      <c r="F27" s="201">
        <f>F25-F26</f>
        <v>0</v>
      </c>
      <c r="G27" s="202"/>
    </row>
  </sheetData>
  <mergeCells count="18">
    <mergeCell ref="C23:D23"/>
    <mergeCell ref="F23:G23"/>
    <mergeCell ref="F18:G18"/>
    <mergeCell ref="F12:G12"/>
    <mergeCell ref="F9:G9"/>
    <mergeCell ref="F10:G10"/>
    <mergeCell ref="F11:G11"/>
    <mergeCell ref="F13:G13"/>
    <mergeCell ref="F14:G14"/>
    <mergeCell ref="F15:G15"/>
    <mergeCell ref="F16:G16"/>
    <mergeCell ref="F17:G17"/>
    <mergeCell ref="F26:G26"/>
    <mergeCell ref="F27:G27"/>
    <mergeCell ref="F19:G19"/>
    <mergeCell ref="F20:G20"/>
    <mergeCell ref="F21:G21"/>
    <mergeCell ref="F25:G25"/>
  </mergeCells>
  <pageMargins left="0.7" right="0.7" top="0.75" bottom="0.75" header="0.3" footer="0.3"/>
  <pageSetup scale="79" orientation="landscape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Hoja4"/>
  <dimension ref="C6:G8"/>
  <sheetViews>
    <sheetView workbookViewId="0">
      <selection activeCell="B10" sqref="B10"/>
    </sheetView>
  </sheetViews>
  <sheetFormatPr baseColWidth="10" defaultColWidth="11.42578125" defaultRowHeight="15" x14ac:dyDescent="0.25"/>
  <cols>
    <col min="3" max="3" width="4.7109375" bestFit="1" customWidth="1"/>
    <col min="4" max="5" width="16.7109375" bestFit="1" customWidth="1"/>
    <col min="6" max="6" width="13" bestFit="1" customWidth="1"/>
    <col min="8" max="8" width="3" bestFit="1" customWidth="1"/>
  </cols>
  <sheetData>
    <row r="6" spans="3:7" ht="15.75" x14ac:dyDescent="0.3">
      <c r="C6" s="7"/>
      <c r="G6" s="105"/>
    </row>
    <row r="7" spans="3:7" ht="15.75" x14ac:dyDescent="0.3">
      <c r="C7" s="7"/>
      <c r="G7" s="105"/>
    </row>
    <row r="8" spans="3:7" x14ac:dyDescent="0.25">
      <c r="C8" s="7"/>
    </row>
  </sheetData>
  <customSheetViews>
    <customSheetView guid="{DB9894F0-96BC-4C04-8D04-FF3607BEBF53}">
      <selection activeCell="B10" sqref="B10"/>
      <pageMargins left="0" right="0" top="0" bottom="0" header="0" footer="0"/>
    </customSheetView>
    <customSheetView guid="{8D8BE001-C296-444A-B8AC-56385A059ADB}">
      <selection activeCell="B10" sqref="B10"/>
      <pageMargins left="0" right="0" top="0" bottom="0" header="0" footer="0"/>
    </customSheetView>
    <customSheetView guid="{5A7B666F-E305-4A9E-98DD-F5DEC8A780A3}">
      <selection activeCell="B10" sqref="B10"/>
      <pageMargins left="0" right="0" top="0" bottom="0" header="0" footer="0"/>
    </customSheetView>
    <customSheetView guid="{A8BCBFE8-6A1E-4872-B017-B3136BC584DB}">
      <selection activeCell="B10" sqref="B10"/>
      <pageMargins left="0" right="0" top="0" bottom="0" header="0" footer="0"/>
    </customSheetView>
  </customSheetView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Hoja6"/>
  <dimension ref="A1:DM625"/>
  <sheetViews>
    <sheetView workbookViewId="0">
      <selection activeCell="C1" sqref="C1"/>
    </sheetView>
  </sheetViews>
  <sheetFormatPr baseColWidth="10" defaultColWidth="11.42578125" defaultRowHeight="15" x14ac:dyDescent="0.25"/>
  <cols>
    <col min="2" max="2" width="42.140625" bestFit="1" customWidth="1"/>
    <col min="3" max="3" width="12.5703125" bestFit="1" customWidth="1"/>
    <col min="5" max="5" width="12.5703125" bestFit="1" customWidth="1"/>
    <col min="6" max="8" width="11.85546875" bestFit="1" customWidth="1"/>
    <col min="9" max="9" width="37.140625" bestFit="1" customWidth="1"/>
    <col min="10" max="10" width="35.42578125" bestFit="1" customWidth="1"/>
  </cols>
  <sheetData>
    <row r="1" spans="1:7" x14ac:dyDescent="0.25">
      <c r="A1" s="106">
        <v>1</v>
      </c>
      <c r="B1" s="107" t="s">
        <v>112</v>
      </c>
      <c r="C1" s="108">
        <v>1001.8</v>
      </c>
      <c r="D1" s="7" t="s">
        <v>115</v>
      </c>
      <c r="E1" s="109">
        <v>1218320287</v>
      </c>
      <c r="F1">
        <f t="shared" ref="F1:F64" si="0">LEN(E1)</f>
        <v>10</v>
      </c>
      <c r="G1" s="93" t="str">
        <f t="shared" ref="G1:G64" si="1">IF(LEN(B1)&gt;28,MID(B1,1,28),B1)</f>
        <v>Aboytes Colmenero Jose Franc</v>
      </c>
    </row>
    <row r="2" spans="1:7" x14ac:dyDescent="0.25">
      <c r="A2" s="106">
        <v>2</v>
      </c>
      <c r="B2" s="107"/>
      <c r="C2" s="108"/>
      <c r="D2" s="7" t="s">
        <v>115</v>
      </c>
      <c r="E2" s="109"/>
      <c r="F2">
        <f t="shared" si="0"/>
        <v>0</v>
      </c>
      <c r="G2" s="93">
        <f t="shared" si="1"/>
        <v>0</v>
      </c>
    </row>
    <row r="3" spans="1:7" x14ac:dyDescent="0.25">
      <c r="A3" s="106">
        <v>3</v>
      </c>
      <c r="B3" s="107"/>
      <c r="C3" s="108"/>
      <c r="D3" s="7" t="s">
        <v>115</v>
      </c>
      <c r="E3" s="109"/>
      <c r="F3">
        <f t="shared" si="0"/>
        <v>0</v>
      </c>
      <c r="G3" s="93">
        <f t="shared" si="1"/>
        <v>0</v>
      </c>
    </row>
    <row r="4" spans="1:7" x14ac:dyDescent="0.25">
      <c r="A4" s="106">
        <v>4</v>
      </c>
      <c r="B4" s="107"/>
      <c r="C4" s="108"/>
      <c r="D4" s="7" t="s">
        <v>115</v>
      </c>
      <c r="E4" s="109"/>
      <c r="F4">
        <f t="shared" si="0"/>
        <v>0</v>
      </c>
      <c r="G4" s="93">
        <f t="shared" si="1"/>
        <v>0</v>
      </c>
    </row>
    <row r="5" spans="1:7" x14ac:dyDescent="0.25">
      <c r="A5" s="106">
        <v>5</v>
      </c>
      <c r="B5" s="107"/>
      <c r="C5" s="108"/>
      <c r="D5" s="7" t="s">
        <v>115</v>
      </c>
      <c r="E5" s="109"/>
      <c r="F5">
        <f t="shared" si="0"/>
        <v>0</v>
      </c>
      <c r="G5" s="93">
        <f t="shared" si="1"/>
        <v>0</v>
      </c>
    </row>
    <row r="6" spans="1:7" x14ac:dyDescent="0.25">
      <c r="A6" s="106">
        <v>6</v>
      </c>
      <c r="B6" s="107"/>
      <c r="C6" s="108"/>
      <c r="D6" s="7" t="s">
        <v>115</v>
      </c>
      <c r="E6" s="109"/>
      <c r="F6">
        <f t="shared" si="0"/>
        <v>0</v>
      </c>
      <c r="G6" s="93">
        <f t="shared" si="1"/>
        <v>0</v>
      </c>
    </row>
    <row r="7" spans="1:7" x14ac:dyDescent="0.25">
      <c r="A7" s="106">
        <v>7</v>
      </c>
      <c r="B7" s="107"/>
      <c r="C7" s="108"/>
      <c r="D7" s="7" t="s">
        <v>115</v>
      </c>
      <c r="E7" s="110"/>
      <c r="F7">
        <f t="shared" si="0"/>
        <v>0</v>
      </c>
      <c r="G7" s="93">
        <f t="shared" si="1"/>
        <v>0</v>
      </c>
    </row>
    <row r="8" spans="1:7" x14ac:dyDescent="0.25">
      <c r="A8" s="106">
        <v>8</v>
      </c>
      <c r="B8" s="107"/>
      <c r="C8" s="108"/>
      <c r="D8" s="7" t="s">
        <v>115</v>
      </c>
      <c r="E8" s="109"/>
      <c r="F8">
        <f t="shared" si="0"/>
        <v>0</v>
      </c>
      <c r="G8" s="93">
        <f t="shared" si="1"/>
        <v>0</v>
      </c>
    </row>
    <row r="9" spans="1:7" x14ac:dyDescent="0.25">
      <c r="A9" s="106">
        <v>9</v>
      </c>
      <c r="B9" s="107"/>
      <c r="C9" s="108"/>
      <c r="D9" s="7" t="s">
        <v>115</v>
      </c>
      <c r="E9" s="110"/>
      <c r="F9">
        <f t="shared" si="0"/>
        <v>0</v>
      </c>
      <c r="G9" s="93">
        <f t="shared" si="1"/>
        <v>0</v>
      </c>
    </row>
    <row r="10" spans="1:7" x14ac:dyDescent="0.25">
      <c r="A10" s="106">
        <v>10</v>
      </c>
      <c r="B10" s="107"/>
      <c r="C10" s="108"/>
      <c r="D10" s="7" t="s">
        <v>115</v>
      </c>
      <c r="E10" s="109"/>
      <c r="F10">
        <f t="shared" si="0"/>
        <v>0</v>
      </c>
      <c r="G10" s="93">
        <f t="shared" si="1"/>
        <v>0</v>
      </c>
    </row>
    <row r="11" spans="1:7" x14ac:dyDescent="0.25">
      <c r="A11" s="106">
        <v>11</v>
      </c>
      <c r="B11" s="107"/>
      <c r="C11" s="108"/>
      <c r="D11" s="7" t="s">
        <v>115</v>
      </c>
      <c r="E11" s="109"/>
      <c r="F11">
        <f t="shared" si="0"/>
        <v>0</v>
      </c>
      <c r="G11" s="93">
        <f t="shared" si="1"/>
        <v>0</v>
      </c>
    </row>
    <row r="12" spans="1:7" x14ac:dyDescent="0.25">
      <c r="A12" s="106">
        <v>12</v>
      </c>
      <c r="B12" s="107"/>
      <c r="C12" s="108"/>
      <c r="D12" s="7" t="s">
        <v>115</v>
      </c>
      <c r="E12" s="109"/>
      <c r="F12">
        <f t="shared" si="0"/>
        <v>0</v>
      </c>
      <c r="G12" s="93">
        <f t="shared" si="1"/>
        <v>0</v>
      </c>
    </row>
    <row r="13" spans="1:7" x14ac:dyDescent="0.25">
      <c r="A13" s="106">
        <v>13</v>
      </c>
      <c r="B13" s="107"/>
      <c r="C13" s="108"/>
      <c r="D13" s="7" t="s">
        <v>115</v>
      </c>
      <c r="E13" s="109"/>
      <c r="F13">
        <f t="shared" si="0"/>
        <v>0</v>
      </c>
      <c r="G13" s="93">
        <f t="shared" si="1"/>
        <v>0</v>
      </c>
    </row>
    <row r="14" spans="1:7" x14ac:dyDescent="0.25">
      <c r="A14" s="106">
        <v>14</v>
      </c>
      <c r="B14" s="107"/>
      <c r="C14" s="108"/>
      <c r="D14" s="7" t="s">
        <v>115</v>
      </c>
      <c r="E14" s="109"/>
      <c r="F14">
        <f t="shared" si="0"/>
        <v>0</v>
      </c>
      <c r="G14" s="93">
        <f t="shared" si="1"/>
        <v>0</v>
      </c>
    </row>
    <row r="15" spans="1:7" x14ac:dyDescent="0.25">
      <c r="A15" s="106">
        <v>15</v>
      </c>
      <c r="B15" s="107"/>
      <c r="C15" s="108"/>
      <c r="D15" s="7" t="s">
        <v>115</v>
      </c>
      <c r="E15" s="110"/>
      <c r="F15">
        <f t="shared" si="0"/>
        <v>0</v>
      </c>
      <c r="G15" s="93">
        <f t="shared" si="1"/>
        <v>0</v>
      </c>
    </row>
    <row r="16" spans="1:7" x14ac:dyDescent="0.25">
      <c r="A16" s="106">
        <v>16</v>
      </c>
      <c r="B16" s="107"/>
      <c r="C16" s="108"/>
      <c r="D16" s="7" t="s">
        <v>115</v>
      </c>
      <c r="E16" s="109"/>
      <c r="F16">
        <f t="shared" si="0"/>
        <v>0</v>
      </c>
      <c r="G16" s="93">
        <f t="shared" si="1"/>
        <v>0</v>
      </c>
    </row>
    <row r="17" spans="1:7" x14ac:dyDescent="0.25">
      <c r="A17" s="106">
        <v>17</v>
      </c>
      <c r="B17" s="107"/>
      <c r="C17" s="108"/>
      <c r="D17" s="7" t="s">
        <v>115</v>
      </c>
      <c r="E17" s="110"/>
      <c r="F17">
        <f t="shared" si="0"/>
        <v>0</v>
      </c>
      <c r="G17" s="93">
        <f t="shared" si="1"/>
        <v>0</v>
      </c>
    </row>
    <row r="18" spans="1:7" x14ac:dyDescent="0.25">
      <c r="A18" s="106">
        <v>18</v>
      </c>
      <c r="B18" s="5"/>
      <c r="C18" s="108"/>
      <c r="D18" s="7" t="s">
        <v>115</v>
      </c>
      <c r="E18" s="109"/>
      <c r="F18">
        <f t="shared" si="0"/>
        <v>0</v>
      </c>
      <c r="G18" s="93">
        <f t="shared" si="1"/>
        <v>0</v>
      </c>
    </row>
    <row r="19" spans="1:7" x14ac:dyDescent="0.25">
      <c r="A19" s="106">
        <v>19</v>
      </c>
      <c r="B19" s="107"/>
      <c r="C19" s="108"/>
      <c r="D19" s="7" t="s">
        <v>115</v>
      </c>
      <c r="E19" s="109"/>
      <c r="F19">
        <f t="shared" si="0"/>
        <v>0</v>
      </c>
      <c r="G19" s="93">
        <f t="shared" si="1"/>
        <v>0</v>
      </c>
    </row>
    <row r="20" spans="1:7" x14ac:dyDescent="0.25">
      <c r="A20" s="106">
        <v>20</v>
      </c>
      <c r="B20" s="5"/>
      <c r="C20" s="108"/>
      <c r="D20" s="7" t="s">
        <v>115</v>
      </c>
      <c r="E20" s="109"/>
      <c r="F20">
        <f t="shared" si="0"/>
        <v>0</v>
      </c>
      <c r="G20" s="93">
        <f t="shared" si="1"/>
        <v>0</v>
      </c>
    </row>
    <row r="21" spans="1:7" x14ac:dyDescent="0.25">
      <c r="A21" s="106">
        <v>21</v>
      </c>
      <c r="B21" s="107"/>
      <c r="C21" s="108"/>
      <c r="D21" s="7" t="s">
        <v>115</v>
      </c>
      <c r="E21" s="110"/>
      <c r="F21">
        <f t="shared" si="0"/>
        <v>0</v>
      </c>
      <c r="G21" s="93">
        <f t="shared" si="1"/>
        <v>0</v>
      </c>
    </row>
    <row r="22" spans="1:7" x14ac:dyDescent="0.25">
      <c r="A22" s="106">
        <v>22</v>
      </c>
      <c r="B22" s="107"/>
      <c r="C22" s="108"/>
      <c r="D22" s="7" t="s">
        <v>115</v>
      </c>
      <c r="E22" s="109"/>
      <c r="F22">
        <f t="shared" si="0"/>
        <v>0</v>
      </c>
      <c r="G22" s="93">
        <f t="shared" si="1"/>
        <v>0</v>
      </c>
    </row>
    <row r="23" spans="1:7" x14ac:dyDescent="0.25">
      <c r="A23" s="106">
        <v>23</v>
      </c>
      <c r="B23" s="107"/>
      <c r="C23" s="108"/>
      <c r="D23" s="7" t="s">
        <v>115</v>
      </c>
      <c r="E23" s="110"/>
      <c r="F23">
        <f t="shared" si="0"/>
        <v>0</v>
      </c>
      <c r="G23" s="93">
        <f t="shared" si="1"/>
        <v>0</v>
      </c>
    </row>
    <row r="24" spans="1:7" x14ac:dyDescent="0.25">
      <c r="A24" s="106">
        <v>24</v>
      </c>
      <c r="B24" s="107"/>
      <c r="C24" s="108"/>
      <c r="D24" s="7" t="s">
        <v>115</v>
      </c>
      <c r="E24" s="109"/>
      <c r="F24">
        <f t="shared" si="0"/>
        <v>0</v>
      </c>
      <c r="G24" s="93">
        <f t="shared" si="1"/>
        <v>0</v>
      </c>
    </row>
    <row r="25" spans="1:7" x14ac:dyDescent="0.25">
      <c r="A25" s="106">
        <v>25</v>
      </c>
      <c r="B25" s="107"/>
      <c r="C25" s="108"/>
      <c r="D25" s="7" t="s">
        <v>115</v>
      </c>
      <c r="E25" s="109"/>
      <c r="F25">
        <f t="shared" si="0"/>
        <v>0</v>
      </c>
      <c r="G25" s="93">
        <f t="shared" si="1"/>
        <v>0</v>
      </c>
    </row>
    <row r="26" spans="1:7" x14ac:dyDescent="0.25">
      <c r="A26" s="106">
        <v>26</v>
      </c>
      <c r="B26" s="107"/>
      <c r="C26" s="108"/>
      <c r="D26" s="7" t="s">
        <v>115</v>
      </c>
      <c r="E26" s="109"/>
      <c r="F26">
        <f t="shared" si="0"/>
        <v>0</v>
      </c>
      <c r="G26" s="93">
        <f t="shared" si="1"/>
        <v>0</v>
      </c>
    </row>
    <row r="27" spans="1:7" x14ac:dyDescent="0.25">
      <c r="A27" s="106">
        <v>27</v>
      </c>
      <c r="B27" s="107"/>
      <c r="C27" s="108"/>
      <c r="D27" s="7" t="s">
        <v>115</v>
      </c>
      <c r="E27" s="110"/>
      <c r="F27">
        <f t="shared" si="0"/>
        <v>0</v>
      </c>
      <c r="G27" s="93">
        <f t="shared" si="1"/>
        <v>0</v>
      </c>
    </row>
    <row r="28" spans="1:7" x14ac:dyDescent="0.25">
      <c r="A28" s="106">
        <v>28</v>
      </c>
      <c r="B28" s="107"/>
      <c r="C28" s="108"/>
      <c r="D28" s="7" t="s">
        <v>115</v>
      </c>
      <c r="E28" s="109"/>
      <c r="F28">
        <f t="shared" si="0"/>
        <v>0</v>
      </c>
      <c r="G28" s="93">
        <f t="shared" si="1"/>
        <v>0</v>
      </c>
    </row>
    <row r="29" spans="1:7" x14ac:dyDescent="0.25">
      <c r="A29" s="106">
        <v>29</v>
      </c>
      <c r="B29" s="107"/>
      <c r="C29" s="108"/>
      <c r="D29" s="7" t="s">
        <v>115</v>
      </c>
      <c r="E29" s="109"/>
      <c r="F29">
        <f t="shared" si="0"/>
        <v>0</v>
      </c>
      <c r="G29" s="93">
        <f t="shared" si="1"/>
        <v>0</v>
      </c>
    </row>
    <row r="30" spans="1:7" x14ac:dyDescent="0.25">
      <c r="A30" s="106">
        <v>30</v>
      </c>
      <c r="B30" s="107"/>
      <c r="C30" s="108"/>
      <c r="D30" s="7" t="s">
        <v>115</v>
      </c>
      <c r="E30" s="109"/>
      <c r="F30">
        <f t="shared" si="0"/>
        <v>0</v>
      </c>
      <c r="G30" s="93">
        <f t="shared" si="1"/>
        <v>0</v>
      </c>
    </row>
    <row r="31" spans="1:7" x14ac:dyDescent="0.25">
      <c r="A31" s="106">
        <v>31</v>
      </c>
      <c r="B31" s="107"/>
      <c r="C31" s="108"/>
      <c r="D31" s="7" t="s">
        <v>115</v>
      </c>
      <c r="E31" s="110"/>
      <c r="F31">
        <f t="shared" si="0"/>
        <v>0</v>
      </c>
      <c r="G31" s="93">
        <f t="shared" si="1"/>
        <v>0</v>
      </c>
    </row>
    <row r="32" spans="1:7" x14ac:dyDescent="0.25">
      <c r="A32" s="106">
        <v>32</v>
      </c>
      <c r="B32" s="107"/>
      <c r="C32" s="108"/>
      <c r="D32" s="7" t="s">
        <v>115</v>
      </c>
      <c r="E32" s="109"/>
      <c r="F32">
        <f t="shared" si="0"/>
        <v>0</v>
      </c>
      <c r="G32" s="93">
        <f t="shared" si="1"/>
        <v>0</v>
      </c>
    </row>
    <row r="33" spans="1:7" x14ac:dyDescent="0.25">
      <c r="A33" s="106">
        <v>33</v>
      </c>
      <c r="B33" s="107"/>
      <c r="C33" s="108"/>
      <c r="D33" s="7" t="s">
        <v>115</v>
      </c>
      <c r="E33" s="109"/>
      <c r="F33">
        <f t="shared" si="0"/>
        <v>0</v>
      </c>
      <c r="G33" s="93">
        <f t="shared" si="1"/>
        <v>0</v>
      </c>
    </row>
    <row r="34" spans="1:7" x14ac:dyDescent="0.25">
      <c r="A34" s="106">
        <v>34</v>
      </c>
      <c r="B34" s="107"/>
      <c r="C34" s="108"/>
      <c r="D34" s="7" t="s">
        <v>115</v>
      </c>
      <c r="E34" s="109"/>
      <c r="F34">
        <f t="shared" si="0"/>
        <v>0</v>
      </c>
      <c r="G34" s="93">
        <f t="shared" si="1"/>
        <v>0</v>
      </c>
    </row>
    <row r="35" spans="1:7" x14ac:dyDescent="0.25">
      <c r="A35" s="106">
        <v>35</v>
      </c>
      <c r="B35" s="107"/>
      <c r="C35" s="108"/>
      <c r="D35" s="7" t="s">
        <v>115</v>
      </c>
      <c r="E35" s="109"/>
      <c r="F35">
        <f t="shared" si="0"/>
        <v>0</v>
      </c>
      <c r="G35" s="93">
        <f t="shared" si="1"/>
        <v>0</v>
      </c>
    </row>
    <row r="36" spans="1:7" x14ac:dyDescent="0.25">
      <c r="A36" s="106">
        <v>36</v>
      </c>
      <c r="B36" s="107"/>
      <c r="C36" s="108"/>
      <c r="D36" s="7" t="s">
        <v>115</v>
      </c>
      <c r="E36" s="109"/>
      <c r="F36">
        <f t="shared" si="0"/>
        <v>0</v>
      </c>
      <c r="G36" s="93">
        <f t="shared" si="1"/>
        <v>0</v>
      </c>
    </row>
    <row r="37" spans="1:7" x14ac:dyDescent="0.25">
      <c r="A37" s="106">
        <v>37</v>
      </c>
      <c r="B37" s="107"/>
      <c r="C37" s="108"/>
      <c r="D37" s="7" t="s">
        <v>115</v>
      </c>
      <c r="E37" s="110"/>
      <c r="F37">
        <f t="shared" si="0"/>
        <v>0</v>
      </c>
      <c r="G37" s="93">
        <f t="shared" si="1"/>
        <v>0</v>
      </c>
    </row>
    <row r="38" spans="1:7" x14ac:dyDescent="0.25">
      <c r="A38" s="106">
        <v>38</v>
      </c>
      <c r="B38" s="107"/>
      <c r="C38" s="108"/>
      <c r="D38" s="7" t="s">
        <v>115</v>
      </c>
      <c r="E38" s="109"/>
      <c r="F38">
        <f t="shared" si="0"/>
        <v>0</v>
      </c>
      <c r="G38" s="93">
        <f t="shared" si="1"/>
        <v>0</v>
      </c>
    </row>
    <row r="39" spans="1:7" x14ac:dyDescent="0.25">
      <c r="A39" s="106">
        <v>39</v>
      </c>
      <c r="B39" s="107"/>
      <c r="C39" s="108"/>
      <c r="D39" s="7" t="s">
        <v>115</v>
      </c>
      <c r="E39" s="110"/>
      <c r="F39">
        <f t="shared" si="0"/>
        <v>0</v>
      </c>
      <c r="G39" s="93">
        <f t="shared" si="1"/>
        <v>0</v>
      </c>
    </row>
    <row r="40" spans="1:7" x14ac:dyDescent="0.25">
      <c r="A40" s="106">
        <v>40</v>
      </c>
      <c r="B40" s="107"/>
      <c r="C40" s="108"/>
      <c r="D40" s="7" t="s">
        <v>115</v>
      </c>
      <c r="E40" s="109"/>
      <c r="F40">
        <f t="shared" si="0"/>
        <v>0</v>
      </c>
      <c r="G40" s="93">
        <f t="shared" si="1"/>
        <v>0</v>
      </c>
    </row>
    <row r="41" spans="1:7" x14ac:dyDescent="0.25">
      <c r="A41" s="106">
        <v>41</v>
      </c>
      <c r="B41" s="107"/>
      <c r="C41" s="108"/>
      <c r="D41" s="7" t="s">
        <v>115</v>
      </c>
      <c r="E41" s="109"/>
      <c r="F41">
        <f t="shared" si="0"/>
        <v>0</v>
      </c>
      <c r="G41" s="93">
        <f t="shared" si="1"/>
        <v>0</v>
      </c>
    </row>
    <row r="42" spans="1:7" x14ac:dyDescent="0.25">
      <c r="A42" s="106">
        <v>42</v>
      </c>
      <c r="B42" s="107"/>
      <c r="C42" s="108"/>
      <c r="D42" s="7" t="s">
        <v>115</v>
      </c>
      <c r="E42" s="109"/>
      <c r="F42">
        <f t="shared" si="0"/>
        <v>0</v>
      </c>
      <c r="G42" s="93">
        <f t="shared" si="1"/>
        <v>0</v>
      </c>
    </row>
    <row r="43" spans="1:7" x14ac:dyDescent="0.25">
      <c r="A43" s="106">
        <v>43</v>
      </c>
      <c r="B43" s="107"/>
      <c r="C43" s="108"/>
      <c r="D43" s="7" t="s">
        <v>115</v>
      </c>
      <c r="E43" s="109"/>
      <c r="F43">
        <f t="shared" si="0"/>
        <v>0</v>
      </c>
      <c r="G43" s="93">
        <f t="shared" si="1"/>
        <v>0</v>
      </c>
    </row>
    <row r="44" spans="1:7" x14ac:dyDescent="0.25">
      <c r="A44" s="106">
        <v>45</v>
      </c>
      <c r="B44" s="107"/>
      <c r="C44" s="108"/>
      <c r="D44" s="7" t="s">
        <v>115</v>
      </c>
      <c r="E44" s="110"/>
      <c r="F44">
        <f t="shared" si="0"/>
        <v>0</v>
      </c>
      <c r="G44" s="93">
        <f t="shared" si="1"/>
        <v>0</v>
      </c>
    </row>
    <row r="45" spans="1:7" x14ac:dyDescent="0.25">
      <c r="A45" s="106">
        <v>46</v>
      </c>
      <c r="B45" s="107"/>
      <c r="C45" s="108"/>
      <c r="D45" s="7" t="s">
        <v>115</v>
      </c>
      <c r="E45" s="110"/>
      <c r="F45">
        <f t="shared" si="0"/>
        <v>0</v>
      </c>
      <c r="G45" s="93">
        <f t="shared" si="1"/>
        <v>0</v>
      </c>
    </row>
    <row r="46" spans="1:7" x14ac:dyDescent="0.25">
      <c r="A46" s="106">
        <v>47</v>
      </c>
      <c r="B46" s="107"/>
      <c r="C46" s="108"/>
      <c r="D46" s="7" t="s">
        <v>115</v>
      </c>
      <c r="E46" s="110"/>
      <c r="F46">
        <f t="shared" si="0"/>
        <v>0</v>
      </c>
      <c r="G46" s="93">
        <f t="shared" si="1"/>
        <v>0</v>
      </c>
    </row>
    <row r="47" spans="1:7" x14ac:dyDescent="0.25">
      <c r="A47" s="106">
        <v>48</v>
      </c>
      <c r="B47" s="107"/>
      <c r="C47" s="108"/>
      <c r="D47" s="7" t="s">
        <v>115</v>
      </c>
      <c r="E47" s="109"/>
      <c r="F47">
        <f t="shared" si="0"/>
        <v>0</v>
      </c>
      <c r="G47" s="93">
        <f t="shared" si="1"/>
        <v>0</v>
      </c>
    </row>
    <row r="48" spans="1:7" x14ac:dyDescent="0.25">
      <c r="A48" s="106">
        <v>49</v>
      </c>
      <c r="B48" s="107"/>
      <c r="C48" s="108"/>
      <c r="D48" s="7" t="s">
        <v>115</v>
      </c>
      <c r="E48" s="109"/>
      <c r="F48">
        <f t="shared" si="0"/>
        <v>0</v>
      </c>
      <c r="G48" s="93">
        <f t="shared" si="1"/>
        <v>0</v>
      </c>
    </row>
    <row r="49" spans="1:7" x14ac:dyDescent="0.25">
      <c r="A49" s="106">
        <v>50</v>
      </c>
      <c r="B49" s="107"/>
      <c r="C49" s="108"/>
      <c r="D49" s="7" t="s">
        <v>115</v>
      </c>
      <c r="E49" s="110"/>
      <c r="F49">
        <f t="shared" si="0"/>
        <v>0</v>
      </c>
      <c r="G49" s="93">
        <f t="shared" si="1"/>
        <v>0</v>
      </c>
    </row>
    <row r="50" spans="1:7" x14ac:dyDescent="0.25">
      <c r="A50" s="106">
        <v>51</v>
      </c>
      <c r="B50" s="107"/>
      <c r="C50" s="108"/>
      <c r="D50" s="7" t="s">
        <v>115</v>
      </c>
      <c r="E50" s="109"/>
      <c r="F50">
        <f t="shared" si="0"/>
        <v>0</v>
      </c>
      <c r="G50" s="93">
        <f t="shared" si="1"/>
        <v>0</v>
      </c>
    </row>
    <row r="51" spans="1:7" x14ac:dyDescent="0.25">
      <c r="A51" s="106">
        <v>52</v>
      </c>
      <c r="B51" s="107"/>
      <c r="C51" s="108"/>
      <c r="D51" s="7" t="s">
        <v>115</v>
      </c>
      <c r="E51" s="109"/>
      <c r="F51">
        <f t="shared" si="0"/>
        <v>0</v>
      </c>
      <c r="G51" s="93">
        <f t="shared" si="1"/>
        <v>0</v>
      </c>
    </row>
    <row r="52" spans="1:7" x14ac:dyDescent="0.25">
      <c r="A52" s="106">
        <v>53</v>
      </c>
      <c r="B52" s="107"/>
      <c r="C52" s="108"/>
      <c r="D52" s="7" t="s">
        <v>115</v>
      </c>
      <c r="E52" s="109"/>
      <c r="F52">
        <f t="shared" si="0"/>
        <v>0</v>
      </c>
      <c r="G52" s="93">
        <f t="shared" si="1"/>
        <v>0</v>
      </c>
    </row>
    <row r="53" spans="1:7" x14ac:dyDescent="0.25">
      <c r="A53" s="106">
        <v>54</v>
      </c>
      <c r="B53" s="107"/>
      <c r="C53" s="108"/>
      <c r="D53" s="7" t="s">
        <v>115</v>
      </c>
      <c r="E53" s="109"/>
      <c r="F53">
        <f t="shared" si="0"/>
        <v>0</v>
      </c>
      <c r="G53" s="93">
        <f t="shared" si="1"/>
        <v>0</v>
      </c>
    </row>
    <row r="54" spans="1:7" x14ac:dyDescent="0.25">
      <c r="A54" s="106">
        <v>55</v>
      </c>
      <c r="B54" s="107"/>
      <c r="C54" s="108"/>
      <c r="D54" s="7" t="s">
        <v>115</v>
      </c>
      <c r="E54" s="109"/>
      <c r="F54">
        <f t="shared" si="0"/>
        <v>0</v>
      </c>
      <c r="G54" s="93">
        <f t="shared" si="1"/>
        <v>0</v>
      </c>
    </row>
    <row r="55" spans="1:7" x14ac:dyDescent="0.25">
      <c r="A55" s="106">
        <v>56</v>
      </c>
      <c r="B55" s="107"/>
      <c r="C55" s="108"/>
      <c r="D55" s="7" t="s">
        <v>115</v>
      </c>
      <c r="E55" s="109"/>
      <c r="F55">
        <f t="shared" si="0"/>
        <v>0</v>
      </c>
      <c r="G55" s="93">
        <f t="shared" si="1"/>
        <v>0</v>
      </c>
    </row>
    <row r="56" spans="1:7" x14ac:dyDescent="0.25">
      <c r="A56" s="106">
        <v>57</v>
      </c>
      <c r="B56" s="107"/>
      <c r="C56" s="108"/>
      <c r="D56" s="7" t="s">
        <v>115</v>
      </c>
      <c r="E56" s="109"/>
      <c r="F56">
        <f t="shared" si="0"/>
        <v>0</v>
      </c>
      <c r="G56" s="93">
        <f t="shared" si="1"/>
        <v>0</v>
      </c>
    </row>
    <row r="57" spans="1:7" x14ac:dyDescent="0.25">
      <c r="A57" s="106">
        <v>58</v>
      </c>
      <c r="B57" s="107"/>
      <c r="C57" s="108"/>
      <c r="D57" s="7" t="s">
        <v>115</v>
      </c>
      <c r="E57" s="109"/>
      <c r="F57">
        <f t="shared" si="0"/>
        <v>0</v>
      </c>
      <c r="G57" s="93">
        <f t="shared" si="1"/>
        <v>0</v>
      </c>
    </row>
    <row r="58" spans="1:7" x14ac:dyDescent="0.25">
      <c r="A58" s="106">
        <v>59</v>
      </c>
      <c r="B58" s="107"/>
      <c r="C58" s="108"/>
      <c r="D58" s="7" t="s">
        <v>115</v>
      </c>
      <c r="E58" s="109"/>
      <c r="F58">
        <f t="shared" si="0"/>
        <v>0</v>
      </c>
      <c r="G58" s="93">
        <f t="shared" si="1"/>
        <v>0</v>
      </c>
    </row>
    <row r="59" spans="1:7" x14ac:dyDescent="0.25">
      <c r="A59" s="106">
        <v>60</v>
      </c>
      <c r="B59" s="107"/>
      <c r="C59" s="108"/>
      <c r="D59" s="7" t="s">
        <v>115</v>
      </c>
      <c r="E59" s="109"/>
      <c r="F59">
        <f t="shared" si="0"/>
        <v>0</v>
      </c>
      <c r="G59" s="93">
        <f t="shared" si="1"/>
        <v>0</v>
      </c>
    </row>
    <row r="60" spans="1:7" x14ac:dyDescent="0.25">
      <c r="A60" s="106">
        <v>61</v>
      </c>
      <c r="B60" s="107"/>
      <c r="C60" s="108"/>
      <c r="D60" s="7" t="s">
        <v>115</v>
      </c>
      <c r="E60" s="110"/>
      <c r="F60">
        <f t="shared" si="0"/>
        <v>0</v>
      </c>
      <c r="G60" s="93">
        <f t="shared" si="1"/>
        <v>0</v>
      </c>
    </row>
    <row r="61" spans="1:7" x14ac:dyDescent="0.25">
      <c r="A61" s="106">
        <v>62</v>
      </c>
      <c r="B61" s="107"/>
      <c r="C61" s="108"/>
      <c r="D61" s="7" t="s">
        <v>115</v>
      </c>
      <c r="E61" s="109"/>
      <c r="F61">
        <f t="shared" si="0"/>
        <v>0</v>
      </c>
      <c r="G61" s="93">
        <f t="shared" si="1"/>
        <v>0</v>
      </c>
    </row>
    <row r="62" spans="1:7" x14ac:dyDescent="0.25">
      <c r="A62" s="106">
        <v>63</v>
      </c>
      <c r="B62" s="107"/>
      <c r="C62" s="108"/>
      <c r="D62" s="7" t="s">
        <v>115</v>
      </c>
      <c r="E62" s="109"/>
      <c r="F62">
        <f t="shared" si="0"/>
        <v>0</v>
      </c>
      <c r="G62" s="93">
        <f t="shared" si="1"/>
        <v>0</v>
      </c>
    </row>
    <row r="63" spans="1:7" x14ac:dyDescent="0.25">
      <c r="A63" s="106">
        <v>64</v>
      </c>
      <c r="B63" s="107"/>
      <c r="C63" s="108"/>
      <c r="D63" s="7" t="s">
        <v>115</v>
      </c>
      <c r="E63" s="109"/>
      <c r="F63">
        <f t="shared" si="0"/>
        <v>0</v>
      </c>
      <c r="G63" s="93">
        <f t="shared" si="1"/>
        <v>0</v>
      </c>
    </row>
    <row r="64" spans="1:7" x14ac:dyDescent="0.25">
      <c r="A64" s="106">
        <v>65</v>
      </c>
      <c r="B64" s="107"/>
      <c r="C64" s="108"/>
      <c r="D64" s="7" t="s">
        <v>115</v>
      </c>
      <c r="E64" s="109"/>
      <c r="F64">
        <f t="shared" si="0"/>
        <v>0</v>
      </c>
      <c r="G64" s="93">
        <f t="shared" si="1"/>
        <v>0</v>
      </c>
    </row>
    <row r="65" spans="1:7" x14ac:dyDescent="0.25">
      <c r="A65" s="106">
        <v>66</v>
      </c>
      <c r="B65" s="107"/>
      <c r="C65" s="108"/>
      <c r="D65" s="7" t="s">
        <v>115</v>
      </c>
      <c r="E65" s="109"/>
      <c r="F65">
        <f t="shared" ref="F65:F128" si="2">LEN(E65)</f>
        <v>0</v>
      </c>
      <c r="G65" s="93">
        <f t="shared" ref="G65:G128" si="3">IF(LEN(B65)&gt;28,MID(B65,1,28),B65)</f>
        <v>0</v>
      </c>
    </row>
    <row r="66" spans="1:7" x14ac:dyDescent="0.25">
      <c r="A66" s="106">
        <v>67</v>
      </c>
      <c r="B66" s="107"/>
      <c r="C66" s="108"/>
      <c r="D66" s="7" t="s">
        <v>115</v>
      </c>
      <c r="E66" s="109"/>
      <c r="F66">
        <f t="shared" si="2"/>
        <v>0</v>
      </c>
      <c r="G66" s="93">
        <f t="shared" si="3"/>
        <v>0</v>
      </c>
    </row>
    <row r="67" spans="1:7" x14ac:dyDescent="0.25">
      <c r="A67" s="106">
        <v>68</v>
      </c>
      <c r="B67" s="107"/>
      <c r="C67" s="108"/>
      <c r="D67" s="7" t="s">
        <v>115</v>
      </c>
      <c r="E67" s="109"/>
      <c r="F67">
        <f t="shared" si="2"/>
        <v>0</v>
      </c>
      <c r="G67" s="93">
        <f t="shared" si="3"/>
        <v>0</v>
      </c>
    </row>
    <row r="68" spans="1:7" x14ac:dyDescent="0.25">
      <c r="A68" s="106">
        <v>69</v>
      </c>
      <c r="B68" s="107"/>
      <c r="C68" s="108"/>
      <c r="D68" s="7" t="s">
        <v>115</v>
      </c>
      <c r="E68" s="109"/>
      <c r="F68">
        <f t="shared" si="2"/>
        <v>0</v>
      </c>
      <c r="G68" s="93">
        <f t="shared" si="3"/>
        <v>0</v>
      </c>
    </row>
    <row r="69" spans="1:7" x14ac:dyDescent="0.25">
      <c r="A69" s="106">
        <v>70</v>
      </c>
      <c r="B69" s="107"/>
      <c r="C69" s="108"/>
      <c r="D69" s="7" t="s">
        <v>115</v>
      </c>
      <c r="E69" s="110"/>
      <c r="F69">
        <f t="shared" si="2"/>
        <v>0</v>
      </c>
      <c r="G69" s="93">
        <f t="shared" si="3"/>
        <v>0</v>
      </c>
    </row>
    <row r="70" spans="1:7" x14ac:dyDescent="0.25">
      <c r="A70" s="106">
        <v>71</v>
      </c>
      <c r="B70" s="107"/>
      <c r="C70" s="108"/>
      <c r="D70" s="7" t="s">
        <v>115</v>
      </c>
      <c r="E70" s="109"/>
      <c r="F70">
        <f t="shared" si="2"/>
        <v>0</v>
      </c>
      <c r="G70" s="93">
        <f t="shared" si="3"/>
        <v>0</v>
      </c>
    </row>
    <row r="71" spans="1:7" x14ac:dyDescent="0.25">
      <c r="A71" s="106">
        <v>72</v>
      </c>
      <c r="B71" s="107"/>
      <c r="C71" s="108"/>
      <c r="D71" s="7" t="s">
        <v>115</v>
      </c>
      <c r="E71" s="110"/>
      <c r="F71">
        <f t="shared" si="2"/>
        <v>0</v>
      </c>
      <c r="G71" s="93">
        <f t="shared" si="3"/>
        <v>0</v>
      </c>
    </row>
    <row r="72" spans="1:7" x14ac:dyDescent="0.25">
      <c r="A72" s="106">
        <v>73</v>
      </c>
      <c r="B72" s="107"/>
      <c r="C72" s="108"/>
      <c r="D72" s="7" t="s">
        <v>115</v>
      </c>
      <c r="E72" s="110"/>
      <c r="F72">
        <f t="shared" si="2"/>
        <v>0</v>
      </c>
      <c r="G72" s="93">
        <f t="shared" si="3"/>
        <v>0</v>
      </c>
    </row>
    <row r="73" spans="1:7" x14ac:dyDescent="0.25">
      <c r="A73" s="106">
        <v>74</v>
      </c>
      <c r="B73" s="107"/>
      <c r="C73" s="108"/>
      <c r="D73" s="7" t="s">
        <v>115</v>
      </c>
      <c r="E73" s="109"/>
      <c r="F73">
        <f t="shared" si="2"/>
        <v>0</v>
      </c>
      <c r="G73" s="93">
        <f t="shared" si="3"/>
        <v>0</v>
      </c>
    </row>
    <row r="74" spans="1:7" x14ac:dyDescent="0.25">
      <c r="A74" s="106">
        <v>75</v>
      </c>
      <c r="B74" s="107"/>
      <c r="C74" s="108"/>
      <c r="D74" s="7" t="s">
        <v>115</v>
      </c>
      <c r="E74" s="109"/>
      <c r="F74">
        <f t="shared" si="2"/>
        <v>0</v>
      </c>
      <c r="G74" s="93">
        <f t="shared" si="3"/>
        <v>0</v>
      </c>
    </row>
    <row r="75" spans="1:7" x14ac:dyDescent="0.25">
      <c r="A75" s="106">
        <v>76</v>
      </c>
      <c r="B75" s="107"/>
      <c r="C75" s="108"/>
      <c r="D75" s="7" t="s">
        <v>115</v>
      </c>
      <c r="E75" s="109"/>
      <c r="F75">
        <f t="shared" si="2"/>
        <v>0</v>
      </c>
      <c r="G75" s="93">
        <f t="shared" si="3"/>
        <v>0</v>
      </c>
    </row>
    <row r="76" spans="1:7" x14ac:dyDescent="0.25">
      <c r="A76" s="106">
        <v>77</v>
      </c>
      <c r="B76" s="107"/>
      <c r="C76" s="108"/>
      <c r="D76" s="7" t="s">
        <v>115</v>
      </c>
      <c r="E76" s="109"/>
      <c r="F76">
        <f t="shared" si="2"/>
        <v>0</v>
      </c>
      <c r="G76" s="93">
        <f t="shared" si="3"/>
        <v>0</v>
      </c>
    </row>
    <row r="77" spans="1:7" x14ac:dyDescent="0.25">
      <c r="A77" s="106">
        <v>78</v>
      </c>
      <c r="B77" s="107"/>
      <c r="C77" s="108"/>
      <c r="D77" s="7" t="s">
        <v>115</v>
      </c>
      <c r="E77" s="110"/>
      <c r="F77">
        <f t="shared" si="2"/>
        <v>0</v>
      </c>
      <c r="G77" s="93">
        <f t="shared" si="3"/>
        <v>0</v>
      </c>
    </row>
    <row r="78" spans="1:7" x14ac:dyDescent="0.25">
      <c r="A78" s="106">
        <v>79</v>
      </c>
      <c r="B78" s="107"/>
      <c r="C78" s="108"/>
      <c r="D78" s="7" t="s">
        <v>115</v>
      </c>
      <c r="E78" s="109"/>
      <c r="F78">
        <f t="shared" si="2"/>
        <v>0</v>
      </c>
      <c r="G78" s="93">
        <f t="shared" si="3"/>
        <v>0</v>
      </c>
    </row>
    <row r="79" spans="1:7" x14ac:dyDescent="0.25">
      <c r="A79" s="106">
        <v>80</v>
      </c>
      <c r="B79" s="111"/>
      <c r="C79" s="108"/>
      <c r="D79" s="7" t="s">
        <v>115</v>
      </c>
      <c r="E79" s="109"/>
      <c r="F79">
        <f t="shared" si="2"/>
        <v>0</v>
      </c>
      <c r="G79" s="93">
        <f t="shared" si="3"/>
        <v>0</v>
      </c>
    </row>
    <row r="80" spans="1:7" x14ac:dyDescent="0.25">
      <c r="A80" s="106">
        <v>81</v>
      </c>
      <c r="B80" s="107"/>
      <c r="C80" s="108"/>
      <c r="D80" s="7" t="s">
        <v>115</v>
      </c>
      <c r="E80" s="109"/>
      <c r="F80">
        <f t="shared" si="2"/>
        <v>0</v>
      </c>
      <c r="G80" s="93">
        <f t="shared" si="3"/>
        <v>0</v>
      </c>
    </row>
    <row r="81" spans="1:117" x14ac:dyDescent="0.25">
      <c r="A81" s="106">
        <v>82</v>
      </c>
      <c r="B81" s="107"/>
      <c r="C81" s="108"/>
      <c r="D81" s="7" t="s">
        <v>115</v>
      </c>
      <c r="E81" s="109"/>
      <c r="F81">
        <f t="shared" si="2"/>
        <v>0</v>
      </c>
      <c r="G81" s="93">
        <f t="shared" si="3"/>
        <v>0</v>
      </c>
    </row>
    <row r="82" spans="1:117" x14ac:dyDescent="0.25">
      <c r="A82" s="106">
        <v>83</v>
      </c>
      <c r="B82" s="107"/>
      <c r="C82" s="108"/>
      <c r="D82" s="7" t="s">
        <v>115</v>
      </c>
      <c r="E82" s="109"/>
      <c r="F82">
        <f t="shared" si="2"/>
        <v>0</v>
      </c>
      <c r="G82" s="93">
        <f t="shared" si="3"/>
        <v>0</v>
      </c>
    </row>
    <row r="83" spans="1:117" x14ac:dyDescent="0.25">
      <c r="A83" s="106">
        <v>84</v>
      </c>
      <c r="B83" s="107"/>
      <c r="C83" s="108"/>
      <c r="D83" s="7" t="s">
        <v>115</v>
      </c>
      <c r="E83" s="109"/>
      <c r="F83">
        <f t="shared" si="2"/>
        <v>0</v>
      </c>
      <c r="G83" s="93">
        <f t="shared" si="3"/>
        <v>0</v>
      </c>
    </row>
    <row r="84" spans="1:117" x14ac:dyDescent="0.25">
      <c r="A84" s="106">
        <v>85</v>
      </c>
      <c r="B84" s="107"/>
      <c r="C84" s="108"/>
      <c r="D84" s="7" t="s">
        <v>115</v>
      </c>
      <c r="E84" s="109"/>
      <c r="F84">
        <f t="shared" si="2"/>
        <v>0</v>
      </c>
      <c r="G84" s="93">
        <f t="shared" si="3"/>
        <v>0</v>
      </c>
    </row>
    <row r="85" spans="1:117" x14ac:dyDescent="0.25">
      <c r="A85" s="106">
        <v>86</v>
      </c>
      <c r="B85" s="107"/>
      <c r="C85" s="108"/>
      <c r="D85" s="7" t="s">
        <v>115</v>
      </c>
      <c r="E85" s="109"/>
      <c r="F85">
        <f t="shared" si="2"/>
        <v>0</v>
      </c>
      <c r="G85" s="93">
        <f t="shared" si="3"/>
        <v>0</v>
      </c>
    </row>
    <row r="86" spans="1:117" x14ac:dyDescent="0.25">
      <c r="A86" s="106">
        <v>87</v>
      </c>
      <c r="B86" s="107"/>
      <c r="C86" s="108"/>
      <c r="D86" s="7" t="s">
        <v>115</v>
      </c>
      <c r="E86" s="109"/>
      <c r="F86">
        <f t="shared" si="2"/>
        <v>0</v>
      </c>
      <c r="G86" s="93">
        <f t="shared" si="3"/>
        <v>0</v>
      </c>
    </row>
    <row r="87" spans="1:117" x14ac:dyDescent="0.25">
      <c r="A87" s="106">
        <v>88</v>
      </c>
      <c r="B87" s="107"/>
      <c r="C87" s="108"/>
      <c r="D87" s="7" t="s">
        <v>115</v>
      </c>
      <c r="E87" s="109"/>
      <c r="F87">
        <f t="shared" si="2"/>
        <v>0</v>
      </c>
      <c r="G87" s="93">
        <f t="shared" si="3"/>
        <v>0</v>
      </c>
    </row>
    <row r="88" spans="1:117" x14ac:dyDescent="0.25">
      <c r="A88" s="106">
        <v>89</v>
      </c>
      <c r="B88" s="107"/>
      <c r="C88" s="108"/>
      <c r="D88" s="7" t="s">
        <v>115</v>
      </c>
      <c r="E88" s="110"/>
      <c r="F88">
        <f t="shared" si="2"/>
        <v>0</v>
      </c>
      <c r="G88" s="93">
        <f t="shared" si="3"/>
        <v>0</v>
      </c>
    </row>
    <row r="89" spans="1:117" x14ac:dyDescent="0.25">
      <c r="A89" s="106">
        <v>90</v>
      </c>
      <c r="B89" s="107"/>
      <c r="C89" s="108"/>
      <c r="D89" s="7" t="s">
        <v>115</v>
      </c>
      <c r="E89" s="109"/>
      <c r="F89">
        <f t="shared" si="2"/>
        <v>0</v>
      </c>
      <c r="G89" s="93">
        <f t="shared" si="3"/>
        <v>0</v>
      </c>
    </row>
    <row r="90" spans="1:117" x14ac:dyDescent="0.25">
      <c r="A90" s="106">
        <v>91</v>
      </c>
      <c r="B90" s="107"/>
      <c r="C90" s="108"/>
      <c r="D90" s="7" t="s">
        <v>115</v>
      </c>
      <c r="E90" s="109"/>
      <c r="F90">
        <f t="shared" si="2"/>
        <v>0</v>
      </c>
      <c r="G90" s="93">
        <f t="shared" si="3"/>
        <v>0</v>
      </c>
    </row>
    <row r="91" spans="1:117" x14ac:dyDescent="0.25">
      <c r="A91" s="106">
        <v>92</v>
      </c>
      <c r="B91" s="107"/>
      <c r="C91" s="108"/>
      <c r="D91" s="7" t="s">
        <v>115</v>
      </c>
      <c r="E91" s="109"/>
      <c r="F91">
        <f t="shared" si="2"/>
        <v>0</v>
      </c>
      <c r="G91" s="93">
        <f t="shared" si="3"/>
        <v>0</v>
      </c>
      <c r="DM91" t="s">
        <v>48</v>
      </c>
    </row>
    <row r="92" spans="1:117" x14ac:dyDescent="0.25">
      <c r="A92" s="106">
        <v>93</v>
      </c>
      <c r="B92" s="107"/>
      <c r="C92" s="108"/>
      <c r="D92" s="7" t="s">
        <v>115</v>
      </c>
      <c r="E92" s="109"/>
      <c r="F92">
        <f t="shared" si="2"/>
        <v>0</v>
      </c>
      <c r="G92" s="93">
        <f t="shared" si="3"/>
        <v>0</v>
      </c>
    </row>
    <row r="93" spans="1:117" x14ac:dyDescent="0.25">
      <c r="A93" s="106">
        <v>94</v>
      </c>
      <c r="B93" s="107"/>
      <c r="C93" s="108"/>
      <c r="D93" s="7" t="s">
        <v>115</v>
      </c>
      <c r="E93" s="109"/>
      <c r="F93">
        <f t="shared" si="2"/>
        <v>0</v>
      </c>
      <c r="G93" s="93">
        <f t="shared" si="3"/>
        <v>0</v>
      </c>
    </row>
    <row r="94" spans="1:117" x14ac:dyDescent="0.25">
      <c r="A94" s="106">
        <v>95</v>
      </c>
      <c r="B94" s="107"/>
      <c r="C94" s="108"/>
      <c r="D94" s="7" t="s">
        <v>115</v>
      </c>
      <c r="E94" s="109"/>
      <c r="F94">
        <f t="shared" si="2"/>
        <v>0</v>
      </c>
      <c r="G94" s="93">
        <f t="shared" si="3"/>
        <v>0</v>
      </c>
    </row>
    <row r="95" spans="1:117" x14ac:dyDescent="0.25">
      <c r="A95" s="106">
        <v>96</v>
      </c>
      <c r="B95" s="107"/>
      <c r="C95" s="108"/>
      <c r="D95" s="7" t="s">
        <v>115</v>
      </c>
      <c r="E95" s="110"/>
      <c r="F95">
        <f t="shared" si="2"/>
        <v>0</v>
      </c>
      <c r="G95" s="93">
        <f t="shared" si="3"/>
        <v>0</v>
      </c>
    </row>
    <row r="96" spans="1:117" x14ac:dyDescent="0.25">
      <c r="A96" s="106">
        <v>97</v>
      </c>
      <c r="B96" s="107"/>
      <c r="C96" s="108"/>
      <c r="D96" s="7" t="s">
        <v>115</v>
      </c>
      <c r="E96" s="109"/>
      <c r="F96">
        <f t="shared" si="2"/>
        <v>0</v>
      </c>
      <c r="G96" s="93">
        <f t="shared" si="3"/>
        <v>0</v>
      </c>
    </row>
    <row r="97" spans="1:7" x14ac:dyDescent="0.25">
      <c r="A97" s="106">
        <v>98</v>
      </c>
      <c r="B97" s="107"/>
      <c r="C97" s="108"/>
      <c r="D97" s="7" t="s">
        <v>115</v>
      </c>
      <c r="E97" s="109"/>
      <c r="F97">
        <f t="shared" si="2"/>
        <v>0</v>
      </c>
      <c r="G97" s="93">
        <f t="shared" si="3"/>
        <v>0</v>
      </c>
    </row>
    <row r="98" spans="1:7" x14ac:dyDescent="0.25">
      <c r="A98" s="106">
        <v>99</v>
      </c>
      <c r="B98" s="107"/>
      <c r="C98" s="108"/>
      <c r="D98" s="7" t="s">
        <v>115</v>
      </c>
      <c r="E98" s="110"/>
      <c r="F98">
        <f t="shared" si="2"/>
        <v>0</v>
      </c>
      <c r="G98" s="93">
        <f t="shared" si="3"/>
        <v>0</v>
      </c>
    </row>
    <row r="99" spans="1:7" x14ac:dyDescent="0.25">
      <c r="A99" s="106">
        <v>100</v>
      </c>
      <c r="B99" s="107"/>
      <c r="C99" s="108"/>
      <c r="D99" s="7" t="s">
        <v>115</v>
      </c>
      <c r="E99" s="109"/>
      <c r="F99">
        <f t="shared" si="2"/>
        <v>0</v>
      </c>
      <c r="G99" s="93">
        <f t="shared" si="3"/>
        <v>0</v>
      </c>
    </row>
    <row r="100" spans="1:7" x14ac:dyDescent="0.25">
      <c r="A100" s="106">
        <v>101</v>
      </c>
      <c r="B100" s="107"/>
      <c r="C100" s="108"/>
      <c r="D100" s="7" t="s">
        <v>115</v>
      </c>
      <c r="E100" s="109"/>
      <c r="F100">
        <f t="shared" si="2"/>
        <v>0</v>
      </c>
      <c r="G100" s="93">
        <f t="shared" si="3"/>
        <v>0</v>
      </c>
    </row>
    <row r="101" spans="1:7" x14ac:dyDescent="0.25">
      <c r="A101" s="106">
        <v>102</v>
      </c>
      <c r="B101" s="107"/>
      <c r="C101" s="108"/>
      <c r="D101" s="7" t="s">
        <v>115</v>
      </c>
      <c r="E101" s="109"/>
      <c r="F101">
        <f t="shared" si="2"/>
        <v>0</v>
      </c>
      <c r="G101" s="93">
        <f t="shared" si="3"/>
        <v>0</v>
      </c>
    </row>
    <row r="102" spans="1:7" x14ac:dyDescent="0.25">
      <c r="A102" s="106">
        <v>103</v>
      </c>
      <c r="B102" s="107"/>
      <c r="C102" s="108"/>
      <c r="D102" s="7" t="s">
        <v>115</v>
      </c>
      <c r="E102" s="109"/>
      <c r="F102">
        <f t="shared" si="2"/>
        <v>0</v>
      </c>
      <c r="G102" s="93">
        <f t="shared" si="3"/>
        <v>0</v>
      </c>
    </row>
    <row r="103" spans="1:7" x14ac:dyDescent="0.25">
      <c r="A103" s="106">
        <v>104</v>
      </c>
      <c r="B103" s="107"/>
      <c r="C103" s="108"/>
      <c r="D103" s="7" t="s">
        <v>115</v>
      </c>
      <c r="E103" s="109"/>
      <c r="F103">
        <f t="shared" si="2"/>
        <v>0</v>
      </c>
      <c r="G103" s="93">
        <f t="shared" si="3"/>
        <v>0</v>
      </c>
    </row>
    <row r="104" spans="1:7" x14ac:dyDescent="0.25">
      <c r="A104" s="106">
        <v>105</v>
      </c>
      <c r="B104" s="107"/>
      <c r="C104" s="108"/>
      <c r="D104" s="7" t="s">
        <v>115</v>
      </c>
      <c r="E104" s="109"/>
      <c r="F104">
        <f t="shared" si="2"/>
        <v>0</v>
      </c>
      <c r="G104" s="93">
        <f t="shared" si="3"/>
        <v>0</v>
      </c>
    </row>
    <row r="105" spans="1:7" x14ac:dyDescent="0.25">
      <c r="A105" s="106">
        <v>106</v>
      </c>
      <c r="B105" s="107"/>
      <c r="C105" s="108"/>
      <c r="D105" s="7" t="s">
        <v>115</v>
      </c>
      <c r="E105" s="109"/>
      <c r="F105">
        <f t="shared" si="2"/>
        <v>0</v>
      </c>
      <c r="G105" s="93">
        <f t="shared" si="3"/>
        <v>0</v>
      </c>
    </row>
    <row r="106" spans="1:7" x14ac:dyDescent="0.25">
      <c r="A106" s="106">
        <v>107</v>
      </c>
      <c r="B106" s="107"/>
      <c r="C106" s="108"/>
      <c r="D106" s="7" t="s">
        <v>115</v>
      </c>
      <c r="E106" s="110"/>
      <c r="F106">
        <f t="shared" si="2"/>
        <v>0</v>
      </c>
      <c r="G106" s="93">
        <f t="shared" si="3"/>
        <v>0</v>
      </c>
    </row>
    <row r="107" spans="1:7" x14ac:dyDescent="0.25">
      <c r="A107" s="106">
        <v>108</v>
      </c>
      <c r="B107" s="107"/>
      <c r="C107" s="108"/>
      <c r="D107" s="7" t="s">
        <v>115</v>
      </c>
      <c r="E107" s="109"/>
      <c r="F107">
        <f t="shared" si="2"/>
        <v>0</v>
      </c>
      <c r="G107" s="93">
        <f t="shared" si="3"/>
        <v>0</v>
      </c>
    </row>
    <row r="108" spans="1:7" x14ac:dyDescent="0.25">
      <c r="A108" s="106">
        <v>109</v>
      </c>
      <c r="B108" s="107"/>
      <c r="C108" s="108"/>
      <c r="D108" s="7" t="s">
        <v>115</v>
      </c>
      <c r="E108" s="109"/>
      <c r="F108">
        <f t="shared" si="2"/>
        <v>0</v>
      </c>
      <c r="G108" s="93">
        <f t="shared" si="3"/>
        <v>0</v>
      </c>
    </row>
    <row r="109" spans="1:7" x14ac:dyDescent="0.25">
      <c r="A109" s="106">
        <v>110</v>
      </c>
      <c r="B109" s="107"/>
      <c r="C109" s="108"/>
      <c r="D109" s="7" t="s">
        <v>115</v>
      </c>
      <c r="E109" s="109"/>
      <c r="F109">
        <f t="shared" si="2"/>
        <v>0</v>
      </c>
      <c r="G109" s="93">
        <f t="shared" si="3"/>
        <v>0</v>
      </c>
    </row>
    <row r="110" spans="1:7" x14ac:dyDescent="0.25">
      <c r="A110" s="106">
        <v>111</v>
      </c>
      <c r="B110" s="107"/>
      <c r="C110" s="108"/>
      <c r="D110" s="7" t="s">
        <v>115</v>
      </c>
      <c r="E110" s="110"/>
      <c r="F110">
        <f t="shared" si="2"/>
        <v>0</v>
      </c>
      <c r="G110" s="93">
        <f t="shared" si="3"/>
        <v>0</v>
      </c>
    </row>
    <row r="111" spans="1:7" x14ac:dyDescent="0.25">
      <c r="A111" s="106">
        <v>112</v>
      </c>
      <c r="B111" s="107"/>
      <c r="C111" s="108"/>
      <c r="D111" s="7" t="s">
        <v>115</v>
      </c>
      <c r="E111" s="109"/>
      <c r="F111">
        <f t="shared" si="2"/>
        <v>0</v>
      </c>
      <c r="G111" s="93">
        <f t="shared" si="3"/>
        <v>0</v>
      </c>
    </row>
    <row r="112" spans="1:7" x14ac:dyDescent="0.25">
      <c r="A112" s="106">
        <v>113</v>
      </c>
      <c r="B112" s="107"/>
      <c r="C112" s="108"/>
      <c r="D112" s="7" t="s">
        <v>115</v>
      </c>
      <c r="E112" s="110"/>
      <c r="F112">
        <f t="shared" si="2"/>
        <v>0</v>
      </c>
      <c r="G112" s="93">
        <f t="shared" si="3"/>
        <v>0</v>
      </c>
    </row>
    <row r="113" spans="1:7" x14ac:dyDescent="0.25">
      <c r="A113" s="106">
        <v>114</v>
      </c>
      <c r="B113" s="107"/>
      <c r="C113" s="108"/>
      <c r="D113" s="7" t="s">
        <v>115</v>
      </c>
      <c r="E113" s="109"/>
      <c r="F113">
        <f t="shared" si="2"/>
        <v>0</v>
      </c>
      <c r="G113" s="93">
        <f t="shared" si="3"/>
        <v>0</v>
      </c>
    </row>
    <row r="114" spans="1:7" x14ac:dyDescent="0.25">
      <c r="A114" s="106">
        <v>115</v>
      </c>
      <c r="B114" s="107"/>
      <c r="C114" s="108"/>
      <c r="D114" s="7" t="s">
        <v>115</v>
      </c>
      <c r="E114" s="110"/>
      <c r="F114">
        <f t="shared" si="2"/>
        <v>0</v>
      </c>
      <c r="G114" s="93">
        <f t="shared" si="3"/>
        <v>0</v>
      </c>
    </row>
    <row r="115" spans="1:7" x14ac:dyDescent="0.25">
      <c r="A115" s="106">
        <v>116</v>
      </c>
      <c r="B115" s="107"/>
      <c r="C115" s="108"/>
      <c r="D115" s="7" t="s">
        <v>115</v>
      </c>
      <c r="E115" s="109"/>
      <c r="F115">
        <f t="shared" si="2"/>
        <v>0</v>
      </c>
      <c r="G115" s="93">
        <f t="shared" si="3"/>
        <v>0</v>
      </c>
    </row>
    <row r="116" spans="1:7" x14ac:dyDescent="0.25">
      <c r="A116" s="106">
        <v>117</v>
      </c>
      <c r="B116" s="107"/>
      <c r="C116" s="108"/>
      <c r="D116" s="7" t="s">
        <v>115</v>
      </c>
      <c r="E116" s="109"/>
      <c r="F116">
        <f t="shared" si="2"/>
        <v>0</v>
      </c>
      <c r="G116" s="93">
        <f t="shared" si="3"/>
        <v>0</v>
      </c>
    </row>
    <row r="117" spans="1:7" x14ac:dyDescent="0.25">
      <c r="A117" s="106">
        <v>118</v>
      </c>
      <c r="B117" s="107"/>
      <c r="C117" s="108"/>
      <c r="D117" s="7" t="s">
        <v>115</v>
      </c>
      <c r="E117" s="109"/>
      <c r="F117">
        <f t="shared" si="2"/>
        <v>0</v>
      </c>
      <c r="G117" s="93">
        <f t="shared" si="3"/>
        <v>0</v>
      </c>
    </row>
    <row r="118" spans="1:7" x14ac:dyDescent="0.25">
      <c r="A118" s="106">
        <v>119</v>
      </c>
      <c r="B118" s="107"/>
      <c r="C118" s="108"/>
      <c r="D118" s="7" t="s">
        <v>115</v>
      </c>
      <c r="E118" s="109"/>
      <c r="F118">
        <f t="shared" si="2"/>
        <v>0</v>
      </c>
      <c r="G118" s="93">
        <f t="shared" si="3"/>
        <v>0</v>
      </c>
    </row>
    <row r="119" spans="1:7" x14ac:dyDescent="0.25">
      <c r="A119" s="106">
        <v>120</v>
      </c>
      <c r="B119" s="107"/>
      <c r="C119" s="108"/>
      <c r="D119" s="7" t="s">
        <v>115</v>
      </c>
      <c r="E119" s="109"/>
      <c r="F119">
        <f t="shared" si="2"/>
        <v>0</v>
      </c>
      <c r="G119" s="93">
        <f t="shared" si="3"/>
        <v>0</v>
      </c>
    </row>
    <row r="120" spans="1:7" x14ac:dyDescent="0.25">
      <c r="A120" s="106">
        <v>121</v>
      </c>
      <c r="B120" s="107"/>
      <c r="C120" s="108"/>
      <c r="D120" s="7" t="s">
        <v>115</v>
      </c>
      <c r="E120" s="110"/>
      <c r="F120">
        <f t="shared" si="2"/>
        <v>0</v>
      </c>
      <c r="G120" s="93">
        <f t="shared" si="3"/>
        <v>0</v>
      </c>
    </row>
    <row r="121" spans="1:7" x14ac:dyDescent="0.25">
      <c r="A121" s="106">
        <v>122</v>
      </c>
      <c r="B121" s="107"/>
      <c r="C121" s="108"/>
      <c r="D121" s="7" t="s">
        <v>115</v>
      </c>
      <c r="E121" s="109"/>
      <c r="F121">
        <f t="shared" si="2"/>
        <v>0</v>
      </c>
      <c r="G121" s="93">
        <f t="shared" si="3"/>
        <v>0</v>
      </c>
    </row>
    <row r="122" spans="1:7" x14ac:dyDescent="0.25">
      <c r="A122" s="106">
        <v>123</v>
      </c>
      <c r="B122" s="107"/>
      <c r="C122" s="108"/>
      <c r="D122" s="7" t="s">
        <v>115</v>
      </c>
      <c r="E122" s="109"/>
      <c r="F122">
        <f t="shared" si="2"/>
        <v>0</v>
      </c>
      <c r="G122" s="93">
        <f t="shared" si="3"/>
        <v>0</v>
      </c>
    </row>
    <row r="123" spans="1:7" x14ac:dyDescent="0.25">
      <c r="A123" s="106">
        <v>124</v>
      </c>
      <c r="B123" s="107"/>
      <c r="C123" s="108"/>
      <c r="D123" s="7" t="s">
        <v>115</v>
      </c>
      <c r="E123" s="109"/>
      <c r="F123">
        <f t="shared" si="2"/>
        <v>0</v>
      </c>
      <c r="G123" s="93">
        <f t="shared" si="3"/>
        <v>0</v>
      </c>
    </row>
    <row r="124" spans="1:7" x14ac:dyDescent="0.25">
      <c r="A124" s="106">
        <v>125</v>
      </c>
      <c r="B124" s="107"/>
      <c r="C124" s="108"/>
      <c r="D124" s="7" t="s">
        <v>115</v>
      </c>
      <c r="E124" s="110"/>
      <c r="F124">
        <f t="shared" si="2"/>
        <v>0</v>
      </c>
      <c r="G124" s="93">
        <f t="shared" si="3"/>
        <v>0</v>
      </c>
    </row>
    <row r="125" spans="1:7" x14ac:dyDescent="0.25">
      <c r="A125" s="106">
        <v>126</v>
      </c>
      <c r="B125" s="107"/>
      <c r="C125" s="108"/>
      <c r="D125" s="7" t="s">
        <v>115</v>
      </c>
      <c r="E125" s="109"/>
      <c r="F125">
        <f t="shared" si="2"/>
        <v>0</v>
      </c>
      <c r="G125" s="93">
        <f t="shared" si="3"/>
        <v>0</v>
      </c>
    </row>
    <row r="126" spans="1:7" x14ac:dyDescent="0.25">
      <c r="A126" s="106">
        <v>127</v>
      </c>
      <c r="B126" s="107"/>
      <c r="C126" s="108"/>
      <c r="D126" s="7" t="s">
        <v>115</v>
      </c>
      <c r="E126" s="110"/>
      <c r="F126">
        <f t="shared" si="2"/>
        <v>0</v>
      </c>
      <c r="G126" s="93">
        <f t="shared" si="3"/>
        <v>0</v>
      </c>
    </row>
    <row r="127" spans="1:7" x14ac:dyDescent="0.25">
      <c r="A127" s="106">
        <v>128</v>
      </c>
      <c r="B127" s="107"/>
      <c r="C127" s="108"/>
      <c r="D127" s="7" t="s">
        <v>115</v>
      </c>
      <c r="E127" s="109"/>
      <c r="F127">
        <f t="shared" si="2"/>
        <v>0</v>
      </c>
      <c r="G127" s="93">
        <f t="shared" si="3"/>
        <v>0</v>
      </c>
    </row>
    <row r="128" spans="1:7" x14ac:dyDescent="0.25">
      <c r="A128" s="106">
        <v>129</v>
      </c>
      <c r="B128" s="107"/>
      <c r="C128" s="108"/>
      <c r="D128" s="7" t="s">
        <v>115</v>
      </c>
      <c r="E128" s="109"/>
      <c r="F128">
        <f t="shared" si="2"/>
        <v>0</v>
      </c>
      <c r="G128" s="93">
        <f t="shared" si="3"/>
        <v>0</v>
      </c>
    </row>
    <row r="129" spans="1:7" x14ac:dyDescent="0.25">
      <c r="A129" s="106">
        <v>130</v>
      </c>
      <c r="B129" s="107"/>
      <c r="C129" s="108"/>
      <c r="D129" s="7" t="s">
        <v>115</v>
      </c>
      <c r="E129" s="109"/>
      <c r="F129">
        <f t="shared" ref="F129:F192" si="4">LEN(E129)</f>
        <v>0</v>
      </c>
      <c r="G129" s="93">
        <f t="shared" ref="G129:G192" si="5">IF(LEN(B129)&gt;28,MID(B129,1,28),B129)</f>
        <v>0</v>
      </c>
    </row>
    <row r="130" spans="1:7" x14ac:dyDescent="0.25">
      <c r="A130" s="106">
        <v>131</v>
      </c>
      <c r="B130" s="107"/>
      <c r="C130" s="108"/>
      <c r="D130" s="7" t="s">
        <v>115</v>
      </c>
      <c r="E130" s="109"/>
      <c r="F130">
        <f t="shared" si="4"/>
        <v>0</v>
      </c>
      <c r="G130" s="93">
        <f t="shared" si="5"/>
        <v>0</v>
      </c>
    </row>
    <row r="131" spans="1:7" x14ac:dyDescent="0.25">
      <c r="A131" s="106">
        <v>132</v>
      </c>
      <c r="B131" s="107"/>
      <c r="C131" s="108"/>
      <c r="D131" s="7" t="s">
        <v>115</v>
      </c>
      <c r="E131" s="109"/>
      <c r="F131">
        <f t="shared" si="4"/>
        <v>0</v>
      </c>
      <c r="G131" s="93">
        <f t="shared" si="5"/>
        <v>0</v>
      </c>
    </row>
    <row r="132" spans="1:7" x14ac:dyDescent="0.25">
      <c r="A132" s="106">
        <v>133</v>
      </c>
      <c r="B132" s="107"/>
      <c r="C132" s="108"/>
      <c r="D132" s="7" t="s">
        <v>115</v>
      </c>
      <c r="E132" s="109"/>
      <c r="F132">
        <f t="shared" si="4"/>
        <v>0</v>
      </c>
      <c r="G132" s="93">
        <f t="shared" si="5"/>
        <v>0</v>
      </c>
    </row>
    <row r="133" spans="1:7" x14ac:dyDescent="0.25">
      <c r="A133" s="106">
        <v>134</v>
      </c>
      <c r="B133" s="107"/>
      <c r="C133" s="108"/>
      <c r="D133" s="7" t="s">
        <v>115</v>
      </c>
      <c r="E133" s="109"/>
      <c r="F133">
        <f t="shared" si="4"/>
        <v>0</v>
      </c>
      <c r="G133" s="93">
        <f t="shared" si="5"/>
        <v>0</v>
      </c>
    </row>
    <row r="134" spans="1:7" x14ac:dyDescent="0.25">
      <c r="A134" s="106">
        <v>135</v>
      </c>
      <c r="B134" s="107"/>
      <c r="C134" s="108"/>
      <c r="D134" s="7" t="s">
        <v>115</v>
      </c>
      <c r="E134" s="109"/>
      <c r="F134">
        <f t="shared" si="4"/>
        <v>0</v>
      </c>
      <c r="G134" s="93">
        <f t="shared" si="5"/>
        <v>0</v>
      </c>
    </row>
    <row r="135" spans="1:7" x14ac:dyDescent="0.25">
      <c r="A135" s="106">
        <v>136</v>
      </c>
      <c r="B135" s="107"/>
      <c r="C135" s="108"/>
      <c r="D135" s="7" t="s">
        <v>115</v>
      </c>
      <c r="E135" s="109"/>
      <c r="F135">
        <f t="shared" si="4"/>
        <v>0</v>
      </c>
      <c r="G135" s="93">
        <f t="shared" si="5"/>
        <v>0</v>
      </c>
    </row>
    <row r="136" spans="1:7" x14ac:dyDescent="0.25">
      <c r="A136" s="106">
        <v>137</v>
      </c>
      <c r="B136" s="107"/>
      <c r="C136" s="108"/>
      <c r="D136" s="7" t="s">
        <v>115</v>
      </c>
      <c r="E136" s="109"/>
      <c r="F136">
        <f t="shared" si="4"/>
        <v>0</v>
      </c>
      <c r="G136" s="93">
        <f t="shared" si="5"/>
        <v>0</v>
      </c>
    </row>
    <row r="137" spans="1:7" x14ac:dyDescent="0.25">
      <c r="A137" s="106">
        <v>138</v>
      </c>
      <c r="B137" s="107"/>
      <c r="C137" s="108"/>
      <c r="D137" s="7" t="s">
        <v>115</v>
      </c>
      <c r="E137" s="109"/>
      <c r="F137">
        <f t="shared" si="4"/>
        <v>0</v>
      </c>
      <c r="G137" s="93">
        <f t="shared" si="5"/>
        <v>0</v>
      </c>
    </row>
    <row r="138" spans="1:7" x14ac:dyDescent="0.25">
      <c r="A138" s="106">
        <v>139</v>
      </c>
      <c r="B138" s="107"/>
      <c r="C138" s="108"/>
      <c r="D138" s="7" t="s">
        <v>115</v>
      </c>
      <c r="E138" s="110"/>
      <c r="F138">
        <f t="shared" si="4"/>
        <v>0</v>
      </c>
      <c r="G138" s="93">
        <f t="shared" si="5"/>
        <v>0</v>
      </c>
    </row>
    <row r="139" spans="1:7" x14ac:dyDescent="0.25">
      <c r="A139" s="106">
        <v>140</v>
      </c>
      <c r="B139" s="107"/>
      <c r="C139" s="108"/>
      <c r="D139" s="7" t="s">
        <v>115</v>
      </c>
      <c r="E139" s="109"/>
      <c r="F139">
        <f t="shared" si="4"/>
        <v>0</v>
      </c>
      <c r="G139" s="93">
        <f t="shared" si="5"/>
        <v>0</v>
      </c>
    </row>
    <row r="140" spans="1:7" x14ac:dyDescent="0.25">
      <c r="A140" s="106">
        <v>141</v>
      </c>
      <c r="B140" s="107"/>
      <c r="C140" s="108"/>
      <c r="D140" s="7" t="s">
        <v>115</v>
      </c>
      <c r="E140" s="109"/>
      <c r="F140">
        <f t="shared" si="4"/>
        <v>0</v>
      </c>
      <c r="G140" s="93">
        <f t="shared" si="5"/>
        <v>0</v>
      </c>
    </row>
    <row r="141" spans="1:7" x14ac:dyDescent="0.25">
      <c r="A141" s="106">
        <v>142</v>
      </c>
      <c r="B141" s="107"/>
      <c r="C141" s="108"/>
      <c r="D141" s="7" t="s">
        <v>115</v>
      </c>
      <c r="E141" s="109"/>
      <c r="F141">
        <f t="shared" si="4"/>
        <v>0</v>
      </c>
      <c r="G141" s="93">
        <f t="shared" si="5"/>
        <v>0</v>
      </c>
    </row>
    <row r="142" spans="1:7" x14ac:dyDescent="0.25">
      <c r="A142" s="106">
        <v>143</v>
      </c>
      <c r="B142" s="107"/>
      <c r="C142" s="108"/>
      <c r="D142" s="7" t="s">
        <v>115</v>
      </c>
      <c r="E142" s="110"/>
      <c r="F142">
        <f t="shared" si="4"/>
        <v>0</v>
      </c>
      <c r="G142" s="93">
        <f t="shared" si="5"/>
        <v>0</v>
      </c>
    </row>
    <row r="143" spans="1:7" x14ac:dyDescent="0.25">
      <c r="A143" s="106">
        <v>144</v>
      </c>
      <c r="B143" s="107"/>
      <c r="C143" s="108"/>
      <c r="D143" s="7" t="s">
        <v>115</v>
      </c>
      <c r="E143" s="109"/>
      <c r="F143">
        <f t="shared" si="4"/>
        <v>0</v>
      </c>
      <c r="G143" s="93">
        <f t="shared" si="5"/>
        <v>0</v>
      </c>
    </row>
    <row r="144" spans="1:7" x14ac:dyDescent="0.25">
      <c r="A144" s="106">
        <v>145</v>
      </c>
      <c r="B144" s="107"/>
      <c r="C144" s="108"/>
      <c r="D144" s="7" t="s">
        <v>115</v>
      </c>
      <c r="E144" s="110"/>
      <c r="F144">
        <f t="shared" si="4"/>
        <v>0</v>
      </c>
      <c r="G144" s="93">
        <f t="shared" si="5"/>
        <v>0</v>
      </c>
    </row>
    <row r="145" spans="1:7" x14ac:dyDescent="0.25">
      <c r="A145" s="106">
        <v>146</v>
      </c>
      <c r="B145" s="107"/>
      <c r="C145" s="108"/>
      <c r="D145" s="7" t="s">
        <v>115</v>
      </c>
      <c r="E145" s="110"/>
      <c r="F145">
        <f t="shared" si="4"/>
        <v>0</v>
      </c>
      <c r="G145" s="93">
        <f t="shared" si="5"/>
        <v>0</v>
      </c>
    </row>
    <row r="146" spans="1:7" x14ac:dyDescent="0.25">
      <c r="A146" s="106">
        <v>147</v>
      </c>
      <c r="B146" s="107"/>
      <c r="C146" s="108"/>
      <c r="D146" s="7" t="s">
        <v>115</v>
      </c>
      <c r="E146" s="109"/>
      <c r="F146">
        <f t="shared" si="4"/>
        <v>0</v>
      </c>
      <c r="G146" s="93">
        <f t="shared" si="5"/>
        <v>0</v>
      </c>
    </row>
    <row r="147" spans="1:7" x14ac:dyDescent="0.25">
      <c r="A147" s="106">
        <v>148</v>
      </c>
      <c r="B147" s="107"/>
      <c r="C147" s="108"/>
      <c r="D147" s="7" t="s">
        <v>115</v>
      </c>
      <c r="E147" s="109"/>
      <c r="F147">
        <f t="shared" si="4"/>
        <v>0</v>
      </c>
      <c r="G147" s="93">
        <f t="shared" si="5"/>
        <v>0</v>
      </c>
    </row>
    <row r="148" spans="1:7" x14ac:dyDescent="0.25">
      <c r="A148" s="106">
        <v>149</v>
      </c>
      <c r="B148" s="107"/>
      <c r="C148" s="108"/>
      <c r="D148" s="7" t="s">
        <v>115</v>
      </c>
      <c r="E148" s="109"/>
      <c r="F148">
        <f t="shared" si="4"/>
        <v>0</v>
      </c>
      <c r="G148" s="93">
        <f t="shared" si="5"/>
        <v>0</v>
      </c>
    </row>
    <row r="149" spans="1:7" x14ac:dyDescent="0.25">
      <c r="A149" s="106">
        <v>150</v>
      </c>
      <c r="B149" s="107"/>
      <c r="C149" s="108"/>
      <c r="D149" s="7" t="s">
        <v>115</v>
      </c>
      <c r="E149" s="109"/>
      <c r="F149">
        <f t="shared" si="4"/>
        <v>0</v>
      </c>
      <c r="G149" s="93">
        <f t="shared" si="5"/>
        <v>0</v>
      </c>
    </row>
    <row r="150" spans="1:7" x14ac:dyDescent="0.25">
      <c r="A150" s="106">
        <v>151</v>
      </c>
      <c r="B150" s="107"/>
      <c r="C150" s="108"/>
      <c r="D150" s="7" t="s">
        <v>115</v>
      </c>
      <c r="E150" s="109"/>
      <c r="F150">
        <f t="shared" si="4"/>
        <v>0</v>
      </c>
      <c r="G150" s="93">
        <f t="shared" si="5"/>
        <v>0</v>
      </c>
    </row>
    <row r="151" spans="1:7" x14ac:dyDescent="0.25">
      <c r="A151" s="106">
        <v>152</v>
      </c>
      <c r="B151" s="107"/>
      <c r="C151" s="108"/>
      <c r="D151" s="7" t="s">
        <v>115</v>
      </c>
      <c r="E151" s="109"/>
      <c r="F151">
        <f t="shared" si="4"/>
        <v>0</v>
      </c>
      <c r="G151" s="93">
        <f t="shared" si="5"/>
        <v>0</v>
      </c>
    </row>
    <row r="152" spans="1:7" x14ac:dyDescent="0.25">
      <c r="A152" s="106">
        <v>153</v>
      </c>
      <c r="B152" s="107"/>
      <c r="C152" s="108"/>
      <c r="D152" s="7" t="s">
        <v>115</v>
      </c>
      <c r="E152" s="109"/>
      <c r="F152">
        <f t="shared" si="4"/>
        <v>0</v>
      </c>
      <c r="G152" s="93">
        <f t="shared" si="5"/>
        <v>0</v>
      </c>
    </row>
    <row r="153" spans="1:7" x14ac:dyDescent="0.25">
      <c r="A153" s="106">
        <v>154</v>
      </c>
      <c r="B153" s="107"/>
      <c r="C153" s="108"/>
      <c r="D153" s="7" t="s">
        <v>115</v>
      </c>
      <c r="E153" s="109"/>
      <c r="F153">
        <f t="shared" si="4"/>
        <v>0</v>
      </c>
      <c r="G153" s="93">
        <f t="shared" si="5"/>
        <v>0</v>
      </c>
    </row>
    <row r="154" spans="1:7" x14ac:dyDescent="0.25">
      <c r="A154" s="106">
        <v>155</v>
      </c>
      <c r="B154" s="107"/>
      <c r="C154" s="108"/>
      <c r="D154" s="7" t="s">
        <v>115</v>
      </c>
      <c r="E154" s="110"/>
      <c r="F154">
        <f t="shared" si="4"/>
        <v>0</v>
      </c>
      <c r="G154" s="93">
        <f t="shared" si="5"/>
        <v>0</v>
      </c>
    </row>
    <row r="155" spans="1:7" x14ac:dyDescent="0.25">
      <c r="A155" s="106">
        <v>156</v>
      </c>
      <c r="B155" s="107"/>
      <c r="C155" s="108"/>
      <c r="D155" s="7" t="s">
        <v>115</v>
      </c>
      <c r="E155" s="109"/>
      <c r="F155">
        <f t="shared" si="4"/>
        <v>0</v>
      </c>
      <c r="G155" s="93">
        <f t="shared" si="5"/>
        <v>0</v>
      </c>
    </row>
    <row r="156" spans="1:7" x14ac:dyDescent="0.25">
      <c r="A156" s="106">
        <v>157</v>
      </c>
      <c r="B156" s="107"/>
      <c r="C156" s="108"/>
      <c r="D156" s="7" t="s">
        <v>115</v>
      </c>
      <c r="E156" s="109"/>
      <c r="F156">
        <f t="shared" si="4"/>
        <v>0</v>
      </c>
      <c r="G156" s="93">
        <f t="shared" si="5"/>
        <v>0</v>
      </c>
    </row>
    <row r="157" spans="1:7" x14ac:dyDescent="0.25">
      <c r="A157" s="106">
        <v>158</v>
      </c>
      <c r="B157" s="107"/>
      <c r="C157" s="108"/>
      <c r="D157" s="7" t="s">
        <v>115</v>
      </c>
      <c r="E157" s="109"/>
      <c r="F157">
        <f t="shared" si="4"/>
        <v>0</v>
      </c>
      <c r="G157" s="93">
        <f t="shared" si="5"/>
        <v>0</v>
      </c>
    </row>
    <row r="158" spans="1:7" x14ac:dyDescent="0.25">
      <c r="A158" s="106">
        <v>159</v>
      </c>
      <c r="B158" s="107"/>
      <c r="C158" s="108"/>
      <c r="D158" s="7" t="s">
        <v>115</v>
      </c>
      <c r="E158" s="109"/>
      <c r="F158">
        <f t="shared" si="4"/>
        <v>0</v>
      </c>
      <c r="G158" s="93">
        <f t="shared" si="5"/>
        <v>0</v>
      </c>
    </row>
    <row r="159" spans="1:7" x14ac:dyDescent="0.25">
      <c r="A159" s="106">
        <v>160</v>
      </c>
      <c r="B159" s="107"/>
      <c r="C159" s="108"/>
      <c r="D159" s="7" t="s">
        <v>115</v>
      </c>
      <c r="E159" s="109"/>
      <c r="F159">
        <f t="shared" si="4"/>
        <v>0</v>
      </c>
      <c r="G159" s="93">
        <f t="shared" si="5"/>
        <v>0</v>
      </c>
    </row>
    <row r="160" spans="1:7" x14ac:dyDescent="0.25">
      <c r="A160" s="106">
        <v>161</v>
      </c>
      <c r="B160" s="107"/>
      <c r="C160" s="108"/>
      <c r="D160" s="7" t="s">
        <v>115</v>
      </c>
      <c r="E160" s="109"/>
      <c r="F160">
        <f t="shared" si="4"/>
        <v>0</v>
      </c>
      <c r="G160" s="93">
        <f t="shared" si="5"/>
        <v>0</v>
      </c>
    </row>
    <row r="161" spans="1:7" x14ac:dyDescent="0.25">
      <c r="A161" s="106">
        <v>162</v>
      </c>
      <c r="B161" s="107"/>
      <c r="C161" s="108"/>
      <c r="D161" s="7" t="s">
        <v>115</v>
      </c>
      <c r="E161" s="109"/>
      <c r="F161">
        <f t="shared" si="4"/>
        <v>0</v>
      </c>
      <c r="G161" s="93">
        <f t="shared" si="5"/>
        <v>0</v>
      </c>
    </row>
    <row r="162" spans="1:7" x14ac:dyDescent="0.25">
      <c r="A162" s="106">
        <v>163</v>
      </c>
      <c r="B162" s="107"/>
      <c r="C162" s="108"/>
      <c r="D162" s="7" t="s">
        <v>115</v>
      </c>
      <c r="E162" s="109"/>
      <c r="F162">
        <f t="shared" si="4"/>
        <v>0</v>
      </c>
      <c r="G162" s="93">
        <f t="shared" si="5"/>
        <v>0</v>
      </c>
    </row>
    <row r="163" spans="1:7" x14ac:dyDescent="0.25">
      <c r="A163" s="106">
        <v>164</v>
      </c>
      <c r="B163" s="107"/>
      <c r="C163" s="108"/>
      <c r="D163" s="7" t="s">
        <v>115</v>
      </c>
      <c r="E163" s="109"/>
      <c r="F163">
        <f t="shared" si="4"/>
        <v>0</v>
      </c>
      <c r="G163" s="93">
        <f t="shared" si="5"/>
        <v>0</v>
      </c>
    </row>
    <row r="164" spans="1:7" x14ac:dyDescent="0.25">
      <c r="A164" s="106">
        <v>165</v>
      </c>
      <c r="B164" s="107"/>
      <c r="C164" s="108"/>
      <c r="D164" s="7" t="s">
        <v>115</v>
      </c>
      <c r="E164" s="109"/>
      <c r="F164">
        <f t="shared" si="4"/>
        <v>0</v>
      </c>
      <c r="G164" s="93">
        <f t="shared" si="5"/>
        <v>0</v>
      </c>
    </row>
    <row r="165" spans="1:7" x14ac:dyDescent="0.25">
      <c r="A165" s="106">
        <v>166</v>
      </c>
      <c r="B165" s="107"/>
      <c r="C165" s="108"/>
      <c r="D165" s="7" t="s">
        <v>115</v>
      </c>
      <c r="E165" s="109"/>
      <c r="F165">
        <f t="shared" si="4"/>
        <v>0</v>
      </c>
      <c r="G165" s="93">
        <f t="shared" si="5"/>
        <v>0</v>
      </c>
    </row>
    <row r="166" spans="1:7" x14ac:dyDescent="0.25">
      <c r="A166" s="106">
        <v>167</v>
      </c>
      <c r="B166" s="107"/>
      <c r="C166" s="108"/>
      <c r="D166" s="7" t="s">
        <v>115</v>
      </c>
      <c r="E166" s="109"/>
      <c r="F166">
        <f t="shared" si="4"/>
        <v>0</v>
      </c>
      <c r="G166" s="93">
        <f t="shared" si="5"/>
        <v>0</v>
      </c>
    </row>
    <row r="167" spans="1:7" x14ac:dyDescent="0.25">
      <c r="A167" s="106">
        <v>168</v>
      </c>
      <c r="B167" s="107"/>
      <c r="C167" s="108"/>
      <c r="D167" s="7" t="s">
        <v>115</v>
      </c>
      <c r="E167" s="109"/>
      <c r="F167">
        <f t="shared" si="4"/>
        <v>0</v>
      </c>
      <c r="G167" s="93">
        <f t="shared" si="5"/>
        <v>0</v>
      </c>
    </row>
    <row r="168" spans="1:7" x14ac:dyDescent="0.25">
      <c r="A168" s="106">
        <v>169</v>
      </c>
      <c r="B168" s="107"/>
      <c r="C168" s="108"/>
      <c r="D168" s="7" t="s">
        <v>115</v>
      </c>
      <c r="E168" s="109"/>
      <c r="F168">
        <f t="shared" si="4"/>
        <v>0</v>
      </c>
      <c r="G168" s="93">
        <f t="shared" si="5"/>
        <v>0</v>
      </c>
    </row>
    <row r="169" spans="1:7" x14ac:dyDescent="0.25">
      <c r="A169" s="106">
        <v>170</v>
      </c>
      <c r="B169" s="107"/>
      <c r="C169" s="108"/>
      <c r="D169" s="7" t="s">
        <v>115</v>
      </c>
      <c r="E169" s="109"/>
      <c r="F169">
        <f t="shared" si="4"/>
        <v>0</v>
      </c>
      <c r="G169" s="93">
        <f t="shared" si="5"/>
        <v>0</v>
      </c>
    </row>
    <row r="170" spans="1:7" x14ac:dyDescent="0.25">
      <c r="A170" s="106">
        <v>171</v>
      </c>
      <c r="B170" s="107"/>
      <c r="C170" s="108"/>
      <c r="D170" s="7" t="s">
        <v>115</v>
      </c>
      <c r="E170" s="109"/>
      <c r="F170">
        <f t="shared" si="4"/>
        <v>0</v>
      </c>
      <c r="G170" s="93">
        <f t="shared" si="5"/>
        <v>0</v>
      </c>
    </row>
    <row r="171" spans="1:7" x14ac:dyDescent="0.25">
      <c r="A171" s="106">
        <v>172</v>
      </c>
      <c r="B171" s="107"/>
      <c r="C171" s="108"/>
      <c r="D171" s="7" t="s">
        <v>115</v>
      </c>
      <c r="E171" s="109"/>
      <c r="F171">
        <f t="shared" si="4"/>
        <v>0</v>
      </c>
      <c r="G171" s="93">
        <f t="shared" si="5"/>
        <v>0</v>
      </c>
    </row>
    <row r="172" spans="1:7" x14ac:dyDescent="0.25">
      <c r="A172" s="106">
        <v>173</v>
      </c>
      <c r="B172" s="107"/>
      <c r="C172" s="108"/>
      <c r="D172" s="7" t="s">
        <v>115</v>
      </c>
      <c r="E172" s="110"/>
      <c r="F172">
        <f t="shared" si="4"/>
        <v>0</v>
      </c>
      <c r="G172" s="93">
        <f t="shared" si="5"/>
        <v>0</v>
      </c>
    </row>
    <row r="173" spans="1:7" x14ac:dyDescent="0.25">
      <c r="A173" s="106">
        <v>174</v>
      </c>
      <c r="B173" s="107"/>
      <c r="C173" s="108"/>
      <c r="D173" s="7" t="s">
        <v>115</v>
      </c>
      <c r="E173" s="109"/>
      <c r="F173">
        <f t="shared" si="4"/>
        <v>0</v>
      </c>
      <c r="G173" s="93">
        <f t="shared" si="5"/>
        <v>0</v>
      </c>
    </row>
    <row r="174" spans="1:7" x14ac:dyDescent="0.25">
      <c r="A174" s="106">
        <v>175</v>
      </c>
      <c r="B174" s="107"/>
      <c r="C174" s="108"/>
      <c r="D174" s="7" t="s">
        <v>115</v>
      </c>
      <c r="E174" s="109"/>
      <c r="F174">
        <f t="shared" si="4"/>
        <v>0</v>
      </c>
      <c r="G174" s="93">
        <f t="shared" si="5"/>
        <v>0</v>
      </c>
    </row>
    <row r="175" spans="1:7" x14ac:dyDescent="0.25">
      <c r="A175" s="106">
        <v>176</v>
      </c>
      <c r="B175" s="107"/>
      <c r="C175" s="108"/>
      <c r="D175" s="7" t="s">
        <v>115</v>
      </c>
      <c r="E175" s="109"/>
      <c r="F175">
        <f t="shared" si="4"/>
        <v>0</v>
      </c>
      <c r="G175" s="93">
        <f t="shared" si="5"/>
        <v>0</v>
      </c>
    </row>
    <row r="176" spans="1:7" x14ac:dyDescent="0.25">
      <c r="A176" s="106">
        <v>177</v>
      </c>
      <c r="B176" s="107"/>
      <c r="C176" s="108"/>
      <c r="D176" s="7" t="s">
        <v>115</v>
      </c>
      <c r="E176" s="109"/>
      <c r="F176">
        <f t="shared" si="4"/>
        <v>0</v>
      </c>
      <c r="G176" s="93">
        <f t="shared" si="5"/>
        <v>0</v>
      </c>
    </row>
    <row r="177" spans="1:7" x14ac:dyDescent="0.25">
      <c r="A177" s="106">
        <v>178</v>
      </c>
      <c r="B177" s="107"/>
      <c r="C177" s="108"/>
      <c r="D177" s="7" t="s">
        <v>115</v>
      </c>
      <c r="E177" s="109"/>
      <c r="F177">
        <f t="shared" si="4"/>
        <v>0</v>
      </c>
      <c r="G177" s="93">
        <f t="shared" si="5"/>
        <v>0</v>
      </c>
    </row>
    <row r="178" spans="1:7" x14ac:dyDescent="0.25">
      <c r="A178" s="106">
        <v>179</v>
      </c>
      <c r="B178" s="107"/>
      <c r="C178" s="108"/>
      <c r="D178" s="7" t="s">
        <v>115</v>
      </c>
      <c r="E178" s="109"/>
      <c r="F178">
        <f t="shared" si="4"/>
        <v>0</v>
      </c>
      <c r="G178" s="93">
        <f t="shared" si="5"/>
        <v>0</v>
      </c>
    </row>
    <row r="179" spans="1:7" x14ac:dyDescent="0.25">
      <c r="A179" s="106">
        <v>180</v>
      </c>
      <c r="B179" s="107"/>
      <c r="C179" s="108"/>
      <c r="D179" s="7" t="s">
        <v>115</v>
      </c>
      <c r="E179" s="109"/>
      <c r="F179">
        <f t="shared" si="4"/>
        <v>0</v>
      </c>
      <c r="G179" s="93">
        <f t="shared" si="5"/>
        <v>0</v>
      </c>
    </row>
    <row r="180" spans="1:7" x14ac:dyDescent="0.25">
      <c r="A180" s="106">
        <v>181</v>
      </c>
      <c r="B180" s="107"/>
      <c r="C180" s="108"/>
      <c r="D180" s="7" t="s">
        <v>115</v>
      </c>
      <c r="E180" s="109"/>
      <c r="F180">
        <f t="shared" si="4"/>
        <v>0</v>
      </c>
      <c r="G180" s="93">
        <f t="shared" si="5"/>
        <v>0</v>
      </c>
    </row>
    <row r="181" spans="1:7" x14ac:dyDescent="0.25">
      <c r="A181" s="106">
        <v>182</v>
      </c>
      <c r="B181" s="107"/>
      <c r="C181" s="108"/>
      <c r="D181" s="7" t="s">
        <v>115</v>
      </c>
      <c r="E181" s="109"/>
      <c r="F181">
        <f t="shared" si="4"/>
        <v>0</v>
      </c>
      <c r="G181" s="93">
        <f t="shared" si="5"/>
        <v>0</v>
      </c>
    </row>
    <row r="182" spans="1:7" x14ac:dyDescent="0.25">
      <c r="A182" s="106">
        <v>183</v>
      </c>
      <c r="B182" s="107"/>
      <c r="C182" s="108"/>
      <c r="D182" s="7" t="s">
        <v>115</v>
      </c>
      <c r="E182" s="109"/>
      <c r="F182">
        <f t="shared" si="4"/>
        <v>0</v>
      </c>
      <c r="G182" s="93">
        <f t="shared" si="5"/>
        <v>0</v>
      </c>
    </row>
    <row r="183" spans="1:7" x14ac:dyDescent="0.25">
      <c r="A183" s="106">
        <v>184</v>
      </c>
      <c r="B183" s="107"/>
      <c r="C183" s="108"/>
      <c r="D183" s="7" t="s">
        <v>115</v>
      </c>
      <c r="E183" s="109"/>
      <c r="F183">
        <f t="shared" si="4"/>
        <v>0</v>
      </c>
      <c r="G183" s="93">
        <f t="shared" si="5"/>
        <v>0</v>
      </c>
    </row>
    <row r="184" spans="1:7" x14ac:dyDescent="0.25">
      <c r="A184" s="106">
        <v>185</v>
      </c>
      <c r="B184" s="107"/>
      <c r="C184" s="108"/>
      <c r="D184" s="7" t="s">
        <v>115</v>
      </c>
      <c r="E184" s="109"/>
      <c r="F184">
        <f t="shared" si="4"/>
        <v>0</v>
      </c>
      <c r="G184" s="93">
        <f t="shared" si="5"/>
        <v>0</v>
      </c>
    </row>
    <row r="185" spans="1:7" x14ac:dyDescent="0.25">
      <c r="A185" s="106">
        <v>186</v>
      </c>
      <c r="B185" s="107"/>
      <c r="C185" s="108"/>
      <c r="D185" s="7" t="s">
        <v>115</v>
      </c>
      <c r="E185" s="109"/>
      <c r="F185">
        <f t="shared" si="4"/>
        <v>0</v>
      </c>
      <c r="G185" s="93">
        <f t="shared" si="5"/>
        <v>0</v>
      </c>
    </row>
    <row r="186" spans="1:7" x14ac:dyDescent="0.25">
      <c r="A186" s="106">
        <v>187</v>
      </c>
      <c r="B186" s="107"/>
      <c r="C186" s="108"/>
      <c r="D186" s="7" t="s">
        <v>115</v>
      </c>
      <c r="E186" s="109"/>
      <c r="F186">
        <f t="shared" si="4"/>
        <v>0</v>
      </c>
      <c r="G186" s="93">
        <f t="shared" si="5"/>
        <v>0</v>
      </c>
    </row>
    <row r="187" spans="1:7" x14ac:dyDescent="0.25">
      <c r="A187" s="106">
        <v>188</v>
      </c>
      <c r="B187" s="107"/>
      <c r="C187" s="108"/>
      <c r="D187" s="7" t="s">
        <v>115</v>
      </c>
      <c r="E187" s="110"/>
      <c r="F187">
        <f t="shared" si="4"/>
        <v>0</v>
      </c>
      <c r="G187" s="93">
        <f t="shared" si="5"/>
        <v>0</v>
      </c>
    </row>
    <row r="188" spans="1:7" x14ac:dyDescent="0.25">
      <c r="A188" s="106">
        <v>189</v>
      </c>
      <c r="B188" s="107"/>
      <c r="C188" s="108"/>
      <c r="D188" s="7" t="s">
        <v>115</v>
      </c>
      <c r="E188" s="109"/>
      <c r="F188">
        <f t="shared" si="4"/>
        <v>0</v>
      </c>
      <c r="G188" s="93">
        <f t="shared" si="5"/>
        <v>0</v>
      </c>
    </row>
    <row r="189" spans="1:7" x14ac:dyDescent="0.25">
      <c r="A189" s="106">
        <v>190</v>
      </c>
      <c r="B189" s="107"/>
      <c r="C189" s="108"/>
      <c r="D189" s="7" t="s">
        <v>115</v>
      </c>
      <c r="E189" s="109"/>
      <c r="F189">
        <f t="shared" si="4"/>
        <v>0</v>
      </c>
      <c r="G189" s="93">
        <f t="shared" si="5"/>
        <v>0</v>
      </c>
    </row>
    <row r="190" spans="1:7" x14ac:dyDescent="0.25">
      <c r="A190" s="106">
        <v>191</v>
      </c>
      <c r="B190" s="107"/>
      <c r="C190" s="108"/>
      <c r="D190" s="7" t="s">
        <v>115</v>
      </c>
      <c r="E190" s="109"/>
      <c r="F190">
        <f t="shared" si="4"/>
        <v>0</v>
      </c>
      <c r="G190" s="93">
        <f t="shared" si="5"/>
        <v>0</v>
      </c>
    </row>
    <row r="191" spans="1:7" x14ac:dyDescent="0.25">
      <c r="A191" s="106">
        <v>192</v>
      </c>
      <c r="B191" s="107"/>
      <c r="C191" s="108"/>
      <c r="D191" s="7" t="s">
        <v>115</v>
      </c>
      <c r="E191" s="109"/>
      <c r="F191">
        <f t="shared" si="4"/>
        <v>0</v>
      </c>
      <c r="G191" s="93">
        <f t="shared" si="5"/>
        <v>0</v>
      </c>
    </row>
    <row r="192" spans="1:7" x14ac:dyDescent="0.25">
      <c r="A192" s="106">
        <v>193</v>
      </c>
      <c r="B192" s="107"/>
      <c r="C192" s="108"/>
      <c r="D192" s="7" t="s">
        <v>115</v>
      </c>
      <c r="E192" s="110"/>
      <c r="F192">
        <f t="shared" si="4"/>
        <v>0</v>
      </c>
      <c r="G192" s="93">
        <f t="shared" si="5"/>
        <v>0</v>
      </c>
    </row>
    <row r="193" spans="1:7" x14ac:dyDescent="0.25">
      <c r="A193" s="106">
        <v>194</v>
      </c>
      <c r="B193" s="107"/>
      <c r="C193" s="108"/>
      <c r="D193" s="7" t="s">
        <v>115</v>
      </c>
      <c r="E193" s="109"/>
      <c r="F193">
        <f t="shared" ref="F193:F256" si="6">LEN(E193)</f>
        <v>0</v>
      </c>
      <c r="G193" s="93">
        <f t="shared" ref="G193:G256" si="7">IF(LEN(B193)&gt;28,MID(B193,1,28),B193)</f>
        <v>0</v>
      </c>
    </row>
    <row r="194" spans="1:7" x14ac:dyDescent="0.25">
      <c r="A194" s="106">
        <v>195</v>
      </c>
      <c r="B194" s="107"/>
      <c r="C194" s="108"/>
      <c r="D194" s="7" t="s">
        <v>115</v>
      </c>
      <c r="E194" s="110"/>
      <c r="F194">
        <f t="shared" si="6"/>
        <v>0</v>
      </c>
      <c r="G194" s="93">
        <f t="shared" si="7"/>
        <v>0</v>
      </c>
    </row>
    <row r="195" spans="1:7" x14ac:dyDescent="0.25">
      <c r="A195" s="106">
        <v>196</v>
      </c>
      <c r="B195" s="107"/>
      <c r="C195" s="108"/>
      <c r="D195" s="7" t="s">
        <v>115</v>
      </c>
      <c r="E195" s="109"/>
      <c r="F195">
        <f t="shared" si="6"/>
        <v>0</v>
      </c>
      <c r="G195" s="93">
        <f t="shared" si="7"/>
        <v>0</v>
      </c>
    </row>
    <row r="196" spans="1:7" x14ac:dyDescent="0.25">
      <c r="A196" s="106">
        <v>197</v>
      </c>
      <c r="B196" s="5"/>
      <c r="C196" s="108"/>
      <c r="D196" s="7" t="s">
        <v>115</v>
      </c>
      <c r="E196" s="109"/>
      <c r="F196">
        <f t="shared" si="6"/>
        <v>0</v>
      </c>
      <c r="G196" s="93">
        <f t="shared" si="7"/>
        <v>0</v>
      </c>
    </row>
    <row r="197" spans="1:7" x14ac:dyDescent="0.25">
      <c r="A197" s="106">
        <v>198</v>
      </c>
      <c r="B197" s="107"/>
      <c r="C197" s="108"/>
      <c r="D197" s="7" t="s">
        <v>115</v>
      </c>
      <c r="E197" s="109"/>
      <c r="F197">
        <f t="shared" si="6"/>
        <v>0</v>
      </c>
      <c r="G197" s="93">
        <f t="shared" si="7"/>
        <v>0</v>
      </c>
    </row>
    <row r="198" spans="1:7" x14ac:dyDescent="0.25">
      <c r="A198" s="106">
        <v>199</v>
      </c>
      <c r="B198" s="107"/>
      <c r="C198" s="108"/>
      <c r="D198" s="7" t="s">
        <v>115</v>
      </c>
      <c r="E198" s="109"/>
      <c r="F198">
        <f t="shared" si="6"/>
        <v>0</v>
      </c>
      <c r="G198" s="93">
        <f t="shared" si="7"/>
        <v>0</v>
      </c>
    </row>
    <row r="199" spans="1:7" x14ac:dyDescent="0.25">
      <c r="A199" s="106">
        <v>200</v>
      </c>
      <c r="B199" s="107"/>
      <c r="C199" s="108"/>
      <c r="D199" s="7" t="s">
        <v>115</v>
      </c>
      <c r="E199" s="109"/>
      <c r="F199">
        <f t="shared" si="6"/>
        <v>0</v>
      </c>
      <c r="G199" s="93">
        <f t="shared" si="7"/>
        <v>0</v>
      </c>
    </row>
    <row r="200" spans="1:7" x14ac:dyDescent="0.25">
      <c r="A200" s="106">
        <v>201</v>
      </c>
      <c r="B200" s="107"/>
      <c r="C200" s="108"/>
      <c r="D200" s="7" t="s">
        <v>115</v>
      </c>
      <c r="E200" s="110"/>
      <c r="F200">
        <f t="shared" si="6"/>
        <v>0</v>
      </c>
      <c r="G200" s="93">
        <f t="shared" si="7"/>
        <v>0</v>
      </c>
    </row>
    <row r="201" spans="1:7" x14ac:dyDescent="0.25">
      <c r="A201" s="106">
        <v>202</v>
      </c>
      <c r="B201" s="107"/>
      <c r="C201" s="108"/>
      <c r="D201" s="7" t="s">
        <v>115</v>
      </c>
      <c r="E201" s="109"/>
      <c r="F201">
        <f t="shared" si="6"/>
        <v>0</v>
      </c>
      <c r="G201" s="93">
        <f t="shared" si="7"/>
        <v>0</v>
      </c>
    </row>
    <row r="202" spans="1:7" x14ac:dyDescent="0.25">
      <c r="A202" s="106">
        <v>203</v>
      </c>
      <c r="B202" s="111"/>
      <c r="C202" s="108"/>
      <c r="D202" s="7" t="s">
        <v>115</v>
      </c>
      <c r="E202" s="109"/>
      <c r="F202">
        <f t="shared" si="6"/>
        <v>0</v>
      </c>
      <c r="G202" s="93">
        <f t="shared" si="7"/>
        <v>0</v>
      </c>
    </row>
    <row r="203" spans="1:7" x14ac:dyDescent="0.25">
      <c r="A203" s="106">
        <v>204</v>
      </c>
      <c r="B203" s="107"/>
      <c r="C203" s="108"/>
      <c r="D203" s="7" t="s">
        <v>115</v>
      </c>
      <c r="E203" s="109"/>
      <c r="F203">
        <f t="shared" si="6"/>
        <v>0</v>
      </c>
      <c r="G203" s="93">
        <f t="shared" si="7"/>
        <v>0</v>
      </c>
    </row>
    <row r="204" spans="1:7" x14ac:dyDescent="0.25">
      <c r="A204" s="106">
        <v>205</v>
      </c>
      <c r="B204" s="107"/>
      <c r="C204" s="108"/>
      <c r="D204" s="7" t="s">
        <v>115</v>
      </c>
      <c r="E204" s="109"/>
      <c r="F204">
        <f t="shared" si="6"/>
        <v>0</v>
      </c>
      <c r="G204" s="93">
        <f t="shared" si="7"/>
        <v>0</v>
      </c>
    </row>
    <row r="205" spans="1:7" x14ac:dyDescent="0.25">
      <c r="A205" s="106">
        <v>206</v>
      </c>
      <c r="B205" s="107"/>
      <c r="C205" s="108"/>
      <c r="D205" s="7" t="s">
        <v>115</v>
      </c>
      <c r="E205" s="109"/>
      <c r="F205">
        <f t="shared" si="6"/>
        <v>0</v>
      </c>
      <c r="G205" s="93">
        <f t="shared" si="7"/>
        <v>0</v>
      </c>
    </row>
    <row r="206" spans="1:7" x14ac:dyDescent="0.25">
      <c r="A206" s="106">
        <v>207</v>
      </c>
      <c r="B206" s="107"/>
      <c r="C206" s="108"/>
      <c r="D206" s="7" t="s">
        <v>115</v>
      </c>
      <c r="E206" s="110"/>
      <c r="F206">
        <f t="shared" si="6"/>
        <v>0</v>
      </c>
      <c r="G206" s="93">
        <f t="shared" si="7"/>
        <v>0</v>
      </c>
    </row>
    <row r="207" spans="1:7" x14ac:dyDescent="0.25">
      <c r="A207" s="106">
        <v>208</v>
      </c>
      <c r="B207" s="107"/>
      <c r="C207" s="108"/>
      <c r="D207" s="7" t="s">
        <v>115</v>
      </c>
      <c r="E207" s="109"/>
      <c r="F207">
        <f t="shared" si="6"/>
        <v>0</v>
      </c>
      <c r="G207" s="93">
        <f t="shared" si="7"/>
        <v>0</v>
      </c>
    </row>
    <row r="208" spans="1:7" x14ac:dyDescent="0.25">
      <c r="A208" s="106">
        <v>209</v>
      </c>
      <c r="B208" s="107"/>
      <c r="C208" s="108"/>
      <c r="D208" s="7" t="s">
        <v>115</v>
      </c>
      <c r="E208" s="110"/>
      <c r="F208">
        <f t="shared" si="6"/>
        <v>0</v>
      </c>
      <c r="G208" s="93">
        <f t="shared" si="7"/>
        <v>0</v>
      </c>
    </row>
    <row r="209" spans="1:7" x14ac:dyDescent="0.25">
      <c r="A209" s="106">
        <v>210</v>
      </c>
      <c r="B209" s="107"/>
      <c r="C209" s="108"/>
      <c r="D209" s="7" t="s">
        <v>115</v>
      </c>
      <c r="E209" s="109"/>
      <c r="F209">
        <f t="shared" si="6"/>
        <v>0</v>
      </c>
      <c r="G209" s="93">
        <f t="shared" si="7"/>
        <v>0</v>
      </c>
    </row>
    <row r="210" spans="1:7" x14ac:dyDescent="0.25">
      <c r="A210" s="106">
        <v>211</v>
      </c>
      <c r="B210" s="107"/>
      <c r="C210" s="108"/>
      <c r="D210" s="7" t="s">
        <v>115</v>
      </c>
      <c r="E210" s="109"/>
      <c r="F210">
        <f t="shared" si="6"/>
        <v>0</v>
      </c>
      <c r="G210" s="93">
        <f t="shared" si="7"/>
        <v>0</v>
      </c>
    </row>
    <row r="211" spans="1:7" x14ac:dyDescent="0.25">
      <c r="A211" s="106">
        <v>212</v>
      </c>
      <c r="B211" s="5"/>
      <c r="C211" s="108"/>
      <c r="D211" s="7" t="s">
        <v>115</v>
      </c>
      <c r="E211" s="109"/>
      <c r="F211">
        <f t="shared" si="6"/>
        <v>0</v>
      </c>
      <c r="G211" s="93">
        <f t="shared" si="7"/>
        <v>0</v>
      </c>
    </row>
    <row r="212" spans="1:7" x14ac:dyDescent="0.25">
      <c r="A212" s="106">
        <v>213</v>
      </c>
      <c r="B212" s="5"/>
      <c r="C212" s="108"/>
      <c r="D212" s="7" t="s">
        <v>115</v>
      </c>
      <c r="E212" s="109"/>
      <c r="F212">
        <f t="shared" si="6"/>
        <v>0</v>
      </c>
      <c r="G212" s="93">
        <f t="shared" si="7"/>
        <v>0</v>
      </c>
    </row>
    <row r="213" spans="1:7" x14ac:dyDescent="0.25">
      <c r="A213" s="106">
        <v>214</v>
      </c>
      <c r="B213" s="107"/>
      <c r="C213" s="108"/>
      <c r="D213" s="7" t="s">
        <v>115</v>
      </c>
      <c r="E213" s="109"/>
      <c r="F213">
        <f t="shared" si="6"/>
        <v>0</v>
      </c>
      <c r="G213" s="93">
        <f t="shared" si="7"/>
        <v>0</v>
      </c>
    </row>
    <row r="214" spans="1:7" x14ac:dyDescent="0.25">
      <c r="A214" s="106">
        <v>215</v>
      </c>
      <c r="B214" s="107"/>
      <c r="C214" s="108"/>
      <c r="D214" s="7" t="s">
        <v>115</v>
      </c>
      <c r="E214" s="109"/>
      <c r="F214">
        <f t="shared" si="6"/>
        <v>0</v>
      </c>
      <c r="G214" s="93">
        <f t="shared" si="7"/>
        <v>0</v>
      </c>
    </row>
    <row r="215" spans="1:7" x14ac:dyDescent="0.25">
      <c r="A215" s="106">
        <v>216</v>
      </c>
      <c r="B215" s="107"/>
      <c r="C215" s="108"/>
      <c r="D215" s="7" t="s">
        <v>115</v>
      </c>
      <c r="E215" s="109"/>
      <c r="F215">
        <f t="shared" si="6"/>
        <v>0</v>
      </c>
      <c r="G215" s="93">
        <f t="shared" si="7"/>
        <v>0</v>
      </c>
    </row>
    <row r="216" spans="1:7" x14ac:dyDescent="0.25">
      <c r="A216" s="106">
        <v>217</v>
      </c>
      <c r="B216" s="107"/>
      <c r="C216" s="108"/>
      <c r="D216" s="7" t="s">
        <v>115</v>
      </c>
      <c r="E216" s="109"/>
      <c r="F216">
        <f t="shared" si="6"/>
        <v>0</v>
      </c>
      <c r="G216" s="93">
        <f t="shared" si="7"/>
        <v>0</v>
      </c>
    </row>
    <row r="217" spans="1:7" x14ac:dyDescent="0.25">
      <c r="A217" s="106">
        <v>218</v>
      </c>
      <c r="B217" s="107"/>
      <c r="C217" s="108"/>
      <c r="D217" s="7" t="s">
        <v>115</v>
      </c>
      <c r="E217" s="110"/>
      <c r="F217">
        <f t="shared" si="6"/>
        <v>0</v>
      </c>
      <c r="G217" s="93">
        <f t="shared" si="7"/>
        <v>0</v>
      </c>
    </row>
    <row r="218" spans="1:7" x14ac:dyDescent="0.25">
      <c r="A218" s="106">
        <v>219</v>
      </c>
      <c r="B218" s="107"/>
      <c r="C218" s="108"/>
      <c r="D218" s="7" t="s">
        <v>115</v>
      </c>
      <c r="E218" s="110"/>
      <c r="F218">
        <f t="shared" si="6"/>
        <v>0</v>
      </c>
      <c r="G218" s="93">
        <f t="shared" si="7"/>
        <v>0</v>
      </c>
    </row>
    <row r="219" spans="1:7" x14ac:dyDescent="0.25">
      <c r="A219" s="106">
        <v>220</v>
      </c>
      <c r="B219" s="107"/>
      <c r="C219" s="108"/>
      <c r="D219" s="7" t="s">
        <v>115</v>
      </c>
      <c r="E219" s="109"/>
      <c r="F219">
        <f t="shared" si="6"/>
        <v>0</v>
      </c>
      <c r="G219" s="93">
        <f t="shared" si="7"/>
        <v>0</v>
      </c>
    </row>
    <row r="220" spans="1:7" x14ac:dyDescent="0.25">
      <c r="A220" s="106">
        <v>221</v>
      </c>
      <c r="B220" s="107"/>
      <c r="C220" s="108"/>
      <c r="D220" s="7" t="s">
        <v>115</v>
      </c>
      <c r="E220" s="109"/>
      <c r="F220">
        <f t="shared" si="6"/>
        <v>0</v>
      </c>
      <c r="G220" s="93">
        <f t="shared" si="7"/>
        <v>0</v>
      </c>
    </row>
    <row r="221" spans="1:7" x14ac:dyDescent="0.25">
      <c r="A221" s="106">
        <v>222</v>
      </c>
      <c r="B221" s="107"/>
      <c r="C221" s="108"/>
      <c r="D221" s="7" t="s">
        <v>115</v>
      </c>
      <c r="E221" s="109"/>
      <c r="F221">
        <f t="shared" si="6"/>
        <v>0</v>
      </c>
      <c r="G221" s="93">
        <f t="shared" si="7"/>
        <v>0</v>
      </c>
    </row>
    <row r="222" spans="1:7" x14ac:dyDescent="0.25">
      <c r="A222" s="106">
        <v>223</v>
      </c>
      <c r="B222" s="107"/>
      <c r="C222" s="108"/>
      <c r="D222" s="7" t="s">
        <v>115</v>
      </c>
      <c r="E222" s="109"/>
      <c r="F222">
        <f t="shared" si="6"/>
        <v>0</v>
      </c>
      <c r="G222" s="93">
        <f t="shared" si="7"/>
        <v>0</v>
      </c>
    </row>
    <row r="223" spans="1:7" x14ac:dyDescent="0.25">
      <c r="A223" s="106">
        <v>224</v>
      </c>
      <c r="B223" s="107"/>
      <c r="C223" s="108"/>
      <c r="D223" s="7" t="s">
        <v>115</v>
      </c>
      <c r="E223" s="110"/>
      <c r="F223">
        <f t="shared" si="6"/>
        <v>0</v>
      </c>
      <c r="G223" s="93">
        <f t="shared" si="7"/>
        <v>0</v>
      </c>
    </row>
    <row r="224" spans="1:7" x14ac:dyDescent="0.25">
      <c r="A224" s="106">
        <v>225</v>
      </c>
      <c r="B224" s="107"/>
      <c r="C224" s="108"/>
      <c r="D224" s="7" t="s">
        <v>115</v>
      </c>
      <c r="E224" s="109"/>
      <c r="F224">
        <f t="shared" si="6"/>
        <v>0</v>
      </c>
      <c r="G224" s="93">
        <f t="shared" si="7"/>
        <v>0</v>
      </c>
    </row>
    <row r="225" spans="1:7" x14ac:dyDescent="0.25">
      <c r="A225" s="106">
        <v>226</v>
      </c>
      <c r="B225" s="107"/>
      <c r="C225" s="108"/>
      <c r="D225" s="7" t="s">
        <v>115</v>
      </c>
      <c r="E225" s="109"/>
      <c r="F225">
        <f t="shared" si="6"/>
        <v>0</v>
      </c>
      <c r="G225" s="93">
        <f t="shared" si="7"/>
        <v>0</v>
      </c>
    </row>
    <row r="226" spans="1:7" x14ac:dyDescent="0.25">
      <c r="A226" s="106">
        <v>227</v>
      </c>
      <c r="B226" s="107"/>
      <c r="C226" s="108"/>
      <c r="D226" s="7" t="s">
        <v>115</v>
      </c>
      <c r="E226" s="109"/>
      <c r="F226">
        <f t="shared" si="6"/>
        <v>0</v>
      </c>
      <c r="G226" s="93">
        <f t="shared" si="7"/>
        <v>0</v>
      </c>
    </row>
    <row r="227" spans="1:7" x14ac:dyDescent="0.25">
      <c r="A227" s="106">
        <v>228</v>
      </c>
      <c r="B227" s="107"/>
      <c r="C227" s="108"/>
      <c r="D227" s="7" t="s">
        <v>115</v>
      </c>
      <c r="E227" s="109"/>
      <c r="F227">
        <f t="shared" si="6"/>
        <v>0</v>
      </c>
      <c r="G227" s="93">
        <f t="shared" si="7"/>
        <v>0</v>
      </c>
    </row>
    <row r="228" spans="1:7" x14ac:dyDescent="0.25">
      <c r="A228" s="106">
        <v>229</v>
      </c>
      <c r="B228" s="107"/>
      <c r="C228" s="108"/>
      <c r="D228" s="7" t="s">
        <v>115</v>
      </c>
      <c r="E228" s="109"/>
      <c r="F228">
        <f t="shared" si="6"/>
        <v>0</v>
      </c>
      <c r="G228" s="93">
        <f t="shared" si="7"/>
        <v>0</v>
      </c>
    </row>
    <row r="229" spans="1:7" x14ac:dyDescent="0.25">
      <c r="A229" s="106">
        <v>230</v>
      </c>
      <c r="B229" s="107"/>
      <c r="C229" s="108"/>
      <c r="D229" s="7" t="s">
        <v>115</v>
      </c>
      <c r="E229" s="109"/>
      <c r="F229">
        <f t="shared" si="6"/>
        <v>0</v>
      </c>
      <c r="G229" s="93">
        <f t="shared" si="7"/>
        <v>0</v>
      </c>
    </row>
    <row r="230" spans="1:7" x14ac:dyDescent="0.25">
      <c r="A230" s="106">
        <v>231</v>
      </c>
      <c r="B230" s="107"/>
      <c r="C230" s="108"/>
      <c r="D230" s="7" t="s">
        <v>115</v>
      </c>
      <c r="E230" s="109"/>
      <c r="F230">
        <f t="shared" si="6"/>
        <v>0</v>
      </c>
      <c r="G230" s="93">
        <f t="shared" si="7"/>
        <v>0</v>
      </c>
    </row>
    <row r="231" spans="1:7" x14ac:dyDescent="0.25">
      <c r="A231" s="106">
        <v>232</v>
      </c>
      <c r="B231" s="107"/>
      <c r="C231" s="108"/>
      <c r="D231" s="7" t="s">
        <v>115</v>
      </c>
      <c r="E231" s="109"/>
      <c r="F231">
        <f t="shared" si="6"/>
        <v>0</v>
      </c>
      <c r="G231" s="93">
        <f t="shared" si="7"/>
        <v>0</v>
      </c>
    </row>
    <row r="232" spans="1:7" x14ac:dyDescent="0.25">
      <c r="A232" s="106">
        <v>233</v>
      </c>
      <c r="B232" s="107"/>
      <c r="C232" s="108"/>
      <c r="D232" s="7" t="s">
        <v>115</v>
      </c>
      <c r="E232" s="109"/>
      <c r="F232">
        <f t="shared" si="6"/>
        <v>0</v>
      </c>
      <c r="G232" s="93">
        <f t="shared" si="7"/>
        <v>0</v>
      </c>
    </row>
    <row r="233" spans="1:7" x14ac:dyDescent="0.25">
      <c r="A233" s="106">
        <v>234</v>
      </c>
      <c r="B233" s="107"/>
      <c r="C233" s="108"/>
      <c r="D233" s="7" t="s">
        <v>115</v>
      </c>
      <c r="E233" s="110"/>
      <c r="F233">
        <f t="shared" si="6"/>
        <v>0</v>
      </c>
      <c r="G233" s="93">
        <f t="shared" si="7"/>
        <v>0</v>
      </c>
    </row>
    <row r="234" spans="1:7" x14ac:dyDescent="0.25">
      <c r="A234" s="106">
        <v>235</v>
      </c>
      <c r="B234" s="107"/>
      <c r="C234" s="108"/>
      <c r="D234" s="7" t="s">
        <v>115</v>
      </c>
      <c r="E234" s="109"/>
      <c r="F234">
        <f t="shared" si="6"/>
        <v>0</v>
      </c>
      <c r="G234" s="93">
        <f t="shared" si="7"/>
        <v>0</v>
      </c>
    </row>
    <row r="235" spans="1:7" x14ac:dyDescent="0.25">
      <c r="A235" s="106">
        <v>236</v>
      </c>
      <c r="B235" s="107"/>
      <c r="C235" s="108"/>
      <c r="D235" s="7" t="s">
        <v>115</v>
      </c>
      <c r="E235" s="110"/>
      <c r="F235">
        <f t="shared" si="6"/>
        <v>0</v>
      </c>
      <c r="G235" s="93">
        <f t="shared" si="7"/>
        <v>0</v>
      </c>
    </row>
    <row r="236" spans="1:7" x14ac:dyDescent="0.25">
      <c r="A236" s="106">
        <v>237</v>
      </c>
      <c r="B236" s="107"/>
      <c r="C236" s="108"/>
      <c r="D236" s="7" t="s">
        <v>115</v>
      </c>
      <c r="E236" s="109"/>
      <c r="F236">
        <f t="shared" si="6"/>
        <v>0</v>
      </c>
      <c r="G236" s="93">
        <f t="shared" si="7"/>
        <v>0</v>
      </c>
    </row>
    <row r="237" spans="1:7" x14ac:dyDescent="0.25">
      <c r="A237" s="106">
        <v>238</v>
      </c>
      <c r="B237" s="107"/>
      <c r="C237" s="108"/>
      <c r="D237" s="7" t="s">
        <v>115</v>
      </c>
      <c r="E237" s="110"/>
      <c r="F237">
        <f t="shared" si="6"/>
        <v>0</v>
      </c>
      <c r="G237" s="93">
        <f t="shared" si="7"/>
        <v>0</v>
      </c>
    </row>
    <row r="238" spans="1:7" x14ac:dyDescent="0.25">
      <c r="A238" s="106">
        <v>239</v>
      </c>
      <c r="B238" s="107"/>
      <c r="C238" s="108"/>
      <c r="D238" s="7" t="s">
        <v>115</v>
      </c>
      <c r="E238" s="109"/>
      <c r="F238">
        <f t="shared" si="6"/>
        <v>0</v>
      </c>
      <c r="G238" s="93">
        <f t="shared" si="7"/>
        <v>0</v>
      </c>
    </row>
    <row r="239" spans="1:7" x14ac:dyDescent="0.25">
      <c r="A239" s="106">
        <v>240</v>
      </c>
      <c r="B239" s="107"/>
      <c r="C239" s="108"/>
      <c r="D239" s="7" t="s">
        <v>115</v>
      </c>
      <c r="E239" s="109"/>
      <c r="F239">
        <f t="shared" si="6"/>
        <v>0</v>
      </c>
      <c r="G239" s="93">
        <f t="shared" si="7"/>
        <v>0</v>
      </c>
    </row>
    <row r="240" spans="1:7" x14ac:dyDescent="0.25">
      <c r="A240" s="106">
        <v>241</v>
      </c>
      <c r="B240" s="107"/>
      <c r="C240" s="108"/>
      <c r="D240" s="7" t="s">
        <v>115</v>
      </c>
      <c r="E240" s="109"/>
      <c r="F240">
        <f t="shared" si="6"/>
        <v>0</v>
      </c>
      <c r="G240" s="93">
        <f t="shared" si="7"/>
        <v>0</v>
      </c>
    </row>
    <row r="241" spans="1:7" x14ac:dyDescent="0.25">
      <c r="A241" s="106">
        <v>242</v>
      </c>
      <c r="B241" s="107"/>
      <c r="C241" s="108"/>
      <c r="D241" s="7" t="s">
        <v>115</v>
      </c>
      <c r="E241" s="109"/>
      <c r="F241">
        <f t="shared" si="6"/>
        <v>0</v>
      </c>
      <c r="G241" s="93">
        <f t="shared" si="7"/>
        <v>0</v>
      </c>
    </row>
    <row r="242" spans="1:7" x14ac:dyDescent="0.25">
      <c r="A242" s="106">
        <v>243</v>
      </c>
      <c r="B242" s="107"/>
      <c r="C242" s="108"/>
      <c r="D242" s="7" t="s">
        <v>115</v>
      </c>
      <c r="E242" s="109"/>
      <c r="F242">
        <f t="shared" si="6"/>
        <v>0</v>
      </c>
      <c r="G242" s="93">
        <f t="shared" si="7"/>
        <v>0</v>
      </c>
    </row>
    <row r="243" spans="1:7" x14ac:dyDescent="0.25">
      <c r="A243" s="106">
        <v>244</v>
      </c>
      <c r="B243" s="107"/>
      <c r="C243" s="108"/>
      <c r="D243" s="7" t="s">
        <v>115</v>
      </c>
      <c r="E243" s="109"/>
      <c r="F243">
        <f t="shared" si="6"/>
        <v>0</v>
      </c>
      <c r="G243" s="93">
        <f t="shared" si="7"/>
        <v>0</v>
      </c>
    </row>
    <row r="244" spans="1:7" x14ac:dyDescent="0.25">
      <c r="A244" s="106">
        <v>245</v>
      </c>
      <c r="B244" s="107"/>
      <c r="C244" s="108"/>
      <c r="D244" s="7" t="s">
        <v>115</v>
      </c>
      <c r="E244" s="109"/>
      <c r="F244">
        <f t="shared" si="6"/>
        <v>0</v>
      </c>
      <c r="G244" s="93">
        <f t="shared" si="7"/>
        <v>0</v>
      </c>
    </row>
    <row r="245" spans="1:7" x14ac:dyDescent="0.25">
      <c r="A245" s="106">
        <v>246</v>
      </c>
      <c r="B245" s="107"/>
      <c r="C245" s="108"/>
      <c r="D245" s="7" t="s">
        <v>115</v>
      </c>
      <c r="E245" s="109"/>
      <c r="F245">
        <f t="shared" si="6"/>
        <v>0</v>
      </c>
      <c r="G245" s="93">
        <f t="shared" si="7"/>
        <v>0</v>
      </c>
    </row>
    <row r="246" spans="1:7" x14ac:dyDescent="0.25">
      <c r="A246" s="106">
        <v>247</v>
      </c>
      <c r="B246" s="107"/>
      <c r="C246" s="108"/>
      <c r="D246" s="7" t="s">
        <v>115</v>
      </c>
      <c r="E246" s="109"/>
      <c r="F246">
        <f t="shared" si="6"/>
        <v>0</v>
      </c>
      <c r="G246" s="93">
        <f t="shared" si="7"/>
        <v>0</v>
      </c>
    </row>
    <row r="247" spans="1:7" x14ac:dyDescent="0.25">
      <c r="A247" s="106">
        <v>248</v>
      </c>
      <c r="B247" s="107"/>
      <c r="C247" s="108"/>
      <c r="D247" s="7" t="s">
        <v>115</v>
      </c>
      <c r="E247" s="109"/>
      <c r="F247">
        <f t="shared" si="6"/>
        <v>0</v>
      </c>
      <c r="G247" s="93">
        <f t="shared" si="7"/>
        <v>0</v>
      </c>
    </row>
    <row r="248" spans="1:7" x14ac:dyDescent="0.25">
      <c r="A248" s="106">
        <v>249</v>
      </c>
      <c r="B248" s="107"/>
      <c r="C248" s="108"/>
      <c r="D248" s="7" t="s">
        <v>115</v>
      </c>
      <c r="E248" s="109"/>
      <c r="F248">
        <f t="shared" si="6"/>
        <v>0</v>
      </c>
      <c r="G248" s="93">
        <f t="shared" si="7"/>
        <v>0</v>
      </c>
    </row>
    <row r="249" spans="1:7" x14ac:dyDescent="0.25">
      <c r="A249" s="106">
        <v>250</v>
      </c>
      <c r="B249" s="107"/>
      <c r="C249" s="108"/>
      <c r="D249" s="7" t="s">
        <v>115</v>
      </c>
      <c r="E249" s="110"/>
      <c r="F249">
        <f t="shared" si="6"/>
        <v>0</v>
      </c>
      <c r="G249" s="93">
        <f t="shared" si="7"/>
        <v>0</v>
      </c>
    </row>
    <row r="250" spans="1:7" x14ac:dyDescent="0.25">
      <c r="A250" s="106">
        <v>251</v>
      </c>
      <c r="B250" s="107"/>
      <c r="C250" s="108"/>
      <c r="D250" s="7" t="s">
        <v>115</v>
      </c>
      <c r="E250" s="109"/>
      <c r="F250">
        <f t="shared" si="6"/>
        <v>0</v>
      </c>
      <c r="G250" s="93">
        <f t="shared" si="7"/>
        <v>0</v>
      </c>
    </row>
    <row r="251" spans="1:7" x14ac:dyDescent="0.25">
      <c r="A251" s="106">
        <v>252</v>
      </c>
      <c r="B251" s="107"/>
      <c r="C251" s="108"/>
      <c r="D251" s="7" t="s">
        <v>115</v>
      </c>
      <c r="E251" s="109"/>
      <c r="F251">
        <f t="shared" si="6"/>
        <v>0</v>
      </c>
      <c r="G251" s="93">
        <f t="shared" si="7"/>
        <v>0</v>
      </c>
    </row>
    <row r="252" spans="1:7" x14ac:dyDescent="0.25">
      <c r="A252" s="106">
        <v>253</v>
      </c>
      <c r="B252" s="107"/>
      <c r="C252" s="108"/>
      <c r="D252" s="7" t="s">
        <v>115</v>
      </c>
      <c r="E252" s="109"/>
      <c r="F252">
        <f t="shared" si="6"/>
        <v>0</v>
      </c>
      <c r="G252" s="93">
        <f t="shared" si="7"/>
        <v>0</v>
      </c>
    </row>
    <row r="253" spans="1:7" x14ac:dyDescent="0.25">
      <c r="A253" s="106">
        <v>254</v>
      </c>
      <c r="B253" s="107"/>
      <c r="C253" s="108"/>
      <c r="D253" s="7" t="s">
        <v>115</v>
      </c>
      <c r="E253" s="110"/>
      <c r="F253">
        <f t="shared" si="6"/>
        <v>0</v>
      </c>
      <c r="G253" s="93">
        <f t="shared" si="7"/>
        <v>0</v>
      </c>
    </row>
    <row r="254" spans="1:7" x14ac:dyDescent="0.25">
      <c r="A254" s="106">
        <v>255</v>
      </c>
      <c r="B254" s="107"/>
      <c r="C254" s="108"/>
      <c r="D254" s="7" t="s">
        <v>115</v>
      </c>
      <c r="E254" s="109"/>
      <c r="F254">
        <f t="shared" si="6"/>
        <v>0</v>
      </c>
      <c r="G254" s="93">
        <f t="shared" si="7"/>
        <v>0</v>
      </c>
    </row>
    <row r="255" spans="1:7" x14ac:dyDescent="0.25">
      <c r="A255" s="106">
        <v>256</v>
      </c>
      <c r="B255" s="107"/>
      <c r="C255" s="108"/>
      <c r="D255" s="7" t="s">
        <v>115</v>
      </c>
      <c r="E255" s="109"/>
      <c r="F255">
        <f t="shared" si="6"/>
        <v>0</v>
      </c>
      <c r="G255" s="93">
        <f t="shared" si="7"/>
        <v>0</v>
      </c>
    </row>
    <row r="256" spans="1:7" x14ac:dyDescent="0.25">
      <c r="A256" s="106">
        <v>257</v>
      </c>
      <c r="B256" s="107"/>
      <c r="C256" s="108"/>
      <c r="D256" s="7" t="s">
        <v>115</v>
      </c>
      <c r="E256" s="109"/>
      <c r="F256">
        <f t="shared" si="6"/>
        <v>0</v>
      </c>
      <c r="G256" s="93">
        <f t="shared" si="7"/>
        <v>0</v>
      </c>
    </row>
    <row r="257" spans="1:7" x14ac:dyDescent="0.25">
      <c r="A257" s="106">
        <v>258</v>
      </c>
      <c r="B257" s="107"/>
      <c r="C257" s="108"/>
      <c r="D257" s="7" t="s">
        <v>115</v>
      </c>
      <c r="E257" s="110"/>
      <c r="F257">
        <f t="shared" ref="F257:F320" si="8">LEN(E257)</f>
        <v>0</v>
      </c>
      <c r="G257" s="93">
        <f t="shared" ref="G257:G320" si="9">IF(LEN(B257)&gt;28,MID(B257,1,28),B257)</f>
        <v>0</v>
      </c>
    </row>
    <row r="258" spans="1:7" x14ac:dyDescent="0.25">
      <c r="A258" s="106">
        <v>259</v>
      </c>
      <c r="B258" s="107"/>
      <c r="C258" s="108"/>
      <c r="D258" s="7" t="s">
        <v>115</v>
      </c>
      <c r="E258" s="109"/>
      <c r="F258">
        <f t="shared" si="8"/>
        <v>0</v>
      </c>
      <c r="G258" s="93">
        <f t="shared" si="9"/>
        <v>0</v>
      </c>
    </row>
    <row r="259" spans="1:7" x14ac:dyDescent="0.25">
      <c r="A259" s="106">
        <v>260</v>
      </c>
      <c r="B259" s="107"/>
      <c r="C259" s="108"/>
      <c r="D259" s="7" t="s">
        <v>115</v>
      </c>
      <c r="E259" s="109"/>
      <c r="F259">
        <f t="shared" si="8"/>
        <v>0</v>
      </c>
      <c r="G259" s="93">
        <f t="shared" si="9"/>
        <v>0</v>
      </c>
    </row>
    <row r="260" spans="1:7" x14ac:dyDescent="0.25">
      <c r="A260" s="106">
        <v>261</v>
      </c>
      <c r="B260" s="107"/>
      <c r="C260" s="108"/>
      <c r="D260" s="7" t="s">
        <v>115</v>
      </c>
      <c r="E260" s="110"/>
      <c r="F260">
        <f t="shared" si="8"/>
        <v>0</v>
      </c>
      <c r="G260" s="93">
        <f t="shared" si="9"/>
        <v>0</v>
      </c>
    </row>
    <row r="261" spans="1:7" x14ac:dyDescent="0.25">
      <c r="A261" s="106">
        <v>262</v>
      </c>
      <c r="B261" s="107"/>
      <c r="C261" s="108"/>
      <c r="D261" s="7" t="s">
        <v>115</v>
      </c>
      <c r="E261" s="109"/>
      <c r="F261">
        <f t="shared" si="8"/>
        <v>0</v>
      </c>
      <c r="G261" s="93">
        <f t="shared" si="9"/>
        <v>0</v>
      </c>
    </row>
    <row r="262" spans="1:7" x14ac:dyDescent="0.25">
      <c r="A262" s="106">
        <v>263</v>
      </c>
      <c r="B262" s="107"/>
      <c r="C262" s="108"/>
      <c r="D262" s="7" t="s">
        <v>115</v>
      </c>
      <c r="E262" s="109"/>
      <c r="F262">
        <f t="shared" si="8"/>
        <v>0</v>
      </c>
      <c r="G262" s="93">
        <f t="shared" si="9"/>
        <v>0</v>
      </c>
    </row>
    <row r="263" spans="1:7" x14ac:dyDescent="0.25">
      <c r="A263" s="106">
        <v>264</v>
      </c>
      <c r="B263" s="107"/>
      <c r="C263" s="108"/>
      <c r="D263" s="7" t="s">
        <v>115</v>
      </c>
      <c r="E263" s="109"/>
      <c r="F263">
        <f t="shared" si="8"/>
        <v>0</v>
      </c>
      <c r="G263" s="93">
        <f t="shared" si="9"/>
        <v>0</v>
      </c>
    </row>
    <row r="264" spans="1:7" x14ac:dyDescent="0.25">
      <c r="A264" s="106">
        <v>265</v>
      </c>
      <c r="B264" s="107"/>
      <c r="C264" s="108"/>
      <c r="D264" s="7" t="s">
        <v>115</v>
      </c>
      <c r="E264" s="109"/>
      <c r="F264">
        <f t="shared" si="8"/>
        <v>0</v>
      </c>
      <c r="G264" s="93">
        <f t="shared" si="9"/>
        <v>0</v>
      </c>
    </row>
    <row r="265" spans="1:7" x14ac:dyDescent="0.25">
      <c r="A265" s="106">
        <v>266</v>
      </c>
      <c r="B265" s="107"/>
      <c r="C265" s="108"/>
      <c r="D265" s="7" t="s">
        <v>115</v>
      </c>
      <c r="E265" s="109"/>
      <c r="F265">
        <f t="shared" si="8"/>
        <v>0</v>
      </c>
      <c r="G265" s="93">
        <f t="shared" si="9"/>
        <v>0</v>
      </c>
    </row>
    <row r="266" spans="1:7" x14ac:dyDescent="0.25">
      <c r="A266" s="106">
        <v>267</v>
      </c>
      <c r="B266" s="107"/>
      <c r="C266" s="108"/>
      <c r="D266" s="7" t="s">
        <v>115</v>
      </c>
      <c r="E266" s="110"/>
      <c r="F266">
        <f t="shared" si="8"/>
        <v>0</v>
      </c>
      <c r="G266" s="93">
        <f t="shared" si="9"/>
        <v>0</v>
      </c>
    </row>
    <row r="267" spans="1:7" x14ac:dyDescent="0.25">
      <c r="A267" s="106">
        <v>268</v>
      </c>
      <c r="B267" s="107"/>
      <c r="C267" s="108"/>
      <c r="D267" s="7" t="s">
        <v>115</v>
      </c>
      <c r="E267" s="109"/>
      <c r="F267">
        <f t="shared" si="8"/>
        <v>0</v>
      </c>
      <c r="G267" s="93">
        <f t="shared" si="9"/>
        <v>0</v>
      </c>
    </row>
    <row r="268" spans="1:7" x14ac:dyDescent="0.25">
      <c r="A268" s="106">
        <v>269</v>
      </c>
      <c r="B268" s="107"/>
      <c r="C268" s="108"/>
      <c r="D268" s="7" t="s">
        <v>115</v>
      </c>
      <c r="E268" s="110"/>
      <c r="F268">
        <f t="shared" si="8"/>
        <v>0</v>
      </c>
      <c r="G268" s="93">
        <f t="shared" si="9"/>
        <v>0</v>
      </c>
    </row>
    <row r="269" spans="1:7" x14ac:dyDescent="0.25">
      <c r="A269" s="106">
        <v>270</v>
      </c>
      <c r="B269" s="107"/>
      <c r="C269" s="108"/>
      <c r="D269" s="7" t="s">
        <v>115</v>
      </c>
      <c r="E269" s="109"/>
      <c r="F269">
        <f t="shared" si="8"/>
        <v>0</v>
      </c>
      <c r="G269" s="93">
        <f t="shared" si="9"/>
        <v>0</v>
      </c>
    </row>
    <row r="270" spans="1:7" x14ac:dyDescent="0.25">
      <c r="A270" s="106">
        <v>271</v>
      </c>
      <c r="B270" s="107"/>
      <c r="C270" s="108"/>
      <c r="D270" s="7" t="s">
        <v>115</v>
      </c>
      <c r="E270" s="109"/>
      <c r="F270">
        <f t="shared" si="8"/>
        <v>0</v>
      </c>
      <c r="G270" s="93">
        <f t="shared" si="9"/>
        <v>0</v>
      </c>
    </row>
    <row r="271" spans="1:7" x14ac:dyDescent="0.25">
      <c r="A271" s="106">
        <v>272</v>
      </c>
      <c r="B271" s="107"/>
      <c r="C271" s="108"/>
      <c r="D271" s="7" t="s">
        <v>115</v>
      </c>
      <c r="E271" s="109"/>
      <c r="F271">
        <f t="shared" si="8"/>
        <v>0</v>
      </c>
      <c r="G271" s="93">
        <f t="shared" si="9"/>
        <v>0</v>
      </c>
    </row>
    <row r="272" spans="1:7" x14ac:dyDescent="0.25">
      <c r="A272" s="106">
        <v>273</v>
      </c>
      <c r="B272" s="107"/>
      <c r="C272" s="108"/>
      <c r="D272" s="7" t="s">
        <v>115</v>
      </c>
      <c r="E272" s="109"/>
      <c r="F272">
        <f t="shared" si="8"/>
        <v>0</v>
      </c>
      <c r="G272" s="93">
        <f t="shared" si="9"/>
        <v>0</v>
      </c>
    </row>
    <row r="273" spans="1:7" x14ac:dyDescent="0.25">
      <c r="A273" s="106">
        <v>274</v>
      </c>
      <c r="B273" s="107"/>
      <c r="C273" s="108"/>
      <c r="D273" s="7" t="s">
        <v>115</v>
      </c>
      <c r="E273" s="109"/>
      <c r="F273">
        <f t="shared" si="8"/>
        <v>0</v>
      </c>
      <c r="G273" s="93">
        <f t="shared" si="9"/>
        <v>0</v>
      </c>
    </row>
    <row r="274" spans="1:7" x14ac:dyDescent="0.25">
      <c r="A274" s="106">
        <v>275</v>
      </c>
      <c r="B274" s="107"/>
      <c r="C274" s="108"/>
      <c r="D274" s="7" t="s">
        <v>115</v>
      </c>
      <c r="E274" s="109"/>
      <c r="F274">
        <f t="shared" si="8"/>
        <v>0</v>
      </c>
      <c r="G274" s="93">
        <f t="shared" si="9"/>
        <v>0</v>
      </c>
    </row>
    <row r="275" spans="1:7" x14ac:dyDescent="0.25">
      <c r="A275" s="106">
        <v>276</v>
      </c>
      <c r="B275" s="107"/>
      <c r="C275" s="108"/>
      <c r="D275" s="7" t="s">
        <v>115</v>
      </c>
      <c r="E275" s="109"/>
      <c r="F275">
        <f t="shared" si="8"/>
        <v>0</v>
      </c>
      <c r="G275" s="93">
        <f t="shared" si="9"/>
        <v>0</v>
      </c>
    </row>
    <row r="276" spans="1:7" x14ac:dyDescent="0.25">
      <c r="A276" s="106">
        <v>277</v>
      </c>
      <c r="B276" s="107"/>
      <c r="C276" s="108"/>
      <c r="D276" s="7" t="s">
        <v>115</v>
      </c>
      <c r="E276" s="109"/>
      <c r="F276">
        <f t="shared" si="8"/>
        <v>0</v>
      </c>
      <c r="G276" s="93">
        <f t="shared" si="9"/>
        <v>0</v>
      </c>
    </row>
    <row r="277" spans="1:7" x14ac:dyDescent="0.25">
      <c r="A277" s="106">
        <v>278</v>
      </c>
      <c r="B277" s="107"/>
      <c r="C277" s="108"/>
      <c r="D277" s="7" t="s">
        <v>115</v>
      </c>
      <c r="E277" s="109"/>
      <c r="F277">
        <f t="shared" si="8"/>
        <v>0</v>
      </c>
      <c r="G277" s="93">
        <f t="shared" si="9"/>
        <v>0</v>
      </c>
    </row>
    <row r="278" spans="1:7" x14ac:dyDescent="0.25">
      <c r="A278" s="106">
        <v>279</v>
      </c>
      <c r="B278" s="107"/>
      <c r="C278" s="108"/>
      <c r="D278" s="7" t="s">
        <v>115</v>
      </c>
      <c r="E278" s="109"/>
      <c r="F278">
        <f t="shared" si="8"/>
        <v>0</v>
      </c>
      <c r="G278" s="93">
        <f t="shared" si="9"/>
        <v>0</v>
      </c>
    </row>
    <row r="279" spans="1:7" x14ac:dyDescent="0.25">
      <c r="A279" s="106">
        <v>280</v>
      </c>
      <c r="B279" s="107"/>
      <c r="C279" s="108"/>
      <c r="D279" s="7" t="s">
        <v>115</v>
      </c>
      <c r="E279" s="109"/>
      <c r="F279">
        <f t="shared" si="8"/>
        <v>0</v>
      </c>
      <c r="G279" s="93">
        <f t="shared" si="9"/>
        <v>0</v>
      </c>
    </row>
    <row r="280" spans="1:7" x14ac:dyDescent="0.25">
      <c r="A280" s="106">
        <v>281</v>
      </c>
      <c r="B280" s="107"/>
      <c r="C280" s="108"/>
      <c r="D280" s="7" t="s">
        <v>115</v>
      </c>
      <c r="E280" s="109"/>
      <c r="F280">
        <f t="shared" si="8"/>
        <v>0</v>
      </c>
      <c r="G280" s="93">
        <f t="shared" si="9"/>
        <v>0</v>
      </c>
    </row>
    <row r="281" spans="1:7" x14ac:dyDescent="0.25">
      <c r="A281" s="106">
        <v>282</v>
      </c>
      <c r="B281" s="107"/>
      <c r="C281" s="108"/>
      <c r="D281" s="7" t="s">
        <v>115</v>
      </c>
      <c r="E281" s="109"/>
      <c r="F281">
        <f t="shared" si="8"/>
        <v>0</v>
      </c>
      <c r="G281" s="93">
        <f t="shared" si="9"/>
        <v>0</v>
      </c>
    </row>
    <row r="282" spans="1:7" x14ac:dyDescent="0.25">
      <c r="A282" s="106">
        <v>283</v>
      </c>
      <c r="B282" s="107"/>
      <c r="C282" s="108"/>
      <c r="D282" s="7" t="s">
        <v>115</v>
      </c>
      <c r="E282" s="109"/>
      <c r="F282">
        <f t="shared" si="8"/>
        <v>0</v>
      </c>
      <c r="G282" s="93">
        <f t="shared" si="9"/>
        <v>0</v>
      </c>
    </row>
    <row r="283" spans="1:7" x14ac:dyDescent="0.25">
      <c r="A283" s="106">
        <v>284</v>
      </c>
      <c r="B283" s="112"/>
      <c r="C283" s="108"/>
      <c r="D283" s="7" t="s">
        <v>115</v>
      </c>
      <c r="E283" s="109"/>
      <c r="F283">
        <f t="shared" si="8"/>
        <v>0</v>
      </c>
      <c r="G283" s="93">
        <f t="shared" si="9"/>
        <v>0</v>
      </c>
    </row>
    <row r="284" spans="1:7" x14ac:dyDescent="0.25">
      <c r="A284" s="106">
        <v>285</v>
      </c>
      <c r="B284" s="107"/>
      <c r="C284" s="108"/>
      <c r="D284" s="7" t="s">
        <v>115</v>
      </c>
      <c r="E284" s="109"/>
      <c r="F284">
        <f t="shared" si="8"/>
        <v>0</v>
      </c>
      <c r="G284" s="93">
        <f t="shared" si="9"/>
        <v>0</v>
      </c>
    </row>
    <row r="285" spans="1:7" x14ac:dyDescent="0.25">
      <c r="A285" s="106">
        <v>286</v>
      </c>
      <c r="B285" s="107"/>
      <c r="C285" s="108"/>
      <c r="D285" s="7" t="s">
        <v>115</v>
      </c>
      <c r="E285" s="109"/>
      <c r="F285">
        <f t="shared" si="8"/>
        <v>0</v>
      </c>
      <c r="G285" s="93">
        <f t="shared" si="9"/>
        <v>0</v>
      </c>
    </row>
    <row r="286" spans="1:7" x14ac:dyDescent="0.25">
      <c r="A286" s="106">
        <v>287</v>
      </c>
      <c r="B286" s="107"/>
      <c r="C286" s="108"/>
      <c r="D286" s="7" t="s">
        <v>115</v>
      </c>
      <c r="E286" s="109"/>
      <c r="F286">
        <f t="shared" si="8"/>
        <v>0</v>
      </c>
      <c r="G286" s="93">
        <f t="shared" si="9"/>
        <v>0</v>
      </c>
    </row>
    <row r="287" spans="1:7" x14ac:dyDescent="0.25">
      <c r="A287" s="106">
        <v>288</v>
      </c>
      <c r="B287" s="107"/>
      <c r="C287" s="108"/>
      <c r="D287" s="7" t="s">
        <v>115</v>
      </c>
      <c r="E287" s="109"/>
      <c r="F287">
        <f t="shared" si="8"/>
        <v>0</v>
      </c>
      <c r="G287" s="93">
        <f t="shared" si="9"/>
        <v>0</v>
      </c>
    </row>
    <row r="288" spans="1:7" x14ac:dyDescent="0.25">
      <c r="A288" s="106">
        <v>289</v>
      </c>
      <c r="B288" s="107"/>
      <c r="C288" s="108"/>
      <c r="D288" s="7" t="s">
        <v>115</v>
      </c>
      <c r="E288" s="109"/>
      <c r="F288">
        <f t="shared" si="8"/>
        <v>0</v>
      </c>
      <c r="G288" s="93">
        <f t="shared" si="9"/>
        <v>0</v>
      </c>
    </row>
    <row r="289" spans="1:7" x14ac:dyDescent="0.25">
      <c r="A289" s="106">
        <v>290</v>
      </c>
      <c r="B289" s="107"/>
      <c r="C289" s="108"/>
      <c r="D289" s="7" t="s">
        <v>115</v>
      </c>
      <c r="E289" s="109"/>
      <c r="F289">
        <f t="shared" si="8"/>
        <v>0</v>
      </c>
      <c r="G289" s="93">
        <f t="shared" si="9"/>
        <v>0</v>
      </c>
    </row>
    <row r="290" spans="1:7" x14ac:dyDescent="0.25">
      <c r="A290" s="106">
        <v>291</v>
      </c>
      <c r="B290" s="107"/>
      <c r="C290" s="108"/>
      <c r="D290" s="7" t="s">
        <v>115</v>
      </c>
      <c r="E290" s="109"/>
      <c r="F290">
        <f t="shared" si="8"/>
        <v>0</v>
      </c>
      <c r="G290" s="93">
        <f t="shared" si="9"/>
        <v>0</v>
      </c>
    </row>
    <row r="291" spans="1:7" x14ac:dyDescent="0.25">
      <c r="A291" s="106">
        <v>292</v>
      </c>
      <c r="B291" s="107"/>
      <c r="C291" s="108"/>
      <c r="D291" s="7" t="s">
        <v>115</v>
      </c>
      <c r="E291" s="109"/>
      <c r="F291">
        <f t="shared" si="8"/>
        <v>0</v>
      </c>
      <c r="G291" s="93">
        <f t="shared" si="9"/>
        <v>0</v>
      </c>
    </row>
    <row r="292" spans="1:7" x14ac:dyDescent="0.25">
      <c r="A292" s="106">
        <v>293</v>
      </c>
      <c r="B292" s="107"/>
      <c r="C292" s="108"/>
      <c r="D292" s="7" t="s">
        <v>115</v>
      </c>
      <c r="E292" s="109"/>
      <c r="F292">
        <f t="shared" si="8"/>
        <v>0</v>
      </c>
      <c r="G292" s="93">
        <f t="shared" si="9"/>
        <v>0</v>
      </c>
    </row>
    <row r="293" spans="1:7" x14ac:dyDescent="0.25">
      <c r="A293" s="106">
        <v>294</v>
      </c>
      <c r="B293" s="107"/>
      <c r="C293" s="108"/>
      <c r="D293" s="7" t="s">
        <v>115</v>
      </c>
      <c r="E293" s="109"/>
      <c r="F293">
        <f t="shared" si="8"/>
        <v>0</v>
      </c>
      <c r="G293" s="93">
        <f t="shared" si="9"/>
        <v>0</v>
      </c>
    </row>
    <row r="294" spans="1:7" x14ac:dyDescent="0.25">
      <c r="A294" s="106">
        <v>295</v>
      </c>
      <c r="B294" s="107"/>
      <c r="C294" s="108"/>
      <c r="D294" s="7" t="s">
        <v>115</v>
      </c>
      <c r="E294" s="109"/>
      <c r="F294">
        <f t="shared" si="8"/>
        <v>0</v>
      </c>
      <c r="G294" s="93">
        <f t="shared" si="9"/>
        <v>0</v>
      </c>
    </row>
    <row r="295" spans="1:7" x14ac:dyDescent="0.25">
      <c r="A295" s="106">
        <v>296</v>
      </c>
      <c r="B295" s="107"/>
      <c r="C295" s="108"/>
      <c r="D295" s="7" t="s">
        <v>115</v>
      </c>
      <c r="E295" s="109"/>
      <c r="F295">
        <f t="shared" si="8"/>
        <v>0</v>
      </c>
      <c r="G295" s="93">
        <f t="shared" si="9"/>
        <v>0</v>
      </c>
    </row>
    <row r="296" spans="1:7" x14ac:dyDescent="0.25">
      <c r="A296" s="106">
        <v>297</v>
      </c>
      <c r="B296" s="107"/>
      <c r="C296" s="108"/>
      <c r="D296" s="7" t="s">
        <v>115</v>
      </c>
      <c r="E296" s="109"/>
      <c r="F296">
        <f t="shared" si="8"/>
        <v>0</v>
      </c>
      <c r="G296" s="93">
        <f t="shared" si="9"/>
        <v>0</v>
      </c>
    </row>
    <row r="297" spans="1:7" x14ac:dyDescent="0.25">
      <c r="A297" s="106">
        <v>298</v>
      </c>
      <c r="B297" s="107"/>
      <c r="C297" s="108"/>
      <c r="D297" s="7" t="s">
        <v>115</v>
      </c>
      <c r="E297" s="109"/>
      <c r="F297">
        <f t="shared" si="8"/>
        <v>0</v>
      </c>
      <c r="G297" s="93">
        <f t="shared" si="9"/>
        <v>0</v>
      </c>
    </row>
    <row r="298" spans="1:7" x14ac:dyDescent="0.25">
      <c r="A298" s="106">
        <v>299</v>
      </c>
      <c r="B298" s="107"/>
      <c r="C298" s="108"/>
      <c r="D298" s="7" t="s">
        <v>115</v>
      </c>
      <c r="E298" s="109"/>
      <c r="F298">
        <f t="shared" si="8"/>
        <v>0</v>
      </c>
      <c r="G298" s="93">
        <f t="shared" si="9"/>
        <v>0</v>
      </c>
    </row>
    <row r="299" spans="1:7" x14ac:dyDescent="0.25">
      <c r="A299" s="106">
        <v>300</v>
      </c>
      <c r="B299" s="107"/>
      <c r="C299" s="108"/>
      <c r="D299" s="7" t="s">
        <v>115</v>
      </c>
      <c r="E299" s="109"/>
      <c r="F299">
        <f t="shared" si="8"/>
        <v>0</v>
      </c>
      <c r="G299" s="93">
        <f t="shared" si="9"/>
        <v>0</v>
      </c>
    </row>
    <row r="300" spans="1:7" x14ac:dyDescent="0.25">
      <c r="A300" s="106">
        <v>301</v>
      </c>
      <c r="B300" s="107"/>
      <c r="C300" s="108"/>
      <c r="D300" s="7" t="s">
        <v>115</v>
      </c>
      <c r="E300" s="109"/>
      <c r="F300">
        <f t="shared" si="8"/>
        <v>0</v>
      </c>
      <c r="G300" s="93">
        <f t="shared" si="9"/>
        <v>0</v>
      </c>
    </row>
    <row r="301" spans="1:7" x14ac:dyDescent="0.25">
      <c r="A301" s="106">
        <v>302</v>
      </c>
      <c r="B301" s="107"/>
      <c r="C301" s="108"/>
      <c r="D301" s="7" t="s">
        <v>115</v>
      </c>
      <c r="E301" s="109"/>
      <c r="F301">
        <f t="shared" si="8"/>
        <v>0</v>
      </c>
      <c r="G301" s="93">
        <f t="shared" si="9"/>
        <v>0</v>
      </c>
    </row>
    <row r="302" spans="1:7" x14ac:dyDescent="0.25">
      <c r="A302" s="106">
        <v>303</v>
      </c>
      <c r="B302" s="107"/>
      <c r="C302" s="108"/>
      <c r="D302" s="7" t="s">
        <v>115</v>
      </c>
      <c r="E302" s="109"/>
      <c r="F302">
        <f t="shared" si="8"/>
        <v>0</v>
      </c>
      <c r="G302" s="93">
        <f t="shared" si="9"/>
        <v>0</v>
      </c>
    </row>
    <row r="303" spans="1:7" x14ac:dyDescent="0.25">
      <c r="A303" s="106">
        <v>304</v>
      </c>
      <c r="B303" s="107"/>
      <c r="C303" s="108"/>
      <c r="D303" s="7" t="s">
        <v>115</v>
      </c>
      <c r="E303" s="109"/>
      <c r="F303">
        <f t="shared" si="8"/>
        <v>0</v>
      </c>
      <c r="G303" s="93">
        <f t="shared" si="9"/>
        <v>0</v>
      </c>
    </row>
    <row r="304" spans="1:7" x14ac:dyDescent="0.25">
      <c r="A304" s="106">
        <v>305</v>
      </c>
      <c r="B304" s="107"/>
      <c r="C304" s="108"/>
      <c r="D304" s="7" t="s">
        <v>115</v>
      </c>
      <c r="E304" s="109"/>
      <c r="F304">
        <f t="shared" si="8"/>
        <v>0</v>
      </c>
      <c r="G304" s="93">
        <f t="shared" si="9"/>
        <v>0</v>
      </c>
    </row>
    <row r="305" spans="1:7" x14ac:dyDescent="0.25">
      <c r="A305" s="106">
        <v>306</v>
      </c>
      <c r="B305" s="107"/>
      <c r="C305" s="108"/>
      <c r="D305" s="7" t="s">
        <v>115</v>
      </c>
      <c r="E305" s="109"/>
      <c r="F305">
        <f t="shared" si="8"/>
        <v>0</v>
      </c>
      <c r="G305" s="93">
        <f t="shared" si="9"/>
        <v>0</v>
      </c>
    </row>
    <row r="306" spans="1:7" x14ac:dyDescent="0.25">
      <c r="A306" s="106">
        <v>307</v>
      </c>
      <c r="B306" s="107"/>
      <c r="C306" s="108"/>
      <c r="D306" s="7" t="s">
        <v>115</v>
      </c>
      <c r="E306" s="109"/>
      <c r="F306">
        <f t="shared" si="8"/>
        <v>0</v>
      </c>
      <c r="G306" s="93">
        <f t="shared" si="9"/>
        <v>0</v>
      </c>
    </row>
    <row r="307" spans="1:7" x14ac:dyDescent="0.25">
      <c r="A307" s="106">
        <v>308</v>
      </c>
      <c r="B307" s="107"/>
      <c r="C307" s="108"/>
      <c r="D307" s="7" t="s">
        <v>115</v>
      </c>
      <c r="E307" s="109"/>
      <c r="F307">
        <f t="shared" si="8"/>
        <v>0</v>
      </c>
      <c r="G307" s="93">
        <f t="shared" si="9"/>
        <v>0</v>
      </c>
    </row>
    <row r="308" spans="1:7" x14ac:dyDescent="0.25">
      <c r="A308" s="106">
        <v>309</v>
      </c>
      <c r="B308" s="107"/>
      <c r="C308" s="108"/>
      <c r="D308" s="7" t="s">
        <v>115</v>
      </c>
      <c r="E308" s="110"/>
      <c r="F308">
        <f t="shared" si="8"/>
        <v>0</v>
      </c>
      <c r="G308" s="93">
        <f t="shared" si="9"/>
        <v>0</v>
      </c>
    </row>
    <row r="309" spans="1:7" x14ac:dyDescent="0.25">
      <c r="A309" s="106">
        <v>310</v>
      </c>
      <c r="B309" s="107"/>
      <c r="C309" s="108"/>
      <c r="D309" s="7" t="s">
        <v>115</v>
      </c>
      <c r="E309" s="109"/>
      <c r="F309">
        <f t="shared" si="8"/>
        <v>0</v>
      </c>
      <c r="G309" s="93">
        <f t="shared" si="9"/>
        <v>0</v>
      </c>
    </row>
    <row r="310" spans="1:7" x14ac:dyDescent="0.25">
      <c r="A310" s="106">
        <v>311</v>
      </c>
      <c r="B310" s="107"/>
      <c r="C310" s="108"/>
      <c r="D310" s="7" t="s">
        <v>115</v>
      </c>
      <c r="E310" s="109"/>
      <c r="F310">
        <f t="shared" si="8"/>
        <v>0</v>
      </c>
      <c r="G310" s="93">
        <f t="shared" si="9"/>
        <v>0</v>
      </c>
    </row>
    <row r="311" spans="1:7" x14ac:dyDescent="0.25">
      <c r="A311" s="106">
        <v>312</v>
      </c>
      <c r="B311" s="107"/>
      <c r="C311" s="108"/>
      <c r="D311" s="7" t="s">
        <v>115</v>
      </c>
      <c r="E311" s="109"/>
      <c r="F311">
        <f t="shared" si="8"/>
        <v>0</v>
      </c>
      <c r="G311" s="93">
        <f t="shared" si="9"/>
        <v>0</v>
      </c>
    </row>
    <row r="312" spans="1:7" x14ac:dyDescent="0.25">
      <c r="A312" s="106">
        <v>313</v>
      </c>
      <c r="B312" s="107"/>
      <c r="C312" s="108"/>
      <c r="D312" s="7" t="s">
        <v>115</v>
      </c>
      <c r="E312" s="109"/>
      <c r="F312">
        <f t="shared" si="8"/>
        <v>0</v>
      </c>
      <c r="G312" s="93">
        <f t="shared" si="9"/>
        <v>0</v>
      </c>
    </row>
    <row r="313" spans="1:7" x14ac:dyDescent="0.25">
      <c r="A313" s="106">
        <v>314</v>
      </c>
      <c r="B313" s="107"/>
      <c r="C313" s="108"/>
      <c r="D313" s="7" t="s">
        <v>115</v>
      </c>
      <c r="E313" s="109"/>
      <c r="F313">
        <f t="shared" si="8"/>
        <v>0</v>
      </c>
      <c r="G313" s="93">
        <f t="shared" si="9"/>
        <v>0</v>
      </c>
    </row>
    <row r="314" spans="1:7" x14ac:dyDescent="0.25">
      <c r="A314" s="106">
        <v>315</v>
      </c>
      <c r="B314" s="107"/>
      <c r="C314" s="108"/>
      <c r="D314" s="7" t="s">
        <v>115</v>
      </c>
      <c r="E314" s="109"/>
      <c r="F314">
        <f t="shared" si="8"/>
        <v>0</v>
      </c>
      <c r="G314" s="93">
        <f t="shared" si="9"/>
        <v>0</v>
      </c>
    </row>
    <row r="315" spans="1:7" x14ac:dyDescent="0.25">
      <c r="A315" s="106">
        <v>316</v>
      </c>
      <c r="B315" s="107"/>
      <c r="C315" s="108"/>
      <c r="D315" s="7" t="s">
        <v>115</v>
      </c>
      <c r="E315" s="109"/>
      <c r="F315">
        <f t="shared" si="8"/>
        <v>0</v>
      </c>
      <c r="G315" s="93">
        <f t="shared" si="9"/>
        <v>0</v>
      </c>
    </row>
    <row r="316" spans="1:7" x14ac:dyDescent="0.25">
      <c r="A316" s="106">
        <v>317</v>
      </c>
      <c r="B316" s="107"/>
      <c r="C316" s="108"/>
      <c r="D316" s="7" t="s">
        <v>115</v>
      </c>
      <c r="E316" s="109"/>
      <c r="F316">
        <f t="shared" si="8"/>
        <v>0</v>
      </c>
      <c r="G316" s="93">
        <f t="shared" si="9"/>
        <v>0</v>
      </c>
    </row>
    <row r="317" spans="1:7" x14ac:dyDescent="0.25">
      <c r="A317" s="106">
        <v>318</v>
      </c>
      <c r="B317" s="107"/>
      <c r="C317" s="108"/>
      <c r="D317" s="7" t="s">
        <v>115</v>
      </c>
      <c r="E317" s="109"/>
      <c r="F317">
        <f t="shared" si="8"/>
        <v>0</v>
      </c>
      <c r="G317" s="93">
        <f t="shared" si="9"/>
        <v>0</v>
      </c>
    </row>
    <row r="318" spans="1:7" x14ac:dyDescent="0.25">
      <c r="A318" s="106">
        <v>319</v>
      </c>
      <c r="B318" s="107"/>
      <c r="C318" s="108"/>
      <c r="D318" s="7" t="s">
        <v>115</v>
      </c>
      <c r="E318" s="109"/>
      <c r="F318">
        <f t="shared" si="8"/>
        <v>0</v>
      </c>
      <c r="G318" s="93">
        <f t="shared" si="9"/>
        <v>0</v>
      </c>
    </row>
    <row r="319" spans="1:7" x14ac:dyDescent="0.25">
      <c r="A319" s="106">
        <v>320</v>
      </c>
      <c r="B319" s="107"/>
      <c r="C319" s="108"/>
      <c r="D319" s="7" t="s">
        <v>115</v>
      </c>
      <c r="E319" s="109"/>
      <c r="F319">
        <f t="shared" si="8"/>
        <v>0</v>
      </c>
      <c r="G319" s="93">
        <f t="shared" si="9"/>
        <v>0</v>
      </c>
    </row>
    <row r="320" spans="1:7" x14ac:dyDescent="0.25">
      <c r="A320" s="106">
        <v>321</v>
      </c>
      <c r="B320" s="107"/>
      <c r="C320" s="108"/>
      <c r="D320" s="7" t="s">
        <v>115</v>
      </c>
      <c r="E320" s="109"/>
      <c r="F320">
        <f t="shared" si="8"/>
        <v>0</v>
      </c>
      <c r="G320" s="93">
        <f t="shared" si="9"/>
        <v>0</v>
      </c>
    </row>
    <row r="321" spans="1:7" x14ac:dyDescent="0.25">
      <c r="A321" s="106">
        <v>322</v>
      </c>
      <c r="B321" s="107"/>
      <c r="C321" s="108"/>
      <c r="D321" s="7" t="s">
        <v>115</v>
      </c>
      <c r="E321" s="109"/>
      <c r="F321">
        <f t="shared" ref="F321:F384" si="10">LEN(E321)</f>
        <v>0</v>
      </c>
      <c r="G321" s="93">
        <f t="shared" ref="G321:G384" si="11">IF(LEN(B321)&gt;28,MID(B321,1,28),B321)</f>
        <v>0</v>
      </c>
    </row>
    <row r="322" spans="1:7" x14ac:dyDescent="0.25">
      <c r="A322" s="106">
        <v>323</v>
      </c>
      <c r="B322" s="107"/>
      <c r="C322" s="108"/>
      <c r="D322" s="7" t="s">
        <v>115</v>
      </c>
      <c r="E322" s="109"/>
      <c r="F322">
        <f t="shared" si="10"/>
        <v>0</v>
      </c>
      <c r="G322" s="93">
        <f t="shared" si="11"/>
        <v>0</v>
      </c>
    </row>
    <row r="323" spans="1:7" x14ac:dyDescent="0.25">
      <c r="A323" s="106">
        <v>324</v>
      </c>
      <c r="B323" s="107"/>
      <c r="C323" s="108"/>
      <c r="D323" s="7" t="s">
        <v>115</v>
      </c>
      <c r="E323" s="109"/>
      <c r="F323">
        <f t="shared" si="10"/>
        <v>0</v>
      </c>
      <c r="G323" s="93">
        <f t="shared" si="11"/>
        <v>0</v>
      </c>
    </row>
    <row r="324" spans="1:7" x14ac:dyDescent="0.25">
      <c r="A324" s="106">
        <v>325</v>
      </c>
      <c r="B324" s="107"/>
      <c r="C324" s="108"/>
      <c r="D324" s="7" t="s">
        <v>115</v>
      </c>
      <c r="E324" s="109"/>
      <c r="F324">
        <f t="shared" si="10"/>
        <v>0</v>
      </c>
      <c r="G324" s="93">
        <f t="shared" si="11"/>
        <v>0</v>
      </c>
    </row>
    <row r="325" spans="1:7" x14ac:dyDescent="0.25">
      <c r="A325" s="106">
        <v>326</v>
      </c>
      <c r="B325" s="107"/>
      <c r="C325" s="108"/>
      <c r="D325" s="7" t="s">
        <v>115</v>
      </c>
      <c r="E325" s="109"/>
      <c r="F325">
        <f t="shared" si="10"/>
        <v>0</v>
      </c>
      <c r="G325" s="93">
        <f t="shared" si="11"/>
        <v>0</v>
      </c>
    </row>
    <row r="326" spans="1:7" x14ac:dyDescent="0.25">
      <c r="A326" s="106">
        <v>327</v>
      </c>
      <c r="B326" s="107"/>
      <c r="C326" s="108"/>
      <c r="D326" s="7" t="s">
        <v>115</v>
      </c>
      <c r="E326" s="109"/>
      <c r="F326">
        <f t="shared" si="10"/>
        <v>0</v>
      </c>
      <c r="G326" s="93">
        <f t="shared" si="11"/>
        <v>0</v>
      </c>
    </row>
    <row r="327" spans="1:7" x14ac:dyDescent="0.25">
      <c r="A327" s="106">
        <v>328</v>
      </c>
      <c r="B327" s="107"/>
      <c r="C327" s="108"/>
      <c r="D327" s="7" t="s">
        <v>115</v>
      </c>
      <c r="E327" s="109"/>
      <c r="F327">
        <f t="shared" si="10"/>
        <v>0</v>
      </c>
      <c r="G327" s="93">
        <f t="shared" si="11"/>
        <v>0</v>
      </c>
    </row>
    <row r="328" spans="1:7" x14ac:dyDescent="0.25">
      <c r="A328" s="106">
        <v>329</v>
      </c>
      <c r="B328" s="107"/>
      <c r="C328" s="108"/>
      <c r="D328" s="7" t="s">
        <v>115</v>
      </c>
      <c r="E328" s="109"/>
      <c r="F328">
        <f t="shared" si="10"/>
        <v>0</v>
      </c>
      <c r="G328" s="93">
        <f t="shared" si="11"/>
        <v>0</v>
      </c>
    </row>
    <row r="329" spans="1:7" x14ac:dyDescent="0.25">
      <c r="A329" s="106">
        <v>330</v>
      </c>
      <c r="B329" s="107"/>
      <c r="C329" s="108"/>
      <c r="D329" s="7" t="s">
        <v>115</v>
      </c>
      <c r="E329" s="109"/>
      <c r="F329">
        <f t="shared" si="10"/>
        <v>0</v>
      </c>
      <c r="G329" s="93">
        <f t="shared" si="11"/>
        <v>0</v>
      </c>
    </row>
    <row r="330" spans="1:7" x14ac:dyDescent="0.25">
      <c r="A330" s="106">
        <v>331</v>
      </c>
      <c r="B330" s="107"/>
      <c r="C330" s="108"/>
      <c r="D330" s="7" t="s">
        <v>115</v>
      </c>
      <c r="E330" s="109"/>
      <c r="F330">
        <f t="shared" si="10"/>
        <v>0</v>
      </c>
      <c r="G330" s="93">
        <f t="shared" si="11"/>
        <v>0</v>
      </c>
    </row>
    <row r="331" spans="1:7" x14ac:dyDescent="0.25">
      <c r="A331" s="106">
        <v>332</v>
      </c>
      <c r="B331" s="107"/>
      <c r="C331" s="108"/>
      <c r="D331" s="7" t="s">
        <v>115</v>
      </c>
      <c r="E331" s="109"/>
      <c r="F331">
        <f t="shared" si="10"/>
        <v>0</v>
      </c>
      <c r="G331" s="93">
        <f t="shared" si="11"/>
        <v>0</v>
      </c>
    </row>
    <row r="332" spans="1:7" x14ac:dyDescent="0.25">
      <c r="A332" s="106">
        <v>333</v>
      </c>
      <c r="B332" s="107"/>
      <c r="C332" s="108"/>
      <c r="D332" s="7" t="s">
        <v>115</v>
      </c>
      <c r="E332" s="109"/>
      <c r="F332">
        <f t="shared" si="10"/>
        <v>0</v>
      </c>
      <c r="G332" s="93">
        <f t="shared" si="11"/>
        <v>0</v>
      </c>
    </row>
    <row r="333" spans="1:7" x14ac:dyDescent="0.25">
      <c r="A333" s="106">
        <v>334</v>
      </c>
      <c r="B333" s="107"/>
      <c r="C333" s="108"/>
      <c r="D333" s="7" t="s">
        <v>115</v>
      </c>
      <c r="E333" s="109"/>
      <c r="F333">
        <f t="shared" si="10"/>
        <v>0</v>
      </c>
      <c r="G333" s="93">
        <f t="shared" si="11"/>
        <v>0</v>
      </c>
    </row>
    <row r="334" spans="1:7" x14ac:dyDescent="0.25">
      <c r="A334" s="106">
        <v>335</v>
      </c>
      <c r="B334" s="107"/>
      <c r="C334" s="108"/>
      <c r="D334" s="7" t="s">
        <v>115</v>
      </c>
      <c r="E334" s="109"/>
      <c r="F334">
        <f t="shared" si="10"/>
        <v>0</v>
      </c>
      <c r="G334" s="93">
        <f t="shared" si="11"/>
        <v>0</v>
      </c>
    </row>
    <row r="335" spans="1:7" x14ac:dyDescent="0.25">
      <c r="A335" s="106">
        <v>336</v>
      </c>
      <c r="B335" s="107"/>
      <c r="C335" s="108"/>
      <c r="D335" s="7" t="s">
        <v>115</v>
      </c>
      <c r="E335" s="109"/>
      <c r="F335">
        <f t="shared" si="10"/>
        <v>0</v>
      </c>
      <c r="G335" s="93">
        <f t="shared" si="11"/>
        <v>0</v>
      </c>
    </row>
    <row r="336" spans="1:7" x14ac:dyDescent="0.25">
      <c r="A336" s="106">
        <v>337</v>
      </c>
      <c r="B336" s="107"/>
      <c r="C336" s="108"/>
      <c r="D336" s="7" t="s">
        <v>115</v>
      </c>
      <c r="E336" s="109"/>
      <c r="F336">
        <f t="shared" si="10"/>
        <v>0</v>
      </c>
      <c r="G336" s="93">
        <f t="shared" si="11"/>
        <v>0</v>
      </c>
    </row>
    <row r="337" spans="1:7" x14ac:dyDescent="0.25">
      <c r="A337" s="106">
        <v>338</v>
      </c>
      <c r="B337" s="107"/>
      <c r="C337" s="108"/>
      <c r="D337" s="7" t="s">
        <v>115</v>
      </c>
      <c r="E337" s="109"/>
      <c r="F337">
        <f t="shared" si="10"/>
        <v>0</v>
      </c>
      <c r="G337" s="93">
        <f t="shared" si="11"/>
        <v>0</v>
      </c>
    </row>
    <row r="338" spans="1:7" x14ac:dyDescent="0.25">
      <c r="A338" s="106">
        <v>339</v>
      </c>
      <c r="B338" s="107"/>
      <c r="C338" s="108"/>
      <c r="D338" s="7" t="s">
        <v>115</v>
      </c>
      <c r="E338" s="109"/>
      <c r="F338">
        <f t="shared" si="10"/>
        <v>0</v>
      </c>
      <c r="G338" s="93">
        <f t="shared" si="11"/>
        <v>0</v>
      </c>
    </row>
    <row r="339" spans="1:7" x14ac:dyDescent="0.25">
      <c r="A339" s="106">
        <v>340</v>
      </c>
      <c r="B339" s="107"/>
      <c r="C339" s="108"/>
      <c r="D339" s="7" t="s">
        <v>115</v>
      </c>
      <c r="E339" s="109"/>
      <c r="F339">
        <f t="shared" si="10"/>
        <v>0</v>
      </c>
      <c r="G339" s="93">
        <f t="shared" si="11"/>
        <v>0</v>
      </c>
    </row>
    <row r="340" spans="1:7" x14ac:dyDescent="0.25">
      <c r="A340" s="106">
        <v>341</v>
      </c>
      <c r="B340" s="107"/>
      <c r="C340" s="108"/>
      <c r="D340" s="7" t="s">
        <v>115</v>
      </c>
      <c r="E340" s="109"/>
      <c r="F340">
        <f t="shared" si="10"/>
        <v>0</v>
      </c>
      <c r="G340" s="93">
        <f t="shared" si="11"/>
        <v>0</v>
      </c>
    </row>
    <row r="341" spans="1:7" x14ac:dyDescent="0.25">
      <c r="A341" s="106">
        <v>342</v>
      </c>
      <c r="B341" s="107"/>
      <c r="C341" s="108"/>
      <c r="D341" s="7" t="s">
        <v>115</v>
      </c>
      <c r="E341" s="109"/>
      <c r="F341">
        <f t="shared" si="10"/>
        <v>0</v>
      </c>
      <c r="G341" s="93">
        <f t="shared" si="11"/>
        <v>0</v>
      </c>
    </row>
    <row r="342" spans="1:7" x14ac:dyDescent="0.25">
      <c r="A342" s="106">
        <v>343</v>
      </c>
      <c r="B342" s="107"/>
      <c r="C342" s="108"/>
      <c r="D342" s="7" t="s">
        <v>115</v>
      </c>
      <c r="E342" s="109"/>
      <c r="F342">
        <f t="shared" si="10"/>
        <v>0</v>
      </c>
      <c r="G342" s="93">
        <f t="shared" si="11"/>
        <v>0</v>
      </c>
    </row>
    <row r="343" spans="1:7" x14ac:dyDescent="0.25">
      <c r="A343" s="106">
        <v>344</v>
      </c>
      <c r="B343" s="107"/>
      <c r="C343" s="108"/>
      <c r="D343" s="7" t="s">
        <v>115</v>
      </c>
      <c r="E343" s="109"/>
      <c r="F343">
        <f t="shared" si="10"/>
        <v>0</v>
      </c>
      <c r="G343" s="93">
        <f t="shared" si="11"/>
        <v>0</v>
      </c>
    </row>
    <row r="344" spans="1:7" x14ac:dyDescent="0.25">
      <c r="A344" s="106">
        <v>345</v>
      </c>
      <c r="B344" s="107"/>
      <c r="C344" s="108"/>
      <c r="D344" s="7" t="s">
        <v>115</v>
      </c>
      <c r="E344" s="109"/>
      <c r="F344">
        <f t="shared" si="10"/>
        <v>0</v>
      </c>
      <c r="G344" s="93">
        <f t="shared" si="11"/>
        <v>0</v>
      </c>
    </row>
    <row r="345" spans="1:7" x14ac:dyDescent="0.25">
      <c r="A345" s="106">
        <v>346</v>
      </c>
      <c r="B345" s="107"/>
      <c r="C345" s="108"/>
      <c r="D345" s="7" t="s">
        <v>115</v>
      </c>
      <c r="E345" s="109"/>
      <c r="F345">
        <f t="shared" si="10"/>
        <v>0</v>
      </c>
      <c r="G345" s="93">
        <f t="shared" si="11"/>
        <v>0</v>
      </c>
    </row>
    <row r="346" spans="1:7" x14ac:dyDescent="0.25">
      <c r="A346" s="106">
        <v>347</v>
      </c>
      <c r="B346" s="107"/>
      <c r="C346" s="108"/>
      <c r="D346" s="7" t="s">
        <v>115</v>
      </c>
      <c r="E346" s="109"/>
      <c r="F346">
        <f t="shared" si="10"/>
        <v>0</v>
      </c>
      <c r="G346" s="93">
        <f t="shared" si="11"/>
        <v>0</v>
      </c>
    </row>
    <row r="347" spans="1:7" x14ac:dyDescent="0.25">
      <c r="A347" s="106">
        <v>348</v>
      </c>
      <c r="B347" s="107"/>
      <c r="C347" s="108"/>
      <c r="D347" s="7" t="s">
        <v>115</v>
      </c>
      <c r="E347" s="109"/>
      <c r="F347">
        <f t="shared" si="10"/>
        <v>0</v>
      </c>
      <c r="G347" s="93">
        <f t="shared" si="11"/>
        <v>0</v>
      </c>
    </row>
    <row r="348" spans="1:7" x14ac:dyDescent="0.25">
      <c r="A348" s="106">
        <v>349</v>
      </c>
      <c r="B348" s="107"/>
      <c r="C348" s="108"/>
      <c r="D348" s="7" t="s">
        <v>115</v>
      </c>
      <c r="E348" s="109"/>
      <c r="F348">
        <f t="shared" si="10"/>
        <v>0</v>
      </c>
      <c r="G348" s="93">
        <f t="shared" si="11"/>
        <v>0</v>
      </c>
    </row>
    <row r="349" spans="1:7" x14ac:dyDescent="0.25">
      <c r="A349" s="106">
        <v>350</v>
      </c>
      <c r="B349" s="107"/>
      <c r="C349" s="108"/>
      <c r="D349" s="7" t="s">
        <v>115</v>
      </c>
      <c r="E349" s="109"/>
      <c r="F349">
        <f t="shared" si="10"/>
        <v>0</v>
      </c>
      <c r="G349" s="93">
        <f t="shared" si="11"/>
        <v>0</v>
      </c>
    </row>
    <row r="350" spans="1:7" x14ac:dyDescent="0.25">
      <c r="A350" s="106">
        <v>351</v>
      </c>
      <c r="B350" s="107"/>
      <c r="C350" s="108"/>
      <c r="D350" s="7" t="s">
        <v>115</v>
      </c>
      <c r="E350" s="109"/>
      <c r="F350">
        <f t="shared" si="10"/>
        <v>0</v>
      </c>
      <c r="G350" s="93">
        <f t="shared" si="11"/>
        <v>0</v>
      </c>
    </row>
    <row r="351" spans="1:7" x14ac:dyDescent="0.25">
      <c r="A351" s="106">
        <v>352</v>
      </c>
      <c r="B351" s="107"/>
      <c r="C351" s="108"/>
      <c r="D351" s="7" t="s">
        <v>115</v>
      </c>
      <c r="E351" s="109"/>
      <c r="F351">
        <f t="shared" si="10"/>
        <v>0</v>
      </c>
      <c r="G351" s="93">
        <f t="shared" si="11"/>
        <v>0</v>
      </c>
    </row>
    <row r="352" spans="1:7" x14ac:dyDescent="0.25">
      <c r="A352" s="106">
        <v>353</v>
      </c>
      <c r="B352" s="107"/>
      <c r="C352" s="108"/>
      <c r="D352" s="7" t="s">
        <v>115</v>
      </c>
      <c r="E352" s="109"/>
      <c r="F352">
        <f t="shared" si="10"/>
        <v>0</v>
      </c>
      <c r="G352" s="93">
        <f t="shared" si="11"/>
        <v>0</v>
      </c>
    </row>
    <row r="353" spans="1:7" x14ac:dyDescent="0.25">
      <c r="A353" s="106">
        <v>354</v>
      </c>
      <c r="B353" s="107"/>
      <c r="C353" s="108"/>
      <c r="D353" s="7" t="s">
        <v>115</v>
      </c>
      <c r="E353" s="109"/>
      <c r="F353">
        <f t="shared" si="10"/>
        <v>0</v>
      </c>
      <c r="G353" s="93">
        <f t="shared" si="11"/>
        <v>0</v>
      </c>
    </row>
    <row r="354" spans="1:7" x14ac:dyDescent="0.25">
      <c r="A354" s="106">
        <v>355</v>
      </c>
      <c r="B354" s="107"/>
      <c r="C354" s="108"/>
      <c r="D354" s="7" t="s">
        <v>115</v>
      </c>
      <c r="E354" s="109"/>
      <c r="F354">
        <f t="shared" si="10"/>
        <v>0</v>
      </c>
      <c r="G354" s="93">
        <f t="shared" si="11"/>
        <v>0</v>
      </c>
    </row>
    <row r="355" spans="1:7" x14ac:dyDescent="0.25">
      <c r="A355" s="106">
        <v>356</v>
      </c>
      <c r="B355" s="107"/>
      <c r="C355" s="108"/>
      <c r="D355" s="7" t="s">
        <v>115</v>
      </c>
      <c r="E355" s="109"/>
      <c r="F355">
        <f t="shared" si="10"/>
        <v>0</v>
      </c>
      <c r="G355" s="93">
        <f t="shared" si="11"/>
        <v>0</v>
      </c>
    </row>
    <row r="356" spans="1:7" x14ac:dyDescent="0.25">
      <c r="A356" s="106">
        <v>357</v>
      </c>
      <c r="B356" s="107"/>
      <c r="C356" s="108"/>
      <c r="D356" s="7" t="s">
        <v>115</v>
      </c>
      <c r="E356" s="109"/>
      <c r="F356">
        <f t="shared" si="10"/>
        <v>0</v>
      </c>
      <c r="G356" s="93">
        <f t="shared" si="11"/>
        <v>0</v>
      </c>
    </row>
    <row r="357" spans="1:7" x14ac:dyDescent="0.25">
      <c r="A357" s="106">
        <v>358</v>
      </c>
      <c r="B357" s="107"/>
      <c r="C357" s="108"/>
      <c r="D357" s="7" t="s">
        <v>115</v>
      </c>
      <c r="E357" s="109"/>
      <c r="F357">
        <f t="shared" si="10"/>
        <v>0</v>
      </c>
      <c r="G357" s="93">
        <f t="shared" si="11"/>
        <v>0</v>
      </c>
    </row>
    <row r="358" spans="1:7" x14ac:dyDescent="0.25">
      <c r="A358" s="106">
        <v>359</v>
      </c>
      <c r="B358" s="107"/>
      <c r="C358" s="108"/>
      <c r="D358" s="7" t="s">
        <v>115</v>
      </c>
      <c r="E358" s="109"/>
      <c r="F358">
        <f t="shared" si="10"/>
        <v>0</v>
      </c>
      <c r="G358" s="93">
        <f t="shared" si="11"/>
        <v>0</v>
      </c>
    </row>
    <row r="359" spans="1:7" x14ac:dyDescent="0.25">
      <c r="A359" s="106">
        <v>360</v>
      </c>
      <c r="B359" s="107"/>
      <c r="C359" s="108"/>
      <c r="D359" s="7" t="s">
        <v>115</v>
      </c>
      <c r="E359" s="109"/>
      <c r="F359">
        <f t="shared" si="10"/>
        <v>0</v>
      </c>
      <c r="G359" s="93">
        <f t="shared" si="11"/>
        <v>0</v>
      </c>
    </row>
    <row r="360" spans="1:7" x14ac:dyDescent="0.25">
      <c r="A360" s="106">
        <v>361</v>
      </c>
      <c r="B360" s="107"/>
      <c r="C360" s="108"/>
      <c r="D360" s="7" t="s">
        <v>115</v>
      </c>
      <c r="E360" s="109"/>
      <c r="F360">
        <f t="shared" si="10"/>
        <v>0</v>
      </c>
      <c r="G360" s="93">
        <f t="shared" si="11"/>
        <v>0</v>
      </c>
    </row>
    <row r="361" spans="1:7" x14ac:dyDescent="0.25">
      <c r="A361" s="106">
        <v>362</v>
      </c>
      <c r="B361" s="107"/>
      <c r="C361" s="108"/>
      <c r="D361" s="7" t="s">
        <v>115</v>
      </c>
      <c r="E361" s="109"/>
      <c r="F361">
        <f t="shared" si="10"/>
        <v>0</v>
      </c>
      <c r="G361" s="93">
        <f t="shared" si="11"/>
        <v>0</v>
      </c>
    </row>
    <row r="362" spans="1:7" x14ac:dyDescent="0.25">
      <c r="A362" s="106">
        <v>363</v>
      </c>
      <c r="B362" s="107"/>
      <c r="C362" s="108"/>
      <c r="D362" s="7" t="s">
        <v>115</v>
      </c>
      <c r="E362" s="109"/>
      <c r="F362">
        <f t="shared" si="10"/>
        <v>0</v>
      </c>
      <c r="G362" s="93">
        <f t="shared" si="11"/>
        <v>0</v>
      </c>
    </row>
    <row r="363" spans="1:7" x14ac:dyDescent="0.25">
      <c r="A363" s="106">
        <v>364</v>
      </c>
      <c r="B363" s="107"/>
      <c r="C363" s="108"/>
      <c r="D363" s="7" t="s">
        <v>115</v>
      </c>
      <c r="E363" s="109"/>
      <c r="F363">
        <f t="shared" si="10"/>
        <v>0</v>
      </c>
      <c r="G363" s="93">
        <f t="shared" si="11"/>
        <v>0</v>
      </c>
    </row>
    <row r="364" spans="1:7" x14ac:dyDescent="0.25">
      <c r="A364" s="106">
        <v>365</v>
      </c>
      <c r="B364" s="107"/>
      <c r="C364" s="108"/>
      <c r="D364" s="7" t="s">
        <v>115</v>
      </c>
      <c r="E364" s="109"/>
      <c r="F364">
        <f t="shared" si="10"/>
        <v>0</v>
      </c>
      <c r="G364" s="93">
        <f t="shared" si="11"/>
        <v>0</v>
      </c>
    </row>
    <row r="365" spans="1:7" x14ac:dyDescent="0.25">
      <c r="A365" s="106">
        <v>366</v>
      </c>
      <c r="B365" s="107"/>
      <c r="C365" s="108"/>
      <c r="D365" s="7" t="s">
        <v>115</v>
      </c>
      <c r="E365" s="109"/>
      <c r="F365">
        <f t="shared" si="10"/>
        <v>0</v>
      </c>
      <c r="G365" s="93">
        <f t="shared" si="11"/>
        <v>0</v>
      </c>
    </row>
    <row r="366" spans="1:7" x14ac:dyDescent="0.25">
      <c r="A366" s="106">
        <v>367</v>
      </c>
      <c r="B366" s="107"/>
      <c r="C366" s="108"/>
      <c r="D366" s="7" t="s">
        <v>115</v>
      </c>
      <c r="E366" s="109"/>
      <c r="F366">
        <f t="shared" si="10"/>
        <v>0</v>
      </c>
      <c r="G366" s="93">
        <f t="shared" si="11"/>
        <v>0</v>
      </c>
    </row>
    <row r="367" spans="1:7" x14ac:dyDescent="0.25">
      <c r="A367" s="106">
        <v>368</v>
      </c>
      <c r="B367" s="107"/>
      <c r="C367" s="108"/>
      <c r="D367" s="7" t="s">
        <v>115</v>
      </c>
      <c r="E367" s="109"/>
      <c r="F367">
        <f t="shared" si="10"/>
        <v>0</v>
      </c>
      <c r="G367" s="93">
        <f t="shared" si="11"/>
        <v>0</v>
      </c>
    </row>
    <row r="368" spans="1:7" x14ac:dyDescent="0.25">
      <c r="A368" s="106">
        <v>369</v>
      </c>
      <c r="B368" s="107"/>
      <c r="C368" s="108"/>
      <c r="D368" s="7" t="s">
        <v>115</v>
      </c>
      <c r="E368" s="109"/>
      <c r="F368">
        <f t="shared" si="10"/>
        <v>0</v>
      </c>
      <c r="G368" s="93">
        <f t="shared" si="11"/>
        <v>0</v>
      </c>
    </row>
    <row r="369" spans="1:7" x14ac:dyDescent="0.25">
      <c r="A369" s="106">
        <v>370</v>
      </c>
      <c r="B369" s="107"/>
      <c r="C369" s="108"/>
      <c r="D369" s="7" t="s">
        <v>115</v>
      </c>
      <c r="E369" s="109"/>
      <c r="F369">
        <f t="shared" si="10"/>
        <v>0</v>
      </c>
      <c r="G369" s="93">
        <f t="shared" si="11"/>
        <v>0</v>
      </c>
    </row>
    <row r="370" spans="1:7" x14ac:dyDescent="0.25">
      <c r="A370" s="106">
        <v>371</v>
      </c>
      <c r="B370" s="107"/>
      <c r="C370" s="108"/>
      <c r="D370" s="7" t="s">
        <v>115</v>
      </c>
      <c r="E370" s="109"/>
      <c r="F370">
        <f t="shared" si="10"/>
        <v>0</v>
      </c>
      <c r="G370" s="93">
        <f t="shared" si="11"/>
        <v>0</v>
      </c>
    </row>
    <row r="371" spans="1:7" x14ac:dyDescent="0.25">
      <c r="A371" s="106">
        <v>372</v>
      </c>
      <c r="B371" s="107"/>
      <c r="C371" s="108"/>
      <c r="D371" s="7" t="s">
        <v>115</v>
      </c>
      <c r="E371" s="109"/>
      <c r="F371">
        <f t="shared" si="10"/>
        <v>0</v>
      </c>
      <c r="G371" s="93">
        <f t="shared" si="11"/>
        <v>0</v>
      </c>
    </row>
    <row r="372" spans="1:7" x14ac:dyDescent="0.25">
      <c r="A372" s="106">
        <v>373</v>
      </c>
      <c r="B372" s="107"/>
      <c r="C372" s="108"/>
      <c r="D372" s="7" t="s">
        <v>115</v>
      </c>
      <c r="E372" s="109"/>
      <c r="F372">
        <f t="shared" si="10"/>
        <v>0</v>
      </c>
      <c r="G372" s="93">
        <f t="shared" si="11"/>
        <v>0</v>
      </c>
    </row>
    <row r="373" spans="1:7" x14ac:dyDescent="0.25">
      <c r="A373" s="106">
        <v>374</v>
      </c>
      <c r="B373" s="107"/>
      <c r="C373" s="108"/>
      <c r="D373" s="7" t="s">
        <v>115</v>
      </c>
      <c r="E373" s="109"/>
      <c r="F373">
        <f t="shared" si="10"/>
        <v>0</v>
      </c>
      <c r="G373" s="93">
        <f t="shared" si="11"/>
        <v>0</v>
      </c>
    </row>
    <row r="374" spans="1:7" x14ac:dyDescent="0.25">
      <c r="A374" s="106">
        <v>375</v>
      </c>
      <c r="B374" s="107"/>
      <c r="C374" s="108"/>
      <c r="D374" s="7" t="s">
        <v>115</v>
      </c>
      <c r="E374" s="109"/>
      <c r="F374">
        <f t="shared" si="10"/>
        <v>0</v>
      </c>
      <c r="G374" s="93">
        <f t="shared" si="11"/>
        <v>0</v>
      </c>
    </row>
    <row r="375" spans="1:7" x14ac:dyDescent="0.25">
      <c r="A375" s="106">
        <v>376</v>
      </c>
      <c r="B375" s="107"/>
      <c r="C375" s="108"/>
      <c r="D375" s="7" t="s">
        <v>115</v>
      </c>
      <c r="E375" s="109"/>
      <c r="F375">
        <f t="shared" si="10"/>
        <v>0</v>
      </c>
      <c r="G375" s="93">
        <f t="shared" si="11"/>
        <v>0</v>
      </c>
    </row>
    <row r="376" spans="1:7" x14ac:dyDescent="0.25">
      <c r="A376" s="106">
        <v>377</v>
      </c>
      <c r="B376" s="107"/>
      <c r="C376" s="108"/>
      <c r="D376" s="7" t="s">
        <v>115</v>
      </c>
      <c r="E376" s="109"/>
      <c r="F376">
        <f t="shared" si="10"/>
        <v>0</v>
      </c>
      <c r="G376" s="93">
        <f t="shared" si="11"/>
        <v>0</v>
      </c>
    </row>
    <row r="377" spans="1:7" x14ac:dyDescent="0.25">
      <c r="A377" s="106">
        <v>378</v>
      </c>
      <c r="B377" s="107"/>
      <c r="C377" s="108"/>
      <c r="D377" s="7" t="s">
        <v>115</v>
      </c>
      <c r="E377" s="109"/>
      <c r="F377">
        <f t="shared" si="10"/>
        <v>0</v>
      </c>
      <c r="G377" s="93">
        <f t="shared" si="11"/>
        <v>0</v>
      </c>
    </row>
    <row r="378" spans="1:7" x14ac:dyDescent="0.25">
      <c r="A378" s="106">
        <v>379</v>
      </c>
      <c r="B378" s="107"/>
      <c r="C378" s="108"/>
      <c r="D378" s="7" t="s">
        <v>115</v>
      </c>
      <c r="E378" s="109"/>
      <c r="F378">
        <f t="shared" si="10"/>
        <v>0</v>
      </c>
      <c r="G378" s="93">
        <f t="shared" si="11"/>
        <v>0</v>
      </c>
    </row>
    <row r="379" spans="1:7" x14ac:dyDescent="0.25">
      <c r="A379" s="106">
        <v>380</v>
      </c>
      <c r="B379" s="107"/>
      <c r="C379" s="108"/>
      <c r="D379" s="7" t="s">
        <v>115</v>
      </c>
      <c r="E379" s="109"/>
      <c r="F379">
        <f t="shared" si="10"/>
        <v>0</v>
      </c>
      <c r="G379" s="93">
        <f t="shared" si="11"/>
        <v>0</v>
      </c>
    </row>
    <row r="380" spans="1:7" x14ac:dyDescent="0.25">
      <c r="A380" s="106">
        <v>381</v>
      </c>
      <c r="B380" s="107"/>
      <c r="C380" s="108"/>
      <c r="D380" s="7" t="s">
        <v>115</v>
      </c>
      <c r="E380" s="109"/>
      <c r="F380">
        <f t="shared" si="10"/>
        <v>0</v>
      </c>
      <c r="G380" s="93">
        <f t="shared" si="11"/>
        <v>0</v>
      </c>
    </row>
    <row r="381" spans="1:7" x14ac:dyDescent="0.25">
      <c r="A381" s="106">
        <v>382</v>
      </c>
      <c r="B381" s="107"/>
      <c r="C381" s="108"/>
      <c r="D381" s="7" t="s">
        <v>115</v>
      </c>
      <c r="E381" s="109"/>
      <c r="F381">
        <f t="shared" si="10"/>
        <v>0</v>
      </c>
      <c r="G381" s="93">
        <f t="shared" si="11"/>
        <v>0</v>
      </c>
    </row>
    <row r="382" spans="1:7" x14ac:dyDescent="0.25">
      <c r="A382" s="106">
        <v>383</v>
      </c>
      <c r="B382" s="107"/>
      <c r="C382" s="108"/>
      <c r="D382" s="7" t="s">
        <v>115</v>
      </c>
      <c r="E382" s="109"/>
      <c r="F382">
        <f t="shared" si="10"/>
        <v>0</v>
      </c>
      <c r="G382" s="93">
        <f t="shared" si="11"/>
        <v>0</v>
      </c>
    </row>
    <row r="383" spans="1:7" x14ac:dyDescent="0.25">
      <c r="A383" s="106">
        <v>384</v>
      </c>
      <c r="B383" s="107"/>
      <c r="C383" s="108"/>
      <c r="D383" s="7" t="s">
        <v>115</v>
      </c>
      <c r="E383" s="109"/>
      <c r="F383">
        <f t="shared" si="10"/>
        <v>0</v>
      </c>
      <c r="G383" s="93">
        <f t="shared" si="11"/>
        <v>0</v>
      </c>
    </row>
    <row r="384" spans="1:7" x14ac:dyDescent="0.25">
      <c r="A384" s="106">
        <v>385</v>
      </c>
      <c r="B384" s="107"/>
      <c r="C384" s="108"/>
      <c r="D384" s="7" t="s">
        <v>115</v>
      </c>
      <c r="E384" s="109"/>
      <c r="F384">
        <f t="shared" si="10"/>
        <v>0</v>
      </c>
      <c r="G384" s="93">
        <f t="shared" si="11"/>
        <v>0</v>
      </c>
    </row>
    <row r="385" spans="1:7" x14ac:dyDescent="0.25">
      <c r="A385" s="106">
        <v>386</v>
      </c>
      <c r="B385" s="107"/>
      <c r="C385" s="108"/>
      <c r="D385" s="7" t="s">
        <v>115</v>
      </c>
      <c r="E385" s="109"/>
      <c r="F385">
        <f t="shared" ref="F385:F448" si="12">LEN(E385)</f>
        <v>0</v>
      </c>
      <c r="G385" s="93">
        <f t="shared" ref="G385:G448" si="13">IF(LEN(B385)&gt;28,MID(B385,1,28),B385)</f>
        <v>0</v>
      </c>
    </row>
    <row r="386" spans="1:7" x14ac:dyDescent="0.25">
      <c r="A386" s="106">
        <v>387</v>
      </c>
      <c r="B386" s="107"/>
      <c r="C386" s="108"/>
      <c r="D386" s="7" t="s">
        <v>115</v>
      </c>
      <c r="E386" s="109"/>
      <c r="F386">
        <f t="shared" si="12"/>
        <v>0</v>
      </c>
      <c r="G386" s="93">
        <f t="shared" si="13"/>
        <v>0</v>
      </c>
    </row>
    <row r="387" spans="1:7" x14ac:dyDescent="0.25">
      <c r="A387" s="106">
        <v>388</v>
      </c>
      <c r="B387" s="107"/>
      <c r="C387" s="108"/>
      <c r="D387" s="7" t="s">
        <v>115</v>
      </c>
      <c r="E387" s="109"/>
      <c r="F387">
        <f t="shared" si="12"/>
        <v>0</v>
      </c>
      <c r="G387" s="93">
        <f t="shared" si="13"/>
        <v>0</v>
      </c>
    </row>
    <row r="388" spans="1:7" x14ac:dyDescent="0.25">
      <c r="A388" s="106">
        <v>389</v>
      </c>
      <c r="B388" s="107"/>
      <c r="C388" s="108"/>
      <c r="D388" s="7" t="s">
        <v>115</v>
      </c>
      <c r="E388" s="109"/>
      <c r="F388">
        <f t="shared" si="12"/>
        <v>0</v>
      </c>
      <c r="G388" s="93">
        <f t="shared" si="13"/>
        <v>0</v>
      </c>
    </row>
    <row r="389" spans="1:7" x14ac:dyDescent="0.25">
      <c r="A389" s="106">
        <v>390</v>
      </c>
      <c r="B389" s="107"/>
      <c r="C389" s="108"/>
      <c r="D389" s="7" t="s">
        <v>115</v>
      </c>
      <c r="E389" s="109"/>
      <c r="F389">
        <f t="shared" si="12"/>
        <v>0</v>
      </c>
      <c r="G389" s="93">
        <f t="shared" si="13"/>
        <v>0</v>
      </c>
    </row>
    <row r="390" spans="1:7" x14ac:dyDescent="0.25">
      <c r="A390" s="106">
        <v>391</v>
      </c>
      <c r="B390" s="107"/>
      <c r="C390" s="108"/>
      <c r="D390" s="7" t="s">
        <v>115</v>
      </c>
      <c r="E390" s="109"/>
      <c r="F390">
        <f t="shared" si="12"/>
        <v>0</v>
      </c>
      <c r="G390" s="93">
        <f t="shared" si="13"/>
        <v>0</v>
      </c>
    </row>
    <row r="391" spans="1:7" x14ac:dyDescent="0.25">
      <c r="A391" s="106">
        <v>392</v>
      </c>
      <c r="B391" s="107"/>
      <c r="C391" s="108"/>
      <c r="D391" s="7" t="s">
        <v>115</v>
      </c>
      <c r="E391" s="109"/>
      <c r="F391">
        <f t="shared" si="12"/>
        <v>0</v>
      </c>
      <c r="G391" s="93">
        <f t="shared" si="13"/>
        <v>0</v>
      </c>
    </row>
    <row r="392" spans="1:7" x14ac:dyDescent="0.25">
      <c r="A392" s="106">
        <v>393</v>
      </c>
      <c r="B392" s="107"/>
      <c r="C392" s="108"/>
      <c r="D392" s="7" t="s">
        <v>115</v>
      </c>
      <c r="E392" s="109"/>
      <c r="F392">
        <f t="shared" si="12"/>
        <v>0</v>
      </c>
      <c r="G392" s="93">
        <f t="shared" si="13"/>
        <v>0</v>
      </c>
    </row>
    <row r="393" spans="1:7" x14ac:dyDescent="0.25">
      <c r="A393" s="106">
        <v>394</v>
      </c>
      <c r="B393" s="107"/>
      <c r="C393" s="108"/>
      <c r="D393" s="7" t="s">
        <v>115</v>
      </c>
      <c r="E393" s="109"/>
      <c r="F393">
        <f t="shared" si="12"/>
        <v>0</v>
      </c>
      <c r="G393" s="93">
        <f t="shared" si="13"/>
        <v>0</v>
      </c>
    </row>
    <row r="394" spans="1:7" x14ac:dyDescent="0.25">
      <c r="A394" s="106">
        <v>395</v>
      </c>
      <c r="B394" s="107"/>
      <c r="C394" s="108"/>
      <c r="D394" s="7" t="s">
        <v>115</v>
      </c>
      <c r="E394" s="109"/>
      <c r="F394">
        <f t="shared" si="12"/>
        <v>0</v>
      </c>
      <c r="G394" s="93">
        <f t="shared" si="13"/>
        <v>0</v>
      </c>
    </row>
    <row r="395" spans="1:7" x14ac:dyDescent="0.25">
      <c r="A395" s="106">
        <v>396</v>
      </c>
      <c r="B395" s="107"/>
      <c r="C395" s="108"/>
      <c r="D395" s="7" t="s">
        <v>115</v>
      </c>
      <c r="E395" s="109"/>
      <c r="F395">
        <f t="shared" si="12"/>
        <v>0</v>
      </c>
      <c r="G395" s="93">
        <f t="shared" si="13"/>
        <v>0</v>
      </c>
    </row>
    <row r="396" spans="1:7" x14ac:dyDescent="0.25">
      <c r="A396" s="106">
        <v>397</v>
      </c>
      <c r="B396" s="107"/>
      <c r="C396" s="108"/>
      <c r="D396" s="7" t="s">
        <v>115</v>
      </c>
      <c r="E396" s="109"/>
      <c r="F396">
        <f t="shared" si="12"/>
        <v>0</v>
      </c>
      <c r="G396" s="93">
        <f t="shared" si="13"/>
        <v>0</v>
      </c>
    </row>
    <row r="397" spans="1:7" x14ac:dyDescent="0.25">
      <c r="A397" s="106">
        <v>398</v>
      </c>
      <c r="B397" s="107"/>
      <c r="C397" s="108"/>
      <c r="D397" s="7" t="s">
        <v>115</v>
      </c>
      <c r="E397" s="109"/>
      <c r="F397">
        <f t="shared" si="12"/>
        <v>0</v>
      </c>
      <c r="G397" s="93">
        <f t="shared" si="13"/>
        <v>0</v>
      </c>
    </row>
    <row r="398" spans="1:7" x14ac:dyDescent="0.25">
      <c r="A398" s="106">
        <v>399</v>
      </c>
      <c r="B398" s="107"/>
      <c r="C398" s="108"/>
      <c r="D398" s="7" t="s">
        <v>115</v>
      </c>
      <c r="E398" s="109"/>
      <c r="F398">
        <f t="shared" si="12"/>
        <v>0</v>
      </c>
      <c r="G398" s="93">
        <f t="shared" si="13"/>
        <v>0</v>
      </c>
    </row>
    <row r="399" spans="1:7" x14ac:dyDescent="0.25">
      <c r="A399" s="106">
        <v>400</v>
      </c>
      <c r="B399" s="107"/>
      <c r="C399" s="108"/>
      <c r="D399" s="7" t="s">
        <v>115</v>
      </c>
      <c r="E399" s="109"/>
      <c r="F399">
        <f t="shared" si="12"/>
        <v>0</v>
      </c>
      <c r="G399" s="93">
        <f t="shared" si="13"/>
        <v>0</v>
      </c>
    </row>
    <row r="400" spans="1:7" x14ac:dyDescent="0.25">
      <c r="A400" s="106">
        <v>401</v>
      </c>
      <c r="B400" s="107"/>
      <c r="C400" s="108"/>
      <c r="D400" s="7" t="s">
        <v>115</v>
      </c>
      <c r="E400" s="109"/>
      <c r="F400">
        <f t="shared" si="12"/>
        <v>0</v>
      </c>
      <c r="G400" s="93">
        <f t="shared" si="13"/>
        <v>0</v>
      </c>
    </row>
    <row r="401" spans="1:7" x14ac:dyDescent="0.25">
      <c r="A401" s="106">
        <v>402</v>
      </c>
      <c r="B401" s="107"/>
      <c r="C401" s="108"/>
      <c r="D401" s="7" t="s">
        <v>115</v>
      </c>
      <c r="E401" s="109"/>
      <c r="F401">
        <f t="shared" si="12"/>
        <v>0</v>
      </c>
      <c r="G401" s="93">
        <f t="shared" si="13"/>
        <v>0</v>
      </c>
    </row>
    <row r="402" spans="1:7" x14ac:dyDescent="0.25">
      <c r="A402" s="106">
        <v>403</v>
      </c>
      <c r="B402" s="107"/>
      <c r="C402" s="108"/>
      <c r="D402" s="7" t="s">
        <v>115</v>
      </c>
      <c r="E402" s="109"/>
      <c r="F402">
        <f t="shared" si="12"/>
        <v>0</v>
      </c>
      <c r="G402" s="93">
        <f t="shared" si="13"/>
        <v>0</v>
      </c>
    </row>
    <row r="403" spans="1:7" x14ac:dyDescent="0.25">
      <c r="A403" s="106">
        <v>404</v>
      </c>
      <c r="B403" s="107"/>
      <c r="C403" s="108"/>
      <c r="D403" s="7" t="s">
        <v>115</v>
      </c>
      <c r="E403" s="109"/>
      <c r="F403">
        <f t="shared" si="12"/>
        <v>0</v>
      </c>
      <c r="G403" s="93">
        <f t="shared" si="13"/>
        <v>0</v>
      </c>
    </row>
    <row r="404" spans="1:7" x14ac:dyDescent="0.25">
      <c r="A404" s="106">
        <v>405</v>
      </c>
      <c r="B404" s="107"/>
      <c r="C404" s="108"/>
      <c r="D404" s="7" t="s">
        <v>115</v>
      </c>
      <c r="E404" s="109"/>
      <c r="F404">
        <f t="shared" si="12"/>
        <v>0</v>
      </c>
      <c r="G404" s="93">
        <f t="shared" si="13"/>
        <v>0</v>
      </c>
    </row>
    <row r="405" spans="1:7" x14ac:dyDescent="0.25">
      <c r="A405" s="106">
        <v>406</v>
      </c>
      <c r="B405" s="107"/>
      <c r="C405" s="108"/>
      <c r="D405" s="7" t="s">
        <v>115</v>
      </c>
      <c r="E405" s="109"/>
      <c r="F405">
        <f t="shared" si="12"/>
        <v>0</v>
      </c>
      <c r="G405" s="93">
        <f t="shared" si="13"/>
        <v>0</v>
      </c>
    </row>
    <row r="406" spans="1:7" x14ac:dyDescent="0.25">
      <c r="A406" s="106">
        <v>407</v>
      </c>
      <c r="B406" s="107"/>
      <c r="C406" s="108"/>
      <c r="D406" s="7" t="s">
        <v>115</v>
      </c>
      <c r="E406" s="109"/>
      <c r="F406">
        <f t="shared" si="12"/>
        <v>0</v>
      </c>
      <c r="G406" s="93">
        <f t="shared" si="13"/>
        <v>0</v>
      </c>
    </row>
    <row r="407" spans="1:7" x14ac:dyDescent="0.25">
      <c r="A407" s="106">
        <v>408</v>
      </c>
      <c r="B407" s="107"/>
      <c r="C407" s="108"/>
      <c r="D407" s="7" t="s">
        <v>115</v>
      </c>
      <c r="E407" s="109"/>
      <c r="F407">
        <f t="shared" si="12"/>
        <v>0</v>
      </c>
      <c r="G407" s="93">
        <f t="shared" si="13"/>
        <v>0</v>
      </c>
    </row>
    <row r="408" spans="1:7" x14ac:dyDescent="0.25">
      <c r="A408" s="106">
        <v>409</v>
      </c>
      <c r="B408" s="107"/>
      <c r="C408" s="108"/>
      <c r="D408" s="7" t="s">
        <v>115</v>
      </c>
      <c r="E408" s="109"/>
      <c r="F408">
        <f t="shared" si="12"/>
        <v>0</v>
      </c>
      <c r="G408" s="93">
        <f t="shared" si="13"/>
        <v>0</v>
      </c>
    </row>
    <row r="409" spans="1:7" x14ac:dyDescent="0.25">
      <c r="A409" s="106">
        <v>410</v>
      </c>
      <c r="B409" s="107"/>
      <c r="C409" s="108"/>
      <c r="D409" s="7" t="s">
        <v>115</v>
      </c>
      <c r="E409" s="109"/>
      <c r="F409">
        <f t="shared" si="12"/>
        <v>0</v>
      </c>
      <c r="G409" s="93">
        <f t="shared" si="13"/>
        <v>0</v>
      </c>
    </row>
    <row r="410" spans="1:7" x14ac:dyDescent="0.25">
      <c r="A410" s="106">
        <v>411</v>
      </c>
      <c r="B410" s="107"/>
      <c r="C410" s="108"/>
      <c r="D410" s="7" t="s">
        <v>115</v>
      </c>
      <c r="E410" s="109"/>
      <c r="F410">
        <f t="shared" si="12"/>
        <v>0</v>
      </c>
      <c r="G410" s="93">
        <f t="shared" si="13"/>
        <v>0</v>
      </c>
    </row>
    <row r="411" spans="1:7" x14ac:dyDescent="0.25">
      <c r="A411" s="106">
        <v>412</v>
      </c>
      <c r="B411" s="107"/>
      <c r="C411" s="108"/>
      <c r="D411" s="7" t="s">
        <v>115</v>
      </c>
      <c r="E411" s="109"/>
      <c r="F411">
        <f t="shared" si="12"/>
        <v>0</v>
      </c>
      <c r="G411" s="93">
        <f t="shared" si="13"/>
        <v>0</v>
      </c>
    </row>
    <row r="412" spans="1:7" x14ac:dyDescent="0.25">
      <c r="A412" s="106">
        <v>413</v>
      </c>
      <c r="B412" s="107"/>
      <c r="C412" s="108"/>
      <c r="D412" s="7" t="s">
        <v>115</v>
      </c>
      <c r="E412" s="109"/>
      <c r="F412">
        <f t="shared" si="12"/>
        <v>0</v>
      </c>
      <c r="G412" s="93">
        <f t="shared" si="13"/>
        <v>0</v>
      </c>
    </row>
    <row r="413" spans="1:7" x14ac:dyDescent="0.25">
      <c r="A413" s="106">
        <v>414</v>
      </c>
      <c r="B413" s="107"/>
      <c r="C413" s="108"/>
      <c r="D413" s="7" t="s">
        <v>115</v>
      </c>
      <c r="E413" s="109"/>
      <c r="F413">
        <f t="shared" si="12"/>
        <v>0</v>
      </c>
      <c r="G413" s="93">
        <f t="shared" si="13"/>
        <v>0</v>
      </c>
    </row>
    <row r="414" spans="1:7" x14ac:dyDescent="0.25">
      <c r="A414" s="106">
        <v>415</v>
      </c>
      <c r="B414" s="107"/>
      <c r="C414" s="108"/>
      <c r="D414" s="7" t="s">
        <v>115</v>
      </c>
      <c r="E414" s="109"/>
      <c r="F414">
        <f t="shared" si="12"/>
        <v>0</v>
      </c>
      <c r="G414" s="93">
        <f t="shared" si="13"/>
        <v>0</v>
      </c>
    </row>
    <row r="415" spans="1:7" x14ac:dyDescent="0.25">
      <c r="A415" s="106">
        <v>416</v>
      </c>
      <c r="B415" s="107"/>
      <c r="C415" s="108"/>
      <c r="D415" s="7" t="s">
        <v>115</v>
      </c>
      <c r="E415" s="109"/>
      <c r="F415">
        <f t="shared" si="12"/>
        <v>0</v>
      </c>
      <c r="G415" s="93">
        <f t="shared" si="13"/>
        <v>0</v>
      </c>
    </row>
    <row r="416" spans="1:7" x14ac:dyDescent="0.25">
      <c r="A416" s="106">
        <v>417</v>
      </c>
      <c r="B416" s="107"/>
      <c r="C416" s="108"/>
      <c r="D416" s="7" t="s">
        <v>115</v>
      </c>
      <c r="E416" s="109"/>
      <c r="F416">
        <f t="shared" si="12"/>
        <v>0</v>
      </c>
      <c r="G416" s="93">
        <f t="shared" si="13"/>
        <v>0</v>
      </c>
    </row>
    <row r="417" spans="1:7" x14ac:dyDescent="0.25">
      <c r="A417" s="106">
        <v>418</v>
      </c>
      <c r="B417" s="107"/>
      <c r="C417" s="108"/>
      <c r="D417" s="7" t="s">
        <v>115</v>
      </c>
      <c r="E417" s="109"/>
      <c r="F417">
        <f t="shared" si="12"/>
        <v>0</v>
      </c>
      <c r="G417" s="93">
        <f t="shared" si="13"/>
        <v>0</v>
      </c>
    </row>
    <row r="418" spans="1:7" x14ac:dyDescent="0.25">
      <c r="A418" s="106">
        <v>419</v>
      </c>
      <c r="B418" s="107"/>
      <c r="C418" s="108"/>
      <c r="D418" s="7" t="s">
        <v>115</v>
      </c>
      <c r="E418" s="109"/>
      <c r="F418">
        <f t="shared" si="12"/>
        <v>0</v>
      </c>
      <c r="G418" s="93">
        <f t="shared" si="13"/>
        <v>0</v>
      </c>
    </row>
    <row r="419" spans="1:7" x14ac:dyDescent="0.25">
      <c r="A419" s="106">
        <v>420</v>
      </c>
      <c r="B419" s="107"/>
      <c r="C419" s="108"/>
      <c r="D419" s="7" t="s">
        <v>115</v>
      </c>
      <c r="E419" s="109"/>
      <c r="F419">
        <f t="shared" si="12"/>
        <v>0</v>
      </c>
      <c r="G419" s="93">
        <f t="shared" si="13"/>
        <v>0</v>
      </c>
    </row>
    <row r="420" spans="1:7" x14ac:dyDescent="0.25">
      <c r="A420" s="106">
        <v>421</v>
      </c>
      <c r="B420" s="107"/>
      <c r="C420" s="108"/>
      <c r="D420" s="7" t="s">
        <v>115</v>
      </c>
      <c r="E420" s="109"/>
      <c r="F420">
        <f t="shared" si="12"/>
        <v>0</v>
      </c>
      <c r="G420" s="93">
        <f t="shared" si="13"/>
        <v>0</v>
      </c>
    </row>
    <row r="421" spans="1:7" x14ac:dyDescent="0.25">
      <c r="A421" s="106">
        <v>422</v>
      </c>
      <c r="B421" s="107"/>
      <c r="C421" s="108"/>
      <c r="D421" s="7" t="s">
        <v>115</v>
      </c>
      <c r="E421" s="109"/>
      <c r="F421">
        <f t="shared" si="12"/>
        <v>0</v>
      </c>
      <c r="G421" s="93">
        <f t="shared" si="13"/>
        <v>0</v>
      </c>
    </row>
    <row r="422" spans="1:7" x14ac:dyDescent="0.25">
      <c r="A422" s="106">
        <v>423</v>
      </c>
      <c r="B422" s="107"/>
      <c r="C422" s="108"/>
      <c r="D422" s="7" t="s">
        <v>115</v>
      </c>
      <c r="E422" s="109"/>
      <c r="F422">
        <f t="shared" si="12"/>
        <v>0</v>
      </c>
      <c r="G422" s="93">
        <f t="shared" si="13"/>
        <v>0</v>
      </c>
    </row>
    <row r="423" spans="1:7" x14ac:dyDescent="0.25">
      <c r="A423" s="106">
        <v>424</v>
      </c>
      <c r="B423" s="107"/>
      <c r="C423" s="108"/>
      <c r="D423" s="7" t="s">
        <v>115</v>
      </c>
      <c r="E423" s="109"/>
      <c r="F423">
        <f t="shared" si="12"/>
        <v>0</v>
      </c>
      <c r="G423" s="93">
        <f t="shared" si="13"/>
        <v>0</v>
      </c>
    </row>
    <row r="424" spans="1:7" x14ac:dyDescent="0.25">
      <c r="A424" s="106">
        <v>425</v>
      </c>
      <c r="B424" s="107"/>
      <c r="C424" s="108"/>
      <c r="D424" s="7" t="s">
        <v>115</v>
      </c>
      <c r="E424" s="109"/>
      <c r="F424">
        <f t="shared" si="12"/>
        <v>0</v>
      </c>
      <c r="G424" s="93">
        <f t="shared" si="13"/>
        <v>0</v>
      </c>
    </row>
    <row r="425" spans="1:7" x14ac:dyDescent="0.25">
      <c r="A425" s="106">
        <v>426</v>
      </c>
      <c r="B425" s="107"/>
      <c r="C425" s="108"/>
      <c r="D425" s="7" t="s">
        <v>115</v>
      </c>
      <c r="E425" s="109"/>
      <c r="F425">
        <f t="shared" si="12"/>
        <v>0</v>
      </c>
      <c r="G425" s="93">
        <f t="shared" si="13"/>
        <v>0</v>
      </c>
    </row>
    <row r="426" spans="1:7" x14ac:dyDescent="0.25">
      <c r="A426" s="106">
        <v>427</v>
      </c>
      <c r="B426" s="107"/>
      <c r="C426" s="108"/>
      <c r="D426" s="7" t="s">
        <v>115</v>
      </c>
      <c r="E426" s="109"/>
      <c r="F426">
        <f t="shared" si="12"/>
        <v>0</v>
      </c>
      <c r="G426" s="93">
        <f t="shared" si="13"/>
        <v>0</v>
      </c>
    </row>
    <row r="427" spans="1:7" x14ac:dyDescent="0.25">
      <c r="A427" s="106">
        <v>428</v>
      </c>
      <c r="B427" s="107"/>
      <c r="C427" s="108"/>
      <c r="D427" s="7" t="s">
        <v>115</v>
      </c>
      <c r="E427" s="109"/>
      <c r="F427">
        <f t="shared" si="12"/>
        <v>0</v>
      </c>
      <c r="G427" s="93">
        <f t="shared" si="13"/>
        <v>0</v>
      </c>
    </row>
    <row r="428" spans="1:7" x14ac:dyDescent="0.25">
      <c r="A428" s="106">
        <v>429</v>
      </c>
      <c r="B428" s="107"/>
      <c r="C428" s="108"/>
      <c r="D428" s="7" t="s">
        <v>115</v>
      </c>
      <c r="E428" s="109"/>
      <c r="F428">
        <f t="shared" si="12"/>
        <v>0</v>
      </c>
      <c r="G428" s="93">
        <f t="shared" si="13"/>
        <v>0</v>
      </c>
    </row>
    <row r="429" spans="1:7" x14ac:dyDescent="0.25">
      <c r="A429" s="106">
        <v>430</v>
      </c>
      <c r="B429" s="107"/>
      <c r="C429" s="108"/>
      <c r="D429" s="7" t="s">
        <v>115</v>
      </c>
      <c r="E429" s="109"/>
      <c r="F429">
        <f t="shared" si="12"/>
        <v>0</v>
      </c>
      <c r="G429" s="93">
        <f t="shared" si="13"/>
        <v>0</v>
      </c>
    </row>
    <row r="430" spans="1:7" x14ac:dyDescent="0.25">
      <c r="A430" s="106">
        <v>431</v>
      </c>
      <c r="B430" s="107"/>
      <c r="C430" s="108"/>
      <c r="D430" s="7" t="s">
        <v>115</v>
      </c>
      <c r="E430" s="109"/>
      <c r="F430">
        <f t="shared" si="12"/>
        <v>0</v>
      </c>
      <c r="G430" s="93">
        <f t="shared" si="13"/>
        <v>0</v>
      </c>
    </row>
    <row r="431" spans="1:7" x14ac:dyDescent="0.25">
      <c r="A431" s="106">
        <v>432</v>
      </c>
      <c r="B431" s="107"/>
      <c r="C431" s="108"/>
      <c r="D431" s="7" t="s">
        <v>115</v>
      </c>
      <c r="E431" s="109"/>
      <c r="F431">
        <f t="shared" si="12"/>
        <v>0</v>
      </c>
      <c r="G431" s="93">
        <f t="shared" si="13"/>
        <v>0</v>
      </c>
    </row>
    <row r="432" spans="1:7" x14ac:dyDescent="0.25">
      <c r="A432" s="106">
        <v>433</v>
      </c>
      <c r="B432" s="107"/>
      <c r="C432" s="108"/>
      <c r="D432" s="7" t="s">
        <v>115</v>
      </c>
      <c r="E432" s="109"/>
      <c r="F432">
        <f t="shared" si="12"/>
        <v>0</v>
      </c>
      <c r="G432" s="93">
        <f t="shared" si="13"/>
        <v>0</v>
      </c>
    </row>
    <row r="433" spans="1:7" x14ac:dyDescent="0.25">
      <c r="A433" s="106">
        <v>434</v>
      </c>
      <c r="B433" s="107"/>
      <c r="C433" s="108"/>
      <c r="D433" s="7" t="s">
        <v>115</v>
      </c>
      <c r="E433" s="109"/>
      <c r="F433">
        <f t="shared" si="12"/>
        <v>0</v>
      </c>
      <c r="G433" s="93">
        <f t="shared" si="13"/>
        <v>0</v>
      </c>
    </row>
    <row r="434" spans="1:7" x14ac:dyDescent="0.25">
      <c r="A434" s="106">
        <v>435</v>
      </c>
      <c r="B434" s="107"/>
      <c r="C434" s="108"/>
      <c r="D434" s="7" t="s">
        <v>115</v>
      </c>
      <c r="E434" s="109"/>
      <c r="F434">
        <f t="shared" si="12"/>
        <v>0</v>
      </c>
      <c r="G434" s="93">
        <f t="shared" si="13"/>
        <v>0</v>
      </c>
    </row>
    <row r="435" spans="1:7" x14ac:dyDescent="0.25">
      <c r="A435" s="106">
        <v>436</v>
      </c>
      <c r="B435" s="107"/>
      <c r="C435" s="108"/>
      <c r="D435" s="7" t="s">
        <v>115</v>
      </c>
      <c r="E435" s="109"/>
      <c r="F435">
        <f t="shared" si="12"/>
        <v>0</v>
      </c>
      <c r="G435" s="93">
        <f t="shared" si="13"/>
        <v>0</v>
      </c>
    </row>
    <row r="436" spans="1:7" x14ac:dyDescent="0.25">
      <c r="A436" s="106">
        <v>437</v>
      </c>
      <c r="B436" s="107"/>
      <c r="C436" s="108"/>
      <c r="D436" s="7" t="s">
        <v>115</v>
      </c>
      <c r="E436" s="109"/>
      <c r="F436">
        <f t="shared" si="12"/>
        <v>0</v>
      </c>
      <c r="G436" s="93">
        <f t="shared" si="13"/>
        <v>0</v>
      </c>
    </row>
    <row r="437" spans="1:7" x14ac:dyDescent="0.25">
      <c r="A437" s="106">
        <v>438</v>
      </c>
      <c r="B437" s="107"/>
      <c r="C437" s="108"/>
      <c r="D437" s="7" t="s">
        <v>115</v>
      </c>
      <c r="E437" s="109"/>
      <c r="F437">
        <f t="shared" si="12"/>
        <v>0</v>
      </c>
      <c r="G437" s="93">
        <f t="shared" si="13"/>
        <v>0</v>
      </c>
    </row>
    <row r="438" spans="1:7" x14ac:dyDescent="0.25">
      <c r="A438" s="106">
        <v>439</v>
      </c>
      <c r="B438" s="107"/>
      <c r="C438" s="108"/>
      <c r="D438" s="7" t="s">
        <v>115</v>
      </c>
      <c r="E438" s="109"/>
      <c r="F438">
        <f t="shared" si="12"/>
        <v>0</v>
      </c>
      <c r="G438" s="93">
        <f t="shared" si="13"/>
        <v>0</v>
      </c>
    </row>
    <row r="439" spans="1:7" x14ac:dyDescent="0.25">
      <c r="A439" s="106">
        <v>440</v>
      </c>
      <c r="B439" s="107"/>
      <c r="C439" s="108"/>
      <c r="D439" s="7" t="s">
        <v>115</v>
      </c>
      <c r="E439" s="109"/>
      <c r="F439">
        <f t="shared" si="12"/>
        <v>0</v>
      </c>
      <c r="G439" s="93">
        <f t="shared" si="13"/>
        <v>0</v>
      </c>
    </row>
    <row r="440" spans="1:7" x14ac:dyDescent="0.25">
      <c r="A440" s="106">
        <v>441</v>
      </c>
      <c r="B440" s="107"/>
      <c r="C440" s="108"/>
      <c r="D440" s="7" t="s">
        <v>115</v>
      </c>
      <c r="E440" s="109"/>
      <c r="F440">
        <f t="shared" si="12"/>
        <v>0</v>
      </c>
      <c r="G440" s="93">
        <f t="shared" si="13"/>
        <v>0</v>
      </c>
    </row>
    <row r="441" spans="1:7" x14ac:dyDescent="0.25">
      <c r="A441" s="106">
        <v>442</v>
      </c>
      <c r="B441" s="107"/>
      <c r="C441" s="108"/>
      <c r="D441" s="7" t="s">
        <v>115</v>
      </c>
      <c r="E441" s="109"/>
      <c r="F441">
        <f t="shared" si="12"/>
        <v>0</v>
      </c>
      <c r="G441" s="93">
        <f t="shared" si="13"/>
        <v>0</v>
      </c>
    </row>
    <row r="442" spans="1:7" x14ac:dyDescent="0.25">
      <c r="A442" s="106">
        <v>443</v>
      </c>
      <c r="B442" s="107"/>
      <c r="C442" s="108"/>
      <c r="D442" s="7" t="s">
        <v>115</v>
      </c>
      <c r="E442" s="109"/>
      <c r="F442">
        <f t="shared" si="12"/>
        <v>0</v>
      </c>
      <c r="G442" s="93">
        <f t="shared" si="13"/>
        <v>0</v>
      </c>
    </row>
    <row r="443" spans="1:7" x14ac:dyDescent="0.25">
      <c r="A443" s="106">
        <v>444</v>
      </c>
      <c r="B443" s="107"/>
      <c r="C443" s="108"/>
      <c r="D443" s="7" t="s">
        <v>115</v>
      </c>
      <c r="E443" s="109"/>
      <c r="F443">
        <f t="shared" si="12"/>
        <v>0</v>
      </c>
      <c r="G443" s="93">
        <f t="shared" si="13"/>
        <v>0</v>
      </c>
    </row>
    <row r="444" spans="1:7" x14ac:dyDescent="0.25">
      <c r="A444" s="106">
        <v>445</v>
      </c>
      <c r="B444" s="107"/>
      <c r="C444" s="108"/>
      <c r="D444" s="7" t="s">
        <v>115</v>
      </c>
      <c r="E444" s="109"/>
      <c r="F444">
        <f t="shared" si="12"/>
        <v>0</v>
      </c>
      <c r="G444" s="93">
        <f t="shared" si="13"/>
        <v>0</v>
      </c>
    </row>
    <row r="445" spans="1:7" x14ac:dyDescent="0.25">
      <c r="A445" s="106">
        <v>446</v>
      </c>
      <c r="B445" s="107"/>
      <c r="C445" s="108"/>
      <c r="D445" s="7" t="s">
        <v>115</v>
      </c>
      <c r="E445" s="109"/>
      <c r="F445">
        <f t="shared" si="12"/>
        <v>0</v>
      </c>
      <c r="G445" s="93">
        <f t="shared" si="13"/>
        <v>0</v>
      </c>
    </row>
    <row r="446" spans="1:7" x14ac:dyDescent="0.25">
      <c r="A446" s="106">
        <v>447</v>
      </c>
      <c r="B446" s="107"/>
      <c r="C446" s="108"/>
      <c r="D446" s="7" t="s">
        <v>115</v>
      </c>
      <c r="E446" s="109"/>
      <c r="F446">
        <f t="shared" si="12"/>
        <v>0</v>
      </c>
      <c r="G446" s="93">
        <f t="shared" si="13"/>
        <v>0</v>
      </c>
    </row>
    <row r="447" spans="1:7" x14ac:dyDescent="0.25">
      <c r="A447" s="106">
        <v>448</v>
      </c>
      <c r="B447" s="107"/>
      <c r="C447" s="108"/>
      <c r="D447" s="7" t="s">
        <v>115</v>
      </c>
      <c r="E447" s="109"/>
      <c r="F447">
        <f t="shared" si="12"/>
        <v>0</v>
      </c>
      <c r="G447" s="93">
        <f t="shared" si="13"/>
        <v>0</v>
      </c>
    </row>
    <row r="448" spans="1:7" x14ac:dyDescent="0.25">
      <c r="A448" s="106">
        <v>449</v>
      </c>
      <c r="B448" s="107"/>
      <c r="C448" s="108"/>
      <c r="D448" s="7" t="s">
        <v>115</v>
      </c>
      <c r="E448" s="109"/>
      <c r="F448">
        <f t="shared" si="12"/>
        <v>0</v>
      </c>
      <c r="G448" s="93">
        <f t="shared" si="13"/>
        <v>0</v>
      </c>
    </row>
    <row r="449" spans="1:7" x14ac:dyDescent="0.25">
      <c r="A449" s="106">
        <v>450</v>
      </c>
      <c r="B449" s="107"/>
      <c r="C449" s="108"/>
      <c r="D449" s="7" t="s">
        <v>115</v>
      </c>
      <c r="E449" s="109"/>
      <c r="F449">
        <f t="shared" ref="F449:F512" si="14">LEN(E449)</f>
        <v>0</v>
      </c>
      <c r="G449" s="93">
        <f t="shared" ref="G449:G512" si="15">IF(LEN(B449)&gt;28,MID(B449,1,28),B449)</f>
        <v>0</v>
      </c>
    </row>
    <row r="450" spans="1:7" x14ac:dyDescent="0.25">
      <c r="A450" s="106">
        <v>451</v>
      </c>
      <c r="B450" s="107"/>
      <c r="C450" s="108"/>
      <c r="D450" s="7" t="s">
        <v>115</v>
      </c>
      <c r="E450" s="109"/>
      <c r="F450">
        <f t="shared" si="14"/>
        <v>0</v>
      </c>
      <c r="G450" s="93">
        <f t="shared" si="15"/>
        <v>0</v>
      </c>
    </row>
    <row r="451" spans="1:7" x14ac:dyDescent="0.25">
      <c r="A451" s="106">
        <v>452</v>
      </c>
      <c r="B451" s="107"/>
      <c r="C451" s="108"/>
      <c r="D451" s="7" t="s">
        <v>115</v>
      </c>
      <c r="E451" s="109"/>
      <c r="F451">
        <f t="shared" si="14"/>
        <v>0</v>
      </c>
      <c r="G451" s="93">
        <f t="shared" si="15"/>
        <v>0</v>
      </c>
    </row>
    <row r="452" spans="1:7" x14ac:dyDescent="0.25">
      <c r="A452" s="106">
        <v>453</v>
      </c>
      <c r="B452" s="107"/>
      <c r="C452" s="108"/>
      <c r="D452" s="7" t="s">
        <v>115</v>
      </c>
      <c r="E452" s="109"/>
      <c r="F452">
        <f t="shared" si="14"/>
        <v>0</v>
      </c>
      <c r="G452" s="93">
        <f t="shared" si="15"/>
        <v>0</v>
      </c>
    </row>
    <row r="453" spans="1:7" x14ac:dyDescent="0.25">
      <c r="A453" s="106">
        <v>454</v>
      </c>
      <c r="B453" s="107"/>
      <c r="C453" s="108"/>
      <c r="D453" s="7" t="s">
        <v>115</v>
      </c>
      <c r="E453" s="109"/>
      <c r="F453">
        <f t="shared" si="14"/>
        <v>0</v>
      </c>
      <c r="G453" s="93">
        <f t="shared" si="15"/>
        <v>0</v>
      </c>
    </row>
    <row r="454" spans="1:7" x14ac:dyDescent="0.25">
      <c r="A454" s="106">
        <v>455</v>
      </c>
      <c r="B454" s="107"/>
      <c r="C454" s="108"/>
      <c r="D454" s="7" t="s">
        <v>115</v>
      </c>
      <c r="E454" s="109"/>
      <c r="F454">
        <f t="shared" si="14"/>
        <v>0</v>
      </c>
      <c r="G454" s="93">
        <f t="shared" si="15"/>
        <v>0</v>
      </c>
    </row>
    <row r="455" spans="1:7" x14ac:dyDescent="0.25">
      <c r="A455" s="106">
        <v>456</v>
      </c>
      <c r="B455" s="107"/>
      <c r="C455" s="108"/>
      <c r="D455" s="7" t="s">
        <v>115</v>
      </c>
      <c r="E455" s="109"/>
      <c r="F455">
        <f t="shared" si="14"/>
        <v>0</v>
      </c>
      <c r="G455" s="93">
        <f t="shared" si="15"/>
        <v>0</v>
      </c>
    </row>
    <row r="456" spans="1:7" x14ac:dyDescent="0.25">
      <c r="A456" s="106">
        <v>457</v>
      </c>
      <c r="B456" s="107"/>
      <c r="C456" s="108"/>
      <c r="D456" s="7" t="s">
        <v>115</v>
      </c>
      <c r="E456" s="109"/>
      <c r="F456">
        <f t="shared" si="14"/>
        <v>0</v>
      </c>
      <c r="G456" s="93">
        <f t="shared" si="15"/>
        <v>0</v>
      </c>
    </row>
    <row r="457" spans="1:7" x14ac:dyDescent="0.25">
      <c r="A457" s="106">
        <v>458</v>
      </c>
      <c r="B457" s="107"/>
      <c r="C457" s="108"/>
      <c r="D457" s="7" t="s">
        <v>115</v>
      </c>
      <c r="E457" s="109"/>
      <c r="F457">
        <f t="shared" si="14"/>
        <v>0</v>
      </c>
      <c r="G457" s="93">
        <f t="shared" si="15"/>
        <v>0</v>
      </c>
    </row>
    <row r="458" spans="1:7" x14ac:dyDescent="0.25">
      <c r="A458" s="106">
        <v>459</v>
      </c>
      <c r="B458" s="107"/>
      <c r="C458" s="108"/>
      <c r="D458" s="7" t="s">
        <v>115</v>
      </c>
      <c r="E458" s="109"/>
      <c r="F458">
        <f t="shared" si="14"/>
        <v>0</v>
      </c>
      <c r="G458" s="93">
        <f t="shared" si="15"/>
        <v>0</v>
      </c>
    </row>
    <row r="459" spans="1:7" x14ac:dyDescent="0.25">
      <c r="A459" s="106">
        <v>460</v>
      </c>
      <c r="B459" s="107"/>
      <c r="C459" s="108"/>
      <c r="D459" s="7" t="s">
        <v>115</v>
      </c>
      <c r="E459" s="109"/>
      <c r="F459">
        <f t="shared" si="14"/>
        <v>0</v>
      </c>
      <c r="G459" s="93">
        <f t="shared" si="15"/>
        <v>0</v>
      </c>
    </row>
    <row r="460" spans="1:7" x14ac:dyDescent="0.25">
      <c r="A460" s="106">
        <v>461</v>
      </c>
      <c r="B460" s="107"/>
      <c r="C460" s="108"/>
      <c r="D460" s="7" t="s">
        <v>115</v>
      </c>
      <c r="E460" s="109"/>
      <c r="F460">
        <f t="shared" si="14"/>
        <v>0</v>
      </c>
      <c r="G460" s="93">
        <f t="shared" si="15"/>
        <v>0</v>
      </c>
    </row>
    <row r="461" spans="1:7" x14ac:dyDescent="0.25">
      <c r="A461" s="106">
        <v>462</v>
      </c>
      <c r="B461" s="107"/>
      <c r="C461" s="108"/>
      <c r="D461" s="7" t="s">
        <v>115</v>
      </c>
      <c r="E461" s="109"/>
      <c r="F461">
        <f t="shared" si="14"/>
        <v>0</v>
      </c>
      <c r="G461" s="93">
        <f t="shared" si="15"/>
        <v>0</v>
      </c>
    </row>
    <row r="462" spans="1:7" x14ac:dyDescent="0.25">
      <c r="A462" s="106">
        <v>463</v>
      </c>
      <c r="B462" s="107"/>
      <c r="C462" s="108"/>
      <c r="D462" s="7" t="s">
        <v>115</v>
      </c>
      <c r="E462" s="109"/>
      <c r="F462">
        <f t="shared" si="14"/>
        <v>0</v>
      </c>
      <c r="G462" s="93">
        <f t="shared" si="15"/>
        <v>0</v>
      </c>
    </row>
    <row r="463" spans="1:7" x14ac:dyDescent="0.25">
      <c r="A463" s="106">
        <v>464</v>
      </c>
      <c r="B463" s="107"/>
      <c r="C463" s="108"/>
      <c r="D463" s="7" t="s">
        <v>115</v>
      </c>
      <c r="E463" s="109"/>
      <c r="F463">
        <f t="shared" si="14"/>
        <v>0</v>
      </c>
      <c r="G463" s="93">
        <f t="shared" si="15"/>
        <v>0</v>
      </c>
    </row>
    <row r="464" spans="1:7" x14ac:dyDescent="0.25">
      <c r="A464" s="106">
        <v>465</v>
      </c>
      <c r="B464" s="107"/>
      <c r="C464" s="108"/>
      <c r="D464" s="7" t="s">
        <v>115</v>
      </c>
      <c r="E464" s="109"/>
      <c r="F464">
        <f t="shared" si="14"/>
        <v>0</v>
      </c>
      <c r="G464" s="93">
        <f t="shared" si="15"/>
        <v>0</v>
      </c>
    </row>
    <row r="465" spans="1:7" x14ac:dyDescent="0.25">
      <c r="A465" s="106">
        <v>466</v>
      </c>
      <c r="B465" s="107"/>
      <c r="C465" s="108"/>
      <c r="D465" s="7" t="s">
        <v>115</v>
      </c>
      <c r="E465" s="109"/>
      <c r="F465">
        <f t="shared" si="14"/>
        <v>0</v>
      </c>
      <c r="G465" s="93">
        <f t="shared" si="15"/>
        <v>0</v>
      </c>
    </row>
    <row r="466" spans="1:7" x14ac:dyDescent="0.25">
      <c r="A466" s="106">
        <v>467</v>
      </c>
      <c r="B466" s="107"/>
      <c r="C466" s="108"/>
      <c r="D466" s="7" t="s">
        <v>115</v>
      </c>
      <c r="E466" s="109"/>
      <c r="F466">
        <f t="shared" si="14"/>
        <v>0</v>
      </c>
      <c r="G466" s="93">
        <f t="shared" si="15"/>
        <v>0</v>
      </c>
    </row>
    <row r="467" spans="1:7" x14ac:dyDescent="0.25">
      <c r="A467" s="106">
        <v>468</v>
      </c>
      <c r="B467" s="107"/>
      <c r="C467" s="108"/>
      <c r="D467" s="7" t="s">
        <v>115</v>
      </c>
      <c r="E467" s="109"/>
      <c r="F467">
        <f t="shared" si="14"/>
        <v>0</v>
      </c>
      <c r="G467" s="93">
        <f t="shared" si="15"/>
        <v>0</v>
      </c>
    </row>
    <row r="468" spans="1:7" x14ac:dyDescent="0.25">
      <c r="A468" s="106">
        <v>469</v>
      </c>
      <c r="B468" s="107"/>
      <c r="C468" s="108"/>
      <c r="D468" s="7" t="s">
        <v>115</v>
      </c>
      <c r="E468" s="109"/>
      <c r="F468">
        <f t="shared" si="14"/>
        <v>0</v>
      </c>
      <c r="G468" s="93">
        <f t="shared" si="15"/>
        <v>0</v>
      </c>
    </row>
    <row r="469" spans="1:7" x14ac:dyDescent="0.25">
      <c r="A469" s="106">
        <v>470</v>
      </c>
      <c r="B469" s="107"/>
      <c r="C469" s="108"/>
      <c r="D469" s="7" t="s">
        <v>115</v>
      </c>
      <c r="E469" s="109"/>
      <c r="F469">
        <f t="shared" si="14"/>
        <v>0</v>
      </c>
      <c r="G469" s="93">
        <f t="shared" si="15"/>
        <v>0</v>
      </c>
    </row>
    <row r="470" spans="1:7" x14ac:dyDescent="0.25">
      <c r="A470" s="106">
        <v>471</v>
      </c>
      <c r="B470" s="107"/>
      <c r="C470" s="108"/>
      <c r="D470" s="7" t="s">
        <v>115</v>
      </c>
      <c r="E470" s="109"/>
      <c r="F470">
        <f t="shared" si="14"/>
        <v>0</v>
      </c>
      <c r="G470" s="93">
        <f t="shared" si="15"/>
        <v>0</v>
      </c>
    </row>
    <row r="471" spans="1:7" x14ac:dyDescent="0.25">
      <c r="A471" s="106">
        <v>472</v>
      </c>
      <c r="B471" s="107"/>
      <c r="C471" s="108"/>
      <c r="D471" s="7" t="s">
        <v>115</v>
      </c>
      <c r="E471" s="109"/>
      <c r="F471">
        <f t="shared" si="14"/>
        <v>0</v>
      </c>
      <c r="G471" s="93">
        <f t="shared" si="15"/>
        <v>0</v>
      </c>
    </row>
    <row r="472" spans="1:7" x14ac:dyDescent="0.25">
      <c r="A472" s="106">
        <v>473</v>
      </c>
      <c r="B472" s="107"/>
      <c r="C472" s="108"/>
      <c r="D472" s="7" t="s">
        <v>115</v>
      </c>
      <c r="E472" s="109"/>
      <c r="F472">
        <f t="shared" si="14"/>
        <v>0</v>
      </c>
      <c r="G472" s="93">
        <f t="shared" si="15"/>
        <v>0</v>
      </c>
    </row>
    <row r="473" spans="1:7" x14ac:dyDescent="0.25">
      <c r="A473" s="106">
        <v>474</v>
      </c>
      <c r="B473" s="107"/>
      <c r="C473" s="108"/>
      <c r="D473" s="7" t="s">
        <v>115</v>
      </c>
      <c r="E473" s="109"/>
      <c r="F473">
        <f t="shared" si="14"/>
        <v>0</v>
      </c>
      <c r="G473" s="93">
        <f t="shared" si="15"/>
        <v>0</v>
      </c>
    </row>
    <row r="474" spans="1:7" x14ac:dyDescent="0.25">
      <c r="A474" s="106">
        <v>475</v>
      </c>
      <c r="B474" s="107"/>
      <c r="C474" s="108"/>
      <c r="D474" s="7" t="s">
        <v>115</v>
      </c>
      <c r="E474" s="109"/>
      <c r="F474">
        <f t="shared" si="14"/>
        <v>0</v>
      </c>
      <c r="G474" s="93">
        <f t="shared" si="15"/>
        <v>0</v>
      </c>
    </row>
    <row r="475" spans="1:7" x14ac:dyDescent="0.25">
      <c r="A475" s="106">
        <v>476</v>
      </c>
      <c r="B475" s="107"/>
      <c r="C475" s="108"/>
      <c r="D475" s="7" t="s">
        <v>115</v>
      </c>
      <c r="E475" s="109"/>
      <c r="F475">
        <f t="shared" si="14"/>
        <v>0</v>
      </c>
      <c r="G475" s="93">
        <f t="shared" si="15"/>
        <v>0</v>
      </c>
    </row>
    <row r="476" spans="1:7" x14ac:dyDescent="0.25">
      <c r="A476" s="106">
        <v>477</v>
      </c>
      <c r="B476" s="107"/>
      <c r="C476" s="108"/>
      <c r="D476" s="7" t="s">
        <v>115</v>
      </c>
      <c r="E476" s="109"/>
      <c r="F476">
        <f t="shared" si="14"/>
        <v>0</v>
      </c>
      <c r="G476" s="93">
        <f t="shared" si="15"/>
        <v>0</v>
      </c>
    </row>
    <row r="477" spans="1:7" x14ac:dyDescent="0.25">
      <c r="A477" s="106">
        <v>478</v>
      </c>
      <c r="B477" s="107"/>
      <c r="C477" s="108"/>
      <c r="D477" s="7" t="s">
        <v>115</v>
      </c>
      <c r="E477" s="109"/>
      <c r="F477">
        <f t="shared" si="14"/>
        <v>0</v>
      </c>
      <c r="G477" s="93">
        <f t="shared" si="15"/>
        <v>0</v>
      </c>
    </row>
    <row r="478" spans="1:7" x14ac:dyDescent="0.25">
      <c r="A478" s="106">
        <v>479</v>
      </c>
      <c r="B478" s="107"/>
      <c r="C478" s="108"/>
      <c r="D478" s="7" t="s">
        <v>115</v>
      </c>
      <c r="E478" s="109"/>
      <c r="F478">
        <f t="shared" si="14"/>
        <v>0</v>
      </c>
      <c r="G478" s="93">
        <f t="shared" si="15"/>
        <v>0</v>
      </c>
    </row>
    <row r="479" spans="1:7" x14ac:dyDescent="0.25">
      <c r="A479" s="106">
        <v>480</v>
      </c>
      <c r="B479" s="107"/>
      <c r="C479" s="108"/>
      <c r="D479" s="7" t="s">
        <v>115</v>
      </c>
      <c r="E479" s="109"/>
      <c r="F479">
        <f t="shared" si="14"/>
        <v>0</v>
      </c>
      <c r="G479" s="93">
        <f t="shared" si="15"/>
        <v>0</v>
      </c>
    </row>
    <row r="480" spans="1:7" x14ac:dyDescent="0.25">
      <c r="A480" s="106">
        <v>481</v>
      </c>
      <c r="B480" s="107"/>
      <c r="C480" s="108"/>
      <c r="D480" s="7" t="s">
        <v>115</v>
      </c>
      <c r="E480" s="109"/>
      <c r="F480">
        <f t="shared" si="14"/>
        <v>0</v>
      </c>
      <c r="G480" s="93">
        <f t="shared" si="15"/>
        <v>0</v>
      </c>
    </row>
    <row r="481" spans="1:7" x14ac:dyDescent="0.25">
      <c r="A481" s="106">
        <v>482</v>
      </c>
      <c r="B481" s="107"/>
      <c r="C481" s="108"/>
      <c r="D481" s="7" t="s">
        <v>115</v>
      </c>
      <c r="E481" s="109"/>
      <c r="F481">
        <f t="shared" si="14"/>
        <v>0</v>
      </c>
      <c r="G481" s="93">
        <f t="shared" si="15"/>
        <v>0</v>
      </c>
    </row>
    <row r="482" spans="1:7" x14ac:dyDescent="0.25">
      <c r="A482" s="106">
        <v>483</v>
      </c>
      <c r="B482" s="107"/>
      <c r="C482" s="108"/>
      <c r="D482" s="7" t="s">
        <v>115</v>
      </c>
      <c r="E482" s="109"/>
      <c r="F482">
        <f t="shared" si="14"/>
        <v>0</v>
      </c>
      <c r="G482" s="93">
        <f t="shared" si="15"/>
        <v>0</v>
      </c>
    </row>
    <row r="483" spans="1:7" x14ac:dyDescent="0.25">
      <c r="A483" s="106">
        <v>484</v>
      </c>
      <c r="B483" s="107"/>
      <c r="C483" s="108"/>
      <c r="D483" s="7" t="s">
        <v>115</v>
      </c>
      <c r="E483" s="109"/>
      <c r="F483">
        <f t="shared" si="14"/>
        <v>0</v>
      </c>
      <c r="G483" s="93">
        <f t="shared" si="15"/>
        <v>0</v>
      </c>
    </row>
    <row r="484" spans="1:7" x14ac:dyDescent="0.25">
      <c r="A484" s="106">
        <v>485</v>
      </c>
      <c r="B484" s="107"/>
      <c r="C484" s="108"/>
      <c r="D484" s="7" t="s">
        <v>115</v>
      </c>
      <c r="E484" s="109"/>
      <c r="F484">
        <f t="shared" si="14"/>
        <v>0</v>
      </c>
      <c r="G484" s="93">
        <f t="shared" si="15"/>
        <v>0</v>
      </c>
    </row>
    <row r="485" spans="1:7" x14ac:dyDescent="0.25">
      <c r="A485" s="106">
        <v>486</v>
      </c>
      <c r="B485" s="107"/>
      <c r="C485" s="108"/>
      <c r="D485" s="7" t="s">
        <v>115</v>
      </c>
      <c r="E485" s="109"/>
      <c r="F485">
        <f t="shared" si="14"/>
        <v>0</v>
      </c>
      <c r="G485" s="93">
        <f t="shared" si="15"/>
        <v>0</v>
      </c>
    </row>
    <row r="486" spans="1:7" x14ac:dyDescent="0.25">
      <c r="A486" s="106">
        <v>487</v>
      </c>
      <c r="B486" s="107"/>
      <c r="C486" s="108"/>
      <c r="D486" s="7" t="s">
        <v>115</v>
      </c>
      <c r="E486" s="109"/>
      <c r="F486">
        <f t="shared" si="14"/>
        <v>0</v>
      </c>
      <c r="G486" s="93">
        <f t="shared" si="15"/>
        <v>0</v>
      </c>
    </row>
    <row r="487" spans="1:7" x14ac:dyDescent="0.25">
      <c r="A487" s="106">
        <v>488</v>
      </c>
      <c r="B487" s="107"/>
      <c r="C487" s="108"/>
      <c r="D487" s="7" t="s">
        <v>115</v>
      </c>
      <c r="E487" s="109"/>
      <c r="F487">
        <f t="shared" si="14"/>
        <v>0</v>
      </c>
      <c r="G487" s="93">
        <f t="shared" si="15"/>
        <v>0</v>
      </c>
    </row>
    <row r="488" spans="1:7" x14ac:dyDescent="0.25">
      <c r="A488" s="106">
        <v>489</v>
      </c>
      <c r="B488" s="107"/>
      <c r="C488" s="108"/>
      <c r="D488" s="7" t="s">
        <v>115</v>
      </c>
      <c r="E488" s="109"/>
      <c r="F488">
        <f t="shared" si="14"/>
        <v>0</v>
      </c>
      <c r="G488" s="93">
        <f t="shared" si="15"/>
        <v>0</v>
      </c>
    </row>
    <row r="489" spans="1:7" x14ac:dyDescent="0.25">
      <c r="A489" s="106">
        <v>490</v>
      </c>
      <c r="B489" s="107"/>
      <c r="C489" s="108"/>
      <c r="D489" s="7" t="s">
        <v>115</v>
      </c>
      <c r="E489" s="109"/>
      <c r="F489">
        <f t="shared" si="14"/>
        <v>0</v>
      </c>
      <c r="G489" s="93">
        <f t="shared" si="15"/>
        <v>0</v>
      </c>
    </row>
    <row r="490" spans="1:7" x14ac:dyDescent="0.25">
      <c r="A490" s="106">
        <v>491</v>
      </c>
      <c r="B490" s="107"/>
      <c r="C490" s="108"/>
      <c r="D490" s="7" t="s">
        <v>115</v>
      </c>
      <c r="E490" s="109"/>
      <c r="F490">
        <f t="shared" si="14"/>
        <v>0</v>
      </c>
      <c r="G490" s="93">
        <f t="shared" si="15"/>
        <v>0</v>
      </c>
    </row>
    <row r="491" spans="1:7" x14ac:dyDescent="0.25">
      <c r="A491" s="106">
        <v>492</v>
      </c>
      <c r="B491" s="107"/>
      <c r="C491" s="108"/>
      <c r="D491" s="7" t="s">
        <v>115</v>
      </c>
      <c r="E491" s="109"/>
      <c r="F491">
        <f t="shared" si="14"/>
        <v>0</v>
      </c>
      <c r="G491" s="93">
        <f t="shared" si="15"/>
        <v>0</v>
      </c>
    </row>
    <row r="492" spans="1:7" x14ac:dyDescent="0.25">
      <c r="A492" s="106">
        <v>493</v>
      </c>
      <c r="B492" s="107"/>
      <c r="C492" s="108"/>
      <c r="D492" s="7" t="s">
        <v>115</v>
      </c>
      <c r="E492" s="109"/>
      <c r="F492">
        <f t="shared" si="14"/>
        <v>0</v>
      </c>
      <c r="G492" s="93">
        <f t="shared" si="15"/>
        <v>0</v>
      </c>
    </row>
    <row r="493" spans="1:7" x14ac:dyDescent="0.25">
      <c r="A493" s="106">
        <v>494</v>
      </c>
      <c r="B493" s="107"/>
      <c r="C493" s="108"/>
      <c r="D493" s="7" t="s">
        <v>115</v>
      </c>
      <c r="E493" s="109"/>
      <c r="F493">
        <f t="shared" si="14"/>
        <v>0</v>
      </c>
      <c r="G493" s="93">
        <f t="shared" si="15"/>
        <v>0</v>
      </c>
    </row>
    <row r="494" spans="1:7" x14ac:dyDescent="0.25">
      <c r="A494" s="106">
        <v>495</v>
      </c>
      <c r="B494" s="107"/>
      <c r="C494" s="108"/>
      <c r="D494" s="7" t="s">
        <v>115</v>
      </c>
      <c r="E494" s="109"/>
      <c r="F494">
        <f t="shared" si="14"/>
        <v>0</v>
      </c>
      <c r="G494" s="93">
        <f t="shared" si="15"/>
        <v>0</v>
      </c>
    </row>
    <row r="495" spans="1:7" x14ac:dyDescent="0.25">
      <c r="A495" s="106">
        <v>496</v>
      </c>
      <c r="B495" s="107"/>
      <c r="C495" s="108"/>
      <c r="D495" s="7" t="s">
        <v>115</v>
      </c>
      <c r="E495" s="109"/>
      <c r="F495">
        <f t="shared" si="14"/>
        <v>0</v>
      </c>
      <c r="G495" s="93">
        <f t="shared" si="15"/>
        <v>0</v>
      </c>
    </row>
    <row r="496" spans="1:7" x14ac:dyDescent="0.25">
      <c r="A496" s="106">
        <v>497</v>
      </c>
      <c r="B496" s="107"/>
      <c r="C496" s="108"/>
      <c r="D496" s="7" t="s">
        <v>115</v>
      </c>
      <c r="E496" s="109"/>
      <c r="F496">
        <f t="shared" si="14"/>
        <v>0</v>
      </c>
      <c r="G496" s="93">
        <f t="shared" si="15"/>
        <v>0</v>
      </c>
    </row>
    <row r="497" spans="1:7" x14ac:dyDescent="0.25">
      <c r="A497" s="106">
        <v>498</v>
      </c>
      <c r="B497" s="107"/>
      <c r="C497" s="108"/>
      <c r="D497" s="7" t="s">
        <v>115</v>
      </c>
      <c r="E497" s="109"/>
      <c r="F497">
        <f t="shared" si="14"/>
        <v>0</v>
      </c>
      <c r="G497" s="93">
        <f t="shared" si="15"/>
        <v>0</v>
      </c>
    </row>
    <row r="498" spans="1:7" x14ac:dyDescent="0.25">
      <c r="A498" s="106">
        <v>499</v>
      </c>
      <c r="B498" s="107"/>
      <c r="C498" s="108"/>
      <c r="D498" s="7" t="s">
        <v>115</v>
      </c>
      <c r="E498" s="109"/>
      <c r="F498">
        <f t="shared" si="14"/>
        <v>0</v>
      </c>
      <c r="G498" s="93">
        <f t="shared" si="15"/>
        <v>0</v>
      </c>
    </row>
    <row r="499" spans="1:7" x14ac:dyDescent="0.25">
      <c r="A499" s="106">
        <v>500</v>
      </c>
      <c r="B499" s="107"/>
      <c r="C499" s="108"/>
      <c r="D499" s="7" t="s">
        <v>115</v>
      </c>
      <c r="E499" s="109"/>
      <c r="F499">
        <f t="shared" si="14"/>
        <v>0</v>
      </c>
      <c r="G499" s="93">
        <f t="shared" si="15"/>
        <v>0</v>
      </c>
    </row>
    <row r="500" spans="1:7" x14ac:dyDescent="0.25">
      <c r="A500" s="106">
        <v>501</v>
      </c>
      <c r="B500" s="107"/>
      <c r="C500" s="108"/>
      <c r="D500" s="7" t="s">
        <v>115</v>
      </c>
      <c r="E500" s="109"/>
      <c r="F500">
        <f t="shared" si="14"/>
        <v>0</v>
      </c>
      <c r="G500" s="93">
        <f t="shared" si="15"/>
        <v>0</v>
      </c>
    </row>
    <row r="501" spans="1:7" x14ac:dyDescent="0.25">
      <c r="A501" s="106">
        <v>502</v>
      </c>
      <c r="B501" s="107"/>
      <c r="C501" s="108"/>
      <c r="D501" s="7" t="s">
        <v>115</v>
      </c>
      <c r="E501" s="109"/>
      <c r="F501">
        <f t="shared" si="14"/>
        <v>0</v>
      </c>
      <c r="G501" s="93">
        <f t="shared" si="15"/>
        <v>0</v>
      </c>
    </row>
    <row r="502" spans="1:7" x14ac:dyDescent="0.25">
      <c r="A502" s="106">
        <v>503</v>
      </c>
      <c r="B502" s="107"/>
      <c r="C502" s="108"/>
      <c r="D502" s="7" t="s">
        <v>115</v>
      </c>
      <c r="E502" s="109"/>
      <c r="F502">
        <f t="shared" si="14"/>
        <v>0</v>
      </c>
      <c r="G502" s="93">
        <f t="shared" si="15"/>
        <v>0</v>
      </c>
    </row>
    <row r="503" spans="1:7" x14ac:dyDescent="0.25">
      <c r="A503" s="106">
        <v>504</v>
      </c>
      <c r="B503" s="107"/>
      <c r="C503" s="108"/>
      <c r="D503" s="7" t="s">
        <v>115</v>
      </c>
      <c r="E503" s="109"/>
      <c r="F503">
        <f t="shared" si="14"/>
        <v>0</v>
      </c>
      <c r="G503" s="93">
        <f t="shared" si="15"/>
        <v>0</v>
      </c>
    </row>
    <row r="504" spans="1:7" x14ac:dyDescent="0.25">
      <c r="A504" s="106">
        <v>505</v>
      </c>
      <c r="B504" s="107"/>
      <c r="C504" s="108"/>
      <c r="D504" s="7" t="s">
        <v>115</v>
      </c>
      <c r="E504" s="109"/>
      <c r="F504">
        <f t="shared" si="14"/>
        <v>0</v>
      </c>
      <c r="G504" s="93">
        <f t="shared" si="15"/>
        <v>0</v>
      </c>
    </row>
    <row r="505" spans="1:7" x14ac:dyDescent="0.25">
      <c r="A505" s="106">
        <v>506</v>
      </c>
      <c r="B505" s="107"/>
      <c r="C505" s="108"/>
      <c r="D505" s="7" t="s">
        <v>115</v>
      </c>
      <c r="E505" s="109"/>
      <c r="F505">
        <f t="shared" si="14"/>
        <v>0</v>
      </c>
      <c r="G505" s="93">
        <f t="shared" si="15"/>
        <v>0</v>
      </c>
    </row>
    <row r="506" spans="1:7" x14ac:dyDescent="0.25">
      <c r="A506" s="106">
        <v>507</v>
      </c>
      <c r="B506" s="107"/>
      <c r="C506" s="108"/>
      <c r="D506" s="7" t="s">
        <v>115</v>
      </c>
      <c r="E506" s="109"/>
      <c r="F506">
        <f t="shared" si="14"/>
        <v>0</v>
      </c>
      <c r="G506" s="93">
        <f t="shared" si="15"/>
        <v>0</v>
      </c>
    </row>
    <row r="507" spans="1:7" x14ac:dyDescent="0.25">
      <c r="A507" s="106">
        <v>508</v>
      </c>
      <c r="B507" s="107"/>
      <c r="C507" s="108"/>
      <c r="D507" s="7" t="s">
        <v>115</v>
      </c>
      <c r="E507" s="109"/>
      <c r="F507">
        <f t="shared" si="14"/>
        <v>0</v>
      </c>
      <c r="G507" s="93">
        <f t="shared" si="15"/>
        <v>0</v>
      </c>
    </row>
    <row r="508" spans="1:7" x14ac:dyDescent="0.25">
      <c r="A508" s="106">
        <v>509</v>
      </c>
      <c r="B508" s="107"/>
      <c r="C508" s="108"/>
      <c r="D508" s="7" t="s">
        <v>115</v>
      </c>
      <c r="E508" s="109"/>
      <c r="F508">
        <f t="shared" si="14"/>
        <v>0</v>
      </c>
      <c r="G508" s="93">
        <f t="shared" si="15"/>
        <v>0</v>
      </c>
    </row>
    <row r="509" spans="1:7" x14ac:dyDescent="0.25">
      <c r="A509" s="106">
        <v>510</v>
      </c>
      <c r="B509" s="107"/>
      <c r="C509" s="108"/>
      <c r="D509" s="7" t="s">
        <v>115</v>
      </c>
      <c r="E509" s="109"/>
      <c r="F509">
        <f t="shared" si="14"/>
        <v>0</v>
      </c>
      <c r="G509" s="93">
        <f t="shared" si="15"/>
        <v>0</v>
      </c>
    </row>
    <row r="510" spans="1:7" x14ac:dyDescent="0.25">
      <c r="A510" s="106">
        <v>511</v>
      </c>
      <c r="B510" s="107"/>
      <c r="C510" s="108"/>
      <c r="D510" s="7" t="s">
        <v>115</v>
      </c>
      <c r="E510" s="109"/>
      <c r="F510">
        <f t="shared" si="14"/>
        <v>0</v>
      </c>
      <c r="G510" s="93">
        <f t="shared" si="15"/>
        <v>0</v>
      </c>
    </row>
    <row r="511" spans="1:7" x14ac:dyDescent="0.25">
      <c r="A511" s="106">
        <v>512</v>
      </c>
      <c r="B511" s="107"/>
      <c r="C511" s="108"/>
      <c r="D511" s="7" t="s">
        <v>115</v>
      </c>
      <c r="E511" s="109"/>
      <c r="F511">
        <f t="shared" si="14"/>
        <v>0</v>
      </c>
      <c r="G511" s="93">
        <f t="shared" si="15"/>
        <v>0</v>
      </c>
    </row>
    <row r="512" spans="1:7" x14ac:dyDescent="0.25">
      <c r="A512" s="106">
        <v>513</v>
      </c>
      <c r="B512" s="107"/>
      <c r="C512" s="108"/>
      <c r="D512" s="7" t="s">
        <v>115</v>
      </c>
      <c r="E512" s="109"/>
      <c r="F512">
        <f t="shared" si="14"/>
        <v>0</v>
      </c>
      <c r="G512" s="93">
        <f t="shared" si="15"/>
        <v>0</v>
      </c>
    </row>
    <row r="513" spans="1:7" x14ac:dyDescent="0.25">
      <c r="A513" s="106">
        <v>514</v>
      </c>
      <c r="B513" s="107"/>
      <c r="C513" s="108"/>
      <c r="D513" s="7" t="s">
        <v>115</v>
      </c>
      <c r="E513" s="109"/>
      <c r="F513">
        <f t="shared" ref="F513:F576" si="16">LEN(E513)</f>
        <v>0</v>
      </c>
      <c r="G513" s="93">
        <f t="shared" ref="G513:G576" si="17">IF(LEN(B513)&gt;28,MID(B513,1,28),B513)</f>
        <v>0</v>
      </c>
    </row>
    <row r="514" spans="1:7" x14ac:dyDescent="0.25">
      <c r="A514" s="106">
        <v>515</v>
      </c>
      <c r="B514" s="107"/>
      <c r="C514" s="108"/>
      <c r="D514" s="7" t="s">
        <v>115</v>
      </c>
      <c r="E514" s="109"/>
      <c r="F514">
        <f t="shared" si="16"/>
        <v>0</v>
      </c>
      <c r="G514" s="93">
        <f t="shared" si="17"/>
        <v>0</v>
      </c>
    </row>
    <row r="515" spans="1:7" x14ac:dyDescent="0.25">
      <c r="A515" s="106">
        <v>516</v>
      </c>
      <c r="B515" s="107"/>
      <c r="C515" s="108"/>
      <c r="D515" s="7" t="s">
        <v>115</v>
      </c>
      <c r="E515" s="109"/>
      <c r="F515">
        <f t="shared" si="16"/>
        <v>0</v>
      </c>
      <c r="G515" s="93">
        <f t="shared" si="17"/>
        <v>0</v>
      </c>
    </row>
    <row r="516" spans="1:7" x14ac:dyDescent="0.25">
      <c r="A516" s="106">
        <v>517</v>
      </c>
      <c r="B516" s="107"/>
      <c r="C516" s="108"/>
      <c r="D516" s="7" t="s">
        <v>115</v>
      </c>
      <c r="E516" s="109"/>
      <c r="F516">
        <f t="shared" si="16"/>
        <v>0</v>
      </c>
      <c r="G516" s="93">
        <f t="shared" si="17"/>
        <v>0</v>
      </c>
    </row>
    <row r="517" spans="1:7" x14ac:dyDescent="0.25">
      <c r="A517" s="106">
        <v>518</v>
      </c>
      <c r="B517" s="107"/>
      <c r="C517" s="108"/>
      <c r="D517" s="7" t="s">
        <v>115</v>
      </c>
      <c r="E517" s="109"/>
      <c r="F517">
        <f t="shared" si="16"/>
        <v>0</v>
      </c>
      <c r="G517" s="93">
        <f t="shared" si="17"/>
        <v>0</v>
      </c>
    </row>
    <row r="518" spans="1:7" x14ac:dyDescent="0.25">
      <c r="A518" s="106">
        <v>519</v>
      </c>
      <c r="B518" s="107"/>
      <c r="C518" s="108"/>
      <c r="D518" s="7" t="s">
        <v>115</v>
      </c>
      <c r="E518" s="109"/>
      <c r="F518">
        <f t="shared" si="16"/>
        <v>0</v>
      </c>
      <c r="G518" s="93">
        <f t="shared" si="17"/>
        <v>0</v>
      </c>
    </row>
    <row r="519" spans="1:7" x14ac:dyDescent="0.25">
      <c r="A519" s="106">
        <v>520</v>
      </c>
      <c r="B519" s="107"/>
      <c r="C519" s="108"/>
      <c r="D519" s="7" t="s">
        <v>115</v>
      </c>
      <c r="E519" s="109"/>
      <c r="F519">
        <f t="shared" si="16"/>
        <v>0</v>
      </c>
      <c r="G519" s="93">
        <f t="shared" si="17"/>
        <v>0</v>
      </c>
    </row>
    <row r="520" spans="1:7" x14ac:dyDescent="0.25">
      <c r="A520" s="106">
        <v>521</v>
      </c>
      <c r="B520" s="107"/>
      <c r="C520" s="108"/>
      <c r="D520" s="7" t="s">
        <v>115</v>
      </c>
      <c r="E520" s="109"/>
      <c r="F520">
        <f t="shared" si="16"/>
        <v>0</v>
      </c>
      <c r="G520" s="93">
        <f t="shared" si="17"/>
        <v>0</v>
      </c>
    </row>
    <row r="521" spans="1:7" x14ac:dyDescent="0.25">
      <c r="A521" s="106">
        <v>522</v>
      </c>
      <c r="B521" s="107"/>
      <c r="C521" s="108"/>
      <c r="D521" s="7" t="s">
        <v>115</v>
      </c>
      <c r="E521" s="109"/>
      <c r="F521">
        <f t="shared" si="16"/>
        <v>0</v>
      </c>
      <c r="G521" s="93">
        <f t="shared" si="17"/>
        <v>0</v>
      </c>
    </row>
    <row r="522" spans="1:7" x14ac:dyDescent="0.25">
      <c r="A522" s="106">
        <v>523</v>
      </c>
      <c r="B522" s="107"/>
      <c r="C522" s="108"/>
      <c r="D522" s="7" t="s">
        <v>115</v>
      </c>
      <c r="E522" s="109"/>
      <c r="F522">
        <f t="shared" si="16"/>
        <v>0</v>
      </c>
      <c r="G522" s="93">
        <f t="shared" si="17"/>
        <v>0</v>
      </c>
    </row>
    <row r="523" spans="1:7" x14ac:dyDescent="0.25">
      <c r="A523" s="106">
        <v>524</v>
      </c>
      <c r="B523" s="107"/>
      <c r="C523" s="108"/>
      <c r="D523" s="7" t="s">
        <v>115</v>
      </c>
      <c r="E523" s="109"/>
      <c r="F523">
        <f t="shared" si="16"/>
        <v>0</v>
      </c>
      <c r="G523" s="93">
        <f t="shared" si="17"/>
        <v>0</v>
      </c>
    </row>
    <row r="524" spans="1:7" x14ac:dyDescent="0.25">
      <c r="A524" s="106">
        <v>525</v>
      </c>
      <c r="B524" s="107"/>
      <c r="C524" s="108"/>
      <c r="D524" s="7" t="s">
        <v>115</v>
      </c>
      <c r="E524" s="109"/>
      <c r="F524">
        <f t="shared" si="16"/>
        <v>0</v>
      </c>
      <c r="G524" s="93">
        <f t="shared" si="17"/>
        <v>0</v>
      </c>
    </row>
    <row r="525" spans="1:7" x14ac:dyDescent="0.25">
      <c r="A525" s="106">
        <v>526</v>
      </c>
      <c r="B525" s="107"/>
      <c r="C525" s="108"/>
      <c r="D525" s="7" t="s">
        <v>115</v>
      </c>
      <c r="E525" s="109"/>
      <c r="F525">
        <f t="shared" si="16"/>
        <v>0</v>
      </c>
      <c r="G525" s="93">
        <f t="shared" si="17"/>
        <v>0</v>
      </c>
    </row>
    <row r="526" spans="1:7" x14ac:dyDescent="0.25">
      <c r="A526" s="106">
        <v>527</v>
      </c>
      <c r="B526" s="107"/>
      <c r="C526" s="108"/>
      <c r="D526" s="7" t="s">
        <v>115</v>
      </c>
      <c r="E526" s="109"/>
      <c r="F526">
        <f t="shared" si="16"/>
        <v>0</v>
      </c>
      <c r="G526" s="93">
        <f t="shared" si="17"/>
        <v>0</v>
      </c>
    </row>
    <row r="527" spans="1:7" x14ac:dyDescent="0.25">
      <c r="A527" s="106">
        <v>528</v>
      </c>
      <c r="B527" s="107"/>
      <c r="C527" s="108"/>
      <c r="D527" s="7" t="s">
        <v>115</v>
      </c>
      <c r="E527" s="109"/>
      <c r="F527">
        <f t="shared" si="16"/>
        <v>0</v>
      </c>
      <c r="G527" s="93">
        <f t="shared" si="17"/>
        <v>0</v>
      </c>
    </row>
    <row r="528" spans="1:7" x14ac:dyDescent="0.25">
      <c r="A528" s="106">
        <v>529</v>
      </c>
      <c r="B528" s="107"/>
      <c r="C528" s="108"/>
      <c r="D528" s="7" t="s">
        <v>115</v>
      </c>
      <c r="E528" s="109"/>
      <c r="F528">
        <f t="shared" si="16"/>
        <v>0</v>
      </c>
      <c r="G528" s="93">
        <f t="shared" si="17"/>
        <v>0</v>
      </c>
    </row>
    <row r="529" spans="1:7" x14ac:dyDescent="0.25">
      <c r="A529" s="106">
        <v>530</v>
      </c>
      <c r="B529" s="107"/>
      <c r="C529" s="108"/>
      <c r="D529" s="7" t="s">
        <v>115</v>
      </c>
      <c r="E529" s="109"/>
      <c r="F529">
        <f t="shared" si="16"/>
        <v>0</v>
      </c>
      <c r="G529" s="93">
        <f t="shared" si="17"/>
        <v>0</v>
      </c>
    </row>
    <row r="530" spans="1:7" x14ac:dyDescent="0.25">
      <c r="A530" s="106">
        <v>531</v>
      </c>
      <c r="B530" s="107"/>
      <c r="C530" s="108"/>
      <c r="D530" s="7" t="s">
        <v>115</v>
      </c>
      <c r="E530" s="109"/>
      <c r="F530">
        <f t="shared" si="16"/>
        <v>0</v>
      </c>
      <c r="G530" s="93">
        <f t="shared" si="17"/>
        <v>0</v>
      </c>
    </row>
    <row r="531" spans="1:7" x14ac:dyDescent="0.25">
      <c r="A531" s="106">
        <v>532</v>
      </c>
      <c r="B531" s="107"/>
      <c r="C531" s="108"/>
      <c r="D531" s="7" t="s">
        <v>115</v>
      </c>
      <c r="E531" s="109"/>
      <c r="F531">
        <f t="shared" si="16"/>
        <v>0</v>
      </c>
      <c r="G531" s="93">
        <f t="shared" si="17"/>
        <v>0</v>
      </c>
    </row>
    <row r="532" spans="1:7" x14ac:dyDescent="0.25">
      <c r="A532" s="106">
        <v>533</v>
      </c>
      <c r="B532" s="107"/>
      <c r="C532" s="108"/>
      <c r="D532" s="7" t="s">
        <v>115</v>
      </c>
      <c r="E532" s="109"/>
      <c r="F532">
        <f t="shared" si="16"/>
        <v>0</v>
      </c>
      <c r="G532" s="93">
        <f t="shared" si="17"/>
        <v>0</v>
      </c>
    </row>
    <row r="533" spans="1:7" x14ac:dyDescent="0.25">
      <c r="A533" s="106">
        <v>534</v>
      </c>
      <c r="B533" s="107"/>
      <c r="C533" s="108"/>
      <c r="D533" s="7" t="s">
        <v>115</v>
      </c>
      <c r="E533" s="109"/>
      <c r="F533">
        <f t="shared" si="16"/>
        <v>0</v>
      </c>
      <c r="G533" s="93">
        <f t="shared" si="17"/>
        <v>0</v>
      </c>
    </row>
    <row r="534" spans="1:7" x14ac:dyDescent="0.25">
      <c r="A534" s="106">
        <v>535</v>
      </c>
      <c r="B534" s="107"/>
      <c r="C534" s="108"/>
      <c r="D534" s="7" t="s">
        <v>115</v>
      </c>
      <c r="E534" s="109"/>
      <c r="F534">
        <f t="shared" si="16"/>
        <v>0</v>
      </c>
      <c r="G534" s="93">
        <f t="shared" si="17"/>
        <v>0</v>
      </c>
    </row>
    <row r="535" spans="1:7" x14ac:dyDescent="0.25">
      <c r="A535" s="106">
        <v>536</v>
      </c>
      <c r="B535" s="107"/>
      <c r="C535" s="108"/>
      <c r="D535" s="7" t="s">
        <v>115</v>
      </c>
      <c r="E535" s="109"/>
      <c r="F535">
        <f t="shared" si="16"/>
        <v>0</v>
      </c>
      <c r="G535" s="93">
        <f t="shared" si="17"/>
        <v>0</v>
      </c>
    </row>
    <row r="536" spans="1:7" x14ac:dyDescent="0.25">
      <c r="A536" s="106">
        <v>537</v>
      </c>
      <c r="B536" s="107"/>
      <c r="C536" s="108"/>
      <c r="D536" s="7" t="s">
        <v>115</v>
      </c>
      <c r="E536" s="109"/>
      <c r="F536">
        <f t="shared" si="16"/>
        <v>0</v>
      </c>
      <c r="G536" s="93">
        <f t="shared" si="17"/>
        <v>0</v>
      </c>
    </row>
    <row r="537" spans="1:7" x14ac:dyDescent="0.25">
      <c r="A537" s="106">
        <v>538</v>
      </c>
      <c r="B537" s="107"/>
      <c r="C537" s="108"/>
      <c r="D537" s="7" t="s">
        <v>115</v>
      </c>
      <c r="E537" s="109"/>
      <c r="F537">
        <f t="shared" si="16"/>
        <v>0</v>
      </c>
      <c r="G537" s="93">
        <f t="shared" si="17"/>
        <v>0</v>
      </c>
    </row>
    <row r="538" spans="1:7" x14ac:dyDescent="0.25">
      <c r="A538" s="106">
        <v>539</v>
      </c>
      <c r="B538" s="107"/>
      <c r="C538" s="108"/>
      <c r="D538" s="7" t="s">
        <v>115</v>
      </c>
      <c r="E538" s="109"/>
      <c r="F538">
        <f t="shared" si="16"/>
        <v>0</v>
      </c>
      <c r="G538" s="93">
        <f t="shared" si="17"/>
        <v>0</v>
      </c>
    </row>
    <row r="539" spans="1:7" x14ac:dyDescent="0.25">
      <c r="A539" s="106">
        <v>540</v>
      </c>
      <c r="B539" s="107"/>
      <c r="C539" s="108"/>
      <c r="D539" s="7" t="s">
        <v>115</v>
      </c>
      <c r="E539" s="109"/>
      <c r="F539">
        <f t="shared" si="16"/>
        <v>0</v>
      </c>
      <c r="G539" s="93">
        <f t="shared" si="17"/>
        <v>0</v>
      </c>
    </row>
    <row r="540" spans="1:7" x14ac:dyDescent="0.25">
      <c r="A540" s="106">
        <v>541</v>
      </c>
      <c r="B540" s="107"/>
      <c r="C540" s="108"/>
      <c r="D540" s="7" t="s">
        <v>115</v>
      </c>
      <c r="E540" s="109"/>
      <c r="F540">
        <f t="shared" si="16"/>
        <v>0</v>
      </c>
      <c r="G540" s="93">
        <f t="shared" si="17"/>
        <v>0</v>
      </c>
    </row>
    <row r="541" spans="1:7" x14ac:dyDescent="0.25">
      <c r="A541" s="106">
        <v>542</v>
      </c>
      <c r="B541" s="107"/>
      <c r="C541" s="108"/>
      <c r="D541" s="7" t="s">
        <v>115</v>
      </c>
      <c r="E541" s="109"/>
      <c r="F541">
        <f t="shared" si="16"/>
        <v>0</v>
      </c>
      <c r="G541" s="93">
        <f t="shared" si="17"/>
        <v>0</v>
      </c>
    </row>
    <row r="542" spans="1:7" x14ac:dyDescent="0.25">
      <c r="A542" s="106">
        <v>543</v>
      </c>
      <c r="B542" s="107"/>
      <c r="C542" s="108"/>
      <c r="D542" s="7" t="s">
        <v>115</v>
      </c>
      <c r="E542" s="109"/>
      <c r="F542">
        <f t="shared" si="16"/>
        <v>0</v>
      </c>
      <c r="G542" s="93">
        <f t="shared" si="17"/>
        <v>0</v>
      </c>
    </row>
    <row r="543" spans="1:7" x14ac:dyDescent="0.25">
      <c r="A543" s="106">
        <v>544</v>
      </c>
      <c r="B543" s="107"/>
      <c r="C543" s="108"/>
      <c r="D543" s="7" t="s">
        <v>115</v>
      </c>
      <c r="E543" s="109"/>
      <c r="F543">
        <f t="shared" si="16"/>
        <v>0</v>
      </c>
      <c r="G543" s="93">
        <f t="shared" si="17"/>
        <v>0</v>
      </c>
    </row>
    <row r="544" spans="1:7" x14ac:dyDescent="0.25">
      <c r="A544" s="106">
        <v>545</v>
      </c>
      <c r="B544" s="107"/>
      <c r="C544" s="108"/>
      <c r="D544" s="7" t="s">
        <v>115</v>
      </c>
      <c r="E544" s="109"/>
      <c r="F544">
        <f t="shared" si="16"/>
        <v>0</v>
      </c>
      <c r="G544" s="93">
        <f t="shared" si="17"/>
        <v>0</v>
      </c>
    </row>
    <row r="545" spans="1:7" x14ac:dyDescent="0.25">
      <c r="A545" s="106">
        <v>546</v>
      </c>
      <c r="B545" s="107"/>
      <c r="C545" s="108"/>
      <c r="D545" s="7" t="s">
        <v>115</v>
      </c>
      <c r="E545" s="109"/>
      <c r="F545">
        <f t="shared" si="16"/>
        <v>0</v>
      </c>
      <c r="G545" s="93">
        <f t="shared" si="17"/>
        <v>0</v>
      </c>
    </row>
    <row r="546" spans="1:7" x14ac:dyDescent="0.25">
      <c r="A546" s="106">
        <v>547</v>
      </c>
      <c r="B546" s="107"/>
      <c r="C546" s="108"/>
      <c r="D546" s="7" t="s">
        <v>115</v>
      </c>
      <c r="E546" s="109"/>
      <c r="F546">
        <f t="shared" si="16"/>
        <v>0</v>
      </c>
      <c r="G546" s="93">
        <f t="shared" si="17"/>
        <v>0</v>
      </c>
    </row>
    <row r="547" spans="1:7" x14ac:dyDescent="0.25">
      <c r="A547" s="106">
        <v>548</v>
      </c>
      <c r="B547" s="107"/>
      <c r="C547" s="108"/>
      <c r="D547" s="7" t="s">
        <v>115</v>
      </c>
      <c r="E547" s="109"/>
      <c r="F547">
        <f t="shared" si="16"/>
        <v>0</v>
      </c>
      <c r="G547" s="93">
        <f t="shared" si="17"/>
        <v>0</v>
      </c>
    </row>
    <row r="548" spans="1:7" x14ac:dyDescent="0.25">
      <c r="A548" s="106">
        <v>549</v>
      </c>
      <c r="B548" s="107"/>
      <c r="C548" s="108"/>
      <c r="D548" s="7" t="s">
        <v>115</v>
      </c>
      <c r="E548" s="109"/>
      <c r="F548">
        <f t="shared" si="16"/>
        <v>0</v>
      </c>
      <c r="G548" s="93">
        <f t="shared" si="17"/>
        <v>0</v>
      </c>
    </row>
    <row r="549" spans="1:7" x14ac:dyDescent="0.25">
      <c r="A549" s="106">
        <v>550</v>
      </c>
      <c r="B549" s="107"/>
      <c r="C549" s="108"/>
      <c r="D549" s="7" t="s">
        <v>115</v>
      </c>
      <c r="E549" s="109"/>
      <c r="F549">
        <f t="shared" si="16"/>
        <v>0</v>
      </c>
      <c r="G549" s="93">
        <f t="shared" si="17"/>
        <v>0</v>
      </c>
    </row>
    <row r="550" spans="1:7" x14ac:dyDescent="0.25">
      <c r="A550" s="106">
        <v>551</v>
      </c>
      <c r="B550" s="107"/>
      <c r="C550" s="108"/>
      <c r="D550" s="7" t="s">
        <v>115</v>
      </c>
      <c r="E550" s="109"/>
      <c r="F550">
        <f t="shared" si="16"/>
        <v>0</v>
      </c>
      <c r="G550" s="93">
        <f t="shared" si="17"/>
        <v>0</v>
      </c>
    </row>
    <row r="551" spans="1:7" x14ac:dyDescent="0.25">
      <c r="A551" s="106">
        <v>552</v>
      </c>
      <c r="B551" s="107"/>
      <c r="C551" s="108"/>
      <c r="D551" s="7" t="s">
        <v>115</v>
      </c>
      <c r="E551" s="109"/>
      <c r="F551">
        <f t="shared" si="16"/>
        <v>0</v>
      </c>
      <c r="G551" s="93">
        <f t="shared" si="17"/>
        <v>0</v>
      </c>
    </row>
    <row r="552" spans="1:7" x14ac:dyDescent="0.25">
      <c r="A552" s="106">
        <v>553</v>
      </c>
      <c r="B552" s="107"/>
      <c r="C552" s="108"/>
      <c r="D552" s="7" t="s">
        <v>115</v>
      </c>
      <c r="E552" s="109"/>
      <c r="F552">
        <f t="shared" si="16"/>
        <v>0</v>
      </c>
      <c r="G552" s="93">
        <f t="shared" si="17"/>
        <v>0</v>
      </c>
    </row>
    <row r="553" spans="1:7" x14ac:dyDescent="0.25">
      <c r="A553" s="106">
        <v>554</v>
      </c>
      <c r="B553" s="107"/>
      <c r="C553" s="108"/>
      <c r="D553" s="7" t="s">
        <v>115</v>
      </c>
      <c r="E553" s="109"/>
      <c r="F553">
        <f t="shared" si="16"/>
        <v>0</v>
      </c>
      <c r="G553" s="93">
        <f t="shared" si="17"/>
        <v>0</v>
      </c>
    </row>
    <row r="554" spans="1:7" x14ac:dyDescent="0.25">
      <c r="A554" s="106">
        <v>555</v>
      </c>
      <c r="B554" s="107"/>
      <c r="C554" s="108"/>
      <c r="D554" s="7" t="s">
        <v>115</v>
      </c>
      <c r="E554" s="109"/>
      <c r="F554">
        <f t="shared" si="16"/>
        <v>0</v>
      </c>
      <c r="G554" s="93">
        <f t="shared" si="17"/>
        <v>0</v>
      </c>
    </row>
    <row r="555" spans="1:7" x14ac:dyDescent="0.25">
      <c r="A555" s="106">
        <v>556</v>
      </c>
      <c r="B555" s="107"/>
      <c r="C555" s="108"/>
      <c r="D555" s="7" t="s">
        <v>115</v>
      </c>
      <c r="E555" s="109"/>
      <c r="F555">
        <f t="shared" si="16"/>
        <v>0</v>
      </c>
      <c r="G555" s="93">
        <f t="shared" si="17"/>
        <v>0</v>
      </c>
    </row>
    <row r="556" spans="1:7" x14ac:dyDescent="0.25">
      <c r="A556" s="106">
        <v>557</v>
      </c>
      <c r="B556" s="107"/>
      <c r="C556" s="108"/>
      <c r="D556" s="7" t="s">
        <v>115</v>
      </c>
      <c r="E556" s="109"/>
      <c r="F556">
        <f t="shared" si="16"/>
        <v>0</v>
      </c>
      <c r="G556" s="93">
        <f t="shared" si="17"/>
        <v>0</v>
      </c>
    </row>
    <row r="557" spans="1:7" x14ac:dyDescent="0.25">
      <c r="A557" s="106">
        <v>558</v>
      </c>
      <c r="B557" s="107"/>
      <c r="C557" s="108"/>
      <c r="D557" s="7" t="s">
        <v>115</v>
      </c>
      <c r="E557" s="109"/>
      <c r="F557">
        <f t="shared" si="16"/>
        <v>0</v>
      </c>
      <c r="G557" s="93">
        <f t="shared" si="17"/>
        <v>0</v>
      </c>
    </row>
    <row r="558" spans="1:7" x14ac:dyDescent="0.25">
      <c r="A558" s="106">
        <v>559</v>
      </c>
      <c r="B558" s="107"/>
      <c r="C558" s="108"/>
      <c r="D558" s="7" t="s">
        <v>115</v>
      </c>
      <c r="E558" s="109"/>
      <c r="F558">
        <f t="shared" si="16"/>
        <v>0</v>
      </c>
      <c r="G558" s="93">
        <f t="shared" si="17"/>
        <v>0</v>
      </c>
    </row>
    <row r="559" spans="1:7" x14ac:dyDescent="0.25">
      <c r="A559" s="106">
        <v>560</v>
      </c>
      <c r="B559" s="107"/>
      <c r="C559" s="108"/>
      <c r="D559" s="7" t="s">
        <v>115</v>
      </c>
      <c r="E559" s="109"/>
      <c r="F559">
        <f t="shared" si="16"/>
        <v>0</v>
      </c>
      <c r="G559" s="93">
        <f t="shared" si="17"/>
        <v>0</v>
      </c>
    </row>
    <row r="560" spans="1:7" x14ac:dyDescent="0.25">
      <c r="A560" s="106">
        <v>561</v>
      </c>
      <c r="B560" s="107"/>
      <c r="C560" s="108"/>
      <c r="D560" s="7" t="s">
        <v>115</v>
      </c>
      <c r="E560" s="109"/>
      <c r="F560">
        <f t="shared" si="16"/>
        <v>0</v>
      </c>
      <c r="G560" s="93">
        <f t="shared" si="17"/>
        <v>0</v>
      </c>
    </row>
    <row r="561" spans="1:7" x14ac:dyDescent="0.25">
      <c r="A561" s="106">
        <v>562</v>
      </c>
      <c r="B561" s="107"/>
      <c r="C561" s="108"/>
      <c r="D561" s="7" t="s">
        <v>115</v>
      </c>
      <c r="E561" s="109"/>
      <c r="F561">
        <f t="shared" si="16"/>
        <v>0</v>
      </c>
      <c r="G561" s="93">
        <f t="shared" si="17"/>
        <v>0</v>
      </c>
    </row>
    <row r="562" spans="1:7" x14ac:dyDescent="0.25">
      <c r="A562" s="106">
        <v>563</v>
      </c>
      <c r="B562" s="107"/>
      <c r="C562" s="108"/>
      <c r="D562" s="7" t="s">
        <v>115</v>
      </c>
      <c r="E562" s="109"/>
      <c r="F562">
        <f t="shared" si="16"/>
        <v>0</v>
      </c>
      <c r="G562" s="93">
        <f t="shared" si="17"/>
        <v>0</v>
      </c>
    </row>
    <row r="563" spans="1:7" x14ac:dyDescent="0.25">
      <c r="A563" s="106">
        <v>564</v>
      </c>
      <c r="B563" s="107"/>
      <c r="C563" s="108"/>
      <c r="D563" s="7" t="s">
        <v>115</v>
      </c>
      <c r="E563" s="109"/>
      <c r="F563">
        <f t="shared" si="16"/>
        <v>0</v>
      </c>
      <c r="G563" s="93">
        <f t="shared" si="17"/>
        <v>0</v>
      </c>
    </row>
    <row r="564" spans="1:7" x14ac:dyDescent="0.25">
      <c r="A564" s="106">
        <v>565</v>
      </c>
      <c r="B564" s="107"/>
      <c r="C564" s="108"/>
      <c r="D564" s="7" t="s">
        <v>115</v>
      </c>
      <c r="E564" s="109"/>
      <c r="F564">
        <f t="shared" si="16"/>
        <v>0</v>
      </c>
      <c r="G564" s="93">
        <f t="shared" si="17"/>
        <v>0</v>
      </c>
    </row>
    <row r="565" spans="1:7" x14ac:dyDescent="0.25">
      <c r="A565" s="106">
        <v>566</v>
      </c>
      <c r="B565" s="107"/>
      <c r="C565" s="108"/>
      <c r="D565" s="7" t="s">
        <v>115</v>
      </c>
      <c r="E565" s="109"/>
      <c r="F565">
        <f t="shared" si="16"/>
        <v>0</v>
      </c>
      <c r="G565" s="93">
        <f t="shared" si="17"/>
        <v>0</v>
      </c>
    </row>
    <row r="566" spans="1:7" x14ac:dyDescent="0.25">
      <c r="A566" s="106">
        <v>567</v>
      </c>
      <c r="B566" s="107"/>
      <c r="C566" s="108"/>
      <c r="D566" s="7" t="s">
        <v>115</v>
      </c>
      <c r="E566" s="109"/>
      <c r="F566">
        <f t="shared" si="16"/>
        <v>0</v>
      </c>
      <c r="G566" s="93">
        <f t="shared" si="17"/>
        <v>0</v>
      </c>
    </row>
    <row r="567" spans="1:7" x14ac:dyDescent="0.25">
      <c r="A567" s="106">
        <v>568</v>
      </c>
      <c r="B567" s="107"/>
      <c r="C567" s="108"/>
      <c r="D567" s="7" t="s">
        <v>115</v>
      </c>
      <c r="E567" s="109"/>
      <c r="F567">
        <f t="shared" si="16"/>
        <v>0</v>
      </c>
      <c r="G567" s="93">
        <f t="shared" si="17"/>
        <v>0</v>
      </c>
    </row>
    <row r="568" spans="1:7" x14ac:dyDescent="0.25">
      <c r="A568" s="106">
        <v>569</v>
      </c>
      <c r="B568" s="107"/>
      <c r="C568" s="108"/>
      <c r="D568" s="7" t="s">
        <v>115</v>
      </c>
      <c r="E568" s="109"/>
      <c r="F568">
        <f t="shared" si="16"/>
        <v>0</v>
      </c>
      <c r="G568" s="93">
        <f t="shared" si="17"/>
        <v>0</v>
      </c>
    </row>
    <row r="569" spans="1:7" x14ac:dyDescent="0.25">
      <c r="A569" s="106">
        <v>570</v>
      </c>
      <c r="B569" s="107"/>
      <c r="C569" s="108"/>
      <c r="D569" s="7" t="s">
        <v>115</v>
      </c>
      <c r="E569" s="109"/>
      <c r="F569">
        <f t="shared" si="16"/>
        <v>0</v>
      </c>
      <c r="G569" s="93">
        <f t="shared" si="17"/>
        <v>0</v>
      </c>
    </row>
    <row r="570" spans="1:7" x14ac:dyDescent="0.25">
      <c r="A570" s="106">
        <v>571</v>
      </c>
      <c r="B570" s="107"/>
      <c r="C570" s="108"/>
      <c r="D570" s="7" t="s">
        <v>115</v>
      </c>
      <c r="E570" s="109"/>
      <c r="F570">
        <f t="shared" si="16"/>
        <v>0</v>
      </c>
      <c r="G570" s="93">
        <f t="shared" si="17"/>
        <v>0</v>
      </c>
    </row>
    <row r="571" spans="1:7" x14ac:dyDescent="0.25">
      <c r="A571" s="106">
        <v>572</v>
      </c>
      <c r="B571" s="107"/>
      <c r="C571" s="108"/>
      <c r="D571" s="7" t="s">
        <v>115</v>
      </c>
      <c r="E571" s="109"/>
      <c r="F571">
        <f t="shared" si="16"/>
        <v>0</v>
      </c>
      <c r="G571" s="93">
        <f t="shared" si="17"/>
        <v>0</v>
      </c>
    </row>
    <row r="572" spans="1:7" x14ac:dyDescent="0.25">
      <c r="A572" s="106">
        <v>573</v>
      </c>
      <c r="B572" s="107"/>
      <c r="C572" s="108"/>
      <c r="D572" s="7" t="s">
        <v>115</v>
      </c>
      <c r="E572" s="109"/>
      <c r="F572">
        <f t="shared" si="16"/>
        <v>0</v>
      </c>
      <c r="G572" s="93">
        <f t="shared" si="17"/>
        <v>0</v>
      </c>
    </row>
    <row r="573" spans="1:7" x14ac:dyDescent="0.25">
      <c r="A573" s="106">
        <v>574</v>
      </c>
      <c r="B573" s="107"/>
      <c r="C573" s="108"/>
      <c r="D573" s="7" t="s">
        <v>115</v>
      </c>
      <c r="E573" s="109"/>
      <c r="F573">
        <f t="shared" si="16"/>
        <v>0</v>
      </c>
      <c r="G573" s="93">
        <f t="shared" si="17"/>
        <v>0</v>
      </c>
    </row>
    <row r="574" spans="1:7" x14ac:dyDescent="0.25">
      <c r="A574" s="106">
        <v>575</v>
      </c>
      <c r="B574" s="107"/>
      <c r="C574" s="108"/>
      <c r="D574" s="7" t="s">
        <v>115</v>
      </c>
      <c r="E574" s="109"/>
      <c r="F574">
        <f t="shared" si="16"/>
        <v>0</v>
      </c>
      <c r="G574" s="93">
        <f t="shared" si="17"/>
        <v>0</v>
      </c>
    </row>
    <row r="575" spans="1:7" x14ac:dyDescent="0.25">
      <c r="A575" s="106">
        <v>576</v>
      </c>
      <c r="B575" s="107"/>
      <c r="C575" s="108"/>
      <c r="D575" s="7" t="s">
        <v>115</v>
      </c>
      <c r="E575" s="109"/>
      <c r="F575">
        <f t="shared" si="16"/>
        <v>0</v>
      </c>
      <c r="G575" s="93">
        <f t="shared" si="17"/>
        <v>0</v>
      </c>
    </row>
    <row r="576" spans="1:7" x14ac:dyDescent="0.25">
      <c r="A576" s="106">
        <v>577</v>
      </c>
      <c r="B576" s="107"/>
      <c r="C576" s="108"/>
      <c r="D576" s="7" t="s">
        <v>115</v>
      </c>
      <c r="E576" s="109"/>
      <c r="F576">
        <f t="shared" si="16"/>
        <v>0</v>
      </c>
      <c r="G576" s="93">
        <f t="shared" si="17"/>
        <v>0</v>
      </c>
    </row>
    <row r="577" spans="1:7" x14ac:dyDescent="0.25">
      <c r="A577" s="106">
        <v>578</v>
      </c>
      <c r="B577" s="107"/>
      <c r="C577" s="108"/>
      <c r="D577" s="7" t="s">
        <v>115</v>
      </c>
      <c r="E577" s="109"/>
      <c r="F577">
        <f t="shared" ref="F577:F624" si="18">LEN(E577)</f>
        <v>0</v>
      </c>
      <c r="G577" s="93">
        <f t="shared" ref="G577:G624" si="19">IF(LEN(B577)&gt;28,MID(B577,1,28),B577)</f>
        <v>0</v>
      </c>
    </row>
    <row r="578" spans="1:7" x14ac:dyDescent="0.25">
      <c r="A578" s="106">
        <v>579</v>
      </c>
      <c r="B578" s="107"/>
      <c r="C578" s="108"/>
      <c r="D578" s="7" t="s">
        <v>115</v>
      </c>
      <c r="E578" s="109"/>
      <c r="F578">
        <f t="shared" si="18"/>
        <v>0</v>
      </c>
      <c r="G578" s="93">
        <f t="shared" si="19"/>
        <v>0</v>
      </c>
    </row>
    <row r="579" spans="1:7" x14ac:dyDescent="0.25">
      <c r="A579" s="106">
        <v>580</v>
      </c>
      <c r="B579" s="107"/>
      <c r="C579" s="108"/>
      <c r="D579" s="7" t="s">
        <v>115</v>
      </c>
      <c r="E579" s="109"/>
      <c r="F579">
        <f t="shared" si="18"/>
        <v>0</v>
      </c>
      <c r="G579" s="93">
        <f t="shared" si="19"/>
        <v>0</v>
      </c>
    </row>
    <row r="580" spans="1:7" x14ac:dyDescent="0.25">
      <c r="A580" s="106">
        <v>581</v>
      </c>
      <c r="B580" s="107"/>
      <c r="C580" s="108"/>
      <c r="D580" s="7" t="s">
        <v>115</v>
      </c>
      <c r="E580" s="109"/>
      <c r="F580">
        <f t="shared" si="18"/>
        <v>0</v>
      </c>
      <c r="G580" s="93">
        <f t="shared" si="19"/>
        <v>0</v>
      </c>
    </row>
    <row r="581" spans="1:7" x14ac:dyDescent="0.25">
      <c r="A581" s="106">
        <v>582</v>
      </c>
      <c r="B581" s="107"/>
      <c r="C581" s="108"/>
      <c r="D581" s="7" t="s">
        <v>115</v>
      </c>
      <c r="E581" s="109"/>
      <c r="F581">
        <f t="shared" si="18"/>
        <v>0</v>
      </c>
      <c r="G581" s="93">
        <f t="shared" si="19"/>
        <v>0</v>
      </c>
    </row>
    <row r="582" spans="1:7" x14ac:dyDescent="0.25">
      <c r="A582" s="106">
        <v>583</v>
      </c>
      <c r="B582" s="107"/>
      <c r="C582" s="108"/>
      <c r="D582" s="7" t="s">
        <v>115</v>
      </c>
      <c r="E582" s="109"/>
      <c r="F582">
        <f t="shared" si="18"/>
        <v>0</v>
      </c>
      <c r="G582" s="93">
        <f t="shared" si="19"/>
        <v>0</v>
      </c>
    </row>
    <row r="583" spans="1:7" x14ac:dyDescent="0.25">
      <c r="A583" s="106">
        <v>584</v>
      </c>
      <c r="B583" s="107"/>
      <c r="C583" s="108"/>
      <c r="D583" s="7" t="s">
        <v>115</v>
      </c>
      <c r="E583" s="109"/>
      <c r="F583">
        <f t="shared" si="18"/>
        <v>0</v>
      </c>
      <c r="G583" s="93">
        <f t="shared" si="19"/>
        <v>0</v>
      </c>
    </row>
    <row r="584" spans="1:7" x14ac:dyDescent="0.25">
      <c r="A584" s="106">
        <v>585</v>
      </c>
      <c r="B584" s="107"/>
      <c r="C584" s="108"/>
      <c r="D584" s="7" t="s">
        <v>115</v>
      </c>
      <c r="E584" s="109"/>
      <c r="F584">
        <f t="shared" si="18"/>
        <v>0</v>
      </c>
      <c r="G584" s="93">
        <f t="shared" si="19"/>
        <v>0</v>
      </c>
    </row>
    <row r="585" spans="1:7" x14ac:dyDescent="0.25">
      <c r="A585" s="106">
        <v>586</v>
      </c>
      <c r="B585" s="107"/>
      <c r="C585" s="108"/>
      <c r="D585" s="7" t="s">
        <v>115</v>
      </c>
      <c r="E585" s="109"/>
      <c r="F585">
        <f t="shared" si="18"/>
        <v>0</v>
      </c>
      <c r="G585" s="93">
        <f t="shared" si="19"/>
        <v>0</v>
      </c>
    </row>
    <row r="586" spans="1:7" x14ac:dyDescent="0.25">
      <c r="A586" s="106">
        <v>587</v>
      </c>
      <c r="B586" s="107"/>
      <c r="C586" s="108"/>
      <c r="D586" s="7" t="s">
        <v>115</v>
      </c>
      <c r="E586" s="109"/>
      <c r="F586">
        <f t="shared" si="18"/>
        <v>0</v>
      </c>
      <c r="G586" s="93">
        <f t="shared" si="19"/>
        <v>0</v>
      </c>
    </row>
    <row r="587" spans="1:7" x14ac:dyDescent="0.25">
      <c r="A587" s="106">
        <v>588</v>
      </c>
      <c r="B587" s="107"/>
      <c r="C587" s="108"/>
      <c r="D587" s="7" t="s">
        <v>115</v>
      </c>
      <c r="E587" s="109"/>
      <c r="F587">
        <f t="shared" si="18"/>
        <v>0</v>
      </c>
      <c r="G587" s="93">
        <f t="shared" si="19"/>
        <v>0</v>
      </c>
    </row>
    <row r="588" spans="1:7" x14ac:dyDescent="0.25">
      <c r="A588" s="106">
        <v>589</v>
      </c>
      <c r="B588" s="107"/>
      <c r="C588" s="108"/>
      <c r="D588" s="7" t="s">
        <v>115</v>
      </c>
      <c r="E588" s="109"/>
      <c r="F588">
        <f t="shared" si="18"/>
        <v>0</v>
      </c>
      <c r="G588" s="93">
        <f t="shared" si="19"/>
        <v>0</v>
      </c>
    </row>
    <row r="589" spans="1:7" x14ac:dyDescent="0.25">
      <c r="A589" s="106">
        <v>590</v>
      </c>
      <c r="B589" s="107"/>
      <c r="C589" s="108"/>
      <c r="D589" s="7" t="s">
        <v>115</v>
      </c>
      <c r="E589" s="109"/>
      <c r="F589">
        <f t="shared" si="18"/>
        <v>0</v>
      </c>
      <c r="G589" s="93">
        <f t="shared" si="19"/>
        <v>0</v>
      </c>
    </row>
    <row r="590" spans="1:7" x14ac:dyDescent="0.25">
      <c r="A590" s="106">
        <v>591</v>
      </c>
      <c r="B590" s="107"/>
      <c r="C590" s="108"/>
      <c r="D590" s="7" t="s">
        <v>115</v>
      </c>
      <c r="E590" s="109"/>
      <c r="F590">
        <f t="shared" si="18"/>
        <v>0</v>
      </c>
      <c r="G590" s="93">
        <f t="shared" si="19"/>
        <v>0</v>
      </c>
    </row>
    <row r="591" spans="1:7" x14ac:dyDescent="0.25">
      <c r="A591" s="106">
        <v>592</v>
      </c>
      <c r="B591" s="107"/>
      <c r="C591" s="108"/>
      <c r="D591" s="7" t="s">
        <v>115</v>
      </c>
      <c r="E591" s="109"/>
      <c r="F591">
        <f t="shared" si="18"/>
        <v>0</v>
      </c>
      <c r="G591" s="93">
        <f t="shared" si="19"/>
        <v>0</v>
      </c>
    </row>
    <row r="592" spans="1:7" x14ac:dyDescent="0.25">
      <c r="A592" s="106">
        <v>593</v>
      </c>
      <c r="B592" s="107"/>
      <c r="C592" s="108"/>
      <c r="D592" s="7" t="s">
        <v>115</v>
      </c>
      <c r="E592" s="109"/>
      <c r="F592">
        <f t="shared" si="18"/>
        <v>0</v>
      </c>
      <c r="G592" s="93">
        <f t="shared" si="19"/>
        <v>0</v>
      </c>
    </row>
    <row r="593" spans="1:7" x14ac:dyDescent="0.25">
      <c r="A593" s="106">
        <v>594</v>
      </c>
      <c r="B593" s="107"/>
      <c r="C593" s="108"/>
      <c r="D593" s="7" t="s">
        <v>115</v>
      </c>
      <c r="E593" s="109"/>
      <c r="F593">
        <f t="shared" si="18"/>
        <v>0</v>
      </c>
      <c r="G593" s="93">
        <f t="shared" si="19"/>
        <v>0</v>
      </c>
    </row>
    <row r="594" spans="1:7" x14ac:dyDescent="0.25">
      <c r="A594" s="106">
        <v>595</v>
      </c>
      <c r="B594" s="107"/>
      <c r="C594" s="108"/>
      <c r="D594" s="7" t="s">
        <v>115</v>
      </c>
      <c r="E594" s="109"/>
      <c r="F594">
        <f t="shared" si="18"/>
        <v>0</v>
      </c>
      <c r="G594" s="93">
        <f t="shared" si="19"/>
        <v>0</v>
      </c>
    </row>
    <row r="595" spans="1:7" x14ac:dyDescent="0.25">
      <c r="A595" s="106">
        <v>596</v>
      </c>
      <c r="B595" s="107"/>
      <c r="C595" s="108"/>
      <c r="D595" s="7" t="s">
        <v>115</v>
      </c>
      <c r="E595" s="109"/>
      <c r="F595">
        <f t="shared" si="18"/>
        <v>0</v>
      </c>
      <c r="G595" s="93">
        <f t="shared" si="19"/>
        <v>0</v>
      </c>
    </row>
    <row r="596" spans="1:7" x14ac:dyDescent="0.25">
      <c r="A596" s="106">
        <v>597</v>
      </c>
      <c r="B596" s="107"/>
      <c r="C596" s="108"/>
      <c r="D596" s="7" t="s">
        <v>115</v>
      </c>
      <c r="E596" s="109"/>
      <c r="F596">
        <f t="shared" si="18"/>
        <v>0</v>
      </c>
      <c r="G596" s="93">
        <f t="shared" si="19"/>
        <v>0</v>
      </c>
    </row>
    <row r="597" spans="1:7" x14ac:dyDescent="0.25">
      <c r="A597" s="106">
        <v>598</v>
      </c>
      <c r="B597" s="107"/>
      <c r="C597" s="108"/>
      <c r="D597" s="7" t="s">
        <v>115</v>
      </c>
      <c r="E597" s="109"/>
      <c r="F597">
        <f t="shared" si="18"/>
        <v>0</v>
      </c>
      <c r="G597" s="93">
        <f t="shared" si="19"/>
        <v>0</v>
      </c>
    </row>
    <row r="598" spans="1:7" x14ac:dyDescent="0.25">
      <c r="A598" s="106">
        <v>599</v>
      </c>
      <c r="B598" s="107"/>
      <c r="C598" s="108"/>
      <c r="D598" s="7" t="s">
        <v>115</v>
      </c>
      <c r="E598" s="109"/>
      <c r="F598">
        <f t="shared" si="18"/>
        <v>0</v>
      </c>
      <c r="G598" s="93">
        <f t="shared" si="19"/>
        <v>0</v>
      </c>
    </row>
    <row r="599" spans="1:7" x14ac:dyDescent="0.25">
      <c r="A599" s="106">
        <v>600</v>
      </c>
      <c r="B599" s="107"/>
      <c r="C599" s="108"/>
      <c r="D599" s="7" t="s">
        <v>115</v>
      </c>
      <c r="E599" s="109"/>
      <c r="F599">
        <f t="shared" si="18"/>
        <v>0</v>
      </c>
      <c r="G599" s="93">
        <f t="shared" si="19"/>
        <v>0</v>
      </c>
    </row>
    <row r="600" spans="1:7" x14ac:dyDescent="0.25">
      <c r="A600" s="106">
        <v>601</v>
      </c>
      <c r="B600" s="107"/>
      <c r="C600" s="108"/>
      <c r="D600" s="7" t="s">
        <v>115</v>
      </c>
      <c r="E600" s="109"/>
      <c r="F600">
        <f t="shared" si="18"/>
        <v>0</v>
      </c>
      <c r="G600" s="93">
        <f t="shared" si="19"/>
        <v>0</v>
      </c>
    </row>
    <row r="601" spans="1:7" x14ac:dyDescent="0.25">
      <c r="A601" s="106">
        <v>602</v>
      </c>
      <c r="B601" s="107"/>
      <c r="C601" s="108"/>
      <c r="D601" s="7" t="s">
        <v>115</v>
      </c>
      <c r="E601" s="109"/>
      <c r="F601">
        <f t="shared" si="18"/>
        <v>0</v>
      </c>
      <c r="G601" s="93">
        <f t="shared" si="19"/>
        <v>0</v>
      </c>
    </row>
    <row r="602" spans="1:7" x14ac:dyDescent="0.25">
      <c r="A602" s="106">
        <v>603</v>
      </c>
      <c r="B602" s="107"/>
      <c r="C602" s="108"/>
      <c r="D602" s="7" t="s">
        <v>115</v>
      </c>
      <c r="E602" s="109"/>
      <c r="F602">
        <f t="shared" si="18"/>
        <v>0</v>
      </c>
      <c r="G602" s="93">
        <f t="shared" si="19"/>
        <v>0</v>
      </c>
    </row>
    <row r="603" spans="1:7" x14ac:dyDescent="0.25">
      <c r="A603" s="106">
        <v>604</v>
      </c>
      <c r="B603" s="107"/>
      <c r="C603" s="108"/>
      <c r="D603" s="7" t="s">
        <v>115</v>
      </c>
      <c r="E603" s="109"/>
      <c r="F603">
        <f t="shared" si="18"/>
        <v>0</v>
      </c>
      <c r="G603" s="93">
        <f t="shared" si="19"/>
        <v>0</v>
      </c>
    </row>
    <row r="604" spans="1:7" x14ac:dyDescent="0.25">
      <c r="A604" s="106">
        <v>605</v>
      </c>
      <c r="B604" s="107"/>
      <c r="C604" s="108"/>
      <c r="D604" s="7" t="s">
        <v>115</v>
      </c>
      <c r="E604" s="109"/>
      <c r="F604">
        <f t="shared" si="18"/>
        <v>0</v>
      </c>
      <c r="G604" s="93">
        <f t="shared" si="19"/>
        <v>0</v>
      </c>
    </row>
    <row r="605" spans="1:7" x14ac:dyDescent="0.25">
      <c r="A605" s="106">
        <v>606</v>
      </c>
      <c r="B605" s="107"/>
      <c r="C605" s="108"/>
      <c r="D605" s="7" t="s">
        <v>115</v>
      </c>
      <c r="E605" s="109"/>
      <c r="F605">
        <f t="shared" si="18"/>
        <v>0</v>
      </c>
      <c r="G605" s="93">
        <f t="shared" si="19"/>
        <v>0</v>
      </c>
    </row>
    <row r="606" spans="1:7" x14ac:dyDescent="0.25">
      <c r="A606" s="106">
        <v>607</v>
      </c>
      <c r="B606" s="107"/>
      <c r="C606" s="108"/>
      <c r="D606" s="7" t="s">
        <v>115</v>
      </c>
      <c r="E606" s="109"/>
      <c r="F606">
        <f t="shared" si="18"/>
        <v>0</v>
      </c>
      <c r="G606" s="93">
        <f t="shared" si="19"/>
        <v>0</v>
      </c>
    </row>
    <row r="607" spans="1:7" x14ac:dyDescent="0.25">
      <c r="A607" s="106">
        <v>608</v>
      </c>
      <c r="B607" s="107"/>
      <c r="C607" s="108"/>
      <c r="D607" s="7" t="s">
        <v>115</v>
      </c>
      <c r="E607" s="109"/>
      <c r="F607">
        <f t="shared" si="18"/>
        <v>0</v>
      </c>
      <c r="G607" s="93">
        <f t="shared" si="19"/>
        <v>0</v>
      </c>
    </row>
    <row r="608" spans="1:7" x14ac:dyDescent="0.25">
      <c r="A608" s="106">
        <v>609</v>
      </c>
      <c r="B608" s="107"/>
      <c r="C608" s="108"/>
      <c r="D608" s="7" t="s">
        <v>115</v>
      </c>
      <c r="E608" s="109"/>
      <c r="F608">
        <f t="shared" si="18"/>
        <v>0</v>
      </c>
      <c r="G608" s="93">
        <f t="shared" si="19"/>
        <v>0</v>
      </c>
    </row>
    <row r="609" spans="1:7" x14ac:dyDescent="0.25">
      <c r="A609" s="106">
        <v>610</v>
      </c>
      <c r="B609" s="107"/>
      <c r="C609" s="108"/>
      <c r="D609" s="7" t="s">
        <v>115</v>
      </c>
      <c r="E609" s="109"/>
      <c r="F609">
        <f t="shared" si="18"/>
        <v>0</v>
      </c>
      <c r="G609" s="93">
        <f t="shared" si="19"/>
        <v>0</v>
      </c>
    </row>
    <row r="610" spans="1:7" x14ac:dyDescent="0.25">
      <c r="A610" s="106">
        <v>611</v>
      </c>
      <c r="B610" s="107"/>
      <c r="C610" s="108"/>
      <c r="D610" s="7" t="s">
        <v>115</v>
      </c>
      <c r="E610" s="109"/>
      <c r="F610">
        <f t="shared" si="18"/>
        <v>0</v>
      </c>
      <c r="G610" s="93">
        <f t="shared" si="19"/>
        <v>0</v>
      </c>
    </row>
    <row r="611" spans="1:7" x14ac:dyDescent="0.25">
      <c r="A611" s="106">
        <v>612</v>
      </c>
      <c r="B611" s="107"/>
      <c r="C611" s="108"/>
      <c r="D611" s="7" t="s">
        <v>115</v>
      </c>
      <c r="E611" s="109"/>
      <c r="F611">
        <f t="shared" si="18"/>
        <v>0</v>
      </c>
      <c r="G611" s="93">
        <f t="shared" si="19"/>
        <v>0</v>
      </c>
    </row>
    <row r="612" spans="1:7" x14ac:dyDescent="0.25">
      <c r="A612" s="106">
        <v>613</v>
      </c>
      <c r="B612" s="107"/>
      <c r="C612" s="108"/>
      <c r="D612" s="7" t="s">
        <v>115</v>
      </c>
      <c r="E612" s="109"/>
      <c r="F612">
        <f t="shared" si="18"/>
        <v>0</v>
      </c>
      <c r="G612" s="93">
        <f t="shared" si="19"/>
        <v>0</v>
      </c>
    </row>
    <row r="613" spans="1:7" x14ac:dyDescent="0.25">
      <c r="A613" s="106">
        <v>614</v>
      </c>
      <c r="B613" s="107"/>
      <c r="C613" s="108"/>
      <c r="D613" s="7" t="s">
        <v>115</v>
      </c>
      <c r="E613" s="109"/>
      <c r="F613">
        <f t="shared" si="18"/>
        <v>0</v>
      </c>
      <c r="G613" s="93">
        <f t="shared" si="19"/>
        <v>0</v>
      </c>
    </row>
    <row r="614" spans="1:7" x14ac:dyDescent="0.25">
      <c r="A614" s="106">
        <v>615</v>
      </c>
      <c r="B614" s="107"/>
      <c r="C614" s="108"/>
      <c r="D614" s="7" t="s">
        <v>115</v>
      </c>
      <c r="E614" s="109"/>
      <c r="F614">
        <f t="shared" si="18"/>
        <v>0</v>
      </c>
      <c r="G614" s="93">
        <f t="shared" si="19"/>
        <v>0</v>
      </c>
    </row>
    <row r="615" spans="1:7" x14ac:dyDescent="0.25">
      <c r="A615" s="106">
        <v>616</v>
      </c>
      <c r="B615" s="107"/>
      <c r="C615" s="108"/>
      <c r="D615" s="7" t="s">
        <v>115</v>
      </c>
      <c r="E615" s="109"/>
      <c r="F615">
        <f t="shared" si="18"/>
        <v>0</v>
      </c>
      <c r="G615" s="93">
        <f t="shared" si="19"/>
        <v>0</v>
      </c>
    </row>
    <row r="616" spans="1:7" x14ac:dyDescent="0.25">
      <c r="A616" s="106">
        <v>617</v>
      </c>
      <c r="B616" s="107"/>
      <c r="C616" s="108"/>
      <c r="D616" s="7" t="s">
        <v>115</v>
      </c>
      <c r="E616" s="109"/>
      <c r="F616">
        <f t="shared" si="18"/>
        <v>0</v>
      </c>
      <c r="G616" s="93">
        <f t="shared" si="19"/>
        <v>0</v>
      </c>
    </row>
    <row r="617" spans="1:7" x14ac:dyDescent="0.25">
      <c r="A617" s="106">
        <v>618</v>
      </c>
      <c r="B617" s="107"/>
      <c r="C617" s="108"/>
      <c r="D617" s="7" t="s">
        <v>115</v>
      </c>
      <c r="E617" s="109"/>
      <c r="F617">
        <f t="shared" si="18"/>
        <v>0</v>
      </c>
      <c r="G617" s="93">
        <f t="shared" si="19"/>
        <v>0</v>
      </c>
    </row>
    <row r="618" spans="1:7" x14ac:dyDescent="0.25">
      <c r="A618" s="106">
        <v>619</v>
      </c>
      <c r="B618" s="107"/>
      <c r="C618" s="108"/>
      <c r="D618" s="7" t="s">
        <v>115</v>
      </c>
      <c r="E618" s="109"/>
      <c r="F618">
        <f t="shared" si="18"/>
        <v>0</v>
      </c>
      <c r="G618" s="93">
        <f t="shared" si="19"/>
        <v>0</v>
      </c>
    </row>
    <row r="619" spans="1:7" x14ac:dyDescent="0.25">
      <c r="A619" s="106">
        <v>620</v>
      </c>
      <c r="B619" s="107"/>
      <c r="C619" s="108"/>
      <c r="D619" s="7" t="s">
        <v>115</v>
      </c>
      <c r="E619" s="109"/>
      <c r="F619">
        <f t="shared" si="18"/>
        <v>0</v>
      </c>
      <c r="G619" s="93">
        <f t="shared" si="19"/>
        <v>0</v>
      </c>
    </row>
    <row r="620" spans="1:7" x14ac:dyDescent="0.25">
      <c r="A620" s="106">
        <v>621</v>
      </c>
      <c r="B620" s="107"/>
      <c r="C620" s="108"/>
      <c r="D620" s="7" t="s">
        <v>115</v>
      </c>
      <c r="E620" s="109"/>
      <c r="F620">
        <f t="shared" si="18"/>
        <v>0</v>
      </c>
      <c r="G620" s="93">
        <f t="shared" si="19"/>
        <v>0</v>
      </c>
    </row>
    <row r="621" spans="1:7" x14ac:dyDescent="0.25">
      <c r="A621" s="106">
        <v>622</v>
      </c>
      <c r="B621" s="107"/>
      <c r="C621" s="108"/>
      <c r="D621" s="7" t="s">
        <v>115</v>
      </c>
      <c r="E621" s="109"/>
      <c r="F621">
        <f t="shared" si="18"/>
        <v>0</v>
      </c>
      <c r="G621" s="93">
        <f t="shared" si="19"/>
        <v>0</v>
      </c>
    </row>
    <row r="622" spans="1:7" x14ac:dyDescent="0.25">
      <c r="A622" s="106">
        <v>623</v>
      </c>
      <c r="B622" s="107"/>
      <c r="C622" s="108"/>
      <c r="D622" s="7" t="s">
        <v>115</v>
      </c>
      <c r="E622" s="109"/>
      <c r="F622">
        <f t="shared" si="18"/>
        <v>0</v>
      </c>
      <c r="G622" s="93">
        <f t="shared" si="19"/>
        <v>0</v>
      </c>
    </row>
    <row r="623" spans="1:7" x14ac:dyDescent="0.25">
      <c r="A623" s="106">
        <v>624</v>
      </c>
      <c r="B623" s="107"/>
      <c r="C623" s="108"/>
      <c r="D623" s="7" t="s">
        <v>115</v>
      </c>
      <c r="E623" s="109"/>
      <c r="F623">
        <f t="shared" si="18"/>
        <v>0</v>
      </c>
      <c r="G623" s="93">
        <f t="shared" si="19"/>
        <v>0</v>
      </c>
    </row>
    <row r="624" spans="1:7" x14ac:dyDescent="0.25">
      <c r="A624" s="106">
        <v>625</v>
      </c>
      <c r="B624" s="107"/>
      <c r="C624" s="108"/>
      <c r="D624" s="7" t="s">
        <v>115</v>
      </c>
      <c r="E624" s="109"/>
      <c r="F624">
        <f t="shared" si="18"/>
        <v>0</v>
      </c>
      <c r="G624" s="93">
        <f t="shared" si="19"/>
        <v>0</v>
      </c>
    </row>
    <row r="625" spans="3:3" x14ac:dyDescent="0.25">
      <c r="C625" s="93">
        <f>SUM(C1:C624)</f>
        <v>1001.8</v>
      </c>
    </row>
  </sheetData>
  <customSheetViews>
    <customSheetView guid="{DB9894F0-96BC-4C04-8D04-FF3607BEBF53}" topLeftCell="A298">
      <selection activeCell="E308" sqref="E308"/>
      <pageMargins left="0" right="0" top="0" bottom="0" header="0" footer="0"/>
      <pageSetup orientation="portrait" horizontalDpi="4294967295" verticalDpi="4294967295" r:id="rId1"/>
    </customSheetView>
    <customSheetView guid="{8D8BE001-C296-444A-B8AC-56385A059ADB}">
      <selection activeCell="B1" sqref="B1"/>
      <pageMargins left="0" right="0" top="0" bottom="0" header="0" footer="0"/>
      <pageSetup orientation="portrait" horizontalDpi="4294967295" verticalDpi="4294967295" r:id="rId2"/>
    </customSheetView>
    <customSheetView guid="{5A7B666F-E305-4A9E-98DD-F5DEC8A780A3}" topLeftCell="A603">
      <selection activeCell="C624" sqref="C624"/>
      <pageMargins left="0" right="0" top="0" bottom="0" header="0" footer="0"/>
      <pageSetup orientation="portrait" horizontalDpi="4294967295" verticalDpi="4294967295" r:id="rId3"/>
    </customSheetView>
    <customSheetView guid="{A8BCBFE8-6A1E-4872-B017-B3136BC584DB}" topLeftCell="A298">
      <selection activeCell="E308" sqref="E308"/>
      <pageMargins left="0" right="0" top="0" bottom="0" header="0" footer="0"/>
      <pageSetup orientation="portrait" horizontalDpi="4294967295" verticalDpi="4294967295" r:id="rId4"/>
    </customSheetView>
  </customSheetViews>
  <pageMargins left="0.7" right="0.7" top="0.75" bottom="0.75" header="0.3" footer="0.3"/>
  <pageSetup orientation="portrait" horizontalDpi="4294967295" verticalDpi="4294967295" r:id="rId5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Hoja7"/>
  <dimension ref="A1:DM512"/>
  <sheetViews>
    <sheetView workbookViewId="0">
      <selection activeCell="A2" sqref="A2"/>
    </sheetView>
  </sheetViews>
  <sheetFormatPr baseColWidth="10" defaultColWidth="11.42578125" defaultRowHeight="15" x14ac:dyDescent="0.25"/>
  <cols>
    <col min="1" max="1" width="40" bestFit="1" customWidth="1"/>
    <col min="3" max="3" width="15.7109375" customWidth="1"/>
    <col min="4" max="4" width="14.5703125" customWidth="1"/>
    <col min="5" max="5" width="12.28515625" customWidth="1"/>
    <col min="6" max="6" width="14.5703125" customWidth="1"/>
    <col min="7" max="7" width="18.140625" customWidth="1"/>
  </cols>
  <sheetData>
    <row r="1" spans="1:7" ht="15.75" thickBot="1" x14ac:dyDescent="0.3">
      <c r="A1" s="58" t="s">
        <v>63</v>
      </c>
      <c r="B1" s="58" t="s">
        <v>79</v>
      </c>
      <c r="C1" s="66" t="s">
        <v>159</v>
      </c>
      <c r="D1" s="66" t="s">
        <v>160</v>
      </c>
      <c r="E1" s="66" t="s">
        <v>106</v>
      </c>
      <c r="F1" s="66" t="s">
        <v>110</v>
      </c>
      <c r="G1" s="66" t="s">
        <v>161</v>
      </c>
    </row>
    <row r="2" spans="1:7" x14ac:dyDescent="0.25">
      <c r="A2" s="107" t="s">
        <v>112</v>
      </c>
      <c r="B2" s="109">
        <v>1218320287</v>
      </c>
      <c r="C2" s="109"/>
      <c r="D2" s="107"/>
      <c r="E2" s="179"/>
      <c r="F2" s="108"/>
      <c r="G2" s="168"/>
    </row>
    <row r="3" spans="1:7" x14ac:dyDescent="0.25">
      <c r="A3" s="107"/>
      <c r="B3" s="109"/>
      <c r="C3" s="109"/>
      <c r="D3" s="107"/>
      <c r="E3" s="179"/>
      <c r="F3" s="108"/>
    </row>
    <row r="4" spans="1:7" x14ac:dyDescent="0.25">
      <c r="A4" s="107"/>
      <c r="B4" s="109"/>
      <c r="C4" s="109"/>
      <c r="D4" s="107"/>
      <c r="E4" s="179"/>
      <c r="F4" s="108"/>
    </row>
    <row r="5" spans="1:7" x14ac:dyDescent="0.25">
      <c r="A5" s="107"/>
      <c r="B5" s="109"/>
      <c r="C5" s="109"/>
      <c r="D5" s="107"/>
      <c r="E5" s="179"/>
      <c r="F5" s="108"/>
    </row>
    <row r="6" spans="1:7" x14ac:dyDescent="0.25">
      <c r="A6" s="107"/>
      <c r="B6" s="109"/>
      <c r="C6" s="109"/>
      <c r="D6" s="107"/>
      <c r="E6" s="179"/>
      <c r="F6" s="108"/>
    </row>
    <row r="7" spans="1:7" x14ac:dyDescent="0.25">
      <c r="A7" s="107"/>
      <c r="B7" s="109"/>
      <c r="C7" s="109"/>
      <c r="D7" s="107"/>
      <c r="E7" s="179"/>
      <c r="F7" s="108"/>
    </row>
    <row r="8" spans="1:7" x14ac:dyDescent="0.25">
      <c r="A8" s="107"/>
      <c r="B8" s="109"/>
      <c r="C8" s="109"/>
      <c r="D8" s="107"/>
      <c r="E8" s="179"/>
      <c r="F8" s="108"/>
    </row>
    <row r="9" spans="1:7" x14ac:dyDescent="0.25">
      <c r="A9" s="107"/>
      <c r="B9" s="110"/>
      <c r="C9" s="109"/>
      <c r="D9" s="107"/>
      <c r="E9" s="179"/>
      <c r="F9" s="108"/>
    </row>
    <row r="10" spans="1:7" x14ac:dyDescent="0.25">
      <c r="A10" s="107"/>
      <c r="B10" s="109"/>
      <c r="C10" s="109"/>
      <c r="D10" s="107"/>
      <c r="E10" s="179"/>
      <c r="F10" s="108"/>
    </row>
    <row r="11" spans="1:7" x14ac:dyDescent="0.25">
      <c r="A11" s="107"/>
      <c r="B11" s="109"/>
      <c r="C11" s="109"/>
      <c r="D11" s="107"/>
      <c r="E11" s="179"/>
      <c r="F11" s="108"/>
    </row>
    <row r="12" spans="1:7" x14ac:dyDescent="0.25">
      <c r="A12" s="107"/>
      <c r="B12" s="109"/>
      <c r="C12" s="109"/>
      <c r="D12" s="107"/>
      <c r="E12" s="179"/>
      <c r="F12" s="108"/>
    </row>
    <row r="13" spans="1:7" x14ac:dyDescent="0.25">
      <c r="A13" s="107"/>
      <c r="B13" s="109"/>
      <c r="C13" s="109"/>
      <c r="D13" s="107"/>
      <c r="E13" s="179"/>
      <c r="F13" s="108"/>
    </row>
    <row r="14" spans="1:7" x14ac:dyDescent="0.25">
      <c r="A14" s="107"/>
      <c r="B14" s="109"/>
      <c r="C14" s="109"/>
      <c r="D14" s="107"/>
      <c r="E14" s="179"/>
      <c r="F14" s="108"/>
    </row>
    <row r="15" spans="1:7" x14ac:dyDescent="0.25">
      <c r="A15" s="107"/>
      <c r="B15" s="110"/>
      <c r="C15" s="109"/>
      <c r="D15" s="107"/>
      <c r="E15" s="179"/>
      <c r="F15" s="108"/>
    </row>
    <row r="16" spans="1:7" x14ac:dyDescent="0.25">
      <c r="A16" s="107"/>
      <c r="B16" s="109"/>
      <c r="C16" s="109"/>
      <c r="D16" s="107"/>
      <c r="E16" s="179"/>
      <c r="F16" s="108"/>
    </row>
    <row r="17" spans="1:6" x14ac:dyDescent="0.25">
      <c r="A17" s="107"/>
      <c r="B17" s="110"/>
      <c r="C17" s="109"/>
      <c r="D17" s="107"/>
      <c r="E17" s="179"/>
      <c r="F17" s="108"/>
    </row>
    <row r="18" spans="1:6" x14ac:dyDescent="0.25">
      <c r="A18" s="5"/>
      <c r="B18" s="109"/>
      <c r="C18" s="109"/>
      <c r="D18" s="107"/>
      <c r="E18" s="179"/>
      <c r="F18" s="108"/>
    </row>
    <row r="19" spans="1:6" x14ac:dyDescent="0.25">
      <c r="A19" s="107"/>
      <c r="B19" s="109"/>
      <c r="C19" s="109"/>
      <c r="D19" s="107"/>
      <c r="E19" s="179"/>
      <c r="F19" s="108"/>
    </row>
    <row r="20" spans="1:6" x14ac:dyDescent="0.25">
      <c r="A20" s="5"/>
      <c r="B20" s="109"/>
      <c r="C20" s="109"/>
      <c r="D20" s="107"/>
      <c r="E20" s="179"/>
      <c r="F20" s="108"/>
    </row>
    <row r="21" spans="1:6" x14ac:dyDescent="0.25">
      <c r="A21" s="107"/>
      <c r="B21" s="109"/>
      <c r="C21" s="109"/>
      <c r="D21" s="107"/>
      <c r="E21" s="179"/>
      <c r="F21" s="108"/>
    </row>
    <row r="22" spans="1:6" x14ac:dyDescent="0.25">
      <c r="A22" s="107"/>
      <c r="B22" s="110"/>
      <c r="C22" s="109"/>
      <c r="D22" s="107"/>
      <c r="E22" s="179"/>
      <c r="F22" s="108"/>
    </row>
    <row r="23" spans="1:6" x14ac:dyDescent="0.25">
      <c r="A23" s="107"/>
      <c r="B23" s="109"/>
      <c r="C23" s="109"/>
      <c r="D23" s="107"/>
      <c r="E23" s="179"/>
      <c r="F23" s="108"/>
    </row>
    <row r="24" spans="1:6" x14ac:dyDescent="0.25">
      <c r="A24" s="107"/>
      <c r="B24" s="109"/>
      <c r="C24" s="109"/>
      <c r="D24" s="107"/>
      <c r="E24" s="179"/>
      <c r="F24" s="108"/>
    </row>
    <row r="25" spans="1:6" x14ac:dyDescent="0.25">
      <c r="A25" s="107"/>
      <c r="B25" s="109"/>
      <c r="C25" s="109"/>
      <c r="D25" s="107"/>
      <c r="E25" s="179"/>
      <c r="F25" s="108"/>
    </row>
    <row r="26" spans="1:6" x14ac:dyDescent="0.25">
      <c r="A26" s="107"/>
      <c r="B26" s="110"/>
      <c r="C26" s="109"/>
      <c r="D26" s="107"/>
      <c r="E26" s="179"/>
      <c r="F26" s="108"/>
    </row>
    <row r="27" spans="1:6" x14ac:dyDescent="0.25">
      <c r="A27" s="107"/>
      <c r="B27" s="109"/>
      <c r="C27" s="109"/>
      <c r="D27" s="107"/>
      <c r="E27" s="179"/>
      <c r="F27" s="108"/>
    </row>
    <row r="28" spans="1:6" x14ac:dyDescent="0.25">
      <c r="A28" s="107"/>
      <c r="B28" s="109"/>
      <c r="C28" s="109"/>
      <c r="D28" s="107"/>
      <c r="E28" s="179"/>
      <c r="F28" s="108"/>
    </row>
    <row r="29" spans="1:6" x14ac:dyDescent="0.25">
      <c r="A29" s="107"/>
      <c r="B29" s="109"/>
      <c r="C29" s="109"/>
      <c r="D29" s="107"/>
      <c r="E29" s="179"/>
      <c r="F29" s="108"/>
    </row>
    <row r="30" spans="1:6" x14ac:dyDescent="0.25">
      <c r="A30" s="107"/>
      <c r="B30" s="109"/>
      <c r="C30" s="109"/>
      <c r="D30" s="107"/>
      <c r="E30" s="179"/>
      <c r="F30" s="108"/>
    </row>
    <row r="31" spans="1:6" x14ac:dyDescent="0.25">
      <c r="A31" s="107"/>
      <c r="B31" s="109"/>
      <c r="C31" s="109"/>
      <c r="D31" s="107"/>
      <c r="E31" s="179"/>
      <c r="F31" s="108"/>
    </row>
    <row r="32" spans="1:6" x14ac:dyDescent="0.25">
      <c r="A32" s="107"/>
      <c r="B32" s="109"/>
      <c r="C32" s="109"/>
      <c r="D32" s="107"/>
      <c r="E32" s="179"/>
      <c r="F32" s="108"/>
    </row>
    <row r="33" spans="1:6" x14ac:dyDescent="0.25">
      <c r="A33" s="107"/>
      <c r="B33" s="109"/>
      <c r="C33" s="109"/>
      <c r="D33" s="107"/>
      <c r="E33" s="179"/>
      <c r="F33" s="108"/>
    </row>
    <row r="34" spans="1:6" x14ac:dyDescent="0.25">
      <c r="A34" s="107"/>
      <c r="B34" s="109"/>
      <c r="C34" s="109"/>
      <c r="D34" s="107"/>
      <c r="E34" s="179"/>
      <c r="F34" s="108"/>
    </row>
    <row r="35" spans="1:6" x14ac:dyDescent="0.25">
      <c r="A35" s="107"/>
      <c r="B35" s="110"/>
      <c r="C35" s="109"/>
      <c r="D35" s="107"/>
      <c r="E35" s="179"/>
      <c r="F35" s="108"/>
    </row>
    <row r="36" spans="1:6" x14ac:dyDescent="0.25">
      <c r="A36" s="107"/>
      <c r="B36" s="109"/>
      <c r="C36" s="109"/>
      <c r="D36" s="107"/>
      <c r="E36" s="179"/>
      <c r="F36" s="108"/>
    </row>
    <row r="37" spans="1:6" x14ac:dyDescent="0.25">
      <c r="A37" s="107"/>
      <c r="B37" s="110"/>
      <c r="C37" s="109"/>
      <c r="D37" s="107"/>
      <c r="E37" s="179"/>
      <c r="F37" s="108"/>
    </row>
    <row r="38" spans="1:6" x14ac:dyDescent="0.25">
      <c r="A38" s="107"/>
      <c r="B38" s="109"/>
      <c r="C38" s="109"/>
      <c r="D38" s="107"/>
      <c r="E38" s="179"/>
      <c r="F38" s="108"/>
    </row>
    <row r="39" spans="1:6" x14ac:dyDescent="0.25">
      <c r="A39" s="107"/>
      <c r="B39" s="109"/>
      <c r="C39" s="109"/>
      <c r="D39" s="107"/>
      <c r="E39" s="179"/>
      <c r="F39" s="108"/>
    </row>
    <row r="40" spans="1:6" x14ac:dyDescent="0.25">
      <c r="A40" s="107"/>
      <c r="B40" s="109"/>
      <c r="C40" s="109"/>
      <c r="D40" s="107"/>
      <c r="E40" s="179"/>
      <c r="F40" s="108"/>
    </row>
    <row r="41" spans="1:6" x14ac:dyDescent="0.25">
      <c r="A41" s="107"/>
      <c r="B41" s="109"/>
      <c r="C41" s="109"/>
      <c r="D41" s="107"/>
      <c r="E41" s="179"/>
      <c r="F41" s="108"/>
    </row>
    <row r="42" spans="1:6" x14ac:dyDescent="0.25">
      <c r="A42" s="107"/>
      <c r="B42" s="110"/>
      <c r="C42" s="109"/>
      <c r="D42" s="107"/>
      <c r="E42" s="179"/>
      <c r="F42" s="108"/>
    </row>
    <row r="43" spans="1:6" x14ac:dyDescent="0.25">
      <c r="A43" s="107"/>
      <c r="B43" s="110"/>
      <c r="C43" s="109"/>
      <c r="D43" s="107"/>
      <c r="E43" s="179"/>
      <c r="F43" s="108"/>
    </row>
    <row r="44" spans="1:6" x14ac:dyDescent="0.25">
      <c r="A44" s="107"/>
      <c r="B44" s="110"/>
      <c r="C44" s="109"/>
      <c r="D44" s="107"/>
      <c r="E44" s="179"/>
      <c r="F44" s="108"/>
    </row>
    <row r="45" spans="1:6" x14ac:dyDescent="0.25">
      <c r="A45" s="107"/>
      <c r="B45" s="109"/>
      <c r="C45" s="109"/>
      <c r="D45" s="107"/>
      <c r="E45" s="179"/>
      <c r="F45" s="108"/>
    </row>
    <row r="46" spans="1:6" x14ac:dyDescent="0.25">
      <c r="A46" s="107"/>
      <c r="B46" s="109"/>
      <c r="C46" s="109"/>
      <c r="D46" s="107"/>
      <c r="E46" s="179"/>
      <c r="F46" s="108"/>
    </row>
    <row r="47" spans="1:6" x14ac:dyDescent="0.25">
      <c r="A47" s="107"/>
      <c r="B47" s="109"/>
      <c r="C47" s="109"/>
      <c r="D47" s="107"/>
      <c r="E47" s="179"/>
      <c r="F47" s="108"/>
    </row>
    <row r="48" spans="1:6" x14ac:dyDescent="0.25">
      <c r="A48" s="107"/>
      <c r="B48" s="109"/>
      <c r="C48" s="109"/>
      <c r="D48" s="107"/>
      <c r="E48" s="179"/>
      <c r="F48" s="108"/>
    </row>
    <row r="49" spans="1:6" x14ac:dyDescent="0.25">
      <c r="A49" s="107"/>
      <c r="B49" s="109"/>
      <c r="C49" s="109"/>
      <c r="D49" s="107"/>
      <c r="E49" s="179"/>
      <c r="F49" s="108"/>
    </row>
    <row r="50" spans="1:6" x14ac:dyDescent="0.25">
      <c r="A50" s="107"/>
      <c r="B50" s="109"/>
      <c r="C50" s="109"/>
      <c r="D50" s="107"/>
      <c r="E50" s="179"/>
      <c r="F50" s="108"/>
    </row>
    <row r="51" spans="1:6" x14ac:dyDescent="0.25">
      <c r="A51" s="107"/>
      <c r="B51" s="109"/>
      <c r="C51" s="109"/>
      <c r="D51" s="107"/>
      <c r="E51" s="179"/>
      <c r="F51" s="108"/>
    </row>
    <row r="52" spans="1:6" x14ac:dyDescent="0.25">
      <c r="A52" s="107"/>
      <c r="B52" s="109"/>
      <c r="C52" s="109"/>
      <c r="D52" s="107"/>
      <c r="E52" s="179"/>
      <c r="F52" s="108"/>
    </row>
    <row r="53" spans="1:6" x14ac:dyDescent="0.25">
      <c r="A53" s="107"/>
      <c r="B53" s="109"/>
      <c r="C53" s="109"/>
      <c r="D53" s="107"/>
      <c r="E53" s="179"/>
      <c r="F53" s="108"/>
    </row>
    <row r="54" spans="1:6" x14ac:dyDescent="0.25">
      <c r="A54" s="107"/>
      <c r="B54" s="109"/>
      <c r="C54" s="109"/>
      <c r="D54" s="107"/>
      <c r="E54" s="179"/>
      <c r="F54" s="108"/>
    </row>
    <row r="55" spans="1:6" x14ac:dyDescent="0.25">
      <c r="A55" s="107"/>
      <c r="B55" s="110"/>
      <c r="C55" s="109"/>
      <c r="D55" s="107"/>
      <c r="E55" s="179"/>
      <c r="F55" s="108"/>
    </row>
    <row r="56" spans="1:6" x14ac:dyDescent="0.25">
      <c r="A56" s="107"/>
      <c r="B56" s="109"/>
      <c r="C56" s="109"/>
      <c r="D56" s="107"/>
      <c r="E56" s="179"/>
      <c r="F56" s="108"/>
    </row>
    <row r="57" spans="1:6" x14ac:dyDescent="0.25">
      <c r="A57" s="107"/>
      <c r="B57" s="109"/>
      <c r="C57" s="109"/>
      <c r="D57" s="107"/>
      <c r="E57" s="179"/>
      <c r="F57" s="108"/>
    </row>
    <row r="58" spans="1:6" x14ac:dyDescent="0.25">
      <c r="A58" s="107"/>
      <c r="B58" s="109"/>
      <c r="C58" s="109"/>
      <c r="D58" s="107"/>
      <c r="E58" s="179"/>
      <c r="F58" s="108"/>
    </row>
    <row r="59" spans="1:6" x14ac:dyDescent="0.25">
      <c r="A59" s="107"/>
      <c r="B59" s="109"/>
      <c r="C59" s="109"/>
      <c r="D59" s="107"/>
      <c r="E59" s="179"/>
      <c r="F59" s="108"/>
    </row>
    <row r="60" spans="1:6" x14ac:dyDescent="0.25">
      <c r="A60" s="107"/>
      <c r="B60" s="109"/>
      <c r="C60" s="109"/>
      <c r="D60" s="107"/>
      <c r="E60" s="179"/>
      <c r="F60" s="108"/>
    </row>
    <row r="61" spans="1:6" x14ac:dyDescent="0.25">
      <c r="A61" s="107"/>
      <c r="B61" s="109"/>
      <c r="C61" s="109"/>
      <c r="D61" s="107"/>
      <c r="E61" s="179"/>
      <c r="F61" s="108"/>
    </row>
    <row r="62" spans="1:6" x14ac:dyDescent="0.25">
      <c r="A62" s="107"/>
      <c r="B62" s="109"/>
      <c r="C62" s="109"/>
      <c r="D62" s="107"/>
      <c r="E62" s="179"/>
      <c r="F62" s="108"/>
    </row>
    <row r="63" spans="1:6" x14ac:dyDescent="0.25">
      <c r="A63" s="107"/>
      <c r="B63" s="109"/>
      <c r="C63" s="109"/>
      <c r="D63" s="107"/>
      <c r="E63" s="179"/>
      <c r="F63" s="108"/>
    </row>
    <row r="64" spans="1:6" x14ac:dyDescent="0.25">
      <c r="A64" s="107"/>
      <c r="B64" s="110"/>
      <c r="C64" s="109"/>
      <c r="D64" s="107"/>
      <c r="E64" s="179"/>
      <c r="F64" s="108"/>
    </row>
    <row r="65" spans="1:6" x14ac:dyDescent="0.25">
      <c r="A65" s="107"/>
      <c r="B65" s="109"/>
      <c r="C65" s="109"/>
      <c r="D65" s="107"/>
      <c r="E65" s="179"/>
      <c r="F65" s="108"/>
    </row>
    <row r="66" spans="1:6" x14ac:dyDescent="0.25">
      <c r="A66" s="107"/>
      <c r="B66" s="110"/>
      <c r="C66" s="109"/>
      <c r="D66" s="107"/>
      <c r="E66" s="179"/>
      <c r="F66" s="108"/>
    </row>
    <row r="67" spans="1:6" x14ac:dyDescent="0.25">
      <c r="A67" s="107"/>
      <c r="B67" s="110"/>
      <c r="C67" s="109"/>
      <c r="D67" s="107"/>
      <c r="E67" s="179"/>
      <c r="F67" s="108"/>
    </row>
    <row r="68" spans="1:6" x14ac:dyDescent="0.25">
      <c r="A68" s="107"/>
      <c r="B68" s="109"/>
      <c r="C68" s="109"/>
      <c r="D68" s="107"/>
      <c r="E68" s="179"/>
      <c r="F68" s="108"/>
    </row>
    <row r="69" spans="1:6" x14ac:dyDescent="0.25">
      <c r="A69" s="107"/>
      <c r="B69" s="109"/>
      <c r="C69" s="109"/>
      <c r="D69" s="107"/>
      <c r="E69" s="179"/>
      <c r="F69" s="108"/>
    </row>
    <row r="70" spans="1:6" x14ac:dyDescent="0.25">
      <c r="A70" s="107"/>
      <c r="B70" s="109"/>
      <c r="C70" s="109"/>
      <c r="D70" s="107"/>
      <c r="E70" s="179"/>
      <c r="F70" s="108"/>
    </row>
    <row r="71" spans="1:6" x14ac:dyDescent="0.25">
      <c r="A71" s="107"/>
      <c r="B71" s="109"/>
      <c r="C71" s="109"/>
      <c r="D71" s="107"/>
      <c r="E71" s="179"/>
      <c r="F71" s="108"/>
    </row>
    <row r="72" spans="1:6" x14ac:dyDescent="0.25">
      <c r="A72" s="107"/>
      <c r="B72" s="110"/>
      <c r="C72" s="109"/>
      <c r="D72" s="107"/>
      <c r="E72" s="179"/>
      <c r="F72" s="108"/>
    </row>
    <row r="73" spans="1:6" x14ac:dyDescent="0.25">
      <c r="A73" s="107"/>
      <c r="B73" s="109"/>
      <c r="C73" s="109"/>
      <c r="D73" s="107"/>
      <c r="E73" s="179"/>
      <c r="F73" s="108"/>
    </row>
    <row r="74" spans="1:6" x14ac:dyDescent="0.25">
      <c r="A74" s="111"/>
      <c r="B74" s="109"/>
      <c r="C74" s="109"/>
      <c r="D74" s="107"/>
      <c r="E74" s="179"/>
      <c r="F74" s="108"/>
    </row>
    <row r="75" spans="1:6" x14ac:dyDescent="0.25">
      <c r="A75" s="107"/>
      <c r="B75" s="109"/>
      <c r="C75" s="109"/>
      <c r="D75" s="107"/>
      <c r="E75" s="179"/>
      <c r="F75" s="108"/>
    </row>
    <row r="76" spans="1:6" x14ac:dyDescent="0.25">
      <c r="A76" s="107"/>
      <c r="B76" s="109"/>
      <c r="C76" s="109"/>
      <c r="D76" s="107"/>
      <c r="E76" s="179"/>
      <c r="F76" s="108"/>
    </row>
    <row r="77" spans="1:6" x14ac:dyDescent="0.25">
      <c r="A77" s="107"/>
      <c r="B77" s="109"/>
      <c r="C77" s="109"/>
      <c r="D77" s="107"/>
      <c r="E77" s="179"/>
      <c r="F77" s="108"/>
    </row>
    <row r="78" spans="1:6" x14ac:dyDescent="0.25">
      <c r="A78" s="107"/>
      <c r="B78" s="109"/>
      <c r="C78" s="109"/>
      <c r="D78" s="107"/>
      <c r="E78" s="179"/>
      <c r="F78" s="108"/>
    </row>
    <row r="79" spans="1:6" x14ac:dyDescent="0.25">
      <c r="A79" s="107"/>
      <c r="B79" s="109"/>
      <c r="C79" s="109"/>
      <c r="D79" s="107"/>
      <c r="E79" s="179"/>
      <c r="F79" s="108"/>
    </row>
    <row r="80" spans="1:6" x14ac:dyDescent="0.25">
      <c r="A80" s="107"/>
      <c r="B80" s="109"/>
      <c r="C80" s="109"/>
      <c r="D80" s="107"/>
      <c r="E80" s="179"/>
      <c r="F80" s="108"/>
    </row>
    <row r="81" spans="1:117" x14ac:dyDescent="0.25">
      <c r="A81" s="107"/>
      <c r="B81" s="109"/>
      <c r="C81" s="109"/>
      <c r="D81" s="107"/>
      <c r="E81" s="179"/>
      <c r="F81" s="108"/>
    </row>
    <row r="82" spans="1:117" x14ac:dyDescent="0.25">
      <c r="A82" s="107"/>
      <c r="B82" s="109"/>
      <c r="C82" s="109"/>
      <c r="D82" s="107"/>
      <c r="E82" s="179"/>
      <c r="F82" s="108"/>
    </row>
    <row r="83" spans="1:117" x14ac:dyDescent="0.25">
      <c r="A83" s="107"/>
      <c r="B83" s="110"/>
      <c r="C83" s="109"/>
      <c r="D83" s="107"/>
      <c r="E83" s="179"/>
      <c r="F83" s="108"/>
    </row>
    <row r="84" spans="1:117" x14ac:dyDescent="0.25">
      <c r="A84" s="107"/>
      <c r="B84" s="109"/>
      <c r="C84" s="109"/>
      <c r="D84" s="107"/>
      <c r="E84" s="179"/>
      <c r="F84" s="108"/>
    </row>
    <row r="85" spans="1:117" x14ac:dyDescent="0.25">
      <c r="A85" s="107"/>
      <c r="B85" s="109"/>
      <c r="C85" s="109"/>
      <c r="D85" s="107"/>
      <c r="E85" s="179"/>
      <c r="F85" s="108"/>
    </row>
    <row r="86" spans="1:117" x14ac:dyDescent="0.25">
      <c r="A86" s="107"/>
      <c r="B86" s="109"/>
      <c r="C86" s="109"/>
      <c r="D86" s="107"/>
      <c r="E86" s="179"/>
      <c r="F86" s="108"/>
    </row>
    <row r="87" spans="1:117" x14ac:dyDescent="0.25">
      <c r="A87" s="107"/>
      <c r="B87" s="109"/>
      <c r="C87" s="109"/>
      <c r="D87" s="107"/>
      <c r="E87" s="179"/>
      <c r="F87" s="108"/>
    </row>
    <row r="88" spans="1:117" x14ac:dyDescent="0.25">
      <c r="A88" s="107"/>
      <c r="B88" s="109"/>
      <c r="C88" s="109"/>
      <c r="D88" s="107"/>
      <c r="E88" s="179"/>
      <c r="F88" s="108"/>
    </row>
    <row r="89" spans="1:117" x14ac:dyDescent="0.25">
      <c r="A89" s="107"/>
      <c r="B89" s="109"/>
      <c r="C89" s="109"/>
      <c r="D89" s="107"/>
      <c r="E89" s="179"/>
      <c r="F89" s="108"/>
    </row>
    <row r="90" spans="1:117" x14ac:dyDescent="0.25">
      <c r="A90" s="107"/>
      <c r="B90" s="110"/>
      <c r="C90" s="109"/>
      <c r="D90" s="107"/>
      <c r="E90" s="179"/>
      <c r="F90" s="108"/>
    </row>
    <row r="91" spans="1:117" x14ac:dyDescent="0.25">
      <c r="A91" s="107"/>
      <c r="B91" s="109"/>
      <c r="C91" s="109"/>
      <c r="D91" s="107"/>
      <c r="E91" s="179"/>
      <c r="F91" s="108"/>
      <c r="DM91" t="s">
        <v>48</v>
      </c>
    </row>
    <row r="92" spans="1:117" x14ac:dyDescent="0.25">
      <c r="A92" s="107"/>
      <c r="B92" s="109"/>
      <c r="C92" s="109"/>
      <c r="D92" s="107"/>
      <c r="E92" s="179"/>
      <c r="F92" s="108"/>
    </row>
    <row r="93" spans="1:117" x14ac:dyDescent="0.25">
      <c r="A93" s="107"/>
      <c r="B93" s="110"/>
      <c r="C93" s="109"/>
      <c r="D93" s="107"/>
      <c r="E93" s="179"/>
      <c r="F93" s="108"/>
    </row>
    <row r="94" spans="1:117" x14ac:dyDescent="0.25">
      <c r="A94" s="107"/>
      <c r="B94" s="109"/>
      <c r="C94" s="109"/>
      <c r="D94" s="107"/>
      <c r="E94" s="179"/>
      <c r="F94" s="108"/>
    </row>
    <row r="95" spans="1:117" x14ac:dyDescent="0.25">
      <c r="A95" s="107"/>
      <c r="B95" s="109"/>
      <c r="C95" s="109"/>
      <c r="D95" s="107"/>
      <c r="E95" s="179"/>
      <c r="F95" s="108"/>
    </row>
    <row r="96" spans="1:117" x14ac:dyDescent="0.25">
      <c r="A96" s="107"/>
      <c r="B96" s="109"/>
      <c r="C96" s="109"/>
      <c r="D96" s="107"/>
      <c r="E96" s="179"/>
      <c r="F96" s="108"/>
    </row>
    <row r="97" spans="1:6" x14ac:dyDescent="0.25">
      <c r="A97" s="107"/>
      <c r="B97" s="109"/>
      <c r="C97" s="109"/>
      <c r="D97" s="107"/>
      <c r="E97" s="179"/>
      <c r="F97" s="108"/>
    </row>
    <row r="98" spans="1:6" x14ac:dyDescent="0.25">
      <c r="A98" s="107"/>
      <c r="B98" s="109"/>
      <c r="C98" s="109"/>
      <c r="D98" s="107"/>
      <c r="E98" s="179"/>
      <c r="F98" s="108"/>
    </row>
    <row r="99" spans="1:6" x14ac:dyDescent="0.25">
      <c r="A99" s="107"/>
      <c r="B99" s="109"/>
      <c r="C99" s="109"/>
      <c r="D99" s="107"/>
      <c r="E99" s="179"/>
      <c r="F99" s="108"/>
    </row>
    <row r="100" spans="1:6" x14ac:dyDescent="0.25">
      <c r="A100" s="107"/>
      <c r="B100" s="109"/>
      <c r="C100" s="109"/>
      <c r="D100" s="107"/>
      <c r="E100" s="179"/>
      <c r="F100" s="108"/>
    </row>
    <row r="101" spans="1:6" x14ac:dyDescent="0.25">
      <c r="A101" s="107"/>
      <c r="B101" s="110"/>
      <c r="C101" s="109"/>
      <c r="D101" s="107"/>
      <c r="E101" s="179"/>
      <c r="F101" s="108"/>
    </row>
    <row r="102" spans="1:6" x14ac:dyDescent="0.25">
      <c r="A102" s="107"/>
      <c r="B102" s="109"/>
      <c r="C102" s="109"/>
      <c r="D102" s="107"/>
      <c r="E102" s="179"/>
      <c r="F102" s="108"/>
    </row>
    <row r="103" spans="1:6" x14ac:dyDescent="0.25">
      <c r="A103" s="107"/>
      <c r="B103" s="109"/>
      <c r="C103" s="109"/>
      <c r="D103" s="107"/>
      <c r="E103" s="179"/>
      <c r="F103" s="108"/>
    </row>
    <row r="104" spans="1:6" x14ac:dyDescent="0.25">
      <c r="A104" s="107"/>
      <c r="B104" s="110"/>
      <c r="C104" s="109"/>
      <c r="D104" s="107"/>
      <c r="E104" s="179"/>
      <c r="F104" s="108"/>
    </row>
    <row r="105" spans="1:6" x14ac:dyDescent="0.25">
      <c r="A105" s="107"/>
      <c r="B105" s="109"/>
      <c r="C105" s="109"/>
      <c r="D105" s="107"/>
      <c r="E105" s="179"/>
      <c r="F105" s="108"/>
    </row>
    <row r="106" spans="1:6" x14ac:dyDescent="0.25">
      <c r="A106" s="107"/>
      <c r="B106" s="110"/>
      <c r="C106" s="109"/>
      <c r="D106" s="107"/>
      <c r="E106" s="179"/>
      <c r="F106" s="108"/>
    </row>
    <row r="107" spans="1:6" x14ac:dyDescent="0.25">
      <c r="A107" s="107"/>
      <c r="B107" s="109"/>
      <c r="C107" s="109"/>
      <c r="D107" s="107"/>
      <c r="E107" s="179"/>
      <c r="F107" s="108"/>
    </row>
    <row r="108" spans="1:6" x14ac:dyDescent="0.25">
      <c r="A108" s="107"/>
      <c r="B108" s="110"/>
      <c r="C108" s="109"/>
      <c r="D108" s="107"/>
      <c r="E108" s="179"/>
      <c r="F108" s="108"/>
    </row>
    <row r="109" spans="1:6" x14ac:dyDescent="0.25">
      <c r="A109" s="107"/>
      <c r="B109" s="109"/>
      <c r="C109" s="109"/>
      <c r="D109" s="107"/>
      <c r="E109" s="179"/>
      <c r="F109" s="108"/>
    </row>
    <row r="110" spans="1:6" x14ac:dyDescent="0.25">
      <c r="A110" s="107"/>
      <c r="B110" s="109"/>
      <c r="C110" s="109"/>
      <c r="D110" s="107"/>
      <c r="E110" s="179"/>
      <c r="F110" s="108"/>
    </row>
    <row r="111" spans="1:6" x14ac:dyDescent="0.25">
      <c r="A111" s="107"/>
      <c r="B111" s="109"/>
      <c r="C111" s="109"/>
      <c r="D111" s="107"/>
      <c r="E111" s="179"/>
      <c r="F111" s="108"/>
    </row>
    <row r="112" spans="1:6" x14ac:dyDescent="0.25">
      <c r="A112" s="107"/>
      <c r="B112" s="109"/>
      <c r="C112" s="109"/>
      <c r="D112" s="107"/>
      <c r="E112" s="179"/>
      <c r="F112" s="108"/>
    </row>
    <row r="113" spans="1:6" x14ac:dyDescent="0.25">
      <c r="A113" s="107"/>
      <c r="B113" s="109"/>
      <c r="C113" s="109"/>
      <c r="D113" s="107"/>
      <c r="E113" s="179"/>
      <c r="F113" s="108"/>
    </row>
    <row r="114" spans="1:6" x14ac:dyDescent="0.25">
      <c r="A114" s="107"/>
      <c r="B114" s="109"/>
      <c r="C114" s="109"/>
      <c r="D114" s="107"/>
      <c r="E114" s="179"/>
      <c r="F114" s="108"/>
    </row>
    <row r="115" spans="1:6" x14ac:dyDescent="0.25">
      <c r="A115" s="107"/>
      <c r="B115" s="109"/>
      <c r="C115" s="109"/>
      <c r="D115" s="107"/>
      <c r="E115" s="179"/>
      <c r="F115" s="108"/>
    </row>
    <row r="116" spans="1:6" x14ac:dyDescent="0.25">
      <c r="A116" s="107"/>
      <c r="B116" s="110"/>
      <c r="C116" s="109"/>
      <c r="D116" s="107"/>
      <c r="E116" s="179"/>
      <c r="F116" s="108"/>
    </row>
    <row r="117" spans="1:6" x14ac:dyDescent="0.25">
      <c r="A117" s="107"/>
      <c r="B117" s="109"/>
      <c r="C117" s="109"/>
      <c r="D117" s="107"/>
      <c r="E117" s="179"/>
      <c r="F117" s="108"/>
    </row>
    <row r="118" spans="1:6" x14ac:dyDescent="0.25">
      <c r="A118" s="107"/>
      <c r="B118" s="110"/>
      <c r="C118" s="109"/>
      <c r="D118" s="107"/>
      <c r="E118" s="179"/>
      <c r="F118" s="108"/>
    </row>
    <row r="119" spans="1:6" x14ac:dyDescent="0.25">
      <c r="A119" s="107"/>
      <c r="B119" s="109"/>
      <c r="C119" s="109"/>
      <c r="D119" s="107"/>
      <c r="E119" s="179"/>
      <c r="F119" s="108"/>
    </row>
    <row r="120" spans="1:6" x14ac:dyDescent="0.25">
      <c r="A120" s="107"/>
      <c r="B120" s="109"/>
      <c r="C120" s="109"/>
      <c r="D120" s="107"/>
      <c r="E120" s="179"/>
      <c r="F120" s="108"/>
    </row>
    <row r="121" spans="1:6" x14ac:dyDescent="0.25">
      <c r="A121" s="107"/>
      <c r="B121" s="109"/>
      <c r="C121" s="109"/>
      <c r="D121" s="107"/>
      <c r="E121" s="179"/>
      <c r="F121" s="108"/>
    </row>
    <row r="122" spans="1:6" x14ac:dyDescent="0.25">
      <c r="A122" s="107"/>
      <c r="B122" s="109"/>
      <c r="C122" s="109"/>
      <c r="D122" s="107"/>
      <c r="E122" s="179"/>
      <c r="F122" s="108"/>
    </row>
    <row r="123" spans="1:6" x14ac:dyDescent="0.25">
      <c r="A123" s="107"/>
      <c r="B123" s="109"/>
      <c r="C123" s="109"/>
      <c r="D123" s="107"/>
      <c r="E123" s="179"/>
      <c r="F123" s="108"/>
    </row>
    <row r="124" spans="1:6" x14ac:dyDescent="0.25">
      <c r="A124" s="107"/>
      <c r="B124" s="109"/>
      <c r="C124" s="109"/>
      <c r="D124" s="107"/>
      <c r="E124" s="179"/>
      <c r="F124" s="108"/>
    </row>
    <row r="125" spans="1:6" x14ac:dyDescent="0.25">
      <c r="A125" s="107"/>
      <c r="B125" s="109"/>
      <c r="C125" s="109"/>
      <c r="D125" s="107"/>
      <c r="E125" s="179"/>
      <c r="F125" s="108"/>
    </row>
    <row r="126" spans="1:6" x14ac:dyDescent="0.25">
      <c r="A126" s="107"/>
      <c r="B126" s="109"/>
      <c r="C126" s="109"/>
      <c r="D126" s="107"/>
      <c r="E126" s="179"/>
      <c r="F126" s="108"/>
    </row>
    <row r="127" spans="1:6" x14ac:dyDescent="0.25">
      <c r="A127" s="107"/>
      <c r="B127" s="109"/>
      <c r="C127" s="109"/>
      <c r="D127" s="107"/>
      <c r="E127" s="179"/>
      <c r="F127" s="108"/>
    </row>
    <row r="128" spans="1:6" x14ac:dyDescent="0.25">
      <c r="A128" s="107"/>
      <c r="B128" s="109"/>
      <c r="C128" s="109"/>
      <c r="D128" s="107"/>
      <c r="E128" s="179"/>
      <c r="F128" s="108"/>
    </row>
    <row r="129" spans="1:6" x14ac:dyDescent="0.25">
      <c r="A129" s="107"/>
      <c r="B129" s="110"/>
      <c r="C129" s="109"/>
      <c r="D129" s="107"/>
      <c r="E129" s="179"/>
      <c r="F129" s="108"/>
    </row>
    <row r="130" spans="1:6" x14ac:dyDescent="0.25">
      <c r="A130" s="107"/>
      <c r="B130" s="109"/>
      <c r="C130" s="109"/>
      <c r="D130" s="107"/>
      <c r="E130" s="179"/>
      <c r="F130" s="108"/>
    </row>
    <row r="131" spans="1:6" x14ac:dyDescent="0.25">
      <c r="A131" s="107"/>
      <c r="B131" s="110"/>
      <c r="C131" s="109"/>
      <c r="D131" s="107"/>
      <c r="E131" s="179"/>
      <c r="F131" s="108"/>
    </row>
    <row r="132" spans="1:6" x14ac:dyDescent="0.25">
      <c r="A132" s="107"/>
      <c r="B132" s="109"/>
      <c r="C132" s="109"/>
      <c r="D132" s="107"/>
      <c r="E132" s="179"/>
      <c r="F132" s="108"/>
    </row>
    <row r="133" spans="1:6" x14ac:dyDescent="0.25">
      <c r="A133" s="107"/>
      <c r="B133" s="110"/>
      <c r="C133" s="109"/>
      <c r="D133" s="107"/>
      <c r="E133" s="179"/>
      <c r="F133" s="108"/>
    </row>
    <row r="134" spans="1:6" x14ac:dyDescent="0.25">
      <c r="A134" s="107"/>
      <c r="B134" s="109"/>
      <c r="C134" s="109"/>
      <c r="D134" s="107"/>
      <c r="E134" s="179"/>
      <c r="F134" s="108"/>
    </row>
    <row r="135" spans="1:6" x14ac:dyDescent="0.25">
      <c r="A135" s="107"/>
      <c r="B135" s="109"/>
      <c r="C135" s="109"/>
      <c r="D135" s="107"/>
      <c r="E135" s="179"/>
      <c r="F135" s="108"/>
    </row>
    <row r="136" spans="1:6" x14ac:dyDescent="0.25">
      <c r="A136" s="107"/>
      <c r="B136" s="109"/>
      <c r="C136" s="109"/>
      <c r="D136" s="107"/>
      <c r="E136" s="179"/>
      <c r="F136" s="108"/>
    </row>
    <row r="137" spans="1:6" x14ac:dyDescent="0.25">
      <c r="A137" s="107"/>
      <c r="B137" s="109"/>
      <c r="C137" s="109"/>
      <c r="D137" s="107"/>
      <c r="E137" s="179"/>
      <c r="F137" s="108"/>
    </row>
    <row r="138" spans="1:6" x14ac:dyDescent="0.25">
      <c r="A138" s="107"/>
      <c r="B138" s="109"/>
      <c r="C138" s="109"/>
      <c r="D138" s="107"/>
      <c r="E138" s="179"/>
      <c r="F138" s="108"/>
    </row>
    <row r="139" spans="1:6" x14ac:dyDescent="0.25">
      <c r="A139" s="107"/>
      <c r="B139" s="109"/>
      <c r="C139" s="109"/>
      <c r="D139" s="107"/>
      <c r="E139" s="179"/>
      <c r="F139" s="108"/>
    </row>
    <row r="140" spans="1:6" x14ac:dyDescent="0.25">
      <c r="A140" s="107"/>
      <c r="B140" s="109"/>
      <c r="C140" s="109"/>
      <c r="D140" s="107"/>
      <c r="E140" s="179"/>
      <c r="F140" s="108"/>
    </row>
    <row r="141" spans="1:6" x14ac:dyDescent="0.25">
      <c r="A141" s="107"/>
      <c r="B141" s="110"/>
      <c r="C141" s="109"/>
      <c r="D141" s="107"/>
      <c r="E141" s="179"/>
      <c r="F141" s="108"/>
    </row>
    <row r="142" spans="1:6" x14ac:dyDescent="0.25">
      <c r="A142" s="107"/>
      <c r="B142" s="109"/>
      <c r="C142" s="109"/>
      <c r="D142" s="107"/>
      <c r="E142" s="179"/>
      <c r="F142" s="108"/>
    </row>
    <row r="143" spans="1:6" x14ac:dyDescent="0.25">
      <c r="A143" s="107"/>
      <c r="B143" s="109"/>
      <c r="C143" s="109"/>
      <c r="D143" s="107"/>
      <c r="E143" s="179"/>
      <c r="F143" s="108"/>
    </row>
    <row r="144" spans="1:6" x14ac:dyDescent="0.25">
      <c r="A144" s="107"/>
      <c r="B144" s="109"/>
      <c r="C144" s="109"/>
      <c r="D144" s="107"/>
      <c r="E144" s="179"/>
      <c r="F144" s="108"/>
    </row>
    <row r="145" spans="1:6" x14ac:dyDescent="0.25">
      <c r="A145" s="107"/>
      <c r="B145" s="109"/>
      <c r="C145" s="109"/>
      <c r="D145" s="107"/>
      <c r="E145" s="179"/>
      <c r="F145" s="108"/>
    </row>
    <row r="146" spans="1:6" x14ac:dyDescent="0.25">
      <c r="A146" s="107"/>
      <c r="B146" s="109"/>
      <c r="C146" s="109"/>
      <c r="D146" s="107"/>
      <c r="E146" s="179"/>
      <c r="F146" s="108"/>
    </row>
    <row r="147" spans="1:6" x14ac:dyDescent="0.25">
      <c r="A147" s="107"/>
      <c r="B147" s="109"/>
      <c r="C147" s="109"/>
      <c r="D147" s="107"/>
      <c r="E147" s="179"/>
      <c r="F147" s="108"/>
    </row>
    <row r="148" spans="1:6" x14ac:dyDescent="0.25">
      <c r="A148" s="107"/>
      <c r="B148" s="109"/>
      <c r="C148" s="109"/>
      <c r="D148" s="107"/>
      <c r="E148" s="179"/>
      <c r="F148" s="108"/>
    </row>
    <row r="149" spans="1:6" x14ac:dyDescent="0.25">
      <c r="A149" s="107"/>
      <c r="B149" s="109"/>
      <c r="C149" s="109"/>
      <c r="D149" s="107"/>
      <c r="E149" s="179"/>
      <c r="F149" s="108"/>
    </row>
    <row r="150" spans="1:6" x14ac:dyDescent="0.25">
      <c r="A150" s="107"/>
      <c r="B150" s="109"/>
      <c r="C150" s="109"/>
      <c r="D150" s="107"/>
      <c r="E150" s="179"/>
      <c r="F150" s="108"/>
    </row>
    <row r="151" spans="1:6" x14ac:dyDescent="0.25">
      <c r="A151" s="107"/>
      <c r="B151" s="109"/>
      <c r="C151" s="109"/>
      <c r="D151" s="107"/>
      <c r="E151" s="179"/>
      <c r="F151" s="108"/>
    </row>
    <row r="152" spans="1:6" x14ac:dyDescent="0.25">
      <c r="A152" s="107"/>
      <c r="B152" s="109"/>
      <c r="C152" s="109"/>
      <c r="D152" s="107"/>
      <c r="E152" s="179"/>
      <c r="F152" s="108"/>
    </row>
    <row r="153" spans="1:6" x14ac:dyDescent="0.25">
      <c r="A153" s="107"/>
      <c r="B153" s="109"/>
      <c r="C153" s="109"/>
      <c r="D153" s="107"/>
      <c r="E153" s="179"/>
      <c r="F153" s="108"/>
    </row>
    <row r="154" spans="1:6" x14ac:dyDescent="0.25">
      <c r="A154" s="107"/>
      <c r="B154" s="109"/>
      <c r="C154" s="109"/>
      <c r="D154" s="107"/>
      <c r="E154" s="179"/>
      <c r="F154" s="108"/>
    </row>
    <row r="155" spans="1:6" x14ac:dyDescent="0.25">
      <c r="A155" s="107"/>
      <c r="B155" s="109"/>
      <c r="C155" s="109"/>
      <c r="D155" s="107"/>
      <c r="E155" s="179"/>
      <c r="F155" s="108"/>
    </row>
    <row r="156" spans="1:6" x14ac:dyDescent="0.25">
      <c r="A156" s="107"/>
      <c r="B156" s="109"/>
      <c r="C156" s="109"/>
      <c r="D156" s="107"/>
      <c r="E156" s="179"/>
      <c r="F156" s="108"/>
    </row>
    <row r="157" spans="1:6" x14ac:dyDescent="0.25">
      <c r="A157" s="107"/>
      <c r="B157" s="109"/>
      <c r="C157" s="109"/>
      <c r="D157" s="107"/>
      <c r="E157" s="179"/>
      <c r="F157" s="108"/>
    </row>
    <row r="158" spans="1:6" x14ac:dyDescent="0.25">
      <c r="A158" s="107"/>
      <c r="B158" s="109"/>
      <c r="C158" s="109"/>
      <c r="D158" s="107"/>
      <c r="E158" s="179"/>
      <c r="F158" s="108"/>
    </row>
    <row r="159" spans="1:6" x14ac:dyDescent="0.25">
      <c r="A159" s="107"/>
      <c r="B159" s="109"/>
      <c r="C159" s="109"/>
      <c r="D159" s="107"/>
      <c r="E159" s="179"/>
      <c r="F159" s="108"/>
    </row>
    <row r="160" spans="1:6" x14ac:dyDescent="0.25">
      <c r="A160" s="107"/>
      <c r="B160" s="109"/>
      <c r="C160" s="109"/>
      <c r="D160" s="107"/>
      <c r="E160" s="179"/>
      <c r="F160" s="108"/>
    </row>
    <row r="161" spans="1:6" x14ac:dyDescent="0.25">
      <c r="A161" s="107"/>
      <c r="B161" s="109"/>
      <c r="C161" s="109"/>
      <c r="D161" s="107"/>
      <c r="E161" s="179"/>
      <c r="F161" s="108"/>
    </row>
    <row r="162" spans="1:6" x14ac:dyDescent="0.25">
      <c r="A162" s="107"/>
      <c r="B162" s="109"/>
      <c r="C162" s="109"/>
      <c r="D162" s="107"/>
      <c r="E162" s="179"/>
      <c r="F162" s="108"/>
    </row>
    <row r="163" spans="1:6" x14ac:dyDescent="0.25">
      <c r="A163" s="107"/>
      <c r="B163" s="109"/>
      <c r="C163" s="109"/>
      <c r="D163" s="107"/>
      <c r="E163" s="179"/>
      <c r="F163" s="108"/>
    </row>
    <row r="164" spans="1:6" x14ac:dyDescent="0.25">
      <c r="A164" s="107"/>
      <c r="B164" s="109"/>
      <c r="C164" s="109"/>
      <c r="D164" s="107"/>
      <c r="E164" s="179"/>
      <c r="F164" s="108"/>
    </row>
    <row r="165" spans="1:6" x14ac:dyDescent="0.25">
      <c r="A165" s="107"/>
      <c r="B165" s="109"/>
      <c r="C165" s="109"/>
      <c r="D165" s="107"/>
      <c r="E165" s="179"/>
      <c r="F165" s="108"/>
    </row>
    <row r="166" spans="1:6" x14ac:dyDescent="0.25">
      <c r="A166" s="107"/>
      <c r="B166" s="109"/>
      <c r="C166" s="109"/>
      <c r="D166" s="107"/>
      <c r="E166" s="179"/>
      <c r="F166" s="108"/>
    </row>
    <row r="167" spans="1:6" x14ac:dyDescent="0.25">
      <c r="A167" s="107"/>
      <c r="B167" s="109"/>
      <c r="C167" s="109"/>
      <c r="D167" s="107"/>
      <c r="E167" s="179"/>
      <c r="F167" s="108"/>
    </row>
    <row r="168" spans="1:6" x14ac:dyDescent="0.25">
      <c r="A168" s="107"/>
      <c r="B168" s="110"/>
      <c r="C168" s="109"/>
      <c r="D168" s="107"/>
      <c r="E168" s="179"/>
      <c r="F168" s="108"/>
    </row>
    <row r="169" spans="1:6" x14ac:dyDescent="0.25">
      <c r="A169" s="107"/>
      <c r="B169" s="109"/>
      <c r="C169" s="109"/>
      <c r="D169" s="107"/>
      <c r="E169" s="179"/>
      <c r="F169" s="108"/>
    </row>
    <row r="170" spans="1:6" x14ac:dyDescent="0.25">
      <c r="A170" s="107"/>
      <c r="B170" s="109"/>
      <c r="C170" s="109"/>
      <c r="D170" s="107"/>
      <c r="E170" s="179"/>
      <c r="F170" s="108"/>
    </row>
    <row r="171" spans="1:6" x14ac:dyDescent="0.25">
      <c r="A171" s="107"/>
      <c r="B171" s="109"/>
      <c r="C171" s="109"/>
      <c r="D171" s="107"/>
      <c r="E171" s="179"/>
      <c r="F171" s="108"/>
    </row>
    <row r="172" spans="1:6" x14ac:dyDescent="0.25">
      <c r="A172" s="107"/>
      <c r="B172" s="110"/>
      <c r="C172" s="109"/>
      <c r="D172" s="107"/>
      <c r="E172" s="179"/>
      <c r="F172" s="108"/>
    </row>
    <row r="173" spans="1:6" x14ac:dyDescent="0.25">
      <c r="A173" s="107"/>
      <c r="B173" s="109"/>
      <c r="C173" s="109"/>
      <c r="D173" s="107"/>
      <c r="E173" s="179"/>
      <c r="F173" s="108"/>
    </row>
    <row r="174" spans="1:6" x14ac:dyDescent="0.25">
      <c r="A174" s="107"/>
      <c r="B174" s="110"/>
      <c r="C174" s="109"/>
      <c r="D174" s="107"/>
      <c r="E174" s="179"/>
      <c r="F174" s="108"/>
    </row>
    <row r="175" spans="1:6" x14ac:dyDescent="0.25">
      <c r="A175" s="107"/>
      <c r="B175" s="109"/>
      <c r="C175" s="109"/>
      <c r="D175" s="107"/>
      <c r="E175" s="179"/>
      <c r="F175" s="108"/>
    </row>
    <row r="176" spans="1:6" x14ac:dyDescent="0.25">
      <c r="A176" s="107"/>
      <c r="B176" s="109"/>
      <c r="C176" s="109"/>
      <c r="D176" s="107"/>
      <c r="E176" s="179"/>
      <c r="F176" s="108"/>
    </row>
    <row r="177" spans="1:6" x14ac:dyDescent="0.25">
      <c r="A177" s="107"/>
      <c r="B177" s="109"/>
      <c r="C177" s="109"/>
      <c r="D177" s="107"/>
      <c r="E177" s="179"/>
      <c r="F177" s="108"/>
    </row>
    <row r="178" spans="1:6" x14ac:dyDescent="0.25">
      <c r="A178" s="107"/>
      <c r="B178" s="109"/>
      <c r="C178" s="109"/>
      <c r="D178" s="107"/>
      <c r="E178" s="179"/>
      <c r="F178" s="108"/>
    </row>
    <row r="179" spans="1:6" x14ac:dyDescent="0.25">
      <c r="A179" s="107"/>
      <c r="B179" s="110"/>
      <c r="C179" s="109"/>
      <c r="D179" s="107"/>
      <c r="E179" s="179"/>
      <c r="F179" s="108"/>
    </row>
    <row r="180" spans="1:6" x14ac:dyDescent="0.25">
      <c r="A180" s="107"/>
      <c r="B180" s="109"/>
      <c r="C180" s="109"/>
      <c r="D180" s="107"/>
      <c r="E180" s="179"/>
      <c r="F180" s="108"/>
    </row>
    <row r="181" spans="1:6" x14ac:dyDescent="0.25">
      <c r="A181" s="111"/>
      <c r="B181" s="109"/>
      <c r="C181" s="109"/>
      <c r="D181" s="107"/>
      <c r="E181" s="179"/>
      <c r="F181" s="108"/>
    </row>
    <row r="182" spans="1:6" x14ac:dyDescent="0.25">
      <c r="A182" s="107"/>
      <c r="B182" s="109"/>
      <c r="C182" s="109"/>
      <c r="D182" s="107"/>
      <c r="E182" s="179"/>
      <c r="F182" s="108"/>
    </row>
    <row r="183" spans="1:6" x14ac:dyDescent="0.25">
      <c r="A183" s="107"/>
      <c r="B183" s="109"/>
      <c r="C183" s="109"/>
      <c r="D183" s="107"/>
      <c r="E183" s="179"/>
      <c r="F183" s="108"/>
    </row>
    <row r="184" spans="1:6" x14ac:dyDescent="0.25">
      <c r="A184" s="107"/>
      <c r="B184" s="109"/>
      <c r="C184" s="109"/>
      <c r="D184" s="107"/>
      <c r="E184" s="179"/>
      <c r="F184" s="108"/>
    </row>
    <row r="185" spans="1:6" x14ac:dyDescent="0.25">
      <c r="A185" s="107"/>
      <c r="B185" s="110"/>
      <c r="C185" s="109"/>
      <c r="D185" s="107"/>
      <c r="E185" s="179"/>
      <c r="F185" s="108"/>
    </row>
    <row r="186" spans="1:6" x14ac:dyDescent="0.25">
      <c r="A186" s="107"/>
      <c r="B186" s="109"/>
      <c r="C186" s="109"/>
      <c r="D186" s="107"/>
      <c r="E186" s="179"/>
      <c r="F186" s="108"/>
    </row>
    <row r="187" spans="1:6" x14ac:dyDescent="0.25">
      <c r="A187" s="107"/>
      <c r="B187" s="109"/>
      <c r="C187" s="109"/>
      <c r="D187" s="107"/>
      <c r="E187" s="179"/>
      <c r="F187" s="108"/>
    </row>
    <row r="188" spans="1:6" x14ac:dyDescent="0.25">
      <c r="A188" s="5"/>
      <c r="B188" s="109"/>
      <c r="C188" s="109"/>
      <c r="D188" s="107"/>
      <c r="E188" s="179"/>
      <c r="F188" s="108"/>
    </row>
    <row r="189" spans="1:6" x14ac:dyDescent="0.25">
      <c r="A189" s="5"/>
      <c r="B189" s="109"/>
      <c r="C189" s="109"/>
      <c r="D189" s="107"/>
      <c r="E189" s="179"/>
      <c r="F189" s="108"/>
    </row>
    <row r="190" spans="1:6" x14ac:dyDescent="0.25">
      <c r="A190" s="107"/>
      <c r="B190" s="109"/>
      <c r="C190" s="109"/>
      <c r="D190" s="107"/>
      <c r="E190" s="179"/>
      <c r="F190" s="108"/>
    </row>
    <row r="191" spans="1:6" x14ac:dyDescent="0.25">
      <c r="A191" s="107"/>
      <c r="B191" s="109"/>
      <c r="C191" s="109"/>
      <c r="D191" s="107"/>
      <c r="E191" s="179"/>
      <c r="F191" s="108"/>
    </row>
    <row r="192" spans="1:6" x14ac:dyDescent="0.25">
      <c r="A192" s="107"/>
      <c r="B192" s="109"/>
      <c r="C192" s="109"/>
      <c r="D192" s="107"/>
      <c r="E192" s="179"/>
      <c r="F192" s="108"/>
    </row>
    <row r="193" spans="1:6" x14ac:dyDescent="0.25">
      <c r="A193" s="107"/>
      <c r="B193" s="109"/>
      <c r="C193" s="109"/>
      <c r="D193" s="107"/>
      <c r="E193" s="179"/>
      <c r="F193" s="108"/>
    </row>
    <row r="194" spans="1:6" x14ac:dyDescent="0.25">
      <c r="A194" s="107"/>
      <c r="B194" s="110"/>
      <c r="C194" s="109"/>
      <c r="D194" s="107"/>
      <c r="E194" s="179"/>
      <c r="F194" s="108"/>
    </row>
    <row r="195" spans="1:6" x14ac:dyDescent="0.25">
      <c r="A195" s="107"/>
      <c r="B195" s="110"/>
      <c r="C195" s="109"/>
      <c r="D195" s="107"/>
      <c r="E195" s="179"/>
      <c r="F195" s="108"/>
    </row>
    <row r="196" spans="1:6" x14ac:dyDescent="0.25">
      <c r="A196" s="107"/>
      <c r="B196" s="109"/>
      <c r="C196" s="109"/>
      <c r="D196" s="107"/>
      <c r="E196" s="179"/>
      <c r="F196" s="108"/>
    </row>
    <row r="197" spans="1:6" x14ac:dyDescent="0.25">
      <c r="A197" s="107"/>
      <c r="B197" s="109"/>
      <c r="C197" s="109"/>
      <c r="D197" s="107"/>
      <c r="E197" s="179"/>
      <c r="F197" s="108"/>
    </row>
    <row r="198" spans="1:6" x14ac:dyDescent="0.25">
      <c r="A198" s="107"/>
      <c r="B198" s="110"/>
      <c r="C198" s="109"/>
      <c r="D198" s="107"/>
      <c r="E198" s="179"/>
      <c r="F198" s="108"/>
    </row>
    <row r="199" spans="1:6" x14ac:dyDescent="0.25">
      <c r="A199" s="107"/>
      <c r="B199" s="109"/>
      <c r="C199" s="109"/>
      <c r="D199" s="107"/>
      <c r="E199" s="179"/>
      <c r="F199" s="108"/>
    </row>
    <row r="200" spans="1:6" x14ac:dyDescent="0.25">
      <c r="A200" s="107"/>
      <c r="B200" s="109"/>
      <c r="C200" s="109"/>
      <c r="D200" s="107"/>
      <c r="E200" s="179"/>
      <c r="F200" s="108"/>
    </row>
    <row r="201" spans="1:6" x14ac:dyDescent="0.25">
      <c r="A201" s="107"/>
      <c r="B201" s="109"/>
      <c r="C201" s="109"/>
      <c r="D201" s="107"/>
      <c r="E201" s="179"/>
      <c r="F201" s="108"/>
    </row>
    <row r="202" spans="1:6" x14ac:dyDescent="0.25">
      <c r="A202" s="107"/>
      <c r="B202" s="109"/>
      <c r="C202" s="109"/>
      <c r="D202" s="107"/>
      <c r="E202" s="179"/>
      <c r="F202" s="108"/>
    </row>
    <row r="203" spans="1:6" x14ac:dyDescent="0.25">
      <c r="A203" s="107"/>
      <c r="B203" s="109"/>
      <c r="C203" s="109"/>
      <c r="D203" s="107"/>
      <c r="E203" s="179"/>
      <c r="F203" s="108"/>
    </row>
    <row r="204" spans="1:6" x14ac:dyDescent="0.25">
      <c r="A204" s="107"/>
      <c r="B204" s="109"/>
      <c r="C204" s="109"/>
      <c r="D204" s="107"/>
      <c r="E204" s="179"/>
      <c r="F204" s="108"/>
    </row>
    <row r="205" spans="1:6" x14ac:dyDescent="0.25">
      <c r="A205" s="107"/>
      <c r="B205" s="109"/>
      <c r="C205" s="109"/>
      <c r="D205" s="107"/>
      <c r="E205" s="179"/>
      <c r="F205" s="108"/>
    </row>
    <row r="206" spans="1:6" x14ac:dyDescent="0.25">
      <c r="A206" s="107"/>
      <c r="B206" s="110"/>
      <c r="C206" s="109"/>
      <c r="D206" s="107"/>
      <c r="E206" s="179"/>
      <c r="F206" s="108"/>
    </row>
    <row r="207" spans="1:6" x14ac:dyDescent="0.25">
      <c r="A207" s="188"/>
      <c r="B207" s="109"/>
      <c r="C207" s="109"/>
      <c r="D207" s="107"/>
      <c r="E207" s="179"/>
      <c r="F207" s="108"/>
    </row>
    <row r="208" spans="1:6" x14ac:dyDescent="0.25">
      <c r="A208" s="188"/>
      <c r="B208" s="110"/>
      <c r="C208" s="109"/>
      <c r="D208" s="107"/>
      <c r="E208" s="179"/>
      <c r="F208" s="108"/>
    </row>
    <row r="209" spans="1:6" x14ac:dyDescent="0.25">
      <c r="A209" s="188"/>
      <c r="B209" s="109"/>
      <c r="C209" s="109"/>
      <c r="D209" s="107"/>
      <c r="E209" s="179"/>
      <c r="F209" s="108"/>
    </row>
    <row r="210" spans="1:6" x14ac:dyDescent="0.25">
      <c r="A210" s="188"/>
      <c r="B210" s="110"/>
      <c r="C210" s="109"/>
      <c r="D210" s="107"/>
      <c r="E210" s="179"/>
      <c r="F210" s="108"/>
    </row>
    <row r="211" spans="1:6" x14ac:dyDescent="0.25">
      <c r="A211" s="188"/>
      <c r="B211" s="109"/>
      <c r="C211" s="109"/>
      <c r="D211" s="107"/>
      <c r="E211" s="179"/>
      <c r="F211" s="108"/>
    </row>
    <row r="212" spans="1:6" x14ac:dyDescent="0.25">
      <c r="A212" s="188"/>
      <c r="B212" s="109"/>
      <c r="C212" s="109"/>
      <c r="D212" s="107"/>
      <c r="E212" s="179"/>
      <c r="F212" s="108"/>
    </row>
    <row r="213" spans="1:6" x14ac:dyDescent="0.25">
      <c r="A213" s="188"/>
      <c r="B213" s="109"/>
      <c r="C213" s="109"/>
      <c r="D213" s="107"/>
      <c r="E213" s="179"/>
      <c r="F213" s="108"/>
    </row>
    <row r="214" spans="1:6" x14ac:dyDescent="0.25">
      <c r="A214" s="188"/>
      <c r="B214" s="109"/>
      <c r="C214" s="109"/>
      <c r="D214" s="107"/>
      <c r="E214" s="179"/>
      <c r="F214" s="108"/>
    </row>
    <row r="215" spans="1:6" x14ac:dyDescent="0.25">
      <c r="A215" s="188"/>
      <c r="B215" s="109"/>
      <c r="C215" s="109"/>
      <c r="D215" s="107"/>
      <c r="E215" s="179"/>
      <c r="F215" s="108"/>
    </row>
    <row r="216" spans="1:6" x14ac:dyDescent="0.25">
      <c r="A216" s="188"/>
      <c r="B216" s="109"/>
      <c r="C216" s="109"/>
      <c r="D216" s="107"/>
      <c r="E216" s="179"/>
      <c r="F216" s="108"/>
    </row>
    <row r="217" spans="1:6" x14ac:dyDescent="0.25">
      <c r="A217" s="188"/>
      <c r="B217" s="109"/>
      <c r="C217" s="109"/>
      <c r="D217" s="107"/>
      <c r="E217" s="179"/>
      <c r="F217" s="108"/>
    </row>
    <row r="218" spans="1:6" x14ac:dyDescent="0.25">
      <c r="A218" s="188"/>
      <c r="B218" s="109"/>
      <c r="C218" s="109"/>
      <c r="D218" s="107"/>
      <c r="E218" s="179"/>
      <c r="F218" s="108"/>
    </row>
    <row r="219" spans="1:6" x14ac:dyDescent="0.25">
      <c r="A219" s="188"/>
      <c r="B219" s="109"/>
      <c r="C219" s="109"/>
      <c r="D219" s="107"/>
      <c r="E219" s="179"/>
      <c r="F219" s="108"/>
    </row>
    <row r="220" spans="1:6" x14ac:dyDescent="0.25">
      <c r="A220" s="188"/>
      <c r="B220" s="109"/>
      <c r="C220" s="109"/>
      <c r="D220" s="107"/>
      <c r="E220" s="179"/>
      <c r="F220" s="108"/>
    </row>
    <row r="221" spans="1:6" x14ac:dyDescent="0.25">
      <c r="A221" s="188"/>
      <c r="B221" s="110"/>
      <c r="C221" s="109"/>
      <c r="D221" s="107"/>
      <c r="E221" s="179"/>
      <c r="F221" s="108"/>
    </row>
    <row r="222" spans="1:6" x14ac:dyDescent="0.25">
      <c r="A222" s="188"/>
      <c r="B222" s="109"/>
      <c r="C222" s="109"/>
      <c r="D222" s="107"/>
      <c r="E222" s="179"/>
      <c r="F222" s="108"/>
    </row>
    <row r="223" spans="1:6" x14ac:dyDescent="0.25">
      <c r="A223" s="188"/>
      <c r="B223" s="109"/>
      <c r="C223" s="109"/>
      <c r="D223" s="107"/>
      <c r="E223" s="179"/>
      <c r="F223" s="108"/>
    </row>
    <row r="224" spans="1:6" x14ac:dyDescent="0.25">
      <c r="A224" s="188"/>
      <c r="B224" s="109"/>
      <c r="C224" s="109"/>
      <c r="D224" s="107"/>
      <c r="E224" s="179"/>
      <c r="F224" s="108"/>
    </row>
    <row r="225" spans="1:6" x14ac:dyDescent="0.25">
      <c r="A225" s="107"/>
      <c r="B225" s="110"/>
      <c r="C225" s="109"/>
      <c r="D225" s="107"/>
      <c r="E225" s="179"/>
      <c r="F225" s="108"/>
    </row>
    <row r="226" spans="1:6" x14ac:dyDescent="0.25">
      <c r="A226" s="107"/>
      <c r="B226" s="109"/>
      <c r="C226" s="109"/>
      <c r="D226" s="107"/>
      <c r="E226" s="179"/>
      <c r="F226" s="108"/>
    </row>
    <row r="227" spans="1:6" x14ac:dyDescent="0.25">
      <c r="A227" s="107"/>
      <c r="B227" s="109"/>
      <c r="C227" s="109"/>
      <c r="D227" s="107"/>
      <c r="E227" s="179"/>
      <c r="F227" s="108"/>
    </row>
    <row r="228" spans="1:6" x14ac:dyDescent="0.25">
      <c r="A228" s="107"/>
      <c r="B228" s="109"/>
      <c r="C228" s="109"/>
      <c r="D228" s="107"/>
      <c r="E228" s="179"/>
      <c r="F228" s="108"/>
    </row>
    <row r="229" spans="1:6" x14ac:dyDescent="0.25">
      <c r="A229" s="107"/>
      <c r="B229" s="110"/>
      <c r="C229" s="109"/>
      <c r="D229" s="107"/>
      <c r="E229" s="179"/>
      <c r="F229" s="108"/>
    </row>
    <row r="230" spans="1:6" x14ac:dyDescent="0.25">
      <c r="A230" s="107"/>
      <c r="B230" s="109"/>
      <c r="C230" s="109"/>
      <c r="D230" s="107"/>
      <c r="E230" s="179"/>
      <c r="F230" s="108"/>
    </row>
    <row r="231" spans="1:6" x14ac:dyDescent="0.25">
      <c r="A231" s="107"/>
      <c r="B231" s="110"/>
      <c r="C231" s="109"/>
      <c r="D231" s="107"/>
      <c r="E231" s="179"/>
      <c r="F231" s="108"/>
    </row>
    <row r="232" spans="1:6" x14ac:dyDescent="0.25">
      <c r="A232" s="107"/>
      <c r="B232" s="109"/>
      <c r="C232" s="109"/>
      <c r="D232" s="107"/>
      <c r="E232" s="179"/>
      <c r="F232" s="108"/>
    </row>
    <row r="233" spans="1:6" x14ac:dyDescent="0.25">
      <c r="A233" s="107"/>
      <c r="B233" s="109"/>
      <c r="C233" s="109"/>
      <c r="D233" s="107"/>
      <c r="E233" s="179"/>
      <c r="F233" s="108"/>
    </row>
    <row r="234" spans="1:6" x14ac:dyDescent="0.25">
      <c r="A234" s="107"/>
      <c r="B234" s="109"/>
      <c r="C234" s="109"/>
      <c r="D234" s="107"/>
      <c r="E234" s="179"/>
      <c r="F234" s="108"/>
    </row>
    <row r="235" spans="1:6" x14ac:dyDescent="0.25">
      <c r="A235" s="107"/>
      <c r="B235" s="109"/>
      <c r="C235" s="109"/>
      <c r="D235" s="107"/>
      <c r="E235" s="179"/>
      <c r="F235" s="108"/>
    </row>
    <row r="236" spans="1:6" x14ac:dyDescent="0.25">
      <c r="A236" s="107"/>
      <c r="B236" s="109"/>
      <c r="C236" s="109"/>
      <c r="D236" s="107"/>
      <c r="E236" s="179"/>
      <c r="F236" s="108"/>
    </row>
    <row r="237" spans="1:6" x14ac:dyDescent="0.25">
      <c r="A237" s="107"/>
      <c r="B237" s="110"/>
      <c r="C237" s="109"/>
      <c r="D237" s="107"/>
      <c r="E237" s="179"/>
      <c r="F237" s="108"/>
    </row>
    <row r="238" spans="1:6" x14ac:dyDescent="0.25">
      <c r="A238" s="107"/>
      <c r="B238" s="109"/>
      <c r="C238" s="109"/>
      <c r="D238" s="107"/>
      <c r="E238" s="179"/>
      <c r="F238" s="108"/>
    </row>
    <row r="239" spans="1:6" x14ac:dyDescent="0.25">
      <c r="A239" s="107"/>
      <c r="B239" s="110"/>
      <c r="C239" s="109"/>
      <c r="D239" s="107"/>
      <c r="E239" s="179"/>
      <c r="F239" s="108"/>
    </row>
    <row r="240" spans="1:6" x14ac:dyDescent="0.25">
      <c r="A240" s="107"/>
      <c r="B240" s="109"/>
      <c r="C240" s="109"/>
      <c r="D240" s="107"/>
      <c r="E240" s="179"/>
      <c r="F240" s="108"/>
    </row>
    <row r="241" spans="1:6" x14ac:dyDescent="0.25">
      <c r="A241" s="107"/>
      <c r="B241" s="109"/>
      <c r="C241" s="109"/>
      <c r="D241" s="107"/>
      <c r="E241" s="179"/>
      <c r="F241" s="108"/>
    </row>
    <row r="242" spans="1:6" x14ac:dyDescent="0.25">
      <c r="A242" s="107"/>
      <c r="B242" s="109"/>
      <c r="C242" s="109"/>
      <c r="D242" s="107"/>
      <c r="E242" s="179"/>
      <c r="F242" s="108"/>
    </row>
    <row r="243" spans="1:6" x14ac:dyDescent="0.25">
      <c r="A243" s="107"/>
      <c r="B243" s="109"/>
      <c r="C243" s="109"/>
      <c r="D243" s="107"/>
      <c r="E243" s="179"/>
      <c r="F243" s="108"/>
    </row>
    <row r="244" spans="1:6" x14ac:dyDescent="0.25">
      <c r="A244" s="107"/>
      <c r="B244" s="109"/>
      <c r="C244" s="109"/>
      <c r="D244" s="107"/>
      <c r="E244" s="179"/>
      <c r="F244" s="108"/>
    </row>
    <row r="245" spans="1:6" x14ac:dyDescent="0.25">
      <c r="A245" s="107"/>
      <c r="B245" s="109"/>
      <c r="C245" s="109"/>
      <c r="D245" s="107"/>
      <c r="E245" s="179"/>
      <c r="F245" s="108"/>
    </row>
    <row r="246" spans="1:6" x14ac:dyDescent="0.25">
      <c r="A246" s="107"/>
      <c r="B246" s="109"/>
      <c r="C246" s="109"/>
      <c r="D246" s="107"/>
      <c r="E246" s="179"/>
      <c r="F246" s="108"/>
    </row>
    <row r="247" spans="1:6" x14ac:dyDescent="0.25">
      <c r="A247" s="107"/>
      <c r="B247" s="109"/>
      <c r="C247" s="109"/>
      <c r="D247" s="107"/>
      <c r="E247" s="179"/>
      <c r="F247" s="108"/>
    </row>
    <row r="248" spans="1:6" x14ac:dyDescent="0.25">
      <c r="A248" s="107"/>
      <c r="B248" s="109"/>
      <c r="C248" s="109"/>
      <c r="D248" s="107"/>
      <c r="E248" s="179"/>
      <c r="F248" s="108"/>
    </row>
    <row r="249" spans="1:6" x14ac:dyDescent="0.25">
      <c r="A249" s="107"/>
      <c r="B249" s="109"/>
      <c r="C249" s="109"/>
      <c r="D249" s="107"/>
      <c r="E249" s="179"/>
      <c r="F249" s="108"/>
    </row>
    <row r="250" spans="1:6" x14ac:dyDescent="0.25">
      <c r="A250" s="107"/>
      <c r="B250" s="109"/>
      <c r="C250" s="109"/>
      <c r="D250" s="107"/>
      <c r="E250" s="179"/>
      <c r="F250" s="108"/>
    </row>
    <row r="251" spans="1:6" x14ac:dyDescent="0.25">
      <c r="A251" s="107"/>
      <c r="B251" s="109"/>
      <c r="C251" s="109"/>
      <c r="D251" s="107"/>
      <c r="E251" s="179"/>
      <c r="F251" s="108"/>
    </row>
    <row r="252" spans="1:6" x14ac:dyDescent="0.25">
      <c r="A252" s="107"/>
      <c r="B252" s="109"/>
      <c r="C252" s="109"/>
      <c r="D252" s="107"/>
      <c r="E252" s="179"/>
      <c r="F252" s="108"/>
    </row>
    <row r="253" spans="1:6" x14ac:dyDescent="0.25">
      <c r="A253" s="107"/>
      <c r="B253" s="109"/>
      <c r="C253" s="109"/>
      <c r="D253" s="107"/>
      <c r="E253" s="179"/>
      <c r="F253" s="108"/>
    </row>
    <row r="254" spans="1:6" x14ac:dyDescent="0.25">
      <c r="A254" s="112"/>
      <c r="B254" s="109"/>
      <c r="C254" s="109"/>
      <c r="D254" s="107"/>
      <c r="E254" s="179"/>
      <c r="F254" s="108"/>
    </row>
    <row r="255" spans="1:6" x14ac:dyDescent="0.25">
      <c r="A255" s="107"/>
      <c r="B255" s="109"/>
      <c r="C255" s="109"/>
      <c r="D255" s="107"/>
      <c r="E255" s="179"/>
      <c r="F255" s="108"/>
    </row>
    <row r="256" spans="1:6" x14ac:dyDescent="0.25">
      <c r="A256" s="107"/>
      <c r="B256" s="109"/>
      <c r="C256" s="109"/>
      <c r="D256" s="107"/>
      <c r="E256" s="179"/>
      <c r="F256" s="108"/>
    </row>
    <row r="257" spans="1:6" x14ac:dyDescent="0.25">
      <c r="A257" s="107"/>
      <c r="B257" s="109"/>
      <c r="C257" s="109"/>
      <c r="D257" s="107"/>
      <c r="E257" s="179"/>
      <c r="F257" s="108"/>
    </row>
    <row r="258" spans="1:6" x14ac:dyDescent="0.25">
      <c r="A258" s="107"/>
      <c r="B258" s="109"/>
      <c r="C258" s="109"/>
      <c r="D258" s="107"/>
      <c r="E258" s="179"/>
      <c r="F258" s="108"/>
    </row>
    <row r="259" spans="1:6" x14ac:dyDescent="0.25">
      <c r="A259" s="107"/>
      <c r="B259" s="109"/>
      <c r="C259" s="109"/>
      <c r="D259" s="107"/>
      <c r="E259" s="179"/>
      <c r="F259" s="108"/>
    </row>
    <row r="260" spans="1:6" x14ac:dyDescent="0.25">
      <c r="A260" s="107"/>
      <c r="B260" s="109"/>
      <c r="C260" s="109"/>
      <c r="D260" s="107"/>
      <c r="E260" s="179"/>
      <c r="F260" s="108"/>
    </row>
    <row r="261" spans="1:6" x14ac:dyDescent="0.25">
      <c r="A261" s="107"/>
      <c r="B261" s="109"/>
      <c r="C261" s="109"/>
      <c r="D261" s="107"/>
      <c r="E261" s="179"/>
      <c r="F261" s="108"/>
    </row>
    <row r="262" spans="1:6" x14ac:dyDescent="0.25">
      <c r="A262" s="107"/>
      <c r="B262" s="109"/>
      <c r="C262" s="109"/>
      <c r="D262" s="107"/>
      <c r="E262" s="179"/>
      <c r="F262" s="108"/>
    </row>
    <row r="263" spans="1:6" x14ac:dyDescent="0.25">
      <c r="A263" s="107"/>
      <c r="B263" s="109"/>
      <c r="C263" s="109"/>
      <c r="D263" s="107"/>
      <c r="E263" s="179"/>
      <c r="F263" s="108"/>
    </row>
    <row r="264" spans="1:6" x14ac:dyDescent="0.25">
      <c r="A264" s="107"/>
      <c r="B264" s="109"/>
      <c r="C264" s="109"/>
      <c r="D264" s="107"/>
      <c r="E264" s="179"/>
      <c r="F264" s="108"/>
    </row>
    <row r="265" spans="1:6" x14ac:dyDescent="0.25">
      <c r="A265" s="107"/>
      <c r="B265" s="109"/>
      <c r="C265" s="109"/>
      <c r="D265" s="107"/>
      <c r="E265" s="179"/>
      <c r="F265" s="108"/>
    </row>
    <row r="266" spans="1:6" x14ac:dyDescent="0.25">
      <c r="A266" s="107"/>
      <c r="B266" s="109"/>
      <c r="C266" s="109"/>
      <c r="D266" s="107"/>
      <c r="E266" s="179"/>
      <c r="F266" s="108"/>
    </row>
    <row r="267" spans="1:6" x14ac:dyDescent="0.25">
      <c r="A267" s="107"/>
      <c r="B267" s="109"/>
      <c r="C267" s="109"/>
      <c r="D267" s="107"/>
      <c r="E267" s="179"/>
      <c r="F267" s="108"/>
    </row>
    <row r="268" spans="1:6" x14ac:dyDescent="0.25">
      <c r="A268" s="107"/>
      <c r="B268" s="109"/>
      <c r="C268" s="109"/>
      <c r="D268" s="107"/>
      <c r="E268" s="179"/>
      <c r="F268" s="108"/>
    </row>
    <row r="269" spans="1:6" x14ac:dyDescent="0.25">
      <c r="A269" s="107"/>
      <c r="B269" s="109"/>
      <c r="C269" s="109"/>
      <c r="D269" s="107"/>
      <c r="E269" s="179"/>
      <c r="F269" s="108"/>
    </row>
    <row r="270" spans="1:6" x14ac:dyDescent="0.25">
      <c r="A270" s="107"/>
      <c r="B270" s="109"/>
      <c r="C270" s="109"/>
      <c r="D270" s="107"/>
      <c r="E270" s="179"/>
      <c r="F270" s="108"/>
    </row>
    <row r="271" spans="1:6" x14ac:dyDescent="0.25">
      <c r="A271" s="107"/>
      <c r="B271" s="109"/>
      <c r="C271" s="109"/>
      <c r="D271" s="107"/>
      <c r="E271" s="179"/>
      <c r="F271" s="108"/>
    </row>
    <row r="272" spans="1:6" x14ac:dyDescent="0.25">
      <c r="A272" s="107"/>
      <c r="B272" s="109"/>
      <c r="C272" s="109"/>
      <c r="D272" s="107"/>
      <c r="E272" s="179"/>
      <c r="F272" s="108"/>
    </row>
    <row r="273" spans="1:6" x14ac:dyDescent="0.25">
      <c r="A273" s="107"/>
      <c r="B273" s="109"/>
      <c r="C273" s="109"/>
      <c r="D273" s="107"/>
      <c r="E273" s="179"/>
      <c r="F273" s="108"/>
    </row>
    <row r="274" spans="1:6" x14ac:dyDescent="0.25">
      <c r="A274" s="107"/>
      <c r="B274" s="110"/>
      <c r="C274" s="109"/>
      <c r="D274" s="107"/>
      <c r="E274" s="179"/>
      <c r="F274" s="108"/>
    </row>
    <row r="275" spans="1:6" x14ac:dyDescent="0.25">
      <c r="A275" s="107"/>
      <c r="B275" s="109"/>
      <c r="C275" s="109"/>
      <c r="D275" s="107"/>
      <c r="E275" s="179"/>
      <c r="F275" s="108"/>
    </row>
    <row r="276" spans="1:6" x14ac:dyDescent="0.25">
      <c r="A276" s="107"/>
      <c r="B276" s="109"/>
      <c r="C276" s="109"/>
      <c r="D276" s="107"/>
      <c r="E276" s="179"/>
      <c r="F276" s="108"/>
    </row>
    <row r="277" spans="1:6" x14ac:dyDescent="0.25">
      <c r="A277" s="107"/>
      <c r="B277" s="109"/>
      <c r="C277" s="109"/>
      <c r="D277" s="107"/>
      <c r="E277" s="179"/>
      <c r="F277" s="108"/>
    </row>
    <row r="278" spans="1:6" x14ac:dyDescent="0.25">
      <c r="A278" s="107"/>
      <c r="B278" s="109"/>
      <c r="C278" s="109"/>
      <c r="D278" s="107"/>
      <c r="E278" s="179"/>
      <c r="F278" s="108"/>
    </row>
    <row r="279" spans="1:6" x14ac:dyDescent="0.25">
      <c r="A279" s="107"/>
      <c r="B279" s="109"/>
      <c r="C279" s="109"/>
      <c r="D279" s="107"/>
      <c r="E279" s="179"/>
      <c r="F279" s="108"/>
    </row>
    <row r="280" spans="1:6" x14ac:dyDescent="0.25">
      <c r="A280" s="107"/>
      <c r="B280" s="109"/>
      <c r="C280" s="109"/>
      <c r="D280" s="107"/>
      <c r="E280" s="179"/>
      <c r="F280" s="108"/>
    </row>
    <row r="281" spans="1:6" x14ac:dyDescent="0.25">
      <c r="A281" s="107"/>
      <c r="B281" s="109"/>
      <c r="C281" s="109"/>
      <c r="D281" s="107"/>
      <c r="E281" s="179"/>
      <c r="F281" s="108"/>
    </row>
    <row r="282" spans="1:6" x14ac:dyDescent="0.25">
      <c r="A282" s="107"/>
      <c r="B282" s="109"/>
      <c r="C282" s="109"/>
      <c r="D282" s="107"/>
      <c r="E282" s="179"/>
      <c r="F282" s="108"/>
    </row>
    <row r="283" spans="1:6" x14ac:dyDescent="0.25">
      <c r="A283" s="107"/>
      <c r="B283" s="109"/>
      <c r="C283" s="109"/>
      <c r="D283" s="107"/>
      <c r="E283" s="179"/>
      <c r="F283" s="108"/>
    </row>
    <row r="284" spans="1:6" x14ac:dyDescent="0.25">
      <c r="A284" s="107"/>
      <c r="B284" s="109"/>
      <c r="C284" s="109"/>
      <c r="D284" s="107"/>
      <c r="E284" s="179"/>
      <c r="F284" s="108"/>
    </row>
    <row r="285" spans="1:6" x14ac:dyDescent="0.25">
      <c r="A285" s="107"/>
      <c r="B285" s="109"/>
      <c r="C285" s="109"/>
      <c r="D285" s="107"/>
      <c r="E285" s="179"/>
      <c r="F285" s="108"/>
    </row>
    <row r="286" spans="1:6" x14ac:dyDescent="0.25">
      <c r="A286" s="107"/>
      <c r="B286" s="109"/>
      <c r="C286" s="109"/>
      <c r="D286" s="107"/>
      <c r="E286" s="179"/>
      <c r="F286" s="108"/>
    </row>
    <row r="287" spans="1:6" x14ac:dyDescent="0.25">
      <c r="A287" s="107"/>
      <c r="B287" s="109"/>
      <c r="C287" s="109"/>
      <c r="D287" s="107"/>
      <c r="E287" s="179"/>
      <c r="F287" s="108"/>
    </row>
    <row r="288" spans="1:6" x14ac:dyDescent="0.25">
      <c r="A288" s="107"/>
      <c r="B288" s="109"/>
      <c r="C288" s="109"/>
      <c r="D288" s="107"/>
      <c r="E288" s="179"/>
      <c r="F288" s="108"/>
    </row>
    <row r="289" spans="1:6" x14ac:dyDescent="0.25">
      <c r="A289" s="107"/>
      <c r="B289" s="109"/>
      <c r="C289" s="109"/>
      <c r="D289" s="107"/>
      <c r="E289" s="179"/>
      <c r="F289" s="108"/>
    </row>
    <row r="290" spans="1:6" x14ac:dyDescent="0.25">
      <c r="A290" s="107"/>
      <c r="B290" s="109"/>
      <c r="C290" s="109"/>
      <c r="D290" s="107"/>
      <c r="E290" s="179"/>
      <c r="F290" s="108"/>
    </row>
    <row r="291" spans="1:6" x14ac:dyDescent="0.25">
      <c r="A291" s="107"/>
      <c r="B291" s="109"/>
      <c r="C291" s="109"/>
      <c r="D291" s="107"/>
      <c r="E291" s="179"/>
      <c r="F291" s="108"/>
    </row>
    <row r="292" spans="1:6" x14ac:dyDescent="0.25">
      <c r="A292" s="107"/>
      <c r="B292" s="109"/>
      <c r="C292" s="109"/>
      <c r="D292" s="107"/>
      <c r="E292" s="179"/>
      <c r="F292" s="108"/>
    </row>
    <row r="293" spans="1:6" x14ac:dyDescent="0.25">
      <c r="A293" s="107"/>
      <c r="B293" s="109"/>
      <c r="C293" s="109"/>
      <c r="D293" s="107"/>
      <c r="E293" s="179"/>
      <c r="F293" s="108"/>
    </row>
    <row r="294" spans="1:6" x14ac:dyDescent="0.25">
      <c r="A294" s="107"/>
      <c r="B294" s="109"/>
      <c r="C294" s="109"/>
      <c r="D294" s="107"/>
      <c r="E294" s="179"/>
      <c r="F294" s="108"/>
    </row>
    <row r="295" spans="1:6" x14ac:dyDescent="0.25">
      <c r="A295" s="107"/>
      <c r="B295" s="109"/>
      <c r="C295" s="109"/>
      <c r="D295" s="107"/>
      <c r="E295" s="179"/>
      <c r="F295" s="108"/>
    </row>
    <row r="296" spans="1:6" x14ac:dyDescent="0.25">
      <c r="A296" s="107"/>
      <c r="B296" s="109"/>
      <c r="C296" s="109"/>
      <c r="D296" s="107"/>
      <c r="E296" s="179"/>
      <c r="F296" s="108"/>
    </row>
    <row r="297" spans="1:6" x14ac:dyDescent="0.25">
      <c r="A297" s="107"/>
      <c r="B297" s="109"/>
      <c r="C297" s="109"/>
      <c r="D297" s="107"/>
      <c r="E297" s="179"/>
      <c r="F297" s="108"/>
    </row>
    <row r="298" spans="1:6" x14ac:dyDescent="0.25">
      <c r="A298" s="107"/>
      <c r="B298" s="109"/>
      <c r="C298" s="109"/>
      <c r="D298" s="107"/>
      <c r="E298" s="179"/>
      <c r="F298" s="108"/>
    </row>
    <row r="299" spans="1:6" x14ac:dyDescent="0.25">
      <c r="A299" s="107"/>
      <c r="B299" s="109"/>
      <c r="C299" s="109"/>
      <c r="D299" s="107"/>
      <c r="E299" s="179"/>
      <c r="F299" s="108"/>
    </row>
    <row r="300" spans="1:6" x14ac:dyDescent="0.25">
      <c r="A300" s="107"/>
      <c r="B300" s="109"/>
      <c r="C300" s="109"/>
      <c r="D300" s="107"/>
      <c r="E300" s="179"/>
      <c r="F300" s="108"/>
    </row>
    <row r="301" spans="1:6" x14ac:dyDescent="0.25">
      <c r="A301" s="107"/>
      <c r="B301" s="109"/>
      <c r="C301" s="109"/>
      <c r="D301" s="107"/>
      <c r="E301" s="179"/>
      <c r="F301" s="108"/>
    </row>
    <row r="302" spans="1:6" x14ac:dyDescent="0.25">
      <c r="A302" s="107"/>
      <c r="B302" s="109"/>
      <c r="C302" s="109"/>
      <c r="D302" s="107"/>
      <c r="E302" s="179"/>
      <c r="F302" s="108"/>
    </row>
    <row r="303" spans="1:6" x14ac:dyDescent="0.25">
      <c r="A303" s="107"/>
      <c r="B303" s="109"/>
      <c r="C303" s="109"/>
      <c r="D303" s="107"/>
      <c r="E303" s="179"/>
      <c r="F303" s="108"/>
    </row>
    <row r="304" spans="1:6" x14ac:dyDescent="0.25">
      <c r="A304" s="107"/>
      <c r="B304" s="109"/>
      <c r="C304" s="109"/>
      <c r="D304" s="107"/>
      <c r="E304" s="179"/>
      <c r="F304" s="108"/>
    </row>
    <row r="305" spans="1:6" x14ac:dyDescent="0.25">
      <c r="A305" s="107"/>
      <c r="B305" s="109"/>
      <c r="C305" s="109"/>
      <c r="D305" s="107"/>
      <c r="E305" s="179"/>
      <c r="F305" s="108"/>
    </row>
    <row r="306" spans="1:6" x14ac:dyDescent="0.25">
      <c r="A306" s="107"/>
      <c r="B306" s="109"/>
      <c r="C306" s="109"/>
      <c r="D306" s="107"/>
      <c r="E306" s="179"/>
      <c r="F306" s="108"/>
    </row>
    <row r="307" spans="1:6" x14ac:dyDescent="0.25">
      <c r="A307" s="107"/>
      <c r="B307" s="109"/>
      <c r="C307" s="109"/>
      <c r="D307" s="107"/>
      <c r="E307" s="179"/>
      <c r="F307" s="108"/>
    </row>
    <row r="308" spans="1:6" x14ac:dyDescent="0.25">
      <c r="A308" s="107"/>
      <c r="B308" s="109"/>
      <c r="C308" s="109"/>
      <c r="D308" s="107"/>
      <c r="E308" s="179"/>
      <c r="F308" s="108"/>
    </row>
    <row r="309" spans="1:6" x14ac:dyDescent="0.25">
      <c r="A309" s="107"/>
      <c r="B309" s="109"/>
      <c r="C309" s="109"/>
      <c r="D309" s="107"/>
      <c r="E309" s="179"/>
      <c r="F309" s="108"/>
    </row>
    <row r="310" spans="1:6" x14ac:dyDescent="0.25">
      <c r="A310" s="107"/>
      <c r="B310" s="109"/>
      <c r="C310" s="109"/>
      <c r="D310" s="107"/>
      <c r="E310" s="179"/>
      <c r="F310" s="108"/>
    </row>
    <row r="311" spans="1:6" x14ac:dyDescent="0.25">
      <c r="A311" s="107"/>
      <c r="B311" s="109"/>
      <c r="C311" s="109"/>
      <c r="D311" s="107"/>
      <c r="E311" s="179"/>
      <c r="F311" s="108"/>
    </row>
    <row r="312" spans="1:6" x14ac:dyDescent="0.25">
      <c r="A312" s="107"/>
      <c r="B312" s="109"/>
      <c r="C312" s="109"/>
      <c r="D312" s="107"/>
      <c r="E312" s="179"/>
      <c r="F312" s="108"/>
    </row>
    <row r="313" spans="1:6" x14ac:dyDescent="0.25">
      <c r="A313" s="107"/>
      <c r="B313" s="109"/>
      <c r="C313" s="109"/>
      <c r="D313" s="107"/>
      <c r="E313" s="179"/>
      <c r="F313" s="108"/>
    </row>
    <row r="314" spans="1:6" x14ac:dyDescent="0.25">
      <c r="A314" s="107"/>
      <c r="B314" s="109"/>
      <c r="C314" s="109"/>
      <c r="D314" s="107"/>
      <c r="E314" s="179"/>
      <c r="F314" s="108"/>
    </row>
    <row r="315" spans="1:6" x14ac:dyDescent="0.25">
      <c r="A315" s="107"/>
      <c r="B315" s="109"/>
      <c r="C315" s="109"/>
      <c r="D315" s="107"/>
      <c r="E315" s="179"/>
      <c r="F315" s="108"/>
    </row>
    <row r="316" spans="1:6" x14ac:dyDescent="0.25">
      <c r="A316" s="107"/>
      <c r="B316" s="109"/>
      <c r="C316" s="109"/>
      <c r="D316" s="107"/>
      <c r="E316" s="179"/>
      <c r="F316" s="108"/>
    </row>
    <row r="317" spans="1:6" x14ac:dyDescent="0.25">
      <c r="A317" s="107"/>
      <c r="B317" s="109"/>
      <c r="C317" s="109"/>
      <c r="D317" s="107"/>
      <c r="E317" s="179"/>
      <c r="F317" s="108"/>
    </row>
    <row r="318" spans="1:6" x14ac:dyDescent="0.25">
      <c r="A318" s="107"/>
      <c r="B318" s="109"/>
      <c r="C318" s="109"/>
      <c r="D318" s="107"/>
      <c r="E318" s="179"/>
      <c r="F318" s="108"/>
    </row>
    <row r="319" spans="1:6" x14ac:dyDescent="0.25">
      <c r="A319" s="107"/>
      <c r="B319" s="109"/>
      <c r="C319" s="109"/>
      <c r="D319" s="107"/>
      <c r="E319" s="179"/>
      <c r="F319" s="108"/>
    </row>
    <row r="320" spans="1:6" x14ac:dyDescent="0.25">
      <c r="A320" s="107"/>
      <c r="B320" s="109"/>
      <c r="C320" s="109"/>
      <c r="D320" s="107"/>
      <c r="E320" s="179"/>
      <c r="F320" s="108"/>
    </row>
    <row r="321" spans="1:6" x14ac:dyDescent="0.25">
      <c r="A321" s="107"/>
      <c r="B321" s="109"/>
      <c r="C321" s="109"/>
      <c r="D321" s="107"/>
      <c r="E321" s="179"/>
      <c r="F321" s="108"/>
    </row>
    <row r="322" spans="1:6" x14ac:dyDescent="0.25">
      <c r="A322" s="107"/>
      <c r="B322" s="109"/>
      <c r="C322" s="109"/>
      <c r="D322" s="107"/>
      <c r="E322" s="179"/>
      <c r="F322" s="108"/>
    </row>
    <row r="323" spans="1:6" x14ac:dyDescent="0.25">
      <c r="A323" s="107"/>
      <c r="B323" s="109"/>
      <c r="C323" s="109"/>
      <c r="D323" s="107"/>
      <c r="E323" s="179"/>
      <c r="F323" s="108"/>
    </row>
    <row r="324" spans="1:6" x14ac:dyDescent="0.25">
      <c r="A324" s="107"/>
      <c r="B324" s="109"/>
      <c r="C324" s="109"/>
      <c r="D324" s="107"/>
      <c r="E324" s="179"/>
      <c r="F324" s="108"/>
    </row>
    <row r="325" spans="1:6" x14ac:dyDescent="0.25">
      <c r="A325" s="107"/>
      <c r="B325" s="109"/>
      <c r="C325" s="109"/>
      <c r="D325" s="107"/>
      <c r="E325" s="179"/>
      <c r="F325" s="108"/>
    </row>
    <row r="326" spans="1:6" x14ac:dyDescent="0.25">
      <c r="A326" s="107"/>
      <c r="B326" s="109"/>
      <c r="C326" s="109"/>
      <c r="D326" s="107"/>
      <c r="E326" s="179"/>
      <c r="F326" s="108"/>
    </row>
    <row r="327" spans="1:6" x14ac:dyDescent="0.25">
      <c r="A327" s="107"/>
      <c r="B327" s="109"/>
      <c r="C327" s="109"/>
      <c r="D327" s="107"/>
      <c r="E327" s="179"/>
      <c r="F327" s="108"/>
    </row>
    <row r="328" spans="1:6" x14ac:dyDescent="0.25">
      <c r="A328" s="107"/>
      <c r="B328" s="109"/>
      <c r="C328" s="109"/>
      <c r="D328" s="107"/>
      <c r="E328" s="179"/>
      <c r="F328" s="108"/>
    </row>
    <row r="329" spans="1:6" x14ac:dyDescent="0.25">
      <c r="A329" s="107"/>
      <c r="B329" s="109"/>
      <c r="C329" s="109"/>
      <c r="D329" s="107"/>
      <c r="E329" s="179"/>
      <c r="F329" s="108"/>
    </row>
    <row r="330" spans="1:6" x14ac:dyDescent="0.25">
      <c r="A330" s="107"/>
      <c r="B330" s="109"/>
      <c r="C330" s="109"/>
      <c r="D330" s="107"/>
      <c r="E330" s="179"/>
      <c r="F330" s="108"/>
    </row>
    <row r="331" spans="1:6" x14ac:dyDescent="0.25">
      <c r="A331" s="107"/>
      <c r="B331" s="109"/>
      <c r="C331" s="109"/>
      <c r="D331" s="107"/>
      <c r="E331" s="179"/>
      <c r="F331" s="108"/>
    </row>
    <row r="332" spans="1:6" x14ac:dyDescent="0.25">
      <c r="A332" s="107"/>
      <c r="B332" s="109"/>
      <c r="C332" s="109"/>
      <c r="D332" s="107"/>
      <c r="E332" s="179"/>
      <c r="F332" s="108"/>
    </row>
    <row r="333" spans="1:6" x14ac:dyDescent="0.25">
      <c r="A333" s="107"/>
      <c r="B333" s="109"/>
      <c r="C333" s="109"/>
      <c r="D333" s="107"/>
      <c r="E333" s="179"/>
      <c r="F333" s="108"/>
    </row>
    <row r="334" spans="1:6" x14ac:dyDescent="0.25">
      <c r="A334" s="107"/>
      <c r="B334" s="109"/>
      <c r="C334" s="109"/>
      <c r="D334" s="107"/>
      <c r="E334" s="179"/>
      <c r="F334" s="108"/>
    </row>
    <row r="335" spans="1:6" x14ac:dyDescent="0.25">
      <c r="A335" s="107"/>
      <c r="B335" s="109"/>
      <c r="C335" s="109"/>
      <c r="D335" s="107"/>
      <c r="E335" s="179"/>
      <c r="F335" s="108"/>
    </row>
    <row r="336" spans="1:6" x14ac:dyDescent="0.25">
      <c r="A336" s="107"/>
      <c r="B336" s="109"/>
      <c r="C336" s="109"/>
      <c r="D336" s="107"/>
      <c r="E336" s="179"/>
      <c r="F336" s="108"/>
    </row>
    <row r="337" spans="1:6" x14ac:dyDescent="0.25">
      <c r="A337" s="107"/>
      <c r="B337" s="109"/>
      <c r="C337" s="109"/>
      <c r="D337" s="107"/>
      <c r="E337" s="179"/>
      <c r="F337" s="108"/>
    </row>
    <row r="338" spans="1:6" x14ac:dyDescent="0.25">
      <c r="A338" s="107"/>
      <c r="B338" s="109"/>
      <c r="C338" s="109"/>
      <c r="D338" s="107"/>
      <c r="E338" s="179"/>
      <c r="F338" s="108"/>
    </row>
    <row r="339" spans="1:6" x14ac:dyDescent="0.25">
      <c r="A339" s="107"/>
      <c r="B339" s="109"/>
      <c r="C339" s="109"/>
      <c r="D339" s="107"/>
      <c r="E339" s="179"/>
      <c r="F339" s="108"/>
    </row>
    <row r="340" spans="1:6" x14ac:dyDescent="0.25">
      <c r="A340" s="107"/>
      <c r="B340" s="109"/>
      <c r="C340" s="109"/>
      <c r="D340" s="107"/>
      <c r="E340" s="179"/>
      <c r="F340" s="108"/>
    </row>
    <row r="341" spans="1:6" x14ac:dyDescent="0.25">
      <c r="A341" s="107"/>
      <c r="B341" s="109"/>
      <c r="C341" s="109"/>
      <c r="D341" s="107"/>
      <c r="E341" s="179"/>
      <c r="F341" s="108"/>
    </row>
    <row r="342" spans="1:6" x14ac:dyDescent="0.25">
      <c r="A342" s="107"/>
      <c r="B342" s="109"/>
      <c r="C342" s="109"/>
      <c r="D342" s="107"/>
      <c r="E342" s="179"/>
      <c r="F342" s="108"/>
    </row>
    <row r="343" spans="1:6" x14ac:dyDescent="0.25">
      <c r="A343" s="107"/>
      <c r="B343" s="109"/>
      <c r="C343" s="109"/>
      <c r="D343" s="107"/>
      <c r="E343" s="179"/>
      <c r="F343" s="108"/>
    </row>
    <row r="344" spans="1:6" x14ac:dyDescent="0.25">
      <c r="A344" s="107"/>
      <c r="B344" s="109"/>
      <c r="C344" s="109"/>
      <c r="D344" s="107"/>
      <c r="E344" s="179"/>
      <c r="F344" s="108"/>
    </row>
    <row r="345" spans="1:6" x14ac:dyDescent="0.25">
      <c r="A345" s="107"/>
      <c r="B345" s="109"/>
      <c r="C345" s="109"/>
      <c r="D345" s="107"/>
      <c r="E345" s="179"/>
      <c r="F345" s="108"/>
    </row>
    <row r="346" spans="1:6" x14ac:dyDescent="0.25">
      <c r="A346" s="107"/>
      <c r="B346" s="109"/>
      <c r="C346" s="109"/>
      <c r="D346" s="107"/>
      <c r="E346" s="179"/>
      <c r="F346" s="108"/>
    </row>
    <row r="347" spans="1:6" x14ac:dyDescent="0.25">
      <c r="A347" s="107"/>
      <c r="B347" s="109"/>
      <c r="C347" s="109"/>
      <c r="D347" s="107"/>
      <c r="E347" s="179"/>
      <c r="F347" s="108"/>
    </row>
    <row r="348" spans="1:6" x14ac:dyDescent="0.25">
      <c r="A348" s="107"/>
      <c r="B348" s="109"/>
      <c r="C348" s="109"/>
      <c r="D348" s="107"/>
      <c r="E348" s="179"/>
      <c r="F348" s="108"/>
    </row>
    <row r="349" spans="1:6" x14ac:dyDescent="0.25">
      <c r="A349" s="107"/>
      <c r="B349" s="109"/>
      <c r="C349" s="109"/>
      <c r="D349" s="107"/>
      <c r="E349" s="179"/>
      <c r="F349" s="108"/>
    </row>
    <row r="350" spans="1:6" x14ac:dyDescent="0.25">
      <c r="A350" s="107"/>
      <c r="B350" s="109"/>
      <c r="C350" s="109"/>
      <c r="D350" s="107"/>
      <c r="E350" s="179"/>
      <c r="F350" s="108"/>
    </row>
    <row r="351" spans="1:6" x14ac:dyDescent="0.25">
      <c r="A351" s="107"/>
      <c r="B351" s="109"/>
      <c r="C351" s="109"/>
      <c r="D351" s="107"/>
      <c r="E351" s="179"/>
      <c r="F351" s="108"/>
    </row>
    <row r="352" spans="1:6" x14ac:dyDescent="0.25">
      <c r="A352" s="107"/>
      <c r="B352" s="109"/>
      <c r="C352" s="109"/>
      <c r="D352" s="107"/>
      <c r="E352" s="179"/>
      <c r="F352" s="108"/>
    </row>
    <row r="353" spans="1:6" x14ac:dyDescent="0.25">
      <c r="A353" s="107"/>
      <c r="B353" s="109"/>
      <c r="C353" s="109"/>
      <c r="D353" s="107"/>
      <c r="E353" s="179"/>
      <c r="F353" s="108"/>
    </row>
    <row r="354" spans="1:6" x14ac:dyDescent="0.25">
      <c r="A354" s="107"/>
      <c r="B354" s="109"/>
      <c r="C354" s="109"/>
      <c r="D354" s="107"/>
      <c r="E354" s="179"/>
      <c r="F354" s="108"/>
    </row>
    <row r="355" spans="1:6" x14ac:dyDescent="0.25">
      <c r="A355" s="107"/>
      <c r="B355" s="109"/>
      <c r="C355" s="109"/>
      <c r="D355" s="107"/>
      <c r="E355" s="179"/>
      <c r="F355" s="108"/>
    </row>
    <row r="356" spans="1:6" x14ac:dyDescent="0.25">
      <c r="A356" s="107"/>
      <c r="B356" s="109"/>
      <c r="C356" s="109"/>
      <c r="D356" s="107"/>
      <c r="E356" s="179"/>
      <c r="F356" s="108"/>
    </row>
    <row r="357" spans="1:6" x14ac:dyDescent="0.25">
      <c r="A357" s="107"/>
      <c r="B357" s="109"/>
      <c r="C357" s="109"/>
      <c r="D357" s="107"/>
      <c r="E357" s="179"/>
      <c r="F357" s="108"/>
    </row>
    <row r="358" spans="1:6" x14ac:dyDescent="0.25">
      <c r="A358" s="107"/>
      <c r="B358" s="109"/>
      <c r="C358" s="109"/>
      <c r="D358" s="107"/>
      <c r="E358" s="179"/>
      <c r="F358" s="108"/>
    </row>
    <row r="359" spans="1:6" x14ac:dyDescent="0.25">
      <c r="A359" s="107"/>
      <c r="B359" s="109"/>
      <c r="C359" s="109"/>
      <c r="D359" s="107"/>
      <c r="E359" s="179"/>
      <c r="F359" s="108"/>
    </row>
    <row r="360" spans="1:6" x14ac:dyDescent="0.25">
      <c r="A360" s="107"/>
      <c r="B360" s="109"/>
      <c r="C360" s="109"/>
      <c r="D360" s="107"/>
      <c r="E360" s="179"/>
      <c r="F360" s="108"/>
    </row>
    <row r="361" spans="1:6" x14ac:dyDescent="0.25">
      <c r="A361" s="107"/>
      <c r="B361" s="109"/>
      <c r="C361" s="109"/>
      <c r="D361" s="107"/>
      <c r="E361" s="179"/>
      <c r="F361" s="108"/>
    </row>
    <row r="362" spans="1:6" x14ac:dyDescent="0.25">
      <c r="A362" s="107"/>
      <c r="B362" s="109"/>
      <c r="C362" s="109"/>
      <c r="D362" s="107"/>
      <c r="E362" s="179"/>
      <c r="F362" s="108"/>
    </row>
    <row r="363" spans="1:6" x14ac:dyDescent="0.25">
      <c r="A363" s="107"/>
      <c r="B363" s="109"/>
      <c r="C363" s="109"/>
      <c r="D363" s="107"/>
      <c r="E363" s="179"/>
      <c r="F363" s="108"/>
    </row>
    <row r="364" spans="1:6" x14ac:dyDescent="0.25">
      <c r="A364" s="107"/>
      <c r="B364" s="109"/>
      <c r="C364" s="109"/>
      <c r="D364" s="107"/>
      <c r="E364" s="179"/>
      <c r="F364" s="108"/>
    </row>
    <row r="365" spans="1:6" x14ac:dyDescent="0.25">
      <c r="A365" s="107"/>
      <c r="B365" s="109"/>
      <c r="C365" s="109"/>
      <c r="D365" s="107"/>
      <c r="E365" s="179"/>
      <c r="F365" s="108"/>
    </row>
    <row r="366" spans="1:6" x14ac:dyDescent="0.25">
      <c r="A366" s="107"/>
      <c r="B366" s="109"/>
      <c r="C366" s="109"/>
      <c r="D366" s="107"/>
      <c r="E366" s="179"/>
      <c r="F366" s="108"/>
    </row>
    <row r="367" spans="1:6" x14ac:dyDescent="0.25">
      <c r="A367" s="107"/>
      <c r="B367" s="109"/>
      <c r="C367" s="109"/>
      <c r="D367" s="107"/>
      <c r="E367" s="179"/>
      <c r="F367" s="108"/>
    </row>
    <row r="368" spans="1:6" x14ac:dyDescent="0.25">
      <c r="A368" s="107"/>
      <c r="B368" s="109"/>
      <c r="C368" s="109"/>
      <c r="D368" s="107"/>
      <c r="E368" s="179"/>
      <c r="F368" s="108"/>
    </row>
    <row r="369" spans="1:6" x14ac:dyDescent="0.25">
      <c r="A369" s="107"/>
      <c r="B369" s="109"/>
      <c r="C369" s="109"/>
      <c r="D369" s="107"/>
      <c r="E369" s="179"/>
      <c r="F369" s="108"/>
    </row>
    <row r="370" spans="1:6" x14ac:dyDescent="0.25">
      <c r="A370" s="107"/>
      <c r="B370" s="109"/>
      <c r="C370" s="109"/>
      <c r="D370" s="107"/>
      <c r="E370" s="179"/>
      <c r="F370" s="108"/>
    </row>
    <row r="371" spans="1:6" x14ac:dyDescent="0.25">
      <c r="A371" s="107"/>
      <c r="B371" s="109"/>
      <c r="C371" s="109"/>
      <c r="D371" s="107"/>
      <c r="E371" s="179"/>
      <c r="F371" s="108"/>
    </row>
    <row r="372" spans="1:6" x14ac:dyDescent="0.25">
      <c r="A372" s="107"/>
      <c r="B372" s="109"/>
      <c r="C372" s="109"/>
      <c r="D372" s="107"/>
      <c r="E372" s="179"/>
      <c r="F372" s="108"/>
    </row>
    <row r="373" spans="1:6" x14ac:dyDescent="0.25">
      <c r="A373" s="107"/>
      <c r="B373" s="109"/>
      <c r="C373" s="109"/>
      <c r="D373" s="107"/>
      <c r="E373" s="179"/>
      <c r="F373" s="108"/>
    </row>
    <row r="374" spans="1:6" x14ac:dyDescent="0.25">
      <c r="A374" s="107"/>
      <c r="B374" s="109"/>
      <c r="C374" s="109"/>
      <c r="D374" s="107"/>
      <c r="E374" s="179"/>
      <c r="F374" s="108"/>
    </row>
    <row r="375" spans="1:6" x14ac:dyDescent="0.25">
      <c r="A375" s="107"/>
      <c r="B375" s="109"/>
      <c r="C375" s="109"/>
      <c r="D375" s="107"/>
      <c r="E375" s="179"/>
      <c r="F375" s="108"/>
    </row>
    <row r="376" spans="1:6" x14ac:dyDescent="0.25">
      <c r="A376" s="107"/>
      <c r="B376" s="109"/>
      <c r="C376" s="109"/>
      <c r="D376" s="107"/>
      <c r="E376" s="179"/>
      <c r="F376" s="108"/>
    </row>
    <row r="377" spans="1:6" x14ac:dyDescent="0.25">
      <c r="A377" s="107"/>
      <c r="B377" s="109"/>
      <c r="C377" s="109"/>
      <c r="D377" s="107"/>
      <c r="E377" s="179"/>
      <c r="F377" s="108"/>
    </row>
    <row r="378" spans="1:6" x14ac:dyDescent="0.25">
      <c r="A378" s="107"/>
      <c r="B378" s="109"/>
      <c r="C378" s="109"/>
      <c r="D378" s="107"/>
      <c r="E378" s="179"/>
      <c r="F378" s="108"/>
    </row>
    <row r="379" spans="1:6" x14ac:dyDescent="0.25">
      <c r="A379" s="107"/>
      <c r="B379" s="109"/>
      <c r="C379" s="109"/>
      <c r="D379" s="107"/>
      <c r="E379" s="179"/>
      <c r="F379" s="108"/>
    </row>
    <row r="380" spans="1:6" x14ac:dyDescent="0.25">
      <c r="A380" s="107"/>
      <c r="B380" s="109"/>
      <c r="C380" s="109"/>
      <c r="D380" s="107"/>
      <c r="E380" s="179"/>
      <c r="F380" s="108"/>
    </row>
    <row r="381" spans="1:6" x14ac:dyDescent="0.25">
      <c r="A381" s="107"/>
      <c r="B381" s="109"/>
      <c r="C381" s="109"/>
      <c r="D381" s="107"/>
      <c r="E381" s="179"/>
      <c r="F381" s="108"/>
    </row>
    <row r="382" spans="1:6" x14ac:dyDescent="0.25">
      <c r="A382" s="107"/>
      <c r="B382" s="109"/>
      <c r="C382" s="109"/>
      <c r="D382" s="107"/>
      <c r="E382" s="179"/>
      <c r="F382" s="108"/>
    </row>
    <row r="383" spans="1:6" x14ac:dyDescent="0.25">
      <c r="A383" s="107"/>
      <c r="B383" s="109"/>
      <c r="C383" s="109"/>
      <c r="D383" s="107"/>
      <c r="E383" s="179"/>
      <c r="F383" s="108"/>
    </row>
    <row r="384" spans="1:6" x14ac:dyDescent="0.25">
      <c r="A384" s="107"/>
      <c r="B384" s="109"/>
      <c r="C384" s="109"/>
      <c r="D384" s="107"/>
      <c r="E384" s="179"/>
      <c r="F384" s="108"/>
    </row>
    <row r="385" spans="1:6" x14ac:dyDescent="0.25">
      <c r="A385" s="107"/>
      <c r="B385" s="109"/>
      <c r="C385" s="109"/>
      <c r="D385" s="107"/>
      <c r="E385" s="179"/>
      <c r="F385" s="108"/>
    </row>
    <row r="386" spans="1:6" x14ac:dyDescent="0.25">
      <c r="A386" s="107"/>
      <c r="B386" s="109"/>
      <c r="C386" s="109"/>
      <c r="D386" s="107"/>
      <c r="E386" s="179"/>
      <c r="F386" s="108"/>
    </row>
    <row r="387" spans="1:6" x14ac:dyDescent="0.25">
      <c r="A387" s="107"/>
      <c r="B387" s="109"/>
      <c r="C387" s="109"/>
      <c r="D387" s="107"/>
      <c r="E387" s="179"/>
      <c r="F387" s="108"/>
    </row>
    <row r="388" spans="1:6" x14ac:dyDescent="0.25">
      <c r="A388" s="107"/>
      <c r="B388" s="109"/>
      <c r="C388" s="109"/>
      <c r="D388" s="107"/>
      <c r="E388" s="179"/>
      <c r="F388" s="108"/>
    </row>
    <row r="389" spans="1:6" x14ac:dyDescent="0.25">
      <c r="A389" s="107"/>
      <c r="B389" s="109"/>
      <c r="C389" s="109"/>
      <c r="D389" s="107"/>
      <c r="E389" s="179"/>
      <c r="F389" s="108"/>
    </row>
    <row r="390" spans="1:6" x14ac:dyDescent="0.25">
      <c r="A390" s="107"/>
      <c r="B390" s="109"/>
      <c r="C390" s="109"/>
      <c r="D390" s="107"/>
      <c r="E390" s="179"/>
      <c r="F390" s="108"/>
    </row>
    <row r="391" spans="1:6" x14ac:dyDescent="0.25">
      <c r="A391" s="107"/>
      <c r="B391" s="109"/>
      <c r="C391" s="109"/>
      <c r="D391" s="107"/>
      <c r="E391" s="179"/>
      <c r="F391" s="108"/>
    </row>
    <row r="392" spans="1:6" x14ac:dyDescent="0.25">
      <c r="A392" s="107"/>
      <c r="B392" s="109"/>
      <c r="C392" s="109"/>
      <c r="D392" s="107"/>
      <c r="E392" s="179"/>
      <c r="F392" s="108"/>
    </row>
    <row r="393" spans="1:6" x14ac:dyDescent="0.25">
      <c r="A393" s="107"/>
      <c r="B393" s="109"/>
      <c r="C393" s="109"/>
      <c r="D393" s="107"/>
      <c r="E393" s="179"/>
      <c r="F393" s="108"/>
    </row>
    <row r="394" spans="1:6" x14ac:dyDescent="0.25">
      <c r="A394" s="107"/>
      <c r="B394" s="109"/>
      <c r="C394" s="109"/>
      <c r="D394" s="107"/>
      <c r="E394" s="179"/>
      <c r="F394" s="108"/>
    </row>
    <row r="395" spans="1:6" x14ac:dyDescent="0.25">
      <c r="A395" s="107"/>
      <c r="B395" s="109"/>
      <c r="C395" s="109"/>
      <c r="D395" s="107"/>
      <c r="E395" s="179"/>
      <c r="F395" s="108"/>
    </row>
    <row r="396" spans="1:6" x14ac:dyDescent="0.25">
      <c r="A396" s="107"/>
      <c r="B396" s="109"/>
      <c r="C396" s="109"/>
      <c r="D396" s="107"/>
      <c r="E396" s="179"/>
      <c r="F396" s="108"/>
    </row>
    <row r="397" spans="1:6" x14ac:dyDescent="0.25">
      <c r="A397" s="107"/>
      <c r="B397" s="109"/>
      <c r="C397" s="109"/>
      <c r="D397" s="107"/>
      <c r="E397" s="179"/>
      <c r="F397" s="108"/>
    </row>
    <row r="398" spans="1:6" x14ac:dyDescent="0.25">
      <c r="A398" s="107"/>
      <c r="B398" s="109"/>
      <c r="C398" s="109"/>
      <c r="D398" s="107"/>
      <c r="E398" s="179"/>
      <c r="F398" s="108"/>
    </row>
    <row r="399" spans="1:6" x14ac:dyDescent="0.25">
      <c r="A399" s="107"/>
      <c r="B399" s="109"/>
      <c r="C399" s="109"/>
      <c r="D399" s="107"/>
      <c r="E399" s="179"/>
      <c r="F399" s="108"/>
    </row>
    <row r="400" spans="1:6" x14ac:dyDescent="0.25">
      <c r="A400" s="107"/>
      <c r="B400" s="109"/>
      <c r="C400" s="109"/>
      <c r="D400" s="107"/>
      <c r="E400" s="179"/>
      <c r="F400" s="108"/>
    </row>
    <row r="401" spans="1:6" x14ac:dyDescent="0.25">
      <c r="A401" s="107"/>
      <c r="B401" s="109"/>
      <c r="C401" s="109"/>
      <c r="D401" s="107"/>
      <c r="E401" s="179"/>
      <c r="F401" s="108"/>
    </row>
    <row r="402" spans="1:6" x14ac:dyDescent="0.25">
      <c r="A402" s="107"/>
      <c r="B402" s="109"/>
      <c r="C402" s="109"/>
      <c r="D402" s="107"/>
      <c r="E402" s="179"/>
      <c r="F402" s="108"/>
    </row>
    <row r="403" spans="1:6" x14ac:dyDescent="0.25">
      <c r="A403" s="107"/>
      <c r="B403" s="109"/>
      <c r="C403" s="109"/>
      <c r="D403" s="107"/>
      <c r="E403" s="179"/>
      <c r="F403" s="108"/>
    </row>
    <row r="404" spans="1:6" x14ac:dyDescent="0.25">
      <c r="A404" s="107"/>
      <c r="B404" s="109"/>
      <c r="C404" s="109"/>
      <c r="D404" s="107"/>
      <c r="E404" s="179"/>
      <c r="F404" s="108"/>
    </row>
    <row r="405" spans="1:6" x14ac:dyDescent="0.25">
      <c r="A405" s="107"/>
      <c r="B405" s="109"/>
      <c r="C405" s="109"/>
      <c r="D405" s="107"/>
      <c r="E405" s="179"/>
      <c r="F405" s="108"/>
    </row>
    <row r="406" spans="1:6" x14ac:dyDescent="0.25">
      <c r="A406" s="107"/>
      <c r="B406" s="109"/>
      <c r="C406" s="109"/>
      <c r="D406" s="107"/>
      <c r="E406" s="179"/>
      <c r="F406" s="108"/>
    </row>
    <row r="407" spans="1:6" x14ac:dyDescent="0.25">
      <c r="A407" s="107"/>
      <c r="B407" s="109"/>
      <c r="C407" s="109"/>
      <c r="D407" s="107"/>
      <c r="E407" s="179"/>
      <c r="F407" s="108"/>
    </row>
    <row r="408" spans="1:6" x14ac:dyDescent="0.25">
      <c r="A408" s="107"/>
      <c r="B408" s="109"/>
      <c r="C408" s="109"/>
      <c r="D408" s="107"/>
      <c r="E408" s="179"/>
      <c r="F408" s="108"/>
    </row>
    <row r="409" spans="1:6" x14ac:dyDescent="0.25">
      <c r="A409" s="107"/>
      <c r="B409" s="109"/>
      <c r="C409" s="109"/>
      <c r="D409" s="107"/>
      <c r="E409" s="179"/>
      <c r="F409" s="108"/>
    </row>
    <row r="410" spans="1:6" x14ac:dyDescent="0.25">
      <c r="A410" s="107"/>
      <c r="B410" s="109"/>
      <c r="C410" s="109"/>
      <c r="D410" s="107"/>
      <c r="E410" s="179"/>
      <c r="F410" s="108"/>
    </row>
    <row r="411" spans="1:6" x14ac:dyDescent="0.25">
      <c r="A411" s="107"/>
      <c r="B411" s="109"/>
      <c r="C411" s="109"/>
      <c r="D411" s="107"/>
      <c r="E411" s="179"/>
      <c r="F411" s="108"/>
    </row>
    <row r="412" spans="1:6" x14ac:dyDescent="0.25">
      <c r="A412" s="107"/>
      <c r="B412" s="109"/>
      <c r="C412" s="109"/>
      <c r="D412" s="107"/>
      <c r="E412" s="179"/>
      <c r="F412" s="108"/>
    </row>
    <row r="413" spans="1:6" x14ac:dyDescent="0.25">
      <c r="A413" s="107"/>
      <c r="B413" s="109"/>
      <c r="C413" s="109"/>
      <c r="D413" s="107"/>
      <c r="E413" s="179"/>
      <c r="F413" s="108"/>
    </row>
    <row r="414" spans="1:6" x14ac:dyDescent="0.25">
      <c r="A414" s="107"/>
      <c r="B414" s="109"/>
      <c r="C414" s="109"/>
      <c r="D414" s="107"/>
      <c r="E414" s="179"/>
      <c r="F414" s="108"/>
    </row>
    <row r="415" spans="1:6" x14ac:dyDescent="0.25">
      <c r="A415" s="107"/>
      <c r="B415" s="109"/>
      <c r="C415" s="109"/>
      <c r="D415" s="107"/>
      <c r="E415" s="179"/>
      <c r="F415" s="108"/>
    </row>
    <row r="416" spans="1:6" x14ac:dyDescent="0.25">
      <c r="A416" s="107"/>
      <c r="B416" s="109"/>
      <c r="C416" s="109"/>
      <c r="D416" s="107"/>
      <c r="E416" s="179"/>
      <c r="F416" s="108"/>
    </row>
    <row r="417" spans="1:6" x14ac:dyDescent="0.25">
      <c r="A417" s="107"/>
      <c r="B417" s="109"/>
      <c r="C417" s="109"/>
      <c r="D417" s="107"/>
      <c r="E417" s="179"/>
      <c r="F417" s="108"/>
    </row>
    <row r="418" spans="1:6" x14ac:dyDescent="0.25">
      <c r="A418" s="107"/>
      <c r="B418" s="109"/>
      <c r="C418" s="109"/>
      <c r="D418" s="107"/>
      <c r="E418" s="179"/>
      <c r="F418" s="108"/>
    </row>
    <row r="419" spans="1:6" x14ac:dyDescent="0.25">
      <c r="A419" s="107"/>
      <c r="B419" s="109"/>
      <c r="C419" s="109"/>
      <c r="D419" s="107"/>
      <c r="E419" s="179"/>
      <c r="F419" s="108"/>
    </row>
    <row r="420" spans="1:6" x14ac:dyDescent="0.25">
      <c r="A420" s="107"/>
      <c r="B420" s="109"/>
      <c r="C420" s="109"/>
      <c r="D420" s="107"/>
      <c r="E420" s="179"/>
      <c r="F420" s="108"/>
    </row>
    <row r="421" spans="1:6" x14ac:dyDescent="0.25">
      <c r="A421" s="107"/>
      <c r="B421" s="109"/>
      <c r="C421" s="109"/>
      <c r="D421" s="107"/>
      <c r="E421" s="179"/>
      <c r="F421" s="108"/>
    </row>
    <row r="422" spans="1:6" x14ac:dyDescent="0.25">
      <c r="A422" s="107"/>
      <c r="B422" s="109"/>
      <c r="C422" s="109"/>
      <c r="D422" s="107"/>
      <c r="E422" s="179"/>
      <c r="F422" s="108"/>
    </row>
    <row r="423" spans="1:6" x14ac:dyDescent="0.25">
      <c r="A423" s="107"/>
      <c r="B423" s="109"/>
      <c r="C423" s="109"/>
      <c r="D423" s="107"/>
      <c r="E423" s="179"/>
      <c r="F423" s="108"/>
    </row>
    <row r="424" spans="1:6" x14ac:dyDescent="0.25">
      <c r="A424" s="107"/>
      <c r="B424" s="109"/>
      <c r="C424" s="109"/>
      <c r="D424" s="107"/>
      <c r="E424" s="179"/>
      <c r="F424" s="108"/>
    </row>
    <row r="425" spans="1:6" x14ac:dyDescent="0.25">
      <c r="A425" s="107"/>
      <c r="B425" s="109"/>
      <c r="C425" s="109"/>
      <c r="D425" s="107"/>
      <c r="E425" s="179"/>
      <c r="F425" s="108"/>
    </row>
    <row r="426" spans="1:6" x14ac:dyDescent="0.25">
      <c r="A426" s="107"/>
      <c r="B426" s="109"/>
      <c r="C426" s="109"/>
      <c r="D426" s="107"/>
      <c r="E426" s="179"/>
      <c r="F426" s="108"/>
    </row>
    <row r="427" spans="1:6" x14ac:dyDescent="0.25">
      <c r="A427" s="107"/>
      <c r="B427" s="109"/>
      <c r="C427" s="109"/>
      <c r="D427" s="107"/>
      <c r="E427" s="179"/>
      <c r="F427" s="108"/>
    </row>
    <row r="428" spans="1:6" x14ac:dyDescent="0.25">
      <c r="A428" s="107"/>
      <c r="B428" s="109"/>
      <c r="C428" s="109"/>
      <c r="D428" s="107"/>
      <c r="E428" s="179"/>
      <c r="F428" s="108"/>
    </row>
    <row r="429" spans="1:6" x14ac:dyDescent="0.25">
      <c r="A429" s="107"/>
      <c r="B429" s="109"/>
      <c r="C429" s="109"/>
      <c r="D429" s="107"/>
      <c r="E429" s="179"/>
      <c r="F429" s="108"/>
    </row>
    <row r="430" spans="1:6" x14ac:dyDescent="0.25">
      <c r="A430" s="107"/>
      <c r="B430" s="109"/>
      <c r="C430" s="109"/>
      <c r="D430" s="107"/>
      <c r="E430" s="179"/>
      <c r="F430" s="108"/>
    </row>
    <row r="431" spans="1:6" x14ac:dyDescent="0.25">
      <c r="A431" s="107"/>
      <c r="B431" s="109"/>
      <c r="C431" s="109"/>
      <c r="D431" s="107"/>
      <c r="E431" s="179"/>
      <c r="F431" s="108"/>
    </row>
    <row r="432" spans="1:6" x14ac:dyDescent="0.25">
      <c r="A432" s="107"/>
      <c r="B432" s="109"/>
      <c r="C432" s="109"/>
      <c r="D432" s="107"/>
      <c r="E432" s="179"/>
      <c r="F432" s="108"/>
    </row>
    <row r="433" spans="1:6" x14ac:dyDescent="0.25">
      <c r="A433" s="107"/>
      <c r="B433" s="109"/>
      <c r="C433" s="109"/>
      <c r="D433" s="107"/>
      <c r="E433" s="179"/>
      <c r="F433" s="108"/>
    </row>
    <row r="434" spans="1:6" x14ac:dyDescent="0.25">
      <c r="A434" s="107"/>
      <c r="B434" s="109"/>
      <c r="C434" s="109"/>
      <c r="D434" s="107"/>
      <c r="E434" s="179"/>
      <c r="F434" s="108"/>
    </row>
    <row r="435" spans="1:6" x14ac:dyDescent="0.25">
      <c r="A435" s="107"/>
      <c r="B435" s="109"/>
      <c r="C435" s="109"/>
      <c r="D435" s="107"/>
      <c r="E435" s="179"/>
      <c r="F435" s="108"/>
    </row>
    <row r="436" spans="1:6" x14ac:dyDescent="0.25">
      <c r="A436" s="107"/>
      <c r="B436" s="109"/>
      <c r="C436" s="109"/>
      <c r="D436" s="107"/>
      <c r="E436" s="179"/>
      <c r="F436" s="108"/>
    </row>
    <row r="437" spans="1:6" x14ac:dyDescent="0.25">
      <c r="A437" s="107"/>
      <c r="B437" s="109"/>
      <c r="C437" s="109"/>
      <c r="D437" s="107"/>
      <c r="E437" s="179"/>
      <c r="F437" s="108"/>
    </row>
    <row r="438" spans="1:6" x14ac:dyDescent="0.25">
      <c r="A438" s="107"/>
      <c r="B438" s="109"/>
      <c r="C438" s="109"/>
      <c r="D438" s="107"/>
      <c r="E438" s="179"/>
      <c r="F438" s="108"/>
    </row>
    <row r="439" spans="1:6" x14ac:dyDescent="0.25">
      <c r="A439" s="107"/>
      <c r="B439" s="109"/>
      <c r="C439" s="109"/>
      <c r="D439" s="107"/>
      <c r="E439" s="179"/>
      <c r="F439" s="108"/>
    </row>
    <row r="440" spans="1:6" x14ac:dyDescent="0.25">
      <c r="A440" s="107"/>
      <c r="B440" s="109"/>
      <c r="C440" s="109"/>
      <c r="D440" s="107"/>
      <c r="E440" s="179"/>
      <c r="F440" s="108"/>
    </row>
    <row r="441" spans="1:6" x14ac:dyDescent="0.25">
      <c r="A441" s="107"/>
      <c r="B441" s="109"/>
      <c r="C441" s="109"/>
      <c r="D441" s="107"/>
      <c r="E441" s="179"/>
      <c r="F441" s="108"/>
    </row>
    <row r="442" spans="1:6" x14ac:dyDescent="0.25">
      <c r="A442" s="107"/>
      <c r="B442" s="109"/>
      <c r="C442" s="109"/>
      <c r="D442" s="107"/>
      <c r="E442" s="179"/>
      <c r="F442" s="108"/>
    </row>
    <row r="443" spans="1:6" x14ac:dyDescent="0.25">
      <c r="A443" s="107"/>
      <c r="B443" s="109"/>
      <c r="C443" s="109"/>
      <c r="D443" s="107"/>
      <c r="E443" s="179"/>
      <c r="F443" s="108"/>
    </row>
    <row r="444" spans="1:6" x14ac:dyDescent="0.25">
      <c r="A444" s="107"/>
      <c r="B444" s="109"/>
      <c r="C444" s="109"/>
      <c r="D444" s="107"/>
      <c r="E444" s="179"/>
      <c r="F444" s="108"/>
    </row>
    <row r="445" spans="1:6" x14ac:dyDescent="0.25">
      <c r="A445" s="107"/>
      <c r="B445" s="109"/>
      <c r="C445" s="109"/>
      <c r="D445" s="107"/>
      <c r="E445" s="179"/>
      <c r="F445" s="108"/>
    </row>
    <row r="446" spans="1:6" x14ac:dyDescent="0.25">
      <c r="A446" s="107"/>
      <c r="B446" s="109"/>
      <c r="C446" s="109"/>
      <c r="D446" s="107"/>
      <c r="E446" s="179"/>
      <c r="F446" s="108"/>
    </row>
    <row r="447" spans="1:6" x14ac:dyDescent="0.25">
      <c r="A447" s="107"/>
      <c r="B447" s="109"/>
      <c r="C447" s="109"/>
      <c r="D447" s="107"/>
      <c r="E447" s="179"/>
      <c r="F447" s="108"/>
    </row>
    <row r="448" spans="1:6" x14ac:dyDescent="0.25">
      <c r="A448" s="107"/>
      <c r="B448" s="109"/>
      <c r="C448" s="109"/>
      <c r="D448" s="107"/>
      <c r="E448" s="179"/>
      <c r="F448" s="108"/>
    </row>
    <row r="449" spans="1:6" x14ac:dyDescent="0.25">
      <c r="A449" s="107"/>
      <c r="B449" s="109"/>
      <c r="C449" s="109"/>
      <c r="D449" s="107"/>
      <c r="E449" s="179"/>
      <c r="F449" s="108"/>
    </row>
    <row r="450" spans="1:6" x14ac:dyDescent="0.25">
      <c r="A450" s="107"/>
      <c r="B450" s="109"/>
      <c r="C450" s="109"/>
      <c r="D450" s="107"/>
      <c r="E450" s="179"/>
      <c r="F450" s="108"/>
    </row>
    <row r="451" spans="1:6" x14ac:dyDescent="0.25">
      <c r="A451" s="107"/>
      <c r="B451" s="109"/>
      <c r="C451" s="109"/>
      <c r="D451" s="107"/>
      <c r="E451" s="179"/>
      <c r="F451" s="108"/>
    </row>
    <row r="452" spans="1:6" x14ac:dyDescent="0.25">
      <c r="A452" s="107"/>
      <c r="B452" s="109"/>
      <c r="C452" s="109"/>
      <c r="D452" s="107"/>
      <c r="E452" s="179"/>
      <c r="F452" s="108"/>
    </row>
    <row r="453" spans="1:6" x14ac:dyDescent="0.25">
      <c r="A453" s="107"/>
      <c r="B453" s="109"/>
      <c r="C453" s="109"/>
      <c r="D453" s="107"/>
      <c r="E453" s="179"/>
      <c r="F453" s="108"/>
    </row>
    <row r="454" spans="1:6" x14ac:dyDescent="0.25">
      <c r="A454" s="107"/>
      <c r="B454" s="109"/>
      <c r="C454" s="109"/>
      <c r="D454" s="107"/>
      <c r="E454" s="179"/>
      <c r="F454" s="108"/>
    </row>
    <row r="455" spans="1:6" x14ac:dyDescent="0.25">
      <c r="A455" s="107"/>
      <c r="B455" s="109"/>
      <c r="C455" s="109"/>
      <c r="D455" s="107"/>
      <c r="E455" s="179"/>
      <c r="F455" s="108"/>
    </row>
    <row r="456" spans="1:6" x14ac:dyDescent="0.25">
      <c r="C456" s="93"/>
    </row>
    <row r="457" spans="1:6" x14ac:dyDescent="0.25">
      <c r="C457" s="93"/>
      <c r="E457" s="93">
        <f>SUM(E2:E455)</f>
        <v>0</v>
      </c>
    </row>
    <row r="458" spans="1:6" x14ac:dyDescent="0.25">
      <c r="C458" s="93"/>
    </row>
    <row r="459" spans="1:6" x14ac:dyDescent="0.25">
      <c r="C459" s="93"/>
    </row>
    <row r="460" spans="1:6" x14ac:dyDescent="0.25">
      <c r="C460" s="93"/>
    </row>
    <row r="461" spans="1:6" x14ac:dyDescent="0.25">
      <c r="C461" s="93"/>
    </row>
    <row r="462" spans="1:6" x14ac:dyDescent="0.25">
      <c r="C462" s="93"/>
    </row>
    <row r="463" spans="1:6" x14ac:dyDescent="0.25">
      <c r="C463" s="93"/>
    </row>
    <row r="464" spans="1:6" x14ac:dyDescent="0.25">
      <c r="C464" s="93"/>
    </row>
    <row r="465" spans="3:3" x14ac:dyDescent="0.25">
      <c r="C465" s="93"/>
    </row>
    <row r="466" spans="3:3" x14ac:dyDescent="0.25">
      <c r="C466" s="93"/>
    </row>
    <row r="467" spans="3:3" x14ac:dyDescent="0.25">
      <c r="C467" s="93"/>
    </row>
    <row r="468" spans="3:3" x14ac:dyDescent="0.25">
      <c r="C468" s="93"/>
    </row>
    <row r="469" spans="3:3" x14ac:dyDescent="0.25">
      <c r="C469" s="93"/>
    </row>
    <row r="470" spans="3:3" x14ac:dyDescent="0.25">
      <c r="C470" s="93"/>
    </row>
    <row r="471" spans="3:3" x14ac:dyDescent="0.25">
      <c r="C471" s="93"/>
    </row>
    <row r="472" spans="3:3" x14ac:dyDescent="0.25">
      <c r="C472" s="93"/>
    </row>
    <row r="473" spans="3:3" x14ac:dyDescent="0.25">
      <c r="C473" s="93"/>
    </row>
    <row r="474" spans="3:3" x14ac:dyDescent="0.25">
      <c r="C474" s="93"/>
    </row>
    <row r="475" spans="3:3" x14ac:dyDescent="0.25">
      <c r="C475" s="93"/>
    </row>
    <row r="476" spans="3:3" x14ac:dyDescent="0.25">
      <c r="C476" s="93"/>
    </row>
    <row r="477" spans="3:3" x14ac:dyDescent="0.25">
      <c r="C477" s="93"/>
    </row>
    <row r="478" spans="3:3" x14ac:dyDescent="0.25">
      <c r="C478" s="93"/>
    </row>
    <row r="479" spans="3:3" x14ac:dyDescent="0.25">
      <c r="C479" s="93"/>
    </row>
    <row r="480" spans="3:3" x14ac:dyDescent="0.25">
      <c r="C480" s="93"/>
    </row>
    <row r="481" spans="3:3" x14ac:dyDescent="0.25">
      <c r="C481" s="93"/>
    </row>
    <row r="482" spans="3:3" x14ac:dyDescent="0.25">
      <c r="C482" s="93"/>
    </row>
    <row r="483" spans="3:3" x14ac:dyDescent="0.25">
      <c r="C483" s="93"/>
    </row>
    <row r="484" spans="3:3" x14ac:dyDescent="0.25">
      <c r="C484" s="93"/>
    </row>
    <row r="485" spans="3:3" x14ac:dyDescent="0.25">
      <c r="C485" s="93"/>
    </row>
    <row r="486" spans="3:3" x14ac:dyDescent="0.25">
      <c r="C486" s="93"/>
    </row>
    <row r="487" spans="3:3" x14ac:dyDescent="0.25">
      <c r="C487" s="93"/>
    </row>
    <row r="488" spans="3:3" x14ac:dyDescent="0.25">
      <c r="C488" s="93"/>
    </row>
    <row r="489" spans="3:3" x14ac:dyDescent="0.25">
      <c r="C489" s="93"/>
    </row>
    <row r="490" spans="3:3" x14ac:dyDescent="0.25">
      <c r="C490" s="93"/>
    </row>
    <row r="491" spans="3:3" x14ac:dyDescent="0.25">
      <c r="C491" s="93"/>
    </row>
    <row r="492" spans="3:3" x14ac:dyDescent="0.25">
      <c r="C492" s="93"/>
    </row>
    <row r="493" spans="3:3" x14ac:dyDescent="0.25">
      <c r="C493" s="93"/>
    </row>
    <row r="494" spans="3:3" x14ac:dyDescent="0.25">
      <c r="C494" s="93"/>
    </row>
    <row r="495" spans="3:3" x14ac:dyDescent="0.25">
      <c r="C495" s="93"/>
    </row>
    <row r="496" spans="3:3" x14ac:dyDescent="0.25">
      <c r="C496" s="93"/>
    </row>
    <row r="497" spans="3:3" x14ac:dyDescent="0.25">
      <c r="C497" s="93"/>
    </row>
    <row r="498" spans="3:3" x14ac:dyDescent="0.25">
      <c r="C498" s="93"/>
    </row>
    <row r="499" spans="3:3" x14ac:dyDescent="0.25">
      <c r="C499" s="93"/>
    </row>
    <row r="500" spans="3:3" x14ac:dyDescent="0.25">
      <c r="C500" s="93"/>
    </row>
    <row r="501" spans="3:3" x14ac:dyDescent="0.25">
      <c r="C501" s="93"/>
    </row>
    <row r="502" spans="3:3" x14ac:dyDescent="0.25">
      <c r="C502" s="93"/>
    </row>
    <row r="503" spans="3:3" x14ac:dyDescent="0.25">
      <c r="C503" s="93"/>
    </row>
    <row r="504" spans="3:3" x14ac:dyDescent="0.25">
      <c r="C504" s="93"/>
    </row>
    <row r="505" spans="3:3" x14ac:dyDescent="0.25">
      <c r="C505" s="93"/>
    </row>
    <row r="506" spans="3:3" x14ac:dyDescent="0.25">
      <c r="C506" s="93"/>
    </row>
    <row r="507" spans="3:3" x14ac:dyDescent="0.25">
      <c r="C507" s="93"/>
    </row>
    <row r="508" spans="3:3" x14ac:dyDescent="0.25">
      <c r="C508" s="93"/>
    </row>
    <row r="512" spans="3:3" x14ac:dyDescent="0.25">
      <c r="C512" s="24"/>
    </row>
  </sheetData>
  <customSheetViews>
    <customSheetView guid="{DB9894F0-96BC-4C04-8D04-FF3607BEBF53}" topLeftCell="A252">
      <selection activeCell="B262" sqref="B262"/>
      <pageMargins left="0" right="0" top="0" bottom="0" header="0" footer="0"/>
      <pageSetup paperSize="9" orientation="portrait" r:id="rId1"/>
    </customSheetView>
    <customSheetView guid="{8D8BE001-C296-444A-B8AC-56385A059ADB}">
      <selection activeCell="B262" sqref="B262"/>
      <pageMargins left="0" right="0" top="0" bottom="0" header="0" footer="0"/>
      <pageSetup paperSize="9" orientation="portrait" r:id="rId2"/>
    </customSheetView>
    <customSheetView guid="{5A7B666F-E305-4A9E-98DD-F5DEC8A780A3}" topLeftCell="A435">
      <selection activeCell="C457" sqref="C457"/>
      <pageMargins left="0" right="0" top="0" bottom="0" header="0" footer="0"/>
      <pageSetup paperSize="9" orientation="portrait" r:id="rId3"/>
    </customSheetView>
    <customSheetView guid="{A8BCBFE8-6A1E-4872-B017-B3136BC584DB}" topLeftCell="A252">
      <selection activeCell="B262" sqref="B262"/>
      <pageMargins left="0" right="0" top="0" bottom="0" header="0" footer="0"/>
      <pageSetup paperSize="9" orientation="portrait" r:id="rId4"/>
    </customSheetView>
  </customSheetViews>
  <pageMargins left="0.7" right="0.7" top="0.75" bottom="0.75" header="0.3" footer="0.3"/>
  <pageSetup paperSize="9" orientation="portrait" r:id="rId5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Hoja8">
    <pageSetUpPr fitToPage="1"/>
  </sheetPr>
  <dimension ref="A2:DM108"/>
  <sheetViews>
    <sheetView workbookViewId="0">
      <selection activeCell="A4" sqref="A4"/>
    </sheetView>
  </sheetViews>
  <sheetFormatPr baseColWidth="10" defaultColWidth="11.42578125" defaultRowHeight="15" x14ac:dyDescent="0.25"/>
  <cols>
    <col min="1" max="1" width="6.42578125" customWidth="1"/>
    <col min="2" max="2" width="37.28515625" customWidth="1"/>
    <col min="3" max="3" width="20.85546875" customWidth="1"/>
    <col min="4" max="4" width="15.28515625" customWidth="1"/>
    <col min="6" max="6" width="29.85546875" hidden="1" customWidth="1"/>
    <col min="7" max="7" width="14.42578125" customWidth="1"/>
  </cols>
  <sheetData>
    <row r="2" spans="1:8" ht="28.5" x14ac:dyDescent="0.45">
      <c r="A2" s="113"/>
      <c r="B2" s="114" t="s">
        <v>137</v>
      </c>
      <c r="D2" s="113"/>
      <c r="E2" s="113"/>
      <c r="F2" s="113"/>
      <c r="G2" s="113"/>
    </row>
    <row r="3" spans="1:8" ht="29.25" thickBot="1" x14ac:dyDescent="0.5">
      <c r="A3" s="113"/>
      <c r="B3" s="113"/>
      <c r="C3" s="114"/>
      <c r="D3" s="113"/>
      <c r="E3" s="113"/>
      <c r="F3" s="113"/>
      <c r="G3" s="113"/>
    </row>
    <row r="4" spans="1:8" ht="16.5" thickBot="1" x14ac:dyDescent="0.3">
      <c r="A4" s="117"/>
      <c r="B4" s="118" t="s">
        <v>116</v>
      </c>
      <c r="C4" s="118" t="s">
        <v>65</v>
      </c>
      <c r="D4" s="118" t="s">
        <v>117</v>
      </c>
      <c r="E4" s="118" t="s">
        <v>118</v>
      </c>
      <c r="F4" s="118" t="s">
        <v>119</v>
      </c>
      <c r="G4" s="118" t="s">
        <v>120</v>
      </c>
    </row>
    <row r="5" spans="1:8" ht="15.75" customHeight="1" x14ac:dyDescent="0.25">
      <c r="A5" s="119">
        <v>1</v>
      </c>
      <c r="B5" s="120" t="s">
        <v>121</v>
      </c>
      <c r="C5" s="120" t="s">
        <v>122</v>
      </c>
      <c r="D5" s="153"/>
      <c r="E5" s="120" t="s">
        <v>123</v>
      </c>
      <c r="F5" s="122" t="s">
        <v>124</v>
      </c>
      <c r="G5" s="121"/>
      <c r="H5" s="24"/>
    </row>
    <row r="6" spans="1:8" ht="15.75" customHeight="1" x14ac:dyDescent="0.25">
      <c r="A6" s="119">
        <v>2</v>
      </c>
      <c r="B6" s="120" t="s">
        <v>125</v>
      </c>
      <c r="C6" s="120" t="s">
        <v>122</v>
      </c>
      <c r="D6" s="153"/>
      <c r="E6" s="120" t="s">
        <v>123</v>
      </c>
      <c r="F6" s="122" t="s">
        <v>124</v>
      </c>
      <c r="G6" s="121"/>
      <c r="H6" s="24"/>
    </row>
    <row r="7" spans="1:8" ht="18" customHeight="1" thickBot="1" x14ac:dyDescent="0.3">
      <c r="A7" s="119">
        <v>3</v>
      </c>
      <c r="B7" s="120" t="s">
        <v>126</v>
      </c>
      <c r="C7" s="120" t="s">
        <v>122</v>
      </c>
      <c r="D7" s="153"/>
      <c r="E7" s="120" t="s">
        <v>123</v>
      </c>
      <c r="F7" s="122" t="s">
        <v>124</v>
      </c>
      <c r="G7" s="121"/>
      <c r="H7" s="24"/>
    </row>
    <row r="8" spans="1:8" ht="18" customHeight="1" thickBot="1" x14ac:dyDescent="0.3">
      <c r="A8" s="119">
        <v>4</v>
      </c>
      <c r="B8" s="120" t="s">
        <v>127</v>
      </c>
      <c r="C8" s="120" t="s">
        <v>122</v>
      </c>
      <c r="D8" s="153"/>
      <c r="E8" s="120" t="s">
        <v>123</v>
      </c>
      <c r="F8" s="122" t="s">
        <v>124</v>
      </c>
      <c r="G8" s="121"/>
      <c r="H8" s="24"/>
    </row>
    <row r="9" spans="1:8" ht="18" customHeight="1" thickBot="1" x14ac:dyDescent="0.3">
      <c r="A9" s="119">
        <v>4</v>
      </c>
      <c r="B9" s="120" t="s">
        <v>138</v>
      </c>
      <c r="C9" s="120" t="s">
        <v>122</v>
      </c>
      <c r="D9" s="154"/>
      <c r="E9" s="120" t="s">
        <v>123</v>
      </c>
      <c r="F9" s="122" t="s">
        <v>124</v>
      </c>
      <c r="G9" s="121"/>
      <c r="H9" s="24"/>
    </row>
    <row r="10" spans="1:8" ht="16.5" thickBot="1" x14ac:dyDescent="0.3">
      <c r="A10" s="113"/>
      <c r="B10" s="113"/>
      <c r="C10" s="124"/>
      <c r="D10" s="123">
        <f>SUM(D5:D9)</f>
        <v>0</v>
      </c>
      <c r="E10" s="113"/>
      <c r="F10" s="113"/>
      <c r="G10" s="113"/>
    </row>
    <row r="11" spans="1:8" ht="15.75" x14ac:dyDescent="0.25">
      <c r="A11" s="113"/>
      <c r="B11" s="113"/>
      <c r="C11" s="113"/>
      <c r="D11" s="125"/>
      <c r="E11" s="113"/>
      <c r="F11" s="113"/>
      <c r="G11" s="113"/>
    </row>
    <row r="12" spans="1:8" ht="28.5" x14ac:dyDescent="0.45">
      <c r="A12" s="113"/>
      <c r="B12" s="113"/>
      <c r="C12" s="114"/>
      <c r="D12" s="113"/>
      <c r="E12" s="113"/>
      <c r="F12" s="113"/>
      <c r="G12" s="113"/>
    </row>
    <row r="89" spans="117:117" x14ac:dyDescent="0.25">
      <c r="DM89" t="s">
        <v>48</v>
      </c>
    </row>
    <row r="108" spans="2:2" x14ac:dyDescent="0.25">
      <c r="B108" t="s">
        <v>49</v>
      </c>
    </row>
  </sheetData>
  <customSheetViews>
    <customSheetView guid="{DB9894F0-96BC-4C04-8D04-FF3607BEBF53}" showPageBreaks="1" fitToPage="1" printArea="1">
      <selection activeCell="A7" sqref="A7:XFD7"/>
      <pageMargins left="0" right="0" top="0" bottom="0" header="0" footer="0"/>
      <pageSetup scale="86" orientation="landscape" horizontalDpi="4294967293" verticalDpi="4294967293" r:id="rId1"/>
    </customSheetView>
    <customSheetView guid="{8D8BE001-C296-444A-B8AC-56385A059ADB}" showPageBreaks="1" fitToPage="1" printArea="1" hiddenColumns="1">
      <selection activeCell="C10" sqref="C10"/>
      <pageMargins left="0" right="0" top="0" bottom="0" header="0" footer="0"/>
      <pageSetup orientation="landscape" horizontalDpi="4294967293" verticalDpi="4294967293" r:id="rId2"/>
    </customSheetView>
    <customSheetView guid="{5A7B666F-E305-4A9E-98DD-F5DEC8A780A3}" showPageBreaks="1" fitToPage="1" printArea="1">
      <selection activeCell="G18" sqref="G18"/>
      <pageMargins left="0" right="0" top="0" bottom="0" header="0" footer="0"/>
      <pageSetup scale="85" orientation="landscape" horizontalDpi="4294967293" verticalDpi="4294967293" r:id="rId3"/>
    </customSheetView>
    <customSheetView guid="{A8BCBFE8-6A1E-4872-B017-B3136BC584DB}" showPageBreaks="1" fitToPage="1" printArea="1">
      <selection activeCell="A7" sqref="A7:XFD7"/>
      <pageMargins left="0" right="0" top="0" bottom="0" header="0" footer="0"/>
      <pageSetup scale="87" orientation="landscape" horizontalDpi="4294967293" verticalDpi="4294967293" r:id="rId4"/>
    </customSheetView>
  </customSheetViews>
  <pageMargins left="0.7" right="0.7" top="0.75" bottom="0.75" header="0.3" footer="0.3"/>
  <pageSetup orientation="landscape" horizontalDpi="4294967293" verticalDpi="4294967293" r:id="rId5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Hoja9">
    <tabColor theme="8"/>
  </sheetPr>
  <dimension ref="B4:DM290"/>
  <sheetViews>
    <sheetView workbookViewId="0">
      <selection activeCell="B6" sqref="B6"/>
    </sheetView>
  </sheetViews>
  <sheetFormatPr baseColWidth="10" defaultColWidth="11.42578125" defaultRowHeight="15" x14ac:dyDescent="0.25"/>
  <cols>
    <col min="3" max="3" width="40" bestFit="1" customWidth="1"/>
  </cols>
  <sheetData>
    <row r="4" spans="2:11" x14ac:dyDescent="0.25">
      <c r="E4" t="s">
        <v>128</v>
      </c>
    </row>
    <row r="5" spans="2:11" x14ac:dyDescent="0.25">
      <c r="B5" s="115" t="s">
        <v>62</v>
      </c>
      <c r="C5" s="115" t="s">
        <v>63</v>
      </c>
      <c r="D5" s="115" t="s">
        <v>129</v>
      </c>
      <c r="E5" s="115" t="s">
        <v>130</v>
      </c>
      <c r="F5" s="115" t="s">
        <v>131</v>
      </c>
      <c r="G5" s="115" t="s">
        <v>132</v>
      </c>
      <c r="H5" s="115" t="s">
        <v>133</v>
      </c>
      <c r="I5" s="115" t="s">
        <v>134</v>
      </c>
      <c r="J5" s="115" t="s">
        <v>135</v>
      </c>
    </row>
    <row r="6" spans="2:11" x14ac:dyDescent="0.25">
      <c r="B6">
        <f>CAPTURA!A7</f>
        <v>15996</v>
      </c>
      <c r="C6" t="str">
        <f>CAPTURA!B7</f>
        <v>oscar</v>
      </c>
      <c r="D6" t="str">
        <f>IF(VLOOKUP($B6,CAPTURA!$A$7:$CL$722,8,FALSE)=0,"",IF(OR(VLOOKUP($B6,CAPTURA!$A$7:$CL$722,8,FALSE)="F",VLOOKUP($B6,CAPTURA!$A$7:$CL$722,8,FALSE)="PSG"),"1 FINJ",""))</f>
        <v/>
      </c>
      <c r="E6" t="str">
        <f>IF(VLOOKUP($B6,CAPTURA!$A$7:$CL$722,21,FALSE)=0,"",IF(OR(VLOOKUP($B6,CAPTURA!$A$7:$CL$722,21,FALSE)="F",VLOOKUP($B6,CAPTURA!$A$7:$CL$722,21,FALSE)="PSG"),"1 FINJ",""))</f>
        <v/>
      </c>
      <c r="F6" t="str">
        <f>IF(VLOOKUP($B6,CAPTURA!$A$7:$CL$722,34,FALSE)=0,"",IF(OR(VLOOKUP($B6,CAPTURA!$A$7:$CL$722,34,FALSE)="F",VLOOKUP($B6,CAPTURA!$A$7:$CL$722,34,FALSE)="PSG"),"1 FINJ",""))</f>
        <v/>
      </c>
      <c r="G6" t="str">
        <f>IF(VLOOKUP($B6,CAPTURA!$A$7:$CL$722,47,FALSE)=0,"",IF(OR(VLOOKUP($B6,CAPTURA!$A$7:$CL$722,47,FALSE)="F",VLOOKUP($B6,CAPTURA!$A$7:$CL$722,47,FALSE)="PSG"),"1 FINJ",""))</f>
        <v/>
      </c>
      <c r="H6" t="str">
        <f>IF(VLOOKUP($B6,CAPTURA!$A$7:$CL$722,60,FALSE)=0,"",IF(OR(VLOOKUP($B6,CAPTURA!$A$7:$CL$722,60,FALSE)="F",VLOOKUP($B6,CAPTURA!$A$7:$CL$722,60,FALSE)="PSG"),"1 FINJ",""))</f>
        <v/>
      </c>
      <c r="I6" t="str">
        <f>IF(VLOOKUP($B6,CAPTURA!$A$7:$CL$722,73,FALSE)=0,"",IF(OR(VLOOKUP($B6,CAPTURA!$A$7:$CL$722,73,FALSE)="F",VLOOKUP($B6,CAPTURA!$A$7:$CL$722,73,FALSE)="PSG"),"1 FINJ",""))</f>
        <v/>
      </c>
      <c r="J6" t="str">
        <f>IF(VLOOKUP($B6,CAPTURA!$A$7:$CL$722,86,FALSE)=0,"",IF(OR(VLOOKUP($B6,CAPTURA!$A$7:$CL$722,86,FALSE)="F",VLOOKUP($B6,CAPTURA!$A$7:$CL$722,86,FALSE)="PSG"),"1 FINJ",""))</f>
        <v/>
      </c>
      <c r="K6">
        <f t="shared" ref="K6" si="0">7-COUNTBLANK(D6:J6)</f>
        <v>0</v>
      </c>
    </row>
    <row r="7" spans="2:11" x14ac:dyDescent="0.25">
      <c r="K7">
        <f t="shared" ref="K7:K70" si="1">7-COUNTBLANK(D7:J7)</f>
        <v>0</v>
      </c>
    </row>
    <row r="8" spans="2:11" x14ac:dyDescent="0.25">
      <c r="K8">
        <f t="shared" si="1"/>
        <v>0</v>
      </c>
    </row>
    <row r="9" spans="2:11" x14ac:dyDescent="0.25">
      <c r="K9">
        <f t="shared" si="1"/>
        <v>0</v>
      </c>
    </row>
    <row r="10" spans="2:11" x14ac:dyDescent="0.25">
      <c r="K10">
        <f t="shared" si="1"/>
        <v>0</v>
      </c>
    </row>
    <row r="11" spans="2:11" x14ac:dyDescent="0.25">
      <c r="K11">
        <f t="shared" si="1"/>
        <v>0</v>
      </c>
    </row>
    <row r="12" spans="2:11" x14ac:dyDescent="0.25">
      <c r="K12">
        <f t="shared" si="1"/>
        <v>0</v>
      </c>
    </row>
    <row r="13" spans="2:11" x14ac:dyDescent="0.25">
      <c r="K13">
        <f t="shared" si="1"/>
        <v>0</v>
      </c>
    </row>
    <row r="14" spans="2:11" x14ac:dyDescent="0.25">
      <c r="K14">
        <f t="shared" si="1"/>
        <v>0</v>
      </c>
    </row>
    <row r="15" spans="2:11" x14ac:dyDescent="0.25">
      <c r="K15">
        <f t="shared" si="1"/>
        <v>0</v>
      </c>
    </row>
    <row r="16" spans="2:11" x14ac:dyDescent="0.25">
      <c r="K16">
        <f t="shared" si="1"/>
        <v>0</v>
      </c>
    </row>
    <row r="17" spans="11:11" x14ac:dyDescent="0.25">
      <c r="K17">
        <f t="shared" si="1"/>
        <v>0</v>
      </c>
    </row>
    <row r="18" spans="11:11" x14ac:dyDescent="0.25">
      <c r="K18">
        <f t="shared" si="1"/>
        <v>0</v>
      </c>
    </row>
    <row r="19" spans="11:11" x14ac:dyDescent="0.25">
      <c r="K19">
        <f t="shared" si="1"/>
        <v>0</v>
      </c>
    </row>
    <row r="20" spans="11:11" x14ac:dyDescent="0.25">
      <c r="K20">
        <f t="shared" si="1"/>
        <v>0</v>
      </c>
    </row>
    <row r="21" spans="11:11" x14ac:dyDescent="0.25">
      <c r="K21">
        <f t="shared" si="1"/>
        <v>0</v>
      </c>
    </row>
    <row r="22" spans="11:11" x14ac:dyDescent="0.25">
      <c r="K22">
        <f t="shared" si="1"/>
        <v>0</v>
      </c>
    </row>
    <row r="23" spans="11:11" x14ac:dyDescent="0.25">
      <c r="K23">
        <f t="shared" si="1"/>
        <v>0</v>
      </c>
    </row>
    <row r="24" spans="11:11" x14ac:dyDescent="0.25">
      <c r="K24">
        <f t="shared" si="1"/>
        <v>0</v>
      </c>
    </row>
    <row r="25" spans="11:11" x14ac:dyDescent="0.25">
      <c r="K25">
        <f t="shared" si="1"/>
        <v>0</v>
      </c>
    </row>
    <row r="26" spans="11:11" x14ac:dyDescent="0.25">
      <c r="K26">
        <f t="shared" si="1"/>
        <v>0</v>
      </c>
    </row>
    <row r="27" spans="11:11" x14ac:dyDescent="0.25">
      <c r="K27">
        <f t="shared" si="1"/>
        <v>0</v>
      </c>
    </row>
    <row r="28" spans="11:11" x14ac:dyDescent="0.25">
      <c r="K28">
        <f t="shared" si="1"/>
        <v>0</v>
      </c>
    </row>
    <row r="29" spans="11:11" x14ac:dyDescent="0.25">
      <c r="K29">
        <f t="shared" si="1"/>
        <v>0</v>
      </c>
    </row>
    <row r="30" spans="11:11" x14ac:dyDescent="0.25">
      <c r="K30">
        <f t="shared" si="1"/>
        <v>0</v>
      </c>
    </row>
    <row r="31" spans="11:11" x14ac:dyDescent="0.25">
      <c r="K31">
        <f t="shared" si="1"/>
        <v>0</v>
      </c>
    </row>
    <row r="32" spans="11:11" x14ac:dyDescent="0.25">
      <c r="K32">
        <f t="shared" si="1"/>
        <v>0</v>
      </c>
    </row>
    <row r="33" spans="11:11" x14ac:dyDescent="0.25">
      <c r="K33">
        <f t="shared" si="1"/>
        <v>0</v>
      </c>
    </row>
    <row r="34" spans="11:11" x14ac:dyDescent="0.25">
      <c r="K34">
        <f t="shared" si="1"/>
        <v>0</v>
      </c>
    </row>
    <row r="35" spans="11:11" x14ac:dyDescent="0.25">
      <c r="K35">
        <f t="shared" si="1"/>
        <v>0</v>
      </c>
    </row>
    <row r="36" spans="11:11" x14ac:dyDescent="0.25">
      <c r="K36">
        <f t="shared" si="1"/>
        <v>0</v>
      </c>
    </row>
    <row r="37" spans="11:11" x14ac:dyDescent="0.25">
      <c r="K37">
        <f t="shared" si="1"/>
        <v>0</v>
      </c>
    </row>
    <row r="38" spans="11:11" x14ac:dyDescent="0.25">
      <c r="K38">
        <f t="shared" si="1"/>
        <v>0</v>
      </c>
    </row>
    <row r="39" spans="11:11" x14ac:dyDescent="0.25">
      <c r="K39">
        <f t="shared" si="1"/>
        <v>0</v>
      </c>
    </row>
    <row r="40" spans="11:11" x14ac:dyDescent="0.25">
      <c r="K40">
        <f t="shared" si="1"/>
        <v>0</v>
      </c>
    </row>
    <row r="41" spans="11:11" x14ac:dyDescent="0.25">
      <c r="K41">
        <f t="shared" si="1"/>
        <v>0</v>
      </c>
    </row>
    <row r="42" spans="11:11" x14ac:dyDescent="0.25">
      <c r="K42">
        <f t="shared" si="1"/>
        <v>0</v>
      </c>
    </row>
    <row r="43" spans="11:11" x14ac:dyDescent="0.25">
      <c r="K43">
        <f t="shared" si="1"/>
        <v>0</v>
      </c>
    </row>
    <row r="44" spans="11:11" x14ac:dyDescent="0.25">
      <c r="K44">
        <f t="shared" si="1"/>
        <v>0</v>
      </c>
    </row>
    <row r="45" spans="11:11" x14ac:dyDescent="0.25">
      <c r="K45">
        <f t="shared" si="1"/>
        <v>0</v>
      </c>
    </row>
    <row r="46" spans="11:11" x14ac:dyDescent="0.25">
      <c r="K46">
        <f t="shared" si="1"/>
        <v>0</v>
      </c>
    </row>
    <row r="47" spans="11:11" x14ac:dyDescent="0.25">
      <c r="K47">
        <f t="shared" si="1"/>
        <v>0</v>
      </c>
    </row>
    <row r="48" spans="11:11" x14ac:dyDescent="0.25">
      <c r="K48">
        <f t="shared" si="1"/>
        <v>0</v>
      </c>
    </row>
    <row r="49" spans="11:11" x14ac:dyDescent="0.25">
      <c r="K49">
        <f t="shared" si="1"/>
        <v>0</v>
      </c>
    </row>
    <row r="50" spans="11:11" x14ac:dyDescent="0.25">
      <c r="K50">
        <f t="shared" si="1"/>
        <v>0</v>
      </c>
    </row>
    <row r="51" spans="11:11" x14ac:dyDescent="0.25">
      <c r="K51">
        <f t="shared" si="1"/>
        <v>0</v>
      </c>
    </row>
    <row r="52" spans="11:11" x14ac:dyDescent="0.25">
      <c r="K52">
        <f t="shared" si="1"/>
        <v>0</v>
      </c>
    </row>
    <row r="53" spans="11:11" x14ac:dyDescent="0.25">
      <c r="K53">
        <f t="shared" si="1"/>
        <v>0</v>
      </c>
    </row>
    <row r="54" spans="11:11" x14ac:dyDescent="0.25">
      <c r="K54">
        <f t="shared" si="1"/>
        <v>0</v>
      </c>
    </row>
    <row r="55" spans="11:11" x14ac:dyDescent="0.25">
      <c r="K55">
        <f t="shared" si="1"/>
        <v>0</v>
      </c>
    </row>
    <row r="56" spans="11:11" x14ac:dyDescent="0.25">
      <c r="K56">
        <f t="shared" si="1"/>
        <v>0</v>
      </c>
    </row>
    <row r="57" spans="11:11" x14ac:dyDescent="0.25">
      <c r="K57">
        <f t="shared" si="1"/>
        <v>0</v>
      </c>
    </row>
    <row r="58" spans="11:11" x14ac:dyDescent="0.25">
      <c r="K58">
        <f t="shared" si="1"/>
        <v>0</v>
      </c>
    </row>
    <row r="59" spans="11:11" x14ac:dyDescent="0.25">
      <c r="K59">
        <f t="shared" si="1"/>
        <v>0</v>
      </c>
    </row>
    <row r="60" spans="11:11" x14ac:dyDescent="0.25">
      <c r="K60">
        <f t="shared" si="1"/>
        <v>0</v>
      </c>
    </row>
    <row r="61" spans="11:11" x14ac:dyDescent="0.25">
      <c r="K61">
        <f t="shared" si="1"/>
        <v>0</v>
      </c>
    </row>
    <row r="62" spans="11:11" x14ac:dyDescent="0.25">
      <c r="K62">
        <f t="shared" si="1"/>
        <v>0</v>
      </c>
    </row>
    <row r="63" spans="11:11" x14ac:dyDescent="0.25">
      <c r="K63">
        <f t="shared" si="1"/>
        <v>0</v>
      </c>
    </row>
    <row r="64" spans="11:11" x14ac:dyDescent="0.25">
      <c r="K64">
        <f t="shared" si="1"/>
        <v>0</v>
      </c>
    </row>
    <row r="65" spans="11:11" x14ac:dyDescent="0.25">
      <c r="K65">
        <f t="shared" si="1"/>
        <v>0</v>
      </c>
    </row>
    <row r="66" spans="11:11" x14ac:dyDescent="0.25">
      <c r="K66">
        <f t="shared" si="1"/>
        <v>0</v>
      </c>
    </row>
    <row r="67" spans="11:11" x14ac:dyDescent="0.25">
      <c r="K67">
        <f t="shared" si="1"/>
        <v>0</v>
      </c>
    </row>
    <row r="68" spans="11:11" x14ac:dyDescent="0.25">
      <c r="K68">
        <f t="shared" si="1"/>
        <v>0</v>
      </c>
    </row>
    <row r="69" spans="11:11" x14ac:dyDescent="0.25">
      <c r="K69">
        <f t="shared" si="1"/>
        <v>0</v>
      </c>
    </row>
    <row r="70" spans="11:11" x14ac:dyDescent="0.25">
      <c r="K70">
        <f t="shared" si="1"/>
        <v>0</v>
      </c>
    </row>
    <row r="71" spans="11:11" x14ac:dyDescent="0.25">
      <c r="K71">
        <f t="shared" ref="K71:K134" si="2">7-COUNTBLANK(D71:J71)</f>
        <v>0</v>
      </c>
    </row>
    <row r="72" spans="11:11" x14ac:dyDescent="0.25">
      <c r="K72">
        <f t="shared" si="2"/>
        <v>0</v>
      </c>
    </row>
    <row r="73" spans="11:11" x14ac:dyDescent="0.25">
      <c r="K73">
        <f t="shared" si="2"/>
        <v>0</v>
      </c>
    </row>
    <row r="74" spans="11:11" x14ac:dyDescent="0.25">
      <c r="K74">
        <f t="shared" si="2"/>
        <v>0</v>
      </c>
    </row>
    <row r="75" spans="11:11" x14ac:dyDescent="0.25">
      <c r="K75">
        <f t="shared" si="2"/>
        <v>0</v>
      </c>
    </row>
    <row r="76" spans="11:11" x14ac:dyDescent="0.25">
      <c r="K76">
        <f t="shared" si="2"/>
        <v>0</v>
      </c>
    </row>
    <row r="77" spans="11:11" x14ac:dyDescent="0.25">
      <c r="K77">
        <f t="shared" si="2"/>
        <v>0</v>
      </c>
    </row>
    <row r="78" spans="11:11" x14ac:dyDescent="0.25">
      <c r="K78">
        <f t="shared" si="2"/>
        <v>0</v>
      </c>
    </row>
    <row r="79" spans="11:11" x14ac:dyDescent="0.25">
      <c r="K79">
        <f t="shared" si="2"/>
        <v>0</v>
      </c>
    </row>
    <row r="80" spans="11:11" x14ac:dyDescent="0.25">
      <c r="K80">
        <f t="shared" si="2"/>
        <v>0</v>
      </c>
    </row>
    <row r="81" spans="11:117" x14ac:dyDescent="0.25">
      <c r="K81">
        <f t="shared" si="2"/>
        <v>0</v>
      </c>
    </row>
    <row r="82" spans="11:117" x14ac:dyDescent="0.25">
      <c r="K82">
        <f t="shared" si="2"/>
        <v>0</v>
      </c>
    </row>
    <row r="83" spans="11:117" x14ac:dyDescent="0.25">
      <c r="K83">
        <f t="shared" si="2"/>
        <v>0</v>
      </c>
    </row>
    <row r="84" spans="11:117" x14ac:dyDescent="0.25">
      <c r="K84">
        <f t="shared" si="2"/>
        <v>0</v>
      </c>
    </row>
    <row r="85" spans="11:117" x14ac:dyDescent="0.25">
      <c r="K85">
        <f t="shared" si="2"/>
        <v>0</v>
      </c>
    </row>
    <row r="86" spans="11:117" x14ac:dyDescent="0.25">
      <c r="K86">
        <f t="shared" si="2"/>
        <v>0</v>
      </c>
    </row>
    <row r="87" spans="11:117" x14ac:dyDescent="0.25">
      <c r="K87">
        <f t="shared" si="2"/>
        <v>0</v>
      </c>
    </row>
    <row r="88" spans="11:117" x14ac:dyDescent="0.25">
      <c r="K88">
        <f t="shared" si="2"/>
        <v>0</v>
      </c>
    </row>
    <row r="89" spans="11:117" x14ac:dyDescent="0.25">
      <c r="K89">
        <f t="shared" si="2"/>
        <v>0</v>
      </c>
    </row>
    <row r="90" spans="11:117" x14ac:dyDescent="0.25">
      <c r="K90">
        <f t="shared" si="2"/>
        <v>0</v>
      </c>
      <c r="DM90" t="s">
        <v>48</v>
      </c>
    </row>
    <row r="91" spans="11:117" x14ac:dyDescent="0.25">
      <c r="K91">
        <f t="shared" si="2"/>
        <v>0</v>
      </c>
    </row>
    <row r="92" spans="11:117" x14ac:dyDescent="0.25">
      <c r="K92">
        <f t="shared" si="2"/>
        <v>0</v>
      </c>
    </row>
    <row r="93" spans="11:117" x14ac:dyDescent="0.25">
      <c r="K93">
        <f t="shared" si="2"/>
        <v>0</v>
      </c>
    </row>
    <row r="94" spans="11:117" x14ac:dyDescent="0.25">
      <c r="K94">
        <f t="shared" si="2"/>
        <v>0</v>
      </c>
    </row>
    <row r="95" spans="11:117" x14ac:dyDescent="0.25">
      <c r="K95">
        <f t="shared" si="2"/>
        <v>0</v>
      </c>
    </row>
    <row r="96" spans="11:117" x14ac:dyDescent="0.25">
      <c r="K96">
        <f t="shared" si="2"/>
        <v>0</v>
      </c>
    </row>
    <row r="97" spans="11:11" x14ac:dyDescent="0.25">
      <c r="K97">
        <f t="shared" si="2"/>
        <v>0</v>
      </c>
    </row>
    <row r="98" spans="11:11" x14ac:dyDescent="0.25">
      <c r="K98">
        <f t="shared" si="2"/>
        <v>0</v>
      </c>
    </row>
    <row r="99" spans="11:11" x14ac:dyDescent="0.25">
      <c r="K99">
        <f t="shared" si="2"/>
        <v>0</v>
      </c>
    </row>
    <row r="100" spans="11:11" x14ac:dyDescent="0.25">
      <c r="K100">
        <f t="shared" si="2"/>
        <v>0</v>
      </c>
    </row>
    <row r="101" spans="11:11" x14ac:dyDescent="0.25">
      <c r="K101">
        <f t="shared" si="2"/>
        <v>0</v>
      </c>
    </row>
    <row r="102" spans="11:11" x14ac:dyDescent="0.25">
      <c r="K102">
        <f t="shared" si="2"/>
        <v>0</v>
      </c>
    </row>
    <row r="103" spans="11:11" x14ac:dyDescent="0.25">
      <c r="K103">
        <f t="shared" si="2"/>
        <v>0</v>
      </c>
    </row>
    <row r="104" spans="11:11" x14ac:dyDescent="0.25">
      <c r="K104">
        <f t="shared" si="2"/>
        <v>0</v>
      </c>
    </row>
    <row r="105" spans="11:11" x14ac:dyDescent="0.25">
      <c r="K105">
        <f t="shared" si="2"/>
        <v>0</v>
      </c>
    </row>
    <row r="106" spans="11:11" x14ac:dyDescent="0.25">
      <c r="K106">
        <f t="shared" si="2"/>
        <v>0</v>
      </c>
    </row>
    <row r="107" spans="11:11" x14ac:dyDescent="0.25">
      <c r="K107">
        <f t="shared" si="2"/>
        <v>0</v>
      </c>
    </row>
    <row r="108" spans="11:11" x14ac:dyDescent="0.25">
      <c r="K108">
        <f t="shared" si="2"/>
        <v>0</v>
      </c>
    </row>
    <row r="109" spans="11:11" x14ac:dyDescent="0.25">
      <c r="K109">
        <f t="shared" si="2"/>
        <v>0</v>
      </c>
    </row>
    <row r="110" spans="11:11" x14ac:dyDescent="0.25">
      <c r="K110">
        <f t="shared" si="2"/>
        <v>0</v>
      </c>
    </row>
    <row r="111" spans="11:11" x14ac:dyDescent="0.25">
      <c r="K111">
        <f t="shared" si="2"/>
        <v>0</v>
      </c>
    </row>
    <row r="112" spans="11:11" x14ac:dyDescent="0.25">
      <c r="K112">
        <f t="shared" si="2"/>
        <v>0</v>
      </c>
    </row>
    <row r="113" spans="11:11" x14ac:dyDescent="0.25">
      <c r="K113">
        <f t="shared" si="2"/>
        <v>0</v>
      </c>
    </row>
    <row r="114" spans="11:11" x14ac:dyDescent="0.25">
      <c r="K114">
        <f t="shared" si="2"/>
        <v>0</v>
      </c>
    </row>
    <row r="115" spans="11:11" x14ac:dyDescent="0.25">
      <c r="K115">
        <f t="shared" si="2"/>
        <v>0</v>
      </c>
    </row>
    <row r="116" spans="11:11" x14ac:dyDescent="0.25">
      <c r="K116">
        <f t="shared" si="2"/>
        <v>0</v>
      </c>
    </row>
    <row r="117" spans="11:11" x14ac:dyDescent="0.25">
      <c r="K117">
        <f t="shared" si="2"/>
        <v>0</v>
      </c>
    </row>
    <row r="118" spans="11:11" x14ac:dyDescent="0.25">
      <c r="K118">
        <f t="shared" si="2"/>
        <v>0</v>
      </c>
    </row>
    <row r="119" spans="11:11" x14ac:dyDescent="0.25">
      <c r="K119">
        <f t="shared" si="2"/>
        <v>0</v>
      </c>
    </row>
    <row r="120" spans="11:11" x14ac:dyDescent="0.25">
      <c r="K120">
        <f t="shared" si="2"/>
        <v>0</v>
      </c>
    </row>
    <row r="121" spans="11:11" x14ac:dyDescent="0.25">
      <c r="K121">
        <f t="shared" si="2"/>
        <v>0</v>
      </c>
    </row>
    <row r="122" spans="11:11" x14ac:dyDescent="0.25">
      <c r="K122">
        <f t="shared" si="2"/>
        <v>0</v>
      </c>
    </row>
    <row r="123" spans="11:11" x14ac:dyDescent="0.25">
      <c r="K123">
        <f t="shared" si="2"/>
        <v>0</v>
      </c>
    </row>
    <row r="124" spans="11:11" x14ac:dyDescent="0.25">
      <c r="K124">
        <f t="shared" si="2"/>
        <v>0</v>
      </c>
    </row>
    <row r="125" spans="11:11" x14ac:dyDescent="0.25">
      <c r="K125">
        <f t="shared" si="2"/>
        <v>0</v>
      </c>
    </row>
    <row r="126" spans="11:11" x14ac:dyDescent="0.25">
      <c r="K126">
        <f t="shared" si="2"/>
        <v>0</v>
      </c>
    </row>
    <row r="127" spans="11:11" x14ac:dyDescent="0.25">
      <c r="K127">
        <f t="shared" si="2"/>
        <v>0</v>
      </c>
    </row>
    <row r="128" spans="11:11" x14ac:dyDescent="0.25">
      <c r="K128">
        <f t="shared" si="2"/>
        <v>0</v>
      </c>
    </row>
    <row r="129" spans="11:11" x14ac:dyDescent="0.25">
      <c r="K129">
        <f t="shared" si="2"/>
        <v>0</v>
      </c>
    </row>
    <row r="130" spans="11:11" x14ac:dyDescent="0.25">
      <c r="K130">
        <f t="shared" si="2"/>
        <v>0</v>
      </c>
    </row>
    <row r="131" spans="11:11" x14ac:dyDescent="0.25">
      <c r="K131">
        <f t="shared" si="2"/>
        <v>0</v>
      </c>
    </row>
    <row r="132" spans="11:11" x14ac:dyDescent="0.25">
      <c r="K132">
        <f t="shared" si="2"/>
        <v>0</v>
      </c>
    </row>
    <row r="133" spans="11:11" x14ac:dyDescent="0.25">
      <c r="K133">
        <f t="shared" si="2"/>
        <v>0</v>
      </c>
    </row>
    <row r="134" spans="11:11" x14ac:dyDescent="0.25">
      <c r="K134">
        <f t="shared" si="2"/>
        <v>0</v>
      </c>
    </row>
    <row r="135" spans="11:11" x14ac:dyDescent="0.25">
      <c r="K135">
        <f t="shared" ref="K135:K198" si="3">7-COUNTBLANK(D135:J135)</f>
        <v>0</v>
      </c>
    </row>
    <row r="136" spans="11:11" x14ac:dyDescent="0.25">
      <c r="K136">
        <f t="shared" si="3"/>
        <v>0</v>
      </c>
    </row>
    <row r="137" spans="11:11" x14ac:dyDescent="0.25">
      <c r="K137">
        <f t="shared" si="3"/>
        <v>0</v>
      </c>
    </row>
    <row r="138" spans="11:11" x14ac:dyDescent="0.25">
      <c r="K138">
        <f t="shared" si="3"/>
        <v>0</v>
      </c>
    </row>
    <row r="139" spans="11:11" x14ac:dyDescent="0.25">
      <c r="K139">
        <f t="shared" si="3"/>
        <v>0</v>
      </c>
    </row>
    <row r="140" spans="11:11" x14ac:dyDescent="0.25">
      <c r="K140">
        <f t="shared" si="3"/>
        <v>0</v>
      </c>
    </row>
    <row r="141" spans="11:11" x14ac:dyDescent="0.25">
      <c r="K141">
        <f t="shared" si="3"/>
        <v>0</v>
      </c>
    </row>
    <row r="142" spans="11:11" x14ac:dyDescent="0.25">
      <c r="K142">
        <f t="shared" si="3"/>
        <v>0</v>
      </c>
    </row>
    <row r="143" spans="11:11" x14ac:dyDescent="0.25">
      <c r="K143">
        <f t="shared" si="3"/>
        <v>0</v>
      </c>
    </row>
    <row r="144" spans="11:11" x14ac:dyDescent="0.25">
      <c r="K144">
        <f t="shared" si="3"/>
        <v>0</v>
      </c>
    </row>
    <row r="145" spans="11:11" x14ac:dyDescent="0.25">
      <c r="K145">
        <f t="shared" si="3"/>
        <v>0</v>
      </c>
    </row>
    <row r="146" spans="11:11" x14ac:dyDescent="0.25">
      <c r="K146">
        <f t="shared" si="3"/>
        <v>0</v>
      </c>
    </row>
    <row r="147" spans="11:11" x14ac:dyDescent="0.25">
      <c r="K147">
        <f t="shared" si="3"/>
        <v>0</v>
      </c>
    </row>
    <row r="148" spans="11:11" x14ac:dyDescent="0.25">
      <c r="K148">
        <f t="shared" si="3"/>
        <v>0</v>
      </c>
    </row>
    <row r="149" spans="11:11" x14ac:dyDescent="0.25">
      <c r="K149">
        <f t="shared" si="3"/>
        <v>0</v>
      </c>
    </row>
    <row r="150" spans="11:11" x14ac:dyDescent="0.25">
      <c r="K150">
        <f t="shared" si="3"/>
        <v>0</v>
      </c>
    </row>
    <row r="151" spans="11:11" x14ac:dyDescent="0.25">
      <c r="K151">
        <f t="shared" si="3"/>
        <v>0</v>
      </c>
    </row>
    <row r="152" spans="11:11" x14ac:dyDescent="0.25">
      <c r="K152">
        <f t="shared" si="3"/>
        <v>0</v>
      </c>
    </row>
    <row r="153" spans="11:11" x14ac:dyDescent="0.25">
      <c r="K153">
        <f t="shared" si="3"/>
        <v>0</v>
      </c>
    </row>
    <row r="154" spans="11:11" x14ac:dyDescent="0.25">
      <c r="K154">
        <f t="shared" si="3"/>
        <v>0</v>
      </c>
    </row>
    <row r="155" spans="11:11" x14ac:dyDescent="0.25">
      <c r="K155">
        <f t="shared" si="3"/>
        <v>0</v>
      </c>
    </row>
    <row r="156" spans="11:11" x14ac:dyDescent="0.25">
      <c r="K156">
        <f t="shared" si="3"/>
        <v>0</v>
      </c>
    </row>
    <row r="157" spans="11:11" x14ac:dyDescent="0.25">
      <c r="K157">
        <f t="shared" si="3"/>
        <v>0</v>
      </c>
    </row>
    <row r="158" spans="11:11" x14ac:dyDescent="0.25">
      <c r="K158">
        <f t="shared" si="3"/>
        <v>0</v>
      </c>
    </row>
    <row r="159" spans="11:11" x14ac:dyDescent="0.25">
      <c r="K159">
        <f t="shared" si="3"/>
        <v>0</v>
      </c>
    </row>
    <row r="160" spans="11:11" x14ac:dyDescent="0.25">
      <c r="K160">
        <f t="shared" si="3"/>
        <v>0</v>
      </c>
    </row>
    <row r="161" spans="11:11" x14ac:dyDescent="0.25">
      <c r="K161">
        <f t="shared" si="3"/>
        <v>0</v>
      </c>
    </row>
    <row r="162" spans="11:11" x14ac:dyDescent="0.25">
      <c r="K162">
        <f t="shared" si="3"/>
        <v>0</v>
      </c>
    </row>
    <row r="163" spans="11:11" x14ac:dyDescent="0.25">
      <c r="K163">
        <f t="shared" si="3"/>
        <v>0</v>
      </c>
    </row>
    <row r="164" spans="11:11" x14ac:dyDescent="0.25">
      <c r="K164">
        <f t="shared" si="3"/>
        <v>0</v>
      </c>
    </row>
    <row r="165" spans="11:11" x14ac:dyDescent="0.25">
      <c r="K165">
        <f t="shared" si="3"/>
        <v>0</v>
      </c>
    </row>
    <row r="166" spans="11:11" x14ac:dyDescent="0.25">
      <c r="K166">
        <f t="shared" si="3"/>
        <v>0</v>
      </c>
    </row>
    <row r="167" spans="11:11" x14ac:dyDescent="0.25">
      <c r="K167">
        <f t="shared" si="3"/>
        <v>0</v>
      </c>
    </row>
    <row r="168" spans="11:11" x14ac:dyDescent="0.25">
      <c r="K168">
        <f t="shared" si="3"/>
        <v>0</v>
      </c>
    </row>
    <row r="169" spans="11:11" x14ac:dyDescent="0.25">
      <c r="K169">
        <f t="shared" si="3"/>
        <v>0</v>
      </c>
    </row>
    <row r="170" spans="11:11" x14ac:dyDescent="0.25">
      <c r="K170">
        <f t="shared" si="3"/>
        <v>0</v>
      </c>
    </row>
    <row r="171" spans="11:11" x14ac:dyDescent="0.25">
      <c r="K171">
        <f t="shared" si="3"/>
        <v>0</v>
      </c>
    </row>
    <row r="172" spans="11:11" x14ac:dyDescent="0.25">
      <c r="K172">
        <f t="shared" si="3"/>
        <v>0</v>
      </c>
    </row>
    <row r="173" spans="11:11" x14ac:dyDescent="0.25">
      <c r="K173">
        <f t="shared" si="3"/>
        <v>0</v>
      </c>
    </row>
    <row r="174" spans="11:11" x14ac:dyDescent="0.25">
      <c r="K174">
        <f t="shared" si="3"/>
        <v>0</v>
      </c>
    </row>
    <row r="175" spans="11:11" x14ac:dyDescent="0.25">
      <c r="K175">
        <f t="shared" si="3"/>
        <v>0</v>
      </c>
    </row>
    <row r="176" spans="11:11" x14ac:dyDescent="0.25">
      <c r="K176">
        <f t="shared" si="3"/>
        <v>0</v>
      </c>
    </row>
    <row r="177" spans="11:11" x14ac:dyDescent="0.25">
      <c r="K177">
        <f t="shared" si="3"/>
        <v>0</v>
      </c>
    </row>
    <row r="178" spans="11:11" x14ac:dyDescent="0.25">
      <c r="K178">
        <f t="shared" si="3"/>
        <v>0</v>
      </c>
    </row>
    <row r="179" spans="11:11" x14ac:dyDescent="0.25">
      <c r="K179">
        <f t="shared" si="3"/>
        <v>0</v>
      </c>
    </row>
    <row r="180" spans="11:11" x14ac:dyDescent="0.25">
      <c r="K180">
        <f t="shared" si="3"/>
        <v>0</v>
      </c>
    </row>
    <row r="181" spans="11:11" x14ac:dyDescent="0.25">
      <c r="K181">
        <f t="shared" si="3"/>
        <v>0</v>
      </c>
    </row>
    <row r="182" spans="11:11" x14ac:dyDescent="0.25">
      <c r="K182">
        <f t="shared" si="3"/>
        <v>0</v>
      </c>
    </row>
    <row r="183" spans="11:11" x14ac:dyDescent="0.25">
      <c r="K183">
        <f t="shared" si="3"/>
        <v>0</v>
      </c>
    </row>
    <row r="184" spans="11:11" x14ac:dyDescent="0.25">
      <c r="K184">
        <f t="shared" si="3"/>
        <v>0</v>
      </c>
    </row>
    <row r="185" spans="11:11" x14ac:dyDescent="0.25">
      <c r="K185">
        <f t="shared" si="3"/>
        <v>0</v>
      </c>
    </row>
    <row r="186" spans="11:11" x14ac:dyDescent="0.25">
      <c r="K186">
        <f t="shared" si="3"/>
        <v>0</v>
      </c>
    </row>
    <row r="187" spans="11:11" x14ac:dyDescent="0.25">
      <c r="K187">
        <f t="shared" si="3"/>
        <v>0</v>
      </c>
    </row>
    <row r="188" spans="11:11" x14ac:dyDescent="0.25">
      <c r="K188">
        <f t="shared" si="3"/>
        <v>0</v>
      </c>
    </row>
    <row r="189" spans="11:11" x14ac:dyDescent="0.25">
      <c r="K189">
        <f t="shared" si="3"/>
        <v>0</v>
      </c>
    </row>
    <row r="190" spans="11:11" x14ac:dyDescent="0.25">
      <c r="K190">
        <f t="shared" si="3"/>
        <v>0</v>
      </c>
    </row>
    <row r="191" spans="11:11" x14ac:dyDescent="0.25">
      <c r="K191">
        <f t="shared" si="3"/>
        <v>0</v>
      </c>
    </row>
    <row r="192" spans="11:11" x14ac:dyDescent="0.25">
      <c r="K192">
        <f t="shared" si="3"/>
        <v>0</v>
      </c>
    </row>
    <row r="193" spans="11:11" x14ac:dyDescent="0.25">
      <c r="K193">
        <f t="shared" si="3"/>
        <v>0</v>
      </c>
    </row>
    <row r="194" spans="11:11" x14ac:dyDescent="0.25">
      <c r="K194">
        <f t="shared" si="3"/>
        <v>0</v>
      </c>
    </row>
    <row r="195" spans="11:11" x14ac:dyDescent="0.25">
      <c r="K195">
        <f t="shared" si="3"/>
        <v>0</v>
      </c>
    </row>
    <row r="196" spans="11:11" x14ac:dyDescent="0.25">
      <c r="K196">
        <f t="shared" si="3"/>
        <v>0</v>
      </c>
    </row>
    <row r="197" spans="11:11" x14ac:dyDescent="0.25">
      <c r="K197">
        <f t="shared" si="3"/>
        <v>0</v>
      </c>
    </row>
    <row r="198" spans="11:11" x14ac:dyDescent="0.25">
      <c r="K198">
        <f t="shared" si="3"/>
        <v>0</v>
      </c>
    </row>
    <row r="199" spans="11:11" x14ac:dyDescent="0.25">
      <c r="K199">
        <f t="shared" ref="K199:K262" si="4">7-COUNTBLANK(D199:J199)</f>
        <v>0</v>
      </c>
    </row>
    <row r="200" spans="11:11" x14ac:dyDescent="0.25">
      <c r="K200">
        <f t="shared" si="4"/>
        <v>0</v>
      </c>
    </row>
    <row r="201" spans="11:11" x14ac:dyDescent="0.25">
      <c r="K201">
        <f t="shared" si="4"/>
        <v>0</v>
      </c>
    </row>
    <row r="202" spans="11:11" x14ac:dyDescent="0.25">
      <c r="K202">
        <f t="shared" si="4"/>
        <v>0</v>
      </c>
    </row>
    <row r="203" spans="11:11" x14ac:dyDescent="0.25">
      <c r="K203">
        <f t="shared" si="4"/>
        <v>0</v>
      </c>
    </row>
    <row r="204" spans="11:11" x14ac:dyDescent="0.25">
      <c r="K204">
        <f t="shared" si="4"/>
        <v>0</v>
      </c>
    </row>
    <row r="205" spans="11:11" x14ac:dyDescent="0.25">
      <c r="K205">
        <f t="shared" si="4"/>
        <v>0</v>
      </c>
    </row>
    <row r="206" spans="11:11" x14ac:dyDescent="0.25">
      <c r="K206">
        <f t="shared" si="4"/>
        <v>0</v>
      </c>
    </row>
    <row r="207" spans="11:11" x14ac:dyDescent="0.25">
      <c r="K207">
        <f t="shared" si="4"/>
        <v>0</v>
      </c>
    </row>
    <row r="208" spans="11:11" x14ac:dyDescent="0.25">
      <c r="K208">
        <f t="shared" si="4"/>
        <v>0</v>
      </c>
    </row>
    <row r="209" spans="11:11" x14ac:dyDescent="0.25">
      <c r="K209">
        <f t="shared" si="4"/>
        <v>0</v>
      </c>
    </row>
    <row r="210" spans="11:11" x14ac:dyDescent="0.25">
      <c r="K210">
        <f t="shared" si="4"/>
        <v>0</v>
      </c>
    </row>
    <row r="211" spans="11:11" x14ac:dyDescent="0.25">
      <c r="K211">
        <f t="shared" si="4"/>
        <v>0</v>
      </c>
    </row>
    <row r="212" spans="11:11" x14ac:dyDescent="0.25">
      <c r="K212">
        <f t="shared" si="4"/>
        <v>0</v>
      </c>
    </row>
    <row r="213" spans="11:11" x14ac:dyDescent="0.25">
      <c r="K213">
        <f t="shared" si="4"/>
        <v>0</v>
      </c>
    </row>
    <row r="214" spans="11:11" x14ac:dyDescent="0.25">
      <c r="K214">
        <f t="shared" si="4"/>
        <v>0</v>
      </c>
    </row>
    <row r="215" spans="11:11" x14ac:dyDescent="0.25">
      <c r="K215">
        <f t="shared" si="4"/>
        <v>0</v>
      </c>
    </row>
    <row r="216" spans="11:11" x14ac:dyDescent="0.25">
      <c r="K216">
        <f t="shared" si="4"/>
        <v>0</v>
      </c>
    </row>
    <row r="217" spans="11:11" x14ac:dyDescent="0.25">
      <c r="K217">
        <f t="shared" si="4"/>
        <v>0</v>
      </c>
    </row>
    <row r="218" spans="11:11" x14ac:dyDescent="0.25">
      <c r="K218">
        <f t="shared" si="4"/>
        <v>0</v>
      </c>
    </row>
    <row r="219" spans="11:11" x14ac:dyDescent="0.25">
      <c r="K219">
        <f t="shared" si="4"/>
        <v>0</v>
      </c>
    </row>
    <row r="220" spans="11:11" x14ac:dyDescent="0.25">
      <c r="K220">
        <f t="shared" si="4"/>
        <v>0</v>
      </c>
    </row>
    <row r="221" spans="11:11" x14ac:dyDescent="0.25">
      <c r="K221">
        <f t="shared" si="4"/>
        <v>0</v>
      </c>
    </row>
    <row r="222" spans="11:11" x14ac:dyDescent="0.25">
      <c r="K222">
        <f t="shared" si="4"/>
        <v>0</v>
      </c>
    </row>
    <row r="223" spans="11:11" x14ac:dyDescent="0.25">
      <c r="K223">
        <f t="shared" si="4"/>
        <v>0</v>
      </c>
    </row>
    <row r="224" spans="11:11" x14ac:dyDescent="0.25">
      <c r="K224">
        <f t="shared" si="4"/>
        <v>0</v>
      </c>
    </row>
    <row r="225" spans="11:11" x14ac:dyDescent="0.25">
      <c r="K225">
        <f t="shared" si="4"/>
        <v>0</v>
      </c>
    </row>
    <row r="226" spans="11:11" x14ac:dyDescent="0.25">
      <c r="K226">
        <f t="shared" si="4"/>
        <v>0</v>
      </c>
    </row>
    <row r="227" spans="11:11" x14ac:dyDescent="0.25">
      <c r="K227">
        <f t="shared" si="4"/>
        <v>0</v>
      </c>
    </row>
    <row r="228" spans="11:11" x14ac:dyDescent="0.25">
      <c r="K228">
        <f t="shared" si="4"/>
        <v>0</v>
      </c>
    </row>
    <row r="229" spans="11:11" x14ac:dyDescent="0.25">
      <c r="K229">
        <f t="shared" si="4"/>
        <v>0</v>
      </c>
    </row>
    <row r="230" spans="11:11" x14ac:dyDescent="0.25">
      <c r="K230">
        <f t="shared" si="4"/>
        <v>0</v>
      </c>
    </row>
    <row r="231" spans="11:11" x14ac:dyDescent="0.25">
      <c r="K231">
        <f t="shared" si="4"/>
        <v>0</v>
      </c>
    </row>
    <row r="232" spans="11:11" x14ac:dyDescent="0.25">
      <c r="K232">
        <f t="shared" si="4"/>
        <v>0</v>
      </c>
    </row>
    <row r="233" spans="11:11" x14ac:dyDescent="0.25">
      <c r="K233">
        <f t="shared" si="4"/>
        <v>0</v>
      </c>
    </row>
    <row r="234" spans="11:11" x14ac:dyDescent="0.25">
      <c r="K234">
        <f t="shared" si="4"/>
        <v>0</v>
      </c>
    </row>
    <row r="235" spans="11:11" x14ac:dyDescent="0.25">
      <c r="K235">
        <f t="shared" si="4"/>
        <v>0</v>
      </c>
    </row>
    <row r="236" spans="11:11" x14ac:dyDescent="0.25">
      <c r="K236">
        <f t="shared" si="4"/>
        <v>0</v>
      </c>
    </row>
    <row r="237" spans="11:11" x14ac:dyDescent="0.25">
      <c r="K237">
        <f t="shared" si="4"/>
        <v>0</v>
      </c>
    </row>
    <row r="238" spans="11:11" x14ac:dyDescent="0.25">
      <c r="K238">
        <f t="shared" si="4"/>
        <v>0</v>
      </c>
    </row>
    <row r="239" spans="11:11" x14ac:dyDescent="0.25">
      <c r="K239">
        <f t="shared" si="4"/>
        <v>0</v>
      </c>
    </row>
    <row r="240" spans="11:11" x14ac:dyDescent="0.25">
      <c r="K240">
        <f t="shared" si="4"/>
        <v>0</v>
      </c>
    </row>
    <row r="241" spans="11:11" x14ac:dyDescent="0.25">
      <c r="K241">
        <f t="shared" si="4"/>
        <v>0</v>
      </c>
    </row>
    <row r="242" spans="11:11" x14ac:dyDescent="0.25">
      <c r="K242">
        <f t="shared" si="4"/>
        <v>0</v>
      </c>
    </row>
    <row r="243" spans="11:11" x14ac:dyDescent="0.25">
      <c r="K243">
        <f t="shared" si="4"/>
        <v>0</v>
      </c>
    </row>
    <row r="244" spans="11:11" x14ac:dyDescent="0.25">
      <c r="K244">
        <f t="shared" si="4"/>
        <v>0</v>
      </c>
    </row>
    <row r="245" spans="11:11" x14ac:dyDescent="0.25">
      <c r="K245">
        <f t="shared" si="4"/>
        <v>0</v>
      </c>
    </row>
    <row r="246" spans="11:11" x14ac:dyDescent="0.25">
      <c r="K246">
        <f t="shared" si="4"/>
        <v>0</v>
      </c>
    </row>
    <row r="247" spans="11:11" x14ac:dyDescent="0.25">
      <c r="K247">
        <f t="shared" si="4"/>
        <v>0</v>
      </c>
    </row>
    <row r="248" spans="11:11" x14ac:dyDescent="0.25">
      <c r="K248">
        <f t="shared" si="4"/>
        <v>0</v>
      </c>
    </row>
    <row r="249" spans="11:11" x14ac:dyDescent="0.25">
      <c r="K249">
        <f t="shared" si="4"/>
        <v>0</v>
      </c>
    </row>
    <row r="250" spans="11:11" x14ac:dyDescent="0.25">
      <c r="K250">
        <f t="shared" si="4"/>
        <v>0</v>
      </c>
    </row>
    <row r="251" spans="11:11" x14ac:dyDescent="0.25">
      <c r="K251">
        <f t="shared" si="4"/>
        <v>0</v>
      </c>
    </row>
    <row r="252" spans="11:11" x14ac:dyDescent="0.25">
      <c r="K252">
        <f t="shared" si="4"/>
        <v>0</v>
      </c>
    </row>
    <row r="253" spans="11:11" x14ac:dyDescent="0.25">
      <c r="K253">
        <f t="shared" si="4"/>
        <v>0</v>
      </c>
    </row>
    <row r="254" spans="11:11" x14ac:dyDescent="0.25">
      <c r="K254">
        <f t="shared" si="4"/>
        <v>0</v>
      </c>
    </row>
    <row r="255" spans="11:11" x14ac:dyDescent="0.25">
      <c r="K255">
        <f t="shared" si="4"/>
        <v>0</v>
      </c>
    </row>
    <row r="256" spans="11:11" x14ac:dyDescent="0.25">
      <c r="K256">
        <f t="shared" si="4"/>
        <v>0</v>
      </c>
    </row>
    <row r="257" spans="11:11" x14ac:dyDescent="0.25">
      <c r="K257">
        <f t="shared" si="4"/>
        <v>0</v>
      </c>
    </row>
    <row r="258" spans="11:11" x14ac:dyDescent="0.25">
      <c r="K258">
        <f t="shared" si="4"/>
        <v>0</v>
      </c>
    </row>
    <row r="259" spans="11:11" x14ac:dyDescent="0.25">
      <c r="K259">
        <f t="shared" si="4"/>
        <v>0</v>
      </c>
    </row>
    <row r="260" spans="11:11" x14ac:dyDescent="0.25">
      <c r="K260">
        <f t="shared" si="4"/>
        <v>0</v>
      </c>
    </row>
    <row r="261" spans="11:11" x14ac:dyDescent="0.25">
      <c r="K261">
        <f t="shared" si="4"/>
        <v>0</v>
      </c>
    </row>
    <row r="262" spans="11:11" x14ac:dyDescent="0.25">
      <c r="K262">
        <f t="shared" si="4"/>
        <v>0</v>
      </c>
    </row>
    <row r="263" spans="11:11" x14ac:dyDescent="0.25">
      <c r="K263">
        <f t="shared" ref="K263:K290" si="5">7-COUNTBLANK(D263:J263)</f>
        <v>0</v>
      </c>
    </row>
    <row r="264" spans="11:11" x14ac:dyDescent="0.25">
      <c r="K264">
        <f t="shared" si="5"/>
        <v>0</v>
      </c>
    </row>
    <row r="265" spans="11:11" x14ac:dyDescent="0.25">
      <c r="K265">
        <f t="shared" si="5"/>
        <v>0</v>
      </c>
    </row>
    <row r="266" spans="11:11" x14ac:dyDescent="0.25">
      <c r="K266">
        <f t="shared" si="5"/>
        <v>0</v>
      </c>
    </row>
    <row r="267" spans="11:11" x14ac:dyDescent="0.25">
      <c r="K267">
        <f t="shared" si="5"/>
        <v>0</v>
      </c>
    </row>
    <row r="268" spans="11:11" x14ac:dyDescent="0.25">
      <c r="K268">
        <f t="shared" si="5"/>
        <v>0</v>
      </c>
    </row>
    <row r="269" spans="11:11" x14ac:dyDescent="0.25">
      <c r="K269">
        <f t="shared" si="5"/>
        <v>0</v>
      </c>
    </row>
    <row r="270" spans="11:11" x14ac:dyDescent="0.25">
      <c r="K270">
        <f t="shared" si="5"/>
        <v>0</v>
      </c>
    </row>
    <row r="271" spans="11:11" x14ac:dyDescent="0.25">
      <c r="K271">
        <f t="shared" si="5"/>
        <v>0</v>
      </c>
    </row>
    <row r="272" spans="11:11" x14ac:dyDescent="0.25">
      <c r="K272">
        <f t="shared" si="5"/>
        <v>0</v>
      </c>
    </row>
    <row r="273" spans="11:11" x14ac:dyDescent="0.25">
      <c r="K273">
        <f t="shared" si="5"/>
        <v>0</v>
      </c>
    </row>
    <row r="274" spans="11:11" x14ac:dyDescent="0.25">
      <c r="K274">
        <f t="shared" si="5"/>
        <v>0</v>
      </c>
    </row>
    <row r="275" spans="11:11" x14ac:dyDescent="0.25">
      <c r="K275">
        <f t="shared" si="5"/>
        <v>0</v>
      </c>
    </row>
    <row r="276" spans="11:11" x14ac:dyDescent="0.25">
      <c r="K276">
        <f t="shared" si="5"/>
        <v>0</v>
      </c>
    </row>
    <row r="277" spans="11:11" x14ac:dyDescent="0.25">
      <c r="K277">
        <f t="shared" si="5"/>
        <v>0</v>
      </c>
    </row>
    <row r="278" spans="11:11" x14ac:dyDescent="0.25">
      <c r="K278">
        <f t="shared" si="5"/>
        <v>0</v>
      </c>
    </row>
    <row r="279" spans="11:11" x14ac:dyDescent="0.25">
      <c r="K279">
        <f t="shared" si="5"/>
        <v>0</v>
      </c>
    </row>
    <row r="280" spans="11:11" x14ac:dyDescent="0.25">
      <c r="K280">
        <f t="shared" si="5"/>
        <v>0</v>
      </c>
    </row>
    <row r="281" spans="11:11" x14ac:dyDescent="0.25">
      <c r="K281">
        <f t="shared" si="5"/>
        <v>0</v>
      </c>
    </row>
    <row r="282" spans="11:11" x14ac:dyDescent="0.25">
      <c r="K282">
        <f t="shared" si="5"/>
        <v>0</v>
      </c>
    </row>
    <row r="283" spans="11:11" x14ac:dyDescent="0.25">
      <c r="K283">
        <f t="shared" si="5"/>
        <v>0</v>
      </c>
    </row>
    <row r="284" spans="11:11" x14ac:dyDescent="0.25">
      <c r="K284">
        <f t="shared" si="5"/>
        <v>0</v>
      </c>
    </row>
    <row r="285" spans="11:11" x14ac:dyDescent="0.25">
      <c r="K285">
        <f t="shared" si="5"/>
        <v>0</v>
      </c>
    </row>
    <row r="286" spans="11:11" x14ac:dyDescent="0.25">
      <c r="K286">
        <f t="shared" si="5"/>
        <v>0</v>
      </c>
    </row>
    <row r="287" spans="11:11" x14ac:dyDescent="0.25">
      <c r="K287">
        <f t="shared" si="5"/>
        <v>0</v>
      </c>
    </row>
    <row r="288" spans="11:11" x14ac:dyDescent="0.25">
      <c r="K288">
        <f t="shared" si="5"/>
        <v>0</v>
      </c>
    </row>
    <row r="289" spans="11:11" x14ac:dyDescent="0.25">
      <c r="K289">
        <f t="shared" si="5"/>
        <v>0</v>
      </c>
    </row>
    <row r="290" spans="11:11" x14ac:dyDescent="0.25">
      <c r="K290">
        <f t="shared" si="5"/>
        <v>0</v>
      </c>
    </row>
  </sheetData>
  <autoFilter ref="B5:M468" xr:uid="{00000000-0009-0000-0000-000007000000}"/>
  <customSheetViews>
    <customSheetView guid="{DB9894F0-96BC-4C04-8D04-FF3607BEBF53}" showAutoFilter="1" topLeftCell="A234">
      <selection activeCell="B6" sqref="B6"/>
      <pageMargins left="0" right="0" top="0" bottom="0" header="0" footer="0"/>
      <pageSetup paperSize="9" orientation="portrait" r:id="rId1"/>
      <autoFilter ref="B5:M468" xr:uid="{86B3284D-13BA-4726-8B78-C4801B0D9684}"/>
    </customSheetView>
    <customSheetView guid="{8D8BE001-C296-444A-B8AC-56385A059ADB}" showAutoFilter="1" topLeftCell="A5">
      <selection activeCell="D6" sqref="D6"/>
      <pageMargins left="0" right="0" top="0" bottom="0" header="0" footer="0"/>
      <pageSetup paperSize="9" orientation="portrait" r:id="rId2"/>
      <autoFilter ref="B5:M468" xr:uid="{FA2072BB-FD6B-4753-B347-9B267494B483}"/>
    </customSheetView>
    <customSheetView guid="{5A7B666F-E305-4A9E-98DD-F5DEC8A780A3}" showAutoFilter="1" topLeftCell="C5">
      <selection activeCell="L7" sqref="L7"/>
      <pageMargins left="0" right="0" top="0" bottom="0" header="0" footer="0"/>
      <pageSetup paperSize="9" orientation="portrait" r:id="rId3"/>
      <autoFilter ref="B5:M487" xr:uid="{CEE45170-5682-46AA-96F4-64E1809C626B}"/>
    </customSheetView>
    <customSheetView guid="{A8BCBFE8-6A1E-4872-B017-B3136BC584DB}" showAutoFilter="1">
      <selection activeCell="B3" sqref="B3"/>
      <pageMargins left="0" right="0" top="0" bottom="0" header="0" footer="0"/>
      <pageSetup paperSize="9" orientation="portrait" r:id="rId4"/>
      <autoFilter ref="B5:M468" xr:uid="{6CBD92B2-2B26-4FF4-A79C-92EE97642D32}"/>
    </customSheetView>
  </customSheetViews>
  <pageMargins left="0.7" right="0.7" top="0.75" bottom="0.75" header="0.3" footer="0.3"/>
  <pageSetup paperSize="9" orientation="portrait" r:id="rId5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9</vt:i4>
      </vt:variant>
      <vt:variant>
        <vt:lpstr>Rangos con nombre</vt:lpstr>
      </vt:variant>
      <vt:variant>
        <vt:i4>15</vt:i4>
      </vt:variant>
    </vt:vector>
  </HeadingPairs>
  <TitlesOfParts>
    <vt:vector size="24" baseType="lpstr">
      <vt:lpstr>HORAS</vt:lpstr>
      <vt:lpstr>FIJOS</vt:lpstr>
      <vt:lpstr>CAPTURA</vt:lpstr>
      <vt:lpstr>COMPROBANTE</vt:lpstr>
      <vt:lpstr>RESUMEN</vt:lpstr>
      <vt:lpstr>DISPERSION FISCAL</vt:lpstr>
      <vt:lpstr>VARIABLE</vt:lpstr>
      <vt:lpstr>EFECTIVOS</vt:lpstr>
      <vt:lpstr>INCIDENCIAS</vt:lpstr>
      <vt:lpstr>CAPTURA!Área_de_impresión</vt:lpstr>
      <vt:lpstr>EFECTIVOS!Área_de_impresión</vt:lpstr>
      <vt:lpstr>departamento</vt:lpstr>
      <vt:lpstr>domingo</vt:lpstr>
      <vt:lpstr>ESTATUS</vt:lpstr>
      <vt:lpstr>jueves</vt:lpstr>
      <vt:lpstr>LOCALIDAD</vt:lpstr>
      <vt:lpstr>lunes</vt:lpstr>
      <vt:lpstr>martes</vt:lpstr>
      <vt:lpstr>miércoles</vt:lpstr>
      <vt:lpstr>PUESTO</vt:lpstr>
      <vt:lpstr>region</vt:lpstr>
      <vt:lpstr>sábado</vt:lpstr>
      <vt:lpstr>CAPTURA!Títulos_a_imprimir</vt:lpstr>
      <vt:lpstr>viernes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RRHH6</dc:creator>
  <cp:keywords/>
  <dc:description/>
  <cp:lastModifiedBy>oscar lujan</cp:lastModifiedBy>
  <cp:revision/>
  <cp:lastPrinted>2023-04-24T16:39:33Z</cp:lastPrinted>
  <dcterms:created xsi:type="dcterms:W3CDTF">2020-04-17T14:36:43Z</dcterms:created>
  <dcterms:modified xsi:type="dcterms:W3CDTF">2025-07-30T18:18:11Z</dcterms:modified>
  <cp:category/>
  <cp:contentStatus/>
</cp:coreProperties>
</file>